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<sst xmlns="http://schemas.openxmlformats.org/spreadsheetml/2006/main" count="27532" uniqueCount="2419">
  <si>
    <t xml:space="preserve">جامعي</t>
  </si>
  <si>
    <t xml:space="preserve">امتحاني3</t>
  </si>
  <si>
    <t xml:space="preserve">الاسم</t>
  </si>
  <si>
    <t xml:space="preserve">الرقم الامتحاني</t>
  </si>
  <si>
    <t xml:space="preserve">رقم التحضيرية</t>
  </si>
  <si>
    <t xml:space="preserve">Name</t>
  </si>
  <si>
    <t xml:space="preserve">name of mother</t>
  </si>
  <si>
    <t xml:space="preserve">جامعة التحضيرية</t>
  </si>
  <si>
    <t xml:space="preserve">Born</t>
  </si>
  <si>
    <t xml:space="preserve">English1</t>
  </si>
  <si>
    <t xml:space="preserve">Biology</t>
  </si>
  <si>
    <t xml:space="preserve">نظري مع فواصل</t>
  </si>
  <si>
    <t xml:space="preserve">النظري</t>
  </si>
  <si>
    <t xml:space="preserve">العملي</t>
  </si>
  <si>
    <t xml:space="preserve">المادة مع فواصل</t>
  </si>
  <si>
    <t xml:space="preserve"> علامة البيولوجيا</t>
  </si>
  <si>
    <t xml:space="preserve">History</t>
  </si>
  <si>
    <t xml:space="preserve">Physics</t>
  </si>
  <si>
    <t xml:space="preserve">نظري</t>
  </si>
  <si>
    <t xml:space="preserve">علامة الفيزياء</t>
  </si>
  <si>
    <t xml:space="preserve">Chemistry</t>
  </si>
  <si>
    <t xml:space="preserve">نظي مع فواصل</t>
  </si>
  <si>
    <t xml:space="preserve">عملي</t>
  </si>
  <si>
    <t xml:space="preserve">علامة الكيمياء</t>
  </si>
  <si>
    <t xml:space="preserve">sum1</t>
  </si>
  <si>
    <t xml:space="preserve">S1</t>
  </si>
  <si>
    <t xml:space="preserve">Medical statistics</t>
  </si>
  <si>
    <t xml:space="preserve">English 2</t>
  </si>
  <si>
    <t xml:space="preserve">Genetics</t>
  </si>
  <si>
    <t xml:space="preserve">Anatomy</t>
  </si>
  <si>
    <t xml:space="preserve">علامة التشريح</t>
  </si>
  <si>
    <t xml:space="preserve">Physiology</t>
  </si>
  <si>
    <t xml:space="preserve">علامة الفيزيولوجيا</t>
  </si>
  <si>
    <t xml:space="preserve">sum2</t>
  </si>
  <si>
    <t xml:space="preserve">S2</t>
  </si>
  <si>
    <t xml:space="preserve">Total</t>
  </si>
  <si>
    <t xml:space="preserve">Rate</t>
  </si>
  <si>
    <t xml:space="preserve">مجموع مع عملي</t>
  </si>
  <si>
    <t xml:space="preserve">مجموع مع عملي بدون فواصل</t>
  </si>
  <si>
    <t xml:space="preserve">معدل السنة مع عملي</t>
  </si>
  <si>
    <t xml:space="preserve">المعدل الجامعي</t>
  </si>
  <si>
    <t xml:space="preserve">bac score</t>
  </si>
  <si>
    <t xml:space="preserve">prep.order</t>
  </si>
  <si>
    <t xml:space="preserve">Sort rate</t>
  </si>
  <si>
    <t xml:space="preserve">Sort order</t>
  </si>
  <si>
    <t xml:space="preserve">prac.order</t>
  </si>
  <si>
    <t xml:space="preserve">bac.order</t>
  </si>
  <si>
    <t xml:space="preserve">نتائج الفرز</t>
  </si>
  <si>
    <t xml:space="preserve">محافظة الفرز</t>
  </si>
  <si>
    <t xml:space="preserve">نوع القبول</t>
  </si>
  <si>
    <t xml:space="preserve">عملي النسج</t>
  </si>
  <si>
    <t xml:space="preserve">نظري النسج</t>
  </si>
  <si>
    <t xml:space="preserve">نسج1</t>
  </si>
  <si>
    <t xml:space="preserve">عملي الحيوية</t>
  </si>
  <si>
    <t xml:space="preserve">نظري الحيوية</t>
  </si>
  <si>
    <t xml:space="preserve">الكيمياء الحيوية</t>
  </si>
  <si>
    <t xml:space="preserve">عملي التشريح</t>
  </si>
  <si>
    <t xml:space="preserve">نظري التشريح</t>
  </si>
  <si>
    <t xml:space="preserve">تشريح1</t>
  </si>
  <si>
    <t xml:space="preserve">English 3</t>
  </si>
  <si>
    <t xml:space="preserve">عربي</t>
  </si>
  <si>
    <t xml:space="preserve">علم النفس</t>
  </si>
  <si>
    <t xml:space="preserve">الثقافة</t>
  </si>
  <si>
    <t xml:space="preserve">عملي سريرية 1</t>
  </si>
  <si>
    <t xml:space="preserve">نظري سريرية1</t>
  </si>
  <si>
    <t xml:space="preserve">علامة السريرية 1</t>
  </si>
  <si>
    <t xml:space="preserve">عملي تشريح 2</t>
  </si>
  <si>
    <t xml:space="preserve">نظري تشريح 2 </t>
  </si>
  <si>
    <t xml:space="preserve">علامة التشريح 2</t>
  </si>
  <si>
    <t xml:space="preserve">عملي فيزيولوجيا 1</t>
  </si>
  <si>
    <t xml:space="preserve">نظري فيزيولوجيا 1</t>
  </si>
  <si>
    <t xml:space="preserve">علامة الفيزيولوجيا 1</t>
  </si>
  <si>
    <t xml:space="preserve">مهارات التواصل</t>
  </si>
  <si>
    <t xml:space="preserve">English 4</t>
  </si>
  <si>
    <t xml:space="preserve">عملي نسج2</t>
  </si>
  <si>
    <t xml:space="preserve">نظري نسج2</t>
  </si>
  <si>
    <t xml:space="preserve">نسج 2</t>
  </si>
  <si>
    <t xml:space="preserve">عملي جنين</t>
  </si>
  <si>
    <t xml:space="preserve">نظري جنين</t>
  </si>
  <si>
    <t xml:space="preserve">علامة الجنين</t>
  </si>
  <si>
    <t xml:space="preserve">مجموع 1</t>
  </si>
  <si>
    <t xml:space="preserve">مجموع 2</t>
  </si>
  <si>
    <t xml:space="preserve">معدل 1</t>
  </si>
  <si>
    <t xml:space="preserve">معدل 2</t>
  </si>
  <si>
    <t xml:space="preserve">  الترتيب 1</t>
  </si>
  <si>
    <t xml:space="preserve">الترتيب 2</t>
  </si>
  <si>
    <t xml:space="preserve">المعدل النهائي</t>
  </si>
  <si>
    <t xml:space="preserve">الترتيب</t>
  </si>
  <si>
    <t xml:space="preserve">معدل السنتين</t>
  </si>
  <si>
    <t xml:space="preserve">أخلاقيات عملي</t>
  </si>
  <si>
    <t xml:space="preserve">أخلاقيات نظري</t>
  </si>
  <si>
    <t xml:space="preserve">أخلاقيات نهائي</t>
  </si>
  <si>
    <t xml:space="preserve">أخلاقيات حالة</t>
  </si>
  <si>
    <t xml:space="preserve">تشريح 3 عملي</t>
  </si>
  <si>
    <t xml:space="preserve">تشريح 3 نظري</t>
  </si>
  <si>
    <t xml:space="preserve">تشريح 3 نهائي</t>
  </si>
  <si>
    <t xml:space="preserve">تشريح 3 حالة</t>
  </si>
  <si>
    <t xml:space="preserve">فيزيولوجيا 2 عملي</t>
  </si>
  <si>
    <t xml:space="preserve">فيزيولوجيا 2 نظري</t>
  </si>
  <si>
    <t xml:space="preserve">فيزيولوجيا 2 نهائي</t>
  </si>
  <si>
    <t xml:space="preserve">فيزيولوجيا 2 حالة</t>
  </si>
  <si>
    <t xml:space="preserve">كيمياء سريرية 2 عملي</t>
  </si>
  <si>
    <t xml:space="preserve">كيمياء سريرية 2 نظري</t>
  </si>
  <si>
    <t xml:space="preserve">كيمياء سريرية 2 نهائي</t>
  </si>
  <si>
    <t xml:space="preserve">كيمياء سريرية 2 حالة</t>
  </si>
  <si>
    <t xml:space="preserve">مهارات سريرية عملي</t>
  </si>
  <si>
    <t xml:space="preserve">مهارات سريرية نظري</t>
  </si>
  <si>
    <t xml:space="preserve">مهارات سريرية نهائي</t>
  </si>
  <si>
    <t xml:space="preserve">مهارات سريرية حالة</t>
  </si>
  <si>
    <t xml:space="preserve">احياء 1 عملي</t>
  </si>
  <si>
    <t xml:space="preserve">احياء 1 نظري</t>
  </si>
  <si>
    <t xml:space="preserve">احياء 1 نهائي</t>
  </si>
  <si>
    <t xml:space="preserve">وبائيات ومنهجية عملي</t>
  </si>
  <si>
    <t xml:space="preserve">وبائيات ومنهجية نظري</t>
  </si>
  <si>
    <t xml:space="preserve">وبائيات ومنهجية نهائي</t>
  </si>
  <si>
    <t xml:space="preserve">مجموع</t>
  </si>
  <si>
    <t xml:space="preserve">المعدل</t>
  </si>
  <si>
    <t xml:space="preserve">ترتيب </t>
  </si>
  <si>
    <t xml:space="preserve">مجموع </t>
  </si>
  <si>
    <t xml:space="preserve">معدل حالي</t>
  </si>
  <si>
    <t xml:space="preserve">معدل الفرز</t>
  </si>
  <si>
    <t xml:space="preserve">معدل الفصل 1 س2</t>
  </si>
  <si>
    <t xml:space="preserve">معدل الفصل2س2</t>
  </si>
  <si>
    <t xml:space="preserve">معدل الفصل 1 س3</t>
  </si>
  <si>
    <t xml:space="preserve">معدل السنة الثانية</t>
  </si>
  <si>
    <t xml:space="preserve">ترتيب المعدل الحالي</t>
  </si>
  <si>
    <t xml:space="preserve">ميس الشمالي</t>
  </si>
  <si>
    <t xml:space="preserve">ميس وسيم الشمالي</t>
  </si>
  <si>
    <t xml:space="preserve">رولا</t>
  </si>
  <si>
    <t xml:space="preserve">حمص</t>
  </si>
  <si>
    <t xml:space="preserve">الطب البشري</t>
  </si>
  <si>
    <t xml:space="preserve">عام</t>
  </si>
  <si>
    <t xml:space="preserve">-</t>
  </si>
  <si>
    <t xml:space="preserve">88</t>
  </si>
  <si>
    <t xml:space="preserve">ناجح</t>
  </si>
  <si>
    <t xml:space="preserve">25</t>
  </si>
  <si>
    <t xml:space="preserve">63</t>
  </si>
  <si>
    <t xml:space="preserve">26</t>
  </si>
  <si>
    <t xml:space="preserve">69</t>
  </si>
  <si>
    <t xml:space="preserve">95</t>
  </si>
  <si>
    <t xml:space="preserve">29</t>
  </si>
  <si>
    <t xml:space="preserve">67</t>
  </si>
  <si>
    <t xml:space="preserve">96</t>
  </si>
  <si>
    <t xml:space="preserve">68</t>
  </si>
  <si>
    <t xml:space="preserve">97</t>
  </si>
  <si>
    <t xml:space="preserve">98</t>
  </si>
  <si>
    <t xml:space="preserve">30</t>
  </si>
  <si>
    <t xml:space="preserve">99</t>
  </si>
  <si>
    <t xml:space="preserve">غريس الحجل</t>
  </si>
  <si>
    <t xml:space="preserve">غريس وسيم الحجل</t>
  </si>
  <si>
    <t xml:space="preserve">سهر</t>
  </si>
  <si>
    <t xml:space="preserve">93</t>
  </si>
  <si>
    <t xml:space="preserve">64</t>
  </si>
  <si>
    <t xml:space="preserve">90</t>
  </si>
  <si>
    <t xml:space="preserve">23</t>
  </si>
  <si>
    <t xml:space="preserve">70</t>
  </si>
  <si>
    <t xml:space="preserve">94</t>
  </si>
  <si>
    <t xml:space="preserve">محمد رمو</t>
  </si>
  <si>
    <t xml:space="preserve">محمد خالد رمو</t>
  </si>
  <si>
    <t xml:space="preserve">مجد</t>
  </si>
  <si>
    <t xml:space="preserve">28</t>
  </si>
  <si>
    <t xml:space="preserve">61</t>
  </si>
  <si>
    <t xml:space="preserve">89</t>
  </si>
  <si>
    <t xml:space="preserve">65</t>
  </si>
  <si>
    <t xml:space="preserve">27</t>
  </si>
  <si>
    <t xml:space="preserve">100</t>
  </si>
  <si>
    <t xml:space="preserve">رامي مخزوم</t>
  </si>
  <si>
    <t xml:space="preserve">رامي عبد المتين مخزوم</t>
  </si>
  <si>
    <t xml:space="preserve">ساره</t>
  </si>
  <si>
    <t xml:space="preserve">83</t>
  </si>
  <si>
    <t xml:space="preserve">91</t>
  </si>
  <si>
    <t xml:space="preserve">ابراهيم هدبة</t>
  </si>
  <si>
    <t xml:space="preserve">ابراهيم فراس هدبة</t>
  </si>
  <si>
    <t xml:space="preserve">غادة</t>
  </si>
  <si>
    <t xml:space="preserve">22</t>
  </si>
  <si>
    <t xml:space="preserve">85</t>
  </si>
  <si>
    <t xml:space="preserve">92</t>
  </si>
  <si>
    <t xml:space="preserve">60</t>
  </si>
  <si>
    <t xml:space="preserve">87</t>
  </si>
  <si>
    <t xml:space="preserve">سلمان الدرويش</t>
  </si>
  <si>
    <t xml:space="preserve">سلمان اياد الدرويش</t>
  </si>
  <si>
    <t xml:space="preserve">فاتن</t>
  </si>
  <si>
    <t xml:space="preserve">24</t>
  </si>
  <si>
    <t xml:space="preserve">58</t>
  </si>
  <si>
    <t xml:space="preserve">انطوانيت قسيس</t>
  </si>
  <si>
    <t xml:space="preserve">انطوانيت جورج قسيس</t>
  </si>
  <si>
    <t xml:space="preserve">لينا</t>
  </si>
  <si>
    <t xml:space="preserve">66</t>
  </si>
  <si>
    <t xml:space="preserve">زين علي/تمام</t>
  </si>
  <si>
    <t xml:space="preserve">زين تمام علي</t>
  </si>
  <si>
    <t xml:space="preserve">ردينه</t>
  </si>
  <si>
    <t xml:space="preserve">20</t>
  </si>
  <si>
    <t xml:space="preserve">طارق الحداد</t>
  </si>
  <si>
    <t xml:space="preserve">طارق عامر الحداد</t>
  </si>
  <si>
    <t xml:space="preserve">عزه</t>
  </si>
  <si>
    <t xml:space="preserve">21</t>
  </si>
  <si>
    <t xml:space="preserve">81</t>
  </si>
  <si>
    <t xml:space="preserve">محمد حسن/اسامه</t>
  </si>
  <si>
    <t xml:space="preserve">محمد اسامة حسن</t>
  </si>
  <si>
    <t xml:space="preserve">روان سليمان</t>
  </si>
  <si>
    <t xml:space="preserve">روان علي سليمان</t>
  </si>
  <si>
    <t xml:space="preserve">تغريد</t>
  </si>
  <si>
    <t xml:space="preserve">86</t>
  </si>
  <si>
    <t xml:space="preserve">62</t>
  </si>
  <si>
    <t xml:space="preserve">59</t>
  </si>
  <si>
    <t xml:space="preserve">82</t>
  </si>
  <si>
    <t xml:space="preserve">جعفر سليمان</t>
  </si>
  <si>
    <t xml:space="preserve">جعفر فداء سليمان</t>
  </si>
  <si>
    <t xml:space="preserve">رانيا</t>
  </si>
  <si>
    <t xml:space="preserve">84</t>
  </si>
  <si>
    <t xml:space="preserve">ماري الاحمد</t>
  </si>
  <si>
    <t xml:space="preserve">ماري حيان الاحمد</t>
  </si>
  <si>
    <t xml:space="preserve">طارق يوسف</t>
  </si>
  <si>
    <t xml:space="preserve">طارق الياس يوسف</t>
  </si>
  <si>
    <t xml:space="preserve">غانا</t>
  </si>
  <si>
    <t xml:space="preserve">فراس مشهور</t>
  </si>
  <si>
    <t xml:space="preserve">فراس ادهم مشهور</t>
  </si>
  <si>
    <t xml:space="preserve">عبير</t>
  </si>
  <si>
    <t xml:space="preserve">57</t>
  </si>
  <si>
    <t xml:space="preserve">80</t>
  </si>
  <si>
    <t xml:space="preserve">56</t>
  </si>
  <si>
    <t xml:space="preserve">لين سيف</t>
  </si>
  <si>
    <t xml:space="preserve">لين عماد سيف</t>
  </si>
  <si>
    <t xml:space="preserve">حسناء</t>
  </si>
  <si>
    <t xml:space="preserve">مجد العباس</t>
  </si>
  <si>
    <t xml:space="preserve">مجد حاتم العباس</t>
  </si>
  <si>
    <t xml:space="preserve">مهى</t>
  </si>
  <si>
    <t xml:space="preserve">جودي خرسان</t>
  </si>
  <si>
    <t xml:space="preserve">جودي عبد الكافي خرسان</t>
  </si>
  <si>
    <t xml:space="preserve">عمره</t>
  </si>
  <si>
    <t xml:space="preserve">رغد عبدو</t>
  </si>
  <si>
    <t xml:space="preserve">رغد ضاحي عبدو</t>
  </si>
  <si>
    <t xml:space="preserve">يسرى</t>
  </si>
  <si>
    <t xml:space="preserve">رنيم سليمان</t>
  </si>
  <si>
    <t xml:space="preserve">رنيم علي سليمان</t>
  </si>
  <si>
    <t xml:space="preserve">ريم الساطي</t>
  </si>
  <si>
    <t xml:space="preserve">ريم باسم الساطي</t>
  </si>
  <si>
    <t xml:space="preserve">دلال</t>
  </si>
  <si>
    <t xml:space="preserve">ساره الحلبي</t>
  </si>
  <si>
    <t xml:space="preserve">ساره مالك الحلبي</t>
  </si>
  <si>
    <t xml:space="preserve">معينه</t>
  </si>
  <si>
    <t xml:space="preserve">ربيع عساكر</t>
  </si>
  <si>
    <t xml:space="preserve">ربيع ايمن عساكر</t>
  </si>
  <si>
    <t xml:space="preserve">نسرين</t>
  </si>
  <si>
    <t xml:space="preserve">ابراهيم مخول</t>
  </si>
  <si>
    <t xml:space="preserve">ابراهيم نبيه مخول</t>
  </si>
  <si>
    <t xml:space="preserve">ليلى</t>
  </si>
  <si>
    <t xml:space="preserve">هبه كمالي</t>
  </si>
  <si>
    <t xml:space="preserve">هبه واصل كمالي</t>
  </si>
  <si>
    <t xml:space="preserve">غاده</t>
  </si>
  <si>
    <t xml:space="preserve">الين محسن</t>
  </si>
  <si>
    <t xml:space="preserve">الين علي محسن</t>
  </si>
  <si>
    <t xml:space="preserve">وعد</t>
  </si>
  <si>
    <t xml:space="preserve">أسامه بريمان</t>
  </si>
  <si>
    <t xml:space="preserve">أسامه مهند بريمان</t>
  </si>
  <si>
    <t xml:space="preserve">منار</t>
  </si>
  <si>
    <t xml:space="preserve">سامر الابرش</t>
  </si>
  <si>
    <t xml:space="preserve">سامر خالد الابرش</t>
  </si>
  <si>
    <t xml:space="preserve">جودي البدر</t>
  </si>
  <si>
    <t xml:space="preserve">جودي جهاد البدر</t>
  </si>
  <si>
    <t xml:space="preserve">اكتمال</t>
  </si>
  <si>
    <t xml:space="preserve">ادواردو ابراهيم عيسى</t>
  </si>
  <si>
    <t xml:space="preserve">ادواردو ابراهيم وائل عيسى
</t>
  </si>
  <si>
    <t xml:space="preserve">ريناتا</t>
  </si>
  <si>
    <t xml:space="preserve">19</t>
  </si>
  <si>
    <t xml:space="preserve">عبدالرحمن الخضر</t>
  </si>
  <si>
    <t xml:space="preserve">عبد الرحمن نور الدين الخضر
</t>
  </si>
  <si>
    <t xml:space="preserve">إناس</t>
  </si>
  <si>
    <t xml:space="preserve">عماد مسوح</t>
  </si>
  <si>
    <t xml:space="preserve">عماد فؤاد مسوح</t>
  </si>
  <si>
    <t xml:space="preserve">بانه</t>
  </si>
  <si>
    <t xml:space="preserve">حماه</t>
  </si>
  <si>
    <t xml:space="preserve">79</t>
  </si>
  <si>
    <t xml:space="preserve">رؤى وسوف</t>
  </si>
  <si>
    <t xml:space="preserve">رؤى عيسى وسوف</t>
  </si>
  <si>
    <t xml:space="preserve">علي خضور</t>
  </si>
  <si>
    <t xml:space="preserve">علي بسام خضور</t>
  </si>
  <si>
    <t xml:space="preserve">زكيه</t>
  </si>
  <si>
    <t xml:space="preserve">سدره زعبي</t>
  </si>
  <si>
    <t xml:space="preserve">سدره ابراهيم زعبي</t>
  </si>
  <si>
    <t xml:space="preserve">ريم</t>
  </si>
  <si>
    <t xml:space="preserve">ايزابيل باصيل</t>
  </si>
  <si>
    <t xml:space="preserve">ايزابيل شفيق باصيل</t>
  </si>
  <si>
    <t xml:space="preserve">تمام</t>
  </si>
  <si>
    <t xml:space="preserve">بيلسان دغله</t>
  </si>
  <si>
    <t xml:space="preserve">بيلسان يحيى دغله</t>
  </si>
  <si>
    <t xml:space="preserve">نهى</t>
  </si>
  <si>
    <t xml:space="preserve">رؤى درويش</t>
  </si>
  <si>
    <t xml:space="preserve">رؤى وليد درويش</t>
  </si>
  <si>
    <t xml:space="preserve">حنان</t>
  </si>
  <si>
    <t xml:space="preserve">راما ادلبي</t>
  </si>
  <si>
    <t xml:space="preserve">راما طه ادلبي</t>
  </si>
  <si>
    <t xml:space="preserve">اروى</t>
  </si>
  <si>
    <t xml:space="preserve">هلا الاسعد</t>
  </si>
  <si>
    <t xml:space="preserve">هلا نضال الاسعد</t>
  </si>
  <si>
    <t xml:space="preserve">حيدر النقري</t>
  </si>
  <si>
    <t xml:space="preserve">حيدر فراس النقري</t>
  </si>
  <si>
    <t xml:space="preserve">راميا</t>
  </si>
  <si>
    <t xml:space="preserve">سناء عياش</t>
  </si>
  <si>
    <t xml:space="preserve">سناء احمد عياش</t>
  </si>
  <si>
    <t xml:space="preserve">زكاء</t>
  </si>
  <si>
    <t xml:space="preserve">شروق السالم</t>
  </si>
  <si>
    <t xml:space="preserve">شروق كامل السالم</t>
  </si>
  <si>
    <t xml:space="preserve">مريم</t>
  </si>
  <si>
    <t xml:space="preserve">54</t>
  </si>
  <si>
    <t xml:space="preserve">78</t>
  </si>
  <si>
    <t xml:space="preserve">55</t>
  </si>
  <si>
    <t xml:space="preserve">لمار الرحيه</t>
  </si>
  <si>
    <t xml:space="preserve">لمار حمزه الرحيه</t>
  </si>
  <si>
    <t xml:space="preserve">ليندا</t>
  </si>
  <si>
    <t xml:space="preserve">روعه المرعي</t>
  </si>
  <si>
    <t xml:space="preserve">روعه عدنان المرعي</t>
  </si>
  <si>
    <t xml:space="preserve">سوسن</t>
  </si>
  <si>
    <t xml:space="preserve">52</t>
  </si>
  <si>
    <t xml:space="preserve">ختام الحبال</t>
  </si>
  <si>
    <t xml:space="preserve">ختام وائل الحبال</t>
  </si>
  <si>
    <t xml:space="preserve">سهير</t>
  </si>
  <si>
    <t xml:space="preserve">مها طلاس</t>
  </si>
  <si>
    <t xml:space="preserve">مها خالد طلاس</t>
  </si>
  <si>
    <t xml:space="preserve">هند</t>
  </si>
  <si>
    <t xml:space="preserve">ساره القنطار</t>
  </si>
  <si>
    <t xml:space="preserve">ساره غيدق القنطار</t>
  </si>
  <si>
    <t xml:space="preserve">ميساء</t>
  </si>
  <si>
    <t xml:space="preserve">نور ابو بكر</t>
  </si>
  <si>
    <t xml:space="preserve">نور عبد الرزاق أبوبكر</t>
  </si>
  <si>
    <t xml:space="preserve">أمل</t>
  </si>
  <si>
    <t xml:space="preserve">دمشق</t>
  </si>
  <si>
    <t xml:space="preserve">حلا العتر</t>
  </si>
  <si>
    <t xml:space="preserve">حلا عارف العتر</t>
  </si>
  <si>
    <t xml:space="preserve">افاميا</t>
  </si>
  <si>
    <t xml:space="preserve">رها قره حسن</t>
  </si>
  <si>
    <t xml:space="preserve">رها عمار قره حسن</t>
  </si>
  <si>
    <t xml:space="preserve">اليمامة عبدالله</t>
  </si>
  <si>
    <t xml:space="preserve">اليمامة علي عبدالله</t>
  </si>
  <si>
    <t xml:space="preserve">نهاوند</t>
  </si>
  <si>
    <t xml:space="preserve">ليث مخول</t>
  </si>
  <si>
    <t xml:space="preserve">ليث سعد الله مخول</t>
  </si>
  <si>
    <t xml:space="preserve">جويل مخول</t>
  </si>
  <si>
    <t xml:space="preserve">جويل سبع مخول</t>
  </si>
  <si>
    <t xml:space="preserve">داليدا</t>
  </si>
  <si>
    <t xml:space="preserve">زينة بلال</t>
  </si>
  <si>
    <t xml:space="preserve">زينة بسيم بلال</t>
  </si>
  <si>
    <t xml:space="preserve">سناء</t>
  </si>
  <si>
    <t xml:space="preserve">شعيب المحسن</t>
  </si>
  <si>
    <t xml:space="preserve">شعيب مفيد المحسن</t>
  </si>
  <si>
    <t xml:space="preserve">سمر</t>
  </si>
  <si>
    <t xml:space="preserve">حماة 2006</t>
  </si>
  <si>
    <t xml:space="preserve">جعفر فندي</t>
  </si>
  <si>
    <t xml:space="preserve">جعفر علي فندي</t>
  </si>
  <si>
    <t xml:space="preserve">بسيمه</t>
  </si>
  <si>
    <t xml:space="preserve">ريتا الحماده</t>
  </si>
  <si>
    <t xml:space="preserve">ريتا احمد الحماده</t>
  </si>
  <si>
    <t xml:space="preserve">مياده</t>
  </si>
  <si>
    <t xml:space="preserve">فهمي زيني</t>
  </si>
  <si>
    <t xml:space="preserve">فهمي محمد نعمان زيني</t>
  </si>
  <si>
    <t xml:space="preserve">راما دقه</t>
  </si>
  <si>
    <t xml:space="preserve">راما تامر دقه</t>
  </si>
  <si>
    <t xml:space="preserve">رنيم</t>
  </si>
  <si>
    <t xml:space="preserve">محمد قنص</t>
  </si>
  <si>
    <t xml:space="preserve">محمد ماهر قنص</t>
  </si>
  <si>
    <t xml:space="preserve">ياسمين</t>
  </si>
  <si>
    <t xml:space="preserve">لجين حسن</t>
  </si>
  <si>
    <t xml:space="preserve">لجين وحيد حسن</t>
  </si>
  <si>
    <t xml:space="preserve">رحاب سليمان</t>
  </si>
  <si>
    <t xml:space="preserve">ساره الشكر</t>
  </si>
  <si>
    <t xml:space="preserve">ساره يامن الشكر</t>
  </si>
  <si>
    <t xml:space="preserve">حسين رمضان</t>
  </si>
  <si>
    <t xml:space="preserve">حسين سعيد رمضان</t>
  </si>
  <si>
    <t xml:space="preserve">منال</t>
  </si>
  <si>
    <t xml:space="preserve">ثوبان الجوراني</t>
  </si>
  <si>
    <t xml:space="preserve">ثوبان ثائر الجوراني</t>
  </si>
  <si>
    <t xml:space="preserve">هيفاء</t>
  </si>
  <si>
    <t xml:space="preserve">74</t>
  </si>
  <si>
    <t xml:space="preserve">سمير جرجس</t>
  </si>
  <si>
    <t xml:space="preserve">سمير نضال جرجس</t>
  </si>
  <si>
    <t xml:space="preserve">50</t>
  </si>
  <si>
    <t xml:space="preserve">لبانه البلال</t>
  </si>
  <si>
    <t xml:space="preserve">لبانه جهاد البلال</t>
  </si>
  <si>
    <t xml:space="preserve">وفاء</t>
  </si>
  <si>
    <t xml:space="preserve">حسين المحمد</t>
  </si>
  <si>
    <t xml:space="preserve">حسين ماهر المحمد</t>
  </si>
  <si>
    <t xml:space="preserve">سراء</t>
  </si>
  <si>
    <t xml:space="preserve">77</t>
  </si>
  <si>
    <t xml:space="preserve">محمد عمر السيوفي</t>
  </si>
  <si>
    <t xml:space="preserve">محمد عمر محمد امين السيوفي</t>
  </si>
  <si>
    <t xml:space="preserve">اناهيد</t>
  </si>
  <si>
    <t xml:space="preserve">18</t>
  </si>
  <si>
    <t xml:space="preserve">ايليان كاسوحة</t>
  </si>
  <si>
    <t xml:space="preserve">ايليان سبع كاسوحة</t>
  </si>
  <si>
    <t xml:space="preserve">رنده</t>
  </si>
  <si>
    <t xml:space="preserve">عبدالله القاسم</t>
  </si>
  <si>
    <t xml:space="preserve">عبدالله عبد المعين القاسم</t>
  </si>
  <si>
    <t xml:space="preserve">امينه</t>
  </si>
  <si>
    <t xml:space="preserve">اسراء عربش</t>
  </si>
  <si>
    <t xml:space="preserve">اسراء حسان عربش</t>
  </si>
  <si>
    <t xml:space="preserve">هدى</t>
  </si>
  <si>
    <t xml:space="preserve">رقيه برهوم</t>
  </si>
  <si>
    <t xml:space="preserve">رقيه سهيل برهوم</t>
  </si>
  <si>
    <t xml:space="preserve">72</t>
  </si>
  <si>
    <t xml:space="preserve">48</t>
  </si>
  <si>
    <t xml:space="preserve">ساره البيطار</t>
  </si>
  <si>
    <t xml:space="preserve">ساره ريمون البيطار</t>
  </si>
  <si>
    <t xml:space="preserve">راما ابراهيم</t>
  </si>
  <si>
    <t xml:space="preserve">راما أيسر ابراهيم</t>
  </si>
  <si>
    <t xml:space="preserve">هاله</t>
  </si>
  <si>
    <t xml:space="preserve">اليسار يوسف/محمد</t>
  </si>
  <si>
    <t xml:space="preserve">اليسار محمد يوسف</t>
  </si>
  <si>
    <t xml:space="preserve">دارين</t>
  </si>
  <si>
    <t xml:space="preserve">حماة2005</t>
  </si>
  <si>
    <t xml:space="preserve">سالي عبدالله</t>
  </si>
  <si>
    <t xml:space="preserve">سالي فؤاد عبدالله</t>
  </si>
  <si>
    <t xml:space="preserve">وجيده</t>
  </si>
  <si>
    <t xml:space="preserve">51</t>
  </si>
  <si>
    <t xml:space="preserve">سدره رمضان</t>
  </si>
  <si>
    <t xml:space="preserve">سدره ماهر رمضان</t>
  </si>
  <si>
    <t xml:space="preserve">47</t>
  </si>
  <si>
    <t xml:space="preserve">71</t>
  </si>
  <si>
    <t xml:space="preserve">ليانا خضور</t>
  </si>
  <si>
    <t xml:space="preserve">ليانا مفيد خضور</t>
  </si>
  <si>
    <t xml:space="preserve">سهيلا</t>
  </si>
  <si>
    <t xml:space="preserve">سيدرا السالم</t>
  </si>
  <si>
    <t xml:space="preserve">سيدرا عبد الجليل السالم</t>
  </si>
  <si>
    <t xml:space="preserve">ختام</t>
  </si>
  <si>
    <t xml:space="preserve">سارة أيوب</t>
  </si>
  <si>
    <t xml:space="preserve">سارة وائل أيوب</t>
  </si>
  <si>
    <t xml:space="preserve">اليسار معروف</t>
  </si>
  <si>
    <t xml:space="preserve">اليسار مهند معروف</t>
  </si>
  <si>
    <t xml:space="preserve">زينه</t>
  </si>
  <si>
    <t xml:space="preserve">خليل الخليل</t>
  </si>
  <si>
    <t xml:space="preserve">خليل احمد الخليل</t>
  </si>
  <si>
    <t xml:space="preserve">محمد عمروناصيف</t>
  </si>
  <si>
    <t xml:space="preserve">محمد عمرو محمد فراس ناصيف</t>
  </si>
  <si>
    <t xml:space="preserve">هلا</t>
  </si>
  <si>
    <t xml:space="preserve">سانتا خليل</t>
  </si>
  <si>
    <t xml:space="preserve">سانتا وليم خليل</t>
  </si>
  <si>
    <t xml:space="preserve">انتصار</t>
  </si>
  <si>
    <t xml:space="preserve">جود طعمه</t>
  </si>
  <si>
    <t xml:space="preserve">جود نزار طعمه</t>
  </si>
  <si>
    <t xml:space="preserve">جمانه</t>
  </si>
  <si>
    <t xml:space="preserve">رزان المصري</t>
  </si>
  <si>
    <t xml:space="preserve">رزان محمد المصري</t>
  </si>
  <si>
    <t xml:space="preserve">75</t>
  </si>
  <si>
    <t xml:space="preserve">49</t>
  </si>
  <si>
    <t xml:space="preserve">76</t>
  </si>
  <si>
    <t xml:space="preserve">وسام كاسوحة</t>
  </si>
  <si>
    <t xml:space="preserve">وسام حسام كاسوحة</t>
  </si>
  <si>
    <t xml:space="preserve">روكسانا</t>
  </si>
  <si>
    <t xml:space="preserve">53</t>
  </si>
  <si>
    <t xml:space="preserve">نور الطرشه</t>
  </si>
  <si>
    <t xml:space="preserve">نور ميلاد الطرشه</t>
  </si>
  <si>
    <t xml:space="preserve">سلام</t>
  </si>
  <si>
    <t xml:space="preserve">جودي خضور</t>
  </si>
  <si>
    <t xml:space="preserve">جودي رامز خضور</t>
  </si>
  <si>
    <t xml:space="preserve">نجلاء</t>
  </si>
  <si>
    <t xml:space="preserve">زينه ادريس</t>
  </si>
  <si>
    <t xml:space="preserve">زينه ياسر ادريس</t>
  </si>
  <si>
    <t xml:space="preserve">عزيزه</t>
  </si>
  <si>
    <t xml:space="preserve">مريم الفاحلي</t>
  </si>
  <si>
    <t xml:space="preserve">مريم ماهر الفاحلي</t>
  </si>
  <si>
    <t xml:space="preserve">مارلين</t>
  </si>
  <si>
    <t xml:space="preserve">حلا الديوب</t>
  </si>
  <si>
    <t xml:space="preserve">حلا محسن الديوب</t>
  </si>
  <si>
    <t xml:space="preserve">علاء خاشوق</t>
  </si>
  <si>
    <t xml:space="preserve">علاء سعيد خاشوق</t>
  </si>
  <si>
    <t xml:space="preserve">رويده</t>
  </si>
  <si>
    <t xml:space="preserve">طرطوس</t>
  </si>
  <si>
    <t xml:space="preserve">طرطوس2005</t>
  </si>
  <si>
    <t xml:space="preserve">ميار الحسين</t>
  </si>
  <si>
    <t xml:space="preserve">ميار اياد الحسين</t>
  </si>
  <si>
    <t xml:space="preserve">فاديا</t>
  </si>
  <si>
    <t xml:space="preserve">ميرنا الاحمد</t>
  </si>
  <si>
    <t xml:space="preserve">ميرنا مسلم الاحمد</t>
  </si>
  <si>
    <t xml:space="preserve">جهينه</t>
  </si>
  <si>
    <t xml:space="preserve">سدرة سهلي</t>
  </si>
  <si>
    <t xml:space="preserve">سدرة حسام سهلي</t>
  </si>
  <si>
    <t xml:space="preserve">جمان</t>
  </si>
  <si>
    <t xml:space="preserve">محمود عليوي</t>
  </si>
  <si>
    <t xml:space="preserve">محمود احمد عليوي</t>
  </si>
  <si>
    <t xml:space="preserve">نجاح</t>
  </si>
  <si>
    <t xml:space="preserve">39</t>
  </si>
  <si>
    <t xml:space="preserve">راسب</t>
  </si>
  <si>
    <t xml:space="preserve">37</t>
  </si>
  <si>
    <t xml:space="preserve">محي الدين زين</t>
  </si>
  <si>
    <t xml:space="preserve">محي الدين محمد زين</t>
  </si>
  <si>
    <t xml:space="preserve">سلوى</t>
  </si>
  <si>
    <t xml:space="preserve">17</t>
  </si>
  <si>
    <t xml:space="preserve">73</t>
  </si>
  <si>
    <t xml:space="preserve">نايا حداد</t>
  </si>
  <si>
    <t xml:space="preserve">نايا فادي حداد</t>
  </si>
  <si>
    <t xml:space="preserve">نها</t>
  </si>
  <si>
    <t xml:space="preserve">حماة</t>
  </si>
  <si>
    <t xml:space="preserve">شهد عطيه</t>
  </si>
  <si>
    <t xml:space="preserve">شهد سعدو عطيه</t>
  </si>
  <si>
    <t xml:space="preserve">ريما</t>
  </si>
  <si>
    <t xml:space="preserve">يارا الاسعد</t>
  </si>
  <si>
    <t xml:space="preserve">يارا عيسى الاسعد</t>
  </si>
  <si>
    <t xml:space="preserve">رزان</t>
  </si>
  <si>
    <t xml:space="preserve">علي حمدان</t>
  </si>
  <si>
    <t xml:space="preserve">علي حيدر حمدان</t>
  </si>
  <si>
    <t xml:space="preserve">بسينا</t>
  </si>
  <si>
    <t xml:space="preserve">ماسه الحصني</t>
  </si>
  <si>
    <t xml:space="preserve">ماسه رائد الحصني</t>
  </si>
  <si>
    <t xml:space="preserve">روعه</t>
  </si>
  <si>
    <t xml:space="preserve">محمد نديم عيون السود</t>
  </si>
  <si>
    <t xml:space="preserve">محمد نديم عزمي عيون السود</t>
  </si>
  <si>
    <t xml:space="preserve">امتثال</t>
  </si>
  <si>
    <t xml:space="preserve">سدرة حامد</t>
  </si>
  <si>
    <t xml:space="preserve">سدرة بسام حامد</t>
  </si>
  <si>
    <t xml:space="preserve">رفاعية</t>
  </si>
  <si>
    <t xml:space="preserve">موازي</t>
  </si>
  <si>
    <t xml:space="preserve">ميلاد يعقوب</t>
  </si>
  <si>
    <t xml:space="preserve">ميلاد الياس يعقوب</t>
  </si>
  <si>
    <t xml:space="preserve">نهلا</t>
  </si>
  <si>
    <t xml:space="preserve">يمان القدسي</t>
  </si>
  <si>
    <t xml:space="preserve">يمان بسام القدسي</t>
  </si>
  <si>
    <t xml:space="preserve">دانيا</t>
  </si>
  <si>
    <t xml:space="preserve">ابراهيم عوف</t>
  </si>
  <si>
    <t xml:space="preserve">ابراهيم محمد رفيق عوف</t>
  </si>
  <si>
    <t xml:space="preserve">صباح</t>
  </si>
  <si>
    <t xml:space="preserve">راما البوش</t>
  </si>
  <si>
    <t xml:space="preserve">راما خالد البوش</t>
  </si>
  <si>
    <t xml:space="preserve">امال</t>
  </si>
  <si>
    <t xml:space="preserve">ايه عياش</t>
  </si>
  <si>
    <t xml:space="preserve">ايه وائل عياش</t>
  </si>
  <si>
    <t xml:space="preserve">رفاه</t>
  </si>
  <si>
    <t xml:space="preserve">السعودية</t>
  </si>
  <si>
    <t xml:space="preserve">عرب وأجانب</t>
  </si>
  <si>
    <t xml:space="preserve">لانا وانس</t>
  </si>
  <si>
    <t xml:space="preserve">لانا عادل وانس</t>
  </si>
  <si>
    <t xml:space="preserve">هناء</t>
  </si>
  <si>
    <t xml:space="preserve">راما عاصي</t>
  </si>
  <si>
    <t xml:space="preserve">راما دياب عاصي</t>
  </si>
  <si>
    <t xml:space="preserve">فاطمه</t>
  </si>
  <si>
    <t xml:space="preserve">زين شلهوب</t>
  </si>
  <si>
    <t xml:space="preserve">زين فراس شلهوب</t>
  </si>
  <si>
    <t xml:space="preserve">ناريمان</t>
  </si>
  <si>
    <t xml:space="preserve">مرام ابراهيم</t>
  </si>
  <si>
    <t xml:space="preserve">مرام فراس ابراهيم</t>
  </si>
  <si>
    <t xml:space="preserve">تاسيا</t>
  </si>
  <si>
    <t xml:space="preserve">ايمان خليفه</t>
  </si>
  <si>
    <t xml:space="preserve">ايمان قاسم خليفه</t>
  </si>
  <si>
    <t xml:space="preserve">سومر العلي</t>
  </si>
  <si>
    <t xml:space="preserve">سومر محمد العلي</t>
  </si>
  <si>
    <t xml:space="preserve">ساره عربش</t>
  </si>
  <si>
    <t xml:space="preserve">ساره عماد عربش</t>
  </si>
  <si>
    <t xml:space="preserve">علا</t>
  </si>
  <si>
    <t xml:space="preserve">زينه منصور</t>
  </si>
  <si>
    <t xml:space="preserve">زينه بشير منصور</t>
  </si>
  <si>
    <t xml:space="preserve">سعاد محمد/سامر</t>
  </si>
  <si>
    <t xml:space="preserve">سعاد سامر محمد</t>
  </si>
  <si>
    <t xml:space="preserve">زينب</t>
  </si>
  <si>
    <t xml:space="preserve">محمدصالح فيصل</t>
  </si>
  <si>
    <t xml:space="preserve">محمد صالح محمد علي فيصل</t>
  </si>
  <si>
    <t xml:space="preserve">لما</t>
  </si>
  <si>
    <t xml:space="preserve">بكر ابوالعيال</t>
  </si>
  <si>
    <t xml:space="preserve">بكر هيسم ابو العيال</t>
  </si>
  <si>
    <t xml:space="preserve">محمد علي الشحمه</t>
  </si>
  <si>
    <t xml:space="preserve">محمد علي مصعب الشحمه</t>
  </si>
  <si>
    <t xml:space="preserve">اللاذقية</t>
  </si>
  <si>
    <t xml:space="preserve">آيه العبيد</t>
  </si>
  <si>
    <t xml:space="preserve">آيه عبدو العبيد</t>
  </si>
  <si>
    <t xml:space="preserve">رهيف</t>
  </si>
  <si>
    <t xml:space="preserve">محمد نور مرعي</t>
  </si>
  <si>
    <t xml:space="preserve">محمد نور عصام مرعي</t>
  </si>
  <si>
    <t xml:space="preserve">فردوس</t>
  </si>
  <si>
    <t xml:space="preserve">فرح سردار</t>
  </si>
  <si>
    <t xml:space="preserve">فرح احمد سردار</t>
  </si>
  <si>
    <t xml:space="preserve">هلال</t>
  </si>
  <si>
    <t xml:space="preserve">خالد القجه</t>
  </si>
  <si>
    <t xml:space="preserve">خالد محمود القجه</t>
  </si>
  <si>
    <t xml:space="preserve">اميمه زيدان</t>
  </si>
  <si>
    <t xml:space="preserve">أسماء الفارس</t>
  </si>
  <si>
    <t xml:space="preserve">أسماء صطام الفارس</t>
  </si>
  <si>
    <t xml:space="preserve">منى</t>
  </si>
  <si>
    <t xml:space="preserve">رقة2006</t>
  </si>
  <si>
    <t xml:space="preserve">جيسي توماس</t>
  </si>
  <si>
    <t xml:space="preserve">جيسي سعيد توماس</t>
  </si>
  <si>
    <t xml:space="preserve">صفاء</t>
  </si>
  <si>
    <t xml:space="preserve">جودي المعاز</t>
  </si>
  <si>
    <t xml:space="preserve">جودي الياس المعاز</t>
  </si>
  <si>
    <t xml:space="preserve">حسن</t>
  </si>
  <si>
    <t xml:space="preserve">ديانا حاميش</t>
  </si>
  <si>
    <t xml:space="preserve">ديانا بارع حاميش</t>
  </si>
  <si>
    <t xml:space="preserve">سميره</t>
  </si>
  <si>
    <t xml:space="preserve">راما الزعبي</t>
  </si>
  <si>
    <t xml:space="preserve">راما حسين الزعبي</t>
  </si>
  <si>
    <t xml:space="preserve">عائشه</t>
  </si>
  <si>
    <t xml:space="preserve">ايلينا شماس</t>
  </si>
  <si>
    <t xml:space="preserve">ايلينا داني شماس</t>
  </si>
  <si>
    <t xml:space="preserve">سيما عبد العزيز</t>
  </si>
  <si>
    <t xml:space="preserve">سيما عصام عبد العزيز</t>
  </si>
  <si>
    <t xml:space="preserve">نانسي</t>
  </si>
  <si>
    <t xml:space="preserve">جولي طلب</t>
  </si>
  <si>
    <t xml:space="preserve">جولي زياد طلب</t>
  </si>
  <si>
    <t xml:space="preserve">نائل رهجه</t>
  </si>
  <si>
    <t xml:space="preserve">نائل فداء رهجه</t>
  </si>
  <si>
    <t xml:space="preserve">جنى احمد</t>
  </si>
  <si>
    <t xml:space="preserve">جنى اسامه احمد</t>
  </si>
  <si>
    <t xml:space="preserve">خلود</t>
  </si>
  <si>
    <t xml:space="preserve">ساميه عبدالنبي</t>
  </si>
  <si>
    <t xml:space="preserve">ساميه محمد عبدالنبي</t>
  </si>
  <si>
    <t xml:space="preserve">ازدهار</t>
  </si>
  <si>
    <t xml:space="preserve">يوشع ابراهيم</t>
  </si>
  <si>
    <t xml:space="preserve">يوشع علي ابراهيم</t>
  </si>
  <si>
    <t xml:space="preserve">16</t>
  </si>
  <si>
    <t xml:space="preserve">محمد ماهر بالي</t>
  </si>
  <si>
    <t xml:space="preserve">محمد ماهر محمد ناصر بالي</t>
  </si>
  <si>
    <t xml:space="preserve">ندى</t>
  </si>
  <si>
    <t xml:space="preserve">منى البدويه</t>
  </si>
  <si>
    <t xml:space="preserve">منى زاهر البدويه</t>
  </si>
  <si>
    <t xml:space="preserve">غنه</t>
  </si>
  <si>
    <t xml:space="preserve">عمر بيرقدار</t>
  </si>
  <si>
    <t xml:space="preserve">عمر عبد الحفيظ بيرقدار</t>
  </si>
  <si>
    <t xml:space="preserve">رام حداد</t>
  </si>
  <si>
    <t xml:space="preserve">رام فادي حداد</t>
  </si>
  <si>
    <t xml:space="preserve">ديما</t>
  </si>
  <si>
    <t xml:space="preserve">فوزيه النجيب الشهير بالعباس</t>
  </si>
  <si>
    <t xml:space="preserve">فوزيه شعلان النجيب الشهير بالعباس</t>
  </si>
  <si>
    <t xml:space="preserve">زبيده</t>
  </si>
  <si>
    <t xml:space="preserve">0</t>
  </si>
  <si>
    <t xml:space="preserve">لجين جلال الصابوني</t>
  </si>
  <si>
    <t xml:space="preserve">لجين محمد جلال الصابوني</t>
  </si>
  <si>
    <t xml:space="preserve">هنادي</t>
  </si>
  <si>
    <t xml:space="preserve">تالا العباس</t>
  </si>
  <si>
    <t xml:space="preserve">تالا محمد العباس</t>
  </si>
  <si>
    <t xml:space="preserve">فاطمه الزهراء دباك</t>
  </si>
  <si>
    <t xml:space="preserve">فاطمه الزهراء عبد الوهاب دباك</t>
  </si>
  <si>
    <t xml:space="preserve">قمر</t>
  </si>
  <si>
    <t xml:space="preserve">ميار الجابر</t>
  </si>
  <si>
    <t xml:space="preserve">ميار رفيق الجابر</t>
  </si>
  <si>
    <t xml:space="preserve">حنين الخولي</t>
  </si>
  <si>
    <t xml:space="preserve">حنين ميلاد الخولي</t>
  </si>
  <si>
    <t xml:space="preserve">دعد</t>
  </si>
  <si>
    <t xml:space="preserve">ساره المهيني</t>
  </si>
  <si>
    <t xml:space="preserve">ساره نور الدين المهيني</t>
  </si>
  <si>
    <t xml:space="preserve">دانيال سلامه</t>
  </si>
  <si>
    <t xml:space="preserve">دانيال وسام سلامه</t>
  </si>
  <si>
    <t xml:space="preserve">ماجده</t>
  </si>
  <si>
    <t xml:space="preserve">45</t>
  </si>
  <si>
    <t xml:space="preserve">لورا علي</t>
  </si>
  <si>
    <t xml:space="preserve">لورا منيف علي</t>
  </si>
  <si>
    <t xml:space="preserve">هبه بسرك</t>
  </si>
  <si>
    <t xml:space="preserve">هبه بشار بسرك</t>
  </si>
  <si>
    <t xml:space="preserve">ميسم الشبلاق</t>
  </si>
  <si>
    <t xml:space="preserve">ميسم ماجد الشبلاق</t>
  </si>
  <si>
    <t xml:space="preserve">44</t>
  </si>
  <si>
    <t xml:space="preserve">ليان الطحان</t>
  </si>
  <si>
    <t xml:space="preserve">ليان احمد الطحان</t>
  </si>
  <si>
    <t xml:space="preserve">لمى</t>
  </si>
  <si>
    <t xml:space="preserve">ريم ادريس</t>
  </si>
  <si>
    <t xml:space="preserve">ريم محمد سليم ادريس</t>
  </si>
  <si>
    <t xml:space="preserve">بدور</t>
  </si>
  <si>
    <t xml:space="preserve">جودي زمام</t>
  </si>
  <si>
    <t xml:space="preserve">جودي فادي زمام</t>
  </si>
  <si>
    <t xml:space="preserve">غيثاء</t>
  </si>
  <si>
    <t xml:space="preserve">علي المحمد/عبد العزيز</t>
  </si>
  <si>
    <t xml:space="preserve">علي عبد العزيز المحمد</t>
  </si>
  <si>
    <t xml:space="preserve">امجد درغام</t>
  </si>
  <si>
    <t xml:space="preserve">امجد نصر درغام</t>
  </si>
  <si>
    <t xml:space="preserve">امعان</t>
  </si>
  <si>
    <t xml:space="preserve">أمينه العبدالله</t>
  </si>
  <si>
    <t xml:space="preserve">أمينه عبد النافع العبدالله</t>
  </si>
  <si>
    <t xml:space="preserve">محمد حسن/سامر</t>
  </si>
  <si>
    <t xml:space="preserve">محمد سامر حسن</t>
  </si>
  <si>
    <t xml:space="preserve">سحر</t>
  </si>
  <si>
    <t xml:space="preserve">محمدعلي زعرور</t>
  </si>
  <si>
    <t xml:space="preserve">محمد علي رامز زعرور</t>
  </si>
  <si>
    <t xml:space="preserve">ناهد</t>
  </si>
  <si>
    <t xml:space="preserve">نيرمين عزالدين</t>
  </si>
  <si>
    <t xml:space="preserve">نيرمين محمد عز الدين</t>
  </si>
  <si>
    <t xml:space="preserve">ريم الراشد</t>
  </si>
  <si>
    <t xml:space="preserve">ريم جمال الراشد</t>
  </si>
  <si>
    <t xml:space="preserve">سهام</t>
  </si>
  <si>
    <t xml:space="preserve">41</t>
  </si>
  <si>
    <t xml:space="preserve">عبدالله مدور</t>
  </si>
  <si>
    <t xml:space="preserve">عبدالله محمد لبيب مدور</t>
  </si>
  <si>
    <t xml:space="preserve">علا دروبي</t>
  </si>
  <si>
    <t xml:space="preserve">علا اسامه دروبي</t>
  </si>
  <si>
    <t xml:space="preserve">جاد الحموي</t>
  </si>
  <si>
    <t xml:space="preserve">جاد عامر الحموي</t>
  </si>
  <si>
    <t xml:space="preserve">ميرندا</t>
  </si>
  <si>
    <t xml:space="preserve">46</t>
  </si>
  <si>
    <t xml:space="preserve">طوني غريبه</t>
  </si>
  <si>
    <t xml:space="preserve">طوني منذر غريبه</t>
  </si>
  <si>
    <t xml:space="preserve">ماري</t>
  </si>
  <si>
    <t xml:space="preserve">سالي برهوم</t>
  </si>
  <si>
    <t xml:space="preserve">سالي اسامه برهوم</t>
  </si>
  <si>
    <t xml:space="preserve">حنين جنود</t>
  </si>
  <si>
    <t xml:space="preserve">حنين محيا جنود</t>
  </si>
  <si>
    <t xml:space="preserve">شعيب ادريس</t>
  </si>
  <si>
    <t xml:space="preserve">شعيب محمود ادريس</t>
  </si>
  <si>
    <t xml:space="preserve">ثرى</t>
  </si>
  <si>
    <t xml:space="preserve">حسين الحوري</t>
  </si>
  <si>
    <t xml:space="preserve">حسين حسن الحوري</t>
  </si>
  <si>
    <t xml:space="preserve">حنين سليمان</t>
  </si>
  <si>
    <t xml:space="preserve">حنين اسامه سليمان</t>
  </si>
  <si>
    <t xml:space="preserve">ميليا</t>
  </si>
  <si>
    <t xml:space="preserve">مريم الناصر</t>
  </si>
  <si>
    <t xml:space="preserve">مريم سامر الناصر</t>
  </si>
  <si>
    <t xml:space="preserve">أسماء</t>
  </si>
  <si>
    <t xml:space="preserve">عيسى الدرويش</t>
  </si>
  <si>
    <t xml:space="preserve">عيسى حسن الدرويش</t>
  </si>
  <si>
    <t xml:space="preserve">ملتزم</t>
  </si>
  <si>
    <t xml:space="preserve">مياس الفهاد</t>
  </si>
  <si>
    <t xml:space="preserve">مياس جميل الفهاد</t>
  </si>
  <si>
    <t xml:space="preserve">حورية</t>
  </si>
  <si>
    <t xml:space="preserve">15</t>
  </si>
  <si>
    <t xml:space="preserve">جنى صالح</t>
  </si>
  <si>
    <t xml:space="preserve">جنى يوسف صالح</t>
  </si>
  <si>
    <t xml:space="preserve">اسماء</t>
  </si>
  <si>
    <t xml:space="preserve">مريم شحود</t>
  </si>
  <si>
    <t xml:space="preserve">مريم جابر شحود</t>
  </si>
  <si>
    <t xml:space="preserve">كريم العزو</t>
  </si>
  <si>
    <t xml:space="preserve">كريم علاء العزو</t>
  </si>
  <si>
    <t xml:space="preserve">وعد الحلبي</t>
  </si>
  <si>
    <t xml:space="preserve">مرح العوض</t>
  </si>
  <si>
    <t xml:space="preserve">مرح ظافر العوض</t>
  </si>
  <si>
    <t xml:space="preserve">راميه</t>
  </si>
  <si>
    <t xml:space="preserve">12</t>
  </si>
  <si>
    <t xml:space="preserve">هند الكيالي</t>
  </si>
  <si>
    <t xml:space="preserve">هند سامر الكيالي</t>
  </si>
  <si>
    <t xml:space="preserve">غزل</t>
  </si>
  <si>
    <t xml:space="preserve">وسيم رضا</t>
  </si>
  <si>
    <t xml:space="preserve">وسيم حمزه رضا</t>
  </si>
  <si>
    <t xml:space="preserve">تقى الحسامي</t>
  </si>
  <si>
    <t xml:space="preserve">تقى محمد سعيد الحسامي</t>
  </si>
  <si>
    <t xml:space="preserve">منيب ابراهيم</t>
  </si>
  <si>
    <t xml:space="preserve">منيب خليل ابراهيم</t>
  </si>
  <si>
    <t xml:space="preserve">محمد نجيبه</t>
  </si>
  <si>
    <t xml:space="preserve">محمد مصطفى نجيبه</t>
  </si>
  <si>
    <t xml:space="preserve">سمر الشيخه</t>
  </si>
  <si>
    <t xml:space="preserve">حيدر احمد/نادر</t>
  </si>
  <si>
    <t xml:space="preserve">حيدر نادر احمد</t>
  </si>
  <si>
    <t xml:space="preserve">لارا</t>
  </si>
  <si>
    <t xml:space="preserve">بطرس عبدوش</t>
  </si>
  <si>
    <t xml:space="preserve">بطرس زهير عبدوش</t>
  </si>
  <si>
    <t xml:space="preserve">ايفا</t>
  </si>
  <si>
    <t xml:space="preserve">شذى الحاج علي</t>
  </si>
  <si>
    <t xml:space="preserve">شذى جهاد الحاج علي</t>
  </si>
  <si>
    <t xml:space="preserve">اخلاص</t>
  </si>
  <si>
    <t xml:space="preserve">نورالهدى قيس</t>
  </si>
  <si>
    <t xml:space="preserve">نور الهدى اياد قيس</t>
  </si>
  <si>
    <t xml:space="preserve">نغم الحيدر</t>
  </si>
  <si>
    <t xml:space="preserve">نغم محمد الحيدر</t>
  </si>
  <si>
    <t xml:space="preserve">لين الحطاب</t>
  </si>
  <si>
    <t xml:space="preserve">لين عمار الحطاب</t>
  </si>
  <si>
    <t xml:space="preserve">اماني</t>
  </si>
  <si>
    <t xml:space="preserve">غنى المحمد</t>
  </si>
  <si>
    <t xml:space="preserve">غنى حسن المحمد</t>
  </si>
  <si>
    <t xml:space="preserve">رجاء</t>
  </si>
  <si>
    <t xml:space="preserve">يوسف يوسف</t>
  </si>
  <si>
    <t xml:space="preserve">يوسف علي يوسف</t>
  </si>
  <si>
    <t xml:space="preserve">تالا واكيم</t>
  </si>
  <si>
    <t xml:space="preserve">تالا رياض واكيم</t>
  </si>
  <si>
    <t xml:space="preserve">لونا</t>
  </si>
  <si>
    <t xml:space="preserve">منى المغربل</t>
  </si>
  <si>
    <t xml:space="preserve">منى طريف المغربل</t>
  </si>
  <si>
    <t xml:space="preserve">فرح</t>
  </si>
  <si>
    <t xml:space="preserve">سيدره المحمود</t>
  </si>
  <si>
    <t xml:space="preserve">سيدره نزار المحمود</t>
  </si>
  <si>
    <t xml:space="preserve">عبدالله عبد العزيز</t>
  </si>
  <si>
    <t xml:space="preserve">عبد الله محمد امين عبد العزيز</t>
  </si>
  <si>
    <t xml:space="preserve">نهله</t>
  </si>
  <si>
    <t xml:space="preserve">ايمان نقشه</t>
  </si>
  <si>
    <t xml:space="preserve">ايمان حسين نقشه</t>
  </si>
  <si>
    <t xml:space="preserve">فطوم</t>
  </si>
  <si>
    <t xml:space="preserve">مريم المصلا</t>
  </si>
  <si>
    <t xml:space="preserve">مريم حسين المصلا</t>
  </si>
  <si>
    <t xml:space="preserve">ماريا السباعي</t>
  </si>
  <si>
    <t xml:space="preserve">ماريا محمد رسمي السباعي</t>
  </si>
  <si>
    <t xml:space="preserve">يمان</t>
  </si>
  <si>
    <t xml:space="preserve">طوني الداود</t>
  </si>
  <si>
    <t xml:space="preserve">طوني داود الداود</t>
  </si>
  <si>
    <t xml:space="preserve">منوى</t>
  </si>
  <si>
    <t xml:space="preserve">يزن عبدالله</t>
  </si>
  <si>
    <t xml:space="preserve">يزن محمد عبدالله</t>
  </si>
  <si>
    <t xml:space="preserve">زينب حويري</t>
  </si>
  <si>
    <t xml:space="preserve">زينب محمد حويري</t>
  </si>
  <si>
    <t xml:space="preserve">كوكب</t>
  </si>
  <si>
    <t xml:space="preserve">ماريوس عزوز</t>
  </si>
  <si>
    <t xml:space="preserve">ماريوس واصل عزوز</t>
  </si>
  <si>
    <t xml:space="preserve">جعفر اسعد</t>
  </si>
  <si>
    <t xml:space="preserve">جعفر وسيم اسعد</t>
  </si>
  <si>
    <t xml:space="preserve">دانيال الحسن</t>
  </si>
  <si>
    <t xml:space="preserve">دانيال سهيل الحسن</t>
  </si>
  <si>
    <t xml:space="preserve">لبانه عنقه</t>
  </si>
  <si>
    <t xml:space="preserve">لبانه نادر عنقه</t>
  </si>
  <si>
    <t xml:space="preserve">بشرى عبدالعزيز</t>
  </si>
  <si>
    <t xml:space="preserve">بشرى نادر عبد العزيز</t>
  </si>
  <si>
    <t xml:space="preserve">ميسر</t>
  </si>
  <si>
    <t xml:space="preserve">نور العبدالله</t>
  </si>
  <si>
    <t xml:space="preserve">نور عيسى العبد الله</t>
  </si>
  <si>
    <t xml:space="preserve">جوليا</t>
  </si>
  <si>
    <t xml:space="preserve">حيدر عبدو</t>
  </si>
  <si>
    <t xml:space="preserve">حيدر مذيب عبدو</t>
  </si>
  <si>
    <t xml:space="preserve">رواق</t>
  </si>
  <si>
    <t xml:space="preserve">غدير خليفة</t>
  </si>
  <si>
    <t xml:space="preserve">غدير رافد خليفة</t>
  </si>
  <si>
    <t xml:space="preserve">زهور</t>
  </si>
  <si>
    <t xml:space="preserve">ميرا خزام</t>
  </si>
  <si>
    <t xml:space="preserve">ميرا همام خزام</t>
  </si>
  <si>
    <t xml:space="preserve">رلا</t>
  </si>
  <si>
    <t xml:space="preserve">محمد العلي</t>
  </si>
  <si>
    <t xml:space="preserve">محمد ايمن العلي</t>
  </si>
  <si>
    <t xml:space="preserve">محاسن</t>
  </si>
  <si>
    <t xml:space="preserve">اياس محمد</t>
  </si>
  <si>
    <t xml:space="preserve">اياس ابراهيم محمد</t>
  </si>
  <si>
    <t xml:space="preserve">رئيفه</t>
  </si>
  <si>
    <t xml:space="preserve">رنيم السليم</t>
  </si>
  <si>
    <t xml:space="preserve">رنيم جهاد السليم</t>
  </si>
  <si>
    <t xml:space="preserve">عيسى وسوف</t>
  </si>
  <si>
    <t xml:space="preserve">عيسى جرجس وسوف</t>
  </si>
  <si>
    <t xml:space="preserve">عبله</t>
  </si>
  <si>
    <t xml:space="preserve">مايا البرزه</t>
  </si>
  <si>
    <t xml:space="preserve">مايا محمد سامر البزره</t>
  </si>
  <si>
    <t xml:space="preserve">محمد السليمان</t>
  </si>
  <si>
    <t xml:space="preserve">محمد عيسى السليمان</t>
  </si>
  <si>
    <t xml:space="preserve">محمود السعد</t>
  </si>
  <si>
    <t xml:space="preserve">محمود غسان السعد</t>
  </si>
  <si>
    <t xml:space="preserve">صبحية</t>
  </si>
  <si>
    <t xml:space="preserve">هاشم طياره</t>
  </si>
  <si>
    <t xml:space="preserve">هاشم محمد طياره</t>
  </si>
  <si>
    <t xml:space="preserve">براءه</t>
  </si>
  <si>
    <t xml:space="preserve">ستيفاني تاطرس</t>
  </si>
  <si>
    <t xml:space="preserve">ستيفاني جول تاطرس</t>
  </si>
  <si>
    <t xml:space="preserve">13</t>
  </si>
  <si>
    <t xml:space="preserve">عبدالكريم القجعه</t>
  </si>
  <si>
    <t xml:space="preserve">عبدالكريم كفاح القجعه</t>
  </si>
  <si>
    <t xml:space="preserve">عواطف</t>
  </si>
  <si>
    <t xml:space="preserve">سارا مصطفى</t>
  </si>
  <si>
    <t xml:space="preserve">سارا احمد مصطفى</t>
  </si>
  <si>
    <t xml:space="preserve">ابتسام</t>
  </si>
  <si>
    <t xml:space="preserve">شهد المحمدعلي</t>
  </si>
  <si>
    <t xml:space="preserve">شهد محمود المحمدعلي</t>
  </si>
  <si>
    <t xml:space="preserve">محمد نور احمد</t>
  </si>
  <si>
    <t xml:space="preserve">محمدنور ويس احمد</t>
  </si>
  <si>
    <t xml:space="preserve">رغد السعيد</t>
  </si>
  <si>
    <t xml:space="preserve">رغد حميد السعيد</t>
  </si>
  <si>
    <t xml:space="preserve">لين المحمد</t>
  </si>
  <si>
    <t xml:space="preserve">لين مهند المحمد</t>
  </si>
  <si>
    <t xml:space="preserve">دالين</t>
  </si>
  <si>
    <t xml:space="preserve">ايمان زيدان</t>
  </si>
  <si>
    <t xml:space="preserve">ايمان مازن زيدان</t>
  </si>
  <si>
    <t xml:space="preserve">فوزه</t>
  </si>
  <si>
    <t xml:space="preserve">جيسيكا عبدالله</t>
  </si>
  <si>
    <t xml:space="preserve">جيسيكا فراس عبدالله</t>
  </si>
  <si>
    <t xml:space="preserve">ميشلين</t>
  </si>
  <si>
    <t xml:space="preserve">غريس علم</t>
  </si>
  <si>
    <t xml:space="preserve">غريس الياس علم</t>
  </si>
  <si>
    <t xml:space="preserve">ملفينا</t>
  </si>
  <si>
    <t xml:space="preserve">عبدالرحمن بجود</t>
  </si>
  <si>
    <t xml:space="preserve">عبدالرحمن ابراهيم بجود</t>
  </si>
  <si>
    <t xml:space="preserve">اسيل السعدي</t>
  </si>
  <si>
    <t xml:space="preserve">اسيل زياد السعدي</t>
  </si>
  <si>
    <t xml:space="preserve">ليالي</t>
  </si>
  <si>
    <t xml:space="preserve">سهام الطويل</t>
  </si>
  <si>
    <t xml:space="preserve">سهام خالد الطويل</t>
  </si>
  <si>
    <t xml:space="preserve">بيهس غانم</t>
  </si>
  <si>
    <t xml:space="preserve">بيهس بسام غانم</t>
  </si>
  <si>
    <t xml:space="preserve">لوسي بوعيطه</t>
  </si>
  <si>
    <t xml:space="preserve">لوسي زياد بوعيطه</t>
  </si>
  <si>
    <t xml:space="preserve">جورجيت</t>
  </si>
  <si>
    <t xml:space="preserve">بشرى عبدالرحمن</t>
  </si>
  <si>
    <t xml:space="preserve">بشرى ايمن عبد الرحمن</t>
  </si>
  <si>
    <t xml:space="preserve">رند زيدان</t>
  </si>
  <si>
    <t xml:space="preserve">رند شادي زيدان</t>
  </si>
  <si>
    <t xml:space="preserve">رنا</t>
  </si>
  <si>
    <t xml:space="preserve">احمد حمزه</t>
  </si>
  <si>
    <t xml:space="preserve">احمد عمر حمزه</t>
  </si>
  <si>
    <t xml:space="preserve">رانيه</t>
  </si>
  <si>
    <t xml:space="preserve">حمزه العلي</t>
  </si>
  <si>
    <t xml:space="preserve">حمزه خالد العلي</t>
  </si>
  <si>
    <t xml:space="preserve">ماريا</t>
  </si>
  <si>
    <t xml:space="preserve">يزن الحلاق</t>
  </si>
  <si>
    <t xml:space="preserve">يزن احمد الحلاق</t>
  </si>
  <si>
    <t xml:space="preserve">نوار سلوم</t>
  </si>
  <si>
    <t xml:space="preserve">نوار برهان سلوم</t>
  </si>
  <si>
    <t xml:space="preserve">شاديه</t>
  </si>
  <si>
    <t xml:space="preserve">هايدي بدر</t>
  </si>
  <si>
    <t xml:space="preserve">هايدي محسن بدر</t>
  </si>
  <si>
    <t xml:space="preserve">رشا</t>
  </si>
  <si>
    <t xml:space="preserve">حسن سالم</t>
  </si>
  <si>
    <t xml:space="preserve">حسن فاروق سالم</t>
  </si>
  <si>
    <t xml:space="preserve">سلمى عبد الرحمن</t>
  </si>
  <si>
    <t xml:space="preserve">سلمى هشام عبد الرحمن</t>
  </si>
  <si>
    <t xml:space="preserve">ملك</t>
  </si>
  <si>
    <t xml:space="preserve">رولا ادريس</t>
  </si>
  <si>
    <t xml:space="preserve">رولا عبد الاله ادريس</t>
  </si>
  <si>
    <t xml:space="preserve">حليمه</t>
  </si>
  <si>
    <t xml:space="preserve">بيان الضحيك</t>
  </si>
  <si>
    <t xml:space="preserve">بيان محمد سليم الضحيك</t>
  </si>
  <si>
    <t xml:space="preserve">سوريه</t>
  </si>
  <si>
    <t xml:space="preserve">هشام بركات</t>
  </si>
  <si>
    <t xml:space="preserve">هشام عبد الرحمن بركات</t>
  </si>
  <si>
    <t xml:space="preserve">سبته</t>
  </si>
  <si>
    <t xml:space="preserve">عيسى خوري</t>
  </si>
  <si>
    <t xml:space="preserve">عيسى غسان خوري</t>
  </si>
  <si>
    <t xml:space="preserve">43</t>
  </si>
  <si>
    <t xml:space="preserve">عبدالعزيز الاشقر</t>
  </si>
  <si>
    <t xml:space="preserve">عبد العزيز بسام الاشقر</t>
  </si>
  <si>
    <t xml:space="preserve">مها</t>
  </si>
  <si>
    <t xml:space="preserve">عمران القاسم</t>
  </si>
  <si>
    <t xml:space="preserve">عمران ابراهيم القاسم</t>
  </si>
  <si>
    <t xml:space="preserve">حماة2006</t>
  </si>
  <si>
    <t xml:space="preserve">لميس حربا</t>
  </si>
  <si>
    <t xml:space="preserve">لميس عبد الكريم حربا</t>
  </si>
  <si>
    <t xml:space="preserve">38</t>
  </si>
  <si>
    <t xml:space="preserve">جلال الفين</t>
  </si>
  <si>
    <t xml:space="preserve">جلال عبد الرحمن الفين</t>
  </si>
  <si>
    <t xml:space="preserve">غزل الخلوف</t>
  </si>
  <si>
    <t xml:space="preserve">غزل مضر الخلوف</t>
  </si>
  <si>
    <t xml:space="preserve">سدره السليم</t>
  </si>
  <si>
    <t xml:space="preserve">سدره عدنان السليم</t>
  </si>
  <si>
    <t xml:space="preserve">اسعاف</t>
  </si>
  <si>
    <t xml:space="preserve">نديم سلوم</t>
  </si>
  <si>
    <t xml:space="preserve">نديم عبد الله سلوم</t>
  </si>
  <si>
    <t xml:space="preserve">جيما</t>
  </si>
  <si>
    <t xml:space="preserve">نور العباس</t>
  </si>
  <si>
    <t xml:space="preserve">نور محمد العباس</t>
  </si>
  <si>
    <t xml:space="preserve">محمدهمام دكاك</t>
  </si>
  <si>
    <t xml:space="preserve">محمدهمام محمدعمادالدين دكاك</t>
  </si>
  <si>
    <t xml:space="preserve">رزان رمضان</t>
  </si>
  <si>
    <t xml:space="preserve">زين القطه</t>
  </si>
  <si>
    <t xml:space="preserve">زين محمود القطه</t>
  </si>
  <si>
    <t xml:space="preserve">وجيهه</t>
  </si>
  <si>
    <t xml:space="preserve">محمد وضاح الرفاعي</t>
  </si>
  <si>
    <t xml:space="preserve">محمد وضاح محمد سامرالرفاعي</t>
  </si>
  <si>
    <t xml:space="preserve">هزار</t>
  </si>
  <si>
    <t xml:space="preserve">غسان الحاتم</t>
  </si>
  <si>
    <t xml:space="preserve">غسان غانم الحاتم</t>
  </si>
  <si>
    <t xml:space="preserve">مرح شريف الضحيك</t>
  </si>
  <si>
    <t xml:space="preserve">مرح محمد شريف الضحيك</t>
  </si>
  <si>
    <t xml:space="preserve">يوسف فطوم</t>
  </si>
  <si>
    <t xml:space="preserve">يوسف احمد فطوم</t>
  </si>
  <si>
    <t xml:space="preserve">روعه العباس</t>
  </si>
  <si>
    <t xml:space="preserve">روعه ياسر العباس</t>
  </si>
  <si>
    <t xml:space="preserve">دنيا الهيمد</t>
  </si>
  <si>
    <t xml:space="preserve">دنيا محمد الهيمد</t>
  </si>
  <si>
    <t xml:space="preserve">غيث علي/عزيز</t>
  </si>
  <si>
    <t xml:space="preserve">غيث عزيز علي</t>
  </si>
  <si>
    <t xml:space="preserve">وئام</t>
  </si>
  <si>
    <t xml:space="preserve">غنى ناصر</t>
  </si>
  <si>
    <t xml:space="preserve">غنى أيمن ناصر</t>
  </si>
  <si>
    <t xml:space="preserve">آلاء شمس الدين</t>
  </si>
  <si>
    <t xml:space="preserve">الاء حسان شمس الدين</t>
  </si>
  <si>
    <t xml:space="preserve">جودي حاج قاسم</t>
  </si>
  <si>
    <t xml:space="preserve">جودي خالد حاج قاسم</t>
  </si>
  <si>
    <t xml:space="preserve">ايمانويل ابوجنب</t>
  </si>
  <si>
    <t xml:space="preserve">ايمانويل غسان ابو جنب</t>
  </si>
  <si>
    <t xml:space="preserve">رولانا</t>
  </si>
  <si>
    <t xml:space="preserve">زين الدين علي</t>
  </si>
  <si>
    <t xml:space="preserve">زين الدين عبدو علي</t>
  </si>
  <si>
    <t xml:space="preserve">هيام</t>
  </si>
  <si>
    <t xml:space="preserve">وائل الطلس</t>
  </si>
  <si>
    <t xml:space="preserve">وائل محمد الطلس</t>
  </si>
  <si>
    <t xml:space="preserve">نور حموي</t>
  </si>
  <si>
    <t xml:space="preserve">أحمد صوان</t>
  </si>
  <si>
    <t xml:space="preserve">أحمد محمود صوان
</t>
  </si>
  <si>
    <t xml:space="preserve">وفاء مرعي</t>
  </si>
  <si>
    <t xml:space="preserve">عمر الأخوان</t>
  </si>
  <si>
    <t xml:space="preserve">عمر مازن الأخوان</t>
  </si>
  <si>
    <t xml:space="preserve">محمد نادر السباعي</t>
  </si>
  <si>
    <t xml:space="preserve">محمد نادر محمد سميرالسباعي</t>
  </si>
  <si>
    <t xml:space="preserve">رهام قاسم</t>
  </si>
  <si>
    <t xml:space="preserve">رهام فواز قاسم</t>
  </si>
  <si>
    <t xml:space="preserve">رزان يوسف</t>
  </si>
  <si>
    <t xml:space="preserve">جورج النعمة</t>
  </si>
  <si>
    <t xml:space="preserve">جورج ممدوح النعمه</t>
  </si>
  <si>
    <t xml:space="preserve">وزارة دفاع</t>
  </si>
  <si>
    <t xml:space="preserve">حيدر نوفل عبدو</t>
  </si>
  <si>
    <t xml:space="preserve">آمنه</t>
  </si>
  <si>
    <t xml:space="preserve">رغد اوزون</t>
  </si>
  <si>
    <t xml:space="preserve">رغد احمد اوزون</t>
  </si>
  <si>
    <t xml:space="preserve">سماهر</t>
  </si>
  <si>
    <t xml:space="preserve">ميس صابرين</t>
  </si>
  <si>
    <t xml:space="preserve">ميس محمد رياض صابرين</t>
  </si>
  <si>
    <t xml:space="preserve">راما سفور</t>
  </si>
  <si>
    <t xml:space="preserve">راما سمير سفور</t>
  </si>
  <si>
    <t xml:space="preserve">يمنى الطالب</t>
  </si>
  <si>
    <t xml:space="preserve">يمنى محمد الطالب</t>
  </si>
  <si>
    <t xml:space="preserve">غانيا</t>
  </si>
  <si>
    <t xml:space="preserve">سدره محمد</t>
  </si>
  <si>
    <t xml:space="preserve">سدره فؤاد محمد</t>
  </si>
  <si>
    <t xml:space="preserve">ميريل طعمه</t>
  </si>
  <si>
    <t xml:space="preserve">ميريل مخائيل طعمه</t>
  </si>
  <si>
    <t xml:space="preserve">فدوى</t>
  </si>
  <si>
    <t xml:space="preserve">سيلينا الشكور</t>
  </si>
  <si>
    <t xml:space="preserve">سيلينا عيسى الشكور</t>
  </si>
  <si>
    <t xml:space="preserve">مدلين</t>
  </si>
  <si>
    <t xml:space="preserve">42</t>
  </si>
  <si>
    <t xml:space="preserve">نور مصا</t>
  </si>
  <si>
    <t xml:space="preserve">نور عماد مصا</t>
  </si>
  <si>
    <t xml:space="preserve">علي عفيفه</t>
  </si>
  <si>
    <t xml:space="preserve">علي محسن عفيفه</t>
  </si>
  <si>
    <t xml:space="preserve">باسمة</t>
  </si>
  <si>
    <t xml:space="preserve">جنى الملحم</t>
  </si>
  <si>
    <t xml:space="preserve">جنى يوسف الملحم</t>
  </si>
  <si>
    <t xml:space="preserve">كنانه</t>
  </si>
  <si>
    <t xml:space="preserve">ريتا الويس</t>
  </si>
  <si>
    <t xml:space="preserve">ريتا راغب الويس</t>
  </si>
  <si>
    <t xml:space="preserve">14</t>
  </si>
  <si>
    <t xml:space="preserve">حسن مهلوبي</t>
  </si>
  <si>
    <t xml:space="preserve">حسن سلمان مهلوبي</t>
  </si>
  <si>
    <t xml:space="preserve">رغد صبح</t>
  </si>
  <si>
    <t xml:space="preserve">رغد حمزه صبح</t>
  </si>
  <si>
    <t xml:space="preserve">جود حايك</t>
  </si>
  <si>
    <t xml:space="preserve">جود فادي حايك</t>
  </si>
  <si>
    <t xml:space="preserve">لوتس الاحمد</t>
  </si>
  <si>
    <t xml:space="preserve">لوتس عادل الاحمد</t>
  </si>
  <si>
    <t xml:space="preserve">فتون</t>
  </si>
  <si>
    <t xml:space="preserve">ربيع حوريه</t>
  </si>
  <si>
    <t xml:space="preserve">ربيع محسن حوريه
</t>
  </si>
  <si>
    <t xml:space="preserve">سناء الحنكات</t>
  </si>
  <si>
    <t xml:space="preserve">سنا مهرات</t>
  </si>
  <si>
    <t xml:space="preserve">سنا سامر مهرات</t>
  </si>
  <si>
    <t xml:space="preserve">ورد حسين</t>
  </si>
  <si>
    <t xml:space="preserve">ورد رامز حسين</t>
  </si>
  <si>
    <t xml:space="preserve">سدرة المرعي</t>
  </si>
  <si>
    <t xml:space="preserve">سدرة بشير المرعي</t>
  </si>
  <si>
    <t xml:space="preserve">شفاء</t>
  </si>
  <si>
    <t xml:space="preserve">حنان العباس</t>
  </si>
  <si>
    <t xml:space="preserve">حنان عبد الباسط العباس</t>
  </si>
  <si>
    <t xml:space="preserve">تفاحه</t>
  </si>
  <si>
    <t xml:space="preserve">مهدي بركات</t>
  </si>
  <si>
    <t xml:space="preserve">مهدي بهاء الدين بركات</t>
  </si>
  <si>
    <t xml:space="preserve">حلا الدرويش</t>
  </si>
  <si>
    <t xml:space="preserve">حلا باسل الدرويش</t>
  </si>
  <si>
    <t xml:space="preserve">فاطمه الموسى</t>
  </si>
  <si>
    <t xml:space="preserve">فاطمه عطيه الموسى</t>
  </si>
  <si>
    <t xml:space="preserve">امنه</t>
  </si>
  <si>
    <t xml:space="preserve">مازن الوعري</t>
  </si>
  <si>
    <t xml:space="preserve">مازن بسيم الوعري</t>
  </si>
  <si>
    <t xml:space="preserve">محمد ياسر كرداس</t>
  </si>
  <si>
    <t xml:space="preserve">محمد ياسر زياد كرداس</t>
  </si>
  <si>
    <t xml:space="preserve">حيدر احمد/عبد الكريم</t>
  </si>
  <si>
    <t xml:space="preserve">حيدر عبدالكريم احمد</t>
  </si>
  <si>
    <t xml:space="preserve">لميس</t>
  </si>
  <si>
    <t xml:space="preserve">حنين الرجال</t>
  </si>
  <si>
    <t xml:space="preserve">حنين اسماعيل الرجال</t>
  </si>
  <si>
    <t xml:space="preserve">صالحه</t>
  </si>
  <si>
    <t xml:space="preserve">يارا الوعري</t>
  </si>
  <si>
    <t xml:space="preserve">يارا علي الوعري</t>
  </si>
  <si>
    <t xml:space="preserve">سولاف</t>
  </si>
  <si>
    <t xml:space="preserve">نايا العساف</t>
  </si>
  <si>
    <t xml:space="preserve">نايا سامر العساف</t>
  </si>
  <si>
    <t xml:space="preserve">بيان العلي</t>
  </si>
  <si>
    <t xml:space="preserve">بيان أسامه العلي</t>
  </si>
  <si>
    <t xml:space="preserve">محمد الحسن/احمد</t>
  </si>
  <si>
    <t xml:space="preserve">محمد احمد الحسن</t>
  </si>
  <si>
    <t xml:space="preserve">رند محرز</t>
  </si>
  <si>
    <t xml:space="preserve">رند محسن محرز</t>
  </si>
  <si>
    <t xml:space="preserve">رماز</t>
  </si>
  <si>
    <t xml:space="preserve">سمية المصري</t>
  </si>
  <si>
    <t xml:space="preserve">سمية رهيف المصري</t>
  </si>
  <si>
    <t xml:space="preserve">شيماء</t>
  </si>
  <si>
    <t xml:space="preserve">عبدالرحمن السباعي</t>
  </si>
  <si>
    <t xml:space="preserve">عبد الرحمن محمد تامر السباعي</t>
  </si>
  <si>
    <t xml:space="preserve">رفيف</t>
  </si>
  <si>
    <t xml:space="preserve">ابراهيم حسكور</t>
  </si>
  <si>
    <t xml:space="preserve">ابراهيم انطوان حسكور</t>
  </si>
  <si>
    <t xml:space="preserve">نسيما</t>
  </si>
  <si>
    <t xml:space="preserve">حنين سليم</t>
  </si>
  <si>
    <t xml:space="preserve">حنين طلال سليم</t>
  </si>
  <si>
    <t xml:space="preserve">عواطف معروف</t>
  </si>
  <si>
    <t xml:space="preserve">36</t>
  </si>
  <si>
    <t xml:space="preserve">راما داود</t>
  </si>
  <si>
    <t xml:space="preserve">راما فادي داود</t>
  </si>
  <si>
    <t xml:space="preserve">رغد الاكرم</t>
  </si>
  <si>
    <t xml:space="preserve">رغد محمد الاكرم</t>
  </si>
  <si>
    <t xml:space="preserve">يوسف حالو</t>
  </si>
  <si>
    <t xml:space="preserve">يوسف بشار حالو</t>
  </si>
  <si>
    <t xml:space="preserve">هناده</t>
  </si>
  <si>
    <t xml:space="preserve">ساره تلاوي</t>
  </si>
  <si>
    <t xml:space="preserve">ساره لطفي تلاوي</t>
  </si>
  <si>
    <t xml:space="preserve">حمزه يوسف</t>
  </si>
  <si>
    <t xml:space="preserve">حمزه حيدر يوسف</t>
  </si>
  <si>
    <t xml:space="preserve">ليديا</t>
  </si>
  <si>
    <t xml:space="preserve">ابي سليمان</t>
  </si>
  <si>
    <t xml:space="preserve">أبي جابر سليمان</t>
  </si>
  <si>
    <t xml:space="preserve">عفاف</t>
  </si>
  <si>
    <t xml:space="preserve">ميار رزوق</t>
  </si>
  <si>
    <t xml:space="preserve">ميار احمد رزوق</t>
  </si>
  <si>
    <t xml:space="preserve">الهام</t>
  </si>
  <si>
    <t xml:space="preserve">ميس العبدو</t>
  </si>
  <si>
    <t xml:space="preserve">ميس راتب العبدو</t>
  </si>
  <si>
    <t xml:space="preserve">زينب نقرش</t>
  </si>
  <si>
    <t xml:space="preserve">زينب قاسم نقرش</t>
  </si>
  <si>
    <t xml:space="preserve">أليناس ديوب</t>
  </si>
  <si>
    <t xml:space="preserve">أليناس طارق ديوب</t>
  </si>
  <si>
    <t xml:space="preserve">عبرات</t>
  </si>
  <si>
    <t xml:space="preserve">محمد عيسى</t>
  </si>
  <si>
    <t xml:space="preserve">محمد بسام عيسى</t>
  </si>
  <si>
    <t xml:space="preserve">نظيره</t>
  </si>
  <si>
    <t xml:space="preserve">عبدالرحمن القاسمي</t>
  </si>
  <si>
    <t xml:space="preserve">عبد الرحمن حازم القاسمي</t>
  </si>
  <si>
    <t xml:space="preserve">حمزه ابراهيم</t>
  </si>
  <si>
    <t xml:space="preserve">حمزه كاسر ابراهيم</t>
  </si>
  <si>
    <t xml:space="preserve">اسامه الصباغ</t>
  </si>
  <si>
    <t xml:space="preserve">اسامه نبيل الصباغ</t>
  </si>
  <si>
    <t xml:space="preserve">ميسون</t>
  </si>
  <si>
    <t xml:space="preserve">مرح الصالح</t>
  </si>
  <si>
    <t xml:space="preserve">مرح عماد الصالح</t>
  </si>
  <si>
    <t xml:space="preserve">هويدا</t>
  </si>
  <si>
    <t xml:space="preserve">روان الراجل</t>
  </si>
  <si>
    <t xml:space="preserve">روان نذير الراجل</t>
  </si>
  <si>
    <t xml:space="preserve">ناديا</t>
  </si>
  <si>
    <t xml:space="preserve">سلسل يونس</t>
  </si>
  <si>
    <t xml:space="preserve">سلسل علي يونس</t>
  </si>
  <si>
    <t xml:space="preserve">مشيره</t>
  </si>
  <si>
    <t xml:space="preserve">ميشلين عثمان</t>
  </si>
  <si>
    <t xml:space="preserve">ميشلين ميلاد عثمان</t>
  </si>
  <si>
    <t xml:space="preserve">ساميا</t>
  </si>
  <si>
    <t xml:space="preserve">محمد يزن السباعي</t>
  </si>
  <si>
    <t xml:space="preserve">محمد يزن محمد فراس السباعي</t>
  </si>
  <si>
    <t xml:space="preserve">غنى</t>
  </si>
  <si>
    <t xml:space="preserve">جاد شحود</t>
  </si>
  <si>
    <t xml:space="preserve">جاد محسن شحود</t>
  </si>
  <si>
    <t xml:space="preserve">رنيم كرمان</t>
  </si>
  <si>
    <t xml:space="preserve">رنيم عمركرمان</t>
  </si>
  <si>
    <t xml:space="preserve">محمد الشيحان</t>
  </si>
  <si>
    <t xml:space="preserve">محمد جمال الشيحان</t>
  </si>
  <si>
    <t xml:space="preserve">محمد باسل كرد</t>
  </si>
  <si>
    <t xml:space="preserve">محمد باسل معتز كرد</t>
  </si>
  <si>
    <t xml:space="preserve">رغده</t>
  </si>
  <si>
    <t xml:space="preserve">جيزيل نادر</t>
  </si>
  <si>
    <t xml:space="preserve">جيزيل عاصم نادر</t>
  </si>
  <si>
    <t xml:space="preserve">غزل الحسنه</t>
  </si>
  <si>
    <t xml:space="preserve">غزل ابراهيم الحسنه</t>
  </si>
  <si>
    <t xml:space="preserve">محمد جواد النحاس</t>
  </si>
  <si>
    <t xml:space="preserve">محمد جواد فؤاد النحاس</t>
  </si>
  <si>
    <t xml:space="preserve">رضاء</t>
  </si>
  <si>
    <t xml:space="preserve">محمد الصفدي</t>
  </si>
  <si>
    <t xml:space="preserve">محمد مازن الصفدي</t>
  </si>
  <si>
    <t xml:space="preserve">إيليا جبران</t>
  </si>
  <si>
    <t xml:space="preserve">إيليا ميخائيل جبران</t>
  </si>
  <si>
    <t xml:space="preserve">ساميه</t>
  </si>
  <si>
    <t xml:space="preserve">شعبان احمد</t>
  </si>
  <si>
    <t xml:space="preserve">شعبان اسامه احمد</t>
  </si>
  <si>
    <t xml:space="preserve">رحاب</t>
  </si>
  <si>
    <t xml:space="preserve">جودي عيسى</t>
  </si>
  <si>
    <t xml:space="preserve">جودي محمد عيسى</t>
  </si>
  <si>
    <t xml:space="preserve">ميريام يوسف</t>
  </si>
  <si>
    <t xml:space="preserve">ميريام زهير يوسف</t>
  </si>
  <si>
    <t xml:space="preserve">ارسولا</t>
  </si>
  <si>
    <t xml:space="preserve">علا علي</t>
  </si>
  <si>
    <t xml:space="preserve">علا مصطفى علي</t>
  </si>
  <si>
    <t xml:space="preserve">احمد الشيخ/عمر</t>
  </si>
  <si>
    <t xml:space="preserve">احمد عمر الشيخ</t>
  </si>
  <si>
    <t xml:space="preserve">أمنه</t>
  </si>
  <si>
    <t xml:space="preserve">بهاء الدين الكيال</t>
  </si>
  <si>
    <t xml:space="preserve">بهاء الدين محمد ياسر الكيال</t>
  </si>
  <si>
    <t xml:space="preserve">32</t>
  </si>
  <si>
    <t xml:space="preserve">مرام الرفاعي</t>
  </si>
  <si>
    <t xml:space="preserve">مرام محمد الرفاعي</t>
  </si>
  <si>
    <t xml:space="preserve">ريان سيداوي</t>
  </si>
  <si>
    <t xml:space="preserve">ريان فوزي سيداوي</t>
  </si>
  <si>
    <t xml:space="preserve">رغداء</t>
  </si>
  <si>
    <t xml:space="preserve">غنى حسين</t>
  </si>
  <si>
    <t xml:space="preserve">غنى مفيد حسين</t>
  </si>
  <si>
    <t xml:space="preserve">سنيه</t>
  </si>
  <si>
    <t xml:space="preserve">صبا الدعيجي</t>
  </si>
  <si>
    <t xml:space="preserve">صبا ماهر الدعيجي</t>
  </si>
  <si>
    <t xml:space="preserve">براءة</t>
  </si>
  <si>
    <t xml:space="preserve">إيفان الخضور</t>
  </si>
  <si>
    <t xml:space="preserve">إيفان فراس الخضور</t>
  </si>
  <si>
    <t xml:space="preserve">أليسار العسس</t>
  </si>
  <si>
    <t xml:space="preserve">أليسار منذر العسس</t>
  </si>
  <si>
    <t xml:space="preserve">سام اليوسف</t>
  </si>
  <si>
    <t xml:space="preserve">سام فيصل اليوسف</t>
  </si>
  <si>
    <t xml:space="preserve">مجد ديب</t>
  </si>
  <si>
    <t xml:space="preserve">مجد شادي ديب</t>
  </si>
  <si>
    <t xml:space="preserve">علا ابراهيم</t>
  </si>
  <si>
    <t xml:space="preserve">علا ابراهيم ابراهيم</t>
  </si>
  <si>
    <t xml:space="preserve">نديمه</t>
  </si>
  <si>
    <t xml:space="preserve">ماجد علي</t>
  </si>
  <si>
    <t xml:space="preserve">ماجد عبد القادر علي</t>
  </si>
  <si>
    <t xml:space="preserve">مريش</t>
  </si>
  <si>
    <t xml:space="preserve">نايا معطي</t>
  </si>
  <si>
    <t xml:space="preserve">نايا هشام معطي</t>
  </si>
  <si>
    <t xml:space="preserve">مارلين وسوف</t>
  </si>
  <si>
    <t xml:space="preserve">مارلين سامر وسوف</t>
  </si>
  <si>
    <t xml:space="preserve">اميره</t>
  </si>
  <si>
    <t xml:space="preserve">حماه 2005</t>
  </si>
  <si>
    <t xml:space="preserve">كنده ابراهيم</t>
  </si>
  <si>
    <t xml:space="preserve">كنده حسين ابراهيم</t>
  </si>
  <si>
    <t xml:space="preserve">مرفت</t>
  </si>
  <si>
    <t xml:space="preserve">شهد فزع</t>
  </si>
  <si>
    <t xml:space="preserve">شهد عماد فزع</t>
  </si>
  <si>
    <t xml:space="preserve">سميره الأحمد</t>
  </si>
  <si>
    <t xml:space="preserve">سميره صادق نور الدين الاحمد</t>
  </si>
  <si>
    <t xml:space="preserve">جريس السالم</t>
  </si>
  <si>
    <t xml:space="preserve">جريس عصام السالم</t>
  </si>
  <si>
    <t xml:space="preserve">طه حوريه</t>
  </si>
  <si>
    <t xml:space="preserve">طه عبد الحكيم حوريه</t>
  </si>
  <si>
    <t xml:space="preserve">همام المغربي</t>
  </si>
  <si>
    <t xml:space="preserve">همام سامر المغربي</t>
  </si>
  <si>
    <t xml:space="preserve">بتول ابراهيم</t>
  </si>
  <si>
    <t xml:space="preserve">بتول باسل ابراهيم</t>
  </si>
  <si>
    <t xml:space="preserve">أصيد صالح</t>
  </si>
  <si>
    <t xml:space="preserve">أصيد عيسى صالح</t>
  </si>
  <si>
    <t xml:space="preserve">ريمه منصور</t>
  </si>
  <si>
    <t xml:space="preserve">ريمه غياث منصور</t>
  </si>
  <si>
    <t xml:space="preserve">عطارد</t>
  </si>
  <si>
    <t xml:space="preserve">اسماء كنجو</t>
  </si>
  <si>
    <t xml:space="preserve">اسماء مختار كنجو</t>
  </si>
  <si>
    <t xml:space="preserve">ابتسام البوش</t>
  </si>
  <si>
    <t xml:space="preserve">ابتسام محمد البوش</t>
  </si>
  <si>
    <t xml:space="preserve">وحيده حلوم</t>
  </si>
  <si>
    <t xml:space="preserve">قصي الشاهين</t>
  </si>
  <si>
    <t xml:space="preserve">قصي احمد الشاهين</t>
  </si>
  <si>
    <t xml:space="preserve">الفت</t>
  </si>
  <si>
    <t xml:space="preserve">ايفلين اليوسف</t>
  </si>
  <si>
    <t xml:space="preserve">ايفلين شحود اليوسف</t>
  </si>
  <si>
    <t xml:space="preserve">نايا بلقه</t>
  </si>
  <si>
    <t xml:space="preserve">نايا رشيد بلقه</t>
  </si>
  <si>
    <t xml:space="preserve">مرسال</t>
  </si>
  <si>
    <t xml:space="preserve">محمدصالح ناجي خباز</t>
  </si>
  <si>
    <t xml:space="preserve">محمد صالح احمد ناجي خباز</t>
  </si>
  <si>
    <t xml:space="preserve">سيدرا بدور</t>
  </si>
  <si>
    <t xml:space="preserve">سيدرا سامر بدور</t>
  </si>
  <si>
    <t xml:space="preserve">ذوي شهداء</t>
  </si>
  <si>
    <t xml:space="preserve">لمار جمعه</t>
  </si>
  <si>
    <t xml:space="preserve">لمار سامر جمعه</t>
  </si>
  <si>
    <t xml:space="preserve">ندى طراف</t>
  </si>
  <si>
    <t xml:space="preserve">ندى سليمان طراف</t>
  </si>
  <si>
    <t xml:space="preserve">لجين الحسين</t>
  </si>
  <si>
    <t xml:space="preserve">لجين احمد الحسين</t>
  </si>
  <si>
    <t xml:space="preserve">عمر عبده</t>
  </si>
  <si>
    <t xml:space="preserve">عمر رائد عبده</t>
  </si>
  <si>
    <t xml:space="preserve">عبدالله المصري</t>
  </si>
  <si>
    <t xml:space="preserve">عبد الله احمد المصري</t>
  </si>
  <si>
    <t xml:space="preserve">سميحه</t>
  </si>
  <si>
    <t xml:space="preserve">عبدالله دالي</t>
  </si>
  <si>
    <t xml:space="preserve">عبد الله جابر دالي</t>
  </si>
  <si>
    <t xml:space="preserve">محمد كنان مملوك</t>
  </si>
  <si>
    <t xml:space="preserve">محمد كنان محمد باسم مملوك</t>
  </si>
  <si>
    <t xml:space="preserve">علي عرار</t>
  </si>
  <si>
    <t xml:space="preserve">علي اسد عرار</t>
  </si>
  <si>
    <t xml:space="preserve">عبير نونو</t>
  </si>
  <si>
    <t xml:space="preserve">بشر حلاوه</t>
  </si>
  <si>
    <t xml:space="preserve">بشر علي حلاوه</t>
  </si>
  <si>
    <t xml:space="preserve">لورين</t>
  </si>
  <si>
    <t xml:space="preserve">ماريان كسواني</t>
  </si>
  <si>
    <t xml:space="preserve">ماريان اياد كسواني</t>
  </si>
  <si>
    <t xml:space="preserve">عبدالرحمن حجازي</t>
  </si>
  <si>
    <t xml:space="preserve">عبد الرحمن محمود حجازي</t>
  </si>
  <si>
    <t xml:space="preserve">جهيده</t>
  </si>
  <si>
    <t xml:space="preserve">علي زيود</t>
  </si>
  <si>
    <t xml:space="preserve">علي لؤي زيود</t>
  </si>
  <si>
    <t xml:space="preserve">ثناء</t>
  </si>
  <si>
    <t xml:space="preserve">حسن الجدوع</t>
  </si>
  <si>
    <t xml:space="preserve">حسن خالد الجدوع</t>
  </si>
  <si>
    <t xml:space="preserve">خولة</t>
  </si>
  <si>
    <t xml:space="preserve">علاء حمادي</t>
  </si>
  <si>
    <t xml:space="preserve">علاء عماد حمادي</t>
  </si>
  <si>
    <t xml:space="preserve">نوره</t>
  </si>
  <si>
    <t xml:space="preserve">سيدرا ديبان</t>
  </si>
  <si>
    <t xml:space="preserve">سيدرا عمار ديبان</t>
  </si>
  <si>
    <t xml:space="preserve">بشرى</t>
  </si>
  <si>
    <t xml:space="preserve">براء مراد</t>
  </si>
  <si>
    <t xml:space="preserve">براء محمدعدنان مراد</t>
  </si>
  <si>
    <t xml:space="preserve">رغد خورشيد</t>
  </si>
  <si>
    <t xml:space="preserve">مروان السيد سليمان الاتاسي</t>
  </si>
  <si>
    <t xml:space="preserve">مروان عبد الكافي السيد سليمان الأتاسي</t>
  </si>
  <si>
    <t xml:space="preserve">طارق مراد</t>
  </si>
  <si>
    <t xml:space="preserve">طارق زياد مراد</t>
  </si>
  <si>
    <t xml:space="preserve">رنيم ادريس</t>
  </si>
  <si>
    <t xml:space="preserve">رنيم فادي ادريس</t>
  </si>
  <si>
    <t xml:space="preserve">كنده</t>
  </si>
  <si>
    <t xml:space="preserve">عبدالله سمان</t>
  </si>
  <si>
    <t xml:space="preserve">عبد الله محمد نزار سمان</t>
  </si>
  <si>
    <t xml:space="preserve">كابرييل حويط</t>
  </si>
  <si>
    <t xml:space="preserve">كابرييل اسعد حويط</t>
  </si>
  <si>
    <t xml:space="preserve">شمس النكدلي</t>
  </si>
  <si>
    <t xml:space="preserve">شمس موفق النكدلي</t>
  </si>
  <si>
    <t xml:space="preserve">سهى</t>
  </si>
  <si>
    <t xml:space="preserve">أحمد حسن/محمد</t>
  </si>
  <si>
    <t xml:space="preserve">أحمد محمد حسن</t>
  </si>
  <si>
    <t xml:space="preserve">فادي نصور</t>
  </si>
  <si>
    <t xml:space="preserve">فادي شهم نصور</t>
  </si>
  <si>
    <t xml:space="preserve">رهف العزالدين</t>
  </si>
  <si>
    <t xml:space="preserve">رهف عبدالوهاب  العزالدين</t>
  </si>
  <si>
    <t xml:space="preserve">عزيز الابراهيم</t>
  </si>
  <si>
    <t xml:space="preserve">عزيز ماهر الابراهيم</t>
  </si>
  <si>
    <t xml:space="preserve">نزهه</t>
  </si>
  <si>
    <t xml:space="preserve">ينال نفيسة</t>
  </si>
  <si>
    <t xml:space="preserve">ينال محمد معروف نفيسة</t>
  </si>
  <si>
    <t xml:space="preserve">عمار ونوس</t>
  </si>
  <si>
    <t xml:space="preserve">عمار عمران ونوس</t>
  </si>
  <si>
    <t xml:space="preserve">ديمه جندل الرفاعي</t>
  </si>
  <si>
    <t xml:space="preserve">ديمه محمد ربيع جندل الرفاعي</t>
  </si>
  <si>
    <t xml:space="preserve">محمد عماد الذهب</t>
  </si>
  <si>
    <t xml:space="preserve">محمد عماد محمد الذهب</t>
  </si>
  <si>
    <t xml:space="preserve">ورده</t>
  </si>
  <si>
    <t xml:space="preserve">ساره بدوي</t>
  </si>
  <si>
    <t xml:space="preserve">ساره اياد بدوي</t>
  </si>
  <si>
    <t xml:space="preserve">فرح أبوعيطه</t>
  </si>
  <si>
    <t xml:space="preserve">فرح فاتح أبوعيطه</t>
  </si>
  <si>
    <t xml:space="preserve">غيث النقري</t>
  </si>
  <si>
    <t xml:space="preserve">غيث لؤي النقري</t>
  </si>
  <si>
    <t xml:space="preserve">طارق وطفه</t>
  </si>
  <si>
    <t xml:space="preserve">طارق محمد وطفه</t>
  </si>
  <si>
    <t xml:space="preserve">مي</t>
  </si>
  <si>
    <t xml:space="preserve">ابراهيم سعدو</t>
  </si>
  <si>
    <t xml:space="preserve">ابراهيم محمد زكريا سعدو</t>
  </si>
  <si>
    <t xml:space="preserve">زين المير باكير</t>
  </si>
  <si>
    <t xml:space="preserve">زين حسين المير باكير </t>
  </si>
  <si>
    <t xml:space="preserve">جويل شقيره</t>
  </si>
  <si>
    <t xml:space="preserve">جويل حسن شقيره</t>
  </si>
  <si>
    <t xml:space="preserve">35</t>
  </si>
  <si>
    <t xml:space="preserve">حازم عثمانلي</t>
  </si>
  <si>
    <t xml:space="preserve">حازم علي عثمانلي</t>
  </si>
  <si>
    <t xml:space="preserve">شآم العلي</t>
  </si>
  <si>
    <t xml:space="preserve">شآم فراس العلي</t>
  </si>
  <si>
    <t xml:space="preserve">شهد شناعة</t>
  </si>
  <si>
    <t xml:space="preserve">شهد احمد شناعة</t>
  </si>
  <si>
    <t xml:space="preserve">حدو الصدير</t>
  </si>
  <si>
    <t xml:space="preserve">حدو نديم الصدير</t>
  </si>
  <si>
    <t xml:space="preserve">نور</t>
  </si>
  <si>
    <t xml:space="preserve">أحمد المدني</t>
  </si>
  <si>
    <t xml:space="preserve">أحمد محمود المدني</t>
  </si>
  <si>
    <t xml:space="preserve">فادي سلوم</t>
  </si>
  <si>
    <t xml:space="preserve">فادي أدمون سلوم</t>
  </si>
  <si>
    <t xml:space="preserve">عائده</t>
  </si>
  <si>
    <t xml:space="preserve">زينه رجوب</t>
  </si>
  <si>
    <t xml:space="preserve">زينه يوسف رجوب</t>
  </si>
  <si>
    <t xml:space="preserve">حيدر المحمد</t>
  </si>
  <si>
    <t xml:space="preserve">حيدر عارف المحمد</t>
  </si>
  <si>
    <t xml:space="preserve">رمضان الخضور</t>
  </si>
  <si>
    <t xml:space="preserve">رمضان محمد الخضور</t>
  </si>
  <si>
    <t xml:space="preserve">جودي الحزيني</t>
  </si>
  <si>
    <t xml:space="preserve">جودي خالد الحزيني</t>
  </si>
  <si>
    <t xml:space="preserve">هنادة</t>
  </si>
  <si>
    <t xml:space="preserve">ملك السليمان</t>
  </si>
  <si>
    <t xml:space="preserve">ملك فهد السليمان</t>
  </si>
  <si>
    <t xml:space="preserve">بيان</t>
  </si>
  <si>
    <t xml:space="preserve">شام معتزعبيد</t>
  </si>
  <si>
    <t xml:space="preserve">شام محمد معتز عبيد</t>
  </si>
  <si>
    <t xml:space="preserve">نوال</t>
  </si>
  <si>
    <t xml:space="preserve">عبدالرحمن خضره</t>
  </si>
  <si>
    <t xml:space="preserve">عبدالرحمن كمال خضره</t>
  </si>
  <si>
    <t xml:space="preserve">منى المعلم</t>
  </si>
  <si>
    <t xml:space="preserve">كاتيا مخلوطه</t>
  </si>
  <si>
    <t xml:space="preserve">كاتيا فهد مخلوطه</t>
  </si>
  <si>
    <t xml:space="preserve">احمد طعمه/اكرم</t>
  </si>
  <si>
    <t xml:space="preserve">احمد اكرم طعمه</t>
  </si>
  <si>
    <t xml:space="preserve">زينه عيسى/محمود</t>
  </si>
  <si>
    <t xml:space="preserve">زينه محمود عيسى</t>
  </si>
  <si>
    <t xml:space="preserve">أنس حقوق</t>
  </si>
  <si>
    <t xml:space="preserve">أنس خالد حقوق</t>
  </si>
  <si>
    <t xml:space="preserve">نهوند</t>
  </si>
  <si>
    <t xml:space="preserve">انمار الصباغ</t>
  </si>
  <si>
    <t xml:space="preserve">انمار رضوان الصباغ</t>
  </si>
  <si>
    <t xml:space="preserve">جمانه جنيد</t>
  </si>
  <si>
    <t xml:space="preserve">احمد طعمه/طعمة</t>
  </si>
  <si>
    <t xml:space="preserve">احمد طعمه طعمه</t>
  </si>
  <si>
    <t xml:space="preserve">محمد خضور</t>
  </si>
  <si>
    <t xml:space="preserve">محمد محي الدين خضور</t>
  </si>
  <si>
    <t xml:space="preserve">رهف سابا</t>
  </si>
  <si>
    <t xml:space="preserve">رهف نزيه سابا</t>
  </si>
  <si>
    <t xml:space="preserve">رودينا</t>
  </si>
  <si>
    <t xml:space="preserve">لين عيسى</t>
  </si>
  <si>
    <t xml:space="preserve">لين علي عيسى</t>
  </si>
  <si>
    <t xml:space="preserve">غياب</t>
  </si>
  <si>
    <t xml:space="preserve">غدير المرعي</t>
  </si>
  <si>
    <t xml:space="preserve">غدير ازدشير المرعي</t>
  </si>
  <si>
    <t xml:space="preserve">جيهان</t>
  </si>
  <si>
    <t xml:space="preserve">هاجر العسس</t>
  </si>
  <si>
    <t xml:space="preserve">هاجر صبري العسس</t>
  </si>
  <si>
    <t xml:space="preserve">عبدالله الحولاني</t>
  </si>
  <si>
    <t xml:space="preserve">عبد الله عدنان الحولاني</t>
  </si>
  <si>
    <t xml:space="preserve">لجين مقصود</t>
  </si>
  <si>
    <t xml:space="preserve">لجين انطون مقصود</t>
  </si>
  <si>
    <t xml:space="preserve">غدير</t>
  </si>
  <si>
    <t xml:space="preserve">محمد لؤي ادريس</t>
  </si>
  <si>
    <t xml:space="preserve">محمد لؤي احمد راتب ادريس</t>
  </si>
  <si>
    <t xml:space="preserve">ريم علي</t>
  </si>
  <si>
    <t xml:space="preserve">ريم سليمان علي</t>
  </si>
  <si>
    <t xml:space="preserve">احلام</t>
  </si>
  <si>
    <t xml:space="preserve">جودي خليل</t>
  </si>
  <si>
    <t xml:space="preserve">جودي حسن خليل</t>
  </si>
  <si>
    <t xml:space="preserve">أبناء هيئة تدريسية</t>
  </si>
  <si>
    <t xml:space="preserve">اديب مخول</t>
  </si>
  <si>
    <t xml:space="preserve">اديب عيسى مخول</t>
  </si>
  <si>
    <t xml:space="preserve">ديالا</t>
  </si>
  <si>
    <t xml:space="preserve">خالد عمر</t>
  </si>
  <si>
    <t xml:space="preserve">خالد طه عمر</t>
  </si>
  <si>
    <t xml:space="preserve">هبه</t>
  </si>
  <si>
    <t xml:space="preserve">33</t>
  </si>
  <si>
    <t xml:space="preserve">جودي طرابلسية</t>
  </si>
  <si>
    <t xml:space="preserve">جودي فراس طرابلسية</t>
  </si>
  <si>
    <t xml:space="preserve">نور حليوى</t>
  </si>
  <si>
    <t xml:space="preserve">نور نديم حليوى</t>
  </si>
  <si>
    <t xml:space="preserve">ليث محمود</t>
  </si>
  <si>
    <t xml:space="preserve">ليث مرهف محمود</t>
  </si>
  <si>
    <t xml:space="preserve">34</t>
  </si>
  <si>
    <t xml:space="preserve">فاطمه الزهراء دمياطي</t>
  </si>
  <si>
    <t xml:space="preserve">فاطمه الزهراء محمد اديب دمياطي</t>
  </si>
  <si>
    <t xml:space="preserve">ياسمين ازروني</t>
  </si>
  <si>
    <t xml:space="preserve">ياسمين راتب ازروني</t>
  </si>
  <si>
    <t xml:space="preserve">عتاب</t>
  </si>
  <si>
    <t xml:space="preserve">لجين طراف</t>
  </si>
  <si>
    <t xml:space="preserve">لجين سليمان طراف</t>
  </si>
  <si>
    <t xml:space="preserve">بديعه</t>
  </si>
  <si>
    <t xml:space="preserve">تاله القزاز</t>
  </si>
  <si>
    <t xml:space="preserve">تاله ياسر القزاز</t>
  </si>
  <si>
    <t xml:space="preserve">سيناء</t>
  </si>
  <si>
    <t xml:space="preserve">40</t>
  </si>
  <si>
    <t xml:space="preserve">عبدالغني شعيب</t>
  </si>
  <si>
    <t xml:space="preserve">عبدالغني ايمن شعيب</t>
  </si>
  <si>
    <t xml:space="preserve">ندى القاسم</t>
  </si>
  <si>
    <t xml:space="preserve">ديا واكيم</t>
  </si>
  <si>
    <t xml:space="preserve">ديا بسام واكيم</t>
  </si>
  <si>
    <t xml:space="preserve">كلود</t>
  </si>
  <si>
    <t xml:space="preserve">محمد شدود</t>
  </si>
  <si>
    <t xml:space="preserve">محمد مصطفى شدود</t>
  </si>
  <si>
    <t xml:space="preserve">ميرنا علي</t>
  </si>
  <si>
    <t xml:space="preserve">ميرنا محسن علي</t>
  </si>
  <si>
    <t xml:space="preserve">شهد خضور</t>
  </si>
  <si>
    <t xml:space="preserve">شهد حردان خضور</t>
  </si>
  <si>
    <t xml:space="preserve">محمدخير الزهراوي</t>
  </si>
  <si>
    <t xml:space="preserve">محمد خير شادي الزهراوي</t>
  </si>
  <si>
    <t xml:space="preserve">ظلال</t>
  </si>
  <si>
    <t xml:space="preserve">31</t>
  </si>
  <si>
    <t xml:space="preserve">سلمى حسيان</t>
  </si>
  <si>
    <t xml:space="preserve">سلمى محمود حسيان</t>
  </si>
  <si>
    <t xml:space="preserve">ثوره</t>
  </si>
  <si>
    <t xml:space="preserve">عائشه العمار</t>
  </si>
  <si>
    <t xml:space="preserve">عائشه احمد العمار</t>
  </si>
  <si>
    <t xml:space="preserve">غنوه سعود</t>
  </si>
  <si>
    <t xml:space="preserve">غنوه حسام سعود</t>
  </si>
  <si>
    <t xml:space="preserve">لارا علوش</t>
  </si>
  <si>
    <t xml:space="preserve">لارا امجد علوش</t>
  </si>
  <si>
    <t xml:space="preserve">هزار طالب</t>
  </si>
  <si>
    <t xml:space="preserve">هزار محمد طالب</t>
  </si>
  <si>
    <t xml:space="preserve">حمزه الجربوع</t>
  </si>
  <si>
    <t xml:space="preserve">حمزه علي الجربوع</t>
  </si>
  <si>
    <t xml:space="preserve">كاملة</t>
  </si>
  <si>
    <t xml:space="preserve">الرقة2005</t>
  </si>
  <si>
    <t xml:space="preserve">كرم احمد</t>
  </si>
  <si>
    <t xml:space="preserve">كرم محمد احمد</t>
  </si>
  <si>
    <t xml:space="preserve">محمد السويداني</t>
  </si>
  <si>
    <t xml:space="preserve">محمد اسامه السويداني</t>
  </si>
  <si>
    <t xml:space="preserve">هوازن الجنادي</t>
  </si>
  <si>
    <t xml:space="preserve">آلاء بشله</t>
  </si>
  <si>
    <t xml:space="preserve">الاء نبيل بشله</t>
  </si>
  <si>
    <t xml:space="preserve">رباح</t>
  </si>
  <si>
    <t xml:space="preserve">رؤى عبدالغني</t>
  </si>
  <si>
    <t xml:space="preserve">رؤى فداء عبد الغني</t>
  </si>
  <si>
    <t xml:space="preserve">خالديه</t>
  </si>
  <si>
    <t xml:space="preserve">احمد العيسى</t>
  </si>
  <si>
    <t xml:space="preserve">احمد محسن العيسى</t>
  </si>
  <si>
    <t xml:space="preserve">سميرة</t>
  </si>
  <si>
    <t xml:space="preserve">مريم راعي</t>
  </si>
  <si>
    <t xml:space="preserve">مريم عزت راعي</t>
  </si>
  <si>
    <t xml:space="preserve">ضحى</t>
  </si>
  <si>
    <t xml:space="preserve">ناتاشا نسطه</t>
  </si>
  <si>
    <t xml:space="preserve">ناتاشا ادهم نسطه</t>
  </si>
  <si>
    <t xml:space="preserve">حمزه الرفاعي</t>
  </si>
  <si>
    <t xml:space="preserve">حمزه كمال الرفاعي</t>
  </si>
  <si>
    <t xml:space="preserve">رانيا ياسيا</t>
  </si>
  <si>
    <t xml:space="preserve">حمزه ابوشعر</t>
  </si>
  <si>
    <t xml:space="preserve">حمزه محمدجمال ابوشعر</t>
  </si>
  <si>
    <t xml:space="preserve">بتول المغربي</t>
  </si>
  <si>
    <t xml:space="preserve">مرام الزحيلي</t>
  </si>
  <si>
    <t xml:space="preserve">مرام عصام الزحيلي</t>
  </si>
  <si>
    <t xml:space="preserve">الاء الخضر</t>
  </si>
  <si>
    <t xml:space="preserve">الاء يوسف الخضر</t>
  </si>
  <si>
    <t xml:space="preserve">لؤي زينه</t>
  </si>
  <si>
    <t xml:space="preserve">لؤي عدنان زينه</t>
  </si>
  <si>
    <t xml:space="preserve">دمشق 2005</t>
  </si>
  <si>
    <t xml:space="preserve">آريج الرفاعي</t>
  </si>
  <si>
    <t xml:space="preserve">آريج جميل الرفاعي</t>
  </si>
  <si>
    <t xml:space="preserve">احمد جنيد</t>
  </si>
  <si>
    <t xml:space="preserve">احمد احميد جنيد</t>
  </si>
  <si>
    <t xml:space="preserve">سعاد البدراني</t>
  </si>
  <si>
    <t xml:space="preserve">يمان تيناوى</t>
  </si>
  <si>
    <t xml:space="preserve">يمان محمدايمن تيناوى</t>
  </si>
  <si>
    <t xml:space="preserve">بشرى قاوقجي</t>
  </si>
  <si>
    <t xml:space="preserve">رحاب المرادني</t>
  </si>
  <si>
    <t xml:space="preserve">رحاب محمد المرادني</t>
  </si>
  <si>
    <t xml:space="preserve">ماجدة</t>
  </si>
  <si>
    <t xml:space="preserve">منيره ساريه العبار</t>
  </si>
  <si>
    <t xml:space="preserve">منيره محمد ساريه العبار</t>
  </si>
  <si>
    <t xml:space="preserve">جودي</t>
  </si>
  <si>
    <t xml:space="preserve">مجدالدين خليفه</t>
  </si>
  <si>
    <t xml:space="preserve">مجد الدين محمد بلال خليفه</t>
  </si>
  <si>
    <t xml:space="preserve">شام الشكر</t>
  </si>
  <si>
    <t xml:space="preserve">شام قيس الشكر</t>
  </si>
  <si>
    <t xml:space="preserve">احمد كريم الاحمد</t>
  </si>
  <si>
    <t xml:space="preserve">احمد كريم جهاد الاحمد</t>
  </si>
  <si>
    <t xml:space="preserve">ربى</t>
  </si>
  <si>
    <t xml:space="preserve">زينه ابراهيم</t>
  </si>
  <si>
    <t xml:space="preserve">زينه توفيق ابراهيم</t>
  </si>
  <si>
    <t xml:space="preserve">يارا خريطه</t>
  </si>
  <si>
    <t xml:space="preserve">يارا وائل خريطه</t>
  </si>
  <si>
    <t xml:space="preserve">ايمان</t>
  </si>
  <si>
    <t xml:space="preserve">عبدالحكيم قداح</t>
  </si>
  <si>
    <t xml:space="preserve">عبدالحكيم محمدخير قداح</t>
  </si>
  <si>
    <t xml:space="preserve">غاده المصري</t>
  </si>
  <si>
    <t xml:space="preserve">يمان عاجي</t>
  </si>
  <si>
    <t xml:space="preserve">يمان تيسير عاجي</t>
  </si>
  <si>
    <t xml:space="preserve">فادي الاحمر</t>
  </si>
  <si>
    <t xml:space="preserve">فادي غسان الاحمر</t>
  </si>
  <si>
    <t xml:space="preserve">فانيسا سلوم</t>
  </si>
  <si>
    <t xml:space="preserve">فانيسا فراس سلوم</t>
  </si>
  <si>
    <t xml:space="preserve">حلا</t>
  </si>
  <si>
    <t xml:space="preserve">مارية عرنوس</t>
  </si>
  <si>
    <t xml:space="preserve">مارية مروان عرنوس</t>
  </si>
  <si>
    <t xml:space="preserve">هبة</t>
  </si>
  <si>
    <t xml:space="preserve">ابراهيم هرموش</t>
  </si>
  <si>
    <t xml:space="preserve">ابراهيم محمد هرموش</t>
  </si>
  <si>
    <t xml:space="preserve">شذا سليمان/محمد</t>
  </si>
  <si>
    <t xml:space="preserve">شذا محمد سليمان</t>
  </si>
  <si>
    <t xml:space="preserve">فوزيه</t>
  </si>
  <si>
    <t xml:space="preserve">ساره السباعي</t>
  </si>
  <si>
    <t xml:space="preserve">ساره محمد يحيى السباعي</t>
  </si>
  <si>
    <t xml:space="preserve">شعيب سراس</t>
  </si>
  <si>
    <t xml:space="preserve">شعيب وائل سراس</t>
  </si>
  <si>
    <t xml:space="preserve">دينا</t>
  </si>
  <si>
    <t xml:space="preserve">علي منصور</t>
  </si>
  <si>
    <t xml:space="preserve">علي طلال منصور</t>
  </si>
  <si>
    <t xml:space="preserve">حسن زيدان</t>
  </si>
  <si>
    <t xml:space="preserve">حسن منير زيدان</t>
  </si>
  <si>
    <t xml:space="preserve">اليسار يوسف/فيصل</t>
  </si>
  <si>
    <t xml:space="preserve">اليسار فيصل يوسف</t>
  </si>
  <si>
    <t xml:space="preserve">بشار عازر</t>
  </si>
  <si>
    <t xml:space="preserve">بشار مروان عازر</t>
  </si>
  <si>
    <t xml:space="preserve">راغده</t>
  </si>
  <si>
    <t xml:space="preserve">ريم خطيب</t>
  </si>
  <si>
    <t xml:space="preserve">ريم محمود خطيب</t>
  </si>
  <si>
    <t xml:space="preserve">رغيبه</t>
  </si>
  <si>
    <t xml:space="preserve">سلمى العايش</t>
  </si>
  <si>
    <t xml:space="preserve">سلمى عمار العايش</t>
  </si>
  <si>
    <t xml:space="preserve">عدي الغوثاني</t>
  </si>
  <si>
    <t xml:space="preserve">عدي صادم الغوثاني</t>
  </si>
  <si>
    <t xml:space="preserve">فاطمه الناصر</t>
  </si>
  <si>
    <t xml:space="preserve">محمد شما</t>
  </si>
  <si>
    <t xml:space="preserve">محمد تيسير شما</t>
  </si>
  <si>
    <t xml:space="preserve">خوله</t>
  </si>
  <si>
    <t xml:space="preserve">رغد الحاج موسى</t>
  </si>
  <si>
    <t xml:space="preserve">رغد طلال الحاج موسى</t>
  </si>
  <si>
    <t xml:space="preserve">جعفر ابراهيم</t>
  </si>
  <si>
    <t xml:space="preserve">جعفر محمد ابراهيم</t>
  </si>
  <si>
    <t xml:space="preserve">خديجه</t>
  </si>
  <si>
    <t xml:space="preserve">مرح صادقه</t>
  </si>
  <si>
    <t xml:space="preserve">مرح حسن صادقه</t>
  </si>
  <si>
    <t xml:space="preserve">جورج الزهر</t>
  </si>
  <si>
    <t xml:space="preserve">جورج انطون الزهر</t>
  </si>
  <si>
    <t xml:space="preserve">رانيه هزيم</t>
  </si>
  <si>
    <t xml:space="preserve">علي سلمان</t>
  </si>
  <si>
    <t xml:space="preserve">علي مصطفى سلمان</t>
  </si>
  <si>
    <t xml:space="preserve">أروى</t>
  </si>
  <si>
    <t xml:space="preserve">احمد العباس</t>
  </si>
  <si>
    <t xml:space="preserve">احمد محمد العباس</t>
  </si>
  <si>
    <t xml:space="preserve">رغد شيخ شولك</t>
  </si>
  <si>
    <t xml:space="preserve">رغد عبد الحكيم شيخ شولك</t>
  </si>
  <si>
    <t xml:space="preserve">عمار عبدالهادي</t>
  </si>
  <si>
    <t xml:space="preserve">عمار صالح عبد الهادي</t>
  </si>
  <si>
    <t xml:space="preserve">لينا الخريشي</t>
  </si>
  <si>
    <t xml:space="preserve">محمد الجمعه</t>
  </si>
  <si>
    <t xml:space="preserve">محمد سامر الجمعه</t>
  </si>
  <si>
    <t xml:space="preserve">سكره</t>
  </si>
  <si>
    <t xml:space="preserve">ميس علي</t>
  </si>
  <si>
    <t xml:space="preserve">ميس حمزه علي</t>
  </si>
  <si>
    <t xml:space="preserve">عدنان زياد الدروبي</t>
  </si>
  <si>
    <t xml:space="preserve">عدنان محمد زياد الدروبي</t>
  </si>
  <si>
    <t xml:space="preserve">علي علي/يانع</t>
  </si>
  <si>
    <t xml:space="preserve">علي يانع علي</t>
  </si>
  <si>
    <t xml:space="preserve">رحاب غانم</t>
  </si>
  <si>
    <t xml:space="preserve">احمد عزاوي</t>
  </si>
  <si>
    <t xml:space="preserve">احمد عادل عزاوي</t>
  </si>
  <si>
    <t xml:space="preserve">محمد تركمان</t>
  </si>
  <si>
    <t xml:space="preserve">محمد ضياء الدين تركمان</t>
  </si>
  <si>
    <t xml:space="preserve">اسراء</t>
  </si>
  <si>
    <t xml:space="preserve">ماريا النوفل</t>
  </si>
  <si>
    <t xml:space="preserve">ماريا عامر النوفل</t>
  </si>
  <si>
    <t xml:space="preserve">نجاة امون</t>
  </si>
  <si>
    <t xml:space="preserve">نجاة محمد امون</t>
  </si>
  <si>
    <t xml:space="preserve">ايه بكر</t>
  </si>
  <si>
    <t xml:space="preserve">ايه ماهر بكر</t>
  </si>
  <si>
    <t xml:space="preserve">محمد ملسي</t>
  </si>
  <si>
    <t xml:space="preserve">محمد سمير ملسي</t>
  </si>
  <si>
    <t xml:space="preserve">جودي العلي العبدالله</t>
  </si>
  <si>
    <t xml:space="preserve">جودي حسين العلي العبدالله</t>
  </si>
  <si>
    <t xml:space="preserve">عفراء</t>
  </si>
  <si>
    <t xml:space="preserve">علي منى</t>
  </si>
  <si>
    <t xml:space="preserve">علي خالد منى</t>
  </si>
  <si>
    <t xml:space="preserve">يمنه</t>
  </si>
  <si>
    <t xml:space="preserve">مجد الدين الخطيب</t>
  </si>
  <si>
    <t xml:space="preserve">مجد الدين عبد الفتاح الخطيب</t>
  </si>
  <si>
    <t xml:space="preserve">ياسر غالية</t>
  </si>
  <si>
    <t xml:space="preserve">ياسر غياث غالية</t>
  </si>
  <si>
    <t xml:space="preserve">حربا</t>
  </si>
  <si>
    <t xml:space="preserve">حسين يوسف</t>
  </si>
  <si>
    <t xml:space="preserve">حسين عادل يوسف</t>
  </si>
  <si>
    <t xml:space="preserve">_</t>
  </si>
  <si>
    <t xml:space="preserve">فيصل الضرف</t>
  </si>
  <si>
    <t xml:space="preserve">فيصل آصف الضرف</t>
  </si>
  <si>
    <t xml:space="preserve">الليث الحسن</t>
  </si>
  <si>
    <t xml:space="preserve">الليث محمد الحسن</t>
  </si>
  <si>
    <t xml:space="preserve">قصي صالحه</t>
  </si>
  <si>
    <t xml:space="preserve">قصي محمد صالحه</t>
  </si>
  <si>
    <t xml:space="preserve">رلا السوقي</t>
  </si>
  <si>
    <t xml:space="preserve">رامي مشرفي</t>
  </si>
  <si>
    <t xml:space="preserve">رامي سامر مشرفي</t>
  </si>
  <si>
    <t xml:space="preserve">عمار الجهني</t>
  </si>
  <si>
    <t xml:space="preserve">عمار احمد الجهني</t>
  </si>
  <si>
    <t xml:space="preserve">غصون</t>
  </si>
  <si>
    <t xml:space="preserve">سدرة العمر</t>
  </si>
  <si>
    <t xml:space="preserve">سدرة محمد العمر</t>
  </si>
  <si>
    <t xml:space="preserve">روضه</t>
  </si>
  <si>
    <t xml:space="preserve">رياض الدره</t>
  </si>
  <si>
    <t xml:space="preserve">رياض ياسين الدره</t>
  </si>
  <si>
    <t xml:space="preserve">عمرو القاسمي</t>
  </si>
  <si>
    <t xml:space="preserve">عمرو محمد طيب القاسمي</t>
  </si>
  <si>
    <t xml:space="preserve">نوار الاسعد</t>
  </si>
  <si>
    <t xml:space="preserve">نوار نادر الاسعد</t>
  </si>
  <si>
    <t xml:space="preserve">محمد عياش</t>
  </si>
  <si>
    <t xml:space="preserve">محمد نضال عياش</t>
  </si>
  <si>
    <t xml:space="preserve">انعام</t>
  </si>
  <si>
    <t xml:space="preserve">سينتيا غرير</t>
  </si>
  <si>
    <t xml:space="preserve">سينتيا هيثم غرير</t>
  </si>
  <si>
    <t xml:space="preserve">ساندي</t>
  </si>
  <si>
    <t xml:space="preserve">جعفر حسن</t>
  </si>
  <si>
    <t xml:space="preserve">جعفر حسن حسن</t>
  </si>
  <si>
    <t xml:space="preserve">سعد محمد/صادق</t>
  </si>
  <si>
    <t xml:space="preserve">سعد صادق محمد</t>
  </si>
  <si>
    <t xml:space="preserve">هيا غليون</t>
  </si>
  <si>
    <t xml:space="preserve">هيا محمد تامر غليون</t>
  </si>
  <si>
    <t xml:space="preserve">موسى محمد</t>
  </si>
  <si>
    <t xml:space="preserve">موسى يامن محمد</t>
  </si>
  <si>
    <t xml:space="preserve">نجوى</t>
  </si>
  <si>
    <t xml:space="preserve">غيث علي/عبد الرحمن</t>
  </si>
  <si>
    <t xml:space="preserve">غيث عبدالرحمن علي</t>
  </si>
  <si>
    <t xml:space="preserve">جورج سلوم</t>
  </si>
  <si>
    <t xml:space="preserve">جورج عمار سلوم</t>
  </si>
  <si>
    <t xml:space="preserve">عبدالحميد الذياب</t>
  </si>
  <si>
    <t xml:space="preserve">عبد الحميد عبد العزيز الذياب</t>
  </si>
  <si>
    <t xml:space="preserve">سليمان محرز</t>
  </si>
  <si>
    <t xml:space="preserve">سليمان مجد الدين محرز</t>
  </si>
  <si>
    <t xml:space="preserve">احمد مهنا</t>
  </si>
  <si>
    <t xml:space="preserve">احمد مجدي مهنا</t>
  </si>
  <si>
    <t xml:space="preserve">محمدوسام الاصيل</t>
  </si>
  <si>
    <t xml:space="preserve">محمدوسام محمدمعتزالاصيل</t>
  </si>
  <si>
    <t xml:space="preserve">غاليه اللحام</t>
  </si>
  <si>
    <t xml:space="preserve">يوشع ضاحي</t>
  </si>
  <si>
    <t xml:space="preserve">يوشع جهاد ضاحي</t>
  </si>
  <si>
    <t xml:space="preserve">معتصم الساعور</t>
  </si>
  <si>
    <t xml:space="preserve">معتصم وليد الساعور</t>
  </si>
  <si>
    <t xml:space="preserve">وسام</t>
  </si>
  <si>
    <t xml:space="preserve">رغد الصالح</t>
  </si>
  <si>
    <t xml:space="preserve">رغد محمد الصالح</t>
  </si>
  <si>
    <t xml:space="preserve">دينا نزيهه</t>
  </si>
  <si>
    <t xml:space="preserve">دينا ممدوح نزيهه</t>
  </si>
  <si>
    <t xml:space="preserve">ياسين تامر</t>
  </si>
  <si>
    <t xml:space="preserve">ياسين سمير تامر</t>
  </si>
  <si>
    <t xml:space="preserve">محمد علي/حسين</t>
  </si>
  <si>
    <t xml:space="preserve">محمد حسين علي</t>
  </si>
  <si>
    <t xml:space="preserve">إسراء المنشف</t>
  </si>
  <si>
    <t xml:space="preserve">إسراء محمد المنشف</t>
  </si>
  <si>
    <t xml:space="preserve">نهاد</t>
  </si>
  <si>
    <t xml:space="preserve">رافع محمد</t>
  </si>
  <si>
    <t xml:space="preserve">رافع مدين محمد</t>
  </si>
  <si>
    <t xml:space="preserve">سليمان فرج</t>
  </si>
  <si>
    <t xml:space="preserve">سليمان وائل فرج</t>
  </si>
  <si>
    <t xml:space="preserve">احمد زريقا</t>
  </si>
  <si>
    <t xml:space="preserve">احمد مهند زريقا</t>
  </si>
  <si>
    <t xml:space="preserve">ميار السقر</t>
  </si>
  <si>
    <t xml:space="preserve">ميار علاء الدين السقر</t>
  </si>
  <si>
    <t xml:space="preserve">عبيده رجوب</t>
  </si>
  <si>
    <t xml:space="preserve">عبيده محمد سمير رجوب</t>
  </si>
  <si>
    <t xml:space="preserve">آسيا</t>
  </si>
  <si>
    <t xml:space="preserve">علاء الحسين</t>
  </si>
  <si>
    <t xml:space="preserve">علاء محسن الحسين</t>
  </si>
  <si>
    <t xml:space="preserve">نور ابوحجيلة</t>
  </si>
  <si>
    <t xml:space="preserve">نور سعيد ابو حجيله</t>
  </si>
  <si>
    <t xml:space="preserve">محمد بطيح</t>
  </si>
  <si>
    <t xml:space="preserve">محمد ياسين بطيح</t>
  </si>
  <si>
    <t xml:space="preserve">حلوة</t>
  </si>
  <si>
    <t xml:space="preserve">زين العابدين سعدالدين</t>
  </si>
  <si>
    <t xml:space="preserve">زين العابدين طارق سعد الدين</t>
  </si>
  <si>
    <t xml:space="preserve">لانا الأصفر</t>
  </si>
  <si>
    <t xml:space="preserve">لانا حسام الأصفر</t>
  </si>
  <si>
    <t xml:space="preserve">ظلال الكرم</t>
  </si>
  <si>
    <t xml:space="preserve">شادن ديوب</t>
  </si>
  <si>
    <t xml:space="preserve">شادن حكمت ديوب</t>
  </si>
  <si>
    <t xml:space="preserve">لينده</t>
  </si>
  <si>
    <t xml:space="preserve">محمد كدور</t>
  </si>
  <si>
    <t xml:space="preserve">محمد عبدالكريم كدور</t>
  </si>
  <si>
    <t xml:space="preserve">عمر فرحات</t>
  </si>
  <si>
    <t xml:space="preserve">عمر عماد فرحات</t>
  </si>
  <si>
    <t xml:space="preserve">عبدالكريم رمضان</t>
  </si>
  <si>
    <t xml:space="preserve">عبد الكريم حسان رمضان</t>
  </si>
  <si>
    <t xml:space="preserve">سلمى</t>
  </si>
  <si>
    <t xml:space="preserve">رجاء الرفاعي</t>
  </si>
  <si>
    <t xml:space="preserve">رجاء عبد القادر الرفاعي</t>
  </si>
  <si>
    <t xml:space="preserve">فرح رمضان</t>
  </si>
  <si>
    <t xml:space="preserve">فرح حافظ رمضان</t>
  </si>
  <si>
    <t xml:space="preserve">محمد يزن الرجب</t>
  </si>
  <si>
    <t xml:space="preserve">محمد يزن هشام الرجب</t>
  </si>
  <si>
    <t xml:space="preserve">زين صالح</t>
  </si>
  <si>
    <t xml:space="preserve">زين باسم صالح</t>
  </si>
  <si>
    <t xml:space="preserve">حلب</t>
  </si>
  <si>
    <t xml:space="preserve">علي الحسن</t>
  </si>
  <si>
    <t xml:space="preserve">علي راقي الحسن</t>
  </si>
  <si>
    <t xml:space="preserve">يزن الجباصيني</t>
  </si>
  <si>
    <t xml:space="preserve">يزن ايمن الجباصيني</t>
  </si>
  <si>
    <t xml:space="preserve">محمد عبد العزيز</t>
  </si>
  <si>
    <t xml:space="preserve">محمد عبد الستار عبد العزيز</t>
  </si>
  <si>
    <t xml:space="preserve">هبه ديبه</t>
  </si>
  <si>
    <t xml:space="preserve">هبه نضال ديبه</t>
  </si>
  <si>
    <t xml:space="preserve">يزن الجفول</t>
  </si>
  <si>
    <t xml:space="preserve">يزن حسام الجفول</t>
  </si>
  <si>
    <t xml:space="preserve">جوى اسماعيل</t>
  </si>
  <si>
    <t xml:space="preserve">جوى تمام اسماعيل</t>
  </si>
  <si>
    <t xml:space="preserve">اقبال</t>
  </si>
  <si>
    <t xml:space="preserve">حسين خضره</t>
  </si>
  <si>
    <t xml:space="preserve">حسين ثابت خضره</t>
  </si>
  <si>
    <t xml:space="preserve">سلافه</t>
  </si>
  <si>
    <t xml:space="preserve">منى الطحان</t>
  </si>
  <si>
    <t xml:space="preserve">منى عبد السلام الطحان</t>
  </si>
  <si>
    <t xml:space="preserve">أماني القبوي</t>
  </si>
  <si>
    <t xml:space="preserve">أماني علي القبوي</t>
  </si>
  <si>
    <t xml:space="preserve">ابراهيم سليمان</t>
  </si>
  <si>
    <t xml:space="preserve">ابراهيم مالك سليمان</t>
  </si>
  <si>
    <t xml:space="preserve">باسمه</t>
  </si>
  <si>
    <t xml:space="preserve">عبدالرحمن الخضري</t>
  </si>
  <si>
    <t xml:space="preserve">عبدالرحمن مازن الخضري</t>
  </si>
  <si>
    <t xml:space="preserve">بهيره العسسي</t>
  </si>
  <si>
    <t xml:space="preserve">حسن يحيى</t>
  </si>
  <si>
    <t xml:space="preserve">حسن حسان يحيى</t>
  </si>
  <si>
    <t xml:space="preserve">هديه حمزه</t>
  </si>
  <si>
    <t xml:space="preserve">علي علي/نوفل</t>
  </si>
  <si>
    <t xml:space="preserve">علي نوفل علي</t>
  </si>
  <si>
    <t xml:space="preserve">احمد ابوروميه السعدي</t>
  </si>
  <si>
    <t xml:space="preserve">احمد محمد ابو روميه السعدي</t>
  </si>
  <si>
    <t xml:space="preserve">شوفه</t>
  </si>
  <si>
    <t xml:space="preserve">هلال هلال</t>
  </si>
  <si>
    <t xml:space="preserve">هلال حسام هلال</t>
  </si>
  <si>
    <t xml:space="preserve">عائشه شاطوح</t>
  </si>
  <si>
    <t xml:space="preserve">عائشه طلال شاطوح</t>
  </si>
  <si>
    <t xml:space="preserve">نبال</t>
  </si>
  <si>
    <t xml:space="preserve">يوسف وسوف</t>
  </si>
  <si>
    <t xml:space="preserve">يوسف حسين وسوف</t>
  </si>
  <si>
    <t xml:space="preserve">ميليا حنا</t>
  </si>
  <si>
    <t xml:space="preserve">ميليا هيثم حنا</t>
  </si>
  <si>
    <t xml:space="preserve">لجين درويش</t>
  </si>
  <si>
    <t xml:space="preserve">لجين غيث درويش</t>
  </si>
  <si>
    <t xml:space="preserve">زينه عيسى/احمد</t>
  </si>
  <si>
    <t xml:space="preserve">زينه احمد عيسى</t>
  </si>
  <si>
    <t xml:space="preserve">جهان</t>
  </si>
  <si>
    <t xml:space="preserve">عامر خنيسه</t>
  </si>
  <si>
    <t xml:space="preserve">عامر يوسف خنيسه</t>
  </si>
  <si>
    <t xml:space="preserve">مجدلين</t>
  </si>
  <si>
    <t xml:space="preserve">رحمه الزلق</t>
  </si>
  <si>
    <t xml:space="preserve">رحمه محمد الزلق</t>
  </si>
  <si>
    <t xml:space="preserve">سكينة الناصيف</t>
  </si>
  <si>
    <t xml:space="preserve">سكينة ثابت الناصيف</t>
  </si>
  <si>
    <t xml:space="preserve">حليمة</t>
  </si>
  <si>
    <t xml:space="preserve">تسنيم الدامغلي</t>
  </si>
  <si>
    <t xml:space="preserve">تسنيم اسامه الدامغلي</t>
  </si>
  <si>
    <t xml:space="preserve">فاديه الدامغلي</t>
  </si>
  <si>
    <t xml:space="preserve">حلا جردو</t>
  </si>
  <si>
    <t xml:space="preserve">حلا محمد جردو</t>
  </si>
  <si>
    <t xml:space="preserve">أبي ابراهيم</t>
  </si>
  <si>
    <t xml:space="preserve">أبي ابراهيم ابراهيم</t>
  </si>
  <si>
    <t xml:space="preserve">جميله</t>
  </si>
  <si>
    <t xml:space="preserve">علاء المحمد</t>
  </si>
  <si>
    <t xml:space="preserve">علاء صالح المحمد</t>
  </si>
  <si>
    <t xml:space="preserve">يوسف عربش</t>
  </si>
  <si>
    <t xml:space="preserve">يوسف الياس عربش</t>
  </si>
  <si>
    <t xml:space="preserve">المى نبهان</t>
  </si>
  <si>
    <t xml:space="preserve">المى محمد سامر نبهان</t>
  </si>
  <si>
    <t xml:space="preserve">آدم سلمان</t>
  </si>
  <si>
    <t xml:space="preserve">آدم محمد سلمان</t>
  </si>
  <si>
    <t xml:space="preserve">جعفر العسس</t>
  </si>
  <si>
    <t xml:space="preserve">جعفر سامر العسس</t>
  </si>
  <si>
    <t xml:space="preserve">عيده</t>
  </si>
  <si>
    <t xml:space="preserve">حمزه بكوره</t>
  </si>
  <si>
    <t xml:space="preserve">حمزه خالد بكوره</t>
  </si>
  <si>
    <t xml:space="preserve">مرح راجح</t>
  </si>
  <si>
    <t xml:space="preserve">مرح عمار راجح</t>
  </si>
  <si>
    <t xml:space="preserve">بشار خرما</t>
  </si>
  <si>
    <t xml:space="preserve">بشار صيدح خرما</t>
  </si>
  <si>
    <t xml:space="preserve">شيرين</t>
  </si>
  <si>
    <t xml:space="preserve">شعيب العلي</t>
  </si>
  <si>
    <t xml:space="preserve">شعيب بسام العلي</t>
  </si>
  <si>
    <t xml:space="preserve">غانيه</t>
  </si>
  <si>
    <t xml:space="preserve">جوليا سلوم</t>
  </si>
  <si>
    <t xml:space="preserve">جوليا فارس سلوم</t>
  </si>
  <si>
    <t xml:space="preserve">شهد الشاهين</t>
  </si>
  <si>
    <t xml:space="preserve">شهد محمد الشاهين</t>
  </si>
  <si>
    <t xml:space="preserve">انجيلا</t>
  </si>
  <si>
    <t xml:space="preserve">علي حسن/احمد</t>
  </si>
  <si>
    <t xml:space="preserve">علي احمد حسن</t>
  </si>
  <si>
    <t xml:space="preserve">بثينه</t>
  </si>
  <si>
    <t xml:space="preserve">محمدخير المصري</t>
  </si>
  <si>
    <t xml:space="preserve">محمد خير يوسف المصري</t>
  </si>
  <si>
    <t xml:space="preserve">مجد الدواي</t>
  </si>
  <si>
    <t xml:space="preserve">مجد نبيل الدواي</t>
  </si>
  <si>
    <t xml:space="preserve">كنده بعيتي</t>
  </si>
  <si>
    <t xml:space="preserve">كنده محمود بعيتي</t>
  </si>
  <si>
    <t xml:space="preserve">يولا</t>
  </si>
  <si>
    <t xml:space="preserve">علي ابراهيم</t>
  </si>
  <si>
    <t xml:space="preserve">علي عيسى ابراهيم</t>
  </si>
  <si>
    <t xml:space="preserve">ريمه</t>
  </si>
  <si>
    <t xml:space="preserve">وسام سعيد</t>
  </si>
  <si>
    <t xml:space="preserve">وسام يوشع سعيد</t>
  </si>
  <si>
    <t xml:space="preserve">شيماء جراد</t>
  </si>
  <si>
    <t xml:space="preserve">شيماء جمال جراد</t>
  </si>
  <si>
    <t xml:space="preserve">ميادة</t>
  </si>
  <si>
    <t xml:space="preserve">احمد الشيخ/علي</t>
  </si>
  <si>
    <t xml:space="preserve">احمد علي الشيخ</t>
  </si>
  <si>
    <t xml:space="preserve">اسماعيل العرفي</t>
  </si>
  <si>
    <t xml:space="preserve">اسماعيل عمرالعرفي</t>
  </si>
  <si>
    <t xml:space="preserve">سلام فلو</t>
  </si>
  <si>
    <t xml:space="preserve">ساندي عباس</t>
  </si>
  <si>
    <t xml:space="preserve">ساندي هيثم عباس</t>
  </si>
  <si>
    <t xml:space="preserve">احتمال</t>
  </si>
  <si>
    <t xml:space="preserve">زين العابدين داؤد</t>
  </si>
  <si>
    <t xml:space="preserve">زين العابدين مروان داؤد</t>
  </si>
  <si>
    <t xml:space="preserve">دلع سلمان</t>
  </si>
  <si>
    <t xml:space="preserve">دلع مؤيد سلمان</t>
  </si>
  <si>
    <t xml:space="preserve">فداء</t>
  </si>
  <si>
    <t xml:space="preserve">محمدحسن علاء الدين</t>
  </si>
  <si>
    <t xml:space="preserve">محمد حسن محمد هيثم علاء الدين</t>
  </si>
  <si>
    <t xml:space="preserve">ميريا الحمصي</t>
  </si>
  <si>
    <t xml:space="preserve">مايا اسماعيل</t>
  </si>
  <si>
    <t xml:space="preserve">مايا توفيق اسماعيل</t>
  </si>
  <si>
    <t xml:space="preserve">انسام</t>
  </si>
  <si>
    <t xml:space="preserve">ابراهيم جبنه</t>
  </si>
  <si>
    <t xml:space="preserve">ابراهيم مصطفى جبنه</t>
  </si>
  <si>
    <t xml:space="preserve">هادي عبدالله</t>
  </si>
  <si>
    <t xml:space="preserve">هادي وسيم عبد الله</t>
  </si>
  <si>
    <t xml:space="preserve">هلالي</t>
  </si>
  <si>
    <t xml:space="preserve">نبال الرفاعي</t>
  </si>
  <si>
    <t xml:space="preserve">نبال علي الرفاعي</t>
  </si>
  <si>
    <t xml:space="preserve">رينا خضره</t>
  </si>
  <si>
    <t xml:space="preserve">رينا باسل خضره</t>
  </si>
  <si>
    <t xml:space="preserve">نزار الخطيب</t>
  </si>
  <si>
    <t xml:space="preserve">نزار بشير الخطيب</t>
  </si>
  <si>
    <t xml:space="preserve">نعمات</t>
  </si>
  <si>
    <t xml:space="preserve">محمد نور الدين علوان</t>
  </si>
  <si>
    <t xml:space="preserve">محمد نور الدين محمد يسار علوان</t>
  </si>
  <si>
    <t xml:space="preserve">يامن مخول</t>
  </si>
  <si>
    <t xml:space="preserve">يامن ناهد مخول</t>
  </si>
  <si>
    <t xml:space="preserve">محمد انس جمله</t>
  </si>
  <si>
    <t xml:space="preserve">محمد جمال الدين انس جمله</t>
  </si>
  <si>
    <t xml:space="preserve">منارعزقول</t>
  </si>
  <si>
    <t xml:space="preserve">يارا المحمود</t>
  </si>
  <si>
    <t xml:space="preserve">يارا فايز المحمود</t>
  </si>
  <si>
    <t xml:space="preserve">يوسف العلي</t>
  </si>
  <si>
    <t xml:space="preserve">يوسف فؤاد العلي</t>
  </si>
  <si>
    <t xml:space="preserve">زين العابدين علي</t>
  </si>
  <si>
    <t xml:space="preserve">زين العابدين حيدر علي</t>
  </si>
  <si>
    <t xml:space="preserve">محمود غانم</t>
  </si>
  <si>
    <t xml:space="preserve">محمود فيصل غانم</t>
  </si>
  <si>
    <t xml:space="preserve">وائل مخلوف</t>
  </si>
  <si>
    <t xml:space="preserve">وائل محمود مخلوف</t>
  </si>
  <si>
    <t xml:space="preserve">نور سليمان</t>
  </si>
  <si>
    <t xml:space="preserve">نور وسيم سليمان</t>
  </si>
  <si>
    <t xml:space="preserve">ريان مكيس</t>
  </si>
  <si>
    <t xml:space="preserve">ريان محمد مكيس</t>
  </si>
  <si>
    <t xml:space="preserve">مريم احمد</t>
  </si>
  <si>
    <t xml:space="preserve">مريم ابراهيم احمد</t>
  </si>
  <si>
    <t xml:space="preserve">فيروز</t>
  </si>
  <si>
    <t xml:space="preserve">مياس الشيخ احمد</t>
  </si>
  <si>
    <t xml:space="preserve">مياس علي الشيخ احمد</t>
  </si>
  <si>
    <t xml:space="preserve">سهير معلا</t>
  </si>
  <si>
    <t xml:space="preserve">عبدالرحمن منزلجي</t>
  </si>
  <si>
    <t xml:space="preserve">عبد الرحمن عبد اللطيف منزلجي</t>
  </si>
  <si>
    <t xml:space="preserve">أديب الخوري</t>
  </si>
  <si>
    <t xml:space="preserve">أديب خلف الخوري</t>
  </si>
  <si>
    <t xml:space="preserve">محمد يوسف</t>
  </si>
  <si>
    <t xml:space="preserve">محمد علي يوسف</t>
  </si>
  <si>
    <t xml:space="preserve">مايا شالاتي</t>
  </si>
  <si>
    <t xml:space="preserve">مايا احسان شالاتي</t>
  </si>
  <si>
    <t xml:space="preserve">ندى طويل</t>
  </si>
  <si>
    <t xml:space="preserve">ليالي محمد</t>
  </si>
  <si>
    <t xml:space="preserve">ليالي ياسر محمد</t>
  </si>
  <si>
    <t xml:space="preserve">فاخم كوشاري</t>
  </si>
  <si>
    <t xml:space="preserve">فاخم علاء كوشاري</t>
  </si>
  <si>
    <t xml:space="preserve">اية ديب</t>
  </si>
  <si>
    <t xml:space="preserve">اية عصام ديب</t>
  </si>
  <si>
    <t xml:space="preserve">زين بللول</t>
  </si>
  <si>
    <t xml:space="preserve">زين مصطفى بللول</t>
  </si>
  <si>
    <t xml:space="preserve">نورسا</t>
  </si>
  <si>
    <t xml:space="preserve">محمد الزين</t>
  </si>
  <si>
    <t xml:space="preserve">محمد اديب الزين</t>
  </si>
  <si>
    <t xml:space="preserve">ميري ابراهيم</t>
  </si>
  <si>
    <t xml:space="preserve">ميري ميلاد ابراهيم</t>
  </si>
  <si>
    <t xml:space="preserve">زين العابدين صقر</t>
  </si>
  <si>
    <t xml:space="preserve">زين العابدين عباس صقر</t>
  </si>
  <si>
    <t xml:space="preserve">نوال </t>
  </si>
  <si>
    <t xml:space="preserve">محمد الشيخ</t>
  </si>
  <si>
    <t xml:space="preserve">محمد سالم الشيخ</t>
  </si>
  <si>
    <t xml:space="preserve">لبنى علي</t>
  </si>
  <si>
    <t xml:space="preserve">لبنى تيسير علي</t>
  </si>
  <si>
    <t xml:space="preserve">فاطمه الزهراء تحوف</t>
  </si>
  <si>
    <t xml:space="preserve">فاطمه الزهراء عبد القادر تحوف</t>
  </si>
  <si>
    <t xml:space="preserve">بتول حمودي</t>
  </si>
  <si>
    <t xml:space="preserve">بتول راقي حمودي</t>
  </si>
  <si>
    <t xml:space="preserve">ابراهيم بركات</t>
  </si>
  <si>
    <t xml:space="preserve">ابراهيم نشوان بركات</t>
  </si>
  <si>
    <t xml:space="preserve">تيماء</t>
  </si>
  <si>
    <t xml:space="preserve">آيه شاهين</t>
  </si>
  <si>
    <t xml:space="preserve">آيه ايهم شاهين</t>
  </si>
  <si>
    <t xml:space="preserve">امل</t>
  </si>
  <si>
    <t xml:space="preserve">ماريا حنا</t>
  </si>
  <si>
    <t xml:space="preserve">ماريا يوسف حنا</t>
  </si>
  <si>
    <t xml:space="preserve">زيد بشار</t>
  </si>
  <si>
    <t xml:space="preserve">زيد نائل بشار</t>
  </si>
  <si>
    <t xml:space="preserve">قمر الحلبي</t>
  </si>
  <si>
    <t xml:space="preserve">مريم حسن</t>
  </si>
  <si>
    <t xml:space="preserve">مريم تميم حسن</t>
  </si>
  <si>
    <t xml:space="preserve">امامه صقور</t>
  </si>
  <si>
    <t xml:space="preserve">امامه سميرصقور</t>
  </si>
  <si>
    <t xml:space="preserve">نبيله</t>
  </si>
  <si>
    <t xml:space="preserve">علي سعيد</t>
  </si>
  <si>
    <t xml:space="preserve">علي قيصر سعيد</t>
  </si>
  <si>
    <t xml:space="preserve">فرات</t>
  </si>
  <si>
    <t xml:space="preserve">الياس ديبه</t>
  </si>
  <si>
    <t xml:space="preserve">الياس ابراهيم ديبه</t>
  </si>
  <si>
    <t xml:space="preserve">محمد اسماعيل</t>
  </si>
  <si>
    <t xml:space="preserve">محمد ايمن اسماعيل</t>
  </si>
  <si>
    <t xml:space="preserve">محمد حميشه</t>
  </si>
  <si>
    <t xml:space="preserve">محمد يوسف حميشه</t>
  </si>
  <si>
    <t xml:space="preserve">رهف دعو</t>
  </si>
  <si>
    <t xml:space="preserve">رهف شادي دعو</t>
  </si>
  <si>
    <t xml:space="preserve">خالد حاميش</t>
  </si>
  <si>
    <t xml:space="preserve">خالد برهان حاميش</t>
  </si>
  <si>
    <t xml:space="preserve">كفى</t>
  </si>
  <si>
    <t xml:space="preserve">جميل ازهري</t>
  </si>
  <si>
    <t xml:space="preserve">جميل ابراهيم ازهري</t>
  </si>
  <si>
    <t xml:space="preserve">مضر الدغلي</t>
  </si>
  <si>
    <t xml:space="preserve">مضر مازن الدغلي</t>
  </si>
  <si>
    <t xml:space="preserve">خضر يازجي</t>
  </si>
  <si>
    <t xml:space="preserve">خضر مناف يازجي</t>
  </si>
  <si>
    <t xml:space="preserve">شعبان ميا</t>
  </si>
  <si>
    <t xml:space="preserve">شعبان لؤي ميا</t>
  </si>
  <si>
    <t xml:space="preserve">احمد الغفري</t>
  </si>
  <si>
    <t xml:space="preserve">احمد علي الغفري</t>
  </si>
  <si>
    <t xml:space="preserve">لين زغيبه</t>
  </si>
  <si>
    <t xml:space="preserve">لين غياث زغيبه</t>
  </si>
  <si>
    <t xml:space="preserve">إيما</t>
  </si>
  <si>
    <t xml:space="preserve">محمد نور العويد</t>
  </si>
  <si>
    <t xml:space="preserve">محمد نور احمد العويد</t>
  </si>
  <si>
    <t xml:space="preserve">نوران</t>
  </si>
  <si>
    <t xml:space="preserve">أحمد محمد</t>
  </si>
  <si>
    <t xml:space="preserve">أحمد زكريا محمد</t>
  </si>
  <si>
    <t xml:space="preserve">كوثر</t>
  </si>
  <si>
    <t xml:space="preserve">محمد عرعش</t>
  </si>
  <si>
    <t xml:space="preserve">محمد احمد عرعش</t>
  </si>
  <si>
    <t xml:space="preserve">ندى العمر</t>
  </si>
  <si>
    <t xml:space="preserve">ندى فادي العمر</t>
  </si>
  <si>
    <t xml:space="preserve">رغد الشريقي</t>
  </si>
  <si>
    <t xml:space="preserve">رغد خالد الشريقي</t>
  </si>
  <si>
    <t xml:space="preserve">محمود السرميني</t>
  </si>
  <si>
    <t xml:space="preserve">محمود عبد العظيم سرميني</t>
  </si>
  <si>
    <t xml:space="preserve">نوار</t>
  </si>
  <si>
    <t xml:space="preserve">عبير داود</t>
  </si>
  <si>
    <t xml:space="preserve">عبير نايف داود</t>
  </si>
  <si>
    <t xml:space="preserve">سعاد</t>
  </si>
  <si>
    <t xml:space="preserve">محمد زعيتر</t>
  </si>
  <si>
    <t xml:space="preserve">محمد عبد الرحمن زعيتر</t>
  </si>
  <si>
    <t xml:space="preserve">محمد احمد شيخ الارض</t>
  </si>
  <si>
    <t xml:space="preserve">محمد عمرو احمد شيخ الارض</t>
  </si>
  <si>
    <t xml:space="preserve">شام حسن</t>
  </si>
  <si>
    <t xml:space="preserve">شام محمد حسن</t>
  </si>
  <si>
    <t xml:space="preserve">شذى</t>
  </si>
  <si>
    <t xml:space="preserve">ليندا بريمو</t>
  </si>
  <si>
    <t xml:space="preserve">ليندا يوسف بريمو</t>
  </si>
  <si>
    <t xml:space="preserve">حنين نيوف</t>
  </si>
  <si>
    <t xml:space="preserve">حنين عيسى نيوف</t>
  </si>
  <si>
    <t xml:space="preserve">جورجينا</t>
  </si>
  <si>
    <t xml:space="preserve">ابراهيم الاحمد</t>
  </si>
  <si>
    <t xml:space="preserve">ابراهيم فائز الاحمد</t>
  </si>
  <si>
    <t xml:space="preserve">محمد غالب خنجر</t>
  </si>
  <si>
    <t xml:space="preserve">محمد غالب بسام خنجر</t>
  </si>
  <si>
    <t xml:space="preserve">قصي الخاني</t>
  </si>
  <si>
    <t xml:space="preserve">قصي احمد الخاني</t>
  </si>
  <si>
    <t xml:space="preserve">محمدهمام جعفري</t>
  </si>
  <si>
    <t xml:space="preserve">محمدهمام ناصر جعفري</t>
  </si>
  <si>
    <t xml:space="preserve">هديل الحموي</t>
  </si>
  <si>
    <t xml:space="preserve">غدير شدود</t>
  </si>
  <si>
    <t xml:space="preserve">غدير اسامه شدود</t>
  </si>
  <si>
    <t xml:space="preserve">ألفت</t>
  </si>
  <si>
    <t xml:space="preserve">صبا جحجاح</t>
  </si>
  <si>
    <t xml:space="preserve">صبا نزار جحجاح</t>
  </si>
  <si>
    <t xml:space="preserve">انسام ابوحاتم</t>
  </si>
  <si>
    <t xml:space="preserve">انسام عمر ابو حاتم</t>
  </si>
  <si>
    <t xml:space="preserve">ساره احمد</t>
  </si>
  <si>
    <t xml:space="preserve">ساره فؤاد احمد</t>
  </si>
  <si>
    <t xml:space="preserve">شيراج</t>
  </si>
  <si>
    <t xml:space="preserve">يوسف الحسن</t>
  </si>
  <si>
    <t xml:space="preserve">يوسف محمد الحسن</t>
  </si>
  <si>
    <t xml:space="preserve">يوسف اسماعيل</t>
  </si>
  <si>
    <t xml:space="preserve">يوسف نعيم اسماعيل</t>
  </si>
  <si>
    <t xml:space="preserve">زيفه</t>
  </si>
  <si>
    <t xml:space="preserve">أنس المسطو</t>
  </si>
  <si>
    <t xml:space="preserve">أنس صفوك المسطو</t>
  </si>
  <si>
    <t xml:space="preserve">هبة الحجة</t>
  </si>
  <si>
    <t xml:space="preserve">هبة خالد الحجة</t>
  </si>
  <si>
    <t xml:space="preserve">سارة</t>
  </si>
  <si>
    <t xml:space="preserve">انس النوري</t>
  </si>
  <si>
    <t xml:space="preserve">انس وائل النوري</t>
  </si>
  <si>
    <t xml:space="preserve">أيهم العيسى</t>
  </si>
  <si>
    <t xml:space="preserve">ايهم صالح العيسى</t>
  </si>
  <si>
    <t xml:space="preserve">غيداء</t>
  </si>
  <si>
    <t xml:space="preserve">يزن خزام</t>
  </si>
  <si>
    <t xml:space="preserve">يزن علي خزام</t>
  </si>
  <si>
    <t xml:space="preserve">ندى عبد اللطيف</t>
  </si>
  <si>
    <t xml:space="preserve">ندى منيف عبد اللطيف</t>
  </si>
  <si>
    <t xml:space="preserve">محمد خالد الدلاتي</t>
  </si>
  <si>
    <t xml:space="preserve">محمد خالد بسام الدالاتي</t>
  </si>
  <si>
    <t xml:space="preserve">منيره الطرابيشي</t>
  </si>
  <si>
    <t xml:space="preserve">لبانه علي</t>
  </si>
  <si>
    <t xml:space="preserve">لبانه نبيل علي</t>
  </si>
  <si>
    <t xml:space="preserve">بشرالحنيش</t>
  </si>
  <si>
    <t xml:space="preserve">بشر بهاء الدين الحنيش</t>
  </si>
  <si>
    <t xml:space="preserve">كارول متواري</t>
  </si>
  <si>
    <t xml:space="preserve">كارول جهاد متواري</t>
  </si>
  <si>
    <t xml:space="preserve">ثماله زغيبه</t>
  </si>
  <si>
    <t xml:space="preserve">أحمد معتز عبد القادر زيدان</t>
  </si>
  <si>
    <t xml:space="preserve">اية</t>
  </si>
  <si>
    <t xml:space="preserve">بتول سقور</t>
  </si>
  <si>
    <t xml:space="preserve">بتول زهر الدين سقور</t>
  </si>
  <si>
    <t xml:space="preserve">رهف ابوعلوش</t>
  </si>
  <si>
    <t xml:space="preserve">رهف اسامة ابوعلوش</t>
  </si>
  <si>
    <t xml:space="preserve">عبدالهادي الزين</t>
  </si>
  <si>
    <t xml:space="preserve">عبد الهادي عبد الجبار الزين</t>
  </si>
  <si>
    <t xml:space="preserve">هبه حسين</t>
  </si>
  <si>
    <t xml:space="preserve">هبه نضال حسين</t>
  </si>
  <si>
    <t xml:space="preserve">نورا</t>
  </si>
  <si>
    <t xml:space="preserve">علي حمود</t>
  </si>
  <si>
    <t xml:space="preserve">علي سامر حمود</t>
  </si>
  <si>
    <t xml:space="preserve">محمد عبدالله</t>
  </si>
  <si>
    <t xml:space="preserve">محمد عدنان عبد الله</t>
  </si>
  <si>
    <t xml:space="preserve">اسامه زكيه</t>
  </si>
  <si>
    <t xml:space="preserve">اسامه وردان زكيه</t>
  </si>
  <si>
    <t xml:space="preserve">سهاد كزكز</t>
  </si>
  <si>
    <t xml:space="preserve">نسرين مصطفى</t>
  </si>
  <si>
    <t xml:space="preserve">نسرين نسيم مصطفى</t>
  </si>
  <si>
    <t xml:space="preserve">ليذا</t>
  </si>
  <si>
    <t xml:space="preserve">الما عبود</t>
  </si>
  <si>
    <t xml:space="preserve">الما ايمن عبود</t>
  </si>
  <si>
    <t xml:space="preserve">جنا درغام</t>
  </si>
  <si>
    <t xml:space="preserve">جنا سليمان درغام</t>
  </si>
  <si>
    <t xml:space="preserve">عليا</t>
  </si>
  <si>
    <t xml:space="preserve">كتيبه عباره</t>
  </si>
  <si>
    <t xml:space="preserve">كتيبه عبد اللطيف عباره</t>
  </si>
  <si>
    <t xml:space="preserve">جودي بركات</t>
  </si>
  <si>
    <t xml:space="preserve">جودي فواز بركات</t>
  </si>
  <si>
    <t xml:space="preserve">غندي</t>
  </si>
  <si>
    <t xml:space="preserve">جنى داؤد</t>
  </si>
  <si>
    <t xml:space="preserve">جنى رامي داؤد</t>
  </si>
  <si>
    <t xml:space="preserve">دعاء عباس</t>
  </si>
  <si>
    <t xml:space="preserve">دعاء حسن عباس</t>
  </si>
  <si>
    <t xml:space="preserve">رنا سليمان</t>
  </si>
  <si>
    <t xml:space="preserve">رنا فريد سليمان</t>
  </si>
  <si>
    <t xml:space="preserve">أدم عمران</t>
  </si>
  <si>
    <t xml:space="preserve">أدم مظهر عمران</t>
  </si>
  <si>
    <t xml:space="preserve">البتول حسن</t>
  </si>
  <si>
    <t xml:space="preserve">البتول نعمان حسن</t>
  </si>
  <si>
    <t xml:space="preserve">جاد شعبان</t>
  </si>
  <si>
    <t xml:space="preserve">جاد نعيم شعبان</t>
  </si>
  <si>
    <t xml:space="preserve">حلا علي/حمزة</t>
  </si>
  <si>
    <t xml:space="preserve">حلا حمزه علي</t>
  </si>
  <si>
    <t xml:space="preserve">نجات حسام الدين</t>
  </si>
  <si>
    <t xml:space="preserve">حسن حماد</t>
  </si>
  <si>
    <t xml:space="preserve">حسن علي حماد</t>
  </si>
  <si>
    <t xml:space="preserve">ضحى علي</t>
  </si>
  <si>
    <t xml:space="preserve">سدره سليمان</t>
  </si>
  <si>
    <t xml:space="preserve">سدره احمد سليمان</t>
  </si>
  <si>
    <t xml:space="preserve">إنجل لينا عيد</t>
  </si>
  <si>
    <t xml:space="preserve">إنجل لينا سام عيد</t>
  </si>
  <si>
    <t xml:space="preserve">ثناء ديوب</t>
  </si>
  <si>
    <t xml:space="preserve">ألين محمد</t>
  </si>
  <si>
    <t xml:space="preserve">ألين يوسف محمد</t>
  </si>
  <si>
    <t xml:space="preserve">ميس</t>
  </si>
  <si>
    <t xml:space="preserve">اليسار شدود</t>
  </si>
  <si>
    <t xml:space="preserve">اليسار محمد شدود</t>
  </si>
  <si>
    <t xml:space="preserve">بتول حمود</t>
  </si>
  <si>
    <t xml:space="preserve">بتول منذر حمود</t>
  </si>
  <si>
    <t xml:space="preserve">بسمه اسبر</t>
  </si>
  <si>
    <t xml:space="preserve">بسمه سليمان اسبر</t>
  </si>
  <si>
    <t xml:space="preserve">رباب</t>
  </si>
  <si>
    <t xml:space="preserve">إيمار محسن</t>
  </si>
  <si>
    <t xml:space="preserve">إيمار لؤي محسن</t>
  </si>
  <si>
    <t xml:space="preserve">سناء سلمان</t>
  </si>
  <si>
    <t xml:space="preserve">ياسين محمود</t>
  </si>
  <si>
    <t xml:space="preserve">ياسين علي محمود</t>
  </si>
  <si>
    <t xml:space="preserve">مريم اسمندر</t>
  </si>
  <si>
    <t xml:space="preserve">راما ورده</t>
  </si>
  <si>
    <t xml:space="preserve">راما احمد ورده</t>
  </si>
  <si>
    <t xml:space="preserve">ريان ديب</t>
  </si>
  <si>
    <t xml:space="preserve">ريان بسام ديب</t>
  </si>
  <si>
    <t xml:space="preserve">نجوى علي</t>
  </si>
  <si>
    <t xml:space="preserve">ابراهيم محمد</t>
  </si>
  <si>
    <t xml:space="preserve">ابراهيم علي محمد</t>
  </si>
  <si>
    <t xml:space="preserve">شام نيوف</t>
  </si>
  <si>
    <t xml:space="preserve">شام عيىس نيوف</t>
  </si>
  <si>
    <t xml:space="preserve">ميرفت</t>
  </si>
  <si>
    <t xml:space="preserve">سيدرا علي</t>
  </si>
  <si>
    <t xml:space="preserve">سيدرا مهند علي</t>
  </si>
  <si>
    <t xml:space="preserve">زينه علوش</t>
  </si>
  <si>
    <t xml:space="preserve">زينه عيسى علوش</t>
  </si>
  <si>
    <t xml:space="preserve">لين سويقات</t>
  </si>
  <si>
    <t xml:space="preserve">لين عبد الكريم سويقات</t>
  </si>
  <si>
    <t xml:space="preserve">أمل محمد</t>
  </si>
  <si>
    <t xml:space="preserve">هديل بازو</t>
  </si>
  <si>
    <t xml:space="preserve">هديل هائل بازو</t>
  </si>
  <si>
    <t xml:space="preserve">محمد احمد</t>
  </si>
  <si>
    <t xml:space="preserve">محمد عاصف احمد</t>
  </si>
  <si>
    <t xml:space="preserve">لارا الفرج</t>
  </si>
  <si>
    <t xml:space="preserve">لارا جابر الفرج</t>
  </si>
  <si>
    <t xml:space="preserve">يمان معطي</t>
  </si>
  <si>
    <t xml:space="preserve">يمان محمد تيسير معطي</t>
  </si>
  <si>
    <t xml:space="preserve">حلا عبدالله</t>
  </si>
  <si>
    <t xml:space="preserve">حلا منذر عبدالله</t>
  </si>
  <si>
    <t xml:space="preserve">جنى القاضي</t>
  </si>
  <si>
    <t xml:space="preserve">جنى حسن القاضي</t>
  </si>
  <si>
    <t xml:space="preserve">عنان</t>
  </si>
  <si>
    <t xml:space="preserve">إيقاف تسجيل</t>
  </si>
  <si>
    <t xml:space="preserve">ايقاف تسجيل</t>
  </si>
  <si>
    <t xml:space="preserve">حلا احمد</t>
  </si>
  <si>
    <t xml:space="preserve">حلا ياسر احمد</t>
  </si>
  <si>
    <t xml:space="preserve">نهى محمد</t>
  </si>
  <si>
    <t xml:space="preserve">تالا اسماعيل</t>
  </si>
  <si>
    <t xml:space="preserve">تالا محمد اسماعيل</t>
  </si>
  <si>
    <t xml:space="preserve">سلمان صفيه</t>
  </si>
  <si>
    <t xml:space="preserve">سلمان نبيل صفيه</t>
  </si>
  <si>
    <t xml:space="preserve">روزا</t>
  </si>
  <si>
    <t xml:space="preserve">جورج راحيل</t>
  </si>
  <si>
    <t xml:space="preserve">جورج فوزات راحيل</t>
  </si>
  <si>
    <t xml:space="preserve">بشرا</t>
  </si>
  <si>
    <t xml:space="preserve">ريم ديب المحمد</t>
  </si>
  <si>
    <t xml:space="preserve">ريم ديب فادي المحمد</t>
  </si>
  <si>
    <t xml:space="preserve">علي أحمد</t>
  </si>
  <si>
    <t xml:space="preserve">علي حبيب أحمد</t>
  </si>
  <si>
    <t xml:space="preserve">علي رجب</t>
  </si>
  <si>
    <t xml:space="preserve">علي رجب محمد</t>
  </si>
  <si>
    <t xml:space="preserve">حلا علي/رائد</t>
  </si>
  <si>
    <t xml:space="preserve">حلا رائد علي</t>
  </si>
  <si>
    <t xml:space="preserve">آية ميهوب</t>
  </si>
  <si>
    <t xml:space="preserve">آية سهيل ميهوب</t>
  </si>
  <si>
    <t xml:space="preserve">لمى خلوف</t>
  </si>
  <si>
    <t xml:space="preserve">لمى جعفر خلوف</t>
  </si>
  <si>
    <t xml:space="preserve">سلمان سلوم</t>
  </si>
  <si>
    <t xml:space="preserve">سلمان وهيب سلوم</t>
  </si>
  <si>
    <t xml:space="preserve">احمد زين الدين جابرة</t>
  </si>
  <si>
    <t xml:space="preserve">احمد زين الدين خالد جابرة</t>
  </si>
  <si>
    <t xml:space="preserve">ايه عروب</t>
  </si>
  <si>
    <t xml:space="preserve">ايه مصطفى عروب</t>
  </si>
  <si>
    <t xml:space="preserve">محمد معروف</t>
  </si>
  <si>
    <t xml:space="preserve">محمد أبو العلاء معروف</t>
  </si>
  <si>
    <t xml:space="preserve">فريال</t>
  </si>
  <si>
    <t xml:space="preserve">خضر درغام</t>
  </si>
  <si>
    <t xml:space="preserve">خضر محمد درغام</t>
  </si>
  <si>
    <t xml:space="preserve">غنى شدود</t>
  </si>
  <si>
    <t xml:space="preserve">غنى محمد شدود</t>
  </si>
  <si>
    <t xml:space="preserve">غزل ملحم</t>
  </si>
  <si>
    <t xml:space="preserve">غزل سمير ملحم</t>
  </si>
  <si>
    <t xml:space="preserve">روز علي</t>
  </si>
  <si>
    <t xml:space="preserve">روز ياسر علي</t>
  </si>
  <si>
    <t xml:space="preserve">فاطمه حربا</t>
  </si>
  <si>
    <t xml:space="preserve">فاطمه وافد حربا</t>
  </si>
  <si>
    <t xml:space="preserve">جعفر شحود</t>
  </si>
  <si>
    <t xml:space="preserve">جعفر محمد شحود</t>
  </si>
  <si>
    <t xml:space="preserve">خلده</t>
  </si>
  <si>
    <t xml:space="preserve">علي الدايري</t>
  </si>
  <si>
    <t xml:space="preserve">علي غياث الدايري</t>
  </si>
  <si>
    <t xml:space="preserve">زهراء علي</t>
  </si>
  <si>
    <t xml:space="preserve">زهراء بسام علي</t>
  </si>
  <si>
    <t xml:space="preserve">فاديه</t>
  </si>
  <si>
    <t xml:space="preserve">محمد ديب</t>
  </si>
  <si>
    <t xml:space="preserve">محمد عبدالله ديب</t>
  </si>
  <si>
    <t xml:space="preserve">سماره</t>
  </si>
  <si>
    <t xml:space="preserve">دعاء صالح</t>
  </si>
  <si>
    <t xml:space="preserve">دعاء محمد صالح</t>
  </si>
  <si>
    <t xml:space="preserve">علي ابراهيم/تمام</t>
  </si>
  <si>
    <t xml:space="preserve">علي تمام ابراهيم</t>
  </si>
  <si>
    <t xml:space="preserve">راشا</t>
  </si>
  <si>
    <t xml:space="preserve">حنين ابراهيم</t>
  </si>
  <si>
    <t xml:space="preserve">حنين احمد ابراهيم</t>
  </si>
  <si>
    <t xml:space="preserve">كريم هزيم</t>
  </si>
  <si>
    <t xml:space="preserve">كريم طارق هزيم</t>
  </si>
  <si>
    <t xml:space="preserve">محمود محمد</t>
  </si>
  <si>
    <t xml:space="preserve">محمود مهدي محمد</t>
  </si>
  <si>
    <t xml:space="preserve">زين علي/اياد</t>
  </si>
  <si>
    <t xml:space="preserve">زين اياد علي</t>
  </si>
  <si>
    <t xml:space="preserve">ربا</t>
  </si>
  <si>
    <t xml:space="preserve">مايا العلي</t>
  </si>
  <si>
    <t xml:space="preserve">مايا ابراهيم العلي</t>
  </si>
  <si>
    <t xml:space="preserve">لجين سعادات</t>
  </si>
  <si>
    <t xml:space="preserve">لجين علي سعادات</t>
  </si>
  <si>
    <t xml:space="preserve">محمود عبد القادر</t>
  </si>
  <si>
    <t xml:space="preserve">محمود سليمان عبد القادر</t>
  </si>
  <si>
    <t xml:space="preserve">سراج الدين الحسين</t>
  </si>
  <si>
    <t xml:space="preserve">سراج الدين زهير الحسين</t>
  </si>
  <si>
    <t xml:space="preserve">منال المخلف</t>
  </si>
  <si>
    <t xml:space="preserve">محروم</t>
  </si>
  <si>
    <t xml:space="preserve">تيماء معلا</t>
  </si>
  <si>
    <t xml:space="preserve">تيماء حكمت معلا</t>
  </si>
  <si>
    <t xml:space="preserve">احمد صافي</t>
  </si>
  <si>
    <t xml:space="preserve">احمد محمد صافي</t>
  </si>
  <si>
    <t xml:space="preserve">محمد الشحود</t>
  </si>
  <si>
    <t xml:space="preserve">محمد وائل الشحود</t>
  </si>
  <si>
    <t xml:space="preserve">مريم زيدان</t>
  </si>
  <si>
    <t xml:space="preserve">شام عبدالكريم</t>
  </si>
  <si>
    <t xml:space="preserve">شام عاصم عبد الكريم</t>
  </si>
  <si>
    <t xml:space="preserve">مياسة حسن</t>
  </si>
  <si>
    <t xml:space="preserve">مياسة محمد حسن</t>
  </si>
  <si>
    <t xml:space="preserve">شاديا</t>
  </si>
  <si>
    <t xml:space="preserve">ربيع مصطفى</t>
  </si>
  <si>
    <t xml:space="preserve">ربيع محمد مصطفى</t>
  </si>
  <si>
    <t xml:space="preserve">شادي</t>
  </si>
  <si>
    <t xml:space="preserve">حسن علي</t>
  </si>
  <si>
    <t xml:space="preserve">حسن سامر علي</t>
  </si>
  <si>
    <t xml:space="preserve">صبا علي</t>
  </si>
  <si>
    <t xml:space="preserve">صبا محمود علي</t>
  </si>
  <si>
    <t xml:space="preserve">احمد عامر</t>
  </si>
  <si>
    <t xml:space="preserve">احمد عبد الكريم عامر</t>
  </si>
  <si>
    <t xml:space="preserve">ميس محمد</t>
  </si>
  <si>
    <t xml:space="preserve">ميس محمود محمد</t>
  </si>
  <si>
    <t xml:space="preserve">جاد مريشه</t>
  </si>
  <si>
    <t xml:space="preserve">جاد حيدر مريشه</t>
  </si>
  <si>
    <t xml:space="preserve">رنيم حسان</t>
  </si>
  <si>
    <t xml:space="preserve">رنيم علي حسان</t>
  </si>
  <si>
    <t xml:space="preserve">محمد سموني</t>
  </si>
  <si>
    <t xml:space="preserve">محمد محمود سموني</t>
  </si>
  <si>
    <t xml:space="preserve">حسن وسوف</t>
  </si>
  <si>
    <t xml:space="preserve">حسن عيىس وسوف</t>
  </si>
  <si>
    <t xml:space="preserve">نور عبدالقادر</t>
  </si>
  <si>
    <t xml:space="preserve">نور محمد عبد القادر</t>
  </si>
  <si>
    <t xml:space="preserve">احمد عمر حمادي</t>
  </si>
  <si>
    <t xml:space="preserve">احمد عمر عمر حمادي</t>
  </si>
  <si>
    <t xml:space="preserve">بتول حسن</t>
  </si>
  <si>
    <t xml:space="preserve">بتول غياث حسن</t>
  </si>
  <si>
    <t xml:space="preserve">هادي علي</t>
  </si>
  <si>
    <t xml:space="preserve">هادي فواز علي</t>
  </si>
  <si>
    <t xml:space="preserve">خضر الحامد</t>
  </si>
  <si>
    <t xml:space="preserve">خضر سمير الحامد</t>
  </si>
  <si>
    <t xml:space="preserve">خضر حبيب</t>
  </si>
  <si>
    <t xml:space="preserve">خضراميرحبيب</t>
  </si>
  <si>
    <t xml:space="preserve">اياده</t>
  </si>
  <si>
    <t xml:space="preserve">عهد السماعيل</t>
  </si>
  <si>
    <t xml:space="preserve">عهد هادي السماعيل</t>
  </si>
  <si>
    <t xml:space="preserve">سدره اليوسف</t>
  </si>
  <si>
    <t xml:space="preserve">سدره ذياب اليوسف</t>
  </si>
  <si>
    <t xml:space="preserve">سيزار الخوري</t>
  </si>
  <si>
    <t xml:space="preserve">سيزار الياس الخوري</t>
  </si>
  <si>
    <t xml:space="preserve">مريم علي</t>
  </si>
  <si>
    <t xml:space="preserve">مريم منهل علي</t>
  </si>
  <si>
    <t xml:space="preserve">رهف المحمد</t>
  </si>
  <si>
    <t xml:space="preserve">رهف احمد المحمد</t>
  </si>
  <si>
    <t xml:space="preserve">روان الاحمد</t>
  </si>
  <si>
    <t xml:space="preserve">روان غالب الاحمد</t>
  </si>
  <si>
    <t xml:space="preserve">علي حسين</t>
  </si>
  <si>
    <t xml:space="preserve">علي باسل حسين</t>
  </si>
  <si>
    <t xml:space="preserve">رباب عمران</t>
  </si>
  <si>
    <t xml:space="preserve">علا سليمان</t>
  </si>
  <si>
    <t xml:space="preserve">علا جمال سليمان</t>
  </si>
  <si>
    <t xml:space="preserve">سارة موسى</t>
  </si>
  <si>
    <t xml:space="preserve">سارة محمد موسى</t>
  </si>
  <si>
    <t xml:space="preserve">كرم كلثوم</t>
  </si>
  <si>
    <t xml:space="preserve">كرم قينان كلثوم</t>
  </si>
  <si>
    <t xml:space="preserve">صبا</t>
  </si>
  <si>
    <t xml:space="preserve">رغد الصايل</t>
  </si>
  <si>
    <t xml:space="preserve">رغد عيدالله الصايل</t>
  </si>
  <si>
    <t xml:space="preserve">الليث المصري</t>
  </si>
  <si>
    <t xml:space="preserve">الليث حسان المصري</t>
  </si>
  <si>
    <t xml:space="preserve">امنة طيب</t>
  </si>
  <si>
    <t xml:space="preserve">امنة خالد طيب</t>
  </si>
  <si>
    <t xml:space="preserve">رنيم اللحام</t>
  </si>
  <si>
    <t xml:space="preserve">رنيم سامي اللحام</t>
  </si>
  <si>
    <t xml:space="preserve">جامع ابراهيم</t>
  </si>
  <si>
    <t xml:space="preserve">جامع حسن ابراهيم</t>
  </si>
  <si>
    <t xml:space="preserve">اية محمد عظيمات</t>
  </si>
  <si>
    <t xml:space="preserve">اية محمد علي عظيمات</t>
  </si>
  <si>
    <t xml:space="preserve">محمد نور الشناعة</t>
  </si>
  <si>
    <t xml:space="preserve">محمد نور ابراهيم الشناعة</t>
  </si>
  <si>
    <t xml:space="preserve">سلسبيل الرفاعي</t>
  </si>
  <si>
    <t xml:space="preserve">سلسبيل محمد الرفاعي</t>
  </si>
  <si>
    <t xml:space="preserve">احمد التركماني</t>
  </si>
  <si>
    <t xml:space="preserve">احمد خالد التركماني</t>
  </si>
  <si>
    <t xml:space="preserve">حنين العلي</t>
  </si>
  <si>
    <t xml:space="preserve">حنين مصطفى العلي</t>
  </si>
  <si>
    <t xml:space="preserve">الاء الحسن</t>
  </si>
  <si>
    <t xml:space="preserve">الاء احمد الحسن</t>
  </si>
  <si>
    <t xml:space="preserve">حياة نجار</t>
  </si>
  <si>
    <t xml:space="preserve">حياة مروان نجار</t>
  </si>
  <si>
    <t xml:space="preserve">جود القرش</t>
  </si>
  <si>
    <t xml:space="preserve">جود حسن القرش</t>
  </si>
  <si>
    <t xml:space="preserve">راما بدران</t>
  </si>
  <si>
    <t xml:space="preserve">راما عبد اللطيف بدران</t>
  </si>
  <si>
    <t xml:space="preserve">سالي ديوب</t>
  </si>
  <si>
    <t xml:space="preserve">سالي رامز ديوب</t>
  </si>
  <si>
    <t xml:space="preserve">محمد زيوار الزنبركجي</t>
  </si>
  <si>
    <t xml:space="preserve">محمد زيوار محمد امير الزنبركجي</t>
  </si>
  <si>
    <t xml:space="preserve">اللاذقية/نقل</t>
  </si>
  <si>
    <t xml:space="preserve">محمد عثمان</t>
  </si>
  <si>
    <t xml:space="preserve">محمد باسم عثمان</t>
  </si>
  <si>
    <t xml:space="preserve">كنان النعال</t>
  </si>
  <si>
    <t xml:space="preserve">كنان حسان النعال</t>
  </si>
  <si>
    <t xml:space="preserve">محمد خليل</t>
  </si>
  <si>
    <t xml:space="preserve">محمد غازي خليل</t>
  </si>
  <si>
    <t xml:space="preserve">ليزا</t>
  </si>
  <si>
    <t xml:space="preserve">وائل دنيا</t>
  </si>
  <si>
    <t xml:space="preserve">وائل علي دنيا</t>
  </si>
  <si>
    <t xml:space="preserve">اياس عمر</t>
  </si>
  <si>
    <t xml:space="preserve">اياس حسين عمر</t>
  </si>
  <si>
    <t xml:space="preserve">حازم اسكندر</t>
  </si>
  <si>
    <t xml:space="preserve">حازم راشد اسكندر</t>
  </si>
  <si>
    <t xml:space="preserve">نورا ساحليه</t>
  </si>
  <si>
    <t xml:space="preserve">رغد محفوض</t>
  </si>
  <si>
    <t xml:space="preserve">رغد عمار محفوض</t>
  </si>
  <si>
    <t xml:space="preserve">نور الحموي</t>
  </si>
  <si>
    <t xml:space="preserve">نور حسن الحموي</t>
  </si>
  <si>
    <t xml:space="preserve">علي العلي</t>
  </si>
  <si>
    <t xml:space="preserve">علي محمد العلي</t>
  </si>
  <si>
    <t xml:space="preserve">عدي العلي</t>
  </si>
  <si>
    <t xml:space="preserve">عدي محمد العلي</t>
  </si>
  <si>
    <t xml:space="preserve">دانيال ابراهيم</t>
  </si>
  <si>
    <t xml:space="preserve">دانيال ياسر ابراهيم</t>
  </si>
  <si>
    <t xml:space="preserve">اية المصطفى</t>
  </si>
  <si>
    <t xml:space="preserve">اية علي المصطفى</t>
  </si>
  <si>
    <t xml:space="preserve">سماح علي</t>
  </si>
  <si>
    <t xml:space="preserve">سماح عبد الكريم علي</t>
  </si>
  <si>
    <t xml:space="preserve">ليث الغانم</t>
  </si>
  <si>
    <t xml:space="preserve">ليث غانم الغانم</t>
  </si>
  <si>
    <t xml:space="preserve">ايه قديح</t>
  </si>
  <si>
    <t xml:space="preserve">ايه فاروق قديح</t>
  </si>
  <si>
    <t xml:space="preserve">سليمان حسن /رائد</t>
  </si>
  <si>
    <t xml:space="preserve">سليمان رائد حسن</t>
  </si>
  <si>
    <t xml:space="preserve">سنا السلومي</t>
  </si>
  <si>
    <t xml:space="preserve">سنا وليد السلومي</t>
  </si>
  <si>
    <t xml:space="preserve">محمد سليمان</t>
  </si>
  <si>
    <t xml:space="preserve">محمد عاطف سليمان</t>
  </si>
  <si>
    <t xml:space="preserve">بتول العيسى</t>
  </si>
  <si>
    <t xml:space="preserve">بتول صالح العيسى</t>
  </si>
  <si>
    <t xml:space="preserve">عبدالله السطوف</t>
  </si>
  <si>
    <t xml:space="preserve">عبدالله عصام السطوف</t>
  </si>
  <si>
    <t xml:space="preserve">يامن يوسف</t>
  </si>
  <si>
    <t xml:space="preserve">يامن فتيح يوسف</t>
  </si>
  <si>
    <t xml:space="preserve">بشار الحوراني</t>
  </si>
  <si>
    <t xml:space="preserve">بشار قصي الحوراني</t>
  </si>
  <si>
    <t xml:space="preserve">هادي حبابه</t>
  </si>
  <si>
    <t xml:space="preserve">هادي حسن حبابه</t>
  </si>
  <si>
    <t xml:space="preserve">الحسين جبيلي</t>
  </si>
  <si>
    <t xml:space="preserve">الحسين توفيق الجبيلي</t>
  </si>
  <si>
    <t xml:space="preserve">شيم بطيح</t>
  </si>
  <si>
    <t xml:space="preserve">شيم ياسين بطيح</t>
  </si>
  <si>
    <t xml:space="preserve">حلا خضور</t>
  </si>
  <si>
    <t xml:space="preserve">حلا محمد خضور</t>
  </si>
  <si>
    <t xml:space="preserve">2</t>
  </si>
  <si>
    <t xml:space="preserve">هلا محمد الشيخ</t>
  </si>
  <si>
    <t xml:space="preserve">هلا اكرم محمد الشيخ</t>
  </si>
  <si>
    <t xml:space="preserve">غنى عاجوقه</t>
  </si>
  <si>
    <t xml:space="preserve">غنى تمام عاجوقه</t>
  </si>
  <si>
    <t xml:space="preserve">شهد آغا</t>
  </si>
  <si>
    <t xml:space="preserve">شهد طالب اغا</t>
  </si>
  <si>
    <t xml:space="preserve">ديمه ايوب</t>
  </si>
  <si>
    <t xml:space="preserve">ديمه طالب ايوب</t>
  </si>
  <si>
    <t xml:space="preserve">رائدة الحسن</t>
  </si>
  <si>
    <t xml:space="preserve">رائدة محمد الحسن</t>
  </si>
  <si>
    <t xml:space="preserve">محمد عبارة</t>
  </si>
  <si>
    <t xml:space="preserve">محمد عبد القادر عبارة</t>
  </si>
  <si>
    <t xml:space="preserve">أكابر ملحم</t>
  </si>
  <si>
    <t xml:space="preserve">أكابر ياسر ملحم</t>
  </si>
  <si>
    <t xml:space="preserve">علي الخضور/ياسر</t>
  </si>
  <si>
    <t xml:space="preserve">علي ياسر الخضور</t>
  </si>
  <si>
    <t xml:space="preserve">يارا خلوف</t>
  </si>
  <si>
    <t xml:space="preserve">يارا علاء خلوف</t>
  </si>
  <si>
    <t xml:space="preserve">عدنان العلوش</t>
  </si>
  <si>
    <t xml:space="preserve">عدنان مروان العلوش</t>
  </si>
  <si>
    <t xml:space="preserve">راجح الخالد</t>
  </si>
  <si>
    <t xml:space="preserve">راجح يحيى الخالد</t>
  </si>
  <si>
    <t xml:space="preserve">لبانه حمدان</t>
  </si>
  <si>
    <t xml:space="preserve">لبانه محمد قحطان حمدان</t>
  </si>
  <si>
    <t xml:space="preserve">جعفر علي</t>
  </si>
  <si>
    <t xml:space="preserve">جعفر حكيم علي</t>
  </si>
  <si>
    <t xml:space="preserve">عمر فاروق الاحدب</t>
  </si>
  <si>
    <t xml:space="preserve">عمر فاروق خالد الاحدب</t>
  </si>
  <si>
    <t xml:space="preserve">حنين معروف</t>
  </si>
  <si>
    <t xml:space="preserve">حنين يوسف معروف</t>
  </si>
  <si>
    <t xml:space="preserve">ميسم جعفر</t>
  </si>
  <si>
    <t xml:space="preserve">ميسم احمد جعفر</t>
  </si>
  <si>
    <t xml:space="preserve">شذا السليمان</t>
  </si>
  <si>
    <t xml:space="preserve">شذا مصطفى السليمان</t>
  </si>
  <si>
    <t xml:space="preserve">ديانا العموري</t>
  </si>
  <si>
    <t xml:space="preserve">دنيا حسام العموري</t>
  </si>
  <si>
    <t xml:space="preserve">ماهر عثمان</t>
  </si>
  <si>
    <t xml:space="preserve">ماهر وفيق عثمان</t>
  </si>
  <si>
    <t xml:space="preserve">عمار الاشقر الباشا</t>
  </si>
  <si>
    <t xml:space="preserve">عمار فؤاد الاشقر الباشا</t>
  </si>
  <si>
    <t xml:space="preserve">رضوان دعاس</t>
  </si>
  <si>
    <t xml:space="preserve">رضوان محمد دعاس</t>
  </si>
  <si>
    <t xml:space="preserve">هناء العجلوق</t>
  </si>
  <si>
    <t xml:space="preserve">هناء جاسم العجلوق</t>
  </si>
  <si>
    <t xml:space="preserve">اكرم اسد</t>
  </si>
  <si>
    <t xml:space="preserve">اكرم جهاد اسد</t>
  </si>
  <si>
    <t xml:space="preserve">بيهس حجيره</t>
  </si>
  <si>
    <t xml:space="preserve">بيهس مسلم حجيره</t>
  </si>
  <si>
    <t xml:space="preserve">حيدره الموحد</t>
  </si>
  <si>
    <t xml:space="preserve">حيدره حسين الموحد</t>
  </si>
  <si>
    <t xml:space="preserve">مصطفى بكور</t>
  </si>
  <si>
    <t xml:space="preserve">مصطفى ساريه بكور</t>
  </si>
  <si>
    <t xml:space="preserve">8</t>
  </si>
  <si>
    <t xml:space="preserve">احمد درويش</t>
  </si>
  <si>
    <t xml:space="preserve">احمد عصام درويش</t>
  </si>
  <si>
    <t xml:space="preserve">9</t>
  </si>
  <si>
    <t xml:space="preserve">ورد سكيكر</t>
  </si>
  <si>
    <t xml:space="preserve">ورد كمال سكيكر</t>
  </si>
  <si>
    <t xml:space="preserve">عمرو صافي</t>
  </si>
  <si>
    <t xml:space="preserve">عمرو مضر صافي</t>
  </si>
  <si>
    <t xml:space="preserve">ماريا أبو حوران</t>
  </si>
  <si>
    <t xml:space="preserve">ماريا عيسى أبو حوران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</si>
</sst>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"/>
    <numFmt numFmtId="167" formatCode="0.0"/>
    <numFmt numFmtId="168" formatCode="General"/>
    <numFmt numFmtId="169" formatCode="#,##0"/>
    <numFmt numFmtId="170" formatCode="[$-409]0"/>
    <numFmt numFmtId="171" formatCode="[$-409]General"/>
  </numFmts>
  <fonts count="3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rgb="FF000000"/>
      <name val="Traditional Arabic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color rgb="FF000000"/>
      <name val="Cambria"/>
      <family val="1"/>
      <charset val="1"/>
    </font>
    <font>
      <b val="true"/>
      <sz val="11"/>
      <color rgb="FF000000"/>
      <name val="Cambria"/>
      <family val="0"/>
      <charset val="1"/>
    </font>
    <font>
      <b val="true"/>
      <sz val="11"/>
      <name val="Times New Roman"/>
      <family val="0"/>
      <charset val="1"/>
    </font>
    <font>
      <b val="true"/>
      <sz val="11"/>
      <name val="Cambria"/>
      <family val="1"/>
      <charset val="1"/>
    </font>
    <font>
      <b val="true"/>
      <sz val="7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0.5"/>
      <color rgb="FF000000"/>
      <name val="Cambria"/>
      <family val="1"/>
      <charset val="1"/>
    </font>
    <font>
      <b val="true"/>
      <sz val="10.5"/>
      <color rgb="FF000000"/>
      <name val="Times New Roman"/>
      <family val="0"/>
      <charset val="1"/>
    </font>
    <font>
      <b val="true"/>
      <sz val="12"/>
      <name val="Times New Roman"/>
      <family val="1"/>
      <charset val="1"/>
    </font>
    <font>
      <b val="true"/>
      <sz val="10.5"/>
      <name val="Traditional Arabic"/>
      <family val="1"/>
      <charset val="1"/>
    </font>
    <font>
      <b val="true"/>
      <sz val="12"/>
      <name val="Traditional Arabic"/>
      <family val="1"/>
      <charset val="1"/>
    </font>
    <font>
      <sz val="10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1"/>
      <name val="Times New Roman"/>
      <family val="1"/>
      <charset val="1"/>
    </font>
    <font>
      <b val="true"/>
      <sz val="11"/>
      <name val="Traditional Arabic"/>
      <family val="1"/>
      <charset val="1"/>
    </font>
    <font>
      <b val="true"/>
      <sz val="12"/>
      <color rgb="FFFF0000"/>
      <name val="Times New Roman"/>
      <family val="1"/>
      <charset val="1"/>
    </font>
    <font>
      <b val="true"/>
      <vertAlign val="superscript"/>
      <sz val="18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10.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  <fill>
      <patternFill patternType="solid">
        <fgColor rgb="FFFFFFFF"/>
        <bgColor rgb="FFFFFFFE"/>
      </patternFill>
    </fill>
    <fill>
      <patternFill patternType="solid">
        <fgColor rgb="FF7F7F7F"/>
        <bgColor rgb="FF939393"/>
      </patternFill>
    </fill>
    <fill>
      <patternFill patternType="solid">
        <fgColor theme="0" tint="-0.15"/>
        <bgColor rgb="FFE8E8E8"/>
      </patternFill>
    </fill>
    <fill>
      <patternFill patternType="solid">
        <fgColor rgb="FFFF00FF"/>
        <bgColor rgb="FFFE007F"/>
      </patternFill>
    </fill>
    <fill>
      <patternFill patternType="solid">
        <fgColor rgb="FFFF0000"/>
        <bgColor rgb="FFC00000"/>
      </patternFill>
    </fill>
    <fill>
      <patternFill patternType="solid">
        <fgColor rgb="FFFFBF00"/>
        <bgColor rgb="FFFF8000"/>
      </patternFill>
    </fill>
    <fill>
      <patternFill patternType="solid">
        <fgColor rgb="FF81D41A"/>
        <bgColor rgb="FF89FD78"/>
      </patternFill>
    </fill>
    <fill>
      <patternFill patternType="solid">
        <fgColor theme="0" tint="-0.25"/>
        <bgColor rgb="FFD9D9D9"/>
      </patternFill>
    </fill>
    <fill>
      <patternFill patternType="solid">
        <fgColor rgb="FF00B0F0"/>
        <bgColor rgb="FF33CCCC"/>
      </patternFill>
    </fill>
    <fill>
      <patternFill patternType="solid">
        <fgColor theme="4" tint="0.5998"/>
        <bgColor rgb="FF81D41A"/>
      </patternFill>
    </fill>
    <fill>
      <patternFill patternType="solid">
        <fgColor rgb="FFC00000"/>
        <bgColor rgb="FFFF0000"/>
      </patternFill>
    </fill>
    <fill>
      <patternFill patternType="solid">
        <fgColor rgb="FF939393"/>
        <bgColor rgb="FF7F7F7F"/>
      </patternFill>
    </fill>
    <fill>
      <patternFill patternType="solid">
        <fgColor rgb="FF666666"/>
        <bgColor rgb="FF7F7F7F"/>
      </patternFill>
    </fill>
    <fill>
      <patternFill patternType="solid">
        <fgColor rgb="FFE8E8E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6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8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8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8" fillId="5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19" fillId="6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8" fillId="6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7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7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6" fontId="8" fillId="5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27" fillId="2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8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8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6" fontId="27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8" fillId="2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6" fontId="27" fillId="5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7" fillId="5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8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28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9" fillId="2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5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1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19" fillId="6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8" fillId="5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2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3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5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6" fontId="8" fillId="5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7" fillId="2" borderId="1" xfId="2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8" fillId="6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right" vertical="top" textRotation="0" wrapText="false" indent="12" shrinkToFit="false" readingOrder="2"/>
      <protection locked="true" hidden="false"/>
    </xf>
    <xf numFmtId="165" fontId="29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top" textRotation="0" wrapText="false" indent="0" shrinkToFit="false" readingOrder="2"/>
      <protection locked="true" hidden="false"/>
    </xf>
    <xf numFmtId="164" fontId="8" fillId="6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5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5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4" xfId="20"/>
  </cellStyles>
  <dxfs count="2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E"/>
          <bgColor rgb="FF000000"/>
        </patternFill>
      </fill>
    </dxf>
    <dxf>
      <fill>
        <patternFill patternType="solid">
          <fgColor rgb="FF93939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89FD78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ont>
        <name val="Times New Roman"/>
        <charset val="1"/>
        <family val="0"/>
        <color rgb="FF000000"/>
      </font>
      <fill>
        <patternFill>
          <bgColor rgb="FFFE007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FE"/>
      <rgbColor rgb="FFE8E8E8"/>
      <rgbColor rgb="FF660066"/>
      <rgbColor rgb="FFFF8080"/>
      <rgbColor rgb="FF0066CC"/>
      <rgbColor rgb="FFD9D9D9"/>
      <rgbColor rgb="FF000080"/>
      <rgbColor rgb="FFFE007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89FD78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8000"/>
      <rgbColor rgb="FFFF6600"/>
      <rgbColor rgb="FF666666"/>
      <rgbColor rgb="FF93939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K88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6" ySplit="0" topLeftCell="EC1" activePane="topRight" state="frozen"/>
      <selection pane="topLeft" activeCell="A1" activeCellId="0" sqref="A1"/>
      <selection pane="topRight" activeCell="EL12" activeCellId="0" sqref="EL1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6.8"/>
    <col collapsed="false" customWidth="true" hidden="false" outlineLevel="0" max="6" min="6" style="1" width="16.37"/>
    <col collapsed="false" customWidth="true" hidden="false" outlineLevel="0" max="7" min="7" style="1" width="13.98"/>
    <col collapsed="false" customWidth="false" hidden="false" outlineLevel="0" max="57" min="57" style="2" width="11.53"/>
    <col collapsed="false" customWidth="false" hidden="false" outlineLevel="0" max="76" min="76" style="3" width="11.53"/>
    <col collapsed="false" customWidth="false" hidden="false" outlineLevel="0" max="97" min="96" style="2" width="11.53"/>
    <col collapsed="false" customWidth="false" hidden="false" outlineLevel="0" max="100" min="100" style="2" width="11.53"/>
    <col collapsed="false" customWidth="false" hidden="false" outlineLevel="0" max="131" min="131" style="2" width="11.53"/>
    <col collapsed="false" customWidth="false" hidden="false" outlineLevel="0" max="134" min="134" style="2" width="11.53"/>
  </cols>
  <sheetData>
    <row r="1" customFormat="false" ht="16.85" hidden="false" customHeight="fals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1" t="s">
        <v>16</v>
      </c>
      <c r="R1" s="11" t="s">
        <v>17</v>
      </c>
      <c r="S1" s="12" t="s">
        <v>11</v>
      </c>
      <c r="T1" s="12" t="s">
        <v>18</v>
      </c>
      <c r="U1" s="12" t="s">
        <v>13</v>
      </c>
      <c r="V1" s="12" t="s">
        <v>14</v>
      </c>
      <c r="W1" s="12" t="s">
        <v>19</v>
      </c>
      <c r="X1" s="11" t="s">
        <v>20</v>
      </c>
      <c r="Y1" s="12" t="s">
        <v>21</v>
      </c>
      <c r="Z1" s="12" t="s">
        <v>18</v>
      </c>
      <c r="AA1" s="12" t="s">
        <v>22</v>
      </c>
      <c r="AB1" s="12" t="s">
        <v>14</v>
      </c>
      <c r="AC1" s="12" t="s">
        <v>23</v>
      </c>
      <c r="AD1" s="13" t="s">
        <v>24</v>
      </c>
      <c r="AE1" s="11" t="s">
        <v>25</v>
      </c>
      <c r="AF1" s="9" t="s">
        <v>26</v>
      </c>
      <c r="AG1" s="9" t="s">
        <v>27</v>
      </c>
      <c r="AH1" s="9" t="s">
        <v>28</v>
      </c>
      <c r="AI1" s="9" t="s">
        <v>29</v>
      </c>
      <c r="AJ1" s="14" t="s">
        <v>11</v>
      </c>
      <c r="AK1" s="14" t="s">
        <v>18</v>
      </c>
      <c r="AL1" s="9" t="s">
        <v>22</v>
      </c>
      <c r="AM1" s="9" t="s">
        <v>14</v>
      </c>
      <c r="AN1" s="9" t="s">
        <v>30</v>
      </c>
      <c r="AO1" s="9" t="s">
        <v>31</v>
      </c>
      <c r="AP1" s="15" t="s">
        <v>11</v>
      </c>
      <c r="AQ1" s="15" t="s">
        <v>18</v>
      </c>
      <c r="AR1" s="9" t="s">
        <v>22</v>
      </c>
      <c r="AS1" s="9" t="s">
        <v>14</v>
      </c>
      <c r="AT1" s="9" t="s">
        <v>32</v>
      </c>
      <c r="AU1" s="9" t="s">
        <v>33</v>
      </c>
      <c r="AV1" s="9" t="s">
        <v>34</v>
      </c>
      <c r="AW1" s="9" t="s">
        <v>35</v>
      </c>
      <c r="AX1" s="16" t="s">
        <v>36</v>
      </c>
      <c r="AY1" s="16" t="s">
        <v>37</v>
      </c>
      <c r="AZ1" s="17" t="s">
        <v>38</v>
      </c>
      <c r="BA1" s="18" t="s">
        <v>39</v>
      </c>
      <c r="BB1" s="19" t="s">
        <v>40</v>
      </c>
      <c r="BC1" s="9" t="s">
        <v>41</v>
      </c>
      <c r="BD1" s="9" t="s">
        <v>42</v>
      </c>
      <c r="BE1" s="20" t="s">
        <v>43</v>
      </c>
      <c r="BF1" s="9" t="s">
        <v>44</v>
      </c>
      <c r="BG1" s="21" t="s">
        <v>45</v>
      </c>
      <c r="BH1" s="22" t="s">
        <v>46</v>
      </c>
      <c r="BI1" s="23" t="s">
        <v>47</v>
      </c>
      <c r="BJ1" s="23" t="s">
        <v>48</v>
      </c>
      <c r="BK1" s="23" t="s">
        <v>49</v>
      </c>
      <c r="BL1" s="24" t="s">
        <v>50</v>
      </c>
      <c r="BM1" s="24" t="s">
        <v>51</v>
      </c>
      <c r="BN1" s="24" t="s">
        <v>52</v>
      </c>
      <c r="BO1" s="24" t="s">
        <v>53</v>
      </c>
      <c r="BP1" s="24" t="s">
        <v>54</v>
      </c>
      <c r="BQ1" s="24" t="s">
        <v>55</v>
      </c>
      <c r="BR1" s="24" t="s">
        <v>56</v>
      </c>
      <c r="BS1" s="24" t="s">
        <v>57</v>
      </c>
      <c r="BT1" s="24" t="s">
        <v>58</v>
      </c>
      <c r="BU1" s="24" t="s">
        <v>59</v>
      </c>
      <c r="BV1" s="24" t="s">
        <v>60</v>
      </c>
      <c r="BW1" s="24" t="s">
        <v>61</v>
      </c>
      <c r="BX1" s="24" t="s">
        <v>62</v>
      </c>
      <c r="BY1" s="25" t="s">
        <v>63</v>
      </c>
      <c r="BZ1" s="25" t="s">
        <v>64</v>
      </c>
      <c r="CA1" s="25" t="s">
        <v>65</v>
      </c>
      <c r="CB1" s="25" t="s">
        <v>66</v>
      </c>
      <c r="CC1" s="25" t="s">
        <v>67</v>
      </c>
      <c r="CD1" s="25" t="s">
        <v>68</v>
      </c>
      <c r="CE1" s="25" t="s">
        <v>69</v>
      </c>
      <c r="CF1" s="25" t="s">
        <v>70</v>
      </c>
      <c r="CG1" s="25" t="s">
        <v>71</v>
      </c>
      <c r="CH1" s="25" t="s">
        <v>72</v>
      </c>
      <c r="CI1" s="25" t="s">
        <v>73</v>
      </c>
      <c r="CJ1" s="25" t="s">
        <v>74</v>
      </c>
      <c r="CK1" s="25" t="s">
        <v>75</v>
      </c>
      <c r="CL1" s="25" t="s">
        <v>76</v>
      </c>
      <c r="CM1" s="25" t="s">
        <v>77</v>
      </c>
      <c r="CN1" s="25" t="s">
        <v>78</v>
      </c>
      <c r="CO1" s="25" t="s">
        <v>79</v>
      </c>
      <c r="CP1" s="25" t="s">
        <v>80</v>
      </c>
      <c r="CQ1" s="25" t="s">
        <v>81</v>
      </c>
      <c r="CR1" s="26" t="s">
        <v>82</v>
      </c>
      <c r="CS1" s="26" t="s">
        <v>83</v>
      </c>
      <c r="CT1" s="24" t="s">
        <v>84</v>
      </c>
      <c r="CU1" s="25" t="s">
        <v>85</v>
      </c>
      <c r="CV1" s="26" t="s">
        <v>86</v>
      </c>
      <c r="CW1" s="25" t="s">
        <v>87</v>
      </c>
      <c r="CX1" s="6" t="s">
        <v>88</v>
      </c>
      <c r="CY1" s="6" t="s">
        <v>87</v>
      </c>
      <c r="CZ1" s="27" t="s">
        <v>89</v>
      </c>
      <c r="DA1" s="27" t="s">
        <v>90</v>
      </c>
      <c r="DB1" s="27" t="s">
        <v>91</v>
      </c>
      <c r="DC1" s="27" t="s">
        <v>92</v>
      </c>
      <c r="DD1" s="27" t="s">
        <v>93</v>
      </c>
      <c r="DE1" s="27" t="s">
        <v>94</v>
      </c>
      <c r="DF1" s="27" t="s">
        <v>95</v>
      </c>
      <c r="DG1" s="27" t="s">
        <v>96</v>
      </c>
      <c r="DH1" s="27" t="s">
        <v>97</v>
      </c>
      <c r="DI1" s="27" t="s">
        <v>98</v>
      </c>
      <c r="DJ1" s="27" t="s">
        <v>99</v>
      </c>
      <c r="DK1" s="27" t="s">
        <v>100</v>
      </c>
      <c r="DL1" s="27" t="s">
        <v>101</v>
      </c>
      <c r="DM1" s="27" t="s">
        <v>102</v>
      </c>
      <c r="DN1" s="27" t="s">
        <v>103</v>
      </c>
      <c r="DO1" s="27" t="s">
        <v>104</v>
      </c>
      <c r="DP1" s="27" t="s">
        <v>105</v>
      </c>
      <c r="DQ1" s="27" t="s">
        <v>106</v>
      </c>
      <c r="DR1" s="27" t="s">
        <v>107</v>
      </c>
      <c r="DS1" s="27" t="s">
        <v>108</v>
      </c>
      <c r="DT1" s="27" t="s">
        <v>109</v>
      </c>
      <c r="DU1" s="27" t="s">
        <v>110</v>
      </c>
      <c r="DV1" s="27" t="s">
        <v>111</v>
      </c>
      <c r="DW1" s="27" t="s">
        <v>112</v>
      </c>
      <c r="DX1" s="27" t="s">
        <v>113</v>
      </c>
      <c r="DY1" s="27" t="s">
        <v>114</v>
      </c>
      <c r="DZ1" s="27" t="s">
        <v>115</v>
      </c>
      <c r="EA1" s="28" t="s">
        <v>116</v>
      </c>
      <c r="EB1" s="27" t="s">
        <v>117</v>
      </c>
      <c r="EC1" s="29" t="s">
        <v>118</v>
      </c>
      <c r="ED1" s="30" t="s">
        <v>119</v>
      </c>
      <c r="EE1" s="1" t="s">
        <v>120</v>
      </c>
      <c r="EF1" s="1" t="s">
        <v>121</v>
      </c>
      <c r="EG1" s="1" t="s">
        <v>122</v>
      </c>
      <c r="EH1" s="1" t="s">
        <v>123</v>
      </c>
      <c r="EI1" s="1" t="s">
        <v>119</v>
      </c>
      <c r="EJ1" s="1" t="s">
        <v>124</v>
      </c>
      <c r="EK1" s="0" t="s">
        <v>125</v>
      </c>
    </row>
    <row r="2" customFormat="false" ht="15" hidden="false" customHeight="false" outlineLevel="0" collapsed="false">
      <c r="A2" s="4" t="n">
        <v>8708</v>
      </c>
      <c r="B2" s="4" t="n">
        <v>774</v>
      </c>
      <c r="C2" s="27" t="s">
        <v>126</v>
      </c>
      <c r="D2" s="31" t="n">
        <v>792</v>
      </c>
      <c r="E2" s="32" t="n">
        <v>230319771</v>
      </c>
      <c r="F2" s="8" t="s">
        <v>127</v>
      </c>
      <c r="G2" s="22" t="s">
        <v>128</v>
      </c>
      <c r="H2" s="22" t="s">
        <v>129</v>
      </c>
      <c r="I2" s="33" t="n">
        <v>2005</v>
      </c>
      <c r="J2" s="32" t="n">
        <v>94</v>
      </c>
      <c r="K2" s="32" t="n">
        <v>96</v>
      </c>
      <c r="L2" s="34" t="n">
        <f aca="false">(K2*70)/100</f>
        <v>67.2</v>
      </c>
      <c r="M2" s="34" t="n">
        <f aca="false">ROUNDUP(L2,0)</f>
        <v>68</v>
      </c>
      <c r="N2" s="32" t="n">
        <v>28</v>
      </c>
      <c r="O2" s="34" t="n">
        <f aca="false">N2+L2</f>
        <v>95.2</v>
      </c>
      <c r="P2" s="34" t="n">
        <f aca="false">N2+M2</f>
        <v>96</v>
      </c>
      <c r="Q2" s="32" t="n">
        <v>96</v>
      </c>
      <c r="R2" s="32" t="n">
        <v>88</v>
      </c>
      <c r="S2" s="34" t="n">
        <f aca="false">(R2*70)/100</f>
        <v>61.6</v>
      </c>
      <c r="T2" s="34" t="n">
        <f aca="false">ROUNDUP(S2,0)</f>
        <v>62</v>
      </c>
      <c r="U2" s="32" t="n">
        <v>27</v>
      </c>
      <c r="V2" s="34" t="n">
        <f aca="false">U2+S2</f>
        <v>88.6</v>
      </c>
      <c r="W2" s="34" t="n">
        <f aca="false">U2+T2</f>
        <v>89</v>
      </c>
      <c r="X2" s="32" t="n">
        <v>90</v>
      </c>
      <c r="Y2" s="34" t="n">
        <f aca="false">(X2*70)/100</f>
        <v>63</v>
      </c>
      <c r="Z2" s="34" t="n">
        <f aca="false">ROUNDUP(Y2,0)</f>
        <v>63</v>
      </c>
      <c r="AA2" s="32" t="n">
        <v>27</v>
      </c>
      <c r="AB2" s="34" t="n">
        <f aca="false">AA2+Y2</f>
        <v>90</v>
      </c>
      <c r="AC2" s="34" t="n">
        <f aca="false">AA2+Z2</f>
        <v>90</v>
      </c>
      <c r="AD2" s="32" t="n">
        <f aca="false">X2+R2+Q2+K2+J2</f>
        <v>464</v>
      </c>
      <c r="AE2" s="16" t="n">
        <f aca="false">AD2/5</f>
        <v>92.8</v>
      </c>
      <c r="AF2" s="16" t="n">
        <v>84</v>
      </c>
      <c r="AG2" s="16" t="n">
        <v>96</v>
      </c>
      <c r="AH2" s="16" t="n">
        <v>99</v>
      </c>
      <c r="AI2" s="16" t="n">
        <v>97</v>
      </c>
      <c r="AJ2" s="16" t="n">
        <f aca="false">(AI2*70)/100</f>
        <v>67.9</v>
      </c>
      <c r="AK2" s="35" t="n">
        <f aca="false">ROUNDUP(AJ2,0)</f>
        <v>68</v>
      </c>
      <c r="AL2" s="16" t="n">
        <v>28</v>
      </c>
      <c r="AM2" s="16" t="n">
        <f aca="false">AL2+AJ2</f>
        <v>95.9</v>
      </c>
      <c r="AN2" s="16" t="n">
        <f aca="false">AL2+AK2</f>
        <v>96</v>
      </c>
      <c r="AO2" s="16" t="n">
        <v>93</v>
      </c>
      <c r="AP2" s="36" t="n">
        <f aca="false">(AO2*70)/100</f>
        <v>65.1</v>
      </c>
      <c r="AQ2" s="37" t="n">
        <f aca="false">ROUNDUP(AP2,0)</f>
        <v>66</v>
      </c>
      <c r="AR2" s="16" t="n">
        <v>29</v>
      </c>
      <c r="AS2" s="16" t="n">
        <f aca="false">AR2+AP2</f>
        <v>94.1</v>
      </c>
      <c r="AT2" s="16" t="n">
        <f aca="false">AR2+AQ2</f>
        <v>95</v>
      </c>
      <c r="AU2" s="16" t="n">
        <f aca="false">AO2+AF2+AI2+AH2+AG2</f>
        <v>469</v>
      </c>
      <c r="AV2" s="16" t="n">
        <f aca="false">(AO2+AF2+AI2+AH2+AG2)/5</f>
        <v>93.8</v>
      </c>
      <c r="AW2" s="36" t="n">
        <f aca="false">(AO2+AF2+AI2+AH2+AG2+X2+R2+Q2+K2+J2)</f>
        <v>933</v>
      </c>
      <c r="AX2" s="16" t="n">
        <f aca="false">AW2/10</f>
        <v>93.3</v>
      </c>
      <c r="AY2" s="16" t="n">
        <f aca="false">AS2+AF2+AM2+AH2+AG2+AB2+V2+Q2+O2+J2</f>
        <v>932.8</v>
      </c>
      <c r="AZ2" s="16" t="n">
        <f aca="false">AT2+AF2+AN2+AH2+AG2+AC2+W2+Q2+P2+J2</f>
        <v>935</v>
      </c>
      <c r="BA2" s="16" t="n">
        <f aca="false">AY2/10</f>
        <v>93.28</v>
      </c>
      <c r="BB2" s="16" t="n">
        <f aca="false">AZ2/10</f>
        <v>93.5</v>
      </c>
      <c r="BC2" s="16" t="n">
        <v>2382</v>
      </c>
      <c r="BD2" s="16" t="n">
        <f aca="false">RANK(AX2,$AX$2:$AX$881,0)</f>
        <v>3</v>
      </c>
      <c r="BE2" s="38" t="n">
        <f aca="false">((BC2*100)/2400)*0.4+(AX2*0.6)</f>
        <v>95.68</v>
      </c>
      <c r="BF2" s="16" t="n">
        <f aca="false">RANK(BE2,$BE$2:$BE$881,0)</f>
        <v>3</v>
      </c>
      <c r="BG2" s="39" t="n">
        <f aca="false">RANK(BB2,$BB$2:$BB$881,0)</f>
        <v>4</v>
      </c>
      <c r="BH2" s="39" t="n">
        <f aca="false">RANK(BC2,$BC$2:$BC$881,0)</f>
        <v>124</v>
      </c>
      <c r="BI2" s="22" t="s">
        <v>130</v>
      </c>
      <c r="BJ2" s="22" t="s">
        <v>129</v>
      </c>
      <c r="BK2" s="40" t="s">
        <v>131</v>
      </c>
      <c r="BL2" s="41" t="n">
        <v>25</v>
      </c>
      <c r="BM2" s="41" t="n">
        <v>67</v>
      </c>
      <c r="BN2" s="41" t="n">
        <v>92</v>
      </c>
      <c r="BO2" s="42" t="n">
        <v>29</v>
      </c>
      <c r="BP2" s="43" t="n">
        <v>66</v>
      </c>
      <c r="BQ2" s="44" t="n">
        <v>95</v>
      </c>
      <c r="BR2" s="42" t="n">
        <v>30</v>
      </c>
      <c r="BS2" s="45" t="n">
        <v>66</v>
      </c>
      <c r="BT2" s="45" t="n">
        <v>96</v>
      </c>
      <c r="BU2" s="46" t="n">
        <v>100</v>
      </c>
      <c r="BV2" s="47" t="n">
        <v>98</v>
      </c>
      <c r="BW2" s="42" t="n">
        <v>100</v>
      </c>
      <c r="BX2" s="48" t="n">
        <v>98</v>
      </c>
      <c r="BY2" s="32" t="n">
        <v>28</v>
      </c>
      <c r="BZ2" s="32" t="n">
        <v>65</v>
      </c>
      <c r="CA2" s="32" t="n">
        <v>93</v>
      </c>
      <c r="CB2" s="32" t="n">
        <v>26</v>
      </c>
      <c r="CC2" s="32" t="n">
        <v>63</v>
      </c>
      <c r="CD2" s="32" t="n">
        <v>89</v>
      </c>
      <c r="CE2" s="32" t="n">
        <v>29</v>
      </c>
      <c r="CF2" s="32" t="n">
        <v>69</v>
      </c>
      <c r="CG2" s="32" t="n">
        <v>98</v>
      </c>
      <c r="CH2" s="32" t="n">
        <v>99</v>
      </c>
      <c r="CI2" s="32" t="n">
        <v>100</v>
      </c>
      <c r="CJ2" s="49" t="n">
        <v>27</v>
      </c>
      <c r="CK2" s="49" t="n">
        <v>68</v>
      </c>
      <c r="CL2" s="49" t="n">
        <v>95</v>
      </c>
      <c r="CM2" s="49" t="n">
        <v>24</v>
      </c>
      <c r="CN2" s="49" t="n">
        <v>64</v>
      </c>
      <c r="CO2" s="49" t="n">
        <v>88</v>
      </c>
      <c r="CP2" s="25" t="n">
        <f aca="false">BX2+BW2+BV2+BU2+BT2+BQ2+BN2</f>
        <v>679</v>
      </c>
      <c r="CQ2" s="25" t="n">
        <f aca="false">CO2+CL2+CI2+CH2+CG2+CD2+CA2</f>
        <v>662</v>
      </c>
      <c r="CR2" s="26" t="n">
        <f aca="false">CP2/7</f>
        <v>97</v>
      </c>
      <c r="CS2" s="26" t="n">
        <f aca="false">CQ2/7</f>
        <v>94.5714285714286</v>
      </c>
      <c r="CT2" s="24" t="n">
        <f aca="false">RANK(CR2,$CR$2:$CR$881,0)</f>
        <v>1</v>
      </c>
      <c r="CU2" s="25" t="n">
        <f aca="false">RANK(CS2,$CS$2:$CS$881,0)</f>
        <v>1</v>
      </c>
      <c r="CV2" s="26" t="n">
        <f aca="false">(CS2+CR2)/2</f>
        <v>95.7857142857143</v>
      </c>
      <c r="CW2" s="25" t="n">
        <f aca="false">RANK(CV2,$CV$2:$CV$881,0)</f>
        <v>1</v>
      </c>
      <c r="CX2" s="50" t="n">
        <f aca="false">(CV2+BB2)/2</f>
        <v>94.6428571428571</v>
      </c>
      <c r="CY2" s="50" t="n">
        <v>1</v>
      </c>
      <c r="CZ2" s="27" t="s">
        <v>132</v>
      </c>
      <c r="DA2" s="27" t="s">
        <v>133</v>
      </c>
      <c r="DB2" s="27" t="s">
        <v>133</v>
      </c>
      <c r="DC2" s="27" t="s">
        <v>134</v>
      </c>
      <c r="DD2" s="27" t="s">
        <v>135</v>
      </c>
      <c r="DE2" s="27" t="s">
        <v>136</v>
      </c>
      <c r="DF2" s="27" t="s">
        <v>133</v>
      </c>
      <c r="DG2" s="27" t="s">
        <v>134</v>
      </c>
      <c r="DH2" s="27" t="s">
        <v>137</v>
      </c>
      <c r="DI2" s="27" t="s">
        <v>138</v>
      </c>
      <c r="DJ2" s="27" t="s">
        <v>139</v>
      </c>
      <c r="DK2" s="27" t="s">
        <v>134</v>
      </c>
      <c r="DL2" s="27" t="s">
        <v>140</v>
      </c>
      <c r="DM2" s="27" t="s">
        <v>141</v>
      </c>
      <c r="DN2" s="27" t="s">
        <v>142</v>
      </c>
      <c r="DO2" s="27" t="s">
        <v>134</v>
      </c>
      <c r="DP2" s="27" t="s">
        <v>140</v>
      </c>
      <c r="DQ2" s="27" t="s">
        <v>143</v>
      </c>
      <c r="DR2" s="27" t="s">
        <v>144</v>
      </c>
      <c r="DS2" s="27" t="s">
        <v>134</v>
      </c>
      <c r="DT2" s="27" t="s">
        <v>140</v>
      </c>
      <c r="DU2" s="27" t="s">
        <v>138</v>
      </c>
      <c r="DV2" s="27" t="s">
        <v>145</v>
      </c>
      <c r="DW2" s="27" t="s">
        <v>146</v>
      </c>
      <c r="DX2" s="27" t="s">
        <v>138</v>
      </c>
      <c r="DY2" s="27" t="s">
        <v>147</v>
      </c>
      <c r="DZ2" s="27" t="n">
        <f aca="false">DY2+DV2+DR2+DN2+DJ2+DF2+DB2</f>
        <v>661</v>
      </c>
      <c r="EA2" s="28" t="n">
        <f aca="false">DZ2/7</f>
        <v>94.4285714285714</v>
      </c>
      <c r="EB2" s="27" t="n">
        <f aca="false">RANK(EA2,$EA$2:$EA$881,0)</f>
        <v>4</v>
      </c>
      <c r="EC2" s="29" t="n">
        <f aca="false">DZ2+CQ2+CP2+AZ2</f>
        <v>2937</v>
      </c>
      <c r="ED2" s="30" t="n">
        <f aca="false">(EA2+CV2+BB2)/3</f>
        <v>94.5714285714286</v>
      </c>
      <c r="EE2" s="51" t="n">
        <f aca="false">ROUND(BE2,3)</f>
        <v>95.68</v>
      </c>
      <c r="EF2" s="51" t="n">
        <f aca="false">ROUND(CR2,3)</f>
        <v>97</v>
      </c>
      <c r="EG2" s="51" t="n">
        <f aca="false">ROUND(CS2,3)</f>
        <v>94.571</v>
      </c>
      <c r="EH2" s="51" t="n">
        <f aca="false">ROUND(EA2,3)</f>
        <v>94.429</v>
      </c>
      <c r="EI2" s="51" t="n">
        <f aca="false">ROUND(ED2,3)</f>
        <v>94.571</v>
      </c>
      <c r="EJ2" s="51" t="n">
        <f aca="false">ROUND(CV2,3)</f>
        <v>95.786</v>
      </c>
      <c r="EK2" s="0" t="n">
        <f aca="false">RANK(EI2,$EI$2:$EI$881,0)</f>
        <v>1</v>
      </c>
    </row>
    <row r="3" customFormat="false" ht="15" hidden="false" customHeight="false" outlineLevel="0" collapsed="false">
      <c r="A3" s="4" t="n">
        <v>8854</v>
      </c>
      <c r="B3" s="4" t="n">
        <v>549</v>
      </c>
      <c r="C3" s="27" t="s">
        <v>148</v>
      </c>
      <c r="D3" s="31" t="n">
        <v>554</v>
      </c>
      <c r="E3" s="32" t="n">
        <v>230322655</v>
      </c>
      <c r="F3" s="8" t="s">
        <v>149</v>
      </c>
      <c r="G3" s="22" t="s">
        <v>150</v>
      </c>
      <c r="H3" s="22" t="s">
        <v>129</v>
      </c>
      <c r="I3" s="33" t="n">
        <v>2005</v>
      </c>
      <c r="J3" s="32" t="n">
        <v>95</v>
      </c>
      <c r="K3" s="32" t="n">
        <v>97</v>
      </c>
      <c r="L3" s="34" t="n">
        <f aca="false">(K3*70)/100</f>
        <v>67.9</v>
      </c>
      <c r="M3" s="34" t="n">
        <f aca="false">ROUNDUP(L3,0)</f>
        <v>68</v>
      </c>
      <c r="N3" s="32" t="n">
        <v>25</v>
      </c>
      <c r="O3" s="34" t="n">
        <f aca="false">N3+L3</f>
        <v>92.9</v>
      </c>
      <c r="P3" s="34" t="n">
        <f aca="false">N3+M3</f>
        <v>93</v>
      </c>
      <c r="Q3" s="32" t="n">
        <v>91</v>
      </c>
      <c r="R3" s="32" t="n">
        <v>91</v>
      </c>
      <c r="S3" s="34" t="n">
        <f aca="false">(R3*70)/100</f>
        <v>63.7</v>
      </c>
      <c r="T3" s="34" t="n">
        <f aca="false">ROUNDUP(S3,0)</f>
        <v>64</v>
      </c>
      <c r="U3" s="32" t="n">
        <v>23</v>
      </c>
      <c r="V3" s="34" t="n">
        <f aca="false">U3+S3</f>
        <v>86.7</v>
      </c>
      <c r="W3" s="34" t="n">
        <f aca="false">U3+T3</f>
        <v>87</v>
      </c>
      <c r="X3" s="32" t="n">
        <v>83</v>
      </c>
      <c r="Y3" s="34" t="n">
        <f aca="false">(X3*70)/100</f>
        <v>58.1</v>
      </c>
      <c r="Z3" s="34" t="n">
        <f aca="false">ROUNDUP(Y3,0)</f>
        <v>59</v>
      </c>
      <c r="AA3" s="32" t="n">
        <v>26</v>
      </c>
      <c r="AB3" s="34" t="n">
        <f aca="false">AA3+Y3</f>
        <v>84.1</v>
      </c>
      <c r="AC3" s="34" t="n">
        <f aca="false">AA3+Z3</f>
        <v>85</v>
      </c>
      <c r="AD3" s="32" t="n">
        <f aca="false">X3+R3+Q3+K3+J3</f>
        <v>457</v>
      </c>
      <c r="AE3" s="16" t="n">
        <f aca="false">AD3/5</f>
        <v>91.4</v>
      </c>
      <c r="AF3" s="16" t="n">
        <v>85</v>
      </c>
      <c r="AG3" s="16" t="n">
        <v>97</v>
      </c>
      <c r="AH3" s="16" t="n">
        <v>99</v>
      </c>
      <c r="AI3" s="16" t="n">
        <v>94</v>
      </c>
      <c r="AJ3" s="16" t="n">
        <f aca="false">(AI3*70)/100</f>
        <v>65.8</v>
      </c>
      <c r="AK3" s="35" t="n">
        <f aca="false">ROUNDUP(AJ3,0)</f>
        <v>66</v>
      </c>
      <c r="AL3" s="16" t="n">
        <v>26</v>
      </c>
      <c r="AM3" s="16" t="n">
        <f aca="false">AL3+AJ3</f>
        <v>91.8</v>
      </c>
      <c r="AN3" s="16" t="n">
        <f aca="false">AL3+AK3</f>
        <v>92</v>
      </c>
      <c r="AO3" s="16" t="n">
        <v>93</v>
      </c>
      <c r="AP3" s="36" t="n">
        <f aca="false">(AO3*70)/100</f>
        <v>65.1</v>
      </c>
      <c r="AQ3" s="37" t="n">
        <f aca="false">ROUNDUP(AP3,0)</f>
        <v>66</v>
      </c>
      <c r="AR3" s="16" t="n">
        <v>29</v>
      </c>
      <c r="AS3" s="16" t="n">
        <f aca="false">AR3+AP3</f>
        <v>94.1</v>
      </c>
      <c r="AT3" s="16" t="n">
        <f aca="false">AR3+AQ3</f>
        <v>95</v>
      </c>
      <c r="AU3" s="16" t="n">
        <f aca="false">AO3+AF3+AI3+AH3+AG3</f>
        <v>468</v>
      </c>
      <c r="AV3" s="16" t="n">
        <f aca="false">(AO3+AF3+AI3+AH3+AG3)/5</f>
        <v>93.6</v>
      </c>
      <c r="AW3" s="36" t="n">
        <f aca="false">(AO3+AF3+AI3+AH3+AG3+X3+R3+Q3+K3+J3)</f>
        <v>925</v>
      </c>
      <c r="AX3" s="16" t="n">
        <f aca="false">AW3/10</f>
        <v>92.5</v>
      </c>
      <c r="AY3" s="16" t="n">
        <f aca="false">AS3+AF3+AM3+AH3+AG3+AB3+V3+Q3+O3+J3</f>
        <v>916.6</v>
      </c>
      <c r="AZ3" s="16" t="n">
        <f aca="false">AT3+AF3+AN3+AH3+AG3+AC3+W3+Q3+P3+J3</f>
        <v>919</v>
      </c>
      <c r="BA3" s="16" t="n">
        <f aca="false">AY3/10</f>
        <v>91.66</v>
      </c>
      <c r="BB3" s="16" t="n">
        <f aca="false">AZ3/10</f>
        <v>91.9</v>
      </c>
      <c r="BC3" s="16" t="n">
        <v>2377</v>
      </c>
      <c r="BD3" s="16" t="n">
        <f aca="false">RANK(AX3,$AX$2:$AX$881,0)</f>
        <v>5</v>
      </c>
      <c r="BE3" s="38" t="n">
        <f aca="false">((BC3*100)/2400)*0.4+(AX3*0.6)</f>
        <v>95.1166666666667</v>
      </c>
      <c r="BF3" s="16" t="n">
        <f aca="false">RANK(BE3,$BE$2:$BE$881,0)</f>
        <v>7</v>
      </c>
      <c r="BG3" s="39" t="n">
        <f aca="false">RANK(BB3,$BB$2:$BB$881,0)</f>
        <v>9</v>
      </c>
      <c r="BH3" s="39" t="n">
        <f aca="false">RANK(BC3,$BC$2:$BC$881,0)</f>
        <v>189</v>
      </c>
      <c r="BI3" s="22" t="s">
        <v>130</v>
      </c>
      <c r="BJ3" s="22" t="s">
        <v>129</v>
      </c>
      <c r="BK3" s="40" t="s">
        <v>131</v>
      </c>
      <c r="BL3" s="41" t="n">
        <v>25</v>
      </c>
      <c r="BM3" s="41" t="n">
        <v>67</v>
      </c>
      <c r="BN3" s="41" t="n">
        <v>92</v>
      </c>
      <c r="BO3" s="42" t="n">
        <v>28</v>
      </c>
      <c r="BP3" s="43" t="n">
        <v>68</v>
      </c>
      <c r="BQ3" s="44" t="n">
        <v>96</v>
      </c>
      <c r="BR3" s="42" t="n">
        <v>26</v>
      </c>
      <c r="BS3" s="45" t="n">
        <v>65</v>
      </c>
      <c r="BT3" s="45" t="n">
        <v>91</v>
      </c>
      <c r="BU3" s="46" t="n">
        <v>100</v>
      </c>
      <c r="BV3" s="47" t="n">
        <v>94</v>
      </c>
      <c r="BW3" s="42" t="n">
        <v>99</v>
      </c>
      <c r="BX3" s="48" t="n">
        <v>96</v>
      </c>
      <c r="BY3" s="32" t="n">
        <v>25</v>
      </c>
      <c r="BZ3" s="32" t="n">
        <v>67</v>
      </c>
      <c r="CA3" s="32" t="n">
        <v>92</v>
      </c>
      <c r="CB3" s="32" t="n">
        <v>24</v>
      </c>
      <c r="CC3" s="32" t="n">
        <v>60</v>
      </c>
      <c r="CD3" s="32" t="n">
        <v>84</v>
      </c>
      <c r="CE3" s="32" t="n">
        <v>21</v>
      </c>
      <c r="CF3" s="32" t="n">
        <v>69</v>
      </c>
      <c r="CG3" s="32" t="n">
        <v>90</v>
      </c>
      <c r="CH3" s="32" t="n">
        <v>98</v>
      </c>
      <c r="CI3" s="32" t="n">
        <v>100</v>
      </c>
      <c r="CJ3" s="49" t="n">
        <v>26</v>
      </c>
      <c r="CK3" s="49" t="n">
        <v>65</v>
      </c>
      <c r="CL3" s="49" t="n">
        <v>91</v>
      </c>
      <c r="CM3" s="49" t="n">
        <v>26</v>
      </c>
      <c r="CN3" s="49" t="n">
        <v>58</v>
      </c>
      <c r="CO3" s="49" t="n">
        <v>84</v>
      </c>
      <c r="CP3" s="25" t="n">
        <f aca="false">BX3+BW3+BV3+BU3+BT3+BQ3+BN3</f>
        <v>668</v>
      </c>
      <c r="CQ3" s="25" t="n">
        <f aca="false">CO3+CL3+CI3+CH3+CG3+CD3+CA3</f>
        <v>639</v>
      </c>
      <c r="CR3" s="26" t="n">
        <f aca="false">CP3/7</f>
        <v>95.4285714285714</v>
      </c>
      <c r="CS3" s="26" t="n">
        <f aca="false">CQ3/7</f>
        <v>91.2857142857143</v>
      </c>
      <c r="CT3" s="24" t="n">
        <f aca="false">RANK(CR3,$CR$2:$CR$881,0)</f>
        <v>10</v>
      </c>
      <c r="CU3" s="25" t="n">
        <f aca="false">RANK(CS3,$CS$2:$CS$881,0)</f>
        <v>11</v>
      </c>
      <c r="CV3" s="26" t="n">
        <f aca="false">(CS3+CR3)/2</f>
        <v>93.3571428571429</v>
      </c>
      <c r="CW3" s="25" t="n">
        <f aca="false">RANK(CV3,$CV$2:$CV$881,0)</f>
        <v>5</v>
      </c>
      <c r="CX3" s="50" t="n">
        <f aca="false">(CV3+BB3)/2</f>
        <v>92.6285714285714</v>
      </c>
      <c r="CY3" s="50" t="n">
        <v>7</v>
      </c>
      <c r="CZ3" s="27" t="s">
        <v>132</v>
      </c>
      <c r="DA3" s="27" t="s">
        <v>151</v>
      </c>
      <c r="DB3" s="27" t="s">
        <v>151</v>
      </c>
      <c r="DC3" s="27" t="s">
        <v>134</v>
      </c>
      <c r="DD3" s="27" t="s">
        <v>137</v>
      </c>
      <c r="DE3" s="27" t="s">
        <v>152</v>
      </c>
      <c r="DF3" s="27" t="s">
        <v>153</v>
      </c>
      <c r="DG3" s="27" t="s">
        <v>134</v>
      </c>
      <c r="DH3" s="27" t="s">
        <v>154</v>
      </c>
      <c r="DI3" s="27" t="s">
        <v>155</v>
      </c>
      <c r="DJ3" s="27" t="s">
        <v>151</v>
      </c>
      <c r="DK3" s="27" t="s">
        <v>134</v>
      </c>
      <c r="DL3" s="27" t="s">
        <v>137</v>
      </c>
      <c r="DM3" s="27" t="s">
        <v>143</v>
      </c>
      <c r="DN3" s="27" t="s">
        <v>156</v>
      </c>
      <c r="DO3" s="27" t="s">
        <v>134</v>
      </c>
      <c r="DP3" s="27" t="s">
        <v>146</v>
      </c>
      <c r="DQ3" s="27" t="s">
        <v>141</v>
      </c>
      <c r="DR3" s="27" t="s">
        <v>144</v>
      </c>
      <c r="DS3" s="27" t="s">
        <v>134</v>
      </c>
      <c r="DT3" s="27" t="s">
        <v>140</v>
      </c>
      <c r="DU3" s="27" t="s">
        <v>143</v>
      </c>
      <c r="DV3" s="27" t="s">
        <v>144</v>
      </c>
      <c r="DW3" s="27" t="s">
        <v>140</v>
      </c>
      <c r="DX3" s="27" t="s">
        <v>138</v>
      </c>
      <c r="DY3" s="27" t="s">
        <v>145</v>
      </c>
      <c r="DZ3" s="27" t="n">
        <f aca="false">DY3+DV3+DR3+DN3+DJ3+DF3+DB3</f>
        <v>662</v>
      </c>
      <c r="EA3" s="28" t="n">
        <f aca="false">DZ3/7</f>
        <v>94.5714285714286</v>
      </c>
      <c r="EB3" s="27" t="n">
        <f aca="false">RANK(EA3,$EA$2:$EA$881,0)</f>
        <v>3</v>
      </c>
      <c r="EC3" s="29" t="n">
        <f aca="false">DZ3+CQ3+CP3+AZ3</f>
        <v>2888</v>
      </c>
      <c r="ED3" s="30" t="n">
        <f aca="false">(EA3+CV3+BB3)/3</f>
        <v>93.2761904761905</v>
      </c>
      <c r="EE3" s="51" t="n">
        <f aca="false">ROUND(BE3,3)</f>
        <v>95.117</v>
      </c>
      <c r="EF3" s="51" t="n">
        <f aca="false">ROUND(CR3,3)</f>
        <v>95.429</v>
      </c>
      <c r="EG3" s="51" t="n">
        <f aca="false">ROUND(CS3,3)</f>
        <v>91.286</v>
      </c>
      <c r="EH3" s="51" t="n">
        <f aca="false">ROUND(EA3,3)</f>
        <v>94.571</v>
      </c>
      <c r="EI3" s="51" t="n">
        <f aca="false">ROUND(ED3,3)</f>
        <v>93.276</v>
      </c>
      <c r="EJ3" s="51" t="n">
        <f aca="false">ROUND(CV3,3)</f>
        <v>93.357</v>
      </c>
      <c r="EK3" s="0" t="n">
        <f aca="false">RANK(EI3,$EI$2:$EI$881,0)</f>
        <v>2</v>
      </c>
    </row>
    <row r="4" customFormat="false" ht="15" hidden="false" customHeight="false" outlineLevel="0" collapsed="false">
      <c r="A4" s="4" t="n">
        <v>8952</v>
      </c>
      <c r="B4" s="4" t="n">
        <v>669</v>
      </c>
      <c r="C4" s="27" t="s">
        <v>157</v>
      </c>
      <c r="D4" s="31" t="n">
        <v>682</v>
      </c>
      <c r="E4" s="32" t="n">
        <v>230311469</v>
      </c>
      <c r="F4" s="8" t="s">
        <v>158</v>
      </c>
      <c r="G4" s="22" t="s">
        <v>159</v>
      </c>
      <c r="H4" s="22" t="s">
        <v>129</v>
      </c>
      <c r="I4" s="33" t="n">
        <v>2005</v>
      </c>
      <c r="J4" s="32" t="n">
        <v>96</v>
      </c>
      <c r="K4" s="32" t="n">
        <v>93</v>
      </c>
      <c r="L4" s="34" t="n">
        <f aca="false">(K4*70)/100</f>
        <v>65.1</v>
      </c>
      <c r="M4" s="34" t="n">
        <f aca="false">ROUNDUP(L4,0)</f>
        <v>66</v>
      </c>
      <c r="N4" s="32" t="n">
        <v>29</v>
      </c>
      <c r="O4" s="34" t="n">
        <f aca="false">N4+L4</f>
        <v>94.1</v>
      </c>
      <c r="P4" s="34" t="n">
        <f aca="false">N4+M4</f>
        <v>95</v>
      </c>
      <c r="Q4" s="32" t="n">
        <v>89</v>
      </c>
      <c r="R4" s="32" t="n">
        <v>88</v>
      </c>
      <c r="S4" s="34" t="n">
        <f aca="false">(R4*70)/100</f>
        <v>61.6</v>
      </c>
      <c r="T4" s="34" t="n">
        <f aca="false">ROUNDUP(S4,0)</f>
        <v>62</v>
      </c>
      <c r="U4" s="32" t="n">
        <v>29</v>
      </c>
      <c r="V4" s="34" t="n">
        <f aca="false">U4+S4</f>
        <v>90.6</v>
      </c>
      <c r="W4" s="34" t="n">
        <f aca="false">U4+T4</f>
        <v>91</v>
      </c>
      <c r="X4" s="32" t="n">
        <v>89</v>
      </c>
      <c r="Y4" s="34" t="n">
        <f aca="false">(X4*70)/100</f>
        <v>62.3</v>
      </c>
      <c r="Z4" s="34" t="n">
        <f aca="false">ROUNDUP(Y4,0)</f>
        <v>63</v>
      </c>
      <c r="AA4" s="32" t="n">
        <v>30</v>
      </c>
      <c r="AB4" s="34" t="n">
        <f aca="false">AA4+Y4</f>
        <v>92.3</v>
      </c>
      <c r="AC4" s="34" t="n">
        <f aca="false">AA4+Z4</f>
        <v>93</v>
      </c>
      <c r="AD4" s="32" t="n">
        <f aca="false">X4+R4+Q4+K4+J4</f>
        <v>455</v>
      </c>
      <c r="AE4" s="16" t="n">
        <f aca="false">AD4/5</f>
        <v>91</v>
      </c>
      <c r="AF4" s="16" t="n">
        <v>97</v>
      </c>
      <c r="AG4" s="16" t="n">
        <v>98</v>
      </c>
      <c r="AH4" s="16" t="n">
        <v>97</v>
      </c>
      <c r="AI4" s="16" t="n">
        <v>97</v>
      </c>
      <c r="AJ4" s="16" t="n">
        <f aca="false">(AI4*70)/100</f>
        <v>67.9</v>
      </c>
      <c r="AK4" s="35" t="n">
        <f aca="false">ROUNDUP(AJ4,0)</f>
        <v>68</v>
      </c>
      <c r="AL4" s="16" t="n">
        <v>27</v>
      </c>
      <c r="AM4" s="16" t="n">
        <f aca="false">AL4+AJ4</f>
        <v>94.9</v>
      </c>
      <c r="AN4" s="16" t="n">
        <f aca="false">AL4+AK4</f>
        <v>95</v>
      </c>
      <c r="AO4" s="16" t="n">
        <v>94</v>
      </c>
      <c r="AP4" s="36" t="n">
        <f aca="false">(AO4*70)/100</f>
        <v>65.8</v>
      </c>
      <c r="AQ4" s="37" t="n">
        <f aca="false">ROUNDUP(AP4,0)</f>
        <v>66</v>
      </c>
      <c r="AR4" s="16" t="n">
        <v>30</v>
      </c>
      <c r="AS4" s="16" t="n">
        <f aca="false">AR4+AP4</f>
        <v>95.8</v>
      </c>
      <c r="AT4" s="16" t="n">
        <f aca="false">AR4+AQ4</f>
        <v>96</v>
      </c>
      <c r="AU4" s="16" t="n">
        <f aca="false">AO4+AF4+AI4+AH4+AG4</f>
        <v>483</v>
      </c>
      <c r="AV4" s="16" t="n">
        <f aca="false">(AO4+AF4+AI4+AH4+AG4)/5</f>
        <v>96.6</v>
      </c>
      <c r="AW4" s="36" t="n">
        <f aca="false">(AO4+AF4+AI4+AH4+AG4+X4+R4+Q4+K4+J4)</f>
        <v>938</v>
      </c>
      <c r="AX4" s="16" t="n">
        <f aca="false">AW4/10</f>
        <v>93.8</v>
      </c>
      <c r="AY4" s="16" t="n">
        <f aca="false">AS4+AF4+AM4+AH4+AG4+AB4+V4+Q4+O4+J4</f>
        <v>944.7</v>
      </c>
      <c r="AZ4" s="16" t="n">
        <f aca="false">AT4+AF4+AN4+AH4+AG4+AC4+W4+Q4+P4+J4</f>
        <v>947</v>
      </c>
      <c r="BA4" s="16" t="n">
        <f aca="false">AY4/10</f>
        <v>94.47</v>
      </c>
      <c r="BB4" s="16" t="n">
        <f aca="false">AZ4/10</f>
        <v>94.7</v>
      </c>
      <c r="BC4" s="16" t="n">
        <v>2391</v>
      </c>
      <c r="BD4" s="16" t="n">
        <f aca="false">RANK(AX4,$AX$2:$AX$881,0)</f>
        <v>2</v>
      </c>
      <c r="BE4" s="38" t="n">
        <f aca="false">((BC4*100)/2400)*0.4+(AX4*0.6)</f>
        <v>96.13</v>
      </c>
      <c r="BF4" s="16" t="n">
        <f aca="false">RANK(BE4,$BE$2:$BE$881,0)</f>
        <v>1</v>
      </c>
      <c r="BG4" s="39" t="n">
        <f aca="false">RANK(BB4,$BB$2:$BB$881,0)</f>
        <v>1</v>
      </c>
      <c r="BH4" s="39" t="n">
        <f aca="false">RANK(BC4,$BC$2:$BC$881,0)</f>
        <v>37</v>
      </c>
      <c r="BI4" s="22" t="s">
        <v>130</v>
      </c>
      <c r="BJ4" s="22" t="s">
        <v>129</v>
      </c>
      <c r="BK4" s="40" t="s">
        <v>131</v>
      </c>
      <c r="BL4" s="41" t="n">
        <v>24</v>
      </c>
      <c r="BM4" s="41" t="n">
        <v>67</v>
      </c>
      <c r="BN4" s="41" t="n">
        <v>91</v>
      </c>
      <c r="BO4" s="42" t="n">
        <v>28</v>
      </c>
      <c r="BP4" s="43" t="n">
        <v>66</v>
      </c>
      <c r="BQ4" s="44" t="n">
        <v>94</v>
      </c>
      <c r="BR4" s="42" t="n">
        <v>28</v>
      </c>
      <c r="BS4" s="45" t="n">
        <v>67</v>
      </c>
      <c r="BT4" s="45" t="n">
        <v>95</v>
      </c>
      <c r="BU4" s="46" t="n">
        <v>100</v>
      </c>
      <c r="BV4" s="47" t="n">
        <v>96</v>
      </c>
      <c r="BW4" s="42" t="n">
        <v>100</v>
      </c>
      <c r="BX4" s="48" t="n">
        <v>94</v>
      </c>
      <c r="BY4" s="32" t="n">
        <v>28</v>
      </c>
      <c r="BZ4" s="32" t="n">
        <v>63</v>
      </c>
      <c r="CA4" s="32" t="n">
        <v>91</v>
      </c>
      <c r="CB4" s="32" t="n">
        <v>22</v>
      </c>
      <c r="CC4" s="32" t="n">
        <v>55</v>
      </c>
      <c r="CD4" s="32" t="n">
        <v>77</v>
      </c>
      <c r="CE4" s="32" t="n">
        <v>26</v>
      </c>
      <c r="CF4" s="32" t="n">
        <v>66</v>
      </c>
      <c r="CG4" s="32" t="n">
        <v>92</v>
      </c>
      <c r="CH4" s="32" t="n">
        <v>99</v>
      </c>
      <c r="CI4" s="32" t="n">
        <v>100</v>
      </c>
      <c r="CJ4" s="49" t="n">
        <v>24</v>
      </c>
      <c r="CK4" s="49" t="n">
        <v>66</v>
      </c>
      <c r="CL4" s="49" t="n">
        <v>90</v>
      </c>
      <c r="CM4" s="49" t="n">
        <v>22</v>
      </c>
      <c r="CN4" s="49" t="n">
        <v>60</v>
      </c>
      <c r="CO4" s="49" t="n">
        <v>82</v>
      </c>
      <c r="CP4" s="25" t="n">
        <f aca="false">BX4+BW4+BV4+BU4+BT4+BQ4+BN4</f>
        <v>670</v>
      </c>
      <c r="CQ4" s="25" t="n">
        <f aca="false">CO4+CL4+CI4+CH4+CG4+CD4+CA4</f>
        <v>631</v>
      </c>
      <c r="CR4" s="26" t="n">
        <f aca="false">CP4/7</f>
        <v>95.7142857142857</v>
      </c>
      <c r="CS4" s="26" t="n">
        <f aca="false">CQ4/7</f>
        <v>90.1428571428571</v>
      </c>
      <c r="CT4" s="24" t="n">
        <f aca="false">RANK(CR4,$CR$2:$CR$881,0)</f>
        <v>7</v>
      </c>
      <c r="CU4" s="25" t="n">
        <f aca="false">RANK(CS4,$CS$2:$CS$881,0)</f>
        <v>23</v>
      </c>
      <c r="CV4" s="26" t="n">
        <f aca="false">(CS4+CR4)/2</f>
        <v>92.9285714285714</v>
      </c>
      <c r="CW4" s="25" t="n">
        <f aca="false">RANK(CV4,$CV$2:$CV$881,0)</f>
        <v>10</v>
      </c>
      <c r="CX4" s="50" t="n">
        <f aca="false">(CV4+BB4)/2</f>
        <v>93.8142857142857</v>
      </c>
      <c r="CY4" s="50" t="n">
        <v>2</v>
      </c>
      <c r="CZ4" s="27" t="s">
        <v>132</v>
      </c>
      <c r="DA4" s="27" t="s">
        <v>133</v>
      </c>
      <c r="DB4" s="27" t="s">
        <v>133</v>
      </c>
      <c r="DC4" s="27" t="s">
        <v>134</v>
      </c>
      <c r="DD4" s="27" t="s">
        <v>160</v>
      </c>
      <c r="DE4" s="27" t="s">
        <v>161</v>
      </c>
      <c r="DF4" s="27" t="s">
        <v>162</v>
      </c>
      <c r="DG4" s="27" t="s">
        <v>134</v>
      </c>
      <c r="DH4" s="27" t="s">
        <v>154</v>
      </c>
      <c r="DI4" s="27" t="s">
        <v>141</v>
      </c>
      <c r="DJ4" s="27" t="s">
        <v>153</v>
      </c>
      <c r="DK4" s="27" t="s">
        <v>134</v>
      </c>
      <c r="DL4" s="27" t="s">
        <v>160</v>
      </c>
      <c r="DM4" s="27" t="s">
        <v>163</v>
      </c>
      <c r="DN4" s="27" t="s">
        <v>151</v>
      </c>
      <c r="DO4" s="27" t="s">
        <v>134</v>
      </c>
      <c r="DP4" s="27" t="s">
        <v>164</v>
      </c>
      <c r="DQ4" s="27" t="s">
        <v>161</v>
      </c>
      <c r="DR4" s="27" t="s">
        <v>133</v>
      </c>
      <c r="DS4" s="27" t="s">
        <v>134</v>
      </c>
      <c r="DT4" s="27" t="s">
        <v>146</v>
      </c>
      <c r="DU4" s="27" t="s">
        <v>152</v>
      </c>
      <c r="DV4" s="27" t="s">
        <v>156</v>
      </c>
      <c r="DW4" s="27" t="s">
        <v>146</v>
      </c>
      <c r="DX4" s="27" t="s">
        <v>155</v>
      </c>
      <c r="DY4" s="27" t="s">
        <v>165</v>
      </c>
      <c r="DZ4" s="27" t="n">
        <f aca="false">DY4+DV4+DR4+DN4+DJ4+DF4+DB4</f>
        <v>642</v>
      </c>
      <c r="EA4" s="28" t="n">
        <f aca="false">DZ4/7</f>
        <v>91.7142857142857</v>
      </c>
      <c r="EB4" s="27" t="n">
        <f aca="false">RANK(EA4,$EA$2:$EA$881,0)</f>
        <v>22</v>
      </c>
      <c r="EC4" s="29" t="n">
        <f aca="false">DZ4+CQ4+CP4+AZ4</f>
        <v>2890</v>
      </c>
      <c r="ED4" s="30" t="n">
        <f aca="false">(EA4+CV4+BB4)/3</f>
        <v>93.1142857142857</v>
      </c>
      <c r="EE4" s="51" t="n">
        <f aca="false">ROUND(BE4,3)</f>
        <v>96.13</v>
      </c>
      <c r="EF4" s="51" t="n">
        <f aca="false">ROUND(CR4,3)</f>
        <v>95.714</v>
      </c>
      <c r="EG4" s="51" t="n">
        <f aca="false">ROUND(CS4,3)</f>
        <v>90.143</v>
      </c>
      <c r="EH4" s="51" t="n">
        <f aca="false">ROUND(EA4,3)</f>
        <v>91.714</v>
      </c>
      <c r="EI4" s="51" t="n">
        <f aca="false">ROUND(ED4,3)</f>
        <v>93.114</v>
      </c>
      <c r="EJ4" s="51" t="n">
        <f aca="false">ROUND(CV4,3)</f>
        <v>92.929</v>
      </c>
      <c r="EK4" s="0" t="n">
        <f aca="false">RANK(EI4,$EI$2:$EI$881,0)</f>
        <v>3</v>
      </c>
    </row>
    <row r="5" customFormat="false" ht="15" hidden="false" customHeight="false" outlineLevel="0" collapsed="false">
      <c r="A5" s="4" t="n">
        <v>8570</v>
      </c>
      <c r="B5" s="4" t="n">
        <v>277</v>
      </c>
      <c r="C5" s="27" t="s">
        <v>166</v>
      </c>
      <c r="D5" s="31" t="n">
        <v>276</v>
      </c>
      <c r="E5" s="32" t="n">
        <v>230311306</v>
      </c>
      <c r="F5" s="8" t="s">
        <v>167</v>
      </c>
      <c r="G5" s="22" t="s">
        <v>168</v>
      </c>
      <c r="H5" s="22" t="s">
        <v>129</v>
      </c>
      <c r="I5" s="33" t="n">
        <v>2005</v>
      </c>
      <c r="J5" s="32" t="n">
        <v>93</v>
      </c>
      <c r="K5" s="32" t="n">
        <v>94</v>
      </c>
      <c r="L5" s="34" t="n">
        <f aca="false">(K5*70)/100</f>
        <v>65.8</v>
      </c>
      <c r="M5" s="34" t="n">
        <f aca="false">ROUNDUP(L5,0)</f>
        <v>66</v>
      </c>
      <c r="N5" s="32" t="n">
        <v>29</v>
      </c>
      <c r="O5" s="34" t="n">
        <f aca="false">N5+L5</f>
        <v>94.8</v>
      </c>
      <c r="P5" s="34" t="n">
        <f aca="false">N5+M5</f>
        <v>95</v>
      </c>
      <c r="Q5" s="32" t="n">
        <v>89</v>
      </c>
      <c r="R5" s="32" t="n">
        <v>83</v>
      </c>
      <c r="S5" s="34" t="n">
        <f aca="false">(R5*70)/100</f>
        <v>58.1</v>
      </c>
      <c r="T5" s="34" t="n">
        <f aca="false">ROUNDUP(S5,0)</f>
        <v>59</v>
      </c>
      <c r="U5" s="32" t="n">
        <v>29</v>
      </c>
      <c r="V5" s="34" t="n">
        <f aca="false">U5+S5</f>
        <v>87.1</v>
      </c>
      <c r="W5" s="34" t="n">
        <f aca="false">U5+T5</f>
        <v>88</v>
      </c>
      <c r="X5" s="32" t="n">
        <v>89</v>
      </c>
      <c r="Y5" s="34" t="n">
        <f aca="false">(X5*70)/100</f>
        <v>62.3</v>
      </c>
      <c r="Z5" s="34" t="n">
        <f aca="false">ROUNDUP(Y5,0)</f>
        <v>63</v>
      </c>
      <c r="AA5" s="32" t="n">
        <v>26</v>
      </c>
      <c r="AB5" s="34" t="n">
        <f aca="false">AA5+Y5</f>
        <v>88.3</v>
      </c>
      <c r="AC5" s="34" t="n">
        <f aca="false">AA5+Z5</f>
        <v>89</v>
      </c>
      <c r="AD5" s="32" t="n">
        <f aca="false">X5+R5+Q5+K5+J5</f>
        <v>448</v>
      </c>
      <c r="AE5" s="16" t="n">
        <f aca="false">AD5/5</f>
        <v>89.6</v>
      </c>
      <c r="AF5" s="16" t="n">
        <v>91</v>
      </c>
      <c r="AG5" s="16" t="n">
        <v>95</v>
      </c>
      <c r="AH5" s="16" t="n">
        <v>98</v>
      </c>
      <c r="AI5" s="16" t="n">
        <v>98</v>
      </c>
      <c r="AJ5" s="16" t="n">
        <f aca="false">(AI5*70)/100</f>
        <v>68.6</v>
      </c>
      <c r="AK5" s="35" t="n">
        <f aca="false">ROUNDUP(AJ5,0)</f>
        <v>69</v>
      </c>
      <c r="AL5" s="16" t="n">
        <v>30</v>
      </c>
      <c r="AM5" s="16" t="n">
        <f aca="false">AL5+AJ5</f>
        <v>98.6</v>
      </c>
      <c r="AN5" s="16" t="n">
        <f aca="false">AL5+AK5</f>
        <v>99</v>
      </c>
      <c r="AO5" s="16" t="n">
        <v>91</v>
      </c>
      <c r="AP5" s="36" t="n">
        <f aca="false">(AO5*70)/100</f>
        <v>63.7</v>
      </c>
      <c r="AQ5" s="37" t="n">
        <f aca="false">ROUNDUP(AP5,0)</f>
        <v>64</v>
      </c>
      <c r="AR5" s="16" t="n">
        <v>28</v>
      </c>
      <c r="AS5" s="16" t="n">
        <f aca="false">AR5+AP5</f>
        <v>91.7</v>
      </c>
      <c r="AT5" s="16" t="n">
        <f aca="false">AR5+AQ5</f>
        <v>92</v>
      </c>
      <c r="AU5" s="16" t="n">
        <f aca="false">AO5+AF5+AI5+AH5+AG5</f>
        <v>473</v>
      </c>
      <c r="AV5" s="16" t="n">
        <f aca="false">(AO5+AF5+AI5+AH5+AG5)/5</f>
        <v>94.6</v>
      </c>
      <c r="AW5" s="36" t="n">
        <f aca="false">(AO5+AF5+AI5+AH5+AG5+X5+R5+Q5+K5+J5)</f>
        <v>921</v>
      </c>
      <c r="AX5" s="16" t="n">
        <f aca="false">AW5/10</f>
        <v>92.1</v>
      </c>
      <c r="AY5" s="16" t="n">
        <f aca="false">AS5+AF5+AM5+AH5+AG5+AB5+V5+Q5+O5+J5</f>
        <v>926.5</v>
      </c>
      <c r="AZ5" s="16" t="n">
        <f aca="false">AT5+AF5+AN5+AH5+AG5+AC5+W5+Q5+P5+J5</f>
        <v>929</v>
      </c>
      <c r="BA5" s="16" t="n">
        <f aca="false">AY5/10</f>
        <v>92.65</v>
      </c>
      <c r="BB5" s="16" t="n">
        <f aca="false">AZ5/10</f>
        <v>92.9</v>
      </c>
      <c r="BC5" s="16" t="n">
        <v>2393</v>
      </c>
      <c r="BD5" s="16" t="n">
        <f aca="false">RANK(AX5,$AX$2:$AX$881,0)</f>
        <v>9</v>
      </c>
      <c r="BE5" s="38" t="n">
        <f aca="false">((BC5*100)/2400)*0.4+(AX5*0.6)</f>
        <v>95.1433333333333</v>
      </c>
      <c r="BF5" s="16" t="n">
        <f aca="false">RANK(BE5,$BE$2:$BE$881,0)</f>
        <v>6</v>
      </c>
      <c r="BG5" s="39" t="n">
        <f aca="false">RANK(BB5,$BB$2:$BB$881,0)</f>
        <v>5</v>
      </c>
      <c r="BH5" s="39" t="n">
        <f aca="false">RANK(BC5,$BC$2:$BC$881,0)</f>
        <v>21</v>
      </c>
      <c r="BI5" s="22" t="s">
        <v>130</v>
      </c>
      <c r="BJ5" s="22" t="s">
        <v>129</v>
      </c>
      <c r="BK5" s="40" t="s">
        <v>131</v>
      </c>
      <c r="BL5" s="41" t="n">
        <v>28</v>
      </c>
      <c r="BM5" s="41" t="n">
        <v>66</v>
      </c>
      <c r="BN5" s="41" t="n">
        <v>94</v>
      </c>
      <c r="BO5" s="42" t="n">
        <v>27</v>
      </c>
      <c r="BP5" s="43" t="n">
        <v>68</v>
      </c>
      <c r="BQ5" s="44" t="n">
        <v>95</v>
      </c>
      <c r="BR5" s="42" t="n">
        <v>25</v>
      </c>
      <c r="BS5" s="45" t="n">
        <v>66</v>
      </c>
      <c r="BT5" s="45" t="n">
        <v>91</v>
      </c>
      <c r="BU5" s="46" t="n">
        <v>100</v>
      </c>
      <c r="BV5" s="47" t="n">
        <v>98</v>
      </c>
      <c r="BW5" s="42" t="n">
        <v>99</v>
      </c>
      <c r="BX5" s="48" t="n">
        <v>98</v>
      </c>
      <c r="BY5" s="32" t="n">
        <v>28</v>
      </c>
      <c r="BZ5" s="32" t="n">
        <v>65</v>
      </c>
      <c r="CA5" s="32" t="n">
        <v>93</v>
      </c>
      <c r="CB5" s="32" t="n">
        <v>27</v>
      </c>
      <c r="CC5" s="32" t="n">
        <v>53</v>
      </c>
      <c r="CD5" s="32" t="n">
        <v>80</v>
      </c>
      <c r="CE5" s="32" t="n">
        <v>27</v>
      </c>
      <c r="CF5" s="32" t="n">
        <v>66</v>
      </c>
      <c r="CG5" s="32" t="n">
        <v>93</v>
      </c>
      <c r="CH5" s="32" t="n">
        <v>98</v>
      </c>
      <c r="CI5" s="32" t="n">
        <v>100</v>
      </c>
      <c r="CJ5" s="49" t="n">
        <v>29</v>
      </c>
      <c r="CK5" s="49" t="n">
        <v>61</v>
      </c>
      <c r="CL5" s="49" t="n">
        <v>90</v>
      </c>
      <c r="CM5" s="49" t="n">
        <v>28</v>
      </c>
      <c r="CN5" s="49" t="n">
        <v>61</v>
      </c>
      <c r="CO5" s="49" t="n">
        <v>89</v>
      </c>
      <c r="CP5" s="25" t="n">
        <f aca="false">BX5+BW5+BV5+BU5+BT5+BQ5+BN5</f>
        <v>675</v>
      </c>
      <c r="CQ5" s="25" t="n">
        <f aca="false">CO5+CL5+CI5+CH5+CG5+CD5+CA5</f>
        <v>643</v>
      </c>
      <c r="CR5" s="26" t="n">
        <f aca="false">CP5/7</f>
        <v>96.4285714285714</v>
      </c>
      <c r="CS5" s="26" t="n">
        <f aca="false">CQ5/7</f>
        <v>91.8571428571429</v>
      </c>
      <c r="CT5" s="24" t="n">
        <f aca="false">RANK(CR5,$CR$2:$CR$881,0)</f>
        <v>2</v>
      </c>
      <c r="CU5" s="25" t="n">
        <f aca="false">RANK(CS5,$CS$2:$CS$881,0)</f>
        <v>7</v>
      </c>
      <c r="CV5" s="26" t="n">
        <f aca="false">(CS5+CR5)/2</f>
        <v>94.1428571428571</v>
      </c>
      <c r="CW5" s="25" t="n">
        <f aca="false">RANK(CV5,$CV$2:$CV$881,0)</f>
        <v>2</v>
      </c>
      <c r="CX5" s="50" t="n">
        <f aca="false">(CV5+BB5)/2</f>
        <v>93.5214285714286</v>
      </c>
      <c r="CY5" s="50" t="n">
        <v>3</v>
      </c>
      <c r="CZ5" s="27" t="s">
        <v>132</v>
      </c>
      <c r="DA5" s="27" t="s">
        <v>169</v>
      </c>
      <c r="DB5" s="27" t="s">
        <v>169</v>
      </c>
      <c r="DC5" s="27" t="s">
        <v>134</v>
      </c>
      <c r="DD5" s="27" t="s">
        <v>164</v>
      </c>
      <c r="DE5" s="27" t="s">
        <v>152</v>
      </c>
      <c r="DF5" s="27" t="s">
        <v>170</v>
      </c>
      <c r="DG5" s="27" t="s">
        <v>134</v>
      </c>
      <c r="DH5" s="27" t="s">
        <v>137</v>
      </c>
      <c r="DI5" s="27" t="s">
        <v>143</v>
      </c>
      <c r="DJ5" s="27" t="s">
        <v>156</v>
      </c>
      <c r="DK5" s="27" t="s">
        <v>134</v>
      </c>
      <c r="DL5" s="27" t="s">
        <v>160</v>
      </c>
      <c r="DM5" s="27" t="s">
        <v>161</v>
      </c>
      <c r="DN5" s="27" t="s">
        <v>162</v>
      </c>
      <c r="DO5" s="27" t="s">
        <v>134</v>
      </c>
      <c r="DP5" s="27" t="s">
        <v>160</v>
      </c>
      <c r="DQ5" s="27" t="s">
        <v>163</v>
      </c>
      <c r="DR5" s="27" t="s">
        <v>151</v>
      </c>
      <c r="DS5" s="27" t="s">
        <v>134</v>
      </c>
      <c r="DT5" s="27" t="s">
        <v>140</v>
      </c>
      <c r="DU5" s="27" t="s">
        <v>138</v>
      </c>
      <c r="DV5" s="27" t="s">
        <v>145</v>
      </c>
      <c r="DW5" s="27" t="s">
        <v>160</v>
      </c>
      <c r="DX5" s="27" t="s">
        <v>155</v>
      </c>
      <c r="DY5" s="27" t="s">
        <v>145</v>
      </c>
      <c r="DZ5" s="27" t="n">
        <f aca="false">DY5+DV5+DR5+DN5+DJ5+DF5+DB5</f>
        <v>646</v>
      </c>
      <c r="EA5" s="28" t="n">
        <f aca="false">DZ5/7</f>
        <v>92.2857142857143</v>
      </c>
      <c r="EB5" s="27" t="n">
        <f aca="false">RANK(EA5,$EA$2:$EA$881,0)</f>
        <v>12</v>
      </c>
      <c r="EC5" s="29" t="n">
        <f aca="false">DZ5+CQ5+CP5+AZ5</f>
        <v>2893</v>
      </c>
      <c r="ED5" s="30" t="n">
        <f aca="false">(EA5+CV5+BB5)/3</f>
        <v>93.1095238095238</v>
      </c>
      <c r="EE5" s="51" t="n">
        <f aca="false">ROUND(BE5,3)</f>
        <v>95.143</v>
      </c>
      <c r="EF5" s="51" t="n">
        <f aca="false">ROUND(CR5,3)</f>
        <v>96.429</v>
      </c>
      <c r="EG5" s="51" t="n">
        <f aca="false">ROUND(CS5,3)</f>
        <v>91.857</v>
      </c>
      <c r="EH5" s="51" t="n">
        <f aca="false">ROUND(EA5,3)</f>
        <v>92.286</v>
      </c>
      <c r="EI5" s="51" t="n">
        <f aca="false">ROUND(ED5,3)</f>
        <v>93.11</v>
      </c>
      <c r="EJ5" s="51" t="n">
        <f aca="false">ROUND(CV5,3)</f>
        <v>94.143</v>
      </c>
      <c r="EK5" s="0" t="n">
        <f aca="false">RANK(EI5,$EI$2:$EI$881,0)</f>
        <v>4</v>
      </c>
    </row>
    <row r="6" customFormat="false" ht="15" hidden="false" customHeight="false" outlineLevel="0" collapsed="false">
      <c r="A6" s="4" t="n">
        <v>8718</v>
      </c>
      <c r="B6" s="4" t="n">
        <v>5</v>
      </c>
      <c r="C6" s="27" t="s">
        <v>171</v>
      </c>
      <c r="D6" s="52" t="n">
        <v>7</v>
      </c>
      <c r="E6" s="32" t="n">
        <v>230311434</v>
      </c>
      <c r="F6" s="8" t="s">
        <v>172</v>
      </c>
      <c r="G6" s="22" t="s">
        <v>173</v>
      </c>
      <c r="H6" s="22" t="s">
        <v>129</v>
      </c>
      <c r="I6" s="33" t="n">
        <v>2005</v>
      </c>
      <c r="J6" s="32" t="n">
        <v>92</v>
      </c>
      <c r="K6" s="32" t="n">
        <v>93</v>
      </c>
      <c r="L6" s="34" t="n">
        <f aca="false">(K6*70)/100</f>
        <v>65.1</v>
      </c>
      <c r="M6" s="34" t="n">
        <f aca="false">ROUNDUP(L6,0)</f>
        <v>66</v>
      </c>
      <c r="N6" s="32" t="n">
        <v>30</v>
      </c>
      <c r="O6" s="34" t="n">
        <f aca="false">N6+L6</f>
        <v>95.1</v>
      </c>
      <c r="P6" s="34" t="n">
        <f aca="false">N6+M6</f>
        <v>96</v>
      </c>
      <c r="Q6" s="32" t="n">
        <v>90</v>
      </c>
      <c r="R6" s="32" t="n">
        <v>90</v>
      </c>
      <c r="S6" s="34" t="n">
        <f aca="false">(R6*70)/100</f>
        <v>63</v>
      </c>
      <c r="T6" s="34" t="n">
        <f aca="false">ROUNDUP(S6,0)</f>
        <v>63</v>
      </c>
      <c r="U6" s="32" t="n">
        <v>26</v>
      </c>
      <c r="V6" s="34" t="n">
        <f aca="false">U6+S6</f>
        <v>89</v>
      </c>
      <c r="W6" s="34" t="n">
        <f aca="false">U6+T6</f>
        <v>89</v>
      </c>
      <c r="X6" s="32" t="n">
        <v>97</v>
      </c>
      <c r="Y6" s="34" t="n">
        <f aca="false">(X6*70)/100</f>
        <v>67.9</v>
      </c>
      <c r="Z6" s="34" t="n">
        <f aca="false">ROUNDUP(Y6,0)</f>
        <v>68</v>
      </c>
      <c r="AA6" s="32" t="n">
        <v>28</v>
      </c>
      <c r="AB6" s="34" t="n">
        <f aca="false">AA6+Y6</f>
        <v>95.9</v>
      </c>
      <c r="AC6" s="34" t="n">
        <f aca="false">AA6+Z6</f>
        <v>96</v>
      </c>
      <c r="AD6" s="32" t="n">
        <f aca="false">X6+R6+Q6+K6+J6</f>
        <v>462</v>
      </c>
      <c r="AE6" s="16" t="n">
        <f aca="false">AD6/5</f>
        <v>92.4</v>
      </c>
      <c r="AF6" s="16" t="n">
        <v>87</v>
      </c>
      <c r="AG6" s="16" t="n">
        <v>92</v>
      </c>
      <c r="AH6" s="16" t="n">
        <v>98</v>
      </c>
      <c r="AI6" s="16" t="n">
        <v>97</v>
      </c>
      <c r="AJ6" s="16" t="n">
        <f aca="false">(AI6*70)/100</f>
        <v>67.9</v>
      </c>
      <c r="AK6" s="35" t="n">
        <f aca="false">ROUNDUP(AJ6,0)</f>
        <v>68</v>
      </c>
      <c r="AL6" s="16" t="n">
        <v>27</v>
      </c>
      <c r="AM6" s="16" t="n">
        <f aca="false">AL6+AJ6</f>
        <v>94.9</v>
      </c>
      <c r="AN6" s="16" t="n">
        <f aca="false">AL6+AK6</f>
        <v>95</v>
      </c>
      <c r="AO6" s="16" t="n">
        <v>89</v>
      </c>
      <c r="AP6" s="36" t="n">
        <f aca="false">(AO6*70)/100</f>
        <v>62.3</v>
      </c>
      <c r="AQ6" s="37" t="n">
        <f aca="false">ROUNDUP(AP6,0)</f>
        <v>63</v>
      </c>
      <c r="AR6" s="16" t="n">
        <v>30</v>
      </c>
      <c r="AS6" s="16" t="n">
        <f aca="false">AR6+AP6</f>
        <v>92.3</v>
      </c>
      <c r="AT6" s="16" t="n">
        <f aca="false">AR6+AQ6</f>
        <v>93</v>
      </c>
      <c r="AU6" s="16" t="n">
        <f aca="false">AO6+AF6+AI6+AH6+AG6</f>
        <v>463</v>
      </c>
      <c r="AV6" s="16" t="n">
        <f aca="false">(AO6+AF6+AI6+AH6+AG6)/5</f>
        <v>92.6</v>
      </c>
      <c r="AW6" s="36" t="n">
        <f aca="false">(AO6+AF6+AI6+AH6+AG6+X6+R6+Q6+K6+J6)</f>
        <v>925</v>
      </c>
      <c r="AX6" s="16" t="n">
        <f aca="false">AW6/10</f>
        <v>92.5</v>
      </c>
      <c r="AY6" s="16" t="n">
        <f aca="false">AS6+AF6+AM6+AH6+AG6+AB6+V6+Q6+O6+J6</f>
        <v>926.2</v>
      </c>
      <c r="AZ6" s="16" t="n">
        <f aca="false">AT6+AF6+AN6+AH6+AG6+AC6+W6+Q6+P6+J6</f>
        <v>928</v>
      </c>
      <c r="BA6" s="16" t="n">
        <f aca="false">AY6/10</f>
        <v>92.62</v>
      </c>
      <c r="BB6" s="16" t="n">
        <f aca="false">AZ6/10</f>
        <v>92.8</v>
      </c>
      <c r="BC6" s="16" t="n">
        <v>2398</v>
      </c>
      <c r="BD6" s="16" t="n">
        <f aca="false">RANK(AX6,$AX$2:$AX$881,0)</f>
        <v>5</v>
      </c>
      <c r="BE6" s="38" t="n">
        <f aca="false">((BC6*100)/2400)*0.4+(AX6*0.6)</f>
        <v>95.4666666666667</v>
      </c>
      <c r="BF6" s="16" t="n">
        <f aca="false">RANK(BE6,$BE$2:$BE$881,0)</f>
        <v>4</v>
      </c>
      <c r="BG6" s="39" t="n">
        <f aca="false">RANK(BB6,$BB$2:$BB$881,0)</f>
        <v>6</v>
      </c>
      <c r="BH6" s="39" t="n">
        <f aca="false">RANK(BC6,$BC$2:$BC$881,0)</f>
        <v>8</v>
      </c>
      <c r="BI6" s="22" t="s">
        <v>130</v>
      </c>
      <c r="BJ6" s="22" t="s">
        <v>129</v>
      </c>
      <c r="BK6" s="40" t="s">
        <v>131</v>
      </c>
      <c r="BL6" s="41" t="n">
        <v>25</v>
      </c>
      <c r="BM6" s="41" t="n">
        <v>64</v>
      </c>
      <c r="BN6" s="41" t="n">
        <v>89</v>
      </c>
      <c r="BO6" s="42" t="n">
        <v>28</v>
      </c>
      <c r="BP6" s="53" t="n">
        <v>69</v>
      </c>
      <c r="BQ6" s="44" t="n">
        <v>97</v>
      </c>
      <c r="BR6" s="42" t="n">
        <v>27</v>
      </c>
      <c r="BS6" s="45" t="n">
        <v>63</v>
      </c>
      <c r="BT6" s="45" t="n">
        <v>90</v>
      </c>
      <c r="BU6" s="46" t="n">
        <v>100</v>
      </c>
      <c r="BV6" s="47" t="n">
        <v>90</v>
      </c>
      <c r="BW6" s="42" t="n">
        <v>100</v>
      </c>
      <c r="BX6" s="48" t="n">
        <v>98</v>
      </c>
      <c r="BY6" s="32" t="n">
        <v>28</v>
      </c>
      <c r="BZ6" s="32" t="n">
        <v>68</v>
      </c>
      <c r="CA6" s="32" t="n">
        <v>96</v>
      </c>
      <c r="CB6" s="32" t="n">
        <v>27</v>
      </c>
      <c r="CC6" s="32" t="n">
        <v>60</v>
      </c>
      <c r="CD6" s="32" t="n">
        <v>87</v>
      </c>
      <c r="CE6" s="32" t="n">
        <v>25</v>
      </c>
      <c r="CF6" s="32" t="n">
        <v>66</v>
      </c>
      <c r="CG6" s="32" t="n">
        <v>91</v>
      </c>
      <c r="CH6" s="32" t="n">
        <v>100</v>
      </c>
      <c r="CI6" s="32" t="n">
        <v>99</v>
      </c>
      <c r="CJ6" s="49" t="n">
        <v>29</v>
      </c>
      <c r="CK6" s="49" t="n">
        <v>65</v>
      </c>
      <c r="CL6" s="49" t="n">
        <v>94</v>
      </c>
      <c r="CM6" s="49" t="n">
        <v>26</v>
      </c>
      <c r="CN6" s="49" t="n">
        <v>56</v>
      </c>
      <c r="CO6" s="49" t="n">
        <v>82</v>
      </c>
      <c r="CP6" s="25" t="n">
        <f aca="false">BX6+BW6+BV6+BU6+BT6+BQ6+BN6</f>
        <v>664</v>
      </c>
      <c r="CQ6" s="25" t="n">
        <f aca="false">CO6+CL6+CI6+CH6+CG6+CD6+CA6</f>
        <v>649</v>
      </c>
      <c r="CR6" s="26" t="n">
        <f aca="false">CP6/7</f>
        <v>94.8571428571429</v>
      </c>
      <c r="CS6" s="26" t="n">
        <f aca="false">CQ6/7</f>
        <v>92.7142857142857</v>
      </c>
      <c r="CT6" s="24" t="n">
        <f aca="false">RANK(CR6,$CR$2:$CR$881,0)</f>
        <v>12</v>
      </c>
      <c r="CU6" s="25" t="n">
        <f aca="false">RANK(CS6,$CS$2:$CS$881,0)</f>
        <v>2</v>
      </c>
      <c r="CV6" s="26" t="n">
        <f aca="false">(CS6+CR6)/2</f>
        <v>93.7857142857143</v>
      </c>
      <c r="CW6" s="25" t="n">
        <f aca="false">RANK(CV6,$CV$2:$CV$881,0)</f>
        <v>3</v>
      </c>
      <c r="CX6" s="50" t="n">
        <f aca="false">(CV6+BB6)/2</f>
        <v>93.2928571428571</v>
      </c>
      <c r="CY6" s="50" t="n">
        <v>5</v>
      </c>
      <c r="CZ6" s="27" t="s">
        <v>132</v>
      </c>
      <c r="DA6" s="27" t="s">
        <v>151</v>
      </c>
      <c r="DB6" s="27" t="s">
        <v>151</v>
      </c>
      <c r="DC6" s="27" t="s">
        <v>134</v>
      </c>
      <c r="DD6" s="27" t="s">
        <v>174</v>
      </c>
      <c r="DE6" s="27" t="s">
        <v>136</v>
      </c>
      <c r="DF6" s="27" t="s">
        <v>175</v>
      </c>
      <c r="DG6" s="27" t="s">
        <v>134</v>
      </c>
      <c r="DH6" s="27" t="s">
        <v>164</v>
      </c>
      <c r="DI6" s="27" t="s">
        <v>143</v>
      </c>
      <c r="DJ6" s="27" t="s">
        <v>139</v>
      </c>
      <c r="DK6" s="27" t="s">
        <v>134</v>
      </c>
      <c r="DL6" s="27" t="s">
        <v>160</v>
      </c>
      <c r="DM6" s="27" t="s">
        <v>152</v>
      </c>
      <c r="DN6" s="27" t="s">
        <v>176</v>
      </c>
      <c r="DO6" s="27" t="s">
        <v>134</v>
      </c>
      <c r="DP6" s="27" t="s">
        <v>164</v>
      </c>
      <c r="DQ6" s="27" t="s">
        <v>177</v>
      </c>
      <c r="DR6" s="27" t="s">
        <v>178</v>
      </c>
      <c r="DS6" s="27" t="s">
        <v>134</v>
      </c>
      <c r="DT6" s="27" t="s">
        <v>160</v>
      </c>
      <c r="DU6" s="27" t="s">
        <v>136</v>
      </c>
      <c r="DV6" s="27" t="s">
        <v>170</v>
      </c>
      <c r="DW6" s="27" t="s">
        <v>146</v>
      </c>
      <c r="DX6" s="27" t="s">
        <v>155</v>
      </c>
      <c r="DY6" s="27" t="s">
        <v>165</v>
      </c>
      <c r="DZ6" s="27" t="n">
        <f aca="false">DY6+DV6+DR6+DN6+DJ6+DF6+DB6</f>
        <v>643</v>
      </c>
      <c r="EA6" s="28" t="n">
        <f aca="false">DZ6/7</f>
        <v>91.8571428571429</v>
      </c>
      <c r="EB6" s="27" t="n">
        <f aca="false">RANK(EA6,$EA$2:$EA$881,0)</f>
        <v>18</v>
      </c>
      <c r="EC6" s="29" t="n">
        <f aca="false">DZ6+CQ6+CP6+AZ6</f>
        <v>2884</v>
      </c>
      <c r="ED6" s="30" t="n">
        <f aca="false">(EA6+CV6+BB6)/3</f>
        <v>92.8142857142857</v>
      </c>
      <c r="EE6" s="51" t="n">
        <f aca="false">ROUND(BE6,3)</f>
        <v>95.467</v>
      </c>
      <c r="EF6" s="51" t="n">
        <f aca="false">ROUND(CR6,3)</f>
        <v>94.857</v>
      </c>
      <c r="EG6" s="51" t="n">
        <f aca="false">ROUND(CS6,3)</f>
        <v>92.714</v>
      </c>
      <c r="EH6" s="51" t="n">
        <f aca="false">ROUND(EA6,3)</f>
        <v>91.857</v>
      </c>
      <c r="EI6" s="51" t="n">
        <f aca="false">ROUND(ED6,3)</f>
        <v>92.814</v>
      </c>
      <c r="EJ6" s="51" t="n">
        <f aca="false">ROUND(CV6,3)</f>
        <v>93.786</v>
      </c>
      <c r="EK6" s="0" t="n">
        <f aca="false">RANK(EI6,$EI$2:$EI$881,0)</f>
        <v>5</v>
      </c>
    </row>
    <row r="7" customFormat="false" ht="15" hidden="false" customHeight="false" outlineLevel="0" collapsed="false">
      <c r="A7" s="4" t="n">
        <v>9076</v>
      </c>
      <c r="B7" s="4" t="n">
        <v>401</v>
      </c>
      <c r="C7" s="27" t="s">
        <v>179</v>
      </c>
      <c r="D7" s="31" t="n">
        <v>406</v>
      </c>
      <c r="E7" s="32" t="n">
        <v>230318505</v>
      </c>
      <c r="F7" s="8" t="s">
        <v>180</v>
      </c>
      <c r="G7" s="22" t="s">
        <v>181</v>
      </c>
      <c r="H7" s="22" t="s">
        <v>129</v>
      </c>
      <c r="I7" s="33" t="n">
        <v>2004</v>
      </c>
      <c r="J7" s="32" t="n">
        <v>97</v>
      </c>
      <c r="K7" s="32" t="n">
        <v>95</v>
      </c>
      <c r="L7" s="34" t="n">
        <f aca="false">(K7*70)/100</f>
        <v>66.5</v>
      </c>
      <c r="M7" s="34" t="n">
        <f aca="false">ROUNDUP(L7,0)</f>
        <v>67</v>
      </c>
      <c r="N7" s="32" t="n">
        <v>30</v>
      </c>
      <c r="O7" s="34" t="n">
        <f aca="false">N7+L7</f>
        <v>96.5</v>
      </c>
      <c r="P7" s="34" t="n">
        <f aca="false">N7+M7</f>
        <v>97</v>
      </c>
      <c r="Q7" s="32" t="n">
        <v>95</v>
      </c>
      <c r="R7" s="32" t="n">
        <v>98</v>
      </c>
      <c r="S7" s="34" t="n">
        <f aca="false">(R7*70)/100</f>
        <v>68.6</v>
      </c>
      <c r="T7" s="34" t="n">
        <f aca="false">ROUNDUP(S7,0)</f>
        <v>69</v>
      </c>
      <c r="U7" s="32" t="n">
        <v>25</v>
      </c>
      <c r="V7" s="34" t="n">
        <f aca="false">U7+S7</f>
        <v>93.6</v>
      </c>
      <c r="W7" s="34" t="n">
        <f aca="false">U7+T7</f>
        <v>94</v>
      </c>
      <c r="X7" s="32" t="n">
        <v>93</v>
      </c>
      <c r="Y7" s="34" t="n">
        <f aca="false">(X7*70)/100</f>
        <v>65.1</v>
      </c>
      <c r="Z7" s="34" t="n">
        <f aca="false">ROUNDUP(Y7,0)</f>
        <v>66</v>
      </c>
      <c r="AA7" s="32" t="n">
        <v>25</v>
      </c>
      <c r="AB7" s="34" t="n">
        <f aca="false">AA7+Y7</f>
        <v>90.1</v>
      </c>
      <c r="AC7" s="34" t="n">
        <f aca="false">AA7+Z7</f>
        <v>91</v>
      </c>
      <c r="AD7" s="32" t="n">
        <f aca="false">X7+R7+Q7+K7+J7</f>
        <v>478</v>
      </c>
      <c r="AE7" s="16" t="n">
        <f aca="false">AD7/5</f>
        <v>95.6</v>
      </c>
      <c r="AF7" s="16" t="n">
        <v>89</v>
      </c>
      <c r="AG7" s="16" t="n">
        <v>90</v>
      </c>
      <c r="AH7" s="16" t="n">
        <v>100</v>
      </c>
      <c r="AI7" s="16" t="n">
        <v>94</v>
      </c>
      <c r="AJ7" s="16" t="n">
        <f aca="false">(AI7*70)/100</f>
        <v>65.8</v>
      </c>
      <c r="AK7" s="35" t="n">
        <f aca="false">ROUNDUP(AJ7,0)</f>
        <v>66</v>
      </c>
      <c r="AL7" s="16" t="n">
        <v>26</v>
      </c>
      <c r="AM7" s="16" t="n">
        <f aca="false">AL7+AJ7</f>
        <v>91.8</v>
      </c>
      <c r="AN7" s="16" t="n">
        <f aca="false">AL7+AK7</f>
        <v>92</v>
      </c>
      <c r="AO7" s="16" t="n">
        <v>89</v>
      </c>
      <c r="AP7" s="36" t="n">
        <f aca="false">(AO7*70)/100</f>
        <v>62.3</v>
      </c>
      <c r="AQ7" s="37" t="n">
        <f aca="false">ROUNDUP(AP7,0)</f>
        <v>63</v>
      </c>
      <c r="AR7" s="16" t="n">
        <v>29</v>
      </c>
      <c r="AS7" s="16" t="n">
        <f aca="false">AR7+AP7</f>
        <v>91.3</v>
      </c>
      <c r="AT7" s="16" t="n">
        <f aca="false">AR7+AQ7</f>
        <v>92</v>
      </c>
      <c r="AU7" s="16" t="n">
        <f aca="false">AO7+AF7+AI7+AH7+AG7</f>
        <v>462</v>
      </c>
      <c r="AV7" s="16" t="n">
        <f aca="false">(AO7+AF7+AI7+AH7+AG7)/5</f>
        <v>92.4</v>
      </c>
      <c r="AW7" s="36" t="n">
        <f aca="false">(AO7+AF7+AI7+AH7+AG7+X7+R7+Q7+K7+J7)</f>
        <v>940</v>
      </c>
      <c r="AX7" s="16" t="n">
        <f aca="false">AW7/10</f>
        <v>94</v>
      </c>
      <c r="AY7" s="16" t="n">
        <f aca="false">AS7+AF7+AM7+AH7+AG7+AB7+V7+Q7+O7+J7</f>
        <v>934.3</v>
      </c>
      <c r="AZ7" s="16" t="n">
        <f aca="false">AT7+AF7+AN7+AH7+AG7+AC7+W7+Q7+P7+J7</f>
        <v>937</v>
      </c>
      <c r="BA7" s="16" t="n">
        <f aca="false">AY7/10</f>
        <v>93.43</v>
      </c>
      <c r="BB7" s="16" t="n">
        <f aca="false">AZ7/10</f>
        <v>93.7</v>
      </c>
      <c r="BC7" s="16" t="n">
        <v>2375</v>
      </c>
      <c r="BD7" s="16" t="n">
        <f aca="false">RANK(AX7,$AX$2:$AX$881,0)</f>
        <v>1</v>
      </c>
      <c r="BE7" s="38" t="n">
        <f aca="false">((BC7*100)/2400)*0.4+(AX7*0.6)</f>
        <v>95.9833333333333</v>
      </c>
      <c r="BF7" s="16" t="n">
        <f aca="false">RANK(BE7,$BE$2:$BE$881,0)</f>
        <v>2</v>
      </c>
      <c r="BG7" s="39" t="n">
        <f aca="false">RANK(BB7,$BB$2:$BB$881,0)</f>
        <v>3</v>
      </c>
      <c r="BH7" s="39" t="n">
        <f aca="false">RANK(BC7,$BC$2:$BC$881,0)</f>
        <v>211</v>
      </c>
      <c r="BI7" s="22" t="s">
        <v>130</v>
      </c>
      <c r="BJ7" s="22" t="s">
        <v>129</v>
      </c>
      <c r="BK7" s="40" t="s">
        <v>131</v>
      </c>
      <c r="BL7" s="41" t="n">
        <v>27</v>
      </c>
      <c r="BM7" s="41" t="n">
        <v>67</v>
      </c>
      <c r="BN7" s="41" t="n">
        <v>94</v>
      </c>
      <c r="BO7" s="42" t="n">
        <v>27</v>
      </c>
      <c r="BP7" s="43" t="n">
        <v>66</v>
      </c>
      <c r="BQ7" s="44" t="n">
        <v>93</v>
      </c>
      <c r="BR7" s="42" t="n">
        <v>22</v>
      </c>
      <c r="BS7" s="45" t="n">
        <v>66</v>
      </c>
      <c r="BT7" s="45" t="n">
        <v>88</v>
      </c>
      <c r="BU7" s="46" t="n">
        <v>100</v>
      </c>
      <c r="BV7" s="47" t="n">
        <v>94</v>
      </c>
      <c r="BW7" s="42" t="n">
        <v>100</v>
      </c>
      <c r="BX7" s="48" t="n">
        <v>96</v>
      </c>
      <c r="BY7" s="32" t="n">
        <v>27</v>
      </c>
      <c r="BZ7" s="32" t="n">
        <v>64</v>
      </c>
      <c r="CA7" s="32" t="n">
        <v>91</v>
      </c>
      <c r="CB7" s="32" t="n">
        <v>27</v>
      </c>
      <c r="CC7" s="32" t="n">
        <v>58</v>
      </c>
      <c r="CD7" s="32" t="n">
        <v>85</v>
      </c>
      <c r="CE7" s="32" t="n">
        <v>29</v>
      </c>
      <c r="CF7" s="32" t="n">
        <v>62</v>
      </c>
      <c r="CG7" s="32" t="n">
        <v>91</v>
      </c>
      <c r="CH7" s="32" t="n">
        <v>99</v>
      </c>
      <c r="CI7" s="32" t="n">
        <v>100</v>
      </c>
      <c r="CJ7" s="49" t="n">
        <v>28</v>
      </c>
      <c r="CK7" s="49" t="n">
        <v>58</v>
      </c>
      <c r="CL7" s="49" t="n">
        <v>86</v>
      </c>
      <c r="CM7" s="49" t="n">
        <v>23</v>
      </c>
      <c r="CN7" s="49" t="n">
        <v>66</v>
      </c>
      <c r="CO7" s="49" t="n">
        <v>89</v>
      </c>
      <c r="CP7" s="25" t="n">
        <f aca="false">BX7+BW7+BV7+BU7+BT7+BQ7+BN7</f>
        <v>665</v>
      </c>
      <c r="CQ7" s="25" t="n">
        <f aca="false">CO7+CL7+CI7+CH7+CG7+CD7+CA7</f>
        <v>641</v>
      </c>
      <c r="CR7" s="26" t="n">
        <f aca="false">CP7/7</f>
        <v>95</v>
      </c>
      <c r="CS7" s="26" t="n">
        <f aca="false">CQ7/7</f>
        <v>91.5714285714286</v>
      </c>
      <c r="CT7" s="24" t="n">
        <f aca="false">RANK(CR7,$CR$2:$CR$881,0)</f>
        <v>11</v>
      </c>
      <c r="CU7" s="25" t="n">
        <f aca="false">RANK(CS7,$CS$2:$CS$881,0)</f>
        <v>9</v>
      </c>
      <c r="CV7" s="26" t="n">
        <f aca="false">(CS7+CR7)/2</f>
        <v>93.2857142857143</v>
      </c>
      <c r="CW7" s="25" t="n">
        <f aca="false">RANK(CV7,$CV$2:$CV$881,0)</f>
        <v>6</v>
      </c>
      <c r="CX7" s="50" t="n">
        <f aca="false">(CV7+BB7)/2</f>
        <v>93.4928571428571</v>
      </c>
      <c r="CY7" s="50" t="n">
        <v>4</v>
      </c>
      <c r="CZ7" s="27" t="s">
        <v>132</v>
      </c>
      <c r="DA7" s="27" t="s">
        <v>162</v>
      </c>
      <c r="DB7" s="27" t="s">
        <v>162</v>
      </c>
      <c r="DC7" s="27" t="s">
        <v>134</v>
      </c>
      <c r="DD7" s="27" t="s">
        <v>182</v>
      </c>
      <c r="DE7" s="27" t="s">
        <v>161</v>
      </c>
      <c r="DF7" s="27" t="s">
        <v>175</v>
      </c>
      <c r="DG7" s="27" t="s">
        <v>134</v>
      </c>
      <c r="DH7" s="27" t="s">
        <v>140</v>
      </c>
      <c r="DI7" s="27" t="s">
        <v>155</v>
      </c>
      <c r="DJ7" s="27" t="s">
        <v>147</v>
      </c>
      <c r="DK7" s="27" t="s">
        <v>134</v>
      </c>
      <c r="DL7" s="27" t="s">
        <v>164</v>
      </c>
      <c r="DM7" s="27" t="s">
        <v>163</v>
      </c>
      <c r="DN7" s="27" t="s">
        <v>176</v>
      </c>
      <c r="DO7" s="27" t="s">
        <v>134</v>
      </c>
      <c r="DP7" s="27" t="s">
        <v>135</v>
      </c>
      <c r="DQ7" s="27" t="s">
        <v>163</v>
      </c>
      <c r="DR7" s="27" t="s">
        <v>153</v>
      </c>
      <c r="DS7" s="27" t="s">
        <v>134</v>
      </c>
      <c r="DT7" s="27" t="s">
        <v>164</v>
      </c>
      <c r="DU7" s="27" t="s">
        <v>183</v>
      </c>
      <c r="DV7" s="27" t="s">
        <v>175</v>
      </c>
      <c r="DW7" s="27" t="s">
        <v>146</v>
      </c>
      <c r="DX7" s="27" t="s">
        <v>155</v>
      </c>
      <c r="DY7" s="27" t="s">
        <v>165</v>
      </c>
      <c r="DZ7" s="27" t="n">
        <f aca="false">DY7+DV7+DR7+DN7+DJ7+DF7+DB7</f>
        <v>640</v>
      </c>
      <c r="EA7" s="28" t="n">
        <f aca="false">DZ7/7</f>
        <v>91.4285714285714</v>
      </c>
      <c r="EB7" s="27" t="n">
        <f aca="false">RANK(EA7,$EA$2:$EA$881,0)</f>
        <v>28</v>
      </c>
      <c r="EC7" s="29" t="n">
        <f aca="false">DZ7+CQ7+CP7+AZ7</f>
        <v>2883</v>
      </c>
      <c r="ED7" s="30" t="n">
        <f aca="false">(EA7+CV7+BB7)/3</f>
        <v>92.8047619047619</v>
      </c>
      <c r="EE7" s="51" t="n">
        <f aca="false">ROUND(BE7,3)</f>
        <v>95.983</v>
      </c>
      <c r="EF7" s="51" t="n">
        <f aca="false">ROUND(CR7,3)</f>
        <v>95</v>
      </c>
      <c r="EG7" s="51" t="n">
        <f aca="false">ROUND(CS7,3)</f>
        <v>91.571</v>
      </c>
      <c r="EH7" s="51" t="n">
        <f aca="false">ROUND(EA7,3)</f>
        <v>91.429</v>
      </c>
      <c r="EI7" s="51" t="n">
        <f aca="false">ROUND(ED7,3)</f>
        <v>92.805</v>
      </c>
      <c r="EJ7" s="51" t="n">
        <f aca="false">ROUND(CV7,3)</f>
        <v>93.286</v>
      </c>
      <c r="EK7" s="0" t="n">
        <f aca="false">RANK(EI7,$EI$2:$EI$881,0)</f>
        <v>6</v>
      </c>
    </row>
    <row r="8" customFormat="false" ht="15" hidden="false" customHeight="false" outlineLevel="0" collapsed="false">
      <c r="A8" s="4" t="n">
        <v>8781</v>
      </c>
      <c r="B8" s="4" t="n">
        <v>63</v>
      </c>
      <c r="C8" s="27" t="s">
        <v>184</v>
      </c>
      <c r="D8" s="52" t="n">
        <v>66</v>
      </c>
      <c r="E8" s="32" t="n">
        <v>230320143</v>
      </c>
      <c r="F8" s="8" t="s">
        <v>185</v>
      </c>
      <c r="G8" s="22" t="s">
        <v>186</v>
      </c>
      <c r="H8" s="22" t="s">
        <v>129</v>
      </c>
      <c r="I8" s="33" t="n">
        <v>2006</v>
      </c>
      <c r="J8" s="32" t="n">
        <v>94</v>
      </c>
      <c r="K8" s="32" t="n">
        <v>92</v>
      </c>
      <c r="L8" s="34" t="n">
        <f aca="false">(K8*70)/100</f>
        <v>64.4</v>
      </c>
      <c r="M8" s="34" t="n">
        <f aca="false">ROUNDUP(L8,0)</f>
        <v>65</v>
      </c>
      <c r="N8" s="32" t="n">
        <v>27</v>
      </c>
      <c r="O8" s="34" t="n">
        <f aca="false">N8+L8</f>
        <v>91.4</v>
      </c>
      <c r="P8" s="34" t="n">
        <f aca="false">N8+M8</f>
        <v>92</v>
      </c>
      <c r="Q8" s="32" t="n">
        <v>89</v>
      </c>
      <c r="R8" s="32" t="n">
        <v>86</v>
      </c>
      <c r="S8" s="34" t="n">
        <f aca="false">(R8*70)/100</f>
        <v>60.2</v>
      </c>
      <c r="T8" s="34" t="n">
        <f aca="false">ROUNDUP(S8,0)</f>
        <v>61</v>
      </c>
      <c r="U8" s="32" t="n">
        <v>26</v>
      </c>
      <c r="V8" s="34" t="n">
        <f aca="false">U8+S8</f>
        <v>86.2</v>
      </c>
      <c r="W8" s="34" t="n">
        <f aca="false">U8+T8</f>
        <v>87</v>
      </c>
      <c r="X8" s="32" t="n">
        <v>79</v>
      </c>
      <c r="Y8" s="34" t="n">
        <f aca="false">(X8*70)/100</f>
        <v>55.3</v>
      </c>
      <c r="Z8" s="34" t="n">
        <f aca="false">ROUNDUP(Y8,0)</f>
        <v>56</v>
      </c>
      <c r="AA8" s="32" t="n">
        <v>25</v>
      </c>
      <c r="AB8" s="34" t="n">
        <f aca="false">AA8+Y8</f>
        <v>80.3</v>
      </c>
      <c r="AC8" s="34" t="n">
        <f aca="false">AA8+Z8</f>
        <v>81</v>
      </c>
      <c r="AD8" s="32" t="n">
        <f aca="false">X8+R8+Q8+K8+J8</f>
        <v>440</v>
      </c>
      <c r="AE8" s="16" t="n">
        <f aca="false">AD8/5</f>
        <v>88</v>
      </c>
      <c r="AF8" s="16" t="n">
        <v>86</v>
      </c>
      <c r="AG8" s="16" t="n">
        <v>98</v>
      </c>
      <c r="AH8" s="16" t="n">
        <v>94</v>
      </c>
      <c r="AI8" s="16" t="n">
        <v>96</v>
      </c>
      <c r="AJ8" s="16" t="n">
        <f aca="false">(AI8*70)/100</f>
        <v>67.2</v>
      </c>
      <c r="AK8" s="35" t="n">
        <f aca="false">ROUNDUP(AJ8,0)</f>
        <v>68</v>
      </c>
      <c r="AL8" s="16" t="n">
        <v>25</v>
      </c>
      <c r="AM8" s="16" t="n">
        <f aca="false">AL8+AJ8</f>
        <v>92.2</v>
      </c>
      <c r="AN8" s="16" t="n">
        <f aca="false">AL8+AK8</f>
        <v>93</v>
      </c>
      <c r="AO8" s="16" t="n">
        <v>90</v>
      </c>
      <c r="AP8" s="36" t="n">
        <f aca="false">(AO8*70)/100</f>
        <v>63</v>
      </c>
      <c r="AQ8" s="37" t="n">
        <f aca="false">ROUNDUP(AP8,0)</f>
        <v>63</v>
      </c>
      <c r="AR8" s="16" t="n">
        <v>28</v>
      </c>
      <c r="AS8" s="16" t="n">
        <f aca="false">AR8+AP8</f>
        <v>91</v>
      </c>
      <c r="AT8" s="16" t="n">
        <f aca="false">AR8+AQ8</f>
        <v>91</v>
      </c>
      <c r="AU8" s="16" t="n">
        <f aca="false">AO8+AF8+AI8+AH8+AG8</f>
        <v>464</v>
      </c>
      <c r="AV8" s="16" t="n">
        <f aca="false">(AO8+AF8+AI8+AH8+AG8)/5</f>
        <v>92.8</v>
      </c>
      <c r="AW8" s="36" t="n">
        <f aca="false">(AO8+AF8+AI8+AH8+AG8+X8+R8+Q8+K8+J8)</f>
        <v>904</v>
      </c>
      <c r="AX8" s="16" t="n">
        <f aca="false">AW8/10</f>
        <v>90.4</v>
      </c>
      <c r="AY8" s="16" t="n">
        <f aca="false">AS8+AF8+AM8+AH8+AG8+AB8+V8+Q8+O8+J8</f>
        <v>902.1</v>
      </c>
      <c r="AZ8" s="16" t="n">
        <f aca="false">AT8+AF8+AN8+AH8+AG8+AC8+W8+Q8+P8+J8</f>
        <v>905</v>
      </c>
      <c r="BA8" s="16" t="n">
        <f aca="false">AY8/10</f>
        <v>90.21</v>
      </c>
      <c r="BB8" s="16" t="n">
        <f aca="false">AZ8/10</f>
        <v>90.5</v>
      </c>
      <c r="BC8" s="16" t="n">
        <v>2360</v>
      </c>
      <c r="BD8" s="16" t="n">
        <f aca="false">RANK(AX8,$AX$2:$AX$881,0)</f>
        <v>18</v>
      </c>
      <c r="BE8" s="38" t="n">
        <f aca="false">((BC8*100)/2400)*0.4+(AX8*0.6)</f>
        <v>93.5733333333333</v>
      </c>
      <c r="BF8" s="16" t="n">
        <f aca="false">RANK(BE8,$BE$2:$BE$881,0)</f>
        <v>24</v>
      </c>
      <c r="BG8" s="39" t="n">
        <f aca="false">RANK(BB8,$BB$2:$BB$881,0)</f>
        <v>18</v>
      </c>
      <c r="BH8" s="39" t="n">
        <f aca="false">RANK(BC8,$BC$2:$BC$881,0)</f>
        <v>402</v>
      </c>
      <c r="BI8" s="22" t="s">
        <v>130</v>
      </c>
      <c r="BJ8" s="22" t="s">
        <v>129</v>
      </c>
      <c r="BK8" s="40" t="s">
        <v>131</v>
      </c>
      <c r="BL8" s="41" t="n">
        <v>17</v>
      </c>
      <c r="BM8" s="41" t="n">
        <v>65</v>
      </c>
      <c r="BN8" s="41" t="n">
        <v>82</v>
      </c>
      <c r="BO8" s="42" t="n">
        <v>24</v>
      </c>
      <c r="BP8" s="43" t="n">
        <v>67</v>
      </c>
      <c r="BQ8" s="44" t="n">
        <v>91</v>
      </c>
      <c r="BR8" s="42" t="n">
        <v>28</v>
      </c>
      <c r="BS8" s="45" t="n">
        <v>64</v>
      </c>
      <c r="BT8" s="45" t="n">
        <v>92</v>
      </c>
      <c r="BU8" s="46" t="n">
        <v>100</v>
      </c>
      <c r="BV8" s="47" t="n">
        <v>88</v>
      </c>
      <c r="BW8" s="42" t="n">
        <v>100</v>
      </c>
      <c r="BX8" s="48" t="n">
        <v>96</v>
      </c>
      <c r="BY8" s="32" t="n">
        <v>29</v>
      </c>
      <c r="BZ8" s="32" t="n">
        <v>66</v>
      </c>
      <c r="CA8" s="32" t="n">
        <v>95</v>
      </c>
      <c r="CB8" s="32" t="n">
        <v>20</v>
      </c>
      <c r="CC8" s="32" t="n">
        <v>57</v>
      </c>
      <c r="CD8" s="32" t="n">
        <v>77</v>
      </c>
      <c r="CE8" s="32" t="n">
        <v>28</v>
      </c>
      <c r="CF8" s="32" t="n">
        <v>66</v>
      </c>
      <c r="CG8" s="32" t="n">
        <v>94</v>
      </c>
      <c r="CH8" s="32" t="n">
        <v>99</v>
      </c>
      <c r="CI8" s="32" t="n">
        <v>100</v>
      </c>
      <c r="CJ8" s="49" t="n">
        <v>28</v>
      </c>
      <c r="CK8" s="49" t="n">
        <v>66</v>
      </c>
      <c r="CL8" s="49" t="n">
        <v>94</v>
      </c>
      <c r="CM8" s="49" t="n">
        <v>28</v>
      </c>
      <c r="CN8" s="49" t="n">
        <v>60</v>
      </c>
      <c r="CO8" s="49" t="n">
        <v>88</v>
      </c>
      <c r="CP8" s="25" t="n">
        <f aca="false">BX8+BW8+BV8+BU8+BT8+BQ8+BN8</f>
        <v>649</v>
      </c>
      <c r="CQ8" s="25" t="n">
        <f aca="false">CO8+CL8+CI8+CH8+CG8+CD8+CA8</f>
        <v>647</v>
      </c>
      <c r="CR8" s="26" t="n">
        <f aca="false">CP8/7</f>
        <v>92.7142857142857</v>
      </c>
      <c r="CS8" s="26" t="n">
        <f aca="false">CQ8/7</f>
        <v>92.4285714285714</v>
      </c>
      <c r="CT8" s="24" t="n">
        <f aca="false">RANK(CR8,$CR$2:$CR$881,0)</f>
        <v>58</v>
      </c>
      <c r="CU8" s="25" t="n">
        <f aca="false">RANK(CS8,$CS$2:$CS$881,0)</f>
        <v>4</v>
      </c>
      <c r="CV8" s="26" t="n">
        <f aca="false">(CS8+CR8)/2</f>
        <v>92.5714285714286</v>
      </c>
      <c r="CW8" s="25" t="n">
        <f aca="false">RANK(CV8,$CV$2:$CV$881,0)</f>
        <v>15</v>
      </c>
      <c r="CX8" s="50" t="n">
        <f aca="false">(CV8+BB8)/2</f>
        <v>91.5357142857143</v>
      </c>
      <c r="CY8" s="50" t="n">
        <v>11</v>
      </c>
      <c r="CZ8" s="27" t="s">
        <v>132</v>
      </c>
      <c r="DA8" s="27" t="s">
        <v>139</v>
      </c>
      <c r="DB8" s="27" t="s">
        <v>139</v>
      </c>
      <c r="DC8" s="27" t="s">
        <v>134</v>
      </c>
      <c r="DD8" s="27" t="s">
        <v>164</v>
      </c>
      <c r="DE8" s="27" t="s">
        <v>187</v>
      </c>
      <c r="DF8" s="27" t="s">
        <v>151</v>
      </c>
      <c r="DG8" s="27" t="s">
        <v>134</v>
      </c>
      <c r="DH8" s="27" t="s">
        <v>140</v>
      </c>
      <c r="DI8" s="27" t="s">
        <v>155</v>
      </c>
      <c r="DJ8" s="27" t="s">
        <v>147</v>
      </c>
      <c r="DK8" s="27" t="s">
        <v>134</v>
      </c>
      <c r="DL8" s="27" t="s">
        <v>160</v>
      </c>
      <c r="DM8" s="27" t="s">
        <v>141</v>
      </c>
      <c r="DN8" s="27" t="s">
        <v>139</v>
      </c>
      <c r="DO8" s="27" t="s">
        <v>134</v>
      </c>
      <c r="DP8" s="27" t="s">
        <v>137</v>
      </c>
      <c r="DQ8" s="27" t="s">
        <v>136</v>
      </c>
      <c r="DR8" s="27" t="s">
        <v>162</v>
      </c>
      <c r="DS8" s="27" t="s">
        <v>134</v>
      </c>
      <c r="DT8" s="27" t="s">
        <v>146</v>
      </c>
      <c r="DU8" s="27" t="s">
        <v>141</v>
      </c>
      <c r="DV8" s="27" t="s">
        <v>144</v>
      </c>
      <c r="DW8" s="27" t="s">
        <v>140</v>
      </c>
      <c r="DX8" s="27" t="s">
        <v>155</v>
      </c>
      <c r="DY8" s="27" t="s">
        <v>147</v>
      </c>
      <c r="DZ8" s="27" t="n">
        <f aca="false">DY8+DV8+DR8+DN8+DJ8+DF8+DB8</f>
        <v>667</v>
      </c>
      <c r="EA8" s="28" t="n">
        <f aca="false">DZ8/7</f>
        <v>95.2857142857143</v>
      </c>
      <c r="EB8" s="27" t="n">
        <f aca="false">RANK(EA8,$EA$2:$EA$881,0)</f>
        <v>2</v>
      </c>
      <c r="EC8" s="29" t="n">
        <f aca="false">DZ8+CQ8+CP8+AZ8</f>
        <v>2868</v>
      </c>
      <c r="ED8" s="30" t="n">
        <f aca="false">(EA8+CV8+BB8)/3</f>
        <v>92.7857142857143</v>
      </c>
      <c r="EE8" s="51" t="n">
        <f aca="false">ROUND(BE8,3)</f>
        <v>93.573</v>
      </c>
      <c r="EF8" s="51" t="n">
        <f aca="false">ROUND(CR8,3)</f>
        <v>92.714</v>
      </c>
      <c r="EG8" s="51" t="n">
        <f aca="false">ROUND(CS8,3)</f>
        <v>92.429</v>
      </c>
      <c r="EH8" s="51" t="n">
        <f aca="false">ROUND(EA8,3)</f>
        <v>95.286</v>
      </c>
      <c r="EI8" s="51" t="n">
        <f aca="false">ROUND(ED8,3)</f>
        <v>92.786</v>
      </c>
      <c r="EJ8" s="51" t="n">
        <f aca="false">ROUND(CV8,3)</f>
        <v>92.571</v>
      </c>
      <c r="EK8" s="0" t="n">
        <f aca="false">RANK(EI8,$EI$2:$EI$881,0)</f>
        <v>7</v>
      </c>
    </row>
    <row r="9" customFormat="false" ht="16.85" hidden="false" customHeight="false" outlineLevel="0" collapsed="false">
      <c r="A9" s="4" t="n">
        <v>8592</v>
      </c>
      <c r="B9" s="4" t="n">
        <v>348</v>
      </c>
      <c r="C9" s="27" t="s">
        <v>188</v>
      </c>
      <c r="D9" s="31" t="n">
        <v>351</v>
      </c>
      <c r="E9" s="32" t="n">
        <v>230311446</v>
      </c>
      <c r="F9" s="8" t="s">
        <v>189</v>
      </c>
      <c r="G9" s="22" t="s">
        <v>190</v>
      </c>
      <c r="H9" s="22" t="s">
        <v>129</v>
      </c>
      <c r="I9" s="33" t="n">
        <v>2006</v>
      </c>
      <c r="J9" s="32" t="n">
        <v>90</v>
      </c>
      <c r="K9" s="32" t="n">
        <v>92</v>
      </c>
      <c r="L9" s="34" t="n">
        <f aca="false">(K9*70)/100</f>
        <v>64.4</v>
      </c>
      <c r="M9" s="34" t="n">
        <f aca="false">ROUNDUP(L9,0)</f>
        <v>65</v>
      </c>
      <c r="N9" s="32" t="n">
        <v>26</v>
      </c>
      <c r="O9" s="34" t="n">
        <f aca="false">N9+L9</f>
        <v>90.4</v>
      </c>
      <c r="P9" s="34" t="n">
        <f aca="false">N9+M9</f>
        <v>91</v>
      </c>
      <c r="Q9" s="32" t="n">
        <v>92</v>
      </c>
      <c r="R9" s="32" t="n">
        <v>85</v>
      </c>
      <c r="S9" s="34" t="n">
        <f aca="false">(R9*70)/100</f>
        <v>59.5</v>
      </c>
      <c r="T9" s="34" t="n">
        <f aca="false">ROUNDUP(S9,0)</f>
        <v>60</v>
      </c>
      <c r="U9" s="32" t="n">
        <v>25</v>
      </c>
      <c r="V9" s="34" t="n">
        <f aca="false">U9+S9</f>
        <v>84.5</v>
      </c>
      <c r="W9" s="34" t="n">
        <f aca="false">U9+T9</f>
        <v>85</v>
      </c>
      <c r="X9" s="32" t="n">
        <v>92</v>
      </c>
      <c r="Y9" s="34" t="n">
        <f aca="false">(X9*70)/100</f>
        <v>64.4</v>
      </c>
      <c r="Z9" s="34" t="n">
        <f aca="false">ROUNDUP(Y9,0)</f>
        <v>65</v>
      </c>
      <c r="AA9" s="32" t="n">
        <v>24</v>
      </c>
      <c r="AB9" s="34" t="n">
        <f aca="false">AA9+Y9</f>
        <v>88.4</v>
      </c>
      <c r="AC9" s="34" t="n">
        <f aca="false">AA9+Z9</f>
        <v>89</v>
      </c>
      <c r="AD9" s="32" t="n">
        <f aca="false">X9+R9+Q9+K9+J9</f>
        <v>451</v>
      </c>
      <c r="AE9" s="16" t="n">
        <f aca="false">AD9/5</f>
        <v>90.2</v>
      </c>
      <c r="AF9" s="16" t="n">
        <v>87</v>
      </c>
      <c r="AG9" s="16" t="n">
        <v>92</v>
      </c>
      <c r="AH9" s="16" t="n">
        <v>99</v>
      </c>
      <c r="AI9" s="16" t="n">
        <v>94</v>
      </c>
      <c r="AJ9" s="16" t="n">
        <f aca="false">(AI9*70)/100</f>
        <v>65.8</v>
      </c>
      <c r="AK9" s="35" t="n">
        <f aca="false">ROUNDUP(AJ9,0)</f>
        <v>66</v>
      </c>
      <c r="AL9" s="16" t="n">
        <v>22</v>
      </c>
      <c r="AM9" s="16" t="n">
        <f aca="false">AL9+AJ9</f>
        <v>87.8</v>
      </c>
      <c r="AN9" s="16" t="n">
        <f aca="false">AL9+AK9</f>
        <v>88</v>
      </c>
      <c r="AO9" s="16" t="n">
        <v>85</v>
      </c>
      <c r="AP9" s="36" t="n">
        <f aca="false">(AO9*70)/100</f>
        <v>59.5</v>
      </c>
      <c r="AQ9" s="37" t="n">
        <f aca="false">ROUNDUP(AP9,0)</f>
        <v>60</v>
      </c>
      <c r="AR9" s="16" t="n">
        <v>25</v>
      </c>
      <c r="AS9" s="16" t="n">
        <f aca="false">AR9+AP9</f>
        <v>84.5</v>
      </c>
      <c r="AT9" s="16" t="n">
        <f aca="false">AR9+AQ9</f>
        <v>85</v>
      </c>
      <c r="AU9" s="16" t="n">
        <f aca="false">AO9+AF9+AI9+AH9+AG9</f>
        <v>457</v>
      </c>
      <c r="AV9" s="16" t="n">
        <f aca="false">(AO9+AF9+AI9+AH9+AG9)/5</f>
        <v>91.4</v>
      </c>
      <c r="AW9" s="36" t="n">
        <f aca="false">(AO9+AF9+AI9+AH9+AG9+X9+R9+Q9+K9+J9)</f>
        <v>908</v>
      </c>
      <c r="AX9" s="16" t="n">
        <f aca="false">AW9/10</f>
        <v>90.8</v>
      </c>
      <c r="AY9" s="16" t="n">
        <f aca="false">AS9+AF9+AM9+AH9+AG9+AB9+V9+Q9+O9+J9</f>
        <v>895.6</v>
      </c>
      <c r="AZ9" s="16" t="n">
        <f aca="false">AT9+AF9+AN9+AH9+AG9+AC9+W9+Q9+P9+J9</f>
        <v>898</v>
      </c>
      <c r="BA9" s="16" t="n">
        <f aca="false">AY9/10</f>
        <v>89.56</v>
      </c>
      <c r="BB9" s="16" t="n">
        <f aca="false">AZ9/10</f>
        <v>89.8</v>
      </c>
      <c r="BC9" s="16" t="n">
        <v>2400</v>
      </c>
      <c r="BD9" s="16" t="n">
        <f aca="false">RANK(AX9,$AX$2:$AX$881,0)</f>
        <v>14</v>
      </c>
      <c r="BE9" s="38" t="n">
        <f aca="false">((BC9*100)/2400)*0.4+(AX9*0.6)</f>
        <v>94.48</v>
      </c>
      <c r="BF9" s="16" t="n">
        <f aca="false">RANK(BE9,$BE$2:$BE$881,0)</f>
        <v>10</v>
      </c>
      <c r="BG9" s="39" t="n">
        <f aca="false">RANK(BB9,$BB$2:$BB$881,0)</f>
        <v>23</v>
      </c>
      <c r="BH9" s="39" t="n">
        <f aca="false">RANK(BC9,$BC$2:$BC$881,0)</f>
        <v>1</v>
      </c>
      <c r="BI9" s="22" t="s">
        <v>130</v>
      </c>
      <c r="BJ9" s="22" t="s">
        <v>129</v>
      </c>
      <c r="BK9" s="40" t="s">
        <v>131</v>
      </c>
      <c r="BL9" s="41" t="n">
        <v>22</v>
      </c>
      <c r="BM9" s="41" t="n">
        <v>64</v>
      </c>
      <c r="BN9" s="41" t="n">
        <v>86</v>
      </c>
      <c r="BO9" s="42" t="n">
        <v>27</v>
      </c>
      <c r="BP9" s="43" t="n">
        <v>69</v>
      </c>
      <c r="BQ9" s="44" t="n">
        <v>96</v>
      </c>
      <c r="BR9" s="42" t="n">
        <v>23</v>
      </c>
      <c r="BS9" s="45" t="n">
        <v>62</v>
      </c>
      <c r="BT9" s="45" t="n">
        <v>85</v>
      </c>
      <c r="BU9" s="46" t="n">
        <v>100</v>
      </c>
      <c r="BV9" s="47" t="n">
        <v>96</v>
      </c>
      <c r="BW9" s="42" t="n">
        <v>100</v>
      </c>
      <c r="BX9" s="48" t="n">
        <v>94</v>
      </c>
      <c r="BY9" s="32" t="n">
        <v>27</v>
      </c>
      <c r="BZ9" s="32" t="n">
        <v>64</v>
      </c>
      <c r="CA9" s="32" t="n">
        <v>91</v>
      </c>
      <c r="CB9" s="32" t="n">
        <v>22</v>
      </c>
      <c r="CC9" s="32" t="n">
        <v>52</v>
      </c>
      <c r="CD9" s="32" t="n">
        <v>74</v>
      </c>
      <c r="CE9" s="32" t="n">
        <v>27</v>
      </c>
      <c r="CF9" s="32" t="n">
        <v>64</v>
      </c>
      <c r="CG9" s="32" t="n">
        <v>91</v>
      </c>
      <c r="CH9" s="32" t="n">
        <v>99</v>
      </c>
      <c r="CI9" s="32" t="n">
        <v>100</v>
      </c>
      <c r="CJ9" s="49" t="n">
        <v>28</v>
      </c>
      <c r="CK9" s="49" t="n">
        <v>66</v>
      </c>
      <c r="CL9" s="49" t="n">
        <v>94</v>
      </c>
      <c r="CM9" s="49" t="n">
        <v>26</v>
      </c>
      <c r="CN9" s="49" t="n">
        <v>60</v>
      </c>
      <c r="CO9" s="49" t="n">
        <v>86</v>
      </c>
      <c r="CP9" s="25" t="n">
        <f aca="false">BX9+BW9+BV9+BU9+BT9+BQ9+BN9</f>
        <v>657</v>
      </c>
      <c r="CQ9" s="25" t="n">
        <f aca="false">CO9+CL9+CI9+CH9+CG9+CD9+CA9</f>
        <v>635</v>
      </c>
      <c r="CR9" s="26" t="n">
        <f aca="false">CP9/7</f>
        <v>93.8571428571429</v>
      </c>
      <c r="CS9" s="26" t="n">
        <f aca="false">CQ9/7</f>
        <v>90.7142857142857</v>
      </c>
      <c r="CT9" s="24" t="n">
        <f aca="false">RANK(CR9,$CR$2:$CR$881,0)</f>
        <v>30</v>
      </c>
      <c r="CU9" s="25" t="n">
        <f aca="false">RANK(CS9,$CS$2:$CS$881,0)</f>
        <v>16</v>
      </c>
      <c r="CV9" s="26" t="n">
        <f aca="false">(CS9+CR9)/2</f>
        <v>92.2857142857143</v>
      </c>
      <c r="CW9" s="25" t="n">
        <f aca="false">RANK(CV9,$CV$2:$CV$881,0)</f>
        <v>18</v>
      </c>
      <c r="CX9" s="50" t="n">
        <f aca="false">(CV9+BB9)/2</f>
        <v>91.0428571428571</v>
      </c>
      <c r="CY9" s="50" t="n">
        <v>14</v>
      </c>
      <c r="CZ9" s="27" t="s">
        <v>132</v>
      </c>
      <c r="DA9" s="27" t="s">
        <v>151</v>
      </c>
      <c r="DB9" s="27" t="s">
        <v>151</v>
      </c>
      <c r="DC9" s="27" t="s">
        <v>134</v>
      </c>
      <c r="DD9" s="27" t="s">
        <v>191</v>
      </c>
      <c r="DE9" s="27" t="s">
        <v>163</v>
      </c>
      <c r="DF9" s="27" t="s">
        <v>175</v>
      </c>
      <c r="DG9" s="27" t="s">
        <v>134</v>
      </c>
      <c r="DH9" s="27" t="s">
        <v>135</v>
      </c>
      <c r="DI9" s="27" t="s">
        <v>141</v>
      </c>
      <c r="DJ9" s="27" t="s">
        <v>176</v>
      </c>
      <c r="DK9" s="27" t="s">
        <v>134</v>
      </c>
      <c r="DL9" s="27" t="s">
        <v>164</v>
      </c>
      <c r="DM9" s="27" t="s">
        <v>143</v>
      </c>
      <c r="DN9" s="27" t="s">
        <v>139</v>
      </c>
      <c r="DO9" s="27" t="s">
        <v>134</v>
      </c>
      <c r="DP9" s="27" t="s">
        <v>160</v>
      </c>
      <c r="DQ9" s="27" t="s">
        <v>163</v>
      </c>
      <c r="DR9" s="27" t="s">
        <v>151</v>
      </c>
      <c r="DS9" s="27" t="s">
        <v>134</v>
      </c>
      <c r="DT9" s="27" t="s">
        <v>140</v>
      </c>
      <c r="DU9" s="27" t="s">
        <v>187</v>
      </c>
      <c r="DV9" s="27" t="s">
        <v>139</v>
      </c>
      <c r="DW9" s="27" t="s">
        <v>140</v>
      </c>
      <c r="DX9" s="27" t="s">
        <v>155</v>
      </c>
      <c r="DY9" s="27" t="s">
        <v>147</v>
      </c>
      <c r="DZ9" s="27" t="n">
        <f aca="false">DY9+DV9+DR9+DN9+DJ9+DF9+DB9</f>
        <v>652</v>
      </c>
      <c r="EA9" s="28" t="n">
        <f aca="false">DZ9/7</f>
        <v>93.1428571428571</v>
      </c>
      <c r="EB9" s="27" t="n">
        <f aca="false">RANK(EA9,$EA$2:$EA$881,0)</f>
        <v>5</v>
      </c>
      <c r="EC9" s="29" t="n">
        <f aca="false">DZ9+CQ9+CP9+AZ9</f>
        <v>2842</v>
      </c>
      <c r="ED9" s="30" t="n">
        <f aca="false">(EA9+CV9+BB9)/3</f>
        <v>91.7428571428571</v>
      </c>
      <c r="EE9" s="51" t="n">
        <f aca="false">ROUND(BE9,3)</f>
        <v>94.48</v>
      </c>
      <c r="EF9" s="51" t="n">
        <f aca="false">ROUND(CR9,3)</f>
        <v>93.857</v>
      </c>
      <c r="EG9" s="51" t="n">
        <f aca="false">ROUND(CS9,3)</f>
        <v>90.714</v>
      </c>
      <c r="EH9" s="51" t="n">
        <f aca="false">ROUND(EA9,3)</f>
        <v>93.143</v>
      </c>
      <c r="EI9" s="51" t="n">
        <f aca="false">ROUND(ED9,3)</f>
        <v>91.743</v>
      </c>
      <c r="EJ9" s="51" t="n">
        <f aca="false">ROUND(CV9,3)</f>
        <v>92.286</v>
      </c>
      <c r="EK9" s="0" t="n">
        <f aca="false">RANK(EI9,$EI$2:$EI$881,0)</f>
        <v>8</v>
      </c>
    </row>
    <row r="10" customFormat="false" ht="15" hidden="false" customHeight="false" outlineLevel="0" collapsed="false">
      <c r="A10" s="4" t="n">
        <v>8849</v>
      </c>
      <c r="B10" s="4" t="n">
        <v>460</v>
      </c>
      <c r="C10" s="27" t="s">
        <v>192</v>
      </c>
      <c r="D10" s="31" t="n">
        <v>466</v>
      </c>
      <c r="E10" s="32" t="n">
        <v>230311451</v>
      </c>
      <c r="F10" s="8" t="s">
        <v>193</v>
      </c>
      <c r="G10" s="22" t="s">
        <v>194</v>
      </c>
      <c r="H10" s="22" t="s">
        <v>129</v>
      </c>
      <c r="I10" s="33" t="n">
        <v>2006</v>
      </c>
      <c r="J10" s="32" t="n">
        <v>95</v>
      </c>
      <c r="K10" s="32" t="n">
        <v>92</v>
      </c>
      <c r="L10" s="34" t="n">
        <f aca="false">(K10*70)/100</f>
        <v>64.4</v>
      </c>
      <c r="M10" s="34" t="n">
        <f aca="false">ROUNDUP(L10,0)</f>
        <v>65</v>
      </c>
      <c r="N10" s="32" t="n">
        <v>28</v>
      </c>
      <c r="O10" s="34" t="n">
        <f aca="false">N10+L10</f>
        <v>92.4</v>
      </c>
      <c r="P10" s="34" t="n">
        <f aca="false">N10+M10</f>
        <v>93</v>
      </c>
      <c r="Q10" s="32" t="n">
        <v>89</v>
      </c>
      <c r="R10" s="32" t="n">
        <v>86</v>
      </c>
      <c r="S10" s="34" t="n">
        <f aca="false">(R10*70)/100</f>
        <v>60.2</v>
      </c>
      <c r="T10" s="34" t="n">
        <f aca="false">ROUNDUP(S10,0)</f>
        <v>61</v>
      </c>
      <c r="U10" s="32" t="n">
        <v>28</v>
      </c>
      <c r="V10" s="34" t="n">
        <f aca="false">U10+S10</f>
        <v>88.2</v>
      </c>
      <c r="W10" s="34" t="n">
        <f aca="false">U10+T10</f>
        <v>89</v>
      </c>
      <c r="X10" s="32" t="n">
        <v>78</v>
      </c>
      <c r="Y10" s="34" t="n">
        <f aca="false">(X10*70)/100</f>
        <v>54.6</v>
      </c>
      <c r="Z10" s="34" t="n">
        <f aca="false">ROUNDUP(Y10,0)</f>
        <v>55</v>
      </c>
      <c r="AA10" s="32" t="n">
        <v>26</v>
      </c>
      <c r="AB10" s="34" t="n">
        <f aca="false">AA10+Y10</f>
        <v>80.6</v>
      </c>
      <c r="AC10" s="34" t="n">
        <f aca="false">AA10+Z10</f>
        <v>81</v>
      </c>
      <c r="AD10" s="32" t="n">
        <f aca="false">X10+R10+Q10+K10+J10</f>
        <v>440</v>
      </c>
      <c r="AE10" s="16" t="n">
        <f aca="false">AD10/5</f>
        <v>88</v>
      </c>
      <c r="AF10" s="16" t="n">
        <v>87</v>
      </c>
      <c r="AG10" s="16" t="n">
        <v>93</v>
      </c>
      <c r="AH10" s="16" t="n">
        <v>97</v>
      </c>
      <c r="AI10" s="16" t="n">
        <v>97</v>
      </c>
      <c r="AJ10" s="16" t="n">
        <f aca="false">(AI10*70)/100</f>
        <v>67.9</v>
      </c>
      <c r="AK10" s="35" t="n">
        <f aca="false">ROUNDUP(AJ10,0)</f>
        <v>68</v>
      </c>
      <c r="AL10" s="16" t="n">
        <v>27</v>
      </c>
      <c r="AM10" s="16" t="n">
        <f aca="false">AL10+AJ10</f>
        <v>94.9</v>
      </c>
      <c r="AN10" s="16" t="n">
        <f aca="false">AL10+AK10</f>
        <v>95</v>
      </c>
      <c r="AO10" s="16" t="n">
        <v>91</v>
      </c>
      <c r="AP10" s="36" t="n">
        <f aca="false">(AO10*70)/100</f>
        <v>63.7</v>
      </c>
      <c r="AQ10" s="37" t="n">
        <f aca="false">ROUNDUP(AP10,0)</f>
        <v>64</v>
      </c>
      <c r="AR10" s="16" t="n">
        <v>30</v>
      </c>
      <c r="AS10" s="16" t="n">
        <f aca="false">AR10+AP10</f>
        <v>93.7</v>
      </c>
      <c r="AT10" s="16" t="n">
        <f aca="false">AR10+AQ10</f>
        <v>94</v>
      </c>
      <c r="AU10" s="16" t="n">
        <f aca="false">AO10+AF10+AI10+AH10+AG10</f>
        <v>465</v>
      </c>
      <c r="AV10" s="16" t="n">
        <f aca="false">(AO10+AF10+AI10+AH10+AG10)/5</f>
        <v>93</v>
      </c>
      <c r="AW10" s="36" t="n">
        <f aca="false">(AO10+AF10+AI10+AH10+AG10+X10+R10+Q10+K10+J10)</f>
        <v>905</v>
      </c>
      <c r="AX10" s="16" t="n">
        <f aca="false">AW10/10</f>
        <v>90.5</v>
      </c>
      <c r="AY10" s="16" t="n">
        <f aca="false">AS10+AF10+AM10+AH10+AG10+AB10+V10+Q10+O10+J10</f>
        <v>910.8</v>
      </c>
      <c r="AZ10" s="16" t="n">
        <f aca="false">AT10+AF10+AN10+AH10+AG10+AC10+W10+Q10+P10+J10</f>
        <v>913</v>
      </c>
      <c r="BA10" s="16" t="n">
        <f aca="false">AY10/10</f>
        <v>91.08</v>
      </c>
      <c r="BB10" s="16" t="n">
        <f aca="false">AZ10/10</f>
        <v>91.3</v>
      </c>
      <c r="BC10" s="16" t="n">
        <v>2390</v>
      </c>
      <c r="BD10" s="16" t="n">
        <f aca="false">RANK(AX10,$AX$2:$AX$881,0)</f>
        <v>17</v>
      </c>
      <c r="BE10" s="38" t="n">
        <f aca="false">((BC10*100)/2400)*0.4+(AX10*0.6)</f>
        <v>94.1333333333333</v>
      </c>
      <c r="BF10" s="16" t="n">
        <f aca="false">RANK(BE10,$BE$2:$BE$881,0)</f>
        <v>15</v>
      </c>
      <c r="BG10" s="39" t="n">
        <f aca="false">RANK(BB10,$BB$2:$BB$881,0)</f>
        <v>11</v>
      </c>
      <c r="BH10" s="39" t="n">
        <f aca="false">RANK(BC10,$BC$2:$BC$881,0)</f>
        <v>52</v>
      </c>
      <c r="BI10" s="22" t="s">
        <v>130</v>
      </c>
      <c r="BJ10" s="22" t="s">
        <v>129</v>
      </c>
      <c r="BK10" s="40" t="s">
        <v>131</v>
      </c>
      <c r="BL10" s="41" t="n">
        <v>27</v>
      </c>
      <c r="BM10" s="41" t="n">
        <v>67</v>
      </c>
      <c r="BN10" s="41" t="n">
        <v>94</v>
      </c>
      <c r="BO10" s="42" t="n">
        <v>27</v>
      </c>
      <c r="BP10" s="43" t="n">
        <v>69</v>
      </c>
      <c r="BQ10" s="44" t="n">
        <v>96</v>
      </c>
      <c r="BR10" s="42" t="n">
        <v>25</v>
      </c>
      <c r="BS10" s="45" t="n">
        <v>59</v>
      </c>
      <c r="BT10" s="45" t="n">
        <v>84</v>
      </c>
      <c r="BU10" s="46" t="n">
        <v>100</v>
      </c>
      <c r="BV10" s="47" t="n">
        <v>92</v>
      </c>
      <c r="BW10" s="42" t="n">
        <v>99</v>
      </c>
      <c r="BX10" s="48" t="n">
        <v>94</v>
      </c>
      <c r="BY10" s="32" t="n">
        <v>28</v>
      </c>
      <c r="BZ10" s="32" t="n">
        <v>68</v>
      </c>
      <c r="CA10" s="32" t="n">
        <v>96</v>
      </c>
      <c r="CB10" s="32" t="n">
        <v>26</v>
      </c>
      <c r="CC10" s="32" t="n">
        <v>56</v>
      </c>
      <c r="CD10" s="32" t="n">
        <v>82</v>
      </c>
      <c r="CE10" s="32" t="n">
        <v>27</v>
      </c>
      <c r="CF10" s="32" t="n">
        <v>64</v>
      </c>
      <c r="CG10" s="32" t="n">
        <v>91</v>
      </c>
      <c r="CH10" s="32" t="n">
        <v>99</v>
      </c>
      <c r="CI10" s="32" t="n">
        <v>98</v>
      </c>
      <c r="CJ10" s="49" t="n">
        <v>26</v>
      </c>
      <c r="CK10" s="49" t="n">
        <v>65</v>
      </c>
      <c r="CL10" s="49" t="n">
        <v>91</v>
      </c>
      <c r="CM10" s="49" t="n">
        <v>22</v>
      </c>
      <c r="CN10" s="49" t="n">
        <v>57</v>
      </c>
      <c r="CO10" s="49" t="n">
        <v>79</v>
      </c>
      <c r="CP10" s="25" t="n">
        <f aca="false">BX10+BW10+BV10+BU10+BT10+BQ10+BN10</f>
        <v>659</v>
      </c>
      <c r="CQ10" s="25" t="n">
        <f aca="false">CO10+CL10+CI10+CH10+CG10+CD10+CA10</f>
        <v>636</v>
      </c>
      <c r="CR10" s="26" t="n">
        <f aca="false">CP10/7</f>
        <v>94.1428571428571</v>
      </c>
      <c r="CS10" s="26" t="n">
        <f aca="false">CQ10/7</f>
        <v>90.8571428571429</v>
      </c>
      <c r="CT10" s="24" t="n">
        <f aca="false">RANK(CR10,$CR$2:$CR$881,0)</f>
        <v>28</v>
      </c>
      <c r="CU10" s="25" t="n">
        <f aca="false">RANK(CS10,$CS$2:$CS$881,0)</f>
        <v>14</v>
      </c>
      <c r="CV10" s="26" t="n">
        <f aca="false">(CS10+CR10)/2</f>
        <v>92.5</v>
      </c>
      <c r="CW10" s="25" t="n">
        <f aca="false">RANK(CV10,$CV$2:$CV$881,0)</f>
        <v>16</v>
      </c>
      <c r="CX10" s="50" t="n">
        <f aca="false">(CV10+BB10)/2</f>
        <v>91.9</v>
      </c>
      <c r="CY10" s="50" t="n">
        <v>9</v>
      </c>
      <c r="CZ10" s="27" t="s">
        <v>132</v>
      </c>
      <c r="DA10" s="27" t="s">
        <v>175</v>
      </c>
      <c r="DB10" s="27" t="s">
        <v>175</v>
      </c>
      <c r="DC10" s="27" t="s">
        <v>134</v>
      </c>
      <c r="DD10" s="27" t="s">
        <v>137</v>
      </c>
      <c r="DE10" s="27" t="s">
        <v>152</v>
      </c>
      <c r="DF10" s="27" t="s">
        <v>153</v>
      </c>
      <c r="DG10" s="27" t="s">
        <v>134</v>
      </c>
      <c r="DH10" s="27" t="s">
        <v>160</v>
      </c>
      <c r="DI10" s="27" t="s">
        <v>143</v>
      </c>
      <c r="DJ10" s="27" t="s">
        <v>142</v>
      </c>
      <c r="DK10" s="27" t="s">
        <v>134</v>
      </c>
      <c r="DL10" s="27" t="s">
        <v>135</v>
      </c>
      <c r="DM10" s="27" t="s">
        <v>141</v>
      </c>
      <c r="DN10" s="27" t="s">
        <v>176</v>
      </c>
      <c r="DO10" s="27" t="s">
        <v>134</v>
      </c>
      <c r="DP10" s="27" t="s">
        <v>195</v>
      </c>
      <c r="DQ10" s="27" t="s">
        <v>177</v>
      </c>
      <c r="DR10" s="27" t="s">
        <v>196</v>
      </c>
      <c r="DS10" s="27" t="s">
        <v>134</v>
      </c>
      <c r="DT10" s="27" t="s">
        <v>146</v>
      </c>
      <c r="DU10" s="27" t="s">
        <v>187</v>
      </c>
      <c r="DV10" s="27" t="s">
        <v>142</v>
      </c>
      <c r="DW10" s="27" t="s">
        <v>146</v>
      </c>
      <c r="DX10" s="27" t="s">
        <v>155</v>
      </c>
      <c r="DY10" s="27" t="s">
        <v>165</v>
      </c>
      <c r="DZ10" s="27" t="n">
        <f aca="false">DY10+DV10+DR10+DN10+DJ10+DF10+DB10</f>
        <v>640</v>
      </c>
      <c r="EA10" s="28" t="n">
        <f aca="false">DZ10/7</f>
        <v>91.4285714285714</v>
      </c>
      <c r="EB10" s="27" t="n">
        <f aca="false">RANK(EA10,$EA$2:$EA$881,0)</f>
        <v>28</v>
      </c>
      <c r="EC10" s="29" t="n">
        <f aca="false">DZ10+CQ10+CP10+AZ10</f>
        <v>2848</v>
      </c>
      <c r="ED10" s="30" t="n">
        <f aca="false">(EA10+CV10+BB10)/3</f>
        <v>91.7428571428572</v>
      </c>
      <c r="EE10" s="51" t="n">
        <f aca="false">ROUND(BE10,3)</f>
        <v>94.133</v>
      </c>
      <c r="EF10" s="51" t="n">
        <f aca="false">ROUND(CR10,3)</f>
        <v>94.143</v>
      </c>
      <c r="EG10" s="51" t="n">
        <f aca="false">ROUND(CS10,3)</f>
        <v>90.857</v>
      </c>
      <c r="EH10" s="51" t="n">
        <f aca="false">ROUND(EA10,3)</f>
        <v>91.429</v>
      </c>
      <c r="EI10" s="51" t="n">
        <f aca="false">ROUND(ED10,3)</f>
        <v>91.743</v>
      </c>
      <c r="EJ10" s="51" t="n">
        <f aca="false">ROUND(CV10,3)</f>
        <v>92.5</v>
      </c>
      <c r="EK10" s="0" t="n">
        <f aca="false">RANK(EI10,$EI$2:$EI$881,0)</f>
        <v>8</v>
      </c>
    </row>
    <row r="11" customFormat="false" ht="16.85" hidden="false" customHeight="false" outlineLevel="0" collapsed="false">
      <c r="A11" s="4" t="n">
        <v>8593</v>
      </c>
      <c r="B11" s="4" t="n">
        <v>654</v>
      </c>
      <c r="C11" s="27" t="s">
        <v>197</v>
      </c>
      <c r="D11" s="31" t="n">
        <v>665</v>
      </c>
      <c r="E11" s="32" t="n">
        <v>230315708</v>
      </c>
      <c r="F11" s="8" t="s">
        <v>198</v>
      </c>
      <c r="G11" s="22" t="s">
        <v>186</v>
      </c>
      <c r="H11" s="22" t="s">
        <v>129</v>
      </c>
      <c r="I11" s="33" t="n">
        <v>2005</v>
      </c>
      <c r="J11" s="32" t="n">
        <v>77</v>
      </c>
      <c r="K11" s="32" t="n">
        <v>84</v>
      </c>
      <c r="L11" s="34" t="n">
        <f aca="false">(K11*70)/100</f>
        <v>58.8</v>
      </c>
      <c r="M11" s="34" t="n">
        <f aca="false">ROUNDUP(L11,0)</f>
        <v>59</v>
      </c>
      <c r="N11" s="32" t="n">
        <v>27</v>
      </c>
      <c r="O11" s="34" t="n">
        <f aca="false">N11+L11</f>
        <v>85.8</v>
      </c>
      <c r="P11" s="34" t="n">
        <f aca="false">N11+M11</f>
        <v>86</v>
      </c>
      <c r="Q11" s="32" t="n">
        <v>91</v>
      </c>
      <c r="R11" s="32" t="n">
        <v>80</v>
      </c>
      <c r="S11" s="34" t="n">
        <f aca="false">(R11*70)/100</f>
        <v>56</v>
      </c>
      <c r="T11" s="34" t="n">
        <f aca="false">ROUNDUP(S11,0)</f>
        <v>56</v>
      </c>
      <c r="U11" s="32" t="n">
        <v>27</v>
      </c>
      <c r="V11" s="34" t="n">
        <f aca="false">U11+S11</f>
        <v>83</v>
      </c>
      <c r="W11" s="34" t="n">
        <f aca="false">U11+T11</f>
        <v>83</v>
      </c>
      <c r="X11" s="32" t="n">
        <v>75</v>
      </c>
      <c r="Y11" s="34" t="n">
        <f aca="false">(X11*70)/100</f>
        <v>52.5</v>
      </c>
      <c r="Z11" s="34" t="n">
        <f aca="false">ROUNDUP(Y11,0)</f>
        <v>53</v>
      </c>
      <c r="AA11" s="32" t="n">
        <v>28</v>
      </c>
      <c r="AB11" s="34" t="n">
        <f aca="false">AA11+Y11</f>
        <v>80.5</v>
      </c>
      <c r="AC11" s="34" t="n">
        <f aca="false">AA11+Z11</f>
        <v>81</v>
      </c>
      <c r="AD11" s="32" t="n">
        <f aca="false">X11+R11+Q11+K11+J11</f>
        <v>407</v>
      </c>
      <c r="AE11" s="16" t="n">
        <f aca="false">AD11/5</f>
        <v>81.4</v>
      </c>
      <c r="AF11" s="16" t="n">
        <v>88</v>
      </c>
      <c r="AG11" s="16" t="n">
        <v>93</v>
      </c>
      <c r="AH11" s="16" t="n">
        <v>99</v>
      </c>
      <c r="AI11" s="16" t="n">
        <v>98</v>
      </c>
      <c r="AJ11" s="16" t="n">
        <f aca="false">(AI11*70)/100</f>
        <v>68.6</v>
      </c>
      <c r="AK11" s="35" t="n">
        <f aca="false">ROUNDUP(AJ11,0)</f>
        <v>69</v>
      </c>
      <c r="AL11" s="16" t="n">
        <v>26</v>
      </c>
      <c r="AM11" s="16" t="n">
        <f aca="false">AL11+AJ11</f>
        <v>94.6</v>
      </c>
      <c r="AN11" s="16" t="n">
        <f aca="false">AL11+AK11</f>
        <v>95</v>
      </c>
      <c r="AO11" s="16" t="n">
        <v>85</v>
      </c>
      <c r="AP11" s="36" t="n">
        <f aca="false">(AO11*70)/100</f>
        <v>59.5</v>
      </c>
      <c r="AQ11" s="37" t="n">
        <f aca="false">ROUNDUP(AP11,0)</f>
        <v>60</v>
      </c>
      <c r="AR11" s="16" t="n">
        <v>29</v>
      </c>
      <c r="AS11" s="16" t="n">
        <f aca="false">AR11+AP11</f>
        <v>88.5</v>
      </c>
      <c r="AT11" s="16" t="n">
        <f aca="false">AR11+AQ11</f>
        <v>89</v>
      </c>
      <c r="AU11" s="16" t="n">
        <f aca="false">AO11+AF11+AI11+AH11+AG11</f>
        <v>463</v>
      </c>
      <c r="AV11" s="16" t="n">
        <f aca="false">(AO11+AF11+AI11+AH11+AG11)/5</f>
        <v>92.6</v>
      </c>
      <c r="AW11" s="36" t="n">
        <f aca="false">(AO11+AF11+AI11+AH11+AG11+X11+R11+Q11+K11+J11)</f>
        <v>870</v>
      </c>
      <c r="AX11" s="16" t="n">
        <f aca="false">AW11/10</f>
        <v>87</v>
      </c>
      <c r="AY11" s="16" t="n">
        <f aca="false">AS11+AF11+AM11+AH11+AG11+AB11+V11+Q11+O11+J11</f>
        <v>880.4</v>
      </c>
      <c r="AZ11" s="16" t="n">
        <f aca="false">AT11+AF11+AN11+AH11+AG11+AC11+W11+Q11+P11+J11</f>
        <v>882</v>
      </c>
      <c r="BA11" s="16" t="n">
        <f aca="false">AY11/10</f>
        <v>88.04</v>
      </c>
      <c r="BB11" s="16" t="n">
        <f aca="false">AZ11/10</f>
        <v>88.2</v>
      </c>
      <c r="BC11" s="16" t="n">
        <v>2387</v>
      </c>
      <c r="BD11" s="16" t="n">
        <f aca="false">RANK(AX11,$AX$2:$AX$881,0)</f>
        <v>51</v>
      </c>
      <c r="BE11" s="38" t="n">
        <f aca="false">((BC11*100)/2400)*0.4+(AX11*0.6)</f>
        <v>91.9833333333333</v>
      </c>
      <c r="BF11" s="16" t="n">
        <f aca="false">RANK(BE11,$BE$2:$BE$881,0)</f>
        <v>43</v>
      </c>
      <c r="BG11" s="39" t="n">
        <f aca="false">RANK(BB11,$BB$2:$BB$881,0)</f>
        <v>37</v>
      </c>
      <c r="BH11" s="39" t="n">
        <f aca="false">RANK(BC11,$BC$2:$BC$881,0)</f>
        <v>76</v>
      </c>
      <c r="BI11" s="22" t="s">
        <v>130</v>
      </c>
      <c r="BJ11" s="22" t="s">
        <v>129</v>
      </c>
      <c r="BK11" s="40" t="s">
        <v>131</v>
      </c>
      <c r="BL11" s="41" t="n">
        <v>21</v>
      </c>
      <c r="BM11" s="41" t="n">
        <v>65</v>
      </c>
      <c r="BN11" s="41" t="n">
        <v>86</v>
      </c>
      <c r="BO11" s="42" t="n">
        <v>27</v>
      </c>
      <c r="BP11" s="43" t="n">
        <v>66</v>
      </c>
      <c r="BQ11" s="44" t="n">
        <v>93</v>
      </c>
      <c r="BR11" s="42" t="n">
        <v>24</v>
      </c>
      <c r="BS11" s="45" t="n">
        <v>61</v>
      </c>
      <c r="BT11" s="45" t="n">
        <v>85</v>
      </c>
      <c r="BU11" s="46" t="n">
        <v>100</v>
      </c>
      <c r="BV11" s="47" t="n">
        <v>88</v>
      </c>
      <c r="BW11" s="42" t="n">
        <v>99</v>
      </c>
      <c r="BX11" s="48" t="n">
        <v>98</v>
      </c>
      <c r="BY11" s="32" t="n">
        <v>27</v>
      </c>
      <c r="BZ11" s="32" t="n">
        <v>56</v>
      </c>
      <c r="CA11" s="32" t="n">
        <v>83</v>
      </c>
      <c r="CB11" s="32" t="n">
        <v>26</v>
      </c>
      <c r="CC11" s="32" t="n">
        <v>58</v>
      </c>
      <c r="CD11" s="32" t="n">
        <v>84</v>
      </c>
      <c r="CE11" s="32" t="n">
        <v>27</v>
      </c>
      <c r="CF11" s="32" t="n">
        <v>64</v>
      </c>
      <c r="CG11" s="32" t="n">
        <v>91</v>
      </c>
      <c r="CH11" s="32" t="n">
        <v>98</v>
      </c>
      <c r="CI11" s="32" t="n">
        <v>100</v>
      </c>
      <c r="CJ11" s="49" t="n">
        <v>24</v>
      </c>
      <c r="CK11" s="49" t="n">
        <v>61</v>
      </c>
      <c r="CL11" s="49" t="n">
        <v>85</v>
      </c>
      <c r="CM11" s="49" t="n">
        <v>23</v>
      </c>
      <c r="CN11" s="49" t="n">
        <v>60</v>
      </c>
      <c r="CO11" s="49" t="n">
        <v>83</v>
      </c>
      <c r="CP11" s="25" t="n">
        <f aca="false">BX11+BW11+BV11+BU11+BT11+BQ11+BN11</f>
        <v>649</v>
      </c>
      <c r="CQ11" s="25" t="n">
        <f aca="false">CO11+CL11+CI11+CH11+CG11+CD11+CA11</f>
        <v>624</v>
      </c>
      <c r="CR11" s="26" t="n">
        <f aca="false">CP11/7</f>
        <v>92.7142857142857</v>
      </c>
      <c r="CS11" s="26" t="n">
        <f aca="false">CQ11/7</f>
        <v>89.1428571428571</v>
      </c>
      <c r="CT11" s="24" t="n">
        <f aca="false">RANK(CR11,$CR$2:$CR$881,0)</f>
        <v>58</v>
      </c>
      <c r="CU11" s="25" t="n">
        <f aca="false">RANK(CS11,$CS$2:$CS$881,0)</f>
        <v>33</v>
      </c>
      <c r="CV11" s="26" t="n">
        <f aca="false">(CS11+CR11)/2</f>
        <v>90.9285714285714</v>
      </c>
      <c r="CW11" s="25" t="n">
        <f aca="false">RANK(CV11,$CV$2:$CV$881,0)</f>
        <v>43</v>
      </c>
      <c r="CX11" s="50" t="n">
        <f aca="false">(CV11+BB11)/2</f>
        <v>89.5642857142857</v>
      </c>
      <c r="CY11" s="50" t="n">
        <v>28</v>
      </c>
      <c r="CZ11" s="27" t="s">
        <v>132</v>
      </c>
      <c r="DA11" s="27" t="s">
        <v>142</v>
      </c>
      <c r="DB11" s="27" t="s">
        <v>142</v>
      </c>
      <c r="DC11" s="27" t="s">
        <v>134</v>
      </c>
      <c r="DD11" s="27" t="s">
        <v>160</v>
      </c>
      <c r="DE11" s="27" t="s">
        <v>187</v>
      </c>
      <c r="DF11" s="27" t="s">
        <v>156</v>
      </c>
      <c r="DG11" s="27" t="s">
        <v>134</v>
      </c>
      <c r="DH11" s="27" t="s">
        <v>140</v>
      </c>
      <c r="DI11" s="27" t="s">
        <v>143</v>
      </c>
      <c r="DJ11" s="27" t="s">
        <v>144</v>
      </c>
      <c r="DK11" s="27" t="s">
        <v>134</v>
      </c>
      <c r="DL11" s="27" t="s">
        <v>140</v>
      </c>
      <c r="DM11" s="27" t="s">
        <v>141</v>
      </c>
      <c r="DN11" s="27" t="s">
        <v>142</v>
      </c>
      <c r="DO11" s="27" t="s">
        <v>134</v>
      </c>
      <c r="DP11" s="27" t="s">
        <v>137</v>
      </c>
      <c r="DQ11" s="27" t="s">
        <v>141</v>
      </c>
      <c r="DR11" s="27" t="s">
        <v>151</v>
      </c>
      <c r="DS11" s="27" t="s">
        <v>134</v>
      </c>
      <c r="DT11" s="27" t="s">
        <v>140</v>
      </c>
      <c r="DU11" s="27" t="s">
        <v>187</v>
      </c>
      <c r="DV11" s="27" t="s">
        <v>139</v>
      </c>
      <c r="DW11" s="27" t="s">
        <v>146</v>
      </c>
      <c r="DX11" s="27" t="s">
        <v>155</v>
      </c>
      <c r="DY11" s="27" t="s">
        <v>165</v>
      </c>
      <c r="DZ11" s="27" t="n">
        <f aca="false">DY11+DV11+DR11+DN11+DJ11+DF11+DB11</f>
        <v>671</v>
      </c>
      <c r="EA11" s="28" t="n">
        <f aca="false">DZ11/7</f>
        <v>95.8571428571429</v>
      </c>
      <c r="EB11" s="27" t="n">
        <f aca="false">RANK(EA11,$EA$2:$EA$881,0)</f>
        <v>1</v>
      </c>
      <c r="EC11" s="29" t="n">
        <f aca="false">DZ11+CQ11+CP11+AZ11</f>
        <v>2826</v>
      </c>
      <c r="ED11" s="30" t="n">
        <f aca="false">(EA11+CV11+BB11)/3</f>
        <v>91.6619047619048</v>
      </c>
      <c r="EE11" s="51" t="n">
        <f aca="false">ROUND(BE11,3)</f>
        <v>91.983</v>
      </c>
      <c r="EF11" s="51" t="n">
        <f aca="false">ROUND(CR11,3)</f>
        <v>92.714</v>
      </c>
      <c r="EG11" s="51" t="n">
        <f aca="false">ROUND(CS11,3)</f>
        <v>89.143</v>
      </c>
      <c r="EH11" s="51" t="n">
        <f aca="false">ROUND(EA11,3)</f>
        <v>95.857</v>
      </c>
      <c r="EI11" s="51" t="n">
        <f aca="false">ROUND(ED11,3)</f>
        <v>91.662</v>
      </c>
      <c r="EJ11" s="51" t="n">
        <f aca="false">ROUND(CV11,3)</f>
        <v>90.929</v>
      </c>
      <c r="EK11" s="0" t="n">
        <f aca="false">RANK(EI11,$EI$2:$EI$881,0)</f>
        <v>10</v>
      </c>
    </row>
    <row r="12" customFormat="false" ht="15" hidden="false" customHeight="false" outlineLevel="0" collapsed="false">
      <c r="A12" s="4" t="n">
        <v>9006</v>
      </c>
      <c r="B12" s="4" t="n">
        <v>315</v>
      </c>
      <c r="C12" s="27" t="s">
        <v>199</v>
      </c>
      <c r="D12" s="31" t="n">
        <v>316</v>
      </c>
      <c r="E12" s="32" t="n">
        <v>230320276</v>
      </c>
      <c r="F12" s="8" t="s">
        <v>200</v>
      </c>
      <c r="G12" s="22" t="s">
        <v>201</v>
      </c>
      <c r="H12" s="22" t="s">
        <v>129</v>
      </c>
      <c r="I12" s="33" t="n">
        <v>2005</v>
      </c>
      <c r="J12" s="32" t="n">
        <v>87</v>
      </c>
      <c r="K12" s="32" t="n">
        <v>93</v>
      </c>
      <c r="L12" s="34" t="n">
        <f aca="false">(K12*70)/100</f>
        <v>65.1</v>
      </c>
      <c r="M12" s="34" t="n">
        <f aca="false">ROUNDUP(L12,0)</f>
        <v>66</v>
      </c>
      <c r="N12" s="32" t="n">
        <v>30</v>
      </c>
      <c r="O12" s="34" t="n">
        <f aca="false">N12+L12</f>
        <v>95.1</v>
      </c>
      <c r="P12" s="34" t="n">
        <f aca="false">N12+M12</f>
        <v>96</v>
      </c>
      <c r="Q12" s="32" t="n">
        <v>97</v>
      </c>
      <c r="R12" s="32" t="n">
        <v>87</v>
      </c>
      <c r="S12" s="34" t="n">
        <f aca="false">(R12*70)/100</f>
        <v>60.9</v>
      </c>
      <c r="T12" s="34" t="n">
        <f aca="false">ROUNDUP(S12,0)</f>
        <v>61</v>
      </c>
      <c r="U12" s="32" t="n">
        <v>27</v>
      </c>
      <c r="V12" s="34" t="n">
        <f aca="false">U12+S12</f>
        <v>87.9</v>
      </c>
      <c r="W12" s="34" t="n">
        <f aca="false">U12+T12</f>
        <v>88</v>
      </c>
      <c r="X12" s="32" t="n">
        <v>79</v>
      </c>
      <c r="Y12" s="34" t="n">
        <f aca="false">(X12*70)/100</f>
        <v>55.3</v>
      </c>
      <c r="Z12" s="34" t="n">
        <f aca="false">ROUNDUP(Y12,0)</f>
        <v>56</v>
      </c>
      <c r="AA12" s="32" t="n">
        <v>25</v>
      </c>
      <c r="AB12" s="34" t="n">
        <f aca="false">AA12+Y12</f>
        <v>80.3</v>
      </c>
      <c r="AC12" s="34" t="n">
        <f aca="false">AA12+Z12</f>
        <v>81</v>
      </c>
      <c r="AD12" s="32" t="n">
        <f aca="false">X12+R12+Q12+K12+J12</f>
        <v>443</v>
      </c>
      <c r="AE12" s="16" t="n">
        <f aca="false">AD12/5</f>
        <v>88.6</v>
      </c>
      <c r="AF12" s="16" t="n">
        <v>87</v>
      </c>
      <c r="AG12" s="16" t="n">
        <v>99</v>
      </c>
      <c r="AH12" s="16" t="n">
        <v>100</v>
      </c>
      <c r="AI12" s="16" t="n">
        <v>96</v>
      </c>
      <c r="AJ12" s="16" t="n">
        <f aca="false">(AI12*70)/100</f>
        <v>67.2</v>
      </c>
      <c r="AK12" s="35" t="n">
        <f aca="false">ROUNDUP(AJ12,0)</f>
        <v>68</v>
      </c>
      <c r="AL12" s="16" t="n">
        <v>29</v>
      </c>
      <c r="AM12" s="16" t="n">
        <f aca="false">AL12+AJ12</f>
        <v>96.2</v>
      </c>
      <c r="AN12" s="16" t="n">
        <f aca="false">AL12+AK12</f>
        <v>97</v>
      </c>
      <c r="AO12" s="16" t="n">
        <v>86</v>
      </c>
      <c r="AP12" s="36" t="n">
        <f aca="false">(AO12*70)/100</f>
        <v>60.2</v>
      </c>
      <c r="AQ12" s="37" t="n">
        <f aca="false">ROUNDUP(AP12,0)</f>
        <v>61</v>
      </c>
      <c r="AR12" s="16" t="n">
        <v>30</v>
      </c>
      <c r="AS12" s="16" t="n">
        <f aca="false">AR12+AP12</f>
        <v>90.2</v>
      </c>
      <c r="AT12" s="16" t="n">
        <f aca="false">AR12+AQ12</f>
        <v>91</v>
      </c>
      <c r="AU12" s="16" t="n">
        <f aca="false">AO12+AF12+AI12+AH12+AG12</f>
        <v>468</v>
      </c>
      <c r="AV12" s="16" t="n">
        <f aca="false">(AO12+AF12+AI12+AH12+AG12)/5</f>
        <v>93.6</v>
      </c>
      <c r="AW12" s="36" t="n">
        <f aca="false">(AO12+AF12+AI12+AH12+AG12+X12+R12+Q12+K12+J12)</f>
        <v>911</v>
      </c>
      <c r="AX12" s="16" t="n">
        <f aca="false">AW12/10</f>
        <v>91.1</v>
      </c>
      <c r="AY12" s="16" t="n">
        <f aca="false">AS12+AF12+AM12+AH12+AG12+AB12+V12+Q12+O12+J12</f>
        <v>919.7</v>
      </c>
      <c r="AZ12" s="16" t="n">
        <f aca="false">AT12+AF12+AN12+AH12+AG12+AC12+W12+Q12+P12+J12</f>
        <v>923</v>
      </c>
      <c r="BA12" s="16" t="n">
        <f aca="false">AY12/10</f>
        <v>91.97</v>
      </c>
      <c r="BB12" s="16" t="n">
        <f aca="false">AZ12/10</f>
        <v>92.3</v>
      </c>
      <c r="BC12" s="16" t="n">
        <v>2369</v>
      </c>
      <c r="BD12" s="16" t="n">
        <f aca="false">RANK(AX12,$AX$2:$AX$881,0)</f>
        <v>11</v>
      </c>
      <c r="BE12" s="38" t="n">
        <f aca="false">((BC12*100)/2400)*0.4+(AX12*0.6)</f>
        <v>94.1433333333333</v>
      </c>
      <c r="BF12" s="16" t="n">
        <f aca="false">RANK(BE12,$BE$2:$BE$881,0)</f>
        <v>14</v>
      </c>
      <c r="BG12" s="39" t="n">
        <f aca="false">RANK(BB12,$BB$2:$BB$881,0)</f>
        <v>8</v>
      </c>
      <c r="BH12" s="39" t="n">
        <f aca="false">RANK(BC12,$BC$2:$BC$881,0)</f>
        <v>283</v>
      </c>
      <c r="BI12" s="22" t="s">
        <v>130</v>
      </c>
      <c r="BJ12" s="22" t="s">
        <v>129</v>
      </c>
      <c r="BK12" s="40" t="s">
        <v>131</v>
      </c>
      <c r="BL12" s="41" t="n">
        <v>24</v>
      </c>
      <c r="BM12" s="41" t="n">
        <v>63</v>
      </c>
      <c r="BN12" s="41" t="n">
        <v>87</v>
      </c>
      <c r="BO12" s="42" t="n">
        <v>27</v>
      </c>
      <c r="BP12" s="43" t="n">
        <v>68</v>
      </c>
      <c r="BQ12" s="44" t="n">
        <v>95</v>
      </c>
      <c r="BR12" s="42" t="n">
        <v>23</v>
      </c>
      <c r="BS12" s="45" t="n">
        <v>64</v>
      </c>
      <c r="BT12" s="45" t="n">
        <v>87</v>
      </c>
      <c r="BU12" s="46" t="n">
        <v>100</v>
      </c>
      <c r="BV12" s="47" t="n">
        <v>94</v>
      </c>
      <c r="BW12" s="42" t="n">
        <v>100</v>
      </c>
      <c r="BX12" s="48" t="n">
        <v>98</v>
      </c>
      <c r="BY12" s="32" t="n">
        <v>28</v>
      </c>
      <c r="BZ12" s="32" t="n">
        <v>67</v>
      </c>
      <c r="CA12" s="32" t="n">
        <v>95</v>
      </c>
      <c r="CB12" s="32" t="n">
        <v>26</v>
      </c>
      <c r="CC12" s="32" t="n">
        <v>57</v>
      </c>
      <c r="CD12" s="32" t="n">
        <v>83</v>
      </c>
      <c r="CE12" s="32" t="n">
        <v>29</v>
      </c>
      <c r="CF12" s="32" t="n">
        <v>63</v>
      </c>
      <c r="CG12" s="32" t="n">
        <v>92</v>
      </c>
      <c r="CH12" s="32" t="n">
        <v>100</v>
      </c>
      <c r="CI12" s="32" t="n">
        <v>100</v>
      </c>
      <c r="CJ12" s="49" t="n">
        <v>21</v>
      </c>
      <c r="CK12" s="49" t="n">
        <v>62</v>
      </c>
      <c r="CL12" s="49" t="n">
        <v>83</v>
      </c>
      <c r="CM12" s="49" t="n">
        <v>25</v>
      </c>
      <c r="CN12" s="49" t="n">
        <v>58</v>
      </c>
      <c r="CO12" s="49" t="n">
        <v>83</v>
      </c>
      <c r="CP12" s="25" t="n">
        <f aca="false">BX12+BW12+BV12+BU12+BT12+BQ12+BN12</f>
        <v>661</v>
      </c>
      <c r="CQ12" s="25" t="n">
        <f aca="false">CO12+CL12+CI12+CH12+CG12+CD12+CA12</f>
        <v>636</v>
      </c>
      <c r="CR12" s="26" t="n">
        <f aca="false">CP12/7</f>
        <v>94.4285714285714</v>
      </c>
      <c r="CS12" s="26" t="n">
        <f aca="false">CQ12/7</f>
        <v>90.8571428571429</v>
      </c>
      <c r="CT12" s="24" t="n">
        <f aca="false">RANK(CR12,$CR$2:$CR$881,0)</f>
        <v>22</v>
      </c>
      <c r="CU12" s="25" t="n">
        <f aca="false">RANK(CS12,$CS$2:$CS$881,0)</f>
        <v>14</v>
      </c>
      <c r="CV12" s="26" t="n">
        <f aca="false">(CS12+CR12)/2</f>
        <v>92.6428571428571</v>
      </c>
      <c r="CW12" s="25" t="n">
        <f aca="false">RANK(CV12,$CV$2:$CV$881,0)</f>
        <v>12</v>
      </c>
      <c r="CX12" s="50" t="n">
        <f aca="false">(CV12+BB12)/2</f>
        <v>92.4714285714286</v>
      </c>
      <c r="CY12" s="50" t="n">
        <v>8</v>
      </c>
      <c r="CZ12" s="27" t="s">
        <v>132</v>
      </c>
      <c r="DA12" s="27" t="s">
        <v>151</v>
      </c>
      <c r="DB12" s="27" t="s">
        <v>151</v>
      </c>
      <c r="DC12" s="27" t="s">
        <v>134</v>
      </c>
      <c r="DD12" s="27" t="s">
        <v>154</v>
      </c>
      <c r="DE12" s="27" t="s">
        <v>136</v>
      </c>
      <c r="DF12" s="27" t="s">
        <v>202</v>
      </c>
      <c r="DG12" s="27" t="s">
        <v>134</v>
      </c>
      <c r="DH12" s="27" t="s">
        <v>164</v>
      </c>
      <c r="DI12" s="27" t="s">
        <v>203</v>
      </c>
      <c r="DJ12" s="27" t="s">
        <v>162</v>
      </c>
      <c r="DK12" s="27" t="s">
        <v>134</v>
      </c>
      <c r="DL12" s="27" t="s">
        <v>160</v>
      </c>
      <c r="DM12" s="27" t="s">
        <v>152</v>
      </c>
      <c r="DN12" s="27" t="s">
        <v>176</v>
      </c>
      <c r="DO12" s="27" t="s">
        <v>134</v>
      </c>
      <c r="DP12" s="27" t="s">
        <v>154</v>
      </c>
      <c r="DQ12" s="27" t="s">
        <v>204</v>
      </c>
      <c r="DR12" s="27" t="s">
        <v>205</v>
      </c>
      <c r="DS12" s="27" t="s">
        <v>134</v>
      </c>
      <c r="DT12" s="27" t="s">
        <v>164</v>
      </c>
      <c r="DU12" s="27" t="s">
        <v>152</v>
      </c>
      <c r="DV12" s="27" t="s">
        <v>170</v>
      </c>
      <c r="DW12" s="27" t="s">
        <v>140</v>
      </c>
      <c r="DX12" s="27" t="s">
        <v>187</v>
      </c>
      <c r="DY12" s="27" t="s">
        <v>139</v>
      </c>
      <c r="DZ12" s="27" t="n">
        <f aca="false">DY12+DV12+DR12+DN12+DJ12+DF12+DB12</f>
        <v>628</v>
      </c>
      <c r="EA12" s="28" t="n">
        <f aca="false">DZ12/7</f>
        <v>89.7142857142857</v>
      </c>
      <c r="EB12" s="27" t="n">
        <f aca="false">RANK(EA12,$EA$2:$EA$881,0)</f>
        <v>59</v>
      </c>
      <c r="EC12" s="29" t="n">
        <f aca="false">DZ12+CQ12+CP12+AZ12</f>
        <v>2848</v>
      </c>
      <c r="ED12" s="30" t="n">
        <f aca="false">(EA12+CV12+BB12)/3</f>
        <v>91.5523809523809</v>
      </c>
      <c r="EE12" s="51" t="n">
        <f aca="false">ROUND(BE12,3)</f>
        <v>94.143</v>
      </c>
      <c r="EF12" s="51" t="n">
        <f aca="false">ROUND(CR12,3)</f>
        <v>94.429</v>
      </c>
      <c r="EG12" s="51" t="n">
        <f aca="false">ROUND(CS12,3)</f>
        <v>90.857</v>
      </c>
      <c r="EH12" s="51" t="n">
        <f aca="false">ROUND(EA12,3)</f>
        <v>89.714</v>
      </c>
      <c r="EI12" s="51" t="n">
        <f aca="false">ROUND(ED12,3)</f>
        <v>91.552</v>
      </c>
      <c r="EJ12" s="51" t="n">
        <f aca="false">ROUND(CV12,3)</f>
        <v>92.643</v>
      </c>
      <c r="EK12" s="0" t="n">
        <f aca="false">RANK(EI12,$EI$2:$EI$881,0)</f>
        <v>11</v>
      </c>
    </row>
    <row r="13" customFormat="false" ht="15" hidden="false" customHeight="false" outlineLevel="0" collapsed="false">
      <c r="A13" s="4" t="n">
        <v>8870</v>
      </c>
      <c r="B13" s="4" t="n">
        <v>152</v>
      </c>
      <c r="C13" s="27" t="s">
        <v>206</v>
      </c>
      <c r="D13" s="31" t="n">
        <v>152</v>
      </c>
      <c r="E13" s="32" t="n">
        <v>230311440</v>
      </c>
      <c r="F13" s="8" t="s">
        <v>207</v>
      </c>
      <c r="G13" s="22" t="s">
        <v>208</v>
      </c>
      <c r="H13" s="22" t="s">
        <v>129</v>
      </c>
      <c r="I13" s="33" t="n">
        <v>2005</v>
      </c>
      <c r="J13" s="32" t="n">
        <v>84</v>
      </c>
      <c r="K13" s="32" t="n">
        <v>97</v>
      </c>
      <c r="L13" s="34" t="n">
        <f aca="false">(K13*70)/100</f>
        <v>67.9</v>
      </c>
      <c r="M13" s="34" t="n">
        <f aca="false">ROUNDUP(L13,0)</f>
        <v>68</v>
      </c>
      <c r="N13" s="32" t="n">
        <v>28</v>
      </c>
      <c r="O13" s="34" t="n">
        <f aca="false">N13+L13</f>
        <v>95.9</v>
      </c>
      <c r="P13" s="34" t="n">
        <f aca="false">N13+M13</f>
        <v>96</v>
      </c>
      <c r="Q13" s="32" t="n">
        <v>88</v>
      </c>
      <c r="R13" s="32" t="n">
        <v>83</v>
      </c>
      <c r="S13" s="34" t="n">
        <f aca="false">(R13*70)/100</f>
        <v>58.1</v>
      </c>
      <c r="T13" s="34" t="n">
        <f aca="false">ROUNDUP(S13,0)</f>
        <v>59</v>
      </c>
      <c r="U13" s="32" t="n">
        <v>23</v>
      </c>
      <c r="V13" s="34" t="n">
        <f aca="false">U13+S13</f>
        <v>81.1</v>
      </c>
      <c r="W13" s="34" t="n">
        <f aca="false">U13+T13</f>
        <v>82</v>
      </c>
      <c r="X13" s="32" t="n">
        <v>84</v>
      </c>
      <c r="Y13" s="34" t="n">
        <f aca="false">(X13*70)/100</f>
        <v>58.8</v>
      </c>
      <c r="Z13" s="34" t="n">
        <f aca="false">ROUNDUP(Y13,0)</f>
        <v>59</v>
      </c>
      <c r="AA13" s="32" t="n">
        <v>26</v>
      </c>
      <c r="AB13" s="34" t="n">
        <f aca="false">AA13+Y13</f>
        <v>84.8</v>
      </c>
      <c r="AC13" s="34" t="n">
        <f aca="false">AA13+Z13</f>
        <v>85</v>
      </c>
      <c r="AD13" s="32" t="n">
        <f aca="false">X13+R13+Q13+K13+J13</f>
        <v>436</v>
      </c>
      <c r="AE13" s="16" t="n">
        <f aca="false">AD13/5</f>
        <v>87.2</v>
      </c>
      <c r="AF13" s="16" t="n">
        <v>92</v>
      </c>
      <c r="AG13" s="16" t="n">
        <v>93</v>
      </c>
      <c r="AH13" s="16" t="n">
        <v>96</v>
      </c>
      <c r="AI13" s="16" t="n">
        <v>97</v>
      </c>
      <c r="AJ13" s="16" t="n">
        <f aca="false">(AI13*70)/100</f>
        <v>67.9</v>
      </c>
      <c r="AK13" s="35" t="n">
        <f aca="false">ROUNDUP(AJ13,0)</f>
        <v>68</v>
      </c>
      <c r="AL13" s="16" t="n">
        <v>26</v>
      </c>
      <c r="AM13" s="16" t="n">
        <f aca="false">AL13+AJ13</f>
        <v>93.9</v>
      </c>
      <c r="AN13" s="16" t="n">
        <f aca="false">AL13+AK13</f>
        <v>94</v>
      </c>
      <c r="AO13" s="16" t="n">
        <v>95</v>
      </c>
      <c r="AP13" s="36" t="n">
        <f aca="false">(AO13*70)/100</f>
        <v>66.5</v>
      </c>
      <c r="AQ13" s="37" t="n">
        <f aca="false">ROUNDUP(AP13,0)</f>
        <v>67</v>
      </c>
      <c r="AR13" s="16" t="n">
        <v>27</v>
      </c>
      <c r="AS13" s="16" t="n">
        <f aca="false">AR13+AP13</f>
        <v>93.5</v>
      </c>
      <c r="AT13" s="16" t="n">
        <f aca="false">AR13+AQ13</f>
        <v>94</v>
      </c>
      <c r="AU13" s="16" t="n">
        <f aca="false">AO13+AF13+AI13+AH13+AG13</f>
        <v>473</v>
      </c>
      <c r="AV13" s="16" t="n">
        <f aca="false">(AO13+AF13+AI13+AH13+AG13)/5</f>
        <v>94.6</v>
      </c>
      <c r="AW13" s="36" t="n">
        <f aca="false">(AO13+AF13+AI13+AH13+AG13+X13+R13+Q13+K13+J13)</f>
        <v>909</v>
      </c>
      <c r="AX13" s="16" t="n">
        <f aca="false">AW13/10</f>
        <v>90.9</v>
      </c>
      <c r="AY13" s="16" t="n">
        <f aca="false">AS13+AF13+AM13+AH13+AG13+AB13+V13+Q13+O13+J13</f>
        <v>902.2</v>
      </c>
      <c r="AZ13" s="16" t="n">
        <f aca="false">AT13+AF13+AN13+AH13+AG13+AC13+W13+Q13+P13+J13</f>
        <v>904</v>
      </c>
      <c r="BA13" s="16" t="n">
        <f aca="false">AY13/10</f>
        <v>90.22</v>
      </c>
      <c r="BB13" s="16" t="n">
        <f aca="false">AZ13/10</f>
        <v>90.4</v>
      </c>
      <c r="BC13" s="16" t="n">
        <v>2389</v>
      </c>
      <c r="BD13" s="16" t="n">
        <f aca="false">RANK(AX13,$AX$2:$AX$881,0)</f>
        <v>13</v>
      </c>
      <c r="BE13" s="38" t="n">
        <f aca="false">((BC13*100)/2400)*0.4+(AX13*0.6)</f>
        <v>94.3566666666667</v>
      </c>
      <c r="BF13" s="16" t="n">
        <f aca="false">RANK(BE13,$BE$2:$BE$881,0)</f>
        <v>12</v>
      </c>
      <c r="BG13" s="39" t="n">
        <f aca="false">RANK(BB13,$BB$2:$BB$881,0)</f>
        <v>21</v>
      </c>
      <c r="BH13" s="39" t="n">
        <f aca="false">RANK(BC13,$BC$2:$BC$881,0)</f>
        <v>59</v>
      </c>
      <c r="BI13" s="22" t="s">
        <v>130</v>
      </c>
      <c r="BJ13" s="22" t="s">
        <v>129</v>
      </c>
      <c r="BK13" s="40" t="s">
        <v>131</v>
      </c>
      <c r="BL13" s="41" t="n">
        <v>17</v>
      </c>
      <c r="BM13" s="41" t="n">
        <v>67</v>
      </c>
      <c r="BN13" s="41" t="n">
        <v>84</v>
      </c>
      <c r="BO13" s="42" t="n">
        <v>27</v>
      </c>
      <c r="BP13" s="43" t="n">
        <v>66</v>
      </c>
      <c r="BQ13" s="44" t="n">
        <v>93</v>
      </c>
      <c r="BR13" s="42" t="n">
        <v>23</v>
      </c>
      <c r="BS13" s="45" t="n">
        <v>64</v>
      </c>
      <c r="BT13" s="45" t="n">
        <v>87</v>
      </c>
      <c r="BU13" s="46" t="n">
        <v>100</v>
      </c>
      <c r="BV13" s="47" t="n">
        <v>94</v>
      </c>
      <c r="BW13" s="42" t="n">
        <v>100</v>
      </c>
      <c r="BX13" s="48" t="n">
        <v>96</v>
      </c>
      <c r="BY13" s="32" t="n">
        <v>27</v>
      </c>
      <c r="BZ13" s="32" t="n">
        <v>67</v>
      </c>
      <c r="CA13" s="32" t="n">
        <v>94</v>
      </c>
      <c r="CB13" s="32" t="n">
        <v>27</v>
      </c>
      <c r="CC13" s="32" t="n">
        <v>50</v>
      </c>
      <c r="CD13" s="32" t="n">
        <v>77</v>
      </c>
      <c r="CE13" s="32" t="n">
        <v>28</v>
      </c>
      <c r="CF13" s="32" t="n">
        <v>67</v>
      </c>
      <c r="CG13" s="32" t="n">
        <v>95</v>
      </c>
      <c r="CH13" s="32" t="n">
        <v>100</v>
      </c>
      <c r="CI13" s="32" t="n">
        <v>99</v>
      </c>
      <c r="CJ13" s="49" t="n">
        <v>27</v>
      </c>
      <c r="CK13" s="49" t="n">
        <v>64</v>
      </c>
      <c r="CL13" s="49" t="n">
        <v>91</v>
      </c>
      <c r="CM13" s="49" t="n">
        <v>21</v>
      </c>
      <c r="CN13" s="49" t="n">
        <v>57</v>
      </c>
      <c r="CO13" s="49" t="n">
        <v>78</v>
      </c>
      <c r="CP13" s="25" t="n">
        <f aca="false">BX13+BW13+BV13+BU13+BT13+BQ13+BN13</f>
        <v>654</v>
      </c>
      <c r="CQ13" s="25" t="n">
        <f aca="false">CO13+CL13+CI13+CH13+CG13+CD13+CA13</f>
        <v>634</v>
      </c>
      <c r="CR13" s="26" t="n">
        <f aca="false">CP13/7</f>
        <v>93.4285714285714</v>
      </c>
      <c r="CS13" s="26" t="n">
        <f aca="false">CQ13/7</f>
        <v>90.5714285714286</v>
      </c>
      <c r="CT13" s="24" t="n">
        <f aca="false">RANK(CR13,$CR$2:$CR$881,0)</f>
        <v>41</v>
      </c>
      <c r="CU13" s="25" t="n">
        <f aca="false">RANK(CS13,$CS$2:$CS$881,0)</f>
        <v>17</v>
      </c>
      <c r="CV13" s="26" t="n">
        <f aca="false">(CS13+CR13)/2</f>
        <v>92</v>
      </c>
      <c r="CW13" s="25" t="n">
        <f aca="false">RANK(CV13,$CV$2:$CV$881,0)</f>
        <v>21</v>
      </c>
      <c r="CX13" s="50" t="n">
        <f aca="false">(CV13+BB13)/2</f>
        <v>91.2</v>
      </c>
      <c r="CY13" s="50" t="n">
        <v>13</v>
      </c>
      <c r="CZ13" s="27" t="s">
        <v>132</v>
      </c>
      <c r="DA13" s="27" t="s">
        <v>162</v>
      </c>
      <c r="DB13" s="27" t="s">
        <v>162</v>
      </c>
      <c r="DC13" s="27" t="s">
        <v>134</v>
      </c>
      <c r="DD13" s="27" t="s">
        <v>154</v>
      </c>
      <c r="DE13" s="27" t="s">
        <v>161</v>
      </c>
      <c r="DF13" s="27" t="s">
        <v>209</v>
      </c>
      <c r="DG13" s="27" t="s">
        <v>134</v>
      </c>
      <c r="DH13" s="27" t="s">
        <v>174</v>
      </c>
      <c r="DI13" s="27" t="s">
        <v>138</v>
      </c>
      <c r="DJ13" s="27" t="s">
        <v>170</v>
      </c>
      <c r="DK13" s="27" t="s">
        <v>134</v>
      </c>
      <c r="DL13" s="27" t="s">
        <v>137</v>
      </c>
      <c r="DM13" s="27" t="s">
        <v>143</v>
      </c>
      <c r="DN13" s="27" t="s">
        <v>156</v>
      </c>
      <c r="DO13" s="27" t="s">
        <v>134</v>
      </c>
      <c r="DP13" s="27" t="s">
        <v>164</v>
      </c>
      <c r="DQ13" s="27" t="s">
        <v>163</v>
      </c>
      <c r="DR13" s="27" t="s">
        <v>176</v>
      </c>
      <c r="DS13" s="27" t="s">
        <v>134</v>
      </c>
      <c r="DT13" s="27" t="s">
        <v>140</v>
      </c>
      <c r="DU13" s="27" t="s">
        <v>141</v>
      </c>
      <c r="DV13" s="27" t="s">
        <v>142</v>
      </c>
      <c r="DW13" s="27" t="s">
        <v>140</v>
      </c>
      <c r="DX13" s="27" t="s">
        <v>155</v>
      </c>
      <c r="DY13" s="27" t="s">
        <v>147</v>
      </c>
      <c r="DZ13" s="27" t="n">
        <f aca="false">DY13+DV13+DR13+DN13+DJ13+DF13+DB13</f>
        <v>645</v>
      </c>
      <c r="EA13" s="28" t="n">
        <f aca="false">DZ13/7</f>
        <v>92.1428571428571</v>
      </c>
      <c r="EB13" s="27" t="n">
        <f aca="false">RANK(EA13,$EA$2:$EA$881,0)</f>
        <v>13</v>
      </c>
      <c r="EC13" s="29" t="n">
        <f aca="false">DZ13+CQ13+CP13+AZ13</f>
        <v>2837</v>
      </c>
      <c r="ED13" s="30" t="n">
        <f aca="false">(EA13+CV13+BB13)/3</f>
        <v>91.5142857142857</v>
      </c>
      <c r="EE13" s="51" t="n">
        <f aca="false">ROUND(BE13,3)</f>
        <v>94.357</v>
      </c>
      <c r="EF13" s="51" t="n">
        <f aca="false">ROUND(CR13,3)</f>
        <v>93.429</v>
      </c>
      <c r="EG13" s="51" t="n">
        <f aca="false">ROUND(CS13,3)</f>
        <v>90.571</v>
      </c>
      <c r="EH13" s="51" t="n">
        <f aca="false">ROUND(EA13,3)</f>
        <v>92.143</v>
      </c>
      <c r="EI13" s="51" t="n">
        <f aca="false">ROUND(ED13,3)</f>
        <v>91.514</v>
      </c>
      <c r="EJ13" s="51" t="n">
        <f aca="false">ROUND(CV13,3)</f>
        <v>92</v>
      </c>
      <c r="EK13" s="0" t="n">
        <f aca="false">RANK(EI13,$EI$2:$EI$881,0)</f>
        <v>12</v>
      </c>
    </row>
    <row r="14" customFormat="false" ht="15" hidden="false" customHeight="false" outlineLevel="0" collapsed="false">
      <c r="A14" s="4" t="n">
        <v>8890</v>
      </c>
      <c r="B14" s="4" t="n">
        <v>632</v>
      </c>
      <c r="C14" s="27" t="s">
        <v>210</v>
      </c>
      <c r="D14" s="31" t="n">
        <v>640</v>
      </c>
      <c r="E14" s="32" t="n">
        <v>230325000</v>
      </c>
      <c r="F14" s="8" t="s">
        <v>211</v>
      </c>
      <c r="G14" s="22" t="s">
        <v>181</v>
      </c>
      <c r="H14" s="22" t="s">
        <v>129</v>
      </c>
      <c r="I14" s="33" t="n">
        <v>2006</v>
      </c>
      <c r="J14" s="32" t="n">
        <v>87</v>
      </c>
      <c r="K14" s="32" t="n">
        <v>94</v>
      </c>
      <c r="L14" s="34" t="n">
        <f aca="false">(K14*70)/100</f>
        <v>65.8</v>
      </c>
      <c r="M14" s="34" t="n">
        <f aca="false">ROUNDUP(L14,0)</f>
        <v>66</v>
      </c>
      <c r="N14" s="32" t="n">
        <v>29</v>
      </c>
      <c r="O14" s="34" t="n">
        <f aca="false">N14+L14</f>
        <v>94.8</v>
      </c>
      <c r="P14" s="34" t="n">
        <f aca="false">N14+M14</f>
        <v>95</v>
      </c>
      <c r="Q14" s="32" t="n">
        <v>86</v>
      </c>
      <c r="R14" s="32" t="n">
        <v>85</v>
      </c>
      <c r="S14" s="34" t="n">
        <f aca="false">(R14*70)/100</f>
        <v>59.5</v>
      </c>
      <c r="T14" s="34" t="n">
        <f aca="false">ROUNDUP(S14,0)</f>
        <v>60</v>
      </c>
      <c r="U14" s="32" t="n">
        <v>25</v>
      </c>
      <c r="V14" s="34" t="n">
        <f aca="false">U14+S14</f>
        <v>84.5</v>
      </c>
      <c r="W14" s="34" t="n">
        <f aca="false">U14+T14</f>
        <v>85</v>
      </c>
      <c r="X14" s="32" t="n">
        <v>89</v>
      </c>
      <c r="Y14" s="34" t="n">
        <f aca="false">(X14*70)/100</f>
        <v>62.3</v>
      </c>
      <c r="Z14" s="34" t="n">
        <f aca="false">ROUNDUP(Y14,0)</f>
        <v>63</v>
      </c>
      <c r="AA14" s="32" t="n">
        <v>27</v>
      </c>
      <c r="AB14" s="34" t="n">
        <f aca="false">AA14+Y14</f>
        <v>89.3</v>
      </c>
      <c r="AC14" s="34" t="n">
        <f aca="false">AA14+Z14</f>
        <v>90</v>
      </c>
      <c r="AD14" s="32" t="n">
        <f aca="false">X14+R14+Q14+K14+J14</f>
        <v>441</v>
      </c>
      <c r="AE14" s="16" t="n">
        <f aca="false">AD14/5</f>
        <v>88.2</v>
      </c>
      <c r="AF14" s="16" t="n">
        <v>94</v>
      </c>
      <c r="AG14" s="16" t="n">
        <v>90</v>
      </c>
      <c r="AH14" s="16" t="n">
        <v>95</v>
      </c>
      <c r="AI14" s="16" t="n">
        <v>96</v>
      </c>
      <c r="AJ14" s="16" t="n">
        <f aca="false">(AI14*70)/100</f>
        <v>67.2</v>
      </c>
      <c r="AK14" s="35" t="n">
        <f aca="false">ROUNDUP(AJ14,0)</f>
        <v>68</v>
      </c>
      <c r="AL14" s="16" t="n">
        <v>26</v>
      </c>
      <c r="AM14" s="16" t="n">
        <f aca="false">AL14+AJ14</f>
        <v>93.2</v>
      </c>
      <c r="AN14" s="16" t="n">
        <f aca="false">AL14+AK14</f>
        <v>94</v>
      </c>
      <c r="AO14" s="16" t="n">
        <v>88</v>
      </c>
      <c r="AP14" s="36" t="n">
        <f aca="false">(AO14*70)/100</f>
        <v>61.6</v>
      </c>
      <c r="AQ14" s="37" t="n">
        <f aca="false">ROUNDUP(AP14,0)</f>
        <v>62</v>
      </c>
      <c r="AR14" s="16" t="n">
        <v>30</v>
      </c>
      <c r="AS14" s="16" t="n">
        <f aca="false">AR14+AP14</f>
        <v>91.6</v>
      </c>
      <c r="AT14" s="16" t="n">
        <f aca="false">AR14+AQ14</f>
        <v>92</v>
      </c>
      <c r="AU14" s="16" t="n">
        <f aca="false">AO14+AF14+AI14+AH14+AG14</f>
        <v>463</v>
      </c>
      <c r="AV14" s="16" t="n">
        <f aca="false">(AO14+AF14+AI14+AH14+AG14)/5</f>
        <v>92.6</v>
      </c>
      <c r="AW14" s="36" t="n">
        <f aca="false">(AO14+AF14+AI14+AH14+AG14+X14+R14+Q14+K14+J14)</f>
        <v>904</v>
      </c>
      <c r="AX14" s="16" t="n">
        <f aca="false">AW14/10</f>
        <v>90.4</v>
      </c>
      <c r="AY14" s="16" t="n">
        <f aca="false">AS14+AF14+AM14+AH14+AG14+AB14+V14+Q14+O14+J14</f>
        <v>905.4</v>
      </c>
      <c r="AZ14" s="16" t="n">
        <f aca="false">AT14+AF14+AN14+AH14+AG14+AC14+W14+Q14+P14+J14</f>
        <v>908</v>
      </c>
      <c r="BA14" s="16" t="n">
        <f aca="false">AY14/10</f>
        <v>90.54</v>
      </c>
      <c r="BB14" s="16" t="n">
        <f aca="false">AZ14/10</f>
        <v>90.8</v>
      </c>
      <c r="BC14" s="16" t="n">
        <v>2386</v>
      </c>
      <c r="BD14" s="16" t="n">
        <f aca="false">RANK(AX14,$AX$2:$AX$881,0)</f>
        <v>18</v>
      </c>
      <c r="BE14" s="38" t="n">
        <f aca="false">((BC14*100)/2400)*0.4+(AX14*0.6)</f>
        <v>94.0066666666667</v>
      </c>
      <c r="BF14" s="16" t="n">
        <f aca="false">RANK(BE14,$BE$2:$BE$881,0)</f>
        <v>16</v>
      </c>
      <c r="BG14" s="39" t="n">
        <f aca="false">RANK(BB14,$BB$2:$BB$881,0)</f>
        <v>15</v>
      </c>
      <c r="BH14" s="39" t="n">
        <f aca="false">RANK(BC14,$BC$2:$BC$881,0)</f>
        <v>86</v>
      </c>
      <c r="BI14" s="22" t="s">
        <v>130</v>
      </c>
      <c r="BJ14" s="22" t="s">
        <v>129</v>
      </c>
      <c r="BK14" s="40" t="s">
        <v>131</v>
      </c>
      <c r="BL14" s="41" t="n">
        <v>25</v>
      </c>
      <c r="BM14" s="41" t="n">
        <v>62</v>
      </c>
      <c r="BN14" s="41" t="n">
        <v>87</v>
      </c>
      <c r="BO14" s="42" t="n">
        <v>29</v>
      </c>
      <c r="BP14" s="43" t="n">
        <v>68</v>
      </c>
      <c r="BQ14" s="44" t="n">
        <v>97</v>
      </c>
      <c r="BR14" s="42" t="n">
        <v>24</v>
      </c>
      <c r="BS14" s="45" t="n">
        <v>63</v>
      </c>
      <c r="BT14" s="45" t="n">
        <v>87</v>
      </c>
      <c r="BU14" s="46" t="n">
        <v>100</v>
      </c>
      <c r="BV14" s="47" t="n">
        <v>96</v>
      </c>
      <c r="BW14" s="42" t="n">
        <v>99</v>
      </c>
      <c r="BX14" s="48" t="n">
        <v>96</v>
      </c>
      <c r="BY14" s="32" t="n">
        <v>27</v>
      </c>
      <c r="BZ14" s="32" t="n">
        <v>58</v>
      </c>
      <c r="CA14" s="32" t="n">
        <v>85</v>
      </c>
      <c r="CB14" s="32" t="n">
        <v>25</v>
      </c>
      <c r="CC14" s="32" t="n">
        <v>52</v>
      </c>
      <c r="CD14" s="32" t="n">
        <v>77</v>
      </c>
      <c r="CE14" s="32" t="n">
        <v>28</v>
      </c>
      <c r="CF14" s="32" t="n">
        <v>62</v>
      </c>
      <c r="CG14" s="32" t="n">
        <v>90</v>
      </c>
      <c r="CH14" s="32" t="n">
        <v>99</v>
      </c>
      <c r="CI14" s="32" t="n">
        <v>100</v>
      </c>
      <c r="CJ14" s="49" t="n">
        <v>28</v>
      </c>
      <c r="CK14" s="49" t="n">
        <v>63</v>
      </c>
      <c r="CL14" s="49" t="n">
        <v>91</v>
      </c>
      <c r="CM14" s="49" t="n">
        <v>25</v>
      </c>
      <c r="CN14" s="49" t="n">
        <v>55</v>
      </c>
      <c r="CO14" s="49" t="n">
        <v>80</v>
      </c>
      <c r="CP14" s="25" t="n">
        <f aca="false">BX14+BW14+BV14+BU14+BT14+BQ14+BN14</f>
        <v>662</v>
      </c>
      <c r="CQ14" s="25" t="n">
        <f aca="false">CO14+CL14+CI14+CH14+CG14+CD14+CA14</f>
        <v>622</v>
      </c>
      <c r="CR14" s="26" t="n">
        <f aca="false">CP14/7</f>
        <v>94.5714285714286</v>
      </c>
      <c r="CS14" s="26" t="n">
        <f aca="false">CQ14/7</f>
        <v>88.8571428571429</v>
      </c>
      <c r="CT14" s="24" t="n">
        <f aca="false">RANK(CR14,$CR$2:$CR$881,0)</f>
        <v>18</v>
      </c>
      <c r="CU14" s="25" t="n">
        <f aca="false">RANK(CS14,$CS$2:$CS$881,0)</f>
        <v>37</v>
      </c>
      <c r="CV14" s="26" t="n">
        <f aca="false">(CS14+CR14)/2</f>
        <v>91.7142857142857</v>
      </c>
      <c r="CW14" s="25" t="n">
        <f aca="false">RANK(CV14,$CV$2:$CV$881,0)</f>
        <v>24</v>
      </c>
      <c r="CX14" s="50" t="n">
        <f aca="false">(CV14+BB14)/2</f>
        <v>91.2571428571429</v>
      </c>
      <c r="CY14" s="50" t="n">
        <v>12</v>
      </c>
      <c r="CZ14" s="27" t="s">
        <v>132</v>
      </c>
      <c r="DA14" s="27" t="s">
        <v>153</v>
      </c>
      <c r="DB14" s="27" t="s">
        <v>153</v>
      </c>
      <c r="DC14" s="27" t="s">
        <v>134</v>
      </c>
      <c r="DD14" s="27" t="s">
        <v>182</v>
      </c>
      <c r="DE14" s="27" t="s">
        <v>177</v>
      </c>
      <c r="DF14" s="27" t="s">
        <v>209</v>
      </c>
      <c r="DG14" s="27" t="s">
        <v>134</v>
      </c>
      <c r="DH14" s="27" t="s">
        <v>135</v>
      </c>
      <c r="DI14" s="27" t="s">
        <v>138</v>
      </c>
      <c r="DJ14" s="27" t="s">
        <v>156</v>
      </c>
      <c r="DK14" s="27" t="s">
        <v>134</v>
      </c>
      <c r="DL14" s="27" t="s">
        <v>140</v>
      </c>
      <c r="DM14" s="27" t="s">
        <v>161</v>
      </c>
      <c r="DN14" s="27" t="s">
        <v>153</v>
      </c>
      <c r="DO14" s="27" t="s">
        <v>134</v>
      </c>
      <c r="DP14" s="27" t="s">
        <v>140</v>
      </c>
      <c r="DQ14" s="27" t="s">
        <v>161</v>
      </c>
      <c r="DR14" s="27" t="s">
        <v>153</v>
      </c>
      <c r="DS14" s="27" t="s">
        <v>134</v>
      </c>
      <c r="DT14" s="27" t="s">
        <v>140</v>
      </c>
      <c r="DU14" s="27" t="s">
        <v>141</v>
      </c>
      <c r="DV14" s="27" t="s">
        <v>142</v>
      </c>
      <c r="DW14" s="27" t="s">
        <v>140</v>
      </c>
      <c r="DX14" s="27" t="s">
        <v>155</v>
      </c>
      <c r="DY14" s="27" t="s">
        <v>147</v>
      </c>
      <c r="DZ14" s="27" t="n">
        <f aca="false">DY14+DV14+DR14+DN14+DJ14+DF14+DB14</f>
        <v>643</v>
      </c>
      <c r="EA14" s="28" t="n">
        <f aca="false">DZ14/7</f>
        <v>91.8571428571429</v>
      </c>
      <c r="EB14" s="27" t="n">
        <f aca="false">RANK(EA14,$EA$2:$EA$881,0)</f>
        <v>18</v>
      </c>
      <c r="EC14" s="29" t="n">
        <f aca="false">DZ14+CQ14+CP14+AZ14</f>
        <v>2835</v>
      </c>
      <c r="ED14" s="30" t="n">
        <f aca="false">(EA14+CV14+BB14)/3</f>
        <v>91.4571428571429</v>
      </c>
      <c r="EE14" s="51" t="n">
        <f aca="false">ROUND(BE14,3)</f>
        <v>94.007</v>
      </c>
      <c r="EF14" s="51" t="n">
        <f aca="false">ROUND(CR14,3)</f>
        <v>94.571</v>
      </c>
      <c r="EG14" s="51" t="n">
        <f aca="false">ROUND(CS14,3)</f>
        <v>88.857</v>
      </c>
      <c r="EH14" s="51" t="n">
        <f aca="false">ROUND(EA14,3)</f>
        <v>91.857</v>
      </c>
      <c r="EI14" s="51" t="n">
        <f aca="false">ROUND(ED14,3)</f>
        <v>91.457</v>
      </c>
      <c r="EJ14" s="51" t="n">
        <f aca="false">ROUND(CV14,3)</f>
        <v>91.714</v>
      </c>
      <c r="EK14" s="0" t="n">
        <f aca="false">RANK(EI14,$EI$2:$EI$881,0)</f>
        <v>13</v>
      </c>
    </row>
    <row r="15" customFormat="false" ht="15" hidden="false" customHeight="false" outlineLevel="0" collapsed="false">
      <c r="A15" s="4" t="n">
        <v>8931</v>
      </c>
      <c r="B15" s="4" t="n">
        <v>458</v>
      </c>
      <c r="C15" s="27" t="s">
        <v>212</v>
      </c>
      <c r="D15" s="31" t="n">
        <v>464</v>
      </c>
      <c r="E15" s="32" t="n">
        <v>230312492</v>
      </c>
      <c r="F15" s="8" t="s">
        <v>213</v>
      </c>
      <c r="G15" s="22" t="s">
        <v>214</v>
      </c>
      <c r="H15" s="22" t="s">
        <v>129</v>
      </c>
      <c r="I15" s="33" t="n">
        <v>2005</v>
      </c>
      <c r="J15" s="32" t="n">
        <v>83</v>
      </c>
      <c r="K15" s="32" t="n">
        <v>90</v>
      </c>
      <c r="L15" s="34" t="n">
        <f aca="false">(K15*70)/100</f>
        <v>63</v>
      </c>
      <c r="M15" s="34" t="n">
        <f aca="false">ROUNDUP(L15,0)</f>
        <v>63</v>
      </c>
      <c r="N15" s="32" t="n">
        <v>29</v>
      </c>
      <c r="O15" s="34" t="n">
        <f aca="false">N15+L15</f>
        <v>92</v>
      </c>
      <c r="P15" s="34" t="n">
        <f aca="false">N15+M15</f>
        <v>92</v>
      </c>
      <c r="Q15" s="32" t="n">
        <v>88</v>
      </c>
      <c r="R15" s="32" t="n">
        <v>86</v>
      </c>
      <c r="S15" s="34" t="n">
        <f aca="false">(R15*70)/100</f>
        <v>60.2</v>
      </c>
      <c r="T15" s="34" t="n">
        <f aca="false">ROUNDUP(S15,0)</f>
        <v>61</v>
      </c>
      <c r="U15" s="32" t="n">
        <v>28</v>
      </c>
      <c r="V15" s="34" t="n">
        <f aca="false">U15+S15</f>
        <v>88.2</v>
      </c>
      <c r="W15" s="34" t="n">
        <f aca="false">U15+T15</f>
        <v>89</v>
      </c>
      <c r="X15" s="32" t="n">
        <v>77</v>
      </c>
      <c r="Y15" s="34" t="n">
        <f aca="false">(X15*70)/100</f>
        <v>53.9</v>
      </c>
      <c r="Z15" s="34" t="n">
        <f aca="false">ROUNDUP(Y15,0)</f>
        <v>54</v>
      </c>
      <c r="AA15" s="32" t="n">
        <v>26</v>
      </c>
      <c r="AB15" s="34" t="n">
        <f aca="false">AA15+Y15</f>
        <v>79.9</v>
      </c>
      <c r="AC15" s="34" t="n">
        <f aca="false">AA15+Z15</f>
        <v>80</v>
      </c>
      <c r="AD15" s="32" t="n">
        <f aca="false">X15+R15+Q15+K15+J15</f>
        <v>424</v>
      </c>
      <c r="AE15" s="16" t="n">
        <f aca="false">AD15/5</f>
        <v>84.8</v>
      </c>
      <c r="AF15" s="16" t="n">
        <v>83</v>
      </c>
      <c r="AG15" s="16" t="n">
        <v>94</v>
      </c>
      <c r="AH15" s="16" t="n">
        <v>92</v>
      </c>
      <c r="AI15" s="16" t="n">
        <v>97</v>
      </c>
      <c r="AJ15" s="16" t="n">
        <f aca="false">(AI15*70)/100</f>
        <v>67.9</v>
      </c>
      <c r="AK15" s="35" t="n">
        <f aca="false">ROUNDUP(AJ15,0)</f>
        <v>68</v>
      </c>
      <c r="AL15" s="16" t="n">
        <v>27</v>
      </c>
      <c r="AM15" s="16" t="n">
        <f aca="false">AL15+AJ15</f>
        <v>94.9</v>
      </c>
      <c r="AN15" s="16" t="n">
        <f aca="false">AL15+AK15</f>
        <v>95</v>
      </c>
      <c r="AO15" s="16" t="n">
        <v>86</v>
      </c>
      <c r="AP15" s="36" t="n">
        <f aca="false">(AO15*70)/100</f>
        <v>60.2</v>
      </c>
      <c r="AQ15" s="37" t="n">
        <f aca="false">ROUNDUP(AP15,0)</f>
        <v>61</v>
      </c>
      <c r="AR15" s="16" t="n">
        <v>29</v>
      </c>
      <c r="AS15" s="16" t="n">
        <f aca="false">AR15+AP15</f>
        <v>89.2</v>
      </c>
      <c r="AT15" s="16" t="n">
        <f aca="false">AR15+AQ15</f>
        <v>90</v>
      </c>
      <c r="AU15" s="16" t="n">
        <f aca="false">AO15+AF15+AI15+AH15+AG15</f>
        <v>452</v>
      </c>
      <c r="AV15" s="16" t="n">
        <f aca="false">(AO15+AF15+AI15+AH15+AG15)/5</f>
        <v>90.4</v>
      </c>
      <c r="AW15" s="36" t="n">
        <f aca="false">(AO15+AF15+AI15+AH15+AG15+X15+R15+Q15+K15+J15)</f>
        <v>876</v>
      </c>
      <c r="AX15" s="16" t="n">
        <f aca="false">AW15/10</f>
        <v>87.6</v>
      </c>
      <c r="AY15" s="16" t="n">
        <f aca="false">AS15+AF15+AM15+AH15+AG15+AB15+V15+Q15+O15+J15</f>
        <v>884.2</v>
      </c>
      <c r="AZ15" s="16" t="n">
        <f aca="false">AT15+AF15+AN15+AH15+AG15+AC15+W15+Q15+P15+J15</f>
        <v>886</v>
      </c>
      <c r="BA15" s="16" t="n">
        <f aca="false">AY15/10</f>
        <v>88.42</v>
      </c>
      <c r="BB15" s="16" t="n">
        <f aca="false">AZ15/10</f>
        <v>88.6</v>
      </c>
      <c r="BC15" s="16" t="n">
        <v>2371</v>
      </c>
      <c r="BD15" s="16" t="n">
        <f aca="false">RANK(AX15,$AX$2:$AX$881,0)</f>
        <v>40</v>
      </c>
      <c r="BE15" s="38" t="n">
        <f aca="false">((BC15*100)/2400)*0.4+(AX15*0.6)</f>
        <v>92.0766666666667</v>
      </c>
      <c r="BF15" s="16" t="n">
        <f aca="false">RANK(BE15,$BE$2:$BE$881,0)</f>
        <v>42</v>
      </c>
      <c r="BG15" s="39" t="n">
        <f aca="false">RANK(BB15,$BB$2:$BB$881,0)</f>
        <v>34</v>
      </c>
      <c r="BH15" s="39" t="n">
        <f aca="false">RANK(BC15,$BC$2:$BC$881,0)</f>
        <v>257</v>
      </c>
      <c r="BI15" s="22" t="s">
        <v>130</v>
      </c>
      <c r="BJ15" s="22" t="s">
        <v>129</v>
      </c>
      <c r="BK15" s="40" t="s">
        <v>131</v>
      </c>
      <c r="BL15" s="41" t="n">
        <v>29</v>
      </c>
      <c r="BM15" s="41" t="n">
        <v>59</v>
      </c>
      <c r="BN15" s="41" t="n">
        <v>88</v>
      </c>
      <c r="BO15" s="42" t="n">
        <v>28</v>
      </c>
      <c r="BP15" s="43" t="n">
        <v>68</v>
      </c>
      <c r="BQ15" s="44" t="n">
        <v>96</v>
      </c>
      <c r="BR15" s="42" t="n">
        <v>25</v>
      </c>
      <c r="BS15" s="45" t="n">
        <v>63</v>
      </c>
      <c r="BT15" s="45" t="n">
        <v>88</v>
      </c>
      <c r="BU15" s="46" t="n">
        <v>100</v>
      </c>
      <c r="BV15" s="47" t="n">
        <v>92</v>
      </c>
      <c r="BW15" s="42" t="n">
        <v>98</v>
      </c>
      <c r="BX15" s="48" t="n">
        <v>96</v>
      </c>
      <c r="BY15" s="32" t="n">
        <v>26</v>
      </c>
      <c r="BZ15" s="32" t="n">
        <v>66</v>
      </c>
      <c r="CA15" s="32" t="n">
        <v>92</v>
      </c>
      <c r="CB15" s="32" t="n">
        <v>28</v>
      </c>
      <c r="CC15" s="32" t="n">
        <v>58</v>
      </c>
      <c r="CD15" s="32" t="n">
        <v>86</v>
      </c>
      <c r="CE15" s="32" t="n">
        <v>28</v>
      </c>
      <c r="CF15" s="32" t="n">
        <v>64</v>
      </c>
      <c r="CG15" s="32" t="n">
        <v>92</v>
      </c>
      <c r="CH15" s="32" t="n">
        <v>96</v>
      </c>
      <c r="CI15" s="32" t="n">
        <v>99</v>
      </c>
      <c r="CJ15" s="49" t="n">
        <v>27</v>
      </c>
      <c r="CK15" s="49" t="n">
        <v>65</v>
      </c>
      <c r="CL15" s="49" t="n">
        <v>92</v>
      </c>
      <c r="CM15" s="49" t="n">
        <v>26</v>
      </c>
      <c r="CN15" s="49" t="n">
        <v>65</v>
      </c>
      <c r="CO15" s="49" t="n">
        <v>91</v>
      </c>
      <c r="CP15" s="25" t="n">
        <f aca="false">BX15+BW15+BV15+BU15+BT15+BQ15+BN15</f>
        <v>658</v>
      </c>
      <c r="CQ15" s="25" t="n">
        <f aca="false">CO15+CL15+CI15+CH15+CG15+CD15+CA15</f>
        <v>648</v>
      </c>
      <c r="CR15" s="26" t="n">
        <f aca="false">CP15/7</f>
        <v>94</v>
      </c>
      <c r="CS15" s="26" t="n">
        <f aca="false">CQ15/7</f>
        <v>92.5714285714286</v>
      </c>
      <c r="CT15" s="24" t="n">
        <f aca="false">RANK(CR15,$CR$2:$CR$881,0)</f>
        <v>29</v>
      </c>
      <c r="CU15" s="25" t="n">
        <f aca="false">RANK(CS15,$CS$2:$CS$881,0)</f>
        <v>3</v>
      </c>
      <c r="CV15" s="26" t="n">
        <f aca="false">(CS15+CR15)/2</f>
        <v>93.2857142857143</v>
      </c>
      <c r="CW15" s="25" t="n">
        <f aca="false">RANK(CV15,$CV$2:$CV$881,0)</f>
        <v>6</v>
      </c>
      <c r="CX15" s="50" t="n">
        <f aca="false">(CV15+BB15)/2</f>
        <v>90.9428571428571</v>
      </c>
      <c r="CY15" s="50" t="n">
        <v>16</v>
      </c>
      <c r="CZ15" s="27" t="s">
        <v>132</v>
      </c>
      <c r="DA15" s="27" t="s">
        <v>133</v>
      </c>
      <c r="DB15" s="27" t="s">
        <v>133</v>
      </c>
      <c r="DC15" s="27" t="s">
        <v>134</v>
      </c>
      <c r="DD15" s="27" t="s">
        <v>164</v>
      </c>
      <c r="DE15" s="27" t="s">
        <v>163</v>
      </c>
      <c r="DF15" s="27" t="s">
        <v>176</v>
      </c>
      <c r="DG15" s="27" t="s">
        <v>134</v>
      </c>
      <c r="DH15" s="27" t="s">
        <v>182</v>
      </c>
      <c r="DI15" s="27" t="s">
        <v>141</v>
      </c>
      <c r="DJ15" s="27" t="s">
        <v>170</v>
      </c>
      <c r="DK15" s="27" t="s">
        <v>134</v>
      </c>
      <c r="DL15" s="27" t="s">
        <v>160</v>
      </c>
      <c r="DM15" s="27" t="s">
        <v>187</v>
      </c>
      <c r="DN15" s="27" t="s">
        <v>156</v>
      </c>
      <c r="DO15" s="27" t="s">
        <v>134</v>
      </c>
      <c r="DP15" s="27" t="s">
        <v>137</v>
      </c>
      <c r="DQ15" s="27" t="s">
        <v>152</v>
      </c>
      <c r="DR15" s="27" t="s">
        <v>153</v>
      </c>
      <c r="DS15" s="27" t="s">
        <v>134</v>
      </c>
      <c r="DT15" s="27" t="s">
        <v>137</v>
      </c>
      <c r="DU15" s="27" t="s">
        <v>187</v>
      </c>
      <c r="DV15" s="27" t="s">
        <v>176</v>
      </c>
      <c r="DW15" s="27" t="s">
        <v>146</v>
      </c>
      <c r="DX15" s="27" t="s">
        <v>155</v>
      </c>
      <c r="DY15" s="27" t="s">
        <v>165</v>
      </c>
      <c r="DZ15" s="27" t="n">
        <f aca="false">DY15+DV15+DR15+DN15+DJ15+DF15+DB15</f>
        <v>647</v>
      </c>
      <c r="EA15" s="28" t="n">
        <f aca="false">DZ15/7</f>
        <v>92.4285714285714</v>
      </c>
      <c r="EB15" s="27" t="n">
        <f aca="false">RANK(EA15,$EA$2:$EA$881,0)</f>
        <v>9</v>
      </c>
      <c r="EC15" s="29" t="n">
        <f aca="false">DZ15+CQ15+CP15+AZ15</f>
        <v>2839</v>
      </c>
      <c r="ED15" s="30" t="n">
        <f aca="false">(EA15+CV15+BB15)/3</f>
        <v>91.4380952380952</v>
      </c>
      <c r="EE15" s="51" t="n">
        <f aca="false">ROUND(BE15,3)</f>
        <v>92.077</v>
      </c>
      <c r="EF15" s="51" t="n">
        <f aca="false">ROUND(CR15,3)</f>
        <v>94</v>
      </c>
      <c r="EG15" s="51" t="n">
        <f aca="false">ROUND(CS15,3)</f>
        <v>92.571</v>
      </c>
      <c r="EH15" s="51" t="n">
        <f aca="false">ROUND(EA15,3)</f>
        <v>92.429</v>
      </c>
      <c r="EI15" s="51" t="n">
        <f aca="false">ROUND(ED15,3)</f>
        <v>91.438</v>
      </c>
      <c r="EJ15" s="51" t="n">
        <f aca="false">ROUND(CV15,3)</f>
        <v>93.286</v>
      </c>
      <c r="EK15" s="0" t="n">
        <f aca="false">RANK(EI15,$EI$2:$EI$881,0)</f>
        <v>14</v>
      </c>
    </row>
    <row r="16" customFormat="false" ht="15" hidden="false" customHeight="false" outlineLevel="0" collapsed="false">
      <c r="A16" s="4" t="n">
        <v>8920</v>
      </c>
      <c r="B16" s="4" t="n">
        <v>573</v>
      </c>
      <c r="C16" s="27" t="s">
        <v>215</v>
      </c>
      <c r="D16" s="31" t="n">
        <v>578</v>
      </c>
      <c r="E16" s="32" t="n">
        <v>230313008</v>
      </c>
      <c r="F16" s="8" t="s">
        <v>216</v>
      </c>
      <c r="G16" s="22" t="s">
        <v>217</v>
      </c>
      <c r="H16" s="22" t="s">
        <v>129</v>
      </c>
      <c r="I16" s="33" t="n">
        <v>2005</v>
      </c>
      <c r="J16" s="32" t="n">
        <v>100</v>
      </c>
      <c r="K16" s="32" t="n">
        <v>93</v>
      </c>
      <c r="L16" s="34" t="n">
        <f aca="false">(K16*70)/100</f>
        <v>65.1</v>
      </c>
      <c r="M16" s="34" t="n">
        <f aca="false">ROUNDUP(L16,0)</f>
        <v>66</v>
      </c>
      <c r="N16" s="32" t="n">
        <v>29</v>
      </c>
      <c r="O16" s="34" t="n">
        <f aca="false">N16+L16</f>
        <v>94.1</v>
      </c>
      <c r="P16" s="34" t="n">
        <f aca="false">N16+M16</f>
        <v>95</v>
      </c>
      <c r="Q16" s="32" t="n">
        <v>91</v>
      </c>
      <c r="R16" s="32" t="n">
        <v>86</v>
      </c>
      <c r="S16" s="34" t="n">
        <f aca="false">(R16*70)/100</f>
        <v>60.2</v>
      </c>
      <c r="T16" s="34" t="n">
        <f aca="false">ROUNDUP(S16,0)</f>
        <v>61</v>
      </c>
      <c r="U16" s="32" t="n">
        <v>28</v>
      </c>
      <c r="V16" s="34" t="n">
        <f aca="false">U16+S16</f>
        <v>88.2</v>
      </c>
      <c r="W16" s="34" t="n">
        <f aca="false">U16+T16</f>
        <v>89</v>
      </c>
      <c r="X16" s="32" t="n">
        <v>81</v>
      </c>
      <c r="Y16" s="34" t="n">
        <f aca="false">(X16*70)/100</f>
        <v>56.7</v>
      </c>
      <c r="Z16" s="34" t="n">
        <f aca="false">ROUNDUP(Y16,0)</f>
        <v>57</v>
      </c>
      <c r="AA16" s="32" t="n">
        <v>28</v>
      </c>
      <c r="AB16" s="34" t="n">
        <f aca="false">AA16+Y16</f>
        <v>84.7</v>
      </c>
      <c r="AC16" s="34" t="n">
        <f aca="false">AA16+Z16</f>
        <v>85</v>
      </c>
      <c r="AD16" s="32" t="n">
        <f aca="false">X16+R16+Q16+K16+J16</f>
        <v>451</v>
      </c>
      <c r="AE16" s="16" t="n">
        <f aca="false">AD16/5</f>
        <v>90.2</v>
      </c>
      <c r="AF16" s="16" t="n">
        <v>92</v>
      </c>
      <c r="AG16" s="16" t="n">
        <v>100</v>
      </c>
      <c r="AH16" s="16" t="n">
        <v>95</v>
      </c>
      <c r="AI16" s="16" t="n">
        <v>100</v>
      </c>
      <c r="AJ16" s="16" t="n">
        <f aca="false">(AI16*70)/100</f>
        <v>70</v>
      </c>
      <c r="AK16" s="35" t="n">
        <f aca="false">ROUNDUP(AJ16,0)</f>
        <v>70</v>
      </c>
      <c r="AL16" s="16" t="n">
        <v>30</v>
      </c>
      <c r="AM16" s="16" t="n">
        <f aca="false">AL16+AJ16</f>
        <v>100</v>
      </c>
      <c r="AN16" s="16" t="n">
        <f aca="false">AL16+AK16</f>
        <v>100</v>
      </c>
      <c r="AO16" s="16" t="n">
        <v>88</v>
      </c>
      <c r="AP16" s="36" t="n">
        <f aca="false">(AO16*70)/100</f>
        <v>61.6</v>
      </c>
      <c r="AQ16" s="37" t="n">
        <f aca="false">ROUNDUP(AP16,0)</f>
        <v>62</v>
      </c>
      <c r="AR16" s="16" t="n">
        <v>30</v>
      </c>
      <c r="AS16" s="16" t="n">
        <f aca="false">AR16+AP16</f>
        <v>91.6</v>
      </c>
      <c r="AT16" s="16" t="n">
        <f aca="false">AR16+AQ16</f>
        <v>92</v>
      </c>
      <c r="AU16" s="16" t="n">
        <f aca="false">AO16+AF16+AI16+AH16+AG16</f>
        <v>475</v>
      </c>
      <c r="AV16" s="16" t="n">
        <f aca="false">(AO16+AF16+AI16+AH16+AG16)/5</f>
        <v>95</v>
      </c>
      <c r="AW16" s="36" t="n">
        <f aca="false">(AO16+AF16+AI16+AH16+AG16+X16+R16+Q16+K16+J16)</f>
        <v>926</v>
      </c>
      <c r="AX16" s="16" t="n">
        <f aca="false">AW16/10</f>
        <v>92.6</v>
      </c>
      <c r="AY16" s="16" t="n">
        <f aca="false">AS16+AF16+AM16+AH16+AG16+AB16+V16+Q16+O16+J16</f>
        <v>936.6</v>
      </c>
      <c r="AZ16" s="16" t="n">
        <f aca="false">AT16+AF16+AN16+AH16+AG16+AC16+W16+Q16+P16+J16</f>
        <v>939</v>
      </c>
      <c r="BA16" s="16" t="n">
        <f aca="false">AY16/10</f>
        <v>93.66</v>
      </c>
      <c r="BB16" s="16" t="n">
        <f aca="false">AZ16/10</f>
        <v>93.9</v>
      </c>
      <c r="BC16" s="16" t="n">
        <v>2391</v>
      </c>
      <c r="BD16" s="16" t="n">
        <f aca="false">RANK(AX16,$AX$2:$AX$881,0)</f>
        <v>4</v>
      </c>
      <c r="BE16" s="38" t="n">
        <f aca="false">((BC16*100)/2400)*0.4+(AX16*0.6)</f>
        <v>95.41</v>
      </c>
      <c r="BF16" s="16" t="n">
        <f aca="false">RANK(BE16,$BE$2:$BE$881,0)</f>
        <v>5</v>
      </c>
      <c r="BG16" s="39" t="n">
        <f aca="false">RANK(BB16,$BB$2:$BB$881,0)</f>
        <v>2</v>
      </c>
      <c r="BH16" s="39" t="n">
        <f aca="false">RANK(BC16,$BC$2:$BC$881,0)</f>
        <v>37</v>
      </c>
      <c r="BI16" s="22" t="s">
        <v>130</v>
      </c>
      <c r="BJ16" s="22" t="s">
        <v>129</v>
      </c>
      <c r="BK16" s="40" t="s">
        <v>131</v>
      </c>
      <c r="BL16" s="41" t="n">
        <v>22</v>
      </c>
      <c r="BM16" s="41" t="n">
        <v>64</v>
      </c>
      <c r="BN16" s="41" t="n">
        <v>86</v>
      </c>
      <c r="BO16" s="42" t="n">
        <v>29</v>
      </c>
      <c r="BP16" s="43" t="n">
        <v>66</v>
      </c>
      <c r="BQ16" s="44" t="n">
        <v>95</v>
      </c>
      <c r="BR16" s="42" t="n">
        <v>25</v>
      </c>
      <c r="BS16" s="45" t="n">
        <v>65</v>
      </c>
      <c r="BT16" s="45" t="n">
        <v>90</v>
      </c>
      <c r="BU16" s="46" t="n">
        <v>100</v>
      </c>
      <c r="BV16" s="47" t="n">
        <v>98</v>
      </c>
      <c r="BW16" s="42" t="n">
        <v>100</v>
      </c>
      <c r="BX16" s="48" t="n">
        <v>94</v>
      </c>
      <c r="BY16" s="32" t="n">
        <v>27</v>
      </c>
      <c r="BZ16" s="32" t="n">
        <v>64</v>
      </c>
      <c r="CA16" s="32" t="n">
        <v>91</v>
      </c>
      <c r="CB16" s="32" t="n">
        <v>27</v>
      </c>
      <c r="CC16" s="32" t="n">
        <v>50</v>
      </c>
      <c r="CD16" s="32" t="n">
        <v>77</v>
      </c>
      <c r="CE16" s="32" t="n">
        <v>23</v>
      </c>
      <c r="CF16" s="32" t="n">
        <v>58</v>
      </c>
      <c r="CG16" s="32" t="n">
        <v>81</v>
      </c>
      <c r="CH16" s="32" t="n">
        <v>100</v>
      </c>
      <c r="CI16" s="32" t="n">
        <v>99</v>
      </c>
      <c r="CJ16" s="49" t="n">
        <v>28</v>
      </c>
      <c r="CK16" s="49" t="n">
        <v>59</v>
      </c>
      <c r="CL16" s="49" t="n">
        <v>87</v>
      </c>
      <c r="CM16" s="49" t="n">
        <v>27</v>
      </c>
      <c r="CN16" s="49" t="n">
        <v>56</v>
      </c>
      <c r="CO16" s="49" t="n">
        <v>83</v>
      </c>
      <c r="CP16" s="25" t="n">
        <f aca="false">BX16+BW16+BV16+BU16+BT16+BQ16+BN16</f>
        <v>663</v>
      </c>
      <c r="CQ16" s="25" t="n">
        <f aca="false">CO16+CL16+CI16+CH16+CG16+CD16+CA16</f>
        <v>618</v>
      </c>
      <c r="CR16" s="26" t="n">
        <f aca="false">CP16/7</f>
        <v>94.7142857142857</v>
      </c>
      <c r="CS16" s="26" t="n">
        <f aca="false">CQ16/7</f>
        <v>88.2857142857143</v>
      </c>
      <c r="CT16" s="24" t="n">
        <f aca="false">RANK(CR16,$CR$2:$CR$881,0)</f>
        <v>15</v>
      </c>
      <c r="CU16" s="25" t="n">
        <f aca="false">RANK(CS16,$CS$2:$CS$881,0)</f>
        <v>40</v>
      </c>
      <c r="CV16" s="26" t="n">
        <f aca="false">(CS16+CR16)/2</f>
        <v>91.5</v>
      </c>
      <c r="CW16" s="25" t="n">
        <f aca="false">RANK(CV16,$CV$2:$CV$881,0)</f>
        <v>26</v>
      </c>
      <c r="CX16" s="50" t="n">
        <f aca="false">(CV16+BB16)/2</f>
        <v>92.7</v>
      </c>
      <c r="CY16" s="50" t="n">
        <v>6</v>
      </c>
      <c r="CZ16" s="27" t="s">
        <v>132</v>
      </c>
      <c r="DA16" s="27" t="s">
        <v>162</v>
      </c>
      <c r="DB16" s="27" t="s">
        <v>162</v>
      </c>
      <c r="DC16" s="27" t="s">
        <v>134</v>
      </c>
      <c r="DD16" s="27" t="s">
        <v>160</v>
      </c>
      <c r="DE16" s="27" t="s">
        <v>218</v>
      </c>
      <c r="DF16" s="27" t="s">
        <v>175</v>
      </c>
      <c r="DG16" s="27" t="s">
        <v>134</v>
      </c>
      <c r="DH16" s="27" t="s">
        <v>160</v>
      </c>
      <c r="DI16" s="27" t="s">
        <v>187</v>
      </c>
      <c r="DJ16" s="27" t="s">
        <v>156</v>
      </c>
      <c r="DK16" s="27" t="s">
        <v>134</v>
      </c>
      <c r="DL16" s="27" t="s">
        <v>182</v>
      </c>
      <c r="DM16" s="27" t="s">
        <v>203</v>
      </c>
      <c r="DN16" s="27" t="s">
        <v>202</v>
      </c>
      <c r="DO16" s="27" t="s">
        <v>134</v>
      </c>
      <c r="DP16" s="27" t="s">
        <v>195</v>
      </c>
      <c r="DQ16" s="27" t="s">
        <v>204</v>
      </c>
      <c r="DR16" s="27" t="s">
        <v>219</v>
      </c>
      <c r="DS16" s="27" t="s">
        <v>134</v>
      </c>
      <c r="DT16" s="27" t="s">
        <v>140</v>
      </c>
      <c r="DU16" s="27" t="s">
        <v>220</v>
      </c>
      <c r="DV16" s="27" t="s">
        <v>175</v>
      </c>
      <c r="DW16" s="27" t="s">
        <v>160</v>
      </c>
      <c r="DX16" s="27" t="s">
        <v>155</v>
      </c>
      <c r="DY16" s="27" t="s">
        <v>145</v>
      </c>
      <c r="DZ16" s="27" t="n">
        <f aca="false">DY16+DV16+DR16+DN16+DJ16+DF16+DB16</f>
        <v>617</v>
      </c>
      <c r="EA16" s="28" t="n">
        <f aca="false">DZ16/7</f>
        <v>88.1428571428571</v>
      </c>
      <c r="EB16" s="27" t="n">
        <f aca="false">RANK(EA16,$EA$2:$EA$881,0)</f>
        <v>94</v>
      </c>
      <c r="EC16" s="29" t="n">
        <f aca="false">DZ16+CQ16+CP16+AZ16</f>
        <v>2837</v>
      </c>
      <c r="ED16" s="30" t="n">
        <f aca="false">(EA16+CV16+BB16)/3</f>
        <v>91.1809523809524</v>
      </c>
      <c r="EE16" s="51" t="n">
        <f aca="false">ROUND(BE16,3)</f>
        <v>95.41</v>
      </c>
      <c r="EF16" s="51" t="n">
        <f aca="false">ROUND(CR16,3)</f>
        <v>94.714</v>
      </c>
      <c r="EG16" s="51" t="n">
        <f aca="false">ROUND(CS16,3)</f>
        <v>88.286</v>
      </c>
      <c r="EH16" s="51" t="n">
        <f aca="false">ROUND(EA16,3)</f>
        <v>88.143</v>
      </c>
      <c r="EI16" s="51" t="n">
        <f aca="false">ROUND(ED16,3)</f>
        <v>91.181</v>
      </c>
      <c r="EJ16" s="51" t="n">
        <f aca="false">ROUND(CV16,3)</f>
        <v>91.5</v>
      </c>
      <c r="EK16" s="0" t="n">
        <f aca="false">RANK(EI16,$EI$2:$EI$881,0)</f>
        <v>15</v>
      </c>
    </row>
    <row r="17" customFormat="false" ht="15" hidden="false" customHeight="false" outlineLevel="0" collapsed="false">
      <c r="A17" s="4" t="n">
        <v>8938</v>
      </c>
      <c r="B17" s="4" t="n">
        <v>625</v>
      </c>
      <c r="C17" s="27" t="s">
        <v>221</v>
      </c>
      <c r="D17" s="31" t="n">
        <v>633</v>
      </c>
      <c r="E17" s="32" t="n">
        <v>230324170</v>
      </c>
      <c r="F17" s="8" t="s">
        <v>222</v>
      </c>
      <c r="G17" s="22" t="s">
        <v>223</v>
      </c>
      <c r="H17" s="22" t="s">
        <v>129</v>
      </c>
      <c r="I17" s="33" t="n">
        <v>2006</v>
      </c>
      <c r="J17" s="32" t="n">
        <v>96</v>
      </c>
      <c r="K17" s="32" t="n">
        <v>90</v>
      </c>
      <c r="L17" s="34" t="n">
        <f aca="false">(K17*70)/100</f>
        <v>63</v>
      </c>
      <c r="M17" s="34" t="n">
        <f aca="false">ROUNDUP(L17,0)</f>
        <v>63</v>
      </c>
      <c r="N17" s="32" t="n">
        <v>28</v>
      </c>
      <c r="O17" s="34" t="n">
        <f aca="false">N17+L17</f>
        <v>91</v>
      </c>
      <c r="P17" s="34" t="n">
        <f aca="false">N17+M17</f>
        <v>91</v>
      </c>
      <c r="Q17" s="32" t="n">
        <v>86</v>
      </c>
      <c r="R17" s="32" t="n">
        <v>85</v>
      </c>
      <c r="S17" s="34" t="n">
        <f aca="false">(R17*70)/100</f>
        <v>59.5</v>
      </c>
      <c r="T17" s="34" t="n">
        <f aca="false">ROUNDUP(S17,0)</f>
        <v>60</v>
      </c>
      <c r="U17" s="32" t="n">
        <v>21</v>
      </c>
      <c r="V17" s="34" t="n">
        <f aca="false">U17+S17</f>
        <v>80.5</v>
      </c>
      <c r="W17" s="34" t="n">
        <f aca="false">U17+T17</f>
        <v>81</v>
      </c>
      <c r="X17" s="32" t="n">
        <v>87</v>
      </c>
      <c r="Y17" s="34" t="n">
        <f aca="false">(X17*70)/100</f>
        <v>60.9</v>
      </c>
      <c r="Z17" s="34" t="n">
        <f aca="false">ROUNDUP(Y17,0)</f>
        <v>61</v>
      </c>
      <c r="AA17" s="32" t="n">
        <v>27</v>
      </c>
      <c r="AB17" s="34" t="n">
        <f aca="false">AA17+Y17</f>
        <v>87.9</v>
      </c>
      <c r="AC17" s="34" t="n">
        <f aca="false">AA17+Z17</f>
        <v>88</v>
      </c>
      <c r="AD17" s="32" t="n">
        <f aca="false">X17+R17+Q17+K17+J17</f>
        <v>444</v>
      </c>
      <c r="AE17" s="16" t="n">
        <f aca="false">AD17/5</f>
        <v>88.8</v>
      </c>
      <c r="AF17" s="16" t="n">
        <v>87</v>
      </c>
      <c r="AG17" s="16" t="n">
        <v>94</v>
      </c>
      <c r="AH17" s="16" t="n">
        <v>98</v>
      </c>
      <c r="AI17" s="16" t="n">
        <v>97</v>
      </c>
      <c r="AJ17" s="16" t="n">
        <f aca="false">(AI17*70)/100</f>
        <v>67.9</v>
      </c>
      <c r="AK17" s="35" t="n">
        <f aca="false">ROUNDUP(AJ17,0)</f>
        <v>68</v>
      </c>
      <c r="AL17" s="16" t="n">
        <v>28</v>
      </c>
      <c r="AM17" s="16" t="n">
        <f aca="false">AL17+AJ17</f>
        <v>95.9</v>
      </c>
      <c r="AN17" s="16" t="n">
        <f aca="false">AL17+AK17</f>
        <v>96</v>
      </c>
      <c r="AO17" s="16" t="n">
        <v>90</v>
      </c>
      <c r="AP17" s="36" t="n">
        <f aca="false">(AO17*70)/100</f>
        <v>63</v>
      </c>
      <c r="AQ17" s="37" t="n">
        <f aca="false">ROUNDUP(AP17,0)</f>
        <v>63</v>
      </c>
      <c r="AR17" s="16" t="n">
        <v>27</v>
      </c>
      <c r="AS17" s="16" t="n">
        <f aca="false">AR17+AP17</f>
        <v>90</v>
      </c>
      <c r="AT17" s="16" t="n">
        <f aca="false">AR17+AQ17</f>
        <v>90</v>
      </c>
      <c r="AU17" s="16" t="n">
        <f aca="false">AO17+AF17+AI17+AH17+AG17</f>
        <v>466</v>
      </c>
      <c r="AV17" s="16" t="n">
        <f aca="false">(AO17+AF17+AI17+AH17+AG17)/5</f>
        <v>93.2</v>
      </c>
      <c r="AW17" s="36" t="n">
        <f aca="false">(AO17+AF17+AI17+AH17+AG17+X17+R17+Q17+K17+J17)</f>
        <v>910</v>
      </c>
      <c r="AX17" s="16" t="n">
        <f aca="false">AW17/10</f>
        <v>91</v>
      </c>
      <c r="AY17" s="16" t="n">
        <f aca="false">AS17+AF17+AM17+AH17+AG17+AB17+V17+Q17+O17+J17</f>
        <v>906.3</v>
      </c>
      <c r="AZ17" s="16" t="n">
        <f aca="false">AT17+AF17+AN17+AH17+AG17+AC17+W17+Q17+P17+J17</f>
        <v>907</v>
      </c>
      <c r="BA17" s="16" t="n">
        <f aca="false">AY17/10</f>
        <v>90.63</v>
      </c>
      <c r="BB17" s="16" t="n">
        <f aca="false">AZ17/10</f>
        <v>90.7</v>
      </c>
      <c r="BC17" s="16" t="n">
        <v>2388</v>
      </c>
      <c r="BD17" s="16" t="n">
        <f aca="false">RANK(AX17,$AX$2:$AX$881,0)</f>
        <v>12</v>
      </c>
      <c r="BE17" s="38" t="n">
        <f aca="false">((BC17*100)/2400)*0.4+(AX17*0.6)</f>
        <v>94.4</v>
      </c>
      <c r="BF17" s="16" t="n">
        <f aca="false">RANK(BE17,$BE$2:$BE$881,0)</f>
        <v>11</v>
      </c>
      <c r="BG17" s="39" t="n">
        <f aca="false">RANK(BB17,$BB$2:$BB$881,0)</f>
        <v>16</v>
      </c>
      <c r="BH17" s="39" t="n">
        <f aca="false">RANK(BC17,$BC$2:$BC$881,0)</f>
        <v>70</v>
      </c>
      <c r="BI17" s="22" t="s">
        <v>130</v>
      </c>
      <c r="BJ17" s="22" t="s">
        <v>129</v>
      </c>
      <c r="BK17" s="40" t="s">
        <v>131</v>
      </c>
      <c r="BL17" s="41" t="n">
        <v>26</v>
      </c>
      <c r="BM17" s="41" t="n">
        <v>63</v>
      </c>
      <c r="BN17" s="41" t="n">
        <v>89</v>
      </c>
      <c r="BO17" s="42" t="n">
        <v>29</v>
      </c>
      <c r="BP17" s="43" t="n">
        <v>67</v>
      </c>
      <c r="BQ17" s="44" t="n">
        <v>96</v>
      </c>
      <c r="BR17" s="42" t="n">
        <v>24</v>
      </c>
      <c r="BS17" s="45" t="n">
        <v>65</v>
      </c>
      <c r="BT17" s="45" t="n">
        <v>89</v>
      </c>
      <c r="BU17" s="46" t="n">
        <v>100</v>
      </c>
      <c r="BV17" s="47" t="n">
        <v>88</v>
      </c>
      <c r="BW17" s="42" t="n">
        <v>100</v>
      </c>
      <c r="BX17" s="48" t="n">
        <v>88</v>
      </c>
      <c r="BY17" s="32" t="n">
        <v>28</v>
      </c>
      <c r="BZ17" s="32" t="n">
        <v>66</v>
      </c>
      <c r="CA17" s="32" t="n">
        <v>94</v>
      </c>
      <c r="CB17" s="32" t="n">
        <v>23</v>
      </c>
      <c r="CC17" s="32" t="n">
        <v>46</v>
      </c>
      <c r="CD17" s="32" t="n">
        <v>69</v>
      </c>
      <c r="CE17" s="32" t="n">
        <v>28</v>
      </c>
      <c r="CF17" s="32" t="n">
        <v>67</v>
      </c>
      <c r="CG17" s="32" t="n">
        <v>95</v>
      </c>
      <c r="CH17" s="32" t="n">
        <v>98</v>
      </c>
      <c r="CI17" s="32" t="n">
        <v>100</v>
      </c>
      <c r="CJ17" s="49" t="n">
        <v>24</v>
      </c>
      <c r="CK17" s="49" t="n">
        <v>60</v>
      </c>
      <c r="CL17" s="49" t="n">
        <v>84</v>
      </c>
      <c r="CM17" s="49" t="n">
        <v>27</v>
      </c>
      <c r="CN17" s="49" t="n">
        <v>56</v>
      </c>
      <c r="CO17" s="49" t="n">
        <v>83</v>
      </c>
      <c r="CP17" s="25" t="n">
        <f aca="false">BX17+BW17+BV17+BU17+BT17+BQ17+BN17</f>
        <v>650</v>
      </c>
      <c r="CQ17" s="25" t="n">
        <f aca="false">CO17+CL17+CI17+CH17+CG17+CD17+CA17</f>
        <v>623</v>
      </c>
      <c r="CR17" s="26" t="n">
        <f aca="false">CP17/7</f>
        <v>92.8571428571429</v>
      </c>
      <c r="CS17" s="26" t="n">
        <f aca="false">CQ17/7</f>
        <v>89</v>
      </c>
      <c r="CT17" s="24" t="n">
        <f aca="false">RANK(CR17,$CR$2:$CR$881,0)</f>
        <v>52</v>
      </c>
      <c r="CU17" s="25" t="n">
        <f aca="false">RANK(CS17,$CS$2:$CS$881,0)</f>
        <v>35</v>
      </c>
      <c r="CV17" s="26" t="n">
        <f aca="false">(CS17+CR17)/2</f>
        <v>90.9285714285714</v>
      </c>
      <c r="CW17" s="25" t="n">
        <f aca="false">RANK(CV17,$CV$2:$CV$881,0)</f>
        <v>40</v>
      </c>
      <c r="CX17" s="50" t="n">
        <f aca="false">(CV17+BB17)/2</f>
        <v>90.8142857142857</v>
      </c>
      <c r="CY17" s="50" t="n">
        <v>17</v>
      </c>
      <c r="CZ17" s="27" t="s">
        <v>132</v>
      </c>
      <c r="DA17" s="27" t="s">
        <v>162</v>
      </c>
      <c r="DB17" s="27" t="s">
        <v>162</v>
      </c>
      <c r="DC17" s="27" t="s">
        <v>134</v>
      </c>
      <c r="DD17" s="27" t="s">
        <v>164</v>
      </c>
      <c r="DE17" s="27" t="s">
        <v>141</v>
      </c>
      <c r="DF17" s="27" t="s">
        <v>156</v>
      </c>
      <c r="DG17" s="27" t="s">
        <v>134</v>
      </c>
      <c r="DH17" s="27" t="s">
        <v>135</v>
      </c>
      <c r="DI17" s="27" t="s">
        <v>143</v>
      </c>
      <c r="DJ17" s="27" t="s">
        <v>151</v>
      </c>
      <c r="DK17" s="27" t="s">
        <v>134</v>
      </c>
      <c r="DL17" s="27" t="s">
        <v>160</v>
      </c>
      <c r="DM17" s="27" t="s">
        <v>163</v>
      </c>
      <c r="DN17" s="27" t="s">
        <v>151</v>
      </c>
      <c r="DO17" s="27" t="s">
        <v>134</v>
      </c>
      <c r="DP17" s="27" t="s">
        <v>191</v>
      </c>
      <c r="DQ17" s="27" t="s">
        <v>177</v>
      </c>
      <c r="DR17" s="27" t="s">
        <v>219</v>
      </c>
      <c r="DS17" s="27" t="s">
        <v>134</v>
      </c>
      <c r="DT17" s="27" t="s">
        <v>140</v>
      </c>
      <c r="DU17" s="27" t="s">
        <v>187</v>
      </c>
      <c r="DV17" s="27" t="s">
        <v>139</v>
      </c>
      <c r="DW17" s="27" t="s">
        <v>140</v>
      </c>
      <c r="DX17" s="27" t="s">
        <v>155</v>
      </c>
      <c r="DY17" s="27" t="s">
        <v>147</v>
      </c>
      <c r="DZ17" s="27" t="n">
        <f aca="false">DY17+DV17+DR17+DN17+DJ17+DF17+DB17</f>
        <v>643</v>
      </c>
      <c r="EA17" s="28" t="n">
        <f aca="false">DZ17/7</f>
        <v>91.8571428571429</v>
      </c>
      <c r="EB17" s="27" t="n">
        <f aca="false">RANK(EA17,$EA$2:$EA$881,0)</f>
        <v>18</v>
      </c>
      <c r="EC17" s="29" t="n">
        <f aca="false">DZ17+CQ17+CP17+AZ17</f>
        <v>2823</v>
      </c>
      <c r="ED17" s="30" t="n">
        <f aca="false">(EA17+CV17+BB17)/3</f>
        <v>91.1619047619048</v>
      </c>
      <c r="EE17" s="51" t="n">
        <f aca="false">ROUND(BE17,3)</f>
        <v>94.4</v>
      </c>
      <c r="EF17" s="51" t="n">
        <f aca="false">ROUND(CR17,3)</f>
        <v>92.857</v>
      </c>
      <c r="EG17" s="51" t="n">
        <f aca="false">ROUND(CS17,3)</f>
        <v>89</v>
      </c>
      <c r="EH17" s="51" t="n">
        <f aca="false">ROUND(EA17,3)</f>
        <v>91.857</v>
      </c>
      <c r="EI17" s="51" t="n">
        <f aca="false">ROUND(ED17,3)</f>
        <v>91.162</v>
      </c>
      <c r="EJ17" s="51" t="n">
        <f aca="false">ROUND(CV17,3)</f>
        <v>90.929</v>
      </c>
      <c r="EK17" s="0" t="n">
        <f aca="false">RANK(EI17,$EI$2:$EI$881,0)</f>
        <v>16</v>
      </c>
    </row>
    <row r="18" customFormat="false" ht="15" hidden="false" customHeight="false" outlineLevel="0" collapsed="false">
      <c r="A18" s="4" t="n">
        <v>8793</v>
      </c>
      <c r="B18" s="4" t="n">
        <v>649</v>
      </c>
      <c r="C18" s="27" t="s">
        <v>224</v>
      </c>
      <c r="D18" s="31" t="n">
        <v>659</v>
      </c>
      <c r="E18" s="32" t="n">
        <v>230311468</v>
      </c>
      <c r="F18" s="8" t="s">
        <v>225</v>
      </c>
      <c r="G18" s="22" t="s">
        <v>226</v>
      </c>
      <c r="H18" s="22" t="s">
        <v>129</v>
      </c>
      <c r="I18" s="33" t="n">
        <v>2006</v>
      </c>
      <c r="J18" s="32" t="n">
        <v>86</v>
      </c>
      <c r="K18" s="32" t="n">
        <v>94</v>
      </c>
      <c r="L18" s="34" t="n">
        <f aca="false">(K18*70)/100</f>
        <v>65.8</v>
      </c>
      <c r="M18" s="34" t="n">
        <f aca="false">ROUNDUP(L18,0)</f>
        <v>66</v>
      </c>
      <c r="N18" s="32" t="n">
        <v>28</v>
      </c>
      <c r="O18" s="34" t="n">
        <f aca="false">N18+L18</f>
        <v>93.8</v>
      </c>
      <c r="P18" s="34" t="n">
        <f aca="false">N18+M18</f>
        <v>94</v>
      </c>
      <c r="Q18" s="32" t="n">
        <v>89</v>
      </c>
      <c r="R18" s="32" t="n">
        <v>86</v>
      </c>
      <c r="S18" s="34" t="n">
        <f aca="false">(R18*70)/100</f>
        <v>60.2</v>
      </c>
      <c r="T18" s="34" t="n">
        <f aca="false">ROUNDUP(S18,0)</f>
        <v>61</v>
      </c>
      <c r="U18" s="32" t="n">
        <v>26</v>
      </c>
      <c r="V18" s="34" t="n">
        <f aca="false">U18+S18</f>
        <v>86.2</v>
      </c>
      <c r="W18" s="34" t="n">
        <f aca="false">U18+T18</f>
        <v>87</v>
      </c>
      <c r="X18" s="32" t="n">
        <v>82</v>
      </c>
      <c r="Y18" s="34" t="n">
        <f aca="false">(X18*70)/100</f>
        <v>57.4</v>
      </c>
      <c r="Z18" s="34" t="n">
        <f aca="false">ROUNDUP(Y18,0)</f>
        <v>58</v>
      </c>
      <c r="AA18" s="32" t="n">
        <v>26</v>
      </c>
      <c r="AB18" s="34" t="n">
        <f aca="false">AA18+Y18</f>
        <v>83.4</v>
      </c>
      <c r="AC18" s="34" t="n">
        <f aca="false">AA18+Z18</f>
        <v>84</v>
      </c>
      <c r="AD18" s="32" t="n">
        <f aca="false">X18+R18+Q18+K18+J18</f>
        <v>437</v>
      </c>
      <c r="AE18" s="16" t="n">
        <f aca="false">AD18/5</f>
        <v>87.4</v>
      </c>
      <c r="AF18" s="16" t="n">
        <v>87</v>
      </c>
      <c r="AG18" s="16" t="n">
        <v>89</v>
      </c>
      <c r="AH18" s="16" t="n">
        <v>97</v>
      </c>
      <c r="AI18" s="16" t="n">
        <v>96</v>
      </c>
      <c r="AJ18" s="16" t="n">
        <f aca="false">(AI18*70)/100</f>
        <v>67.2</v>
      </c>
      <c r="AK18" s="35" t="n">
        <f aca="false">ROUNDUP(AJ18,0)</f>
        <v>68</v>
      </c>
      <c r="AL18" s="16" t="n">
        <v>25</v>
      </c>
      <c r="AM18" s="16" t="n">
        <f aca="false">AL18+AJ18</f>
        <v>92.2</v>
      </c>
      <c r="AN18" s="16" t="n">
        <f aca="false">AL18+AK18</f>
        <v>93</v>
      </c>
      <c r="AO18" s="16" t="n">
        <v>84</v>
      </c>
      <c r="AP18" s="36" t="n">
        <f aca="false">(AO18*70)/100</f>
        <v>58.8</v>
      </c>
      <c r="AQ18" s="37" t="n">
        <f aca="false">ROUNDUP(AP18,0)</f>
        <v>59</v>
      </c>
      <c r="AR18" s="16" t="n">
        <v>29</v>
      </c>
      <c r="AS18" s="16" t="n">
        <f aca="false">AR18+AP18</f>
        <v>87.8</v>
      </c>
      <c r="AT18" s="16" t="n">
        <f aca="false">AR18+AQ18</f>
        <v>88</v>
      </c>
      <c r="AU18" s="16" t="n">
        <f aca="false">AO18+AF18+AI18+AH18+AG18</f>
        <v>453</v>
      </c>
      <c r="AV18" s="16" t="n">
        <f aca="false">(AO18+AF18+AI18+AH18+AG18)/5</f>
        <v>90.6</v>
      </c>
      <c r="AW18" s="36" t="n">
        <f aca="false">(AO18+AF18+AI18+AH18+AG18+X18+R18+Q18+K18+J18)</f>
        <v>890</v>
      </c>
      <c r="AX18" s="16" t="n">
        <f aca="false">AW18/10</f>
        <v>89</v>
      </c>
      <c r="AY18" s="16" t="n">
        <f aca="false">AS18+AF18+AM18+AH18+AG18+AB18+V18+Q18+O18+J18</f>
        <v>891.4</v>
      </c>
      <c r="AZ18" s="16" t="n">
        <f aca="false">AT18+AF18+AN18+AH18+AG18+AC18+W18+Q18+P18+J18</f>
        <v>894</v>
      </c>
      <c r="BA18" s="16" t="n">
        <f aca="false">AY18/10</f>
        <v>89.14</v>
      </c>
      <c r="BB18" s="16" t="n">
        <f aca="false">AZ18/10</f>
        <v>89.4</v>
      </c>
      <c r="BC18" s="16" t="n">
        <v>2391</v>
      </c>
      <c r="BD18" s="16" t="n">
        <f aca="false">RANK(AX18,$AX$2:$AX$881,0)</f>
        <v>27</v>
      </c>
      <c r="BE18" s="38" t="n">
        <f aca="false">((BC18*100)/2400)*0.4+(AX18*0.6)</f>
        <v>93.25</v>
      </c>
      <c r="BF18" s="16" t="n">
        <f aca="false">RANK(BE18,$BE$2:$BE$881,0)</f>
        <v>26</v>
      </c>
      <c r="BG18" s="39" t="n">
        <f aca="false">RANK(BB18,$BB$2:$BB$881,0)</f>
        <v>25</v>
      </c>
      <c r="BH18" s="39" t="n">
        <f aca="false">RANK(BC18,$BC$2:$BC$881,0)</f>
        <v>37</v>
      </c>
      <c r="BI18" s="22" t="s">
        <v>130</v>
      </c>
      <c r="BJ18" s="22" t="s">
        <v>129</v>
      </c>
      <c r="BK18" s="40" t="s">
        <v>131</v>
      </c>
      <c r="BL18" s="41" t="n">
        <v>28</v>
      </c>
      <c r="BM18" s="41" t="n">
        <v>62</v>
      </c>
      <c r="BN18" s="41" t="n">
        <v>90</v>
      </c>
      <c r="BO18" s="42" t="n">
        <v>28</v>
      </c>
      <c r="BP18" s="43" t="n">
        <v>68</v>
      </c>
      <c r="BQ18" s="44" t="n">
        <v>96</v>
      </c>
      <c r="BR18" s="42" t="n">
        <v>26</v>
      </c>
      <c r="BS18" s="45" t="n">
        <v>64</v>
      </c>
      <c r="BT18" s="45" t="n">
        <v>90</v>
      </c>
      <c r="BU18" s="46" t="n">
        <v>100</v>
      </c>
      <c r="BV18" s="47" t="n">
        <v>88</v>
      </c>
      <c r="BW18" s="42" t="n">
        <v>100</v>
      </c>
      <c r="BX18" s="48" t="n">
        <v>100</v>
      </c>
      <c r="BY18" s="32" t="n">
        <v>28</v>
      </c>
      <c r="BZ18" s="32" t="n">
        <v>64</v>
      </c>
      <c r="CA18" s="32" t="n">
        <v>92</v>
      </c>
      <c r="CB18" s="32" t="n">
        <v>27</v>
      </c>
      <c r="CC18" s="32" t="n">
        <v>53</v>
      </c>
      <c r="CD18" s="32" t="n">
        <v>80</v>
      </c>
      <c r="CE18" s="32" t="n">
        <v>24</v>
      </c>
      <c r="CF18" s="32" t="n">
        <v>60</v>
      </c>
      <c r="CG18" s="32" t="n">
        <v>84</v>
      </c>
      <c r="CH18" s="32" t="n">
        <v>99</v>
      </c>
      <c r="CI18" s="32" t="n">
        <v>100</v>
      </c>
      <c r="CJ18" s="49" t="n">
        <v>29</v>
      </c>
      <c r="CK18" s="49" t="n">
        <v>65</v>
      </c>
      <c r="CL18" s="49" t="n">
        <v>94</v>
      </c>
      <c r="CM18" s="49" t="n">
        <v>29</v>
      </c>
      <c r="CN18" s="49" t="n">
        <v>55</v>
      </c>
      <c r="CO18" s="49" t="n">
        <v>84</v>
      </c>
      <c r="CP18" s="25" t="n">
        <f aca="false">BX18+BW18+BV18+BU18+BT18+BQ18+BN18</f>
        <v>664</v>
      </c>
      <c r="CQ18" s="25" t="n">
        <f aca="false">CO18+CL18+CI18+CH18+CG18+CD18+CA18</f>
        <v>633</v>
      </c>
      <c r="CR18" s="26" t="n">
        <f aca="false">CP18/7</f>
        <v>94.8571428571429</v>
      </c>
      <c r="CS18" s="26" t="n">
        <f aca="false">CQ18/7</f>
        <v>90.4285714285714</v>
      </c>
      <c r="CT18" s="24" t="n">
        <f aca="false">RANK(CR18,$CR$2:$CR$881,0)</f>
        <v>12</v>
      </c>
      <c r="CU18" s="25" t="n">
        <f aca="false">RANK(CS18,$CS$2:$CS$881,0)</f>
        <v>20</v>
      </c>
      <c r="CV18" s="26" t="n">
        <f aca="false">(CS18+CR18)/2</f>
        <v>92.6428571428571</v>
      </c>
      <c r="CW18" s="25" t="n">
        <f aca="false">RANK(CV18,$CV$2:$CV$881,0)</f>
        <v>12</v>
      </c>
      <c r="CX18" s="50" t="n">
        <f aca="false">(CV18+BB18)/2</f>
        <v>91.0214285714286</v>
      </c>
      <c r="CY18" s="50" t="n">
        <v>15</v>
      </c>
      <c r="CZ18" s="27" t="s">
        <v>132</v>
      </c>
      <c r="DA18" s="27" t="s">
        <v>175</v>
      </c>
      <c r="DB18" s="27" t="s">
        <v>175</v>
      </c>
      <c r="DC18" s="27" t="s">
        <v>134</v>
      </c>
      <c r="DD18" s="27" t="s">
        <v>164</v>
      </c>
      <c r="DE18" s="27" t="s">
        <v>136</v>
      </c>
      <c r="DF18" s="27" t="s">
        <v>153</v>
      </c>
      <c r="DG18" s="27" t="s">
        <v>134</v>
      </c>
      <c r="DH18" s="27" t="s">
        <v>174</v>
      </c>
      <c r="DI18" s="27" t="s">
        <v>152</v>
      </c>
      <c r="DJ18" s="27" t="s">
        <v>202</v>
      </c>
      <c r="DK18" s="27" t="s">
        <v>134</v>
      </c>
      <c r="DL18" s="27" t="s">
        <v>140</v>
      </c>
      <c r="DM18" s="27" t="s">
        <v>163</v>
      </c>
      <c r="DN18" s="27" t="s">
        <v>156</v>
      </c>
      <c r="DO18" s="27" t="s">
        <v>134</v>
      </c>
      <c r="DP18" s="27" t="s">
        <v>135</v>
      </c>
      <c r="DQ18" s="27" t="s">
        <v>141</v>
      </c>
      <c r="DR18" s="27" t="s">
        <v>176</v>
      </c>
      <c r="DS18" s="27" t="s">
        <v>134</v>
      </c>
      <c r="DT18" s="27" t="s">
        <v>146</v>
      </c>
      <c r="DU18" s="27" t="s">
        <v>163</v>
      </c>
      <c r="DV18" s="27" t="s">
        <v>139</v>
      </c>
      <c r="DW18" s="27" t="s">
        <v>137</v>
      </c>
      <c r="DX18" s="27" t="s">
        <v>155</v>
      </c>
      <c r="DY18" s="27" t="s">
        <v>142</v>
      </c>
      <c r="DZ18" s="27" t="n">
        <f aca="false">DY18+DV18+DR18+DN18+DJ18+DF18+DB18</f>
        <v>638</v>
      </c>
      <c r="EA18" s="28" t="n">
        <f aca="false">DZ18/7</f>
        <v>91.1428571428571</v>
      </c>
      <c r="EB18" s="27" t="n">
        <f aca="false">RANK(EA18,$EA$2:$EA$881,0)</f>
        <v>34</v>
      </c>
      <c r="EC18" s="29" t="n">
        <f aca="false">DZ18+CQ18+CP18+AZ18</f>
        <v>2829</v>
      </c>
      <c r="ED18" s="30" t="n">
        <f aca="false">(EA18+CV18+BB18)/3</f>
        <v>91.0619047619048</v>
      </c>
      <c r="EE18" s="51" t="n">
        <f aca="false">ROUND(BE18,3)</f>
        <v>93.25</v>
      </c>
      <c r="EF18" s="51" t="n">
        <f aca="false">ROUND(CR18,3)</f>
        <v>94.857</v>
      </c>
      <c r="EG18" s="51" t="n">
        <f aca="false">ROUND(CS18,3)</f>
        <v>90.429</v>
      </c>
      <c r="EH18" s="51" t="n">
        <f aca="false">ROUND(EA18,3)</f>
        <v>91.143</v>
      </c>
      <c r="EI18" s="51" t="n">
        <f aca="false">ROUND(ED18,3)</f>
        <v>91.062</v>
      </c>
      <c r="EJ18" s="51" t="n">
        <f aca="false">ROUND(CV18,3)</f>
        <v>92.643</v>
      </c>
      <c r="EK18" s="0" t="n">
        <f aca="false">RANK(EI18,$EI$2:$EI$881,0)</f>
        <v>17</v>
      </c>
    </row>
    <row r="19" customFormat="false" ht="15" hidden="false" customHeight="false" outlineLevel="0" collapsed="false">
      <c r="A19" s="4" t="n">
        <v>8910</v>
      </c>
      <c r="B19" s="4" t="n">
        <v>174</v>
      </c>
      <c r="C19" s="27" t="s">
        <v>227</v>
      </c>
      <c r="D19" s="31" t="n">
        <v>175</v>
      </c>
      <c r="E19" s="32" t="n">
        <v>230319731</v>
      </c>
      <c r="F19" s="8" t="s">
        <v>228</v>
      </c>
      <c r="G19" s="22" t="s">
        <v>229</v>
      </c>
      <c r="H19" s="22" t="s">
        <v>129</v>
      </c>
      <c r="I19" s="33" t="n">
        <v>2006</v>
      </c>
      <c r="J19" s="32" t="n">
        <v>93</v>
      </c>
      <c r="K19" s="32" t="n">
        <v>92</v>
      </c>
      <c r="L19" s="34" t="n">
        <f aca="false">(K19*70)/100</f>
        <v>64.4</v>
      </c>
      <c r="M19" s="34" t="n">
        <f aca="false">ROUNDUP(L19,0)</f>
        <v>65</v>
      </c>
      <c r="N19" s="32" t="n">
        <v>26</v>
      </c>
      <c r="O19" s="34" t="n">
        <f aca="false">N19+L19</f>
        <v>90.4</v>
      </c>
      <c r="P19" s="34" t="n">
        <f aca="false">N19+M19</f>
        <v>91</v>
      </c>
      <c r="Q19" s="32" t="n">
        <v>92</v>
      </c>
      <c r="R19" s="32" t="n">
        <v>82</v>
      </c>
      <c r="S19" s="34" t="n">
        <f aca="false">(R19*70)/100</f>
        <v>57.4</v>
      </c>
      <c r="T19" s="34" t="n">
        <f aca="false">ROUNDUP(S19,0)</f>
        <v>58</v>
      </c>
      <c r="U19" s="32" t="n">
        <v>19</v>
      </c>
      <c r="V19" s="34" t="n">
        <f aca="false">U19+S19</f>
        <v>76.4</v>
      </c>
      <c r="W19" s="34" t="n">
        <f aca="false">U19+T19</f>
        <v>77</v>
      </c>
      <c r="X19" s="32" t="n">
        <v>85</v>
      </c>
      <c r="Y19" s="34" t="n">
        <f aca="false">(X19*70)/100</f>
        <v>59.5</v>
      </c>
      <c r="Z19" s="34" t="n">
        <f aca="false">ROUNDUP(Y19,0)</f>
        <v>60</v>
      </c>
      <c r="AA19" s="32" t="n">
        <v>28</v>
      </c>
      <c r="AB19" s="34" t="n">
        <f aca="false">AA19+Y19</f>
        <v>87.5</v>
      </c>
      <c r="AC19" s="34" t="n">
        <f aca="false">AA19+Z19</f>
        <v>88</v>
      </c>
      <c r="AD19" s="32" t="n">
        <f aca="false">X19+R19+Q19+K19+J19</f>
        <v>444</v>
      </c>
      <c r="AE19" s="16" t="n">
        <f aca="false">AD19/5</f>
        <v>88.8</v>
      </c>
      <c r="AF19" s="16" t="n">
        <v>84</v>
      </c>
      <c r="AG19" s="16" t="n">
        <v>92</v>
      </c>
      <c r="AH19" s="16" t="n">
        <v>97</v>
      </c>
      <c r="AI19" s="16" t="n">
        <v>96</v>
      </c>
      <c r="AJ19" s="16" t="n">
        <f aca="false">(AI19*70)/100</f>
        <v>67.2</v>
      </c>
      <c r="AK19" s="35" t="n">
        <f aca="false">ROUNDUP(AJ19,0)</f>
        <v>68</v>
      </c>
      <c r="AL19" s="16" t="n">
        <v>28</v>
      </c>
      <c r="AM19" s="16" t="n">
        <f aca="false">AL19+AJ19</f>
        <v>95.2</v>
      </c>
      <c r="AN19" s="16" t="n">
        <f aca="false">AL19+AK19</f>
        <v>96</v>
      </c>
      <c r="AO19" s="16" t="n">
        <v>89</v>
      </c>
      <c r="AP19" s="36" t="n">
        <f aca="false">(AO19*70)/100</f>
        <v>62.3</v>
      </c>
      <c r="AQ19" s="37" t="n">
        <f aca="false">ROUNDUP(AP19,0)</f>
        <v>63</v>
      </c>
      <c r="AR19" s="16" t="n">
        <v>29</v>
      </c>
      <c r="AS19" s="16" t="n">
        <f aca="false">AR19+AP19</f>
        <v>91.3</v>
      </c>
      <c r="AT19" s="16" t="n">
        <f aca="false">AR19+AQ19</f>
        <v>92</v>
      </c>
      <c r="AU19" s="16" t="n">
        <f aca="false">AO19+AF19+AI19+AH19+AG19</f>
        <v>458</v>
      </c>
      <c r="AV19" s="16" t="n">
        <f aca="false">(AO19+AF19+AI19+AH19+AG19)/5</f>
        <v>91.6</v>
      </c>
      <c r="AW19" s="36" t="n">
        <f aca="false">(AO19+AF19+AI19+AH19+AG19+X19+R19+Q19+K19+J19)</f>
        <v>902</v>
      </c>
      <c r="AX19" s="16" t="n">
        <f aca="false">AW19/10</f>
        <v>90.2</v>
      </c>
      <c r="AY19" s="16" t="n">
        <f aca="false">AS19+AF19+AM19+AH19+AG19+AB19+V19+Q19+O19+J19</f>
        <v>898.8</v>
      </c>
      <c r="AZ19" s="16" t="n">
        <f aca="false">AT19+AF19+AN19+AH19+AG19+AC19+W19+Q19+P19+J19</f>
        <v>902</v>
      </c>
      <c r="BA19" s="16" t="n">
        <f aca="false">AY19/10</f>
        <v>89.88</v>
      </c>
      <c r="BB19" s="16" t="n">
        <f aca="false">AZ19/10</f>
        <v>90.2</v>
      </c>
      <c r="BC19" s="16" t="n">
        <v>2393</v>
      </c>
      <c r="BD19" s="16" t="n">
        <f aca="false">RANK(AX19,$AX$2:$AX$881,0)</f>
        <v>22</v>
      </c>
      <c r="BE19" s="38" t="n">
        <f aca="false">((BC19*100)/2400)*0.4+(AX19*0.6)</f>
        <v>94.0033333333333</v>
      </c>
      <c r="BF19" s="16" t="n">
        <f aca="false">RANK(BE19,$BE$2:$BE$881,0)</f>
        <v>17</v>
      </c>
      <c r="BG19" s="39" t="n">
        <f aca="false">RANK(BB19,$BB$2:$BB$881,0)</f>
        <v>22</v>
      </c>
      <c r="BH19" s="39" t="n">
        <f aca="false">RANK(BC19,$BC$2:$BC$881,0)</f>
        <v>21</v>
      </c>
      <c r="BI19" s="22" t="s">
        <v>130</v>
      </c>
      <c r="BJ19" s="22" t="s">
        <v>129</v>
      </c>
      <c r="BK19" s="40" t="s">
        <v>131</v>
      </c>
      <c r="BL19" s="41" t="n">
        <v>23</v>
      </c>
      <c r="BM19" s="41" t="n">
        <v>60</v>
      </c>
      <c r="BN19" s="41" t="n">
        <v>83</v>
      </c>
      <c r="BO19" s="42" t="n">
        <v>27</v>
      </c>
      <c r="BP19" s="43" t="n">
        <v>64</v>
      </c>
      <c r="BQ19" s="44" t="n">
        <v>91</v>
      </c>
      <c r="BR19" s="42" t="n">
        <v>29</v>
      </c>
      <c r="BS19" s="45" t="n">
        <v>60</v>
      </c>
      <c r="BT19" s="45" t="n">
        <v>89</v>
      </c>
      <c r="BU19" s="46" t="n">
        <v>100</v>
      </c>
      <c r="BV19" s="47" t="n">
        <v>90</v>
      </c>
      <c r="BW19" s="42" t="n">
        <v>99</v>
      </c>
      <c r="BX19" s="48" t="n">
        <v>98</v>
      </c>
      <c r="BY19" s="32" t="n">
        <v>26</v>
      </c>
      <c r="BZ19" s="32" t="n">
        <v>61</v>
      </c>
      <c r="CA19" s="32" t="n">
        <v>87</v>
      </c>
      <c r="CB19" s="32" t="n">
        <v>23</v>
      </c>
      <c r="CC19" s="32" t="n">
        <v>42</v>
      </c>
      <c r="CD19" s="32" t="n">
        <v>65</v>
      </c>
      <c r="CE19" s="32" t="n">
        <v>29</v>
      </c>
      <c r="CF19" s="32" t="n">
        <v>59</v>
      </c>
      <c r="CG19" s="32" t="n">
        <v>88</v>
      </c>
      <c r="CH19" s="32" t="n">
        <v>98</v>
      </c>
      <c r="CI19" s="32" t="n">
        <v>100</v>
      </c>
      <c r="CJ19" s="49" t="n">
        <v>28</v>
      </c>
      <c r="CK19" s="49" t="n">
        <v>55</v>
      </c>
      <c r="CL19" s="49" t="n">
        <v>83</v>
      </c>
      <c r="CM19" s="49" t="n">
        <v>28</v>
      </c>
      <c r="CN19" s="49" t="n">
        <v>59</v>
      </c>
      <c r="CO19" s="49" t="n">
        <v>87</v>
      </c>
      <c r="CP19" s="25" t="n">
        <f aca="false">BX19+BW19+BV19+BU19+BT19+BQ19+BN19</f>
        <v>650</v>
      </c>
      <c r="CQ19" s="25" t="n">
        <f aca="false">CO19+CL19+CI19+CH19+CG19+CD19+CA19</f>
        <v>608</v>
      </c>
      <c r="CR19" s="26" t="n">
        <f aca="false">CP19/7</f>
        <v>92.8571428571429</v>
      </c>
      <c r="CS19" s="26" t="n">
        <f aca="false">CQ19/7</f>
        <v>86.8571428571429</v>
      </c>
      <c r="CT19" s="24" t="n">
        <f aca="false">RANK(CR19,$CR$2:$CR$881,0)</f>
        <v>52</v>
      </c>
      <c r="CU19" s="25" t="n">
        <f aca="false">RANK(CS19,$CS$2:$CS$881,0)</f>
        <v>61</v>
      </c>
      <c r="CV19" s="26" t="n">
        <f aca="false">(CS19+CR19)/2</f>
        <v>89.8571428571429</v>
      </c>
      <c r="CW19" s="25" t="n">
        <f aca="false">RANK(CV19,$CV$2:$CV$881,0)</f>
        <v>55</v>
      </c>
      <c r="CX19" s="50" t="n">
        <f aca="false">(CV19+BB19)/2</f>
        <v>90.0285714285714</v>
      </c>
      <c r="CY19" s="50" t="n">
        <v>24</v>
      </c>
      <c r="CZ19" s="27" t="s">
        <v>132</v>
      </c>
      <c r="DA19" s="27" t="s">
        <v>153</v>
      </c>
      <c r="DB19" s="27" t="s">
        <v>153</v>
      </c>
      <c r="DC19" s="27" t="s">
        <v>134</v>
      </c>
      <c r="DD19" s="27" t="s">
        <v>164</v>
      </c>
      <c r="DE19" s="27" t="s">
        <v>152</v>
      </c>
      <c r="DF19" s="27" t="s">
        <v>170</v>
      </c>
      <c r="DG19" s="27" t="s">
        <v>134</v>
      </c>
      <c r="DH19" s="27" t="s">
        <v>160</v>
      </c>
      <c r="DI19" s="27" t="s">
        <v>141</v>
      </c>
      <c r="DJ19" s="27" t="s">
        <v>139</v>
      </c>
      <c r="DK19" s="27" t="s">
        <v>134</v>
      </c>
      <c r="DL19" s="27" t="s">
        <v>140</v>
      </c>
      <c r="DM19" s="27" t="s">
        <v>203</v>
      </c>
      <c r="DN19" s="27" t="s">
        <v>170</v>
      </c>
      <c r="DO19" s="27" t="s">
        <v>134</v>
      </c>
      <c r="DP19" s="27" t="s">
        <v>164</v>
      </c>
      <c r="DQ19" s="27" t="s">
        <v>204</v>
      </c>
      <c r="DR19" s="27" t="s">
        <v>202</v>
      </c>
      <c r="DS19" s="27" t="s">
        <v>134</v>
      </c>
      <c r="DT19" s="27" t="s">
        <v>140</v>
      </c>
      <c r="DU19" s="27" t="s">
        <v>187</v>
      </c>
      <c r="DV19" s="27" t="s">
        <v>139</v>
      </c>
      <c r="DW19" s="27" t="s">
        <v>140</v>
      </c>
      <c r="DX19" s="27" t="s">
        <v>155</v>
      </c>
      <c r="DY19" s="27" t="s">
        <v>147</v>
      </c>
      <c r="DZ19" s="27" t="n">
        <f aca="false">DY19+DV19+DR19+DN19+DJ19+DF19+DB19</f>
        <v>647</v>
      </c>
      <c r="EA19" s="28" t="n">
        <f aca="false">DZ19/7</f>
        <v>92.4285714285714</v>
      </c>
      <c r="EB19" s="27" t="n">
        <f aca="false">RANK(EA19,$EA$2:$EA$881,0)</f>
        <v>9</v>
      </c>
      <c r="EC19" s="29" t="n">
        <f aca="false">DZ19+CQ19+CP19+AZ19</f>
        <v>2807</v>
      </c>
      <c r="ED19" s="30" t="n">
        <f aca="false">(EA19+CV19+BB19)/3</f>
        <v>90.8285714285714</v>
      </c>
      <c r="EE19" s="51" t="n">
        <f aca="false">ROUND(BE19,3)</f>
        <v>94.003</v>
      </c>
      <c r="EF19" s="51" t="n">
        <f aca="false">ROUND(CR19,3)</f>
        <v>92.857</v>
      </c>
      <c r="EG19" s="51" t="n">
        <f aca="false">ROUND(CS19,3)</f>
        <v>86.857</v>
      </c>
      <c r="EH19" s="51" t="n">
        <f aca="false">ROUND(EA19,3)</f>
        <v>92.429</v>
      </c>
      <c r="EI19" s="51" t="n">
        <f aca="false">ROUND(ED19,3)</f>
        <v>90.829</v>
      </c>
      <c r="EJ19" s="51" t="n">
        <f aca="false">ROUND(CV19,3)</f>
        <v>89.857</v>
      </c>
      <c r="EK19" s="0" t="n">
        <f aca="false">RANK(EI19,$EI$2:$EI$881,0)</f>
        <v>18</v>
      </c>
    </row>
    <row r="20" customFormat="false" ht="15" hidden="false" customHeight="false" outlineLevel="0" collapsed="false">
      <c r="A20" s="4" t="n">
        <v>8957</v>
      </c>
      <c r="B20" s="4" t="n">
        <v>291</v>
      </c>
      <c r="C20" s="27" t="s">
        <v>230</v>
      </c>
      <c r="D20" s="31" t="n">
        <v>289</v>
      </c>
      <c r="E20" s="32" t="n">
        <v>230322634</v>
      </c>
      <c r="F20" s="8" t="s">
        <v>231</v>
      </c>
      <c r="G20" s="22" t="s">
        <v>232</v>
      </c>
      <c r="H20" s="22" t="s">
        <v>129</v>
      </c>
      <c r="I20" s="33" t="n">
        <v>2005</v>
      </c>
      <c r="J20" s="32" t="n">
        <v>77</v>
      </c>
      <c r="K20" s="32" t="n">
        <v>90</v>
      </c>
      <c r="L20" s="34" t="n">
        <f aca="false">(K20*70)/100</f>
        <v>63</v>
      </c>
      <c r="M20" s="34" t="n">
        <f aca="false">ROUNDUP(L20,0)</f>
        <v>63</v>
      </c>
      <c r="N20" s="32" t="n">
        <v>27</v>
      </c>
      <c r="O20" s="34" t="n">
        <f aca="false">N20+L20</f>
        <v>90</v>
      </c>
      <c r="P20" s="34" t="n">
        <f aca="false">N20+M20</f>
        <v>90</v>
      </c>
      <c r="Q20" s="32" t="n">
        <v>94</v>
      </c>
      <c r="R20" s="32" t="n">
        <v>82</v>
      </c>
      <c r="S20" s="34" t="n">
        <f aca="false">(R20*70)/100</f>
        <v>57.4</v>
      </c>
      <c r="T20" s="34" t="n">
        <f aca="false">ROUNDUP(S20,0)</f>
        <v>58</v>
      </c>
      <c r="U20" s="32" t="n">
        <v>27</v>
      </c>
      <c r="V20" s="34" t="n">
        <f aca="false">U20+S20</f>
        <v>84.4</v>
      </c>
      <c r="W20" s="34" t="n">
        <f aca="false">U20+T20</f>
        <v>85</v>
      </c>
      <c r="X20" s="32" t="n">
        <v>76</v>
      </c>
      <c r="Y20" s="34" t="n">
        <f aca="false">(X20*70)/100</f>
        <v>53.2</v>
      </c>
      <c r="Z20" s="34" t="n">
        <f aca="false">ROUNDUP(Y20,0)</f>
        <v>54</v>
      </c>
      <c r="AA20" s="32" t="n">
        <v>24</v>
      </c>
      <c r="AB20" s="34" t="n">
        <f aca="false">AA20+Y20</f>
        <v>77.2</v>
      </c>
      <c r="AC20" s="34" t="n">
        <f aca="false">AA20+Z20</f>
        <v>78</v>
      </c>
      <c r="AD20" s="32" t="n">
        <f aca="false">X20+R20+Q20+K20+J20</f>
        <v>419</v>
      </c>
      <c r="AE20" s="16" t="n">
        <f aca="false">AD20/5</f>
        <v>83.8</v>
      </c>
      <c r="AF20" s="16" t="n">
        <v>81</v>
      </c>
      <c r="AG20" s="16" t="n">
        <v>94</v>
      </c>
      <c r="AH20" s="16" t="n">
        <v>100</v>
      </c>
      <c r="AI20" s="16" t="n">
        <v>99</v>
      </c>
      <c r="AJ20" s="16" t="n">
        <f aca="false">(AI20*70)/100</f>
        <v>69.3</v>
      </c>
      <c r="AK20" s="35" t="n">
        <f aca="false">ROUNDUP(AJ20,0)</f>
        <v>70</v>
      </c>
      <c r="AL20" s="16" t="n">
        <v>28</v>
      </c>
      <c r="AM20" s="16" t="n">
        <f aca="false">AL20+AJ20</f>
        <v>97.3</v>
      </c>
      <c r="AN20" s="16" t="n">
        <f aca="false">AL20+AK20</f>
        <v>98</v>
      </c>
      <c r="AO20" s="16" t="n">
        <v>85</v>
      </c>
      <c r="AP20" s="36" t="n">
        <f aca="false">(AO20*70)/100</f>
        <v>59.5</v>
      </c>
      <c r="AQ20" s="37" t="n">
        <f aca="false">ROUNDUP(AP20,0)</f>
        <v>60</v>
      </c>
      <c r="AR20" s="16" t="n">
        <v>30</v>
      </c>
      <c r="AS20" s="16" t="n">
        <f aca="false">AR20+AP20</f>
        <v>89.5</v>
      </c>
      <c r="AT20" s="16" t="n">
        <f aca="false">AR20+AQ20</f>
        <v>90</v>
      </c>
      <c r="AU20" s="16" t="n">
        <f aca="false">AO20+AF20+AI20+AH20+AG20</f>
        <v>459</v>
      </c>
      <c r="AV20" s="16" t="n">
        <f aca="false">(AO20+AF20+AI20+AH20+AG20)/5</f>
        <v>91.8</v>
      </c>
      <c r="AW20" s="36" t="n">
        <f aca="false">(AO20+AF20+AI20+AH20+AG20+X20+R20+Q20+K20+J20)</f>
        <v>878</v>
      </c>
      <c r="AX20" s="16" t="n">
        <f aca="false">AW20/10</f>
        <v>87.8</v>
      </c>
      <c r="AY20" s="16" t="n">
        <f aca="false">AS20+AF20+AM20+AH20+AG20+AB20+V20+Q20+O20+J20</f>
        <v>884.4</v>
      </c>
      <c r="AZ20" s="16" t="n">
        <f aca="false">AT20+AF20+AN20+AH20+AG20+AC20+W20+Q20+P20+J20</f>
        <v>887</v>
      </c>
      <c r="BA20" s="16" t="n">
        <f aca="false">AY20/10</f>
        <v>88.44</v>
      </c>
      <c r="BB20" s="16" t="n">
        <f aca="false">AZ20/10</f>
        <v>88.7</v>
      </c>
      <c r="BC20" s="16" t="n">
        <v>2372</v>
      </c>
      <c r="BD20" s="16" t="n">
        <f aca="false">RANK(AX20,$AX$2:$AX$881,0)</f>
        <v>37</v>
      </c>
      <c r="BE20" s="38" t="n">
        <f aca="false">((BC20*100)/2400)*0.4+(AX20*0.6)</f>
        <v>92.2133333333333</v>
      </c>
      <c r="BF20" s="16" t="n">
        <f aca="false">RANK(BE20,$BE$2:$BE$881,0)</f>
        <v>39</v>
      </c>
      <c r="BG20" s="39" t="n">
        <f aca="false">RANK(BB20,$BB$2:$BB$881,0)</f>
        <v>31</v>
      </c>
      <c r="BH20" s="39" t="n">
        <f aca="false">RANK(BC20,$BC$2:$BC$881,0)</f>
        <v>246</v>
      </c>
      <c r="BI20" s="22" t="s">
        <v>130</v>
      </c>
      <c r="BJ20" s="22" t="s">
        <v>129</v>
      </c>
      <c r="BK20" s="40" t="s">
        <v>131</v>
      </c>
      <c r="BL20" s="41" t="n">
        <v>26</v>
      </c>
      <c r="BM20" s="41" t="n">
        <v>60</v>
      </c>
      <c r="BN20" s="41" t="n">
        <v>86</v>
      </c>
      <c r="BO20" s="42" t="n">
        <v>27</v>
      </c>
      <c r="BP20" s="43" t="n">
        <v>67</v>
      </c>
      <c r="BQ20" s="44" t="n">
        <v>94</v>
      </c>
      <c r="BR20" s="42" t="n">
        <v>30</v>
      </c>
      <c r="BS20" s="45" t="n">
        <v>64</v>
      </c>
      <c r="BT20" s="45" t="n">
        <v>94</v>
      </c>
      <c r="BU20" s="46" t="n">
        <v>100</v>
      </c>
      <c r="BV20" s="47" t="n">
        <v>88</v>
      </c>
      <c r="BW20" s="42" t="n">
        <v>99</v>
      </c>
      <c r="BX20" s="48" t="n">
        <v>96</v>
      </c>
      <c r="BY20" s="32" t="n">
        <v>27</v>
      </c>
      <c r="BZ20" s="32" t="n">
        <v>66</v>
      </c>
      <c r="CA20" s="32" t="n">
        <v>93</v>
      </c>
      <c r="CB20" s="32" t="n">
        <v>24</v>
      </c>
      <c r="CC20" s="32" t="n">
        <v>54</v>
      </c>
      <c r="CD20" s="32" t="n">
        <v>78</v>
      </c>
      <c r="CE20" s="25" t="n">
        <v>29</v>
      </c>
      <c r="CF20" s="25" t="n">
        <v>69</v>
      </c>
      <c r="CG20" s="25" t="n">
        <v>98</v>
      </c>
      <c r="CH20" s="32" t="n">
        <v>99</v>
      </c>
      <c r="CI20" s="32" t="n">
        <v>99</v>
      </c>
      <c r="CJ20" s="49" t="n">
        <v>29</v>
      </c>
      <c r="CK20" s="49" t="n">
        <v>59</v>
      </c>
      <c r="CL20" s="49" t="n">
        <v>88</v>
      </c>
      <c r="CM20" s="49" t="n">
        <v>28</v>
      </c>
      <c r="CN20" s="49" t="n">
        <v>57</v>
      </c>
      <c r="CO20" s="49" t="n">
        <v>85</v>
      </c>
      <c r="CP20" s="25" t="n">
        <f aca="false">BX20+BW20+BV20+BU20+BT20+BQ20+BN20</f>
        <v>657</v>
      </c>
      <c r="CQ20" s="25" t="n">
        <f aca="false">CO20+CL20+CI20+CH20+CG20+CD20+CA20</f>
        <v>640</v>
      </c>
      <c r="CR20" s="26" t="n">
        <f aca="false">CP20/7</f>
        <v>93.8571428571429</v>
      </c>
      <c r="CS20" s="26" t="n">
        <f aca="false">CQ20/7</f>
        <v>91.4285714285714</v>
      </c>
      <c r="CT20" s="24" t="n">
        <f aca="false">RANK(CR20,$CR$2:$CR$881,0)</f>
        <v>30</v>
      </c>
      <c r="CU20" s="25" t="n">
        <f aca="false">RANK(CS20,$CS$2:$CS$881,0)</f>
        <v>10</v>
      </c>
      <c r="CV20" s="26" t="n">
        <f aca="false">(CS20+CR20)/2</f>
        <v>92.6428571428571</v>
      </c>
      <c r="CW20" s="25" t="n">
        <f aca="false">RANK(CV20,$CV$2:$CV$881,0)</f>
        <v>12</v>
      </c>
      <c r="CX20" s="50" t="n">
        <f aca="false">(CV20+BB20)/2</f>
        <v>90.6714285714286</v>
      </c>
      <c r="CY20" s="50" t="n">
        <v>19</v>
      </c>
      <c r="CZ20" s="27" t="s">
        <v>132</v>
      </c>
      <c r="DA20" s="27" t="s">
        <v>153</v>
      </c>
      <c r="DB20" s="27" t="s">
        <v>153</v>
      </c>
      <c r="DC20" s="27" t="s">
        <v>134</v>
      </c>
      <c r="DD20" s="27" t="s">
        <v>160</v>
      </c>
      <c r="DE20" s="27" t="s">
        <v>203</v>
      </c>
      <c r="DF20" s="27" t="s">
        <v>153</v>
      </c>
      <c r="DG20" s="27" t="s">
        <v>134</v>
      </c>
      <c r="DH20" s="27" t="s">
        <v>154</v>
      </c>
      <c r="DI20" s="27" t="s">
        <v>152</v>
      </c>
      <c r="DJ20" s="27" t="s">
        <v>178</v>
      </c>
      <c r="DK20" s="27" t="s">
        <v>134</v>
      </c>
      <c r="DL20" s="27" t="s">
        <v>140</v>
      </c>
      <c r="DM20" s="27" t="s">
        <v>152</v>
      </c>
      <c r="DN20" s="27" t="s">
        <v>151</v>
      </c>
      <c r="DO20" s="27" t="s">
        <v>134</v>
      </c>
      <c r="DP20" s="27" t="s">
        <v>137</v>
      </c>
      <c r="DQ20" s="27" t="s">
        <v>161</v>
      </c>
      <c r="DR20" s="27" t="s">
        <v>178</v>
      </c>
      <c r="DS20" s="27" t="s">
        <v>134</v>
      </c>
      <c r="DT20" s="27" t="s">
        <v>140</v>
      </c>
      <c r="DU20" s="27" t="s">
        <v>136</v>
      </c>
      <c r="DV20" s="27" t="s">
        <v>176</v>
      </c>
      <c r="DW20" s="27" t="s">
        <v>146</v>
      </c>
      <c r="DX20" s="27" t="s">
        <v>143</v>
      </c>
      <c r="DY20" s="27" t="s">
        <v>145</v>
      </c>
      <c r="DZ20" s="27" t="n">
        <f aca="false">DY20+DV20+DR20+DN20+DJ20+DF20+DB20</f>
        <v>637</v>
      </c>
      <c r="EA20" s="28" t="n">
        <f aca="false">DZ20/7</f>
        <v>91</v>
      </c>
      <c r="EB20" s="27" t="n">
        <f aca="false">RANK(EA20,$EA$2:$EA$881,0)</f>
        <v>40</v>
      </c>
      <c r="EC20" s="29" t="n">
        <f aca="false">DZ20+CQ20+CP20+AZ20</f>
        <v>2821</v>
      </c>
      <c r="ED20" s="30" t="n">
        <f aca="false">(EA20+CV20+BB20)/3</f>
        <v>90.7809523809524</v>
      </c>
      <c r="EE20" s="51" t="n">
        <f aca="false">ROUND(BE20,3)</f>
        <v>92.213</v>
      </c>
      <c r="EF20" s="51" t="n">
        <f aca="false">ROUND(CR20,3)</f>
        <v>93.857</v>
      </c>
      <c r="EG20" s="51" t="n">
        <f aca="false">ROUND(CS20,3)</f>
        <v>91.429</v>
      </c>
      <c r="EH20" s="51" t="n">
        <f aca="false">ROUND(EA20,3)</f>
        <v>91</v>
      </c>
      <c r="EI20" s="51" t="n">
        <f aca="false">ROUND(ED20,3)</f>
        <v>90.781</v>
      </c>
      <c r="EJ20" s="51" t="n">
        <f aca="false">ROUND(CV20,3)</f>
        <v>92.643</v>
      </c>
      <c r="EK20" s="0" t="n">
        <f aca="false">RANK(EI20,$EI$2:$EI$881,0)</f>
        <v>19</v>
      </c>
    </row>
    <row r="21" customFormat="false" ht="15" hidden="false" customHeight="false" outlineLevel="0" collapsed="false">
      <c r="A21" s="4" t="n">
        <v>9002</v>
      </c>
      <c r="B21" s="4" t="n">
        <v>305</v>
      </c>
      <c r="C21" s="27" t="s">
        <v>233</v>
      </c>
      <c r="D21" s="31" t="n">
        <v>304</v>
      </c>
      <c r="E21" s="32" t="n">
        <v>230320266</v>
      </c>
      <c r="F21" s="8" t="s">
        <v>234</v>
      </c>
      <c r="G21" s="22" t="s">
        <v>201</v>
      </c>
      <c r="H21" s="22" t="s">
        <v>129</v>
      </c>
      <c r="I21" s="33" t="n">
        <v>2005</v>
      </c>
      <c r="J21" s="32" t="n">
        <v>89</v>
      </c>
      <c r="K21" s="32" t="n">
        <v>95</v>
      </c>
      <c r="L21" s="34" t="n">
        <f aca="false">(K21*70)/100</f>
        <v>66.5</v>
      </c>
      <c r="M21" s="34" t="n">
        <f aca="false">ROUNDUP(L21,0)</f>
        <v>67</v>
      </c>
      <c r="N21" s="32" t="n">
        <v>30</v>
      </c>
      <c r="O21" s="34" t="n">
        <f aca="false">N21+L21</f>
        <v>96.5</v>
      </c>
      <c r="P21" s="34" t="n">
        <f aca="false">N21+M21</f>
        <v>97</v>
      </c>
      <c r="Q21" s="32" t="n">
        <v>96</v>
      </c>
      <c r="R21" s="32" t="n">
        <v>86</v>
      </c>
      <c r="S21" s="34" t="n">
        <f aca="false">(R21*70)/100</f>
        <v>60.2</v>
      </c>
      <c r="T21" s="34" t="n">
        <f aca="false">ROUNDUP(S21,0)</f>
        <v>61</v>
      </c>
      <c r="U21" s="32" t="n">
        <v>26</v>
      </c>
      <c r="V21" s="34" t="n">
        <f aca="false">U21+S21</f>
        <v>86.2</v>
      </c>
      <c r="W21" s="34" t="n">
        <f aca="false">U21+T21</f>
        <v>87</v>
      </c>
      <c r="X21" s="32" t="n">
        <v>74</v>
      </c>
      <c r="Y21" s="34" t="n">
        <f aca="false">(X21*70)/100</f>
        <v>51.8</v>
      </c>
      <c r="Z21" s="34" t="n">
        <f aca="false">ROUNDUP(Y21,0)</f>
        <v>52</v>
      </c>
      <c r="AA21" s="32" t="n">
        <v>26</v>
      </c>
      <c r="AB21" s="34" t="n">
        <f aca="false">AA21+Y21</f>
        <v>77.8</v>
      </c>
      <c r="AC21" s="34" t="n">
        <f aca="false">AA21+Z21</f>
        <v>78</v>
      </c>
      <c r="AD21" s="32" t="n">
        <f aca="false">X21+R21+Q21+K21+J21</f>
        <v>440</v>
      </c>
      <c r="AE21" s="16" t="n">
        <f aca="false">AD21/5</f>
        <v>88</v>
      </c>
      <c r="AF21" s="16" t="n">
        <v>86</v>
      </c>
      <c r="AG21" s="16" t="n">
        <v>94</v>
      </c>
      <c r="AH21" s="16" t="n">
        <v>99</v>
      </c>
      <c r="AI21" s="16" t="n">
        <v>93</v>
      </c>
      <c r="AJ21" s="16" t="n">
        <f aca="false">(AI21*70)/100</f>
        <v>65.1</v>
      </c>
      <c r="AK21" s="35" t="n">
        <f aca="false">ROUNDUP(AJ21,0)</f>
        <v>66</v>
      </c>
      <c r="AL21" s="16" t="n">
        <v>28</v>
      </c>
      <c r="AM21" s="16" t="n">
        <f aca="false">AL21+AJ21</f>
        <v>93.1</v>
      </c>
      <c r="AN21" s="16" t="n">
        <f aca="false">AL21+AK21</f>
        <v>94</v>
      </c>
      <c r="AO21" s="16" t="n">
        <v>91</v>
      </c>
      <c r="AP21" s="36" t="n">
        <f aca="false">(AO21*70)/100</f>
        <v>63.7</v>
      </c>
      <c r="AQ21" s="37" t="n">
        <f aca="false">ROUNDUP(AP21,0)</f>
        <v>64</v>
      </c>
      <c r="AR21" s="16" t="n">
        <v>28</v>
      </c>
      <c r="AS21" s="16" t="n">
        <f aca="false">AR21+AP21</f>
        <v>91.7</v>
      </c>
      <c r="AT21" s="16" t="n">
        <f aca="false">AR21+AQ21</f>
        <v>92</v>
      </c>
      <c r="AU21" s="16" t="n">
        <f aca="false">AO21+AF21+AI21+AH21+AG21</f>
        <v>463</v>
      </c>
      <c r="AV21" s="16" t="n">
        <f aca="false">(AO21+AF21+AI21+AH21+AG21)/5</f>
        <v>92.6</v>
      </c>
      <c r="AW21" s="36" t="n">
        <f aca="false">(AO21+AF21+AI21+AH21+AG21+X21+R21+Q21+K21+J21)</f>
        <v>903</v>
      </c>
      <c r="AX21" s="16" t="n">
        <f aca="false">AW21/10</f>
        <v>90.3</v>
      </c>
      <c r="AY21" s="16" t="n">
        <f aca="false">AS21+AF21+AM21+AH21+AG21+AB21+V21+Q21+O21+J21</f>
        <v>909.3</v>
      </c>
      <c r="AZ21" s="16" t="n">
        <f aca="false">AT21+AF21+AN21+AH21+AG21+AC21+W21+Q21+P21+J21</f>
        <v>912</v>
      </c>
      <c r="BA21" s="16" t="n">
        <f aca="false">AY21/10</f>
        <v>90.93</v>
      </c>
      <c r="BB21" s="16" t="n">
        <f aca="false">AZ21/10</f>
        <v>91.2</v>
      </c>
      <c r="BC21" s="16" t="n">
        <v>2374</v>
      </c>
      <c r="BD21" s="16" t="n">
        <f aca="false">RANK(AX21,$AX$2:$AX$881,0)</f>
        <v>20</v>
      </c>
      <c r="BE21" s="38" t="n">
        <f aca="false">((BC21*100)/2400)*0.4+(AX21*0.6)</f>
        <v>93.7466666666667</v>
      </c>
      <c r="BF21" s="16" t="n">
        <f aca="false">RANK(BE21,$BE$2:$BE$881,0)</f>
        <v>22</v>
      </c>
      <c r="BG21" s="39" t="n">
        <f aca="false">RANK(BB21,$BB$2:$BB$881,0)</f>
        <v>12</v>
      </c>
      <c r="BH21" s="39" t="n">
        <f aca="false">RANK(BC21,$BC$2:$BC$881,0)</f>
        <v>222</v>
      </c>
      <c r="BI21" s="22" t="s">
        <v>130</v>
      </c>
      <c r="BJ21" s="22" t="s">
        <v>129</v>
      </c>
      <c r="BK21" s="40" t="s">
        <v>131</v>
      </c>
      <c r="BL21" s="41" t="n">
        <v>25</v>
      </c>
      <c r="BM21" s="41" t="n">
        <v>64</v>
      </c>
      <c r="BN21" s="41" t="n">
        <v>89</v>
      </c>
      <c r="BO21" s="42" t="n">
        <v>29</v>
      </c>
      <c r="BP21" s="43" t="n">
        <v>69</v>
      </c>
      <c r="BQ21" s="44" t="n">
        <v>98</v>
      </c>
      <c r="BR21" s="42" t="n">
        <v>25</v>
      </c>
      <c r="BS21" s="45" t="n">
        <v>65</v>
      </c>
      <c r="BT21" s="45" t="n">
        <v>90</v>
      </c>
      <c r="BU21" s="46" t="n">
        <v>100</v>
      </c>
      <c r="BV21" s="47" t="n">
        <v>96</v>
      </c>
      <c r="BW21" s="42" t="n">
        <v>100</v>
      </c>
      <c r="BX21" s="48" t="n">
        <v>98</v>
      </c>
      <c r="BY21" s="32" t="n">
        <v>27</v>
      </c>
      <c r="BZ21" s="32" t="n">
        <v>63</v>
      </c>
      <c r="CA21" s="32" t="n">
        <v>90</v>
      </c>
      <c r="CB21" s="32" t="n">
        <v>18</v>
      </c>
      <c r="CC21" s="32" t="n">
        <v>58</v>
      </c>
      <c r="CD21" s="32" t="n">
        <v>76</v>
      </c>
      <c r="CE21" s="32" t="n">
        <v>28</v>
      </c>
      <c r="CF21" s="32" t="n">
        <v>63</v>
      </c>
      <c r="CG21" s="32" t="n">
        <v>91</v>
      </c>
      <c r="CH21" s="32" t="n">
        <v>100</v>
      </c>
      <c r="CI21" s="32" t="n">
        <v>100</v>
      </c>
      <c r="CJ21" s="49" t="n">
        <v>21</v>
      </c>
      <c r="CK21" s="49" t="n">
        <v>63</v>
      </c>
      <c r="CL21" s="49" t="n">
        <v>84</v>
      </c>
      <c r="CM21" s="49" t="n">
        <v>20</v>
      </c>
      <c r="CN21" s="49" t="n">
        <v>55</v>
      </c>
      <c r="CO21" s="49" t="n">
        <v>75</v>
      </c>
      <c r="CP21" s="25" t="n">
        <f aca="false">BX21+BW21+BV21+BU21+BT21+BQ21+BN21</f>
        <v>671</v>
      </c>
      <c r="CQ21" s="25" t="n">
        <f aca="false">CO21+CL21+CI21+CH21+CG21+CD21+CA21</f>
        <v>616</v>
      </c>
      <c r="CR21" s="26" t="n">
        <f aca="false">CP21/7</f>
        <v>95.8571428571429</v>
      </c>
      <c r="CS21" s="26" t="n">
        <f aca="false">CQ21/7</f>
        <v>88</v>
      </c>
      <c r="CT21" s="24" t="n">
        <f aca="false">RANK(CR21,$CR$2:$CR$881,0)</f>
        <v>6</v>
      </c>
      <c r="CU21" s="25" t="n">
        <f aca="false">RANK(CS21,$CS$2:$CS$881,0)</f>
        <v>42</v>
      </c>
      <c r="CV21" s="26" t="n">
        <f aca="false">(CS21+CR21)/2</f>
        <v>91.9285714285714</v>
      </c>
      <c r="CW21" s="25" t="n">
        <f aca="false">RANK(CV21,$CV$2:$CV$881,0)</f>
        <v>22</v>
      </c>
      <c r="CX21" s="50" t="n">
        <f aca="false">(CV21+BB21)/2</f>
        <v>91.5642857142857</v>
      </c>
      <c r="CY21" s="50" t="n">
        <v>10</v>
      </c>
      <c r="CZ21" s="27" t="s">
        <v>132</v>
      </c>
      <c r="DA21" s="27" t="s">
        <v>151</v>
      </c>
      <c r="DB21" s="27" t="s">
        <v>151</v>
      </c>
      <c r="DC21" s="27" t="s">
        <v>134</v>
      </c>
      <c r="DD21" s="27" t="s">
        <v>154</v>
      </c>
      <c r="DE21" s="27" t="s">
        <v>204</v>
      </c>
      <c r="DF21" s="27" t="s">
        <v>205</v>
      </c>
      <c r="DG21" s="27" t="s">
        <v>134</v>
      </c>
      <c r="DH21" s="27" t="s">
        <v>135</v>
      </c>
      <c r="DI21" s="27" t="s">
        <v>152</v>
      </c>
      <c r="DJ21" s="27" t="s">
        <v>162</v>
      </c>
      <c r="DK21" s="27" t="s">
        <v>134</v>
      </c>
      <c r="DL21" s="27" t="s">
        <v>164</v>
      </c>
      <c r="DM21" s="27" t="s">
        <v>152</v>
      </c>
      <c r="DN21" s="27" t="s">
        <v>170</v>
      </c>
      <c r="DO21" s="27" t="s">
        <v>134</v>
      </c>
      <c r="DP21" s="27" t="s">
        <v>135</v>
      </c>
      <c r="DQ21" s="27" t="s">
        <v>220</v>
      </c>
      <c r="DR21" s="27" t="s">
        <v>196</v>
      </c>
      <c r="DS21" s="27" t="s">
        <v>134</v>
      </c>
      <c r="DT21" s="27" t="s">
        <v>160</v>
      </c>
      <c r="DU21" s="27" t="s">
        <v>136</v>
      </c>
      <c r="DV21" s="27" t="s">
        <v>170</v>
      </c>
      <c r="DW21" s="27" t="s">
        <v>140</v>
      </c>
      <c r="DX21" s="27" t="s">
        <v>163</v>
      </c>
      <c r="DY21" s="27" t="s">
        <v>156</v>
      </c>
      <c r="DZ21" s="27" t="n">
        <f aca="false">DY21+DV21+DR21+DN21+DJ21+DF21+DB21</f>
        <v>621</v>
      </c>
      <c r="EA21" s="28" t="n">
        <f aca="false">DZ21/7</f>
        <v>88.7142857142857</v>
      </c>
      <c r="EB21" s="27" t="n">
        <f aca="false">RANK(EA21,$EA$2:$EA$881,0)</f>
        <v>89</v>
      </c>
      <c r="EC21" s="29" t="n">
        <f aca="false">DZ21+CQ21+CP21+AZ21</f>
        <v>2820</v>
      </c>
      <c r="ED21" s="30" t="n">
        <f aca="false">(EA21+CV21+BB21)/3</f>
        <v>90.6142857142857</v>
      </c>
      <c r="EE21" s="51" t="n">
        <f aca="false">ROUND(BE21,3)</f>
        <v>93.747</v>
      </c>
      <c r="EF21" s="51" t="n">
        <f aca="false">ROUND(CR21,3)</f>
        <v>95.857</v>
      </c>
      <c r="EG21" s="51" t="n">
        <f aca="false">ROUND(CS21,3)</f>
        <v>88</v>
      </c>
      <c r="EH21" s="51" t="n">
        <f aca="false">ROUND(EA21,3)</f>
        <v>88.714</v>
      </c>
      <c r="EI21" s="51" t="n">
        <f aca="false">ROUND(ED21,3)</f>
        <v>90.614</v>
      </c>
      <c r="EJ21" s="51" t="n">
        <f aca="false">ROUND(CV21,3)</f>
        <v>91.929</v>
      </c>
      <c r="EK21" s="0" t="n">
        <f aca="false">RANK(EI21,$EI$2:$EI$881,0)</f>
        <v>20</v>
      </c>
    </row>
    <row r="22" customFormat="false" ht="15" hidden="false" customHeight="false" outlineLevel="0" collapsed="false">
      <c r="A22" s="4" t="n">
        <v>8917</v>
      </c>
      <c r="B22" s="4" t="n">
        <v>331</v>
      </c>
      <c r="C22" s="27" t="s">
        <v>235</v>
      </c>
      <c r="D22" s="31" t="n">
        <v>333</v>
      </c>
      <c r="E22" s="32" t="n">
        <v>230320584</v>
      </c>
      <c r="F22" s="8" t="s">
        <v>236</v>
      </c>
      <c r="G22" s="22" t="s">
        <v>237</v>
      </c>
      <c r="H22" s="22" t="s">
        <v>129</v>
      </c>
      <c r="I22" s="33" t="n">
        <v>2005</v>
      </c>
      <c r="J22" s="32" t="n">
        <v>89</v>
      </c>
      <c r="K22" s="32" t="n">
        <v>90</v>
      </c>
      <c r="L22" s="34" t="n">
        <f aca="false">(K22*70)/100</f>
        <v>63</v>
      </c>
      <c r="M22" s="34" t="n">
        <f aca="false">ROUNDUP(L22,0)</f>
        <v>63</v>
      </c>
      <c r="N22" s="32" t="n">
        <v>26</v>
      </c>
      <c r="O22" s="34" t="n">
        <f aca="false">N22+L22</f>
        <v>89</v>
      </c>
      <c r="P22" s="34" t="n">
        <f aca="false">N22+M22</f>
        <v>89</v>
      </c>
      <c r="Q22" s="32" t="n">
        <v>84</v>
      </c>
      <c r="R22" s="32" t="n">
        <v>82</v>
      </c>
      <c r="S22" s="34" t="n">
        <f aca="false">(R22*70)/100</f>
        <v>57.4</v>
      </c>
      <c r="T22" s="34" t="n">
        <f aca="false">ROUNDUP(S22,0)</f>
        <v>58</v>
      </c>
      <c r="U22" s="32" t="n">
        <v>27</v>
      </c>
      <c r="V22" s="34" t="n">
        <f aca="false">U22+S22</f>
        <v>84.4</v>
      </c>
      <c r="W22" s="34" t="n">
        <f aca="false">U22+T22</f>
        <v>85</v>
      </c>
      <c r="X22" s="32" t="n">
        <v>84</v>
      </c>
      <c r="Y22" s="34" t="n">
        <f aca="false">(X22*70)/100</f>
        <v>58.8</v>
      </c>
      <c r="Z22" s="34" t="n">
        <f aca="false">ROUNDUP(Y22,0)</f>
        <v>59</v>
      </c>
      <c r="AA22" s="32" t="n">
        <v>26</v>
      </c>
      <c r="AB22" s="34" t="n">
        <f aca="false">AA22+Y22</f>
        <v>84.8</v>
      </c>
      <c r="AC22" s="34" t="n">
        <f aca="false">AA22+Z22</f>
        <v>85</v>
      </c>
      <c r="AD22" s="32" t="n">
        <f aca="false">X22+R22+Q22+K22+J22</f>
        <v>429</v>
      </c>
      <c r="AE22" s="16" t="n">
        <f aca="false">AD22/5</f>
        <v>85.8</v>
      </c>
      <c r="AF22" s="16" t="n">
        <v>80</v>
      </c>
      <c r="AG22" s="16" t="n">
        <v>84</v>
      </c>
      <c r="AH22" s="16" t="n">
        <v>94</v>
      </c>
      <c r="AI22" s="16" t="n">
        <v>93</v>
      </c>
      <c r="AJ22" s="16" t="n">
        <f aca="false">(AI22*70)/100</f>
        <v>65.1</v>
      </c>
      <c r="AK22" s="35" t="n">
        <f aca="false">ROUNDUP(AJ22,0)</f>
        <v>66</v>
      </c>
      <c r="AL22" s="16" t="n">
        <v>29</v>
      </c>
      <c r="AM22" s="16" t="n">
        <f aca="false">AL22+AJ22</f>
        <v>94.1</v>
      </c>
      <c r="AN22" s="16" t="n">
        <f aca="false">AL22+AK22</f>
        <v>95</v>
      </c>
      <c r="AO22" s="16" t="n">
        <v>82</v>
      </c>
      <c r="AP22" s="36" t="n">
        <f aca="false">(AO22*70)/100</f>
        <v>57.4</v>
      </c>
      <c r="AQ22" s="37" t="n">
        <f aca="false">ROUNDUP(AP22,0)</f>
        <v>58</v>
      </c>
      <c r="AR22" s="16" t="n">
        <v>30</v>
      </c>
      <c r="AS22" s="16" t="n">
        <f aca="false">AR22+AP22</f>
        <v>87.4</v>
      </c>
      <c r="AT22" s="16" t="n">
        <f aca="false">AR22+AQ22</f>
        <v>88</v>
      </c>
      <c r="AU22" s="16" t="n">
        <f aca="false">AO22+AF22+AI22+AH22+AG22</f>
        <v>433</v>
      </c>
      <c r="AV22" s="16" t="n">
        <f aca="false">(AO22+AF22+AI22+AH22+AG22)/5</f>
        <v>86.6</v>
      </c>
      <c r="AW22" s="36" t="n">
        <f aca="false">(AO22+AF22+AI22+AH22+AG22+X22+R22+Q22+K22+J22)</f>
        <v>862</v>
      </c>
      <c r="AX22" s="16" t="n">
        <f aca="false">AW22/10</f>
        <v>86.2</v>
      </c>
      <c r="AY22" s="16" t="n">
        <f aca="false">AS22+AF22+AM22+AH22+AG22+AB22+V22+Q22+O22+J22</f>
        <v>870.7</v>
      </c>
      <c r="AZ22" s="16" t="n">
        <f aca="false">AT22+AF22+AN22+AH22+AG22+AC22+W22+Q22+P22+J22</f>
        <v>873</v>
      </c>
      <c r="BA22" s="16" t="n">
        <f aca="false">AY22/10</f>
        <v>87.07</v>
      </c>
      <c r="BB22" s="16" t="n">
        <f aca="false">AZ22/10</f>
        <v>87.3</v>
      </c>
      <c r="BC22" s="16" t="n">
        <v>2400</v>
      </c>
      <c r="BD22" s="16" t="n">
        <f aca="false">RANK(AX22,$AX$2:$AX$881,0)</f>
        <v>71</v>
      </c>
      <c r="BE22" s="38" t="n">
        <f aca="false">((BC22*100)/2400)*0.4+(AX22*0.6)</f>
        <v>91.72</v>
      </c>
      <c r="BF22" s="16" t="n">
        <f aca="false">RANK(BE22,$BE$2:$BE$881,0)</f>
        <v>52</v>
      </c>
      <c r="BG22" s="39" t="n">
        <f aca="false">RANK(BB22,$BB$2:$BB$881,0)</f>
        <v>52</v>
      </c>
      <c r="BH22" s="39" t="n">
        <f aca="false">RANK(BC22,$BC$2:$BC$881,0)</f>
        <v>1</v>
      </c>
      <c r="BI22" s="22" t="s">
        <v>130</v>
      </c>
      <c r="BJ22" s="22" t="s">
        <v>129</v>
      </c>
      <c r="BK22" s="40" t="s">
        <v>131</v>
      </c>
      <c r="BL22" s="41" t="n">
        <v>23</v>
      </c>
      <c r="BM22" s="41" t="n">
        <v>66</v>
      </c>
      <c r="BN22" s="41" t="n">
        <v>89</v>
      </c>
      <c r="BO22" s="42" t="n">
        <v>23</v>
      </c>
      <c r="BP22" s="43" t="n">
        <v>69</v>
      </c>
      <c r="BQ22" s="44" t="n">
        <v>92</v>
      </c>
      <c r="BR22" s="42" t="n">
        <v>29</v>
      </c>
      <c r="BS22" s="45" t="n">
        <v>62</v>
      </c>
      <c r="BT22" s="45" t="n">
        <v>91</v>
      </c>
      <c r="BU22" s="46" t="n">
        <v>100</v>
      </c>
      <c r="BV22" s="47" t="n">
        <v>92</v>
      </c>
      <c r="BW22" s="42" t="n">
        <v>100</v>
      </c>
      <c r="BX22" s="48" t="n">
        <v>98</v>
      </c>
      <c r="BY22" s="32" t="n">
        <v>26</v>
      </c>
      <c r="BZ22" s="32" t="n">
        <v>62</v>
      </c>
      <c r="CA22" s="32" t="n">
        <v>88</v>
      </c>
      <c r="CB22" s="32" t="n">
        <v>27</v>
      </c>
      <c r="CC22" s="32" t="n">
        <v>56</v>
      </c>
      <c r="CD22" s="32" t="n">
        <v>83</v>
      </c>
      <c r="CE22" s="32" t="n">
        <v>28</v>
      </c>
      <c r="CF22" s="32" t="n">
        <v>64</v>
      </c>
      <c r="CG22" s="32" t="n">
        <v>92</v>
      </c>
      <c r="CH22" s="32" t="n">
        <v>100</v>
      </c>
      <c r="CI22" s="32" t="n">
        <v>100</v>
      </c>
      <c r="CJ22" s="49" t="n">
        <v>25</v>
      </c>
      <c r="CK22" s="49" t="n">
        <v>61</v>
      </c>
      <c r="CL22" s="49" t="n">
        <v>86</v>
      </c>
      <c r="CM22" s="49" t="n">
        <v>25</v>
      </c>
      <c r="CN22" s="49" t="n">
        <v>59</v>
      </c>
      <c r="CO22" s="49" t="n">
        <v>84</v>
      </c>
      <c r="CP22" s="25" t="n">
        <f aca="false">BX22+BW22+BV22+BU22+BT22+BQ22+BN22</f>
        <v>662</v>
      </c>
      <c r="CQ22" s="25" t="n">
        <f aca="false">CO22+CL22+CI22+CH22+CG22+CD22+CA22</f>
        <v>633</v>
      </c>
      <c r="CR22" s="26" t="n">
        <f aca="false">CP22/7</f>
        <v>94.5714285714286</v>
      </c>
      <c r="CS22" s="26" t="n">
        <f aca="false">CQ22/7</f>
        <v>90.4285714285714</v>
      </c>
      <c r="CT22" s="24" t="n">
        <f aca="false">RANK(CR22,$CR$2:$CR$881,0)</f>
        <v>18</v>
      </c>
      <c r="CU22" s="25" t="n">
        <f aca="false">RANK(CS22,$CS$2:$CS$881,0)</f>
        <v>20</v>
      </c>
      <c r="CV22" s="26" t="n">
        <f aca="false">(CS22+CR22)/2</f>
        <v>92.5</v>
      </c>
      <c r="CW22" s="25" t="n">
        <f aca="false">RANK(CV22,$CV$2:$CV$881,0)</f>
        <v>16</v>
      </c>
      <c r="CX22" s="50" t="n">
        <f aca="false">(CV22+BB22)/2</f>
        <v>89.9</v>
      </c>
      <c r="CY22" s="50" t="n">
        <v>25</v>
      </c>
      <c r="CZ22" s="27" t="s">
        <v>132</v>
      </c>
      <c r="DA22" s="27" t="s">
        <v>151</v>
      </c>
      <c r="DB22" s="27" t="s">
        <v>151</v>
      </c>
      <c r="DC22" s="27" t="s">
        <v>134</v>
      </c>
      <c r="DD22" s="27" t="s">
        <v>137</v>
      </c>
      <c r="DE22" s="27" t="s">
        <v>152</v>
      </c>
      <c r="DF22" s="27" t="s">
        <v>153</v>
      </c>
      <c r="DG22" s="27" t="s">
        <v>134</v>
      </c>
      <c r="DH22" s="27" t="s">
        <v>135</v>
      </c>
      <c r="DI22" s="27" t="s">
        <v>163</v>
      </c>
      <c r="DJ22" s="27" t="s">
        <v>153</v>
      </c>
      <c r="DK22" s="27" t="s">
        <v>134</v>
      </c>
      <c r="DL22" s="27" t="s">
        <v>135</v>
      </c>
      <c r="DM22" s="27" t="s">
        <v>136</v>
      </c>
      <c r="DN22" s="27" t="s">
        <v>133</v>
      </c>
      <c r="DO22" s="27" t="s">
        <v>134</v>
      </c>
      <c r="DP22" s="27" t="s">
        <v>137</v>
      </c>
      <c r="DQ22" s="27" t="s">
        <v>163</v>
      </c>
      <c r="DR22" s="27" t="s">
        <v>170</v>
      </c>
      <c r="DS22" s="27" t="s">
        <v>134</v>
      </c>
      <c r="DT22" s="27" t="s">
        <v>164</v>
      </c>
      <c r="DU22" s="27" t="s">
        <v>187</v>
      </c>
      <c r="DV22" s="27" t="s">
        <v>151</v>
      </c>
      <c r="DW22" s="27" t="s">
        <v>140</v>
      </c>
      <c r="DX22" s="27" t="s">
        <v>155</v>
      </c>
      <c r="DY22" s="27" t="s">
        <v>147</v>
      </c>
      <c r="DZ22" s="27" t="n">
        <f aca="false">DY22+DV22+DR22+DN22+DJ22+DF22+DB22</f>
        <v>644</v>
      </c>
      <c r="EA22" s="28" t="n">
        <f aca="false">DZ22/7</f>
        <v>92</v>
      </c>
      <c r="EB22" s="27" t="n">
        <f aca="false">RANK(EA22,$EA$2:$EA$881,0)</f>
        <v>15</v>
      </c>
      <c r="EC22" s="29" t="n">
        <f aca="false">DZ22+CQ22+CP22+AZ22</f>
        <v>2812</v>
      </c>
      <c r="ED22" s="30" t="n">
        <f aca="false">(EA22+CV22+BB22)/3</f>
        <v>90.6</v>
      </c>
      <c r="EE22" s="51" t="n">
        <f aca="false">ROUND(BE22,3)</f>
        <v>91.72</v>
      </c>
      <c r="EF22" s="51" t="n">
        <f aca="false">ROUND(CR22,3)</f>
        <v>94.571</v>
      </c>
      <c r="EG22" s="51" t="n">
        <f aca="false">ROUND(CS22,3)</f>
        <v>90.429</v>
      </c>
      <c r="EH22" s="51" t="n">
        <f aca="false">ROUND(EA22,3)</f>
        <v>92</v>
      </c>
      <c r="EI22" s="51" t="n">
        <f aca="false">ROUND(ED22,3)</f>
        <v>90.6</v>
      </c>
      <c r="EJ22" s="51" t="n">
        <f aca="false">ROUND(CV22,3)</f>
        <v>92.5</v>
      </c>
      <c r="EK22" s="0" t="n">
        <f aca="false">RANK(EI22,$EI$2:$EI$881,0)</f>
        <v>21</v>
      </c>
    </row>
    <row r="23" customFormat="false" ht="15" hidden="false" customHeight="false" outlineLevel="0" collapsed="false">
      <c r="A23" s="4" t="n">
        <v>9094</v>
      </c>
      <c r="B23" s="4" t="n">
        <v>372</v>
      </c>
      <c r="C23" s="27" t="s">
        <v>238</v>
      </c>
      <c r="D23" s="31" t="n">
        <v>377</v>
      </c>
      <c r="E23" s="32" t="n">
        <v>230320303</v>
      </c>
      <c r="F23" s="8" t="s">
        <v>239</v>
      </c>
      <c r="G23" s="22" t="s">
        <v>240</v>
      </c>
      <c r="H23" s="22" t="s">
        <v>129</v>
      </c>
      <c r="I23" s="33" t="n">
        <v>2006</v>
      </c>
      <c r="J23" s="32" t="n">
        <v>80</v>
      </c>
      <c r="K23" s="32" t="n">
        <v>96</v>
      </c>
      <c r="L23" s="34" t="n">
        <f aca="false">(K23*70)/100</f>
        <v>67.2</v>
      </c>
      <c r="M23" s="34" t="n">
        <f aca="false">ROUNDUP(L23,0)</f>
        <v>68</v>
      </c>
      <c r="N23" s="32" t="n">
        <v>30</v>
      </c>
      <c r="O23" s="34" t="n">
        <f aca="false">N23+L23</f>
        <v>97.2</v>
      </c>
      <c r="P23" s="34" t="n">
        <f aca="false">N23+M23</f>
        <v>98</v>
      </c>
      <c r="Q23" s="32" t="n">
        <v>82</v>
      </c>
      <c r="R23" s="32" t="n">
        <v>87</v>
      </c>
      <c r="S23" s="34" t="n">
        <f aca="false">(R23*70)/100</f>
        <v>60.9</v>
      </c>
      <c r="T23" s="34" t="n">
        <f aca="false">ROUNDUP(S23,0)</f>
        <v>61</v>
      </c>
      <c r="U23" s="32" t="n">
        <v>27</v>
      </c>
      <c r="V23" s="34" t="n">
        <f aca="false">U23+S23</f>
        <v>87.9</v>
      </c>
      <c r="W23" s="34" t="n">
        <f aca="false">U23+T23</f>
        <v>88</v>
      </c>
      <c r="X23" s="32" t="n">
        <v>79</v>
      </c>
      <c r="Y23" s="34" t="n">
        <f aca="false">(X23*70)/100</f>
        <v>55.3</v>
      </c>
      <c r="Z23" s="34" t="n">
        <f aca="false">ROUNDUP(Y23,0)</f>
        <v>56</v>
      </c>
      <c r="AA23" s="32" t="n">
        <v>26</v>
      </c>
      <c r="AB23" s="34" t="n">
        <f aca="false">AA23+Y23</f>
        <v>81.3</v>
      </c>
      <c r="AC23" s="34" t="n">
        <f aca="false">AA23+Z23</f>
        <v>82</v>
      </c>
      <c r="AD23" s="32" t="n">
        <f aca="false">X23+R23+Q23+K23+J23</f>
        <v>424</v>
      </c>
      <c r="AE23" s="16" t="n">
        <f aca="false">AD23/5</f>
        <v>84.8</v>
      </c>
      <c r="AF23" s="16" t="n">
        <v>90</v>
      </c>
      <c r="AG23" s="16" t="n">
        <v>80</v>
      </c>
      <c r="AH23" s="16" t="n">
        <v>93</v>
      </c>
      <c r="AI23" s="16" t="n">
        <v>97</v>
      </c>
      <c r="AJ23" s="16" t="n">
        <f aca="false">(AI23*70)/100</f>
        <v>67.9</v>
      </c>
      <c r="AK23" s="35" t="n">
        <f aca="false">ROUNDUP(AJ23,0)</f>
        <v>68</v>
      </c>
      <c r="AL23" s="16" t="n">
        <v>26</v>
      </c>
      <c r="AM23" s="16" t="n">
        <f aca="false">AL23+AJ23</f>
        <v>93.9</v>
      </c>
      <c r="AN23" s="16" t="n">
        <f aca="false">AL23+AK23</f>
        <v>94</v>
      </c>
      <c r="AO23" s="16" t="n">
        <v>84</v>
      </c>
      <c r="AP23" s="36" t="n">
        <f aca="false">(AO23*70)/100</f>
        <v>58.8</v>
      </c>
      <c r="AQ23" s="37" t="n">
        <f aca="false">ROUNDUP(AP23,0)</f>
        <v>59</v>
      </c>
      <c r="AR23" s="16" t="n">
        <v>28</v>
      </c>
      <c r="AS23" s="16" t="n">
        <f aca="false">AR23+AP23</f>
        <v>86.8</v>
      </c>
      <c r="AT23" s="16" t="n">
        <f aca="false">AR23+AQ23</f>
        <v>87</v>
      </c>
      <c r="AU23" s="16" t="n">
        <f aca="false">AO23+AF23+AI23+AH23+AG23</f>
        <v>444</v>
      </c>
      <c r="AV23" s="16" t="n">
        <f aca="false">(AO23+AF23+AI23+AH23+AG23)/5</f>
        <v>88.8</v>
      </c>
      <c r="AW23" s="36" t="n">
        <f aca="false">(AO23+AF23+AI23+AH23+AG23+X23+R23+Q23+K23+J23)</f>
        <v>868</v>
      </c>
      <c r="AX23" s="16" t="n">
        <f aca="false">AW23/10</f>
        <v>86.8</v>
      </c>
      <c r="AY23" s="16" t="n">
        <f aca="false">AS23+AF23+AM23+AH23+AG23+AB23+V23+Q23+O23+J23</f>
        <v>872.1</v>
      </c>
      <c r="AZ23" s="16" t="n">
        <f aca="false">AT23+AF23+AN23+AH23+AG23+AC23+W23+Q23+P23+J23</f>
        <v>874</v>
      </c>
      <c r="BA23" s="16" t="n">
        <f aca="false">AY23/10</f>
        <v>87.21</v>
      </c>
      <c r="BB23" s="16" t="n">
        <f aca="false">AZ23/10</f>
        <v>87.4</v>
      </c>
      <c r="BC23" s="16" t="n">
        <v>2344</v>
      </c>
      <c r="BD23" s="16" t="n">
        <f aca="false">RANK(AX23,$AX$2:$AX$881,0)</f>
        <v>52</v>
      </c>
      <c r="BE23" s="38" t="n">
        <f aca="false">((BC23*100)/2400)*0.4+(AX23*0.6)</f>
        <v>91.1466666666667</v>
      </c>
      <c r="BF23" s="16" t="n">
        <f aca="false">RANK(BE23,$BE$2:$BE$881,0)</f>
        <v>72</v>
      </c>
      <c r="BG23" s="39" t="n">
        <f aca="false">RANK(BB23,$BB$2:$BB$881,0)</f>
        <v>49</v>
      </c>
      <c r="BH23" s="39" t="n">
        <f aca="false">RANK(BC23,$BC$2:$BC$881,0)</f>
        <v>598</v>
      </c>
      <c r="BI23" s="22" t="s">
        <v>130</v>
      </c>
      <c r="BJ23" s="22" t="s">
        <v>129</v>
      </c>
      <c r="BK23" s="40" t="s">
        <v>131</v>
      </c>
      <c r="BL23" s="41" t="n">
        <v>26</v>
      </c>
      <c r="BM23" s="41" t="n">
        <v>61</v>
      </c>
      <c r="BN23" s="41" t="n">
        <v>87</v>
      </c>
      <c r="BO23" s="42" t="n">
        <v>24</v>
      </c>
      <c r="BP23" s="43" t="n">
        <v>64</v>
      </c>
      <c r="BQ23" s="44" t="n">
        <v>88</v>
      </c>
      <c r="BR23" s="42" t="n">
        <v>28</v>
      </c>
      <c r="BS23" s="45" t="n">
        <v>61</v>
      </c>
      <c r="BT23" s="45" t="n">
        <v>89</v>
      </c>
      <c r="BU23" s="46" t="n">
        <v>100</v>
      </c>
      <c r="BV23" s="47" t="n">
        <v>90</v>
      </c>
      <c r="BW23" s="42" t="n">
        <v>98</v>
      </c>
      <c r="BX23" s="48" t="n">
        <v>100</v>
      </c>
      <c r="BY23" s="32" t="n">
        <v>26</v>
      </c>
      <c r="BZ23" s="32" t="n">
        <v>66</v>
      </c>
      <c r="CA23" s="32" t="n">
        <v>92</v>
      </c>
      <c r="CB23" s="32" t="n">
        <v>27</v>
      </c>
      <c r="CC23" s="32" t="n">
        <v>61</v>
      </c>
      <c r="CD23" s="32" t="n">
        <v>88</v>
      </c>
      <c r="CE23" s="32" t="n">
        <v>28</v>
      </c>
      <c r="CF23" s="32" t="n">
        <v>66</v>
      </c>
      <c r="CG23" s="32" t="n">
        <v>94</v>
      </c>
      <c r="CH23" s="32" t="n">
        <v>99</v>
      </c>
      <c r="CI23" s="32" t="n">
        <v>100</v>
      </c>
      <c r="CJ23" s="49" t="n">
        <v>25</v>
      </c>
      <c r="CK23" s="49" t="n">
        <v>60</v>
      </c>
      <c r="CL23" s="49" t="n">
        <v>85</v>
      </c>
      <c r="CM23" s="49" t="n">
        <v>27</v>
      </c>
      <c r="CN23" s="49" t="n">
        <v>62</v>
      </c>
      <c r="CO23" s="49" t="n">
        <v>89</v>
      </c>
      <c r="CP23" s="25" t="n">
        <f aca="false">BX23+BW23+BV23+BU23+BT23+BQ23+BN23</f>
        <v>652</v>
      </c>
      <c r="CQ23" s="25" t="n">
        <f aca="false">CO23+CL23+CI23+CH23+CG23+CD23+CA23</f>
        <v>647</v>
      </c>
      <c r="CR23" s="26" t="n">
        <f aca="false">CP23/7</f>
        <v>93.1428571428571</v>
      </c>
      <c r="CS23" s="26" t="n">
        <f aca="false">CQ23/7</f>
        <v>92.4285714285714</v>
      </c>
      <c r="CT23" s="24" t="n">
        <f aca="false">RANK(CR23,$CR$2:$CR$881,0)</f>
        <v>45</v>
      </c>
      <c r="CU23" s="25" t="n">
        <f aca="false">RANK(CS23,$CS$2:$CS$881,0)</f>
        <v>4</v>
      </c>
      <c r="CV23" s="26" t="n">
        <f aca="false">(CS23+CR23)/2</f>
        <v>92.7857142857143</v>
      </c>
      <c r="CW23" s="25" t="n">
        <f aca="false">RANK(CV23,$CV$2:$CV$881,0)</f>
        <v>11</v>
      </c>
      <c r="CX23" s="50" t="n">
        <f aca="false">(CV23+BB23)/2</f>
        <v>90.0928571428571</v>
      </c>
      <c r="CY23" s="50" t="n">
        <v>23</v>
      </c>
      <c r="CZ23" s="27" t="s">
        <v>132</v>
      </c>
      <c r="DA23" s="27" t="s">
        <v>133</v>
      </c>
      <c r="DB23" s="27" t="s">
        <v>133</v>
      </c>
      <c r="DC23" s="27" t="s">
        <v>134</v>
      </c>
      <c r="DD23" s="27" t="s">
        <v>164</v>
      </c>
      <c r="DE23" s="27" t="s">
        <v>163</v>
      </c>
      <c r="DF23" s="27" t="s">
        <v>176</v>
      </c>
      <c r="DG23" s="27" t="s">
        <v>134</v>
      </c>
      <c r="DH23" s="27" t="s">
        <v>154</v>
      </c>
      <c r="DI23" s="27" t="s">
        <v>138</v>
      </c>
      <c r="DJ23" s="27" t="s">
        <v>176</v>
      </c>
      <c r="DK23" s="27" t="s">
        <v>134</v>
      </c>
      <c r="DL23" s="27" t="s">
        <v>137</v>
      </c>
      <c r="DM23" s="27" t="s">
        <v>187</v>
      </c>
      <c r="DN23" s="27" t="s">
        <v>176</v>
      </c>
      <c r="DO23" s="27" t="s">
        <v>134</v>
      </c>
      <c r="DP23" s="27" t="s">
        <v>154</v>
      </c>
      <c r="DQ23" s="27" t="s">
        <v>187</v>
      </c>
      <c r="DR23" s="27" t="s">
        <v>162</v>
      </c>
      <c r="DS23" s="27" t="s">
        <v>134</v>
      </c>
      <c r="DT23" s="27" t="s">
        <v>135</v>
      </c>
      <c r="DU23" s="27" t="s">
        <v>136</v>
      </c>
      <c r="DV23" s="27" t="s">
        <v>133</v>
      </c>
      <c r="DW23" s="27" t="s">
        <v>146</v>
      </c>
      <c r="DX23" s="27" t="s">
        <v>155</v>
      </c>
      <c r="DY23" s="27" t="s">
        <v>165</v>
      </c>
      <c r="DZ23" s="27" t="n">
        <f aca="false">DY23+DV23+DR23+DN23+DJ23+DF23+DB23</f>
        <v>641</v>
      </c>
      <c r="EA23" s="28" t="n">
        <f aca="false">DZ23/7</f>
        <v>91.5714285714286</v>
      </c>
      <c r="EB23" s="27" t="n">
        <f aca="false">RANK(EA23,$EA$2:$EA$881,0)</f>
        <v>24</v>
      </c>
      <c r="EC23" s="29" t="n">
        <f aca="false">DZ23+CQ23+CP23+AZ23</f>
        <v>2814</v>
      </c>
      <c r="ED23" s="30" t="n">
        <f aca="false">(EA23+CV23+BB23)/3</f>
        <v>90.5857142857143</v>
      </c>
      <c r="EE23" s="51" t="n">
        <f aca="false">ROUND(BE23,3)</f>
        <v>91.147</v>
      </c>
      <c r="EF23" s="51" t="n">
        <f aca="false">ROUND(CR23,3)</f>
        <v>93.143</v>
      </c>
      <c r="EG23" s="51" t="n">
        <f aca="false">ROUND(CS23,3)</f>
        <v>92.429</v>
      </c>
      <c r="EH23" s="51" t="n">
        <f aca="false">ROUND(EA23,3)</f>
        <v>91.571</v>
      </c>
      <c r="EI23" s="51" t="n">
        <f aca="false">ROUND(ED23,3)</f>
        <v>90.586</v>
      </c>
      <c r="EJ23" s="51" t="n">
        <f aca="false">ROUND(CV23,3)</f>
        <v>92.786</v>
      </c>
      <c r="EK23" s="0" t="n">
        <f aca="false">RANK(EI23,$EI$2:$EI$881,0)</f>
        <v>22</v>
      </c>
    </row>
    <row r="24" customFormat="false" ht="15" hidden="false" customHeight="false" outlineLevel="0" collapsed="false">
      <c r="A24" s="4" t="n">
        <v>8591</v>
      </c>
      <c r="B24" s="4" t="n">
        <v>278</v>
      </c>
      <c r="C24" s="27" t="s">
        <v>241</v>
      </c>
      <c r="D24" s="31" t="n">
        <v>278</v>
      </c>
      <c r="E24" s="32" t="n">
        <v>230315703</v>
      </c>
      <c r="F24" s="8" t="s">
        <v>242</v>
      </c>
      <c r="G24" s="22" t="s">
        <v>243</v>
      </c>
      <c r="H24" s="22" t="s">
        <v>129</v>
      </c>
      <c r="I24" s="33" t="n">
        <v>2005</v>
      </c>
      <c r="J24" s="32" t="n">
        <v>85</v>
      </c>
      <c r="K24" s="32" t="n">
        <v>88</v>
      </c>
      <c r="L24" s="34" t="n">
        <f aca="false">(K24*70)/100</f>
        <v>61.6</v>
      </c>
      <c r="M24" s="34" t="n">
        <f aca="false">ROUNDUP(L24,0)</f>
        <v>62</v>
      </c>
      <c r="N24" s="32" t="n">
        <v>29</v>
      </c>
      <c r="O24" s="34" t="n">
        <f aca="false">N24+L24</f>
        <v>90.6</v>
      </c>
      <c r="P24" s="34" t="n">
        <f aca="false">N24+M24</f>
        <v>91</v>
      </c>
      <c r="Q24" s="32" t="n">
        <v>80</v>
      </c>
      <c r="R24" s="32" t="n">
        <v>85</v>
      </c>
      <c r="S24" s="34" t="n">
        <f aca="false">(R24*70)/100</f>
        <v>59.5</v>
      </c>
      <c r="T24" s="34" t="n">
        <f aca="false">ROUNDUP(S24,0)</f>
        <v>60</v>
      </c>
      <c r="U24" s="32" t="n">
        <v>27</v>
      </c>
      <c r="V24" s="34" t="n">
        <f aca="false">U24+S24</f>
        <v>86.5</v>
      </c>
      <c r="W24" s="34" t="n">
        <f aca="false">U24+T24</f>
        <v>87</v>
      </c>
      <c r="X24" s="32" t="n">
        <v>82</v>
      </c>
      <c r="Y24" s="34" t="n">
        <f aca="false">(X24*70)/100</f>
        <v>57.4</v>
      </c>
      <c r="Z24" s="34" t="n">
        <f aca="false">ROUNDUP(Y24,0)</f>
        <v>58</v>
      </c>
      <c r="AA24" s="32" t="n">
        <v>27</v>
      </c>
      <c r="AB24" s="34" t="n">
        <f aca="false">AA24+Y24</f>
        <v>84.4</v>
      </c>
      <c r="AC24" s="34" t="n">
        <f aca="false">AA24+Z24</f>
        <v>85</v>
      </c>
      <c r="AD24" s="32" t="n">
        <f aca="false">X24+R24+Q24+K24+J24</f>
        <v>420</v>
      </c>
      <c r="AE24" s="16" t="n">
        <f aca="false">AD24/5</f>
        <v>84</v>
      </c>
      <c r="AF24" s="16" t="n">
        <v>88</v>
      </c>
      <c r="AG24" s="16" t="n">
        <v>92</v>
      </c>
      <c r="AH24" s="16" t="n">
        <v>95</v>
      </c>
      <c r="AI24" s="16" t="n">
        <v>88</v>
      </c>
      <c r="AJ24" s="16" t="n">
        <f aca="false">(AI24*70)/100</f>
        <v>61.6</v>
      </c>
      <c r="AK24" s="35" t="n">
        <f aca="false">ROUNDUP(AJ24,0)</f>
        <v>62</v>
      </c>
      <c r="AL24" s="16" t="n">
        <v>29</v>
      </c>
      <c r="AM24" s="16" t="n">
        <f aca="false">AL24+AJ24</f>
        <v>90.6</v>
      </c>
      <c r="AN24" s="16" t="n">
        <f aca="false">AL24+AK24</f>
        <v>91</v>
      </c>
      <c r="AO24" s="16" t="n">
        <v>81</v>
      </c>
      <c r="AP24" s="36" t="n">
        <f aca="false">(AO24*70)/100</f>
        <v>56.7</v>
      </c>
      <c r="AQ24" s="37" t="n">
        <f aca="false">ROUNDUP(AP24,0)</f>
        <v>57</v>
      </c>
      <c r="AR24" s="16" t="n">
        <v>29</v>
      </c>
      <c r="AS24" s="16" t="n">
        <f aca="false">AR24+AP24</f>
        <v>85.7</v>
      </c>
      <c r="AT24" s="16" t="n">
        <f aca="false">AR24+AQ24</f>
        <v>86</v>
      </c>
      <c r="AU24" s="16" t="n">
        <f aca="false">AO24+AF24+AI24+AH24+AG24</f>
        <v>444</v>
      </c>
      <c r="AV24" s="16" t="n">
        <f aca="false">(AO24+AF24+AI24+AH24+AG24)/5</f>
        <v>88.8</v>
      </c>
      <c r="AW24" s="36" t="n">
        <f aca="false">(AO24+AF24+AI24+AH24+AG24+X24+R24+Q24+K24+J24)</f>
        <v>864</v>
      </c>
      <c r="AX24" s="16" t="n">
        <f aca="false">AW24/10</f>
        <v>86.4</v>
      </c>
      <c r="AY24" s="16" t="n">
        <f aca="false">AS24+AF24+AM24+AH24+AG24+AB24+V24+Q24+O24+J24</f>
        <v>877.8</v>
      </c>
      <c r="AZ24" s="16" t="n">
        <f aca="false">AT24+AF24+AN24+AH24+AG24+AC24+W24+Q24+P24+J24</f>
        <v>880</v>
      </c>
      <c r="BA24" s="16" t="n">
        <f aca="false">AY24/10</f>
        <v>87.78</v>
      </c>
      <c r="BB24" s="16" t="n">
        <f aca="false">AZ24/10</f>
        <v>88</v>
      </c>
      <c r="BC24" s="16" t="n">
        <v>2361</v>
      </c>
      <c r="BD24" s="16" t="n">
        <f aca="false">RANK(AX24,$AX$2:$AX$881,0)</f>
        <v>64</v>
      </c>
      <c r="BE24" s="38" t="n">
        <f aca="false">((BC24*100)/2400)*0.4+(AX24*0.6)</f>
        <v>91.19</v>
      </c>
      <c r="BF24" s="16" t="n">
        <f aca="false">RANK(BE24,$BE$2:$BE$881,0)</f>
        <v>70</v>
      </c>
      <c r="BG24" s="39" t="n">
        <f aca="false">RANK(BB24,$BB$2:$BB$881,0)</f>
        <v>42</v>
      </c>
      <c r="BH24" s="39" t="n">
        <f aca="false">RANK(BC24,$BC$2:$BC$881,0)</f>
        <v>382</v>
      </c>
      <c r="BI24" s="22" t="s">
        <v>130</v>
      </c>
      <c r="BJ24" s="22" t="s">
        <v>129</v>
      </c>
      <c r="BK24" s="40" t="s">
        <v>131</v>
      </c>
      <c r="BL24" s="41" t="n">
        <v>25</v>
      </c>
      <c r="BM24" s="41" t="n">
        <v>64</v>
      </c>
      <c r="BN24" s="41" t="n">
        <v>89</v>
      </c>
      <c r="BO24" s="42" t="n">
        <v>27</v>
      </c>
      <c r="BP24" s="43" t="n">
        <v>66</v>
      </c>
      <c r="BQ24" s="44" t="n">
        <v>93</v>
      </c>
      <c r="BR24" s="42" t="n">
        <v>26</v>
      </c>
      <c r="BS24" s="45" t="n">
        <v>65</v>
      </c>
      <c r="BT24" s="45" t="n">
        <v>91</v>
      </c>
      <c r="BU24" s="46" t="n">
        <v>100</v>
      </c>
      <c r="BV24" s="47" t="n">
        <v>94</v>
      </c>
      <c r="BW24" s="42" t="n">
        <v>100</v>
      </c>
      <c r="BX24" s="48" t="n">
        <v>94</v>
      </c>
      <c r="BY24" s="32" t="n">
        <v>27</v>
      </c>
      <c r="BZ24" s="32" t="n">
        <v>58</v>
      </c>
      <c r="CA24" s="32" t="n">
        <v>85</v>
      </c>
      <c r="CB24" s="32" t="n">
        <v>28</v>
      </c>
      <c r="CC24" s="32" t="n">
        <v>46</v>
      </c>
      <c r="CD24" s="32" t="n">
        <v>74</v>
      </c>
      <c r="CE24" s="32" t="n">
        <v>24</v>
      </c>
      <c r="CF24" s="32" t="n">
        <v>66</v>
      </c>
      <c r="CG24" s="32" t="n">
        <v>90</v>
      </c>
      <c r="CH24" s="32" t="n">
        <v>100</v>
      </c>
      <c r="CI24" s="32" t="n">
        <v>99</v>
      </c>
      <c r="CJ24" s="49" t="n">
        <v>29</v>
      </c>
      <c r="CK24" s="49" t="n">
        <v>62</v>
      </c>
      <c r="CL24" s="49" t="n">
        <v>91</v>
      </c>
      <c r="CM24" s="49" t="n">
        <v>26</v>
      </c>
      <c r="CN24" s="49" t="n">
        <v>54</v>
      </c>
      <c r="CO24" s="49" t="n">
        <v>80</v>
      </c>
      <c r="CP24" s="25" t="n">
        <f aca="false">BX24+BW24+BV24+BU24+BT24+BQ24+BN24</f>
        <v>661</v>
      </c>
      <c r="CQ24" s="25" t="n">
        <f aca="false">CO24+CL24+CI24+CH24+CG24+CD24+CA24</f>
        <v>619</v>
      </c>
      <c r="CR24" s="26" t="n">
        <f aca="false">CP24/7</f>
        <v>94.4285714285714</v>
      </c>
      <c r="CS24" s="26" t="n">
        <f aca="false">CQ24/7</f>
        <v>88.4285714285714</v>
      </c>
      <c r="CT24" s="24" t="n">
        <f aca="false">RANK(CR24,$CR$2:$CR$881,0)</f>
        <v>22</v>
      </c>
      <c r="CU24" s="25" t="n">
        <f aca="false">RANK(CS24,$CS$2:$CS$881,0)</f>
        <v>39</v>
      </c>
      <c r="CV24" s="26" t="n">
        <f aca="false">(CS24+CR24)/2</f>
        <v>91.4285714285714</v>
      </c>
      <c r="CW24" s="25" t="n">
        <f aca="false">RANK(CV24,$CV$2:$CV$881,0)</f>
        <v>29</v>
      </c>
      <c r="CX24" s="50" t="n">
        <f aca="false">(CV24+BB24)/2</f>
        <v>89.7142857142857</v>
      </c>
      <c r="CY24" s="50" t="n">
        <v>27</v>
      </c>
      <c r="CZ24" s="27" t="s">
        <v>132</v>
      </c>
      <c r="DA24" s="27" t="s">
        <v>151</v>
      </c>
      <c r="DB24" s="27" t="s">
        <v>151</v>
      </c>
      <c r="DC24" s="27" t="s">
        <v>134</v>
      </c>
      <c r="DD24" s="27" t="s">
        <v>137</v>
      </c>
      <c r="DE24" s="27" t="s">
        <v>177</v>
      </c>
      <c r="DF24" s="27" t="s">
        <v>202</v>
      </c>
      <c r="DG24" s="27" t="s">
        <v>134</v>
      </c>
      <c r="DH24" s="27" t="s">
        <v>140</v>
      </c>
      <c r="DI24" s="27" t="s">
        <v>163</v>
      </c>
      <c r="DJ24" s="27" t="s">
        <v>156</v>
      </c>
      <c r="DK24" s="27" t="s">
        <v>134</v>
      </c>
      <c r="DL24" s="27" t="s">
        <v>160</v>
      </c>
      <c r="DM24" s="27" t="s">
        <v>203</v>
      </c>
      <c r="DN24" s="27" t="s">
        <v>153</v>
      </c>
      <c r="DO24" s="27" t="s">
        <v>134</v>
      </c>
      <c r="DP24" s="27" t="s">
        <v>160</v>
      </c>
      <c r="DQ24" s="27" t="s">
        <v>177</v>
      </c>
      <c r="DR24" s="27" t="s">
        <v>133</v>
      </c>
      <c r="DS24" s="27" t="s">
        <v>134</v>
      </c>
      <c r="DT24" s="27" t="s">
        <v>140</v>
      </c>
      <c r="DU24" s="27" t="s">
        <v>161</v>
      </c>
      <c r="DV24" s="27" t="s">
        <v>153</v>
      </c>
      <c r="DW24" s="27" t="s">
        <v>140</v>
      </c>
      <c r="DX24" s="27" t="s">
        <v>155</v>
      </c>
      <c r="DY24" s="27" t="s">
        <v>147</v>
      </c>
      <c r="DZ24" s="27" t="n">
        <f aca="false">DY24+DV24+DR24+DN24+DJ24+DF24+DB24</f>
        <v>640</v>
      </c>
      <c r="EA24" s="28" t="n">
        <f aca="false">DZ24/7</f>
        <v>91.4285714285714</v>
      </c>
      <c r="EB24" s="27" t="n">
        <f aca="false">RANK(EA24,$EA$2:$EA$881,0)</f>
        <v>28</v>
      </c>
      <c r="EC24" s="29" t="n">
        <f aca="false">DZ24+CQ24+CP24+AZ24</f>
        <v>2800</v>
      </c>
      <c r="ED24" s="30" t="n">
        <f aca="false">(EA24+CV24+BB24)/3</f>
        <v>90.2857142857143</v>
      </c>
      <c r="EE24" s="51" t="n">
        <f aca="false">ROUND(BE24,3)</f>
        <v>91.19</v>
      </c>
      <c r="EF24" s="51" t="n">
        <f aca="false">ROUND(CR24,3)</f>
        <v>94.429</v>
      </c>
      <c r="EG24" s="51" t="n">
        <f aca="false">ROUND(CS24,3)</f>
        <v>88.429</v>
      </c>
      <c r="EH24" s="51" t="n">
        <f aca="false">ROUND(EA24,3)</f>
        <v>91.429</v>
      </c>
      <c r="EI24" s="51" t="n">
        <f aca="false">ROUND(ED24,3)</f>
        <v>90.286</v>
      </c>
      <c r="EJ24" s="51" t="n">
        <f aca="false">ROUND(CV24,3)</f>
        <v>91.429</v>
      </c>
      <c r="EK24" s="0" t="n">
        <f aca="false">RANK(EI24,$EI$2:$EI$881,0)</f>
        <v>23</v>
      </c>
    </row>
    <row r="25" customFormat="false" ht="15" hidden="false" customHeight="false" outlineLevel="0" collapsed="false">
      <c r="A25" s="4" t="n">
        <v>9099</v>
      </c>
      <c r="B25" s="4" t="n">
        <v>11</v>
      </c>
      <c r="C25" s="27" t="s">
        <v>244</v>
      </c>
      <c r="D25" s="52" t="n">
        <v>13</v>
      </c>
      <c r="E25" s="32" t="n">
        <v>230314681</v>
      </c>
      <c r="F25" s="8" t="s">
        <v>245</v>
      </c>
      <c r="G25" s="22" t="s">
        <v>246</v>
      </c>
      <c r="H25" s="22" t="s">
        <v>129</v>
      </c>
      <c r="I25" s="33" t="n">
        <v>2005</v>
      </c>
      <c r="J25" s="32" t="n">
        <v>87</v>
      </c>
      <c r="K25" s="32" t="n">
        <v>93</v>
      </c>
      <c r="L25" s="34" t="n">
        <f aca="false">(K25*70)/100</f>
        <v>65.1</v>
      </c>
      <c r="M25" s="34" t="n">
        <f aca="false">ROUNDUP(L25,0)</f>
        <v>66</v>
      </c>
      <c r="N25" s="32" t="n">
        <v>27</v>
      </c>
      <c r="O25" s="34" t="n">
        <f aca="false">N25+L25</f>
        <v>92.1</v>
      </c>
      <c r="P25" s="34" t="n">
        <f aca="false">N25+M25</f>
        <v>93</v>
      </c>
      <c r="Q25" s="32" t="n">
        <v>87</v>
      </c>
      <c r="R25" s="32" t="n">
        <v>79</v>
      </c>
      <c r="S25" s="34" t="n">
        <f aca="false">(R25*70)/100</f>
        <v>55.3</v>
      </c>
      <c r="T25" s="34" t="n">
        <f aca="false">ROUNDUP(S25,0)</f>
        <v>56</v>
      </c>
      <c r="U25" s="32" t="n">
        <v>24</v>
      </c>
      <c r="V25" s="34" t="n">
        <f aca="false">U25+S25</f>
        <v>79.3</v>
      </c>
      <c r="W25" s="34" t="n">
        <f aca="false">U25+T25</f>
        <v>80</v>
      </c>
      <c r="X25" s="32" t="n">
        <v>79</v>
      </c>
      <c r="Y25" s="34" t="n">
        <f aca="false">(X25*70)/100</f>
        <v>55.3</v>
      </c>
      <c r="Z25" s="34" t="n">
        <f aca="false">ROUNDUP(Y25,0)</f>
        <v>56</v>
      </c>
      <c r="AA25" s="32" t="n">
        <v>26</v>
      </c>
      <c r="AB25" s="34" t="n">
        <f aca="false">AA25+Y25</f>
        <v>81.3</v>
      </c>
      <c r="AC25" s="34" t="n">
        <f aca="false">AA25+Z25</f>
        <v>82</v>
      </c>
      <c r="AD25" s="32" t="n">
        <f aca="false">X25+R25+Q25+K25+J25</f>
        <v>425</v>
      </c>
      <c r="AE25" s="16" t="n">
        <f aca="false">AD25/5</f>
        <v>85</v>
      </c>
      <c r="AF25" s="16" t="n">
        <v>91</v>
      </c>
      <c r="AG25" s="16" t="n">
        <v>89</v>
      </c>
      <c r="AH25" s="16" t="n">
        <v>94</v>
      </c>
      <c r="AI25" s="16" t="n">
        <v>96</v>
      </c>
      <c r="AJ25" s="16" t="n">
        <f aca="false">(AI25*70)/100</f>
        <v>67.2</v>
      </c>
      <c r="AK25" s="35" t="n">
        <f aca="false">ROUNDUP(AJ25,0)</f>
        <v>68</v>
      </c>
      <c r="AL25" s="16" t="n">
        <v>25</v>
      </c>
      <c r="AM25" s="16" t="n">
        <f aca="false">AL25+AJ25</f>
        <v>92.2</v>
      </c>
      <c r="AN25" s="16" t="n">
        <f aca="false">AL25+AK25</f>
        <v>93</v>
      </c>
      <c r="AO25" s="16" t="n">
        <v>88</v>
      </c>
      <c r="AP25" s="36" t="n">
        <f aca="false">(AO25*70)/100</f>
        <v>61.6</v>
      </c>
      <c r="AQ25" s="37" t="n">
        <f aca="false">ROUNDUP(AP25,0)</f>
        <v>62</v>
      </c>
      <c r="AR25" s="16" t="n">
        <v>30</v>
      </c>
      <c r="AS25" s="16" t="n">
        <f aca="false">AR25+AP25</f>
        <v>91.6</v>
      </c>
      <c r="AT25" s="16" t="n">
        <f aca="false">AR25+AQ25</f>
        <v>92</v>
      </c>
      <c r="AU25" s="16" t="n">
        <f aca="false">AO25+AF25+AI25+AH25+AG25</f>
        <v>458</v>
      </c>
      <c r="AV25" s="16" t="n">
        <f aca="false">(AO25+AF25+AI25+AH25+AG25)/5</f>
        <v>91.6</v>
      </c>
      <c r="AW25" s="36" t="n">
        <f aca="false">(AO25+AF25+AI25+AH25+AG25+X25+R25+Q25+K25+J25)</f>
        <v>883</v>
      </c>
      <c r="AX25" s="16" t="n">
        <f aca="false">AW25/10</f>
        <v>88.3</v>
      </c>
      <c r="AY25" s="16" t="n">
        <f aca="false">AS25+AF25+AM25+AH25+AG25+AB25+V25+Q25+O25+J25</f>
        <v>884.5</v>
      </c>
      <c r="AZ25" s="16" t="n">
        <f aca="false">AT25+AF25+AN25+AH25+AG25+AC25+W25+Q25+P25+J25</f>
        <v>888</v>
      </c>
      <c r="BA25" s="16" t="n">
        <f aca="false">AY25/10</f>
        <v>88.45</v>
      </c>
      <c r="BB25" s="16" t="n">
        <f aca="false">AZ25/10</f>
        <v>88.8</v>
      </c>
      <c r="BC25" s="16" t="n">
        <v>2393</v>
      </c>
      <c r="BD25" s="16" t="n">
        <f aca="false">RANK(AX25,$AX$2:$AX$881,0)</f>
        <v>31</v>
      </c>
      <c r="BE25" s="38" t="n">
        <f aca="false">((BC25*100)/2400)*0.4+(AX25*0.6)</f>
        <v>92.8633333333333</v>
      </c>
      <c r="BF25" s="16" t="n">
        <f aca="false">RANK(BE25,$BE$2:$BE$881,0)</f>
        <v>28</v>
      </c>
      <c r="BG25" s="39" t="n">
        <f aca="false">RANK(BB25,$BB$2:$BB$881,0)</f>
        <v>29</v>
      </c>
      <c r="BH25" s="39" t="n">
        <f aca="false">RANK(BC25,$BC$2:$BC$881,0)</f>
        <v>21</v>
      </c>
      <c r="BI25" s="22" t="s">
        <v>130</v>
      </c>
      <c r="BJ25" s="22" t="s">
        <v>129</v>
      </c>
      <c r="BK25" s="40" t="s">
        <v>131</v>
      </c>
      <c r="BL25" s="41" t="n">
        <v>17</v>
      </c>
      <c r="BM25" s="41" t="n">
        <v>65</v>
      </c>
      <c r="BN25" s="41" t="n">
        <v>82</v>
      </c>
      <c r="BO25" s="42" t="n">
        <v>25</v>
      </c>
      <c r="BP25" s="53" t="n">
        <v>60</v>
      </c>
      <c r="BQ25" s="44" t="n">
        <v>85</v>
      </c>
      <c r="BR25" s="42" t="n">
        <v>29</v>
      </c>
      <c r="BS25" s="45" t="n">
        <v>68</v>
      </c>
      <c r="BT25" s="45" t="n">
        <v>97</v>
      </c>
      <c r="BU25" s="46" t="n">
        <v>100</v>
      </c>
      <c r="BV25" s="47" t="n">
        <v>100</v>
      </c>
      <c r="BW25" s="42" t="n">
        <v>100</v>
      </c>
      <c r="BX25" s="48" t="n">
        <v>90</v>
      </c>
      <c r="BY25" s="32" t="n">
        <v>27</v>
      </c>
      <c r="BZ25" s="32" t="n">
        <v>61</v>
      </c>
      <c r="CA25" s="32" t="n">
        <v>88</v>
      </c>
      <c r="CB25" s="32" t="n">
        <v>25</v>
      </c>
      <c r="CC25" s="32" t="n">
        <v>57</v>
      </c>
      <c r="CD25" s="32" t="n">
        <v>82</v>
      </c>
      <c r="CE25" s="32" t="n">
        <v>27</v>
      </c>
      <c r="CF25" s="32" t="n">
        <v>63</v>
      </c>
      <c r="CG25" s="32" t="n">
        <v>90</v>
      </c>
      <c r="CH25" s="32" t="n">
        <v>99</v>
      </c>
      <c r="CI25" s="32" t="n">
        <v>100</v>
      </c>
      <c r="CJ25" s="49" t="n">
        <v>24</v>
      </c>
      <c r="CK25" s="49" t="n">
        <v>61</v>
      </c>
      <c r="CL25" s="49" t="n">
        <v>85</v>
      </c>
      <c r="CM25" s="49" t="n">
        <v>27</v>
      </c>
      <c r="CN25" s="49" t="n">
        <v>55</v>
      </c>
      <c r="CO25" s="49" t="n">
        <v>82</v>
      </c>
      <c r="CP25" s="25" t="n">
        <f aca="false">BX25+BW25+BV25+BU25+BT25+BQ25+BN25</f>
        <v>654</v>
      </c>
      <c r="CQ25" s="25" t="n">
        <f aca="false">CO25+CL25+CI25+CH25+CG25+CD25+CA25</f>
        <v>626</v>
      </c>
      <c r="CR25" s="26" t="n">
        <f aca="false">CP25/7</f>
        <v>93.4285714285714</v>
      </c>
      <c r="CS25" s="26" t="n">
        <f aca="false">CQ25/7</f>
        <v>89.4285714285714</v>
      </c>
      <c r="CT25" s="24" t="n">
        <f aca="false">RANK(CR25,$CR$2:$CR$881,0)</f>
        <v>41</v>
      </c>
      <c r="CU25" s="25" t="n">
        <f aca="false">RANK(CS25,$CS$2:$CS$881,0)</f>
        <v>27</v>
      </c>
      <c r="CV25" s="26" t="n">
        <f aca="false">(CS25+CR25)/2</f>
        <v>91.4285714285714</v>
      </c>
      <c r="CW25" s="25" t="n">
        <f aca="false">RANK(CV25,$CV$2:$CV$881,0)</f>
        <v>29</v>
      </c>
      <c r="CX25" s="50" t="n">
        <f aca="false">(CV25+BB25)/2</f>
        <v>90.1142857142857</v>
      </c>
      <c r="CY25" s="50" t="n">
        <v>22</v>
      </c>
      <c r="CZ25" s="27" t="s">
        <v>132</v>
      </c>
      <c r="DA25" s="27" t="s">
        <v>151</v>
      </c>
      <c r="DB25" s="27" t="s">
        <v>151</v>
      </c>
      <c r="DC25" s="27" t="s">
        <v>134</v>
      </c>
      <c r="DD25" s="27" t="s">
        <v>137</v>
      </c>
      <c r="DE25" s="27" t="s">
        <v>177</v>
      </c>
      <c r="DF25" s="27" t="s">
        <v>202</v>
      </c>
      <c r="DG25" s="27" t="s">
        <v>134</v>
      </c>
      <c r="DH25" s="27" t="s">
        <v>140</v>
      </c>
      <c r="DI25" s="27" t="s">
        <v>152</v>
      </c>
      <c r="DJ25" s="27" t="s">
        <v>151</v>
      </c>
      <c r="DK25" s="27" t="s">
        <v>134</v>
      </c>
      <c r="DL25" s="27" t="s">
        <v>164</v>
      </c>
      <c r="DM25" s="27" t="s">
        <v>187</v>
      </c>
      <c r="DN25" s="27" t="s">
        <v>151</v>
      </c>
      <c r="DO25" s="27" t="s">
        <v>134</v>
      </c>
      <c r="DP25" s="27" t="s">
        <v>154</v>
      </c>
      <c r="DQ25" s="27" t="s">
        <v>203</v>
      </c>
      <c r="DR25" s="27" t="s">
        <v>175</v>
      </c>
      <c r="DS25" s="27" t="s">
        <v>134</v>
      </c>
      <c r="DT25" s="27" t="s">
        <v>160</v>
      </c>
      <c r="DU25" s="27" t="s">
        <v>177</v>
      </c>
      <c r="DV25" s="27" t="s">
        <v>133</v>
      </c>
      <c r="DW25" s="27" t="s">
        <v>140</v>
      </c>
      <c r="DX25" s="27" t="s">
        <v>141</v>
      </c>
      <c r="DY25" s="27" t="s">
        <v>142</v>
      </c>
      <c r="DZ25" s="27" t="n">
        <f aca="false">DY25+DV25+DR25+DN25+DJ25+DF25+DB25</f>
        <v>634</v>
      </c>
      <c r="EA25" s="28" t="n">
        <f aca="false">DZ25/7</f>
        <v>90.5714285714286</v>
      </c>
      <c r="EB25" s="27" t="n">
        <f aca="false">RANK(EA25,$EA$2:$EA$881,0)</f>
        <v>45</v>
      </c>
      <c r="EC25" s="29" t="n">
        <f aca="false">DZ25+CQ25+CP25+AZ25</f>
        <v>2802</v>
      </c>
      <c r="ED25" s="30" t="n">
        <f aca="false">(EA25+CV25+BB25)/3</f>
        <v>90.2666666666667</v>
      </c>
      <c r="EE25" s="51" t="n">
        <f aca="false">ROUND(BE25,3)</f>
        <v>92.863</v>
      </c>
      <c r="EF25" s="51" t="n">
        <f aca="false">ROUND(CR25,3)</f>
        <v>93.429</v>
      </c>
      <c r="EG25" s="51" t="n">
        <f aca="false">ROUND(CS25,3)</f>
        <v>89.429</v>
      </c>
      <c r="EH25" s="51" t="n">
        <f aca="false">ROUND(EA25,3)</f>
        <v>90.571</v>
      </c>
      <c r="EI25" s="51" t="n">
        <f aca="false">ROUND(ED25,3)</f>
        <v>90.267</v>
      </c>
      <c r="EJ25" s="51" t="n">
        <f aca="false">ROUND(CV25,3)</f>
        <v>91.429</v>
      </c>
      <c r="EK25" s="0" t="n">
        <f aca="false">RANK(EI25,$EI$2:$EI$881,0)</f>
        <v>24</v>
      </c>
    </row>
    <row r="26" customFormat="false" ht="15" hidden="false" customHeight="false" outlineLevel="0" collapsed="false">
      <c r="A26" s="4" t="n">
        <v>8721</v>
      </c>
      <c r="B26" s="4" t="n">
        <v>819</v>
      </c>
      <c r="C26" s="27" t="s">
        <v>247</v>
      </c>
      <c r="D26" s="31" t="n">
        <v>841</v>
      </c>
      <c r="E26" s="32" t="n">
        <v>230320012</v>
      </c>
      <c r="F26" s="8" t="s">
        <v>248</v>
      </c>
      <c r="G26" s="22" t="s">
        <v>249</v>
      </c>
      <c r="H26" s="22" t="s">
        <v>129</v>
      </c>
      <c r="I26" s="33" t="n">
        <v>2005</v>
      </c>
      <c r="J26" s="32" t="n">
        <v>75</v>
      </c>
      <c r="K26" s="32" t="n">
        <v>93</v>
      </c>
      <c r="L26" s="34" t="n">
        <f aca="false">(K26*70)/100</f>
        <v>65.1</v>
      </c>
      <c r="M26" s="34" t="n">
        <f aca="false">ROUNDUP(L26,0)</f>
        <v>66</v>
      </c>
      <c r="N26" s="32" t="n">
        <v>19</v>
      </c>
      <c r="O26" s="34" t="n">
        <f aca="false">N26+L26</f>
        <v>84.1</v>
      </c>
      <c r="P26" s="34" t="n">
        <f aca="false">N26+M26</f>
        <v>85</v>
      </c>
      <c r="Q26" s="32" t="n">
        <v>85</v>
      </c>
      <c r="R26" s="32" t="n">
        <v>86</v>
      </c>
      <c r="S26" s="34" t="n">
        <f aca="false">(R26*70)/100</f>
        <v>60.2</v>
      </c>
      <c r="T26" s="34" t="n">
        <f aca="false">ROUNDUP(S26,0)</f>
        <v>61</v>
      </c>
      <c r="U26" s="32" t="n">
        <v>23</v>
      </c>
      <c r="V26" s="34" t="n">
        <f aca="false">U26+S26</f>
        <v>83.2</v>
      </c>
      <c r="W26" s="34" t="n">
        <f aca="false">U26+T26</f>
        <v>84</v>
      </c>
      <c r="X26" s="32" t="n">
        <v>92</v>
      </c>
      <c r="Y26" s="34" t="n">
        <f aca="false">(X26*70)/100</f>
        <v>64.4</v>
      </c>
      <c r="Z26" s="34" t="n">
        <f aca="false">ROUNDUP(Y26,0)</f>
        <v>65</v>
      </c>
      <c r="AA26" s="32" t="n">
        <v>22</v>
      </c>
      <c r="AB26" s="34" t="n">
        <f aca="false">AA26+Y26</f>
        <v>86.4</v>
      </c>
      <c r="AC26" s="34" t="n">
        <f aca="false">AA26+Z26</f>
        <v>87</v>
      </c>
      <c r="AD26" s="32" t="n">
        <f aca="false">X26+R26+Q26+K26+J26</f>
        <v>431</v>
      </c>
      <c r="AE26" s="16" t="n">
        <f aca="false">AD26/5</f>
        <v>86.2</v>
      </c>
      <c r="AF26" s="16" t="n">
        <v>84</v>
      </c>
      <c r="AG26" s="16" t="n">
        <v>80</v>
      </c>
      <c r="AH26" s="16" t="n">
        <v>97</v>
      </c>
      <c r="AI26" s="16" t="n">
        <v>97</v>
      </c>
      <c r="AJ26" s="16" t="n">
        <f aca="false">(AI26*70)/100</f>
        <v>67.9</v>
      </c>
      <c r="AK26" s="35" t="n">
        <f aca="false">ROUNDUP(AJ26,0)</f>
        <v>68</v>
      </c>
      <c r="AL26" s="16" t="n">
        <v>27</v>
      </c>
      <c r="AM26" s="16" t="n">
        <f aca="false">AL26+AJ26</f>
        <v>94.9</v>
      </c>
      <c r="AN26" s="16" t="n">
        <f aca="false">AL26+AK26</f>
        <v>95</v>
      </c>
      <c r="AO26" s="16" t="n">
        <v>84</v>
      </c>
      <c r="AP26" s="36" t="n">
        <f aca="false">(AO26*70)/100</f>
        <v>58.8</v>
      </c>
      <c r="AQ26" s="37" t="n">
        <f aca="false">ROUNDUP(AP26,0)</f>
        <v>59</v>
      </c>
      <c r="AR26" s="16" t="n">
        <v>30</v>
      </c>
      <c r="AS26" s="16" t="n">
        <f aca="false">AR26+AP26</f>
        <v>88.8</v>
      </c>
      <c r="AT26" s="16" t="n">
        <f aca="false">AR26+AQ26</f>
        <v>89</v>
      </c>
      <c r="AU26" s="16" t="n">
        <f aca="false">AO26+AF26+AI26+AH26+AG26</f>
        <v>442</v>
      </c>
      <c r="AV26" s="16" t="n">
        <f aca="false">(AO26+AF26+AI26+AH26+AG26)/5</f>
        <v>88.4</v>
      </c>
      <c r="AW26" s="36" t="n">
        <f aca="false">(AO26+AF26+AI26+AH26+AG26+X26+R26+Q26+K26+J26)</f>
        <v>873</v>
      </c>
      <c r="AX26" s="16" t="n">
        <f aca="false">AW26/10</f>
        <v>87.3</v>
      </c>
      <c r="AY26" s="16" t="n">
        <f aca="false">AS26+AF26+AM26+AH26+AG26+AB26+V26+Q26+O26+J26</f>
        <v>858.4</v>
      </c>
      <c r="AZ26" s="16" t="n">
        <f aca="false">AT26+AF26+AN26+AH26+AG26+AC26+W26+Q26+P26+J26</f>
        <v>861</v>
      </c>
      <c r="BA26" s="16" t="n">
        <f aca="false">AY26/10</f>
        <v>85.84</v>
      </c>
      <c r="BB26" s="16" t="n">
        <f aca="false">AZ26/10</f>
        <v>86.1</v>
      </c>
      <c r="BC26" s="16" t="n">
        <v>2370</v>
      </c>
      <c r="BD26" s="16" t="n">
        <f aca="false">RANK(AX26,$AX$2:$AX$881,0)</f>
        <v>46</v>
      </c>
      <c r="BE26" s="38" t="n">
        <f aca="false">((BC26*100)/2400)*0.4+(AX26*0.6)</f>
        <v>91.88</v>
      </c>
      <c r="BF26" s="16" t="n">
        <f aca="false">RANK(BE26,$BE$2:$BE$881,0)</f>
        <v>46</v>
      </c>
      <c r="BG26" s="39" t="n">
        <f aca="false">RANK(BB26,$BB$2:$BB$881,0)</f>
        <v>80</v>
      </c>
      <c r="BH26" s="39" t="n">
        <f aca="false">RANK(BC26,$BC$2:$BC$881,0)</f>
        <v>268</v>
      </c>
      <c r="BI26" s="22" t="s">
        <v>130</v>
      </c>
      <c r="BJ26" s="22" t="s">
        <v>129</v>
      </c>
      <c r="BK26" s="40" t="s">
        <v>131</v>
      </c>
      <c r="BL26" s="41" t="n">
        <v>24</v>
      </c>
      <c r="BM26" s="41" t="n">
        <v>65</v>
      </c>
      <c r="BN26" s="41" t="n">
        <v>89</v>
      </c>
      <c r="BO26" s="42" t="n">
        <v>28</v>
      </c>
      <c r="BP26" s="43" t="n">
        <v>67</v>
      </c>
      <c r="BQ26" s="44" t="n">
        <v>95</v>
      </c>
      <c r="BR26" s="42" t="n">
        <v>25</v>
      </c>
      <c r="BS26" s="45" t="n">
        <v>59</v>
      </c>
      <c r="BT26" s="45" t="n">
        <v>84</v>
      </c>
      <c r="BU26" s="46" t="n">
        <v>99</v>
      </c>
      <c r="BV26" s="47" t="n">
        <v>92</v>
      </c>
      <c r="BW26" s="42" t="n">
        <v>99</v>
      </c>
      <c r="BX26" s="48" t="n">
        <v>94</v>
      </c>
      <c r="BY26" s="32" t="n">
        <v>29</v>
      </c>
      <c r="BZ26" s="32" t="n">
        <v>62</v>
      </c>
      <c r="CA26" s="32" t="n">
        <v>91</v>
      </c>
      <c r="CB26" s="32" t="n">
        <v>23</v>
      </c>
      <c r="CC26" s="32" t="n">
        <v>61</v>
      </c>
      <c r="CD26" s="32" t="n">
        <v>84</v>
      </c>
      <c r="CE26" s="32" t="n">
        <v>29</v>
      </c>
      <c r="CF26" s="32" t="n">
        <v>62</v>
      </c>
      <c r="CG26" s="32" t="n">
        <v>91</v>
      </c>
      <c r="CH26" s="32" t="n">
        <v>98</v>
      </c>
      <c r="CI26" s="32" t="n">
        <v>99</v>
      </c>
      <c r="CJ26" s="49" t="n">
        <v>23</v>
      </c>
      <c r="CK26" s="49" t="n">
        <v>63</v>
      </c>
      <c r="CL26" s="49" t="n">
        <v>86</v>
      </c>
      <c r="CM26" s="49" t="n">
        <v>28</v>
      </c>
      <c r="CN26" s="49" t="n">
        <v>62</v>
      </c>
      <c r="CO26" s="49" t="n">
        <v>90</v>
      </c>
      <c r="CP26" s="25" t="n">
        <f aca="false">BX26+BW26+BV26+BU26+BT26+BQ26+BN26</f>
        <v>652</v>
      </c>
      <c r="CQ26" s="25" t="n">
        <f aca="false">CO26+CL26+CI26+CH26+CG26+CD26+CA26</f>
        <v>639</v>
      </c>
      <c r="CR26" s="26" t="n">
        <f aca="false">CP26/7</f>
        <v>93.1428571428571</v>
      </c>
      <c r="CS26" s="26" t="n">
        <f aca="false">CQ26/7</f>
        <v>91.2857142857143</v>
      </c>
      <c r="CT26" s="24" t="n">
        <f aca="false">RANK(CR26,$CR$2:$CR$881,0)</f>
        <v>45</v>
      </c>
      <c r="CU26" s="25" t="n">
        <f aca="false">RANK(CS26,$CS$2:$CS$881,0)</f>
        <v>11</v>
      </c>
      <c r="CV26" s="26" t="n">
        <f aca="false">(CS26+CR26)/2</f>
        <v>92.2142857142857</v>
      </c>
      <c r="CW26" s="25" t="n">
        <f aca="false">RANK(CV26,$CV$2:$CV$881,0)</f>
        <v>19</v>
      </c>
      <c r="CX26" s="50" t="n">
        <f aca="false">(CV26+BB26)/2</f>
        <v>89.1571428571429</v>
      </c>
      <c r="CY26" s="50" t="n">
        <v>33</v>
      </c>
      <c r="CZ26" s="27" t="s">
        <v>132</v>
      </c>
      <c r="DA26" s="27" t="s">
        <v>202</v>
      </c>
      <c r="DB26" s="27" t="s">
        <v>202</v>
      </c>
      <c r="DC26" s="27" t="s">
        <v>134</v>
      </c>
      <c r="DD26" s="27" t="s">
        <v>135</v>
      </c>
      <c r="DE26" s="27" t="s">
        <v>163</v>
      </c>
      <c r="DF26" s="27" t="s">
        <v>153</v>
      </c>
      <c r="DG26" s="27" t="s">
        <v>134</v>
      </c>
      <c r="DH26" s="27" t="s">
        <v>137</v>
      </c>
      <c r="DI26" s="27" t="s">
        <v>143</v>
      </c>
      <c r="DJ26" s="27" t="s">
        <v>156</v>
      </c>
      <c r="DK26" s="27" t="s">
        <v>134</v>
      </c>
      <c r="DL26" s="27" t="s">
        <v>140</v>
      </c>
      <c r="DM26" s="27" t="s">
        <v>152</v>
      </c>
      <c r="DN26" s="27" t="s">
        <v>151</v>
      </c>
      <c r="DO26" s="27" t="s">
        <v>134</v>
      </c>
      <c r="DP26" s="27" t="s">
        <v>174</v>
      </c>
      <c r="DQ26" s="27" t="s">
        <v>143</v>
      </c>
      <c r="DR26" s="27" t="s">
        <v>153</v>
      </c>
      <c r="DS26" s="27" t="s">
        <v>134</v>
      </c>
      <c r="DT26" s="27" t="s">
        <v>160</v>
      </c>
      <c r="DU26" s="27" t="s">
        <v>187</v>
      </c>
      <c r="DV26" s="27" t="s">
        <v>156</v>
      </c>
      <c r="DW26" s="27" t="s">
        <v>146</v>
      </c>
      <c r="DX26" s="27" t="s">
        <v>155</v>
      </c>
      <c r="DY26" s="27" t="s">
        <v>165</v>
      </c>
      <c r="DZ26" s="27" t="n">
        <f aca="false">DY26+DV26+DR26+DN26+DJ26+DF26+DB26</f>
        <v>647</v>
      </c>
      <c r="EA26" s="28" t="n">
        <f aca="false">DZ26/7</f>
        <v>92.4285714285714</v>
      </c>
      <c r="EB26" s="27" t="n">
        <f aca="false">RANK(EA26,$EA$2:$EA$881,0)</f>
        <v>9</v>
      </c>
      <c r="EC26" s="29" t="n">
        <f aca="false">DZ26+CQ26+CP26+AZ26</f>
        <v>2799</v>
      </c>
      <c r="ED26" s="30" t="n">
        <f aca="false">(EA26+CV26+BB26)/3</f>
        <v>90.247619047619</v>
      </c>
      <c r="EE26" s="51" t="n">
        <f aca="false">ROUND(BE26,3)</f>
        <v>91.88</v>
      </c>
      <c r="EF26" s="51" t="n">
        <f aca="false">ROUND(CR26,3)</f>
        <v>93.143</v>
      </c>
      <c r="EG26" s="51" t="n">
        <f aca="false">ROUND(CS26,3)</f>
        <v>91.286</v>
      </c>
      <c r="EH26" s="51" t="n">
        <f aca="false">ROUND(EA26,3)</f>
        <v>92.429</v>
      </c>
      <c r="EI26" s="51" t="n">
        <f aca="false">ROUND(ED26,3)</f>
        <v>90.248</v>
      </c>
      <c r="EJ26" s="51" t="n">
        <f aca="false">ROUND(CV26,3)</f>
        <v>92.214</v>
      </c>
      <c r="EK26" s="0" t="n">
        <f aca="false">RANK(EI26,$EI$2:$EI$881,0)</f>
        <v>25</v>
      </c>
    </row>
    <row r="27" customFormat="false" ht="15" hidden="false" customHeight="false" outlineLevel="0" collapsed="false">
      <c r="A27" s="4" t="n">
        <v>8582</v>
      </c>
      <c r="B27" s="4" t="n">
        <v>57</v>
      </c>
      <c r="C27" s="27" t="s">
        <v>250</v>
      </c>
      <c r="D27" s="52" t="n">
        <v>59</v>
      </c>
      <c r="E27" s="32" t="n">
        <v>230323757</v>
      </c>
      <c r="F27" s="8" t="s">
        <v>251</v>
      </c>
      <c r="G27" s="22" t="s">
        <v>252</v>
      </c>
      <c r="H27" s="22" t="s">
        <v>129</v>
      </c>
      <c r="I27" s="33" t="n">
        <v>2005</v>
      </c>
      <c r="J27" s="32" t="n">
        <v>85</v>
      </c>
      <c r="K27" s="32" t="n">
        <v>96</v>
      </c>
      <c r="L27" s="34" t="n">
        <f aca="false">(K27*70)/100</f>
        <v>67.2</v>
      </c>
      <c r="M27" s="34" t="n">
        <f aca="false">ROUNDUP(L27,0)</f>
        <v>68</v>
      </c>
      <c r="N27" s="32" t="n">
        <v>29</v>
      </c>
      <c r="O27" s="34" t="n">
        <f aca="false">N27+L27</f>
        <v>96.2</v>
      </c>
      <c r="P27" s="34" t="n">
        <f aca="false">N27+M27</f>
        <v>97</v>
      </c>
      <c r="Q27" s="32" t="n">
        <v>82</v>
      </c>
      <c r="R27" s="32" t="n">
        <v>90</v>
      </c>
      <c r="S27" s="34" t="n">
        <f aca="false">(R27*70)/100</f>
        <v>63</v>
      </c>
      <c r="T27" s="34" t="n">
        <f aca="false">ROUNDUP(S27,0)</f>
        <v>63</v>
      </c>
      <c r="U27" s="32" t="n">
        <v>30</v>
      </c>
      <c r="V27" s="34" t="n">
        <f aca="false">U27+S27</f>
        <v>93</v>
      </c>
      <c r="W27" s="34" t="n">
        <f aca="false">U27+T27</f>
        <v>93</v>
      </c>
      <c r="X27" s="32" t="n">
        <v>77</v>
      </c>
      <c r="Y27" s="34" t="n">
        <f aca="false">(X27*70)/100</f>
        <v>53.9</v>
      </c>
      <c r="Z27" s="34" t="n">
        <f aca="false">ROUNDUP(Y27,0)</f>
        <v>54</v>
      </c>
      <c r="AA27" s="32" t="n">
        <v>26</v>
      </c>
      <c r="AB27" s="34" t="n">
        <f aca="false">AA27+Y27</f>
        <v>79.9</v>
      </c>
      <c r="AC27" s="34" t="n">
        <f aca="false">AA27+Z27</f>
        <v>80</v>
      </c>
      <c r="AD27" s="32" t="n">
        <f aca="false">X27+R27+Q27+K27+J27</f>
        <v>430</v>
      </c>
      <c r="AE27" s="16" t="n">
        <f aca="false">AD27/5</f>
        <v>86</v>
      </c>
      <c r="AF27" s="16" t="n">
        <v>82</v>
      </c>
      <c r="AG27" s="16" t="n">
        <v>86</v>
      </c>
      <c r="AH27" s="16" t="n">
        <v>92</v>
      </c>
      <c r="AI27" s="16" t="n">
        <v>98</v>
      </c>
      <c r="AJ27" s="16" t="n">
        <f aca="false">(AI27*70)/100</f>
        <v>68.6</v>
      </c>
      <c r="AK27" s="35" t="n">
        <f aca="false">ROUNDUP(AJ27,0)</f>
        <v>69</v>
      </c>
      <c r="AL27" s="16" t="n">
        <v>27</v>
      </c>
      <c r="AM27" s="16" t="n">
        <f aca="false">AL27+AJ27</f>
        <v>95.6</v>
      </c>
      <c r="AN27" s="16" t="n">
        <f aca="false">AL27+AK27</f>
        <v>96</v>
      </c>
      <c r="AO27" s="16" t="n">
        <v>85</v>
      </c>
      <c r="AP27" s="36" t="n">
        <f aca="false">(AO27*70)/100</f>
        <v>59.5</v>
      </c>
      <c r="AQ27" s="37" t="n">
        <f aca="false">ROUNDUP(AP27,0)</f>
        <v>60</v>
      </c>
      <c r="AR27" s="16" t="n">
        <v>28</v>
      </c>
      <c r="AS27" s="16" t="n">
        <f aca="false">AR27+AP27</f>
        <v>87.5</v>
      </c>
      <c r="AT27" s="16" t="n">
        <f aca="false">AR27+AQ27</f>
        <v>88</v>
      </c>
      <c r="AU27" s="16" t="n">
        <f aca="false">AO27+AF27+AI27+AH27+AG27</f>
        <v>443</v>
      </c>
      <c r="AV27" s="16" t="n">
        <f aca="false">(AO27+AF27+AI27+AH27+AG27)/5</f>
        <v>88.6</v>
      </c>
      <c r="AW27" s="36" t="n">
        <f aca="false">(AO27+AF27+AI27+AH27+AG27+X27+R27+Q27+K27+J27)</f>
        <v>873</v>
      </c>
      <c r="AX27" s="16" t="n">
        <f aca="false">AW27/10</f>
        <v>87.3</v>
      </c>
      <c r="AY27" s="16" t="n">
        <f aca="false">AS27+AF27+AM27+AH27+AG27+AB27+V27+Q27+O27+J27</f>
        <v>879.2</v>
      </c>
      <c r="AZ27" s="16" t="n">
        <f aca="false">AT27+AF27+AN27+AH27+AG27+AC27+W27+Q27+P27+J27</f>
        <v>881</v>
      </c>
      <c r="BA27" s="16" t="n">
        <f aca="false">AY27/10</f>
        <v>87.92</v>
      </c>
      <c r="BB27" s="16" t="n">
        <f aca="false">AZ27/10</f>
        <v>88.1</v>
      </c>
      <c r="BC27" s="16" t="n">
        <v>2391</v>
      </c>
      <c r="BD27" s="16" t="n">
        <f aca="false">RANK(AX27,$AX$2:$AX$881,0)</f>
        <v>46</v>
      </c>
      <c r="BE27" s="38" t="n">
        <f aca="false">((BC27*100)/2400)*0.4+(AX27*0.6)</f>
        <v>92.23</v>
      </c>
      <c r="BF27" s="16" t="n">
        <f aca="false">RANK(BE27,$BE$2:$BE$881,0)</f>
        <v>37</v>
      </c>
      <c r="BG27" s="39" t="n">
        <f aca="false">RANK(BB27,$BB$2:$BB$881,0)</f>
        <v>39</v>
      </c>
      <c r="BH27" s="39" t="n">
        <f aca="false">RANK(BC27,$BC$2:$BC$881,0)</f>
        <v>37</v>
      </c>
      <c r="BI27" s="22" t="s">
        <v>130</v>
      </c>
      <c r="BJ27" s="22" t="s">
        <v>129</v>
      </c>
      <c r="BK27" s="40" t="s">
        <v>131</v>
      </c>
      <c r="BL27" s="41" t="n">
        <v>27</v>
      </c>
      <c r="BM27" s="41" t="n">
        <v>63</v>
      </c>
      <c r="BN27" s="41" t="n">
        <v>90</v>
      </c>
      <c r="BO27" s="42" t="n">
        <v>28</v>
      </c>
      <c r="BP27" s="43" t="n">
        <v>64</v>
      </c>
      <c r="BQ27" s="44" t="n">
        <v>92</v>
      </c>
      <c r="BR27" s="42" t="n">
        <v>30</v>
      </c>
      <c r="BS27" s="45" t="n">
        <v>65</v>
      </c>
      <c r="BT27" s="45" t="n">
        <v>95</v>
      </c>
      <c r="BU27" s="46" t="n">
        <v>100</v>
      </c>
      <c r="BV27" s="47" t="n">
        <v>98</v>
      </c>
      <c r="BW27" s="42" t="n">
        <v>99</v>
      </c>
      <c r="BX27" s="48" t="n">
        <v>98</v>
      </c>
      <c r="BY27" s="32" t="n">
        <v>27</v>
      </c>
      <c r="BZ27" s="32" t="n">
        <v>63</v>
      </c>
      <c r="CA27" s="32" t="n">
        <v>90</v>
      </c>
      <c r="CB27" s="32" t="n">
        <v>27</v>
      </c>
      <c r="CC27" s="32" t="n">
        <v>50</v>
      </c>
      <c r="CD27" s="32" t="n">
        <v>77</v>
      </c>
      <c r="CE27" s="32" t="n">
        <v>29</v>
      </c>
      <c r="CF27" s="32" t="n">
        <v>62</v>
      </c>
      <c r="CG27" s="32" t="n">
        <v>91</v>
      </c>
      <c r="CH27" s="32" t="n">
        <v>99</v>
      </c>
      <c r="CI27" s="32" t="n">
        <v>100</v>
      </c>
      <c r="CJ27" s="49" t="n">
        <v>30</v>
      </c>
      <c r="CK27" s="49" t="n">
        <v>59</v>
      </c>
      <c r="CL27" s="49" t="n">
        <v>89</v>
      </c>
      <c r="CM27" s="49" t="n">
        <v>30</v>
      </c>
      <c r="CN27" s="49" t="n">
        <v>58</v>
      </c>
      <c r="CO27" s="49" t="n">
        <v>88</v>
      </c>
      <c r="CP27" s="25" t="n">
        <f aca="false">BX27+BW27+BV27+BU27+BT27+BQ27+BN27</f>
        <v>672</v>
      </c>
      <c r="CQ27" s="25" t="n">
        <f aca="false">CO27+CL27+CI27+CH27+CG27+CD27+CA27</f>
        <v>634</v>
      </c>
      <c r="CR27" s="26" t="n">
        <f aca="false">CP27/7</f>
        <v>96</v>
      </c>
      <c r="CS27" s="26" t="n">
        <f aca="false">CQ27/7</f>
        <v>90.5714285714286</v>
      </c>
      <c r="CT27" s="24" t="n">
        <f aca="false">RANK(CR27,$CR$2:$CR$881,0)</f>
        <v>4</v>
      </c>
      <c r="CU27" s="25" t="n">
        <f aca="false">RANK(CS27,$CS$2:$CS$881,0)</f>
        <v>17</v>
      </c>
      <c r="CV27" s="26" t="n">
        <f aca="false">(CS27+CR27)/2</f>
        <v>93.2857142857143</v>
      </c>
      <c r="CW27" s="25" t="n">
        <f aca="false">RANK(CV27,$CV$2:$CV$881,0)</f>
        <v>6</v>
      </c>
      <c r="CX27" s="50" t="n">
        <f aca="false">(CV27+BB27)/2</f>
        <v>90.6928571428571</v>
      </c>
      <c r="CY27" s="50" t="n">
        <v>18</v>
      </c>
      <c r="CZ27" s="27" t="s">
        <v>132</v>
      </c>
      <c r="DA27" s="27" t="s">
        <v>162</v>
      </c>
      <c r="DB27" s="27" t="s">
        <v>162</v>
      </c>
      <c r="DC27" s="27" t="s">
        <v>134</v>
      </c>
      <c r="DD27" s="27" t="s">
        <v>182</v>
      </c>
      <c r="DE27" s="27" t="s">
        <v>141</v>
      </c>
      <c r="DF27" s="27" t="s">
        <v>170</v>
      </c>
      <c r="DG27" s="27" t="s">
        <v>134</v>
      </c>
      <c r="DH27" s="27" t="s">
        <v>137</v>
      </c>
      <c r="DI27" s="27" t="s">
        <v>161</v>
      </c>
      <c r="DJ27" s="27" t="s">
        <v>178</v>
      </c>
      <c r="DK27" s="27" t="s">
        <v>134</v>
      </c>
      <c r="DL27" s="27" t="s">
        <v>160</v>
      </c>
      <c r="DM27" s="27" t="s">
        <v>203</v>
      </c>
      <c r="DN27" s="27" t="s">
        <v>153</v>
      </c>
      <c r="DO27" s="27" t="s">
        <v>134</v>
      </c>
      <c r="DP27" s="27" t="s">
        <v>164</v>
      </c>
      <c r="DQ27" s="27" t="s">
        <v>220</v>
      </c>
      <c r="DR27" s="27" t="s">
        <v>169</v>
      </c>
      <c r="DS27" s="27" t="s">
        <v>134</v>
      </c>
      <c r="DT27" s="27" t="s">
        <v>146</v>
      </c>
      <c r="DU27" s="27" t="s">
        <v>136</v>
      </c>
      <c r="DV27" s="27" t="s">
        <v>151</v>
      </c>
      <c r="DW27" s="27" t="s">
        <v>182</v>
      </c>
      <c r="DX27" s="27" t="s">
        <v>141</v>
      </c>
      <c r="DY27" s="27" t="s">
        <v>170</v>
      </c>
      <c r="DZ27" s="27" t="n">
        <f aca="false">DY27+DV27+DR27+DN27+DJ27+DF27+DB27</f>
        <v>624</v>
      </c>
      <c r="EA27" s="28" t="n">
        <f aca="false">DZ27/7</f>
        <v>89.1428571428571</v>
      </c>
      <c r="EB27" s="27" t="n">
        <f aca="false">RANK(EA27,$EA$2:$EA$881,0)</f>
        <v>77</v>
      </c>
      <c r="EC27" s="29" t="n">
        <f aca="false">DZ27+CQ27+CP27+AZ27</f>
        <v>2811</v>
      </c>
      <c r="ED27" s="30" t="n">
        <f aca="false">(EA27+CV27+BB27)/3</f>
        <v>90.1761904761905</v>
      </c>
      <c r="EE27" s="51" t="n">
        <f aca="false">ROUND(BE27,3)</f>
        <v>92.23</v>
      </c>
      <c r="EF27" s="51" t="n">
        <f aca="false">ROUND(CR27,3)</f>
        <v>96</v>
      </c>
      <c r="EG27" s="51" t="n">
        <f aca="false">ROUND(CS27,3)</f>
        <v>90.571</v>
      </c>
      <c r="EH27" s="51" t="n">
        <f aca="false">ROUND(EA27,3)</f>
        <v>89.143</v>
      </c>
      <c r="EI27" s="51" t="n">
        <f aca="false">ROUND(ED27,3)</f>
        <v>90.176</v>
      </c>
      <c r="EJ27" s="51" t="n">
        <f aca="false">ROUND(CV27,3)</f>
        <v>93.286</v>
      </c>
      <c r="EK27" s="0" t="n">
        <f aca="false">RANK(EI27,$EI$2:$EI$881,0)</f>
        <v>26</v>
      </c>
    </row>
    <row r="28" customFormat="false" ht="15" hidden="false" customHeight="false" outlineLevel="0" collapsed="false">
      <c r="A28" s="4" t="n">
        <v>9028</v>
      </c>
      <c r="B28" s="4" t="n">
        <v>93</v>
      </c>
      <c r="C28" s="27" t="s">
        <v>253</v>
      </c>
      <c r="D28" s="52" t="n">
        <v>94</v>
      </c>
      <c r="E28" s="32" t="n">
        <v>230311436</v>
      </c>
      <c r="F28" s="8" t="s">
        <v>254</v>
      </c>
      <c r="G28" s="22" t="s">
        <v>255</v>
      </c>
      <c r="H28" s="22" t="s">
        <v>129</v>
      </c>
      <c r="I28" s="33" t="n">
        <v>2005</v>
      </c>
      <c r="J28" s="32" t="n">
        <v>94</v>
      </c>
      <c r="K28" s="32" t="n">
        <v>97</v>
      </c>
      <c r="L28" s="34" t="n">
        <f aca="false">(K28*70)/100</f>
        <v>67.9</v>
      </c>
      <c r="M28" s="34" t="n">
        <f aca="false">ROUNDUP(L28,0)</f>
        <v>68</v>
      </c>
      <c r="N28" s="32" t="n">
        <v>27</v>
      </c>
      <c r="O28" s="34" t="n">
        <f aca="false">N28+L28</f>
        <v>94.9</v>
      </c>
      <c r="P28" s="34" t="n">
        <f aca="false">N28+M28</f>
        <v>95</v>
      </c>
      <c r="Q28" s="32" t="n">
        <v>93</v>
      </c>
      <c r="R28" s="32" t="n">
        <v>85</v>
      </c>
      <c r="S28" s="34" t="n">
        <f aca="false">(R28*70)/100</f>
        <v>59.5</v>
      </c>
      <c r="T28" s="34" t="n">
        <f aca="false">ROUNDUP(S28,0)</f>
        <v>60</v>
      </c>
      <c r="U28" s="32" t="n">
        <v>27</v>
      </c>
      <c r="V28" s="34" t="n">
        <f aca="false">U28+S28</f>
        <v>86.5</v>
      </c>
      <c r="W28" s="34" t="n">
        <f aca="false">U28+T28</f>
        <v>87</v>
      </c>
      <c r="X28" s="32" t="n">
        <v>84</v>
      </c>
      <c r="Y28" s="34" t="n">
        <f aca="false">(X28*70)/100</f>
        <v>58.8</v>
      </c>
      <c r="Z28" s="34" t="n">
        <f aca="false">ROUNDUP(Y28,0)</f>
        <v>59</v>
      </c>
      <c r="AA28" s="32" t="n">
        <v>25</v>
      </c>
      <c r="AB28" s="34" t="n">
        <f aca="false">AA28+Y28</f>
        <v>83.8</v>
      </c>
      <c r="AC28" s="34" t="n">
        <f aca="false">AA28+Z28</f>
        <v>84</v>
      </c>
      <c r="AD28" s="32" t="n">
        <f aca="false">X28+R28+Q28+K28+J28</f>
        <v>453</v>
      </c>
      <c r="AE28" s="16" t="n">
        <f aca="false">AD28/5</f>
        <v>90.6</v>
      </c>
      <c r="AF28" s="16" t="n">
        <v>90</v>
      </c>
      <c r="AG28" s="16" t="n">
        <v>94</v>
      </c>
      <c r="AH28" s="16" t="n">
        <v>99</v>
      </c>
      <c r="AI28" s="16" t="n">
        <v>96</v>
      </c>
      <c r="AJ28" s="16" t="n">
        <f aca="false">(AI28*70)/100</f>
        <v>67.2</v>
      </c>
      <c r="AK28" s="35" t="n">
        <f aca="false">ROUNDUP(AJ28,0)</f>
        <v>68</v>
      </c>
      <c r="AL28" s="16" t="n">
        <v>26</v>
      </c>
      <c r="AM28" s="16" t="n">
        <f aca="false">AL28+AJ28</f>
        <v>93.2</v>
      </c>
      <c r="AN28" s="16" t="n">
        <f aca="false">AL28+AK28</f>
        <v>94</v>
      </c>
      <c r="AO28" s="16" t="n">
        <v>93</v>
      </c>
      <c r="AP28" s="36" t="n">
        <f aca="false">(AO28*70)/100</f>
        <v>65.1</v>
      </c>
      <c r="AQ28" s="37" t="n">
        <f aca="false">ROUNDUP(AP28,0)</f>
        <v>66</v>
      </c>
      <c r="AR28" s="16" t="n">
        <v>28</v>
      </c>
      <c r="AS28" s="16" t="n">
        <f aca="false">AR28+AP28</f>
        <v>93.1</v>
      </c>
      <c r="AT28" s="16" t="n">
        <f aca="false">AR28+AQ28</f>
        <v>94</v>
      </c>
      <c r="AU28" s="16" t="n">
        <f aca="false">AO28+AF28+AI28+AH28+AG28</f>
        <v>472</v>
      </c>
      <c r="AV28" s="16" t="n">
        <f aca="false">(AO28+AF28+AI28+AH28+AG28)/5</f>
        <v>94.4</v>
      </c>
      <c r="AW28" s="36" t="n">
        <f aca="false">(AO28+AF28+AI28+AH28+AG28+X28+R28+Q28+K28+J28)</f>
        <v>925</v>
      </c>
      <c r="AX28" s="16" t="n">
        <f aca="false">AW28/10</f>
        <v>92.5</v>
      </c>
      <c r="AY28" s="16" t="n">
        <f aca="false">AS28+AF28+AM28+AH28+AG28+AB28+V28+Q28+O28+J28</f>
        <v>921.5</v>
      </c>
      <c r="AZ28" s="16" t="n">
        <f aca="false">AT28+AF28+AN28+AH28+AG28+AC28+W28+Q28+P28+J28</f>
        <v>924</v>
      </c>
      <c r="BA28" s="16" t="n">
        <f aca="false">AY28/10</f>
        <v>92.15</v>
      </c>
      <c r="BB28" s="16" t="n">
        <f aca="false">AZ28/10</f>
        <v>92.4</v>
      </c>
      <c r="BC28" s="16" t="n">
        <v>2354</v>
      </c>
      <c r="BD28" s="16" t="n">
        <f aca="false">RANK(AX28,$AX$2:$AX$881,0)</f>
        <v>5</v>
      </c>
      <c r="BE28" s="38" t="n">
        <f aca="false">((BC28*100)/2400)*0.4+(AX28*0.6)</f>
        <v>94.7333333333333</v>
      </c>
      <c r="BF28" s="16" t="n">
        <f aca="false">RANK(BE28,$BE$2:$BE$881,0)</f>
        <v>9</v>
      </c>
      <c r="BG28" s="39" t="n">
        <f aca="false">RANK(BB28,$BB$2:$BB$881,0)</f>
        <v>7</v>
      </c>
      <c r="BH28" s="39" t="n">
        <f aca="false">RANK(BC28,$BC$2:$BC$881,0)</f>
        <v>490</v>
      </c>
      <c r="BI28" s="22" t="s">
        <v>130</v>
      </c>
      <c r="BJ28" s="22" t="s">
        <v>129</v>
      </c>
      <c r="BK28" s="40" t="s">
        <v>131</v>
      </c>
      <c r="BL28" s="41" t="n">
        <v>22</v>
      </c>
      <c r="BM28" s="41" t="n">
        <v>60</v>
      </c>
      <c r="BN28" s="41" t="n">
        <v>82</v>
      </c>
      <c r="BO28" s="42" t="n">
        <v>26</v>
      </c>
      <c r="BP28" s="43" t="n">
        <v>65</v>
      </c>
      <c r="BQ28" s="44" t="n">
        <v>91</v>
      </c>
      <c r="BR28" s="42" t="n">
        <v>25</v>
      </c>
      <c r="BS28" s="45" t="n">
        <v>61</v>
      </c>
      <c r="BT28" s="45" t="n">
        <v>86</v>
      </c>
      <c r="BU28" s="46" t="n">
        <v>100</v>
      </c>
      <c r="BV28" s="47" t="n">
        <v>88</v>
      </c>
      <c r="BW28" s="42" t="n">
        <v>98</v>
      </c>
      <c r="BX28" s="48" t="n">
        <v>90</v>
      </c>
      <c r="BY28" s="32" t="n">
        <v>25</v>
      </c>
      <c r="BZ28" s="32" t="n">
        <v>60</v>
      </c>
      <c r="CA28" s="32" t="n">
        <v>85</v>
      </c>
      <c r="CB28" s="32" t="n">
        <v>26</v>
      </c>
      <c r="CC28" s="32" t="n">
        <v>46</v>
      </c>
      <c r="CD28" s="32" t="n">
        <v>72</v>
      </c>
      <c r="CE28" s="32" t="n">
        <v>26</v>
      </c>
      <c r="CF28" s="32" t="n">
        <v>66</v>
      </c>
      <c r="CG28" s="32" t="n">
        <v>92</v>
      </c>
      <c r="CH28" s="32" t="n">
        <v>99</v>
      </c>
      <c r="CI28" s="32" t="n">
        <v>99</v>
      </c>
      <c r="CJ28" s="49" t="n">
        <v>27</v>
      </c>
      <c r="CK28" s="49" t="n">
        <v>59</v>
      </c>
      <c r="CL28" s="49" t="n">
        <v>86</v>
      </c>
      <c r="CM28" s="49" t="n">
        <v>20</v>
      </c>
      <c r="CN28" s="49" t="n">
        <v>57</v>
      </c>
      <c r="CO28" s="49" t="n">
        <v>77</v>
      </c>
      <c r="CP28" s="25" t="n">
        <f aca="false">BX28+BW28+BV28+BU28+BT28+BQ28+BN28</f>
        <v>635</v>
      </c>
      <c r="CQ28" s="25" t="n">
        <f aca="false">CO28+CL28+CI28+CH28+CG28+CD28+CA28</f>
        <v>610</v>
      </c>
      <c r="CR28" s="26" t="n">
        <f aca="false">CP28/7</f>
        <v>90.7142857142857</v>
      </c>
      <c r="CS28" s="26" t="n">
        <f aca="false">CQ28/7</f>
        <v>87.1428571428571</v>
      </c>
      <c r="CT28" s="24" t="n">
        <f aca="false">RANK(CR28,$CR$2:$CR$881,0)</f>
        <v>140</v>
      </c>
      <c r="CU28" s="25" t="n">
        <f aca="false">RANK(CS28,$CS$2:$CS$881,0)</f>
        <v>55</v>
      </c>
      <c r="CV28" s="26" t="n">
        <f aca="false">(CS28+CR28)/2</f>
        <v>88.9285714285714</v>
      </c>
      <c r="CW28" s="25" t="n">
        <f aca="false">RANK(CV28,$CV$2:$CV$881,0)</f>
        <v>71</v>
      </c>
      <c r="CX28" s="50" t="n">
        <f aca="false">(CV28+BB28)/2</f>
        <v>90.6642857142857</v>
      </c>
      <c r="CY28" s="50" t="n">
        <v>20</v>
      </c>
      <c r="CZ28" s="27" t="s">
        <v>132</v>
      </c>
      <c r="DA28" s="27" t="s">
        <v>219</v>
      </c>
      <c r="DB28" s="27" t="s">
        <v>219</v>
      </c>
      <c r="DC28" s="27" t="s">
        <v>134</v>
      </c>
      <c r="DD28" s="27" t="s">
        <v>135</v>
      </c>
      <c r="DE28" s="27" t="s">
        <v>163</v>
      </c>
      <c r="DF28" s="27" t="s">
        <v>153</v>
      </c>
      <c r="DG28" s="27" t="s">
        <v>134</v>
      </c>
      <c r="DH28" s="27" t="s">
        <v>137</v>
      </c>
      <c r="DI28" s="27" t="s">
        <v>203</v>
      </c>
      <c r="DJ28" s="27" t="s">
        <v>133</v>
      </c>
      <c r="DK28" s="27" t="s">
        <v>134</v>
      </c>
      <c r="DL28" s="27" t="s">
        <v>154</v>
      </c>
      <c r="DM28" s="27" t="s">
        <v>203</v>
      </c>
      <c r="DN28" s="27" t="s">
        <v>175</v>
      </c>
      <c r="DO28" s="27" t="s">
        <v>134</v>
      </c>
      <c r="DP28" s="27" t="s">
        <v>154</v>
      </c>
      <c r="DQ28" s="27" t="s">
        <v>136</v>
      </c>
      <c r="DR28" s="27" t="s">
        <v>202</v>
      </c>
      <c r="DS28" s="27" t="s">
        <v>134</v>
      </c>
      <c r="DT28" s="27" t="s">
        <v>160</v>
      </c>
      <c r="DU28" s="27" t="s">
        <v>163</v>
      </c>
      <c r="DV28" s="27" t="s">
        <v>151</v>
      </c>
      <c r="DW28" s="27" t="s">
        <v>140</v>
      </c>
      <c r="DX28" s="27" t="s">
        <v>155</v>
      </c>
      <c r="DY28" s="27" t="s">
        <v>147</v>
      </c>
      <c r="DZ28" s="27" t="n">
        <f aca="false">DY28+DV28+DR28+DN28+DJ28+DF28+DB28</f>
        <v>621</v>
      </c>
      <c r="EA28" s="28" t="n">
        <f aca="false">DZ28/7</f>
        <v>88.7142857142857</v>
      </c>
      <c r="EB28" s="27" t="n">
        <f aca="false">RANK(EA28,$EA$2:$EA$881,0)</f>
        <v>89</v>
      </c>
      <c r="EC28" s="29" t="n">
        <f aca="false">DZ28+CQ28+CP28+AZ28</f>
        <v>2790</v>
      </c>
      <c r="ED28" s="30" t="n">
        <f aca="false">(EA28+CV28+BB28)/3</f>
        <v>90.0142857142857</v>
      </c>
      <c r="EE28" s="51" t="n">
        <f aca="false">ROUND(BE28,3)</f>
        <v>94.733</v>
      </c>
      <c r="EF28" s="51" t="n">
        <f aca="false">ROUND(CR28,3)</f>
        <v>90.714</v>
      </c>
      <c r="EG28" s="51" t="n">
        <f aca="false">ROUND(CS28,3)</f>
        <v>87.143</v>
      </c>
      <c r="EH28" s="51" t="n">
        <f aca="false">ROUND(EA28,3)</f>
        <v>88.714</v>
      </c>
      <c r="EI28" s="51" t="n">
        <f aca="false">ROUND(ED28,3)</f>
        <v>90.014</v>
      </c>
      <c r="EJ28" s="51" t="n">
        <f aca="false">ROUND(CV28,3)</f>
        <v>88.929</v>
      </c>
      <c r="EK28" s="0" t="n">
        <f aca="false">RANK(EI28,$EI$2:$EI$881,0)</f>
        <v>27</v>
      </c>
    </row>
    <row r="29" customFormat="false" ht="15" hidden="false" customHeight="false" outlineLevel="0" collapsed="false">
      <c r="A29" s="4" t="n">
        <v>8657</v>
      </c>
      <c r="B29" s="4" t="n">
        <v>380</v>
      </c>
      <c r="C29" s="27" t="s">
        <v>256</v>
      </c>
      <c r="D29" s="31" t="n">
        <v>384</v>
      </c>
      <c r="E29" s="32" t="n">
        <v>230312642</v>
      </c>
      <c r="F29" s="8" t="s">
        <v>257</v>
      </c>
      <c r="G29" s="22" t="s">
        <v>246</v>
      </c>
      <c r="H29" s="22" t="s">
        <v>129</v>
      </c>
      <c r="I29" s="33" t="n">
        <v>2004</v>
      </c>
      <c r="J29" s="32" t="n">
        <v>76</v>
      </c>
      <c r="K29" s="32" t="n">
        <v>92</v>
      </c>
      <c r="L29" s="34" t="n">
        <f aca="false">(K29*70)/100</f>
        <v>64.4</v>
      </c>
      <c r="M29" s="34" t="n">
        <f aca="false">ROUNDUP(L29,0)</f>
        <v>65</v>
      </c>
      <c r="N29" s="32" t="n">
        <v>29</v>
      </c>
      <c r="O29" s="34" t="n">
        <f aca="false">N29+L29</f>
        <v>93.4</v>
      </c>
      <c r="P29" s="34" t="n">
        <f aca="false">N29+M29</f>
        <v>94</v>
      </c>
      <c r="Q29" s="32" t="n">
        <v>96</v>
      </c>
      <c r="R29" s="32" t="n">
        <v>87</v>
      </c>
      <c r="S29" s="34" t="n">
        <f aca="false">(R29*70)/100</f>
        <v>60.9</v>
      </c>
      <c r="T29" s="34" t="n">
        <f aca="false">ROUNDUP(S29,0)</f>
        <v>61</v>
      </c>
      <c r="U29" s="32" t="n">
        <v>24</v>
      </c>
      <c r="V29" s="34" t="n">
        <f aca="false">U29+S29</f>
        <v>84.9</v>
      </c>
      <c r="W29" s="34" t="n">
        <f aca="false">U29+T29</f>
        <v>85</v>
      </c>
      <c r="X29" s="32" t="n">
        <v>87</v>
      </c>
      <c r="Y29" s="34" t="n">
        <f aca="false">(X29*70)/100</f>
        <v>60.9</v>
      </c>
      <c r="Z29" s="34" t="n">
        <f aca="false">ROUNDUP(Y29,0)</f>
        <v>61</v>
      </c>
      <c r="AA29" s="32" t="n">
        <v>25</v>
      </c>
      <c r="AB29" s="34" t="n">
        <f aca="false">AA29+Y29</f>
        <v>85.9</v>
      </c>
      <c r="AC29" s="34" t="n">
        <f aca="false">AA29+Z29</f>
        <v>86</v>
      </c>
      <c r="AD29" s="32" t="n">
        <f aca="false">X29+R29+Q29+K29+J29</f>
        <v>438</v>
      </c>
      <c r="AE29" s="16" t="n">
        <f aca="false">AD29/5</f>
        <v>87.6</v>
      </c>
      <c r="AF29" s="16" t="n">
        <v>84</v>
      </c>
      <c r="AG29" s="16" t="n">
        <v>84</v>
      </c>
      <c r="AH29" s="16" t="n">
        <v>97</v>
      </c>
      <c r="AI29" s="16" t="n">
        <v>95</v>
      </c>
      <c r="AJ29" s="16" t="n">
        <f aca="false">(AI29*70)/100</f>
        <v>66.5</v>
      </c>
      <c r="AK29" s="35" t="n">
        <f aca="false">ROUNDUP(AJ29,0)</f>
        <v>67</v>
      </c>
      <c r="AL29" s="16" t="n">
        <v>27</v>
      </c>
      <c r="AM29" s="16" t="n">
        <f aca="false">AL29+AJ29</f>
        <v>93.5</v>
      </c>
      <c r="AN29" s="16" t="n">
        <f aca="false">AL29+AK29</f>
        <v>94</v>
      </c>
      <c r="AO29" s="16" t="n">
        <v>88</v>
      </c>
      <c r="AP29" s="36" t="n">
        <f aca="false">(AO29*70)/100</f>
        <v>61.6</v>
      </c>
      <c r="AQ29" s="37" t="n">
        <f aca="false">ROUNDUP(AP29,0)</f>
        <v>62</v>
      </c>
      <c r="AR29" s="16" t="n">
        <v>29</v>
      </c>
      <c r="AS29" s="16" t="n">
        <f aca="false">AR29+AP29</f>
        <v>90.6</v>
      </c>
      <c r="AT29" s="16" t="n">
        <f aca="false">AR29+AQ29</f>
        <v>91</v>
      </c>
      <c r="AU29" s="16" t="n">
        <f aca="false">AO29+AF29+AI29+AH29+AG29</f>
        <v>448</v>
      </c>
      <c r="AV29" s="16" t="n">
        <f aca="false">(AO29+AF29+AI29+AH29+AG29)/5</f>
        <v>89.6</v>
      </c>
      <c r="AW29" s="36" t="n">
        <f aca="false">(AO29+AF29+AI29+AH29+AG29+X29+R29+Q29+K29+J29)</f>
        <v>886</v>
      </c>
      <c r="AX29" s="16" t="n">
        <f aca="false">AW29/10</f>
        <v>88.6</v>
      </c>
      <c r="AY29" s="16" t="n">
        <f aca="false">AS29+AF29+AM29+AH29+AG29+AB29+V29+Q29+O29+J29</f>
        <v>885.3</v>
      </c>
      <c r="AZ29" s="16" t="n">
        <f aca="false">AT29+AF29+AN29+AH29+AG29+AC29+W29+Q29+P29+J29</f>
        <v>887</v>
      </c>
      <c r="BA29" s="16" t="n">
        <f aca="false">AY29/10</f>
        <v>88.53</v>
      </c>
      <c r="BB29" s="16" t="n">
        <f aca="false">AZ29/10</f>
        <v>88.7</v>
      </c>
      <c r="BC29" s="16" t="n">
        <v>2363</v>
      </c>
      <c r="BD29" s="16" t="n">
        <f aca="false">RANK(AX29,$AX$2:$AX$881,0)</f>
        <v>28</v>
      </c>
      <c r="BE29" s="38" t="n">
        <f aca="false">((BC29*100)/2400)*0.4+(AX29*0.6)</f>
        <v>92.5433333333333</v>
      </c>
      <c r="BF29" s="16" t="n">
        <f aca="false">RANK(BE29,$BE$2:$BE$881,0)</f>
        <v>32</v>
      </c>
      <c r="BG29" s="39" t="n">
        <f aca="false">RANK(BB29,$BB$2:$BB$881,0)</f>
        <v>31</v>
      </c>
      <c r="BH29" s="39" t="n">
        <f aca="false">RANK(BC29,$BC$2:$BC$881,0)</f>
        <v>356</v>
      </c>
      <c r="BI29" s="22" t="s">
        <v>130</v>
      </c>
      <c r="BJ29" s="22" t="s">
        <v>129</v>
      </c>
      <c r="BK29" s="40" t="s">
        <v>131</v>
      </c>
      <c r="BL29" s="41" t="n">
        <v>22</v>
      </c>
      <c r="BM29" s="41" t="n">
        <v>57</v>
      </c>
      <c r="BN29" s="41" t="n">
        <v>79</v>
      </c>
      <c r="BO29" s="42" t="n">
        <v>19</v>
      </c>
      <c r="BP29" s="43" t="n">
        <v>61</v>
      </c>
      <c r="BQ29" s="44" t="n">
        <v>80</v>
      </c>
      <c r="BR29" s="42" t="n">
        <v>24</v>
      </c>
      <c r="BS29" s="45" t="n">
        <v>61</v>
      </c>
      <c r="BT29" s="45" t="n">
        <v>85</v>
      </c>
      <c r="BU29" s="46" t="n">
        <v>100</v>
      </c>
      <c r="BV29" s="47" t="n">
        <v>94</v>
      </c>
      <c r="BW29" s="42" t="n">
        <v>98</v>
      </c>
      <c r="BX29" s="48" t="n">
        <v>92</v>
      </c>
      <c r="BY29" s="32" t="n">
        <v>24</v>
      </c>
      <c r="BZ29" s="32" t="n">
        <v>55</v>
      </c>
      <c r="CA29" s="32" t="n">
        <v>79</v>
      </c>
      <c r="CB29" s="32" t="n">
        <v>20</v>
      </c>
      <c r="CC29" s="32" t="n">
        <v>64</v>
      </c>
      <c r="CD29" s="32" t="n">
        <v>84</v>
      </c>
      <c r="CE29" s="32" t="n">
        <v>26</v>
      </c>
      <c r="CF29" s="32" t="n">
        <v>68</v>
      </c>
      <c r="CG29" s="32" t="n">
        <v>94</v>
      </c>
      <c r="CH29" s="32" t="n">
        <v>95</v>
      </c>
      <c r="CI29" s="32" t="n">
        <v>100</v>
      </c>
      <c r="CJ29" s="49" t="n">
        <v>24</v>
      </c>
      <c r="CK29" s="49" t="n">
        <v>61</v>
      </c>
      <c r="CL29" s="49" t="n">
        <v>85</v>
      </c>
      <c r="CM29" s="49" t="n">
        <v>23</v>
      </c>
      <c r="CN29" s="49" t="n">
        <v>63</v>
      </c>
      <c r="CO29" s="49" t="n">
        <v>86</v>
      </c>
      <c r="CP29" s="25" t="n">
        <f aca="false">BX29+BW29+BV29+BU29+BT29+BQ29+BN29</f>
        <v>628</v>
      </c>
      <c r="CQ29" s="25" t="n">
        <f aca="false">CO29+CL29+CI29+CH29+CG29+CD29+CA29</f>
        <v>623</v>
      </c>
      <c r="CR29" s="26" t="n">
        <f aca="false">CP29/7</f>
        <v>89.7142857142857</v>
      </c>
      <c r="CS29" s="26" t="n">
        <f aca="false">CQ29/7</f>
        <v>89</v>
      </c>
      <c r="CT29" s="24" t="n">
        <f aca="false">RANK(CR29,$CR$2:$CR$881,0)</f>
        <v>202</v>
      </c>
      <c r="CU29" s="25" t="n">
        <f aca="false">RANK(CS29,$CS$2:$CS$881,0)</f>
        <v>35</v>
      </c>
      <c r="CV29" s="26" t="n">
        <f aca="false">(CS29+CR29)/2</f>
        <v>89.3571428571429</v>
      </c>
      <c r="CW29" s="25" t="n">
        <f aca="false">RANK(CV29,$CV$2:$CV$881,0)</f>
        <v>61</v>
      </c>
      <c r="CX29" s="50" t="n">
        <f aca="false">(CV29+BB29)/2</f>
        <v>89.0285714285714</v>
      </c>
      <c r="CY29" s="50" t="n">
        <v>35</v>
      </c>
      <c r="CZ29" s="27" t="s">
        <v>132</v>
      </c>
      <c r="DA29" s="27" t="s">
        <v>153</v>
      </c>
      <c r="DB29" s="27" t="s">
        <v>153</v>
      </c>
      <c r="DC29" s="27" t="s">
        <v>134</v>
      </c>
      <c r="DD29" s="27" t="s">
        <v>164</v>
      </c>
      <c r="DE29" s="27" t="s">
        <v>187</v>
      </c>
      <c r="DF29" s="27" t="s">
        <v>151</v>
      </c>
      <c r="DG29" s="27" t="s">
        <v>134</v>
      </c>
      <c r="DH29" s="27" t="s">
        <v>182</v>
      </c>
      <c r="DI29" s="27" t="s">
        <v>141</v>
      </c>
      <c r="DJ29" s="27" t="s">
        <v>170</v>
      </c>
      <c r="DK29" s="27" t="s">
        <v>134</v>
      </c>
      <c r="DL29" s="27" t="s">
        <v>160</v>
      </c>
      <c r="DM29" s="27" t="s">
        <v>136</v>
      </c>
      <c r="DN29" s="27" t="s">
        <v>170</v>
      </c>
      <c r="DO29" s="27" t="s">
        <v>134</v>
      </c>
      <c r="DP29" s="27" t="s">
        <v>135</v>
      </c>
      <c r="DQ29" s="27" t="s">
        <v>187</v>
      </c>
      <c r="DR29" s="27" t="s">
        <v>170</v>
      </c>
      <c r="DS29" s="27" t="s">
        <v>134</v>
      </c>
      <c r="DT29" s="27" t="s">
        <v>154</v>
      </c>
      <c r="DU29" s="27" t="s">
        <v>143</v>
      </c>
      <c r="DV29" s="27" t="s">
        <v>170</v>
      </c>
      <c r="DW29" s="27" t="s">
        <v>164</v>
      </c>
      <c r="DX29" s="27" t="s">
        <v>143</v>
      </c>
      <c r="DY29" s="27" t="s">
        <v>139</v>
      </c>
      <c r="DZ29" s="27" t="n">
        <f aca="false">DY29+DV29+DR29+DN29+DJ29+DF29+DB29</f>
        <v>642</v>
      </c>
      <c r="EA29" s="28" t="n">
        <f aca="false">DZ29/7</f>
        <v>91.7142857142857</v>
      </c>
      <c r="EB29" s="27" t="n">
        <f aca="false">RANK(EA29,$EA$2:$EA$881,0)</f>
        <v>22</v>
      </c>
      <c r="EC29" s="29" t="n">
        <f aca="false">DZ29+CQ29+CP29+AZ29</f>
        <v>2780</v>
      </c>
      <c r="ED29" s="30" t="n">
        <f aca="false">(EA29+CV29+BB29)/3</f>
        <v>89.9238095238095</v>
      </c>
      <c r="EE29" s="51" t="n">
        <f aca="false">ROUND(BE29,3)</f>
        <v>92.543</v>
      </c>
      <c r="EF29" s="51" t="n">
        <f aca="false">ROUND(CR29,3)</f>
        <v>89.714</v>
      </c>
      <c r="EG29" s="51" t="n">
        <f aca="false">ROUND(CS29,3)</f>
        <v>89</v>
      </c>
      <c r="EH29" s="51" t="n">
        <f aca="false">ROUND(EA29,3)</f>
        <v>91.714</v>
      </c>
      <c r="EI29" s="51" t="n">
        <f aca="false">ROUND(ED29,3)</f>
        <v>89.924</v>
      </c>
      <c r="EJ29" s="51" t="n">
        <f aca="false">ROUND(CV29,3)</f>
        <v>89.357</v>
      </c>
      <c r="EK29" s="0" t="n">
        <f aca="false">RANK(EI29,$EI$2:$EI$881,0)</f>
        <v>28</v>
      </c>
    </row>
    <row r="30" customFormat="false" ht="15" hidden="false" customHeight="false" outlineLevel="0" collapsed="false">
      <c r="A30" s="4" t="n">
        <v>8732</v>
      </c>
      <c r="B30" s="4" t="n">
        <v>168</v>
      </c>
      <c r="C30" s="27" t="s">
        <v>258</v>
      </c>
      <c r="D30" s="31" t="n">
        <v>169</v>
      </c>
      <c r="E30" s="32" t="n">
        <v>230324805</v>
      </c>
      <c r="F30" s="8" t="s">
        <v>259</v>
      </c>
      <c r="G30" s="22" t="s">
        <v>260</v>
      </c>
      <c r="H30" s="22" t="s">
        <v>129</v>
      </c>
      <c r="I30" s="33" t="n">
        <v>2005</v>
      </c>
      <c r="J30" s="32" t="n">
        <v>84</v>
      </c>
      <c r="K30" s="32" t="n">
        <v>67</v>
      </c>
      <c r="L30" s="34" t="n">
        <f aca="false">(K30*70)/100</f>
        <v>46.9</v>
      </c>
      <c r="M30" s="34" t="n">
        <f aca="false">ROUNDUP(L30,0)</f>
        <v>47</v>
      </c>
      <c r="N30" s="32" t="n">
        <v>26</v>
      </c>
      <c r="O30" s="34" t="n">
        <f aca="false">N30+L30</f>
        <v>72.9</v>
      </c>
      <c r="P30" s="34" t="n">
        <f aca="false">N30+M30</f>
        <v>73</v>
      </c>
      <c r="Q30" s="32" t="n">
        <v>74</v>
      </c>
      <c r="R30" s="32" t="n">
        <v>64</v>
      </c>
      <c r="S30" s="34" t="n">
        <f aca="false">(R30*70)/100</f>
        <v>44.8</v>
      </c>
      <c r="T30" s="34" t="n">
        <f aca="false">ROUNDUP(S30,0)</f>
        <v>45</v>
      </c>
      <c r="U30" s="32" t="n">
        <v>27</v>
      </c>
      <c r="V30" s="34" t="n">
        <f aca="false">U30+S30</f>
        <v>71.8</v>
      </c>
      <c r="W30" s="34" t="n">
        <f aca="false">U30+T30</f>
        <v>72</v>
      </c>
      <c r="X30" s="32" t="n">
        <v>71</v>
      </c>
      <c r="Y30" s="34" t="n">
        <f aca="false">(X30*70)/100</f>
        <v>49.7</v>
      </c>
      <c r="Z30" s="34" t="n">
        <f aca="false">ROUNDUP(Y30,0)</f>
        <v>50</v>
      </c>
      <c r="AA30" s="32" t="n">
        <v>28</v>
      </c>
      <c r="AB30" s="34" t="n">
        <f aca="false">AA30+Y30</f>
        <v>77.7</v>
      </c>
      <c r="AC30" s="34" t="n">
        <f aca="false">AA30+Z30</f>
        <v>78</v>
      </c>
      <c r="AD30" s="32" t="n">
        <f aca="false">X30+R30+Q30+K30+J30</f>
        <v>360</v>
      </c>
      <c r="AE30" s="16" t="n">
        <f aca="false">AD30/5</f>
        <v>72</v>
      </c>
      <c r="AF30" s="16" t="n">
        <v>84</v>
      </c>
      <c r="AG30" s="16" t="n">
        <v>93</v>
      </c>
      <c r="AH30" s="16" t="n">
        <v>95</v>
      </c>
      <c r="AI30" s="16" t="n">
        <v>96</v>
      </c>
      <c r="AJ30" s="16" t="n">
        <f aca="false">(AI30*70)/100</f>
        <v>67.2</v>
      </c>
      <c r="AK30" s="35" t="n">
        <f aca="false">ROUNDUP(AJ30,0)</f>
        <v>68</v>
      </c>
      <c r="AL30" s="16" t="n">
        <v>25</v>
      </c>
      <c r="AM30" s="16" t="n">
        <f aca="false">AL30+AJ30</f>
        <v>92.2</v>
      </c>
      <c r="AN30" s="16" t="n">
        <f aca="false">AL30+AK30</f>
        <v>93</v>
      </c>
      <c r="AO30" s="16" t="n">
        <v>89</v>
      </c>
      <c r="AP30" s="36" t="n">
        <f aca="false">(AO30*70)/100</f>
        <v>62.3</v>
      </c>
      <c r="AQ30" s="37" t="n">
        <f aca="false">ROUNDUP(AP30,0)</f>
        <v>63</v>
      </c>
      <c r="AR30" s="16" t="n">
        <v>29</v>
      </c>
      <c r="AS30" s="16" t="n">
        <f aca="false">AR30+AP30</f>
        <v>91.3</v>
      </c>
      <c r="AT30" s="16" t="n">
        <f aca="false">AR30+AQ30</f>
        <v>92</v>
      </c>
      <c r="AU30" s="16" t="n">
        <f aca="false">AO30+AF30+AI30+AH30+AG30</f>
        <v>457</v>
      </c>
      <c r="AV30" s="16" t="n">
        <f aca="false">(AO30+AF30+AI30+AH30+AG30)/5</f>
        <v>91.4</v>
      </c>
      <c r="AW30" s="36" t="n">
        <f aca="false">(AO30+AF30+AI30+AH30+AG30+X30+R30+Q30+K30+J30)</f>
        <v>817</v>
      </c>
      <c r="AX30" s="16" t="n">
        <f aca="false">AW30/10</f>
        <v>81.7</v>
      </c>
      <c r="AY30" s="16" t="n">
        <f aca="false">AS30+AF30+AM30+AH30+AG30+AB30+V30+Q30+O30+J30</f>
        <v>835.9</v>
      </c>
      <c r="AZ30" s="16" t="n">
        <f aca="false">AT30+AF30+AN30+AH30+AG30+AC30+W30+Q30+P30+J30</f>
        <v>838</v>
      </c>
      <c r="BA30" s="16" t="n">
        <f aca="false">AY30/10</f>
        <v>83.59</v>
      </c>
      <c r="BB30" s="16" t="n">
        <f aca="false">AZ30/10</f>
        <v>83.8</v>
      </c>
      <c r="BC30" s="16" t="n">
        <v>2382</v>
      </c>
      <c r="BD30" s="16" t="n">
        <f aca="false">RANK(AX30,$AX$2:$AX$881,0)</f>
        <v>179</v>
      </c>
      <c r="BE30" s="54" t="n">
        <f aca="false">((BC30*100)/2400)*0.4+(AX30*0.6)</f>
        <v>88.72</v>
      </c>
      <c r="BF30" s="16" t="n">
        <f aca="false">RANK(BE30,$BE$2:$BE$881,0)</f>
        <v>147</v>
      </c>
      <c r="BG30" s="39" t="n">
        <f aca="false">RANK(BB30,$BB$2:$BB$881,0)</f>
        <v>128</v>
      </c>
      <c r="BH30" s="39" t="n">
        <f aca="false">RANK(BC30,$BC$2:$BC$881,0)</f>
        <v>124</v>
      </c>
      <c r="BI30" s="22" t="s">
        <v>130</v>
      </c>
      <c r="BJ30" s="22" t="s">
        <v>129</v>
      </c>
      <c r="BK30" s="40" t="s">
        <v>131</v>
      </c>
      <c r="BL30" s="41" t="n">
        <v>25</v>
      </c>
      <c r="BM30" s="41" t="n">
        <v>63</v>
      </c>
      <c r="BN30" s="41" t="n">
        <v>88</v>
      </c>
      <c r="BO30" s="42" t="n">
        <v>27</v>
      </c>
      <c r="BP30" s="43" t="n">
        <v>65</v>
      </c>
      <c r="BQ30" s="44" t="n">
        <v>92</v>
      </c>
      <c r="BR30" s="42" t="n">
        <v>24</v>
      </c>
      <c r="BS30" s="45" t="n">
        <v>61</v>
      </c>
      <c r="BT30" s="45" t="n">
        <v>85</v>
      </c>
      <c r="BU30" s="46" t="n">
        <v>100</v>
      </c>
      <c r="BV30" s="47" t="n">
        <v>100</v>
      </c>
      <c r="BW30" s="42" t="n">
        <v>99</v>
      </c>
      <c r="BX30" s="48" t="n">
        <v>100</v>
      </c>
      <c r="BY30" s="32" t="n">
        <v>29</v>
      </c>
      <c r="BZ30" s="32" t="n">
        <v>66</v>
      </c>
      <c r="CA30" s="32" t="n">
        <v>95</v>
      </c>
      <c r="CB30" s="32" t="n">
        <v>22</v>
      </c>
      <c r="CC30" s="32" t="n">
        <v>53</v>
      </c>
      <c r="CD30" s="32" t="n">
        <v>75</v>
      </c>
      <c r="CE30" s="32" t="n">
        <v>26</v>
      </c>
      <c r="CF30" s="32" t="n">
        <v>68</v>
      </c>
      <c r="CG30" s="32" t="n">
        <v>94</v>
      </c>
      <c r="CH30" s="32" t="n">
        <v>99</v>
      </c>
      <c r="CI30" s="32" t="n">
        <v>99</v>
      </c>
      <c r="CJ30" s="49" t="n">
        <v>28</v>
      </c>
      <c r="CK30" s="49" t="n">
        <v>62</v>
      </c>
      <c r="CL30" s="49" t="n">
        <v>90</v>
      </c>
      <c r="CM30" s="49" t="n">
        <v>29</v>
      </c>
      <c r="CN30" s="49" t="n">
        <v>57</v>
      </c>
      <c r="CO30" s="49" t="n">
        <v>86</v>
      </c>
      <c r="CP30" s="25" t="n">
        <f aca="false">BX30+BW30+BV30+BU30+BT30+BQ30+BN30</f>
        <v>664</v>
      </c>
      <c r="CQ30" s="25" t="n">
        <f aca="false">CO30+CL30+CI30+CH30+CG30+CD30+CA30</f>
        <v>638</v>
      </c>
      <c r="CR30" s="26" t="n">
        <f aca="false">CP30/7</f>
        <v>94.8571428571429</v>
      </c>
      <c r="CS30" s="26" t="n">
        <f aca="false">CQ30/7</f>
        <v>91.1428571428571</v>
      </c>
      <c r="CT30" s="24" t="n">
        <f aca="false">RANK(CR30,$CR$2:$CR$881,0)</f>
        <v>12</v>
      </c>
      <c r="CU30" s="25" t="n">
        <f aca="false">RANK(CS30,$CS$2:$CS$881,0)</f>
        <v>13</v>
      </c>
      <c r="CV30" s="26" t="n">
        <f aca="false">(CS30+CR30)/2</f>
        <v>93</v>
      </c>
      <c r="CW30" s="25" t="n">
        <f aca="false">RANK(CV30,$CV$2:$CV$881,0)</f>
        <v>9</v>
      </c>
      <c r="CX30" s="50" t="n">
        <f aca="false">(CV30+BB30)/2</f>
        <v>88.4</v>
      </c>
      <c r="CY30" s="50" t="n">
        <v>43</v>
      </c>
      <c r="CZ30" s="27" t="s">
        <v>132</v>
      </c>
      <c r="DA30" s="27" t="s">
        <v>153</v>
      </c>
      <c r="DB30" s="27" t="s">
        <v>153</v>
      </c>
      <c r="DC30" s="27" t="s">
        <v>134</v>
      </c>
      <c r="DD30" s="27" t="s">
        <v>164</v>
      </c>
      <c r="DE30" s="27" t="s">
        <v>161</v>
      </c>
      <c r="DF30" s="27" t="s">
        <v>133</v>
      </c>
      <c r="DG30" s="27" t="s">
        <v>134</v>
      </c>
      <c r="DH30" s="27" t="s">
        <v>164</v>
      </c>
      <c r="DI30" s="27" t="s">
        <v>187</v>
      </c>
      <c r="DJ30" s="27" t="s">
        <v>151</v>
      </c>
      <c r="DK30" s="27" t="s">
        <v>134</v>
      </c>
      <c r="DL30" s="27" t="s">
        <v>140</v>
      </c>
      <c r="DM30" s="27" t="s">
        <v>187</v>
      </c>
      <c r="DN30" s="27" t="s">
        <v>139</v>
      </c>
      <c r="DO30" s="27" t="s">
        <v>134</v>
      </c>
      <c r="DP30" s="27" t="s">
        <v>182</v>
      </c>
      <c r="DQ30" s="27" t="s">
        <v>152</v>
      </c>
      <c r="DR30" s="27" t="s">
        <v>133</v>
      </c>
      <c r="DS30" s="27" t="s">
        <v>134</v>
      </c>
      <c r="DT30" s="27" t="s">
        <v>146</v>
      </c>
      <c r="DU30" s="27" t="s">
        <v>152</v>
      </c>
      <c r="DV30" s="27" t="s">
        <v>156</v>
      </c>
      <c r="DW30" s="27" t="s">
        <v>146</v>
      </c>
      <c r="DX30" s="27" t="s">
        <v>155</v>
      </c>
      <c r="DY30" s="27" t="s">
        <v>165</v>
      </c>
      <c r="DZ30" s="27" t="n">
        <f aca="false">DY30+DV30+DR30+DN30+DJ30+DF30+DB30</f>
        <v>648</v>
      </c>
      <c r="EA30" s="28" t="n">
        <f aca="false">DZ30/7</f>
        <v>92.5714285714286</v>
      </c>
      <c r="EB30" s="27" t="n">
        <f aca="false">RANK(EA30,$EA$2:$EA$881,0)</f>
        <v>7</v>
      </c>
      <c r="EC30" s="29" t="n">
        <f aca="false">DZ30+CQ30+CP30+AZ30</f>
        <v>2788</v>
      </c>
      <c r="ED30" s="30" t="n">
        <f aca="false">(EA30+CV30+BB30)/3</f>
        <v>89.7904761904762</v>
      </c>
      <c r="EE30" s="51" t="n">
        <f aca="false">ROUND(BE30,3)</f>
        <v>88.72</v>
      </c>
      <c r="EF30" s="51" t="n">
        <f aca="false">ROUND(CR30,3)</f>
        <v>94.857</v>
      </c>
      <c r="EG30" s="51" t="n">
        <f aca="false">ROUND(CS30,3)</f>
        <v>91.143</v>
      </c>
      <c r="EH30" s="51" t="n">
        <f aca="false">ROUND(EA30,3)</f>
        <v>92.571</v>
      </c>
      <c r="EI30" s="51" t="n">
        <f aca="false">ROUND(ED30,3)</f>
        <v>89.79</v>
      </c>
      <c r="EJ30" s="51" t="n">
        <f aca="false">ROUND(CV30,3)</f>
        <v>93</v>
      </c>
      <c r="EK30" s="0" t="n">
        <f aca="false">RANK(EI30,$EI$2:$EI$881,0)</f>
        <v>29</v>
      </c>
    </row>
    <row r="31" customFormat="false" ht="33.7" hidden="false" customHeight="false" outlineLevel="0" collapsed="false">
      <c r="A31" s="4" t="n">
        <v>8585</v>
      </c>
      <c r="B31" s="4" t="n">
        <v>34</v>
      </c>
      <c r="C31" s="27" t="s">
        <v>261</v>
      </c>
      <c r="D31" s="52" t="n">
        <v>36</v>
      </c>
      <c r="E31" s="32" t="n">
        <v>230312370</v>
      </c>
      <c r="F31" s="55" t="s">
        <v>262</v>
      </c>
      <c r="G31" s="22" t="s">
        <v>263</v>
      </c>
      <c r="H31" s="22" t="s">
        <v>129</v>
      </c>
      <c r="I31" s="33" t="n">
        <v>2005</v>
      </c>
      <c r="J31" s="32" t="n">
        <v>87</v>
      </c>
      <c r="K31" s="32" t="n">
        <v>91</v>
      </c>
      <c r="L31" s="34" t="n">
        <f aca="false">(K31*70)/100</f>
        <v>63.7</v>
      </c>
      <c r="M31" s="34" t="n">
        <f aca="false">ROUNDUP(L31,0)</f>
        <v>64</v>
      </c>
      <c r="N31" s="32" t="n">
        <v>25</v>
      </c>
      <c r="O31" s="34" t="n">
        <f aca="false">N31+L31</f>
        <v>88.7</v>
      </c>
      <c r="P31" s="34" t="n">
        <f aca="false">N31+M31</f>
        <v>89</v>
      </c>
      <c r="Q31" s="32" t="n">
        <v>78</v>
      </c>
      <c r="R31" s="32" t="n">
        <v>80</v>
      </c>
      <c r="S31" s="34" t="n">
        <f aca="false">(R31*70)/100</f>
        <v>56</v>
      </c>
      <c r="T31" s="34" t="n">
        <f aca="false">ROUNDUP(S31,0)</f>
        <v>56</v>
      </c>
      <c r="U31" s="32" t="n">
        <v>25</v>
      </c>
      <c r="V31" s="34" t="n">
        <f aca="false">U31+S31</f>
        <v>81</v>
      </c>
      <c r="W31" s="34" t="n">
        <f aca="false">U31+T31</f>
        <v>81</v>
      </c>
      <c r="X31" s="32" t="n">
        <v>73</v>
      </c>
      <c r="Y31" s="34" t="n">
        <f aca="false">(X31*70)/100</f>
        <v>51.1</v>
      </c>
      <c r="Z31" s="34" t="n">
        <f aca="false">ROUNDUP(Y31,0)</f>
        <v>52</v>
      </c>
      <c r="AA31" s="32" t="n">
        <v>25</v>
      </c>
      <c r="AB31" s="34" t="n">
        <f aca="false">AA31+Y31</f>
        <v>76.1</v>
      </c>
      <c r="AC31" s="34" t="n">
        <f aca="false">AA31+Z31</f>
        <v>77</v>
      </c>
      <c r="AD31" s="32" t="n">
        <f aca="false">X31+R31+Q31+K31+J31</f>
        <v>409</v>
      </c>
      <c r="AE31" s="16" t="n">
        <f aca="false">AD31/5</f>
        <v>81.8</v>
      </c>
      <c r="AF31" s="16" t="n">
        <v>82</v>
      </c>
      <c r="AG31" s="16" t="n">
        <v>94</v>
      </c>
      <c r="AH31" s="16" t="n">
        <v>96</v>
      </c>
      <c r="AI31" s="16" t="n">
        <v>95</v>
      </c>
      <c r="AJ31" s="16" t="n">
        <f aca="false">(AI31*70)/100</f>
        <v>66.5</v>
      </c>
      <c r="AK31" s="35" t="n">
        <f aca="false">ROUNDUP(AJ31,0)</f>
        <v>67</v>
      </c>
      <c r="AL31" s="16" t="n">
        <v>26</v>
      </c>
      <c r="AM31" s="16" t="n">
        <f aca="false">AL31+AJ31</f>
        <v>92.5</v>
      </c>
      <c r="AN31" s="16" t="n">
        <f aca="false">AL31+AK31</f>
        <v>93</v>
      </c>
      <c r="AO31" s="16" t="n">
        <v>85</v>
      </c>
      <c r="AP31" s="36" t="n">
        <f aca="false">(AO31*70)/100</f>
        <v>59.5</v>
      </c>
      <c r="AQ31" s="37" t="n">
        <f aca="false">ROUNDUP(AP31,0)</f>
        <v>60</v>
      </c>
      <c r="AR31" s="16" t="n">
        <v>30</v>
      </c>
      <c r="AS31" s="16" t="n">
        <f aca="false">AR31+AP31</f>
        <v>89.5</v>
      </c>
      <c r="AT31" s="16" t="n">
        <f aca="false">AR31+AQ31</f>
        <v>90</v>
      </c>
      <c r="AU31" s="16" t="n">
        <f aca="false">AO31+AF31+AI31+AH31+AG31</f>
        <v>452</v>
      </c>
      <c r="AV31" s="16" t="n">
        <f aca="false">(AO31+AF31+AI31+AH31+AG31)/5</f>
        <v>90.4</v>
      </c>
      <c r="AW31" s="36" t="n">
        <f aca="false">(AO31+AF31+AI31+AH31+AG31+X31+R31+Q31+K31+J31)</f>
        <v>861</v>
      </c>
      <c r="AX31" s="16" t="n">
        <f aca="false">AW31/10</f>
        <v>86.1</v>
      </c>
      <c r="AY31" s="16" t="n">
        <f aca="false">AS31+AF31+AM31+AH31+AG31+AB31+V31+Q31+O31+J31</f>
        <v>864.8</v>
      </c>
      <c r="AZ31" s="16" t="n">
        <f aca="false">AT31+AF31+AN31+AH31+AG31+AC31+W31+Q31+P31+J31</f>
        <v>867</v>
      </c>
      <c r="BA31" s="16" t="n">
        <f aca="false">AY31/10</f>
        <v>86.48</v>
      </c>
      <c r="BB31" s="16" t="n">
        <f aca="false">AZ31/10</f>
        <v>86.7</v>
      </c>
      <c r="BC31" s="16" t="n">
        <v>2391</v>
      </c>
      <c r="BD31" s="16" t="n">
        <f aca="false">RANK(AX31,$AX$2:$AX$881,0)</f>
        <v>72</v>
      </c>
      <c r="BE31" s="38" t="n">
        <f aca="false">((BC31*100)/2400)*0.4+(AX31*0.6)</f>
        <v>91.51</v>
      </c>
      <c r="BF31" s="16" t="n">
        <f aca="false">RANK(BE31,$BE$2:$BE$881,0)</f>
        <v>59</v>
      </c>
      <c r="BG31" s="39" t="n">
        <f aca="false">RANK(BB31,$BB$2:$BB$881,0)</f>
        <v>68</v>
      </c>
      <c r="BH31" s="39" t="n">
        <f aca="false">RANK(BC31,$BC$2:$BC$881,0)</f>
        <v>37</v>
      </c>
      <c r="BI31" s="22" t="s">
        <v>130</v>
      </c>
      <c r="BJ31" s="22" t="s">
        <v>129</v>
      </c>
      <c r="BK31" s="40" t="s">
        <v>131</v>
      </c>
      <c r="BL31" s="41" t="n">
        <v>27</v>
      </c>
      <c r="BM31" s="41" t="n">
        <v>61</v>
      </c>
      <c r="BN31" s="41" t="n">
        <v>88</v>
      </c>
      <c r="BO31" s="42" t="n">
        <v>24</v>
      </c>
      <c r="BP31" s="43" t="n">
        <v>67</v>
      </c>
      <c r="BQ31" s="44" t="n">
        <v>91</v>
      </c>
      <c r="BR31" s="42" t="n">
        <v>28</v>
      </c>
      <c r="BS31" s="45" t="n">
        <v>64</v>
      </c>
      <c r="BT31" s="45" t="n">
        <v>92</v>
      </c>
      <c r="BU31" s="46" t="n">
        <v>100</v>
      </c>
      <c r="BV31" s="47" t="n">
        <v>68</v>
      </c>
      <c r="BW31" s="42" t="n">
        <v>99</v>
      </c>
      <c r="BX31" s="48" t="n">
        <v>98</v>
      </c>
      <c r="BY31" s="32" t="n">
        <v>28</v>
      </c>
      <c r="BZ31" s="32" t="n">
        <v>67</v>
      </c>
      <c r="CA31" s="32" t="n">
        <v>95</v>
      </c>
      <c r="CB31" s="32" t="n">
        <v>26</v>
      </c>
      <c r="CC31" s="32" t="n">
        <v>60</v>
      </c>
      <c r="CD31" s="32" t="n">
        <v>86</v>
      </c>
      <c r="CE31" s="32" t="n">
        <v>28</v>
      </c>
      <c r="CF31" s="32" t="n">
        <v>66</v>
      </c>
      <c r="CG31" s="32" t="n">
        <v>94</v>
      </c>
      <c r="CH31" s="32" t="n">
        <v>95</v>
      </c>
      <c r="CI31" s="32" t="n">
        <v>100</v>
      </c>
      <c r="CJ31" s="49" t="n">
        <v>27</v>
      </c>
      <c r="CK31" s="49" t="n">
        <v>63</v>
      </c>
      <c r="CL31" s="49" t="n">
        <v>90</v>
      </c>
      <c r="CM31" s="49" t="n">
        <v>25</v>
      </c>
      <c r="CN31" s="49" t="n">
        <v>60</v>
      </c>
      <c r="CO31" s="49" t="n">
        <v>85</v>
      </c>
      <c r="CP31" s="25" t="n">
        <f aca="false">BX31+BW31+BV31+BU31+BT31+BQ31+BN31</f>
        <v>636</v>
      </c>
      <c r="CQ31" s="25" t="n">
        <f aca="false">CO31+CL31+CI31+CH31+CG31+CD31+CA31</f>
        <v>645</v>
      </c>
      <c r="CR31" s="26" t="n">
        <f aca="false">CP31/7</f>
        <v>90.8571428571429</v>
      </c>
      <c r="CS31" s="26" t="n">
        <f aca="false">CQ31/7</f>
        <v>92.1428571428571</v>
      </c>
      <c r="CT31" s="24" t="n">
        <f aca="false">RANK(CR31,$CR$2:$CR$881,0)</f>
        <v>135</v>
      </c>
      <c r="CU31" s="25" t="n">
        <f aca="false">RANK(CS31,$CS$2:$CS$881,0)</f>
        <v>6</v>
      </c>
      <c r="CV31" s="26" t="n">
        <f aca="false">(CS31+CR31)/2</f>
        <v>91.5</v>
      </c>
      <c r="CW31" s="25" t="n">
        <f aca="false">RANK(CV31,$CV$2:$CV$881,0)</f>
        <v>26</v>
      </c>
      <c r="CX31" s="50" t="n">
        <f aca="false">(CV31+BB31)/2</f>
        <v>89.1</v>
      </c>
      <c r="CY31" s="50" t="n">
        <v>34</v>
      </c>
      <c r="CZ31" s="27" t="s">
        <v>132</v>
      </c>
      <c r="DA31" s="27" t="s">
        <v>205</v>
      </c>
      <c r="DB31" s="27" t="s">
        <v>205</v>
      </c>
      <c r="DC31" s="27" t="s">
        <v>134</v>
      </c>
      <c r="DD31" s="27" t="s">
        <v>160</v>
      </c>
      <c r="DE31" s="27" t="s">
        <v>141</v>
      </c>
      <c r="DF31" s="27" t="s">
        <v>139</v>
      </c>
      <c r="DG31" s="27" t="s">
        <v>134</v>
      </c>
      <c r="DH31" s="27" t="s">
        <v>264</v>
      </c>
      <c r="DI31" s="27" t="s">
        <v>143</v>
      </c>
      <c r="DJ31" s="27" t="s">
        <v>178</v>
      </c>
      <c r="DK31" s="27" t="s">
        <v>134</v>
      </c>
      <c r="DL31" s="27" t="s">
        <v>140</v>
      </c>
      <c r="DM31" s="27" t="s">
        <v>141</v>
      </c>
      <c r="DN31" s="27" t="s">
        <v>142</v>
      </c>
      <c r="DO31" s="27" t="s">
        <v>134</v>
      </c>
      <c r="DP31" s="27" t="s">
        <v>160</v>
      </c>
      <c r="DQ31" s="27" t="s">
        <v>136</v>
      </c>
      <c r="DR31" s="27" t="s">
        <v>170</v>
      </c>
      <c r="DS31" s="27" t="s">
        <v>134</v>
      </c>
      <c r="DT31" s="27" t="s">
        <v>160</v>
      </c>
      <c r="DU31" s="27" t="s">
        <v>141</v>
      </c>
      <c r="DV31" s="27" t="s">
        <v>139</v>
      </c>
      <c r="DW31" s="27" t="s">
        <v>154</v>
      </c>
      <c r="DX31" s="27" t="s">
        <v>138</v>
      </c>
      <c r="DY31" s="27" t="s">
        <v>176</v>
      </c>
      <c r="DZ31" s="27" t="n">
        <f aca="false">DY31+DV31+DR31+DN31+DJ31+DF31+DB31</f>
        <v>638</v>
      </c>
      <c r="EA31" s="28" t="n">
        <f aca="false">DZ31/7</f>
        <v>91.1428571428571</v>
      </c>
      <c r="EB31" s="27" t="n">
        <f aca="false">RANK(EA31,$EA$2:$EA$881,0)</f>
        <v>34</v>
      </c>
      <c r="EC31" s="29" t="n">
        <f aca="false">DZ31+CQ31+CP31+AZ31</f>
        <v>2786</v>
      </c>
      <c r="ED31" s="30" t="n">
        <f aca="false">(EA31+CV31+BB31)/3</f>
        <v>89.7809523809524</v>
      </c>
      <c r="EE31" s="51" t="n">
        <f aca="false">ROUND(BE31,3)</f>
        <v>91.51</v>
      </c>
      <c r="EF31" s="51" t="n">
        <f aca="false">ROUND(CR31,3)</f>
        <v>90.857</v>
      </c>
      <c r="EG31" s="51" t="n">
        <f aca="false">ROUND(CS31,3)</f>
        <v>92.143</v>
      </c>
      <c r="EH31" s="51" t="n">
        <f aca="false">ROUND(EA31,3)</f>
        <v>91.143</v>
      </c>
      <c r="EI31" s="51" t="n">
        <f aca="false">ROUND(ED31,3)</f>
        <v>89.781</v>
      </c>
      <c r="EJ31" s="51" t="n">
        <f aca="false">ROUND(CV31,3)</f>
        <v>91.5</v>
      </c>
      <c r="EK31" s="0" t="n">
        <f aca="false">RANK(EI31,$EI$2:$EI$881,0)</f>
        <v>30</v>
      </c>
    </row>
    <row r="32" customFormat="false" ht="33.7" hidden="false" customHeight="false" outlineLevel="0" collapsed="false">
      <c r="A32" s="4" t="n">
        <v>9130</v>
      </c>
      <c r="B32" s="4" t="n">
        <v>473</v>
      </c>
      <c r="C32" s="27" t="s">
        <v>265</v>
      </c>
      <c r="D32" s="31" t="n">
        <v>481</v>
      </c>
      <c r="E32" s="32" t="n">
        <v>230311454</v>
      </c>
      <c r="F32" s="8" t="s">
        <v>266</v>
      </c>
      <c r="G32" s="22" t="s">
        <v>267</v>
      </c>
      <c r="H32" s="22" t="s">
        <v>129</v>
      </c>
      <c r="I32" s="33" t="n">
        <v>2006</v>
      </c>
      <c r="J32" s="32" t="n">
        <v>94</v>
      </c>
      <c r="K32" s="32" t="n">
        <v>91</v>
      </c>
      <c r="L32" s="34" t="n">
        <f aca="false">(K32*70)/100</f>
        <v>63.7</v>
      </c>
      <c r="M32" s="34" t="n">
        <f aca="false">ROUNDUP(L32,0)</f>
        <v>64</v>
      </c>
      <c r="N32" s="32" t="n">
        <v>30</v>
      </c>
      <c r="O32" s="34" t="n">
        <f aca="false">N32+L32</f>
        <v>93.7</v>
      </c>
      <c r="P32" s="34" t="n">
        <f aca="false">N32+M32</f>
        <v>94</v>
      </c>
      <c r="Q32" s="32" t="n">
        <v>92</v>
      </c>
      <c r="R32" s="32" t="n">
        <v>84</v>
      </c>
      <c r="S32" s="34" t="n">
        <f aca="false">(R32*70)/100</f>
        <v>58.8</v>
      </c>
      <c r="T32" s="34" t="n">
        <f aca="false">ROUNDUP(S32,0)</f>
        <v>59</v>
      </c>
      <c r="U32" s="32" t="n">
        <v>29</v>
      </c>
      <c r="V32" s="34" t="n">
        <f aca="false">U32+S32</f>
        <v>87.8</v>
      </c>
      <c r="W32" s="34" t="n">
        <f aca="false">U32+T32</f>
        <v>88</v>
      </c>
      <c r="X32" s="32" t="n">
        <v>86</v>
      </c>
      <c r="Y32" s="34" t="n">
        <f aca="false">(X32*70)/100</f>
        <v>60.2</v>
      </c>
      <c r="Z32" s="34" t="n">
        <f aca="false">ROUNDUP(Y32,0)</f>
        <v>61</v>
      </c>
      <c r="AA32" s="32" t="n">
        <v>26</v>
      </c>
      <c r="AB32" s="34" t="n">
        <f aca="false">AA32+Y32</f>
        <v>86.2</v>
      </c>
      <c r="AC32" s="34" t="n">
        <f aca="false">AA32+Z32</f>
        <v>87</v>
      </c>
      <c r="AD32" s="32" t="n">
        <f aca="false">X32+R32+Q32+K32+J32</f>
        <v>447</v>
      </c>
      <c r="AE32" s="16" t="n">
        <f aca="false">AD32/5</f>
        <v>89.4</v>
      </c>
      <c r="AF32" s="16" t="n">
        <v>83</v>
      </c>
      <c r="AG32" s="16" t="n">
        <v>92</v>
      </c>
      <c r="AH32" s="16" t="n">
        <v>98</v>
      </c>
      <c r="AI32" s="16" t="n">
        <v>90</v>
      </c>
      <c r="AJ32" s="16" t="n">
        <f aca="false">(AI32*70)/100</f>
        <v>63</v>
      </c>
      <c r="AK32" s="35" t="n">
        <f aca="false">ROUNDUP(AJ32,0)</f>
        <v>63</v>
      </c>
      <c r="AL32" s="16" t="n">
        <v>24</v>
      </c>
      <c r="AM32" s="16" t="n">
        <f aca="false">AL32+AJ32</f>
        <v>87</v>
      </c>
      <c r="AN32" s="16" t="n">
        <f aca="false">AL32+AK32</f>
        <v>87</v>
      </c>
      <c r="AO32" s="16" t="n">
        <v>90</v>
      </c>
      <c r="AP32" s="36" t="n">
        <f aca="false">(AO32*70)/100</f>
        <v>63</v>
      </c>
      <c r="AQ32" s="37" t="n">
        <f aca="false">ROUNDUP(AP32,0)</f>
        <v>63</v>
      </c>
      <c r="AR32" s="16" t="n">
        <v>28</v>
      </c>
      <c r="AS32" s="16" t="n">
        <f aca="false">AR32+AP32</f>
        <v>91</v>
      </c>
      <c r="AT32" s="16" t="n">
        <f aca="false">AR32+AQ32</f>
        <v>91</v>
      </c>
      <c r="AU32" s="16" t="n">
        <f aca="false">AO32+AF32+AI32+AH32+AG32</f>
        <v>453</v>
      </c>
      <c r="AV32" s="16" t="n">
        <f aca="false">(AO32+AF32+AI32+AH32+AG32)/5</f>
        <v>90.6</v>
      </c>
      <c r="AW32" s="36" t="n">
        <f aca="false">(AO32+AF32+AI32+AH32+AG32+X32+R32+Q32+K32+J32)</f>
        <v>900</v>
      </c>
      <c r="AX32" s="16" t="n">
        <f aca="false">AW32/10</f>
        <v>90</v>
      </c>
      <c r="AY32" s="16" t="n">
        <f aca="false">AS32+AF32+AM32+AH32+AG32+AB32+V32+Q32+O32+J32</f>
        <v>904.7</v>
      </c>
      <c r="AZ32" s="16" t="n">
        <f aca="false">AT32+AF32+AN32+AH32+AG32+AC32+W32+Q32+P32+J32</f>
        <v>906</v>
      </c>
      <c r="BA32" s="16" t="n">
        <f aca="false">AY32/10</f>
        <v>90.47</v>
      </c>
      <c r="BB32" s="16" t="n">
        <f aca="false">AZ32/10</f>
        <v>90.6</v>
      </c>
      <c r="BC32" s="16" t="n">
        <v>2370</v>
      </c>
      <c r="BD32" s="16" t="n">
        <f aca="false">RANK(AX32,$AX$2:$AX$881,0)</f>
        <v>23</v>
      </c>
      <c r="BE32" s="38" t="n">
        <f aca="false">((BC32*100)/2400)*0.4+(AX32*0.6)</f>
        <v>93.5</v>
      </c>
      <c r="BF32" s="16" t="n">
        <f aca="false">RANK(BE32,$BE$2:$BE$881,0)</f>
        <v>25</v>
      </c>
      <c r="BG32" s="39" t="n">
        <f aca="false">RANK(BB32,$BB$2:$BB$881,0)</f>
        <v>17</v>
      </c>
      <c r="BH32" s="39" t="n">
        <f aca="false">RANK(BC32,$BC$2:$BC$881,0)</f>
        <v>268</v>
      </c>
      <c r="BI32" s="22" t="s">
        <v>130</v>
      </c>
      <c r="BJ32" s="22" t="s">
        <v>129</v>
      </c>
      <c r="BK32" s="40" t="s">
        <v>131</v>
      </c>
      <c r="BL32" s="41" t="n">
        <v>28</v>
      </c>
      <c r="BM32" s="41" t="n">
        <v>62</v>
      </c>
      <c r="BN32" s="41" t="n">
        <v>90</v>
      </c>
      <c r="BO32" s="42" t="n">
        <v>21</v>
      </c>
      <c r="BP32" s="43" t="n">
        <v>65</v>
      </c>
      <c r="BQ32" s="44" t="n">
        <v>86</v>
      </c>
      <c r="BR32" s="42" t="n">
        <v>28</v>
      </c>
      <c r="BS32" s="45" t="n">
        <v>65</v>
      </c>
      <c r="BT32" s="45" t="n">
        <v>93</v>
      </c>
      <c r="BU32" s="46" t="n">
        <v>100</v>
      </c>
      <c r="BV32" s="47" t="n">
        <v>88</v>
      </c>
      <c r="BW32" s="42" t="n">
        <v>98</v>
      </c>
      <c r="BX32" s="48" t="n">
        <v>100</v>
      </c>
      <c r="BY32" s="32" t="n">
        <v>22</v>
      </c>
      <c r="BZ32" s="32" t="n">
        <v>52</v>
      </c>
      <c r="CA32" s="32" t="n">
        <v>74</v>
      </c>
      <c r="CB32" s="32" t="n">
        <v>24</v>
      </c>
      <c r="CC32" s="32" t="n">
        <v>45</v>
      </c>
      <c r="CD32" s="32" t="n">
        <v>69</v>
      </c>
      <c r="CE32" s="32" t="n">
        <v>22</v>
      </c>
      <c r="CF32" s="32" t="n">
        <v>57</v>
      </c>
      <c r="CG32" s="32" t="n">
        <v>79</v>
      </c>
      <c r="CH32" s="32" t="n">
        <v>96</v>
      </c>
      <c r="CI32" s="32" t="n">
        <v>96</v>
      </c>
      <c r="CJ32" s="49" t="n">
        <v>25</v>
      </c>
      <c r="CK32" s="49" t="n">
        <v>61</v>
      </c>
      <c r="CL32" s="49" t="n">
        <v>86</v>
      </c>
      <c r="CM32" s="49" t="n">
        <v>23</v>
      </c>
      <c r="CN32" s="49" t="n">
        <v>60</v>
      </c>
      <c r="CO32" s="49" t="n">
        <v>83</v>
      </c>
      <c r="CP32" s="25" t="n">
        <f aca="false">BX32+BW32+BV32+BU32+BT32+BQ32+BN32</f>
        <v>655</v>
      </c>
      <c r="CQ32" s="25" t="n">
        <f aca="false">CO32+CL32+CI32+CH32+CG32+CD32+CA32</f>
        <v>583</v>
      </c>
      <c r="CR32" s="26" t="n">
        <f aca="false">CP32/7</f>
        <v>93.5714285714286</v>
      </c>
      <c r="CS32" s="26" t="n">
        <f aca="false">CQ32/7</f>
        <v>83.2857142857143</v>
      </c>
      <c r="CT32" s="24" t="n">
        <f aca="false">RANK(CR32,$CR$2:$CR$881,0)</f>
        <v>36</v>
      </c>
      <c r="CU32" s="25" t="n">
        <f aca="false">RANK(CS32,$CS$2:$CS$881,0)</f>
        <v>149</v>
      </c>
      <c r="CV32" s="26" t="n">
        <f aca="false">(CS32+CR32)/2</f>
        <v>88.4285714285714</v>
      </c>
      <c r="CW32" s="25" t="n">
        <f aca="false">RANK(CV32,$CV$2:$CV$881,0)</f>
        <v>85</v>
      </c>
      <c r="CX32" s="50" t="n">
        <f aca="false">(CV32+BB32)/2</f>
        <v>89.5142857142857</v>
      </c>
      <c r="CY32" s="50" t="n">
        <v>29</v>
      </c>
      <c r="CZ32" s="27" t="s">
        <v>132</v>
      </c>
      <c r="DA32" s="27" t="s">
        <v>176</v>
      </c>
      <c r="DB32" s="27" t="s">
        <v>176</v>
      </c>
      <c r="DC32" s="27" t="s">
        <v>134</v>
      </c>
      <c r="DD32" s="27" t="s">
        <v>195</v>
      </c>
      <c r="DE32" s="27" t="s">
        <v>161</v>
      </c>
      <c r="DF32" s="27" t="s">
        <v>205</v>
      </c>
      <c r="DG32" s="27" t="s">
        <v>134</v>
      </c>
      <c r="DH32" s="27" t="s">
        <v>164</v>
      </c>
      <c r="DI32" s="27" t="s">
        <v>187</v>
      </c>
      <c r="DJ32" s="27" t="s">
        <v>151</v>
      </c>
      <c r="DK32" s="27" t="s">
        <v>134</v>
      </c>
      <c r="DL32" s="27" t="s">
        <v>160</v>
      </c>
      <c r="DM32" s="27" t="s">
        <v>218</v>
      </c>
      <c r="DN32" s="27" t="s">
        <v>175</v>
      </c>
      <c r="DO32" s="27" t="s">
        <v>134</v>
      </c>
      <c r="DP32" s="27" t="s">
        <v>182</v>
      </c>
      <c r="DQ32" s="27" t="s">
        <v>204</v>
      </c>
      <c r="DR32" s="27" t="s">
        <v>169</v>
      </c>
      <c r="DS32" s="27" t="s">
        <v>134</v>
      </c>
      <c r="DT32" s="27" t="s">
        <v>146</v>
      </c>
      <c r="DU32" s="27" t="s">
        <v>163</v>
      </c>
      <c r="DV32" s="27" t="s">
        <v>139</v>
      </c>
      <c r="DW32" s="27" t="s">
        <v>146</v>
      </c>
      <c r="DX32" s="27" t="s">
        <v>155</v>
      </c>
      <c r="DY32" s="27" t="s">
        <v>165</v>
      </c>
      <c r="DZ32" s="27" t="n">
        <f aca="false">DY32+DV32+DR32+DN32+DJ32+DF32+DB32</f>
        <v>630</v>
      </c>
      <c r="EA32" s="28" t="n">
        <f aca="false">DZ32/7</f>
        <v>90</v>
      </c>
      <c r="EB32" s="27" t="n">
        <f aca="false">RANK(EA32,$EA$2:$EA$881,0)</f>
        <v>54</v>
      </c>
      <c r="EC32" s="29" t="n">
        <f aca="false">DZ32+CQ32+CP32+AZ32</f>
        <v>2774</v>
      </c>
      <c r="ED32" s="30" t="n">
        <f aca="false">(EA32+CV32+BB32)/3</f>
        <v>89.6761904761905</v>
      </c>
      <c r="EE32" s="51" t="n">
        <f aca="false">ROUND(BE32,3)</f>
        <v>93.5</v>
      </c>
      <c r="EF32" s="51" t="n">
        <f aca="false">ROUND(CR32,3)</f>
        <v>93.571</v>
      </c>
      <c r="EG32" s="51" t="n">
        <f aca="false">ROUND(CS32,3)</f>
        <v>83.286</v>
      </c>
      <c r="EH32" s="51" t="n">
        <f aca="false">ROUND(EA32,3)</f>
        <v>90</v>
      </c>
      <c r="EI32" s="51" t="n">
        <f aca="false">ROUND(ED32,3)</f>
        <v>89.676</v>
      </c>
      <c r="EJ32" s="51" t="n">
        <f aca="false">ROUND(CV32,3)</f>
        <v>88.429</v>
      </c>
      <c r="EK32" s="0" t="n">
        <f aca="false">RANK(EI32,$EI$2:$EI$881,0)</f>
        <v>31</v>
      </c>
    </row>
    <row r="33" customFormat="false" ht="15" hidden="false" customHeight="false" outlineLevel="0" collapsed="false">
      <c r="A33" s="4" t="n">
        <v>8916</v>
      </c>
      <c r="B33" s="4" t="n">
        <v>529</v>
      </c>
      <c r="C33" s="27" t="s">
        <v>268</v>
      </c>
      <c r="D33" s="31" t="n">
        <v>535</v>
      </c>
      <c r="E33" s="16" t="n">
        <v>230409858</v>
      </c>
      <c r="F33" s="56" t="s">
        <v>269</v>
      </c>
      <c r="G33" s="22" t="s">
        <v>270</v>
      </c>
      <c r="H33" s="22" t="s">
        <v>271</v>
      </c>
      <c r="I33" s="57"/>
      <c r="J33" s="16" t="n">
        <v>88</v>
      </c>
      <c r="K33" s="16" t="n">
        <v>92</v>
      </c>
      <c r="L33" s="34" t="n">
        <f aca="false">(K33*70)/100</f>
        <v>64.4</v>
      </c>
      <c r="M33" s="34" t="n">
        <f aca="false">ROUNDUP(L33,0)</f>
        <v>65</v>
      </c>
      <c r="N33" s="16" t="n">
        <v>24</v>
      </c>
      <c r="O33" s="34" t="n">
        <f aca="false">N33+L33</f>
        <v>88.4</v>
      </c>
      <c r="P33" s="34" t="n">
        <f aca="false">N33+M33</f>
        <v>89</v>
      </c>
      <c r="Q33" s="16" t="n">
        <v>84</v>
      </c>
      <c r="R33" s="16" t="n">
        <v>82</v>
      </c>
      <c r="S33" s="34" t="n">
        <f aca="false">(R33*70)/100</f>
        <v>57.4</v>
      </c>
      <c r="T33" s="34" t="n">
        <f aca="false">ROUNDUP(S33,0)</f>
        <v>58</v>
      </c>
      <c r="U33" s="16" t="n">
        <v>27</v>
      </c>
      <c r="V33" s="34" t="n">
        <f aca="false">U33+S33</f>
        <v>84.4</v>
      </c>
      <c r="W33" s="34" t="n">
        <f aca="false">U33+T33</f>
        <v>85</v>
      </c>
      <c r="X33" s="16" t="n">
        <v>76</v>
      </c>
      <c r="Y33" s="34" t="n">
        <f aca="false">(X33*70)/100</f>
        <v>53.2</v>
      </c>
      <c r="Z33" s="34" t="n">
        <f aca="false">ROUNDUP(Y33,0)</f>
        <v>54</v>
      </c>
      <c r="AA33" s="16" t="n">
        <v>25</v>
      </c>
      <c r="AB33" s="34" t="n">
        <f aca="false">AA33+Y33</f>
        <v>78.2</v>
      </c>
      <c r="AC33" s="34" t="n">
        <f aca="false">AA33+Z33</f>
        <v>79</v>
      </c>
      <c r="AD33" s="32" t="n">
        <f aca="false">X33+R33+Q33+K33+J33</f>
        <v>422</v>
      </c>
      <c r="AE33" s="16" t="n">
        <f aca="false">AD33/5</f>
        <v>84.4</v>
      </c>
      <c r="AF33" s="16" t="n">
        <v>80</v>
      </c>
      <c r="AG33" s="16" t="n">
        <v>86</v>
      </c>
      <c r="AH33" s="16" t="n">
        <v>96</v>
      </c>
      <c r="AI33" s="16" t="n">
        <v>96</v>
      </c>
      <c r="AJ33" s="16" t="n">
        <f aca="false">(AI33*70)/100</f>
        <v>67.2</v>
      </c>
      <c r="AK33" s="35" t="n">
        <f aca="false">ROUNDUP(AJ33,0)</f>
        <v>68</v>
      </c>
      <c r="AL33" s="16" t="n">
        <v>24</v>
      </c>
      <c r="AM33" s="16" t="n">
        <f aca="false">AL33+AJ33</f>
        <v>91.2</v>
      </c>
      <c r="AN33" s="16" t="n">
        <f aca="false">AL33+AK33</f>
        <v>92</v>
      </c>
      <c r="AO33" s="16" t="n">
        <v>83</v>
      </c>
      <c r="AP33" s="36" t="n">
        <f aca="false">(AO33*70)/100</f>
        <v>58.1</v>
      </c>
      <c r="AQ33" s="37" t="n">
        <f aca="false">ROUNDUP(AP33,0)</f>
        <v>59</v>
      </c>
      <c r="AR33" s="16" t="n">
        <v>23</v>
      </c>
      <c r="AS33" s="16" t="n">
        <f aca="false">AR33+AP33</f>
        <v>81.1</v>
      </c>
      <c r="AT33" s="16" t="n">
        <f aca="false">AR33+AQ33</f>
        <v>82</v>
      </c>
      <c r="AU33" s="16" t="n">
        <f aca="false">AO33+AF33+AI33+AH33+AG33</f>
        <v>441</v>
      </c>
      <c r="AV33" s="16" t="n">
        <f aca="false">(AO33+AF33+AI33+AH33+AG33)/5</f>
        <v>88.2</v>
      </c>
      <c r="AW33" s="36" t="n">
        <f aca="false">(AO33+AF33+AI33+AH33+AG33+X33+R33+Q33+K33+J33)</f>
        <v>863</v>
      </c>
      <c r="AX33" s="16" t="n">
        <f aca="false">AW33/10</f>
        <v>86.3</v>
      </c>
      <c r="AY33" s="16" t="n">
        <f aca="false">AS33+AF33+AM33+AH33+AG33+AB33+V33+Q33+O33+J33</f>
        <v>857.3</v>
      </c>
      <c r="AZ33" s="16" t="n">
        <f aca="false">AT33+AF33+AN33+AH33+AG33+AC33+W33+Q33+P33+J33</f>
        <v>861</v>
      </c>
      <c r="BA33" s="16" t="n">
        <f aca="false">AY33/10</f>
        <v>85.73</v>
      </c>
      <c r="BB33" s="16" t="n">
        <f aca="false">AZ33/10</f>
        <v>86.1</v>
      </c>
      <c r="BC33" s="16" t="n">
        <v>2374</v>
      </c>
      <c r="BD33" s="16" t="n">
        <f aca="false">RANK(AX33,$AX$2:$AX$881,0)</f>
        <v>66</v>
      </c>
      <c r="BE33" s="38" t="n">
        <f aca="false">((BC33*100)/2400)*0.4+(AX33*0.6)</f>
        <v>91.3466666666667</v>
      </c>
      <c r="BF33" s="16" t="n">
        <f aca="false">RANK(BE33,$BE$2:$BE$881,0)</f>
        <v>66</v>
      </c>
      <c r="BG33" s="39" t="n">
        <f aca="false">RANK(BB33,$BB$2:$BB$881,0)</f>
        <v>80</v>
      </c>
      <c r="BH33" s="39" t="n">
        <f aca="false">RANK(BC33,$BC$2:$BC$881,0)</f>
        <v>222</v>
      </c>
      <c r="BI33" s="22" t="s">
        <v>130</v>
      </c>
      <c r="BJ33" s="22" t="s">
        <v>129</v>
      </c>
      <c r="BK33" s="40" t="s">
        <v>131</v>
      </c>
      <c r="BL33" s="41" t="n">
        <v>26</v>
      </c>
      <c r="BM33" s="41" t="n">
        <v>63</v>
      </c>
      <c r="BN33" s="41" t="n">
        <v>89</v>
      </c>
      <c r="BO33" s="42" t="n">
        <v>27</v>
      </c>
      <c r="BP33" s="43" t="n">
        <v>68</v>
      </c>
      <c r="BQ33" s="44" t="n">
        <v>95</v>
      </c>
      <c r="BR33" s="42" t="n">
        <v>26</v>
      </c>
      <c r="BS33" s="45" t="n">
        <v>66</v>
      </c>
      <c r="BT33" s="45" t="n">
        <v>92</v>
      </c>
      <c r="BU33" s="46" t="n">
        <v>100</v>
      </c>
      <c r="BV33" s="47" t="n">
        <v>90</v>
      </c>
      <c r="BW33" s="42" t="n">
        <v>100</v>
      </c>
      <c r="BX33" s="48" t="n">
        <v>94</v>
      </c>
      <c r="BY33" s="32" t="n">
        <v>26</v>
      </c>
      <c r="BZ33" s="32" t="n">
        <v>59</v>
      </c>
      <c r="CA33" s="32" t="n">
        <v>85</v>
      </c>
      <c r="CB33" s="32" t="n">
        <v>27</v>
      </c>
      <c r="CC33" s="32" t="n">
        <v>54</v>
      </c>
      <c r="CD33" s="32" t="n">
        <v>81</v>
      </c>
      <c r="CE33" s="32" t="n">
        <v>24</v>
      </c>
      <c r="CF33" s="32" t="n">
        <v>66</v>
      </c>
      <c r="CG33" s="32" t="n">
        <v>90</v>
      </c>
      <c r="CH33" s="32" t="n">
        <v>99</v>
      </c>
      <c r="CI33" s="32" t="n">
        <v>100</v>
      </c>
      <c r="CJ33" s="49" t="n">
        <v>29</v>
      </c>
      <c r="CK33" s="49" t="n">
        <v>62</v>
      </c>
      <c r="CL33" s="49" t="n">
        <v>91</v>
      </c>
      <c r="CM33" s="49" t="n">
        <v>27</v>
      </c>
      <c r="CN33" s="49" t="n">
        <v>52</v>
      </c>
      <c r="CO33" s="49" t="n">
        <v>79</v>
      </c>
      <c r="CP33" s="25" t="n">
        <f aca="false">BX33+BW33+BV33+BU33+BT33+BQ33+BN33</f>
        <v>660</v>
      </c>
      <c r="CQ33" s="25" t="n">
        <f aca="false">CO33+CL33+CI33+CH33+CG33+CD33+CA33</f>
        <v>625</v>
      </c>
      <c r="CR33" s="26" t="n">
        <f aca="false">CP33/7</f>
        <v>94.2857142857143</v>
      </c>
      <c r="CS33" s="26" t="n">
        <f aca="false">CQ33/7</f>
        <v>89.2857142857143</v>
      </c>
      <c r="CT33" s="24" t="n">
        <f aca="false">RANK(CR33,$CR$2:$CR$881,0)</f>
        <v>27</v>
      </c>
      <c r="CU33" s="25" t="n">
        <f aca="false">RANK(CS33,$CS$2:$CS$881,0)</f>
        <v>29</v>
      </c>
      <c r="CV33" s="26" t="n">
        <f aca="false">(CS33+CR33)/2</f>
        <v>91.7857142857143</v>
      </c>
      <c r="CW33" s="25" t="n">
        <f aca="false">RANK(CV33,$CV$2:$CV$881,0)</f>
        <v>23</v>
      </c>
      <c r="CX33" s="50" t="n">
        <f aca="false">(CV33+BB33)/2</f>
        <v>88.9428571428572</v>
      </c>
      <c r="CY33" s="50" t="n">
        <v>37</v>
      </c>
      <c r="CZ33" s="27" t="s">
        <v>132</v>
      </c>
      <c r="DA33" s="27" t="s">
        <v>139</v>
      </c>
      <c r="DB33" s="27" t="s">
        <v>139</v>
      </c>
      <c r="DC33" s="27" t="s">
        <v>134</v>
      </c>
      <c r="DD33" s="27" t="s">
        <v>160</v>
      </c>
      <c r="DE33" s="27" t="s">
        <v>143</v>
      </c>
      <c r="DF33" s="27" t="s">
        <v>142</v>
      </c>
      <c r="DG33" s="27" t="s">
        <v>134</v>
      </c>
      <c r="DH33" s="27" t="s">
        <v>164</v>
      </c>
      <c r="DI33" s="27" t="s">
        <v>152</v>
      </c>
      <c r="DJ33" s="27" t="s">
        <v>170</v>
      </c>
      <c r="DK33" s="27" t="s">
        <v>134</v>
      </c>
      <c r="DL33" s="27" t="s">
        <v>164</v>
      </c>
      <c r="DM33" s="27" t="s">
        <v>177</v>
      </c>
      <c r="DN33" s="27" t="s">
        <v>178</v>
      </c>
      <c r="DO33" s="27" t="s">
        <v>134</v>
      </c>
      <c r="DP33" s="27" t="s">
        <v>191</v>
      </c>
      <c r="DQ33" s="27" t="s">
        <v>204</v>
      </c>
      <c r="DR33" s="27" t="s">
        <v>272</v>
      </c>
      <c r="DS33" s="27" t="s">
        <v>134</v>
      </c>
      <c r="DT33" s="27" t="s">
        <v>160</v>
      </c>
      <c r="DU33" s="27" t="s">
        <v>177</v>
      </c>
      <c r="DV33" s="27" t="s">
        <v>133</v>
      </c>
      <c r="DW33" s="27" t="s">
        <v>160</v>
      </c>
      <c r="DX33" s="27" t="s">
        <v>155</v>
      </c>
      <c r="DY33" s="27" t="s">
        <v>145</v>
      </c>
      <c r="DZ33" s="27" t="n">
        <f aca="false">DY33+DV33+DR33+DN33+DJ33+DF33+DB33</f>
        <v>634</v>
      </c>
      <c r="EA33" s="28" t="n">
        <f aca="false">DZ33/7</f>
        <v>90.5714285714286</v>
      </c>
      <c r="EB33" s="27" t="n">
        <f aca="false">RANK(EA33,$EA$2:$EA$881,0)</f>
        <v>45</v>
      </c>
      <c r="EC33" s="29" t="n">
        <f aca="false">DZ33+CQ33+CP33+AZ33</f>
        <v>2780</v>
      </c>
      <c r="ED33" s="30" t="n">
        <f aca="false">(EA33+CV33+BB33)/3</f>
        <v>89.4857142857143</v>
      </c>
      <c r="EE33" s="51" t="n">
        <f aca="false">ROUND(BE33,3)</f>
        <v>91.347</v>
      </c>
      <c r="EF33" s="51" t="n">
        <f aca="false">ROUND(CR33,3)</f>
        <v>94.286</v>
      </c>
      <c r="EG33" s="51" t="n">
        <f aca="false">ROUND(CS33,3)</f>
        <v>89.286</v>
      </c>
      <c r="EH33" s="51" t="n">
        <f aca="false">ROUND(EA33,3)</f>
        <v>90.571</v>
      </c>
      <c r="EI33" s="51" t="n">
        <f aca="false">ROUND(ED33,3)</f>
        <v>89.486</v>
      </c>
      <c r="EJ33" s="51" t="n">
        <f aca="false">ROUND(CV33,3)</f>
        <v>91.786</v>
      </c>
      <c r="EK33" s="0" t="n">
        <f aca="false">RANK(EI33,$EI$2:$EI$881,0)</f>
        <v>32</v>
      </c>
    </row>
    <row r="34" customFormat="false" ht="15" hidden="false" customHeight="false" outlineLevel="0" collapsed="false">
      <c r="A34" s="4" t="n">
        <v>9112</v>
      </c>
      <c r="B34" s="4" t="n">
        <v>322</v>
      </c>
      <c r="C34" s="27" t="s">
        <v>273</v>
      </c>
      <c r="D34" s="31" t="n">
        <v>324</v>
      </c>
      <c r="E34" s="32" t="n">
        <v>230320538</v>
      </c>
      <c r="F34" s="8" t="s">
        <v>274</v>
      </c>
      <c r="G34" s="22" t="s">
        <v>181</v>
      </c>
      <c r="H34" s="22" t="s">
        <v>129</v>
      </c>
      <c r="I34" s="33" t="n">
        <v>2005</v>
      </c>
      <c r="J34" s="32" t="n">
        <v>90</v>
      </c>
      <c r="K34" s="32" t="n">
        <v>95</v>
      </c>
      <c r="L34" s="34" t="n">
        <f aca="false">(K34*70)/100</f>
        <v>66.5</v>
      </c>
      <c r="M34" s="34" t="n">
        <f aca="false">ROUNDUP(L34,0)</f>
        <v>67</v>
      </c>
      <c r="N34" s="32" t="n">
        <v>26</v>
      </c>
      <c r="O34" s="34" t="n">
        <f aca="false">N34+L34</f>
        <v>92.5</v>
      </c>
      <c r="P34" s="34" t="n">
        <f aca="false">N34+M34</f>
        <v>93</v>
      </c>
      <c r="Q34" s="32" t="n">
        <v>79</v>
      </c>
      <c r="R34" s="32" t="n">
        <v>84</v>
      </c>
      <c r="S34" s="34" t="n">
        <f aca="false">(R34*70)/100</f>
        <v>58.8</v>
      </c>
      <c r="T34" s="34" t="n">
        <f aca="false">ROUNDUP(S34,0)</f>
        <v>59</v>
      </c>
      <c r="U34" s="32" t="n">
        <v>22</v>
      </c>
      <c r="V34" s="34" t="n">
        <f aca="false">U34+S34</f>
        <v>80.8</v>
      </c>
      <c r="W34" s="34" t="n">
        <f aca="false">U34+T34</f>
        <v>81</v>
      </c>
      <c r="X34" s="32" t="n">
        <v>82</v>
      </c>
      <c r="Y34" s="34" t="n">
        <f aca="false">(X34*70)/100</f>
        <v>57.4</v>
      </c>
      <c r="Z34" s="34" t="n">
        <f aca="false">ROUNDUP(Y34,0)</f>
        <v>58</v>
      </c>
      <c r="AA34" s="32" t="n">
        <v>26</v>
      </c>
      <c r="AB34" s="34" t="n">
        <f aca="false">AA34+Y34</f>
        <v>83.4</v>
      </c>
      <c r="AC34" s="34" t="n">
        <f aca="false">AA34+Z34</f>
        <v>84</v>
      </c>
      <c r="AD34" s="32" t="n">
        <f aca="false">X34+R34+Q34+K34+J34</f>
        <v>430</v>
      </c>
      <c r="AE34" s="16" t="n">
        <f aca="false">AD34/5</f>
        <v>86</v>
      </c>
      <c r="AF34" s="16" t="n">
        <v>73</v>
      </c>
      <c r="AG34" s="16" t="n">
        <v>93</v>
      </c>
      <c r="AH34" s="16" t="n">
        <v>92</v>
      </c>
      <c r="AI34" s="16" t="n">
        <v>97</v>
      </c>
      <c r="AJ34" s="16" t="n">
        <f aca="false">(AI34*70)/100</f>
        <v>67.9</v>
      </c>
      <c r="AK34" s="35" t="n">
        <f aca="false">ROUNDUP(AJ34,0)</f>
        <v>68</v>
      </c>
      <c r="AL34" s="16" t="n">
        <v>29</v>
      </c>
      <c r="AM34" s="16" t="n">
        <f aca="false">AL34+AJ34</f>
        <v>96.9</v>
      </c>
      <c r="AN34" s="16" t="n">
        <f aca="false">AL34+AK34</f>
        <v>97</v>
      </c>
      <c r="AO34" s="16" t="n">
        <v>87</v>
      </c>
      <c r="AP34" s="36" t="n">
        <f aca="false">(AO34*70)/100</f>
        <v>60.9</v>
      </c>
      <c r="AQ34" s="37" t="n">
        <f aca="false">ROUNDUP(AP34,0)</f>
        <v>61</v>
      </c>
      <c r="AR34" s="16" t="n">
        <v>26</v>
      </c>
      <c r="AS34" s="16" t="n">
        <f aca="false">AR34+AP34</f>
        <v>86.9</v>
      </c>
      <c r="AT34" s="16" t="n">
        <f aca="false">AR34+AQ34</f>
        <v>87</v>
      </c>
      <c r="AU34" s="16" t="n">
        <f aca="false">AO34+AF34+AI34+AH34+AG34</f>
        <v>442</v>
      </c>
      <c r="AV34" s="16" t="n">
        <f aca="false">(AO34+AF34+AI34+AH34+AG34)/5</f>
        <v>88.4</v>
      </c>
      <c r="AW34" s="36" t="n">
        <f aca="false">(AO34+AF34+AI34+AH34+AG34+X34+R34+Q34+K34+J34)</f>
        <v>872</v>
      </c>
      <c r="AX34" s="16" t="n">
        <f aca="false">AW34/10</f>
        <v>87.2</v>
      </c>
      <c r="AY34" s="16" t="n">
        <f aca="false">AS34+AF34+AM34+AH34+AG34+AB34+V34+Q34+O34+J34</f>
        <v>867.5</v>
      </c>
      <c r="AZ34" s="16" t="n">
        <f aca="false">AT34+AF34+AN34+AH34+AG34+AC34+W34+Q34+P34+J34</f>
        <v>869</v>
      </c>
      <c r="BA34" s="16" t="n">
        <f aca="false">AY34/10</f>
        <v>86.75</v>
      </c>
      <c r="BB34" s="16" t="n">
        <f aca="false">AZ34/10</f>
        <v>86.9</v>
      </c>
      <c r="BC34" s="16" t="n">
        <v>2386</v>
      </c>
      <c r="BD34" s="16" t="n">
        <f aca="false">RANK(AX34,$AX$2:$AX$881,0)</f>
        <v>49</v>
      </c>
      <c r="BE34" s="38" t="n">
        <f aca="false">((BC34*100)/2400)*0.4+(AX34*0.6)</f>
        <v>92.0866666666667</v>
      </c>
      <c r="BF34" s="16" t="n">
        <f aca="false">RANK(BE34,$BE$2:$BE$881,0)</f>
        <v>41</v>
      </c>
      <c r="BG34" s="39" t="n">
        <f aca="false">RANK(BB34,$BB$2:$BB$881,0)</f>
        <v>62</v>
      </c>
      <c r="BH34" s="39" t="n">
        <f aca="false">RANK(BC34,$BC$2:$BC$881,0)</f>
        <v>86</v>
      </c>
      <c r="BI34" s="22" t="s">
        <v>130</v>
      </c>
      <c r="BJ34" s="22" t="s">
        <v>129</v>
      </c>
      <c r="BK34" s="40" t="s">
        <v>131</v>
      </c>
      <c r="BL34" s="41" t="n">
        <v>25</v>
      </c>
      <c r="BM34" s="41" t="n">
        <v>60</v>
      </c>
      <c r="BN34" s="41" t="n">
        <v>85</v>
      </c>
      <c r="BO34" s="42" t="n">
        <v>25</v>
      </c>
      <c r="BP34" s="43" t="n">
        <v>65</v>
      </c>
      <c r="BQ34" s="44" t="n">
        <v>90</v>
      </c>
      <c r="BR34" s="42" t="n">
        <v>26</v>
      </c>
      <c r="BS34" s="45" t="n">
        <v>60</v>
      </c>
      <c r="BT34" s="45" t="n">
        <v>86</v>
      </c>
      <c r="BU34" s="46" t="n">
        <v>100</v>
      </c>
      <c r="BV34" s="47" t="n">
        <v>98</v>
      </c>
      <c r="BW34" s="42" t="n">
        <v>96</v>
      </c>
      <c r="BX34" s="48" t="n">
        <v>92</v>
      </c>
      <c r="BY34" s="32" t="n">
        <v>26</v>
      </c>
      <c r="BZ34" s="32" t="n">
        <v>60</v>
      </c>
      <c r="CA34" s="32" t="n">
        <v>86</v>
      </c>
      <c r="CB34" s="32" t="n">
        <v>24</v>
      </c>
      <c r="CC34" s="32" t="n">
        <v>42</v>
      </c>
      <c r="CD34" s="32" t="n">
        <v>66</v>
      </c>
      <c r="CE34" s="32" t="n">
        <v>24</v>
      </c>
      <c r="CF34" s="32" t="n">
        <v>64</v>
      </c>
      <c r="CG34" s="32" t="n">
        <v>88</v>
      </c>
      <c r="CH34" s="32" t="n">
        <v>95</v>
      </c>
      <c r="CI34" s="32" t="n">
        <v>99</v>
      </c>
      <c r="CJ34" s="49" t="n">
        <v>24</v>
      </c>
      <c r="CK34" s="58" t="n">
        <v>59</v>
      </c>
      <c r="CL34" s="59" t="n">
        <v>83</v>
      </c>
      <c r="CM34" s="49" t="n">
        <v>23</v>
      </c>
      <c r="CN34" s="49" t="n">
        <v>61</v>
      </c>
      <c r="CO34" s="49" t="n">
        <v>84</v>
      </c>
      <c r="CP34" s="25" t="n">
        <f aca="false">BX34+BW34+BV34+BU34+BT34+BQ34+BN34</f>
        <v>647</v>
      </c>
      <c r="CQ34" s="25" t="n">
        <f aca="false">CO34+CL34+CI34+CH34+CG34+CD34+CA34</f>
        <v>601</v>
      </c>
      <c r="CR34" s="26" t="n">
        <f aca="false">CP34/7</f>
        <v>92.4285714285714</v>
      </c>
      <c r="CS34" s="26" t="n">
        <f aca="false">CQ34/7</f>
        <v>85.8571428571429</v>
      </c>
      <c r="CT34" s="24" t="n">
        <f aca="false">RANK(CR34,$CR$2:$CR$881,0)</f>
        <v>74</v>
      </c>
      <c r="CU34" s="25" t="n">
        <f aca="false">RANK(CS34,$CS$2:$CS$881,0)</f>
        <v>80</v>
      </c>
      <c r="CV34" s="26" t="n">
        <f aca="false">(CS34+CR34)/2</f>
        <v>89.1428571428571</v>
      </c>
      <c r="CW34" s="25" t="n">
        <f aca="false">RANK(CV34,$CV$2:$CV$881,0)</f>
        <v>66</v>
      </c>
      <c r="CX34" s="50" t="n">
        <f aca="false">(CV34+BB34)/2</f>
        <v>88.0214285714286</v>
      </c>
      <c r="CY34" s="50" t="n">
        <v>127</v>
      </c>
      <c r="CZ34" s="27" t="s">
        <v>132</v>
      </c>
      <c r="DA34" s="27" t="s">
        <v>202</v>
      </c>
      <c r="DB34" s="27" t="s">
        <v>202</v>
      </c>
      <c r="DC34" s="27" t="s">
        <v>134</v>
      </c>
      <c r="DD34" s="27" t="s">
        <v>135</v>
      </c>
      <c r="DE34" s="27" t="s">
        <v>152</v>
      </c>
      <c r="DF34" s="27" t="s">
        <v>162</v>
      </c>
      <c r="DG34" s="27" t="s">
        <v>134</v>
      </c>
      <c r="DH34" s="27" t="s">
        <v>137</v>
      </c>
      <c r="DI34" s="27" t="s">
        <v>138</v>
      </c>
      <c r="DJ34" s="27" t="s">
        <v>139</v>
      </c>
      <c r="DK34" s="27" t="s">
        <v>134</v>
      </c>
      <c r="DL34" s="27" t="s">
        <v>164</v>
      </c>
      <c r="DM34" s="27" t="s">
        <v>177</v>
      </c>
      <c r="DN34" s="27" t="s">
        <v>178</v>
      </c>
      <c r="DO34" s="27" t="s">
        <v>134</v>
      </c>
      <c r="DP34" s="27" t="s">
        <v>160</v>
      </c>
      <c r="DQ34" s="27" t="s">
        <v>141</v>
      </c>
      <c r="DR34" s="27" t="s">
        <v>139</v>
      </c>
      <c r="DS34" s="27" t="s">
        <v>134</v>
      </c>
      <c r="DT34" s="27" t="s">
        <v>140</v>
      </c>
      <c r="DU34" s="27" t="s">
        <v>141</v>
      </c>
      <c r="DV34" s="27" t="s">
        <v>142</v>
      </c>
      <c r="DW34" s="27" t="s">
        <v>160</v>
      </c>
      <c r="DX34" s="27" t="s">
        <v>143</v>
      </c>
      <c r="DY34" s="27" t="s">
        <v>142</v>
      </c>
      <c r="DZ34" s="27" t="n">
        <f aca="false">DY34+DV34+DR34+DN34+DJ34+DF34+DB34</f>
        <v>644</v>
      </c>
      <c r="EA34" s="28" t="n">
        <f aca="false">DZ34/7</f>
        <v>92</v>
      </c>
      <c r="EB34" s="27" t="n">
        <f aca="false">RANK(EA34,$EA$2:$EA$881,0)</f>
        <v>15</v>
      </c>
      <c r="EC34" s="29" t="n">
        <f aca="false">DZ34+CQ34+CP34+AZ34</f>
        <v>2761</v>
      </c>
      <c r="ED34" s="30" t="n">
        <f aca="false">(EA34+CV34+BB34)/3</f>
        <v>89.3476190476191</v>
      </c>
      <c r="EE34" s="51" t="n">
        <f aca="false">ROUND(BE34,3)</f>
        <v>92.087</v>
      </c>
      <c r="EF34" s="51" t="n">
        <f aca="false">ROUND(CR34,3)</f>
        <v>92.429</v>
      </c>
      <c r="EG34" s="51" t="n">
        <f aca="false">ROUND(CS34,3)</f>
        <v>85.857</v>
      </c>
      <c r="EH34" s="51" t="n">
        <f aca="false">ROUND(EA34,3)</f>
        <v>92</v>
      </c>
      <c r="EI34" s="51" t="n">
        <f aca="false">ROUND(ED34,3)</f>
        <v>89.348</v>
      </c>
      <c r="EJ34" s="51" t="n">
        <f aca="false">ROUND(CV34,3)</f>
        <v>89.143</v>
      </c>
      <c r="EK34" s="0" t="n">
        <f aca="false">RANK(EI34,$EI$2:$EI$881,0)</f>
        <v>33</v>
      </c>
    </row>
    <row r="35" customFormat="false" ht="15" hidden="false" customHeight="false" outlineLevel="0" collapsed="false">
      <c r="A35" s="4" t="n">
        <v>9000</v>
      </c>
      <c r="B35" s="4" t="n">
        <v>511</v>
      </c>
      <c r="C35" s="27" t="s">
        <v>275</v>
      </c>
      <c r="D35" s="31" t="n">
        <v>516</v>
      </c>
      <c r="E35" s="32" t="n">
        <v>230315233</v>
      </c>
      <c r="F35" s="8" t="s">
        <v>276</v>
      </c>
      <c r="G35" s="22" t="s">
        <v>277</v>
      </c>
      <c r="H35" s="22" t="s">
        <v>129</v>
      </c>
      <c r="I35" s="33" t="n">
        <v>2005</v>
      </c>
      <c r="J35" s="32" t="n">
        <v>68</v>
      </c>
      <c r="K35" s="32" t="n">
        <v>82</v>
      </c>
      <c r="L35" s="34" t="n">
        <f aca="false">(K35*70)/100</f>
        <v>57.4</v>
      </c>
      <c r="M35" s="34" t="n">
        <f aca="false">ROUNDUP(L35,0)</f>
        <v>58</v>
      </c>
      <c r="N35" s="32" t="n">
        <v>29</v>
      </c>
      <c r="O35" s="34" t="n">
        <f aca="false">N35+L35</f>
        <v>86.4</v>
      </c>
      <c r="P35" s="34" t="n">
        <f aca="false">N35+M35</f>
        <v>87</v>
      </c>
      <c r="Q35" s="32" t="n">
        <v>76</v>
      </c>
      <c r="R35" s="32" t="n">
        <v>82</v>
      </c>
      <c r="S35" s="34" t="n">
        <f aca="false">(R35*70)/100</f>
        <v>57.4</v>
      </c>
      <c r="T35" s="34" t="n">
        <f aca="false">ROUNDUP(S35,0)</f>
        <v>58</v>
      </c>
      <c r="U35" s="32" t="n">
        <v>28</v>
      </c>
      <c r="V35" s="34" t="n">
        <f aca="false">U35+S35</f>
        <v>85.4</v>
      </c>
      <c r="W35" s="34" t="n">
        <f aca="false">U35+T35</f>
        <v>86</v>
      </c>
      <c r="X35" s="32" t="n">
        <v>78</v>
      </c>
      <c r="Y35" s="34" t="n">
        <f aca="false">(X35*70)/100</f>
        <v>54.6</v>
      </c>
      <c r="Z35" s="34" t="n">
        <f aca="false">ROUNDUP(Y35,0)</f>
        <v>55</v>
      </c>
      <c r="AA35" s="32" t="n">
        <v>27</v>
      </c>
      <c r="AB35" s="34" t="n">
        <f aca="false">AA35+Y35</f>
        <v>81.6</v>
      </c>
      <c r="AC35" s="34" t="n">
        <f aca="false">AA35+Z35</f>
        <v>82</v>
      </c>
      <c r="AD35" s="32" t="n">
        <f aca="false">X35+R35+Q35+K35+J35</f>
        <v>386</v>
      </c>
      <c r="AE35" s="16" t="n">
        <f aca="false">AD35/5</f>
        <v>77.2</v>
      </c>
      <c r="AF35" s="16" t="n">
        <v>78</v>
      </c>
      <c r="AG35" s="16" t="n">
        <v>85</v>
      </c>
      <c r="AH35" s="16" t="n">
        <v>96</v>
      </c>
      <c r="AI35" s="16" t="n">
        <v>93</v>
      </c>
      <c r="AJ35" s="16" t="n">
        <f aca="false">(AI35*70)/100</f>
        <v>65.1</v>
      </c>
      <c r="AK35" s="35" t="n">
        <f aca="false">ROUNDUP(AJ35,0)</f>
        <v>66</v>
      </c>
      <c r="AL35" s="16" t="n">
        <v>25</v>
      </c>
      <c r="AM35" s="16" t="n">
        <f aca="false">AL35+AJ35</f>
        <v>90.1</v>
      </c>
      <c r="AN35" s="16" t="n">
        <f aca="false">AL35+AK35</f>
        <v>91</v>
      </c>
      <c r="AO35" s="16" t="n">
        <v>84</v>
      </c>
      <c r="AP35" s="36" t="n">
        <f aca="false">(AO35*70)/100</f>
        <v>58.8</v>
      </c>
      <c r="AQ35" s="37" t="n">
        <f aca="false">ROUNDUP(AP35,0)</f>
        <v>59</v>
      </c>
      <c r="AR35" s="16" t="n">
        <v>28</v>
      </c>
      <c r="AS35" s="16" t="n">
        <f aca="false">AR35+AP35</f>
        <v>86.8</v>
      </c>
      <c r="AT35" s="16" t="n">
        <f aca="false">AR35+AQ35</f>
        <v>87</v>
      </c>
      <c r="AU35" s="16" t="n">
        <f aca="false">AO35+AF35+AI35+AH35+AG35</f>
        <v>436</v>
      </c>
      <c r="AV35" s="16" t="n">
        <f aca="false">(AO35+AF35+AI35+AH35+AG35)/5</f>
        <v>87.2</v>
      </c>
      <c r="AW35" s="36" t="n">
        <f aca="false">(AO35+AF35+AI35+AH35+AG35+X35+R35+Q35+K35+J35)</f>
        <v>822</v>
      </c>
      <c r="AX35" s="16" t="n">
        <f aca="false">AW35/10</f>
        <v>82.2</v>
      </c>
      <c r="AY35" s="16" t="n">
        <f aca="false">AS35+AF35+AM35+AH35+AG35+AB35+V35+Q35+O35+J35</f>
        <v>833.3</v>
      </c>
      <c r="AZ35" s="16" t="n">
        <f aca="false">AT35+AF35+AN35+AH35+AG35+AC35+W35+Q35+P35+J35</f>
        <v>836</v>
      </c>
      <c r="BA35" s="16" t="n">
        <f aca="false">AY35/10</f>
        <v>83.33</v>
      </c>
      <c r="BB35" s="16" t="n">
        <f aca="false">AZ35/10</f>
        <v>83.6</v>
      </c>
      <c r="BC35" s="16" t="n">
        <v>2358</v>
      </c>
      <c r="BD35" s="16" t="n">
        <f aca="false">RANK(AX35,$AX$2:$AX$881,0)</f>
        <v>156</v>
      </c>
      <c r="BE35" s="54" t="n">
        <f aca="false">((BC35*100)/2400)*0.4+(AX35*0.6)</f>
        <v>88.62</v>
      </c>
      <c r="BF35" s="16" t="n">
        <f aca="false">RANK(BE35,$BE$2:$BE$881,0)</f>
        <v>151</v>
      </c>
      <c r="BG35" s="39" t="n">
        <f aca="false">RANK(BB35,$BB$2:$BB$881,0)</f>
        <v>138</v>
      </c>
      <c r="BH35" s="39" t="n">
        <f aca="false">RANK(BC35,$BC$2:$BC$881,0)</f>
        <v>429</v>
      </c>
      <c r="BI35" s="22" t="s">
        <v>130</v>
      </c>
      <c r="BJ35" s="22" t="s">
        <v>129</v>
      </c>
      <c r="BK35" s="40" t="s">
        <v>131</v>
      </c>
      <c r="BL35" s="41" t="n">
        <v>28</v>
      </c>
      <c r="BM35" s="41" t="n">
        <v>61</v>
      </c>
      <c r="BN35" s="41" t="n">
        <v>89</v>
      </c>
      <c r="BO35" s="42" t="n">
        <v>28</v>
      </c>
      <c r="BP35" s="43" t="n">
        <v>66</v>
      </c>
      <c r="BQ35" s="44" t="n">
        <v>94</v>
      </c>
      <c r="BR35" s="42" t="n">
        <v>29</v>
      </c>
      <c r="BS35" s="45" t="n">
        <v>58</v>
      </c>
      <c r="BT35" s="45" t="n">
        <v>87</v>
      </c>
      <c r="BU35" s="46" t="n">
        <v>100</v>
      </c>
      <c r="BV35" s="47" t="n">
        <v>84</v>
      </c>
      <c r="BW35" s="42" t="n">
        <v>99</v>
      </c>
      <c r="BX35" s="48" t="n">
        <v>96</v>
      </c>
      <c r="BY35" s="32" t="n">
        <v>27</v>
      </c>
      <c r="BZ35" s="32" t="n">
        <v>58</v>
      </c>
      <c r="CA35" s="32" t="n">
        <v>85</v>
      </c>
      <c r="CB35" s="32" t="n">
        <v>27</v>
      </c>
      <c r="CC35" s="32" t="n">
        <v>59</v>
      </c>
      <c r="CD35" s="32" t="n">
        <v>86</v>
      </c>
      <c r="CE35" s="32" t="n">
        <v>27</v>
      </c>
      <c r="CF35" s="32" t="n">
        <v>63</v>
      </c>
      <c r="CG35" s="32" t="n">
        <v>90</v>
      </c>
      <c r="CH35" s="32" t="n">
        <v>96</v>
      </c>
      <c r="CI35" s="32" t="n">
        <v>99</v>
      </c>
      <c r="CJ35" s="49" t="n">
        <v>25</v>
      </c>
      <c r="CK35" s="49" t="n">
        <v>60</v>
      </c>
      <c r="CL35" s="49" t="n">
        <v>85</v>
      </c>
      <c r="CM35" s="49" t="n">
        <v>26</v>
      </c>
      <c r="CN35" s="49" t="n">
        <v>58</v>
      </c>
      <c r="CO35" s="49" t="n">
        <v>84</v>
      </c>
      <c r="CP35" s="25" t="n">
        <f aca="false">BX35+BW35+BV35+BU35+BT35+BQ35+BN35</f>
        <v>649</v>
      </c>
      <c r="CQ35" s="25" t="n">
        <f aca="false">CO35+CL35+CI35+CH35+CG35+CD35+CA35</f>
        <v>625</v>
      </c>
      <c r="CR35" s="26" t="n">
        <f aca="false">CP35/7</f>
        <v>92.7142857142857</v>
      </c>
      <c r="CS35" s="26" t="n">
        <f aca="false">CQ35/7</f>
        <v>89.2857142857143</v>
      </c>
      <c r="CT35" s="24" t="n">
        <f aca="false">RANK(CR35,$CR$2:$CR$881,0)</f>
        <v>58</v>
      </c>
      <c r="CU35" s="25" t="n">
        <f aca="false">RANK(CS35,$CS$2:$CS$881,0)</f>
        <v>29</v>
      </c>
      <c r="CV35" s="26" t="n">
        <f aca="false">(CS35+CR35)/2</f>
        <v>91</v>
      </c>
      <c r="CW35" s="25" t="n">
        <f aca="false">RANK(CV35,$CV$2:$CV$881,0)</f>
        <v>38</v>
      </c>
      <c r="CX35" s="50" t="n">
        <f aca="false">(CV35+BB35)/2</f>
        <v>87.3</v>
      </c>
      <c r="CY35" s="50" t="n">
        <v>67</v>
      </c>
      <c r="CZ35" s="27" t="s">
        <v>132</v>
      </c>
      <c r="DA35" s="27" t="s">
        <v>153</v>
      </c>
      <c r="DB35" s="27" t="s">
        <v>153</v>
      </c>
      <c r="DC35" s="27" t="s">
        <v>134</v>
      </c>
      <c r="DD35" s="27" t="s">
        <v>164</v>
      </c>
      <c r="DE35" s="27" t="s">
        <v>152</v>
      </c>
      <c r="DF35" s="27" t="s">
        <v>170</v>
      </c>
      <c r="DG35" s="27" t="s">
        <v>134</v>
      </c>
      <c r="DH35" s="27" t="s">
        <v>164</v>
      </c>
      <c r="DI35" s="27" t="s">
        <v>163</v>
      </c>
      <c r="DJ35" s="27" t="s">
        <v>176</v>
      </c>
      <c r="DK35" s="27" t="s">
        <v>134</v>
      </c>
      <c r="DL35" s="27" t="s">
        <v>182</v>
      </c>
      <c r="DM35" s="27" t="s">
        <v>141</v>
      </c>
      <c r="DN35" s="27" t="s">
        <v>170</v>
      </c>
      <c r="DO35" s="27" t="s">
        <v>134</v>
      </c>
      <c r="DP35" s="27" t="s">
        <v>137</v>
      </c>
      <c r="DQ35" s="27" t="s">
        <v>143</v>
      </c>
      <c r="DR35" s="27" t="s">
        <v>156</v>
      </c>
      <c r="DS35" s="27" t="s">
        <v>134</v>
      </c>
      <c r="DT35" s="27" t="s">
        <v>146</v>
      </c>
      <c r="DU35" s="27" t="s">
        <v>163</v>
      </c>
      <c r="DV35" s="27" t="s">
        <v>139</v>
      </c>
      <c r="DW35" s="27" t="s">
        <v>140</v>
      </c>
      <c r="DX35" s="27" t="s">
        <v>155</v>
      </c>
      <c r="DY35" s="27" t="s">
        <v>147</v>
      </c>
      <c r="DZ35" s="27" t="n">
        <f aca="false">DY35+DV35+DR35+DN35+DJ35+DF35+DB35</f>
        <v>652</v>
      </c>
      <c r="EA35" s="28" t="n">
        <f aca="false">DZ35/7</f>
        <v>93.1428571428571</v>
      </c>
      <c r="EB35" s="27" t="n">
        <f aca="false">RANK(EA35,$EA$2:$EA$881,0)</f>
        <v>5</v>
      </c>
      <c r="EC35" s="29" t="n">
        <f aca="false">DZ35+CQ35+CP35+AZ35</f>
        <v>2762</v>
      </c>
      <c r="ED35" s="30" t="n">
        <f aca="false">(EA35+CV35+BB35)/3</f>
        <v>89.247619047619</v>
      </c>
      <c r="EE35" s="51" t="n">
        <f aca="false">ROUND(BE35,3)</f>
        <v>88.62</v>
      </c>
      <c r="EF35" s="51" t="n">
        <f aca="false">ROUND(CR35,3)</f>
        <v>92.714</v>
      </c>
      <c r="EG35" s="51" t="n">
        <f aca="false">ROUND(CS35,3)</f>
        <v>89.286</v>
      </c>
      <c r="EH35" s="51" t="n">
        <f aca="false">ROUND(EA35,3)</f>
        <v>93.143</v>
      </c>
      <c r="EI35" s="51" t="n">
        <f aca="false">ROUND(ED35,3)</f>
        <v>89.248</v>
      </c>
      <c r="EJ35" s="51" t="n">
        <f aca="false">ROUND(CV35,3)</f>
        <v>91</v>
      </c>
      <c r="EK35" s="0" t="n">
        <f aca="false">RANK(EI35,$EI$2:$EI$881,0)</f>
        <v>34</v>
      </c>
    </row>
    <row r="36" customFormat="false" ht="15" hidden="false" customHeight="false" outlineLevel="0" collapsed="false">
      <c r="A36" s="4" t="n">
        <v>8737</v>
      </c>
      <c r="B36" s="4" t="n">
        <v>390</v>
      </c>
      <c r="C36" s="27" t="s">
        <v>278</v>
      </c>
      <c r="D36" s="31" t="n">
        <v>394</v>
      </c>
      <c r="E36" s="32" t="n">
        <v>230319751</v>
      </c>
      <c r="F36" s="8" t="s">
        <v>279</v>
      </c>
      <c r="G36" s="22" t="s">
        <v>280</v>
      </c>
      <c r="H36" s="22" t="s">
        <v>129</v>
      </c>
      <c r="I36" s="33" t="n">
        <v>2005</v>
      </c>
      <c r="J36" s="32" t="n">
        <v>82</v>
      </c>
      <c r="K36" s="32" t="n">
        <v>94</v>
      </c>
      <c r="L36" s="34" t="n">
        <f aca="false">(K36*70)/100</f>
        <v>65.8</v>
      </c>
      <c r="M36" s="34" t="n">
        <f aca="false">ROUNDUP(L36,0)</f>
        <v>66</v>
      </c>
      <c r="N36" s="32" t="n">
        <v>28</v>
      </c>
      <c r="O36" s="34" t="n">
        <f aca="false">N36+L36</f>
        <v>93.8</v>
      </c>
      <c r="P36" s="34" t="n">
        <f aca="false">N36+M36</f>
        <v>94</v>
      </c>
      <c r="Q36" s="32" t="n">
        <v>89</v>
      </c>
      <c r="R36" s="32" t="n">
        <v>87</v>
      </c>
      <c r="S36" s="34" t="n">
        <f aca="false">(R36*70)/100</f>
        <v>60.9</v>
      </c>
      <c r="T36" s="34" t="n">
        <f aca="false">ROUNDUP(S36,0)</f>
        <v>61</v>
      </c>
      <c r="U36" s="32" t="n">
        <v>24</v>
      </c>
      <c r="V36" s="34" t="n">
        <f aca="false">U36+S36</f>
        <v>84.9</v>
      </c>
      <c r="W36" s="34" t="n">
        <f aca="false">U36+T36</f>
        <v>85</v>
      </c>
      <c r="X36" s="32" t="n">
        <v>82</v>
      </c>
      <c r="Y36" s="34" t="n">
        <f aca="false">(X36*70)/100</f>
        <v>57.4</v>
      </c>
      <c r="Z36" s="34" t="n">
        <f aca="false">ROUNDUP(Y36,0)</f>
        <v>58</v>
      </c>
      <c r="AA36" s="32" t="n">
        <v>28</v>
      </c>
      <c r="AB36" s="34" t="n">
        <f aca="false">AA36+Y36</f>
        <v>85.4</v>
      </c>
      <c r="AC36" s="34" t="n">
        <f aca="false">AA36+Z36</f>
        <v>86</v>
      </c>
      <c r="AD36" s="32" t="n">
        <f aca="false">X36+R36+Q36+K36+J36</f>
        <v>434</v>
      </c>
      <c r="AE36" s="16" t="n">
        <f aca="false">AD36/5</f>
        <v>86.8</v>
      </c>
      <c r="AF36" s="16" t="n">
        <v>80</v>
      </c>
      <c r="AG36" s="16" t="n">
        <v>88</v>
      </c>
      <c r="AH36" s="16" t="n">
        <v>95</v>
      </c>
      <c r="AI36" s="16" t="n">
        <v>94</v>
      </c>
      <c r="AJ36" s="16" t="n">
        <f aca="false">(AI36*70)/100</f>
        <v>65.8</v>
      </c>
      <c r="AK36" s="35" t="n">
        <f aca="false">ROUNDUP(AJ36,0)</f>
        <v>66</v>
      </c>
      <c r="AL36" s="16" t="n">
        <v>27</v>
      </c>
      <c r="AM36" s="16" t="n">
        <f aca="false">AL36+AJ36</f>
        <v>92.8</v>
      </c>
      <c r="AN36" s="16" t="n">
        <f aca="false">AL36+AK36</f>
        <v>93</v>
      </c>
      <c r="AO36" s="16" t="n">
        <v>77</v>
      </c>
      <c r="AP36" s="36" t="n">
        <f aca="false">(AO36*70)/100</f>
        <v>53.9</v>
      </c>
      <c r="AQ36" s="37" t="n">
        <f aca="false">ROUNDUP(AP36,0)</f>
        <v>54</v>
      </c>
      <c r="AR36" s="16" t="n">
        <v>29</v>
      </c>
      <c r="AS36" s="16" t="n">
        <f aca="false">AR36+AP36</f>
        <v>82.9</v>
      </c>
      <c r="AT36" s="16" t="n">
        <f aca="false">AR36+AQ36</f>
        <v>83</v>
      </c>
      <c r="AU36" s="16" t="n">
        <f aca="false">AO36+AF36+AI36+AH36+AG36</f>
        <v>434</v>
      </c>
      <c r="AV36" s="16" t="n">
        <f aca="false">(AO36+AF36+AI36+AH36+AG36)/5</f>
        <v>86.8</v>
      </c>
      <c r="AW36" s="36" t="n">
        <f aca="false">(AO36+AF36+AI36+AH36+AG36+X36+R36+Q36+K36+J36)</f>
        <v>868</v>
      </c>
      <c r="AX36" s="16" t="n">
        <f aca="false">AW36/10</f>
        <v>86.8</v>
      </c>
      <c r="AY36" s="16" t="n">
        <f aca="false">AS36+AF36+AM36+AH36+AG36+AB36+V36+Q36+O36+J36</f>
        <v>873.8</v>
      </c>
      <c r="AZ36" s="16" t="n">
        <f aca="false">AT36+AF36+AN36+AH36+AG36+AC36+W36+Q36+P36+J36</f>
        <v>875</v>
      </c>
      <c r="BA36" s="16" t="n">
        <f aca="false">AY36/10</f>
        <v>87.38</v>
      </c>
      <c r="BB36" s="16" t="n">
        <f aca="false">AZ36/10</f>
        <v>87.5</v>
      </c>
      <c r="BC36" s="16" t="n">
        <v>2363</v>
      </c>
      <c r="BD36" s="16" t="n">
        <f aca="false">RANK(AX36,$AX$2:$AX$881,0)</f>
        <v>52</v>
      </c>
      <c r="BE36" s="38" t="n">
        <f aca="false">((BC36*100)/2400)*0.4+(AX36*0.6)</f>
        <v>91.4633333333333</v>
      </c>
      <c r="BF36" s="16" t="n">
        <f aca="false">RANK(BE36,$BE$2:$BE$881,0)</f>
        <v>61</v>
      </c>
      <c r="BG36" s="39" t="n">
        <f aca="false">RANK(BB36,$BB$2:$BB$881,0)</f>
        <v>47</v>
      </c>
      <c r="BH36" s="39" t="n">
        <f aca="false">RANK(BC36,$BC$2:$BC$881,0)</f>
        <v>356</v>
      </c>
      <c r="BI36" s="22" t="s">
        <v>130</v>
      </c>
      <c r="BJ36" s="22" t="s">
        <v>129</v>
      </c>
      <c r="BK36" s="40" t="s">
        <v>131</v>
      </c>
      <c r="BL36" s="41" t="n">
        <v>25</v>
      </c>
      <c r="BM36" s="41" t="n">
        <v>53</v>
      </c>
      <c r="BN36" s="41" t="n">
        <v>78</v>
      </c>
      <c r="BO36" s="42" t="n">
        <v>27</v>
      </c>
      <c r="BP36" s="43" t="n">
        <v>67</v>
      </c>
      <c r="BQ36" s="44" t="n">
        <v>94</v>
      </c>
      <c r="BR36" s="42" t="n">
        <v>26</v>
      </c>
      <c r="BS36" s="45" t="n">
        <v>60</v>
      </c>
      <c r="BT36" s="45" t="n">
        <v>86</v>
      </c>
      <c r="BU36" s="46" t="n">
        <v>100</v>
      </c>
      <c r="BV36" s="47" t="n">
        <v>86</v>
      </c>
      <c r="BW36" s="42" t="n">
        <v>100</v>
      </c>
      <c r="BX36" s="48" t="n">
        <v>94</v>
      </c>
      <c r="BY36" s="32" t="n">
        <v>28</v>
      </c>
      <c r="BZ36" s="32" t="n">
        <v>58</v>
      </c>
      <c r="CA36" s="32" t="n">
        <v>86</v>
      </c>
      <c r="CB36" s="32" t="n">
        <v>25</v>
      </c>
      <c r="CC36" s="32" t="n">
        <v>50</v>
      </c>
      <c r="CD36" s="32" t="n">
        <v>75</v>
      </c>
      <c r="CE36" s="32" t="n">
        <v>29</v>
      </c>
      <c r="CF36" s="32" t="n">
        <v>58</v>
      </c>
      <c r="CG36" s="32" t="n">
        <v>87</v>
      </c>
      <c r="CH36" s="32" t="n">
        <v>92</v>
      </c>
      <c r="CI36" s="32" t="n">
        <v>100</v>
      </c>
      <c r="CJ36" s="49" t="n">
        <v>26</v>
      </c>
      <c r="CK36" s="49" t="n">
        <v>60</v>
      </c>
      <c r="CL36" s="49" t="n">
        <v>86</v>
      </c>
      <c r="CM36" s="49" t="n">
        <v>26</v>
      </c>
      <c r="CN36" s="49" t="n">
        <v>56</v>
      </c>
      <c r="CO36" s="49" t="n">
        <v>82</v>
      </c>
      <c r="CP36" s="25" t="n">
        <f aca="false">BX36+BW36+BV36+BU36+BT36+BQ36+BN36</f>
        <v>638</v>
      </c>
      <c r="CQ36" s="25" t="n">
        <f aca="false">CO36+CL36+CI36+CH36+CG36+CD36+CA36</f>
        <v>608</v>
      </c>
      <c r="CR36" s="26" t="n">
        <f aca="false">CP36/7</f>
        <v>91.1428571428571</v>
      </c>
      <c r="CS36" s="26" t="n">
        <f aca="false">CQ36/7</f>
        <v>86.8571428571429</v>
      </c>
      <c r="CT36" s="24" t="n">
        <f aca="false">RANK(CR36,$CR$2:$CR$881,0)</f>
        <v>124</v>
      </c>
      <c r="CU36" s="25" t="n">
        <f aca="false">RANK(CS36,$CS$2:$CS$881,0)</f>
        <v>61</v>
      </c>
      <c r="CV36" s="26" t="n">
        <f aca="false">(CS36+CR36)/2</f>
        <v>89</v>
      </c>
      <c r="CW36" s="25" t="n">
        <f aca="false">RANK(CV36,$CV$2:$CV$881,0)</f>
        <v>68</v>
      </c>
      <c r="CX36" s="50" t="n">
        <f aca="false">(CV36+BB36)/2</f>
        <v>88.25</v>
      </c>
      <c r="CY36" s="50" t="n">
        <v>45</v>
      </c>
      <c r="CZ36" s="27" t="s">
        <v>132</v>
      </c>
      <c r="DA36" s="27" t="s">
        <v>162</v>
      </c>
      <c r="DB36" s="27" t="s">
        <v>162</v>
      </c>
      <c r="DC36" s="27" t="s">
        <v>134</v>
      </c>
      <c r="DD36" s="27" t="s">
        <v>140</v>
      </c>
      <c r="DE36" s="27" t="s">
        <v>204</v>
      </c>
      <c r="DF36" s="27" t="s">
        <v>133</v>
      </c>
      <c r="DG36" s="27" t="s">
        <v>134</v>
      </c>
      <c r="DH36" s="27" t="s">
        <v>137</v>
      </c>
      <c r="DI36" s="27" t="s">
        <v>161</v>
      </c>
      <c r="DJ36" s="27" t="s">
        <v>178</v>
      </c>
      <c r="DK36" s="27" t="s">
        <v>134</v>
      </c>
      <c r="DL36" s="27" t="s">
        <v>164</v>
      </c>
      <c r="DM36" s="27" t="s">
        <v>187</v>
      </c>
      <c r="DN36" s="27" t="s">
        <v>151</v>
      </c>
      <c r="DO36" s="27" t="s">
        <v>134</v>
      </c>
      <c r="DP36" s="27" t="s">
        <v>137</v>
      </c>
      <c r="DQ36" s="27" t="s">
        <v>161</v>
      </c>
      <c r="DR36" s="27" t="s">
        <v>178</v>
      </c>
      <c r="DS36" s="27" t="s">
        <v>134</v>
      </c>
      <c r="DT36" s="27" t="s">
        <v>146</v>
      </c>
      <c r="DU36" s="27" t="s">
        <v>163</v>
      </c>
      <c r="DV36" s="27" t="s">
        <v>139</v>
      </c>
      <c r="DW36" s="27" t="s">
        <v>140</v>
      </c>
      <c r="DX36" s="27" t="s">
        <v>155</v>
      </c>
      <c r="DY36" s="27" t="s">
        <v>147</v>
      </c>
      <c r="DZ36" s="27" t="n">
        <f aca="false">DY36+DV36+DR36+DN36+DJ36+DF36+DB36</f>
        <v>638</v>
      </c>
      <c r="EA36" s="28" t="n">
        <f aca="false">DZ36/7</f>
        <v>91.1428571428571</v>
      </c>
      <c r="EB36" s="27" t="n">
        <f aca="false">RANK(EA36,$EA$2:$EA$881,0)</f>
        <v>34</v>
      </c>
      <c r="EC36" s="29" t="n">
        <f aca="false">DZ36+CQ36+CP36+AZ36</f>
        <v>2759</v>
      </c>
      <c r="ED36" s="30" t="n">
        <f aca="false">(EA36+CV36+BB36)/3</f>
        <v>89.2142857142857</v>
      </c>
      <c r="EE36" s="51" t="n">
        <f aca="false">ROUND(BE36,3)</f>
        <v>91.463</v>
      </c>
      <c r="EF36" s="51" t="n">
        <f aca="false">ROUND(CR36,3)</f>
        <v>91.143</v>
      </c>
      <c r="EG36" s="51" t="n">
        <f aca="false">ROUND(CS36,3)</f>
        <v>86.857</v>
      </c>
      <c r="EH36" s="51" t="n">
        <f aca="false">ROUND(EA36,3)</f>
        <v>91.143</v>
      </c>
      <c r="EI36" s="51" t="n">
        <f aca="false">ROUND(ED36,3)</f>
        <v>89.214</v>
      </c>
      <c r="EJ36" s="51" t="n">
        <f aca="false">ROUND(CV36,3)</f>
        <v>89</v>
      </c>
      <c r="EK36" s="0" t="n">
        <f aca="false">RANK(EI36,$EI$2:$EI$881,0)</f>
        <v>35</v>
      </c>
    </row>
    <row r="37" customFormat="false" ht="15" hidden="false" customHeight="false" outlineLevel="0" collapsed="false">
      <c r="A37" s="4" t="n">
        <v>8631</v>
      </c>
      <c r="B37" s="4" t="n">
        <v>68</v>
      </c>
      <c r="C37" s="27" t="s">
        <v>281</v>
      </c>
      <c r="D37" s="52" t="n">
        <v>70</v>
      </c>
      <c r="E37" s="32" t="n">
        <v>230323852</v>
      </c>
      <c r="F37" s="8" t="s">
        <v>282</v>
      </c>
      <c r="G37" s="22" t="s">
        <v>283</v>
      </c>
      <c r="H37" s="22" t="s">
        <v>129</v>
      </c>
      <c r="I37" s="33" t="n">
        <v>2005</v>
      </c>
      <c r="J37" s="32" t="n">
        <v>90</v>
      </c>
      <c r="K37" s="32" t="n">
        <v>84</v>
      </c>
      <c r="L37" s="34" t="n">
        <f aca="false">(K37*70)/100</f>
        <v>58.8</v>
      </c>
      <c r="M37" s="34" t="n">
        <f aca="false">ROUNDUP(L37,0)</f>
        <v>59</v>
      </c>
      <c r="N37" s="32" t="n">
        <v>29</v>
      </c>
      <c r="O37" s="34" t="n">
        <f aca="false">N37+L37</f>
        <v>87.8</v>
      </c>
      <c r="P37" s="34" t="n">
        <f aca="false">N37+M37</f>
        <v>88</v>
      </c>
      <c r="Q37" s="32" t="n">
        <v>78</v>
      </c>
      <c r="R37" s="32" t="n">
        <v>71</v>
      </c>
      <c r="S37" s="34" t="n">
        <f aca="false">(R37*70)/100</f>
        <v>49.7</v>
      </c>
      <c r="T37" s="34" t="n">
        <f aca="false">ROUNDUP(S37,0)</f>
        <v>50</v>
      </c>
      <c r="U37" s="32" t="n">
        <v>28</v>
      </c>
      <c r="V37" s="34" t="n">
        <f aca="false">U37+S37</f>
        <v>77.7</v>
      </c>
      <c r="W37" s="34" t="n">
        <f aca="false">U37+T37</f>
        <v>78</v>
      </c>
      <c r="X37" s="32" t="n">
        <v>57</v>
      </c>
      <c r="Y37" s="34" t="n">
        <f aca="false">(X37*70)/100</f>
        <v>39.9</v>
      </c>
      <c r="Z37" s="34" t="n">
        <f aca="false">ROUNDUP(Y37,0)</f>
        <v>40</v>
      </c>
      <c r="AA37" s="32" t="n">
        <v>26</v>
      </c>
      <c r="AB37" s="34" t="n">
        <f aca="false">AA37+Y37</f>
        <v>65.9</v>
      </c>
      <c r="AC37" s="34" t="n">
        <f aca="false">AA37+Z37</f>
        <v>66</v>
      </c>
      <c r="AD37" s="32" t="n">
        <f aca="false">X37+R37+Q37+K37+J37</f>
        <v>380</v>
      </c>
      <c r="AE37" s="16" t="n">
        <f aca="false">AD37/5</f>
        <v>76</v>
      </c>
      <c r="AF37" s="16" t="n">
        <v>79</v>
      </c>
      <c r="AG37" s="16" t="n">
        <v>94</v>
      </c>
      <c r="AH37" s="16" t="n">
        <v>94</v>
      </c>
      <c r="AI37" s="16" t="n">
        <v>93</v>
      </c>
      <c r="AJ37" s="16" t="n">
        <f aca="false">(AI37*70)/100</f>
        <v>65.1</v>
      </c>
      <c r="AK37" s="35" t="n">
        <f aca="false">ROUNDUP(AJ37,0)</f>
        <v>66</v>
      </c>
      <c r="AL37" s="16" t="n">
        <v>28</v>
      </c>
      <c r="AM37" s="16" t="n">
        <f aca="false">AL37+AJ37</f>
        <v>93.1</v>
      </c>
      <c r="AN37" s="16" t="n">
        <f aca="false">AL37+AK37</f>
        <v>94</v>
      </c>
      <c r="AO37" s="16" t="n">
        <v>78</v>
      </c>
      <c r="AP37" s="36" t="n">
        <f aca="false">(AO37*70)/100</f>
        <v>54.6</v>
      </c>
      <c r="AQ37" s="37" t="n">
        <f aca="false">ROUNDUP(AP37,0)</f>
        <v>55</v>
      </c>
      <c r="AR37" s="16" t="n">
        <v>27</v>
      </c>
      <c r="AS37" s="16" t="n">
        <f aca="false">AR37+AP37</f>
        <v>81.6</v>
      </c>
      <c r="AT37" s="16" t="n">
        <f aca="false">AR37+AQ37</f>
        <v>82</v>
      </c>
      <c r="AU37" s="16" t="n">
        <f aca="false">AO37+AF37+AI37+AH37+AG37</f>
        <v>438</v>
      </c>
      <c r="AV37" s="16" t="n">
        <f aca="false">(AO37+AF37+AI37+AH37+AG37)/5</f>
        <v>87.6</v>
      </c>
      <c r="AW37" s="36" t="n">
        <f aca="false">(AO37+AF37+AI37+AH37+AG37+X37+R37+Q37+K37+J37)</f>
        <v>818</v>
      </c>
      <c r="AX37" s="16" t="n">
        <f aca="false">AW37/10</f>
        <v>81.8</v>
      </c>
      <c r="AY37" s="16" t="n">
        <f aca="false">AS37+AF37+AM37+AH37+AG37+AB37+V37+Q37+O37+J37</f>
        <v>841.1</v>
      </c>
      <c r="AZ37" s="16" t="n">
        <f aca="false">AT37+AF37+AN37+AH37+AG37+AC37+W37+Q37+P37+J37</f>
        <v>843</v>
      </c>
      <c r="BA37" s="16" t="n">
        <f aca="false">AY37/10</f>
        <v>84.11</v>
      </c>
      <c r="BB37" s="16" t="n">
        <f aca="false">AZ37/10</f>
        <v>84.3</v>
      </c>
      <c r="BC37" s="16" t="n">
        <v>2353</v>
      </c>
      <c r="BD37" s="16" t="n">
        <f aca="false">RANK(AX37,$AX$2:$AX$881,0)</f>
        <v>171</v>
      </c>
      <c r="BE37" s="54" t="n">
        <f aca="false">((BC37*100)/2400)*0.4+(AX37*0.6)</f>
        <v>88.2966666666667</v>
      </c>
      <c r="BF37" s="16" t="n">
        <f aca="false">RANK(BE37,$BE$2:$BE$881,0)</f>
        <v>182</v>
      </c>
      <c r="BG37" s="39" t="n">
        <f aca="false">RANK(BB37,$BB$2:$BB$881,0)</f>
        <v>116</v>
      </c>
      <c r="BH37" s="39" t="n">
        <f aca="false">RANK(BC37,$BC$2:$BC$881,0)</f>
        <v>507</v>
      </c>
      <c r="BI37" s="22" t="s">
        <v>130</v>
      </c>
      <c r="BJ37" s="22" t="s">
        <v>129</v>
      </c>
      <c r="BK37" s="40" t="s">
        <v>131</v>
      </c>
      <c r="BL37" s="41" t="n">
        <v>27</v>
      </c>
      <c r="BM37" s="41" t="n">
        <v>60</v>
      </c>
      <c r="BN37" s="41" t="n">
        <v>87</v>
      </c>
      <c r="BO37" s="42" t="n">
        <v>27</v>
      </c>
      <c r="BP37" s="43" t="n">
        <v>69</v>
      </c>
      <c r="BQ37" s="44" t="n">
        <v>96</v>
      </c>
      <c r="BR37" s="42" t="n">
        <v>28</v>
      </c>
      <c r="BS37" s="45" t="n">
        <v>65</v>
      </c>
      <c r="BT37" s="45" t="n">
        <v>93</v>
      </c>
      <c r="BU37" s="46" t="n">
        <v>100</v>
      </c>
      <c r="BV37" s="47" t="n">
        <v>96</v>
      </c>
      <c r="BW37" s="42" t="n">
        <v>99</v>
      </c>
      <c r="BX37" s="48" t="n">
        <v>98</v>
      </c>
      <c r="BY37" s="32" t="n">
        <v>29</v>
      </c>
      <c r="BZ37" s="32" t="n">
        <v>64</v>
      </c>
      <c r="CA37" s="32" t="n">
        <v>93</v>
      </c>
      <c r="CB37" s="32" t="n">
        <v>30</v>
      </c>
      <c r="CC37" s="32" t="n">
        <v>49</v>
      </c>
      <c r="CD37" s="32" t="n">
        <v>79</v>
      </c>
      <c r="CE37" s="32" t="n">
        <v>30</v>
      </c>
      <c r="CF37" s="32" t="n">
        <v>64</v>
      </c>
      <c r="CG37" s="32" t="n">
        <v>94</v>
      </c>
      <c r="CH37" s="32" t="n">
        <v>98</v>
      </c>
      <c r="CI37" s="32" t="n">
        <v>99</v>
      </c>
      <c r="CJ37" s="49" t="n">
        <v>30</v>
      </c>
      <c r="CK37" s="49" t="n">
        <v>62</v>
      </c>
      <c r="CL37" s="49" t="n">
        <v>92</v>
      </c>
      <c r="CM37" s="49" t="n">
        <v>28</v>
      </c>
      <c r="CN37" s="49" t="n">
        <v>60</v>
      </c>
      <c r="CO37" s="49" t="n">
        <v>88</v>
      </c>
      <c r="CP37" s="25" t="n">
        <f aca="false">BX37+BW37+BV37+BU37+BT37+BQ37+BN37</f>
        <v>669</v>
      </c>
      <c r="CQ37" s="25" t="n">
        <f aca="false">CO37+CL37+CI37+CH37+CG37+CD37+CA37</f>
        <v>643</v>
      </c>
      <c r="CR37" s="26" t="n">
        <f aca="false">CP37/7</f>
        <v>95.5714285714286</v>
      </c>
      <c r="CS37" s="26" t="n">
        <f aca="false">CQ37/7</f>
        <v>91.8571428571429</v>
      </c>
      <c r="CT37" s="24" t="n">
        <f aca="false">RANK(CR37,$CR$2:$CR$881,0)</f>
        <v>9</v>
      </c>
      <c r="CU37" s="25" t="n">
        <f aca="false">RANK(CS37,$CS$2:$CS$881,0)</f>
        <v>7</v>
      </c>
      <c r="CV37" s="26" t="n">
        <f aca="false">(CS37+CR37)/2</f>
        <v>93.7142857142857</v>
      </c>
      <c r="CW37" s="25" t="n">
        <f aca="false">RANK(CV37,$CV$2:$CV$881,0)</f>
        <v>4</v>
      </c>
      <c r="CX37" s="50" t="n">
        <f aca="false">(CV37+BB37)/2</f>
        <v>89.0071428571429</v>
      </c>
      <c r="CY37" s="50" t="n">
        <v>36</v>
      </c>
      <c r="CZ37" s="27" t="s">
        <v>132</v>
      </c>
      <c r="DA37" s="27" t="s">
        <v>133</v>
      </c>
      <c r="DB37" s="27" t="s">
        <v>133</v>
      </c>
      <c r="DC37" s="27" t="s">
        <v>134</v>
      </c>
      <c r="DD37" s="27" t="s">
        <v>160</v>
      </c>
      <c r="DE37" s="27" t="s">
        <v>183</v>
      </c>
      <c r="DF37" s="27" t="s">
        <v>202</v>
      </c>
      <c r="DG37" s="27" t="s">
        <v>134</v>
      </c>
      <c r="DH37" s="27" t="s">
        <v>146</v>
      </c>
      <c r="DI37" s="27" t="s">
        <v>163</v>
      </c>
      <c r="DJ37" s="27" t="s">
        <v>139</v>
      </c>
      <c r="DK37" s="27" t="s">
        <v>134</v>
      </c>
      <c r="DL37" s="27" t="s">
        <v>137</v>
      </c>
      <c r="DM37" s="27" t="s">
        <v>218</v>
      </c>
      <c r="DN37" s="27" t="s">
        <v>169</v>
      </c>
      <c r="DO37" s="27" t="s">
        <v>134</v>
      </c>
      <c r="DP37" s="27" t="s">
        <v>154</v>
      </c>
      <c r="DQ37" s="27" t="s">
        <v>161</v>
      </c>
      <c r="DR37" s="27" t="s">
        <v>209</v>
      </c>
      <c r="DS37" s="27" t="s">
        <v>134</v>
      </c>
      <c r="DT37" s="27" t="s">
        <v>146</v>
      </c>
      <c r="DU37" s="27" t="s">
        <v>136</v>
      </c>
      <c r="DV37" s="27" t="s">
        <v>151</v>
      </c>
      <c r="DW37" s="27" t="s">
        <v>140</v>
      </c>
      <c r="DX37" s="27" t="s">
        <v>138</v>
      </c>
      <c r="DY37" s="27" t="s">
        <v>145</v>
      </c>
      <c r="DZ37" s="27" t="n">
        <f aca="false">DY37+DV37+DR37+DN37+DJ37+DF37+DB37</f>
        <v>627</v>
      </c>
      <c r="EA37" s="28" t="n">
        <f aca="false">DZ37/7</f>
        <v>89.5714285714286</v>
      </c>
      <c r="EB37" s="27" t="n">
        <f aca="false">RANK(EA37,$EA$2:$EA$881,0)</f>
        <v>67</v>
      </c>
      <c r="EC37" s="29" t="n">
        <f aca="false">DZ37+CQ37+CP37+AZ37</f>
        <v>2782</v>
      </c>
      <c r="ED37" s="30" t="n">
        <f aca="false">(EA37+CV37+BB37)/3</f>
        <v>89.1952380952381</v>
      </c>
      <c r="EE37" s="51" t="n">
        <f aca="false">ROUND(BE37,3)</f>
        <v>88.297</v>
      </c>
      <c r="EF37" s="51" t="n">
        <f aca="false">ROUND(CR37,3)</f>
        <v>95.571</v>
      </c>
      <c r="EG37" s="51" t="n">
        <f aca="false">ROUND(CS37,3)</f>
        <v>91.857</v>
      </c>
      <c r="EH37" s="51" t="n">
        <f aca="false">ROUND(EA37,3)</f>
        <v>89.571</v>
      </c>
      <c r="EI37" s="51" t="n">
        <f aca="false">ROUND(ED37,3)</f>
        <v>89.195</v>
      </c>
      <c r="EJ37" s="51" t="n">
        <f aca="false">ROUND(CV37,3)</f>
        <v>93.714</v>
      </c>
      <c r="EK37" s="0" t="n">
        <f aca="false">RANK(EI37,$EI$2:$EI$881,0)</f>
        <v>36</v>
      </c>
    </row>
    <row r="38" customFormat="false" ht="15" hidden="false" customHeight="false" outlineLevel="0" collapsed="false">
      <c r="A38" s="4" t="n">
        <v>9102</v>
      </c>
      <c r="B38" s="4" t="n">
        <v>132</v>
      </c>
      <c r="C38" s="27" t="s">
        <v>284</v>
      </c>
      <c r="D38" s="31" t="n">
        <v>130</v>
      </c>
      <c r="E38" s="32" t="n">
        <v>230319728</v>
      </c>
      <c r="F38" s="8" t="s">
        <v>285</v>
      </c>
      <c r="G38" s="22" t="s">
        <v>286</v>
      </c>
      <c r="H38" s="22" t="s">
        <v>129</v>
      </c>
      <c r="I38" s="33" t="n">
        <v>2005</v>
      </c>
      <c r="J38" s="32" t="n">
        <v>90</v>
      </c>
      <c r="K38" s="32" t="n">
        <v>89</v>
      </c>
      <c r="L38" s="34" t="n">
        <f aca="false">(K38*70)/100</f>
        <v>62.3</v>
      </c>
      <c r="M38" s="34" t="n">
        <f aca="false">ROUNDUP(L38,0)</f>
        <v>63</v>
      </c>
      <c r="N38" s="32" t="n">
        <v>28</v>
      </c>
      <c r="O38" s="34" t="n">
        <f aca="false">N38+L38</f>
        <v>90.3</v>
      </c>
      <c r="P38" s="34" t="n">
        <f aca="false">N38+M38</f>
        <v>91</v>
      </c>
      <c r="Q38" s="32" t="n">
        <v>88</v>
      </c>
      <c r="R38" s="32" t="n">
        <v>90</v>
      </c>
      <c r="S38" s="34" t="n">
        <f aca="false">(R38*70)/100</f>
        <v>63</v>
      </c>
      <c r="T38" s="34" t="n">
        <f aca="false">ROUNDUP(S38,0)</f>
        <v>63</v>
      </c>
      <c r="U38" s="32" t="n">
        <v>29</v>
      </c>
      <c r="V38" s="34" t="n">
        <f aca="false">U38+S38</f>
        <v>92</v>
      </c>
      <c r="W38" s="34" t="n">
        <f aca="false">U38+T38</f>
        <v>92</v>
      </c>
      <c r="X38" s="32" t="n">
        <v>72</v>
      </c>
      <c r="Y38" s="34" t="n">
        <f aca="false">(X38*70)/100</f>
        <v>50.4</v>
      </c>
      <c r="Z38" s="34" t="n">
        <f aca="false">ROUNDUP(Y38,0)</f>
        <v>51</v>
      </c>
      <c r="AA38" s="32" t="n">
        <v>28</v>
      </c>
      <c r="AB38" s="34" t="n">
        <f aca="false">AA38+Y38</f>
        <v>78.4</v>
      </c>
      <c r="AC38" s="34" t="n">
        <f aca="false">AA38+Z38</f>
        <v>79</v>
      </c>
      <c r="AD38" s="32" t="n">
        <f aca="false">X38+R38+Q38+K38+J38</f>
        <v>429</v>
      </c>
      <c r="AE38" s="16" t="n">
        <f aca="false">AD38/5</f>
        <v>85.8</v>
      </c>
      <c r="AF38" s="16" t="n">
        <v>81</v>
      </c>
      <c r="AG38" s="16" t="n">
        <v>90</v>
      </c>
      <c r="AH38" s="16" t="n">
        <v>90</v>
      </c>
      <c r="AI38" s="16" t="n">
        <v>89</v>
      </c>
      <c r="AJ38" s="16" t="n">
        <f aca="false">(AI38*70)/100</f>
        <v>62.3</v>
      </c>
      <c r="AK38" s="35" t="n">
        <f aca="false">ROUNDUP(AJ38,0)</f>
        <v>63</v>
      </c>
      <c r="AL38" s="16" t="n">
        <v>29</v>
      </c>
      <c r="AM38" s="16" t="n">
        <f aca="false">AL38+AJ38</f>
        <v>91.3</v>
      </c>
      <c r="AN38" s="16" t="n">
        <f aca="false">AL38+AK38</f>
        <v>92</v>
      </c>
      <c r="AO38" s="16" t="n">
        <v>84</v>
      </c>
      <c r="AP38" s="36" t="n">
        <f aca="false">(AO38*70)/100</f>
        <v>58.8</v>
      </c>
      <c r="AQ38" s="37" t="n">
        <f aca="false">ROUNDUP(AP38,0)</f>
        <v>59</v>
      </c>
      <c r="AR38" s="16" t="n">
        <v>30</v>
      </c>
      <c r="AS38" s="16" t="n">
        <f aca="false">AR38+AP38</f>
        <v>88.8</v>
      </c>
      <c r="AT38" s="16" t="n">
        <f aca="false">AR38+AQ38</f>
        <v>89</v>
      </c>
      <c r="AU38" s="16" t="n">
        <f aca="false">AO38+AF38+AI38+AH38+AG38</f>
        <v>434</v>
      </c>
      <c r="AV38" s="16" t="n">
        <f aca="false">(AO38+AF38+AI38+AH38+AG38)/5</f>
        <v>86.8</v>
      </c>
      <c r="AW38" s="36" t="n">
        <f aca="false">(AO38+AF38+AI38+AH38+AG38+X38+R38+Q38+K38+J38)</f>
        <v>863</v>
      </c>
      <c r="AX38" s="16" t="n">
        <f aca="false">AW38/10</f>
        <v>86.3</v>
      </c>
      <c r="AY38" s="16" t="n">
        <f aca="false">AS38+AF38+AM38+AH38+AG38+AB38+V38+Q38+O38+J38</f>
        <v>879.8</v>
      </c>
      <c r="AZ38" s="16" t="n">
        <f aca="false">AT38+AF38+AN38+AH38+AG38+AC38+W38+Q38+P38+J38</f>
        <v>882</v>
      </c>
      <c r="BA38" s="16" t="n">
        <f aca="false">AY38/10</f>
        <v>87.98</v>
      </c>
      <c r="BB38" s="16" t="n">
        <f aca="false">AZ38/10</f>
        <v>88.2</v>
      </c>
      <c r="BC38" s="16" t="n">
        <v>2373</v>
      </c>
      <c r="BD38" s="16" t="n">
        <f aca="false">RANK(AX38,$AX$2:$AX$881,0)</f>
        <v>66</v>
      </c>
      <c r="BE38" s="38" t="n">
        <f aca="false">((BC38*100)/2400)*0.4+(AX38*0.6)</f>
        <v>91.33</v>
      </c>
      <c r="BF38" s="16" t="n">
        <f aca="false">RANK(BE38,$BE$2:$BE$881,0)</f>
        <v>68</v>
      </c>
      <c r="BG38" s="39" t="n">
        <f aca="false">RANK(BB38,$BB$2:$BB$881,0)</f>
        <v>37</v>
      </c>
      <c r="BH38" s="39" t="n">
        <f aca="false">RANK(BC38,$BC$2:$BC$881,0)</f>
        <v>233</v>
      </c>
      <c r="BI38" s="22" t="s">
        <v>130</v>
      </c>
      <c r="BJ38" s="22" t="s">
        <v>129</v>
      </c>
      <c r="BK38" s="40" t="s">
        <v>131</v>
      </c>
      <c r="BL38" s="41" t="n">
        <v>23</v>
      </c>
      <c r="BM38" s="41" t="n">
        <v>66</v>
      </c>
      <c r="BN38" s="41" t="n">
        <v>89</v>
      </c>
      <c r="BO38" s="42" t="n">
        <v>26</v>
      </c>
      <c r="BP38" s="43" t="n">
        <v>63</v>
      </c>
      <c r="BQ38" s="44" t="n">
        <v>89</v>
      </c>
      <c r="BR38" s="42" t="n">
        <v>23</v>
      </c>
      <c r="BS38" s="45" t="n">
        <v>64</v>
      </c>
      <c r="BT38" s="45" t="n">
        <v>87</v>
      </c>
      <c r="BU38" s="46" t="n">
        <v>100</v>
      </c>
      <c r="BV38" s="47" t="n">
        <v>96</v>
      </c>
      <c r="BW38" s="42" t="n">
        <v>99</v>
      </c>
      <c r="BX38" s="48" t="n">
        <v>96</v>
      </c>
      <c r="BY38" s="32" t="n">
        <v>27</v>
      </c>
      <c r="BZ38" s="32" t="n">
        <v>64</v>
      </c>
      <c r="CA38" s="32" t="n">
        <v>91</v>
      </c>
      <c r="CB38" s="32" t="n">
        <v>27</v>
      </c>
      <c r="CC38" s="32" t="n">
        <v>55</v>
      </c>
      <c r="CD38" s="32" t="n">
        <v>82</v>
      </c>
      <c r="CE38" s="32" t="n">
        <v>28</v>
      </c>
      <c r="CF38" s="32" t="n">
        <v>63</v>
      </c>
      <c r="CG38" s="32" t="n">
        <v>91</v>
      </c>
      <c r="CH38" s="32" t="n">
        <v>98</v>
      </c>
      <c r="CI38" s="32" t="n">
        <v>100</v>
      </c>
      <c r="CJ38" s="49" t="n">
        <v>23</v>
      </c>
      <c r="CK38" s="49" t="n">
        <v>60</v>
      </c>
      <c r="CL38" s="49" t="n">
        <v>83</v>
      </c>
      <c r="CM38" s="49" t="n">
        <v>23</v>
      </c>
      <c r="CN38" s="49" t="n">
        <v>57</v>
      </c>
      <c r="CO38" s="49" t="n">
        <v>80</v>
      </c>
      <c r="CP38" s="25" t="n">
        <f aca="false">BX38+BW38+BV38+BU38+BT38+BQ38+BN38</f>
        <v>656</v>
      </c>
      <c r="CQ38" s="25" t="n">
        <f aca="false">CO38+CL38+CI38+CH38+CG38+CD38+CA38</f>
        <v>625</v>
      </c>
      <c r="CR38" s="26" t="n">
        <f aca="false">CP38/7</f>
        <v>93.7142857142857</v>
      </c>
      <c r="CS38" s="26" t="n">
        <f aca="false">CQ38/7</f>
        <v>89.2857142857143</v>
      </c>
      <c r="CT38" s="24" t="n">
        <f aca="false">RANK(CR38,$CR$2:$CR$881,0)</f>
        <v>32</v>
      </c>
      <c r="CU38" s="25" t="n">
        <f aca="false">RANK(CS38,$CS$2:$CS$881,0)</f>
        <v>29</v>
      </c>
      <c r="CV38" s="26" t="n">
        <f aca="false">(CS38+CR38)/2</f>
        <v>91.5</v>
      </c>
      <c r="CW38" s="25" t="n">
        <f aca="false">RANK(CV38,$CV$2:$CV$881,0)</f>
        <v>26</v>
      </c>
      <c r="CX38" s="50" t="n">
        <f aca="false">(CV38+BB38)/2</f>
        <v>89.85</v>
      </c>
      <c r="CY38" s="50" t="n">
        <v>26</v>
      </c>
      <c r="CZ38" s="27" t="s">
        <v>132</v>
      </c>
      <c r="DA38" s="27" t="s">
        <v>202</v>
      </c>
      <c r="DB38" s="27" t="s">
        <v>202</v>
      </c>
      <c r="DC38" s="27" t="s">
        <v>134</v>
      </c>
      <c r="DD38" s="27" t="s">
        <v>154</v>
      </c>
      <c r="DE38" s="27" t="s">
        <v>203</v>
      </c>
      <c r="DF38" s="27" t="s">
        <v>175</v>
      </c>
      <c r="DG38" s="27" t="s">
        <v>134</v>
      </c>
      <c r="DH38" s="27" t="s">
        <v>160</v>
      </c>
      <c r="DI38" s="27" t="s">
        <v>163</v>
      </c>
      <c r="DJ38" s="27" t="s">
        <v>151</v>
      </c>
      <c r="DK38" s="27" t="s">
        <v>134</v>
      </c>
      <c r="DL38" s="27" t="s">
        <v>135</v>
      </c>
      <c r="DM38" s="27" t="s">
        <v>218</v>
      </c>
      <c r="DN38" s="27" t="s">
        <v>205</v>
      </c>
      <c r="DO38" s="27" t="s">
        <v>134</v>
      </c>
      <c r="DP38" s="27" t="s">
        <v>182</v>
      </c>
      <c r="DQ38" s="27" t="s">
        <v>177</v>
      </c>
      <c r="DR38" s="27" t="s">
        <v>209</v>
      </c>
      <c r="DS38" s="27" t="s">
        <v>134</v>
      </c>
      <c r="DT38" s="27" t="s">
        <v>160</v>
      </c>
      <c r="DU38" s="27" t="s">
        <v>161</v>
      </c>
      <c r="DV38" s="27" t="s">
        <v>162</v>
      </c>
      <c r="DW38" s="27" t="s">
        <v>140</v>
      </c>
      <c r="DX38" s="27" t="s">
        <v>141</v>
      </c>
      <c r="DY38" s="27" t="s">
        <v>142</v>
      </c>
      <c r="DZ38" s="27" t="n">
        <f aca="false">DY38+DV38+DR38+DN38+DJ38+DF38+DB38</f>
        <v>615</v>
      </c>
      <c r="EA38" s="28" t="n">
        <f aca="false">DZ38/7</f>
        <v>87.8571428571429</v>
      </c>
      <c r="EB38" s="27" t="n">
        <f aca="false">RANK(EA38,$EA$2:$EA$881,0)</f>
        <v>98</v>
      </c>
      <c r="EC38" s="29" t="n">
        <f aca="false">DZ38+CQ38+CP38+AZ38</f>
        <v>2778</v>
      </c>
      <c r="ED38" s="30" t="n">
        <f aca="false">(EA38+CV38+BB38)/3</f>
        <v>89.1857142857143</v>
      </c>
      <c r="EE38" s="51" t="n">
        <f aca="false">ROUND(BE38,3)</f>
        <v>91.33</v>
      </c>
      <c r="EF38" s="51" t="n">
        <f aca="false">ROUND(CR38,3)</f>
        <v>93.714</v>
      </c>
      <c r="EG38" s="51" t="n">
        <f aca="false">ROUND(CS38,3)</f>
        <v>89.286</v>
      </c>
      <c r="EH38" s="51" t="n">
        <f aca="false">ROUND(EA38,3)</f>
        <v>87.857</v>
      </c>
      <c r="EI38" s="51" t="n">
        <f aca="false">ROUND(ED38,3)</f>
        <v>89.186</v>
      </c>
      <c r="EJ38" s="51" t="n">
        <f aca="false">ROUND(CV38,3)</f>
        <v>91.5</v>
      </c>
      <c r="EK38" s="0" t="n">
        <f aca="false">RANK(EI38,$EI$2:$EI$881,0)</f>
        <v>37</v>
      </c>
    </row>
    <row r="39" customFormat="false" ht="15" hidden="false" customHeight="false" outlineLevel="0" collapsed="false">
      <c r="A39" s="4" t="n">
        <v>8815</v>
      </c>
      <c r="B39" s="4" t="n">
        <v>324</v>
      </c>
      <c r="C39" s="27" t="s">
        <v>287</v>
      </c>
      <c r="D39" s="31" t="n">
        <v>326</v>
      </c>
      <c r="E39" s="32" t="n">
        <v>230325326</v>
      </c>
      <c r="F39" s="8" t="s">
        <v>288</v>
      </c>
      <c r="G39" s="22" t="s">
        <v>289</v>
      </c>
      <c r="H39" s="22" t="s">
        <v>129</v>
      </c>
      <c r="I39" s="33" t="n">
        <v>2003</v>
      </c>
      <c r="J39" s="32" t="n">
        <v>78</v>
      </c>
      <c r="K39" s="32" t="n">
        <v>83</v>
      </c>
      <c r="L39" s="34" t="n">
        <f aca="false">(K39*70)/100</f>
        <v>58.1</v>
      </c>
      <c r="M39" s="34" t="n">
        <f aca="false">ROUNDUP(L39,0)</f>
        <v>59</v>
      </c>
      <c r="N39" s="32" t="n">
        <v>30</v>
      </c>
      <c r="O39" s="34" t="n">
        <f aca="false">N39+L39</f>
        <v>88.1</v>
      </c>
      <c r="P39" s="34" t="n">
        <f aca="false">N39+M39</f>
        <v>89</v>
      </c>
      <c r="Q39" s="32" t="n">
        <v>94</v>
      </c>
      <c r="R39" s="32" t="n">
        <v>72</v>
      </c>
      <c r="S39" s="34" t="n">
        <f aca="false">(R39*70)/100</f>
        <v>50.4</v>
      </c>
      <c r="T39" s="34" t="n">
        <f aca="false">ROUNDUP(S39,0)</f>
        <v>51</v>
      </c>
      <c r="U39" s="32" t="n">
        <v>25</v>
      </c>
      <c r="V39" s="34" t="n">
        <f aca="false">U39+S39</f>
        <v>75.4</v>
      </c>
      <c r="W39" s="34" t="n">
        <f aca="false">U39+T39</f>
        <v>76</v>
      </c>
      <c r="X39" s="32" t="n">
        <v>74</v>
      </c>
      <c r="Y39" s="34" t="n">
        <f aca="false">(X39*70)/100</f>
        <v>51.8</v>
      </c>
      <c r="Z39" s="34" t="n">
        <f aca="false">ROUNDUP(Y39,0)</f>
        <v>52</v>
      </c>
      <c r="AA39" s="32" t="n">
        <v>28</v>
      </c>
      <c r="AB39" s="34" t="n">
        <f aca="false">AA39+Y39</f>
        <v>79.8</v>
      </c>
      <c r="AC39" s="34" t="n">
        <f aca="false">AA39+Z39</f>
        <v>80</v>
      </c>
      <c r="AD39" s="32" t="n">
        <f aca="false">X39+R39+Q39+K39+J39</f>
        <v>401</v>
      </c>
      <c r="AE39" s="16" t="n">
        <f aca="false">AD39/5</f>
        <v>80.2</v>
      </c>
      <c r="AF39" s="16" t="n">
        <v>75</v>
      </c>
      <c r="AG39" s="16" t="n">
        <v>89</v>
      </c>
      <c r="AH39" s="16" t="n">
        <v>92</v>
      </c>
      <c r="AI39" s="16" t="n">
        <v>95</v>
      </c>
      <c r="AJ39" s="16" t="n">
        <f aca="false">(AI39*70)/100</f>
        <v>66.5</v>
      </c>
      <c r="AK39" s="35" t="n">
        <f aca="false">ROUNDUP(AJ39,0)</f>
        <v>67</v>
      </c>
      <c r="AL39" s="16" t="n">
        <v>29</v>
      </c>
      <c r="AM39" s="16" t="n">
        <f aca="false">AL39+AJ39</f>
        <v>95.5</v>
      </c>
      <c r="AN39" s="16" t="n">
        <f aca="false">AL39+AK39</f>
        <v>96</v>
      </c>
      <c r="AO39" s="16" t="n">
        <v>85</v>
      </c>
      <c r="AP39" s="36" t="n">
        <f aca="false">(AO39*70)/100</f>
        <v>59.5</v>
      </c>
      <c r="AQ39" s="37" t="n">
        <f aca="false">ROUNDUP(AP39,0)</f>
        <v>60</v>
      </c>
      <c r="AR39" s="16" t="n">
        <v>29</v>
      </c>
      <c r="AS39" s="16" t="n">
        <f aca="false">AR39+AP39</f>
        <v>88.5</v>
      </c>
      <c r="AT39" s="16" t="n">
        <f aca="false">AR39+AQ39</f>
        <v>89</v>
      </c>
      <c r="AU39" s="16" t="n">
        <f aca="false">AO39+AF39+AI39+AH39+AG39</f>
        <v>436</v>
      </c>
      <c r="AV39" s="16" t="n">
        <f aca="false">(AO39+AF39+AI39+AH39+AG39)/5</f>
        <v>87.2</v>
      </c>
      <c r="AW39" s="36" t="n">
        <f aca="false">(AO39+AF39+AI39+AH39+AG39+X39+R39+Q39+K39+J39)</f>
        <v>837</v>
      </c>
      <c r="AX39" s="16" t="n">
        <f aca="false">AW39/10</f>
        <v>83.7</v>
      </c>
      <c r="AY39" s="16" t="n">
        <f aca="false">AS39+AF39+AM39+AH39+AG39+AB39+V39+Q39+O39+J39</f>
        <v>855.3</v>
      </c>
      <c r="AZ39" s="16" t="n">
        <f aca="false">AT39+AF39+AN39+AH39+AG39+AC39+W39+Q39+P39+J39</f>
        <v>858</v>
      </c>
      <c r="BA39" s="16" t="n">
        <f aca="false">AY39/10</f>
        <v>85.53</v>
      </c>
      <c r="BB39" s="16" t="n">
        <f aca="false">AZ39/10</f>
        <v>85.8</v>
      </c>
      <c r="BC39" s="16" t="n">
        <v>2365</v>
      </c>
      <c r="BD39" s="16" t="n">
        <f aca="false">RANK(AX39,$AX$2:$AX$881,0)</f>
        <v>115</v>
      </c>
      <c r="BE39" s="54" t="n">
        <f aca="false">((BC39*100)/2400)*0.4+(AX39*0.6)</f>
        <v>89.6366666666667</v>
      </c>
      <c r="BF39" s="16" t="n">
        <f aca="false">RANK(BE39,$BE$2:$BE$881,0)</f>
        <v>116</v>
      </c>
      <c r="BG39" s="39" t="n">
        <f aca="false">RANK(BB39,$BB$2:$BB$881,0)</f>
        <v>88</v>
      </c>
      <c r="BH39" s="39" t="n">
        <f aca="false">RANK(BC39,$BC$2:$BC$881,0)</f>
        <v>333</v>
      </c>
      <c r="BI39" s="22" t="s">
        <v>130</v>
      </c>
      <c r="BJ39" s="22" t="s">
        <v>129</v>
      </c>
      <c r="BK39" s="40" t="s">
        <v>131</v>
      </c>
      <c r="BL39" s="41" t="n">
        <v>29</v>
      </c>
      <c r="BM39" s="41" t="n">
        <v>59</v>
      </c>
      <c r="BN39" s="41" t="n">
        <v>88</v>
      </c>
      <c r="BO39" s="42" t="n">
        <v>25</v>
      </c>
      <c r="BP39" s="43" t="n">
        <v>67</v>
      </c>
      <c r="BQ39" s="44" t="n">
        <v>92</v>
      </c>
      <c r="BR39" s="42" t="n">
        <v>27</v>
      </c>
      <c r="BS39" s="45" t="n">
        <v>68</v>
      </c>
      <c r="BT39" s="45" t="n">
        <v>95</v>
      </c>
      <c r="BU39" s="46" t="n">
        <v>99</v>
      </c>
      <c r="BV39" s="47" t="n">
        <v>84</v>
      </c>
      <c r="BW39" s="42" t="n">
        <v>99</v>
      </c>
      <c r="BX39" s="48" t="n">
        <v>98</v>
      </c>
      <c r="BY39" s="32" t="n">
        <v>27</v>
      </c>
      <c r="BZ39" s="32" t="n">
        <v>63</v>
      </c>
      <c r="CA39" s="32" t="n">
        <v>90</v>
      </c>
      <c r="CB39" s="32" t="n">
        <v>24</v>
      </c>
      <c r="CC39" s="32" t="n">
        <v>51</v>
      </c>
      <c r="CD39" s="32" t="n">
        <v>75</v>
      </c>
      <c r="CE39" s="32" t="n">
        <v>28</v>
      </c>
      <c r="CF39" s="32" t="n">
        <v>54</v>
      </c>
      <c r="CG39" s="32" t="n">
        <v>82</v>
      </c>
      <c r="CH39" s="32" t="n">
        <v>98</v>
      </c>
      <c r="CI39" s="32" t="n">
        <v>100</v>
      </c>
      <c r="CJ39" s="49" t="n">
        <v>30</v>
      </c>
      <c r="CK39" s="49" t="n">
        <v>61</v>
      </c>
      <c r="CL39" s="49" t="n">
        <v>91</v>
      </c>
      <c r="CM39" s="49" t="n">
        <v>29</v>
      </c>
      <c r="CN39" s="49" t="n">
        <v>60</v>
      </c>
      <c r="CO39" s="49" t="n">
        <v>89</v>
      </c>
      <c r="CP39" s="25" t="n">
        <f aca="false">BX39+BW39+BV39+BU39+BT39+BQ39+BN39</f>
        <v>655</v>
      </c>
      <c r="CQ39" s="25" t="n">
        <f aca="false">CO39+CL39+CI39+CH39+CG39+CD39+CA39</f>
        <v>625</v>
      </c>
      <c r="CR39" s="26" t="n">
        <f aca="false">CP39/7</f>
        <v>93.5714285714286</v>
      </c>
      <c r="CS39" s="26" t="n">
        <f aca="false">CQ39/7</f>
        <v>89.2857142857143</v>
      </c>
      <c r="CT39" s="24" t="n">
        <f aca="false">RANK(CR39,$CR$2:$CR$881,0)</f>
        <v>36</v>
      </c>
      <c r="CU39" s="25" t="n">
        <f aca="false">RANK(CS39,$CS$2:$CS$881,0)</f>
        <v>29</v>
      </c>
      <c r="CV39" s="26" t="n">
        <f aca="false">(CS39+CR39)/2</f>
        <v>91.4285714285714</v>
      </c>
      <c r="CW39" s="25" t="n">
        <f aca="false">RANK(CV39,$CV$2:$CV$881,0)</f>
        <v>29</v>
      </c>
      <c r="CX39" s="50" t="n">
        <f aca="false">(CV39+BB39)/2</f>
        <v>88.6142857142857</v>
      </c>
      <c r="CY39" s="50" t="n">
        <v>40</v>
      </c>
      <c r="CZ39" s="27" t="s">
        <v>132</v>
      </c>
      <c r="DA39" s="27" t="s">
        <v>162</v>
      </c>
      <c r="DB39" s="27" t="s">
        <v>162</v>
      </c>
      <c r="DC39" s="27" t="s">
        <v>134</v>
      </c>
      <c r="DD39" s="27" t="s">
        <v>164</v>
      </c>
      <c r="DE39" s="27" t="s">
        <v>136</v>
      </c>
      <c r="DF39" s="27" t="s">
        <v>153</v>
      </c>
      <c r="DG39" s="27" t="s">
        <v>134</v>
      </c>
      <c r="DH39" s="27" t="s">
        <v>135</v>
      </c>
      <c r="DI39" s="27" t="s">
        <v>187</v>
      </c>
      <c r="DJ39" s="27" t="s">
        <v>170</v>
      </c>
      <c r="DK39" s="27" t="s">
        <v>134</v>
      </c>
      <c r="DL39" s="27" t="s">
        <v>140</v>
      </c>
      <c r="DM39" s="27" t="s">
        <v>203</v>
      </c>
      <c r="DN39" s="27" t="s">
        <v>170</v>
      </c>
      <c r="DO39" s="27" t="s">
        <v>134</v>
      </c>
      <c r="DP39" s="27" t="s">
        <v>182</v>
      </c>
      <c r="DQ39" s="27" t="s">
        <v>163</v>
      </c>
      <c r="DR39" s="27" t="s">
        <v>162</v>
      </c>
      <c r="DS39" s="27" t="s">
        <v>134</v>
      </c>
      <c r="DT39" s="27" t="s">
        <v>146</v>
      </c>
      <c r="DU39" s="27" t="s">
        <v>218</v>
      </c>
      <c r="DV39" s="27" t="s">
        <v>178</v>
      </c>
      <c r="DW39" s="27" t="s">
        <v>137</v>
      </c>
      <c r="DX39" s="27" t="s">
        <v>138</v>
      </c>
      <c r="DY39" s="27" t="s">
        <v>139</v>
      </c>
      <c r="DZ39" s="27" t="n">
        <f aca="false">DY39+DV39+DR39+DN39+DJ39+DF39+DB39</f>
        <v>632</v>
      </c>
      <c r="EA39" s="28" t="n">
        <f aca="false">DZ39/7</f>
        <v>90.2857142857143</v>
      </c>
      <c r="EB39" s="27" t="n">
        <f aca="false">RANK(EA39,$EA$2:$EA$881,0)</f>
        <v>50</v>
      </c>
      <c r="EC39" s="29" t="n">
        <f aca="false">DZ39+CQ39+CP39+AZ39</f>
        <v>2770</v>
      </c>
      <c r="ED39" s="30" t="n">
        <f aca="false">(EA39+CV39+BB39)/3</f>
        <v>89.1714285714286</v>
      </c>
      <c r="EE39" s="51" t="n">
        <f aca="false">ROUND(BE39,3)</f>
        <v>89.637</v>
      </c>
      <c r="EF39" s="51" t="n">
        <f aca="false">ROUND(CR39,3)</f>
        <v>93.571</v>
      </c>
      <c r="EG39" s="51" t="n">
        <f aca="false">ROUND(CS39,3)</f>
        <v>89.286</v>
      </c>
      <c r="EH39" s="51" t="n">
        <f aca="false">ROUND(EA39,3)</f>
        <v>90.286</v>
      </c>
      <c r="EI39" s="51" t="n">
        <f aca="false">ROUND(ED39,3)</f>
        <v>89.171</v>
      </c>
      <c r="EJ39" s="51" t="n">
        <f aca="false">ROUND(CV39,3)</f>
        <v>91.429</v>
      </c>
      <c r="EK39" s="0" t="n">
        <f aca="false">RANK(EI39,$EI$2:$EI$881,0)</f>
        <v>38</v>
      </c>
    </row>
    <row r="40" customFormat="false" ht="15" hidden="false" customHeight="false" outlineLevel="0" collapsed="false">
      <c r="A40" s="4" t="n">
        <v>8702</v>
      </c>
      <c r="B40" s="4" t="n">
        <v>274</v>
      </c>
      <c r="C40" s="27" t="s">
        <v>290</v>
      </c>
      <c r="D40" s="31" t="n">
        <v>272</v>
      </c>
      <c r="E40" s="32" t="n">
        <v>230319563</v>
      </c>
      <c r="F40" s="8" t="s">
        <v>291</v>
      </c>
      <c r="G40" s="22" t="s">
        <v>292</v>
      </c>
      <c r="H40" s="22" t="s">
        <v>129</v>
      </c>
      <c r="I40" s="33" t="n">
        <v>2006</v>
      </c>
      <c r="J40" s="32" t="n">
        <v>75</v>
      </c>
      <c r="K40" s="32" t="n">
        <v>89</v>
      </c>
      <c r="L40" s="34" t="n">
        <f aca="false">(K40*70)/100</f>
        <v>62.3</v>
      </c>
      <c r="M40" s="34" t="n">
        <f aca="false">ROUNDUP(L40,0)</f>
        <v>63</v>
      </c>
      <c r="N40" s="32" t="n">
        <v>28</v>
      </c>
      <c r="O40" s="34" t="n">
        <f aca="false">N40+L40</f>
        <v>90.3</v>
      </c>
      <c r="P40" s="34" t="n">
        <f aca="false">N40+M40</f>
        <v>91</v>
      </c>
      <c r="Q40" s="32" t="n">
        <v>74</v>
      </c>
      <c r="R40" s="32" t="n">
        <v>81</v>
      </c>
      <c r="S40" s="34" t="n">
        <f aca="false">(R40*70)/100</f>
        <v>56.7</v>
      </c>
      <c r="T40" s="34" t="n">
        <f aca="false">ROUNDUP(S40,0)</f>
        <v>57</v>
      </c>
      <c r="U40" s="32" t="n">
        <v>25</v>
      </c>
      <c r="V40" s="34" t="n">
        <f aca="false">U40+S40</f>
        <v>81.7</v>
      </c>
      <c r="W40" s="34" t="n">
        <f aca="false">U40+T40</f>
        <v>82</v>
      </c>
      <c r="X40" s="32" t="n">
        <v>79</v>
      </c>
      <c r="Y40" s="34" t="n">
        <f aca="false">(X40*70)/100</f>
        <v>55.3</v>
      </c>
      <c r="Z40" s="34" t="n">
        <f aca="false">ROUNDUP(Y40,0)</f>
        <v>56</v>
      </c>
      <c r="AA40" s="32" t="n">
        <v>27</v>
      </c>
      <c r="AB40" s="34" t="n">
        <f aca="false">AA40+Y40</f>
        <v>82.3</v>
      </c>
      <c r="AC40" s="34" t="n">
        <f aca="false">AA40+Z40</f>
        <v>83</v>
      </c>
      <c r="AD40" s="32" t="n">
        <f aca="false">X40+R40+Q40+K40+J40</f>
        <v>398</v>
      </c>
      <c r="AE40" s="16" t="n">
        <f aca="false">AD40/5</f>
        <v>79.6</v>
      </c>
      <c r="AF40" s="16" t="n">
        <v>89</v>
      </c>
      <c r="AG40" s="16" t="n">
        <v>87</v>
      </c>
      <c r="AH40" s="16" t="n">
        <v>95</v>
      </c>
      <c r="AI40" s="16" t="n">
        <v>95</v>
      </c>
      <c r="AJ40" s="16" t="n">
        <f aca="false">(AI40*70)/100</f>
        <v>66.5</v>
      </c>
      <c r="AK40" s="35" t="n">
        <f aca="false">ROUNDUP(AJ40,0)</f>
        <v>67</v>
      </c>
      <c r="AL40" s="16" t="n">
        <v>26</v>
      </c>
      <c r="AM40" s="16" t="n">
        <f aca="false">AL40+AJ40</f>
        <v>92.5</v>
      </c>
      <c r="AN40" s="16" t="n">
        <f aca="false">AL40+AK40</f>
        <v>93</v>
      </c>
      <c r="AO40" s="16" t="n">
        <v>88</v>
      </c>
      <c r="AP40" s="36" t="n">
        <f aca="false">(AO40*70)/100</f>
        <v>61.6</v>
      </c>
      <c r="AQ40" s="37" t="n">
        <f aca="false">ROUNDUP(AP40,0)</f>
        <v>62</v>
      </c>
      <c r="AR40" s="16" t="n">
        <v>30</v>
      </c>
      <c r="AS40" s="16" t="n">
        <f aca="false">AR40+AP40</f>
        <v>91.6</v>
      </c>
      <c r="AT40" s="16" t="n">
        <f aca="false">AR40+AQ40</f>
        <v>92</v>
      </c>
      <c r="AU40" s="16" t="n">
        <f aca="false">AO40+AF40+AI40+AH40+AG40</f>
        <v>454</v>
      </c>
      <c r="AV40" s="16" t="n">
        <f aca="false">(AO40+AF40+AI40+AH40+AG40)/5</f>
        <v>90.8</v>
      </c>
      <c r="AW40" s="36" t="n">
        <f aca="false">(AO40+AF40+AI40+AH40+AG40+X40+R40+Q40+K40+J40)</f>
        <v>852</v>
      </c>
      <c r="AX40" s="16" t="n">
        <f aca="false">AW40/10</f>
        <v>85.2</v>
      </c>
      <c r="AY40" s="16" t="n">
        <f aca="false">AS40+AF40+AM40+AH40+AG40+AB40+V40+Q40+O40+J40</f>
        <v>858.4</v>
      </c>
      <c r="AZ40" s="16" t="n">
        <f aca="false">AT40+AF40+AN40+AH40+AG40+AC40+W40+Q40+P40+J40</f>
        <v>861</v>
      </c>
      <c r="BA40" s="16" t="n">
        <f aca="false">AY40/10</f>
        <v>85.84</v>
      </c>
      <c r="BB40" s="16" t="n">
        <f aca="false">AZ40/10</f>
        <v>86.1</v>
      </c>
      <c r="BC40" s="16" t="n">
        <v>2339</v>
      </c>
      <c r="BD40" s="16" t="n">
        <f aca="false">RANK(AX40,$AX$2:$AX$881,0)</f>
        <v>86</v>
      </c>
      <c r="BE40" s="38" t="n">
        <f aca="false">((BC40*100)/2400)*0.4+(AX40*0.6)</f>
        <v>90.1033333333333</v>
      </c>
      <c r="BF40" s="16" t="n">
        <f aca="false">RANK(BE40,$BE$2:$BE$881,0)</f>
        <v>99</v>
      </c>
      <c r="BG40" s="39" t="n">
        <f aca="false">RANK(BB40,$BB$2:$BB$881,0)</f>
        <v>80</v>
      </c>
      <c r="BH40" s="39" t="n">
        <f aca="false">RANK(BC40,$BC$2:$BC$881,0)</f>
        <v>640</v>
      </c>
      <c r="BI40" s="22" t="s">
        <v>130</v>
      </c>
      <c r="BJ40" s="22" t="s">
        <v>129</v>
      </c>
      <c r="BK40" s="40" t="s">
        <v>131</v>
      </c>
      <c r="BL40" s="41" t="n">
        <v>27</v>
      </c>
      <c r="BM40" s="41" t="n">
        <v>63</v>
      </c>
      <c r="BN40" s="41" t="n">
        <v>90</v>
      </c>
      <c r="BO40" s="42" t="n">
        <v>23</v>
      </c>
      <c r="BP40" s="43" t="n">
        <v>66</v>
      </c>
      <c r="BQ40" s="44" t="n">
        <v>89</v>
      </c>
      <c r="BR40" s="42" t="n">
        <v>24</v>
      </c>
      <c r="BS40" s="45" t="n">
        <v>62</v>
      </c>
      <c r="BT40" s="45" t="n">
        <v>86</v>
      </c>
      <c r="BU40" s="46" t="n">
        <v>100</v>
      </c>
      <c r="BV40" s="47" t="n">
        <v>92</v>
      </c>
      <c r="BW40" s="42" t="n">
        <v>99</v>
      </c>
      <c r="BX40" s="48" t="n">
        <v>92</v>
      </c>
      <c r="BY40" s="32" t="n">
        <v>26</v>
      </c>
      <c r="BZ40" s="32" t="n">
        <v>67</v>
      </c>
      <c r="CA40" s="32" t="n">
        <v>93</v>
      </c>
      <c r="CB40" s="32" t="n">
        <v>21</v>
      </c>
      <c r="CC40" s="32" t="n">
        <v>56</v>
      </c>
      <c r="CD40" s="32" t="n">
        <v>77</v>
      </c>
      <c r="CE40" s="32" t="n">
        <v>29</v>
      </c>
      <c r="CF40" s="32" t="n">
        <v>59</v>
      </c>
      <c r="CG40" s="32" t="n">
        <v>88</v>
      </c>
      <c r="CH40" s="32" t="n">
        <v>96</v>
      </c>
      <c r="CI40" s="32" t="n">
        <v>100</v>
      </c>
      <c r="CJ40" s="49" t="n">
        <v>24</v>
      </c>
      <c r="CK40" s="49" t="n">
        <v>52</v>
      </c>
      <c r="CL40" s="49" t="n">
        <v>76</v>
      </c>
      <c r="CM40" s="49" t="n">
        <v>22</v>
      </c>
      <c r="CN40" s="49" t="n">
        <v>54</v>
      </c>
      <c r="CO40" s="49" t="n">
        <v>76</v>
      </c>
      <c r="CP40" s="25" t="n">
        <f aca="false">BX40+BW40+BV40+BU40+BT40+BQ40+BN40</f>
        <v>648</v>
      </c>
      <c r="CQ40" s="25" t="n">
        <f aca="false">CO40+CL40+CI40+CH40+CG40+CD40+CA40</f>
        <v>606</v>
      </c>
      <c r="CR40" s="26" t="n">
        <f aca="false">CP40/7</f>
        <v>92.5714285714286</v>
      </c>
      <c r="CS40" s="26" t="n">
        <f aca="false">CQ40/7</f>
        <v>86.5714285714286</v>
      </c>
      <c r="CT40" s="24" t="n">
        <f aca="false">RANK(CR40,$CR$2:$CR$881,0)</f>
        <v>68</v>
      </c>
      <c r="CU40" s="25" t="n">
        <f aca="false">RANK(CS40,$CS$2:$CS$881,0)</f>
        <v>64</v>
      </c>
      <c r="CV40" s="26" t="n">
        <f aca="false">(CS40+CR40)/2</f>
        <v>89.5714285714286</v>
      </c>
      <c r="CW40" s="25" t="n">
        <f aca="false">RANK(CV40,$CV$2:$CV$881,0)</f>
        <v>57</v>
      </c>
      <c r="CX40" s="50" t="n">
        <f aca="false">(CV40+BB40)/2</f>
        <v>87.8357142857143</v>
      </c>
      <c r="CY40" s="50" t="n">
        <v>53</v>
      </c>
      <c r="CZ40" s="27" t="s">
        <v>132</v>
      </c>
      <c r="DA40" s="27" t="s">
        <v>133</v>
      </c>
      <c r="DB40" s="27" t="s">
        <v>133</v>
      </c>
      <c r="DC40" s="27" t="s">
        <v>134</v>
      </c>
      <c r="DD40" s="27" t="s">
        <v>135</v>
      </c>
      <c r="DE40" s="27" t="s">
        <v>152</v>
      </c>
      <c r="DF40" s="27" t="s">
        <v>162</v>
      </c>
      <c r="DG40" s="27" t="s">
        <v>134</v>
      </c>
      <c r="DH40" s="27" t="s">
        <v>154</v>
      </c>
      <c r="DI40" s="27" t="s">
        <v>143</v>
      </c>
      <c r="DJ40" s="27" t="s">
        <v>170</v>
      </c>
      <c r="DK40" s="27" t="s">
        <v>134</v>
      </c>
      <c r="DL40" s="27" t="s">
        <v>164</v>
      </c>
      <c r="DM40" s="27" t="s">
        <v>187</v>
      </c>
      <c r="DN40" s="27" t="s">
        <v>151</v>
      </c>
      <c r="DO40" s="27" t="s">
        <v>134</v>
      </c>
      <c r="DP40" s="27" t="s">
        <v>137</v>
      </c>
      <c r="DQ40" s="27" t="s">
        <v>161</v>
      </c>
      <c r="DR40" s="27" t="s">
        <v>178</v>
      </c>
      <c r="DS40" s="27" t="s">
        <v>134</v>
      </c>
      <c r="DT40" s="27" t="s">
        <v>137</v>
      </c>
      <c r="DU40" s="27" t="s">
        <v>187</v>
      </c>
      <c r="DV40" s="27" t="s">
        <v>176</v>
      </c>
      <c r="DW40" s="27" t="s">
        <v>146</v>
      </c>
      <c r="DX40" s="27" t="s">
        <v>155</v>
      </c>
      <c r="DY40" s="27" t="s">
        <v>165</v>
      </c>
      <c r="DZ40" s="27" t="n">
        <f aca="false">DY40+DV40+DR40+DN40+DJ40+DF40+DB40</f>
        <v>640</v>
      </c>
      <c r="EA40" s="28" t="n">
        <f aca="false">DZ40/7</f>
        <v>91.4285714285714</v>
      </c>
      <c r="EB40" s="27" t="n">
        <f aca="false">RANK(EA40,$EA$2:$EA$881,0)</f>
        <v>28</v>
      </c>
      <c r="EC40" s="29" t="n">
        <f aca="false">DZ40+CQ40+CP40+AZ40</f>
        <v>2755</v>
      </c>
      <c r="ED40" s="30" t="n">
        <f aca="false">(EA40+CV40+BB40)/3</f>
        <v>89.0333333333334</v>
      </c>
      <c r="EE40" s="51" t="n">
        <f aca="false">ROUND(BE40,3)</f>
        <v>90.103</v>
      </c>
      <c r="EF40" s="51" t="n">
        <f aca="false">ROUND(CR40,3)</f>
        <v>92.571</v>
      </c>
      <c r="EG40" s="51" t="n">
        <f aca="false">ROUND(CS40,3)</f>
        <v>86.571</v>
      </c>
      <c r="EH40" s="51" t="n">
        <f aca="false">ROUND(EA40,3)</f>
        <v>91.429</v>
      </c>
      <c r="EI40" s="51" t="n">
        <f aca="false">ROUND(ED40,3)</f>
        <v>89.033</v>
      </c>
      <c r="EJ40" s="51" t="n">
        <f aca="false">ROUND(CV40,3)</f>
        <v>89.571</v>
      </c>
      <c r="EK40" s="0" t="n">
        <f aca="false">RANK(EI40,$EI$2:$EI$881,0)</f>
        <v>39</v>
      </c>
    </row>
    <row r="41" customFormat="false" ht="15" hidden="false" customHeight="false" outlineLevel="0" collapsed="false">
      <c r="A41" s="4" t="n">
        <v>8734</v>
      </c>
      <c r="B41" s="4" t="n">
        <v>823</v>
      </c>
      <c r="C41" s="27" t="s">
        <v>293</v>
      </c>
      <c r="D41" s="31" t="n">
        <v>845</v>
      </c>
      <c r="E41" s="32" t="n">
        <v>230319774</v>
      </c>
      <c r="F41" s="8" t="s">
        <v>294</v>
      </c>
      <c r="G41" s="22" t="s">
        <v>243</v>
      </c>
      <c r="H41" s="22" t="s">
        <v>129</v>
      </c>
      <c r="I41" s="33" t="n">
        <v>2005</v>
      </c>
      <c r="J41" s="32" t="n">
        <v>78</v>
      </c>
      <c r="K41" s="32" t="n">
        <v>79</v>
      </c>
      <c r="L41" s="34" t="n">
        <f aca="false">(K41*70)/100</f>
        <v>55.3</v>
      </c>
      <c r="M41" s="34" t="n">
        <f aca="false">ROUNDUP(L41,0)</f>
        <v>56</v>
      </c>
      <c r="N41" s="32" t="n">
        <v>22</v>
      </c>
      <c r="O41" s="34" t="n">
        <f aca="false">N41+L41</f>
        <v>77.3</v>
      </c>
      <c r="P41" s="34" t="n">
        <f aca="false">N41+M41</f>
        <v>78</v>
      </c>
      <c r="Q41" s="32" t="n">
        <v>82</v>
      </c>
      <c r="R41" s="32" t="n">
        <v>74</v>
      </c>
      <c r="S41" s="34" t="n">
        <f aca="false">(R41*70)/100</f>
        <v>51.8</v>
      </c>
      <c r="T41" s="34" t="n">
        <f aca="false">ROUNDUP(S41,0)</f>
        <v>52</v>
      </c>
      <c r="U41" s="32" t="n">
        <v>27</v>
      </c>
      <c r="V41" s="34" t="n">
        <f aca="false">U41+S41</f>
        <v>78.8</v>
      </c>
      <c r="W41" s="34" t="n">
        <f aca="false">U41+T41</f>
        <v>79</v>
      </c>
      <c r="X41" s="32" t="n">
        <v>81</v>
      </c>
      <c r="Y41" s="34" t="n">
        <f aca="false">(X41*70)/100</f>
        <v>56.7</v>
      </c>
      <c r="Z41" s="34" t="n">
        <f aca="false">ROUNDUP(Y41,0)</f>
        <v>57</v>
      </c>
      <c r="AA41" s="32" t="n">
        <v>24</v>
      </c>
      <c r="AB41" s="34" t="n">
        <f aca="false">AA41+Y41</f>
        <v>80.7</v>
      </c>
      <c r="AC41" s="34" t="n">
        <f aca="false">AA41+Z41</f>
        <v>81</v>
      </c>
      <c r="AD41" s="32" t="n">
        <f aca="false">X41+R41+Q41+K41+J41</f>
        <v>394</v>
      </c>
      <c r="AE41" s="16" t="n">
        <f aca="false">AD41/5</f>
        <v>78.8</v>
      </c>
      <c r="AF41" s="16" t="n">
        <v>90</v>
      </c>
      <c r="AG41" s="16" t="n">
        <v>88</v>
      </c>
      <c r="AH41" s="16" t="n">
        <v>91</v>
      </c>
      <c r="AI41" s="16" t="n">
        <v>93</v>
      </c>
      <c r="AJ41" s="16" t="n">
        <f aca="false">(AI41*70)/100</f>
        <v>65.1</v>
      </c>
      <c r="AK41" s="35" t="n">
        <f aca="false">ROUNDUP(AJ41,0)</f>
        <v>66</v>
      </c>
      <c r="AL41" s="16" t="n">
        <v>28</v>
      </c>
      <c r="AM41" s="16" t="n">
        <f aca="false">AL41+AJ41</f>
        <v>93.1</v>
      </c>
      <c r="AN41" s="16" t="n">
        <f aca="false">AL41+AK41</f>
        <v>94</v>
      </c>
      <c r="AO41" s="16" t="n">
        <v>77</v>
      </c>
      <c r="AP41" s="36" t="n">
        <f aca="false">(AO41*70)/100</f>
        <v>53.9</v>
      </c>
      <c r="AQ41" s="37" t="n">
        <f aca="false">ROUNDUP(AP41,0)</f>
        <v>54</v>
      </c>
      <c r="AR41" s="16" t="n">
        <v>29</v>
      </c>
      <c r="AS41" s="16" t="n">
        <f aca="false">AR41+AP41</f>
        <v>82.9</v>
      </c>
      <c r="AT41" s="16" t="n">
        <f aca="false">AR41+AQ41</f>
        <v>83</v>
      </c>
      <c r="AU41" s="16" t="n">
        <f aca="false">AO41+AF41+AI41+AH41+AG41</f>
        <v>439</v>
      </c>
      <c r="AV41" s="16" t="n">
        <f aca="false">(AO41+AF41+AI41+AH41+AG41)/5</f>
        <v>87.8</v>
      </c>
      <c r="AW41" s="36" t="n">
        <f aca="false">(AO41+AF41+AI41+AH41+AG41+X41+R41+Q41+K41+J41)</f>
        <v>833</v>
      </c>
      <c r="AX41" s="16" t="n">
        <f aca="false">AW41/10</f>
        <v>83.3</v>
      </c>
      <c r="AY41" s="16" t="n">
        <f aca="false">AS41+AF41+AM41+AH41+AG41+AB41+V41+Q41+O41+J41</f>
        <v>841.8</v>
      </c>
      <c r="AZ41" s="16" t="n">
        <f aca="false">AT41+AF41+AN41+AH41+AG41+AC41+W41+Q41+P41+J41</f>
        <v>844</v>
      </c>
      <c r="BA41" s="16" t="n">
        <f aca="false">AY41/10</f>
        <v>84.18</v>
      </c>
      <c r="BB41" s="16" t="n">
        <f aca="false">AZ41/10</f>
        <v>84.4</v>
      </c>
      <c r="BC41" s="16" t="n">
        <v>2367</v>
      </c>
      <c r="BD41" s="16" t="n">
        <f aca="false">RANK(AX41,$AX$2:$AX$881,0)</f>
        <v>123</v>
      </c>
      <c r="BE41" s="54" t="n">
        <f aca="false">((BC41*100)/2400)*0.4+(AX41*0.6)</f>
        <v>89.43</v>
      </c>
      <c r="BF41" s="16" t="n">
        <f aca="false">RANK(BE41,$BE$2:$BE$881,0)</f>
        <v>123</v>
      </c>
      <c r="BG41" s="39" t="n">
        <f aca="false">RANK(BB41,$BB$2:$BB$881,0)</f>
        <v>111</v>
      </c>
      <c r="BH41" s="39" t="n">
        <f aca="false">RANK(BC41,$BC$2:$BC$881,0)</f>
        <v>308</v>
      </c>
      <c r="BI41" s="22" t="s">
        <v>130</v>
      </c>
      <c r="BJ41" s="22" t="s">
        <v>129</v>
      </c>
      <c r="BK41" s="40" t="s">
        <v>131</v>
      </c>
      <c r="BL41" s="41" t="n">
        <v>25</v>
      </c>
      <c r="BM41" s="41" t="n">
        <v>58</v>
      </c>
      <c r="BN41" s="41" t="n">
        <v>83</v>
      </c>
      <c r="BO41" s="42" t="n">
        <v>28</v>
      </c>
      <c r="BP41" s="43" t="n">
        <v>65</v>
      </c>
      <c r="BQ41" s="44" t="n">
        <v>93</v>
      </c>
      <c r="BR41" s="42" t="n">
        <v>25</v>
      </c>
      <c r="BS41" s="45" t="n">
        <v>65</v>
      </c>
      <c r="BT41" s="45" t="n">
        <v>90</v>
      </c>
      <c r="BU41" s="46" t="n">
        <v>99</v>
      </c>
      <c r="BV41" s="47" t="n">
        <v>98</v>
      </c>
      <c r="BW41" s="42" t="n">
        <v>100</v>
      </c>
      <c r="BX41" s="48" t="n">
        <v>98</v>
      </c>
      <c r="BY41" s="32" t="n">
        <v>29</v>
      </c>
      <c r="BZ41" s="32" t="n">
        <v>60</v>
      </c>
      <c r="CA41" s="32" t="n">
        <v>89</v>
      </c>
      <c r="CB41" s="32" t="n">
        <v>25</v>
      </c>
      <c r="CC41" s="32" t="n">
        <v>46</v>
      </c>
      <c r="CD41" s="32" t="n">
        <v>71</v>
      </c>
      <c r="CE41" s="32" t="n">
        <v>25</v>
      </c>
      <c r="CF41" s="32" t="n">
        <v>58</v>
      </c>
      <c r="CG41" s="32" t="n">
        <v>83</v>
      </c>
      <c r="CH41" s="32" t="n">
        <v>99</v>
      </c>
      <c r="CI41" s="32" t="n">
        <v>100</v>
      </c>
      <c r="CJ41" s="49" t="n">
        <v>28</v>
      </c>
      <c r="CK41" s="49" t="n">
        <v>60</v>
      </c>
      <c r="CL41" s="49" t="n">
        <v>88</v>
      </c>
      <c r="CM41" s="49" t="n">
        <v>26</v>
      </c>
      <c r="CN41" s="49" t="n">
        <v>56</v>
      </c>
      <c r="CO41" s="49" t="n">
        <v>82</v>
      </c>
      <c r="CP41" s="25" t="n">
        <f aca="false">BX41+BW41+BV41+BU41+BT41+BQ41+BN41</f>
        <v>661</v>
      </c>
      <c r="CQ41" s="25" t="n">
        <f aca="false">CO41+CL41+CI41+CH41+CG41+CD41+CA41</f>
        <v>612</v>
      </c>
      <c r="CR41" s="26" t="n">
        <f aca="false">CP41/7</f>
        <v>94.4285714285714</v>
      </c>
      <c r="CS41" s="26" t="n">
        <f aca="false">CQ41/7</f>
        <v>87.4285714285714</v>
      </c>
      <c r="CT41" s="24" t="n">
        <f aca="false">RANK(CR41,$CR$2:$CR$881,0)</f>
        <v>22</v>
      </c>
      <c r="CU41" s="25" t="n">
        <f aca="false">RANK(CS41,$CS$2:$CS$881,0)</f>
        <v>51</v>
      </c>
      <c r="CV41" s="26" t="n">
        <f aca="false">(CS41+CR41)/2</f>
        <v>90.9285714285714</v>
      </c>
      <c r="CW41" s="25" t="n">
        <f aca="false">RANK(CV41,$CV$2:$CV$881,0)</f>
        <v>40</v>
      </c>
      <c r="CX41" s="50" t="n">
        <f aca="false">(CV41+BB41)/2</f>
        <v>87.6642857142857</v>
      </c>
      <c r="CY41" s="50" t="n">
        <v>59</v>
      </c>
      <c r="CZ41" s="27" t="s">
        <v>132</v>
      </c>
      <c r="DA41" s="27" t="s">
        <v>153</v>
      </c>
      <c r="DB41" s="27" t="s">
        <v>153</v>
      </c>
      <c r="DC41" s="27" t="s">
        <v>134</v>
      </c>
      <c r="DD41" s="27" t="s">
        <v>137</v>
      </c>
      <c r="DE41" s="27" t="s">
        <v>136</v>
      </c>
      <c r="DF41" s="27" t="s">
        <v>162</v>
      </c>
      <c r="DG41" s="27" t="s">
        <v>134</v>
      </c>
      <c r="DH41" s="27" t="s">
        <v>135</v>
      </c>
      <c r="DI41" s="27" t="s">
        <v>138</v>
      </c>
      <c r="DJ41" s="27" t="s">
        <v>156</v>
      </c>
      <c r="DK41" s="27" t="s">
        <v>134</v>
      </c>
      <c r="DL41" s="27" t="s">
        <v>160</v>
      </c>
      <c r="DM41" s="27" t="s">
        <v>163</v>
      </c>
      <c r="DN41" s="27" t="s">
        <v>151</v>
      </c>
      <c r="DO41" s="27" t="s">
        <v>134</v>
      </c>
      <c r="DP41" s="27" t="s">
        <v>182</v>
      </c>
      <c r="DQ41" s="27" t="s">
        <v>152</v>
      </c>
      <c r="DR41" s="27" t="s">
        <v>133</v>
      </c>
      <c r="DS41" s="27" t="s">
        <v>134</v>
      </c>
      <c r="DT41" s="27" t="s">
        <v>160</v>
      </c>
      <c r="DU41" s="27" t="s">
        <v>161</v>
      </c>
      <c r="DV41" s="27" t="s">
        <v>162</v>
      </c>
      <c r="DW41" s="27" t="s">
        <v>160</v>
      </c>
      <c r="DX41" s="27" t="s">
        <v>155</v>
      </c>
      <c r="DY41" s="27" t="s">
        <v>145</v>
      </c>
      <c r="DZ41" s="27" t="n">
        <f aca="false">DY41+DV41+DR41+DN41+DJ41+DF41+DB41</f>
        <v>641</v>
      </c>
      <c r="EA41" s="28" t="n">
        <f aca="false">DZ41/7</f>
        <v>91.5714285714286</v>
      </c>
      <c r="EB41" s="27" t="n">
        <f aca="false">RANK(EA41,$EA$2:$EA$881,0)</f>
        <v>24</v>
      </c>
      <c r="EC41" s="29" t="n">
        <f aca="false">DZ41+CQ41+CP41+AZ41</f>
        <v>2758</v>
      </c>
      <c r="ED41" s="30" t="n">
        <f aca="false">(EA41+CV41+BB41)/3</f>
        <v>88.9666666666667</v>
      </c>
      <c r="EE41" s="51" t="n">
        <f aca="false">ROUND(BE41,3)</f>
        <v>89.43</v>
      </c>
      <c r="EF41" s="51" t="n">
        <f aca="false">ROUND(CR41,3)</f>
        <v>94.429</v>
      </c>
      <c r="EG41" s="51" t="n">
        <f aca="false">ROUND(CS41,3)</f>
        <v>87.429</v>
      </c>
      <c r="EH41" s="51" t="n">
        <f aca="false">ROUND(EA41,3)</f>
        <v>91.571</v>
      </c>
      <c r="EI41" s="51" t="n">
        <f aca="false">ROUND(ED41,3)</f>
        <v>88.967</v>
      </c>
      <c r="EJ41" s="51" t="n">
        <f aca="false">ROUND(CV41,3)</f>
        <v>90.929</v>
      </c>
      <c r="EK41" s="0" t="n">
        <f aca="false">RANK(EI41,$EI$2:$EI$881,0)</f>
        <v>40</v>
      </c>
    </row>
    <row r="42" customFormat="false" ht="15" hidden="false" customHeight="false" outlineLevel="0" collapsed="false">
      <c r="A42" s="4" t="n">
        <v>8769</v>
      </c>
      <c r="B42" s="4" t="n">
        <v>236</v>
      </c>
      <c r="C42" s="27" t="s">
        <v>295</v>
      </c>
      <c r="D42" s="31" t="n">
        <v>237</v>
      </c>
      <c r="E42" s="32" t="n">
        <v>230312875</v>
      </c>
      <c r="F42" s="8" t="s">
        <v>296</v>
      </c>
      <c r="G42" s="22" t="s">
        <v>297</v>
      </c>
      <c r="H42" s="22" t="s">
        <v>129</v>
      </c>
      <c r="I42" s="33" t="n">
        <v>2006</v>
      </c>
      <c r="J42" s="32" t="n">
        <v>80</v>
      </c>
      <c r="K42" s="32" t="n">
        <v>91</v>
      </c>
      <c r="L42" s="34" t="n">
        <f aca="false">(K42*70)/100</f>
        <v>63.7</v>
      </c>
      <c r="M42" s="34" t="n">
        <f aca="false">ROUNDUP(L42,0)</f>
        <v>64</v>
      </c>
      <c r="N42" s="32" t="n">
        <v>27</v>
      </c>
      <c r="O42" s="34" t="n">
        <f aca="false">N42+L42</f>
        <v>90.7</v>
      </c>
      <c r="P42" s="34" t="n">
        <f aca="false">N42+M42</f>
        <v>91</v>
      </c>
      <c r="Q42" s="32" t="n">
        <v>92</v>
      </c>
      <c r="R42" s="32" t="n">
        <v>84</v>
      </c>
      <c r="S42" s="34" t="n">
        <f aca="false">(R42*70)/100</f>
        <v>58.8</v>
      </c>
      <c r="T42" s="34" t="n">
        <f aca="false">ROUNDUP(S42,0)</f>
        <v>59</v>
      </c>
      <c r="U42" s="32" t="n">
        <v>26</v>
      </c>
      <c r="V42" s="34" t="n">
        <f aca="false">U42+S42</f>
        <v>84.8</v>
      </c>
      <c r="W42" s="34" t="n">
        <f aca="false">U42+T42</f>
        <v>85</v>
      </c>
      <c r="X42" s="32" t="n">
        <v>76</v>
      </c>
      <c r="Y42" s="34" t="n">
        <f aca="false">(X42*70)/100</f>
        <v>53.2</v>
      </c>
      <c r="Z42" s="34" t="n">
        <f aca="false">ROUNDUP(Y42,0)</f>
        <v>54</v>
      </c>
      <c r="AA42" s="32" t="n">
        <v>25</v>
      </c>
      <c r="AB42" s="34" t="n">
        <f aca="false">AA42+Y42</f>
        <v>78.2</v>
      </c>
      <c r="AC42" s="34" t="n">
        <f aca="false">AA42+Z42</f>
        <v>79</v>
      </c>
      <c r="AD42" s="32" t="n">
        <f aca="false">X42+R42+Q42+K42+J42</f>
        <v>423</v>
      </c>
      <c r="AE42" s="16" t="n">
        <f aca="false">AD42/5</f>
        <v>84.6</v>
      </c>
      <c r="AF42" s="16" t="n">
        <v>86</v>
      </c>
      <c r="AG42" s="16" t="n">
        <v>86</v>
      </c>
      <c r="AH42" s="16" t="n">
        <v>92</v>
      </c>
      <c r="AI42" s="16" t="n">
        <v>94</v>
      </c>
      <c r="AJ42" s="16" t="n">
        <f aca="false">(AI42*70)/100</f>
        <v>65.8</v>
      </c>
      <c r="AK42" s="35" t="n">
        <f aca="false">ROUNDUP(AJ42,0)</f>
        <v>66</v>
      </c>
      <c r="AL42" s="16" t="n">
        <v>25</v>
      </c>
      <c r="AM42" s="16" t="n">
        <f aca="false">AL42+AJ42</f>
        <v>90.8</v>
      </c>
      <c r="AN42" s="16" t="n">
        <f aca="false">AL42+AK42</f>
        <v>91</v>
      </c>
      <c r="AO42" s="16" t="n">
        <v>85</v>
      </c>
      <c r="AP42" s="36" t="n">
        <f aca="false">(AO42*70)/100</f>
        <v>59.5</v>
      </c>
      <c r="AQ42" s="37" t="n">
        <f aca="false">ROUNDUP(AP42,0)</f>
        <v>60</v>
      </c>
      <c r="AR42" s="16" t="n">
        <v>29</v>
      </c>
      <c r="AS42" s="16" t="n">
        <f aca="false">AR42+AP42</f>
        <v>88.5</v>
      </c>
      <c r="AT42" s="16" t="n">
        <f aca="false">AR42+AQ42</f>
        <v>89</v>
      </c>
      <c r="AU42" s="16" t="n">
        <f aca="false">AO42+AF42+AI42+AH42+AG42</f>
        <v>443</v>
      </c>
      <c r="AV42" s="16" t="n">
        <f aca="false">(AO42+AF42+AI42+AH42+AG42)/5</f>
        <v>88.6</v>
      </c>
      <c r="AW42" s="36" t="n">
        <f aca="false">(AO42+AF42+AI42+AH42+AG42+X42+R42+Q42+K42+J42)</f>
        <v>866</v>
      </c>
      <c r="AX42" s="16" t="n">
        <f aca="false">AW42/10</f>
        <v>86.6</v>
      </c>
      <c r="AY42" s="16" t="n">
        <f aca="false">AS42+AF42+AM42+AH42+AG42+AB42+V42+Q42+O42+J42</f>
        <v>869</v>
      </c>
      <c r="AZ42" s="16" t="n">
        <f aca="false">AT42+AF42+AN42+AH42+AG42+AC42+W42+Q42+P42+J42</f>
        <v>871</v>
      </c>
      <c r="BA42" s="16" t="n">
        <f aca="false">AY42/10</f>
        <v>86.9</v>
      </c>
      <c r="BB42" s="16" t="n">
        <f aca="false">AZ42/10</f>
        <v>87.1</v>
      </c>
      <c r="BC42" s="16" t="n">
        <v>2377</v>
      </c>
      <c r="BD42" s="16" t="n">
        <f aca="false">RANK(AX42,$AX$2:$AX$881,0)</f>
        <v>60</v>
      </c>
      <c r="BE42" s="38" t="n">
        <f aca="false">((BC42*100)/2400)*0.4+(AX42*0.6)</f>
        <v>91.5766666666667</v>
      </c>
      <c r="BF42" s="16" t="n">
        <f aca="false">RANK(BE42,$BE$2:$BE$881,0)</f>
        <v>57</v>
      </c>
      <c r="BG42" s="39" t="n">
        <f aca="false">RANK(BB42,$BB$2:$BB$881,0)</f>
        <v>56</v>
      </c>
      <c r="BH42" s="39" t="n">
        <f aca="false">RANK(BC42,$BC$2:$BC$881,0)</f>
        <v>189</v>
      </c>
      <c r="BI42" s="22" t="s">
        <v>130</v>
      </c>
      <c r="BJ42" s="22" t="s">
        <v>129</v>
      </c>
      <c r="BK42" s="40" t="s">
        <v>131</v>
      </c>
      <c r="BL42" s="41" t="n">
        <v>19</v>
      </c>
      <c r="BM42" s="41" t="n">
        <v>55</v>
      </c>
      <c r="BN42" s="41" t="n">
        <v>74</v>
      </c>
      <c r="BO42" s="42" t="n">
        <v>26</v>
      </c>
      <c r="BP42" s="43" t="n">
        <v>57</v>
      </c>
      <c r="BQ42" s="44" t="n">
        <v>83</v>
      </c>
      <c r="BR42" s="42" t="n">
        <v>26</v>
      </c>
      <c r="BS42" s="45" t="n">
        <v>52</v>
      </c>
      <c r="BT42" s="45" t="n">
        <v>78</v>
      </c>
      <c r="BU42" s="46" t="n">
        <v>99</v>
      </c>
      <c r="BV42" s="47" t="n">
        <v>90</v>
      </c>
      <c r="BW42" s="42" t="n">
        <v>98</v>
      </c>
      <c r="BX42" s="48" t="n">
        <v>98</v>
      </c>
      <c r="BY42" s="32" t="n">
        <v>26</v>
      </c>
      <c r="BZ42" s="32" t="n">
        <v>65</v>
      </c>
      <c r="CA42" s="32" t="n">
        <v>91</v>
      </c>
      <c r="CB42" s="32" t="n">
        <v>20</v>
      </c>
      <c r="CC42" s="32" t="n">
        <v>53</v>
      </c>
      <c r="CD42" s="32" t="n">
        <v>73</v>
      </c>
      <c r="CE42" s="32" t="n">
        <v>27</v>
      </c>
      <c r="CF42" s="32" t="n">
        <v>61</v>
      </c>
      <c r="CG42" s="32" t="n">
        <v>88</v>
      </c>
      <c r="CH42" s="32" t="n">
        <v>100</v>
      </c>
      <c r="CI42" s="32" t="n">
        <v>99</v>
      </c>
      <c r="CJ42" s="49" t="n">
        <v>22</v>
      </c>
      <c r="CK42" s="49" t="n">
        <v>59</v>
      </c>
      <c r="CL42" s="49" t="n">
        <v>81</v>
      </c>
      <c r="CM42" s="49" t="n">
        <v>23</v>
      </c>
      <c r="CN42" s="49" t="n">
        <v>58</v>
      </c>
      <c r="CO42" s="49" t="n">
        <v>81</v>
      </c>
      <c r="CP42" s="25" t="n">
        <f aca="false">BX42+BW42+BV42+BU42+BT42+BQ42+BN42</f>
        <v>620</v>
      </c>
      <c r="CQ42" s="25" t="n">
        <f aca="false">CO42+CL42+CI42+CH42+CG42+CD42+CA42</f>
        <v>613</v>
      </c>
      <c r="CR42" s="26" t="n">
        <f aca="false">CP42/7</f>
        <v>88.5714285714286</v>
      </c>
      <c r="CS42" s="26" t="n">
        <f aca="false">CQ42/7</f>
        <v>87.5714285714286</v>
      </c>
      <c r="CT42" s="24" t="n">
        <f aca="false">RANK(CR42,$CR$2:$CR$881,0)</f>
        <v>265</v>
      </c>
      <c r="CU42" s="25" t="n">
        <f aca="false">RANK(CS42,$CS$2:$CS$881,0)</f>
        <v>48</v>
      </c>
      <c r="CV42" s="26" t="n">
        <f aca="false">(CS42+CR42)/2</f>
        <v>88.0714285714286</v>
      </c>
      <c r="CW42" s="25" t="n">
        <f aca="false">RANK(CV42,$CV$2:$CV$881,0)</f>
        <v>94</v>
      </c>
      <c r="CX42" s="50" t="n">
        <f aca="false">(CV42+BB42)/2</f>
        <v>87.5857142857143</v>
      </c>
      <c r="CY42" s="50" t="n">
        <v>60</v>
      </c>
      <c r="CZ42" s="27" t="s">
        <v>132</v>
      </c>
      <c r="DA42" s="27" t="s">
        <v>176</v>
      </c>
      <c r="DB42" s="27" t="s">
        <v>176</v>
      </c>
      <c r="DC42" s="27" t="s">
        <v>134</v>
      </c>
      <c r="DD42" s="27" t="s">
        <v>137</v>
      </c>
      <c r="DE42" s="27" t="s">
        <v>136</v>
      </c>
      <c r="DF42" s="27" t="s">
        <v>162</v>
      </c>
      <c r="DG42" s="27" t="s">
        <v>134</v>
      </c>
      <c r="DH42" s="27" t="s">
        <v>182</v>
      </c>
      <c r="DI42" s="27" t="s">
        <v>143</v>
      </c>
      <c r="DJ42" s="27" t="s">
        <v>176</v>
      </c>
      <c r="DK42" s="27" t="s">
        <v>134</v>
      </c>
      <c r="DL42" s="27" t="s">
        <v>182</v>
      </c>
      <c r="DM42" s="27" t="s">
        <v>163</v>
      </c>
      <c r="DN42" s="27" t="s">
        <v>162</v>
      </c>
      <c r="DO42" s="27" t="s">
        <v>134</v>
      </c>
      <c r="DP42" s="27" t="s">
        <v>154</v>
      </c>
      <c r="DQ42" s="27" t="s">
        <v>141</v>
      </c>
      <c r="DR42" s="27" t="s">
        <v>153</v>
      </c>
      <c r="DS42" s="27" t="s">
        <v>134</v>
      </c>
      <c r="DT42" s="27" t="s">
        <v>164</v>
      </c>
      <c r="DU42" s="27" t="s">
        <v>187</v>
      </c>
      <c r="DV42" s="27" t="s">
        <v>151</v>
      </c>
      <c r="DW42" s="27" t="s">
        <v>137</v>
      </c>
      <c r="DX42" s="27" t="s">
        <v>155</v>
      </c>
      <c r="DY42" s="27" t="s">
        <v>142</v>
      </c>
      <c r="DZ42" s="27" t="n">
        <f aca="false">DY42+DV42+DR42+DN42+DJ42+DF42+DB42</f>
        <v>641</v>
      </c>
      <c r="EA42" s="28" t="n">
        <f aca="false">DZ42/7</f>
        <v>91.5714285714286</v>
      </c>
      <c r="EB42" s="27" t="n">
        <f aca="false">RANK(EA42,$EA$2:$EA$881,0)</f>
        <v>24</v>
      </c>
      <c r="EC42" s="29" t="n">
        <f aca="false">DZ42+CQ42+CP42+AZ42</f>
        <v>2745</v>
      </c>
      <c r="ED42" s="30" t="n">
        <f aca="false">(EA42+CV42+BB42)/3</f>
        <v>88.9142857142857</v>
      </c>
      <c r="EE42" s="51" t="n">
        <f aca="false">ROUND(BE42,3)</f>
        <v>91.577</v>
      </c>
      <c r="EF42" s="51" t="n">
        <f aca="false">ROUND(CR42,3)</f>
        <v>88.571</v>
      </c>
      <c r="EG42" s="51" t="n">
        <f aca="false">ROUND(CS42,3)</f>
        <v>87.571</v>
      </c>
      <c r="EH42" s="51" t="n">
        <f aca="false">ROUND(EA42,3)</f>
        <v>91.571</v>
      </c>
      <c r="EI42" s="51" t="n">
        <f aca="false">ROUND(ED42,3)</f>
        <v>88.914</v>
      </c>
      <c r="EJ42" s="51" t="n">
        <f aca="false">ROUND(CV42,3)</f>
        <v>88.071</v>
      </c>
      <c r="EK42" s="0" t="n">
        <f aca="false">RANK(EI42,$EI$2:$EI$881,0)</f>
        <v>41</v>
      </c>
    </row>
    <row r="43" customFormat="false" ht="15" hidden="false" customHeight="false" outlineLevel="0" collapsed="false">
      <c r="A43" s="4" t="n">
        <v>8874</v>
      </c>
      <c r="B43" s="4" t="n">
        <v>416</v>
      </c>
      <c r="C43" s="27" t="s">
        <v>298</v>
      </c>
      <c r="D43" s="31" t="n">
        <v>420</v>
      </c>
      <c r="E43" s="32" t="n">
        <v>230320622</v>
      </c>
      <c r="F43" s="8" t="s">
        <v>299</v>
      </c>
      <c r="G43" s="22" t="s">
        <v>300</v>
      </c>
      <c r="H43" s="22" t="s">
        <v>129</v>
      </c>
      <c r="I43" s="33" t="n">
        <v>2005</v>
      </c>
      <c r="J43" s="32" t="n">
        <v>76</v>
      </c>
      <c r="K43" s="32" t="n">
        <v>90</v>
      </c>
      <c r="L43" s="34" t="n">
        <f aca="false">(K43*70)/100</f>
        <v>63</v>
      </c>
      <c r="M43" s="34" t="n">
        <f aca="false">ROUNDUP(L43,0)</f>
        <v>63</v>
      </c>
      <c r="N43" s="32" t="n">
        <v>28</v>
      </c>
      <c r="O43" s="34" t="n">
        <f aca="false">N43+L43</f>
        <v>91</v>
      </c>
      <c r="P43" s="34" t="n">
        <f aca="false">N43+M43</f>
        <v>91</v>
      </c>
      <c r="Q43" s="32" t="n">
        <v>87</v>
      </c>
      <c r="R43" s="32" t="n">
        <v>85</v>
      </c>
      <c r="S43" s="34" t="n">
        <f aca="false">(R43*70)/100</f>
        <v>59.5</v>
      </c>
      <c r="T43" s="34" t="n">
        <f aca="false">ROUNDUP(S43,0)</f>
        <v>60</v>
      </c>
      <c r="U43" s="32" t="n">
        <v>27</v>
      </c>
      <c r="V43" s="34" t="n">
        <f aca="false">U43+S43</f>
        <v>86.5</v>
      </c>
      <c r="W43" s="34" t="n">
        <f aca="false">U43+T43</f>
        <v>87</v>
      </c>
      <c r="X43" s="32" t="n">
        <v>84</v>
      </c>
      <c r="Y43" s="34" t="n">
        <f aca="false">(X43*70)/100</f>
        <v>58.8</v>
      </c>
      <c r="Z43" s="34" t="n">
        <f aca="false">ROUNDUP(Y43,0)</f>
        <v>59</v>
      </c>
      <c r="AA43" s="32" t="n">
        <v>27</v>
      </c>
      <c r="AB43" s="34" t="n">
        <f aca="false">AA43+Y43</f>
        <v>85.8</v>
      </c>
      <c r="AC43" s="34" t="n">
        <f aca="false">AA43+Z43</f>
        <v>86</v>
      </c>
      <c r="AD43" s="32" t="n">
        <f aca="false">X43+R43+Q43+K43+J43</f>
        <v>422</v>
      </c>
      <c r="AE43" s="16" t="n">
        <f aca="false">AD43/5</f>
        <v>84.4</v>
      </c>
      <c r="AF43" s="16" t="n">
        <v>66</v>
      </c>
      <c r="AG43" s="16" t="n">
        <v>78</v>
      </c>
      <c r="AH43" s="16" t="n">
        <v>97</v>
      </c>
      <c r="AI43" s="16" t="n">
        <v>95</v>
      </c>
      <c r="AJ43" s="16" t="n">
        <f aca="false">(AI43*70)/100</f>
        <v>66.5</v>
      </c>
      <c r="AK43" s="35" t="n">
        <f aca="false">ROUNDUP(AJ43,0)</f>
        <v>67</v>
      </c>
      <c r="AL43" s="16" t="n">
        <v>24</v>
      </c>
      <c r="AM43" s="16" t="n">
        <f aca="false">AL43+AJ43</f>
        <v>90.5</v>
      </c>
      <c r="AN43" s="16" t="n">
        <f aca="false">AL43+AK43</f>
        <v>91</v>
      </c>
      <c r="AO43" s="16" t="n">
        <v>81</v>
      </c>
      <c r="AP43" s="36" t="n">
        <f aca="false">(AO43*70)/100</f>
        <v>56.7</v>
      </c>
      <c r="AQ43" s="37" t="n">
        <f aca="false">ROUNDUP(AP43,0)</f>
        <v>57</v>
      </c>
      <c r="AR43" s="16" t="n">
        <v>26</v>
      </c>
      <c r="AS43" s="16" t="n">
        <f aca="false">AR43+AP43</f>
        <v>82.7</v>
      </c>
      <c r="AT43" s="16" t="n">
        <f aca="false">AR43+AQ43</f>
        <v>83</v>
      </c>
      <c r="AU43" s="16" t="n">
        <f aca="false">AO43+AF43+AI43+AH43+AG43</f>
        <v>417</v>
      </c>
      <c r="AV43" s="16" t="n">
        <f aca="false">(AO43+AF43+AI43+AH43+AG43)/5</f>
        <v>83.4</v>
      </c>
      <c r="AW43" s="36" t="n">
        <f aca="false">(AO43+AF43+AI43+AH43+AG43+X43+R43+Q43+K43+J43)</f>
        <v>839</v>
      </c>
      <c r="AX43" s="16" t="n">
        <f aca="false">AW43/10</f>
        <v>83.9</v>
      </c>
      <c r="AY43" s="16" t="n">
        <f aca="false">AS43+AF43+AM43+AH43+AG43+AB43+V43+Q43+O43+J43</f>
        <v>840.5</v>
      </c>
      <c r="AZ43" s="16" t="n">
        <f aca="false">AT43+AF43+AN43+AH43+AG43+AC43+W43+Q43+P43+J43</f>
        <v>842</v>
      </c>
      <c r="BA43" s="16" t="n">
        <f aca="false">AY43/10</f>
        <v>84.05</v>
      </c>
      <c r="BB43" s="16" t="n">
        <f aca="false">AZ43/10</f>
        <v>84.2</v>
      </c>
      <c r="BC43" s="16" t="n">
        <v>2357</v>
      </c>
      <c r="BD43" s="16" t="n">
        <f aca="false">RANK(AX43,$AX$2:$AX$881,0)</f>
        <v>110</v>
      </c>
      <c r="BE43" s="54" t="n">
        <f aca="false">((BC43*100)/2400)*0.4+(AX43*0.6)</f>
        <v>89.6233333333333</v>
      </c>
      <c r="BF43" s="16" t="n">
        <f aca="false">RANK(BE43,$BE$2:$BE$881,0)</f>
        <v>117</v>
      </c>
      <c r="BG43" s="39" t="n">
        <f aca="false">RANK(BB43,$BB$2:$BB$881,0)</f>
        <v>119</v>
      </c>
      <c r="BH43" s="39" t="n">
        <f aca="false">RANK(BC43,$BC$2:$BC$881,0)</f>
        <v>444</v>
      </c>
      <c r="BI43" s="22" t="s">
        <v>130</v>
      </c>
      <c r="BJ43" s="22" t="s">
        <v>129</v>
      </c>
      <c r="BK43" s="40" t="s">
        <v>131</v>
      </c>
      <c r="BL43" s="41" t="n">
        <v>26</v>
      </c>
      <c r="BM43" s="41" t="n">
        <v>67</v>
      </c>
      <c r="BN43" s="41" t="n">
        <v>93</v>
      </c>
      <c r="BO43" s="42" t="n">
        <v>28</v>
      </c>
      <c r="BP43" s="43" t="n">
        <v>64</v>
      </c>
      <c r="BQ43" s="44" t="n">
        <v>92</v>
      </c>
      <c r="BR43" s="42" t="n">
        <v>27</v>
      </c>
      <c r="BS43" s="45" t="n">
        <v>62</v>
      </c>
      <c r="BT43" s="45" t="n">
        <v>89</v>
      </c>
      <c r="BU43" s="46" t="n">
        <v>99</v>
      </c>
      <c r="BV43" s="47" t="n">
        <v>80</v>
      </c>
      <c r="BW43" s="42" t="n">
        <v>100</v>
      </c>
      <c r="BX43" s="48" t="n">
        <v>92</v>
      </c>
      <c r="BY43" s="32" t="n">
        <v>26</v>
      </c>
      <c r="BZ43" s="32" t="n">
        <v>62</v>
      </c>
      <c r="CA43" s="32" t="n">
        <v>88</v>
      </c>
      <c r="CB43" s="32" t="n">
        <v>27</v>
      </c>
      <c r="CC43" s="32" t="n">
        <v>51</v>
      </c>
      <c r="CD43" s="32" t="n">
        <v>78</v>
      </c>
      <c r="CE43" s="32" t="n">
        <v>28</v>
      </c>
      <c r="CF43" s="32" t="n">
        <v>63</v>
      </c>
      <c r="CG43" s="32" t="n">
        <v>91</v>
      </c>
      <c r="CH43" s="32" t="n">
        <v>99</v>
      </c>
      <c r="CI43" s="32" t="n">
        <v>100</v>
      </c>
      <c r="CJ43" s="49" t="n">
        <v>26</v>
      </c>
      <c r="CK43" s="49" t="n">
        <v>62</v>
      </c>
      <c r="CL43" s="49" t="n">
        <v>88</v>
      </c>
      <c r="CM43" s="49" t="n">
        <v>23</v>
      </c>
      <c r="CN43" s="49" t="n">
        <v>59</v>
      </c>
      <c r="CO43" s="49" t="n">
        <v>82</v>
      </c>
      <c r="CP43" s="25" t="n">
        <f aca="false">BX43+BW43+BV43+BU43+BT43+BQ43+BN43</f>
        <v>645</v>
      </c>
      <c r="CQ43" s="25" t="n">
        <f aca="false">CO43+CL43+CI43+CH43+CG43+CD43+CA43</f>
        <v>626</v>
      </c>
      <c r="CR43" s="26" t="n">
        <f aca="false">CP43/7</f>
        <v>92.1428571428571</v>
      </c>
      <c r="CS43" s="26" t="n">
        <f aca="false">CQ43/7</f>
        <v>89.4285714285714</v>
      </c>
      <c r="CT43" s="24" t="n">
        <f aca="false">RANK(CR43,$CR$2:$CR$881,0)</f>
        <v>85</v>
      </c>
      <c r="CU43" s="25" t="n">
        <f aca="false">RANK(CS43,$CS$2:$CS$881,0)</f>
        <v>27</v>
      </c>
      <c r="CV43" s="26" t="n">
        <f aca="false">(CS43+CR43)/2</f>
        <v>90.7857142857143</v>
      </c>
      <c r="CW43" s="25" t="n">
        <f aca="false">RANK(CV43,$CV$2:$CV$881,0)</f>
        <v>46</v>
      </c>
      <c r="CX43" s="50" t="n">
        <f aca="false">(CV43+BB43)/2</f>
        <v>87.4928571428571</v>
      </c>
      <c r="CY43" s="50" t="n">
        <v>63</v>
      </c>
      <c r="CZ43" s="27" t="s">
        <v>132</v>
      </c>
      <c r="DA43" s="27" t="s">
        <v>153</v>
      </c>
      <c r="DB43" s="27" t="s">
        <v>153</v>
      </c>
      <c r="DC43" s="27" t="s">
        <v>134</v>
      </c>
      <c r="DD43" s="27" t="s">
        <v>164</v>
      </c>
      <c r="DE43" s="27" t="s">
        <v>163</v>
      </c>
      <c r="DF43" s="27" t="s">
        <v>176</v>
      </c>
      <c r="DG43" s="27" t="s">
        <v>134</v>
      </c>
      <c r="DH43" s="27" t="s">
        <v>174</v>
      </c>
      <c r="DI43" s="27" t="s">
        <v>163</v>
      </c>
      <c r="DJ43" s="27" t="s">
        <v>178</v>
      </c>
      <c r="DK43" s="27" t="s">
        <v>134</v>
      </c>
      <c r="DL43" s="27" t="s">
        <v>164</v>
      </c>
      <c r="DM43" s="27" t="s">
        <v>203</v>
      </c>
      <c r="DN43" s="27" t="s">
        <v>162</v>
      </c>
      <c r="DO43" s="27" t="s">
        <v>134</v>
      </c>
      <c r="DP43" s="27" t="s">
        <v>164</v>
      </c>
      <c r="DQ43" s="27" t="s">
        <v>203</v>
      </c>
      <c r="DR43" s="27" t="s">
        <v>162</v>
      </c>
      <c r="DS43" s="27" t="s">
        <v>134</v>
      </c>
      <c r="DT43" s="27" t="s">
        <v>140</v>
      </c>
      <c r="DU43" s="27" t="s">
        <v>163</v>
      </c>
      <c r="DV43" s="27" t="s">
        <v>156</v>
      </c>
      <c r="DW43" s="27" t="s">
        <v>146</v>
      </c>
      <c r="DX43" s="27" t="s">
        <v>155</v>
      </c>
      <c r="DY43" s="27" t="s">
        <v>165</v>
      </c>
      <c r="DZ43" s="27" t="n">
        <f aca="false">DY43+DV43+DR43+DN43+DJ43+DF43+DB43</f>
        <v>641</v>
      </c>
      <c r="EA43" s="28" t="n">
        <f aca="false">DZ43/7</f>
        <v>91.5714285714286</v>
      </c>
      <c r="EB43" s="27" t="n">
        <f aca="false">RANK(EA43,$EA$2:$EA$881,0)</f>
        <v>24</v>
      </c>
      <c r="EC43" s="29" t="n">
        <f aca="false">DZ43+CQ43+CP43+AZ43</f>
        <v>2754</v>
      </c>
      <c r="ED43" s="30" t="n">
        <f aca="false">(EA43+CV43+BB43)/3</f>
        <v>88.8523809523809</v>
      </c>
      <c r="EE43" s="51" t="n">
        <f aca="false">ROUND(BE43,3)</f>
        <v>89.623</v>
      </c>
      <c r="EF43" s="51" t="n">
        <f aca="false">ROUND(CR43,3)</f>
        <v>92.143</v>
      </c>
      <c r="EG43" s="51" t="n">
        <f aca="false">ROUND(CS43,3)</f>
        <v>89.429</v>
      </c>
      <c r="EH43" s="51" t="n">
        <f aca="false">ROUND(EA43,3)</f>
        <v>91.571</v>
      </c>
      <c r="EI43" s="51" t="n">
        <f aca="false">ROUND(ED43,3)</f>
        <v>88.852</v>
      </c>
      <c r="EJ43" s="51" t="n">
        <f aca="false">ROUND(CV43,3)</f>
        <v>90.786</v>
      </c>
      <c r="EK43" s="0" t="n">
        <f aca="false">RANK(EI43,$EI$2:$EI$881,0)</f>
        <v>42</v>
      </c>
    </row>
    <row r="44" customFormat="false" ht="15" hidden="false" customHeight="false" outlineLevel="0" collapsed="false">
      <c r="A44" s="4" t="n">
        <v>8783</v>
      </c>
      <c r="B44" s="4" t="n">
        <v>438</v>
      </c>
      <c r="C44" s="27" t="s">
        <v>301</v>
      </c>
      <c r="D44" s="31" t="n">
        <v>444</v>
      </c>
      <c r="E44" s="32" t="n">
        <v>230322868</v>
      </c>
      <c r="F44" s="8" t="s">
        <v>302</v>
      </c>
      <c r="G44" s="22" t="s">
        <v>303</v>
      </c>
      <c r="H44" s="22" t="s">
        <v>129</v>
      </c>
      <c r="I44" s="33" t="n">
        <v>2005</v>
      </c>
      <c r="J44" s="32" t="n">
        <v>86</v>
      </c>
      <c r="K44" s="32" t="n">
        <v>96</v>
      </c>
      <c r="L44" s="34" t="n">
        <f aca="false">(K44*70)/100</f>
        <v>67.2</v>
      </c>
      <c r="M44" s="34" t="n">
        <f aca="false">ROUNDUP(L44,0)</f>
        <v>68</v>
      </c>
      <c r="N44" s="32" t="n">
        <v>26</v>
      </c>
      <c r="O44" s="34" t="n">
        <f aca="false">N44+L44</f>
        <v>93.2</v>
      </c>
      <c r="P44" s="34" t="n">
        <f aca="false">N44+M44</f>
        <v>94</v>
      </c>
      <c r="Q44" s="32" t="n">
        <v>94</v>
      </c>
      <c r="R44" s="32" t="n">
        <v>84</v>
      </c>
      <c r="S44" s="34" t="n">
        <f aca="false">(R44*70)/100</f>
        <v>58.8</v>
      </c>
      <c r="T44" s="34" t="n">
        <f aca="false">ROUNDUP(S44,0)</f>
        <v>59</v>
      </c>
      <c r="U44" s="32" t="n">
        <v>24</v>
      </c>
      <c r="V44" s="34" t="n">
        <f aca="false">U44+S44</f>
        <v>82.8</v>
      </c>
      <c r="W44" s="34" t="n">
        <f aca="false">U44+T44</f>
        <v>83</v>
      </c>
      <c r="X44" s="32" t="n">
        <v>88</v>
      </c>
      <c r="Y44" s="34" t="n">
        <f aca="false">(X44*70)/100</f>
        <v>61.6</v>
      </c>
      <c r="Z44" s="34" t="n">
        <f aca="false">ROUNDUP(Y44,0)</f>
        <v>62</v>
      </c>
      <c r="AA44" s="32" t="n">
        <v>27</v>
      </c>
      <c r="AB44" s="34" t="n">
        <f aca="false">AA44+Y44</f>
        <v>88.6</v>
      </c>
      <c r="AC44" s="34" t="n">
        <f aca="false">AA44+Z44</f>
        <v>89</v>
      </c>
      <c r="AD44" s="32" t="n">
        <f aca="false">X44+R44+Q44+K44+J44</f>
        <v>448</v>
      </c>
      <c r="AE44" s="16" t="n">
        <f aca="false">AD44/5</f>
        <v>89.6</v>
      </c>
      <c r="AF44" s="16" t="n">
        <v>87</v>
      </c>
      <c r="AG44" s="16" t="n">
        <v>88</v>
      </c>
      <c r="AH44" s="16" t="n">
        <v>99</v>
      </c>
      <c r="AI44" s="16" t="n">
        <v>96</v>
      </c>
      <c r="AJ44" s="16" t="n">
        <f aca="false">(AI44*70)/100</f>
        <v>67.2</v>
      </c>
      <c r="AK44" s="35" t="n">
        <f aca="false">ROUNDUP(AJ44,0)</f>
        <v>68</v>
      </c>
      <c r="AL44" s="16" t="n">
        <v>27</v>
      </c>
      <c r="AM44" s="16" t="n">
        <f aca="false">AL44+AJ44</f>
        <v>94.2</v>
      </c>
      <c r="AN44" s="16" t="n">
        <f aca="false">AL44+AK44</f>
        <v>95</v>
      </c>
      <c r="AO44" s="16" t="n">
        <v>88</v>
      </c>
      <c r="AP44" s="36" t="n">
        <f aca="false">(AO44*70)/100</f>
        <v>61.6</v>
      </c>
      <c r="AQ44" s="37" t="n">
        <f aca="false">ROUNDUP(AP44,0)</f>
        <v>62</v>
      </c>
      <c r="AR44" s="16" t="n">
        <v>28</v>
      </c>
      <c r="AS44" s="16" t="n">
        <f aca="false">AR44+AP44</f>
        <v>89.6</v>
      </c>
      <c r="AT44" s="16" t="n">
        <f aca="false">AR44+AQ44</f>
        <v>90</v>
      </c>
      <c r="AU44" s="16" t="n">
        <f aca="false">AO44+AF44+AI44+AH44+AG44</f>
        <v>458</v>
      </c>
      <c r="AV44" s="16" t="n">
        <f aca="false">(AO44+AF44+AI44+AH44+AG44)/5</f>
        <v>91.6</v>
      </c>
      <c r="AW44" s="36" t="n">
        <f aca="false">(AO44+AF44+AI44+AH44+AG44+X44+R44+Q44+K44+J44)</f>
        <v>906</v>
      </c>
      <c r="AX44" s="16" t="n">
        <f aca="false">AW44/10</f>
        <v>90.6</v>
      </c>
      <c r="AY44" s="16" t="n">
        <f aca="false">AS44+AF44+AM44+AH44+AG44+AB44+V44+Q44+O44+J44</f>
        <v>902.4</v>
      </c>
      <c r="AZ44" s="16" t="n">
        <f aca="false">AT44+AF44+AN44+AH44+AG44+AC44+W44+Q44+P44+J44</f>
        <v>905</v>
      </c>
      <c r="BA44" s="16" t="n">
        <f aca="false">AY44/10</f>
        <v>90.24</v>
      </c>
      <c r="BB44" s="16" t="n">
        <f aca="false">AZ44/10</f>
        <v>90.5</v>
      </c>
      <c r="BC44" s="16" t="n">
        <v>2371</v>
      </c>
      <c r="BD44" s="16" t="n">
        <f aca="false">RANK(AX44,$AX$2:$AX$881,0)</f>
        <v>16</v>
      </c>
      <c r="BE44" s="38" t="n">
        <f aca="false">((BC44*100)/2400)*0.4+(AX44*0.6)</f>
        <v>93.8766666666667</v>
      </c>
      <c r="BF44" s="16" t="n">
        <f aca="false">RANK(BE44,$BE$2:$BE$881,0)</f>
        <v>19</v>
      </c>
      <c r="BG44" s="39" t="n">
        <f aca="false">RANK(BB44,$BB$2:$BB$881,0)</f>
        <v>18</v>
      </c>
      <c r="BH44" s="39" t="n">
        <f aca="false">RANK(BC44,$BC$2:$BC$881,0)</f>
        <v>257</v>
      </c>
      <c r="BI44" s="22" t="s">
        <v>130</v>
      </c>
      <c r="BJ44" s="22" t="s">
        <v>129</v>
      </c>
      <c r="BK44" s="40" t="s">
        <v>131</v>
      </c>
      <c r="BL44" s="41" t="n">
        <v>23</v>
      </c>
      <c r="BM44" s="41" t="n">
        <v>59</v>
      </c>
      <c r="BN44" s="41" t="n">
        <v>82</v>
      </c>
      <c r="BO44" s="42" t="n">
        <v>29</v>
      </c>
      <c r="BP44" s="43" t="n">
        <v>65</v>
      </c>
      <c r="BQ44" s="44" t="n">
        <v>94</v>
      </c>
      <c r="BR44" s="42" t="n">
        <v>26</v>
      </c>
      <c r="BS44" s="45" t="n">
        <v>64</v>
      </c>
      <c r="BT44" s="45" t="n">
        <v>90</v>
      </c>
      <c r="BU44" s="46" t="n">
        <v>100</v>
      </c>
      <c r="BV44" s="47" t="n">
        <v>86</v>
      </c>
      <c r="BW44" s="42" t="n">
        <v>99</v>
      </c>
      <c r="BX44" s="48" t="n">
        <v>94</v>
      </c>
      <c r="BY44" s="32" t="n">
        <v>25</v>
      </c>
      <c r="BZ44" s="32" t="n">
        <v>61</v>
      </c>
      <c r="CA44" s="32" t="n">
        <v>86</v>
      </c>
      <c r="CB44" s="32" t="n">
        <v>24</v>
      </c>
      <c r="CC44" s="32" t="n">
        <v>51</v>
      </c>
      <c r="CD44" s="32" t="n">
        <v>75</v>
      </c>
      <c r="CE44" s="32" t="n">
        <v>29</v>
      </c>
      <c r="CF44" s="32" t="n">
        <v>60</v>
      </c>
      <c r="CG44" s="32" t="n">
        <v>89</v>
      </c>
      <c r="CH44" s="32" t="n">
        <v>100</v>
      </c>
      <c r="CI44" s="32" t="n">
        <v>99</v>
      </c>
      <c r="CJ44" s="49" t="n">
        <v>25</v>
      </c>
      <c r="CK44" s="49" t="n">
        <v>56</v>
      </c>
      <c r="CL44" s="49" t="n">
        <v>81</v>
      </c>
      <c r="CM44" s="49" t="n">
        <v>24</v>
      </c>
      <c r="CN44" s="49" t="n">
        <v>61</v>
      </c>
      <c r="CO44" s="49" t="n">
        <v>85</v>
      </c>
      <c r="CP44" s="25" t="n">
        <f aca="false">BX44+BW44+BV44+BU44+BT44+BQ44+BN44</f>
        <v>645</v>
      </c>
      <c r="CQ44" s="25" t="n">
        <f aca="false">CO44+CL44+CI44+CH44+CG44+CD44+CA44</f>
        <v>615</v>
      </c>
      <c r="CR44" s="26" t="n">
        <f aca="false">CP44/7</f>
        <v>92.1428571428571</v>
      </c>
      <c r="CS44" s="26" t="n">
        <f aca="false">CQ44/7</f>
        <v>87.8571428571429</v>
      </c>
      <c r="CT44" s="24" t="n">
        <f aca="false">RANK(CR44,$CR$2:$CR$881,0)</f>
        <v>85</v>
      </c>
      <c r="CU44" s="25" t="n">
        <f aca="false">RANK(CS44,$CS$2:$CS$881,0)</f>
        <v>45</v>
      </c>
      <c r="CV44" s="26" t="n">
        <f aca="false">(CS44+CR44)/2</f>
        <v>90</v>
      </c>
      <c r="CW44" s="25" t="n">
        <f aca="false">RANK(CV44,$CV$2:$CV$881,0)</f>
        <v>52</v>
      </c>
      <c r="CX44" s="50" t="n">
        <f aca="false">(CV44+BB44)/2</f>
        <v>90.25</v>
      </c>
      <c r="CY44" s="50" t="n">
        <v>21</v>
      </c>
      <c r="CZ44" s="27" t="s">
        <v>132</v>
      </c>
      <c r="DA44" s="27" t="s">
        <v>175</v>
      </c>
      <c r="DB44" s="27" t="s">
        <v>175</v>
      </c>
      <c r="DC44" s="27" t="s">
        <v>134</v>
      </c>
      <c r="DD44" s="27" t="s">
        <v>160</v>
      </c>
      <c r="DE44" s="27" t="s">
        <v>161</v>
      </c>
      <c r="DF44" s="27" t="s">
        <v>162</v>
      </c>
      <c r="DG44" s="27" t="s">
        <v>134</v>
      </c>
      <c r="DH44" s="27" t="s">
        <v>154</v>
      </c>
      <c r="DI44" s="27" t="s">
        <v>204</v>
      </c>
      <c r="DJ44" s="27" t="s">
        <v>205</v>
      </c>
      <c r="DK44" s="27" t="s">
        <v>134</v>
      </c>
      <c r="DL44" s="27" t="s">
        <v>160</v>
      </c>
      <c r="DM44" s="27" t="s">
        <v>183</v>
      </c>
      <c r="DN44" s="27" t="s">
        <v>202</v>
      </c>
      <c r="DO44" s="27" t="s">
        <v>134</v>
      </c>
      <c r="DP44" s="27" t="s">
        <v>182</v>
      </c>
      <c r="DQ44" s="27" t="s">
        <v>304</v>
      </c>
      <c r="DR44" s="27" t="s">
        <v>305</v>
      </c>
      <c r="DS44" s="27" t="s">
        <v>134</v>
      </c>
      <c r="DT44" s="27" t="s">
        <v>146</v>
      </c>
      <c r="DU44" s="27" t="s">
        <v>306</v>
      </c>
      <c r="DV44" s="27" t="s">
        <v>175</v>
      </c>
      <c r="DW44" s="27" t="s">
        <v>160</v>
      </c>
      <c r="DX44" s="27" t="s">
        <v>138</v>
      </c>
      <c r="DY44" s="27" t="s">
        <v>144</v>
      </c>
      <c r="DZ44" s="27" t="n">
        <f aca="false">DY44+DV44+DR44+DN44+DJ44+DF44+DB44</f>
        <v>602</v>
      </c>
      <c r="EA44" s="28" t="n">
        <f aca="false">DZ44/7</f>
        <v>86</v>
      </c>
      <c r="EB44" s="27" t="n">
        <f aca="false">RANK(EA44,$EA$2:$EA$881,0)</f>
        <v>155</v>
      </c>
      <c r="EC44" s="29" t="n">
        <f aca="false">DZ44+CQ44+CP44+AZ44</f>
        <v>2767</v>
      </c>
      <c r="ED44" s="30" t="n">
        <f aca="false">(EA44+CV44+BB44)/3</f>
        <v>88.8333333333333</v>
      </c>
      <c r="EE44" s="51" t="n">
        <f aca="false">ROUND(BE44,3)</f>
        <v>93.877</v>
      </c>
      <c r="EF44" s="51" t="n">
        <f aca="false">ROUND(CR44,3)</f>
        <v>92.143</v>
      </c>
      <c r="EG44" s="51" t="n">
        <f aca="false">ROUND(CS44,3)</f>
        <v>87.857</v>
      </c>
      <c r="EH44" s="51" t="n">
        <f aca="false">ROUND(EA44,3)</f>
        <v>86</v>
      </c>
      <c r="EI44" s="51" t="n">
        <f aca="false">ROUND(ED44,3)</f>
        <v>88.833</v>
      </c>
      <c r="EJ44" s="51" t="n">
        <f aca="false">ROUND(CV44,3)</f>
        <v>90</v>
      </c>
      <c r="EK44" s="0" t="n">
        <f aca="false">RANK(EI44,$EI$2:$EI$881,0)</f>
        <v>43</v>
      </c>
    </row>
    <row r="45" customFormat="false" ht="15" hidden="false" customHeight="false" outlineLevel="0" collapsed="false">
      <c r="A45" s="4" t="n">
        <v>8788</v>
      </c>
      <c r="B45" s="4" t="n">
        <v>609</v>
      </c>
      <c r="C45" s="27" t="s">
        <v>307</v>
      </c>
      <c r="D45" s="31" t="n">
        <v>616</v>
      </c>
      <c r="E45" s="32" t="n">
        <v>230324856</v>
      </c>
      <c r="F45" s="8" t="s">
        <v>308</v>
      </c>
      <c r="G45" s="22" t="s">
        <v>309</v>
      </c>
      <c r="H45" s="22" t="s">
        <v>129</v>
      </c>
      <c r="I45" s="33" t="n">
        <v>2005</v>
      </c>
      <c r="J45" s="32" t="n">
        <v>92</v>
      </c>
      <c r="K45" s="32" t="n">
        <v>90</v>
      </c>
      <c r="L45" s="34" t="n">
        <f aca="false">(K45*70)/100</f>
        <v>63</v>
      </c>
      <c r="M45" s="34" t="n">
        <f aca="false">ROUNDUP(L45,0)</f>
        <v>63</v>
      </c>
      <c r="N45" s="32" t="n">
        <v>28</v>
      </c>
      <c r="O45" s="34" t="n">
        <f aca="false">N45+L45</f>
        <v>91</v>
      </c>
      <c r="P45" s="34" t="n">
        <f aca="false">N45+M45</f>
        <v>91</v>
      </c>
      <c r="Q45" s="32" t="n">
        <v>81</v>
      </c>
      <c r="R45" s="32" t="n">
        <v>80</v>
      </c>
      <c r="S45" s="34" t="n">
        <f aca="false">(R45*70)/100</f>
        <v>56</v>
      </c>
      <c r="T45" s="34" t="n">
        <f aca="false">ROUNDUP(S45,0)</f>
        <v>56</v>
      </c>
      <c r="U45" s="32" t="n">
        <v>28</v>
      </c>
      <c r="V45" s="34" t="n">
        <f aca="false">U45+S45</f>
        <v>84</v>
      </c>
      <c r="W45" s="34" t="n">
        <f aca="false">U45+T45</f>
        <v>84</v>
      </c>
      <c r="X45" s="32" t="n">
        <v>66</v>
      </c>
      <c r="Y45" s="34" t="n">
        <f aca="false">(X45*70)/100</f>
        <v>46.2</v>
      </c>
      <c r="Z45" s="34" t="n">
        <f aca="false">ROUNDUP(Y45,0)</f>
        <v>47</v>
      </c>
      <c r="AA45" s="32" t="n">
        <v>28</v>
      </c>
      <c r="AB45" s="34" t="n">
        <f aca="false">AA45+Y45</f>
        <v>74.2</v>
      </c>
      <c r="AC45" s="34" t="n">
        <f aca="false">AA45+Z45</f>
        <v>75</v>
      </c>
      <c r="AD45" s="32" t="n">
        <f aca="false">X45+R45+Q45+K45+J45</f>
        <v>409</v>
      </c>
      <c r="AE45" s="16" t="n">
        <f aca="false">AD45/5</f>
        <v>81.8</v>
      </c>
      <c r="AF45" s="16" t="n">
        <v>75</v>
      </c>
      <c r="AG45" s="16" t="n">
        <v>89</v>
      </c>
      <c r="AH45" s="16" t="n">
        <v>95</v>
      </c>
      <c r="AI45" s="16" t="n">
        <v>97</v>
      </c>
      <c r="AJ45" s="16" t="n">
        <f aca="false">(AI45*70)/100</f>
        <v>67.9</v>
      </c>
      <c r="AK45" s="35" t="n">
        <f aca="false">ROUNDUP(AJ45,0)</f>
        <v>68</v>
      </c>
      <c r="AL45" s="16" t="n">
        <v>25</v>
      </c>
      <c r="AM45" s="16" t="n">
        <f aca="false">AL45+AJ45</f>
        <v>92.9</v>
      </c>
      <c r="AN45" s="16" t="n">
        <f aca="false">AL45+AK45</f>
        <v>93</v>
      </c>
      <c r="AO45" s="16" t="n">
        <v>74</v>
      </c>
      <c r="AP45" s="36" t="n">
        <f aca="false">(AO45*70)/100</f>
        <v>51.8</v>
      </c>
      <c r="AQ45" s="37" t="n">
        <f aca="false">ROUNDUP(AP45,0)</f>
        <v>52</v>
      </c>
      <c r="AR45" s="16" t="n">
        <v>30</v>
      </c>
      <c r="AS45" s="16" t="n">
        <f aca="false">AR45+AP45</f>
        <v>81.8</v>
      </c>
      <c r="AT45" s="16" t="n">
        <f aca="false">AR45+AQ45</f>
        <v>82</v>
      </c>
      <c r="AU45" s="16" t="n">
        <f aca="false">AO45+AF45+AI45+AH45+AG45</f>
        <v>430</v>
      </c>
      <c r="AV45" s="16" t="n">
        <f aca="false">(AO45+AF45+AI45+AH45+AG45)/5</f>
        <v>86</v>
      </c>
      <c r="AW45" s="36" t="n">
        <f aca="false">(AO45+AF45+AI45+AH45+AG45+X45+R45+Q45+K45+J45)</f>
        <v>839</v>
      </c>
      <c r="AX45" s="16" t="n">
        <f aca="false">AW45/10</f>
        <v>83.9</v>
      </c>
      <c r="AY45" s="16" t="n">
        <f aca="false">AS45+AF45+AM45+AH45+AG45+AB45+V45+Q45+O45+J45</f>
        <v>855.9</v>
      </c>
      <c r="AZ45" s="16" t="n">
        <f aca="false">AT45+AF45+AN45+AH45+AG45+AC45+W45+Q45+P45+J45</f>
        <v>857</v>
      </c>
      <c r="BA45" s="16" t="n">
        <f aca="false">AY45/10</f>
        <v>85.59</v>
      </c>
      <c r="BB45" s="16" t="n">
        <f aca="false">AZ45/10</f>
        <v>85.7</v>
      </c>
      <c r="BC45" s="16" t="n">
        <v>2334</v>
      </c>
      <c r="BD45" s="16" t="n">
        <f aca="false">RANK(AX45,$AX$2:$AX$881,0)</f>
        <v>110</v>
      </c>
      <c r="BE45" s="54" t="n">
        <f aca="false">((BC45*100)/2400)*0.4+(AX45*0.6)</f>
        <v>89.24</v>
      </c>
      <c r="BF45" s="16" t="n">
        <f aca="false">RANK(BE45,$BE$2:$BE$881,0)</f>
        <v>127</v>
      </c>
      <c r="BG45" s="39" t="n">
        <f aca="false">RANK(BB45,$BB$2:$BB$881,0)</f>
        <v>90</v>
      </c>
      <c r="BH45" s="39" t="n">
        <f aca="false">RANK(BC45,$BC$2:$BC$881,0)</f>
        <v>687</v>
      </c>
      <c r="BI45" s="22" t="s">
        <v>130</v>
      </c>
      <c r="BJ45" s="22" t="s">
        <v>129</v>
      </c>
      <c r="BK45" s="40" t="s">
        <v>131</v>
      </c>
      <c r="BL45" s="41" t="n">
        <v>28</v>
      </c>
      <c r="BM45" s="41" t="n">
        <v>60</v>
      </c>
      <c r="BN45" s="41" t="n">
        <v>88</v>
      </c>
      <c r="BO45" s="42" t="n">
        <v>28</v>
      </c>
      <c r="BP45" s="43" t="n">
        <v>62</v>
      </c>
      <c r="BQ45" s="44" t="n">
        <v>90</v>
      </c>
      <c r="BR45" s="42" t="n">
        <v>26</v>
      </c>
      <c r="BS45" s="45" t="n">
        <v>58</v>
      </c>
      <c r="BT45" s="45" t="n">
        <v>84</v>
      </c>
      <c r="BU45" s="46" t="n">
        <v>100</v>
      </c>
      <c r="BV45" s="47" t="n">
        <v>90</v>
      </c>
      <c r="BW45" s="42" t="n">
        <v>99</v>
      </c>
      <c r="BX45" s="48" t="n">
        <v>100</v>
      </c>
      <c r="BY45" s="32" t="n">
        <v>28</v>
      </c>
      <c r="BZ45" s="32" t="n">
        <v>61</v>
      </c>
      <c r="CA45" s="32" t="n">
        <v>89</v>
      </c>
      <c r="CB45" s="32" t="n">
        <v>25</v>
      </c>
      <c r="CC45" s="32" t="n">
        <v>53</v>
      </c>
      <c r="CD45" s="32" t="n">
        <v>78</v>
      </c>
      <c r="CE45" s="32" t="n">
        <v>22</v>
      </c>
      <c r="CF45" s="32" t="n">
        <v>61</v>
      </c>
      <c r="CG45" s="32" t="n">
        <v>83</v>
      </c>
      <c r="CH45" s="32" t="n">
        <v>98</v>
      </c>
      <c r="CI45" s="32" t="n">
        <v>100</v>
      </c>
      <c r="CJ45" s="49" t="n">
        <v>23</v>
      </c>
      <c r="CK45" s="49" t="n">
        <v>61</v>
      </c>
      <c r="CL45" s="49" t="n">
        <v>84</v>
      </c>
      <c r="CM45" s="49" t="n">
        <v>23</v>
      </c>
      <c r="CN45" s="49" t="n">
        <v>59</v>
      </c>
      <c r="CO45" s="49" t="n">
        <v>82</v>
      </c>
      <c r="CP45" s="25" t="n">
        <f aca="false">BX45+BW45+BV45+BU45+BT45+BQ45+BN45</f>
        <v>651</v>
      </c>
      <c r="CQ45" s="25" t="n">
        <f aca="false">CO45+CL45+CI45+CH45+CG45+CD45+CA45</f>
        <v>614</v>
      </c>
      <c r="CR45" s="26" t="n">
        <f aca="false">CP45/7</f>
        <v>93</v>
      </c>
      <c r="CS45" s="26" t="n">
        <f aca="false">CQ45/7</f>
        <v>87.7142857142857</v>
      </c>
      <c r="CT45" s="24" t="n">
        <f aca="false">RANK(CR45,$CR$2:$CR$881,0)</f>
        <v>49</v>
      </c>
      <c r="CU45" s="25" t="n">
        <f aca="false">RANK(CS45,$CS$2:$CS$881,0)</f>
        <v>46</v>
      </c>
      <c r="CV45" s="26" t="n">
        <f aca="false">(CS45+CR45)/2</f>
        <v>90.3571428571429</v>
      </c>
      <c r="CW45" s="25" t="n">
        <f aca="false">RANK(CV45,$CV$2:$CV$881,0)</f>
        <v>50</v>
      </c>
      <c r="CX45" s="50" t="n">
        <f aca="false">(CV45+BB45)/2</f>
        <v>88.0285714285714</v>
      </c>
      <c r="CY45" s="50" t="n">
        <v>48</v>
      </c>
      <c r="CZ45" s="27" t="s">
        <v>132</v>
      </c>
      <c r="DA45" s="27" t="s">
        <v>133</v>
      </c>
      <c r="DB45" s="27" t="s">
        <v>133</v>
      </c>
      <c r="DC45" s="27" t="s">
        <v>134</v>
      </c>
      <c r="DD45" s="27" t="s">
        <v>137</v>
      </c>
      <c r="DE45" s="27" t="s">
        <v>187</v>
      </c>
      <c r="DF45" s="27" t="s">
        <v>176</v>
      </c>
      <c r="DG45" s="27" t="s">
        <v>134</v>
      </c>
      <c r="DH45" s="27" t="s">
        <v>195</v>
      </c>
      <c r="DI45" s="27" t="s">
        <v>143</v>
      </c>
      <c r="DJ45" s="27" t="s">
        <v>162</v>
      </c>
      <c r="DK45" s="27" t="s">
        <v>134</v>
      </c>
      <c r="DL45" s="27" t="s">
        <v>137</v>
      </c>
      <c r="DM45" s="27" t="s">
        <v>152</v>
      </c>
      <c r="DN45" s="27" t="s">
        <v>153</v>
      </c>
      <c r="DO45" s="27" t="s">
        <v>134</v>
      </c>
      <c r="DP45" s="27" t="s">
        <v>154</v>
      </c>
      <c r="DQ45" s="27" t="s">
        <v>136</v>
      </c>
      <c r="DR45" s="27" t="s">
        <v>202</v>
      </c>
      <c r="DS45" s="27" t="s">
        <v>134</v>
      </c>
      <c r="DT45" s="27" t="s">
        <v>135</v>
      </c>
      <c r="DU45" s="27" t="s">
        <v>152</v>
      </c>
      <c r="DV45" s="27" t="s">
        <v>162</v>
      </c>
      <c r="DW45" s="27" t="s">
        <v>160</v>
      </c>
      <c r="DX45" s="27" t="s">
        <v>155</v>
      </c>
      <c r="DY45" s="27" t="s">
        <v>145</v>
      </c>
      <c r="DZ45" s="27" t="n">
        <f aca="false">DY45+DV45+DR45+DN45+DJ45+DF45+DB45</f>
        <v>632</v>
      </c>
      <c r="EA45" s="28" t="n">
        <f aca="false">DZ45/7</f>
        <v>90.2857142857143</v>
      </c>
      <c r="EB45" s="27" t="n">
        <f aca="false">RANK(EA45,$EA$2:$EA$881,0)</f>
        <v>50</v>
      </c>
      <c r="EC45" s="29" t="n">
        <f aca="false">DZ45+CQ45+CP45+AZ45</f>
        <v>2754</v>
      </c>
      <c r="ED45" s="30" t="n">
        <f aca="false">(EA45+CV45+BB45)/3</f>
        <v>88.7809523809524</v>
      </c>
      <c r="EE45" s="51" t="n">
        <f aca="false">ROUND(BE45,3)</f>
        <v>89.24</v>
      </c>
      <c r="EF45" s="51" t="n">
        <f aca="false">ROUND(CR45,3)</f>
        <v>93</v>
      </c>
      <c r="EG45" s="51" t="n">
        <f aca="false">ROUND(CS45,3)</f>
        <v>87.714</v>
      </c>
      <c r="EH45" s="51" t="n">
        <f aca="false">ROUND(EA45,3)</f>
        <v>90.286</v>
      </c>
      <c r="EI45" s="51" t="n">
        <f aca="false">ROUND(ED45,3)</f>
        <v>88.781</v>
      </c>
      <c r="EJ45" s="51" t="n">
        <f aca="false">ROUND(CV45,3)</f>
        <v>90.357</v>
      </c>
      <c r="EK45" s="0" t="n">
        <f aca="false">RANK(EI45,$EI$2:$EI$881,0)</f>
        <v>44</v>
      </c>
    </row>
    <row r="46" customFormat="false" ht="15" hidden="false" customHeight="false" outlineLevel="0" collapsed="false">
      <c r="A46" s="4" t="n">
        <v>8594</v>
      </c>
      <c r="B46" s="4" t="n">
        <v>319</v>
      </c>
      <c r="C46" s="27" t="s">
        <v>310</v>
      </c>
      <c r="D46" s="31" t="n">
        <v>320</v>
      </c>
      <c r="E46" s="32" t="n">
        <v>230323000</v>
      </c>
      <c r="F46" s="8" t="s">
        <v>311</v>
      </c>
      <c r="G46" s="22" t="s">
        <v>312</v>
      </c>
      <c r="H46" s="22" t="s">
        <v>129</v>
      </c>
      <c r="I46" s="33" t="n">
        <v>2005</v>
      </c>
      <c r="J46" s="32" t="n">
        <v>84</v>
      </c>
      <c r="K46" s="32" t="n">
        <v>90</v>
      </c>
      <c r="L46" s="34" t="n">
        <f aca="false">(K46*70)/100</f>
        <v>63</v>
      </c>
      <c r="M46" s="34" t="n">
        <f aca="false">ROUNDUP(L46,0)</f>
        <v>63</v>
      </c>
      <c r="N46" s="32" t="n">
        <v>28</v>
      </c>
      <c r="O46" s="34" t="n">
        <f aca="false">N46+L46</f>
        <v>91</v>
      </c>
      <c r="P46" s="34" t="n">
        <f aca="false">N46+M46</f>
        <v>91</v>
      </c>
      <c r="Q46" s="32" t="n">
        <v>85</v>
      </c>
      <c r="R46" s="32" t="n">
        <v>83</v>
      </c>
      <c r="S46" s="34" t="n">
        <f aca="false">(R46*70)/100</f>
        <v>58.1</v>
      </c>
      <c r="T46" s="34" t="n">
        <f aca="false">ROUNDUP(S46,0)</f>
        <v>59</v>
      </c>
      <c r="U46" s="32" t="n">
        <v>23</v>
      </c>
      <c r="V46" s="34" t="n">
        <f aca="false">U46+S46</f>
        <v>81.1</v>
      </c>
      <c r="W46" s="34" t="n">
        <f aca="false">U46+T46</f>
        <v>82</v>
      </c>
      <c r="X46" s="32" t="n">
        <v>80</v>
      </c>
      <c r="Y46" s="34" t="n">
        <f aca="false">(X46*70)/100</f>
        <v>56</v>
      </c>
      <c r="Z46" s="34" t="n">
        <f aca="false">ROUNDUP(Y46,0)</f>
        <v>56</v>
      </c>
      <c r="AA46" s="32" t="n">
        <v>24</v>
      </c>
      <c r="AB46" s="34" t="n">
        <f aca="false">AA46+Y46</f>
        <v>80</v>
      </c>
      <c r="AC46" s="34" t="n">
        <f aca="false">AA46+Z46</f>
        <v>80</v>
      </c>
      <c r="AD46" s="32" t="n">
        <f aca="false">X46+R46+Q46+K46+J46</f>
        <v>422</v>
      </c>
      <c r="AE46" s="16" t="n">
        <f aca="false">AD46/5</f>
        <v>84.4</v>
      </c>
      <c r="AF46" s="16" t="n">
        <v>82</v>
      </c>
      <c r="AG46" s="16" t="n">
        <v>87</v>
      </c>
      <c r="AH46" s="16" t="n">
        <v>98</v>
      </c>
      <c r="AI46" s="16" t="n">
        <v>96</v>
      </c>
      <c r="AJ46" s="16" t="n">
        <f aca="false">(AI46*70)/100</f>
        <v>67.2</v>
      </c>
      <c r="AK46" s="35" t="n">
        <f aca="false">ROUNDUP(AJ46,0)</f>
        <v>68</v>
      </c>
      <c r="AL46" s="16" t="n">
        <v>29</v>
      </c>
      <c r="AM46" s="16" t="n">
        <f aca="false">AL46+AJ46</f>
        <v>96.2</v>
      </c>
      <c r="AN46" s="16" t="n">
        <f aca="false">AL46+AK46</f>
        <v>97</v>
      </c>
      <c r="AO46" s="16" t="n">
        <v>89</v>
      </c>
      <c r="AP46" s="36" t="n">
        <f aca="false">(AO46*70)/100</f>
        <v>62.3</v>
      </c>
      <c r="AQ46" s="37" t="n">
        <f aca="false">ROUNDUP(AP46,0)</f>
        <v>63</v>
      </c>
      <c r="AR46" s="16" t="n">
        <v>30</v>
      </c>
      <c r="AS46" s="16" t="n">
        <f aca="false">AR46+AP46</f>
        <v>92.3</v>
      </c>
      <c r="AT46" s="16" t="n">
        <f aca="false">AR46+AQ46</f>
        <v>93</v>
      </c>
      <c r="AU46" s="16" t="n">
        <f aca="false">AO46+AF46+AI46+AH46+AG46</f>
        <v>452</v>
      </c>
      <c r="AV46" s="16" t="n">
        <f aca="false">(AO46+AF46+AI46+AH46+AG46)/5</f>
        <v>90.4</v>
      </c>
      <c r="AW46" s="36" t="n">
        <f aca="false">(AO46+AF46+AI46+AH46+AG46+X46+R46+Q46+K46+J46)</f>
        <v>874</v>
      </c>
      <c r="AX46" s="16" t="n">
        <f aca="false">AW46/10</f>
        <v>87.4</v>
      </c>
      <c r="AY46" s="16" t="n">
        <f aca="false">AS46+AF46+AM46+AH46+AG46+AB46+V46+Q46+O46+J46</f>
        <v>876.6</v>
      </c>
      <c r="AZ46" s="16" t="n">
        <f aca="false">AT46+AF46+AN46+AH46+AG46+AC46+W46+Q46+P46+J46</f>
        <v>879</v>
      </c>
      <c r="BA46" s="16" t="n">
        <f aca="false">AY46/10</f>
        <v>87.66</v>
      </c>
      <c r="BB46" s="16" t="n">
        <f aca="false">AZ46/10</f>
        <v>87.9</v>
      </c>
      <c r="BC46" s="16" t="n">
        <v>2340</v>
      </c>
      <c r="BD46" s="16" t="n">
        <f aca="false">RANK(AX46,$AX$2:$AX$881,0)</f>
        <v>44</v>
      </c>
      <c r="BE46" s="38" t="n">
        <f aca="false">((BC46*100)/2400)*0.4+(AX46*0.6)</f>
        <v>91.44</v>
      </c>
      <c r="BF46" s="16" t="n">
        <f aca="false">RANK(BE46,$BE$2:$BE$881,0)</f>
        <v>63</v>
      </c>
      <c r="BG46" s="39" t="n">
        <f aca="false">RANK(BB46,$BB$2:$BB$881,0)</f>
        <v>43</v>
      </c>
      <c r="BH46" s="39" t="n">
        <f aca="false">RANK(BC46,$BC$2:$BC$881,0)</f>
        <v>636</v>
      </c>
      <c r="BI46" s="22" t="s">
        <v>130</v>
      </c>
      <c r="BJ46" s="22" t="s">
        <v>129</v>
      </c>
      <c r="BK46" s="40" t="s">
        <v>131</v>
      </c>
      <c r="BL46" s="41" t="n">
        <v>29</v>
      </c>
      <c r="BM46" s="41" t="n">
        <v>63</v>
      </c>
      <c r="BN46" s="41" t="n">
        <v>92</v>
      </c>
      <c r="BO46" s="42" t="n">
        <v>27</v>
      </c>
      <c r="BP46" s="43" t="n">
        <v>67</v>
      </c>
      <c r="BQ46" s="44" t="n">
        <v>94</v>
      </c>
      <c r="BR46" s="42" t="n">
        <v>24</v>
      </c>
      <c r="BS46" s="45" t="n">
        <v>64</v>
      </c>
      <c r="BT46" s="45" t="n">
        <v>88</v>
      </c>
      <c r="BU46" s="46" t="n">
        <v>99</v>
      </c>
      <c r="BV46" s="47" t="n">
        <v>82</v>
      </c>
      <c r="BW46" s="42" t="n">
        <v>100</v>
      </c>
      <c r="BX46" s="48" t="n">
        <v>92</v>
      </c>
      <c r="BY46" s="32" t="n">
        <v>26</v>
      </c>
      <c r="BZ46" s="32" t="n">
        <v>64</v>
      </c>
      <c r="CA46" s="32" t="n">
        <v>90</v>
      </c>
      <c r="CB46" s="32" t="n">
        <v>24</v>
      </c>
      <c r="CC46" s="32" t="n">
        <v>55</v>
      </c>
      <c r="CD46" s="32" t="n">
        <v>79</v>
      </c>
      <c r="CE46" s="32" t="n">
        <v>29</v>
      </c>
      <c r="CF46" s="32" t="n">
        <v>65</v>
      </c>
      <c r="CG46" s="32" t="n">
        <v>94</v>
      </c>
      <c r="CH46" s="32" t="n">
        <v>99</v>
      </c>
      <c r="CI46" s="32" t="n">
        <v>96</v>
      </c>
      <c r="CJ46" s="49" t="n">
        <v>24</v>
      </c>
      <c r="CK46" s="49" t="n">
        <v>63</v>
      </c>
      <c r="CL46" s="49" t="n">
        <v>87</v>
      </c>
      <c r="CM46" s="49" t="n">
        <v>26</v>
      </c>
      <c r="CN46" s="49" t="n">
        <v>57</v>
      </c>
      <c r="CO46" s="49" t="n">
        <v>83</v>
      </c>
      <c r="CP46" s="25" t="n">
        <f aca="false">BX46+BW46+BV46+BU46+BT46+BQ46+BN46</f>
        <v>647</v>
      </c>
      <c r="CQ46" s="25" t="n">
        <f aca="false">CO46+CL46+CI46+CH46+CG46+CD46+CA46</f>
        <v>628</v>
      </c>
      <c r="CR46" s="26" t="n">
        <f aca="false">CP46/7</f>
        <v>92.4285714285714</v>
      </c>
      <c r="CS46" s="26" t="n">
        <f aca="false">CQ46/7</f>
        <v>89.7142857142857</v>
      </c>
      <c r="CT46" s="24" t="n">
        <f aca="false">RANK(CR46,$CR$2:$CR$881,0)</f>
        <v>74</v>
      </c>
      <c r="CU46" s="25" t="n">
        <f aca="false">RANK(CS46,$CS$2:$CS$881,0)</f>
        <v>25</v>
      </c>
      <c r="CV46" s="26" t="n">
        <f aca="false">(CS46+CR46)/2</f>
        <v>91.0714285714286</v>
      </c>
      <c r="CW46" s="25" t="n">
        <f aca="false">RANK(CV46,$CV$2:$CV$881,0)</f>
        <v>36</v>
      </c>
      <c r="CX46" s="50" t="n">
        <f aca="false">(CV46+BB46)/2</f>
        <v>89.4857142857143</v>
      </c>
      <c r="CY46" s="50" t="n">
        <v>30</v>
      </c>
      <c r="CZ46" s="27" t="s">
        <v>132</v>
      </c>
      <c r="DA46" s="27" t="s">
        <v>133</v>
      </c>
      <c r="DB46" s="27" t="s">
        <v>133</v>
      </c>
      <c r="DC46" s="27" t="s">
        <v>134</v>
      </c>
      <c r="DD46" s="27" t="s">
        <v>164</v>
      </c>
      <c r="DE46" s="27" t="s">
        <v>161</v>
      </c>
      <c r="DF46" s="27" t="s">
        <v>133</v>
      </c>
      <c r="DG46" s="27" t="s">
        <v>134</v>
      </c>
      <c r="DH46" s="27" t="s">
        <v>154</v>
      </c>
      <c r="DI46" s="27" t="s">
        <v>163</v>
      </c>
      <c r="DJ46" s="27" t="s">
        <v>133</v>
      </c>
      <c r="DK46" s="27" t="s">
        <v>134</v>
      </c>
      <c r="DL46" s="27" t="s">
        <v>137</v>
      </c>
      <c r="DM46" s="27" t="s">
        <v>313</v>
      </c>
      <c r="DN46" s="27" t="s">
        <v>305</v>
      </c>
      <c r="DO46" s="27" t="s">
        <v>134</v>
      </c>
      <c r="DP46" s="27" t="s">
        <v>164</v>
      </c>
      <c r="DQ46" s="27" t="s">
        <v>177</v>
      </c>
      <c r="DR46" s="27" t="s">
        <v>178</v>
      </c>
      <c r="DS46" s="27" t="s">
        <v>134</v>
      </c>
      <c r="DT46" s="27" t="s">
        <v>160</v>
      </c>
      <c r="DU46" s="27" t="s">
        <v>204</v>
      </c>
      <c r="DV46" s="27" t="s">
        <v>178</v>
      </c>
      <c r="DW46" s="27" t="s">
        <v>164</v>
      </c>
      <c r="DX46" s="27" t="s">
        <v>143</v>
      </c>
      <c r="DY46" s="27" t="s">
        <v>139</v>
      </c>
      <c r="DZ46" s="27" t="n">
        <f aca="false">DY46+DV46+DR46+DN46+DJ46+DF46+DB46</f>
        <v>611</v>
      </c>
      <c r="EA46" s="28" t="n">
        <f aca="false">DZ46/7</f>
        <v>87.2857142857143</v>
      </c>
      <c r="EB46" s="27" t="n">
        <f aca="false">RANK(EA46,$EA$2:$EA$881,0)</f>
        <v>112</v>
      </c>
      <c r="EC46" s="29" t="n">
        <f aca="false">DZ46+CQ46+CP46+AZ46</f>
        <v>2765</v>
      </c>
      <c r="ED46" s="30" t="n">
        <f aca="false">(EA46+CV46+BB46)/3</f>
        <v>88.752380952381</v>
      </c>
      <c r="EE46" s="51" t="n">
        <f aca="false">ROUND(BE46,3)</f>
        <v>91.44</v>
      </c>
      <c r="EF46" s="51" t="n">
        <f aca="false">ROUND(CR46,3)</f>
        <v>92.429</v>
      </c>
      <c r="EG46" s="51" t="n">
        <f aca="false">ROUND(CS46,3)</f>
        <v>89.714</v>
      </c>
      <c r="EH46" s="51" t="n">
        <f aca="false">ROUND(EA46,3)</f>
        <v>87.286</v>
      </c>
      <c r="EI46" s="51" t="n">
        <f aca="false">ROUND(ED46,3)</f>
        <v>88.752</v>
      </c>
      <c r="EJ46" s="51" t="n">
        <f aca="false">ROUND(CV46,3)</f>
        <v>91.071</v>
      </c>
      <c r="EK46" s="0" t="n">
        <f aca="false">RANK(EI46,$EI$2:$EI$881,0)</f>
        <v>45</v>
      </c>
    </row>
    <row r="47" customFormat="false" ht="15" hidden="false" customHeight="false" outlineLevel="0" collapsed="false">
      <c r="A47" s="4" t="n">
        <v>8649</v>
      </c>
      <c r="B47" s="4" t="n">
        <v>244</v>
      </c>
      <c r="C47" s="27" t="s">
        <v>314</v>
      </c>
      <c r="D47" s="31" t="n">
        <v>245</v>
      </c>
      <c r="E47" s="32" t="n">
        <v>230319557</v>
      </c>
      <c r="F47" s="8" t="s">
        <v>315</v>
      </c>
      <c r="G47" s="22" t="s">
        <v>316</v>
      </c>
      <c r="H47" s="22" t="s">
        <v>129</v>
      </c>
      <c r="I47" s="33" t="n">
        <v>2005</v>
      </c>
      <c r="J47" s="32" t="n">
        <v>78</v>
      </c>
      <c r="K47" s="32" t="n">
        <v>74</v>
      </c>
      <c r="L47" s="34" t="n">
        <f aca="false">(K47*70)/100</f>
        <v>51.8</v>
      </c>
      <c r="M47" s="34" t="n">
        <f aca="false">ROUNDUP(L47,0)</f>
        <v>52</v>
      </c>
      <c r="N47" s="32" t="n">
        <v>29</v>
      </c>
      <c r="O47" s="34" t="n">
        <f aca="false">N47+L47</f>
        <v>80.8</v>
      </c>
      <c r="P47" s="34" t="n">
        <f aca="false">N47+M47</f>
        <v>81</v>
      </c>
      <c r="Q47" s="32" t="n">
        <v>68</v>
      </c>
      <c r="R47" s="32" t="n">
        <v>75</v>
      </c>
      <c r="S47" s="34" t="n">
        <f aca="false">(R47*70)/100</f>
        <v>52.5</v>
      </c>
      <c r="T47" s="34" t="n">
        <f aca="false">ROUNDUP(S47,0)</f>
        <v>53</v>
      </c>
      <c r="U47" s="32" t="n">
        <v>30</v>
      </c>
      <c r="V47" s="34" t="n">
        <f aca="false">U47+S47</f>
        <v>82.5</v>
      </c>
      <c r="W47" s="34" t="n">
        <f aca="false">U47+T47</f>
        <v>83</v>
      </c>
      <c r="X47" s="32" t="n">
        <v>73</v>
      </c>
      <c r="Y47" s="34" t="n">
        <f aca="false">(X47*70)/100</f>
        <v>51.1</v>
      </c>
      <c r="Z47" s="34" t="n">
        <f aca="false">ROUNDUP(Y47,0)</f>
        <v>52</v>
      </c>
      <c r="AA47" s="32" t="n">
        <v>27</v>
      </c>
      <c r="AB47" s="34" t="n">
        <f aca="false">AA47+Y47</f>
        <v>78.1</v>
      </c>
      <c r="AC47" s="34" t="n">
        <f aca="false">AA47+Z47</f>
        <v>79</v>
      </c>
      <c r="AD47" s="32" t="n">
        <f aca="false">X47+R47+Q47+K47+J47</f>
        <v>368</v>
      </c>
      <c r="AE47" s="16" t="n">
        <f aca="false">AD47/5</f>
        <v>73.6</v>
      </c>
      <c r="AF47" s="16" t="n">
        <v>79</v>
      </c>
      <c r="AG47" s="16" t="n">
        <v>88</v>
      </c>
      <c r="AH47" s="16" t="n">
        <v>86</v>
      </c>
      <c r="AI47" s="16" t="n">
        <v>93</v>
      </c>
      <c r="AJ47" s="16" t="n">
        <f aca="false">(AI47*70)/100</f>
        <v>65.1</v>
      </c>
      <c r="AK47" s="35" t="n">
        <f aca="false">ROUNDUP(AJ47,0)</f>
        <v>66</v>
      </c>
      <c r="AL47" s="16" t="n">
        <v>28</v>
      </c>
      <c r="AM47" s="16" t="n">
        <f aca="false">AL47+AJ47</f>
        <v>93.1</v>
      </c>
      <c r="AN47" s="16" t="n">
        <f aca="false">AL47+AK47</f>
        <v>94</v>
      </c>
      <c r="AO47" s="16" t="n">
        <v>78</v>
      </c>
      <c r="AP47" s="36" t="n">
        <f aca="false">(AO47*70)/100</f>
        <v>54.6</v>
      </c>
      <c r="AQ47" s="37" t="n">
        <f aca="false">ROUNDUP(AP47,0)</f>
        <v>55</v>
      </c>
      <c r="AR47" s="16" t="n">
        <v>29</v>
      </c>
      <c r="AS47" s="16" t="n">
        <f aca="false">AR47+AP47</f>
        <v>83.6</v>
      </c>
      <c r="AT47" s="16" t="n">
        <f aca="false">AR47+AQ47</f>
        <v>84</v>
      </c>
      <c r="AU47" s="16" t="n">
        <f aca="false">AO47+AF47+AI47+AH47+AG47</f>
        <v>424</v>
      </c>
      <c r="AV47" s="16" t="n">
        <f aca="false">(AO47+AF47+AI47+AH47+AG47)/5</f>
        <v>84.8</v>
      </c>
      <c r="AW47" s="36" t="n">
        <f aca="false">(AO47+AF47+AI47+AH47+AG47+X47+R47+Q47+K47+J47)</f>
        <v>792</v>
      </c>
      <c r="AX47" s="16" t="n">
        <f aca="false">AW47/10</f>
        <v>79.2</v>
      </c>
      <c r="AY47" s="16" t="n">
        <f aca="false">AS47+AF47+AM47+AH47+AG47+AB47+V47+Q47+O47+J47</f>
        <v>817.1</v>
      </c>
      <c r="AZ47" s="16" t="n">
        <f aca="false">AT47+AF47+AN47+AH47+AG47+AC47+W47+Q47+P47+J47</f>
        <v>820</v>
      </c>
      <c r="BA47" s="16" t="n">
        <f aca="false">AY47/10</f>
        <v>81.71</v>
      </c>
      <c r="BB47" s="16" t="n">
        <f aca="false">AZ47/10</f>
        <v>82</v>
      </c>
      <c r="BC47" s="16" t="n">
        <v>2385</v>
      </c>
      <c r="BD47" s="16" t="n">
        <f aca="false">RANK(AX47,$AX$2:$AX$881,0)</f>
        <v>316</v>
      </c>
      <c r="BE47" s="54" t="n">
        <f aca="false">((BC47*100)/2400)*0.4+(AX47*0.6)</f>
        <v>87.27</v>
      </c>
      <c r="BF47" s="16" t="n">
        <f aca="false">RANK(BE47,$BE$2:$BE$881,0)</f>
        <v>271</v>
      </c>
      <c r="BG47" s="39" t="n">
        <f aca="false">RANK(BB47,$BB$2:$BB$881,0)</f>
        <v>212</v>
      </c>
      <c r="BH47" s="39" t="n">
        <f aca="false">RANK(BC47,$BC$2:$BC$881,0)</f>
        <v>93</v>
      </c>
      <c r="BI47" s="22" t="s">
        <v>130</v>
      </c>
      <c r="BJ47" s="22" t="s">
        <v>129</v>
      </c>
      <c r="BK47" s="40" t="s">
        <v>131</v>
      </c>
      <c r="BL47" s="41" t="n">
        <v>28</v>
      </c>
      <c r="BM47" s="41" t="n">
        <v>64</v>
      </c>
      <c r="BN47" s="41" t="n">
        <v>92</v>
      </c>
      <c r="BO47" s="42" t="n">
        <v>26</v>
      </c>
      <c r="BP47" s="43" t="n">
        <v>69</v>
      </c>
      <c r="BQ47" s="44" t="n">
        <v>95</v>
      </c>
      <c r="BR47" s="42" t="n">
        <v>22</v>
      </c>
      <c r="BS47" s="45" t="n">
        <v>60</v>
      </c>
      <c r="BT47" s="45" t="n">
        <v>82</v>
      </c>
      <c r="BU47" s="46" t="n">
        <v>100</v>
      </c>
      <c r="BV47" s="47" t="n">
        <v>96</v>
      </c>
      <c r="BW47" s="42" t="n">
        <v>99</v>
      </c>
      <c r="BX47" s="48" t="n">
        <v>98</v>
      </c>
      <c r="BY47" s="32" t="n">
        <v>27</v>
      </c>
      <c r="BZ47" s="32" t="n">
        <v>62</v>
      </c>
      <c r="CA47" s="32" t="n">
        <v>89</v>
      </c>
      <c r="CB47" s="32" t="n">
        <v>27</v>
      </c>
      <c r="CC47" s="32" t="n">
        <v>53</v>
      </c>
      <c r="CD47" s="32" t="n">
        <v>80</v>
      </c>
      <c r="CE47" s="32" t="n">
        <v>29</v>
      </c>
      <c r="CF47" s="32" t="n">
        <v>62</v>
      </c>
      <c r="CG47" s="32" t="n">
        <v>91</v>
      </c>
      <c r="CH47" s="32" t="n">
        <v>98</v>
      </c>
      <c r="CI47" s="32" t="n">
        <v>100</v>
      </c>
      <c r="CJ47" s="49" t="n">
        <v>25</v>
      </c>
      <c r="CK47" s="49" t="n">
        <v>58</v>
      </c>
      <c r="CL47" s="49" t="n">
        <v>83</v>
      </c>
      <c r="CM47" s="49" t="n">
        <v>22</v>
      </c>
      <c r="CN47" s="49" t="n">
        <v>58</v>
      </c>
      <c r="CO47" s="49" t="n">
        <v>80</v>
      </c>
      <c r="CP47" s="25" t="n">
        <f aca="false">BX47+BW47+BV47+BU47+BT47+BQ47+BN47</f>
        <v>662</v>
      </c>
      <c r="CQ47" s="25" t="n">
        <f aca="false">CO47+CL47+CI47+CH47+CG47+CD47+CA47</f>
        <v>621</v>
      </c>
      <c r="CR47" s="26" t="n">
        <f aca="false">CP47/7</f>
        <v>94.5714285714286</v>
      </c>
      <c r="CS47" s="26" t="n">
        <f aca="false">CQ47/7</f>
        <v>88.7142857142857</v>
      </c>
      <c r="CT47" s="24" t="n">
        <f aca="false">RANK(CR47,$CR$2:$CR$881,0)</f>
        <v>18</v>
      </c>
      <c r="CU47" s="25" t="n">
        <f aca="false">RANK(CS47,$CS$2:$CS$881,0)</f>
        <v>38</v>
      </c>
      <c r="CV47" s="26" t="n">
        <f aca="false">(CS47+CR47)/2</f>
        <v>91.6428571428571</v>
      </c>
      <c r="CW47" s="25" t="n">
        <f aca="false">RANK(CV47,$CV$2:$CV$881,0)</f>
        <v>25</v>
      </c>
      <c r="CX47" s="50" t="n">
        <f aca="false">(CV47+BB47)/2</f>
        <v>86.8214285714286</v>
      </c>
      <c r="CY47" s="50" t="n">
        <v>83</v>
      </c>
      <c r="CZ47" s="27" t="s">
        <v>132</v>
      </c>
      <c r="DA47" s="27" t="s">
        <v>162</v>
      </c>
      <c r="DB47" s="27" t="s">
        <v>162</v>
      </c>
      <c r="DC47" s="27" t="s">
        <v>134</v>
      </c>
      <c r="DD47" s="27" t="s">
        <v>135</v>
      </c>
      <c r="DE47" s="27" t="s">
        <v>152</v>
      </c>
      <c r="DF47" s="27" t="s">
        <v>162</v>
      </c>
      <c r="DG47" s="27" t="s">
        <v>134</v>
      </c>
      <c r="DH47" s="27" t="s">
        <v>137</v>
      </c>
      <c r="DI47" s="27" t="s">
        <v>152</v>
      </c>
      <c r="DJ47" s="27" t="s">
        <v>153</v>
      </c>
      <c r="DK47" s="27" t="s">
        <v>134</v>
      </c>
      <c r="DL47" s="27" t="s">
        <v>137</v>
      </c>
      <c r="DM47" s="27" t="s">
        <v>187</v>
      </c>
      <c r="DN47" s="27" t="s">
        <v>176</v>
      </c>
      <c r="DO47" s="27" t="s">
        <v>134</v>
      </c>
      <c r="DP47" s="27" t="s">
        <v>164</v>
      </c>
      <c r="DQ47" s="27" t="s">
        <v>152</v>
      </c>
      <c r="DR47" s="27" t="s">
        <v>170</v>
      </c>
      <c r="DS47" s="27" t="s">
        <v>134</v>
      </c>
      <c r="DT47" s="27" t="s">
        <v>160</v>
      </c>
      <c r="DU47" s="27" t="s">
        <v>187</v>
      </c>
      <c r="DV47" s="27" t="s">
        <v>156</v>
      </c>
      <c r="DW47" s="27" t="s">
        <v>146</v>
      </c>
      <c r="DX47" s="27" t="s">
        <v>155</v>
      </c>
      <c r="DY47" s="27" t="s">
        <v>165</v>
      </c>
      <c r="DZ47" s="27" t="n">
        <f aca="false">DY47+DV47+DR47+DN47+DJ47+DF47+DB47</f>
        <v>645</v>
      </c>
      <c r="EA47" s="28" t="n">
        <f aca="false">DZ47/7</f>
        <v>92.1428571428571</v>
      </c>
      <c r="EB47" s="27" t="n">
        <f aca="false">RANK(EA47,$EA$2:$EA$881,0)</f>
        <v>13</v>
      </c>
      <c r="EC47" s="29" t="n">
        <f aca="false">DZ47+CQ47+CP47+AZ47</f>
        <v>2748</v>
      </c>
      <c r="ED47" s="30" t="n">
        <f aca="false">(EA47+CV47+BB47)/3</f>
        <v>88.5952380952381</v>
      </c>
      <c r="EE47" s="51" t="n">
        <f aca="false">ROUND(BE47,3)</f>
        <v>87.27</v>
      </c>
      <c r="EF47" s="51" t="n">
        <f aca="false">ROUND(CR47,3)</f>
        <v>94.571</v>
      </c>
      <c r="EG47" s="51" t="n">
        <f aca="false">ROUND(CS47,3)</f>
        <v>88.714</v>
      </c>
      <c r="EH47" s="51" t="n">
        <f aca="false">ROUND(EA47,3)</f>
        <v>92.143</v>
      </c>
      <c r="EI47" s="51" t="n">
        <f aca="false">ROUND(ED47,3)</f>
        <v>88.595</v>
      </c>
      <c r="EJ47" s="51" t="n">
        <f aca="false">ROUND(CV47,3)</f>
        <v>91.643</v>
      </c>
      <c r="EK47" s="0" t="n">
        <f aca="false">RANK(EI47,$EI$2:$EI$881,0)</f>
        <v>46</v>
      </c>
    </row>
    <row r="48" customFormat="false" ht="15" hidden="false" customHeight="false" outlineLevel="0" collapsed="false">
      <c r="A48" s="4" t="n">
        <v>8704</v>
      </c>
      <c r="B48" s="4" t="n">
        <v>754</v>
      </c>
      <c r="C48" s="27" t="s">
        <v>317</v>
      </c>
      <c r="D48" s="31" t="n">
        <v>769</v>
      </c>
      <c r="E48" s="32" t="n">
        <v>230321118</v>
      </c>
      <c r="F48" s="8" t="s">
        <v>318</v>
      </c>
      <c r="G48" s="22" t="s">
        <v>319</v>
      </c>
      <c r="H48" s="22" t="s">
        <v>129</v>
      </c>
      <c r="I48" s="33" t="n">
        <v>2005</v>
      </c>
      <c r="J48" s="32" t="n">
        <v>80</v>
      </c>
      <c r="K48" s="32" t="n">
        <v>81</v>
      </c>
      <c r="L48" s="34" t="n">
        <f aca="false">(K48*70)/100</f>
        <v>56.7</v>
      </c>
      <c r="M48" s="34" t="n">
        <f aca="false">ROUNDUP(L48,0)</f>
        <v>57</v>
      </c>
      <c r="N48" s="32" t="n">
        <v>27</v>
      </c>
      <c r="O48" s="34" t="n">
        <f aca="false">N48+L48</f>
        <v>83.7</v>
      </c>
      <c r="P48" s="34" t="n">
        <f aca="false">N48+M48</f>
        <v>84</v>
      </c>
      <c r="Q48" s="32" t="n">
        <v>83</v>
      </c>
      <c r="R48" s="32" t="n">
        <v>86</v>
      </c>
      <c r="S48" s="34" t="n">
        <f aca="false">(R48*70)/100</f>
        <v>60.2</v>
      </c>
      <c r="T48" s="34" t="n">
        <f aca="false">ROUNDUP(S48,0)</f>
        <v>61</v>
      </c>
      <c r="U48" s="32" t="n">
        <v>27</v>
      </c>
      <c r="V48" s="34" t="n">
        <f aca="false">U48+S48</f>
        <v>87.2</v>
      </c>
      <c r="W48" s="34" t="n">
        <f aca="false">U48+T48</f>
        <v>88</v>
      </c>
      <c r="X48" s="32" t="n">
        <v>89</v>
      </c>
      <c r="Y48" s="34" t="n">
        <f aca="false">(X48*70)/100</f>
        <v>62.3</v>
      </c>
      <c r="Z48" s="34" t="n">
        <f aca="false">ROUNDUP(Y48,0)</f>
        <v>63</v>
      </c>
      <c r="AA48" s="32" t="n">
        <v>28</v>
      </c>
      <c r="AB48" s="34" t="n">
        <f aca="false">AA48+Y48</f>
        <v>90.3</v>
      </c>
      <c r="AC48" s="34" t="n">
        <f aca="false">AA48+Z48</f>
        <v>91</v>
      </c>
      <c r="AD48" s="32" t="n">
        <f aca="false">X48+R48+Q48+K48+J48</f>
        <v>419</v>
      </c>
      <c r="AE48" s="16" t="n">
        <f aca="false">AD48/5</f>
        <v>83.8</v>
      </c>
      <c r="AF48" s="16" t="n">
        <v>78</v>
      </c>
      <c r="AG48" s="16" t="n">
        <v>92</v>
      </c>
      <c r="AH48" s="16" t="n">
        <v>94</v>
      </c>
      <c r="AI48" s="16" t="n">
        <v>93</v>
      </c>
      <c r="AJ48" s="16" t="n">
        <f aca="false">(AI48*70)/100</f>
        <v>65.1</v>
      </c>
      <c r="AK48" s="35" t="n">
        <f aca="false">ROUNDUP(AJ48,0)</f>
        <v>66</v>
      </c>
      <c r="AL48" s="16" t="n">
        <v>25</v>
      </c>
      <c r="AM48" s="16" t="n">
        <f aca="false">AL48+AJ48</f>
        <v>90.1</v>
      </c>
      <c r="AN48" s="16" t="n">
        <f aca="false">AL48+AK48</f>
        <v>91</v>
      </c>
      <c r="AO48" s="16" t="n">
        <v>82</v>
      </c>
      <c r="AP48" s="36" t="n">
        <f aca="false">(AO48*70)/100</f>
        <v>57.4</v>
      </c>
      <c r="AQ48" s="37" t="n">
        <f aca="false">ROUNDUP(AP48,0)</f>
        <v>58</v>
      </c>
      <c r="AR48" s="16" t="n">
        <v>26</v>
      </c>
      <c r="AS48" s="16" t="n">
        <f aca="false">AR48+AP48</f>
        <v>83.4</v>
      </c>
      <c r="AT48" s="16" t="n">
        <f aca="false">AR48+AQ48</f>
        <v>84</v>
      </c>
      <c r="AU48" s="16" t="n">
        <f aca="false">AO48+AF48+AI48+AH48+AG48</f>
        <v>439</v>
      </c>
      <c r="AV48" s="16" t="n">
        <f aca="false">(AO48+AF48+AI48+AH48+AG48)/5</f>
        <v>87.8</v>
      </c>
      <c r="AW48" s="36" t="n">
        <f aca="false">(AO48+AF48+AI48+AH48+AG48+X48+R48+Q48+K48+J48)</f>
        <v>858</v>
      </c>
      <c r="AX48" s="16" t="n">
        <f aca="false">AW48/10</f>
        <v>85.8</v>
      </c>
      <c r="AY48" s="16" t="n">
        <f aca="false">AS48+AF48+AM48+AH48+AG48+AB48+V48+Q48+O48+J48</f>
        <v>861.7</v>
      </c>
      <c r="AZ48" s="16" t="n">
        <f aca="false">AT48+AF48+AN48+AH48+AG48+AC48+W48+Q48+P48+J48</f>
        <v>865</v>
      </c>
      <c r="BA48" s="16" t="n">
        <f aca="false">AY48/10</f>
        <v>86.17</v>
      </c>
      <c r="BB48" s="16" t="n">
        <f aca="false">AZ48/10</f>
        <v>86.5</v>
      </c>
      <c r="BC48" s="16" t="n">
        <v>2373</v>
      </c>
      <c r="BD48" s="16" t="n">
        <f aca="false">RANK(AX48,$AX$2:$AX$881,0)</f>
        <v>75</v>
      </c>
      <c r="BE48" s="38" t="n">
        <f aca="false">((BC48*100)/2400)*0.4+(AX48*0.6)</f>
        <v>91.03</v>
      </c>
      <c r="BF48" s="16" t="n">
        <f aca="false">RANK(BE48,$BE$2:$BE$881,0)</f>
        <v>77</v>
      </c>
      <c r="BG48" s="39" t="n">
        <f aca="false">RANK(BB48,$BB$2:$BB$881,0)</f>
        <v>72</v>
      </c>
      <c r="BH48" s="39" t="n">
        <f aca="false">RANK(BC48,$BC$2:$BC$881,0)</f>
        <v>233</v>
      </c>
      <c r="BI48" s="22" t="s">
        <v>130</v>
      </c>
      <c r="BJ48" s="22" t="s">
        <v>129</v>
      </c>
      <c r="BK48" s="40" t="s">
        <v>131</v>
      </c>
      <c r="BL48" s="41" t="n">
        <v>25</v>
      </c>
      <c r="BM48" s="41" t="n">
        <v>59</v>
      </c>
      <c r="BN48" s="41" t="n">
        <v>84</v>
      </c>
      <c r="BO48" s="42" t="n">
        <v>29</v>
      </c>
      <c r="BP48" s="43" t="n">
        <v>66</v>
      </c>
      <c r="BQ48" s="44" t="n">
        <v>95</v>
      </c>
      <c r="BR48" s="42" t="n">
        <v>24</v>
      </c>
      <c r="BS48" s="45" t="n">
        <v>62</v>
      </c>
      <c r="BT48" s="45" t="n">
        <v>86</v>
      </c>
      <c r="BU48" s="46" t="n">
        <v>100</v>
      </c>
      <c r="BV48" s="47" t="n">
        <v>90</v>
      </c>
      <c r="BW48" s="42" t="n">
        <v>96</v>
      </c>
      <c r="BX48" s="48" t="n">
        <v>96</v>
      </c>
      <c r="BY48" s="32" t="n">
        <v>28</v>
      </c>
      <c r="BZ48" s="32" t="n">
        <v>60</v>
      </c>
      <c r="CA48" s="32" t="n">
        <v>88</v>
      </c>
      <c r="CB48" s="32" t="n">
        <v>26</v>
      </c>
      <c r="CC48" s="32" t="n">
        <v>50</v>
      </c>
      <c r="CD48" s="32" t="n">
        <v>76</v>
      </c>
      <c r="CE48" s="32" t="n">
        <v>23</v>
      </c>
      <c r="CF48" s="32" t="n">
        <v>62</v>
      </c>
      <c r="CG48" s="32" t="n">
        <v>85</v>
      </c>
      <c r="CH48" s="32" t="n">
        <v>99</v>
      </c>
      <c r="CI48" s="32" t="n">
        <v>99</v>
      </c>
      <c r="CJ48" s="49" t="n">
        <v>25</v>
      </c>
      <c r="CK48" s="49" t="n">
        <v>62</v>
      </c>
      <c r="CL48" s="49" t="n">
        <v>87</v>
      </c>
      <c r="CM48" s="49" t="n">
        <v>24</v>
      </c>
      <c r="CN48" s="49" t="n">
        <v>54</v>
      </c>
      <c r="CO48" s="49" t="n">
        <v>78</v>
      </c>
      <c r="CP48" s="25" t="n">
        <f aca="false">BX48+BW48+BV48+BU48+BT48+BQ48+BN48</f>
        <v>647</v>
      </c>
      <c r="CQ48" s="25" t="n">
        <f aca="false">CO48+CL48+CI48+CH48+CG48+CD48+CA48</f>
        <v>612</v>
      </c>
      <c r="CR48" s="26" t="n">
        <f aca="false">CP48/7</f>
        <v>92.4285714285714</v>
      </c>
      <c r="CS48" s="26" t="n">
        <f aca="false">CQ48/7</f>
        <v>87.4285714285714</v>
      </c>
      <c r="CT48" s="24" t="n">
        <f aca="false">RANK(CR48,$CR$2:$CR$881,0)</f>
        <v>74</v>
      </c>
      <c r="CU48" s="25" t="n">
        <f aca="false">RANK(CS48,$CS$2:$CS$881,0)</f>
        <v>51</v>
      </c>
      <c r="CV48" s="26" t="n">
        <f aca="false">(CS48+CR48)/2</f>
        <v>89.9285714285714</v>
      </c>
      <c r="CW48" s="25" t="n">
        <f aca="false">RANK(CV48,$CV$2:$CV$881,0)</f>
        <v>54</v>
      </c>
      <c r="CX48" s="50" t="n">
        <f aca="false">(CV48+BB48)/2</f>
        <v>88.2142857142857</v>
      </c>
      <c r="CY48" s="50" t="n">
        <v>46</v>
      </c>
      <c r="CZ48" s="27" t="s">
        <v>132</v>
      </c>
      <c r="DA48" s="27" t="s">
        <v>153</v>
      </c>
      <c r="DB48" s="27" t="s">
        <v>153</v>
      </c>
      <c r="DC48" s="27" t="s">
        <v>134</v>
      </c>
      <c r="DD48" s="27" t="s">
        <v>182</v>
      </c>
      <c r="DE48" s="27" t="s">
        <v>163</v>
      </c>
      <c r="DF48" s="27" t="s">
        <v>162</v>
      </c>
      <c r="DG48" s="27" t="s">
        <v>134</v>
      </c>
      <c r="DH48" s="27" t="s">
        <v>137</v>
      </c>
      <c r="DI48" s="27" t="s">
        <v>136</v>
      </c>
      <c r="DJ48" s="27" t="s">
        <v>162</v>
      </c>
      <c r="DK48" s="27" t="s">
        <v>134</v>
      </c>
      <c r="DL48" s="27" t="s">
        <v>137</v>
      </c>
      <c r="DM48" s="27" t="s">
        <v>204</v>
      </c>
      <c r="DN48" s="27" t="s">
        <v>175</v>
      </c>
      <c r="DO48" s="27" t="s">
        <v>134</v>
      </c>
      <c r="DP48" s="27" t="s">
        <v>174</v>
      </c>
      <c r="DQ48" s="27" t="s">
        <v>203</v>
      </c>
      <c r="DR48" s="27" t="s">
        <v>209</v>
      </c>
      <c r="DS48" s="27" t="s">
        <v>134</v>
      </c>
      <c r="DT48" s="27" t="s">
        <v>164</v>
      </c>
      <c r="DU48" s="27" t="s">
        <v>187</v>
      </c>
      <c r="DV48" s="27" t="s">
        <v>151</v>
      </c>
      <c r="DW48" s="27" t="s">
        <v>182</v>
      </c>
      <c r="DX48" s="27" t="s">
        <v>155</v>
      </c>
      <c r="DY48" s="27" t="s">
        <v>156</v>
      </c>
      <c r="DZ48" s="27" t="n">
        <f aca="false">DY48+DV48+DR48+DN48+DJ48+DF48+DB48</f>
        <v>624</v>
      </c>
      <c r="EA48" s="28" t="n">
        <f aca="false">DZ48/7</f>
        <v>89.1428571428571</v>
      </c>
      <c r="EB48" s="27" t="n">
        <f aca="false">RANK(EA48,$EA$2:$EA$881,0)</f>
        <v>77</v>
      </c>
      <c r="EC48" s="29" t="n">
        <f aca="false">DZ48+CQ48+CP48+AZ48</f>
        <v>2748</v>
      </c>
      <c r="ED48" s="30" t="n">
        <f aca="false">(EA48+CV48+BB48)/3</f>
        <v>88.5238095238095</v>
      </c>
      <c r="EE48" s="51" t="n">
        <f aca="false">ROUND(BE48,3)</f>
        <v>91.03</v>
      </c>
      <c r="EF48" s="51" t="n">
        <f aca="false">ROUND(CR48,3)</f>
        <v>92.429</v>
      </c>
      <c r="EG48" s="51" t="n">
        <f aca="false">ROUND(CS48,3)</f>
        <v>87.429</v>
      </c>
      <c r="EH48" s="51" t="n">
        <f aca="false">ROUND(EA48,3)</f>
        <v>89.143</v>
      </c>
      <c r="EI48" s="51" t="n">
        <f aca="false">ROUND(ED48,3)</f>
        <v>88.524</v>
      </c>
      <c r="EJ48" s="51" t="n">
        <f aca="false">ROUND(CV48,3)</f>
        <v>89.929</v>
      </c>
      <c r="EK48" s="0" t="n">
        <f aca="false">RANK(EI48,$EI$2:$EI$881,0)</f>
        <v>47</v>
      </c>
    </row>
    <row r="49" customFormat="false" ht="15" hidden="false" customHeight="false" outlineLevel="0" collapsed="false">
      <c r="A49" s="4" t="n">
        <v>9096</v>
      </c>
      <c r="B49" s="4" t="n">
        <v>369</v>
      </c>
      <c r="C49" s="27" t="s">
        <v>320</v>
      </c>
      <c r="D49" s="31" t="n">
        <v>374</v>
      </c>
      <c r="E49" s="32" t="n">
        <v>230320301</v>
      </c>
      <c r="F49" s="8" t="s">
        <v>321</v>
      </c>
      <c r="G49" s="22" t="s">
        <v>322</v>
      </c>
      <c r="H49" s="22" t="s">
        <v>129</v>
      </c>
      <c r="I49" s="33" t="n">
        <v>2006</v>
      </c>
      <c r="J49" s="32" t="n">
        <v>89</v>
      </c>
      <c r="K49" s="32" t="n">
        <v>93</v>
      </c>
      <c r="L49" s="34" t="n">
        <f aca="false">(K49*70)/100</f>
        <v>65.1</v>
      </c>
      <c r="M49" s="34" t="n">
        <f aca="false">ROUNDUP(L49,0)</f>
        <v>66</v>
      </c>
      <c r="N49" s="32" t="n">
        <v>28</v>
      </c>
      <c r="O49" s="34" t="n">
        <f aca="false">N49+L49</f>
        <v>93.1</v>
      </c>
      <c r="P49" s="34" t="n">
        <f aca="false">N49+M49</f>
        <v>94</v>
      </c>
      <c r="Q49" s="32" t="n">
        <v>81</v>
      </c>
      <c r="R49" s="32" t="n">
        <v>84</v>
      </c>
      <c r="S49" s="34" t="n">
        <f aca="false">(R49*70)/100</f>
        <v>58.8</v>
      </c>
      <c r="T49" s="34" t="n">
        <f aca="false">ROUNDUP(S49,0)</f>
        <v>59</v>
      </c>
      <c r="U49" s="32" t="n">
        <v>30</v>
      </c>
      <c r="V49" s="34" t="n">
        <f aca="false">U49+S49</f>
        <v>88.8</v>
      </c>
      <c r="W49" s="34" t="n">
        <f aca="false">U49+T49</f>
        <v>89</v>
      </c>
      <c r="X49" s="32" t="n">
        <v>81</v>
      </c>
      <c r="Y49" s="34" t="n">
        <f aca="false">(X49*70)/100</f>
        <v>56.7</v>
      </c>
      <c r="Z49" s="34" t="n">
        <f aca="false">ROUNDUP(Y49,0)</f>
        <v>57</v>
      </c>
      <c r="AA49" s="32" t="n">
        <v>28</v>
      </c>
      <c r="AB49" s="34" t="n">
        <f aca="false">AA49+Y49</f>
        <v>84.7</v>
      </c>
      <c r="AC49" s="34" t="n">
        <f aca="false">AA49+Z49</f>
        <v>85</v>
      </c>
      <c r="AD49" s="32" t="n">
        <f aca="false">X49+R49+Q49+K49+J49</f>
        <v>428</v>
      </c>
      <c r="AE49" s="16" t="n">
        <f aca="false">AD49/5</f>
        <v>85.6</v>
      </c>
      <c r="AF49" s="16" t="n">
        <v>80</v>
      </c>
      <c r="AG49" s="16" t="n">
        <v>90</v>
      </c>
      <c r="AH49" s="16" t="n">
        <v>89</v>
      </c>
      <c r="AI49" s="16" t="n">
        <v>94</v>
      </c>
      <c r="AJ49" s="16" t="n">
        <f aca="false">(AI49*70)/100</f>
        <v>65.8</v>
      </c>
      <c r="AK49" s="35" t="n">
        <f aca="false">ROUNDUP(AJ49,0)</f>
        <v>66</v>
      </c>
      <c r="AL49" s="16" t="n">
        <v>27</v>
      </c>
      <c r="AM49" s="16" t="n">
        <f aca="false">AL49+AJ49</f>
        <v>92.8</v>
      </c>
      <c r="AN49" s="16" t="n">
        <f aca="false">AL49+AK49</f>
        <v>93</v>
      </c>
      <c r="AO49" s="16" t="n">
        <v>84</v>
      </c>
      <c r="AP49" s="36" t="n">
        <f aca="false">(AO49*70)/100</f>
        <v>58.8</v>
      </c>
      <c r="AQ49" s="37" t="n">
        <f aca="false">ROUNDUP(AP49,0)</f>
        <v>59</v>
      </c>
      <c r="AR49" s="16" t="n">
        <v>29</v>
      </c>
      <c r="AS49" s="16" t="n">
        <f aca="false">AR49+AP49</f>
        <v>87.8</v>
      </c>
      <c r="AT49" s="16" t="n">
        <f aca="false">AR49+AQ49</f>
        <v>88</v>
      </c>
      <c r="AU49" s="16" t="n">
        <f aca="false">AO49+AF49+AI49+AH49+AG49</f>
        <v>437</v>
      </c>
      <c r="AV49" s="16" t="n">
        <f aca="false">(AO49+AF49+AI49+AH49+AG49)/5</f>
        <v>87.4</v>
      </c>
      <c r="AW49" s="36" t="n">
        <f aca="false">(AO49+AF49+AI49+AH49+AG49+X49+R49+Q49+K49+J49)</f>
        <v>865</v>
      </c>
      <c r="AX49" s="16" t="n">
        <f aca="false">AW49/10</f>
        <v>86.5</v>
      </c>
      <c r="AY49" s="16" t="n">
        <f aca="false">AS49+AF49+AM49+AH49+AG49+AB49+V49+Q49+O49+J49</f>
        <v>876.2</v>
      </c>
      <c r="AZ49" s="16" t="n">
        <f aca="false">AT49+AF49+AN49+AH49+AG49+AC49+W49+Q49+P49+J49</f>
        <v>878</v>
      </c>
      <c r="BA49" s="16" t="n">
        <f aca="false">AY49/10</f>
        <v>87.62</v>
      </c>
      <c r="BB49" s="16" t="n">
        <f aca="false">AZ49/10</f>
        <v>87.8</v>
      </c>
      <c r="BC49" s="16" t="n">
        <v>2393</v>
      </c>
      <c r="BD49" s="16" t="n">
        <f aca="false">RANK(AX49,$AX$2:$AX$881,0)</f>
        <v>62</v>
      </c>
      <c r="BE49" s="38" t="n">
        <f aca="false">((BC49*100)/2400)*0.4+(AX49*0.6)</f>
        <v>91.7833333333333</v>
      </c>
      <c r="BF49" s="16" t="n">
        <f aca="false">RANK(BE49,$BE$2:$BE$881,0)</f>
        <v>49</v>
      </c>
      <c r="BG49" s="39" t="n">
        <f aca="false">RANK(BB49,$BB$2:$BB$881,0)</f>
        <v>44</v>
      </c>
      <c r="BH49" s="39" t="n">
        <f aca="false">RANK(BC49,$BC$2:$BC$881,0)</f>
        <v>21</v>
      </c>
      <c r="BI49" s="22" t="s">
        <v>130</v>
      </c>
      <c r="BJ49" s="22" t="s">
        <v>129</v>
      </c>
      <c r="BK49" s="40" t="s">
        <v>131</v>
      </c>
      <c r="BL49" s="41" t="n">
        <v>25</v>
      </c>
      <c r="BM49" s="41" t="n">
        <v>60</v>
      </c>
      <c r="BN49" s="41" t="n">
        <v>85</v>
      </c>
      <c r="BO49" s="42" t="n">
        <v>28</v>
      </c>
      <c r="BP49" s="43" t="n">
        <v>65</v>
      </c>
      <c r="BQ49" s="44" t="n">
        <v>93</v>
      </c>
      <c r="BR49" s="42" t="n">
        <v>26</v>
      </c>
      <c r="BS49" s="45" t="n">
        <v>61</v>
      </c>
      <c r="BT49" s="45" t="n">
        <v>87</v>
      </c>
      <c r="BU49" s="46" t="n">
        <v>100</v>
      </c>
      <c r="BV49" s="47" t="n">
        <v>92</v>
      </c>
      <c r="BW49" s="42" t="n">
        <v>99</v>
      </c>
      <c r="BX49" s="48" t="n">
        <v>96</v>
      </c>
      <c r="BY49" s="32" t="n">
        <v>28</v>
      </c>
      <c r="BZ49" s="32" t="n">
        <v>65</v>
      </c>
      <c r="CA49" s="32" t="n">
        <v>93</v>
      </c>
      <c r="CB49" s="32" t="n">
        <v>26</v>
      </c>
      <c r="CC49" s="32" t="n">
        <v>59</v>
      </c>
      <c r="CD49" s="32" t="n">
        <v>85</v>
      </c>
      <c r="CE49" s="32" t="n">
        <v>28</v>
      </c>
      <c r="CF49" s="32" t="n">
        <v>61</v>
      </c>
      <c r="CG49" s="32" t="n">
        <v>89</v>
      </c>
      <c r="CH49" s="32" t="n">
        <v>100</v>
      </c>
      <c r="CI49" s="32" t="n">
        <v>100</v>
      </c>
      <c r="CJ49" s="49" t="n">
        <v>27</v>
      </c>
      <c r="CK49" s="60"/>
      <c r="CL49" s="61"/>
      <c r="CM49" s="49" t="n">
        <v>28</v>
      </c>
      <c r="CN49" s="49" t="n">
        <v>61</v>
      </c>
      <c r="CO49" s="49" t="n">
        <v>89</v>
      </c>
      <c r="CP49" s="25" t="n">
        <f aca="false">BX49+BW49+BV49+BU49+BT49+BQ49+BN49</f>
        <v>652</v>
      </c>
      <c r="CQ49" s="25" t="n">
        <f aca="false">CO49+CL49+CI49+CH49+CG49+CD49+CA49</f>
        <v>556</v>
      </c>
      <c r="CR49" s="26" t="n">
        <f aca="false">CP49/7</f>
        <v>93.1428571428571</v>
      </c>
      <c r="CS49" s="26" t="n">
        <f aca="false">CQ49/7</f>
        <v>79.4285714285714</v>
      </c>
      <c r="CT49" s="24" t="n">
        <f aca="false">RANK(CR49,$CR$2:$CR$881,0)</f>
        <v>45</v>
      </c>
      <c r="CU49" s="25" t="n">
        <f aca="false">RANK(CS49,$CS$2:$CS$881,0)</f>
        <v>287</v>
      </c>
      <c r="CV49" s="26" t="n">
        <f aca="false">(CS49+CR49)/2</f>
        <v>86.2857142857143</v>
      </c>
      <c r="CW49" s="25" t="n">
        <f aca="false">RANK(CV49,$CV$2:$CV$881,0)</f>
        <v>167</v>
      </c>
      <c r="CX49" s="50" t="n">
        <f aca="false">(CV49+BB49)/2</f>
        <v>87.0428571428571</v>
      </c>
      <c r="CY49" s="50" t="n">
        <v>77</v>
      </c>
      <c r="CZ49" s="27" t="s">
        <v>132</v>
      </c>
      <c r="DA49" s="27" t="s">
        <v>162</v>
      </c>
      <c r="DB49" s="27" t="s">
        <v>162</v>
      </c>
      <c r="DC49" s="27" t="s">
        <v>134</v>
      </c>
      <c r="DD49" s="27" t="s">
        <v>135</v>
      </c>
      <c r="DE49" s="27" t="s">
        <v>203</v>
      </c>
      <c r="DF49" s="27" t="s">
        <v>178</v>
      </c>
      <c r="DG49" s="27" t="s">
        <v>134</v>
      </c>
      <c r="DH49" s="27" t="s">
        <v>182</v>
      </c>
      <c r="DI49" s="27" t="s">
        <v>187</v>
      </c>
      <c r="DJ49" s="27" t="s">
        <v>153</v>
      </c>
      <c r="DK49" s="27" t="s">
        <v>134</v>
      </c>
      <c r="DL49" s="27" t="s">
        <v>140</v>
      </c>
      <c r="DM49" s="27" t="s">
        <v>203</v>
      </c>
      <c r="DN49" s="27" t="s">
        <v>170</v>
      </c>
      <c r="DO49" s="27" t="s">
        <v>134</v>
      </c>
      <c r="DP49" s="27" t="s">
        <v>174</v>
      </c>
      <c r="DQ49" s="27" t="s">
        <v>187</v>
      </c>
      <c r="DR49" s="27" t="s">
        <v>133</v>
      </c>
      <c r="DS49" s="27" t="s">
        <v>134</v>
      </c>
      <c r="DT49" s="27" t="s">
        <v>140</v>
      </c>
      <c r="DU49" s="27" t="s">
        <v>187</v>
      </c>
      <c r="DV49" s="27" t="s">
        <v>139</v>
      </c>
      <c r="DW49" s="27" t="s">
        <v>160</v>
      </c>
      <c r="DX49" s="27" t="s">
        <v>138</v>
      </c>
      <c r="DY49" s="27" t="s">
        <v>144</v>
      </c>
      <c r="DZ49" s="27" t="n">
        <f aca="false">DY49+DV49+DR49+DN49+DJ49+DF49+DB49</f>
        <v>637</v>
      </c>
      <c r="EA49" s="28" t="n">
        <f aca="false">DZ49/7</f>
        <v>91</v>
      </c>
      <c r="EB49" s="27" t="n">
        <f aca="false">RANK(EA49,$EA$2:$EA$881,0)</f>
        <v>40</v>
      </c>
      <c r="EC49" s="29" t="n">
        <f aca="false">DZ49+CQ49+CP49+AZ49</f>
        <v>2723</v>
      </c>
      <c r="ED49" s="30" t="n">
        <f aca="false">(EA49+CV49+BB49)/3</f>
        <v>88.3619047619048</v>
      </c>
      <c r="EE49" s="51" t="n">
        <f aca="false">ROUND(BE49,3)</f>
        <v>91.783</v>
      </c>
      <c r="EF49" s="51" t="n">
        <f aca="false">ROUND(CR49,3)</f>
        <v>93.143</v>
      </c>
      <c r="EG49" s="51" t="n">
        <f aca="false">ROUND(CS49,3)</f>
        <v>79.429</v>
      </c>
      <c r="EH49" s="51" t="n">
        <f aca="false">ROUND(EA49,3)</f>
        <v>91</v>
      </c>
      <c r="EI49" s="51" t="n">
        <f aca="false">ROUND(ED49,3)</f>
        <v>88.362</v>
      </c>
      <c r="EJ49" s="51" t="n">
        <f aca="false">ROUND(CV49,3)</f>
        <v>86.286</v>
      </c>
      <c r="EK49" s="0" t="n">
        <f aca="false">RANK(EI49,$EI$2:$EI$881,0)</f>
        <v>48</v>
      </c>
    </row>
    <row r="50" customFormat="false" ht="15" hidden="false" customHeight="false" outlineLevel="0" collapsed="false">
      <c r="A50" s="4" t="n">
        <v>8693</v>
      </c>
      <c r="B50" s="4" t="n">
        <v>800</v>
      </c>
      <c r="C50" s="27" t="s">
        <v>323</v>
      </c>
      <c r="D50" s="31" t="n">
        <v>819</v>
      </c>
      <c r="E50" s="16" t="n">
        <v>230235665</v>
      </c>
      <c r="F50" s="56" t="s">
        <v>324</v>
      </c>
      <c r="G50" s="22" t="s">
        <v>325</v>
      </c>
      <c r="H50" s="22" t="s">
        <v>326</v>
      </c>
      <c r="I50" s="57"/>
      <c r="J50" s="16" t="n">
        <v>66</v>
      </c>
      <c r="K50" s="16" t="n">
        <v>85</v>
      </c>
      <c r="L50" s="34" t="n">
        <f aca="false">(K50*70)/100</f>
        <v>59.5</v>
      </c>
      <c r="M50" s="34" t="n">
        <f aca="false">ROUNDUP(L50,0)</f>
        <v>60</v>
      </c>
      <c r="N50" s="16" t="n">
        <v>28</v>
      </c>
      <c r="O50" s="34" t="n">
        <f aca="false">N50+L50</f>
        <v>87.5</v>
      </c>
      <c r="P50" s="34" t="n">
        <f aca="false">N50+M50</f>
        <v>88</v>
      </c>
      <c r="Q50" s="16" t="n">
        <v>87</v>
      </c>
      <c r="R50" s="16" t="n">
        <v>70</v>
      </c>
      <c r="S50" s="34" t="n">
        <f aca="false">(R50*70)/100</f>
        <v>49</v>
      </c>
      <c r="T50" s="34" t="n">
        <f aca="false">ROUNDUP(S50,0)</f>
        <v>49</v>
      </c>
      <c r="U50" s="16" t="n">
        <v>25</v>
      </c>
      <c r="V50" s="34" t="n">
        <f aca="false">U50+S50</f>
        <v>74</v>
      </c>
      <c r="W50" s="34" t="n">
        <f aca="false">U50+T50</f>
        <v>74</v>
      </c>
      <c r="X50" s="16" t="n">
        <v>74</v>
      </c>
      <c r="Y50" s="34" t="n">
        <f aca="false">(X50*70)/100</f>
        <v>51.8</v>
      </c>
      <c r="Z50" s="34" t="n">
        <f aca="false">ROUNDUP(Y50,0)</f>
        <v>52</v>
      </c>
      <c r="AA50" s="16" t="n">
        <v>26</v>
      </c>
      <c r="AB50" s="34" t="n">
        <f aca="false">AA50+Y50</f>
        <v>77.8</v>
      </c>
      <c r="AC50" s="34" t="n">
        <f aca="false">AA50+Z50</f>
        <v>78</v>
      </c>
      <c r="AD50" s="32" t="n">
        <f aca="false">X50+R50+Q50+K50+J50</f>
        <v>382</v>
      </c>
      <c r="AE50" s="16" t="n">
        <f aca="false">AD50/5</f>
        <v>76.4</v>
      </c>
      <c r="AF50" s="16" t="n">
        <v>78</v>
      </c>
      <c r="AG50" s="16" t="n">
        <v>79</v>
      </c>
      <c r="AH50" s="16" t="n">
        <v>95</v>
      </c>
      <c r="AI50" s="16" t="n">
        <v>96</v>
      </c>
      <c r="AJ50" s="16" t="n">
        <f aca="false">(AI50*70)/100</f>
        <v>67.2</v>
      </c>
      <c r="AK50" s="35" t="n">
        <f aca="false">ROUNDUP(AJ50,0)</f>
        <v>68</v>
      </c>
      <c r="AL50" s="16" t="n">
        <v>27</v>
      </c>
      <c r="AM50" s="16" t="n">
        <f aca="false">AL50+AJ50</f>
        <v>94.2</v>
      </c>
      <c r="AN50" s="16" t="n">
        <f aca="false">AL50+AK50</f>
        <v>95</v>
      </c>
      <c r="AO50" s="16" t="n">
        <v>74</v>
      </c>
      <c r="AP50" s="36" t="n">
        <f aca="false">(AO50*70)/100</f>
        <v>51.8</v>
      </c>
      <c r="AQ50" s="37" t="n">
        <f aca="false">ROUNDUP(AP50,0)</f>
        <v>52</v>
      </c>
      <c r="AR50" s="16" t="n">
        <v>29</v>
      </c>
      <c r="AS50" s="16" t="n">
        <f aca="false">AR50+AP50</f>
        <v>80.8</v>
      </c>
      <c r="AT50" s="16" t="n">
        <f aca="false">AR50+AQ50</f>
        <v>81</v>
      </c>
      <c r="AU50" s="16" t="n">
        <f aca="false">AO50+AF50+AI50+AH50+AG50</f>
        <v>422</v>
      </c>
      <c r="AV50" s="16" t="n">
        <f aca="false">(AO50+AF50+AI50+AH50+AG50)/5</f>
        <v>84.4</v>
      </c>
      <c r="AW50" s="36" t="n">
        <f aca="false">(AO50+AF50+AI50+AH50+AG50+X50+R50+Q50+K50+J50)</f>
        <v>804</v>
      </c>
      <c r="AX50" s="16" t="n">
        <f aca="false">AW50/10</f>
        <v>80.4</v>
      </c>
      <c r="AY50" s="16" t="n">
        <f aca="false">AS50+AF50+AM50+AH50+AG50+AB50+V50+Q50+O50+J50</f>
        <v>819.3</v>
      </c>
      <c r="AZ50" s="16" t="n">
        <f aca="false">AT50+AF50+AN50+AH50+AG50+AC50+W50+Q50+P50+J50</f>
        <v>821</v>
      </c>
      <c r="BA50" s="16" t="n">
        <f aca="false">AY50/10</f>
        <v>81.93</v>
      </c>
      <c r="BB50" s="16" t="n">
        <f aca="false">AZ50/10</f>
        <v>82.1</v>
      </c>
      <c r="BC50" s="16" t="n">
        <v>2334</v>
      </c>
      <c r="BD50" s="16" t="n">
        <f aca="false">RANK(AX50,$AX$2:$AX$881,0)</f>
        <v>238</v>
      </c>
      <c r="BE50" s="54" t="n">
        <f aca="false">((BC50*100)/2400)*0.4+(AX50*0.6)</f>
        <v>87.14</v>
      </c>
      <c r="BF50" s="16" t="n">
        <f aca="false">RANK(BE50,$BE$2:$BE$881,0)</f>
        <v>287</v>
      </c>
      <c r="BG50" s="39" t="n">
        <f aca="false">RANK(BB50,$BB$2:$BB$881,0)</f>
        <v>206</v>
      </c>
      <c r="BH50" s="39" t="n">
        <f aca="false">RANK(BC50,$BC$2:$BC$881,0)</f>
        <v>687</v>
      </c>
      <c r="BI50" s="22" t="s">
        <v>130</v>
      </c>
      <c r="BJ50" s="22" t="s">
        <v>129</v>
      </c>
      <c r="BK50" s="40" t="s">
        <v>131</v>
      </c>
      <c r="BL50" s="41" t="n">
        <v>23</v>
      </c>
      <c r="BM50" s="41" t="n">
        <v>62</v>
      </c>
      <c r="BN50" s="41" t="n">
        <v>85</v>
      </c>
      <c r="BO50" s="42" t="n">
        <v>26</v>
      </c>
      <c r="BP50" s="43" t="n">
        <v>66</v>
      </c>
      <c r="BQ50" s="44" t="n">
        <v>92</v>
      </c>
      <c r="BR50" s="42" t="n">
        <v>25</v>
      </c>
      <c r="BS50" s="45" t="n">
        <v>62</v>
      </c>
      <c r="BT50" s="45" t="n">
        <v>87</v>
      </c>
      <c r="BU50" s="46" t="n">
        <v>100</v>
      </c>
      <c r="BV50" s="47" t="n">
        <v>92</v>
      </c>
      <c r="BW50" s="42" t="n">
        <v>100</v>
      </c>
      <c r="BX50" s="48" t="n">
        <v>100</v>
      </c>
      <c r="BY50" s="32" t="n">
        <v>28</v>
      </c>
      <c r="BZ50" s="32" t="n">
        <v>61</v>
      </c>
      <c r="CA50" s="32" t="n">
        <v>89</v>
      </c>
      <c r="CB50" s="32" t="n">
        <v>25</v>
      </c>
      <c r="CC50" s="32" t="n">
        <v>46</v>
      </c>
      <c r="CD50" s="32" t="n">
        <v>71</v>
      </c>
      <c r="CE50" s="32" t="n">
        <v>25</v>
      </c>
      <c r="CF50" s="32" t="n">
        <v>64</v>
      </c>
      <c r="CG50" s="32" t="n">
        <v>89</v>
      </c>
      <c r="CH50" s="32" t="n">
        <v>95</v>
      </c>
      <c r="CI50" s="32" t="n">
        <v>99</v>
      </c>
      <c r="CJ50" s="49" t="n">
        <v>28</v>
      </c>
      <c r="CK50" s="49" t="n">
        <v>62</v>
      </c>
      <c r="CL50" s="49" t="n">
        <v>90</v>
      </c>
      <c r="CM50" s="49" t="n">
        <v>28</v>
      </c>
      <c r="CN50" s="49" t="n">
        <v>56</v>
      </c>
      <c r="CO50" s="49" t="n">
        <v>84</v>
      </c>
      <c r="CP50" s="25" t="n">
        <f aca="false">BX50+BW50+BV50+BU50+BT50+BQ50+BN50</f>
        <v>656</v>
      </c>
      <c r="CQ50" s="25" t="n">
        <f aca="false">CO50+CL50+CI50+CH50+CG50+CD50+CA50</f>
        <v>617</v>
      </c>
      <c r="CR50" s="26" t="n">
        <f aca="false">CP50/7</f>
        <v>93.7142857142857</v>
      </c>
      <c r="CS50" s="26" t="n">
        <f aca="false">CQ50/7</f>
        <v>88.1428571428571</v>
      </c>
      <c r="CT50" s="24" t="n">
        <f aca="false">RANK(CR50,$CR$2:$CR$881,0)</f>
        <v>32</v>
      </c>
      <c r="CU50" s="25" t="n">
        <f aca="false">RANK(CS50,$CS$2:$CS$881,0)</f>
        <v>41</v>
      </c>
      <c r="CV50" s="26" t="n">
        <f aca="false">(CS50+CR50)/2</f>
        <v>90.9285714285714</v>
      </c>
      <c r="CW50" s="25" t="n">
        <f aca="false">RANK(CV50,$CV$2:$CV$881,0)</f>
        <v>43</v>
      </c>
      <c r="CX50" s="50" t="n">
        <f aca="false">(CV50+BB50)/2</f>
        <v>86.5142857142857</v>
      </c>
      <c r="CY50" s="50" t="n">
        <v>87</v>
      </c>
      <c r="CZ50" s="27" t="s">
        <v>132</v>
      </c>
      <c r="DA50" s="27" t="s">
        <v>175</v>
      </c>
      <c r="DB50" s="27" t="s">
        <v>175</v>
      </c>
      <c r="DC50" s="27" t="s">
        <v>134</v>
      </c>
      <c r="DD50" s="27" t="s">
        <v>137</v>
      </c>
      <c r="DE50" s="27" t="s">
        <v>163</v>
      </c>
      <c r="DF50" s="27" t="s">
        <v>170</v>
      </c>
      <c r="DG50" s="27" t="s">
        <v>134</v>
      </c>
      <c r="DH50" s="27" t="s">
        <v>160</v>
      </c>
      <c r="DI50" s="27" t="s">
        <v>141</v>
      </c>
      <c r="DJ50" s="27" t="s">
        <v>139</v>
      </c>
      <c r="DK50" s="27" t="s">
        <v>134</v>
      </c>
      <c r="DL50" s="27" t="s">
        <v>164</v>
      </c>
      <c r="DM50" s="27" t="s">
        <v>187</v>
      </c>
      <c r="DN50" s="27" t="s">
        <v>151</v>
      </c>
      <c r="DO50" s="27" t="s">
        <v>134</v>
      </c>
      <c r="DP50" s="27" t="s">
        <v>182</v>
      </c>
      <c r="DQ50" s="27" t="s">
        <v>152</v>
      </c>
      <c r="DR50" s="27" t="s">
        <v>133</v>
      </c>
      <c r="DS50" s="27" t="s">
        <v>134</v>
      </c>
      <c r="DT50" s="27" t="s">
        <v>146</v>
      </c>
      <c r="DU50" s="27" t="s">
        <v>163</v>
      </c>
      <c r="DV50" s="27" t="s">
        <v>139</v>
      </c>
      <c r="DW50" s="27" t="s">
        <v>164</v>
      </c>
      <c r="DX50" s="27" t="s">
        <v>155</v>
      </c>
      <c r="DY50" s="27" t="s">
        <v>144</v>
      </c>
      <c r="DZ50" s="27" t="n">
        <f aca="false">DY50+DV50+DR50+DN50+DJ50+DF50+DB50</f>
        <v>644</v>
      </c>
      <c r="EA50" s="28" t="n">
        <f aca="false">DZ50/7</f>
        <v>92</v>
      </c>
      <c r="EB50" s="27" t="n">
        <f aca="false">RANK(EA50,$EA$2:$EA$881,0)</f>
        <v>15</v>
      </c>
      <c r="EC50" s="29" t="n">
        <f aca="false">DZ50+CQ50+CP50+AZ50</f>
        <v>2738</v>
      </c>
      <c r="ED50" s="30" t="n">
        <f aca="false">(EA50+CV50+BB50)/3</f>
        <v>88.3428571428571</v>
      </c>
      <c r="EE50" s="51" t="n">
        <f aca="false">ROUND(BE50,3)</f>
        <v>87.14</v>
      </c>
      <c r="EF50" s="51" t="n">
        <f aca="false">ROUND(CR50,3)</f>
        <v>93.714</v>
      </c>
      <c r="EG50" s="51" t="n">
        <f aca="false">ROUND(CS50,3)</f>
        <v>88.143</v>
      </c>
      <c r="EH50" s="51" t="n">
        <f aca="false">ROUND(EA50,3)</f>
        <v>92</v>
      </c>
      <c r="EI50" s="51" t="n">
        <f aca="false">ROUND(ED50,3)</f>
        <v>88.343</v>
      </c>
      <c r="EJ50" s="51" t="n">
        <f aca="false">ROUND(CV50,3)</f>
        <v>90.929</v>
      </c>
      <c r="EK50" s="0" t="n">
        <f aca="false">RANK(EI50,$EI$2:$EI$881,0)</f>
        <v>49</v>
      </c>
    </row>
    <row r="51" customFormat="false" ht="15" hidden="false" customHeight="false" outlineLevel="0" collapsed="false">
      <c r="A51" s="4" t="n">
        <v>8627</v>
      </c>
      <c r="B51" s="4" t="n">
        <v>211</v>
      </c>
      <c r="C51" s="27" t="s">
        <v>327</v>
      </c>
      <c r="D51" s="31" t="n">
        <v>212</v>
      </c>
      <c r="E51" s="32" t="n">
        <v>230320906</v>
      </c>
      <c r="F51" s="8" t="s">
        <v>328</v>
      </c>
      <c r="G51" s="22" t="s">
        <v>329</v>
      </c>
      <c r="H51" s="22" t="s">
        <v>129</v>
      </c>
      <c r="I51" s="33" t="n">
        <v>2005</v>
      </c>
      <c r="J51" s="32" t="n">
        <v>79</v>
      </c>
      <c r="K51" s="32" t="n">
        <v>83</v>
      </c>
      <c r="L51" s="34" t="n">
        <f aca="false">(K51*70)/100</f>
        <v>58.1</v>
      </c>
      <c r="M51" s="34" t="n">
        <f aca="false">ROUNDUP(L51,0)</f>
        <v>59</v>
      </c>
      <c r="N51" s="32" t="n">
        <v>28</v>
      </c>
      <c r="O51" s="34" t="n">
        <f aca="false">N51+L51</f>
        <v>86.1</v>
      </c>
      <c r="P51" s="34" t="n">
        <f aca="false">N51+M51</f>
        <v>87</v>
      </c>
      <c r="Q51" s="32" t="n">
        <v>70</v>
      </c>
      <c r="R51" s="32" t="n">
        <v>80</v>
      </c>
      <c r="S51" s="34" t="n">
        <f aca="false">(R51*70)/100</f>
        <v>56</v>
      </c>
      <c r="T51" s="34" t="n">
        <f aca="false">ROUNDUP(S51,0)</f>
        <v>56</v>
      </c>
      <c r="U51" s="32" t="n">
        <v>20</v>
      </c>
      <c r="V51" s="34" t="n">
        <f aca="false">U51+S51</f>
        <v>76</v>
      </c>
      <c r="W51" s="34" t="n">
        <f aca="false">U51+T51</f>
        <v>76</v>
      </c>
      <c r="X51" s="32" t="n">
        <v>67</v>
      </c>
      <c r="Y51" s="34" t="n">
        <f aca="false">(X51*70)/100</f>
        <v>46.9</v>
      </c>
      <c r="Z51" s="34" t="n">
        <f aca="false">ROUNDUP(Y51,0)</f>
        <v>47</v>
      </c>
      <c r="AA51" s="32" t="n">
        <v>27</v>
      </c>
      <c r="AB51" s="34" t="n">
        <f aca="false">AA51+Y51</f>
        <v>73.9</v>
      </c>
      <c r="AC51" s="34" t="n">
        <f aca="false">AA51+Z51</f>
        <v>74</v>
      </c>
      <c r="AD51" s="32" t="n">
        <f aca="false">X51+R51+Q51+K51+J51</f>
        <v>379</v>
      </c>
      <c r="AE51" s="16" t="n">
        <f aca="false">AD51/5</f>
        <v>75.8</v>
      </c>
      <c r="AF51" s="16" t="n">
        <v>87</v>
      </c>
      <c r="AG51" s="16" t="n">
        <v>88</v>
      </c>
      <c r="AH51" s="16" t="n">
        <v>96</v>
      </c>
      <c r="AI51" s="16" t="n">
        <v>89</v>
      </c>
      <c r="AJ51" s="16" t="n">
        <f aca="false">(AI51*70)/100</f>
        <v>62.3</v>
      </c>
      <c r="AK51" s="35" t="n">
        <f aca="false">ROUNDUP(AJ51,0)</f>
        <v>63</v>
      </c>
      <c r="AL51" s="16" t="n">
        <v>25</v>
      </c>
      <c r="AM51" s="16" t="n">
        <f aca="false">AL51+AJ51</f>
        <v>87.3</v>
      </c>
      <c r="AN51" s="16" t="n">
        <f aca="false">AL51+AK51</f>
        <v>88</v>
      </c>
      <c r="AO51" s="16" t="n">
        <v>85</v>
      </c>
      <c r="AP51" s="36" t="n">
        <f aca="false">(AO51*70)/100</f>
        <v>59.5</v>
      </c>
      <c r="AQ51" s="37" t="n">
        <f aca="false">ROUNDUP(AP51,0)</f>
        <v>60</v>
      </c>
      <c r="AR51" s="16" t="n">
        <v>27</v>
      </c>
      <c r="AS51" s="16" t="n">
        <f aca="false">AR51+AP51</f>
        <v>86.5</v>
      </c>
      <c r="AT51" s="16" t="n">
        <f aca="false">AR51+AQ51</f>
        <v>87</v>
      </c>
      <c r="AU51" s="16" t="n">
        <f aca="false">AO51+AF51+AI51+AH51+AG51</f>
        <v>445</v>
      </c>
      <c r="AV51" s="16" t="n">
        <f aca="false">(AO51+AF51+AI51+AH51+AG51)/5</f>
        <v>89</v>
      </c>
      <c r="AW51" s="36" t="n">
        <f aca="false">(AO51+AF51+AI51+AH51+AG51+X51+R51+Q51+K51+J51)</f>
        <v>824</v>
      </c>
      <c r="AX51" s="16" t="n">
        <f aca="false">AW51/10</f>
        <v>82.4</v>
      </c>
      <c r="AY51" s="16" t="n">
        <f aca="false">AS51+AF51+AM51+AH51+AG51+AB51+V51+Q51+O51+J51</f>
        <v>829.8</v>
      </c>
      <c r="AZ51" s="16" t="n">
        <f aca="false">AT51+AF51+AN51+AH51+AG51+AC51+W51+Q51+P51+J51</f>
        <v>832</v>
      </c>
      <c r="BA51" s="16" t="n">
        <f aca="false">AY51/10</f>
        <v>82.98</v>
      </c>
      <c r="BB51" s="16" t="n">
        <f aca="false">AZ51/10</f>
        <v>83.2</v>
      </c>
      <c r="BC51" s="16" t="n">
        <v>2387</v>
      </c>
      <c r="BD51" s="16" t="n">
        <f aca="false">RANK(AX51,$AX$2:$AX$881,0)</f>
        <v>143</v>
      </c>
      <c r="BE51" s="54" t="n">
        <f aca="false">((BC51*100)/2400)*0.4+(AX51*0.6)</f>
        <v>89.2233333333333</v>
      </c>
      <c r="BF51" s="16" t="n">
        <f aca="false">RANK(BE51,$BE$2:$BE$881,0)</f>
        <v>128</v>
      </c>
      <c r="BG51" s="39" t="n">
        <f aca="false">RANK(BB51,$BB$2:$BB$881,0)</f>
        <v>152</v>
      </c>
      <c r="BH51" s="39" t="n">
        <f aca="false">RANK(BC51,$BC$2:$BC$881,0)</f>
        <v>76</v>
      </c>
      <c r="BI51" s="22" t="s">
        <v>130</v>
      </c>
      <c r="BJ51" s="22" t="s">
        <v>129</v>
      </c>
      <c r="BK51" s="40" t="s">
        <v>131</v>
      </c>
      <c r="BL51" s="41" t="n">
        <v>26</v>
      </c>
      <c r="BM51" s="41" t="n">
        <v>61</v>
      </c>
      <c r="BN51" s="41" t="n">
        <v>87</v>
      </c>
      <c r="BO51" s="42" t="n">
        <v>27</v>
      </c>
      <c r="BP51" s="43" t="n">
        <v>67</v>
      </c>
      <c r="BQ51" s="44" t="n">
        <v>94</v>
      </c>
      <c r="BR51" s="42" t="n">
        <v>29</v>
      </c>
      <c r="BS51" s="45" t="n">
        <v>64</v>
      </c>
      <c r="BT51" s="45" t="n">
        <v>93</v>
      </c>
      <c r="BU51" s="46" t="n">
        <v>100</v>
      </c>
      <c r="BV51" s="47" t="n">
        <v>96</v>
      </c>
      <c r="BW51" s="42" t="n">
        <v>99</v>
      </c>
      <c r="BX51" s="48" t="n">
        <v>92</v>
      </c>
      <c r="BY51" s="32" t="n">
        <v>27</v>
      </c>
      <c r="BZ51" s="32" t="n">
        <v>65</v>
      </c>
      <c r="CA51" s="32" t="n">
        <v>92</v>
      </c>
      <c r="CB51" s="32" t="n">
        <v>29</v>
      </c>
      <c r="CC51" s="32" t="n">
        <v>53</v>
      </c>
      <c r="CD51" s="32" t="n">
        <v>82</v>
      </c>
      <c r="CE51" s="32" t="n">
        <v>25</v>
      </c>
      <c r="CF51" s="32" t="n">
        <v>62</v>
      </c>
      <c r="CG51" s="32" t="n">
        <v>87</v>
      </c>
      <c r="CH51" s="32" t="n">
        <v>96</v>
      </c>
      <c r="CI51" s="32" t="n">
        <v>100</v>
      </c>
      <c r="CJ51" s="49" t="n">
        <v>27</v>
      </c>
      <c r="CK51" s="49" t="n">
        <v>62</v>
      </c>
      <c r="CL51" s="49" t="n">
        <v>89</v>
      </c>
      <c r="CM51" s="49" t="n">
        <v>24</v>
      </c>
      <c r="CN51" s="49" t="n">
        <v>60</v>
      </c>
      <c r="CO51" s="49" t="n">
        <v>84</v>
      </c>
      <c r="CP51" s="25" t="n">
        <f aca="false">BX51+BW51+BV51+BU51+BT51+BQ51+BN51</f>
        <v>661</v>
      </c>
      <c r="CQ51" s="25" t="n">
        <f aca="false">CO51+CL51+CI51+CH51+CG51+CD51+CA51</f>
        <v>630</v>
      </c>
      <c r="CR51" s="26" t="n">
        <f aca="false">CP51/7</f>
        <v>94.4285714285714</v>
      </c>
      <c r="CS51" s="26" t="n">
        <f aca="false">CQ51/7</f>
        <v>90</v>
      </c>
      <c r="CT51" s="24" t="n">
        <f aca="false">RANK(CR51,$CR$2:$CR$881,0)</f>
        <v>22</v>
      </c>
      <c r="CU51" s="25" t="n">
        <f aca="false">RANK(CS51,$CS$2:$CS$881,0)</f>
        <v>24</v>
      </c>
      <c r="CV51" s="26" t="n">
        <f aca="false">(CS51+CR51)/2</f>
        <v>92.2142857142857</v>
      </c>
      <c r="CW51" s="25" t="n">
        <f aca="false">RANK(CV51,$CV$2:$CV$881,0)</f>
        <v>19</v>
      </c>
      <c r="CX51" s="50" t="n">
        <f aca="false">(CV51+BB51)/2</f>
        <v>87.7071428571429</v>
      </c>
      <c r="CY51" s="50" t="n">
        <v>57</v>
      </c>
      <c r="CZ51" s="27" t="s">
        <v>132</v>
      </c>
      <c r="DA51" s="27" t="s">
        <v>202</v>
      </c>
      <c r="DB51" s="27" t="s">
        <v>202</v>
      </c>
      <c r="DC51" s="27" t="s">
        <v>134</v>
      </c>
      <c r="DD51" s="27" t="s">
        <v>182</v>
      </c>
      <c r="DE51" s="27" t="s">
        <v>161</v>
      </c>
      <c r="DF51" s="27" t="s">
        <v>175</v>
      </c>
      <c r="DG51" s="27" t="s">
        <v>134</v>
      </c>
      <c r="DH51" s="27" t="s">
        <v>140</v>
      </c>
      <c r="DI51" s="27" t="s">
        <v>136</v>
      </c>
      <c r="DJ51" s="27" t="s">
        <v>176</v>
      </c>
      <c r="DK51" s="27" t="s">
        <v>134</v>
      </c>
      <c r="DL51" s="27" t="s">
        <v>160</v>
      </c>
      <c r="DM51" s="27" t="s">
        <v>177</v>
      </c>
      <c r="DN51" s="27" t="s">
        <v>133</v>
      </c>
      <c r="DO51" s="27" t="s">
        <v>134</v>
      </c>
      <c r="DP51" s="27" t="s">
        <v>160</v>
      </c>
      <c r="DQ51" s="27" t="s">
        <v>218</v>
      </c>
      <c r="DR51" s="27" t="s">
        <v>175</v>
      </c>
      <c r="DS51" s="27" t="s">
        <v>134</v>
      </c>
      <c r="DT51" s="27" t="s">
        <v>140</v>
      </c>
      <c r="DU51" s="27" t="s">
        <v>152</v>
      </c>
      <c r="DV51" s="27" t="s">
        <v>151</v>
      </c>
      <c r="DW51" s="27" t="s">
        <v>140</v>
      </c>
      <c r="DX51" s="27" t="s">
        <v>143</v>
      </c>
      <c r="DY51" s="27" t="s">
        <v>144</v>
      </c>
      <c r="DZ51" s="27" t="n">
        <f aca="false">DY51+DV51+DR51+DN51+DJ51+DF51+DB51</f>
        <v>626</v>
      </c>
      <c r="EA51" s="28" t="n">
        <f aca="false">DZ51/7</f>
        <v>89.4285714285714</v>
      </c>
      <c r="EB51" s="27" t="n">
        <f aca="false">RANK(EA51,$EA$2:$EA$881,0)</f>
        <v>70</v>
      </c>
      <c r="EC51" s="29" t="n">
        <f aca="false">DZ51+CQ51+CP51+AZ51</f>
        <v>2749</v>
      </c>
      <c r="ED51" s="30" t="n">
        <f aca="false">(EA51+CV51+BB51)/3</f>
        <v>88.2809523809524</v>
      </c>
      <c r="EE51" s="51" t="n">
        <f aca="false">ROUND(BE51,3)</f>
        <v>89.223</v>
      </c>
      <c r="EF51" s="51" t="n">
        <f aca="false">ROUND(CR51,3)</f>
        <v>94.429</v>
      </c>
      <c r="EG51" s="51" t="n">
        <f aca="false">ROUND(CS51,3)</f>
        <v>90</v>
      </c>
      <c r="EH51" s="51" t="n">
        <f aca="false">ROUND(EA51,3)</f>
        <v>89.429</v>
      </c>
      <c r="EI51" s="51" t="n">
        <f aca="false">ROUND(ED51,3)</f>
        <v>88.281</v>
      </c>
      <c r="EJ51" s="51" t="n">
        <f aca="false">ROUND(CV51,3)</f>
        <v>92.214</v>
      </c>
      <c r="EK51" s="0" t="n">
        <f aca="false">RANK(EI51,$EI$2:$EI$881,0)</f>
        <v>50</v>
      </c>
    </row>
    <row r="52" customFormat="false" ht="15" hidden="false" customHeight="false" outlineLevel="0" collapsed="false">
      <c r="A52" s="4" t="n">
        <v>8777</v>
      </c>
      <c r="B52" s="4" t="n">
        <v>308</v>
      </c>
      <c r="C52" s="27" t="s">
        <v>330</v>
      </c>
      <c r="D52" s="31" t="n">
        <v>307</v>
      </c>
      <c r="E52" s="62" t="n">
        <v>230319481</v>
      </c>
      <c r="F52" s="8" t="s">
        <v>331</v>
      </c>
      <c r="G52" s="63" t="s">
        <v>270</v>
      </c>
      <c r="H52" s="22" t="s">
        <v>129</v>
      </c>
      <c r="I52" s="64" t="n">
        <v>2005</v>
      </c>
      <c r="J52" s="62" t="n">
        <v>92</v>
      </c>
      <c r="K52" s="62" t="n">
        <v>89</v>
      </c>
      <c r="L52" s="34" t="n">
        <f aca="false">(K52*70)/100</f>
        <v>62.3</v>
      </c>
      <c r="M52" s="34" t="n">
        <f aca="false">ROUNDUP(L52,0)</f>
        <v>63</v>
      </c>
      <c r="N52" s="62" t="n">
        <v>27</v>
      </c>
      <c r="O52" s="34" t="n">
        <f aca="false">N52+L52</f>
        <v>89.3</v>
      </c>
      <c r="P52" s="34" t="n">
        <f aca="false">N52+M52</f>
        <v>90</v>
      </c>
      <c r="Q52" s="62" t="n">
        <v>87</v>
      </c>
      <c r="R52" s="62" t="n">
        <v>86</v>
      </c>
      <c r="S52" s="34" t="n">
        <f aca="false">(R52*70)/100</f>
        <v>60.2</v>
      </c>
      <c r="T52" s="34" t="n">
        <f aca="false">ROUNDUP(S52,0)</f>
        <v>61</v>
      </c>
      <c r="U52" s="62" t="n">
        <v>19</v>
      </c>
      <c r="V52" s="34" t="n">
        <f aca="false">U52+S52</f>
        <v>79.2</v>
      </c>
      <c r="W52" s="34" t="n">
        <f aca="false">U52+T52</f>
        <v>80</v>
      </c>
      <c r="X52" s="62" t="n">
        <v>71</v>
      </c>
      <c r="Y52" s="34" t="n">
        <f aca="false">(X52*70)/100</f>
        <v>49.7</v>
      </c>
      <c r="Z52" s="34" t="n">
        <f aca="false">ROUNDUP(Y52,0)</f>
        <v>50</v>
      </c>
      <c r="AA52" s="62" t="n">
        <v>28</v>
      </c>
      <c r="AB52" s="34" t="n">
        <f aca="false">AA52+Y52</f>
        <v>77.7</v>
      </c>
      <c r="AC52" s="34" t="n">
        <f aca="false">AA52+Z52</f>
        <v>78</v>
      </c>
      <c r="AD52" s="32" t="n">
        <f aca="false">X52+R52+Q52+K52+J52</f>
        <v>425</v>
      </c>
      <c r="AE52" s="16" t="n">
        <f aca="false">AD52/5</f>
        <v>85</v>
      </c>
      <c r="AF52" s="65" t="n">
        <v>78</v>
      </c>
      <c r="AG52" s="65" t="n">
        <v>98</v>
      </c>
      <c r="AH52" s="65" t="n">
        <v>95</v>
      </c>
      <c r="AI52" s="65" t="n">
        <v>94</v>
      </c>
      <c r="AJ52" s="16" t="n">
        <f aca="false">(AI52*70)/100</f>
        <v>65.8</v>
      </c>
      <c r="AK52" s="35" t="n">
        <f aca="false">ROUNDUP(AJ52,0)</f>
        <v>66</v>
      </c>
      <c r="AL52" s="65" t="n">
        <v>29</v>
      </c>
      <c r="AM52" s="16" t="n">
        <f aca="false">AL52+AJ52</f>
        <v>94.8</v>
      </c>
      <c r="AN52" s="16" t="n">
        <f aca="false">AL52+AK52</f>
        <v>95</v>
      </c>
      <c r="AO52" s="65" t="n">
        <v>85</v>
      </c>
      <c r="AP52" s="36" t="n">
        <f aca="false">(AO52*70)/100</f>
        <v>59.5</v>
      </c>
      <c r="AQ52" s="37" t="n">
        <f aca="false">ROUNDUP(AP52,0)</f>
        <v>60</v>
      </c>
      <c r="AR52" s="65" t="n">
        <v>28</v>
      </c>
      <c r="AS52" s="16" t="n">
        <f aca="false">AR52+AP52</f>
        <v>87.5</v>
      </c>
      <c r="AT52" s="16" t="n">
        <f aca="false">AR52+AQ52</f>
        <v>88</v>
      </c>
      <c r="AU52" s="16" t="n">
        <f aca="false">AO52+AF52+AI52+AH52+AG52</f>
        <v>450</v>
      </c>
      <c r="AV52" s="16" t="n">
        <f aca="false">(AO52+AF52+AI52+AH52+AG52)/5</f>
        <v>90</v>
      </c>
      <c r="AW52" s="36" t="n">
        <f aca="false">(AO52+AF52+AI52+AH52+AG52+X52+R52+Q52+K52+J52)</f>
        <v>875</v>
      </c>
      <c r="AX52" s="16" t="n">
        <f aca="false">AW52/10</f>
        <v>87.5</v>
      </c>
      <c r="AY52" s="16" t="n">
        <f aca="false">AS52+AF52+AM52+AH52+AG52+AB52+V52+Q52+O52+J52</f>
        <v>878.5</v>
      </c>
      <c r="AZ52" s="16" t="n">
        <f aca="false">AT52+AF52+AN52+AH52+AG52+AC52+W52+Q52+P52+J52</f>
        <v>881</v>
      </c>
      <c r="BA52" s="16" t="n">
        <f aca="false">AY52/10</f>
        <v>87.85</v>
      </c>
      <c r="BB52" s="16" t="n">
        <f aca="false">AZ52/10</f>
        <v>88.1</v>
      </c>
      <c r="BC52" s="65" t="n">
        <v>2350</v>
      </c>
      <c r="BD52" s="16" t="n">
        <f aca="false">RANK(AX52,$AX$2:$AX$881,0)</f>
        <v>43</v>
      </c>
      <c r="BE52" s="38" t="n">
        <f aca="false">((BC52*100)/2400)*0.4+(AX52*0.6)</f>
        <v>91.6666666666667</v>
      </c>
      <c r="BF52" s="16" t="n">
        <f aca="false">RANK(BE52,$BE$2:$BE$881,0)</f>
        <v>53</v>
      </c>
      <c r="BG52" s="39" t="n">
        <f aca="false">RANK(BB52,$BB$2:$BB$881,0)</f>
        <v>39</v>
      </c>
      <c r="BH52" s="39" t="n">
        <f aca="false">RANK(BC52,$BC$2:$BC$881,0)</f>
        <v>532</v>
      </c>
      <c r="BI52" s="22" t="s">
        <v>130</v>
      </c>
      <c r="BJ52" s="22" t="s">
        <v>129</v>
      </c>
      <c r="BK52" s="40" t="s">
        <v>131</v>
      </c>
      <c r="BL52" s="44" t="n">
        <v>28</v>
      </c>
      <c r="BM52" s="44" t="n">
        <v>64</v>
      </c>
      <c r="BN52" s="44" t="n">
        <v>92</v>
      </c>
      <c r="BO52" s="44" t="n">
        <v>27</v>
      </c>
      <c r="BP52" s="43" t="n">
        <v>63</v>
      </c>
      <c r="BQ52" s="44" t="n">
        <v>90</v>
      </c>
      <c r="BR52" s="44" t="n">
        <v>27</v>
      </c>
      <c r="BS52" s="45" t="n">
        <v>64</v>
      </c>
      <c r="BT52" s="45" t="n">
        <v>91</v>
      </c>
      <c r="BU52" s="46" t="n">
        <v>100</v>
      </c>
      <c r="BV52" s="42" t="n">
        <v>94</v>
      </c>
      <c r="BW52" s="44" t="n">
        <v>95</v>
      </c>
      <c r="BX52" s="48" t="n">
        <v>92</v>
      </c>
      <c r="BY52" s="32" t="n">
        <v>26</v>
      </c>
      <c r="BZ52" s="32" t="n">
        <v>55</v>
      </c>
      <c r="CA52" s="32" t="n">
        <v>81</v>
      </c>
      <c r="CB52" s="32" t="n">
        <v>25</v>
      </c>
      <c r="CC52" s="32" t="n">
        <v>55</v>
      </c>
      <c r="CD52" s="32" t="n">
        <v>80</v>
      </c>
      <c r="CE52" s="32" t="n">
        <v>29</v>
      </c>
      <c r="CF52" s="32" t="n">
        <v>63</v>
      </c>
      <c r="CG52" s="32" t="n">
        <v>92</v>
      </c>
      <c r="CH52" s="32" t="n">
        <v>95</v>
      </c>
      <c r="CI52" s="32" t="n">
        <v>99</v>
      </c>
      <c r="CJ52" s="49" t="n">
        <v>22</v>
      </c>
      <c r="CK52" s="49" t="n">
        <v>54</v>
      </c>
      <c r="CL52" s="49" t="n">
        <v>76</v>
      </c>
      <c r="CM52" s="49" t="n">
        <v>21</v>
      </c>
      <c r="CN52" s="49" t="n">
        <v>56</v>
      </c>
      <c r="CO52" s="49" t="n">
        <v>77</v>
      </c>
      <c r="CP52" s="25" t="n">
        <f aca="false">BX52+BW52+BV52+BU52+BT52+BQ52+BN52</f>
        <v>654</v>
      </c>
      <c r="CQ52" s="25" t="n">
        <f aca="false">CO52+CL52+CI52+CH52+CG52+CD52+CA52</f>
        <v>600</v>
      </c>
      <c r="CR52" s="26" t="n">
        <f aca="false">CP52/7</f>
        <v>93.4285714285714</v>
      </c>
      <c r="CS52" s="26" t="n">
        <f aca="false">CQ52/7</f>
        <v>85.7142857142857</v>
      </c>
      <c r="CT52" s="24" t="n">
        <f aca="false">RANK(CR52,$CR$2:$CR$881,0)</f>
        <v>41</v>
      </c>
      <c r="CU52" s="25" t="n">
        <f aca="false">RANK(CS52,$CS$2:$CS$881,0)</f>
        <v>88</v>
      </c>
      <c r="CV52" s="26" t="n">
        <f aca="false">(CS52+CR52)/2</f>
        <v>89.5714285714286</v>
      </c>
      <c r="CW52" s="25" t="n">
        <f aca="false">RANK(CV52,$CV$2:$CV$881,0)</f>
        <v>57</v>
      </c>
      <c r="CX52" s="50" t="n">
        <f aca="false">(CV52+BB52)/2</f>
        <v>88.8357142857143</v>
      </c>
      <c r="CY52" s="50" t="n">
        <v>38</v>
      </c>
      <c r="CZ52" s="27" t="s">
        <v>132</v>
      </c>
      <c r="DA52" s="27" t="s">
        <v>202</v>
      </c>
      <c r="DB52" s="27" t="s">
        <v>202</v>
      </c>
      <c r="DC52" s="27" t="s">
        <v>134</v>
      </c>
      <c r="DD52" s="27" t="s">
        <v>154</v>
      </c>
      <c r="DE52" s="27" t="s">
        <v>161</v>
      </c>
      <c r="DF52" s="27" t="s">
        <v>209</v>
      </c>
      <c r="DG52" s="27" t="s">
        <v>134</v>
      </c>
      <c r="DH52" s="27" t="s">
        <v>137</v>
      </c>
      <c r="DI52" s="27" t="s">
        <v>152</v>
      </c>
      <c r="DJ52" s="27" t="s">
        <v>153</v>
      </c>
      <c r="DK52" s="27" t="s">
        <v>134</v>
      </c>
      <c r="DL52" s="27" t="s">
        <v>182</v>
      </c>
      <c r="DM52" s="27" t="s">
        <v>306</v>
      </c>
      <c r="DN52" s="27" t="s">
        <v>272</v>
      </c>
      <c r="DO52" s="27" t="s">
        <v>134</v>
      </c>
      <c r="DP52" s="27" t="s">
        <v>160</v>
      </c>
      <c r="DQ52" s="27" t="s">
        <v>183</v>
      </c>
      <c r="DR52" s="27" t="s">
        <v>202</v>
      </c>
      <c r="DS52" s="27" t="s">
        <v>134</v>
      </c>
      <c r="DT52" s="27" t="s">
        <v>146</v>
      </c>
      <c r="DU52" s="27" t="s">
        <v>187</v>
      </c>
      <c r="DV52" s="27" t="s">
        <v>142</v>
      </c>
      <c r="DW52" s="27" t="s">
        <v>182</v>
      </c>
      <c r="DX52" s="27" t="s">
        <v>163</v>
      </c>
      <c r="DY52" s="27" t="s">
        <v>162</v>
      </c>
      <c r="DZ52" s="27" t="n">
        <f aca="false">DY52+DV52+DR52+DN52+DJ52+DF52+DB52</f>
        <v>610</v>
      </c>
      <c r="EA52" s="28" t="n">
        <f aca="false">DZ52/7</f>
        <v>87.1428571428571</v>
      </c>
      <c r="EB52" s="27" t="n">
        <f aca="false">RANK(EA52,$EA$2:$EA$881,0)</f>
        <v>119</v>
      </c>
      <c r="EC52" s="29" t="n">
        <f aca="false">DZ52+CQ52+CP52+AZ52</f>
        <v>2745</v>
      </c>
      <c r="ED52" s="30" t="n">
        <f aca="false">(EA52+CV52+BB52)/3</f>
        <v>88.2714285714286</v>
      </c>
      <c r="EE52" s="51" t="n">
        <f aca="false">ROUND(BE52,3)</f>
        <v>91.667</v>
      </c>
      <c r="EF52" s="51" t="n">
        <f aca="false">ROUND(CR52,3)</f>
        <v>93.429</v>
      </c>
      <c r="EG52" s="51" t="n">
        <f aca="false">ROUND(CS52,3)</f>
        <v>85.714</v>
      </c>
      <c r="EH52" s="51" t="n">
        <f aca="false">ROUND(EA52,3)</f>
        <v>87.143</v>
      </c>
      <c r="EI52" s="51" t="n">
        <f aca="false">ROUND(ED52,3)</f>
        <v>88.271</v>
      </c>
      <c r="EJ52" s="51" t="n">
        <f aca="false">ROUND(CV52,3)</f>
        <v>89.571</v>
      </c>
      <c r="EK52" s="0" t="n">
        <f aca="false">RANK(EI52,$EI$2:$EI$881,0)</f>
        <v>51</v>
      </c>
    </row>
    <row r="53" customFormat="false" ht="15" hidden="false" customHeight="false" outlineLevel="0" collapsed="false">
      <c r="A53" s="4" t="n">
        <v>8898</v>
      </c>
      <c r="B53" s="4" t="n">
        <v>56</v>
      </c>
      <c r="C53" s="27" t="s">
        <v>332</v>
      </c>
      <c r="D53" s="52" t="n">
        <v>58</v>
      </c>
      <c r="E53" s="32" t="n">
        <v>230323775</v>
      </c>
      <c r="F53" s="8" t="s">
        <v>333</v>
      </c>
      <c r="G53" s="22" t="s">
        <v>334</v>
      </c>
      <c r="H53" s="22" t="s">
        <v>129</v>
      </c>
      <c r="I53" s="33" t="n">
        <v>2005</v>
      </c>
      <c r="J53" s="32" t="n">
        <v>76</v>
      </c>
      <c r="K53" s="32" t="n">
        <v>74</v>
      </c>
      <c r="L53" s="34" t="n">
        <f aca="false">(K53*70)/100</f>
        <v>51.8</v>
      </c>
      <c r="M53" s="34" t="n">
        <f aca="false">ROUNDUP(L53,0)</f>
        <v>52</v>
      </c>
      <c r="N53" s="32" t="n">
        <v>27</v>
      </c>
      <c r="O53" s="34" t="n">
        <f aca="false">N53+L53</f>
        <v>78.8</v>
      </c>
      <c r="P53" s="34" t="n">
        <f aca="false">N53+M53</f>
        <v>79</v>
      </c>
      <c r="Q53" s="32" t="n">
        <v>77</v>
      </c>
      <c r="R53" s="32" t="n">
        <v>83</v>
      </c>
      <c r="S53" s="34" t="n">
        <f aca="false">(R53*70)/100</f>
        <v>58.1</v>
      </c>
      <c r="T53" s="34" t="n">
        <f aca="false">ROUNDUP(S53,0)</f>
        <v>59</v>
      </c>
      <c r="U53" s="32" t="n">
        <v>30</v>
      </c>
      <c r="V53" s="34" t="n">
        <f aca="false">U53+S53</f>
        <v>88.1</v>
      </c>
      <c r="W53" s="34" t="n">
        <f aca="false">U53+T53</f>
        <v>89</v>
      </c>
      <c r="X53" s="32" t="n">
        <v>74</v>
      </c>
      <c r="Y53" s="34" t="n">
        <f aca="false">(X53*70)/100</f>
        <v>51.8</v>
      </c>
      <c r="Z53" s="34" t="n">
        <f aca="false">ROUNDUP(Y53,0)</f>
        <v>52</v>
      </c>
      <c r="AA53" s="32" t="n">
        <v>25</v>
      </c>
      <c r="AB53" s="34" t="n">
        <f aca="false">AA53+Y53</f>
        <v>76.8</v>
      </c>
      <c r="AC53" s="34" t="n">
        <f aca="false">AA53+Z53</f>
        <v>77</v>
      </c>
      <c r="AD53" s="32" t="n">
        <f aca="false">X53+R53+Q53+K53+J53</f>
        <v>384</v>
      </c>
      <c r="AE53" s="16" t="n">
        <f aca="false">AD53/5</f>
        <v>76.8</v>
      </c>
      <c r="AF53" s="16" t="n">
        <v>75</v>
      </c>
      <c r="AG53" s="16" t="n">
        <v>86</v>
      </c>
      <c r="AH53" s="16" t="n">
        <v>98</v>
      </c>
      <c r="AI53" s="16" t="n">
        <v>97</v>
      </c>
      <c r="AJ53" s="16" t="n">
        <f aca="false">(AI53*70)/100</f>
        <v>67.9</v>
      </c>
      <c r="AK53" s="35" t="n">
        <f aca="false">ROUNDUP(AJ53,0)</f>
        <v>68</v>
      </c>
      <c r="AL53" s="16" t="n">
        <v>24</v>
      </c>
      <c r="AM53" s="16" t="n">
        <f aca="false">AL53+AJ53</f>
        <v>91.9</v>
      </c>
      <c r="AN53" s="16" t="n">
        <f aca="false">AL53+AK53</f>
        <v>92</v>
      </c>
      <c r="AO53" s="16" t="n">
        <v>83</v>
      </c>
      <c r="AP53" s="36" t="n">
        <f aca="false">(AO53*70)/100</f>
        <v>58.1</v>
      </c>
      <c r="AQ53" s="37" t="n">
        <f aca="false">ROUNDUP(AP53,0)</f>
        <v>59</v>
      </c>
      <c r="AR53" s="16" t="n">
        <v>30</v>
      </c>
      <c r="AS53" s="16" t="n">
        <f aca="false">AR53+AP53</f>
        <v>88.1</v>
      </c>
      <c r="AT53" s="16" t="n">
        <f aca="false">AR53+AQ53</f>
        <v>89</v>
      </c>
      <c r="AU53" s="16" t="n">
        <f aca="false">AO53+AF53+AI53+AH53+AG53</f>
        <v>439</v>
      </c>
      <c r="AV53" s="16" t="n">
        <f aca="false">(AO53+AF53+AI53+AH53+AG53)/5</f>
        <v>87.8</v>
      </c>
      <c r="AW53" s="36" t="n">
        <f aca="false">(AO53+AF53+AI53+AH53+AG53+X53+R53+Q53+K53+J53)</f>
        <v>823</v>
      </c>
      <c r="AX53" s="16" t="n">
        <f aca="false">AW53/10</f>
        <v>82.3</v>
      </c>
      <c r="AY53" s="16" t="n">
        <f aca="false">AS53+AF53+AM53+AH53+AG53+AB53+V53+Q53+O53+J53</f>
        <v>835.7</v>
      </c>
      <c r="AZ53" s="16" t="n">
        <f aca="false">AT53+AF53+AN53+AH53+AG53+AC53+W53+Q53+P53+J53</f>
        <v>838</v>
      </c>
      <c r="BA53" s="16" t="n">
        <f aca="false">AY53/10</f>
        <v>83.57</v>
      </c>
      <c r="BB53" s="16" t="n">
        <f aca="false">AZ53/10</f>
        <v>83.8</v>
      </c>
      <c r="BC53" s="16" t="n">
        <v>2366</v>
      </c>
      <c r="BD53" s="16" t="n">
        <f aca="false">RANK(AX53,$AX$2:$AX$881,0)</f>
        <v>151</v>
      </c>
      <c r="BE53" s="54" t="n">
        <f aca="false">((BC53*100)/2400)*0.4+(AX53*0.6)</f>
        <v>88.8133333333333</v>
      </c>
      <c r="BF53" s="16" t="n">
        <f aca="false">RANK(BE53,$BE$2:$BE$881,0)</f>
        <v>144</v>
      </c>
      <c r="BG53" s="39" t="n">
        <f aca="false">RANK(BB53,$BB$2:$BB$881,0)</f>
        <v>128</v>
      </c>
      <c r="BH53" s="39" t="n">
        <f aca="false">RANK(BC53,$BC$2:$BC$881,0)</f>
        <v>319</v>
      </c>
      <c r="BI53" s="22" t="s">
        <v>130</v>
      </c>
      <c r="BJ53" s="22" t="s">
        <v>129</v>
      </c>
      <c r="BK53" s="40" t="s">
        <v>131</v>
      </c>
      <c r="BL53" s="41" t="n">
        <v>24</v>
      </c>
      <c r="BM53" s="41" t="n">
        <v>59</v>
      </c>
      <c r="BN53" s="41" t="n">
        <v>83</v>
      </c>
      <c r="BO53" s="42" t="n">
        <v>25</v>
      </c>
      <c r="BP53" s="43" t="n">
        <v>67</v>
      </c>
      <c r="BQ53" s="44" t="n">
        <v>92</v>
      </c>
      <c r="BR53" s="42" t="n">
        <v>25</v>
      </c>
      <c r="BS53" s="45" t="n">
        <v>58</v>
      </c>
      <c r="BT53" s="45" t="n">
        <v>83</v>
      </c>
      <c r="BU53" s="46" t="n">
        <v>100</v>
      </c>
      <c r="BV53" s="47" t="n">
        <v>96</v>
      </c>
      <c r="BW53" s="42" t="n">
        <v>98</v>
      </c>
      <c r="BX53" s="48" t="n">
        <v>98</v>
      </c>
      <c r="BY53" s="32" t="n">
        <v>27</v>
      </c>
      <c r="BZ53" s="32" t="n">
        <v>66</v>
      </c>
      <c r="CA53" s="32" t="n">
        <v>93</v>
      </c>
      <c r="CB53" s="32" t="n">
        <v>22</v>
      </c>
      <c r="CC53" s="32" t="n">
        <v>53</v>
      </c>
      <c r="CD53" s="32" t="n">
        <v>75</v>
      </c>
      <c r="CE53" s="32" t="n">
        <v>29</v>
      </c>
      <c r="CF53" s="32" t="n">
        <v>62</v>
      </c>
      <c r="CG53" s="32" t="n">
        <v>91</v>
      </c>
      <c r="CH53" s="32" t="n">
        <v>96</v>
      </c>
      <c r="CI53" s="32" t="n">
        <v>98</v>
      </c>
      <c r="CJ53" s="49" t="n">
        <v>28</v>
      </c>
      <c r="CK53" s="49" t="n">
        <v>63</v>
      </c>
      <c r="CL53" s="49" t="n">
        <v>91</v>
      </c>
      <c r="CM53" s="49" t="n">
        <v>29</v>
      </c>
      <c r="CN53" s="49" t="n">
        <v>55</v>
      </c>
      <c r="CO53" s="49" t="n">
        <v>84</v>
      </c>
      <c r="CP53" s="25" t="n">
        <f aca="false">BX53+BW53+BV53+BU53+BT53+BQ53+BN53</f>
        <v>650</v>
      </c>
      <c r="CQ53" s="25" t="n">
        <f aca="false">CO53+CL53+CI53+CH53+CG53+CD53+CA53</f>
        <v>628</v>
      </c>
      <c r="CR53" s="26" t="n">
        <f aca="false">CP53/7</f>
        <v>92.8571428571429</v>
      </c>
      <c r="CS53" s="26" t="n">
        <f aca="false">CQ53/7</f>
        <v>89.7142857142857</v>
      </c>
      <c r="CT53" s="24" t="n">
        <f aca="false">RANK(CR53,$CR$2:$CR$881,0)</f>
        <v>52</v>
      </c>
      <c r="CU53" s="25" t="n">
        <f aca="false">RANK(CS53,$CS$2:$CS$881,0)</f>
        <v>25</v>
      </c>
      <c r="CV53" s="26" t="n">
        <f aca="false">(CS53+CR53)/2</f>
        <v>91.2857142857143</v>
      </c>
      <c r="CW53" s="25" t="n">
        <f aca="false">RANK(CV53,$CV$2:$CV$881,0)</f>
        <v>33</v>
      </c>
      <c r="CX53" s="50" t="n">
        <f aca="false">(CV53+BB53)/2</f>
        <v>87.5428571428571</v>
      </c>
      <c r="CY53" s="50" t="n">
        <v>61</v>
      </c>
      <c r="CZ53" s="27" t="s">
        <v>132</v>
      </c>
      <c r="DA53" s="27" t="s">
        <v>153</v>
      </c>
      <c r="DB53" s="27" t="s">
        <v>153</v>
      </c>
      <c r="DC53" s="27" t="s">
        <v>134</v>
      </c>
      <c r="DD53" s="27" t="s">
        <v>160</v>
      </c>
      <c r="DE53" s="27" t="s">
        <v>161</v>
      </c>
      <c r="DF53" s="27" t="s">
        <v>162</v>
      </c>
      <c r="DG53" s="27" t="s">
        <v>134</v>
      </c>
      <c r="DH53" s="27" t="s">
        <v>135</v>
      </c>
      <c r="DI53" s="27" t="s">
        <v>177</v>
      </c>
      <c r="DJ53" s="27" t="s">
        <v>175</v>
      </c>
      <c r="DK53" s="27" t="s">
        <v>134</v>
      </c>
      <c r="DL53" s="27" t="s">
        <v>160</v>
      </c>
      <c r="DM53" s="27" t="s">
        <v>177</v>
      </c>
      <c r="DN53" s="27" t="s">
        <v>133</v>
      </c>
      <c r="DO53" s="27" t="s">
        <v>134</v>
      </c>
      <c r="DP53" s="27" t="s">
        <v>164</v>
      </c>
      <c r="DQ53" s="27" t="s">
        <v>152</v>
      </c>
      <c r="DR53" s="27" t="s">
        <v>170</v>
      </c>
      <c r="DS53" s="27" t="s">
        <v>134</v>
      </c>
      <c r="DT53" s="27" t="s">
        <v>146</v>
      </c>
      <c r="DU53" s="27" t="s">
        <v>163</v>
      </c>
      <c r="DV53" s="27" t="s">
        <v>139</v>
      </c>
      <c r="DW53" s="27" t="s">
        <v>154</v>
      </c>
      <c r="DX53" s="27" t="s">
        <v>187</v>
      </c>
      <c r="DY53" s="27" t="s">
        <v>162</v>
      </c>
      <c r="DZ53" s="27" t="n">
        <f aca="false">DY53+DV53+DR53+DN53+DJ53+DF53+DB53</f>
        <v>627</v>
      </c>
      <c r="EA53" s="28" t="n">
        <f aca="false">DZ53/7</f>
        <v>89.5714285714286</v>
      </c>
      <c r="EB53" s="27" t="n">
        <f aca="false">RANK(EA53,$EA$2:$EA$881,0)</f>
        <v>67</v>
      </c>
      <c r="EC53" s="29" t="n">
        <f aca="false">DZ53+CQ53+CP53+AZ53</f>
        <v>2743</v>
      </c>
      <c r="ED53" s="30" t="n">
        <f aca="false">(EA53+CV53+BB53)/3</f>
        <v>88.2190476190476</v>
      </c>
      <c r="EE53" s="51" t="n">
        <f aca="false">ROUND(BE53,3)</f>
        <v>88.813</v>
      </c>
      <c r="EF53" s="51" t="n">
        <f aca="false">ROUND(CR53,3)</f>
        <v>92.857</v>
      </c>
      <c r="EG53" s="51" t="n">
        <f aca="false">ROUND(CS53,3)</f>
        <v>89.714</v>
      </c>
      <c r="EH53" s="51" t="n">
        <f aca="false">ROUND(EA53,3)</f>
        <v>89.571</v>
      </c>
      <c r="EI53" s="51" t="n">
        <f aca="false">ROUND(ED53,3)</f>
        <v>88.219</v>
      </c>
      <c r="EJ53" s="51" t="n">
        <f aca="false">ROUND(CV53,3)</f>
        <v>91.286</v>
      </c>
      <c r="EK53" s="0" t="n">
        <f aca="false">RANK(EI53,$EI$2:$EI$881,0)</f>
        <v>52</v>
      </c>
    </row>
    <row r="54" customFormat="false" ht="15" hidden="false" customHeight="false" outlineLevel="0" collapsed="false">
      <c r="A54" s="4" t="n">
        <v>8757</v>
      </c>
      <c r="B54" s="4" t="n">
        <v>621</v>
      </c>
      <c r="C54" s="27" t="s">
        <v>335</v>
      </c>
      <c r="D54" s="31" t="n">
        <v>629</v>
      </c>
      <c r="E54" s="32" t="n">
        <v>230313940</v>
      </c>
      <c r="F54" s="8" t="s">
        <v>336</v>
      </c>
      <c r="G54" s="22" t="s">
        <v>297</v>
      </c>
      <c r="H54" s="22" t="s">
        <v>129</v>
      </c>
      <c r="I54" s="33" t="n">
        <v>2006</v>
      </c>
      <c r="J54" s="32" t="n">
        <v>97</v>
      </c>
      <c r="K54" s="32" t="n">
        <v>94</v>
      </c>
      <c r="L54" s="34" t="n">
        <f aca="false">(K54*70)/100</f>
        <v>65.8</v>
      </c>
      <c r="M54" s="34" t="n">
        <f aca="false">ROUNDUP(L54,0)</f>
        <v>66</v>
      </c>
      <c r="N54" s="32" t="n">
        <v>23</v>
      </c>
      <c r="O54" s="34" t="n">
        <f aca="false">N54+L54</f>
        <v>88.8</v>
      </c>
      <c r="P54" s="34" t="n">
        <f aca="false">N54+M54</f>
        <v>89</v>
      </c>
      <c r="Q54" s="32" t="n">
        <v>87</v>
      </c>
      <c r="R54" s="32" t="n">
        <v>90</v>
      </c>
      <c r="S54" s="34" t="n">
        <f aca="false">(R54*70)/100</f>
        <v>63</v>
      </c>
      <c r="T54" s="34" t="n">
        <f aca="false">ROUNDUP(S54,0)</f>
        <v>63</v>
      </c>
      <c r="U54" s="32" t="n">
        <v>19</v>
      </c>
      <c r="V54" s="34" t="n">
        <f aca="false">U54+S54</f>
        <v>82</v>
      </c>
      <c r="W54" s="34" t="n">
        <f aca="false">U54+T54</f>
        <v>82</v>
      </c>
      <c r="X54" s="32" t="n">
        <v>87</v>
      </c>
      <c r="Y54" s="34" t="n">
        <f aca="false">(X54*70)/100</f>
        <v>60.9</v>
      </c>
      <c r="Z54" s="34" t="n">
        <f aca="false">ROUNDUP(Y54,0)</f>
        <v>61</v>
      </c>
      <c r="AA54" s="32" t="n">
        <v>24</v>
      </c>
      <c r="AB54" s="34" t="n">
        <f aca="false">AA54+Y54</f>
        <v>84.9</v>
      </c>
      <c r="AC54" s="34" t="n">
        <f aca="false">AA54+Z54</f>
        <v>85</v>
      </c>
      <c r="AD54" s="32" t="n">
        <f aca="false">X54+R54+Q54+K54+J54</f>
        <v>455</v>
      </c>
      <c r="AE54" s="16" t="n">
        <f aca="false">AD54/5</f>
        <v>91</v>
      </c>
      <c r="AF54" s="16" t="n">
        <v>89</v>
      </c>
      <c r="AG54" s="16" t="n">
        <v>99</v>
      </c>
      <c r="AH54" s="16" t="n">
        <v>98</v>
      </c>
      <c r="AI54" s="16" t="n">
        <v>94</v>
      </c>
      <c r="AJ54" s="16" t="n">
        <f aca="false">(AI54*70)/100</f>
        <v>65.8</v>
      </c>
      <c r="AK54" s="35" t="n">
        <f aca="false">ROUNDUP(AJ54,0)</f>
        <v>66</v>
      </c>
      <c r="AL54" s="16" t="n">
        <v>26</v>
      </c>
      <c r="AM54" s="16" t="n">
        <f aca="false">AL54+AJ54</f>
        <v>91.8</v>
      </c>
      <c r="AN54" s="16" t="n">
        <f aca="false">AL54+AK54</f>
        <v>92</v>
      </c>
      <c r="AO54" s="16" t="n">
        <v>90</v>
      </c>
      <c r="AP54" s="36" t="n">
        <f aca="false">(AO54*70)/100</f>
        <v>63</v>
      </c>
      <c r="AQ54" s="37" t="n">
        <f aca="false">ROUNDUP(AP54,0)</f>
        <v>63</v>
      </c>
      <c r="AR54" s="16" t="n">
        <v>28</v>
      </c>
      <c r="AS54" s="16" t="n">
        <f aca="false">AR54+AP54</f>
        <v>91</v>
      </c>
      <c r="AT54" s="16" t="n">
        <f aca="false">AR54+AQ54</f>
        <v>91</v>
      </c>
      <c r="AU54" s="16" t="n">
        <f aca="false">AO54+AF54+AI54+AH54+AG54</f>
        <v>470</v>
      </c>
      <c r="AV54" s="16" t="n">
        <f aca="false">(AO54+AF54+AI54+AH54+AG54)/5</f>
        <v>94</v>
      </c>
      <c r="AW54" s="36" t="n">
        <f aca="false">(AO54+AF54+AI54+AH54+AG54+X54+R54+Q54+K54+J54)</f>
        <v>925</v>
      </c>
      <c r="AX54" s="16" t="n">
        <f aca="false">AW54/10</f>
        <v>92.5</v>
      </c>
      <c r="AY54" s="16" t="n">
        <f aca="false">AS54+AF54+AM54+AH54+AG54+AB54+V54+Q54+O54+J54</f>
        <v>908.5</v>
      </c>
      <c r="AZ54" s="16" t="n">
        <f aca="false">AT54+AF54+AN54+AH54+AG54+AC54+W54+Q54+P54+J54</f>
        <v>909</v>
      </c>
      <c r="BA54" s="16" t="n">
        <f aca="false">AY54/10</f>
        <v>90.85</v>
      </c>
      <c r="BB54" s="16" t="n">
        <f aca="false">AZ54/10</f>
        <v>90.9</v>
      </c>
      <c r="BC54" s="16" t="n">
        <v>2359</v>
      </c>
      <c r="BD54" s="16" t="n">
        <f aca="false">RANK(AX54,$AX$2:$AX$881,0)</f>
        <v>5</v>
      </c>
      <c r="BE54" s="38" t="n">
        <f aca="false">((BC54*100)/2400)*0.4+(AX54*0.6)</f>
        <v>94.8166666666667</v>
      </c>
      <c r="BF54" s="16" t="n">
        <f aca="false">RANK(BE54,$BE$2:$BE$881,0)</f>
        <v>8</v>
      </c>
      <c r="BG54" s="39" t="n">
        <f aca="false">RANK(BB54,$BB$2:$BB$881,0)</f>
        <v>13</v>
      </c>
      <c r="BH54" s="39" t="n">
        <f aca="false">RANK(BC54,$BC$2:$BC$881,0)</f>
        <v>414</v>
      </c>
      <c r="BI54" s="22" t="s">
        <v>130</v>
      </c>
      <c r="BJ54" s="22" t="s">
        <v>129</v>
      </c>
      <c r="BK54" s="40" t="s">
        <v>131</v>
      </c>
      <c r="BL54" s="41" t="n">
        <v>21</v>
      </c>
      <c r="BM54" s="41" t="n">
        <v>58</v>
      </c>
      <c r="BN54" s="41" t="n">
        <v>79</v>
      </c>
      <c r="BO54" s="42" t="n">
        <v>24</v>
      </c>
      <c r="BP54" s="43" t="n">
        <v>66</v>
      </c>
      <c r="BQ54" s="44" t="n">
        <v>90</v>
      </c>
      <c r="BR54" s="42" t="n">
        <v>23</v>
      </c>
      <c r="BS54" s="45" t="n">
        <v>58</v>
      </c>
      <c r="BT54" s="45" t="n">
        <v>81</v>
      </c>
      <c r="BU54" s="46" t="n">
        <v>100</v>
      </c>
      <c r="BV54" s="47" t="n">
        <v>88</v>
      </c>
      <c r="BW54" s="42" t="n">
        <v>99</v>
      </c>
      <c r="BX54" s="48" t="n">
        <v>98</v>
      </c>
      <c r="BY54" s="32" t="n">
        <v>27</v>
      </c>
      <c r="BZ54" s="32" t="n">
        <v>55</v>
      </c>
      <c r="CA54" s="32" t="n">
        <v>82</v>
      </c>
      <c r="CB54" s="32" t="n">
        <v>22</v>
      </c>
      <c r="CC54" s="32" t="n">
        <v>41</v>
      </c>
      <c r="CD54" s="32" t="n">
        <v>63</v>
      </c>
      <c r="CE54" s="32" t="n">
        <v>23</v>
      </c>
      <c r="CF54" s="32" t="n">
        <v>60</v>
      </c>
      <c r="CG54" s="32" t="n">
        <v>83</v>
      </c>
      <c r="CH54" s="32" t="n">
        <v>98</v>
      </c>
      <c r="CI54" s="32" t="n">
        <v>99</v>
      </c>
      <c r="CJ54" s="49" t="n">
        <v>21</v>
      </c>
      <c r="CK54" s="49" t="n">
        <v>50</v>
      </c>
      <c r="CL54" s="49" t="n">
        <v>71</v>
      </c>
      <c r="CM54" s="49" t="n">
        <v>25</v>
      </c>
      <c r="CN54" s="49" t="n">
        <v>54</v>
      </c>
      <c r="CO54" s="49" t="n">
        <v>79</v>
      </c>
      <c r="CP54" s="25" t="n">
        <f aca="false">BX54+BW54+BV54+BU54+BT54+BQ54+BN54</f>
        <v>635</v>
      </c>
      <c r="CQ54" s="25" t="n">
        <f aca="false">CO54+CL54+CI54+CH54+CG54+CD54+CA54</f>
        <v>575</v>
      </c>
      <c r="CR54" s="26" t="n">
        <f aca="false">CP54/7</f>
        <v>90.7142857142857</v>
      </c>
      <c r="CS54" s="26" t="n">
        <f aca="false">CQ54/7</f>
        <v>82.1428571428571</v>
      </c>
      <c r="CT54" s="24" t="n">
        <f aca="false">RANK(CR54,$CR$2:$CR$881,0)</f>
        <v>140</v>
      </c>
      <c r="CU54" s="25" t="n">
        <f aca="false">RANK(CS54,$CS$2:$CS$881,0)</f>
        <v>188</v>
      </c>
      <c r="CV54" s="26" t="n">
        <f aca="false">(CS54+CR54)/2</f>
        <v>86.4285714285714</v>
      </c>
      <c r="CW54" s="25" t="n">
        <f aca="false">RANK(CV54,$CV$2:$CV$881,0)</f>
        <v>162</v>
      </c>
      <c r="CX54" s="50" t="n">
        <f aca="false">(CV54+BB54)/2</f>
        <v>88.6642857142857</v>
      </c>
      <c r="CY54" s="50" t="n">
        <v>39</v>
      </c>
      <c r="CZ54" s="27" t="s">
        <v>132</v>
      </c>
      <c r="DA54" s="27" t="s">
        <v>175</v>
      </c>
      <c r="DB54" s="27" t="s">
        <v>175</v>
      </c>
      <c r="DC54" s="27" t="s">
        <v>134</v>
      </c>
      <c r="DD54" s="27" t="s">
        <v>137</v>
      </c>
      <c r="DE54" s="27" t="s">
        <v>161</v>
      </c>
      <c r="DF54" s="27" t="s">
        <v>178</v>
      </c>
      <c r="DG54" s="27" t="s">
        <v>134</v>
      </c>
      <c r="DH54" s="27" t="s">
        <v>154</v>
      </c>
      <c r="DI54" s="27" t="s">
        <v>152</v>
      </c>
      <c r="DJ54" s="27" t="s">
        <v>178</v>
      </c>
      <c r="DK54" s="27" t="s">
        <v>134</v>
      </c>
      <c r="DL54" s="27" t="s">
        <v>164</v>
      </c>
      <c r="DM54" s="27" t="s">
        <v>136</v>
      </c>
      <c r="DN54" s="27" t="s">
        <v>153</v>
      </c>
      <c r="DO54" s="27" t="s">
        <v>134</v>
      </c>
      <c r="DP54" s="27" t="s">
        <v>154</v>
      </c>
      <c r="DQ54" s="27" t="s">
        <v>220</v>
      </c>
      <c r="DR54" s="27" t="s">
        <v>272</v>
      </c>
      <c r="DS54" s="27" t="s">
        <v>134</v>
      </c>
      <c r="DT54" s="27" t="s">
        <v>137</v>
      </c>
      <c r="DU54" s="27" t="s">
        <v>203</v>
      </c>
      <c r="DV54" s="27" t="s">
        <v>133</v>
      </c>
      <c r="DW54" s="27" t="s">
        <v>164</v>
      </c>
      <c r="DX54" s="27" t="s">
        <v>143</v>
      </c>
      <c r="DY54" s="27" t="s">
        <v>139</v>
      </c>
      <c r="DZ54" s="27" t="n">
        <f aca="false">DY54+DV54+DR54+DN54+DJ54+DF54+DB54</f>
        <v>611</v>
      </c>
      <c r="EA54" s="28" t="n">
        <f aca="false">DZ54/7</f>
        <v>87.2857142857143</v>
      </c>
      <c r="EB54" s="27" t="n">
        <f aca="false">RANK(EA54,$EA$2:$EA$881,0)</f>
        <v>112</v>
      </c>
      <c r="EC54" s="29" t="n">
        <f aca="false">DZ54+CQ54+CP54+AZ54</f>
        <v>2730</v>
      </c>
      <c r="ED54" s="30" t="n">
        <f aca="false">(EA54+CV54+BB54)/3</f>
        <v>88.2047619047619</v>
      </c>
      <c r="EE54" s="51" t="n">
        <f aca="false">ROUND(BE54,3)</f>
        <v>94.817</v>
      </c>
      <c r="EF54" s="51" t="n">
        <f aca="false">ROUND(CR54,3)</f>
        <v>90.714</v>
      </c>
      <c r="EG54" s="51" t="n">
        <f aca="false">ROUND(CS54,3)</f>
        <v>82.143</v>
      </c>
      <c r="EH54" s="51" t="n">
        <f aca="false">ROUND(EA54,3)</f>
        <v>87.286</v>
      </c>
      <c r="EI54" s="51" t="n">
        <f aca="false">ROUND(ED54,3)</f>
        <v>88.205</v>
      </c>
      <c r="EJ54" s="51" t="n">
        <f aca="false">ROUND(CV54,3)</f>
        <v>86.429</v>
      </c>
      <c r="EK54" s="0" t="n">
        <f aca="false">RANK(EI54,$EI$2:$EI$881,0)</f>
        <v>53</v>
      </c>
    </row>
    <row r="55" customFormat="false" ht="15" hidden="false" customHeight="false" outlineLevel="0" collapsed="false">
      <c r="A55" s="4" t="n">
        <v>8746</v>
      </c>
      <c r="B55" s="4" t="n">
        <v>187</v>
      </c>
      <c r="C55" s="27" t="s">
        <v>337</v>
      </c>
      <c r="D55" s="31" t="n">
        <v>188</v>
      </c>
      <c r="E55" s="32" t="n">
        <v>230322628</v>
      </c>
      <c r="F55" s="8" t="s">
        <v>338</v>
      </c>
      <c r="G55" s="22" t="s">
        <v>339</v>
      </c>
      <c r="H55" s="22" t="s">
        <v>129</v>
      </c>
      <c r="I55" s="33" t="n">
        <v>2005</v>
      </c>
      <c r="J55" s="32" t="n">
        <v>83</v>
      </c>
      <c r="K55" s="32" t="n">
        <v>84</v>
      </c>
      <c r="L55" s="34" t="n">
        <f aca="false">(K55*70)/100</f>
        <v>58.8</v>
      </c>
      <c r="M55" s="34" t="n">
        <f aca="false">ROUNDUP(L55,0)</f>
        <v>59</v>
      </c>
      <c r="N55" s="32" t="n">
        <v>29</v>
      </c>
      <c r="O55" s="34" t="n">
        <f aca="false">N55+L55</f>
        <v>87.8</v>
      </c>
      <c r="P55" s="34" t="n">
        <f aca="false">N55+M55</f>
        <v>88</v>
      </c>
      <c r="Q55" s="32" t="n">
        <v>90</v>
      </c>
      <c r="R55" s="32" t="n">
        <v>83</v>
      </c>
      <c r="S55" s="34" t="n">
        <f aca="false">(R55*70)/100</f>
        <v>58.1</v>
      </c>
      <c r="T55" s="34" t="n">
        <f aca="false">ROUNDUP(S55,0)</f>
        <v>59</v>
      </c>
      <c r="U55" s="32" t="n">
        <v>22</v>
      </c>
      <c r="V55" s="34" t="n">
        <f aca="false">U55+S55</f>
        <v>80.1</v>
      </c>
      <c r="W55" s="34" t="n">
        <f aca="false">U55+T55</f>
        <v>81</v>
      </c>
      <c r="X55" s="32" t="n">
        <v>81</v>
      </c>
      <c r="Y55" s="34" t="n">
        <f aca="false">(X55*70)/100</f>
        <v>56.7</v>
      </c>
      <c r="Z55" s="34" t="n">
        <f aca="false">ROUNDUP(Y55,0)</f>
        <v>57</v>
      </c>
      <c r="AA55" s="32" t="n">
        <v>28</v>
      </c>
      <c r="AB55" s="34" t="n">
        <f aca="false">AA55+Y55</f>
        <v>84.7</v>
      </c>
      <c r="AC55" s="34" t="n">
        <f aca="false">AA55+Z55</f>
        <v>85</v>
      </c>
      <c r="AD55" s="32" t="n">
        <f aca="false">X55+R55+Q55+K55+J55</f>
        <v>421</v>
      </c>
      <c r="AE55" s="16" t="n">
        <f aca="false">AD55/5</f>
        <v>84.2</v>
      </c>
      <c r="AF55" s="16" t="n">
        <v>81</v>
      </c>
      <c r="AG55" s="16" t="n">
        <v>84</v>
      </c>
      <c r="AH55" s="16" t="n">
        <v>96</v>
      </c>
      <c r="AI55" s="16" t="n">
        <v>94</v>
      </c>
      <c r="AJ55" s="16" t="n">
        <f aca="false">(AI55*70)/100</f>
        <v>65.8</v>
      </c>
      <c r="AK55" s="35" t="n">
        <f aca="false">ROUNDUP(AJ55,0)</f>
        <v>66</v>
      </c>
      <c r="AL55" s="16" t="n">
        <v>26</v>
      </c>
      <c r="AM55" s="16" t="n">
        <f aca="false">AL55+AJ55</f>
        <v>91.8</v>
      </c>
      <c r="AN55" s="16" t="n">
        <f aca="false">AL55+AK55</f>
        <v>92</v>
      </c>
      <c r="AO55" s="16" t="n">
        <v>75</v>
      </c>
      <c r="AP55" s="36" t="n">
        <f aca="false">(AO55*70)/100</f>
        <v>52.5</v>
      </c>
      <c r="AQ55" s="37" t="n">
        <f aca="false">ROUNDUP(AP55,0)</f>
        <v>53</v>
      </c>
      <c r="AR55" s="16" t="n">
        <v>26</v>
      </c>
      <c r="AS55" s="16" t="n">
        <f aca="false">AR55+AP55</f>
        <v>78.5</v>
      </c>
      <c r="AT55" s="16" t="n">
        <f aca="false">AR55+AQ55</f>
        <v>79</v>
      </c>
      <c r="AU55" s="16" t="n">
        <f aca="false">AO55+AF55+AI55+AH55+AG55</f>
        <v>430</v>
      </c>
      <c r="AV55" s="16" t="n">
        <f aca="false">(AO55+AF55+AI55+AH55+AG55)/5</f>
        <v>86</v>
      </c>
      <c r="AW55" s="36" t="n">
        <f aca="false">(AO55+AF55+AI55+AH55+AG55+X55+R55+Q55+K55+J55)</f>
        <v>851</v>
      </c>
      <c r="AX55" s="16" t="n">
        <f aca="false">AW55/10</f>
        <v>85.1</v>
      </c>
      <c r="AY55" s="16" t="n">
        <f aca="false">AS55+AF55+AM55+AH55+AG55+AB55+V55+Q55+O55+J55</f>
        <v>856.9</v>
      </c>
      <c r="AZ55" s="16" t="n">
        <f aca="false">AT55+AF55+AN55+AH55+AG55+AC55+W55+Q55+P55+J55</f>
        <v>859</v>
      </c>
      <c r="BA55" s="16" t="n">
        <f aca="false">AY55/10</f>
        <v>85.69</v>
      </c>
      <c r="BB55" s="16" t="n">
        <f aca="false">AZ55/10</f>
        <v>85.9</v>
      </c>
      <c r="BC55" s="16" t="n">
        <v>2387</v>
      </c>
      <c r="BD55" s="16" t="n">
        <f aca="false">RANK(AX55,$AX$2:$AX$881,0)</f>
        <v>88</v>
      </c>
      <c r="BE55" s="38" t="n">
        <f aca="false">((BC55*100)/2400)*0.4+(AX55*0.6)</f>
        <v>90.8433333333333</v>
      </c>
      <c r="BF55" s="16" t="n">
        <f aca="false">RANK(BE55,$BE$2:$BE$881,0)</f>
        <v>81</v>
      </c>
      <c r="BG55" s="39" t="n">
        <f aca="false">RANK(BB55,$BB$2:$BB$881,0)</f>
        <v>85</v>
      </c>
      <c r="BH55" s="39" t="n">
        <f aca="false">RANK(BC55,$BC$2:$BC$881,0)</f>
        <v>76</v>
      </c>
      <c r="BI55" s="22" t="s">
        <v>130</v>
      </c>
      <c r="BJ55" s="22" t="s">
        <v>129</v>
      </c>
      <c r="BK55" s="40" t="s">
        <v>131</v>
      </c>
      <c r="BL55" s="41" t="n">
        <v>21</v>
      </c>
      <c r="BM55" s="41" t="n">
        <v>62</v>
      </c>
      <c r="BN55" s="41" t="n">
        <v>83</v>
      </c>
      <c r="BO55" s="42" t="n">
        <v>28</v>
      </c>
      <c r="BP55" s="43" t="n">
        <v>62</v>
      </c>
      <c r="BQ55" s="44" t="n">
        <v>90</v>
      </c>
      <c r="BR55" s="42" t="n">
        <v>22</v>
      </c>
      <c r="BS55" s="45" t="n">
        <v>64</v>
      </c>
      <c r="BT55" s="45" t="n">
        <v>86</v>
      </c>
      <c r="BU55" s="46" t="n">
        <v>100</v>
      </c>
      <c r="BV55" s="47" t="n">
        <v>86</v>
      </c>
      <c r="BW55" s="42" t="n">
        <v>100</v>
      </c>
      <c r="BX55" s="48" t="n">
        <v>94</v>
      </c>
      <c r="BY55" s="32" t="n">
        <v>27</v>
      </c>
      <c r="BZ55" s="32" t="n">
        <v>55</v>
      </c>
      <c r="CA55" s="32" t="n">
        <v>82</v>
      </c>
      <c r="CB55" s="32" t="n">
        <v>24</v>
      </c>
      <c r="CC55" s="32" t="n">
        <v>48</v>
      </c>
      <c r="CD55" s="32" t="n">
        <v>72</v>
      </c>
      <c r="CE55" s="32" t="n">
        <v>25</v>
      </c>
      <c r="CF55" s="32" t="n">
        <v>59</v>
      </c>
      <c r="CG55" s="32" t="n">
        <v>84</v>
      </c>
      <c r="CH55" s="32" t="n">
        <v>99</v>
      </c>
      <c r="CI55" s="32" t="n">
        <v>99</v>
      </c>
      <c r="CJ55" s="49" t="n">
        <v>23</v>
      </c>
      <c r="CK55" s="49" t="n">
        <v>54</v>
      </c>
      <c r="CL55" s="49" t="n">
        <v>77</v>
      </c>
      <c r="CM55" s="49" t="n">
        <v>25</v>
      </c>
      <c r="CN55" s="49" t="n">
        <v>52</v>
      </c>
      <c r="CO55" s="49" t="n">
        <v>77</v>
      </c>
      <c r="CP55" s="25" t="n">
        <f aca="false">BX55+BW55+BV55+BU55+BT55+BQ55+BN55</f>
        <v>639</v>
      </c>
      <c r="CQ55" s="25" t="n">
        <f aca="false">CO55+CL55+CI55+CH55+CG55+CD55+CA55</f>
        <v>590</v>
      </c>
      <c r="CR55" s="26" t="n">
        <f aca="false">CP55/7</f>
        <v>91.2857142857143</v>
      </c>
      <c r="CS55" s="26" t="n">
        <f aca="false">CQ55/7</f>
        <v>84.2857142857143</v>
      </c>
      <c r="CT55" s="24" t="n">
        <f aca="false">RANK(CR55,$CR$2:$CR$881,0)</f>
        <v>114</v>
      </c>
      <c r="CU55" s="25" t="n">
        <f aca="false">RANK(CS55,$CS$2:$CS$881,0)</f>
        <v>115</v>
      </c>
      <c r="CV55" s="26" t="n">
        <f aca="false">(CS55+CR55)/2</f>
        <v>87.7857142857143</v>
      </c>
      <c r="CW55" s="25" t="n">
        <f aca="false">RANK(CV55,$CV$2:$CV$881,0)</f>
        <v>99</v>
      </c>
      <c r="CX55" s="50" t="n">
        <f aca="false">(CV55+BB55)/2</f>
        <v>86.8428571428572</v>
      </c>
      <c r="CY55" s="50" t="n">
        <v>82</v>
      </c>
      <c r="CZ55" s="27" t="s">
        <v>132</v>
      </c>
      <c r="DA55" s="27" t="s">
        <v>176</v>
      </c>
      <c r="DB55" s="27" t="s">
        <v>176</v>
      </c>
      <c r="DC55" s="27" t="s">
        <v>134</v>
      </c>
      <c r="DD55" s="27" t="s">
        <v>135</v>
      </c>
      <c r="DE55" s="27" t="s">
        <v>203</v>
      </c>
      <c r="DF55" s="27" t="s">
        <v>178</v>
      </c>
      <c r="DG55" s="27" t="s">
        <v>134</v>
      </c>
      <c r="DH55" s="27" t="s">
        <v>160</v>
      </c>
      <c r="DI55" s="27" t="s">
        <v>163</v>
      </c>
      <c r="DJ55" s="27" t="s">
        <v>151</v>
      </c>
      <c r="DK55" s="27" t="s">
        <v>134</v>
      </c>
      <c r="DL55" s="27" t="s">
        <v>164</v>
      </c>
      <c r="DM55" s="27" t="s">
        <v>177</v>
      </c>
      <c r="DN55" s="27" t="s">
        <v>178</v>
      </c>
      <c r="DO55" s="27" t="s">
        <v>134</v>
      </c>
      <c r="DP55" s="27" t="s">
        <v>135</v>
      </c>
      <c r="DQ55" s="27" t="s">
        <v>203</v>
      </c>
      <c r="DR55" s="27" t="s">
        <v>178</v>
      </c>
      <c r="DS55" s="27" t="s">
        <v>134</v>
      </c>
      <c r="DT55" s="27" t="s">
        <v>146</v>
      </c>
      <c r="DU55" s="27" t="s">
        <v>203</v>
      </c>
      <c r="DV55" s="27" t="s">
        <v>176</v>
      </c>
      <c r="DW55" s="27" t="s">
        <v>160</v>
      </c>
      <c r="DX55" s="27" t="s">
        <v>155</v>
      </c>
      <c r="DY55" s="27" t="s">
        <v>145</v>
      </c>
      <c r="DZ55" s="27" t="n">
        <f aca="false">DY55+DV55+DR55+DN55+DJ55+DF55+DB55</f>
        <v>636</v>
      </c>
      <c r="EA55" s="28" t="n">
        <f aca="false">DZ55/7</f>
        <v>90.8571428571429</v>
      </c>
      <c r="EB55" s="27" t="n">
        <f aca="false">RANK(EA55,$EA$2:$EA$881,0)</f>
        <v>42</v>
      </c>
      <c r="EC55" s="29" t="n">
        <f aca="false">DZ55+CQ55+CP55+AZ55</f>
        <v>2724</v>
      </c>
      <c r="ED55" s="30" t="n">
        <f aca="false">(EA55+CV55+BB55)/3</f>
        <v>88.1809523809524</v>
      </c>
      <c r="EE55" s="51" t="n">
        <f aca="false">ROUND(BE55,3)</f>
        <v>90.843</v>
      </c>
      <c r="EF55" s="51" t="n">
        <f aca="false">ROUND(CR55,3)</f>
        <v>91.286</v>
      </c>
      <c r="EG55" s="51" t="n">
        <f aca="false">ROUND(CS55,3)</f>
        <v>84.286</v>
      </c>
      <c r="EH55" s="51" t="n">
        <f aca="false">ROUND(EA55,3)</f>
        <v>90.857</v>
      </c>
      <c r="EI55" s="51" t="n">
        <f aca="false">ROUND(ED55,3)</f>
        <v>88.181</v>
      </c>
      <c r="EJ55" s="51" t="n">
        <f aca="false">ROUND(CV55,3)</f>
        <v>87.786</v>
      </c>
      <c r="EK55" s="0" t="n">
        <f aca="false">RANK(EI55,$EI$2:$EI$881,0)</f>
        <v>54</v>
      </c>
    </row>
    <row r="56" customFormat="false" ht="15" hidden="false" customHeight="false" outlineLevel="0" collapsed="false">
      <c r="A56" s="4" t="n">
        <v>8875</v>
      </c>
      <c r="B56" s="4" t="n">
        <v>355</v>
      </c>
      <c r="C56" s="27" t="s">
        <v>340</v>
      </c>
      <c r="D56" s="31" t="n">
        <v>360</v>
      </c>
      <c r="E56" s="32" t="n">
        <v>230320596</v>
      </c>
      <c r="F56" s="8" t="s">
        <v>341</v>
      </c>
      <c r="G56" s="22" t="s">
        <v>342</v>
      </c>
      <c r="H56" s="22" t="s">
        <v>129</v>
      </c>
      <c r="I56" s="33" t="n">
        <v>2005</v>
      </c>
      <c r="J56" s="32" t="n">
        <v>77</v>
      </c>
      <c r="K56" s="32" t="n">
        <v>87</v>
      </c>
      <c r="L56" s="34" t="n">
        <f aca="false">(K56*70)/100</f>
        <v>60.9</v>
      </c>
      <c r="M56" s="34" t="n">
        <f aca="false">ROUNDUP(L56,0)</f>
        <v>61</v>
      </c>
      <c r="N56" s="32" t="n">
        <v>28</v>
      </c>
      <c r="O56" s="34" t="n">
        <f aca="false">N56+L56</f>
        <v>88.9</v>
      </c>
      <c r="P56" s="34" t="n">
        <f aca="false">N56+M56</f>
        <v>89</v>
      </c>
      <c r="Q56" s="32" t="n">
        <v>79</v>
      </c>
      <c r="R56" s="32" t="n">
        <v>85</v>
      </c>
      <c r="S56" s="34" t="n">
        <f aca="false">(R56*70)/100</f>
        <v>59.5</v>
      </c>
      <c r="T56" s="34" t="n">
        <f aca="false">ROUNDUP(S56,0)</f>
        <v>60</v>
      </c>
      <c r="U56" s="32" t="n">
        <v>24</v>
      </c>
      <c r="V56" s="34" t="n">
        <f aca="false">U56+S56</f>
        <v>83.5</v>
      </c>
      <c r="W56" s="34" t="n">
        <f aca="false">U56+T56</f>
        <v>84</v>
      </c>
      <c r="X56" s="32" t="n">
        <v>84</v>
      </c>
      <c r="Y56" s="34" t="n">
        <f aca="false">(X56*70)/100</f>
        <v>58.8</v>
      </c>
      <c r="Z56" s="34" t="n">
        <f aca="false">ROUNDUP(Y56,0)</f>
        <v>59</v>
      </c>
      <c r="AA56" s="32" t="n">
        <v>27</v>
      </c>
      <c r="AB56" s="34" t="n">
        <f aca="false">AA56+Y56</f>
        <v>85.8</v>
      </c>
      <c r="AC56" s="34" t="n">
        <f aca="false">AA56+Z56</f>
        <v>86</v>
      </c>
      <c r="AD56" s="32" t="n">
        <f aca="false">X56+R56+Q56+K56+J56</f>
        <v>412</v>
      </c>
      <c r="AE56" s="16" t="n">
        <f aca="false">AD56/5</f>
        <v>82.4</v>
      </c>
      <c r="AF56" s="16" t="n">
        <v>78</v>
      </c>
      <c r="AG56" s="16" t="n">
        <v>79</v>
      </c>
      <c r="AH56" s="16" t="n">
        <v>93</v>
      </c>
      <c r="AI56" s="16" t="n">
        <v>95</v>
      </c>
      <c r="AJ56" s="16" t="n">
        <f aca="false">(AI56*70)/100</f>
        <v>66.5</v>
      </c>
      <c r="AK56" s="35" t="n">
        <f aca="false">ROUNDUP(AJ56,0)</f>
        <v>67</v>
      </c>
      <c r="AL56" s="16" t="n">
        <v>27</v>
      </c>
      <c r="AM56" s="16" t="n">
        <f aca="false">AL56+AJ56</f>
        <v>93.5</v>
      </c>
      <c r="AN56" s="16" t="n">
        <f aca="false">AL56+AK56</f>
        <v>94</v>
      </c>
      <c r="AO56" s="16" t="n">
        <v>70</v>
      </c>
      <c r="AP56" s="36" t="n">
        <f aca="false">(AO56*70)/100</f>
        <v>49</v>
      </c>
      <c r="AQ56" s="37" t="n">
        <f aca="false">ROUNDUP(AP56,0)</f>
        <v>49</v>
      </c>
      <c r="AR56" s="16" t="n">
        <v>28</v>
      </c>
      <c r="AS56" s="16" t="n">
        <f aca="false">AR56+AP56</f>
        <v>77</v>
      </c>
      <c r="AT56" s="16" t="n">
        <f aca="false">AR56+AQ56</f>
        <v>77</v>
      </c>
      <c r="AU56" s="16" t="n">
        <f aca="false">AO56+AF56+AI56+AH56+AG56</f>
        <v>415</v>
      </c>
      <c r="AV56" s="16" t="n">
        <f aca="false">(AO56+AF56+AI56+AH56+AG56)/5</f>
        <v>83</v>
      </c>
      <c r="AW56" s="36" t="n">
        <f aca="false">(AO56+AF56+AI56+AH56+AG56+X56+R56+Q56+K56+J56)</f>
        <v>827</v>
      </c>
      <c r="AX56" s="16" t="n">
        <f aca="false">AW56/10</f>
        <v>82.7</v>
      </c>
      <c r="AY56" s="16" t="n">
        <f aca="false">AS56+AF56+AM56+AH56+AG56+AB56+V56+Q56+O56+J56</f>
        <v>834.7</v>
      </c>
      <c r="AZ56" s="16" t="n">
        <f aca="false">AT56+AF56+AN56+AH56+AG56+AC56+W56+Q56+P56+J56</f>
        <v>836</v>
      </c>
      <c r="BA56" s="16" t="n">
        <f aca="false">AY56/10</f>
        <v>83.47</v>
      </c>
      <c r="BB56" s="16" t="n">
        <f aca="false">AZ56/10</f>
        <v>83.6</v>
      </c>
      <c r="BC56" s="16" t="n">
        <v>2370</v>
      </c>
      <c r="BD56" s="16" t="n">
        <f aca="false">RANK(AX56,$AX$2:$AX$881,0)</f>
        <v>134</v>
      </c>
      <c r="BE56" s="54" t="n">
        <f aca="false">((BC56*100)/2400)*0.4+(AX56*0.6)</f>
        <v>89.12</v>
      </c>
      <c r="BF56" s="16" t="n">
        <f aca="false">RANK(BE56,$BE$2:$BE$881,0)</f>
        <v>132</v>
      </c>
      <c r="BG56" s="39" t="n">
        <f aca="false">RANK(BB56,$BB$2:$BB$881,0)</f>
        <v>138</v>
      </c>
      <c r="BH56" s="39" t="n">
        <f aca="false">RANK(BC56,$BC$2:$BC$881,0)</f>
        <v>268</v>
      </c>
      <c r="BI56" s="22" t="s">
        <v>130</v>
      </c>
      <c r="BJ56" s="22" t="s">
        <v>129</v>
      </c>
      <c r="BK56" s="40" t="s">
        <v>131</v>
      </c>
      <c r="BL56" s="41" t="n">
        <v>26</v>
      </c>
      <c r="BM56" s="41" t="n">
        <v>64</v>
      </c>
      <c r="BN56" s="41" t="n">
        <v>90</v>
      </c>
      <c r="BO56" s="42" t="n">
        <v>25</v>
      </c>
      <c r="BP56" s="43" t="n">
        <v>65</v>
      </c>
      <c r="BQ56" s="44" t="n">
        <v>90</v>
      </c>
      <c r="BR56" s="42" t="n">
        <v>26</v>
      </c>
      <c r="BS56" s="45" t="n">
        <v>61</v>
      </c>
      <c r="BT56" s="45" t="n">
        <v>87</v>
      </c>
      <c r="BU56" s="46" t="n">
        <v>100</v>
      </c>
      <c r="BV56" s="47" t="n">
        <v>90</v>
      </c>
      <c r="BW56" s="42" t="n">
        <v>98</v>
      </c>
      <c r="BX56" s="48" t="n">
        <v>92</v>
      </c>
      <c r="BY56" s="32" t="n">
        <v>28</v>
      </c>
      <c r="BZ56" s="32" t="n">
        <v>64</v>
      </c>
      <c r="CA56" s="32" t="n">
        <v>92</v>
      </c>
      <c r="CB56" s="32" t="n">
        <v>25</v>
      </c>
      <c r="CC56" s="32" t="n">
        <v>55</v>
      </c>
      <c r="CD56" s="32" t="n">
        <v>80</v>
      </c>
      <c r="CE56" s="32" t="n">
        <v>28</v>
      </c>
      <c r="CF56" s="32" t="n">
        <v>62</v>
      </c>
      <c r="CG56" s="32" t="n">
        <v>90</v>
      </c>
      <c r="CH56" s="32" t="n">
        <v>93</v>
      </c>
      <c r="CI56" s="32" t="n">
        <v>99</v>
      </c>
      <c r="CJ56" s="49" t="n">
        <v>28</v>
      </c>
      <c r="CK56" s="49" t="n">
        <v>61</v>
      </c>
      <c r="CL56" s="49" t="n">
        <v>89</v>
      </c>
      <c r="CM56" s="49" t="n">
        <v>25</v>
      </c>
      <c r="CN56" s="49" t="n">
        <v>56</v>
      </c>
      <c r="CO56" s="49" t="n">
        <v>81</v>
      </c>
      <c r="CP56" s="25" t="n">
        <f aca="false">BX56+BW56+BV56+BU56+BT56+BQ56+BN56</f>
        <v>647</v>
      </c>
      <c r="CQ56" s="25" t="n">
        <f aca="false">CO56+CL56+CI56+CH56+CG56+CD56+CA56</f>
        <v>624</v>
      </c>
      <c r="CR56" s="26" t="n">
        <f aca="false">CP56/7</f>
        <v>92.4285714285714</v>
      </c>
      <c r="CS56" s="26" t="n">
        <f aca="false">CQ56/7</f>
        <v>89.1428571428571</v>
      </c>
      <c r="CT56" s="24" t="n">
        <f aca="false">RANK(CR56,$CR$2:$CR$881,0)</f>
        <v>74</v>
      </c>
      <c r="CU56" s="25" t="n">
        <f aca="false">RANK(CS56,$CS$2:$CS$881,0)</f>
        <v>33</v>
      </c>
      <c r="CV56" s="26" t="n">
        <f aca="false">(CS56+CR56)/2</f>
        <v>90.7857142857143</v>
      </c>
      <c r="CW56" s="25" t="n">
        <f aca="false">RANK(CV56,$CV$2:$CV$881,0)</f>
        <v>46</v>
      </c>
      <c r="CX56" s="50" t="n">
        <f aca="false">(CV56+BB56)/2</f>
        <v>87.1928571428571</v>
      </c>
      <c r="CY56" s="50" t="n">
        <v>70</v>
      </c>
      <c r="CZ56" s="27" t="s">
        <v>132</v>
      </c>
      <c r="DA56" s="27" t="s">
        <v>176</v>
      </c>
      <c r="DB56" s="27" t="s">
        <v>176</v>
      </c>
      <c r="DC56" s="27" t="s">
        <v>134</v>
      </c>
      <c r="DD56" s="27" t="s">
        <v>140</v>
      </c>
      <c r="DE56" s="27" t="s">
        <v>203</v>
      </c>
      <c r="DF56" s="27" t="s">
        <v>170</v>
      </c>
      <c r="DG56" s="27" t="s">
        <v>134</v>
      </c>
      <c r="DH56" s="27" t="s">
        <v>174</v>
      </c>
      <c r="DI56" s="27" t="s">
        <v>187</v>
      </c>
      <c r="DJ56" s="27" t="s">
        <v>133</v>
      </c>
      <c r="DK56" s="27" t="s">
        <v>134</v>
      </c>
      <c r="DL56" s="27" t="s">
        <v>164</v>
      </c>
      <c r="DM56" s="27" t="s">
        <v>177</v>
      </c>
      <c r="DN56" s="27" t="s">
        <v>178</v>
      </c>
      <c r="DO56" s="27" t="s">
        <v>134</v>
      </c>
      <c r="DP56" s="27" t="s">
        <v>154</v>
      </c>
      <c r="DQ56" s="27" t="s">
        <v>204</v>
      </c>
      <c r="DR56" s="27" t="s">
        <v>205</v>
      </c>
      <c r="DS56" s="27" t="s">
        <v>134</v>
      </c>
      <c r="DT56" s="27" t="s">
        <v>140</v>
      </c>
      <c r="DU56" s="27" t="s">
        <v>161</v>
      </c>
      <c r="DV56" s="27" t="s">
        <v>153</v>
      </c>
      <c r="DW56" s="27" t="s">
        <v>140</v>
      </c>
      <c r="DX56" s="27" t="s">
        <v>138</v>
      </c>
      <c r="DY56" s="27" t="s">
        <v>145</v>
      </c>
      <c r="DZ56" s="27" t="n">
        <f aca="false">DY56+DV56+DR56+DN56+DJ56+DF56+DB56</f>
        <v>628</v>
      </c>
      <c r="EA56" s="28" t="n">
        <f aca="false">DZ56/7</f>
        <v>89.7142857142857</v>
      </c>
      <c r="EB56" s="27" t="n">
        <f aca="false">RANK(EA56,$EA$2:$EA$881,0)</f>
        <v>59</v>
      </c>
      <c r="EC56" s="29" t="n">
        <f aca="false">DZ56+CQ56+CP56+AZ56</f>
        <v>2735</v>
      </c>
      <c r="ED56" s="30" t="n">
        <f aca="false">(EA56+CV56+BB56)/3</f>
        <v>88.0333333333334</v>
      </c>
      <c r="EE56" s="51" t="n">
        <f aca="false">ROUND(BE56,3)</f>
        <v>89.12</v>
      </c>
      <c r="EF56" s="51" t="n">
        <f aca="false">ROUND(CR56,3)</f>
        <v>92.429</v>
      </c>
      <c r="EG56" s="51" t="n">
        <f aca="false">ROUND(CS56,3)</f>
        <v>89.143</v>
      </c>
      <c r="EH56" s="51" t="n">
        <f aca="false">ROUND(EA56,3)</f>
        <v>89.714</v>
      </c>
      <c r="EI56" s="51" t="n">
        <f aca="false">ROUND(ED56,3)</f>
        <v>88.033</v>
      </c>
      <c r="EJ56" s="51" t="n">
        <f aca="false">ROUND(CV56,3)</f>
        <v>90.786</v>
      </c>
      <c r="EK56" s="0" t="n">
        <f aca="false">RANK(EI56,$EI$2:$EI$881,0)</f>
        <v>55</v>
      </c>
    </row>
    <row r="57" customFormat="false" ht="15" hidden="false" customHeight="false" outlineLevel="0" collapsed="false">
      <c r="A57" s="4" t="n">
        <v>8780</v>
      </c>
      <c r="B57" s="4" t="n">
        <v>443</v>
      </c>
      <c r="C57" s="27" t="s">
        <v>343</v>
      </c>
      <c r="D57" s="31" t="n">
        <v>449</v>
      </c>
      <c r="E57" s="32" t="n">
        <v>230411748</v>
      </c>
      <c r="F57" s="8" t="s">
        <v>344</v>
      </c>
      <c r="G57" s="66" t="s">
        <v>345</v>
      </c>
      <c r="H57" s="66" t="s">
        <v>129</v>
      </c>
      <c r="I57" s="67" t="s">
        <v>346</v>
      </c>
      <c r="J57" s="32" t="n">
        <v>77</v>
      </c>
      <c r="K57" s="32" t="n">
        <v>96</v>
      </c>
      <c r="L57" s="34" t="n">
        <f aca="false">(K57*70)/100</f>
        <v>67.2</v>
      </c>
      <c r="M57" s="34" t="n">
        <f aca="false">ROUNDUP(L57,0)</f>
        <v>68</v>
      </c>
      <c r="N57" s="32" t="n">
        <v>28</v>
      </c>
      <c r="O57" s="34" t="n">
        <f aca="false">N57+L57</f>
        <v>95.2</v>
      </c>
      <c r="P57" s="34" t="n">
        <f aca="false">N57+M57</f>
        <v>96</v>
      </c>
      <c r="Q57" s="32" t="n">
        <v>84</v>
      </c>
      <c r="R57" s="32" t="n">
        <v>82</v>
      </c>
      <c r="S57" s="34" t="n">
        <f aca="false">(R57*70)/100</f>
        <v>57.4</v>
      </c>
      <c r="T57" s="34" t="n">
        <f aca="false">ROUNDUP(S57,0)</f>
        <v>58</v>
      </c>
      <c r="U57" s="32" t="n">
        <v>30</v>
      </c>
      <c r="V57" s="34" t="n">
        <f aca="false">U57+S57</f>
        <v>87.4</v>
      </c>
      <c r="W57" s="34" t="n">
        <f aca="false">U57+T57</f>
        <v>88</v>
      </c>
      <c r="X57" s="32" t="n">
        <v>78</v>
      </c>
      <c r="Y57" s="34" t="n">
        <f aca="false">(X57*70)/100</f>
        <v>54.6</v>
      </c>
      <c r="Z57" s="34" t="n">
        <f aca="false">ROUNDUP(Y57,0)</f>
        <v>55</v>
      </c>
      <c r="AA57" s="32" t="n">
        <v>27</v>
      </c>
      <c r="AB57" s="34" t="n">
        <f aca="false">AA57+Y57</f>
        <v>81.6</v>
      </c>
      <c r="AC57" s="34" t="n">
        <f aca="false">AA57+Z57</f>
        <v>82</v>
      </c>
      <c r="AD57" s="32" t="n">
        <f aca="false">X57+R57+Q57+K57+J57</f>
        <v>417</v>
      </c>
      <c r="AE57" s="16" t="n">
        <f aca="false">AD57/5</f>
        <v>83.4</v>
      </c>
      <c r="AF57" s="16" t="n">
        <v>79</v>
      </c>
      <c r="AG57" s="16" t="n">
        <v>79</v>
      </c>
      <c r="AH57" s="16" t="n">
        <v>95</v>
      </c>
      <c r="AI57" s="16" t="n">
        <v>95</v>
      </c>
      <c r="AJ57" s="16" t="n">
        <f aca="false">(AI57*70)/100</f>
        <v>66.5</v>
      </c>
      <c r="AK57" s="35" t="n">
        <f aca="false">ROUNDUP(AJ57,0)</f>
        <v>67</v>
      </c>
      <c r="AL57" s="16" t="n">
        <v>28</v>
      </c>
      <c r="AM57" s="16" t="n">
        <f aca="false">AL57+AJ57</f>
        <v>94.5</v>
      </c>
      <c r="AN57" s="16" t="n">
        <f aca="false">AL57+AK57</f>
        <v>95</v>
      </c>
      <c r="AO57" s="16" t="n">
        <v>86</v>
      </c>
      <c r="AP57" s="36" t="n">
        <f aca="false">(AO57*70)/100</f>
        <v>60.2</v>
      </c>
      <c r="AQ57" s="37" t="n">
        <f aca="false">ROUNDUP(AP57,0)</f>
        <v>61</v>
      </c>
      <c r="AR57" s="16" t="n">
        <v>30</v>
      </c>
      <c r="AS57" s="16" t="n">
        <f aca="false">AR57+AP57</f>
        <v>90.2</v>
      </c>
      <c r="AT57" s="16" t="n">
        <f aca="false">AR57+AQ57</f>
        <v>91</v>
      </c>
      <c r="AU57" s="16" t="n">
        <f aca="false">AO57+AF57+AI57+AH57+AG57</f>
        <v>434</v>
      </c>
      <c r="AV57" s="16" t="n">
        <f aca="false">(AO57+AF57+AI57+AH57+AG57)/5</f>
        <v>86.8</v>
      </c>
      <c r="AW57" s="36" t="n">
        <f aca="false">(AO57+AF57+AI57+AH57+AG57+X57+R57+Q57+K57+J57)</f>
        <v>851</v>
      </c>
      <c r="AX57" s="16" t="n">
        <f aca="false">AW57/10</f>
        <v>85.1</v>
      </c>
      <c r="AY57" s="16" t="n">
        <f aca="false">AS57+AF57+AM57+AH57+AG57+AB57+V57+Q57+O57+J57</f>
        <v>862.9</v>
      </c>
      <c r="AZ57" s="16" t="n">
        <f aca="false">AT57+AF57+AN57+AH57+AG57+AC57+W57+Q57+P57+J57</f>
        <v>866</v>
      </c>
      <c r="BA57" s="16" t="n">
        <f aca="false">AY57/10</f>
        <v>86.29</v>
      </c>
      <c r="BB57" s="16" t="n">
        <f aca="false">AZ57/10</f>
        <v>86.6</v>
      </c>
      <c r="BC57" s="24" t="n">
        <v>2348</v>
      </c>
      <c r="BD57" s="16" t="n">
        <f aca="false">RANK(AX57,$AX$2:$AX$881,0)</f>
        <v>88</v>
      </c>
      <c r="BE57" s="38" t="n">
        <f aca="false">((BC57*100)/2400)*0.4+(AX57*0.6)</f>
        <v>90.1933333333333</v>
      </c>
      <c r="BF57" s="16" t="n">
        <f aca="false">RANK(BE57,$BE$2:$BE$881,0)</f>
        <v>96</v>
      </c>
      <c r="BG57" s="39" t="n">
        <f aca="false">RANK(BB57,$BB$2:$BB$881,0)</f>
        <v>69</v>
      </c>
      <c r="BH57" s="39" t="n">
        <f aca="false">RANK(BC57,$BC$2:$BC$881,0)</f>
        <v>551</v>
      </c>
      <c r="BI57" s="22" t="s">
        <v>130</v>
      </c>
      <c r="BJ57" s="22" t="s">
        <v>129</v>
      </c>
      <c r="BK57" s="40" t="s">
        <v>131</v>
      </c>
      <c r="BL57" s="41" t="n">
        <v>25</v>
      </c>
      <c r="BM57" s="41" t="n">
        <v>60</v>
      </c>
      <c r="BN57" s="41" t="n">
        <v>85</v>
      </c>
      <c r="BO57" s="42" t="n">
        <v>24</v>
      </c>
      <c r="BP57" s="43" t="n">
        <v>68</v>
      </c>
      <c r="BQ57" s="44" t="n">
        <v>92</v>
      </c>
      <c r="BR57" s="42" t="n">
        <v>28</v>
      </c>
      <c r="BS57" s="45" t="n">
        <v>66</v>
      </c>
      <c r="BT57" s="45" t="n">
        <v>94</v>
      </c>
      <c r="BU57" s="46" t="n">
        <v>100</v>
      </c>
      <c r="BV57" s="47" t="n">
        <v>86</v>
      </c>
      <c r="BW57" s="42" t="n">
        <v>100</v>
      </c>
      <c r="BX57" s="48" t="n">
        <v>98</v>
      </c>
      <c r="BY57" s="32" t="n">
        <v>28</v>
      </c>
      <c r="BZ57" s="32" t="n">
        <v>59</v>
      </c>
      <c r="CA57" s="32" t="n">
        <v>87</v>
      </c>
      <c r="CB57" s="32" t="n">
        <v>28</v>
      </c>
      <c r="CC57" s="68" t="n">
        <v>0</v>
      </c>
      <c r="CD57" s="69" t="n">
        <v>28</v>
      </c>
      <c r="CE57" s="32" t="n">
        <v>26</v>
      </c>
      <c r="CF57" s="32" t="n">
        <v>61</v>
      </c>
      <c r="CG57" s="32" t="n">
        <v>87</v>
      </c>
      <c r="CH57" s="32" t="n">
        <v>99</v>
      </c>
      <c r="CI57" s="32" t="n">
        <v>99</v>
      </c>
      <c r="CJ57" s="49" t="n">
        <v>29</v>
      </c>
      <c r="CK57" s="49" t="n">
        <v>58</v>
      </c>
      <c r="CL57" s="49" t="n">
        <v>87</v>
      </c>
      <c r="CM57" s="49" t="n">
        <v>24</v>
      </c>
      <c r="CN57" s="49" t="n">
        <v>62</v>
      </c>
      <c r="CO57" s="49" t="n">
        <v>86</v>
      </c>
      <c r="CP57" s="25" t="n">
        <f aca="false">BX57+BW57+BV57+BU57+BT57+BQ57+BN57</f>
        <v>655</v>
      </c>
      <c r="CQ57" s="25" t="n">
        <f aca="false">CO57+CL57+CI57+CH57+CG57+CD57+CA57</f>
        <v>573</v>
      </c>
      <c r="CR57" s="26" t="n">
        <f aca="false">CP57/7</f>
        <v>93.5714285714286</v>
      </c>
      <c r="CS57" s="26" t="n">
        <f aca="false">CQ57/7</f>
        <v>81.8571428571429</v>
      </c>
      <c r="CT57" s="24" t="n">
        <f aca="false">RANK(CR57,$CR$2:$CR$881,0)</f>
        <v>36</v>
      </c>
      <c r="CU57" s="25" t="n">
        <f aca="false">RANK(CS57,$CS$2:$CS$881,0)</f>
        <v>197</v>
      </c>
      <c r="CV57" s="26" t="n">
        <f aca="false">(CS57+CR57)/2</f>
        <v>87.7142857142857</v>
      </c>
      <c r="CW57" s="25" t="n">
        <f aca="false">RANK(CV57,$CV$2:$CV$881,0)</f>
        <v>107</v>
      </c>
      <c r="CX57" s="50" t="n">
        <f aca="false">(CV57+BB57)/2</f>
        <v>87.1571428571429</v>
      </c>
      <c r="CY57" s="50" t="n">
        <v>72</v>
      </c>
      <c r="CZ57" s="27" t="s">
        <v>132</v>
      </c>
      <c r="DA57" s="27" t="s">
        <v>169</v>
      </c>
      <c r="DB57" s="27" t="s">
        <v>169</v>
      </c>
      <c r="DC57" s="27" t="s">
        <v>134</v>
      </c>
      <c r="DD57" s="27" t="s">
        <v>160</v>
      </c>
      <c r="DE57" s="27" t="s">
        <v>141</v>
      </c>
      <c r="DF57" s="27" t="s">
        <v>139</v>
      </c>
      <c r="DG57" s="27" t="s">
        <v>134</v>
      </c>
      <c r="DH57" s="27" t="s">
        <v>135</v>
      </c>
      <c r="DI57" s="27" t="s">
        <v>152</v>
      </c>
      <c r="DJ57" s="27" t="s">
        <v>162</v>
      </c>
      <c r="DK57" s="27" t="s">
        <v>134</v>
      </c>
      <c r="DL57" s="27" t="s">
        <v>164</v>
      </c>
      <c r="DM57" s="27" t="s">
        <v>204</v>
      </c>
      <c r="DN57" s="27" t="s">
        <v>202</v>
      </c>
      <c r="DO57" s="27" t="s">
        <v>134</v>
      </c>
      <c r="DP57" s="27" t="s">
        <v>137</v>
      </c>
      <c r="DQ57" s="27" t="s">
        <v>203</v>
      </c>
      <c r="DR57" s="27" t="s">
        <v>133</v>
      </c>
      <c r="DS57" s="27" t="s">
        <v>134</v>
      </c>
      <c r="DT57" s="27" t="s">
        <v>140</v>
      </c>
      <c r="DU57" s="27" t="s">
        <v>161</v>
      </c>
      <c r="DV57" s="27" t="s">
        <v>153</v>
      </c>
      <c r="DW57" s="27" t="s">
        <v>160</v>
      </c>
      <c r="DX57" s="27" t="s">
        <v>138</v>
      </c>
      <c r="DY57" s="27" t="s">
        <v>144</v>
      </c>
      <c r="DZ57" s="27" t="n">
        <f aca="false">DY57+DV57+DR57+DN57+DJ57+DF57+DB57</f>
        <v>628</v>
      </c>
      <c r="EA57" s="28" t="n">
        <f aca="false">DZ57/7</f>
        <v>89.7142857142857</v>
      </c>
      <c r="EB57" s="27" t="n">
        <f aca="false">RANK(EA57,$EA$2:$EA$881,0)</f>
        <v>59</v>
      </c>
      <c r="EC57" s="29" t="n">
        <f aca="false">DZ57+CQ57+CP57+AZ57</f>
        <v>2722</v>
      </c>
      <c r="ED57" s="30" t="n">
        <f aca="false">(EA57+CV57+BB57)/3</f>
        <v>88.0095238095238</v>
      </c>
      <c r="EE57" s="51" t="n">
        <f aca="false">ROUND(BE57,3)</f>
        <v>90.193</v>
      </c>
      <c r="EF57" s="51" t="n">
        <f aca="false">ROUND(CR57,3)</f>
        <v>93.571</v>
      </c>
      <c r="EG57" s="51" t="n">
        <f aca="false">ROUND(CS57,3)</f>
        <v>81.857</v>
      </c>
      <c r="EH57" s="51" t="n">
        <f aca="false">ROUND(EA57,3)</f>
        <v>89.714</v>
      </c>
      <c r="EI57" s="51" t="n">
        <f aca="false">ROUND(ED57,3)</f>
        <v>88.01</v>
      </c>
      <c r="EJ57" s="51" t="n">
        <f aca="false">ROUND(CV57,3)</f>
        <v>87.714</v>
      </c>
      <c r="EK57" s="0" t="n">
        <f aca="false">RANK(EI57,$EI$2:$EI$881,0)</f>
        <v>56</v>
      </c>
    </row>
    <row r="58" customFormat="false" ht="15" hidden="false" customHeight="false" outlineLevel="0" collapsed="false">
      <c r="A58" s="4" t="n">
        <v>8642</v>
      </c>
      <c r="B58" s="4" t="n">
        <v>151</v>
      </c>
      <c r="C58" s="27" t="s">
        <v>347</v>
      </c>
      <c r="D58" s="31" t="n">
        <v>151</v>
      </c>
      <c r="E58" s="32" t="n">
        <v>230313297</v>
      </c>
      <c r="F58" s="8" t="s">
        <v>348</v>
      </c>
      <c r="G58" s="22" t="s">
        <v>349</v>
      </c>
      <c r="H58" s="22" t="s">
        <v>129</v>
      </c>
      <c r="I58" s="33" t="n">
        <v>2005</v>
      </c>
      <c r="J58" s="32" t="n">
        <v>69</v>
      </c>
      <c r="K58" s="32" t="n">
        <v>82</v>
      </c>
      <c r="L58" s="34" t="n">
        <f aca="false">(K58*70)/100</f>
        <v>57.4</v>
      </c>
      <c r="M58" s="34" t="n">
        <f aca="false">ROUNDUP(L58,0)</f>
        <v>58</v>
      </c>
      <c r="N58" s="32" t="n">
        <v>27</v>
      </c>
      <c r="O58" s="34" t="n">
        <f aca="false">N58+L58</f>
        <v>84.4</v>
      </c>
      <c r="P58" s="34" t="n">
        <f aca="false">N58+M58</f>
        <v>85</v>
      </c>
      <c r="Q58" s="32" t="n">
        <v>92</v>
      </c>
      <c r="R58" s="32" t="n">
        <v>75</v>
      </c>
      <c r="S58" s="34" t="n">
        <f aca="false">(R58*70)/100</f>
        <v>52.5</v>
      </c>
      <c r="T58" s="34" t="n">
        <f aca="false">ROUNDUP(S58,0)</f>
        <v>53</v>
      </c>
      <c r="U58" s="32" t="n">
        <v>30</v>
      </c>
      <c r="V58" s="34" t="n">
        <f aca="false">U58+S58</f>
        <v>82.5</v>
      </c>
      <c r="W58" s="34" t="n">
        <f aca="false">U58+T58</f>
        <v>83</v>
      </c>
      <c r="X58" s="32" t="n">
        <v>75</v>
      </c>
      <c r="Y58" s="34" t="n">
        <f aca="false">(X58*70)/100</f>
        <v>52.5</v>
      </c>
      <c r="Z58" s="34" t="n">
        <f aca="false">ROUNDUP(Y58,0)</f>
        <v>53</v>
      </c>
      <c r="AA58" s="32" t="n">
        <v>27</v>
      </c>
      <c r="AB58" s="34" t="n">
        <f aca="false">AA58+Y58</f>
        <v>79.5</v>
      </c>
      <c r="AC58" s="34" t="n">
        <f aca="false">AA58+Z58</f>
        <v>80</v>
      </c>
      <c r="AD58" s="32" t="n">
        <f aca="false">X58+R58+Q58+K58+J58</f>
        <v>393</v>
      </c>
      <c r="AE58" s="16" t="n">
        <f aca="false">AD58/5</f>
        <v>78.6</v>
      </c>
      <c r="AF58" s="16" t="n">
        <v>76</v>
      </c>
      <c r="AG58" s="16" t="n">
        <v>84</v>
      </c>
      <c r="AH58" s="16" t="n">
        <v>95</v>
      </c>
      <c r="AI58" s="16" t="n">
        <v>93</v>
      </c>
      <c r="AJ58" s="16" t="n">
        <f aca="false">(AI58*70)/100</f>
        <v>65.1</v>
      </c>
      <c r="AK58" s="35" t="n">
        <f aca="false">ROUNDUP(AJ58,0)</f>
        <v>66</v>
      </c>
      <c r="AL58" s="16" t="n">
        <v>26</v>
      </c>
      <c r="AM58" s="16" t="n">
        <f aca="false">AL58+AJ58</f>
        <v>91.1</v>
      </c>
      <c r="AN58" s="16" t="n">
        <f aca="false">AL58+AK58</f>
        <v>92</v>
      </c>
      <c r="AO58" s="16" t="n">
        <v>80</v>
      </c>
      <c r="AP58" s="36" t="n">
        <f aca="false">(AO58*70)/100</f>
        <v>56</v>
      </c>
      <c r="AQ58" s="37" t="n">
        <f aca="false">ROUNDUP(AP58,0)</f>
        <v>56</v>
      </c>
      <c r="AR58" s="16" t="n">
        <v>30</v>
      </c>
      <c r="AS58" s="16" t="n">
        <f aca="false">AR58+AP58</f>
        <v>86</v>
      </c>
      <c r="AT58" s="16" t="n">
        <f aca="false">AR58+AQ58</f>
        <v>86</v>
      </c>
      <c r="AU58" s="16" t="n">
        <f aca="false">AO58+AF58+AI58+AH58+AG58</f>
        <v>428</v>
      </c>
      <c r="AV58" s="16" t="n">
        <f aca="false">(AO58+AF58+AI58+AH58+AG58)/5</f>
        <v>85.6</v>
      </c>
      <c r="AW58" s="36" t="n">
        <f aca="false">(AO58+AF58+AI58+AH58+AG58+X58+R58+Q58+K58+J58)</f>
        <v>821</v>
      </c>
      <c r="AX58" s="16" t="n">
        <f aca="false">AW58/10</f>
        <v>82.1</v>
      </c>
      <c r="AY58" s="16" t="n">
        <f aca="false">AS58+AF58+AM58+AH58+AG58+AB58+V58+Q58+O58+J58</f>
        <v>839.5</v>
      </c>
      <c r="AZ58" s="16" t="n">
        <f aca="false">AT58+AF58+AN58+AH58+AG58+AC58+W58+Q58+P58+J58</f>
        <v>842</v>
      </c>
      <c r="BA58" s="16" t="n">
        <f aca="false">AY58/10</f>
        <v>83.95</v>
      </c>
      <c r="BB58" s="16" t="n">
        <f aca="false">AZ58/10</f>
        <v>84.2</v>
      </c>
      <c r="BC58" s="16" t="n">
        <v>2357</v>
      </c>
      <c r="BD58" s="16" t="n">
        <f aca="false">RANK(AX58,$AX$2:$AX$881,0)</f>
        <v>161</v>
      </c>
      <c r="BE58" s="54" t="n">
        <f aca="false">((BC58*100)/2400)*0.4+(AX58*0.6)</f>
        <v>88.5433333333333</v>
      </c>
      <c r="BF58" s="16" t="n">
        <f aca="false">RANK(BE58,$BE$2:$BE$881,0)</f>
        <v>156</v>
      </c>
      <c r="BG58" s="39" t="n">
        <f aca="false">RANK(BB58,$BB$2:$BB$881,0)</f>
        <v>119</v>
      </c>
      <c r="BH58" s="39" t="n">
        <f aca="false">RANK(BC58,$BC$2:$BC$881,0)</f>
        <v>444</v>
      </c>
      <c r="BI58" s="22" t="s">
        <v>130</v>
      </c>
      <c r="BJ58" s="22" t="s">
        <v>129</v>
      </c>
      <c r="BK58" s="40" t="s">
        <v>131</v>
      </c>
      <c r="BL58" s="41" t="n">
        <v>24</v>
      </c>
      <c r="BM58" s="41" t="n">
        <v>56</v>
      </c>
      <c r="BN58" s="41" t="n">
        <v>80</v>
      </c>
      <c r="BO58" s="42" t="n">
        <v>26</v>
      </c>
      <c r="BP58" s="43" t="n">
        <v>65</v>
      </c>
      <c r="BQ58" s="44" t="n">
        <v>91</v>
      </c>
      <c r="BR58" s="42" t="n">
        <v>23</v>
      </c>
      <c r="BS58" s="45" t="n">
        <v>65</v>
      </c>
      <c r="BT58" s="45" t="n">
        <v>88</v>
      </c>
      <c r="BU58" s="46" t="n">
        <v>99</v>
      </c>
      <c r="BV58" s="47" t="n">
        <v>74</v>
      </c>
      <c r="BW58" s="42" t="n">
        <v>100</v>
      </c>
      <c r="BX58" s="48" t="n">
        <v>96</v>
      </c>
      <c r="BY58" s="32" t="n">
        <v>27</v>
      </c>
      <c r="BZ58" s="32" t="n">
        <v>63</v>
      </c>
      <c r="CA58" s="32" t="n">
        <v>90</v>
      </c>
      <c r="CB58" s="32" t="n">
        <v>21</v>
      </c>
      <c r="CC58" s="32" t="n">
        <v>52</v>
      </c>
      <c r="CD58" s="32" t="n">
        <v>73</v>
      </c>
      <c r="CE58" s="32" t="n">
        <v>22</v>
      </c>
      <c r="CF58" s="32" t="n">
        <v>61</v>
      </c>
      <c r="CG58" s="32" t="n">
        <v>83</v>
      </c>
      <c r="CH58" s="32" t="n">
        <v>98</v>
      </c>
      <c r="CI58" s="32" t="n">
        <v>90</v>
      </c>
      <c r="CJ58" s="49" t="n">
        <v>27</v>
      </c>
      <c r="CK58" s="49" t="n">
        <v>57</v>
      </c>
      <c r="CL58" s="49" t="n">
        <v>84</v>
      </c>
      <c r="CM58" s="49" t="n">
        <v>23</v>
      </c>
      <c r="CN58" s="49" t="n">
        <v>60</v>
      </c>
      <c r="CO58" s="49" t="n">
        <v>83</v>
      </c>
      <c r="CP58" s="25" t="n">
        <f aca="false">BX58+BW58+BV58+BU58+BT58+BQ58+BN58</f>
        <v>628</v>
      </c>
      <c r="CQ58" s="25" t="n">
        <f aca="false">CO58+CL58+CI58+CH58+CG58+CD58+CA58</f>
        <v>601</v>
      </c>
      <c r="CR58" s="26" t="n">
        <f aca="false">CP58/7</f>
        <v>89.7142857142857</v>
      </c>
      <c r="CS58" s="26" t="n">
        <f aca="false">CQ58/7</f>
        <v>85.8571428571429</v>
      </c>
      <c r="CT58" s="24" t="n">
        <f aca="false">RANK(CR58,$CR$2:$CR$881,0)</f>
        <v>202</v>
      </c>
      <c r="CU58" s="25" t="n">
        <f aca="false">RANK(CS58,$CS$2:$CS$881,0)</f>
        <v>80</v>
      </c>
      <c r="CV58" s="26" t="n">
        <f aca="false">(CS58+CR58)/2</f>
        <v>87.7857142857143</v>
      </c>
      <c r="CW58" s="25" t="n">
        <f aca="false">RANK(CV58,$CV$2:$CV$881,0)</f>
        <v>100</v>
      </c>
      <c r="CX58" s="50" t="n">
        <f aca="false">(CV58+BB58)/2</f>
        <v>85.9928571428571</v>
      </c>
      <c r="CY58" s="50" t="n">
        <v>96</v>
      </c>
      <c r="CZ58" s="27" t="s">
        <v>132</v>
      </c>
      <c r="DA58" s="27" t="s">
        <v>153</v>
      </c>
      <c r="DB58" s="27" t="s">
        <v>153</v>
      </c>
      <c r="DC58" s="27" t="s">
        <v>134</v>
      </c>
      <c r="DD58" s="27" t="s">
        <v>195</v>
      </c>
      <c r="DE58" s="27" t="s">
        <v>136</v>
      </c>
      <c r="DF58" s="27" t="s">
        <v>209</v>
      </c>
      <c r="DG58" s="27" t="s">
        <v>134</v>
      </c>
      <c r="DH58" s="27" t="s">
        <v>182</v>
      </c>
      <c r="DI58" s="27" t="s">
        <v>187</v>
      </c>
      <c r="DJ58" s="27" t="s">
        <v>153</v>
      </c>
      <c r="DK58" s="27" t="s">
        <v>134</v>
      </c>
      <c r="DL58" s="27" t="s">
        <v>160</v>
      </c>
      <c r="DM58" s="27" t="s">
        <v>187</v>
      </c>
      <c r="DN58" s="27" t="s">
        <v>156</v>
      </c>
      <c r="DO58" s="27" t="s">
        <v>134</v>
      </c>
      <c r="DP58" s="27" t="s">
        <v>137</v>
      </c>
      <c r="DQ58" s="27" t="s">
        <v>152</v>
      </c>
      <c r="DR58" s="27" t="s">
        <v>153</v>
      </c>
      <c r="DS58" s="27" t="s">
        <v>134</v>
      </c>
      <c r="DT58" s="27" t="s">
        <v>160</v>
      </c>
      <c r="DU58" s="27" t="s">
        <v>141</v>
      </c>
      <c r="DV58" s="27" t="s">
        <v>139</v>
      </c>
      <c r="DW58" s="27" t="s">
        <v>146</v>
      </c>
      <c r="DX58" s="27" t="s">
        <v>155</v>
      </c>
      <c r="DY58" s="27" t="s">
        <v>165</v>
      </c>
      <c r="DZ58" s="27" t="n">
        <f aca="false">DY58+DV58+DR58+DN58+DJ58+DF58+DB58</f>
        <v>643</v>
      </c>
      <c r="EA58" s="28" t="n">
        <f aca="false">DZ58/7</f>
        <v>91.8571428571429</v>
      </c>
      <c r="EB58" s="27" t="n">
        <f aca="false">RANK(EA58,$EA$2:$EA$881,0)</f>
        <v>18</v>
      </c>
      <c r="EC58" s="29" t="n">
        <f aca="false">DZ58+CQ58+CP58+AZ58</f>
        <v>2714</v>
      </c>
      <c r="ED58" s="30" t="n">
        <f aca="false">(EA58+CV58+BB58)/3</f>
        <v>87.9476190476191</v>
      </c>
      <c r="EE58" s="51" t="n">
        <f aca="false">ROUND(BE58,3)</f>
        <v>88.543</v>
      </c>
      <c r="EF58" s="51" t="n">
        <f aca="false">ROUND(CR58,3)</f>
        <v>89.714</v>
      </c>
      <c r="EG58" s="51" t="n">
        <f aca="false">ROUND(CS58,3)</f>
        <v>85.857</v>
      </c>
      <c r="EH58" s="51" t="n">
        <f aca="false">ROUND(EA58,3)</f>
        <v>91.857</v>
      </c>
      <c r="EI58" s="51" t="n">
        <f aca="false">ROUND(ED58,3)</f>
        <v>87.948</v>
      </c>
      <c r="EJ58" s="51" t="n">
        <f aca="false">ROUND(CV58,3)</f>
        <v>87.786</v>
      </c>
      <c r="EK58" s="0" t="n">
        <f aca="false">RANK(EI58,$EI$2:$EI$881,0)</f>
        <v>57</v>
      </c>
    </row>
    <row r="59" customFormat="false" ht="15" hidden="false" customHeight="false" outlineLevel="0" collapsed="false">
      <c r="A59" s="4" t="n">
        <v>8944</v>
      </c>
      <c r="B59" s="4" t="n">
        <v>329</v>
      </c>
      <c r="C59" s="27" t="s">
        <v>350</v>
      </c>
      <c r="D59" s="31" t="n">
        <v>331</v>
      </c>
      <c r="E59" s="32" t="n">
        <v>230320578</v>
      </c>
      <c r="F59" s="8" t="s">
        <v>351</v>
      </c>
      <c r="G59" s="22" t="s">
        <v>352</v>
      </c>
      <c r="H59" s="22" t="s">
        <v>129</v>
      </c>
      <c r="I59" s="33" t="n">
        <v>2005</v>
      </c>
      <c r="J59" s="32" t="n">
        <v>94</v>
      </c>
      <c r="K59" s="32" t="n">
        <v>81</v>
      </c>
      <c r="L59" s="34" t="n">
        <f aca="false">(K59*70)/100</f>
        <v>56.7</v>
      </c>
      <c r="M59" s="34" t="n">
        <f aca="false">ROUNDUP(L59,0)</f>
        <v>57</v>
      </c>
      <c r="N59" s="32" t="n">
        <v>28</v>
      </c>
      <c r="O59" s="34" t="n">
        <f aca="false">N59+L59</f>
        <v>84.7</v>
      </c>
      <c r="P59" s="34" t="n">
        <f aca="false">N59+M59</f>
        <v>85</v>
      </c>
      <c r="Q59" s="32" t="n">
        <v>88</v>
      </c>
      <c r="R59" s="32" t="n">
        <v>80</v>
      </c>
      <c r="S59" s="34" t="n">
        <f aca="false">(R59*70)/100</f>
        <v>56</v>
      </c>
      <c r="T59" s="34" t="n">
        <f aca="false">ROUNDUP(S59,0)</f>
        <v>56</v>
      </c>
      <c r="U59" s="32" t="n">
        <v>27</v>
      </c>
      <c r="V59" s="34" t="n">
        <f aca="false">U59+S59</f>
        <v>83</v>
      </c>
      <c r="W59" s="34" t="n">
        <f aca="false">U59+T59</f>
        <v>83</v>
      </c>
      <c r="X59" s="32" t="n">
        <v>78</v>
      </c>
      <c r="Y59" s="34" t="n">
        <f aca="false">(X59*70)/100</f>
        <v>54.6</v>
      </c>
      <c r="Z59" s="34" t="n">
        <f aca="false">ROUNDUP(Y59,0)</f>
        <v>55</v>
      </c>
      <c r="AA59" s="32" t="n">
        <v>26</v>
      </c>
      <c r="AB59" s="34" t="n">
        <f aca="false">AA59+Y59</f>
        <v>80.6</v>
      </c>
      <c r="AC59" s="34" t="n">
        <f aca="false">AA59+Z59</f>
        <v>81</v>
      </c>
      <c r="AD59" s="32" t="n">
        <f aca="false">X59+R59+Q59+K59+J59</f>
        <v>421</v>
      </c>
      <c r="AE59" s="16" t="n">
        <f aca="false">AD59/5</f>
        <v>84.2</v>
      </c>
      <c r="AF59" s="16" t="n">
        <v>83</v>
      </c>
      <c r="AG59" s="16" t="n">
        <v>96</v>
      </c>
      <c r="AH59" s="16" t="n">
        <v>94</v>
      </c>
      <c r="AI59" s="16" t="n">
        <v>92</v>
      </c>
      <c r="AJ59" s="16" t="n">
        <f aca="false">(AI59*70)/100</f>
        <v>64.4</v>
      </c>
      <c r="AK59" s="35" t="n">
        <f aca="false">ROUNDUP(AJ59,0)</f>
        <v>65</v>
      </c>
      <c r="AL59" s="16" t="n">
        <v>23</v>
      </c>
      <c r="AM59" s="16" t="n">
        <f aca="false">AL59+AJ59</f>
        <v>87.4</v>
      </c>
      <c r="AN59" s="16" t="n">
        <f aca="false">AL59+AK59</f>
        <v>88</v>
      </c>
      <c r="AO59" s="16" t="n">
        <v>81</v>
      </c>
      <c r="AP59" s="36" t="n">
        <f aca="false">(AO59*70)/100</f>
        <v>56.7</v>
      </c>
      <c r="AQ59" s="37" t="n">
        <f aca="false">ROUNDUP(AP59,0)</f>
        <v>57</v>
      </c>
      <c r="AR59" s="16" t="n">
        <v>24</v>
      </c>
      <c r="AS59" s="16" t="n">
        <f aca="false">AR59+AP59</f>
        <v>80.7</v>
      </c>
      <c r="AT59" s="16" t="n">
        <f aca="false">AR59+AQ59</f>
        <v>81</v>
      </c>
      <c r="AU59" s="16" t="n">
        <f aca="false">AO59+AF59+AI59+AH59+AG59</f>
        <v>446</v>
      </c>
      <c r="AV59" s="16" t="n">
        <f aca="false">(AO59+AF59+AI59+AH59+AG59)/5</f>
        <v>89.2</v>
      </c>
      <c r="AW59" s="36" t="n">
        <f aca="false">(AO59+AF59+AI59+AH59+AG59+X59+R59+Q59+K59+J59)</f>
        <v>867</v>
      </c>
      <c r="AX59" s="16" t="n">
        <f aca="false">AW59/10</f>
        <v>86.7</v>
      </c>
      <c r="AY59" s="16" t="n">
        <f aca="false">AS59+AF59+AM59+AH59+AG59+AB59+V59+Q59+O59+J59</f>
        <v>871.4</v>
      </c>
      <c r="AZ59" s="16" t="n">
        <f aca="false">AT59+AF59+AN59+AH59+AG59+AC59+W59+Q59+P59+J59</f>
        <v>873</v>
      </c>
      <c r="BA59" s="16" t="n">
        <f aca="false">AY59/10</f>
        <v>87.14</v>
      </c>
      <c r="BB59" s="16" t="n">
        <f aca="false">AZ59/10</f>
        <v>87.3</v>
      </c>
      <c r="BC59" s="16" t="n">
        <v>2359</v>
      </c>
      <c r="BD59" s="16" t="n">
        <f aca="false">RANK(AX59,$AX$2:$AX$881,0)</f>
        <v>57</v>
      </c>
      <c r="BE59" s="38" t="n">
        <f aca="false">((BC59*100)/2400)*0.4+(AX59*0.6)</f>
        <v>91.3366666666667</v>
      </c>
      <c r="BF59" s="16" t="n">
        <f aca="false">RANK(BE59,$BE$2:$BE$881,0)</f>
        <v>67</v>
      </c>
      <c r="BG59" s="39" t="n">
        <f aca="false">RANK(BB59,$BB$2:$BB$881,0)</f>
        <v>52</v>
      </c>
      <c r="BH59" s="39" t="n">
        <f aca="false">RANK(BC59,$BC$2:$BC$881,0)</f>
        <v>414</v>
      </c>
      <c r="BI59" s="22" t="s">
        <v>130</v>
      </c>
      <c r="BJ59" s="22" t="s">
        <v>129</v>
      </c>
      <c r="BK59" s="40" t="s">
        <v>131</v>
      </c>
      <c r="BL59" s="41" t="n">
        <v>22</v>
      </c>
      <c r="BM59" s="41" t="n">
        <v>63</v>
      </c>
      <c r="BN59" s="41" t="n">
        <v>85</v>
      </c>
      <c r="BO59" s="42" t="n">
        <v>22</v>
      </c>
      <c r="BP59" s="43" t="n">
        <v>62</v>
      </c>
      <c r="BQ59" s="44" t="n">
        <v>84</v>
      </c>
      <c r="BR59" s="42" t="n">
        <v>22</v>
      </c>
      <c r="BS59" s="45" t="n">
        <v>64</v>
      </c>
      <c r="BT59" s="45" t="n">
        <v>86</v>
      </c>
      <c r="BU59" s="46" t="n">
        <v>100</v>
      </c>
      <c r="BV59" s="47" t="n">
        <v>84</v>
      </c>
      <c r="BW59" s="42" t="n">
        <v>99</v>
      </c>
      <c r="BX59" s="48" t="n">
        <v>98</v>
      </c>
      <c r="BY59" s="32" t="n">
        <v>27</v>
      </c>
      <c r="BZ59" s="32" t="n">
        <v>51</v>
      </c>
      <c r="CA59" s="32" t="n">
        <v>78</v>
      </c>
      <c r="CB59" s="32" t="n">
        <v>14</v>
      </c>
      <c r="CC59" s="32" t="n">
        <v>42</v>
      </c>
      <c r="CD59" s="69" t="n">
        <v>56</v>
      </c>
      <c r="CE59" s="32" t="n">
        <v>27</v>
      </c>
      <c r="CF59" s="32" t="n">
        <v>56</v>
      </c>
      <c r="CG59" s="32" t="n">
        <v>83</v>
      </c>
      <c r="CH59" s="32" t="n">
        <v>95</v>
      </c>
      <c r="CI59" s="32" t="n">
        <v>95</v>
      </c>
      <c r="CJ59" s="49" t="n">
        <v>28</v>
      </c>
      <c r="CK59" s="49" t="n">
        <v>52</v>
      </c>
      <c r="CL59" s="49" t="n">
        <v>80</v>
      </c>
      <c r="CM59" s="49" t="n">
        <v>23</v>
      </c>
      <c r="CN59" s="49" t="n">
        <v>56</v>
      </c>
      <c r="CO59" s="49" t="n">
        <v>79</v>
      </c>
      <c r="CP59" s="25" t="n">
        <f aca="false">BX59+BW59+BV59+BU59+BT59+BQ59+BN59</f>
        <v>636</v>
      </c>
      <c r="CQ59" s="25" t="n">
        <f aca="false">CO59+CL59+CI59+CH59+CG59+CD59+CA59</f>
        <v>566</v>
      </c>
      <c r="CR59" s="26" t="n">
        <f aca="false">CP59/7</f>
        <v>90.8571428571429</v>
      </c>
      <c r="CS59" s="26" t="n">
        <f aca="false">CQ59/7</f>
        <v>80.8571428571429</v>
      </c>
      <c r="CT59" s="24" t="n">
        <f aca="false">RANK(CR59,$CR$2:$CR$881,0)</f>
        <v>135</v>
      </c>
      <c r="CU59" s="25" t="n">
        <f aca="false">RANK(CS59,$CS$2:$CS$881,0)</f>
        <v>229</v>
      </c>
      <c r="CV59" s="26" t="n">
        <f aca="false">(CS59+CR59)/2</f>
        <v>85.8571428571429</v>
      </c>
      <c r="CW59" s="25" t="n">
        <f aca="false">RANK(CV59,$CV$2:$CV$881,0)</f>
        <v>179</v>
      </c>
      <c r="CX59" s="50" t="n">
        <f aca="false">(CV59+BB59)/2</f>
        <v>86.5785714285714</v>
      </c>
      <c r="CY59" s="50" t="n">
        <v>86</v>
      </c>
      <c r="CZ59" s="27" t="s">
        <v>132</v>
      </c>
      <c r="DA59" s="27" t="s">
        <v>175</v>
      </c>
      <c r="DB59" s="27" t="s">
        <v>175</v>
      </c>
      <c r="DC59" s="27" t="s">
        <v>134</v>
      </c>
      <c r="DD59" s="27" t="s">
        <v>135</v>
      </c>
      <c r="DE59" s="27" t="s">
        <v>152</v>
      </c>
      <c r="DF59" s="27" t="s">
        <v>162</v>
      </c>
      <c r="DG59" s="27" t="s">
        <v>134</v>
      </c>
      <c r="DH59" s="27" t="s">
        <v>140</v>
      </c>
      <c r="DI59" s="27" t="s">
        <v>152</v>
      </c>
      <c r="DJ59" s="27" t="s">
        <v>151</v>
      </c>
      <c r="DK59" s="27" t="s">
        <v>134</v>
      </c>
      <c r="DL59" s="27" t="s">
        <v>164</v>
      </c>
      <c r="DM59" s="27" t="s">
        <v>161</v>
      </c>
      <c r="DN59" s="27" t="s">
        <v>133</v>
      </c>
      <c r="DO59" s="27" t="s">
        <v>134</v>
      </c>
      <c r="DP59" s="27" t="s">
        <v>135</v>
      </c>
      <c r="DQ59" s="27" t="s">
        <v>161</v>
      </c>
      <c r="DR59" s="27" t="s">
        <v>202</v>
      </c>
      <c r="DS59" s="27" t="s">
        <v>134</v>
      </c>
      <c r="DT59" s="27" t="s">
        <v>160</v>
      </c>
      <c r="DU59" s="27" t="s">
        <v>152</v>
      </c>
      <c r="DV59" s="27" t="s">
        <v>176</v>
      </c>
      <c r="DW59" s="27" t="s">
        <v>146</v>
      </c>
      <c r="DX59" s="27" t="s">
        <v>155</v>
      </c>
      <c r="DY59" s="27" t="s">
        <v>165</v>
      </c>
      <c r="DZ59" s="27" t="n">
        <f aca="false">DY59+DV59+DR59+DN59+DJ59+DF59+DB59</f>
        <v>633</v>
      </c>
      <c r="EA59" s="28" t="n">
        <f aca="false">DZ59/7</f>
        <v>90.4285714285714</v>
      </c>
      <c r="EB59" s="27" t="n">
        <f aca="false">RANK(EA59,$EA$2:$EA$881,0)</f>
        <v>48</v>
      </c>
      <c r="EC59" s="29" t="n">
        <f aca="false">DZ59+CQ59+CP59+AZ59</f>
        <v>2708</v>
      </c>
      <c r="ED59" s="30" t="n">
        <f aca="false">(EA59+CV59+BB59)/3</f>
        <v>87.8619047619048</v>
      </c>
      <c r="EE59" s="51" t="n">
        <f aca="false">ROUND(BE59,3)</f>
        <v>91.337</v>
      </c>
      <c r="EF59" s="51" t="n">
        <f aca="false">ROUND(CR59,3)</f>
        <v>90.857</v>
      </c>
      <c r="EG59" s="51" t="n">
        <f aca="false">ROUND(CS59,3)</f>
        <v>80.857</v>
      </c>
      <c r="EH59" s="51" t="n">
        <f aca="false">ROUND(EA59,3)</f>
        <v>90.429</v>
      </c>
      <c r="EI59" s="51" t="n">
        <f aca="false">ROUND(ED59,3)</f>
        <v>87.862</v>
      </c>
      <c r="EJ59" s="51" t="n">
        <f aca="false">ROUND(CV59,3)</f>
        <v>85.857</v>
      </c>
      <c r="EK59" s="0" t="n">
        <f aca="false">RANK(EI59,$EI$2:$EI$881,0)</f>
        <v>58</v>
      </c>
    </row>
    <row r="60" customFormat="false" ht="15" hidden="false" customHeight="false" outlineLevel="0" collapsed="false">
      <c r="A60" s="4" t="n">
        <v>8766</v>
      </c>
      <c r="B60" s="4" t="n">
        <v>577</v>
      </c>
      <c r="C60" s="27" t="s">
        <v>353</v>
      </c>
      <c r="D60" s="31" t="n">
        <v>582</v>
      </c>
      <c r="E60" s="32" t="n">
        <v>230312683</v>
      </c>
      <c r="F60" s="8" t="s">
        <v>354</v>
      </c>
      <c r="G60" s="22" t="s">
        <v>286</v>
      </c>
      <c r="H60" s="22" t="s">
        <v>129</v>
      </c>
      <c r="I60" s="33" t="n">
        <v>2005</v>
      </c>
      <c r="J60" s="32" t="n">
        <v>67</v>
      </c>
      <c r="K60" s="32" t="n">
        <v>90</v>
      </c>
      <c r="L60" s="34" t="n">
        <f aca="false">(K60*70)/100</f>
        <v>63</v>
      </c>
      <c r="M60" s="34" t="n">
        <f aca="false">ROUNDUP(L60,0)</f>
        <v>63</v>
      </c>
      <c r="N60" s="32" t="n">
        <v>26</v>
      </c>
      <c r="O60" s="34" t="n">
        <f aca="false">N60+L60</f>
        <v>89</v>
      </c>
      <c r="P60" s="34" t="n">
        <f aca="false">N60+M60</f>
        <v>89</v>
      </c>
      <c r="Q60" s="32" t="n">
        <v>91</v>
      </c>
      <c r="R60" s="32" t="n">
        <v>89</v>
      </c>
      <c r="S60" s="34" t="n">
        <f aca="false">(R60*70)/100</f>
        <v>62.3</v>
      </c>
      <c r="T60" s="34" t="n">
        <f aca="false">ROUNDUP(S60,0)</f>
        <v>63</v>
      </c>
      <c r="U60" s="32" t="n">
        <v>21</v>
      </c>
      <c r="V60" s="34" t="n">
        <f aca="false">U60+S60</f>
        <v>83.3</v>
      </c>
      <c r="W60" s="34" t="n">
        <f aca="false">U60+T60</f>
        <v>84</v>
      </c>
      <c r="X60" s="32" t="n">
        <v>78</v>
      </c>
      <c r="Y60" s="34" t="n">
        <f aca="false">(X60*70)/100</f>
        <v>54.6</v>
      </c>
      <c r="Z60" s="34" t="n">
        <f aca="false">ROUNDUP(Y60,0)</f>
        <v>55</v>
      </c>
      <c r="AA60" s="32" t="n">
        <v>27</v>
      </c>
      <c r="AB60" s="34" t="n">
        <f aca="false">AA60+Y60</f>
        <v>81.6</v>
      </c>
      <c r="AC60" s="34" t="n">
        <f aca="false">AA60+Z60</f>
        <v>82</v>
      </c>
      <c r="AD60" s="32" t="n">
        <f aca="false">X60+R60+Q60+K60+J60</f>
        <v>415</v>
      </c>
      <c r="AE60" s="16" t="n">
        <f aca="false">AD60/5</f>
        <v>83</v>
      </c>
      <c r="AF60" s="16" t="n">
        <v>78</v>
      </c>
      <c r="AG60" s="16" t="n">
        <v>78</v>
      </c>
      <c r="AH60" s="16" t="n">
        <v>93</v>
      </c>
      <c r="AI60" s="16" t="n">
        <v>94</v>
      </c>
      <c r="AJ60" s="16" t="n">
        <f aca="false">(AI60*70)/100</f>
        <v>65.8</v>
      </c>
      <c r="AK60" s="35" t="n">
        <f aca="false">ROUNDUP(AJ60,0)</f>
        <v>66</v>
      </c>
      <c r="AL60" s="16" t="n">
        <v>26</v>
      </c>
      <c r="AM60" s="16" t="n">
        <f aca="false">AL60+AJ60</f>
        <v>91.8</v>
      </c>
      <c r="AN60" s="16" t="n">
        <f aca="false">AL60+AK60</f>
        <v>92</v>
      </c>
      <c r="AO60" s="16" t="n">
        <v>83</v>
      </c>
      <c r="AP60" s="36" t="n">
        <f aca="false">(AO60*70)/100</f>
        <v>58.1</v>
      </c>
      <c r="AQ60" s="37" t="n">
        <f aca="false">ROUNDUP(AP60,0)</f>
        <v>59</v>
      </c>
      <c r="AR60" s="16" t="n">
        <v>28</v>
      </c>
      <c r="AS60" s="16" t="n">
        <f aca="false">AR60+AP60</f>
        <v>86.1</v>
      </c>
      <c r="AT60" s="16" t="n">
        <f aca="false">AR60+AQ60</f>
        <v>87</v>
      </c>
      <c r="AU60" s="16" t="n">
        <f aca="false">AO60+AF60+AI60+AH60+AG60</f>
        <v>426</v>
      </c>
      <c r="AV60" s="16" t="n">
        <f aca="false">(AO60+AF60+AI60+AH60+AG60)/5</f>
        <v>85.2</v>
      </c>
      <c r="AW60" s="36" t="n">
        <f aca="false">(AO60+AF60+AI60+AH60+AG60+X60+R60+Q60+K60+J60)</f>
        <v>841</v>
      </c>
      <c r="AX60" s="16" t="n">
        <f aca="false">AW60/10</f>
        <v>84.1</v>
      </c>
      <c r="AY60" s="16" t="n">
        <f aca="false">AS60+AF60+AM60+AH60+AG60+AB60+V60+Q60+O60+J60</f>
        <v>838.8</v>
      </c>
      <c r="AZ60" s="16" t="n">
        <f aca="false">AT60+AF60+AN60+AH60+AG60+AC60+W60+Q60+P60+J60</f>
        <v>841</v>
      </c>
      <c r="BA60" s="16" t="n">
        <f aca="false">AY60/10</f>
        <v>83.88</v>
      </c>
      <c r="BB60" s="16" t="n">
        <f aca="false">AZ60/10</f>
        <v>84.1</v>
      </c>
      <c r="BC60" s="16" t="n">
        <v>2369</v>
      </c>
      <c r="BD60" s="16" t="n">
        <f aca="false">RANK(AX60,$AX$2:$AX$881,0)</f>
        <v>106</v>
      </c>
      <c r="BE60" s="54" t="n">
        <f aca="false">((BC60*100)/2400)*0.4+(AX60*0.6)</f>
        <v>89.9433333333333</v>
      </c>
      <c r="BF60" s="16" t="n">
        <f aca="false">RANK(BE60,$BE$2:$BE$881,0)</f>
        <v>105</v>
      </c>
      <c r="BG60" s="39" t="n">
        <f aca="false">RANK(BB60,$BB$2:$BB$881,0)</f>
        <v>122</v>
      </c>
      <c r="BH60" s="39" t="n">
        <f aca="false">RANK(BC60,$BC$2:$BC$881,0)</f>
        <v>283</v>
      </c>
      <c r="BI60" s="22" t="s">
        <v>130</v>
      </c>
      <c r="BJ60" s="22" t="s">
        <v>129</v>
      </c>
      <c r="BK60" s="40" t="s">
        <v>131</v>
      </c>
      <c r="BL60" s="41" t="n">
        <v>21</v>
      </c>
      <c r="BM60" s="41" t="n">
        <v>59</v>
      </c>
      <c r="BN60" s="41" t="n">
        <v>80</v>
      </c>
      <c r="BO60" s="42" t="n">
        <v>26</v>
      </c>
      <c r="BP60" s="43" t="n">
        <v>61</v>
      </c>
      <c r="BQ60" s="44" t="n">
        <v>87</v>
      </c>
      <c r="BR60" s="42" t="n">
        <v>23</v>
      </c>
      <c r="BS60" s="45" t="n">
        <v>62</v>
      </c>
      <c r="BT60" s="45" t="n">
        <v>85</v>
      </c>
      <c r="BU60" s="46" t="n">
        <v>100</v>
      </c>
      <c r="BV60" s="47" t="n">
        <v>92</v>
      </c>
      <c r="BW60" s="42" t="n">
        <v>100</v>
      </c>
      <c r="BX60" s="48" t="n">
        <v>90</v>
      </c>
      <c r="BY60" s="32" t="n">
        <v>28</v>
      </c>
      <c r="BZ60" s="32" t="n">
        <v>64</v>
      </c>
      <c r="CA60" s="32" t="n">
        <v>92</v>
      </c>
      <c r="CB60" s="32" t="n">
        <v>25</v>
      </c>
      <c r="CC60" s="32" t="n">
        <v>40</v>
      </c>
      <c r="CD60" s="32" t="n">
        <v>65</v>
      </c>
      <c r="CE60" s="32" t="n">
        <v>27</v>
      </c>
      <c r="CF60" s="32" t="n">
        <v>47</v>
      </c>
      <c r="CG60" s="32" t="n">
        <v>74</v>
      </c>
      <c r="CH60" s="32" t="n">
        <v>95</v>
      </c>
      <c r="CI60" s="32" t="n">
        <v>100</v>
      </c>
      <c r="CJ60" s="49" t="n">
        <v>24</v>
      </c>
      <c r="CK60" s="49" t="n">
        <v>58</v>
      </c>
      <c r="CL60" s="49" t="n">
        <v>82</v>
      </c>
      <c r="CM60" s="49" t="n">
        <v>22</v>
      </c>
      <c r="CN60" s="49" t="n">
        <v>52</v>
      </c>
      <c r="CO60" s="49" t="n">
        <v>74</v>
      </c>
      <c r="CP60" s="25" t="n">
        <f aca="false">BX60+BW60+BV60+BU60+BT60+BQ60+BN60</f>
        <v>634</v>
      </c>
      <c r="CQ60" s="25" t="n">
        <f aca="false">CO60+CL60+CI60+CH60+CG60+CD60+CA60</f>
        <v>582</v>
      </c>
      <c r="CR60" s="26" t="n">
        <f aca="false">CP60/7</f>
        <v>90.5714285714286</v>
      </c>
      <c r="CS60" s="26" t="n">
        <f aca="false">CQ60/7</f>
        <v>83.1428571428571</v>
      </c>
      <c r="CT60" s="24" t="n">
        <f aca="false">RANK(CR60,$CR$2:$CR$881,0)</f>
        <v>147</v>
      </c>
      <c r="CU60" s="25" t="n">
        <f aca="false">RANK(CS60,$CS$2:$CS$881,0)</f>
        <v>153</v>
      </c>
      <c r="CV60" s="26" t="n">
        <f aca="false">(CS60+CR60)/2</f>
        <v>86.8571428571429</v>
      </c>
      <c r="CW60" s="25" t="n">
        <f aca="false">RANK(CV60,$CV$2:$CV$881,0)</f>
        <v>142</v>
      </c>
      <c r="CX60" s="50" t="n">
        <f aca="false">(CV60+BB60)/2</f>
        <v>85.4785714285714</v>
      </c>
      <c r="CY60" s="50" t="n">
        <v>107</v>
      </c>
      <c r="CZ60" s="27" t="s">
        <v>132</v>
      </c>
      <c r="DA60" s="27" t="s">
        <v>153</v>
      </c>
      <c r="DB60" s="27" t="s">
        <v>153</v>
      </c>
      <c r="DC60" s="27" t="s">
        <v>134</v>
      </c>
      <c r="DD60" s="27" t="s">
        <v>164</v>
      </c>
      <c r="DE60" s="27" t="s">
        <v>163</v>
      </c>
      <c r="DF60" s="27" t="s">
        <v>176</v>
      </c>
      <c r="DG60" s="27" t="s">
        <v>134</v>
      </c>
      <c r="DH60" s="27" t="s">
        <v>140</v>
      </c>
      <c r="DI60" s="27" t="s">
        <v>152</v>
      </c>
      <c r="DJ60" s="27" t="s">
        <v>151</v>
      </c>
      <c r="DK60" s="27" t="s">
        <v>134</v>
      </c>
      <c r="DL60" s="27" t="s">
        <v>135</v>
      </c>
      <c r="DM60" s="27" t="s">
        <v>163</v>
      </c>
      <c r="DN60" s="27" t="s">
        <v>153</v>
      </c>
      <c r="DO60" s="27" t="s">
        <v>134</v>
      </c>
      <c r="DP60" s="27" t="s">
        <v>182</v>
      </c>
      <c r="DQ60" s="27" t="s">
        <v>187</v>
      </c>
      <c r="DR60" s="27" t="s">
        <v>153</v>
      </c>
      <c r="DS60" s="27" t="s">
        <v>134</v>
      </c>
      <c r="DT60" s="27" t="s">
        <v>140</v>
      </c>
      <c r="DU60" s="27" t="s">
        <v>187</v>
      </c>
      <c r="DV60" s="27" t="s">
        <v>139</v>
      </c>
      <c r="DW60" s="27" t="s">
        <v>160</v>
      </c>
      <c r="DX60" s="27" t="s">
        <v>155</v>
      </c>
      <c r="DY60" s="27" t="s">
        <v>145</v>
      </c>
      <c r="DZ60" s="27" t="n">
        <f aca="false">DY60+DV60+DR60+DN60+DJ60+DF60+DB60</f>
        <v>648</v>
      </c>
      <c r="EA60" s="28" t="n">
        <f aca="false">DZ60/7</f>
        <v>92.5714285714286</v>
      </c>
      <c r="EB60" s="27" t="n">
        <f aca="false">RANK(EA60,$EA$2:$EA$881,0)</f>
        <v>7</v>
      </c>
      <c r="EC60" s="29" t="n">
        <f aca="false">DZ60+CQ60+CP60+AZ60</f>
        <v>2705</v>
      </c>
      <c r="ED60" s="30" t="n">
        <f aca="false">(EA60+CV60+BB60)/3</f>
        <v>87.8428571428572</v>
      </c>
      <c r="EE60" s="51" t="n">
        <f aca="false">ROUND(BE60,3)</f>
        <v>89.943</v>
      </c>
      <c r="EF60" s="51" t="n">
        <f aca="false">ROUND(CR60,3)</f>
        <v>90.571</v>
      </c>
      <c r="EG60" s="51" t="n">
        <f aca="false">ROUND(CS60,3)</f>
        <v>83.143</v>
      </c>
      <c r="EH60" s="51" t="n">
        <f aca="false">ROUND(EA60,3)</f>
        <v>92.571</v>
      </c>
      <c r="EI60" s="51" t="n">
        <f aca="false">ROUND(ED60,3)</f>
        <v>87.843</v>
      </c>
      <c r="EJ60" s="51" t="n">
        <f aca="false">ROUND(CV60,3)</f>
        <v>86.857</v>
      </c>
      <c r="EK60" s="0" t="n">
        <f aca="false">RANK(EI60,$EI$2:$EI$881,0)</f>
        <v>59</v>
      </c>
    </row>
    <row r="61" customFormat="false" ht="15" hidden="false" customHeight="false" outlineLevel="0" collapsed="false">
      <c r="A61" s="4" t="n">
        <v>8758</v>
      </c>
      <c r="B61" s="4" t="n">
        <v>269</v>
      </c>
      <c r="C61" s="27" t="s">
        <v>355</v>
      </c>
      <c r="D61" s="31" t="n">
        <v>267</v>
      </c>
      <c r="E61" s="32" t="n">
        <v>230321817</v>
      </c>
      <c r="F61" s="8" t="s">
        <v>356</v>
      </c>
      <c r="G61" s="22" t="s">
        <v>357</v>
      </c>
      <c r="H61" s="22" t="s">
        <v>129</v>
      </c>
      <c r="I61" s="33" t="n">
        <v>2005</v>
      </c>
      <c r="J61" s="32" t="n">
        <v>85</v>
      </c>
      <c r="K61" s="32" t="n">
        <v>88</v>
      </c>
      <c r="L61" s="34" t="n">
        <f aca="false">(K61*70)/100</f>
        <v>61.6</v>
      </c>
      <c r="M61" s="34" t="n">
        <f aca="false">ROUNDUP(L61,0)</f>
        <v>62</v>
      </c>
      <c r="N61" s="32" t="n">
        <v>28</v>
      </c>
      <c r="O61" s="34" t="n">
        <f aca="false">N61+L61</f>
        <v>89.6</v>
      </c>
      <c r="P61" s="34" t="n">
        <f aca="false">N61+M61</f>
        <v>90</v>
      </c>
      <c r="Q61" s="32" t="n">
        <v>87</v>
      </c>
      <c r="R61" s="32" t="n">
        <v>82</v>
      </c>
      <c r="S61" s="34" t="n">
        <f aca="false">(R61*70)/100</f>
        <v>57.4</v>
      </c>
      <c r="T61" s="34" t="n">
        <f aca="false">ROUNDUP(S61,0)</f>
        <v>58</v>
      </c>
      <c r="U61" s="32" t="n">
        <v>22</v>
      </c>
      <c r="V61" s="34" t="n">
        <f aca="false">U61+S61</f>
        <v>79.4</v>
      </c>
      <c r="W61" s="34" t="n">
        <f aca="false">U61+T61</f>
        <v>80</v>
      </c>
      <c r="X61" s="32" t="n">
        <v>79</v>
      </c>
      <c r="Y61" s="34" t="n">
        <f aca="false">(X61*70)/100</f>
        <v>55.3</v>
      </c>
      <c r="Z61" s="34" t="n">
        <f aca="false">ROUNDUP(Y61,0)</f>
        <v>56</v>
      </c>
      <c r="AA61" s="32" t="n">
        <v>25</v>
      </c>
      <c r="AB61" s="34" t="n">
        <f aca="false">AA61+Y61</f>
        <v>80.3</v>
      </c>
      <c r="AC61" s="34" t="n">
        <f aca="false">AA61+Z61</f>
        <v>81</v>
      </c>
      <c r="AD61" s="32" t="n">
        <f aca="false">X61+R61+Q61+K61+J61</f>
        <v>421</v>
      </c>
      <c r="AE61" s="16" t="n">
        <f aca="false">AD61/5</f>
        <v>84.2</v>
      </c>
      <c r="AF61" s="16" t="n">
        <v>81</v>
      </c>
      <c r="AG61" s="16" t="n">
        <v>93</v>
      </c>
      <c r="AH61" s="16" t="n">
        <v>94</v>
      </c>
      <c r="AI61" s="16" t="n">
        <v>93</v>
      </c>
      <c r="AJ61" s="16" t="n">
        <f aca="false">(AI61*70)/100</f>
        <v>65.1</v>
      </c>
      <c r="AK61" s="35" t="n">
        <f aca="false">ROUNDUP(AJ61,0)</f>
        <v>66</v>
      </c>
      <c r="AL61" s="16" t="n">
        <v>27</v>
      </c>
      <c r="AM61" s="16" t="n">
        <f aca="false">AL61+AJ61</f>
        <v>92.1</v>
      </c>
      <c r="AN61" s="16" t="n">
        <f aca="false">AL61+AK61</f>
        <v>93</v>
      </c>
      <c r="AO61" s="16" t="n">
        <v>81</v>
      </c>
      <c r="AP61" s="36" t="n">
        <f aca="false">(AO61*70)/100</f>
        <v>56.7</v>
      </c>
      <c r="AQ61" s="37" t="n">
        <f aca="false">ROUNDUP(AP61,0)</f>
        <v>57</v>
      </c>
      <c r="AR61" s="16" t="n">
        <v>29</v>
      </c>
      <c r="AS61" s="16" t="n">
        <f aca="false">AR61+AP61</f>
        <v>85.7</v>
      </c>
      <c r="AT61" s="16" t="n">
        <f aca="false">AR61+AQ61</f>
        <v>86</v>
      </c>
      <c r="AU61" s="16" t="n">
        <f aca="false">AO61+AF61+AI61+AH61+AG61</f>
        <v>442</v>
      </c>
      <c r="AV61" s="16" t="n">
        <f aca="false">(AO61+AF61+AI61+AH61+AG61)/5</f>
        <v>88.4</v>
      </c>
      <c r="AW61" s="36" t="n">
        <f aca="false">(AO61+AF61+AI61+AH61+AG61+X61+R61+Q61+K61+J61)</f>
        <v>863</v>
      </c>
      <c r="AX61" s="16" t="n">
        <f aca="false">AW61/10</f>
        <v>86.3</v>
      </c>
      <c r="AY61" s="16" t="n">
        <f aca="false">AS61+AF61+AM61+AH61+AG61+AB61+V61+Q61+O61+J61</f>
        <v>867.1</v>
      </c>
      <c r="AZ61" s="16" t="n">
        <f aca="false">AT61+AF61+AN61+AH61+AG61+AC61+W61+Q61+P61+J61</f>
        <v>870</v>
      </c>
      <c r="BA61" s="16" t="n">
        <f aca="false">AY61/10</f>
        <v>86.71</v>
      </c>
      <c r="BB61" s="16" t="n">
        <f aca="false">AZ61/10</f>
        <v>87</v>
      </c>
      <c r="BC61" s="16" t="n">
        <v>2371</v>
      </c>
      <c r="BD61" s="16" t="n">
        <f aca="false">RANK(AX61,$AX$2:$AX$881,0)</f>
        <v>66</v>
      </c>
      <c r="BE61" s="38" t="n">
        <f aca="false">((BC61*100)/2400)*0.4+(AX61*0.6)</f>
        <v>91.2966666666667</v>
      </c>
      <c r="BF61" s="16" t="n">
        <f aca="false">RANK(BE61,$BE$2:$BE$881,0)</f>
        <v>69</v>
      </c>
      <c r="BG61" s="39" t="n">
        <f aca="false">RANK(BB61,$BB$2:$BB$881,0)</f>
        <v>59</v>
      </c>
      <c r="BH61" s="39" t="n">
        <f aca="false">RANK(BC61,$BC$2:$BC$881,0)</f>
        <v>257</v>
      </c>
      <c r="BI61" s="22" t="s">
        <v>130</v>
      </c>
      <c r="BJ61" s="22" t="s">
        <v>129</v>
      </c>
      <c r="BK61" s="40" t="s">
        <v>131</v>
      </c>
      <c r="BL61" s="41" t="n">
        <v>28</v>
      </c>
      <c r="BM61" s="41" t="n">
        <v>57</v>
      </c>
      <c r="BN61" s="41" t="n">
        <v>85</v>
      </c>
      <c r="BO61" s="42" t="n">
        <v>26</v>
      </c>
      <c r="BP61" s="43" t="n">
        <v>69</v>
      </c>
      <c r="BQ61" s="44" t="n">
        <v>95</v>
      </c>
      <c r="BR61" s="42" t="n">
        <v>24</v>
      </c>
      <c r="BS61" s="45" t="n">
        <v>56</v>
      </c>
      <c r="BT61" s="45" t="n">
        <v>80</v>
      </c>
      <c r="BU61" s="46" t="n">
        <v>100</v>
      </c>
      <c r="BV61" s="47" t="n">
        <v>88</v>
      </c>
      <c r="BW61" s="42" t="n">
        <v>98</v>
      </c>
      <c r="BX61" s="48" t="n">
        <v>94</v>
      </c>
      <c r="BY61" s="25" t="n">
        <v>25</v>
      </c>
      <c r="BZ61" s="25" t="n">
        <v>64</v>
      </c>
      <c r="CA61" s="25" t="n">
        <v>89</v>
      </c>
      <c r="CB61" s="25" t="n">
        <v>26</v>
      </c>
      <c r="CC61" s="25" t="n">
        <v>51</v>
      </c>
      <c r="CD61" s="25" t="n">
        <v>77</v>
      </c>
      <c r="CE61" s="32" t="n">
        <v>26</v>
      </c>
      <c r="CF61" s="32" t="n">
        <v>55</v>
      </c>
      <c r="CG61" s="32" t="n">
        <v>81</v>
      </c>
      <c r="CH61" s="32" t="n">
        <v>98</v>
      </c>
      <c r="CI61" s="32" t="n">
        <v>99</v>
      </c>
      <c r="CJ61" s="49" t="n">
        <v>28</v>
      </c>
      <c r="CK61" s="49" t="n">
        <v>52</v>
      </c>
      <c r="CL61" s="49" t="n">
        <v>80</v>
      </c>
      <c r="CM61" s="49" t="n">
        <v>24</v>
      </c>
      <c r="CN61" s="49" t="n">
        <v>55</v>
      </c>
      <c r="CO61" s="49" t="n">
        <v>79</v>
      </c>
      <c r="CP61" s="25" t="n">
        <f aca="false">BX61+BW61+BV61+BU61+BT61+BQ61+BN61</f>
        <v>640</v>
      </c>
      <c r="CQ61" s="25" t="n">
        <f aca="false">CO61+CL61+CI61+CH61+CG61+CD61+CA61</f>
        <v>603</v>
      </c>
      <c r="CR61" s="26" t="n">
        <f aca="false">CP61/7</f>
        <v>91.4285714285714</v>
      </c>
      <c r="CS61" s="26" t="n">
        <f aca="false">CQ61/7</f>
        <v>86.1428571428571</v>
      </c>
      <c r="CT61" s="24" t="n">
        <f aca="false">RANK(CR61,$CR$2:$CR$881,0)</f>
        <v>106</v>
      </c>
      <c r="CU61" s="25" t="n">
        <f aca="false">RANK(CS61,$CS$2:$CS$881,0)</f>
        <v>74</v>
      </c>
      <c r="CV61" s="26" t="n">
        <f aca="false">(CS61+CR61)/2</f>
        <v>88.7857142857143</v>
      </c>
      <c r="CW61" s="25" t="n">
        <f aca="false">RANK(CV61,$CV$2:$CV$881,0)</f>
        <v>75</v>
      </c>
      <c r="CX61" s="50" t="n">
        <f aca="false">(CV61+BB61)/2</f>
        <v>87.8928571428571</v>
      </c>
      <c r="CY61" s="50" t="n">
        <v>50</v>
      </c>
      <c r="CZ61" s="27" t="s">
        <v>132</v>
      </c>
      <c r="DA61" s="27" t="s">
        <v>162</v>
      </c>
      <c r="DB61" s="27" t="s">
        <v>162</v>
      </c>
      <c r="DC61" s="27" t="s">
        <v>134</v>
      </c>
      <c r="DD61" s="27" t="s">
        <v>137</v>
      </c>
      <c r="DE61" s="27" t="s">
        <v>161</v>
      </c>
      <c r="DF61" s="27" t="s">
        <v>178</v>
      </c>
      <c r="DG61" s="27" t="s">
        <v>134</v>
      </c>
      <c r="DH61" s="27" t="s">
        <v>154</v>
      </c>
      <c r="DI61" s="27" t="s">
        <v>152</v>
      </c>
      <c r="DJ61" s="27" t="s">
        <v>178</v>
      </c>
      <c r="DK61" s="27" t="s">
        <v>134</v>
      </c>
      <c r="DL61" s="27" t="s">
        <v>135</v>
      </c>
      <c r="DM61" s="27" t="s">
        <v>304</v>
      </c>
      <c r="DN61" s="27" t="s">
        <v>272</v>
      </c>
      <c r="DO61" s="27" t="s">
        <v>134</v>
      </c>
      <c r="DP61" s="27" t="s">
        <v>154</v>
      </c>
      <c r="DQ61" s="27" t="s">
        <v>177</v>
      </c>
      <c r="DR61" s="27" t="s">
        <v>169</v>
      </c>
      <c r="DS61" s="27" t="s">
        <v>134</v>
      </c>
      <c r="DT61" s="27" t="s">
        <v>160</v>
      </c>
      <c r="DU61" s="27" t="s">
        <v>136</v>
      </c>
      <c r="DV61" s="27" t="s">
        <v>170</v>
      </c>
      <c r="DW61" s="27" t="s">
        <v>140</v>
      </c>
      <c r="DX61" s="27" t="s">
        <v>138</v>
      </c>
      <c r="DY61" s="27" t="s">
        <v>145</v>
      </c>
      <c r="DZ61" s="27" t="n">
        <f aca="false">DY61+DV61+DR61+DN61+DJ61+DF61+DB61</f>
        <v>614</v>
      </c>
      <c r="EA61" s="28" t="n">
        <f aca="false">DZ61/7</f>
        <v>87.7142857142857</v>
      </c>
      <c r="EB61" s="27" t="n">
        <f aca="false">RANK(EA61,$EA$2:$EA$881,0)</f>
        <v>103</v>
      </c>
      <c r="EC61" s="29" t="n">
        <f aca="false">DZ61+CQ61+CP61+AZ61</f>
        <v>2727</v>
      </c>
      <c r="ED61" s="30" t="n">
        <f aca="false">(EA61+CV61+BB61)/3</f>
        <v>87.8333333333333</v>
      </c>
      <c r="EE61" s="51" t="n">
        <f aca="false">ROUND(BE61,3)</f>
        <v>91.297</v>
      </c>
      <c r="EF61" s="51" t="n">
        <f aca="false">ROUND(CR61,3)</f>
        <v>91.429</v>
      </c>
      <c r="EG61" s="51" t="n">
        <f aca="false">ROUND(CS61,3)</f>
        <v>86.143</v>
      </c>
      <c r="EH61" s="51" t="n">
        <f aca="false">ROUND(EA61,3)</f>
        <v>87.714</v>
      </c>
      <c r="EI61" s="51" t="n">
        <f aca="false">ROUND(ED61,3)</f>
        <v>87.833</v>
      </c>
      <c r="EJ61" s="51" t="n">
        <f aca="false">ROUND(CV61,3)</f>
        <v>88.786</v>
      </c>
      <c r="EK61" s="0" t="n">
        <f aca="false">RANK(EI61,$EI$2:$EI$881,0)</f>
        <v>60</v>
      </c>
    </row>
    <row r="62" customFormat="false" ht="15" hidden="false" customHeight="false" outlineLevel="0" collapsed="false">
      <c r="A62" s="4" t="n">
        <v>8808</v>
      </c>
      <c r="B62" s="4" t="n">
        <v>698</v>
      </c>
      <c r="C62" s="27" t="s">
        <v>358</v>
      </c>
      <c r="D62" s="31" t="n">
        <v>712</v>
      </c>
      <c r="E62" s="32" t="n">
        <v>230312441</v>
      </c>
      <c r="F62" s="8" t="s">
        <v>359</v>
      </c>
      <c r="G62" s="22" t="s">
        <v>360</v>
      </c>
      <c r="H62" s="22" t="s">
        <v>129</v>
      </c>
      <c r="I62" s="33" t="n">
        <v>2005</v>
      </c>
      <c r="J62" s="32" t="n">
        <v>90</v>
      </c>
      <c r="K62" s="32" t="n">
        <v>93</v>
      </c>
      <c r="L62" s="34" t="n">
        <f aca="false">(K62*70)/100</f>
        <v>65.1</v>
      </c>
      <c r="M62" s="34" t="n">
        <f aca="false">ROUNDUP(L62,0)</f>
        <v>66</v>
      </c>
      <c r="N62" s="32" t="n">
        <v>26</v>
      </c>
      <c r="O62" s="34" t="n">
        <f aca="false">N62+L62</f>
        <v>91.1</v>
      </c>
      <c r="P62" s="34" t="n">
        <f aca="false">N62+M62</f>
        <v>92</v>
      </c>
      <c r="Q62" s="32" t="n">
        <v>90</v>
      </c>
      <c r="R62" s="32" t="n">
        <v>85</v>
      </c>
      <c r="S62" s="34" t="n">
        <f aca="false">(R62*70)/100</f>
        <v>59.5</v>
      </c>
      <c r="T62" s="34" t="n">
        <f aca="false">ROUNDUP(S62,0)</f>
        <v>60</v>
      </c>
      <c r="U62" s="32" t="n">
        <v>26</v>
      </c>
      <c r="V62" s="34" t="n">
        <f aca="false">U62+S62</f>
        <v>85.5</v>
      </c>
      <c r="W62" s="34" t="n">
        <f aca="false">U62+T62</f>
        <v>86</v>
      </c>
      <c r="X62" s="32" t="n">
        <v>81</v>
      </c>
      <c r="Y62" s="34" t="n">
        <f aca="false">(X62*70)/100</f>
        <v>56.7</v>
      </c>
      <c r="Z62" s="34" t="n">
        <f aca="false">ROUNDUP(Y62,0)</f>
        <v>57</v>
      </c>
      <c r="AA62" s="32" t="n">
        <v>25</v>
      </c>
      <c r="AB62" s="34" t="n">
        <f aca="false">AA62+Y62</f>
        <v>81.7</v>
      </c>
      <c r="AC62" s="34" t="n">
        <f aca="false">AA62+Z62</f>
        <v>82</v>
      </c>
      <c r="AD62" s="32" t="n">
        <f aca="false">X62+R62+Q62+K62+J62</f>
        <v>439</v>
      </c>
      <c r="AE62" s="16" t="n">
        <f aca="false">AD62/5</f>
        <v>87.8</v>
      </c>
      <c r="AF62" s="16" t="n">
        <v>89</v>
      </c>
      <c r="AG62" s="16" t="n">
        <v>92</v>
      </c>
      <c r="AH62" s="16" t="n">
        <v>99</v>
      </c>
      <c r="AI62" s="16" t="n">
        <v>98</v>
      </c>
      <c r="AJ62" s="16" t="n">
        <f aca="false">(AI62*70)/100</f>
        <v>68.6</v>
      </c>
      <c r="AK62" s="35" t="n">
        <f aca="false">ROUNDUP(AJ62,0)</f>
        <v>69</v>
      </c>
      <c r="AL62" s="16" t="n">
        <v>27</v>
      </c>
      <c r="AM62" s="16" t="n">
        <f aca="false">AL62+AJ62</f>
        <v>95.6</v>
      </c>
      <c r="AN62" s="16" t="n">
        <f aca="false">AL62+AK62</f>
        <v>96</v>
      </c>
      <c r="AO62" s="16" t="n">
        <v>91</v>
      </c>
      <c r="AP62" s="36" t="n">
        <f aca="false">(AO62*70)/100</f>
        <v>63.7</v>
      </c>
      <c r="AQ62" s="37" t="n">
        <f aca="false">ROUNDUP(AP62,0)</f>
        <v>64</v>
      </c>
      <c r="AR62" s="16" t="n">
        <v>29</v>
      </c>
      <c r="AS62" s="16" t="n">
        <f aca="false">AR62+AP62</f>
        <v>92.7</v>
      </c>
      <c r="AT62" s="16" t="n">
        <f aca="false">AR62+AQ62</f>
        <v>93</v>
      </c>
      <c r="AU62" s="16" t="n">
        <f aca="false">AO62+AF62+AI62+AH62+AG62</f>
        <v>469</v>
      </c>
      <c r="AV62" s="16" t="n">
        <f aca="false">(AO62+AF62+AI62+AH62+AG62)/5</f>
        <v>93.8</v>
      </c>
      <c r="AW62" s="36" t="n">
        <f aca="false">(AO62+AF62+AI62+AH62+AG62+X62+R62+Q62+K62+J62)</f>
        <v>908</v>
      </c>
      <c r="AX62" s="16" t="n">
        <f aca="false">AW62/10</f>
        <v>90.8</v>
      </c>
      <c r="AY62" s="16" t="n">
        <f aca="false">AS62+AF62+AM62+AH62+AG62+AB62+V62+Q62+O62+J62</f>
        <v>906.6</v>
      </c>
      <c r="AZ62" s="16" t="n">
        <f aca="false">AT62+AF62+AN62+AH62+AG62+AC62+W62+Q62+P62+J62</f>
        <v>909</v>
      </c>
      <c r="BA62" s="16" t="n">
        <f aca="false">AY62/10</f>
        <v>90.66</v>
      </c>
      <c r="BB62" s="16" t="n">
        <f aca="false">AZ62/10</f>
        <v>90.9</v>
      </c>
      <c r="BC62" s="16" t="n">
        <v>2364</v>
      </c>
      <c r="BD62" s="16" t="n">
        <f aca="false">RANK(AX62,$AX$2:$AX$881,0)</f>
        <v>14</v>
      </c>
      <c r="BE62" s="38" t="n">
        <f aca="false">((BC62*100)/2400)*0.4+(AX62*0.6)</f>
        <v>93.88</v>
      </c>
      <c r="BF62" s="16" t="n">
        <f aca="false">RANK(BE62,$BE$2:$BE$881,0)</f>
        <v>18</v>
      </c>
      <c r="BG62" s="39" t="n">
        <f aca="false">RANK(BB62,$BB$2:$BB$881,0)</f>
        <v>13</v>
      </c>
      <c r="BH62" s="39" t="n">
        <f aca="false">RANK(BC62,$BC$2:$BC$881,0)</f>
        <v>347</v>
      </c>
      <c r="BI62" s="22" t="s">
        <v>130</v>
      </c>
      <c r="BJ62" s="22" t="s">
        <v>129</v>
      </c>
      <c r="BK62" s="40" t="s">
        <v>131</v>
      </c>
      <c r="BL62" s="41" t="n">
        <v>20</v>
      </c>
      <c r="BM62" s="41" t="n">
        <v>58</v>
      </c>
      <c r="BN62" s="41" t="n">
        <v>78</v>
      </c>
      <c r="BO62" s="42" t="n">
        <v>26</v>
      </c>
      <c r="BP62" s="43" t="n">
        <v>64</v>
      </c>
      <c r="BQ62" s="44" t="n">
        <v>90</v>
      </c>
      <c r="BR62" s="42" t="n">
        <v>28</v>
      </c>
      <c r="BS62" s="45" t="n">
        <v>58</v>
      </c>
      <c r="BT62" s="45" t="n">
        <v>86</v>
      </c>
      <c r="BU62" s="46" t="n">
        <v>100</v>
      </c>
      <c r="BV62" s="47" t="n">
        <v>82</v>
      </c>
      <c r="BW62" s="42" t="n">
        <v>98</v>
      </c>
      <c r="BX62" s="48" t="n">
        <v>98</v>
      </c>
      <c r="BY62" s="32" t="n">
        <v>27</v>
      </c>
      <c r="BZ62" s="32" t="n">
        <v>59</v>
      </c>
      <c r="CA62" s="32" t="n">
        <v>86</v>
      </c>
      <c r="CB62" s="32" t="n">
        <v>25</v>
      </c>
      <c r="CC62" s="32" t="n">
        <v>46</v>
      </c>
      <c r="CD62" s="32" t="n">
        <v>71</v>
      </c>
      <c r="CE62" s="32" t="n">
        <v>23</v>
      </c>
      <c r="CF62" s="32" t="n">
        <v>61</v>
      </c>
      <c r="CG62" s="32" t="n">
        <v>84</v>
      </c>
      <c r="CH62" s="32" t="n">
        <v>95</v>
      </c>
      <c r="CI62" s="32" t="n">
        <v>98</v>
      </c>
      <c r="CJ62" s="49" t="n">
        <v>27</v>
      </c>
      <c r="CK62" s="49" t="n">
        <v>54</v>
      </c>
      <c r="CL62" s="49" t="n">
        <v>81</v>
      </c>
      <c r="CM62" s="49" t="n">
        <v>22</v>
      </c>
      <c r="CN62" s="49" t="n">
        <v>55</v>
      </c>
      <c r="CO62" s="49" t="n">
        <v>77</v>
      </c>
      <c r="CP62" s="25" t="n">
        <f aca="false">BX62+BW62+BV62+BU62+BT62+BQ62+BN62</f>
        <v>632</v>
      </c>
      <c r="CQ62" s="25" t="n">
        <f aca="false">CO62+CL62+CI62+CH62+CG62+CD62+CA62</f>
        <v>592</v>
      </c>
      <c r="CR62" s="26" t="n">
        <f aca="false">CP62/7</f>
        <v>90.2857142857143</v>
      </c>
      <c r="CS62" s="26" t="n">
        <f aca="false">CQ62/7</f>
        <v>84.5714285714286</v>
      </c>
      <c r="CT62" s="24" t="n">
        <f aca="false">RANK(CR62,$CR$2:$CR$881,0)</f>
        <v>160</v>
      </c>
      <c r="CU62" s="25" t="n">
        <f aca="false">RANK(CS62,$CS$2:$CS$881,0)</f>
        <v>108</v>
      </c>
      <c r="CV62" s="26" t="n">
        <f aca="false">(CS62+CR62)/2</f>
        <v>87.4285714285714</v>
      </c>
      <c r="CW62" s="25" t="n">
        <f aca="false">RANK(CV62,$CV$2:$CV$881,0)</f>
        <v>121</v>
      </c>
      <c r="CX62" s="50" t="n">
        <f aca="false">(CV62+BB62)/2</f>
        <v>89.1642857142857</v>
      </c>
      <c r="CY62" s="50" t="n">
        <v>32</v>
      </c>
      <c r="CZ62" s="27" t="s">
        <v>132</v>
      </c>
      <c r="DA62" s="27" t="s">
        <v>202</v>
      </c>
      <c r="DB62" s="27" t="s">
        <v>202</v>
      </c>
      <c r="DC62" s="27" t="s">
        <v>134</v>
      </c>
      <c r="DD62" s="27" t="s">
        <v>182</v>
      </c>
      <c r="DE62" s="27" t="s">
        <v>183</v>
      </c>
      <c r="DF62" s="27" t="s">
        <v>205</v>
      </c>
      <c r="DG62" s="27" t="s">
        <v>134</v>
      </c>
      <c r="DH62" s="27" t="s">
        <v>135</v>
      </c>
      <c r="DI62" s="27" t="s">
        <v>152</v>
      </c>
      <c r="DJ62" s="27" t="s">
        <v>162</v>
      </c>
      <c r="DK62" s="27" t="s">
        <v>134</v>
      </c>
      <c r="DL62" s="27" t="s">
        <v>137</v>
      </c>
      <c r="DM62" s="27" t="s">
        <v>220</v>
      </c>
      <c r="DN62" s="27" t="s">
        <v>205</v>
      </c>
      <c r="DO62" s="27" t="s">
        <v>134</v>
      </c>
      <c r="DP62" s="27" t="s">
        <v>195</v>
      </c>
      <c r="DQ62" s="27" t="s">
        <v>218</v>
      </c>
      <c r="DR62" s="27" t="s">
        <v>305</v>
      </c>
      <c r="DS62" s="27" t="s">
        <v>134</v>
      </c>
      <c r="DT62" s="27" t="s">
        <v>164</v>
      </c>
      <c r="DU62" s="27" t="s">
        <v>161</v>
      </c>
      <c r="DV62" s="27" t="s">
        <v>133</v>
      </c>
      <c r="DW62" s="27" t="s">
        <v>195</v>
      </c>
      <c r="DX62" s="27" t="s">
        <v>155</v>
      </c>
      <c r="DY62" s="27" t="s">
        <v>170</v>
      </c>
      <c r="DZ62" s="27" t="n">
        <f aca="false">DY62+DV62+DR62+DN62+DJ62+DF62+DB62</f>
        <v>596</v>
      </c>
      <c r="EA62" s="28" t="n">
        <f aca="false">DZ62/7</f>
        <v>85.1428571428571</v>
      </c>
      <c r="EB62" s="27" t="n">
        <f aca="false">RANK(EA62,$EA$2:$EA$881,0)</f>
        <v>182</v>
      </c>
      <c r="EC62" s="29" t="n">
        <f aca="false">DZ62+CQ62+CP62+AZ62</f>
        <v>2729</v>
      </c>
      <c r="ED62" s="30" t="n">
        <f aca="false">(EA62+CV62+BB62)/3</f>
        <v>87.8238095238095</v>
      </c>
      <c r="EE62" s="51" t="n">
        <f aca="false">ROUND(BE62,3)</f>
        <v>93.88</v>
      </c>
      <c r="EF62" s="51" t="n">
        <f aca="false">ROUND(CR62,3)</f>
        <v>90.286</v>
      </c>
      <c r="EG62" s="51" t="n">
        <f aca="false">ROUND(CS62,3)</f>
        <v>84.571</v>
      </c>
      <c r="EH62" s="51" t="n">
        <f aca="false">ROUND(EA62,3)</f>
        <v>85.143</v>
      </c>
      <c r="EI62" s="51" t="n">
        <f aca="false">ROUND(ED62,3)</f>
        <v>87.824</v>
      </c>
      <c r="EJ62" s="51" t="n">
        <f aca="false">ROUND(CV62,3)</f>
        <v>87.429</v>
      </c>
      <c r="EK62" s="0" t="n">
        <f aca="false">RANK(EI62,$EI$2:$EI$881,0)</f>
        <v>61</v>
      </c>
    </row>
    <row r="63" customFormat="false" ht="15" hidden="false" customHeight="false" outlineLevel="0" collapsed="false">
      <c r="A63" s="4" t="n">
        <v>8754</v>
      </c>
      <c r="B63" s="4" t="n">
        <v>608</v>
      </c>
      <c r="C63" s="27" t="s">
        <v>361</v>
      </c>
      <c r="D63" s="31" t="n">
        <v>615</v>
      </c>
      <c r="E63" s="16" t="n">
        <v>230419946</v>
      </c>
      <c r="F63" s="56" t="s">
        <v>362</v>
      </c>
      <c r="G63" s="22" t="s">
        <v>363</v>
      </c>
      <c r="H63" s="22" t="s">
        <v>271</v>
      </c>
      <c r="I63" s="57"/>
      <c r="J63" s="16" t="n">
        <v>80</v>
      </c>
      <c r="K63" s="16" t="n">
        <v>78</v>
      </c>
      <c r="L63" s="34" t="n">
        <f aca="false">(K63*70)/100</f>
        <v>54.6</v>
      </c>
      <c r="M63" s="34" t="n">
        <f aca="false">ROUNDUP(L63,0)</f>
        <v>55</v>
      </c>
      <c r="N63" s="16" t="n">
        <v>22</v>
      </c>
      <c r="O63" s="34" t="n">
        <f aca="false">N63+L63</f>
        <v>76.6</v>
      </c>
      <c r="P63" s="34" t="n">
        <f aca="false">N63+M63</f>
        <v>77</v>
      </c>
      <c r="Q63" s="16" t="n">
        <v>79</v>
      </c>
      <c r="R63" s="16" t="n">
        <v>72</v>
      </c>
      <c r="S63" s="34" t="n">
        <f aca="false">(R63*70)/100</f>
        <v>50.4</v>
      </c>
      <c r="T63" s="34" t="n">
        <f aca="false">ROUNDUP(S63,0)</f>
        <v>51</v>
      </c>
      <c r="U63" s="16" t="n">
        <v>26</v>
      </c>
      <c r="V63" s="34" t="n">
        <f aca="false">U63+S63</f>
        <v>76.4</v>
      </c>
      <c r="W63" s="34" t="n">
        <f aca="false">U63+T63</f>
        <v>77</v>
      </c>
      <c r="X63" s="16" t="n">
        <v>63</v>
      </c>
      <c r="Y63" s="34" t="n">
        <f aca="false">(X63*70)/100</f>
        <v>44.1</v>
      </c>
      <c r="Z63" s="34" t="n">
        <f aca="false">ROUNDUP(Y63,0)</f>
        <v>45</v>
      </c>
      <c r="AA63" s="16" t="n">
        <v>26</v>
      </c>
      <c r="AB63" s="34" t="n">
        <f aca="false">AA63+Y63</f>
        <v>70.1</v>
      </c>
      <c r="AC63" s="34" t="n">
        <f aca="false">AA63+Z63</f>
        <v>71</v>
      </c>
      <c r="AD63" s="32" t="n">
        <f aca="false">X63+R63+Q63+K63+J63</f>
        <v>372</v>
      </c>
      <c r="AE63" s="16" t="n">
        <f aca="false">AD63/5</f>
        <v>74.4</v>
      </c>
      <c r="AF63" s="16" t="n">
        <v>83</v>
      </c>
      <c r="AG63" s="16" t="n">
        <v>95</v>
      </c>
      <c r="AH63" s="16" t="n">
        <v>89</v>
      </c>
      <c r="AI63" s="16" t="n">
        <v>89</v>
      </c>
      <c r="AJ63" s="16" t="n">
        <f aca="false">(AI63*70)/100</f>
        <v>62.3</v>
      </c>
      <c r="AK63" s="35" t="n">
        <f aca="false">ROUNDUP(AJ63,0)</f>
        <v>63</v>
      </c>
      <c r="AL63" s="16" t="n">
        <v>22</v>
      </c>
      <c r="AM63" s="16" t="n">
        <f aca="false">AL63+AJ63</f>
        <v>84.3</v>
      </c>
      <c r="AN63" s="16" t="n">
        <f aca="false">AL63+AK63</f>
        <v>85</v>
      </c>
      <c r="AO63" s="16" t="n">
        <v>63</v>
      </c>
      <c r="AP63" s="36" t="n">
        <f aca="false">(AO63*70)/100</f>
        <v>44.1</v>
      </c>
      <c r="AQ63" s="37" t="n">
        <f aca="false">ROUNDUP(AP63,0)</f>
        <v>45</v>
      </c>
      <c r="AR63" s="16" t="n">
        <v>28</v>
      </c>
      <c r="AS63" s="16" t="n">
        <f aca="false">AR63+AP63</f>
        <v>72.1</v>
      </c>
      <c r="AT63" s="16" t="n">
        <f aca="false">AR63+AQ63</f>
        <v>73</v>
      </c>
      <c r="AU63" s="16" t="n">
        <f aca="false">AO63+AF63+AI63+AH63+AG63</f>
        <v>419</v>
      </c>
      <c r="AV63" s="16" t="n">
        <f aca="false">(AO63+AF63+AI63+AH63+AG63)/5</f>
        <v>83.8</v>
      </c>
      <c r="AW63" s="36" t="n">
        <f aca="false">(AO63+AF63+AI63+AH63+AG63+X63+R63+Q63+K63+J63)</f>
        <v>791</v>
      </c>
      <c r="AX63" s="16" t="n">
        <f aca="false">AW63/10</f>
        <v>79.1</v>
      </c>
      <c r="AY63" s="16" t="n">
        <f aca="false">AS63+AF63+AM63+AH63+AG63+AB63+V63+Q63+O63+J63</f>
        <v>805.5</v>
      </c>
      <c r="AZ63" s="16" t="n">
        <f aca="false">AT63+AF63+AN63+AH63+AG63+AC63+W63+Q63+P63+J63</f>
        <v>809</v>
      </c>
      <c r="BA63" s="16" t="n">
        <f aca="false">AY63/10</f>
        <v>80.55</v>
      </c>
      <c r="BB63" s="16" t="n">
        <f aca="false">AZ63/10</f>
        <v>80.9</v>
      </c>
      <c r="BC63" s="16" t="n">
        <v>2385</v>
      </c>
      <c r="BD63" s="16" t="n">
        <f aca="false">RANK(AX63,$AX$2:$AX$881,0)</f>
        <v>324</v>
      </c>
      <c r="BE63" s="54" t="n">
        <f aca="false">((BC63*100)/2400)*0.4+(AX63*0.6)</f>
        <v>87.21</v>
      </c>
      <c r="BF63" s="16" t="n">
        <f aca="false">RANK(BE63,$BE$2:$BE$881,0)</f>
        <v>281</v>
      </c>
      <c r="BG63" s="39" t="n">
        <f aca="false">RANK(BB63,$BB$2:$BB$881,0)</f>
        <v>282</v>
      </c>
      <c r="BH63" s="39" t="n">
        <f aca="false">RANK(BC63,$BC$2:$BC$881,0)</f>
        <v>93</v>
      </c>
      <c r="BI63" s="22" t="s">
        <v>130</v>
      </c>
      <c r="BJ63" s="22" t="s">
        <v>129</v>
      </c>
      <c r="BK63" s="40" t="s">
        <v>131</v>
      </c>
      <c r="BL63" s="41" t="n">
        <v>21</v>
      </c>
      <c r="BM63" s="41" t="n">
        <v>56</v>
      </c>
      <c r="BN63" s="41" t="n">
        <v>77</v>
      </c>
      <c r="BO63" s="42" t="n">
        <v>27</v>
      </c>
      <c r="BP63" s="43" t="n">
        <v>66</v>
      </c>
      <c r="BQ63" s="44" t="n">
        <v>93</v>
      </c>
      <c r="BR63" s="42" t="n">
        <v>22</v>
      </c>
      <c r="BS63" s="45" t="n">
        <v>63</v>
      </c>
      <c r="BT63" s="45" t="n">
        <v>85</v>
      </c>
      <c r="BU63" s="46" t="n">
        <v>100</v>
      </c>
      <c r="BV63" s="47" t="n">
        <v>92</v>
      </c>
      <c r="BW63" s="42" t="n">
        <v>99</v>
      </c>
      <c r="BX63" s="48" t="n">
        <v>98</v>
      </c>
      <c r="BY63" s="32" t="n">
        <v>29</v>
      </c>
      <c r="BZ63" s="32" t="n">
        <v>62</v>
      </c>
      <c r="CA63" s="32" t="n">
        <v>91</v>
      </c>
      <c r="CB63" s="32" t="n">
        <v>21</v>
      </c>
      <c r="CC63" s="32" t="n">
        <v>62</v>
      </c>
      <c r="CD63" s="32" t="n">
        <v>83</v>
      </c>
      <c r="CE63" s="32" t="n">
        <v>28</v>
      </c>
      <c r="CF63" s="32" t="n">
        <v>61</v>
      </c>
      <c r="CG63" s="32" t="n">
        <v>89</v>
      </c>
      <c r="CH63" s="32" t="n">
        <v>100</v>
      </c>
      <c r="CI63" s="32" t="n">
        <v>100</v>
      </c>
      <c r="CJ63" s="49" t="n">
        <v>27</v>
      </c>
      <c r="CK63" s="49" t="n">
        <v>65</v>
      </c>
      <c r="CL63" s="49" t="n">
        <v>92</v>
      </c>
      <c r="CM63" s="49" t="n">
        <v>26</v>
      </c>
      <c r="CN63" s="49" t="n">
        <v>52</v>
      </c>
      <c r="CO63" s="49" t="n">
        <v>78</v>
      </c>
      <c r="CP63" s="25" t="n">
        <f aca="false">BX63+BW63+BV63+BU63+BT63+BQ63+BN63</f>
        <v>644</v>
      </c>
      <c r="CQ63" s="25" t="n">
        <f aca="false">CO63+CL63+CI63+CH63+CG63+CD63+CA63</f>
        <v>633</v>
      </c>
      <c r="CR63" s="26" t="n">
        <f aca="false">CP63/7</f>
        <v>92</v>
      </c>
      <c r="CS63" s="26" t="n">
        <f aca="false">CQ63/7</f>
        <v>90.4285714285714</v>
      </c>
      <c r="CT63" s="24" t="n">
        <f aca="false">RANK(CR63,$CR$2:$CR$881,0)</f>
        <v>91</v>
      </c>
      <c r="CU63" s="25" t="n">
        <f aca="false">RANK(CS63,$CS$2:$CS$881,0)</f>
        <v>20</v>
      </c>
      <c r="CV63" s="26" t="n">
        <f aca="false">(CS63+CR63)/2</f>
        <v>91.2142857142857</v>
      </c>
      <c r="CW63" s="25" t="n">
        <f aca="false">RANK(CV63,$CV$2:$CV$881,0)</f>
        <v>34</v>
      </c>
      <c r="CX63" s="50" t="n">
        <f aca="false">(CV63+BB63)/2</f>
        <v>86.0571428571429</v>
      </c>
      <c r="CY63" s="50" t="n">
        <v>95</v>
      </c>
      <c r="CZ63" s="27" t="s">
        <v>132</v>
      </c>
      <c r="DA63" s="27" t="s">
        <v>153</v>
      </c>
      <c r="DB63" s="27" t="s">
        <v>153</v>
      </c>
      <c r="DC63" s="27" t="s">
        <v>134</v>
      </c>
      <c r="DD63" s="27" t="s">
        <v>174</v>
      </c>
      <c r="DE63" s="27" t="s">
        <v>161</v>
      </c>
      <c r="DF63" s="27" t="s">
        <v>169</v>
      </c>
      <c r="DG63" s="27" t="s">
        <v>134</v>
      </c>
      <c r="DH63" s="27" t="s">
        <v>135</v>
      </c>
      <c r="DI63" s="27" t="s">
        <v>141</v>
      </c>
      <c r="DJ63" s="27" t="s">
        <v>176</v>
      </c>
      <c r="DK63" s="27" t="s">
        <v>134</v>
      </c>
      <c r="DL63" s="27" t="s">
        <v>164</v>
      </c>
      <c r="DM63" s="27" t="s">
        <v>203</v>
      </c>
      <c r="DN63" s="27" t="s">
        <v>162</v>
      </c>
      <c r="DO63" s="27" t="s">
        <v>134</v>
      </c>
      <c r="DP63" s="27" t="s">
        <v>137</v>
      </c>
      <c r="DQ63" s="27" t="s">
        <v>187</v>
      </c>
      <c r="DR63" s="27" t="s">
        <v>176</v>
      </c>
      <c r="DS63" s="27" t="s">
        <v>134</v>
      </c>
      <c r="DT63" s="27" t="s">
        <v>140</v>
      </c>
      <c r="DU63" s="27" t="s">
        <v>152</v>
      </c>
      <c r="DV63" s="27" t="s">
        <v>151</v>
      </c>
      <c r="DW63" s="27" t="s">
        <v>140</v>
      </c>
      <c r="DX63" s="27" t="s">
        <v>155</v>
      </c>
      <c r="DY63" s="27" t="s">
        <v>147</v>
      </c>
      <c r="DZ63" s="27" t="n">
        <f aca="false">DY63+DV63+DR63+DN63+DJ63+DF63+DB63</f>
        <v>638</v>
      </c>
      <c r="EA63" s="28" t="n">
        <f aca="false">DZ63/7</f>
        <v>91.1428571428571</v>
      </c>
      <c r="EB63" s="27" t="n">
        <f aca="false">RANK(EA63,$EA$2:$EA$881,0)</f>
        <v>34</v>
      </c>
      <c r="EC63" s="29" t="n">
        <f aca="false">DZ63+CQ63+CP63+AZ63</f>
        <v>2724</v>
      </c>
      <c r="ED63" s="30" t="n">
        <f aca="false">(EA63+CV63+BB63)/3</f>
        <v>87.752380952381</v>
      </c>
      <c r="EE63" s="51" t="n">
        <f aca="false">ROUND(BE63,3)</f>
        <v>87.21</v>
      </c>
      <c r="EF63" s="51" t="n">
        <f aca="false">ROUND(CR63,3)</f>
        <v>92</v>
      </c>
      <c r="EG63" s="51" t="n">
        <f aca="false">ROUND(CS63,3)</f>
        <v>90.429</v>
      </c>
      <c r="EH63" s="51" t="n">
        <f aca="false">ROUND(EA63,3)</f>
        <v>91.143</v>
      </c>
      <c r="EI63" s="51" t="n">
        <f aca="false">ROUND(ED63,3)</f>
        <v>87.752</v>
      </c>
      <c r="EJ63" s="51" t="n">
        <f aca="false">ROUND(CV63,3)</f>
        <v>91.214</v>
      </c>
      <c r="EK63" s="0" t="n">
        <f aca="false">RANK(EI63,$EI$2:$EI$881,0)</f>
        <v>62</v>
      </c>
    </row>
    <row r="64" customFormat="false" ht="15" hidden="false" customHeight="false" outlineLevel="0" collapsed="false">
      <c r="A64" s="4" t="n">
        <v>8578</v>
      </c>
      <c r="B64" s="4" t="n">
        <v>375</v>
      </c>
      <c r="C64" s="27" t="s">
        <v>364</v>
      </c>
      <c r="D64" s="31" t="n">
        <v>380</v>
      </c>
      <c r="E64" s="16" t="n">
        <v>230912462</v>
      </c>
      <c r="F64" s="56" t="s">
        <v>365</v>
      </c>
      <c r="G64" s="22" t="s">
        <v>232</v>
      </c>
      <c r="H64" s="22" t="s">
        <v>326</v>
      </c>
      <c r="I64" s="57"/>
      <c r="J64" s="16" t="n">
        <v>82</v>
      </c>
      <c r="K64" s="16" t="n">
        <v>80</v>
      </c>
      <c r="L64" s="34" t="n">
        <f aca="false">(K64*70)/100</f>
        <v>56</v>
      </c>
      <c r="M64" s="34" t="n">
        <f aca="false">ROUNDUP(L64,0)</f>
        <v>56</v>
      </c>
      <c r="N64" s="16" t="n">
        <v>28</v>
      </c>
      <c r="O64" s="34" t="n">
        <f aca="false">N64+L64</f>
        <v>84</v>
      </c>
      <c r="P64" s="34" t="n">
        <f aca="false">N64+M64</f>
        <v>84</v>
      </c>
      <c r="Q64" s="16" t="n">
        <v>78</v>
      </c>
      <c r="R64" s="16" t="n">
        <v>72</v>
      </c>
      <c r="S64" s="34" t="n">
        <f aca="false">(R64*70)/100</f>
        <v>50.4</v>
      </c>
      <c r="T64" s="34" t="n">
        <f aca="false">ROUNDUP(S64,0)</f>
        <v>51</v>
      </c>
      <c r="U64" s="16" t="n">
        <v>26</v>
      </c>
      <c r="V64" s="34" t="n">
        <f aca="false">U64+S64</f>
        <v>76.4</v>
      </c>
      <c r="W64" s="34" t="n">
        <f aca="false">U64+T64</f>
        <v>77</v>
      </c>
      <c r="X64" s="16" t="n">
        <v>75</v>
      </c>
      <c r="Y64" s="34" t="n">
        <f aca="false">(X64*70)/100</f>
        <v>52.5</v>
      </c>
      <c r="Z64" s="34" t="n">
        <f aca="false">ROUNDUP(Y64,0)</f>
        <v>53</v>
      </c>
      <c r="AA64" s="16" t="n">
        <v>28</v>
      </c>
      <c r="AB64" s="34" t="n">
        <f aca="false">AA64+Y64</f>
        <v>80.5</v>
      </c>
      <c r="AC64" s="34" t="n">
        <f aca="false">AA64+Z64</f>
        <v>81</v>
      </c>
      <c r="AD64" s="32" t="n">
        <f aca="false">X64+R64+Q64+K64+J64</f>
        <v>387</v>
      </c>
      <c r="AE64" s="16" t="n">
        <f aca="false">AD64/5</f>
        <v>77.4</v>
      </c>
      <c r="AF64" s="16" t="n">
        <v>70</v>
      </c>
      <c r="AG64" s="16" t="n">
        <v>70</v>
      </c>
      <c r="AH64" s="16" t="n">
        <v>92</v>
      </c>
      <c r="AI64" s="16" t="n">
        <v>92</v>
      </c>
      <c r="AJ64" s="16" t="n">
        <f aca="false">(AI64*70)/100</f>
        <v>64.4</v>
      </c>
      <c r="AK64" s="35" t="n">
        <f aca="false">ROUNDUP(AJ64,0)</f>
        <v>65</v>
      </c>
      <c r="AL64" s="16" t="n">
        <v>29</v>
      </c>
      <c r="AM64" s="16" t="n">
        <f aca="false">AL64+AJ64</f>
        <v>93.4</v>
      </c>
      <c r="AN64" s="16" t="n">
        <f aca="false">AL64+AK64</f>
        <v>94</v>
      </c>
      <c r="AO64" s="16" t="n">
        <v>76</v>
      </c>
      <c r="AP64" s="36" t="n">
        <f aca="false">(AO64*70)/100</f>
        <v>53.2</v>
      </c>
      <c r="AQ64" s="37" t="n">
        <f aca="false">ROUNDUP(AP64,0)</f>
        <v>54</v>
      </c>
      <c r="AR64" s="16" t="n">
        <v>29</v>
      </c>
      <c r="AS64" s="16" t="n">
        <f aca="false">AR64+AP64</f>
        <v>82.2</v>
      </c>
      <c r="AT64" s="16" t="n">
        <f aca="false">AR64+AQ64</f>
        <v>83</v>
      </c>
      <c r="AU64" s="16" t="n">
        <f aca="false">AO64+AF64+AI64+AH64+AG64</f>
        <v>400</v>
      </c>
      <c r="AV64" s="16" t="n">
        <f aca="false">(AO64+AF64+AI64+AH64+AG64)/5</f>
        <v>80</v>
      </c>
      <c r="AW64" s="36" t="n">
        <f aca="false">(AO64+AF64+AI64+AH64+AG64+X64+R64+Q64+K64+J64)</f>
        <v>787</v>
      </c>
      <c r="AX64" s="16" t="n">
        <f aca="false">AW64/10</f>
        <v>78.7</v>
      </c>
      <c r="AY64" s="16" t="n">
        <f aca="false">AS64+AF64+AM64+AH64+AG64+AB64+V64+Q64+O64+J64</f>
        <v>808.5</v>
      </c>
      <c r="AZ64" s="16" t="n">
        <f aca="false">AT64+AF64+AN64+AH64+AG64+AC64+W64+Q64+P64+J64</f>
        <v>811</v>
      </c>
      <c r="BA64" s="16" t="n">
        <f aca="false">AY64/10</f>
        <v>80.85</v>
      </c>
      <c r="BB64" s="16" t="n">
        <f aca="false">AZ64/10</f>
        <v>81.1</v>
      </c>
      <c r="BC64" s="16" t="n">
        <v>2339</v>
      </c>
      <c r="BD64" s="16" t="n">
        <f aca="false">RANK(AX64,$AX$2:$AX$881,0)</f>
        <v>358</v>
      </c>
      <c r="BE64" s="54" t="n">
        <f aca="false">((BC64*100)/2400)*0.4+(AX64*0.6)</f>
        <v>86.2033333333333</v>
      </c>
      <c r="BF64" s="16" t="n">
        <f aca="false">RANK(BE64,$BE$2:$BE$881,0)</f>
        <v>400</v>
      </c>
      <c r="BG64" s="39" t="n">
        <f aca="false">RANK(BB64,$BB$2:$BB$881,0)</f>
        <v>271</v>
      </c>
      <c r="BH64" s="39" t="n">
        <f aca="false">RANK(BC64,$BC$2:$BC$881,0)</f>
        <v>640</v>
      </c>
      <c r="BI64" s="22" t="s">
        <v>130</v>
      </c>
      <c r="BJ64" s="22" t="s">
        <v>129</v>
      </c>
      <c r="BK64" s="40" t="s">
        <v>131</v>
      </c>
      <c r="BL64" s="41" t="n">
        <v>25</v>
      </c>
      <c r="BM64" s="41" t="n">
        <v>63</v>
      </c>
      <c r="BN64" s="41" t="n">
        <v>88</v>
      </c>
      <c r="BO64" s="42" t="n">
        <v>26</v>
      </c>
      <c r="BP64" s="43" t="n">
        <v>68</v>
      </c>
      <c r="BQ64" s="44" t="n">
        <v>94</v>
      </c>
      <c r="BR64" s="42" t="n">
        <v>27</v>
      </c>
      <c r="BS64" s="45" t="n">
        <v>62</v>
      </c>
      <c r="BT64" s="45" t="n">
        <v>89</v>
      </c>
      <c r="BU64" s="46" t="n">
        <v>99</v>
      </c>
      <c r="BV64" s="47" t="n">
        <v>90</v>
      </c>
      <c r="BW64" s="42" t="n">
        <v>98</v>
      </c>
      <c r="BX64" s="48" t="n">
        <v>96</v>
      </c>
      <c r="BY64" s="32" t="n">
        <v>27</v>
      </c>
      <c r="BZ64" s="32" t="n">
        <v>64</v>
      </c>
      <c r="CA64" s="32" t="n">
        <v>91</v>
      </c>
      <c r="CB64" s="32" t="n">
        <v>25</v>
      </c>
      <c r="CC64" s="32" t="n">
        <v>49</v>
      </c>
      <c r="CD64" s="32" t="n">
        <v>74</v>
      </c>
      <c r="CE64" s="32" t="n">
        <v>28</v>
      </c>
      <c r="CF64" s="32" t="n">
        <v>55</v>
      </c>
      <c r="CG64" s="32" t="n">
        <v>83</v>
      </c>
      <c r="CH64" s="32" t="n">
        <v>96</v>
      </c>
      <c r="CI64" s="32" t="n">
        <v>100</v>
      </c>
      <c r="CJ64" s="49" t="n">
        <v>27</v>
      </c>
      <c r="CK64" s="49" t="n">
        <v>61</v>
      </c>
      <c r="CL64" s="49" t="n">
        <v>88</v>
      </c>
      <c r="CM64" s="49" t="n">
        <v>22</v>
      </c>
      <c r="CN64" s="49" t="n">
        <v>59</v>
      </c>
      <c r="CO64" s="49" t="n">
        <v>81</v>
      </c>
      <c r="CP64" s="25" t="n">
        <f aca="false">BX64+BW64+BV64+BU64+BT64+BQ64+BN64</f>
        <v>654</v>
      </c>
      <c r="CQ64" s="25" t="n">
        <f aca="false">CO64+CL64+CI64+CH64+CG64+CD64+CA64</f>
        <v>613</v>
      </c>
      <c r="CR64" s="26" t="n">
        <f aca="false">CP64/7</f>
        <v>93.4285714285714</v>
      </c>
      <c r="CS64" s="26" t="n">
        <f aca="false">CQ64/7</f>
        <v>87.5714285714286</v>
      </c>
      <c r="CT64" s="24" t="n">
        <f aca="false">RANK(CR64,$CR$2:$CR$881,0)</f>
        <v>41</v>
      </c>
      <c r="CU64" s="25" t="n">
        <f aca="false">RANK(CS64,$CS$2:$CS$881,0)</f>
        <v>48</v>
      </c>
      <c r="CV64" s="26" t="n">
        <f aca="false">(CS64+CR64)/2</f>
        <v>90.5</v>
      </c>
      <c r="CW64" s="25" t="n">
        <f aca="false">RANK(CV64,$CV$2:$CV$881,0)</f>
        <v>48</v>
      </c>
      <c r="CX64" s="50" t="n">
        <f aca="false">(CV64+BB64)/2</f>
        <v>85.8</v>
      </c>
      <c r="CY64" s="50" t="n">
        <v>98</v>
      </c>
      <c r="CZ64" s="27" t="s">
        <v>132</v>
      </c>
      <c r="DA64" s="27" t="s">
        <v>176</v>
      </c>
      <c r="DB64" s="27" t="s">
        <v>176</v>
      </c>
      <c r="DC64" s="27" t="s">
        <v>134</v>
      </c>
      <c r="DD64" s="27" t="s">
        <v>137</v>
      </c>
      <c r="DE64" s="27" t="s">
        <v>203</v>
      </c>
      <c r="DF64" s="27" t="s">
        <v>133</v>
      </c>
      <c r="DG64" s="27" t="s">
        <v>134</v>
      </c>
      <c r="DH64" s="27" t="s">
        <v>164</v>
      </c>
      <c r="DI64" s="27" t="s">
        <v>136</v>
      </c>
      <c r="DJ64" s="27" t="s">
        <v>153</v>
      </c>
      <c r="DK64" s="27" t="s">
        <v>134</v>
      </c>
      <c r="DL64" s="27" t="s">
        <v>140</v>
      </c>
      <c r="DM64" s="27" t="s">
        <v>203</v>
      </c>
      <c r="DN64" s="27" t="s">
        <v>170</v>
      </c>
      <c r="DO64" s="27" t="s">
        <v>134</v>
      </c>
      <c r="DP64" s="27" t="s">
        <v>135</v>
      </c>
      <c r="DQ64" s="27" t="s">
        <v>152</v>
      </c>
      <c r="DR64" s="27" t="s">
        <v>162</v>
      </c>
      <c r="DS64" s="27" t="s">
        <v>134</v>
      </c>
      <c r="DT64" s="27" t="s">
        <v>140</v>
      </c>
      <c r="DU64" s="27" t="s">
        <v>141</v>
      </c>
      <c r="DV64" s="27" t="s">
        <v>142</v>
      </c>
      <c r="DW64" s="27" t="s">
        <v>182</v>
      </c>
      <c r="DX64" s="27" t="s">
        <v>155</v>
      </c>
      <c r="DY64" s="27" t="s">
        <v>156</v>
      </c>
      <c r="DZ64" s="27" t="n">
        <f aca="false">DY64+DV64+DR64+DN64+DJ64+DF64+DB64</f>
        <v>640</v>
      </c>
      <c r="EA64" s="28" t="n">
        <f aca="false">DZ64/7</f>
        <v>91.4285714285714</v>
      </c>
      <c r="EB64" s="27" t="n">
        <f aca="false">RANK(EA64,$EA$2:$EA$881,0)</f>
        <v>28</v>
      </c>
      <c r="EC64" s="29" t="n">
        <f aca="false">DZ64+CQ64+CP64+AZ64</f>
        <v>2718</v>
      </c>
      <c r="ED64" s="30" t="n">
        <f aca="false">(EA64+CV64+BB64)/3</f>
        <v>87.6761904761905</v>
      </c>
      <c r="EE64" s="51" t="n">
        <f aca="false">ROUND(BE64,3)</f>
        <v>86.203</v>
      </c>
      <c r="EF64" s="51" t="n">
        <f aca="false">ROUND(CR64,3)</f>
        <v>93.429</v>
      </c>
      <c r="EG64" s="51" t="n">
        <f aca="false">ROUND(CS64,3)</f>
        <v>87.571</v>
      </c>
      <c r="EH64" s="51" t="n">
        <f aca="false">ROUND(EA64,3)</f>
        <v>91.429</v>
      </c>
      <c r="EI64" s="51" t="n">
        <f aca="false">ROUND(ED64,3)</f>
        <v>87.676</v>
      </c>
      <c r="EJ64" s="51" t="n">
        <f aca="false">ROUND(CV64,3)</f>
        <v>90.5</v>
      </c>
      <c r="EK64" s="0" t="n">
        <f aca="false">RANK(EI64,$EI$2:$EI$881,0)</f>
        <v>63</v>
      </c>
    </row>
    <row r="65" customFormat="false" ht="15" hidden="false" customHeight="false" outlineLevel="0" collapsed="false">
      <c r="A65" s="4" t="n">
        <v>8807</v>
      </c>
      <c r="B65" s="4" t="n">
        <v>204</v>
      </c>
      <c r="C65" s="27" t="s">
        <v>366</v>
      </c>
      <c r="D65" s="31" t="n">
        <v>206</v>
      </c>
      <c r="E65" s="32" t="n">
        <v>230312383</v>
      </c>
      <c r="F65" s="8" t="s">
        <v>367</v>
      </c>
      <c r="G65" s="22" t="s">
        <v>368</v>
      </c>
      <c r="H65" s="22" t="s">
        <v>129</v>
      </c>
      <c r="I65" s="33" t="n">
        <v>2005</v>
      </c>
      <c r="J65" s="32" t="n">
        <v>74</v>
      </c>
      <c r="K65" s="32" t="n">
        <v>93</v>
      </c>
      <c r="L65" s="34" t="n">
        <f aca="false">(K65*70)/100</f>
        <v>65.1</v>
      </c>
      <c r="M65" s="34" t="n">
        <f aca="false">ROUNDUP(L65,0)</f>
        <v>66</v>
      </c>
      <c r="N65" s="32" t="n">
        <v>25</v>
      </c>
      <c r="O65" s="34" t="n">
        <f aca="false">N65+L65</f>
        <v>90.1</v>
      </c>
      <c r="P65" s="34" t="n">
        <f aca="false">N65+M65</f>
        <v>91</v>
      </c>
      <c r="Q65" s="32" t="n">
        <v>83</v>
      </c>
      <c r="R65" s="32" t="n">
        <v>83</v>
      </c>
      <c r="S65" s="34" t="n">
        <f aca="false">(R65*70)/100</f>
        <v>58.1</v>
      </c>
      <c r="T65" s="34" t="n">
        <f aca="false">ROUNDUP(S65,0)</f>
        <v>59</v>
      </c>
      <c r="U65" s="32" t="n">
        <v>19</v>
      </c>
      <c r="V65" s="34" t="n">
        <f aca="false">U65+S65</f>
        <v>77.1</v>
      </c>
      <c r="W65" s="34" t="n">
        <f aca="false">U65+T65</f>
        <v>78</v>
      </c>
      <c r="X65" s="32" t="n">
        <v>78</v>
      </c>
      <c r="Y65" s="34" t="n">
        <f aca="false">(X65*70)/100</f>
        <v>54.6</v>
      </c>
      <c r="Z65" s="34" t="n">
        <f aca="false">ROUNDUP(Y65,0)</f>
        <v>55</v>
      </c>
      <c r="AA65" s="32" t="n">
        <v>26</v>
      </c>
      <c r="AB65" s="34" t="n">
        <f aca="false">AA65+Y65</f>
        <v>80.6</v>
      </c>
      <c r="AC65" s="34" t="n">
        <f aca="false">AA65+Z65</f>
        <v>81</v>
      </c>
      <c r="AD65" s="32" t="n">
        <f aca="false">X65+R65+Q65+K65+J65</f>
        <v>411</v>
      </c>
      <c r="AE65" s="16" t="n">
        <f aca="false">AD65/5</f>
        <v>82.2</v>
      </c>
      <c r="AF65" s="16" t="n">
        <v>81</v>
      </c>
      <c r="AG65" s="16" t="n">
        <v>87</v>
      </c>
      <c r="AH65" s="16" t="n">
        <v>97</v>
      </c>
      <c r="AI65" s="16" t="n">
        <v>97</v>
      </c>
      <c r="AJ65" s="16" t="n">
        <f aca="false">(AI65*70)/100</f>
        <v>67.9</v>
      </c>
      <c r="AK65" s="35" t="n">
        <f aca="false">ROUNDUP(AJ65,0)</f>
        <v>68</v>
      </c>
      <c r="AL65" s="16" t="n">
        <v>19</v>
      </c>
      <c r="AM65" s="16" t="n">
        <f aca="false">AL65+AJ65</f>
        <v>86.9</v>
      </c>
      <c r="AN65" s="16" t="n">
        <f aca="false">AL65+AK65</f>
        <v>87</v>
      </c>
      <c r="AO65" s="16" t="n">
        <v>92</v>
      </c>
      <c r="AP65" s="36" t="n">
        <f aca="false">(AO65*70)/100</f>
        <v>64.4</v>
      </c>
      <c r="AQ65" s="37" t="n">
        <f aca="false">ROUNDUP(AP65,0)</f>
        <v>65</v>
      </c>
      <c r="AR65" s="16" t="n">
        <v>23</v>
      </c>
      <c r="AS65" s="16" t="n">
        <f aca="false">AR65+AP65</f>
        <v>87.4</v>
      </c>
      <c r="AT65" s="16" t="n">
        <f aca="false">AR65+AQ65</f>
        <v>88</v>
      </c>
      <c r="AU65" s="16" t="n">
        <f aca="false">AO65+AF65+AI65+AH65+AG65</f>
        <v>454</v>
      </c>
      <c r="AV65" s="16" t="n">
        <f aca="false">(AO65+AF65+AI65+AH65+AG65)/5</f>
        <v>90.8</v>
      </c>
      <c r="AW65" s="36" t="n">
        <f aca="false">(AO65+AF65+AI65+AH65+AG65+X65+R65+Q65+K65+J65)</f>
        <v>865</v>
      </c>
      <c r="AX65" s="16" t="n">
        <f aca="false">AW65/10</f>
        <v>86.5</v>
      </c>
      <c r="AY65" s="16" t="n">
        <f aca="false">AS65+AF65+AM65+AH65+AG65+AB65+V65+Q65+O65+J65</f>
        <v>844.1</v>
      </c>
      <c r="AZ65" s="16" t="n">
        <f aca="false">AT65+AF65+AN65+AH65+AG65+AC65+W65+Q65+P65+J65</f>
        <v>847</v>
      </c>
      <c r="BA65" s="16" t="n">
        <f aca="false">AY65/10</f>
        <v>84.41</v>
      </c>
      <c r="BB65" s="16" t="n">
        <f aca="false">AZ65/10</f>
        <v>84.7</v>
      </c>
      <c r="BC65" s="16" t="n">
        <v>2344</v>
      </c>
      <c r="BD65" s="16" t="n">
        <f aca="false">RANK(AX65,$AX$2:$AX$881,0)</f>
        <v>62</v>
      </c>
      <c r="BE65" s="38" t="n">
        <f aca="false">((BC65*100)/2400)*0.4+(AX65*0.6)</f>
        <v>90.9666666666667</v>
      </c>
      <c r="BF65" s="16" t="n">
        <f aca="false">RANK(BE65,$BE$2:$BE$881,0)</f>
        <v>78</v>
      </c>
      <c r="BG65" s="39" t="n">
        <f aca="false">RANK(BB65,$BB$2:$BB$881,0)</f>
        <v>106</v>
      </c>
      <c r="BH65" s="39" t="n">
        <f aca="false">RANK(BC65,$BC$2:$BC$881,0)</f>
        <v>598</v>
      </c>
      <c r="BI65" s="22" t="s">
        <v>130</v>
      </c>
      <c r="BJ65" s="22" t="s">
        <v>129</v>
      </c>
      <c r="BK65" s="40" t="s">
        <v>131</v>
      </c>
      <c r="BL65" s="41" t="n">
        <v>19</v>
      </c>
      <c r="BM65" s="41" t="n">
        <v>63</v>
      </c>
      <c r="BN65" s="41" t="n">
        <v>82</v>
      </c>
      <c r="BO65" s="42" t="n">
        <v>24</v>
      </c>
      <c r="BP65" s="43" t="n">
        <v>66</v>
      </c>
      <c r="BQ65" s="44" t="n">
        <v>90</v>
      </c>
      <c r="BR65" s="42" t="n">
        <v>24</v>
      </c>
      <c r="BS65" s="45" t="n">
        <v>61</v>
      </c>
      <c r="BT65" s="45" t="n">
        <v>85</v>
      </c>
      <c r="BU65" s="46" t="n">
        <v>100</v>
      </c>
      <c r="BV65" s="47" t="n">
        <v>92</v>
      </c>
      <c r="BW65" s="42" t="n">
        <v>96</v>
      </c>
      <c r="BX65" s="48" t="n">
        <v>94</v>
      </c>
      <c r="BY65" s="32" t="n">
        <v>24</v>
      </c>
      <c r="BZ65" s="32" t="n">
        <v>61</v>
      </c>
      <c r="CA65" s="32" t="n">
        <v>85</v>
      </c>
      <c r="CB65" s="32" t="n">
        <v>24</v>
      </c>
      <c r="CC65" s="32" t="n">
        <v>44</v>
      </c>
      <c r="CD65" s="32" t="n">
        <v>68</v>
      </c>
      <c r="CE65" s="32" t="n">
        <v>26</v>
      </c>
      <c r="CF65" s="32" t="n">
        <v>63</v>
      </c>
      <c r="CG65" s="32" t="n">
        <v>89</v>
      </c>
      <c r="CH65" s="32" t="n">
        <v>98</v>
      </c>
      <c r="CI65" s="32" t="n">
        <v>98</v>
      </c>
      <c r="CJ65" s="49" t="n">
        <v>25</v>
      </c>
      <c r="CK65" s="49" t="n">
        <v>56</v>
      </c>
      <c r="CL65" s="49" t="n">
        <v>81</v>
      </c>
      <c r="CM65" s="49" t="n">
        <v>22</v>
      </c>
      <c r="CN65" s="49" t="n">
        <v>56</v>
      </c>
      <c r="CO65" s="49" t="n">
        <v>78</v>
      </c>
      <c r="CP65" s="25" t="n">
        <f aca="false">BX65+BW65+BV65+BU65+BT65+BQ65+BN65</f>
        <v>639</v>
      </c>
      <c r="CQ65" s="25" t="n">
        <f aca="false">CO65+CL65+CI65+CH65+CG65+CD65+CA65</f>
        <v>597</v>
      </c>
      <c r="CR65" s="26" t="n">
        <f aca="false">CP65/7</f>
        <v>91.2857142857143</v>
      </c>
      <c r="CS65" s="26" t="n">
        <f aca="false">CQ65/7</f>
        <v>85.2857142857143</v>
      </c>
      <c r="CT65" s="24" t="n">
        <f aca="false">RANK(CR65,$CR$2:$CR$881,0)</f>
        <v>114</v>
      </c>
      <c r="CU65" s="25" t="n">
        <f aca="false">RANK(CS65,$CS$2:$CS$881,0)</f>
        <v>96</v>
      </c>
      <c r="CV65" s="26" t="n">
        <f aca="false">(CS65+CR65)/2</f>
        <v>88.2857142857143</v>
      </c>
      <c r="CW65" s="25" t="n">
        <f aca="false">RANK(CV65,$CV$2:$CV$881,0)</f>
        <v>90</v>
      </c>
      <c r="CX65" s="50" t="n">
        <f aca="false">(CV65+BB65)/2</f>
        <v>86.4928571428572</v>
      </c>
      <c r="CY65" s="50" t="n">
        <v>88</v>
      </c>
      <c r="CZ65" s="27" t="s">
        <v>132</v>
      </c>
      <c r="DA65" s="27" t="s">
        <v>176</v>
      </c>
      <c r="DB65" s="27" t="s">
        <v>176</v>
      </c>
      <c r="DC65" s="27" t="s">
        <v>134</v>
      </c>
      <c r="DD65" s="27" t="s">
        <v>135</v>
      </c>
      <c r="DE65" s="27" t="s">
        <v>203</v>
      </c>
      <c r="DF65" s="27" t="s">
        <v>178</v>
      </c>
      <c r="DG65" s="27" t="s">
        <v>134</v>
      </c>
      <c r="DH65" s="27" t="s">
        <v>154</v>
      </c>
      <c r="DI65" s="27" t="s">
        <v>141</v>
      </c>
      <c r="DJ65" s="27" t="s">
        <v>153</v>
      </c>
      <c r="DK65" s="27" t="s">
        <v>134</v>
      </c>
      <c r="DL65" s="27" t="s">
        <v>164</v>
      </c>
      <c r="DM65" s="27" t="s">
        <v>183</v>
      </c>
      <c r="DN65" s="27" t="s">
        <v>175</v>
      </c>
      <c r="DO65" s="27" t="s">
        <v>134</v>
      </c>
      <c r="DP65" s="27" t="s">
        <v>135</v>
      </c>
      <c r="DQ65" s="27" t="s">
        <v>136</v>
      </c>
      <c r="DR65" s="27" t="s">
        <v>133</v>
      </c>
      <c r="DS65" s="27" t="s">
        <v>134</v>
      </c>
      <c r="DT65" s="27" t="s">
        <v>182</v>
      </c>
      <c r="DU65" s="27" t="s">
        <v>163</v>
      </c>
      <c r="DV65" s="27" t="s">
        <v>162</v>
      </c>
      <c r="DW65" s="27" t="s">
        <v>164</v>
      </c>
      <c r="DX65" s="27" t="s">
        <v>155</v>
      </c>
      <c r="DY65" s="27" t="s">
        <v>144</v>
      </c>
      <c r="DZ65" s="27" t="n">
        <f aca="false">DY65+DV65+DR65+DN65+DJ65+DF65+DB65</f>
        <v>628</v>
      </c>
      <c r="EA65" s="28" t="n">
        <f aca="false">DZ65/7</f>
        <v>89.7142857142857</v>
      </c>
      <c r="EB65" s="27" t="n">
        <f aca="false">RANK(EA65,$EA$2:$EA$881,0)</f>
        <v>59</v>
      </c>
      <c r="EC65" s="29" t="n">
        <f aca="false">DZ65+CQ65+CP65+AZ65</f>
        <v>2711</v>
      </c>
      <c r="ED65" s="30" t="n">
        <f aca="false">(EA65+CV65+BB65)/3</f>
        <v>87.5666666666667</v>
      </c>
      <c r="EE65" s="51" t="n">
        <f aca="false">ROUND(BE65,3)</f>
        <v>90.967</v>
      </c>
      <c r="EF65" s="51" t="n">
        <f aca="false">ROUND(CR65,3)</f>
        <v>91.286</v>
      </c>
      <c r="EG65" s="51" t="n">
        <f aca="false">ROUND(CS65,3)</f>
        <v>85.286</v>
      </c>
      <c r="EH65" s="51" t="n">
        <f aca="false">ROUND(EA65,3)</f>
        <v>89.714</v>
      </c>
      <c r="EI65" s="51" t="n">
        <f aca="false">ROUND(ED65,3)</f>
        <v>87.567</v>
      </c>
      <c r="EJ65" s="51" t="n">
        <f aca="false">ROUND(CV65,3)</f>
        <v>88.286</v>
      </c>
      <c r="EK65" s="0" t="n">
        <f aca="false">RANK(EI65,$EI$2:$EI$881,0)</f>
        <v>64</v>
      </c>
    </row>
    <row r="66" customFormat="false" ht="15" hidden="false" customHeight="false" outlineLevel="0" collapsed="false">
      <c r="A66" s="4" t="n">
        <v>8747</v>
      </c>
      <c r="B66" s="4" t="n">
        <v>142</v>
      </c>
      <c r="C66" s="27" t="s">
        <v>369</v>
      </c>
      <c r="D66" s="31" t="n">
        <v>142</v>
      </c>
      <c r="E66" s="32" t="n">
        <v>230312820</v>
      </c>
      <c r="F66" s="8" t="s">
        <v>370</v>
      </c>
      <c r="G66" s="22" t="s">
        <v>371</v>
      </c>
      <c r="H66" s="22" t="s">
        <v>129</v>
      </c>
      <c r="I66" s="33" t="n">
        <v>2005</v>
      </c>
      <c r="J66" s="32" t="n">
        <v>80</v>
      </c>
      <c r="K66" s="32" t="n">
        <v>89</v>
      </c>
      <c r="L66" s="34" t="n">
        <f aca="false">(K66*70)/100</f>
        <v>62.3</v>
      </c>
      <c r="M66" s="34" t="n">
        <f aca="false">ROUNDUP(L66,0)</f>
        <v>63</v>
      </c>
      <c r="N66" s="32" t="n">
        <v>28</v>
      </c>
      <c r="O66" s="34" t="n">
        <f aca="false">N66+L66</f>
        <v>90.3</v>
      </c>
      <c r="P66" s="34" t="n">
        <f aca="false">N66+M66</f>
        <v>91</v>
      </c>
      <c r="Q66" s="32" t="n">
        <v>78</v>
      </c>
      <c r="R66" s="32" t="n">
        <v>80</v>
      </c>
      <c r="S66" s="34" t="n">
        <f aca="false">(R66*70)/100</f>
        <v>56</v>
      </c>
      <c r="T66" s="34" t="n">
        <f aca="false">ROUNDUP(S66,0)</f>
        <v>56</v>
      </c>
      <c r="U66" s="32" t="n">
        <v>30</v>
      </c>
      <c r="V66" s="34" t="n">
        <f aca="false">U66+S66</f>
        <v>86</v>
      </c>
      <c r="W66" s="34" t="n">
        <f aca="false">U66+T66</f>
        <v>86</v>
      </c>
      <c r="X66" s="32" t="n">
        <v>79</v>
      </c>
      <c r="Y66" s="34" t="n">
        <f aca="false">(X66*70)/100</f>
        <v>55.3</v>
      </c>
      <c r="Z66" s="34" t="n">
        <f aca="false">ROUNDUP(Y66,0)</f>
        <v>56</v>
      </c>
      <c r="AA66" s="32" t="n">
        <v>29</v>
      </c>
      <c r="AB66" s="34" t="n">
        <f aca="false">AA66+Y66</f>
        <v>84.3</v>
      </c>
      <c r="AC66" s="34" t="n">
        <f aca="false">AA66+Z66</f>
        <v>85</v>
      </c>
      <c r="AD66" s="32" t="n">
        <f aca="false">X66+R66+Q66+K66+J66</f>
        <v>406</v>
      </c>
      <c r="AE66" s="16" t="n">
        <f aca="false">AD66/5</f>
        <v>81.2</v>
      </c>
      <c r="AF66" s="16" t="n">
        <v>76</v>
      </c>
      <c r="AG66" s="16" t="n">
        <v>89</v>
      </c>
      <c r="AH66" s="16" t="n">
        <v>94</v>
      </c>
      <c r="AI66" s="16" t="n">
        <v>93</v>
      </c>
      <c r="AJ66" s="16" t="n">
        <f aca="false">(AI66*70)/100</f>
        <v>65.1</v>
      </c>
      <c r="AK66" s="35" t="n">
        <f aca="false">ROUNDUP(AJ66,0)</f>
        <v>66</v>
      </c>
      <c r="AL66" s="16" t="n">
        <v>29</v>
      </c>
      <c r="AM66" s="16" t="n">
        <f aca="false">AL66+AJ66</f>
        <v>94.1</v>
      </c>
      <c r="AN66" s="16" t="n">
        <f aca="false">AL66+AK66</f>
        <v>95</v>
      </c>
      <c r="AO66" s="16" t="n">
        <v>82</v>
      </c>
      <c r="AP66" s="36" t="n">
        <f aca="false">(AO66*70)/100</f>
        <v>57.4</v>
      </c>
      <c r="AQ66" s="37" t="n">
        <f aca="false">ROUNDUP(AP66,0)</f>
        <v>58</v>
      </c>
      <c r="AR66" s="16" t="n">
        <v>30</v>
      </c>
      <c r="AS66" s="16" t="n">
        <f aca="false">AR66+AP66</f>
        <v>87.4</v>
      </c>
      <c r="AT66" s="16" t="n">
        <f aca="false">AR66+AQ66</f>
        <v>88</v>
      </c>
      <c r="AU66" s="16" t="n">
        <f aca="false">AO66+AF66+AI66+AH66+AG66</f>
        <v>434</v>
      </c>
      <c r="AV66" s="16" t="n">
        <f aca="false">(AO66+AF66+AI66+AH66+AG66)/5</f>
        <v>86.8</v>
      </c>
      <c r="AW66" s="36" t="n">
        <f aca="false">(AO66+AF66+AI66+AH66+AG66+X66+R66+Q66+K66+J66)</f>
        <v>840</v>
      </c>
      <c r="AX66" s="16" t="n">
        <f aca="false">AW66/10</f>
        <v>84</v>
      </c>
      <c r="AY66" s="16" t="n">
        <f aca="false">AS66+AF66+AM66+AH66+AG66+AB66+V66+Q66+O66+J66</f>
        <v>859.1</v>
      </c>
      <c r="AZ66" s="16" t="n">
        <f aca="false">AT66+AF66+AN66+AH66+AG66+AC66+W66+Q66+P66+J66</f>
        <v>862</v>
      </c>
      <c r="BA66" s="16" t="n">
        <f aca="false">AY66/10</f>
        <v>85.91</v>
      </c>
      <c r="BB66" s="16" t="n">
        <f aca="false">AZ66/10</f>
        <v>86.2</v>
      </c>
      <c r="BC66" s="16" t="n">
        <v>2348</v>
      </c>
      <c r="BD66" s="16" t="n">
        <f aca="false">RANK(AX66,$AX$2:$AX$881,0)</f>
        <v>109</v>
      </c>
      <c r="BE66" s="54" t="n">
        <f aca="false">((BC66*100)/2400)*0.4+(AX66*0.6)</f>
        <v>89.5333333333333</v>
      </c>
      <c r="BF66" s="16" t="n">
        <f aca="false">RANK(BE66,$BE$2:$BE$881,0)</f>
        <v>119</v>
      </c>
      <c r="BG66" s="39" t="n">
        <f aca="false">RANK(BB66,$BB$2:$BB$881,0)</f>
        <v>77</v>
      </c>
      <c r="BH66" s="39" t="n">
        <f aca="false">RANK(BC66,$BC$2:$BC$881,0)</f>
        <v>551</v>
      </c>
      <c r="BI66" s="22" t="s">
        <v>130</v>
      </c>
      <c r="BJ66" s="22" t="s">
        <v>129</v>
      </c>
      <c r="BK66" s="40" t="s">
        <v>131</v>
      </c>
      <c r="BL66" s="41" t="n">
        <v>24</v>
      </c>
      <c r="BM66" s="41" t="n">
        <v>68</v>
      </c>
      <c r="BN66" s="41" t="n">
        <v>92</v>
      </c>
      <c r="BO66" s="42" t="n">
        <v>26</v>
      </c>
      <c r="BP66" s="43" t="n">
        <v>66</v>
      </c>
      <c r="BQ66" s="44" t="n">
        <v>92</v>
      </c>
      <c r="BR66" s="42" t="n">
        <v>23</v>
      </c>
      <c r="BS66" s="45" t="n">
        <v>64</v>
      </c>
      <c r="BT66" s="45" t="n">
        <v>87</v>
      </c>
      <c r="BU66" s="46" t="n">
        <v>100</v>
      </c>
      <c r="BV66" s="47" t="n">
        <v>94</v>
      </c>
      <c r="BW66" s="42" t="n">
        <v>100</v>
      </c>
      <c r="BX66" s="48" t="n">
        <v>96</v>
      </c>
      <c r="BY66" s="32" t="n">
        <v>25</v>
      </c>
      <c r="BZ66" s="32" t="n">
        <v>64</v>
      </c>
      <c r="CA66" s="32" t="n">
        <v>89</v>
      </c>
      <c r="CB66" s="32" t="n">
        <v>26</v>
      </c>
      <c r="CC66" s="32" t="n">
        <v>52</v>
      </c>
      <c r="CD66" s="32" t="n">
        <v>78</v>
      </c>
      <c r="CE66" s="32" t="n">
        <v>28</v>
      </c>
      <c r="CF66" s="32" t="n">
        <v>54</v>
      </c>
      <c r="CG66" s="32" t="n">
        <v>82</v>
      </c>
      <c r="CH66" s="32" t="n">
        <v>99</v>
      </c>
      <c r="CI66" s="32" t="n">
        <v>99</v>
      </c>
      <c r="CJ66" s="49" t="n">
        <v>25</v>
      </c>
      <c r="CK66" s="49" t="n">
        <v>56</v>
      </c>
      <c r="CL66" s="49" t="n">
        <v>81</v>
      </c>
      <c r="CM66" s="49" t="n">
        <v>28</v>
      </c>
      <c r="CN66" s="49" t="n">
        <v>56</v>
      </c>
      <c r="CO66" s="49" t="n">
        <v>84</v>
      </c>
      <c r="CP66" s="25" t="n">
        <f aca="false">BX66+BW66+BV66+BU66+BT66+BQ66+BN66</f>
        <v>661</v>
      </c>
      <c r="CQ66" s="25" t="n">
        <f aca="false">CO66+CL66+CI66+CH66+CG66+CD66+CA66</f>
        <v>612</v>
      </c>
      <c r="CR66" s="26" t="n">
        <f aca="false">CP66/7</f>
        <v>94.4285714285714</v>
      </c>
      <c r="CS66" s="26" t="n">
        <f aca="false">CQ66/7</f>
        <v>87.4285714285714</v>
      </c>
      <c r="CT66" s="24" t="n">
        <f aca="false">RANK(CR66,$CR$2:$CR$881,0)</f>
        <v>22</v>
      </c>
      <c r="CU66" s="25" t="n">
        <f aca="false">RANK(CS66,$CS$2:$CS$881,0)</f>
        <v>51</v>
      </c>
      <c r="CV66" s="26" t="n">
        <f aca="false">(CS66+CR66)/2</f>
        <v>90.9285714285714</v>
      </c>
      <c r="CW66" s="25" t="n">
        <f aca="false">RANK(CV66,$CV$2:$CV$881,0)</f>
        <v>40</v>
      </c>
      <c r="CX66" s="50" t="n">
        <f aca="false">(CV66+BB66)/2</f>
        <v>88.5642857142857</v>
      </c>
      <c r="CY66" s="50" t="n">
        <v>42</v>
      </c>
      <c r="CZ66" s="27" t="s">
        <v>132</v>
      </c>
      <c r="DA66" s="27" t="s">
        <v>133</v>
      </c>
      <c r="DB66" s="27" t="s">
        <v>133</v>
      </c>
      <c r="DC66" s="27" t="s">
        <v>134</v>
      </c>
      <c r="DD66" s="27" t="s">
        <v>164</v>
      </c>
      <c r="DE66" s="27" t="s">
        <v>161</v>
      </c>
      <c r="DF66" s="27" t="s">
        <v>133</v>
      </c>
      <c r="DG66" s="27" t="s">
        <v>134</v>
      </c>
      <c r="DH66" s="27" t="s">
        <v>137</v>
      </c>
      <c r="DI66" s="27" t="s">
        <v>204</v>
      </c>
      <c r="DJ66" s="27" t="s">
        <v>175</v>
      </c>
      <c r="DK66" s="27" t="s">
        <v>134</v>
      </c>
      <c r="DL66" s="27" t="s">
        <v>160</v>
      </c>
      <c r="DM66" s="27" t="s">
        <v>220</v>
      </c>
      <c r="DN66" s="27" t="s">
        <v>209</v>
      </c>
      <c r="DO66" s="27" t="s">
        <v>134</v>
      </c>
      <c r="DP66" s="27" t="s">
        <v>191</v>
      </c>
      <c r="DQ66" s="27" t="s">
        <v>304</v>
      </c>
      <c r="DR66" s="27" t="s">
        <v>372</v>
      </c>
      <c r="DS66" s="27" t="s">
        <v>134</v>
      </c>
      <c r="DT66" s="27" t="s">
        <v>137</v>
      </c>
      <c r="DU66" s="27" t="s">
        <v>177</v>
      </c>
      <c r="DV66" s="27" t="s">
        <v>202</v>
      </c>
      <c r="DW66" s="27" t="s">
        <v>137</v>
      </c>
      <c r="DX66" s="27" t="s">
        <v>143</v>
      </c>
      <c r="DY66" s="27" t="s">
        <v>156</v>
      </c>
      <c r="DZ66" s="27" t="n">
        <f aca="false">DY66+DV66+DR66+DN66+DJ66+DF66+DB66</f>
        <v>599</v>
      </c>
      <c r="EA66" s="28" t="n">
        <f aca="false">DZ66/7</f>
        <v>85.5714285714286</v>
      </c>
      <c r="EB66" s="27" t="n">
        <f aca="false">RANK(EA66,$EA$2:$EA$881,0)</f>
        <v>166</v>
      </c>
      <c r="EC66" s="29" t="n">
        <f aca="false">DZ66+CQ66+CP66+AZ66</f>
        <v>2734</v>
      </c>
      <c r="ED66" s="30" t="n">
        <f aca="false">(EA66+CV66+BB66)/3</f>
        <v>87.5666666666667</v>
      </c>
      <c r="EE66" s="51" t="n">
        <f aca="false">ROUND(BE66,3)</f>
        <v>89.533</v>
      </c>
      <c r="EF66" s="51" t="n">
        <f aca="false">ROUND(CR66,3)</f>
        <v>94.429</v>
      </c>
      <c r="EG66" s="51" t="n">
        <f aca="false">ROUND(CS66,3)</f>
        <v>87.429</v>
      </c>
      <c r="EH66" s="51" t="n">
        <f aca="false">ROUND(EA66,3)</f>
        <v>85.571</v>
      </c>
      <c r="EI66" s="51" t="n">
        <f aca="false">ROUND(ED66,3)</f>
        <v>87.567</v>
      </c>
      <c r="EJ66" s="51" t="n">
        <f aca="false">ROUND(CV66,3)</f>
        <v>90.929</v>
      </c>
      <c r="EK66" s="0" t="n">
        <f aca="false">RANK(EI66,$EI$2:$EI$881,0)</f>
        <v>64</v>
      </c>
    </row>
    <row r="67" customFormat="false" ht="15" hidden="false" customHeight="false" outlineLevel="0" collapsed="false">
      <c r="A67" s="4" t="n">
        <v>8755</v>
      </c>
      <c r="B67" s="4" t="n">
        <v>412</v>
      </c>
      <c r="C67" s="27" t="s">
        <v>373</v>
      </c>
      <c r="D67" s="31" t="n">
        <v>417</v>
      </c>
      <c r="E67" s="62" t="n">
        <v>230313924</v>
      </c>
      <c r="F67" s="8" t="s">
        <v>374</v>
      </c>
      <c r="G67" s="63" t="s">
        <v>280</v>
      </c>
      <c r="H67" s="22" t="s">
        <v>129</v>
      </c>
      <c r="I67" s="64" t="n">
        <v>2005</v>
      </c>
      <c r="J67" s="62" t="n">
        <v>84</v>
      </c>
      <c r="K67" s="62" t="n">
        <v>92</v>
      </c>
      <c r="L67" s="34" t="n">
        <f aca="false">(K67*70)/100</f>
        <v>64.4</v>
      </c>
      <c r="M67" s="34" t="n">
        <f aca="false">ROUNDUP(L67,0)</f>
        <v>65</v>
      </c>
      <c r="N67" s="62" t="n">
        <v>25</v>
      </c>
      <c r="O67" s="34" t="n">
        <f aca="false">N67+L67</f>
        <v>89.4</v>
      </c>
      <c r="P67" s="34" t="n">
        <f aca="false">N67+M67</f>
        <v>90</v>
      </c>
      <c r="Q67" s="62" t="n">
        <v>81</v>
      </c>
      <c r="R67" s="62" t="n">
        <v>85</v>
      </c>
      <c r="S67" s="34" t="n">
        <f aca="false">(R67*70)/100</f>
        <v>59.5</v>
      </c>
      <c r="T67" s="34" t="n">
        <f aca="false">ROUNDUP(S67,0)</f>
        <v>60</v>
      </c>
      <c r="U67" s="62" t="n">
        <v>20</v>
      </c>
      <c r="V67" s="34" t="n">
        <f aca="false">U67+S67</f>
        <v>79.5</v>
      </c>
      <c r="W67" s="34" t="n">
        <f aca="false">U67+T67</f>
        <v>80</v>
      </c>
      <c r="X67" s="62" t="n">
        <v>75</v>
      </c>
      <c r="Y67" s="34" t="n">
        <f aca="false">(X67*70)/100</f>
        <v>52.5</v>
      </c>
      <c r="Z67" s="34" t="n">
        <f aca="false">ROUNDUP(Y67,0)</f>
        <v>53</v>
      </c>
      <c r="AA67" s="62" t="n">
        <v>25</v>
      </c>
      <c r="AB67" s="34" t="n">
        <f aca="false">AA67+Y67</f>
        <v>77.5</v>
      </c>
      <c r="AC67" s="34" t="n">
        <f aca="false">AA67+Z67</f>
        <v>78</v>
      </c>
      <c r="AD67" s="32" t="n">
        <f aca="false">X67+R67+Q67+K67+J67</f>
        <v>417</v>
      </c>
      <c r="AE67" s="16" t="n">
        <f aca="false">AD67/5</f>
        <v>83.4</v>
      </c>
      <c r="AF67" s="65" t="n">
        <v>83</v>
      </c>
      <c r="AG67" s="65" t="n">
        <v>96</v>
      </c>
      <c r="AH67" s="65" t="n">
        <v>98</v>
      </c>
      <c r="AI67" s="65" t="n">
        <v>94</v>
      </c>
      <c r="AJ67" s="16" t="n">
        <f aca="false">(AI67*70)/100</f>
        <v>65.8</v>
      </c>
      <c r="AK67" s="35" t="n">
        <f aca="false">ROUNDUP(AJ67,0)</f>
        <v>66</v>
      </c>
      <c r="AL67" s="65" t="n">
        <v>25</v>
      </c>
      <c r="AM67" s="16" t="n">
        <f aca="false">AL67+AJ67</f>
        <v>90.8</v>
      </c>
      <c r="AN67" s="16" t="n">
        <f aca="false">AL67+AK67</f>
        <v>91</v>
      </c>
      <c r="AO67" s="65" t="n">
        <v>88</v>
      </c>
      <c r="AP67" s="36" t="n">
        <f aca="false">(AO67*70)/100</f>
        <v>61.6</v>
      </c>
      <c r="AQ67" s="37" t="n">
        <f aca="false">ROUNDUP(AP67,0)</f>
        <v>62</v>
      </c>
      <c r="AR67" s="65" t="n">
        <v>26</v>
      </c>
      <c r="AS67" s="16" t="n">
        <f aca="false">AR67+AP67</f>
        <v>87.6</v>
      </c>
      <c r="AT67" s="16" t="n">
        <f aca="false">AR67+AQ67</f>
        <v>88</v>
      </c>
      <c r="AU67" s="16" t="n">
        <f aca="false">AO67+AF67+AI67+AH67+AG67</f>
        <v>459</v>
      </c>
      <c r="AV67" s="16" t="n">
        <f aca="false">(AO67+AF67+AI67+AH67+AG67)/5</f>
        <v>91.8</v>
      </c>
      <c r="AW67" s="36" t="n">
        <f aca="false">(AO67+AF67+AI67+AH67+AG67+X67+R67+Q67+K67+J67)</f>
        <v>876</v>
      </c>
      <c r="AX67" s="16" t="n">
        <f aca="false">AW67/10</f>
        <v>87.6</v>
      </c>
      <c r="AY67" s="16" t="n">
        <f aca="false">AS67+AF67+AM67+AH67+AG67+AB67+V67+Q67+O67+J67</f>
        <v>866.8</v>
      </c>
      <c r="AZ67" s="16" t="n">
        <f aca="false">AT67+AF67+AN67+AH67+AG67+AC67+W67+Q67+P67+J67</f>
        <v>869</v>
      </c>
      <c r="BA67" s="16" t="n">
        <f aca="false">AY67/10</f>
        <v>86.68</v>
      </c>
      <c r="BB67" s="16" t="n">
        <f aca="false">AZ67/10</f>
        <v>86.9</v>
      </c>
      <c r="BC67" s="65" t="n">
        <v>2350</v>
      </c>
      <c r="BD67" s="16" t="n">
        <f aca="false">RANK(AX67,$AX$2:$AX$881,0)</f>
        <v>40</v>
      </c>
      <c r="BE67" s="38" t="n">
        <f aca="false">((BC67*100)/2400)*0.4+(AX67*0.6)</f>
        <v>91.7266666666667</v>
      </c>
      <c r="BF67" s="16" t="n">
        <f aca="false">RANK(BE67,$BE$2:$BE$881,0)</f>
        <v>51</v>
      </c>
      <c r="BG67" s="39" t="n">
        <f aca="false">RANK(BB67,$BB$2:$BB$881,0)</f>
        <v>62</v>
      </c>
      <c r="BH67" s="39" t="n">
        <f aca="false">RANK(BC67,$BC$2:$BC$881,0)</f>
        <v>532</v>
      </c>
      <c r="BI67" s="22" t="s">
        <v>130</v>
      </c>
      <c r="BJ67" s="22" t="s">
        <v>129</v>
      </c>
      <c r="BK67" s="40" t="s">
        <v>131</v>
      </c>
      <c r="BL67" s="41" t="n">
        <v>25</v>
      </c>
      <c r="BM67" s="41" t="n">
        <v>65</v>
      </c>
      <c r="BN67" s="41" t="n">
        <v>90</v>
      </c>
      <c r="BO67" s="42" t="n">
        <v>28</v>
      </c>
      <c r="BP67" s="43" t="n">
        <v>67</v>
      </c>
      <c r="BQ67" s="44" t="n">
        <v>95</v>
      </c>
      <c r="BR67" s="42" t="n">
        <v>23</v>
      </c>
      <c r="BS67" s="45" t="n">
        <v>63</v>
      </c>
      <c r="BT67" s="45" t="n">
        <v>86</v>
      </c>
      <c r="BU67" s="46" t="n">
        <v>100</v>
      </c>
      <c r="BV67" s="47" t="n">
        <v>82</v>
      </c>
      <c r="BW67" s="42" t="n">
        <v>99</v>
      </c>
      <c r="BX67" s="48" t="n">
        <v>94</v>
      </c>
      <c r="BY67" s="32" t="n">
        <v>27</v>
      </c>
      <c r="BZ67" s="32" t="n">
        <v>66</v>
      </c>
      <c r="CA67" s="32" t="n">
        <v>93</v>
      </c>
      <c r="CB67" s="32" t="n">
        <v>22</v>
      </c>
      <c r="CC67" s="32" t="n">
        <v>44</v>
      </c>
      <c r="CD67" s="32" t="n">
        <v>66</v>
      </c>
      <c r="CE67" s="32" t="n">
        <v>23</v>
      </c>
      <c r="CF67" s="32" t="n">
        <v>61</v>
      </c>
      <c r="CG67" s="32" t="n">
        <v>84</v>
      </c>
      <c r="CH67" s="32" t="n">
        <v>100</v>
      </c>
      <c r="CI67" s="32" t="n">
        <v>99</v>
      </c>
      <c r="CJ67" s="49" t="n">
        <v>26</v>
      </c>
      <c r="CK67" s="49" t="n">
        <v>52</v>
      </c>
      <c r="CL67" s="49" t="n">
        <v>78</v>
      </c>
      <c r="CM67" s="49" t="n">
        <v>27</v>
      </c>
      <c r="CN67" s="49" t="n">
        <v>49</v>
      </c>
      <c r="CO67" s="49" t="n">
        <v>76</v>
      </c>
      <c r="CP67" s="25" t="n">
        <f aca="false">BX67+BW67+BV67+BU67+BT67+BQ67+BN67</f>
        <v>646</v>
      </c>
      <c r="CQ67" s="25" t="n">
        <f aca="false">CO67+CL67+CI67+CH67+CG67+CD67+CA67</f>
        <v>596</v>
      </c>
      <c r="CR67" s="26" t="n">
        <f aca="false">CP67/7</f>
        <v>92.2857142857143</v>
      </c>
      <c r="CS67" s="26" t="n">
        <f aca="false">CQ67/7</f>
        <v>85.1428571428571</v>
      </c>
      <c r="CT67" s="24" t="n">
        <f aca="false">RANK(CR67,$CR$2:$CR$881,0)</f>
        <v>80</v>
      </c>
      <c r="CU67" s="25" t="n">
        <f aca="false">RANK(CS67,$CS$2:$CS$881,0)</f>
        <v>99</v>
      </c>
      <c r="CV67" s="26" t="n">
        <f aca="false">(CS67+CR67)/2</f>
        <v>88.7142857142857</v>
      </c>
      <c r="CW67" s="25" t="n">
        <f aca="false">RANK(CV67,$CV$2:$CV$881,0)</f>
        <v>78</v>
      </c>
      <c r="CX67" s="50" t="n">
        <f aca="false">(CV67+BB67)/2</f>
        <v>87.8071428571429</v>
      </c>
      <c r="CY67" s="50" t="n">
        <v>54</v>
      </c>
      <c r="CZ67" s="27" t="s">
        <v>132</v>
      </c>
      <c r="DA67" s="27" t="s">
        <v>133</v>
      </c>
      <c r="DB67" s="27" t="s">
        <v>133</v>
      </c>
      <c r="DC67" s="27" t="s">
        <v>134</v>
      </c>
      <c r="DD67" s="27" t="s">
        <v>164</v>
      </c>
      <c r="DE67" s="27" t="s">
        <v>218</v>
      </c>
      <c r="DF67" s="27" t="s">
        <v>209</v>
      </c>
      <c r="DG67" s="27" t="s">
        <v>134</v>
      </c>
      <c r="DH67" s="27" t="s">
        <v>154</v>
      </c>
      <c r="DI67" s="27" t="s">
        <v>187</v>
      </c>
      <c r="DJ67" s="27" t="s">
        <v>162</v>
      </c>
      <c r="DK67" s="27" t="s">
        <v>134</v>
      </c>
      <c r="DL67" s="27" t="s">
        <v>160</v>
      </c>
      <c r="DM67" s="27" t="s">
        <v>161</v>
      </c>
      <c r="DN67" s="27" t="s">
        <v>162</v>
      </c>
      <c r="DO67" s="27" t="s">
        <v>134</v>
      </c>
      <c r="DP67" s="27" t="s">
        <v>154</v>
      </c>
      <c r="DQ67" s="27" t="s">
        <v>177</v>
      </c>
      <c r="DR67" s="27" t="s">
        <v>169</v>
      </c>
      <c r="DS67" s="27" t="s">
        <v>134</v>
      </c>
      <c r="DT67" s="27" t="s">
        <v>160</v>
      </c>
      <c r="DU67" s="27" t="s">
        <v>375</v>
      </c>
      <c r="DV67" s="27" t="s">
        <v>305</v>
      </c>
      <c r="DW67" s="27" t="s">
        <v>160</v>
      </c>
      <c r="DX67" s="27" t="s">
        <v>155</v>
      </c>
      <c r="DY67" s="27" t="s">
        <v>145</v>
      </c>
      <c r="DZ67" s="27" t="n">
        <f aca="false">DY67+DV67+DR67+DN67+DJ67+DF67+DB67</f>
        <v>609</v>
      </c>
      <c r="EA67" s="28" t="n">
        <f aca="false">DZ67/7</f>
        <v>87</v>
      </c>
      <c r="EB67" s="27" t="n">
        <f aca="false">RANK(EA67,$EA$2:$EA$881,0)</f>
        <v>125</v>
      </c>
      <c r="EC67" s="29" t="n">
        <f aca="false">DZ67+CQ67+CP67+AZ67</f>
        <v>2720</v>
      </c>
      <c r="ED67" s="30" t="n">
        <f aca="false">(EA67+CV67+BB67)/3</f>
        <v>87.5380952380953</v>
      </c>
      <c r="EE67" s="51" t="n">
        <f aca="false">ROUND(BE67,3)</f>
        <v>91.727</v>
      </c>
      <c r="EF67" s="51" t="n">
        <f aca="false">ROUND(CR67,3)</f>
        <v>92.286</v>
      </c>
      <c r="EG67" s="51" t="n">
        <f aca="false">ROUND(CS67,3)</f>
        <v>85.143</v>
      </c>
      <c r="EH67" s="51" t="n">
        <f aca="false">ROUND(EA67,3)</f>
        <v>87</v>
      </c>
      <c r="EI67" s="51" t="n">
        <f aca="false">ROUND(ED67,3)</f>
        <v>87.538</v>
      </c>
      <c r="EJ67" s="51" t="n">
        <f aca="false">ROUND(CV67,3)</f>
        <v>88.714</v>
      </c>
      <c r="EK67" s="0" t="n">
        <f aca="false">RANK(EI67,$EI$2:$EI$881,0)</f>
        <v>66</v>
      </c>
    </row>
    <row r="68" customFormat="false" ht="15" hidden="false" customHeight="false" outlineLevel="0" collapsed="false">
      <c r="A68" s="4" t="n">
        <v>9015</v>
      </c>
      <c r="B68" s="4" t="n">
        <v>597</v>
      </c>
      <c r="C68" s="27" t="s">
        <v>376</v>
      </c>
      <c r="D68" s="31" t="n">
        <v>605</v>
      </c>
      <c r="E68" s="32" t="n">
        <v>230324995</v>
      </c>
      <c r="F68" s="8" t="s">
        <v>377</v>
      </c>
      <c r="G68" s="22" t="s">
        <v>378</v>
      </c>
      <c r="H68" s="22" t="s">
        <v>129</v>
      </c>
      <c r="I68" s="33" t="n">
        <v>2005</v>
      </c>
      <c r="J68" s="32" t="n">
        <v>84</v>
      </c>
      <c r="K68" s="32" t="n">
        <v>81</v>
      </c>
      <c r="L68" s="34" t="n">
        <f aca="false">(K68*70)/100</f>
        <v>56.7</v>
      </c>
      <c r="M68" s="34" t="n">
        <f aca="false">ROUNDUP(L68,0)</f>
        <v>57</v>
      </c>
      <c r="N68" s="32" t="n">
        <v>28</v>
      </c>
      <c r="O68" s="34" t="n">
        <f aca="false">N68+L68</f>
        <v>84.7</v>
      </c>
      <c r="P68" s="34" t="n">
        <f aca="false">N68+M68</f>
        <v>85</v>
      </c>
      <c r="Q68" s="32" t="n">
        <v>80</v>
      </c>
      <c r="R68" s="32" t="n">
        <v>83</v>
      </c>
      <c r="S68" s="34" t="n">
        <f aca="false">(R68*70)/100</f>
        <v>58.1</v>
      </c>
      <c r="T68" s="34" t="n">
        <f aca="false">ROUNDUP(S68,0)</f>
        <v>59</v>
      </c>
      <c r="U68" s="32" t="n">
        <v>28</v>
      </c>
      <c r="V68" s="34" t="n">
        <f aca="false">U68+S68</f>
        <v>86.1</v>
      </c>
      <c r="W68" s="34" t="n">
        <f aca="false">U68+T68</f>
        <v>87</v>
      </c>
      <c r="X68" s="32" t="n">
        <v>86</v>
      </c>
      <c r="Y68" s="34" t="n">
        <f aca="false">(X68*70)/100</f>
        <v>60.2</v>
      </c>
      <c r="Z68" s="34" t="n">
        <f aca="false">ROUNDUP(Y68,0)</f>
        <v>61</v>
      </c>
      <c r="AA68" s="32" t="n">
        <v>28</v>
      </c>
      <c r="AB68" s="34" t="n">
        <f aca="false">AA68+Y68</f>
        <v>88.2</v>
      </c>
      <c r="AC68" s="34" t="n">
        <f aca="false">AA68+Z68</f>
        <v>89</v>
      </c>
      <c r="AD68" s="32" t="n">
        <f aca="false">X68+R68+Q68+K68+J68</f>
        <v>414</v>
      </c>
      <c r="AE68" s="16" t="n">
        <f aca="false">AD68/5</f>
        <v>82.8</v>
      </c>
      <c r="AF68" s="16" t="n">
        <v>88</v>
      </c>
      <c r="AG68" s="16" t="n">
        <v>87</v>
      </c>
      <c r="AH68" s="16" t="n">
        <v>89</v>
      </c>
      <c r="AI68" s="16" t="n">
        <v>92</v>
      </c>
      <c r="AJ68" s="16" t="n">
        <f aca="false">(AI68*70)/100</f>
        <v>64.4</v>
      </c>
      <c r="AK68" s="35" t="n">
        <f aca="false">ROUNDUP(AJ68,0)</f>
        <v>65</v>
      </c>
      <c r="AL68" s="16" t="n">
        <v>26</v>
      </c>
      <c r="AM68" s="16" t="n">
        <f aca="false">AL68+AJ68</f>
        <v>90.4</v>
      </c>
      <c r="AN68" s="16" t="n">
        <f aca="false">AL68+AK68</f>
        <v>91</v>
      </c>
      <c r="AO68" s="16" t="n">
        <v>73</v>
      </c>
      <c r="AP68" s="36" t="n">
        <f aca="false">(AO68*70)/100</f>
        <v>51.1</v>
      </c>
      <c r="AQ68" s="37" t="n">
        <f aca="false">ROUNDUP(AP68,0)</f>
        <v>52</v>
      </c>
      <c r="AR68" s="16" t="n">
        <v>29</v>
      </c>
      <c r="AS68" s="16" t="n">
        <f aca="false">AR68+AP68</f>
        <v>80.1</v>
      </c>
      <c r="AT68" s="16" t="n">
        <f aca="false">AR68+AQ68</f>
        <v>81</v>
      </c>
      <c r="AU68" s="16" t="n">
        <f aca="false">AO68+AF68+AI68+AH68+AG68</f>
        <v>429</v>
      </c>
      <c r="AV68" s="16" t="n">
        <f aca="false">(AO68+AF68+AI68+AH68+AG68)/5</f>
        <v>85.8</v>
      </c>
      <c r="AW68" s="36" t="n">
        <f aca="false">(AO68+AF68+AI68+AH68+AG68+X68+R68+Q68+K68+J68)</f>
        <v>843</v>
      </c>
      <c r="AX68" s="16" t="n">
        <f aca="false">AW68/10</f>
        <v>84.3</v>
      </c>
      <c r="AY68" s="16" t="n">
        <f aca="false">AS68+AF68+AM68+AH68+AG68+AB68+V68+Q68+O68+J68</f>
        <v>857.5</v>
      </c>
      <c r="AZ68" s="16" t="n">
        <f aca="false">AT68+AF68+AN68+AH68+AG68+AC68+W68+Q68+P68+J68</f>
        <v>861</v>
      </c>
      <c r="BA68" s="16" t="n">
        <f aca="false">AY68/10</f>
        <v>85.75</v>
      </c>
      <c r="BB68" s="16" t="n">
        <f aca="false">AZ68/10</f>
        <v>86.1</v>
      </c>
      <c r="BC68" s="16" t="n">
        <v>2392</v>
      </c>
      <c r="BD68" s="16" t="n">
        <f aca="false">RANK(AX68,$AX$2:$AX$881,0)</f>
        <v>102</v>
      </c>
      <c r="BE68" s="38" t="n">
        <f aca="false">((BC68*100)/2400)*0.4+(AX68*0.6)</f>
        <v>90.4466666666667</v>
      </c>
      <c r="BF68" s="16" t="n">
        <f aca="false">RANK(BE68,$BE$2:$BE$881,0)</f>
        <v>89</v>
      </c>
      <c r="BG68" s="39" t="n">
        <f aca="false">RANK(BB68,$BB$2:$BB$881,0)</f>
        <v>80</v>
      </c>
      <c r="BH68" s="39" t="n">
        <f aca="false">RANK(BC68,$BC$2:$BC$881,0)</f>
        <v>28</v>
      </c>
      <c r="BI68" s="22" t="s">
        <v>130</v>
      </c>
      <c r="BJ68" s="22" t="s">
        <v>129</v>
      </c>
      <c r="BK68" s="40" t="s">
        <v>131</v>
      </c>
      <c r="BL68" s="41" t="n">
        <v>25</v>
      </c>
      <c r="BM68" s="41" t="n">
        <v>52</v>
      </c>
      <c r="BN68" s="41" t="n">
        <v>77</v>
      </c>
      <c r="BO68" s="42" t="n">
        <v>27</v>
      </c>
      <c r="BP68" s="43" t="n">
        <v>61</v>
      </c>
      <c r="BQ68" s="44" t="n">
        <v>88</v>
      </c>
      <c r="BR68" s="42" t="n">
        <v>24</v>
      </c>
      <c r="BS68" s="45" t="n">
        <v>55</v>
      </c>
      <c r="BT68" s="45" t="n">
        <v>79</v>
      </c>
      <c r="BU68" s="46" t="n">
        <v>100</v>
      </c>
      <c r="BV68" s="47" t="n">
        <v>96</v>
      </c>
      <c r="BW68" s="42" t="n">
        <v>100</v>
      </c>
      <c r="BX68" s="48" t="n">
        <v>92</v>
      </c>
      <c r="BY68" s="32" t="n">
        <v>25</v>
      </c>
      <c r="BZ68" s="32" t="n">
        <v>54</v>
      </c>
      <c r="CA68" s="32" t="n">
        <v>79</v>
      </c>
      <c r="CB68" s="32" t="n">
        <v>18</v>
      </c>
      <c r="CC68" s="32" t="n">
        <v>43</v>
      </c>
      <c r="CD68" s="32" t="n">
        <v>61</v>
      </c>
      <c r="CE68" s="32" t="n">
        <v>27</v>
      </c>
      <c r="CF68" s="32" t="n">
        <v>60</v>
      </c>
      <c r="CG68" s="32" t="n">
        <v>87</v>
      </c>
      <c r="CH68" s="32" t="n">
        <v>99</v>
      </c>
      <c r="CI68" s="32" t="n">
        <v>99</v>
      </c>
      <c r="CJ68" s="49" t="n">
        <v>25</v>
      </c>
      <c r="CK68" s="49" t="n">
        <v>50</v>
      </c>
      <c r="CL68" s="49" t="n">
        <v>75</v>
      </c>
      <c r="CM68" s="49" t="n">
        <v>24</v>
      </c>
      <c r="CN68" s="49" t="n">
        <v>56</v>
      </c>
      <c r="CO68" s="49" t="n">
        <v>80</v>
      </c>
      <c r="CP68" s="25" t="n">
        <f aca="false">BX68+BW68+BV68+BU68+BT68+BQ68+BN68</f>
        <v>632</v>
      </c>
      <c r="CQ68" s="25" t="n">
        <f aca="false">CO68+CL68+CI68+CH68+CG68+CD68+CA68</f>
        <v>580</v>
      </c>
      <c r="CR68" s="26" t="n">
        <f aca="false">CP68/7</f>
        <v>90.2857142857143</v>
      </c>
      <c r="CS68" s="26" t="n">
        <f aca="false">CQ68/7</f>
        <v>82.8571428571429</v>
      </c>
      <c r="CT68" s="24" t="n">
        <f aca="false">RANK(CR68,$CR$2:$CR$881,0)</f>
        <v>160</v>
      </c>
      <c r="CU68" s="25" t="n">
        <f aca="false">RANK(CS68,$CS$2:$CS$881,0)</f>
        <v>161</v>
      </c>
      <c r="CV68" s="26" t="n">
        <f aca="false">(CS68+CR68)/2</f>
        <v>86.5714285714286</v>
      </c>
      <c r="CW68" s="25" t="n">
        <f aca="false">RANK(CV68,$CV$2:$CV$881,0)</f>
        <v>150</v>
      </c>
      <c r="CX68" s="50" t="n">
        <f aca="false">(CV68+BB68)/2</f>
        <v>86.3357142857143</v>
      </c>
      <c r="CY68" s="50" t="n">
        <v>92</v>
      </c>
      <c r="CZ68" s="27" t="s">
        <v>132</v>
      </c>
      <c r="DA68" s="27" t="s">
        <v>153</v>
      </c>
      <c r="DB68" s="27" t="s">
        <v>153</v>
      </c>
      <c r="DC68" s="27" t="s">
        <v>134</v>
      </c>
      <c r="DD68" s="27" t="s">
        <v>140</v>
      </c>
      <c r="DE68" s="27" t="s">
        <v>163</v>
      </c>
      <c r="DF68" s="27" t="s">
        <v>156</v>
      </c>
      <c r="DG68" s="27" t="s">
        <v>134</v>
      </c>
      <c r="DH68" s="27" t="s">
        <v>135</v>
      </c>
      <c r="DI68" s="27" t="s">
        <v>136</v>
      </c>
      <c r="DJ68" s="27" t="s">
        <v>133</v>
      </c>
      <c r="DK68" s="27" t="s">
        <v>134</v>
      </c>
      <c r="DL68" s="27" t="s">
        <v>137</v>
      </c>
      <c r="DM68" s="27" t="s">
        <v>152</v>
      </c>
      <c r="DN68" s="27" t="s">
        <v>153</v>
      </c>
      <c r="DO68" s="27" t="s">
        <v>134</v>
      </c>
      <c r="DP68" s="27" t="s">
        <v>264</v>
      </c>
      <c r="DQ68" s="27" t="s">
        <v>187</v>
      </c>
      <c r="DR68" s="27" t="s">
        <v>175</v>
      </c>
      <c r="DS68" s="27" t="s">
        <v>134</v>
      </c>
      <c r="DT68" s="27" t="s">
        <v>140</v>
      </c>
      <c r="DU68" s="27" t="s">
        <v>177</v>
      </c>
      <c r="DV68" s="27" t="s">
        <v>162</v>
      </c>
      <c r="DW68" s="27" t="s">
        <v>135</v>
      </c>
      <c r="DX68" s="27" t="s">
        <v>143</v>
      </c>
      <c r="DY68" s="27" t="s">
        <v>151</v>
      </c>
      <c r="DZ68" s="27" t="n">
        <f aca="false">DY68+DV68+DR68+DN68+DJ68+DF68+DB68</f>
        <v>629</v>
      </c>
      <c r="EA68" s="28" t="n">
        <f aca="false">DZ68/7</f>
        <v>89.8571428571429</v>
      </c>
      <c r="EB68" s="27" t="n">
        <f aca="false">RANK(EA68,$EA$2:$EA$881,0)</f>
        <v>56</v>
      </c>
      <c r="EC68" s="29" t="n">
        <f aca="false">DZ68+CQ68+CP68+AZ68</f>
        <v>2702</v>
      </c>
      <c r="ED68" s="30" t="n">
        <f aca="false">(EA68+CV68+BB68)/3</f>
        <v>87.5095238095238</v>
      </c>
      <c r="EE68" s="51" t="n">
        <f aca="false">ROUND(BE68,3)</f>
        <v>90.447</v>
      </c>
      <c r="EF68" s="51" t="n">
        <f aca="false">ROUND(CR68,3)</f>
        <v>90.286</v>
      </c>
      <c r="EG68" s="51" t="n">
        <f aca="false">ROUND(CS68,3)</f>
        <v>82.857</v>
      </c>
      <c r="EH68" s="51" t="n">
        <f aca="false">ROUND(EA68,3)</f>
        <v>89.857</v>
      </c>
      <c r="EI68" s="51" t="n">
        <f aca="false">ROUND(ED68,3)</f>
        <v>87.51</v>
      </c>
      <c r="EJ68" s="51" t="n">
        <f aca="false">ROUND(CV68,3)</f>
        <v>86.571</v>
      </c>
      <c r="EK68" s="0" t="n">
        <f aca="false">RANK(EI68,$EI$2:$EI$881,0)</f>
        <v>67</v>
      </c>
    </row>
    <row r="69" customFormat="false" ht="15" hidden="false" customHeight="false" outlineLevel="0" collapsed="false">
      <c r="A69" s="4" t="n">
        <v>8895</v>
      </c>
      <c r="B69" s="4" t="n">
        <v>206</v>
      </c>
      <c r="C69" s="27" t="s">
        <v>379</v>
      </c>
      <c r="D69" s="31" t="n">
        <v>208</v>
      </c>
      <c r="E69" s="32" t="n">
        <v>230311945</v>
      </c>
      <c r="F69" s="8" t="s">
        <v>380</v>
      </c>
      <c r="G69" s="22" t="s">
        <v>381</v>
      </c>
      <c r="H69" s="22" t="s">
        <v>129</v>
      </c>
      <c r="I69" s="33" t="n">
        <v>2006</v>
      </c>
      <c r="J69" s="32" t="n">
        <v>96</v>
      </c>
      <c r="K69" s="32" t="n">
        <v>82</v>
      </c>
      <c r="L69" s="34" t="n">
        <f aca="false">(K69*70)/100</f>
        <v>57.4</v>
      </c>
      <c r="M69" s="34" t="n">
        <f aca="false">ROUNDUP(L69,0)</f>
        <v>58</v>
      </c>
      <c r="N69" s="32" t="n">
        <v>26</v>
      </c>
      <c r="O69" s="34" t="n">
        <f aca="false">N69+L69</f>
        <v>83.4</v>
      </c>
      <c r="P69" s="34" t="n">
        <f aca="false">N69+M69</f>
        <v>84</v>
      </c>
      <c r="Q69" s="32" t="n">
        <v>69</v>
      </c>
      <c r="R69" s="32" t="n">
        <v>83</v>
      </c>
      <c r="S69" s="34" t="n">
        <f aca="false">(R69*70)/100</f>
        <v>58.1</v>
      </c>
      <c r="T69" s="34" t="n">
        <f aca="false">ROUNDUP(S69,0)</f>
        <v>59</v>
      </c>
      <c r="U69" s="32" t="n">
        <v>19</v>
      </c>
      <c r="V69" s="34" t="n">
        <f aca="false">U69+S69</f>
        <v>77.1</v>
      </c>
      <c r="W69" s="34" t="n">
        <f aca="false">U69+T69</f>
        <v>78</v>
      </c>
      <c r="X69" s="32" t="n">
        <v>84</v>
      </c>
      <c r="Y69" s="34" t="n">
        <f aca="false">(X69*70)/100</f>
        <v>58.8</v>
      </c>
      <c r="Z69" s="34" t="n">
        <f aca="false">ROUNDUP(Y69,0)</f>
        <v>59</v>
      </c>
      <c r="AA69" s="32" t="n">
        <v>25</v>
      </c>
      <c r="AB69" s="34" t="n">
        <f aca="false">AA69+Y69</f>
        <v>83.8</v>
      </c>
      <c r="AC69" s="34" t="n">
        <f aca="false">AA69+Z69</f>
        <v>84</v>
      </c>
      <c r="AD69" s="32" t="n">
        <f aca="false">X69+R69+Q69+K69+J69</f>
        <v>414</v>
      </c>
      <c r="AE69" s="16" t="n">
        <f aca="false">AD69/5</f>
        <v>82.8</v>
      </c>
      <c r="AF69" s="16" t="n">
        <v>85</v>
      </c>
      <c r="AG69" s="16" t="n">
        <v>96</v>
      </c>
      <c r="AH69" s="16" t="n">
        <v>95</v>
      </c>
      <c r="AI69" s="16" t="n">
        <v>90</v>
      </c>
      <c r="AJ69" s="16" t="n">
        <f aca="false">(AI69*70)/100</f>
        <v>63</v>
      </c>
      <c r="AK69" s="35" t="n">
        <f aca="false">ROUNDUP(AJ69,0)</f>
        <v>63</v>
      </c>
      <c r="AL69" s="16" t="n">
        <v>28</v>
      </c>
      <c r="AM69" s="16" t="n">
        <f aca="false">AL69+AJ69</f>
        <v>91</v>
      </c>
      <c r="AN69" s="16" t="n">
        <f aca="false">AL69+AK69</f>
        <v>91</v>
      </c>
      <c r="AO69" s="16" t="n">
        <v>88</v>
      </c>
      <c r="AP69" s="36" t="n">
        <f aca="false">(AO69*70)/100</f>
        <v>61.6</v>
      </c>
      <c r="AQ69" s="37" t="n">
        <f aca="false">ROUNDUP(AP69,0)</f>
        <v>62</v>
      </c>
      <c r="AR69" s="16" t="n">
        <v>30</v>
      </c>
      <c r="AS69" s="16" t="n">
        <f aca="false">AR69+AP69</f>
        <v>91.6</v>
      </c>
      <c r="AT69" s="16" t="n">
        <f aca="false">AR69+AQ69</f>
        <v>92</v>
      </c>
      <c r="AU69" s="16" t="n">
        <f aca="false">AO69+AF69+AI69+AH69+AG69</f>
        <v>454</v>
      </c>
      <c r="AV69" s="16" t="n">
        <f aca="false">(AO69+AF69+AI69+AH69+AG69)/5</f>
        <v>90.8</v>
      </c>
      <c r="AW69" s="36" t="n">
        <f aca="false">(AO69+AF69+AI69+AH69+AG69+X69+R69+Q69+K69+J69)</f>
        <v>868</v>
      </c>
      <c r="AX69" s="16" t="n">
        <f aca="false">AW69/10</f>
        <v>86.8</v>
      </c>
      <c r="AY69" s="16" t="n">
        <f aca="false">AS69+AF69+AM69+AH69+AG69+AB69+V69+Q69+O69+J69</f>
        <v>867.9</v>
      </c>
      <c r="AZ69" s="16" t="n">
        <f aca="false">AT69+AF69+AN69+AH69+AG69+AC69+W69+Q69+P69+J69</f>
        <v>870</v>
      </c>
      <c r="BA69" s="16" t="n">
        <f aca="false">AY69/10</f>
        <v>86.79</v>
      </c>
      <c r="BB69" s="16" t="n">
        <f aca="false">AZ69/10</f>
        <v>87</v>
      </c>
      <c r="BC69" s="16" t="n">
        <v>2391</v>
      </c>
      <c r="BD69" s="16" t="n">
        <f aca="false">RANK(AX69,$AX$2:$AX$881,0)</f>
        <v>52</v>
      </c>
      <c r="BE69" s="38" t="n">
        <f aca="false">((BC69*100)/2400)*0.4+(AX69*0.6)</f>
        <v>91.93</v>
      </c>
      <c r="BF69" s="16" t="n">
        <f aca="false">RANK(BE69,$BE$2:$BE$881,0)</f>
        <v>45</v>
      </c>
      <c r="BG69" s="39" t="n">
        <f aca="false">RANK(BB69,$BB$2:$BB$881,0)</f>
        <v>59</v>
      </c>
      <c r="BH69" s="39" t="n">
        <f aca="false">RANK(BC69,$BC$2:$BC$881,0)</f>
        <v>37</v>
      </c>
      <c r="BI69" s="22" t="s">
        <v>130</v>
      </c>
      <c r="BJ69" s="22" t="s">
        <v>129</v>
      </c>
      <c r="BK69" s="40" t="s">
        <v>131</v>
      </c>
      <c r="BL69" s="41" t="n">
        <v>24</v>
      </c>
      <c r="BM69" s="41" t="n">
        <v>63</v>
      </c>
      <c r="BN69" s="41" t="n">
        <v>87</v>
      </c>
      <c r="BO69" s="42" t="n">
        <v>26</v>
      </c>
      <c r="BP69" s="43" t="n">
        <v>68</v>
      </c>
      <c r="BQ69" s="44" t="n">
        <v>94</v>
      </c>
      <c r="BR69" s="42" t="n">
        <v>23</v>
      </c>
      <c r="BS69" s="45" t="n">
        <v>65</v>
      </c>
      <c r="BT69" s="45" t="n">
        <v>88</v>
      </c>
      <c r="BU69" s="46" t="n">
        <v>100</v>
      </c>
      <c r="BV69" s="47" t="n">
        <v>84</v>
      </c>
      <c r="BW69" s="42" t="n">
        <v>98</v>
      </c>
      <c r="BX69" s="48" t="n">
        <v>94</v>
      </c>
      <c r="BY69" s="32" t="n">
        <v>27</v>
      </c>
      <c r="BZ69" s="32" t="n">
        <v>62</v>
      </c>
      <c r="CA69" s="32" t="n">
        <v>89</v>
      </c>
      <c r="CB69" s="32" t="n">
        <v>21</v>
      </c>
      <c r="CC69" s="32" t="n">
        <v>42</v>
      </c>
      <c r="CD69" s="32" t="n">
        <v>63</v>
      </c>
      <c r="CE69" s="32" t="n">
        <v>23</v>
      </c>
      <c r="CF69" s="32" t="n">
        <v>56</v>
      </c>
      <c r="CG69" s="32" t="n">
        <v>79</v>
      </c>
      <c r="CH69" s="32" t="n">
        <v>98</v>
      </c>
      <c r="CI69" s="32" t="n">
        <v>100</v>
      </c>
      <c r="CJ69" s="49" t="n">
        <v>22</v>
      </c>
      <c r="CK69" s="49" t="n">
        <v>54</v>
      </c>
      <c r="CL69" s="49" t="n">
        <v>76</v>
      </c>
      <c r="CM69" s="49" t="n">
        <v>24</v>
      </c>
      <c r="CN69" s="49" t="n">
        <v>55</v>
      </c>
      <c r="CO69" s="49" t="n">
        <v>79</v>
      </c>
      <c r="CP69" s="25" t="n">
        <f aca="false">BX69+BW69+BV69+BU69+BT69+BQ69+BN69</f>
        <v>645</v>
      </c>
      <c r="CQ69" s="25" t="n">
        <f aca="false">CO69+CL69+CI69+CH69+CG69+CD69+CA69</f>
        <v>584</v>
      </c>
      <c r="CR69" s="26" t="n">
        <f aca="false">CP69/7</f>
        <v>92.1428571428571</v>
      </c>
      <c r="CS69" s="26" t="n">
        <f aca="false">CQ69/7</f>
        <v>83.4285714285714</v>
      </c>
      <c r="CT69" s="24" t="n">
        <f aca="false">RANK(CR69,$CR$2:$CR$881,0)</f>
        <v>85</v>
      </c>
      <c r="CU69" s="25" t="n">
        <f aca="false">RANK(CS69,$CS$2:$CS$881,0)</f>
        <v>143</v>
      </c>
      <c r="CV69" s="26" t="n">
        <f aca="false">(CS69+CR69)/2</f>
        <v>87.7857142857143</v>
      </c>
      <c r="CW69" s="25" t="n">
        <f aca="false">RANK(CV69,$CV$2:$CV$881,0)</f>
        <v>100</v>
      </c>
      <c r="CX69" s="50" t="n">
        <f aca="false">(CV69+BB69)/2</f>
        <v>87.3928571428571</v>
      </c>
      <c r="CY69" s="50" t="n">
        <v>64</v>
      </c>
      <c r="CZ69" s="27" t="s">
        <v>132</v>
      </c>
      <c r="DA69" s="27" t="s">
        <v>202</v>
      </c>
      <c r="DB69" s="27" t="s">
        <v>202</v>
      </c>
      <c r="DC69" s="27" t="s">
        <v>134</v>
      </c>
      <c r="DD69" s="27" t="s">
        <v>191</v>
      </c>
      <c r="DE69" s="27" t="s">
        <v>177</v>
      </c>
      <c r="DF69" s="27" t="s">
        <v>219</v>
      </c>
      <c r="DG69" s="27" t="s">
        <v>134</v>
      </c>
      <c r="DH69" s="27" t="s">
        <v>164</v>
      </c>
      <c r="DI69" s="27" t="s">
        <v>152</v>
      </c>
      <c r="DJ69" s="27" t="s">
        <v>170</v>
      </c>
      <c r="DK69" s="27" t="s">
        <v>134</v>
      </c>
      <c r="DL69" s="27" t="s">
        <v>195</v>
      </c>
      <c r="DM69" s="27" t="s">
        <v>163</v>
      </c>
      <c r="DN69" s="27" t="s">
        <v>202</v>
      </c>
      <c r="DO69" s="27" t="s">
        <v>134</v>
      </c>
      <c r="DP69" s="27" t="s">
        <v>182</v>
      </c>
      <c r="DQ69" s="27" t="s">
        <v>141</v>
      </c>
      <c r="DR69" s="27" t="s">
        <v>170</v>
      </c>
      <c r="DS69" s="27" t="s">
        <v>134</v>
      </c>
      <c r="DT69" s="27" t="s">
        <v>154</v>
      </c>
      <c r="DU69" s="27" t="s">
        <v>304</v>
      </c>
      <c r="DV69" s="27" t="s">
        <v>382</v>
      </c>
      <c r="DW69" s="27" t="s">
        <v>146</v>
      </c>
      <c r="DX69" s="27" t="s">
        <v>155</v>
      </c>
      <c r="DY69" s="27" t="s">
        <v>165</v>
      </c>
      <c r="DZ69" s="27" t="n">
        <f aca="false">DY69+DV69+DR69+DN69+DJ69+DF69+DB69</f>
        <v>611</v>
      </c>
      <c r="EA69" s="28" t="n">
        <f aca="false">DZ69/7</f>
        <v>87.2857142857143</v>
      </c>
      <c r="EB69" s="27" t="n">
        <f aca="false">RANK(EA69,$EA$2:$EA$881,0)</f>
        <v>112</v>
      </c>
      <c r="EC69" s="29" t="n">
        <f aca="false">DZ69+CQ69+CP69+AZ69</f>
        <v>2710</v>
      </c>
      <c r="ED69" s="30" t="n">
        <f aca="false">(EA69+CV69+BB69)/3</f>
        <v>87.3571428571429</v>
      </c>
      <c r="EE69" s="51" t="n">
        <f aca="false">ROUND(BE69,3)</f>
        <v>91.93</v>
      </c>
      <c r="EF69" s="51" t="n">
        <f aca="false">ROUND(CR69,3)</f>
        <v>92.143</v>
      </c>
      <c r="EG69" s="51" t="n">
        <f aca="false">ROUND(CS69,3)</f>
        <v>83.429</v>
      </c>
      <c r="EH69" s="51" t="n">
        <f aca="false">ROUND(EA69,3)</f>
        <v>87.286</v>
      </c>
      <c r="EI69" s="51" t="n">
        <f aca="false">ROUND(ED69,3)</f>
        <v>87.357</v>
      </c>
      <c r="EJ69" s="51" t="n">
        <f aca="false">ROUND(CV69,3)</f>
        <v>87.786</v>
      </c>
      <c r="EK69" s="0" t="n">
        <f aca="false">RANK(EI69,$EI$2:$EI$881,0)</f>
        <v>68</v>
      </c>
    </row>
    <row r="70" customFormat="false" ht="17.45" hidden="false" customHeight="false" outlineLevel="0" collapsed="false">
      <c r="A70" s="4" t="n">
        <v>8947</v>
      </c>
      <c r="B70" s="4" t="n">
        <v>689</v>
      </c>
      <c r="C70" s="27" t="s">
        <v>383</v>
      </c>
      <c r="D70" s="31" t="n">
        <v>703</v>
      </c>
      <c r="E70" s="32" t="n">
        <v>230313195</v>
      </c>
      <c r="F70" s="55" t="s">
        <v>384</v>
      </c>
      <c r="G70" s="22" t="s">
        <v>385</v>
      </c>
      <c r="H70" s="22" t="s">
        <v>129</v>
      </c>
      <c r="I70" s="33" t="n">
        <v>2005</v>
      </c>
      <c r="J70" s="32" t="n">
        <v>84</v>
      </c>
      <c r="K70" s="32" t="n">
        <v>88</v>
      </c>
      <c r="L70" s="34" t="n">
        <f aca="false">(K70*70)/100</f>
        <v>61.6</v>
      </c>
      <c r="M70" s="34" t="n">
        <f aca="false">ROUNDUP(L70,0)</f>
        <v>62</v>
      </c>
      <c r="N70" s="32" t="n">
        <v>26</v>
      </c>
      <c r="O70" s="34" t="n">
        <f aca="false">N70+L70</f>
        <v>87.6</v>
      </c>
      <c r="P70" s="34" t="n">
        <f aca="false">N70+M70</f>
        <v>88</v>
      </c>
      <c r="Q70" s="32" t="n">
        <v>84</v>
      </c>
      <c r="R70" s="32" t="n">
        <v>89</v>
      </c>
      <c r="S70" s="34" t="n">
        <f aca="false">(R70*70)/100</f>
        <v>62.3</v>
      </c>
      <c r="T70" s="34" t="n">
        <f aca="false">ROUNDUP(S70,0)</f>
        <v>63</v>
      </c>
      <c r="U70" s="32" t="n">
        <v>27</v>
      </c>
      <c r="V70" s="34" t="n">
        <f aca="false">U70+S70</f>
        <v>89.3</v>
      </c>
      <c r="W70" s="34" t="n">
        <f aca="false">U70+T70</f>
        <v>90</v>
      </c>
      <c r="X70" s="32" t="n">
        <v>78</v>
      </c>
      <c r="Y70" s="34" t="n">
        <f aca="false">(X70*70)/100</f>
        <v>54.6</v>
      </c>
      <c r="Z70" s="34" t="n">
        <f aca="false">ROUNDUP(Y70,0)</f>
        <v>55</v>
      </c>
      <c r="AA70" s="32" t="n">
        <v>25</v>
      </c>
      <c r="AB70" s="34" t="n">
        <f aca="false">AA70+Y70</f>
        <v>79.6</v>
      </c>
      <c r="AC70" s="34" t="n">
        <f aca="false">AA70+Z70</f>
        <v>80</v>
      </c>
      <c r="AD70" s="32" t="n">
        <f aca="false">X70+R70+Q70+K70+J70</f>
        <v>423</v>
      </c>
      <c r="AE70" s="16" t="n">
        <f aca="false">AD70/5</f>
        <v>84.6</v>
      </c>
      <c r="AF70" s="16" t="n">
        <v>87</v>
      </c>
      <c r="AG70" s="16" t="n">
        <v>86</v>
      </c>
      <c r="AH70" s="16" t="n">
        <v>96</v>
      </c>
      <c r="AI70" s="16" t="n">
        <v>90</v>
      </c>
      <c r="AJ70" s="16" t="n">
        <f aca="false">(AI70*70)/100</f>
        <v>63</v>
      </c>
      <c r="AK70" s="35" t="n">
        <f aca="false">ROUNDUP(AJ70,0)</f>
        <v>63</v>
      </c>
      <c r="AL70" s="16" t="n">
        <v>26</v>
      </c>
      <c r="AM70" s="16" t="n">
        <f aca="false">AL70+AJ70</f>
        <v>89</v>
      </c>
      <c r="AN70" s="16" t="n">
        <f aca="false">AL70+AK70</f>
        <v>89</v>
      </c>
      <c r="AO70" s="16" t="n">
        <v>86</v>
      </c>
      <c r="AP70" s="36" t="n">
        <f aca="false">(AO70*70)/100</f>
        <v>60.2</v>
      </c>
      <c r="AQ70" s="37" t="n">
        <f aca="false">ROUNDUP(AP70,0)</f>
        <v>61</v>
      </c>
      <c r="AR70" s="16" t="n">
        <v>25</v>
      </c>
      <c r="AS70" s="16" t="n">
        <f aca="false">AR70+AP70</f>
        <v>85.2</v>
      </c>
      <c r="AT70" s="16" t="n">
        <f aca="false">AR70+AQ70</f>
        <v>86</v>
      </c>
      <c r="AU70" s="16" t="n">
        <f aca="false">AO70+AF70+AI70+AH70+AG70</f>
        <v>445</v>
      </c>
      <c r="AV70" s="16" t="n">
        <f aca="false">(AO70+AF70+AI70+AH70+AG70)/5</f>
        <v>89</v>
      </c>
      <c r="AW70" s="36" t="n">
        <f aca="false">(AO70+AF70+AI70+AH70+AG70+X70+R70+Q70+K70+J70)</f>
        <v>868</v>
      </c>
      <c r="AX70" s="16" t="n">
        <f aca="false">AW70/10</f>
        <v>86.8</v>
      </c>
      <c r="AY70" s="16" t="n">
        <f aca="false">AS70+AF70+AM70+AH70+AG70+AB70+V70+Q70+O70+J70</f>
        <v>867.7</v>
      </c>
      <c r="AZ70" s="16" t="n">
        <f aca="false">AT70+AF70+AN70+AH70+AG70+AC70+W70+Q70+P70+J70</f>
        <v>870</v>
      </c>
      <c r="BA70" s="16" t="n">
        <f aca="false">AY70/10</f>
        <v>86.77</v>
      </c>
      <c r="BB70" s="16" t="n">
        <f aca="false">AZ70/10</f>
        <v>87</v>
      </c>
      <c r="BC70" s="16" t="n">
        <v>2381</v>
      </c>
      <c r="BD70" s="16" t="n">
        <f aca="false">RANK(AX70,$AX$2:$AX$881,0)</f>
        <v>52</v>
      </c>
      <c r="BE70" s="38" t="n">
        <f aca="false">((BC70*100)/2400)*0.4+(AX70*0.6)</f>
        <v>91.7633333333333</v>
      </c>
      <c r="BF70" s="16" t="n">
        <f aca="false">RANK(BE70,$BE$2:$BE$881,0)</f>
        <v>50</v>
      </c>
      <c r="BG70" s="39" t="n">
        <f aca="false">RANK(BB70,$BB$2:$BB$881,0)</f>
        <v>59</v>
      </c>
      <c r="BH70" s="39" t="n">
        <f aca="false">RANK(BC70,$BC$2:$BC$881,0)</f>
        <v>136</v>
      </c>
      <c r="BI70" s="22" t="s">
        <v>130</v>
      </c>
      <c r="BJ70" s="22" t="s">
        <v>129</v>
      </c>
      <c r="BK70" s="40" t="s">
        <v>131</v>
      </c>
      <c r="BL70" s="41" t="n">
        <v>23</v>
      </c>
      <c r="BM70" s="41" t="n">
        <v>64</v>
      </c>
      <c r="BN70" s="41" t="n">
        <v>87</v>
      </c>
      <c r="BO70" s="42" t="n">
        <v>27</v>
      </c>
      <c r="BP70" s="43" t="n">
        <v>67</v>
      </c>
      <c r="BQ70" s="44" t="n">
        <v>94</v>
      </c>
      <c r="BR70" s="42" t="n">
        <v>23</v>
      </c>
      <c r="BS70" s="45" t="n">
        <v>55</v>
      </c>
      <c r="BT70" s="45" t="n">
        <v>78</v>
      </c>
      <c r="BU70" s="46" t="n">
        <v>100</v>
      </c>
      <c r="BV70" s="47" t="n">
        <v>92</v>
      </c>
      <c r="BW70" s="42" t="n">
        <v>99</v>
      </c>
      <c r="BX70" s="48" t="n">
        <v>90</v>
      </c>
      <c r="BY70" s="32" t="n">
        <v>27</v>
      </c>
      <c r="BZ70" s="32" t="n">
        <v>58</v>
      </c>
      <c r="CA70" s="32" t="n">
        <v>85</v>
      </c>
      <c r="CB70" s="32" t="n">
        <v>23</v>
      </c>
      <c r="CC70" s="32" t="n">
        <v>44</v>
      </c>
      <c r="CD70" s="32" t="n">
        <v>67</v>
      </c>
      <c r="CE70" s="32" t="n">
        <v>27</v>
      </c>
      <c r="CF70" s="32" t="n">
        <v>60</v>
      </c>
      <c r="CG70" s="32" t="n">
        <v>87</v>
      </c>
      <c r="CH70" s="32" t="n">
        <v>100</v>
      </c>
      <c r="CI70" s="32" t="n">
        <v>100</v>
      </c>
      <c r="CJ70" s="49" t="n">
        <v>25</v>
      </c>
      <c r="CK70" s="49" t="n">
        <v>51</v>
      </c>
      <c r="CL70" s="49" t="n">
        <v>76</v>
      </c>
      <c r="CM70" s="49" t="n">
        <v>20</v>
      </c>
      <c r="CN70" s="49" t="n">
        <v>57</v>
      </c>
      <c r="CO70" s="49" t="n">
        <v>77</v>
      </c>
      <c r="CP70" s="25" t="n">
        <f aca="false">BX70+BW70+BV70+BU70+BT70+BQ70+BN70</f>
        <v>640</v>
      </c>
      <c r="CQ70" s="25" t="n">
        <f aca="false">CO70+CL70+CI70+CH70+CG70+CD70+CA70</f>
        <v>592</v>
      </c>
      <c r="CR70" s="26" t="n">
        <f aca="false">CP70/7</f>
        <v>91.4285714285714</v>
      </c>
      <c r="CS70" s="26" t="n">
        <f aca="false">CQ70/7</f>
        <v>84.5714285714286</v>
      </c>
      <c r="CT70" s="24" t="n">
        <f aca="false">RANK(CR70,$CR$2:$CR$881,0)</f>
        <v>106</v>
      </c>
      <c r="CU70" s="25" t="n">
        <f aca="false">RANK(CS70,$CS$2:$CS$881,0)</f>
        <v>108</v>
      </c>
      <c r="CV70" s="26" t="n">
        <f aca="false">(CS70+CR70)/2</f>
        <v>88</v>
      </c>
      <c r="CW70" s="25" t="n">
        <f aca="false">RANK(CV70,$CV$2:$CV$881,0)</f>
        <v>95</v>
      </c>
      <c r="CX70" s="50" t="n">
        <f aca="false">(CV70+BB70)/2</f>
        <v>87.5</v>
      </c>
      <c r="CY70" s="50" t="n">
        <v>62</v>
      </c>
      <c r="CZ70" s="27" t="s">
        <v>132</v>
      </c>
      <c r="DA70" s="27" t="s">
        <v>176</v>
      </c>
      <c r="DB70" s="27" t="s">
        <v>176</v>
      </c>
      <c r="DC70" s="27" t="s">
        <v>134</v>
      </c>
      <c r="DD70" s="27" t="s">
        <v>135</v>
      </c>
      <c r="DE70" s="27" t="s">
        <v>218</v>
      </c>
      <c r="DF70" s="27" t="s">
        <v>205</v>
      </c>
      <c r="DG70" s="27" t="s">
        <v>134</v>
      </c>
      <c r="DH70" s="27" t="s">
        <v>135</v>
      </c>
      <c r="DI70" s="27" t="s">
        <v>161</v>
      </c>
      <c r="DJ70" s="27" t="s">
        <v>202</v>
      </c>
      <c r="DK70" s="27" t="s">
        <v>134</v>
      </c>
      <c r="DL70" s="27" t="s">
        <v>160</v>
      </c>
      <c r="DM70" s="27" t="s">
        <v>161</v>
      </c>
      <c r="DN70" s="27" t="s">
        <v>162</v>
      </c>
      <c r="DO70" s="27" t="s">
        <v>134</v>
      </c>
      <c r="DP70" s="27" t="s">
        <v>386</v>
      </c>
      <c r="DQ70" s="27" t="s">
        <v>204</v>
      </c>
      <c r="DR70" s="27" t="s">
        <v>382</v>
      </c>
      <c r="DS70" s="27" t="s">
        <v>134</v>
      </c>
      <c r="DT70" s="27" t="s">
        <v>140</v>
      </c>
      <c r="DU70" s="27" t="s">
        <v>304</v>
      </c>
      <c r="DV70" s="27" t="s">
        <v>169</v>
      </c>
      <c r="DW70" s="27" t="s">
        <v>146</v>
      </c>
      <c r="DX70" s="27" t="s">
        <v>155</v>
      </c>
      <c r="DY70" s="27" t="s">
        <v>165</v>
      </c>
      <c r="DZ70" s="27" t="n">
        <f aca="false">DY70+DV70+DR70+DN70+DJ70+DF70+DB70</f>
        <v>609</v>
      </c>
      <c r="EA70" s="28" t="n">
        <f aca="false">DZ70/7</f>
        <v>87</v>
      </c>
      <c r="EB70" s="27" t="n">
        <f aca="false">RANK(EA70,$EA$2:$EA$881,0)</f>
        <v>125</v>
      </c>
      <c r="EC70" s="29" t="n">
        <f aca="false">DZ70+CQ70+CP70+AZ70</f>
        <v>2711</v>
      </c>
      <c r="ED70" s="30" t="n">
        <f aca="false">(EA70+CV70+BB70)/3</f>
        <v>87.3333333333333</v>
      </c>
      <c r="EE70" s="51" t="n">
        <f aca="false">ROUND(BE70,3)</f>
        <v>91.763</v>
      </c>
      <c r="EF70" s="51" t="n">
        <f aca="false">ROUND(CR70,3)</f>
        <v>91.429</v>
      </c>
      <c r="EG70" s="51" t="n">
        <f aca="false">ROUND(CS70,3)</f>
        <v>84.571</v>
      </c>
      <c r="EH70" s="51" t="n">
        <f aca="false">ROUND(EA70,3)</f>
        <v>87</v>
      </c>
      <c r="EI70" s="51" t="n">
        <f aca="false">ROUND(ED70,3)</f>
        <v>87.333</v>
      </c>
      <c r="EJ70" s="51" t="n">
        <f aca="false">ROUND(CV70,3)</f>
        <v>88</v>
      </c>
      <c r="EK70" s="0" t="n">
        <f aca="false">RANK(EI70,$EI$2:$EI$881,0)</f>
        <v>69</v>
      </c>
    </row>
    <row r="71" customFormat="false" ht="15" hidden="false" customHeight="false" outlineLevel="0" collapsed="false">
      <c r="A71" s="4" t="n">
        <v>8961</v>
      </c>
      <c r="B71" s="4" t="n">
        <v>70</v>
      </c>
      <c r="C71" s="27" t="s">
        <v>387</v>
      </c>
      <c r="D71" s="52" t="n">
        <v>72</v>
      </c>
      <c r="E71" s="32" t="n">
        <v>230324604</v>
      </c>
      <c r="F71" s="8" t="s">
        <v>388</v>
      </c>
      <c r="G71" s="22" t="s">
        <v>389</v>
      </c>
      <c r="H71" s="22" t="s">
        <v>129</v>
      </c>
      <c r="I71" s="33" t="n">
        <v>2005</v>
      </c>
      <c r="J71" s="32" t="n">
        <v>74</v>
      </c>
      <c r="K71" s="32" t="n">
        <v>83</v>
      </c>
      <c r="L71" s="34" t="n">
        <f aca="false">(K71*70)/100</f>
        <v>58.1</v>
      </c>
      <c r="M71" s="34" t="n">
        <f aca="false">ROUNDUP(L71,0)</f>
        <v>59</v>
      </c>
      <c r="N71" s="32" t="n">
        <v>29</v>
      </c>
      <c r="O71" s="34" t="n">
        <f aca="false">N71+L71</f>
        <v>87.1</v>
      </c>
      <c r="P71" s="34" t="n">
        <f aca="false">N71+M71</f>
        <v>88</v>
      </c>
      <c r="Q71" s="32" t="n">
        <v>73</v>
      </c>
      <c r="R71" s="32" t="n">
        <v>80</v>
      </c>
      <c r="S71" s="34" t="n">
        <f aca="false">(R71*70)/100</f>
        <v>56</v>
      </c>
      <c r="T71" s="34" t="n">
        <f aca="false">ROUNDUP(S71,0)</f>
        <v>56</v>
      </c>
      <c r="U71" s="32" t="n">
        <v>27</v>
      </c>
      <c r="V71" s="34" t="n">
        <f aca="false">U71+S71</f>
        <v>83</v>
      </c>
      <c r="W71" s="34" t="n">
        <f aca="false">U71+T71</f>
        <v>83</v>
      </c>
      <c r="X71" s="32" t="n">
        <v>78</v>
      </c>
      <c r="Y71" s="34" t="n">
        <f aca="false">(X71*70)/100</f>
        <v>54.6</v>
      </c>
      <c r="Z71" s="34" t="n">
        <f aca="false">ROUNDUP(Y71,0)</f>
        <v>55</v>
      </c>
      <c r="AA71" s="32" t="n">
        <v>27</v>
      </c>
      <c r="AB71" s="34" t="n">
        <f aca="false">AA71+Y71</f>
        <v>81.6</v>
      </c>
      <c r="AC71" s="34" t="n">
        <f aca="false">AA71+Z71</f>
        <v>82</v>
      </c>
      <c r="AD71" s="32" t="n">
        <f aca="false">X71+R71+Q71+K71+J71</f>
        <v>388</v>
      </c>
      <c r="AE71" s="16" t="n">
        <f aca="false">AD71/5</f>
        <v>77.6</v>
      </c>
      <c r="AF71" s="16" t="n">
        <v>80</v>
      </c>
      <c r="AG71" s="16" t="n">
        <v>83</v>
      </c>
      <c r="AH71" s="16" t="n">
        <v>91</v>
      </c>
      <c r="AI71" s="16" t="n">
        <v>90</v>
      </c>
      <c r="AJ71" s="16" t="n">
        <f aca="false">(AI71*70)/100</f>
        <v>63</v>
      </c>
      <c r="AK71" s="35" t="n">
        <f aca="false">ROUNDUP(AJ71,0)</f>
        <v>63</v>
      </c>
      <c r="AL71" s="16" t="n">
        <v>28</v>
      </c>
      <c r="AM71" s="16" t="n">
        <f aca="false">AL71+AJ71</f>
        <v>91</v>
      </c>
      <c r="AN71" s="16" t="n">
        <f aca="false">AL71+AK71</f>
        <v>91</v>
      </c>
      <c r="AO71" s="16" t="n">
        <v>80</v>
      </c>
      <c r="AP71" s="36" t="n">
        <f aca="false">(AO71*70)/100</f>
        <v>56</v>
      </c>
      <c r="AQ71" s="37" t="n">
        <f aca="false">ROUNDUP(AP71,0)</f>
        <v>56</v>
      </c>
      <c r="AR71" s="16" t="n">
        <v>29</v>
      </c>
      <c r="AS71" s="16" t="n">
        <f aca="false">AR71+AP71</f>
        <v>85</v>
      </c>
      <c r="AT71" s="16" t="n">
        <f aca="false">AR71+AQ71</f>
        <v>85</v>
      </c>
      <c r="AU71" s="16" t="n">
        <f aca="false">AO71+AF71+AI71+AH71+AG71</f>
        <v>424</v>
      </c>
      <c r="AV71" s="16" t="n">
        <f aca="false">(AO71+AF71+AI71+AH71+AG71)/5</f>
        <v>84.8</v>
      </c>
      <c r="AW71" s="36" t="n">
        <f aca="false">(AO71+AF71+AI71+AH71+AG71+X71+R71+Q71+K71+J71)</f>
        <v>812</v>
      </c>
      <c r="AX71" s="16" t="n">
        <f aca="false">AW71/10</f>
        <v>81.2</v>
      </c>
      <c r="AY71" s="16" t="n">
        <f aca="false">AS71+AF71+AM71+AH71+AG71+AB71+V71+Q71+O71+J71</f>
        <v>828.7</v>
      </c>
      <c r="AZ71" s="16" t="n">
        <f aca="false">AT71+AF71+AN71+AH71+AG71+AC71+W71+Q71+P71+J71</f>
        <v>830</v>
      </c>
      <c r="BA71" s="16" t="n">
        <f aca="false">AY71/10</f>
        <v>82.87</v>
      </c>
      <c r="BB71" s="16" t="n">
        <f aca="false">AZ71/10</f>
        <v>83</v>
      </c>
      <c r="BC71" s="16" t="n">
        <v>2351</v>
      </c>
      <c r="BD71" s="16" t="n">
        <f aca="false">RANK(AX71,$AX$2:$AX$881,0)</f>
        <v>204</v>
      </c>
      <c r="BE71" s="54" t="n">
        <f aca="false">((BC71*100)/2400)*0.4+(AX71*0.6)</f>
        <v>87.9033333333333</v>
      </c>
      <c r="BF71" s="16" t="n">
        <f aca="false">RANK(BE71,$BE$2:$BE$881,0)</f>
        <v>214</v>
      </c>
      <c r="BG71" s="39" t="n">
        <f aca="false">RANK(BB71,$BB$2:$BB$881,0)</f>
        <v>158</v>
      </c>
      <c r="BH71" s="39" t="n">
        <f aca="false">RANK(BC71,$BC$2:$BC$881,0)</f>
        <v>520</v>
      </c>
      <c r="BI71" s="22" t="s">
        <v>130</v>
      </c>
      <c r="BJ71" s="22" t="s">
        <v>129</v>
      </c>
      <c r="BK71" s="40" t="s">
        <v>131</v>
      </c>
      <c r="BL71" s="41" t="n">
        <v>18</v>
      </c>
      <c r="BM71" s="41" t="n">
        <v>54</v>
      </c>
      <c r="BN71" s="41" t="n">
        <v>72</v>
      </c>
      <c r="BO71" s="42" t="n">
        <v>28</v>
      </c>
      <c r="BP71" s="43" t="n">
        <v>65</v>
      </c>
      <c r="BQ71" s="44" t="n">
        <v>93</v>
      </c>
      <c r="BR71" s="42" t="n">
        <v>26</v>
      </c>
      <c r="BS71" s="45" t="n">
        <v>60</v>
      </c>
      <c r="BT71" s="45" t="n">
        <v>86</v>
      </c>
      <c r="BU71" s="46" t="n">
        <v>100</v>
      </c>
      <c r="BV71" s="47" t="n">
        <v>88</v>
      </c>
      <c r="BW71" s="42" t="n">
        <v>100</v>
      </c>
      <c r="BX71" s="48" t="n">
        <v>94</v>
      </c>
      <c r="BY71" s="32" t="n">
        <v>25</v>
      </c>
      <c r="BZ71" s="32" t="n">
        <v>59</v>
      </c>
      <c r="CA71" s="32" t="n">
        <v>84</v>
      </c>
      <c r="CB71" s="32" t="n">
        <v>23</v>
      </c>
      <c r="CC71" s="32" t="n">
        <v>40</v>
      </c>
      <c r="CD71" s="32" t="n">
        <v>63</v>
      </c>
      <c r="CE71" s="32" t="n">
        <v>23</v>
      </c>
      <c r="CF71" s="32" t="n">
        <v>59</v>
      </c>
      <c r="CG71" s="32" t="n">
        <v>82</v>
      </c>
      <c r="CH71" s="32" t="n">
        <v>99</v>
      </c>
      <c r="CI71" s="32" t="n">
        <v>100</v>
      </c>
      <c r="CJ71" s="49" t="n">
        <v>29</v>
      </c>
      <c r="CK71" s="49" t="n">
        <v>57</v>
      </c>
      <c r="CL71" s="49" t="n">
        <v>86</v>
      </c>
      <c r="CM71" s="49" t="n">
        <v>26</v>
      </c>
      <c r="CN71" s="49" t="n">
        <v>56</v>
      </c>
      <c r="CO71" s="49" t="n">
        <v>82</v>
      </c>
      <c r="CP71" s="25" t="n">
        <f aca="false">BX71+BW71+BV71+BU71+BT71+BQ71+BN71</f>
        <v>633</v>
      </c>
      <c r="CQ71" s="25" t="n">
        <f aca="false">CO71+CL71+CI71+CH71+CG71+CD71+CA71</f>
        <v>596</v>
      </c>
      <c r="CR71" s="26" t="n">
        <f aca="false">CP71/7</f>
        <v>90.4285714285714</v>
      </c>
      <c r="CS71" s="26" t="n">
        <f aca="false">CQ71/7</f>
        <v>85.1428571428571</v>
      </c>
      <c r="CT71" s="24" t="n">
        <f aca="false">RANK(CR71,$CR$2:$CR$881,0)</f>
        <v>155</v>
      </c>
      <c r="CU71" s="25" t="n">
        <f aca="false">RANK(CS71,$CS$2:$CS$881,0)</f>
        <v>99</v>
      </c>
      <c r="CV71" s="26" t="n">
        <f aca="false">(CS71+CR71)/2</f>
        <v>87.7857142857143</v>
      </c>
      <c r="CW71" s="25" t="n">
        <f aca="false">RANK(CV71,$CV$2:$CV$881,0)</f>
        <v>100</v>
      </c>
      <c r="CX71" s="50" t="n">
        <f aca="false">(CV71+BB71)/2</f>
        <v>85.3928571428571</v>
      </c>
      <c r="CY71" s="50" t="n">
        <v>108</v>
      </c>
      <c r="CZ71" s="27" t="s">
        <v>132</v>
      </c>
      <c r="DA71" s="27" t="s">
        <v>176</v>
      </c>
      <c r="DB71" s="27" t="s">
        <v>176</v>
      </c>
      <c r="DC71" s="27" t="s">
        <v>134</v>
      </c>
      <c r="DD71" s="27" t="s">
        <v>164</v>
      </c>
      <c r="DE71" s="27" t="s">
        <v>203</v>
      </c>
      <c r="DF71" s="27" t="s">
        <v>162</v>
      </c>
      <c r="DG71" s="27" t="s">
        <v>134</v>
      </c>
      <c r="DH71" s="27" t="s">
        <v>160</v>
      </c>
      <c r="DI71" s="27" t="s">
        <v>187</v>
      </c>
      <c r="DJ71" s="27" t="s">
        <v>156</v>
      </c>
      <c r="DK71" s="27" t="s">
        <v>134</v>
      </c>
      <c r="DL71" s="27" t="s">
        <v>140</v>
      </c>
      <c r="DM71" s="27" t="s">
        <v>177</v>
      </c>
      <c r="DN71" s="27" t="s">
        <v>162</v>
      </c>
      <c r="DO71" s="27" t="s">
        <v>134</v>
      </c>
      <c r="DP71" s="27" t="s">
        <v>182</v>
      </c>
      <c r="DQ71" s="27" t="s">
        <v>218</v>
      </c>
      <c r="DR71" s="27" t="s">
        <v>196</v>
      </c>
      <c r="DS71" s="27" t="s">
        <v>134</v>
      </c>
      <c r="DT71" s="27" t="s">
        <v>140</v>
      </c>
      <c r="DU71" s="27" t="s">
        <v>152</v>
      </c>
      <c r="DV71" s="27" t="s">
        <v>151</v>
      </c>
      <c r="DW71" s="27" t="s">
        <v>146</v>
      </c>
      <c r="DX71" s="27" t="s">
        <v>155</v>
      </c>
      <c r="DY71" s="27" t="s">
        <v>165</v>
      </c>
      <c r="DZ71" s="27" t="n">
        <f aca="false">DY71+DV71+DR71+DN71+DJ71+DF71+DB71</f>
        <v>638</v>
      </c>
      <c r="EA71" s="28" t="n">
        <f aca="false">DZ71/7</f>
        <v>91.1428571428571</v>
      </c>
      <c r="EB71" s="27" t="n">
        <f aca="false">RANK(EA71,$EA$2:$EA$881,0)</f>
        <v>34</v>
      </c>
      <c r="EC71" s="29" t="n">
        <f aca="false">DZ71+CQ71+CP71+AZ71</f>
        <v>2697</v>
      </c>
      <c r="ED71" s="30" t="n">
        <f aca="false">(EA71+CV71+BB71)/3</f>
        <v>87.3095238095238</v>
      </c>
      <c r="EE71" s="51" t="n">
        <f aca="false">ROUND(BE71,3)</f>
        <v>87.903</v>
      </c>
      <c r="EF71" s="51" t="n">
        <f aca="false">ROUND(CR71,3)</f>
        <v>90.429</v>
      </c>
      <c r="EG71" s="51" t="n">
        <f aca="false">ROUND(CS71,3)</f>
        <v>85.143</v>
      </c>
      <c r="EH71" s="51" t="n">
        <f aca="false">ROUND(EA71,3)</f>
        <v>91.143</v>
      </c>
      <c r="EI71" s="51" t="n">
        <f aca="false">ROUND(ED71,3)</f>
        <v>87.31</v>
      </c>
      <c r="EJ71" s="51" t="n">
        <f aca="false">ROUND(CV71,3)</f>
        <v>87.786</v>
      </c>
      <c r="EK71" s="0" t="n">
        <f aca="false">RANK(EI71,$EI$2:$EI$881,0)</f>
        <v>70</v>
      </c>
    </row>
    <row r="72" customFormat="false" ht="15" hidden="false" customHeight="false" outlineLevel="0" collapsed="false">
      <c r="A72" s="4" t="n">
        <v>9127</v>
      </c>
      <c r="B72" s="4" t="n">
        <v>490</v>
      </c>
      <c r="C72" s="27" t="s">
        <v>390</v>
      </c>
      <c r="D72" s="31" t="n">
        <v>498</v>
      </c>
      <c r="E72" s="32" t="n">
        <v>230315825</v>
      </c>
      <c r="F72" s="8" t="s">
        <v>391</v>
      </c>
      <c r="G72" s="22" t="s">
        <v>392</v>
      </c>
      <c r="H72" s="22" t="s">
        <v>129</v>
      </c>
      <c r="I72" s="33" t="n">
        <v>2005</v>
      </c>
      <c r="J72" s="32" t="n">
        <v>72</v>
      </c>
      <c r="K72" s="32" t="n">
        <v>94</v>
      </c>
      <c r="L72" s="34" t="n">
        <f aca="false">(K72*70)/100</f>
        <v>65.8</v>
      </c>
      <c r="M72" s="34" t="n">
        <f aca="false">ROUNDUP(L72,0)</f>
        <v>66</v>
      </c>
      <c r="N72" s="32" t="n">
        <v>28</v>
      </c>
      <c r="O72" s="34" t="n">
        <f aca="false">N72+L72</f>
        <v>93.8</v>
      </c>
      <c r="P72" s="34" t="n">
        <f aca="false">N72+M72</f>
        <v>94</v>
      </c>
      <c r="Q72" s="32" t="n">
        <v>77</v>
      </c>
      <c r="R72" s="32" t="n">
        <v>87</v>
      </c>
      <c r="S72" s="34" t="n">
        <f aca="false">(R72*70)/100</f>
        <v>60.9</v>
      </c>
      <c r="T72" s="34" t="n">
        <f aca="false">ROUNDUP(S72,0)</f>
        <v>61</v>
      </c>
      <c r="U72" s="32" t="n">
        <v>27</v>
      </c>
      <c r="V72" s="34" t="n">
        <f aca="false">U72+S72</f>
        <v>87.9</v>
      </c>
      <c r="W72" s="34" t="n">
        <f aca="false">U72+T72</f>
        <v>88</v>
      </c>
      <c r="X72" s="32" t="n">
        <v>82</v>
      </c>
      <c r="Y72" s="34" t="n">
        <f aca="false">(X72*70)/100</f>
        <v>57.4</v>
      </c>
      <c r="Z72" s="34" t="n">
        <f aca="false">ROUNDUP(Y72,0)</f>
        <v>58</v>
      </c>
      <c r="AA72" s="32" t="n">
        <v>23</v>
      </c>
      <c r="AB72" s="34" t="n">
        <f aca="false">AA72+Y72</f>
        <v>80.4</v>
      </c>
      <c r="AC72" s="34" t="n">
        <f aca="false">AA72+Z72</f>
        <v>81</v>
      </c>
      <c r="AD72" s="32" t="n">
        <f aca="false">X72+R72+Q72+K72+J72</f>
        <v>412</v>
      </c>
      <c r="AE72" s="16" t="n">
        <f aca="false">AD72/5</f>
        <v>82.4</v>
      </c>
      <c r="AF72" s="16" t="n">
        <v>87</v>
      </c>
      <c r="AG72" s="16" t="n">
        <v>83</v>
      </c>
      <c r="AH72" s="16" t="n">
        <v>94</v>
      </c>
      <c r="AI72" s="16" t="n">
        <v>91</v>
      </c>
      <c r="AJ72" s="16" t="n">
        <f aca="false">(AI72*70)/100</f>
        <v>63.7</v>
      </c>
      <c r="AK72" s="35" t="n">
        <f aca="false">ROUNDUP(AJ72,0)</f>
        <v>64</v>
      </c>
      <c r="AL72" s="16" t="n">
        <v>28</v>
      </c>
      <c r="AM72" s="16" t="n">
        <f aca="false">AL72+AJ72</f>
        <v>91.7</v>
      </c>
      <c r="AN72" s="16" t="n">
        <f aca="false">AL72+AK72</f>
        <v>92</v>
      </c>
      <c r="AO72" s="16" t="n">
        <v>85</v>
      </c>
      <c r="AP72" s="36" t="n">
        <f aca="false">(AO72*70)/100</f>
        <v>59.5</v>
      </c>
      <c r="AQ72" s="37" t="n">
        <f aca="false">ROUNDUP(AP72,0)</f>
        <v>60</v>
      </c>
      <c r="AR72" s="16" t="n">
        <v>23</v>
      </c>
      <c r="AS72" s="16" t="n">
        <f aca="false">AR72+AP72</f>
        <v>82.5</v>
      </c>
      <c r="AT72" s="16" t="n">
        <f aca="false">AR72+AQ72</f>
        <v>83</v>
      </c>
      <c r="AU72" s="16" t="n">
        <f aca="false">AO72+AF72+AI72+AH72+AG72</f>
        <v>440</v>
      </c>
      <c r="AV72" s="16" t="n">
        <f aca="false">(AO72+AF72+AI72+AH72+AG72)/5</f>
        <v>88</v>
      </c>
      <c r="AW72" s="36" t="n">
        <f aca="false">(AO72+AF72+AI72+AH72+AG72+X72+R72+Q72+K72+J72)</f>
        <v>852</v>
      </c>
      <c r="AX72" s="16" t="n">
        <f aca="false">AW72/10</f>
        <v>85.2</v>
      </c>
      <c r="AY72" s="16" t="n">
        <f aca="false">AS72+AF72+AM72+AH72+AG72+AB72+V72+Q72+O72+J72</f>
        <v>849.3</v>
      </c>
      <c r="AZ72" s="16" t="n">
        <f aca="false">AT72+AF72+AN72+AH72+AG72+AC72+W72+Q72+P72+J72</f>
        <v>851</v>
      </c>
      <c r="BA72" s="16" t="n">
        <f aca="false">AY72/10</f>
        <v>84.93</v>
      </c>
      <c r="BB72" s="16" t="n">
        <f aca="false">AZ72/10</f>
        <v>85.1</v>
      </c>
      <c r="BC72" s="16" t="n">
        <v>2351</v>
      </c>
      <c r="BD72" s="16" t="n">
        <f aca="false">RANK(AX72,$AX$2:$AX$881,0)</f>
        <v>86</v>
      </c>
      <c r="BE72" s="38" t="n">
        <f aca="false">((BC72*100)/2400)*0.4+(AX72*0.6)</f>
        <v>90.3033333333333</v>
      </c>
      <c r="BF72" s="16" t="n">
        <f aca="false">RANK(BE72,$BE$2:$BE$881,0)</f>
        <v>93</v>
      </c>
      <c r="BG72" s="39" t="n">
        <f aca="false">RANK(BB72,$BB$2:$BB$881,0)</f>
        <v>100</v>
      </c>
      <c r="BH72" s="39" t="n">
        <f aca="false">RANK(BC72,$BC$2:$BC$881,0)</f>
        <v>520</v>
      </c>
      <c r="BI72" s="22" t="s">
        <v>130</v>
      </c>
      <c r="BJ72" s="22" t="s">
        <v>129</v>
      </c>
      <c r="BK72" s="40" t="s">
        <v>131</v>
      </c>
      <c r="BL72" s="41" t="n">
        <v>26</v>
      </c>
      <c r="BM72" s="41" t="n">
        <v>61</v>
      </c>
      <c r="BN72" s="41" t="n">
        <v>87</v>
      </c>
      <c r="BO72" s="42" t="n">
        <v>27</v>
      </c>
      <c r="BP72" s="43" t="n">
        <v>66</v>
      </c>
      <c r="BQ72" s="44" t="n">
        <v>93</v>
      </c>
      <c r="BR72" s="42" t="n">
        <v>26</v>
      </c>
      <c r="BS72" s="45" t="n">
        <v>60</v>
      </c>
      <c r="BT72" s="45" t="n">
        <v>86</v>
      </c>
      <c r="BU72" s="46" t="n">
        <v>99</v>
      </c>
      <c r="BV72" s="47" t="n">
        <v>88</v>
      </c>
      <c r="BW72" s="42" t="n">
        <v>99</v>
      </c>
      <c r="BX72" s="48" t="n">
        <v>88</v>
      </c>
      <c r="BY72" s="32" t="n">
        <v>26</v>
      </c>
      <c r="BZ72" s="32" t="n">
        <v>61</v>
      </c>
      <c r="CA72" s="32" t="n">
        <v>87</v>
      </c>
      <c r="CB72" s="32" t="n">
        <v>25</v>
      </c>
      <c r="CC72" s="32" t="n">
        <v>52</v>
      </c>
      <c r="CD72" s="32" t="n">
        <v>77</v>
      </c>
      <c r="CE72" s="32" t="n">
        <v>25</v>
      </c>
      <c r="CF72" s="32" t="n">
        <v>56</v>
      </c>
      <c r="CG72" s="32" t="n">
        <v>81</v>
      </c>
      <c r="CH72" s="32" t="n">
        <v>100</v>
      </c>
      <c r="CI72" s="32" t="n">
        <v>99</v>
      </c>
      <c r="CJ72" s="49" t="n">
        <v>27</v>
      </c>
      <c r="CK72" s="49" t="n">
        <v>60</v>
      </c>
      <c r="CL72" s="49" t="n">
        <v>87</v>
      </c>
      <c r="CM72" s="49" t="n">
        <v>23</v>
      </c>
      <c r="CN72" s="49" t="n">
        <v>60</v>
      </c>
      <c r="CO72" s="49" t="n">
        <v>83</v>
      </c>
      <c r="CP72" s="25" t="n">
        <f aca="false">BX72+BW72+BV72+BU72+BT72+BQ72+BN72</f>
        <v>640</v>
      </c>
      <c r="CQ72" s="25" t="n">
        <f aca="false">CO72+CL72+CI72+CH72+CG72+CD72+CA72</f>
        <v>614</v>
      </c>
      <c r="CR72" s="26" t="n">
        <f aca="false">CP72/7</f>
        <v>91.4285714285714</v>
      </c>
      <c r="CS72" s="26" t="n">
        <f aca="false">CQ72/7</f>
        <v>87.7142857142857</v>
      </c>
      <c r="CT72" s="24" t="n">
        <f aca="false">RANK(CR72,$CR$2:$CR$881,0)</f>
        <v>106</v>
      </c>
      <c r="CU72" s="25" t="n">
        <f aca="false">RANK(CS72,$CS$2:$CS$881,0)</f>
        <v>46</v>
      </c>
      <c r="CV72" s="26" t="n">
        <f aca="false">(CS72+CR72)/2</f>
        <v>89.5714285714286</v>
      </c>
      <c r="CW72" s="25" t="n">
        <f aca="false">RANK(CV72,$CV$2:$CV$881,0)</f>
        <v>57</v>
      </c>
      <c r="CX72" s="50" t="n">
        <f aca="false">(CV72+BB72)/2</f>
        <v>87.3357142857143</v>
      </c>
      <c r="CY72" s="50" t="n">
        <v>66</v>
      </c>
      <c r="CZ72" s="27" t="s">
        <v>132</v>
      </c>
      <c r="DA72" s="27" t="s">
        <v>219</v>
      </c>
      <c r="DB72" s="27" t="s">
        <v>219</v>
      </c>
      <c r="DC72" s="27" t="s">
        <v>134</v>
      </c>
      <c r="DD72" s="27" t="s">
        <v>135</v>
      </c>
      <c r="DE72" s="27" t="s">
        <v>203</v>
      </c>
      <c r="DF72" s="27" t="s">
        <v>178</v>
      </c>
      <c r="DG72" s="27" t="s">
        <v>134</v>
      </c>
      <c r="DH72" s="27" t="s">
        <v>182</v>
      </c>
      <c r="DI72" s="27" t="s">
        <v>143</v>
      </c>
      <c r="DJ72" s="27" t="s">
        <v>176</v>
      </c>
      <c r="DK72" s="27" t="s">
        <v>134</v>
      </c>
      <c r="DL72" s="27" t="s">
        <v>137</v>
      </c>
      <c r="DM72" s="27" t="s">
        <v>161</v>
      </c>
      <c r="DN72" s="27" t="s">
        <v>178</v>
      </c>
      <c r="DO72" s="27" t="s">
        <v>134</v>
      </c>
      <c r="DP72" s="27" t="s">
        <v>195</v>
      </c>
      <c r="DQ72" s="27" t="s">
        <v>183</v>
      </c>
      <c r="DR72" s="27" t="s">
        <v>272</v>
      </c>
      <c r="DS72" s="27" t="s">
        <v>134</v>
      </c>
      <c r="DT72" s="27" t="s">
        <v>164</v>
      </c>
      <c r="DU72" s="27" t="s">
        <v>136</v>
      </c>
      <c r="DV72" s="27" t="s">
        <v>153</v>
      </c>
      <c r="DW72" s="27" t="s">
        <v>140</v>
      </c>
      <c r="DX72" s="27" t="s">
        <v>187</v>
      </c>
      <c r="DY72" s="27" t="s">
        <v>139</v>
      </c>
      <c r="DZ72" s="27" t="n">
        <f aca="false">DY72+DV72+DR72+DN72+DJ72+DF72+DB72</f>
        <v>610</v>
      </c>
      <c r="EA72" s="28" t="n">
        <f aca="false">DZ72/7</f>
        <v>87.1428571428571</v>
      </c>
      <c r="EB72" s="27" t="n">
        <f aca="false">RANK(EA72,$EA$2:$EA$881,0)</f>
        <v>119</v>
      </c>
      <c r="EC72" s="29" t="n">
        <f aca="false">DZ72+CQ72+CP72+AZ72</f>
        <v>2715</v>
      </c>
      <c r="ED72" s="30" t="n">
        <f aca="false">(EA72+CV72+BB72)/3</f>
        <v>87.2714285714286</v>
      </c>
      <c r="EE72" s="51" t="n">
        <f aca="false">ROUND(BE72,3)</f>
        <v>90.303</v>
      </c>
      <c r="EF72" s="51" t="n">
        <f aca="false">ROUND(CR72,3)</f>
        <v>91.429</v>
      </c>
      <c r="EG72" s="51" t="n">
        <f aca="false">ROUND(CS72,3)</f>
        <v>87.714</v>
      </c>
      <c r="EH72" s="51" t="n">
        <f aca="false">ROUND(EA72,3)</f>
        <v>87.143</v>
      </c>
      <c r="EI72" s="51" t="n">
        <f aca="false">ROUND(ED72,3)</f>
        <v>87.271</v>
      </c>
      <c r="EJ72" s="51" t="n">
        <f aca="false">ROUND(CV72,3)</f>
        <v>89.571</v>
      </c>
      <c r="EK72" s="0" t="n">
        <f aca="false">RANK(EI72,$EI$2:$EI$881,0)</f>
        <v>71</v>
      </c>
    </row>
    <row r="73" customFormat="false" ht="15" hidden="false" customHeight="false" outlineLevel="0" collapsed="false">
      <c r="A73" s="4" t="n">
        <v>9050</v>
      </c>
      <c r="B73" s="4" t="n">
        <v>38</v>
      </c>
      <c r="C73" s="27" t="s">
        <v>393</v>
      </c>
      <c r="D73" s="52" t="n">
        <v>41</v>
      </c>
      <c r="E73" s="16" t="n">
        <v>230132247</v>
      </c>
      <c r="F73" s="56" t="s">
        <v>394</v>
      </c>
      <c r="G73" s="22" t="s">
        <v>395</v>
      </c>
      <c r="H73" s="22" t="s">
        <v>326</v>
      </c>
      <c r="I73" s="57"/>
      <c r="J73" s="16" t="n">
        <v>86</v>
      </c>
      <c r="K73" s="16" t="n">
        <v>58</v>
      </c>
      <c r="L73" s="34" t="n">
        <f aca="false">(K73*70)/100</f>
        <v>40.6</v>
      </c>
      <c r="M73" s="34" t="n">
        <f aca="false">ROUNDUP(L73,0)</f>
        <v>41</v>
      </c>
      <c r="N73" s="16" t="n">
        <v>29</v>
      </c>
      <c r="O73" s="34" t="n">
        <f aca="false">N73+L73</f>
        <v>69.6</v>
      </c>
      <c r="P73" s="34" t="n">
        <f aca="false">N73+M73</f>
        <v>70</v>
      </c>
      <c r="Q73" s="16" t="n">
        <v>71</v>
      </c>
      <c r="R73" s="16" t="n">
        <v>70</v>
      </c>
      <c r="S73" s="34" t="n">
        <f aca="false">(R73*70)/100</f>
        <v>49</v>
      </c>
      <c r="T73" s="34" t="n">
        <f aca="false">ROUNDUP(S73,0)</f>
        <v>49</v>
      </c>
      <c r="U73" s="16" t="n">
        <v>27</v>
      </c>
      <c r="V73" s="34" t="n">
        <f aca="false">U73+S73</f>
        <v>76</v>
      </c>
      <c r="W73" s="34" t="n">
        <f aca="false">U73+T73</f>
        <v>76</v>
      </c>
      <c r="X73" s="16" t="n">
        <v>70</v>
      </c>
      <c r="Y73" s="34" t="n">
        <f aca="false">(X73*70)/100</f>
        <v>49</v>
      </c>
      <c r="Z73" s="34" t="n">
        <f aca="false">ROUNDUP(Y73,0)</f>
        <v>49</v>
      </c>
      <c r="AA73" s="16" t="n">
        <v>28</v>
      </c>
      <c r="AB73" s="34" t="n">
        <f aca="false">AA73+Y73</f>
        <v>77</v>
      </c>
      <c r="AC73" s="34" t="n">
        <f aca="false">AA73+Z73</f>
        <v>77</v>
      </c>
      <c r="AD73" s="32" t="n">
        <f aca="false">X73+R73+Q73+K73+J73</f>
        <v>355</v>
      </c>
      <c r="AE73" s="16" t="n">
        <f aca="false">AD73/5</f>
        <v>71</v>
      </c>
      <c r="AF73" s="16" t="n">
        <v>80</v>
      </c>
      <c r="AG73" s="16" t="n">
        <v>90</v>
      </c>
      <c r="AH73" s="16" t="n">
        <v>95</v>
      </c>
      <c r="AI73" s="16" t="n">
        <v>98</v>
      </c>
      <c r="AJ73" s="16" t="n">
        <f aca="false">(AI73*70)/100</f>
        <v>68.6</v>
      </c>
      <c r="AK73" s="35" t="n">
        <f aca="false">ROUNDUP(AJ73,0)</f>
        <v>69</v>
      </c>
      <c r="AL73" s="16" t="n">
        <v>30</v>
      </c>
      <c r="AM73" s="16" t="n">
        <f aca="false">AL73+AJ73</f>
        <v>98.6</v>
      </c>
      <c r="AN73" s="16" t="n">
        <f aca="false">AL73+AK73</f>
        <v>99</v>
      </c>
      <c r="AO73" s="16" t="n">
        <v>86</v>
      </c>
      <c r="AP73" s="36" t="n">
        <f aca="false">(AO73*70)/100</f>
        <v>60.2</v>
      </c>
      <c r="AQ73" s="37" t="n">
        <f aca="false">ROUNDUP(AP73,0)</f>
        <v>61</v>
      </c>
      <c r="AR73" s="16" t="n">
        <v>30</v>
      </c>
      <c r="AS73" s="16" t="n">
        <f aca="false">AR73+AP73</f>
        <v>90.2</v>
      </c>
      <c r="AT73" s="16" t="n">
        <f aca="false">AR73+AQ73</f>
        <v>91</v>
      </c>
      <c r="AU73" s="16" t="n">
        <f aca="false">AO73+AF73+AI73+AH73+AG73</f>
        <v>449</v>
      </c>
      <c r="AV73" s="16" t="n">
        <f aca="false">(AO73+AF73+AI73+AH73+AG73)/5</f>
        <v>89.8</v>
      </c>
      <c r="AW73" s="36" t="n">
        <f aca="false">(AO73+AF73+AI73+AH73+AG73+X73+R73+Q73+K73+J73)</f>
        <v>804</v>
      </c>
      <c r="AX73" s="16" t="n">
        <f aca="false">AW73/10</f>
        <v>80.4</v>
      </c>
      <c r="AY73" s="16" t="n">
        <f aca="false">AS73+AF73+AM73+AH73+AG73+AB73+V73+Q73+O73+J73</f>
        <v>833.4</v>
      </c>
      <c r="AZ73" s="16" t="n">
        <f aca="false">AT73+AF73+AN73+AH73+AG73+AC73+W73+Q73+P73+J73</f>
        <v>835</v>
      </c>
      <c r="BA73" s="16" t="n">
        <f aca="false">AY73/10</f>
        <v>83.34</v>
      </c>
      <c r="BB73" s="16" t="n">
        <f aca="false">AZ73/10</f>
        <v>83.5</v>
      </c>
      <c r="BC73" s="16" t="n">
        <v>2353</v>
      </c>
      <c r="BD73" s="16" t="n">
        <f aca="false">RANK(AX73,$AX$2:$AX$881,0)</f>
        <v>238</v>
      </c>
      <c r="BE73" s="54" t="n">
        <f aca="false">((BC73*100)/2400)*0.4+(AX73*0.6)</f>
        <v>87.4566666666667</v>
      </c>
      <c r="BF73" s="16" t="n">
        <f aca="false">RANK(BE73,$BE$2:$BE$881,0)</f>
        <v>253</v>
      </c>
      <c r="BG73" s="39" t="n">
        <f aca="false">RANK(BB73,$BB$2:$BB$881,0)</f>
        <v>141</v>
      </c>
      <c r="BH73" s="39" t="n">
        <f aca="false">RANK(BC73,$BC$2:$BC$881,0)</f>
        <v>507</v>
      </c>
      <c r="BI73" s="22" t="s">
        <v>130</v>
      </c>
      <c r="BJ73" s="22" t="s">
        <v>129</v>
      </c>
      <c r="BK73" s="40" t="s">
        <v>131</v>
      </c>
      <c r="BL73" s="41" t="n">
        <v>29</v>
      </c>
      <c r="BM73" s="41" t="n">
        <v>60</v>
      </c>
      <c r="BN73" s="41" t="n">
        <v>89</v>
      </c>
      <c r="BO73" s="42" t="n">
        <v>26</v>
      </c>
      <c r="BP73" s="43" t="n">
        <v>57</v>
      </c>
      <c r="BQ73" s="44" t="n">
        <v>83</v>
      </c>
      <c r="BR73" s="42" t="n">
        <v>27</v>
      </c>
      <c r="BS73" s="45" t="n">
        <v>65</v>
      </c>
      <c r="BT73" s="45" t="n">
        <v>92</v>
      </c>
      <c r="BU73" s="46" t="n">
        <v>100</v>
      </c>
      <c r="BV73" s="47" t="n">
        <v>94</v>
      </c>
      <c r="BW73" s="42" t="n">
        <v>100</v>
      </c>
      <c r="BX73" s="48" t="n">
        <v>98</v>
      </c>
      <c r="BY73" s="32" t="n">
        <v>26</v>
      </c>
      <c r="BZ73" s="32" t="n">
        <v>53</v>
      </c>
      <c r="CA73" s="32" t="n">
        <v>79</v>
      </c>
      <c r="CB73" s="32" t="n">
        <v>22</v>
      </c>
      <c r="CC73" s="32" t="n">
        <v>64</v>
      </c>
      <c r="CD73" s="32" t="n">
        <v>86</v>
      </c>
      <c r="CE73" s="32" t="n">
        <v>28</v>
      </c>
      <c r="CF73" s="32" t="n">
        <v>59</v>
      </c>
      <c r="CG73" s="32" t="n">
        <v>87</v>
      </c>
      <c r="CH73" s="32" t="n">
        <v>99</v>
      </c>
      <c r="CI73" s="32" t="n">
        <v>99</v>
      </c>
      <c r="CJ73" s="49" t="n">
        <v>27</v>
      </c>
      <c r="CK73" s="49" t="n">
        <v>59</v>
      </c>
      <c r="CL73" s="49" t="n">
        <v>86</v>
      </c>
      <c r="CM73" s="49" t="n">
        <v>25</v>
      </c>
      <c r="CN73" s="49" t="n">
        <v>55</v>
      </c>
      <c r="CO73" s="49" t="n">
        <v>80</v>
      </c>
      <c r="CP73" s="25" t="n">
        <f aca="false">BX73+BW73+BV73+BU73+BT73+BQ73+BN73</f>
        <v>656</v>
      </c>
      <c r="CQ73" s="25" t="n">
        <f aca="false">CO73+CL73+CI73+CH73+CG73+CD73+CA73</f>
        <v>616</v>
      </c>
      <c r="CR73" s="26" t="n">
        <f aca="false">CP73/7</f>
        <v>93.7142857142857</v>
      </c>
      <c r="CS73" s="26" t="n">
        <f aca="false">CQ73/7</f>
        <v>88</v>
      </c>
      <c r="CT73" s="24" t="n">
        <f aca="false">RANK(CR73,$CR$2:$CR$881,0)</f>
        <v>32</v>
      </c>
      <c r="CU73" s="25" t="n">
        <f aca="false">RANK(CS73,$CS$2:$CS$881,0)</f>
        <v>42</v>
      </c>
      <c r="CV73" s="26" t="n">
        <f aca="false">(CS73+CR73)/2</f>
        <v>90.8571428571429</v>
      </c>
      <c r="CW73" s="25" t="n">
        <f aca="false">RANK(CV73,$CV$2:$CV$881,0)</f>
        <v>45</v>
      </c>
      <c r="CX73" s="50" t="n">
        <f aca="false">(CV73+BB73)/2</f>
        <v>87.1785714285714</v>
      </c>
      <c r="CY73" s="50" t="n">
        <v>71</v>
      </c>
      <c r="CZ73" s="27" t="s">
        <v>132</v>
      </c>
      <c r="DA73" s="27" t="s">
        <v>169</v>
      </c>
      <c r="DB73" s="27" t="s">
        <v>169</v>
      </c>
      <c r="DC73" s="27" t="s">
        <v>134</v>
      </c>
      <c r="DD73" s="27" t="s">
        <v>154</v>
      </c>
      <c r="DE73" s="27" t="s">
        <v>161</v>
      </c>
      <c r="DF73" s="27" t="s">
        <v>209</v>
      </c>
      <c r="DG73" s="27" t="s">
        <v>134</v>
      </c>
      <c r="DH73" s="27" t="s">
        <v>140</v>
      </c>
      <c r="DI73" s="27" t="s">
        <v>161</v>
      </c>
      <c r="DJ73" s="27" t="s">
        <v>153</v>
      </c>
      <c r="DK73" s="27" t="s">
        <v>134</v>
      </c>
      <c r="DL73" s="27" t="s">
        <v>164</v>
      </c>
      <c r="DM73" s="27" t="s">
        <v>152</v>
      </c>
      <c r="DN73" s="27" t="s">
        <v>170</v>
      </c>
      <c r="DO73" s="27" t="s">
        <v>134</v>
      </c>
      <c r="DP73" s="27" t="s">
        <v>195</v>
      </c>
      <c r="DQ73" s="27" t="s">
        <v>177</v>
      </c>
      <c r="DR73" s="27" t="s">
        <v>196</v>
      </c>
      <c r="DS73" s="27" t="s">
        <v>134</v>
      </c>
      <c r="DT73" s="27" t="s">
        <v>140</v>
      </c>
      <c r="DU73" s="27" t="s">
        <v>177</v>
      </c>
      <c r="DV73" s="27" t="s">
        <v>162</v>
      </c>
      <c r="DW73" s="27" t="s">
        <v>135</v>
      </c>
      <c r="DX73" s="27" t="s">
        <v>138</v>
      </c>
      <c r="DY73" s="27" t="s">
        <v>156</v>
      </c>
      <c r="DZ73" s="27" t="n">
        <f aca="false">DY73+DV73+DR73+DN73+DJ73+DF73+DB73</f>
        <v>612</v>
      </c>
      <c r="EA73" s="28" t="n">
        <f aca="false">DZ73/7</f>
        <v>87.4285714285714</v>
      </c>
      <c r="EB73" s="27" t="n">
        <f aca="false">RANK(EA73,$EA$2:$EA$881,0)</f>
        <v>110</v>
      </c>
      <c r="EC73" s="29" t="n">
        <f aca="false">DZ73+CQ73+CP73+AZ73</f>
        <v>2719</v>
      </c>
      <c r="ED73" s="30" t="n">
        <f aca="false">(EA73+CV73+BB73)/3</f>
        <v>87.2619047619048</v>
      </c>
      <c r="EE73" s="51" t="n">
        <f aca="false">ROUND(BE73,3)</f>
        <v>87.457</v>
      </c>
      <c r="EF73" s="51" t="n">
        <f aca="false">ROUND(CR73,3)</f>
        <v>93.714</v>
      </c>
      <c r="EG73" s="51" t="n">
        <f aca="false">ROUND(CS73,3)</f>
        <v>88</v>
      </c>
      <c r="EH73" s="51" t="n">
        <f aca="false">ROUND(EA73,3)</f>
        <v>87.429</v>
      </c>
      <c r="EI73" s="51" t="n">
        <f aca="false">ROUND(ED73,3)</f>
        <v>87.262</v>
      </c>
      <c r="EJ73" s="51" t="n">
        <f aca="false">ROUND(CV73,3)</f>
        <v>90.857</v>
      </c>
      <c r="EK73" s="0" t="n">
        <f aca="false">RANK(EI73,$EI$2:$EI$881,0)</f>
        <v>72</v>
      </c>
    </row>
    <row r="74" customFormat="false" ht="15" hidden="false" customHeight="false" outlineLevel="0" collapsed="false">
      <c r="A74" s="4" t="n">
        <v>8906</v>
      </c>
      <c r="B74" s="4" t="n">
        <v>297</v>
      </c>
      <c r="C74" s="27" t="s">
        <v>396</v>
      </c>
      <c r="D74" s="31" t="n">
        <v>296</v>
      </c>
      <c r="E74" s="32" t="n">
        <v>230322856</v>
      </c>
      <c r="F74" s="8" t="s">
        <v>397</v>
      </c>
      <c r="G74" s="22" t="s">
        <v>322</v>
      </c>
      <c r="H74" s="22" t="s">
        <v>129</v>
      </c>
      <c r="I74" s="33" t="n">
        <v>2005</v>
      </c>
      <c r="J74" s="32" t="n">
        <v>87</v>
      </c>
      <c r="K74" s="32" t="n">
        <v>79</v>
      </c>
      <c r="L74" s="34" t="n">
        <f aca="false">(K74*70)/100</f>
        <v>55.3</v>
      </c>
      <c r="M74" s="34" t="n">
        <f aca="false">ROUNDUP(L74,0)</f>
        <v>56</v>
      </c>
      <c r="N74" s="32" t="n">
        <v>26</v>
      </c>
      <c r="O74" s="34" t="n">
        <f aca="false">N74+L74</f>
        <v>81.3</v>
      </c>
      <c r="P74" s="34" t="n">
        <f aca="false">N74+M74</f>
        <v>82</v>
      </c>
      <c r="Q74" s="32" t="n">
        <v>82</v>
      </c>
      <c r="R74" s="32" t="n">
        <v>79</v>
      </c>
      <c r="S74" s="34" t="n">
        <f aca="false">(R74*70)/100</f>
        <v>55.3</v>
      </c>
      <c r="T74" s="34" t="n">
        <f aca="false">ROUNDUP(S74,0)</f>
        <v>56</v>
      </c>
      <c r="U74" s="32" t="n">
        <v>26</v>
      </c>
      <c r="V74" s="34" t="n">
        <f aca="false">U74+S74</f>
        <v>81.3</v>
      </c>
      <c r="W74" s="34" t="n">
        <f aca="false">U74+T74</f>
        <v>82</v>
      </c>
      <c r="X74" s="32" t="n">
        <v>69</v>
      </c>
      <c r="Y74" s="34" t="n">
        <f aca="false">(X74*70)/100</f>
        <v>48.3</v>
      </c>
      <c r="Z74" s="34" t="n">
        <f aca="false">ROUNDUP(Y74,0)</f>
        <v>49</v>
      </c>
      <c r="AA74" s="32" t="n">
        <v>27</v>
      </c>
      <c r="AB74" s="34" t="n">
        <f aca="false">AA74+Y74</f>
        <v>75.3</v>
      </c>
      <c r="AC74" s="34" t="n">
        <f aca="false">AA74+Z74</f>
        <v>76</v>
      </c>
      <c r="AD74" s="32" t="n">
        <f aca="false">X74+R74+Q74+K74+J74</f>
        <v>396</v>
      </c>
      <c r="AE74" s="16" t="n">
        <f aca="false">AD74/5</f>
        <v>79.2</v>
      </c>
      <c r="AF74" s="16" t="n">
        <v>86</v>
      </c>
      <c r="AG74" s="16" t="n">
        <v>85</v>
      </c>
      <c r="AH74" s="16" t="n">
        <v>95</v>
      </c>
      <c r="AI74" s="16" t="n">
        <v>92</v>
      </c>
      <c r="AJ74" s="16" t="n">
        <f aca="false">(AI74*70)/100</f>
        <v>64.4</v>
      </c>
      <c r="AK74" s="35" t="n">
        <f aca="false">ROUNDUP(AJ74,0)</f>
        <v>65</v>
      </c>
      <c r="AL74" s="16" t="n">
        <v>27</v>
      </c>
      <c r="AM74" s="16" t="n">
        <f aca="false">AL74+AJ74</f>
        <v>91.4</v>
      </c>
      <c r="AN74" s="16" t="n">
        <f aca="false">AL74+AK74</f>
        <v>92</v>
      </c>
      <c r="AO74" s="16" t="n">
        <v>72</v>
      </c>
      <c r="AP74" s="36" t="n">
        <f aca="false">(AO74*70)/100</f>
        <v>50.4</v>
      </c>
      <c r="AQ74" s="37" t="n">
        <f aca="false">ROUNDUP(AP74,0)</f>
        <v>51</v>
      </c>
      <c r="AR74" s="16" t="n">
        <v>28</v>
      </c>
      <c r="AS74" s="16" t="n">
        <f aca="false">AR74+AP74</f>
        <v>78.4</v>
      </c>
      <c r="AT74" s="16" t="n">
        <f aca="false">AR74+AQ74</f>
        <v>79</v>
      </c>
      <c r="AU74" s="16" t="n">
        <f aca="false">AO74+AF74+AI74+AH74+AG74</f>
        <v>430</v>
      </c>
      <c r="AV74" s="16" t="n">
        <f aca="false">(AO74+AF74+AI74+AH74+AG74)/5</f>
        <v>86</v>
      </c>
      <c r="AW74" s="36" t="n">
        <f aca="false">(AO74+AF74+AI74+AH74+AG74+X74+R74+Q74+K74+J74)</f>
        <v>826</v>
      </c>
      <c r="AX74" s="16" t="n">
        <f aca="false">AW74/10</f>
        <v>82.6</v>
      </c>
      <c r="AY74" s="16" t="n">
        <f aca="false">AS74+AF74+AM74+AH74+AG74+AB74+V74+Q74+O74+J74</f>
        <v>842.7</v>
      </c>
      <c r="AZ74" s="16" t="n">
        <f aca="false">AT74+AF74+AN74+AH74+AG74+AC74+W74+Q74+P74+J74</f>
        <v>846</v>
      </c>
      <c r="BA74" s="16" t="n">
        <f aca="false">AY74/10</f>
        <v>84.27</v>
      </c>
      <c r="BB74" s="16" t="n">
        <f aca="false">AZ74/10</f>
        <v>84.6</v>
      </c>
      <c r="BC74" s="16" t="n">
        <v>2346</v>
      </c>
      <c r="BD74" s="16" t="n">
        <f aca="false">RANK(AX74,$AX$2:$AX$881,0)</f>
        <v>137</v>
      </c>
      <c r="BE74" s="54" t="n">
        <f aca="false">((BC74*100)/2400)*0.4+(AX74*0.6)</f>
        <v>88.66</v>
      </c>
      <c r="BF74" s="16" t="n">
        <f aca="false">RANK(BE74,$BE$2:$BE$881,0)</f>
        <v>148</v>
      </c>
      <c r="BG74" s="39" t="n">
        <f aca="false">RANK(BB74,$BB$2:$BB$881,0)</f>
        <v>107</v>
      </c>
      <c r="BH74" s="39" t="n">
        <f aca="false">RANK(BC74,$BC$2:$BC$881,0)</f>
        <v>571</v>
      </c>
      <c r="BI74" s="22" t="s">
        <v>130</v>
      </c>
      <c r="BJ74" s="22" t="s">
        <v>129</v>
      </c>
      <c r="BK74" s="40" t="s">
        <v>131</v>
      </c>
      <c r="BL74" s="41" t="n">
        <v>28</v>
      </c>
      <c r="BM74" s="41" t="n">
        <v>66</v>
      </c>
      <c r="BN74" s="41" t="n">
        <v>94</v>
      </c>
      <c r="BO74" s="42" t="n">
        <v>28</v>
      </c>
      <c r="BP74" s="43" t="n">
        <v>67</v>
      </c>
      <c r="BQ74" s="44" t="n">
        <v>95</v>
      </c>
      <c r="BR74" s="42" t="n">
        <v>26</v>
      </c>
      <c r="BS74" s="45" t="n">
        <v>60</v>
      </c>
      <c r="BT74" s="45" t="n">
        <v>86</v>
      </c>
      <c r="BU74" s="46" t="n">
        <v>100</v>
      </c>
      <c r="BV74" s="47" t="n">
        <v>98</v>
      </c>
      <c r="BW74" s="42" t="n">
        <v>99</v>
      </c>
      <c r="BX74" s="48" t="n">
        <v>98</v>
      </c>
      <c r="BY74" s="32" t="n">
        <v>24</v>
      </c>
      <c r="BZ74" s="32" t="n">
        <v>59</v>
      </c>
      <c r="CA74" s="32" t="n">
        <v>83</v>
      </c>
      <c r="CB74" s="32" t="n">
        <v>27</v>
      </c>
      <c r="CC74" s="32" t="n">
        <v>48</v>
      </c>
      <c r="CD74" s="32" t="n">
        <v>75</v>
      </c>
      <c r="CE74" s="32" t="n">
        <v>28</v>
      </c>
      <c r="CF74" s="32" t="n">
        <v>62</v>
      </c>
      <c r="CG74" s="32" t="n">
        <v>90</v>
      </c>
      <c r="CH74" s="32" t="n">
        <v>100</v>
      </c>
      <c r="CI74" s="32" t="n">
        <v>100</v>
      </c>
      <c r="CJ74" s="49" t="n">
        <v>25</v>
      </c>
      <c r="CK74" s="49" t="n">
        <v>52</v>
      </c>
      <c r="CL74" s="49" t="n">
        <v>77</v>
      </c>
      <c r="CM74" s="49" t="n">
        <v>23</v>
      </c>
      <c r="CN74" s="49" t="n">
        <v>58</v>
      </c>
      <c r="CO74" s="49" t="n">
        <v>81</v>
      </c>
      <c r="CP74" s="25" t="n">
        <f aca="false">BX74+BW74+BV74+BU74+BT74+BQ74+BN74</f>
        <v>670</v>
      </c>
      <c r="CQ74" s="25" t="n">
        <f aca="false">CO74+CL74+CI74+CH74+CG74+CD74+CA74</f>
        <v>606</v>
      </c>
      <c r="CR74" s="26" t="n">
        <f aca="false">CP74/7</f>
        <v>95.7142857142857</v>
      </c>
      <c r="CS74" s="26" t="n">
        <f aca="false">CQ74/7</f>
        <v>86.5714285714286</v>
      </c>
      <c r="CT74" s="24" t="n">
        <f aca="false">RANK(CR74,$CR$2:$CR$881,0)</f>
        <v>7</v>
      </c>
      <c r="CU74" s="25" t="n">
        <f aca="false">RANK(CS74,$CS$2:$CS$881,0)</f>
        <v>64</v>
      </c>
      <c r="CV74" s="26" t="n">
        <f aca="false">(CS74+CR74)/2</f>
        <v>91.1428571428571</v>
      </c>
      <c r="CW74" s="25" t="n">
        <f aca="false">RANK(CV74,$CV$2:$CV$881,0)</f>
        <v>35</v>
      </c>
      <c r="CX74" s="50" t="n">
        <f aca="false">(CV74+BB74)/2</f>
        <v>87.8714285714286</v>
      </c>
      <c r="CY74" s="50" t="n">
        <v>52</v>
      </c>
      <c r="CZ74" s="27" t="s">
        <v>132</v>
      </c>
      <c r="DA74" s="27" t="s">
        <v>151</v>
      </c>
      <c r="DB74" s="27" t="s">
        <v>151</v>
      </c>
      <c r="DC74" s="27" t="s">
        <v>134</v>
      </c>
      <c r="DD74" s="27" t="s">
        <v>164</v>
      </c>
      <c r="DE74" s="27" t="s">
        <v>183</v>
      </c>
      <c r="DF74" s="27" t="s">
        <v>175</v>
      </c>
      <c r="DG74" s="27" t="s">
        <v>134</v>
      </c>
      <c r="DH74" s="27" t="s">
        <v>164</v>
      </c>
      <c r="DI74" s="27" t="s">
        <v>152</v>
      </c>
      <c r="DJ74" s="27" t="s">
        <v>170</v>
      </c>
      <c r="DK74" s="27" t="s">
        <v>134</v>
      </c>
      <c r="DL74" s="27" t="s">
        <v>164</v>
      </c>
      <c r="DM74" s="27" t="s">
        <v>218</v>
      </c>
      <c r="DN74" s="27" t="s">
        <v>209</v>
      </c>
      <c r="DO74" s="27" t="s">
        <v>134</v>
      </c>
      <c r="DP74" s="27" t="s">
        <v>191</v>
      </c>
      <c r="DQ74" s="27" t="s">
        <v>313</v>
      </c>
      <c r="DR74" s="27" t="s">
        <v>398</v>
      </c>
      <c r="DS74" s="27" t="s">
        <v>134</v>
      </c>
      <c r="DT74" s="27" t="s">
        <v>146</v>
      </c>
      <c r="DU74" s="27" t="s">
        <v>399</v>
      </c>
      <c r="DV74" s="27" t="s">
        <v>305</v>
      </c>
      <c r="DW74" s="27" t="s">
        <v>140</v>
      </c>
      <c r="DX74" s="27" t="s">
        <v>155</v>
      </c>
      <c r="DY74" s="27" t="s">
        <v>147</v>
      </c>
      <c r="DZ74" s="27" t="n">
        <f aca="false">DY74+DV74+DR74+DN74+DJ74+DF74+DB74</f>
        <v>602</v>
      </c>
      <c r="EA74" s="28" t="n">
        <f aca="false">DZ74/7</f>
        <v>86</v>
      </c>
      <c r="EB74" s="27" t="n">
        <f aca="false">RANK(EA74,$EA$2:$EA$881,0)</f>
        <v>155</v>
      </c>
      <c r="EC74" s="29" t="n">
        <f aca="false">DZ74+CQ74+CP74+AZ74</f>
        <v>2724</v>
      </c>
      <c r="ED74" s="30" t="n">
        <f aca="false">(EA74+CV74+BB74)/3</f>
        <v>87.247619047619</v>
      </c>
      <c r="EE74" s="51" t="n">
        <f aca="false">ROUND(BE74,3)</f>
        <v>88.66</v>
      </c>
      <c r="EF74" s="51" t="n">
        <f aca="false">ROUND(CR74,3)</f>
        <v>95.714</v>
      </c>
      <c r="EG74" s="51" t="n">
        <f aca="false">ROUND(CS74,3)</f>
        <v>86.571</v>
      </c>
      <c r="EH74" s="51" t="n">
        <f aca="false">ROUND(EA74,3)</f>
        <v>86</v>
      </c>
      <c r="EI74" s="51" t="n">
        <f aca="false">ROUND(ED74,3)</f>
        <v>87.248</v>
      </c>
      <c r="EJ74" s="51" t="n">
        <f aca="false">ROUND(CV74,3)</f>
        <v>91.143</v>
      </c>
      <c r="EK74" s="0" t="n">
        <f aca="false">RANK(EI74,$EI$2:$EI$881,0)</f>
        <v>73</v>
      </c>
    </row>
    <row r="75" customFormat="false" ht="15" hidden="false" customHeight="false" outlineLevel="0" collapsed="false">
      <c r="A75" s="4" t="n">
        <v>8997</v>
      </c>
      <c r="B75" s="4" t="n">
        <v>367</v>
      </c>
      <c r="C75" s="27" t="s">
        <v>400</v>
      </c>
      <c r="D75" s="31" t="n">
        <v>372</v>
      </c>
      <c r="E75" s="32" t="n">
        <v>230322645</v>
      </c>
      <c r="F75" s="8" t="s">
        <v>401</v>
      </c>
      <c r="G75" s="22" t="s">
        <v>395</v>
      </c>
      <c r="H75" s="22" t="s">
        <v>129</v>
      </c>
      <c r="I75" s="33" t="n">
        <v>2006</v>
      </c>
      <c r="J75" s="32" t="n">
        <v>74</v>
      </c>
      <c r="K75" s="32" t="n">
        <v>80</v>
      </c>
      <c r="L75" s="34" t="n">
        <f aca="false">(K75*70)/100</f>
        <v>56</v>
      </c>
      <c r="M75" s="34" t="n">
        <f aca="false">ROUNDUP(L75,0)</f>
        <v>56</v>
      </c>
      <c r="N75" s="32" t="n">
        <v>27</v>
      </c>
      <c r="O75" s="34" t="n">
        <f aca="false">N75+L75</f>
        <v>83</v>
      </c>
      <c r="P75" s="34" t="n">
        <f aca="false">N75+M75</f>
        <v>83</v>
      </c>
      <c r="Q75" s="32" t="n">
        <v>91</v>
      </c>
      <c r="R75" s="32" t="n">
        <v>85</v>
      </c>
      <c r="S75" s="34" t="n">
        <f aca="false">(R75*70)/100</f>
        <v>59.5</v>
      </c>
      <c r="T75" s="34" t="n">
        <f aca="false">ROUNDUP(S75,0)</f>
        <v>60</v>
      </c>
      <c r="U75" s="32" t="n">
        <v>25</v>
      </c>
      <c r="V75" s="34" t="n">
        <f aca="false">U75+S75</f>
        <v>84.5</v>
      </c>
      <c r="W75" s="34" t="n">
        <f aca="false">U75+T75</f>
        <v>85</v>
      </c>
      <c r="X75" s="32" t="n">
        <v>74</v>
      </c>
      <c r="Y75" s="34" t="n">
        <f aca="false">(X75*70)/100</f>
        <v>51.8</v>
      </c>
      <c r="Z75" s="34" t="n">
        <f aca="false">ROUNDUP(Y75,0)</f>
        <v>52</v>
      </c>
      <c r="AA75" s="32" t="n">
        <v>21</v>
      </c>
      <c r="AB75" s="34" t="n">
        <f aca="false">AA75+Y75</f>
        <v>72.8</v>
      </c>
      <c r="AC75" s="34" t="n">
        <f aca="false">AA75+Z75</f>
        <v>73</v>
      </c>
      <c r="AD75" s="32" t="n">
        <f aca="false">X75+R75+Q75+K75+J75</f>
        <v>404</v>
      </c>
      <c r="AE75" s="16" t="n">
        <f aca="false">AD75/5</f>
        <v>80.8</v>
      </c>
      <c r="AF75" s="16" t="n">
        <v>81</v>
      </c>
      <c r="AG75" s="16" t="n">
        <v>89</v>
      </c>
      <c r="AH75" s="16" t="n">
        <v>94</v>
      </c>
      <c r="AI75" s="16" t="n">
        <v>94</v>
      </c>
      <c r="AJ75" s="16" t="n">
        <f aca="false">(AI75*70)/100</f>
        <v>65.8</v>
      </c>
      <c r="AK75" s="35" t="n">
        <f aca="false">ROUNDUP(AJ75,0)</f>
        <v>66</v>
      </c>
      <c r="AL75" s="16" t="n">
        <v>23</v>
      </c>
      <c r="AM75" s="16" t="n">
        <f aca="false">AL75+AJ75</f>
        <v>88.8</v>
      </c>
      <c r="AN75" s="16" t="n">
        <f aca="false">AL75+AK75</f>
        <v>89</v>
      </c>
      <c r="AO75" s="16" t="n">
        <v>81</v>
      </c>
      <c r="AP75" s="36" t="n">
        <f aca="false">(AO75*70)/100</f>
        <v>56.7</v>
      </c>
      <c r="AQ75" s="37" t="n">
        <f aca="false">ROUNDUP(AP75,0)</f>
        <v>57</v>
      </c>
      <c r="AR75" s="16" t="n">
        <v>26</v>
      </c>
      <c r="AS75" s="16" t="n">
        <f aca="false">AR75+AP75</f>
        <v>82.7</v>
      </c>
      <c r="AT75" s="16" t="n">
        <f aca="false">AR75+AQ75</f>
        <v>83</v>
      </c>
      <c r="AU75" s="16" t="n">
        <f aca="false">AO75+AF75+AI75+AH75+AG75</f>
        <v>439</v>
      </c>
      <c r="AV75" s="16" t="n">
        <f aca="false">(AO75+AF75+AI75+AH75+AG75)/5</f>
        <v>87.8</v>
      </c>
      <c r="AW75" s="36" t="n">
        <f aca="false">(AO75+AF75+AI75+AH75+AG75+X75+R75+Q75+K75+J75)</f>
        <v>843</v>
      </c>
      <c r="AX75" s="16" t="n">
        <f aca="false">AW75/10</f>
        <v>84.3</v>
      </c>
      <c r="AY75" s="16" t="n">
        <f aca="false">AS75+AF75+AM75+AH75+AG75+AB75+V75+Q75+O75+J75</f>
        <v>840.8</v>
      </c>
      <c r="AZ75" s="16" t="n">
        <f aca="false">AT75+AF75+AN75+AH75+AG75+AC75+W75+Q75+P75+J75</f>
        <v>842</v>
      </c>
      <c r="BA75" s="16" t="n">
        <f aca="false">AY75/10</f>
        <v>84.08</v>
      </c>
      <c r="BB75" s="16" t="n">
        <f aca="false">AZ75/10</f>
        <v>84.2</v>
      </c>
      <c r="BC75" s="16" t="n">
        <v>2365</v>
      </c>
      <c r="BD75" s="16" t="n">
        <f aca="false">RANK(AX75,$AX$2:$AX$881,0)</f>
        <v>102</v>
      </c>
      <c r="BE75" s="54" t="n">
        <f aca="false">((BC75*100)/2400)*0.4+(AX75*0.6)</f>
        <v>89.9966666666667</v>
      </c>
      <c r="BF75" s="16" t="n">
        <f aca="false">RANK(BE75,$BE$2:$BE$881,0)</f>
        <v>102</v>
      </c>
      <c r="BG75" s="39" t="n">
        <f aca="false">RANK(BB75,$BB$2:$BB$881,0)</f>
        <v>119</v>
      </c>
      <c r="BH75" s="39" t="n">
        <f aca="false">RANK(BC75,$BC$2:$BC$881,0)</f>
        <v>333</v>
      </c>
      <c r="BI75" s="22" t="s">
        <v>130</v>
      </c>
      <c r="BJ75" s="22" t="s">
        <v>129</v>
      </c>
      <c r="BK75" s="40" t="s">
        <v>131</v>
      </c>
      <c r="BL75" s="41" t="n">
        <v>22</v>
      </c>
      <c r="BM75" s="41" t="n">
        <v>63</v>
      </c>
      <c r="BN75" s="41" t="n">
        <v>85</v>
      </c>
      <c r="BO75" s="42" t="n">
        <v>28</v>
      </c>
      <c r="BP75" s="43" t="n">
        <v>69</v>
      </c>
      <c r="BQ75" s="44" t="n">
        <v>97</v>
      </c>
      <c r="BR75" s="42" t="n">
        <v>24</v>
      </c>
      <c r="BS75" s="45" t="n">
        <v>63</v>
      </c>
      <c r="BT75" s="45" t="n">
        <v>87</v>
      </c>
      <c r="BU75" s="46" t="n">
        <v>100</v>
      </c>
      <c r="BV75" s="47" t="n">
        <v>88</v>
      </c>
      <c r="BW75" s="42" t="n">
        <v>100</v>
      </c>
      <c r="BX75" s="48" t="n">
        <v>94</v>
      </c>
      <c r="BY75" s="32" t="n">
        <v>27</v>
      </c>
      <c r="BZ75" s="32" t="n">
        <v>65</v>
      </c>
      <c r="CA75" s="32" t="n">
        <v>92</v>
      </c>
      <c r="CB75" s="32" t="n">
        <v>20</v>
      </c>
      <c r="CC75" s="32" t="n">
        <v>50</v>
      </c>
      <c r="CD75" s="32" t="n">
        <v>70</v>
      </c>
      <c r="CE75" s="32" t="n">
        <v>26</v>
      </c>
      <c r="CF75" s="32" t="n">
        <v>58</v>
      </c>
      <c r="CG75" s="32" t="n">
        <v>84</v>
      </c>
      <c r="CH75" s="32" t="n">
        <v>99</v>
      </c>
      <c r="CI75" s="32" t="n">
        <v>98</v>
      </c>
      <c r="CJ75" s="49" t="n">
        <v>25</v>
      </c>
      <c r="CK75" s="49" t="n">
        <v>60</v>
      </c>
      <c r="CL75" s="49" t="n">
        <v>85</v>
      </c>
      <c r="CM75" s="49" t="n">
        <v>28</v>
      </c>
      <c r="CN75" s="49" t="n">
        <v>53</v>
      </c>
      <c r="CO75" s="49" t="n">
        <v>81</v>
      </c>
      <c r="CP75" s="25" t="n">
        <f aca="false">BX75+BW75+BV75+BU75+BT75+BQ75+BN75</f>
        <v>651</v>
      </c>
      <c r="CQ75" s="25" t="n">
        <f aca="false">CO75+CL75+CI75+CH75+CG75+CD75+CA75</f>
        <v>609</v>
      </c>
      <c r="CR75" s="26" t="n">
        <f aca="false">CP75/7</f>
        <v>93</v>
      </c>
      <c r="CS75" s="26" t="n">
        <f aca="false">CQ75/7</f>
        <v>87</v>
      </c>
      <c r="CT75" s="24" t="n">
        <f aca="false">RANK(CR75,$CR$2:$CR$881,0)</f>
        <v>49</v>
      </c>
      <c r="CU75" s="25" t="n">
        <f aca="false">RANK(CS75,$CS$2:$CS$881,0)</f>
        <v>58</v>
      </c>
      <c r="CV75" s="26" t="n">
        <f aca="false">(CS75+CR75)/2</f>
        <v>90</v>
      </c>
      <c r="CW75" s="25" t="n">
        <f aca="false">RANK(CV75,$CV$2:$CV$881,0)</f>
        <v>52</v>
      </c>
      <c r="CX75" s="50" t="n">
        <f aca="false">(CV75+BB75)/2</f>
        <v>87.1</v>
      </c>
      <c r="CY75" s="50" t="n">
        <v>74</v>
      </c>
      <c r="CZ75" s="27" t="s">
        <v>132</v>
      </c>
      <c r="DA75" s="27" t="s">
        <v>169</v>
      </c>
      <c r="DB75" s="27" t="s">
        <v>169</v>
      </c>
      <c r="DC75" s="27" t="s">
        <v>134</v>
      </c>
      <c r="DD75" s="27" t="s">
        <v>154</v>
      </c>
      <c r="DE75" s="27" t="s">
        <v>220</v>
      </c>
      <c r="DF75" s="27" t="s">
        <v>272</v>
      </c>
      <c r="DG75" s="27" t="s">
        <v>134</v>
      </c>
      <c r="DH75" s="27" t="s">
        <v>182</v>
      </c>
      <c r="DI75" s="27" t="s">
        <v>152</v>
      </c>
      <c r="DJ75" s="27" t="s">
        <v>133</v>
      </c>
      <c r="DK75" s="27" t="s">
        <v>134</v>
      </c>
      <c r="DL75" s="27" t="s">
        <v>137</v>
      </c>
      <c r="DM75" s="27" t="s">
        <v>203</v>
      </c>
      <c r="DN75" s="27" t="s">
        <v>133</v>
      </c>
      <c r="DO75" s="27" t="s">
        <v>134</v>
      </c>
      <c r="DP75" s="27" t="s">
        <v>182</v>
      </c>
      <c r="DQ75" s="27" t="s">
        <v>220</v>
      </c>
      <c r="DR75" s="27" t="s">
        <v>219</v>
      </c>
      <c r="DS75" s="27" t="s">
        <v>134</v>
      </c>
      <c r="DT75" s="27" t="s">
        <v>140</v>
      </c>
      <c r="DU75" s="27" t="s">
        <v>152</v>
      </c>
      <c r="DV75" s="27" t="s">
        <v>151</v>
      </c>
      <c r="DW75" s="27" t="s">
        <v>146</v>
      </c>
      <c r="DX75" s="27" t="s">
        <v>155</v>
      </c>
      <c r="DY75" s="27" t="s">
        <v>165</v>
      </c>
      <c r="DZ75" s="27" t="n">
        <f aca="false">DY75+DV75+DR75+DN75+DJ75+DF75+DB75</f>
        <v>611</v>
      </c>
      <c r="EA75" s="28" t="n">
        <f aca="false">DZ75/7</f>
        <v>87.2857142857143</v>
      </c>
      <c r="EB75" s="27" t="n">
        <f aca="false">RANK(EA75,$EA$2:$EA$881,0)</f>
        <v>112</v>
      </c>
      <c r="EC75" s="29" t="n">
        <f aca="false">DZ75+CQ75+CP75+AZ75</f>
        <v>2713</v>
      </c>
      <c r="ED75" s="30" t="n">
        <f aca="false">(EA75+CV75+BB75)/3</f>
        <v>87.1619047619048</v>
      </c>
      <c r="EE75" s="51" t="n">
        <f aca="false">ROUND(BE75,3)</f>
        <v>89.997</v>
      </c>
      <c r="EF75" s="51" t="n">
        <f aca="false">ROUND(CR75,3)</f>
        <v>93</v>
      </c>
      <c r="EG75" s="51" t="n">
        <f aca="false">ROUND(CS75,3)</f>
        <v>87</v>
      </c>
      <c r="EH75" s="51" t="n">
        <f aca="false">ROUND(EA75,3)</f>
        <v>87.286</v>
      </c>
      <c r="EI75" s="51" t="n">
        <f aca="false">ROUND(ED75,3)</f>
        <v>87.162</v>
      </c>
      <c r="EJ75" s="51" t="n">
        <f aca="false">ROUND(CV75,3)</f>
        <v>90</v>
      </c>
      <c r="EK75" s="0" t="n">
        <f aca="false">RANK(EI75,$EI$2:$EI$881,0)</f>
        <v>74</v>
      </c>
    </row>
    <row r="76" customFormat="false" ht="15" hidden="false" customHeight="false" outlineLevel="0" collapsed="false">
      <c r="A76" s="4" t="n">
        <v>8902</v>
      </c>
      <c r="B76" s="4" t="n">
        <v>268</v>
      </c>
      <c r="C76" s="27" t="s">
        <v>402</v>
      </c>
      <c r="D76" s="31" t="n">
        <v>266</v>
      </c>
      <c r="E76" s="32" t="n">
        <v>230324905</v>
      </c>
      <c r="F76" s="8" t="s">
        <v>403</v>
      </c>
      <c r="G76" s="22" t="s">
        <v>404</v>
      </c>
      <c r="H76" s="22" t="s">
        <v>129</v>
      </c>
      <c r="I76" s="33" t="n">
        <v>2006</v>
      </c>
      <c r="J76" s="32" t="n">
        <v>77</v>
      </c>
      <c r="K76" s="32" t="n">
        <v>73</v>
      </c>
      <c r="L76" s="34" t="n">
        <f aca="false">(K76*70)/100</f>
        <v>51.1</v>
      </c>
      <c r="M76" s="34" t="n">
        <f aca="false">ROUNDUP(L76,0)</f>
        <v>52</v>
      </c>
      <c r="N76" s="32" t="n">
        <v>27</v>
      </c>
      <c r="O76" s="34" t="n">
        <f aca="false">N76+L76</f>
        <v>78.1</v>
      </c>
      <c r="P76" s="34" t="n">
        <f aca="false">N76+M76</f>
        <v>79</v>
      </c>
      <c r="Q76" s="32" t="n">
        <v>69</v>
      </c>
      <c r="R76" s="32" t="n">
        <v>80</v>
      </c>
      <c r="S76" s="34" t="n">
        <f aca="false">(R76*70)/100</f>
        <v>56</v>
      </c>
      <c r="T76" s="34" t="n">
        <f aca="false">ROUNDUP(S76,0)</f>
        <v>56</v>
      </c>
      <c r="U76" s="32" t="n">
        <v>25</v>
      </c>
      <c r="V76" s="34" t="n">
        <f aca="false">U76+S76</f>
        <v>81</v>
      </c>
      <c r="W76" s="34" t="n">
        <f aca="false">U76+T76</f>
        <v>81</v>
      </c>
      <c r="X76" s="32" t="n">
        <v>75</v>
      </c>
      <c r="Y76" s="34" t="n">
        <f aca="false">(X76*70)/100</f>
        <v>52.5</v>
      </c>
      <c r="Z76" s="34" t="n">
        <f aca="false">ROUNDUP(Y76,0)</f>
        <v>53</v>
      </c>
      <c r="AA76" s="32" t="n">
        <v>28</v>
      </c>
      <c r="AB76" s="34" t="n">
        <f aca="false">AA76+Y76</f>
        <v>80.5</v>
      </c>
      <c r="AC76" s="34" t="n">
        <f aca="false">AA76+Z76</f>
        <v>81</v>
      </c>
      <c r="AD76" s="32" t="n">
        <f aca="false">X76+R76+Q76+K76+J76</f>
        <v>374</v>
      </c>
      <c r="AE76" s="16" t="n">
        <f aca="false">AD76/5</f>
        <v>74.8</v>
      </c>
      <c r="AF76" s="16" t="n">
        <v>66</v>
      </c>
      <c r="AG76" s="16" t="n">
        <v>85</v>
      </c>
      <c r="AH76" s="16" t="n">
        <v>90</v>
      </c>
      <c r="AI76" s="16" t="n">
        <v>91</v>
      </c>
      <c r="AJ76" s="16" t="n">
        <f aca="false">(AI76*70)/100</f>
        <v>63.7</v>
      </c>
      <c r="AK76" s="35" t="n">
        <f aca="false">ROUNDUP(AJ76,0)</f>
        <v>64</v>
      </c>
      <c r="AL76" s="16" t="n">
        <v>26</v>
      </c>
      <c r="AM76" s="16" t="n">
        <f aca="false">AL76+AJ76</f>
        <v>89.7</v>
      </c>
      <c r="AN76" s="16" t="n">
        <f aca="false">AL76+AK76</f>
        <v>90</v>
      </c>
      <c r="AO76" s="16" t="n">
        <v>75</v>
      </c>
      <c r="AP76" s="36" t="n">
        <f aca="false">(AO76*70)/100</f>
        <v>52.5</v>
      </c>
      <c r="AQ76" s="37" t="n">
        <f aca="false">ROUNDUP(AP76,0)</f>
        <v>53</v>
      </c>
      <c r="AR76" s="16" t="n">
        <v>26</v>
      </c>
      <c r="AS76" s="16" t="n">
        <f aca="false">AR76+AP76</f>
        <v>78.5</v>
      </c>
      <c r="AT76" s="16" t="n">
        <f aca="false">AR76+AQ76</f>
        <v>79</v>
      </c>
      <c r="AU76" s="16" t="n">
        <f aca="false">AO76+AF76+AI76+AH76+AG76</f>
        <v>407</v>
      </c>
      <c r="AV76" s="16" t="n">
        <f aca="false">(AO76+AF76+AI76+AH76+AG76)/5</f>
        <v>81.4</v>
      </c>
      <c r="AW76" s="36" t="n">
        <f aca="false">(AO76+AF76+AI76+AH76+AG76+X76+R76+Q76+K76+J76)</f>
        <v>781</v>
      </c>
      <c r="AX76" s="16" t="n">
        <f aca="false">AW76/10</f>
        <v>78.1</v>
      </c>
      <c r="AY76" s="16" t="n">
        <f aca="false">AS76+AF76+AM76+AH76+AG76+AB76+V76+Q76+O76+J76</f>
        <v>794.8</v>
      </c>
      <c r="AZ76" s="16" t="n">
        <f aca="false">AT76+AF76+AN76+AH76+AG76+AC76+W76+Q76+P76+J76</f>
        <v>797</v>
      </c>
      <c r="BA76" s="16" t="n">
        <f aca="false">AY76/10</f>
        <v>79.48</v>
      </c>
      <c r="BB76" s="16" t="n">
        <f aca="false">AZ76/10</f>
        <v>79.7</v>
      </c>
      <c r="BC76" s="16" t="n">
        <v>2383</v>
      </c>
      <c r="BD76" s="16" t="n">
        <f aca="false">RANK(AX76,$AX$2:$AX$881,0)</f>
        <v>402</v>
      </c>
      <c r="BE76" s="54" t="n">
        <f aca="false">((BC76*100)/2400)*0.4+(AX76*0.6)</f>
        <v>86.5766666666667</v>
      </c>
      <c r="BF76" s="16" t="n">
        <f aca="false">RANK(BE76,$BE$2:$BE$881,0)</f>
        <v>343</v>
      </c>
      <c r="BG76" s="39" t="n">
        <f aca="false">RANK(BB76,$BB$2:$BB$881,0)</f>
        <v>381</v>
      </c>
      <c r="BH76" s="39" t="n">
        <f aca="false">RANK(BC76,$BC$2:$BC$881,0)</f>
        <v>114</v>
      </c>
      <c r="BI76" s="22" t="s">
        <v>130</v>
      </c>
      <c r="BJ76" s="22" t="s">
        <v>129</v>
      </c>
      <c r="BK76" s="40" t="s">
        <v>131</v>
      </c>
      <c r="BL76" s="41" t="n">
        <v>29</v>
      </c>
      <c r="BM76" s="41" t="n">
        <v>59</v>
      </c>
      <c r="BN76" s="41" t="n">
        <v>88</v>
      </c>
      <c r="BO76" s="42" t="n">
        <v>27</v>
      </c>
      <c r="BP76" s="43" t="n">
        <v>65</v>
      </c>
      <c r="BQ76" s="44" t="n">
        <v>92</v>
      </c>
      <c r="BR76" s="42" t="n">
        <v>26</v>
      </c>
      <c r="BS76" s="45" t="n">
        <v>64</v>
      </c>
      <c r="BT76" s="45" t="n">
        <v>90</v>
      </c>
      <c r="BU76" s="46" t="n">
        <v>100</v>
      </c>
      <c r="BV76" s="47" t="n">
        <v>98</v>
      </c>
      <c r="BW76" s="42" t="n">
        <v>100</v>
      </c>
      <c r="BX76" s="48" t="n">
        <v>94</v>
      </c>
      <c r="BY76" s="32" t="n">
        <v>27</v>
      </c>
      <c r="BZ76" s="32" t="n">
        <v>62</v>
      </c>
      <c r="CA76" s="32" t="n">
        <v>89</v>
      </c>
      <c r="CB76" s="32" t="n">
        <v>27</v>
      </c>
      <c r="CC76" s="32" t="n">
        <v>50</v>
      </c>
      <c r="CD76" s="32" t="n">
        <v>77</v>
      </c>
      <c r="CE76" s="32" t="n">
        <v>25</v>
      </c>
      <c r="CF76" s="32" t="n">
        <v>61</v>
      </c>
      <c r="CG76" s="32" t="n">
        <v>86</v>
      </c>
      <c r="CH76" s="32" t="n">
        <v>99</v>
      </c>
      <c r="CI76" s="32" t="n">
        <v>98</v>
      </c>
      <c r="CJ76" s="49" t="n">
        <v>29</v>
      </c>
      <c r="CK76" s="49" t="n">
        <v>59</v>
      </c>
      <c r="CL76" s="49" t="n">
        <v>88</v>
      </c>
      <c r="CM76" s="49" t="n">
        <v>24</v>
      </c>
      <c r="CN76" s="49" t="n">
        <v>51</v>
      </c>
      <c r="CO76" s="49" t="n">
        <v>75</v>
      </c>
      <c r="CP76" s="25" t="n">
        <f aca="false">BX76+BW76+BV76+BU76+BT76+BQ76+BN76</f>
        <v>662</v>
      </c>
      <c r="CQ76" s="25" t="n">
        <f aca="false">CO76+CL76+CI76+CH76+CG76+CD76+CA76</f>
        <v>612</v>
      </c>
      <c r="CR76" s="26" t="n">
        <f aca="false">CP76/7</f>
        <v>94.5714285714286</v>
      </c>
      <c r="CS76" s="26" t="n">
        <f aca="false">CQ76/7</f>
        <v>87.4285714285714</v>
      </c>
      <c r="CT76" s="24" t="n">
        <f aca="false">RANK(CR76,$CR$2:$CR$881,0)</f>
        <v>18</v>
      </c>
      <c r="CU76" s="25" t="n">
        <f aca="false">RANK(CS76,$CS$2:$CS$881,0)</f>
        <v>51</v>
      </c>
      <c r="CV76" s="26" t="n">
        <f aca="false">(CS76+CR76)/2</f>
        <v>91</v>
      </c>
      <c r="CW76" s="25" t="n">
        <f aca="false">RANK(CV76,$CV$2:$CV$881,0)</f>
        <v>38</v>
      </c>
      <c r="CX76" s="50" t="n">
        <f aca="false">(CV76+BB76)/2</f>
        <v>85.35</v>
      </c>
      <c r="CY76" s="50" t="n">
        <v>110</v>
      </c>
      <c r="CZ76" s="27" t="s">
        <v>132</v>
      </c>
      <c r="DA76" s="27" t="s">
        <v>176</v>
      </c>
      <c r="DB76" s="27" t="s">
        <v>176</v>
      </c>
      <c r="DC76" s="27" t="s">
        <v>134</v>
      </c>
      <c r="DD76" s="27" t="s">
        <v>135</v>
      </c>
      <c r="DE76" s="27" t="s">
        <v>203</v>
      </c>
      <c r="DF76" s="27" t="s">
        <v>178</v>
      </c>
      <c r="DG76" s="27" t="s">
        <v>134</v>
      </c>
      <c r="DH76" s="27" t="s">
        <v>140</v>
      </c>
      <c r="DI76" s="27" t="s">
        <v>136</v>
      </c>
      <c r="DJ76" s="27" t="s">
        <v>176</v>
      </c>
      <c r="DK76" s="27" t="s">
        <v>134</v>
      </c>
      <c r="DL76" s="27" t="s">
        <v>164</v>
      </c>
      <c r="DM76" s="27" t="s">
        <v>136</v>
      </c>
      <c r="DN76" s="27" t="s">
        <v>153</v>
      </c>
      <c r="DO76" s="27" t="s">
        <v>134</v>
      </c>
      <c r="DP76" s="27" t="s">
        <v>182</v>
      </c>
      <c r="DQ76" s="27" t="s">
        <v>183</v>
      </c>
      <c r="DR76" s="27" t="s">
        <v>205</v>
      </c>
      <c r="DS76" s="27" t="s">
        <v>134</v>
      </c>
      <c r="DT76" s="27" t="s">
        <v>164</v>
      </c>
      <c r="DU76" s="27" t="s">
        <v>187</v>
      </c>
      <c r="DV76" s="27" t="s">
        <v>151</v>
      </c>
      <c r="DW76" s="27" t="s">
        <v>140</v>
      </c>
      <c r="DX76" s="27" t="s">
        <v>155</v>
      </c>
      <c r="DY76" s="27" t="s">
        <v>147</v>
      </c>
      <c r="DZ76" s="27" t="n">
        <f aca="false">DY76+DV76+DR76+DN76+DJ76+DF76+DB76</f>
        <v>635</v>
      </c>
      <c r="EA76" s="28" t="n">
        <f aca="false">DZ76/7</f>
        <v>90.7142857142857</v>
      </c>
      <c r="EB76" s="27" t="n">
        <f aca="false">RANK(EA76,$EA$2:$EA$881,0)</f>
        <v>43</v>
      </c>
      <c r="EC76" s="29" t="n">
        <f aca="false">DZ76+CQ76+CP76+AZ76</f>
        <v>2706</v>
      </c>
      <c r="ED76" s="30" t="n">
        <f aca="false">(EA76+CV76+BB76)/3</f>
        <v>87.1380952380952</v>
      </c>
      <c r="EE76" s="51" t="n">
        <f aca="false">ROUND(BE76,3)</f>
        <v>86.577</v>
      </c>
      <c r="EF76" s="51" t="n">
        <f aca="false">ROUND(CR76,3)</f>
        <v>94.571</v>
      </c>
      <c r="EG76" s="51" t="n">
        <f aca="false">ROUND(CS76,3)</f>
        <v>87.429</v>
      </c>
      <c r="EH76" s="51" t="n">
        <f aca="false">ROUND(EA76,3)</f>
        <v>90.714</v>
      </c>
      <c r="EI76" s="51" t="n">
        <f aca="false">ROUND(ED76,3)</f>
        <v>87.138</v>
      </c>
      <c r="EJ76" s="51" t="n">
        <f aca="false">ROUND(CV76,3)</f>
        <v>91</v>
      </c>
      <c r="EK76" s="0" t="n">
        <f aca="false">RANK(EI76,$EI$2:$EI$881,0)</f>
        <v>75</v>
      </c>
    </row>
    <row r="77" customFormat="false" ht="16.85" hidden="false" customHeight="false" outlineLevel="0" collapsed="false">
      <c r="A77" s="4" t="n">
        <v>9075</v>
      </c>
      <c r="B77" s="4" t="n">
        <v>54</v>
      </c>
      <c r="C77" s="27" t="s">
        <v>405</v>
      </c>
      <c r="D77" s="52" t="n">
        <v>56</v>
      </c>
      <c r="E77" s="32" t="n">
        <v>230419374</v>
      </c>
      <c r="F77" s="8" t="s">
        <v>406</v>
      </c>
      <c r="G77" s="66" t="s">
        <v>407</v>
      </c>
      <c r="H77" s="22" t="s">
        <v>271</v>
      </c>
      <c r="I77" s="67" t="s">
        <v>408</v>
      </c>
      <c r="J77" s="32" t="n">
        <v>72</v>
      </c>
      <c r="K77" s="32" t="n">
        <v>93</v>
      </c>
      <c r="L77" s="34" t="n">
        <f aca="false">(K77*70)/100</f>
        <v>65.1</v>
      </c>
      <c r="M77" s="34" t="n">
        <f aca="false">ROUNDUP(L77,0)</f>
        <v>66</v>
      </c>
      <c r="N77" s="32" t="n">
        <v>29</v>
      </c>
      <c r="O77" s="34" t="n">
        <f aca="false">N77+L77</f>
        <v>94.1</v>
      </c>
      <c r="P77" s="34" t="n">
        <f aca="false">N77+M77</f>
        <v>95</v>
      </c>
      <c r="Q77" s="32" t="n">
        <v>89</v>
      </c>
      <c r="R77" s="32" t="n">
        <v>84</v>
      </c>
      <c r="S77" s="34" t="n">
        <f aca="false">(R77*70)/100</f>
        <v>58.8</v>
      </c>
      <c r="T77" s="34" t="n">
        <f aca="false">ROUNDUP(S77,0)</f>
        <v>59</v>
      </c>
      <c r="U77" s="32" t="n">
        <v>26</v>
      </c>
      <c r="V77" s="34" t="n">
        <f aca="false">U77+S77</f>
        <v>84.8</v>
      </c>
      <c r="W77" s="34" t="n">
        <f aca="false">U77+T77</f>
        <v>85</v>
      </c>
      <c r="X77" s="32" t="n">
        <v>71</v>
      </c>
      <c r="Y77" s="34" t="n">
        <f aca="false">(X77*70)/100</f>
        <v>49.7</v>
      </c>
      <c r="Z77" s="34" t="n">
        <f aca="false">ROUNDUP(Y77,0)</f>
        <v>50</v>
      </c>
      <c r="AA77" s="32" t="n">
        <v>26</v>
      </c>
      <c r="AB77" s="34" t="n">
        <f aca="false">AA77+Y77</f>
        <v>75.7</v>
      </c>
      <c r="AC77" s="34" t="n">
        <f aca="false">AA77+Z77</f>
        <v>76</v>
      </c>
      <c r="AD77" s="32" t="n">
        <f aca="false">X77+R77+Q77+K77+J77</f>
        <v>409</v>
      </c>
      <c r="AE77" s="16" t="n">
        <f aca="false">AD77/5</f>
        <v>81.8</v>
      </c>
      <c r="AF77" s="16" t="n">
        <v>84</v>
      </c>
      <c r="AG77" s="16" t="n">
        <v>84</v>
      </c>
      <c r="AH77" s="16" t="n">
        <v>95</v>
      </c>
      <c r="AI77" s="16" t="n">
        <v>91</v>
      </c>
      <c r="AJ77" s="16" t="n">
        <f aca="false">(AI77*70)/100</f>
        <v>63.7</v>
      </c>
      <c r="AK77" s="35" t="n">
        <f aca="false">ROUNDUP(AJ77,0)</f>
        <v>64</v>
      </c>
      <c r="AL77" s="16" t="n">
        <v>28</v>
      </c>
      <c r="AM77" s="16" t="n">
        <f aca="false">AL77+AJ77</f>
        <v>91.7</v>
      </c>
      <c r="AN77" s="16" t="n">
        <f aca="false">AL77+AK77</f>
        <v>92</v>
      </c>
      <c r="AO77" s="16" t="n">
        <v>91</v>
      </c>
      <c r="AP77" s="36" t="n">
        <f aca="false">(AO77*70)/100</f>
        <v>63.7</v>
      </c>
      <c r="AQ77" s="37" t="n">
        <f aca="false">ROUNDUP(AP77,0)</f>
        <v>64</v>
      </c>
      <c r="AR77" s="16" t="n">
        <v>27</v>
      </c>
      <c r="AS77" s="16" t="n">
        <f aca="false">AR77+AP77</f>
        <v>90.7</v>
      </c>
      <c r="AT77" s="16" t="n">
        <f aca="false">AR77+AQ77</f>
        <v>91</v>
      </c>
      <c r="AU77" s="16" t="n">
        <f aca="false">AO77+AF77+AI77+AH77+AG77</f>
        <v>445</v>
      </c>
      <c r="AV77" s="16" t="n">
        <f aca="false">(AO77+AF77+AI77+AH77+AG77)/5</f>
        <v>89</v>
      </c>
      <c r="AW77" s="36" t="n">
        <f aca="false">(AO77+AF77+AI77+AH77+AG77+X77+R77+Q77+K77+J77)</f>
        <v>854</v>
      </c>
      <c r="AX77" s="16" t="n">
        <f aca="false">AW77/10</f>
        <v>85.4</v>
      </c>
      <c r="AY77" s="16" t="n">
        <f aca="false">AS77+AF77+AM77+AH77+AG77+AB77+V77+Q77+O77+J77</f>
        <v>861</v>
      </c>
      <c r="AZ77" s="16" t="n">
        <f aca="false">AT77+AF77+AN77+AH77+AG77+AC77+W77+Q77+P77+J77</f>
        <v>863</v>
      </c>
      <c r="BA77" s="16" t="n">
        <f aca="false">AY77/10</f>
        <v>86.1</v>
      </c>
      <c r="BB77" s="16" t="n">
        <f aca="false">AZ77/10</f>
        <v>86.3</v>
      </c>
      <c r="BC77" s="24" t="n">
        <v>2365</v>
      </c>
      <c r="BD77" s="16" t="n">
        <f aca="false">RANK(AX77,$AX$2:$AX$881,0)</f>
        <v>84</v>
      </c>
      <c r="BE77" s="38" t="n">
        <f aca="false">((BC77*100)/2400)*0.4+(AX77*0.6)</f>
        <v>90.6566666666667</v>
      </c>
      <c r="BF77" s="16" t="n">
        <f aca="false">RANK(BE77,$BE$2:$BE$881,0)</f>
        <v>84</v>
      </c>
      <c r="BG77" s="39" t="n">
        <f aca="false">RANK(BB77,$BB$2:$BB$881,0)</f>
        <v>76</v>
      </c>
      <c r="BH77" s="39" t="n">
        <f aca="false">RANK(BC77,$BC$2:$BC$881,0)</f>
        <v>333</v>
      </c>
      <c r="BI77" s="22" t="s">
        <v>130</v>
      </c>
      <c r="BJ77" s="22" t="s">
        <v>129</v>
      </c>
      <c r="BK77" s="40" t="s">
        <v>131</v>
      </c>
      <c r="BL77" s="41" t="n">
        <v>22</v>
      </c>
      <c r="BM77" s="41" t="n">
        <v>51</v>
      </c>
      <c r="BN77" s="41" t="n">
        <v>73</v>
      </c>
      <c r="BO77" s="42" t="n">
        <v>21</v>
      </c>
      <c r="BP77" s="43" t="n">
        <v>50</v>
      </c>
      <c r="BQ77" s="44" t="n">
        <v>71</v>
      </c>
      <c r="BR77" s="42" t="n">
        <v>25</v>
      </c>
      <c r="BS77" s="45" t="n">
        <v>60</v>
      </c>
      <c r="BT77" s="45" t="n">
        <v>85</v>
      </c>
      <c r="BU77" s="46" t="n">
        <v>100</v>
      </c>
      <c r="BV77" s="47" t="n">
        <v>74</v>
      </c>
      <c r="BW77" s="42" t="n">
        <v>95</v>
      </c>
      <c r="BX77" s="48" t="n">
        <v>90</v>
      </c>
      <c r="BY77" s="32" t="n">
        <v>28</v>
      </c>
      <c r="BZ77" s="32" t="n">
        <v>56</v>
      </c>
      <c r="CA77" s="32" t="n">
        <v>84</v>
      </c>
      <c r="CB77" s="32" t="n">
        <v>21</v>
      </c>
      <c r="CC77" s="32" t="n">
        <v>37</v>
      </c>
      <c r="CD77" s="69" t="n">
        <v>58</v>
      </c>
      <c r="CE77" s="32" t="n">
        <v>29</v>
      </c>
      <c r="CF77" s="32" t="n">
        <v>61</v>
      </c>
      <c r="CG77" s="32" t="n">
        <v>90</v>
      </c>
      <c r="CH77" s="32" t="n">
        <v>96</v>
      </c>
      <c r="CI77" s="32" t="n">
        <v>98</v>
      </c>
      <c r="CJ77" s="49" t="n">
        <v>25</v>
      </c>
      <c r="CK77" s="49" t="n">
        <v>58</v>
      </c>
      <c r="CL77" s="49" t="n">
        <v>83</v>
      </c>
      <c r="CM77" s="49" t="n">
        <v>24</v>
      </c>
      <c r="CN77" s="49" t="n">
        <v>54</v>
      </c>
      <c r="CO77" s="49" t="n">
        <v>78</v>
      </c>
      <c r="CP77" s="25" t="n">
        <f aca="false">BX77+BW77+BV77+BU77+BT77+BQ77+BN77</f>
        <v>588</v>
      </c>
      <c r="CQ77" s="25" t="n">
        <f aca="false">CO77+CL77+CI77+CH77+CG77+CD77+CA77</f>
        <v>587</v>
      </c>
      <c r="CR77" s="26" t="n">
        <f aca="false">CP77/7</f>
        <v>84</v>
      </c>
      <c r="CS77" s="26" t="n">
        <f aca="false">CQ77/7</f>
        <v>83.8571428571429</v>
      </c>
      <c r="CT77" s="24" t="n">
        <f aca="false">RANK(CR77,$CR$2:$CR$881,0)</f>
        <v>487</v>
      </c>
      <c r="CU77" s="25" t="n">
        <f aca="false">RANK(CS77,$CS$2:$CS$881,0)</f>
        <v>125</v>
      </c>
      <c r="CV77" s="26" t="n">
        <f aca="false">(CS77+CR77)/2</f>
        <v>83.9285714285714</v>
      </c>
      <c r="CW77" s="25" t="n">
        <f aca="false">RANK(CV77,$CV$2:$CV$881,0)</f>
        <v>267</v>
      </c>
      <c r="CX77" s="50" t="n">
        <f aca="false">(CV77+BB77)/2</f>
        <v>85.1142857142857</v>
      </c>
      <c r="CY77" s="50" t="n">
        <v>123</v>
      </c>
      <c r="CZ77" s="27" t="s">
        <v>132</v>
      </c>
      <c r="DA77" s="27" t="s">
        <v>162</v>
      </c>
      <c r="DB77" s="27" t="s">
        <v>162</v>
      </c>
      <c r="DC77" s="27" t="s">
        <v>134</v>
      </c>
      <c r="DD77" s="27" t="s">
        <v>135</v>
      </c>
      <c r="DE77" s="27" t="s">
        <v>152</v>
      </c>
      <c r="DF77" s="27" t="s">
        <v>162</v>
      </c>
      <c r="DG77" s="27" t="s">
        <v>134</v>
      </c>
      <c r="DH77" s="27" t="s">
        <v>137</v>
      </c>
      <c r="DI77" s="27" t="s">
        <v>141</v>
      </c>
      <c r="DJ77" s="27" t="s">
        <v>151</v>
      </c>
      <c r="DK77" s="27" t="s">
        <v>134</v>
      </c>
      <c r="DL77" s="27" t="s">
        <v>140</v>
      </c>
      <c r="DM77" s="27" t="s">
        <v>152</v>
      </c>
      <c r="DN77" s="27" t="s">
        <v>151</v>
      </c>
      <c r="DO77" s="27" t="s">
        <v>134</v>
      </c>
      <c r="DP77" s="27" t="s">
        <v>182</v>
      </c>
      <c r="DQ77" s="27" t="s">
        <v>136</v>
      </c>
      <c r="DR77" s="27" t="s">
        <v>178</v>
      </c>
      <c r="DS77" s="27" t="s">
        <v>134</v>
      </c>
      <c r="DT77" s="27" t="s">
        <v>160</v>
      </c>
      <c r="DU77" s="27" t="s">
        <v>187</v>
      </c>
      <c r="DV77" s="27" t="s">
        <v>156</v>
      </c>
      <c r="DW77" s="27" t="s">
        <v>154</v>
      </c>
      <c r="DX77" s="27" t="s">
        <v>155</v>
      </c>
      <c r="DY77" s="27" t="s">
        <v>151</v>
      </c>
      <c r="DZ77" s="27" t="n">
        <f aca="false">DY77+DV77+DR77+DN77+DJ77+DF77+DB77</f>
        <v>638</v>
      </c>
      <c r="EA77" s="28" t="n">
        <f aca="false">DZ77/7</f>
        <v>91.1428571428571</v>
      </c>
      <c r="EB77" s="27" t="n">
        <f aca="false">RANK(EA77,$EA$2:$EA$881,0)</f>
        <v>34</v>
      </c>
      <c r="EC77" s="29" t="n">
        <f aca="false">DZ77+CQ77+CP77+AZ77</f>
        <v>2676</v>
      </c>
      <c r="ED77" s="30" t="n">
        <f aca="false">(EA77+CV77+BB77)/3</f>
        <v>87.1238095238095</v>
      </c>
      <c r="EE77" s="51" t="n">
        <f aca="false">ROUND(BE77,3)</f>
        <v>90.657</v>
      </c>
      <c r="EF77" s="51" t="n">
        <f aca="false">ROUND(CR77,3)</f>
        <v>84</v>
      </c>
      <c r="EG77" s="51" t="n">
        <f aca="false">ROUND(CS77,3)</f>
        <v>83.857</v>
      </c>
      <c r="EH77" s="51" t="n">
        <f aca="false">ROUND(EA77,3)</f>
        <v>91.143</v>
      </c>
      <c r="EI77" s="51" t="n">
        <f aca="false">ROUND(ED77,3)</f>
        <v>87.124</v>
      </c>
      <c r="EJ77" s="51" t="n">
        <f aca="false">ROUND(CV77,3)</f>
        <v>83.929</v>
      </c>
      <c r="EK77" s="0" t="n">
        <f aca="false">RANK(EI77,$EI$2:$EI$881,0)</f>
        <v>76</v>
      </c>
    </row>
    <row r="78" customFormat="false" ht="15" hidden="false" customHeight="false" outlineLevel="0" collapsed="false">
      <c r="A78" s="4" t="n">
        <v>8919</v>
      </c>
      <c r="B78" s="4" t="n">
        <v>377</v>
      </c>
      <c r="C78" s="27" t="s">
        <v>409</v>
      </c>
      <c r="D78" s="31" t="n">
        <v>382</v>
      </c>
      <c r="E78" s="62" t="n">
        <v>230319750</v>
      </c>
      <c r="F78" s="8" t="s">
        <v>410</v>
      </c>
      <c r="G78" s="63" t="s">
        <v>411</v>
      </c>
      <c r="H78" s="22" t="s">
        <v>129</v>
      </c>
      <c r="I78" s="64" t="n">
        <v>2006</v>
      </c>
      <c r="J78" s="62" t="n">
        <v>93</v>
      </c>
      <c r="K78" s="62" t="n">
        <v>92</v>
      </c>
      <c r="L78" s="34" t="n">
        <f aca="false">(K78*70)/100</f>
        <v>64.4</v>
      </c>
      <c r="M78" s="34" t="n">
        <f aca="false">ROUNDUP(L78,0)</f>
        <v>65</v>
      </c>
      <c r="N78" s="62" t="n">
        <v>25</v>
      </c>
      <c r="O78" s="34" t="n">
        <f aca="false">N78+L78</f>
        <v>89.4</v>
      </c>
      <c r="P78" s="34" t="n">
        <f aca="false">N78+M78</f>
        <v>90</v>
      </c>
      <c r="Q78" s="62" t="n">
        <v>76</v>
      </c>
      <c r="R78" s="62" t="n">
        <v>87</v>
      </c>
      <c r="S78" s="34" t="n">
        <f aca="false">(R78*70)/100</f>
        <v>60.9</v>
      </c>
      <c r="T78" s="34" t="n">
        <f aca="false">ROUNDUP(S78,0)</f>
        <v>61</v>
      </c>
      <c r="U78" s="62" t="n">
        <v>28</v>
      </c>
      <c r="V78" s="34" t="n">
        <f aca="false">U78+S78</f>
        <v>88.9</v>
      </c>
      <c r="W78" s="34" t="n">
        <f aca="false">U78+T78</f>
        <v>89</v>
      </c>
      <c r="X78" s="62" t="n">
        <v>80</v>
      </c>
      <c r="Y78" s="34" t="n">
        <f aca="false">(X78*70)/100</f>
        <v>56</v>
      </c>
      <c r="Z78" s="34" t="n">
        <f aca="false">ROUNDUP(Y78,0)</f>
        <v>56</v>
      </c>
      <c r="AA78" s="62" t="n">
        <v>27</v>
      </c>
      <c r="AB78" s="34" t="n">
        <f aca="false">AA78+Y78</f>
        <v>83</v>
      </c>
      <c r="AC78" s="34" t="n">
        <f aca="false">AA78+Z78</f>
        <v>83</v>
      </c>
      <c r="AD78" s="32" t="n">
        <f aca="false">X78+R78+Q78+K78+J78</f>
        <v>428</v>
      </c>
      <c r="AE78" s="16" t="n">
        <f aca="false">AD78/5</f>
        <v>85.6</v>
      </c>
      <c r="AF78" s="65" t="n">
        <v>85</v>
      </c>
      <c r="AG78" s="65" t="n">
        <v>92</v>
      </c>
      <c r="AH78" s="65" t="n">
        <v>96</v>
      </c>
      <c r="AI78" s="65" t="n">
        <v>95</v>
      </c>
      <c r="AJ78" s="16" t="n">
        <f aca="false">(AI78*70)/100</f>
        <v>66.5</v>
      </c>
      <c r="AK78" s="35" t="n">
        <f aca="false">ROUNDUP(AJ78,0)</f>
        <v>67</v>
      </c>
      <c r="AL78" s="65" t="n">
        <v>26</v>
      </c>
      <c r="AM78" s="16" t="n">
        <f aca="false">AL78+AJ78</f>
        <v>92.5</v>
      </c>
      <c r="AN78" s="16" t="n">
        <f aca="false">AL78+AK78</f>
        <v>93</v>
      </c>
      <c r="AO78" s="65" t="n">
        <v>85</v>
      </c>
      <c r="AP78" s="36" t="n">
        <f aca="false">(AO78*70)/100</f>
        <v>59.5</v>
      </c>
      <c r="AQ78" s="37" t="n">
        <f aca="false">ROUNDUP(AP78,0)</f>
        <v>60</v>
      </c>
      <c r="AR78" s="65" t="n">
        <v>28</v>
      </c>
      <c r="AS78" s="16" t="n">
        <f aca="false">AR78+AP78</f>
        <v>87.5</v>
      </c>
      <c r="AT78" s="16" t="n">
        <f aca="false">AR78+AQ78</f>
        <v>88</v>
      </c>
      <c r="AU78" s="16" t="n">
        <f aca="false">AO78+AF78+AI78+AH78+AG78</f>
        <v>453</v>
      </c>
      <c r="AV78" s="16" t="n">
        <f aca="false">(AO78+AF78+AI78+AH78+AG78)/5</f>
        <v>90.6</v>
      </c>
      <c r="AW78" s="36" t="n">
        <f aca="false">(AO78+AF78+AI78+AH78+AG78+X78+R78+Q78+K78+J78)</f>
        <v>881</v>
      </c>
      <c r="AX78" s="16" t="n">
        <f aca="false">AW78/10</f>
        <v>88.1</v>
      </c>
      <c r="AY78" s="16" t="n">
        <f aca="false">AS78+AF78+AM78+AH78+AG78+AB78+V78+Q78+O78+J78</f>
        <v>883.3</v>
      </c>
      <c r="AZ78" s="16" t="n">
        <f aca="false">AT78+AF78+AN78+AH78+AG78+AC78+W78+Q78+P78+J78</f>
        <v>885</v>
      </c>
      <c r="BA78" s="16" t="n">
        <f aca="false">AY78/10</f>
        <v>88.33</v>
      </c>
      <c r="BB78" s="16" t="n">
        <f aca="false">AZ78/10</f>
        <v>88.5</v>
      </c>
      <c r="BC78" s="65" t="n">
        <v>2385</v>
      </c>
      <c r="BD78" s="16" t="n">
        <f aca="false">RANK(AX78,$AX$2:$AX$881,0)</f>
        <v>35</v>
      </c>
      <c r="BE78" s="38" t="n">
        <f aca="false">((BC78*100)/2400)*0.4+(AX78*0.6)</f>
        <v>92.61</v>
      </c>
      <c r="BF78" s="16" t="n">
        <f aca="false">RANK(BE78,$BE$2:$BE$881,0)</f>
        <v>31</v>
      </c>
      <c r="BG78" s="39" t="n">
        <f aca="false">RANK(BB78,$BB$2:$BB$881,0)</f>
        <v>35</v>
      </c>
      <c r="BH78" s="39" t="n">
        <f aca="false">RANK(BC78,$BC$2:$BC$881,0)</f>
        <v>93</v>
      </c>
      <c r="BI78" s="22" t="s">
        <v>130</v>
      </c>
      <c r="BJ78" s="22" t="s">
        <v>129</v>
      </c>
      <c r="BK78" s="40" t="s">
        <v>131</v>
      </c>
      <c r="BL78" s="41" t="n">
        <v>23</v>
      </c>
      <c r="BM78" s="41" t="n">
        <v>56</v>
      </c>
      <c r="BN78" s="41" t="n">
        <v>79</v>
      </c>
      <c r="BO78" s="42" t="n">
        <v>26</v>
      </c>
      <c r="BP78" s="43" t="n">
        <v>65</v>
      </c>
      <c r="BQ78" s="44" t="n">
        <v>91</v>
      </c>
      <c r="BR78" s="42" t="n">
        <v>22</v>
      </c>
      <c r="BS78" s="45" t="n">
        <v>57</v>
      </c>
      <c r="BT78" s="45" t="n">
        <v>79</v>
      </c>
      <c r="BU78" s="46" t="n">
        <v>99</v>
      </c>
      <c r="BV78" s="47" t="n">
        <v>92</v>
      </c>
      <c r="BW78" s="42" t="n">
        <v>99</v>
      </c>
      <c r="BX78" s="48" t="n">
        <v>100</v>
      </c>
      <c r="BY78" s="32" t="n">
        <v>26</v>
      </c>
      <c r="BZ78" s="32" t="n">
        <v>47</v>
      </c>
      <c r="CA78" s="32" t="n">
        <v>73</v>
      </c>
      <c r="CB78" s="32" t="n">
        <v>27</v>
      </c>
      <c r="CC78" s="32" t="n">
        <v>44</v>
      </c>
      <c r="CD78" s="32" t="n">
        <v>71</v>
      </c>
      <c r="CE78" s="32" t="n">
        <v>29</v>
      </c>
      <c r="CF78" s="32" t="n">
        <v>57</v>
      </c>
      <c r="CG78" s="32" t="n">
        <v>86</v>
      </c>
      <c r="CH78" s="32" t="n">
        <v>99</v>
      </c>
      <c r="CI78" s="32" t="n">
        <v>100</v>
      </c>
      <c r="CJ78" s="49" t="n">
        <v>26</v>
      </c>
      <c r="CK78" s="49" t="n">
        <v>53</v>
      </c>
      <c r="CL78" s="49" t="n">
        <v>79</v>
      </c>
      <c r="CM78" s="49" t="n">
        <v>26</v>
      </c>
      <c r="CN78" s="49" t="n">
        <v>49</v>
      </c>
      <c r="CO78" s="49" t="n">
        <v>75</v>
      </c>
      <c r="CP78" s="25" t="n">
        <f aca="false">BX78+BW78+BV78+BU78+BT78+BQ78+BN78</f>
        <v>639</v>
      </c>
      <c r="CQ78" s="25" t="n">
        <f aca="false">CO78+CL78+CI78+CH78+CG78+CD78+CA78</f>
        <v>583</v>
      </c>
      <c r="CR78" s="26" t="n">
        <f aca="false">CP78/7</f>
        <v>91.2857142857143</v>
      </c>
      <c r="CS78" s="26" t="n">
        <f aca="false">CQ78/7</f>
        <v>83.2857142857143</v>
      </c>
      <c r="CT78" s="24" t="n">
        <f aca="false">RANK(CR78,$CR$2:$CR$881,0)</f>
        <v>114</v>
      </c>
      <c r="CU78" s="25" t="n">
        <f aca="false">RANK(CS78,$CS$2:$CS$881,0)</f>
        <v>149</v>
      </c>
      <c r="CV78" s="26" t="n">
        <f aca="false">(CS78+CR78)/2</f>
        <v>87.2857142857143</v>
      </c>
      <c r="CW78" s="25" t="n">
        <f aca="false">RANK(CV78,$CV$2:$CV$881,0)</f>
        <v>129</v>
      </c>
      <c r="CX78" s="50" t="n">
        <f aca="false">(CV78+BB78)/2</f>
        <v>87.8928571428571</v>
      </c>
      <c r="CY78" s="50" t="n">
        <v>51</v>
      </c>
      <c r="CZ78" s="27" t="s">
        <v>132</v>
      </c>
      <c r="DA78" s="27" t="s">
        <v>139</v>
      </c>
      <c r="DB78" s="27" t="s">
        <v>139</v>
      </c>
      <c r="DC78" s="27" t="s">
        <v>134</v>
      </c>
      <c r="DD78" s="27" t="s">
        <v>264</v>
      </c>
      <c r="DE78" s="27" t="s">
        <v>204</v>
      </c>
      <c r="DF78" s="27" t="s">
        <v>305</v>
      </c>
      <c r="DG78" s="27" t="s">
        <v>134</v>
      </c>
      <c r="DH78" s="27" t="s">
        <v>195</v>
      </c>
      <c r="DI78" s="27" t="s">
        <v>152</v>
      </c>
      <c r="DJ78" s="27" t="s">
        <v>175</v>
      </c>
      <c r="DK78" s="27" t="s">
        <v>134</v>
      </c>
      <c r="DL78" s="27" t="s">
        <v>154</v>
      </c>
      <c r="DM78" s="27" t="s">
        <v>177</v>
      </c>
      <c r="DN78" s="27" t="s">
        <v>169</v>
      </c>
      <c r="DO78" s="27" t="s">
        <v>134</v>
      </c>
      <c r="DP78" s="27" t="s">
        <v>135</v>
      </c>
      <c r="DQ78" s="27" t="s">
        <v>306</v>
      </c>
      <c r="DR78" s="27" t="s">
        <v>219</v>
      </c>
      <c r="DS78" s="27" t="s">
        <v>134</v>
      </c>
      <c r="DT78" s="27" t="s">
        <v>164</v>
      </c>
      <c r="DU78" s="27" t="s">
        <v>412</v>
      </c>
      <c r="DV78" s="27" t="s">
        <v>305</v>
      </c>
      <c r="DW78" s="27" t="s">
        <v>146</v>
      </c>
      <c r="DX78" s="27" t="s">
        <v>155</v>
      </c>
      <c r="DY78" s="27" t="s">
        <v>165</v>
      </c>
      <c r="DZ78" s="27" t="n">
        <f aca="false">DY78+DV78+DR78+DN78+DJ78+DF78+DB78</f>
        <v>599</v>
      </c>
      <c r="EA78" s="28" t="n">
        <f aca="false">DZ78/7</f>
        <v>85.5714285714286</v>
      </c>
      <c r="EB78" s="27" t="n">
        <f aca="false">RANK(EA78,$EA$2:$EA$881,0)</f>
        <v>166</v>
      </c>
      <c r="EC78" s="29" t="n">
        <f aca="false">DZ78+CQ78+CP78+AZ78</f>
        <v>2706</v>
      </c>
      <c r="ED78" s="30" t="n">
        <f aca="false">(EA78+CV78+BB78)/3</f>
        <v>87.1190476190476</v>
      </c>
      <c r="EE78" s="51" t="n">
        <f aca="false">ROUND(BE78,3)</f>
        <v>92.61</v>
      </c>
      <c r="EF78" s="51" t="n">
        <f aca="false">ROUND(CR78,3)</f>
        <v>91.286</v>
      </c>
      <c r="EG78" s="51" t="n">
        <f aca="false">ROUND(CS78,3)</f>
        <v>83.286</v>
      </c>
      <c r="EH78" s="51" t="n">
        <f aca="false">ROUND(EA78,3)</f>
        <v>85.571</v>
      </c>
      <c r="EI78" s="51" t="n">
        <f aca="false">ROUND(ED78,3)</f>
        <v>87.119</v>
      </c>
      <c r="EJ78" s="51" t="n">
        <f aca="false">ROUND(CV78,3)</f>
        <v>87.286</v>
      </c>
      <c r="EK78" s="0" t="n">
        <f aca="false">RANK(EI78,$EI$2:$EI$881,0)</f>
        <v>77</v>
      </c>
    </row>
    <row r="79" customFormat="false" ht="15" hidden="false" customHeight="false" outlineLevel="0" collapsed="false">
      <c r="A79" s="4" t="n">
        <v>8876</v>
      </c>
      <c r="B79" s="4" t="n">
        <v>394</v>
      </c>
      <c r="C79" s="27" t="s">
        <v>413</v>
      </c>
      <c r="D79" s="31" t="n">
        <v>399</v>
      </c>
      <c r="E79" s="32" t="n">
        <v>230319752</v>
      </c>
      <c r="F79" s="8" t="s">
        <v>414</v>
      </c>
      <c r="G79" s="22" t="s">
        <v>345</v>
      </c>
      <c r="H79" s="22" t="s">
        <v>129</v>
      </c>
      <c r="I79" s="33" t="n">
        <v>2005</v>
      </c>
      <c r="J79" s="32" t="n">
        <v>80</v>
      </c>
      <c r="K79" s="32" t="n">
        <v>83</v>
      </c>
      <c r="L79" s="34" t="n">
        <f aca="false">(K79*70)/100</f>
        <v>58.1</v>
      </c>
      <c r="M79" s="34" t="n">
        <f aca="false">ROUNDUP(L79,0)</f>
        <v>59</v>
      </c>
      <c r="N79" s="32" t="n">
        <v>27</v>
      </c>
      <c r="O79" s="34" t="n">
        <f aca="false">N79+L79</f>
        <v>85.1</v>
      </c>
      <c r="P79" s="34" t="n">
        <f aca="false">N79+M79</f>
        <v>86</v>
      </c>
      <c r="Q79" s="32" t="n">
        <v>83</v>
      </c>
      <c r="R79" s="32" t="n">
        <v>82</v>
      </c>
      <c r="S79" s="34" t="n">
        <f aca="false">(R79*70)/100</f>
        <v>57.4</v>
      </c>
      <c r="T79" s="34" t="n">
        <f aca="false">ROUNDUP(S79,0)</f>
        <v>58</v>
      </c>
      <c r="U79" s="32" t="n">
        <v>22</v>
      </c>
      <c r="V79" s="34" t="n">
        <f aca="false">U79+S79</f>
        <v>79.4</v>
      </c>
      <c r="W79" s="34" t="n">
        <f aca="false">U79+T79</f>
        <v>80</v>
      </c>
      <c r="X79" s="32" t="n">
        <v>77</v>
      </c>
      <c r="Y79" s="34" t="n">
        <f aca="false">(X79*70)/100</f>
        <v>53.9</v>
      </c>
      <c r="Z79" s="34" t="n">
        <f aca="false">ROUNDUP(Y79,0)</f>
        <v>54</v>
      </c>
      <c r="AA79" s="32" t="n">
        <v>28</v>
      </c>
      <c r="AB79" s="34" t="n">
        <f aca="false">AA79+Y79</f>
        <v>81.9</v>
      </c>
      <c r="AC79" s="34" t="n">
        <f aca="false">AA79+Z79</f>
        <v>82</v>
      </c>
      <c r="AD79" s="32" t="n">
        <f aca="false">X79+R79+Q79+K79+J79</f>
        <v>405</v>
      </c>
      <c r="AE79" s="16" t="n">
        <f aca="false">AD79/5</f>
        <v>81</v>
      </c>
      <c r="AF79" s="16" t="n">
        <v>91</v>
      </c>
      <c r="AG79" s="16" t="n">
        <v>93</v>
      </c>
      <c r="AH79" s="16" t="n">
        <v>96</v>
      </c>
      <c r="AI79" s="16" t="n">
        <v>93</v>
      </c>
      <c r="AJ79" s="16" t="n">
        <f aca="false">(AI79*70)/100</f>
        <v>65.1</v>
      </c>
      <c r="AK79" s="35" t="n">
        <f aca="false">ROUNDUP(AJ79,0)</f>
        <v>66</v>
      </c>
      <c r="AL79" s="16" t="n">
        <v>26</v>
      </c>
      <c r="AM79" s="16" t="n">
        <f aca="false">AL79+AJ79</f>
        <v>91.1</v>
      </c>
      <c r="AN79" s="16" t="n">
        <f aca="false">AL79+AK79</f>
        <v>92</v>
      </c>
      <c r="AO79" s="16" t="n">
        <v>73</v>
      </c>
      <c r="AP79" s="36" t="n">
        <f aca="false">(AO79*70)/100</f>
        <v>51.1</v>
      </c>
      <c r="AQ79" s="37" t="n">
        <f aca="false">ROUNDUP(AP79,0)</f>
        <v>52</v>
      </c>
      <c r="AR79" s="16" t="n">
        <v>30</v>
      </c>
      <c r="AS79" s="16" t="n">
        <f aca="false">AR79+AP79</f>
        <v>81.1</v>
      </c>
      <c r="AT79" s="16" t="n">
        <f aca="false">AR79+AQ79</f>
        <v>82</v>
      </c>
      <c r="AU79" s="16" t="n">
        <f aca="false">AO79+AF79+AI79+AH79+AG79</f>
        <v>446</v>
      </c>
      <c r="AV79" s="16" t="n">
        <f aca="false">(AO79+AF79+AI79+AH79+AG79)/5</f>
        <v>89.2</v>
      </c>
      <c r="AW79" s="36" t="n">
        <f aca="false">(AO79+AF79+AI79+AH79+AG79+X79+R79+Q79+K79+J79)</f>
        <v>851</v>
      </c>
      <c r="AX79" s="16" t="n">
        <f aca="false">AW79/10</f>
        <v>85.1</v>
      </c>
      <c r="AY79" s="16" t="n">
        <f aca="false">AS79+AF79+AM79+AH79+AG79+AB79+V79+Q79+O79+J79</f>
        <v>861.6</v>
      </c>
      <c r="AZ79" s="16" t="n">
        <f aca="false">AT79+AF79+AN79+AH79+AG79+AC79+W79+Q79+P79+J79</f>
        <v>865</v>
      </c>
      <c r="BA79" s="16" t="n">
        <f aca="false">AY79/10</f>
        <v>86.16</v>
      </c>
      <c r="BB79" s="16" t="n">
        <f aca="false">AZ79/10</f>
        <v>86.5</v>
      </c>
      <c r="BC79" s="16" t="n">
        <v>2400</v>
      </c>
      <c r="BD79" s="16" t="n">
        <f aca="false">RANK(AX79,$AX$2:$AX$881,0)</f>
        <v>88</v>
      </c>
      <c r="BE79" s="38" t="n">
        <f aca="false">((BC79*100)/2400)*0.4+(AX79*0.6)</f>
        <v>91.06</v>
      </c>
      <c r="BF79" s="16" t="n">
        <f aca="false">RANK(BE79,$BE$2:$BE$881,0)</f>
        <v>76</v>
      </c>
      <c r="BG79" s="39" t="n">
        <f aca="false">RANK(BB79,$BB$2:$BB$881,0)</f>
        <v>72</v>
      </c>
      <c r="BH79" s="39" t="n">
        <f aca="false">RANK(BC79,$BC$2:$BC$881,0)</f>
        <v>1</v>
      </c>
      <c r="BI79" s="22" t="s">
        <v>130</v>
      </c>
      <c r="BJ79" s="22" t="s">
        <v>129</v>
      </c>
      <c r="BK79" s="40" t="s">
        <v>131</v>
      </c>
      <c r="BL79" s="41" t="n">
        <v>20</v>
      </c>
      <c r="BM79" s="41" t="n">
        <v>61</v>
      </c>
      <c r="BN79" s="41" t="n">
        <v>81</v>
      </c>
      <c r="BO79" s="42" t="n">
        <v>26</v>
      </c>
      <c r="BP79" s="43" t="n">
        <v>68</v>
      </c>
      <c r="BQ79" s="44" t="n">
        <v>94</v>
      </c>
      <c r="BR79" s="42" t="n">
        <v>25</v>
      </c>
      <c r="BS79" s="45" t="n">
        <v>63</v>
      </c>
      <c r="BT79" s="45" t="n">
        <v>88</v>
      </c>
      <c r="BU79" s="46" t="n">
        <v>100</v>
      </c>
      <c r="BV79" s="47" t="n">
        <v>88</v>
      </c>
      <c r="BW79" s="42" t="n">
        <v>100</v>
      </c>
      <c r="BX79" s="48" t="n">
        <v>94</v>
      </c>
      <c r="BY79" s="32" t="n">
        <v>24</v>
      </c>
      <c r="BZ79" s="32" t="n">
        <v>57</v>
      </c>
      <c r="CA79" s="32" t="n">
        <v>81</v>
      </c>
      <c r="CB79" s="32" t="n">
        <v>22</v>
      </c>
      <c r="CC79" s="32" t="n">
        <v>48</v>
      </c>
      <c r="CD79" s="32" t="n">
        <v>70</v>
      </c>
      <c r="CE79" s="32" t="n">
        <v>21</v>
      </c>
      <c r="CF79" s="32" t="n">
        <v>55</v>
      </c>
      <c r="CG79" s="32" t="n">
        <v>76</v>
      </c>
      <c r="CH79" s="32" t="n">
        <v>98</v>
      </c>
      <c r="CI79" s="32" t="n">
        <v>100</v>
      </c>
      <c r="CJ79" s="49" t="n">
        <v>25</v>
      </c>
      <c r="CK79" s="49" t="n">
        <v>51</v>
      </c>
      <c r="CL79" s="49" t="n">
        <v>76</v>
      </c>
      <c r="CM79" s="49" t="n">
        <v>27</v>
      </c>
      <c r="CN79" s="49" t="n">
        <v>50</v>
      </c>
      <c r="CO79" s="49" t="n">
        <v>77</v>
      </c>
      <c r="CP79" s="25" t="n">
        <f aca="false">BX79+BW79+BV79+BU79+BT79+BQ79+BN79</f>
        <v>645</v>
      </c>
      <c r="CQ79" s="25" t="n">
        <f aca="false">CO79+CL79+CI79+CH79+CG79+CD79+CA79</f>
        <v>578</v>
      </c>
      <c r="CR79" s="26" t="n">
        <f aca="false">CP79/7</f>
        <v>92.1428571428571</v>
      </c>
      <c r="CS79" s="26" t="n">
        <f aca="false">CQ79/7</f>
        <v>82.5714285714286</v>
      </c>
      <c r="CT79" s="24" t="n">
        <f aca="false">RANK(CR79,$CR$2:$CR$881,0)</f>
        <v>85</v>
      </c>
      <c r="CU79" s="25" t="n">
        <f aca="false">RANK(CS79,$CS$2:$CS$881,0)</f>
        <v>176</v>
      </c>
      <c r="CV79" s="26" t="n">
        <f aca="false">(CS79+CR79)/2</f>
        <v>87.3571428571429</v>
      </c>
      <c r="CW79" s="25" t="n">
        <f aca="false">RANK(CV79,$CV$2:$CV$881,0)</f>
        <v>127</v>
      </c>
      <c r="CX79" s="50" t="n">
        <f aca="false">(CV79+BB79)/2</f>
        <v>86.9285714285714</v>
      </c>
      <c r="CY79" s="50" t="n">
        <v>80</v>
      </c>
      <c r="CZ79" s="27" t="s">
        <v>132</v>
      </c>
      <c r="DA79" s="27" t="s">
        <v>162</v>
      </c>
      <c r="DB79" s="27" t="s">
        <v>162</v>
      </c>
      <c r="DC79" s="27" t="s">
        <v>134</v>
      </c>
      <c r="DD79" s="27" t="s">
        <v>164</v>
      </c>
      <c r="DE79" s="27" t="s">
        <v>136</v>
      </c>
      <c r="DF79" s="27" t="s">
        <v>153</v>
      </c>
      <c r="DG79" s="27" t="s">
        <v>134</v>
      </c>
      <c r="DH79" s="27" t="s">
        <v>182</v>
      </c>
      <c r="DI79" s="27" t="s">
        <v>415</v>
      </c>
      <c r="DJ79" s="27" t="s">
        <v>416</v>
      </c>
      <c r="DK79" s="27" t="s">
        <v>134</v>
      </c>
      <c r="DL79" s="27" t="s">
        <v>140</v>
      </c>
      <c r="DM79" s="27" t="s">
        <v>203</v>
      </c>
      <c r="DN79" s="27" t="s">
        <v>170</v>
      </c>
      <c r="DO79" s="27" t="s">
        <v>134</v>
      </c>
      <c r="DP79" s="27" t="s">
        <v>182</v>
      </c>
      <c r="DQ79" s="27" t="s">
        <v>161</v>
      </c>
      <c r="DR79" s="27" t="s">
        <v>175</v>
      </c>
      <c r="DS79" s="27" t="s">
        <v>134</v>
      </c>
      <c r="DT79" s="27" t="s">
        <v>140</v>
      </c>
      <c r="DU79" s="27" t="s">
        <v>183</v>
      </c>
      <c r="DV79" s="27" t="s">
        <v>178</v>
      </c>
      <c r="DW79" s="27" t="s">
        <v>160</v>
      </c>
      <c r="DX79" s="27" t="s">
        <v>138</v>
      </c>
      <c r="DY79" s="27" t="s">
        <v>144</v>
      </c>
      <c r="DZ79" s="27" t="n">
        <f aca="false">DY79+DV79+DR79+DN79+DJ79+DF79+DB79</f>
        <v>610</v>
      </c>
      <c r="EA79" s="28" t="n">
        <f aca="false">DZ79/7</f>
        <v>87.1428571428571</v>
      </c>
      <c r="EB79" s="27" t="n">
        <f aca="false">RANK(EA79,$EA$2:$EA$881,0)</f>
        <v>119</v>
      </c>
      <c r="EC79" s="29" t="n">
        <f aca="false">DZ79+CQ79+CP79+AZ79</f>
        <v>2698</v>
      </c>
      <c r="ED79" s="30" t="n">
        <f aca="false">(EA79+CV79+BB79)/3</f>
        <v>87</v>
      </c>
      <c r="EE79" s="51" t="n">
        <f aca="false">ROUND(BE79,3)</f>
        <v>91.06</v>
      </c>
      <c r="EF79" s="51" t="n">
        <f aca="false">ROUND(CR79,3)</f>
        <v>92.143</v>
      </c>
      <c r="EG79" s="51" t="n">
        <f aca="false">ROUND(CS79,3)</f>
        <v>82.571</v>
      </c>
      <c r="EH79" s="51" t="n">
        <f aca="false">ROUND(EA79,3)</f>
        <v>87.143</v>
      </c>
      <c r="EI79" s="51" t="n">
        <f aca="false">ROUND(ED79,3)</f>
        <v>87</v>
      </c>
      <c r="EJ79" s="51" t="n">
        <f aca="false">ROUND(CV79,3)</f>
        <v>87.357</v>
      </c>
      <c r="EK79" s="0" t="n">
        <f aca="false">RANK(EI79,$EI$2:$EI$881,0)</f>
        <v>78</v>
      </c>
    </row>
    <row r="80" customFormat="false" ht="15" hidden="false" customHeight="false" outlineLevel="0" collapsed="false">
      <c r="A80" s="4" t="n">
        <v>8823</v>
      </c>
      <c r="B80" s="4" t="n">
        <v>619</v>
      </c>
      <c r="C80" s="27" t="s">
        <v>417</v>
      </c>
      <c r="D80" s="31" t="n">
        <v>628</v>
      </c>
      <c r="E80" s="32" t="n">
        <v>230324401</v>
      </c>
      <c r="F80" s="8" t="s">
        <v>418</v>
      </c>
      <c r="G80" s="22" t="s">
        <v>419</v>
      </c>
      <c r="H80" s="22" t="s">
        <v>129</v>
      </c>
      <c r="I80" s="33" t="n">
        <v>2005</v>
      </c>
      <c r="J80" s="32" t="n">
        <v>84</v>
      </c>
      <c r="K80" s="32" t="n">
        <v>84</v>
      </c>
      <c r="L80" s="34" t="n">
        <f aca="false">(K80*70)/100</f>
        <v>58.8</v>
      </c>
      <c r="M80" s="34" t="n">
        <f aca="false">ROUNDUP(L80,0)</f>
        <v>59</v>
      </c>
      <c r="N80" s="32" t="n">
        <v>27</v>
      </c>
      <c r="O80" s="34" t="n">
        <f aca="false">N80+L80</f>
        <v>85.8</v>
      </c>
      <c r="P80" s="34" t="n">
        <f aca="false">N80+M80</f>
        <v>86</v>
      </c>
      <c r="Q80" s="32" t="n">
        <v>73</v>
      </c>
      <c r="R80" s="32" t="n">
        <v>84</v>
      </c>
      <c r="S80" s="34" t="n">
        <f aca="false">(R80*70)/100</f>
        <v>58.8</v>
      </c>
      <c r="T80" s="34" t="n">
        <f aca="false">ROUNDUP(S80,0)</f>
        <v>59</v>
      </c>
      <c r="U80" s="32" t="n">
        <v>27</v>
      </c>
      <c r="V80" s="34" t="n">
        <f aca="false">U80+S80</f>
        <v>85.8</v>
      </c>
      <c r="W80" s="34" t="n">
        <f aca="false">U80+T80</f>
        <v>86</v>
      </c>
      <c r="X80" s="32" t="n">
        <v>76</v>
      </c>
      <c r="Y80" s="34" t="n">
        <f aca="false">(X80*70)/100</f>
        <v>53.2</v>
      </c>
      <c r="Z80" s="34" t="n">
        <f aca="false">ROUNDUP(Y80,0)</f>
        <v>54</v>
      </c>
      <c r="AA80" s="32" t="n">
        <v>26</v>
      </c>
      <c r="AB80" s="34" t="n">
        <f aca="false">AA80+Y80</f>
        <v>79.2</v>
      </c>
      <c r="AC80" s="34" t="n">
        <f aca="false">AA80+Z80</f>
        <v>80</v>
      </c>
      <c r="AD80" s="32" t="n">
        <f aca="false">X80+R80+Q80+K80+J80</f>
        <v>401</v>
      </c>
      <c r="AE80" s="16" t="n">
        <f aca="false">AD80/5</f>
        <v>80.2</v>
      </c>
      <c r="AF80" s="16" t="n">
        <v>74</v>
      </c>
      <c r="AG80" s="16" t="n">
        <v>85</v>
      </c>
      <c r="AH80" s="16" t="n">
        <v>83</v>
      </c>
      <c r="AI80" s="16" t="n">
        <v>90</v>
      </c>
      <c r="AJ80" s="16" t="n">
        <f aca="false">(AI80*70)/100</f>
        <v>63</v>
      </c>
      <c r="AK80" s="35" t="n">
        <f aca="false">ROUNDUP(AJ80,0)</f>
        <v>63</v>
      </c>
      <c r="AL80" s="16" t="n">
        <v>28</v>
      </c>
      <c r="AM80" s="16" t="n">
        <f aca="false">AL80+AJ80</f>
        <v>91</v>
      </c>
      <c r="AN80" s="16" t="n">
        <f aca="false">AL80+AK80</f>
        <v>91</v>
      </c>
      <c r="AO80" s="16" t="n">
        <v>78</v>
      </c>
      <c r="AP80" s="36" t="n">
        <f aca="false">(AO80*70)/100</f>
        <v>54.6</v>
      </c>
      <c r="AQ80" s="37" t="n">
        <f aca="false">ROUNDUP(AP80,0)</f>
        <v>55</v>
      </c>
      <c r="AR80" s="16" t="n">
        <v>29</v>
      </c>
      <c r="AS80" s="16" t="n">
        <f aca="false">AR80+AP80</f>
        <v>83.6</v>
      </c>
      <c r="AT80" s="16" t="n">
        <f aca="false">AR80+AQ80</f>
        <v>84</v>
      </c>
      <c r="AU80" s="16" t="n">
        <f aca="false">AO80+AF80+AI80+AH80+AG80</f>
        <v>410</v>
      </c>
      <c r="AV80" s="16" t="n">
        <f aca="false">(AO80+AF80+AI80+AH80+AG80)/5</f>
        <v>82</v>
      </c>
      <c r="AW80" s="36" t="n">
        <f aca="false">(AO80+AF80+AI80+AH80+AG80+X80+R80+Q80+K80+J80)</f>
        <v>811</v>
      </c>
      <c r="AX80" s="16" t="n">
        <f aca="false">AW80/10</f>
        <v>81.1</v>
      </c>
      <c r="AY80" s="16" t="n">
        <f aca="false">AS80+AF80+AM80+AH80+AG80+AB80+V80+Q80+O80+J80</f>
        <v>824.4</v>
      </c>
      <c r="AZ80" s="16" t="n">
        <f aca="false">AT80+AF80+AN80+AH80+AG80+AC80+W80+Q80+P80+J80</f>
        <v>826</v>
      </c>
      <c r="BA80" s="16" t="n">
        <f aca="false">AY80/10</f>
        <v>82.44</v>
      </c>
      <c r="BB80" s="16" t="n">
        <f aca="false">AZ80/10</f>
        <v>82.6</v>
      </c>
      <c r="BC80" s="16" t="n">
        <v>2377</v>
      </c>
      <c r="BD80" s="16" t="n">
        <f aca="false">RANK(AX80,$AX$2:$AX$881,0)</f>
        <v>206</v>
      </c>
      <c r="BE80" s="54" t="n">
        <f aca="false">((BC80*100)/2400)*0.4+(AX80*0.6)</f>
        <v>88.2766666666667</v>
      </c>
      <c r="BF80" s="16" t="n">
        <f aca="false">RANK(BE80,$BE$2:$BE$881,0)</f>
        <v>183</v>
      </c>
      <c r="BG80" s="39" t="n">
        <f aca="false">RANK(BB80,$BB$2:$BB$881,0)</f>
        <v>178</v>
      </c>
      <c r="BH80" s="39" t="n">
        <f aca="false">RANK(BC80,$BC$2:$BC$881,0)</f>
        <v>189</v>
      </c>
      <c r="BI80" s="22" t="s">
        <v>130</v>
      </c>
      <c r="BJ80" s="22" t="s">
        <v>129</v>
      </c>
      <c r="BK80" s="40" t="s">
        <v>131</v>
      </c>
      <c r="BL80" s="41" t="n">
        <v>23</v>
      </c>
      <c r="BM80" s="41" t="n">
        <v>60</v>
      </c>
      <c r="BN80" s="41" t="n">
        <v>83</v>
      </c>
      <c r="BO80" s="42" t="n">
        <v>27</v>
      </c>
      <c r="BP80" s="43" t="n">
        <v>65</v>
      </c>
      <c r="BQ80" s="44" t="n">
        <v>92</v>
      </c>
      <c r="BR80" s="42" t="n">
        <v>27</v>
      </c>
      <c r="BS80" s="45" t="n">
        <v>62</v>
      </c>
      <c r="BT80" s="45" t="n">
        <v>89</v>
      </c>
      <c r="BU80" s="46" t="n">
        <v>99</v>
      </c>
      <c r="BV80" s="47" t="n">
        <v>92</v>
      </c>
      <c r="BW80" s="42" t="n">
        <v>99</v>
      </c>
      <c r="BX80" s="48" t="n">
        <v>90</v>
      </c>
      <c r="BY80" s="32" t="n">
        <v>29</v>
      </c>
      <c r="BZ80" s="32" t="n">
        <v>61</v>
      </c>
      <c r="CA80" s="32" t="n">
        <v>90</v>
      </c>
      <c r="CB80" s="32" t="n">
        <v>24</v>
      </c>
      <c r="CC80" s="32" t="n">
        <v>43</v>
      </c>
      <c r="CD80" s="32" t="n">
        <v>67</v>
      </c>
      <c r="CE80" s="32" t="n">
        <v>26</v>
      </c>
      <c r="CF80" s="32" t="n">
        <v>57</v>
      </c>
      <c r="CG80" s="32" t="n">
        <v>83</v>
      </c>
      <c r="CH80" s="32" t="n">
        <v>98</v>
      </c>
      <c r="CI80" s="32" t="n">
        <v>100</v>
      </c>
      <c r="CJ80" s="49" t="n">
        <v>30</v>
      </c>
      <c r="CK80" s="49" t="n">
        <v>50</v>
      </c>
      <c r="CL80" s="49" t="n">
        <v>80</v>
      </c>
      <c r="CM80" s="49" t="n">
        <v>25</v>
      </c>
      <c r="CN80" s="49" t="n">
        <v>55</v>
      </c>
      <c r="CO80" s="49" t="n">
        <v>80</v>
      </c>
      <c r="CP80" s="25" t="n">
        <f aca="false">BX80+BW80+BV80+BU80+BT80+BQ80+BN80</f>
        <v>644</v>
      </c>
      <c r="CQ80" s="25" t="n">
        <f aca="false">CO80+CL80+CI80+CH80+CG80+CD80+CA80</f>
        <v>598</v>
      </c>
      <c r="CR80" s="26" t="n">
        <f aca="false">CP80/7</f>
        <v>92</v>
      </c>
      <c r="CS80" s="26" t="n">
        <f aca="false">CQ80/7</f>
        <v>85.4285714285714</v>
      </c>
      <c r="CT80" s="24" t="n">
        <f aca="false">RANK(CR80,$CR$2:$CR$881,0)</f>
        <v>91</v>
      </c>
      <c r="CU80" s="25" t="n">
        <f aca="false">RANK(CS80,$CS$2:$CS$881,0)</f>
        <v>92</v>
      </c>
      <c r="CV80" s="26" t="n">
        <f aca="false">(CS80+CR80)/2</f>
        <v>88.7142857142857</v>
      </c>
      <c r="CW80" s="25" t="n">
        <f aca="false">RANK(CV80,$CV$2:$CV$881,0)</f>
        <v>78</v>
      </c>
      <c r="CX80" s="50" t="n">
        <f aca="false">(CV80+BB80)/2</f>
        <v>85.6571428571429</v>
      </c>
      <c r="CY80" s="50" t="n">
        <v>104</v>
      </c>
      <c r="CZ80" s="27" t="s">
        <v>132</v>
      </c>
      <c r="DA80" s="27" t="s">
        <v>202</v>
      </c>
      <c r="DB80" s="27" t="s">
        <v>202</v>
      </c>
      <c r="DC80" s="27" t="s">
        <v>134</v>
      </c>
      <c r="DD80" s="27" t="s">
        <v>160</v>
      </c>
      <c r="DE80" s="27" t="s">
        <v>161</v>
      </c>
      <c r="DF80" s="27" t="s">
        <v>162</v>
      </c>
      <c r="DG80" s="27" t="s">
        <v>134</v>
      </c>
      <c r="DH80" s="27" t="s">
        <v>195</v>
      </c>
      <c r="DI80" s="27" t="s">
        <v>203</v>
      </c>
      <c r="DJ80" s="27" t="s">
        <v>169</v>
      </c>
      <c r="DK80" s="27" t="s">
        <v>134</v>
      </c>
      <c r="DL80" s="27" t="s">
        <v>160</v>
      </c>
      <c r="DM80" s="27" t="s">
        <v>187</v>
      </c>
      <c r="DN80" s="27" t="s">
        <v>156</v>
      </c>
      <c r="DO80" s="27" t="s">
        <v>134</v>
      </c>
      <c r="DP80" s="27" t="s">
        <v>137</v>
      </c>
      <c r="DQ80" s="27" t="s">
        <v>152</v>
      </c>
      <c r="DR80" s="27" t="s">
        <v>153</v>
      </c>
      <c r="DS80" s="27" t="s">
        <v>134</v>
      </c>
      <c r="DT80" s="27" t="s">
        <v>140</v>
      </c>
      <c r="DU80" s="27" t="s">
        <v>177</v>
      </c>
      <c r="DV80" s="27" t="s">
        <v>162</v>
      </c>
      <c r="DW80" s="27" t="s">
        <v>135</v>
      </c>
      <c r="DX80" s="27" t="s">
        <v>155</v>
      </c>
      <c r="DY80" s="27" t="s">
        <v>139</v>
      </c>
      <c r="DZ80" s="27" t="n">
        <f aca="false">DY80+DV80+DR80+DN80+DJ80+DF80+DB80</f>
        <v>626</v>
      </c>
      <c r="EA80" s="28" t="n">
        <f aca="false">DZ80/7</f>
        <v>89.4285714285714</v>
      </c>
      <c r="EB80" s="27" t="n">
        <f aca="false">RANK(EA80,$EA$2:$EA$881,0)</f>
        <v>70</v>
      </c>
      <c r="EC80" s="29" t="n">
        <f aca="false">DZ80+CQ80+CP80+AZ80</f>
        <v>2694</v>
      </c>
      <c r="ED80" s="30" t="n">
        <f aca="false">(EA80+CV80+BB80)/3</f>
        <v>86.9142857142857</v>
      </c>
      <c r="EE80" s="51" t="n">
        <f aca="false">ROUND(BE80,3)</f>
        <v>88.277</v>
      </c>
      <c r="EF80" s="51" t="n">
        <f aca="false">ROUND(CR80,3)</f>
        <v>92</v>
      </c>
      <c r="EG80" s="51" t="n">
        <f aca="false">ROUND(CS80,3)</f>
        <v>85.429</v>
      </c>
      <c r="EH80" s="51" t="n">
        <f aca="false">ROUND(EA80,3)</f>
        <v>89.429</v>
      </c>
      <c r="EI80" s="51" t="n">
        <f aca="false">ROUND(ED80,3)</f>
        <v>86.914</v>
      </c>
      <c r="EJ80" s="51" t="n">
        <f aca="false">ROUND(CV80,3)</f>
        <v>88.714</v>
      </c>
      <c r="EK80" s="0" t="n">
        <f aca="false">RANK(EI80,$EI$2:$EI$881,0)</f>
        <v>79</v>
      </c>
    </row>
    <row r="81" customFormat="false" ht="15" hidden="false" customHeight="false" outlineLevel="0" collapsed="false">
      <c r="A81" s="4" t="n">
        <v>8862</v>
      </c>
      <c r="B81" s="4" t="n">
        <v>420</v>
      </c>
      <c r="C81" s="27" t="s">
        <v>420</v>
      </c>
      <c r="D81" s="31" t="n">
        <v>425</v>
      </c>
      <c r="E81" s="32" t="n">
        <v>230319584</v>
      </c>
      <c r="F81" s="8" t="s">
        <v>421</v>
      </c>
      <c r="G81" s="22" t="s">
        <v>422</v>
      </c>
      <c r="H81" s="22" t="s">
        <v>129</v>
      </c>
      <c r="I81" s="33" t="n">
        <v>2005</v>
      </c>
      <c r="J81" s="32" t="n">
        <v>80</v>
      </c>
      <c r="K81" s="32" t="n">
        <v>91</v>
      </c>
      <c r="L81" s="34" t="n">
        <f aca="false">(K81*70)/100</f>
        <v>63.7</v>
      </c>
      <c r="M81" s="34" t="n">
        <f aca="false">ROUNDUP(L81,0)</f>
        <v>64</v>
      </c>
      <c r="N81" s="32" t="n">
        <v>29</v>
      </c>
      <c r="O81" s="34" t="n">
        <f aca="false">N81+L81</f>
        <v>92.7</v>
      </c>
      <c r="P81" s="34" t="n">
        <f aca="false">N81+M81</f>
        <v>93</v>
      </c>
      <c r="Q81" s="32" t="n">
        <v>83</v>
      </c>
      <c r="R81" s="32" t="n">
        <v>72</v>
      </c>
      <c r="S81" s="34" t="n">
        <f aca="false">(R81*70)/100</f>
        <v>50.4</v>
      </c>
      <c r="T81" s="34" t="n">
        <f aca="false">ROUNDUP(S81,0)</f>
        <v>51</v>
      </c>
      <c r="U81" s="32" t="n">
        <v>26</v>
      </c>
      <c r="V81" s="34" t="n">
        <f aca="false">U81+S81</f>
        <v>76.4</v>
      </c>
      <c r="W81" s="34" t="n">
        <f aca="false">U81+T81</f>
        <v>77</v>
      </c>
      <c r="X81" s="32" t="n">
        <v>84</v>
      </c>
      <c r="Y81" s="34" t="n">
        <f aca="false">(X81*70)/100</f>
        <v>58.8</v>
      </c>
      <c r="Z81" s="34" t="n">
        <f aca="false">ROUNDUP(Y81,0)</f>
        <v>59</v>
      </c>
      <c r="AA81" s="32" t="n">
        <v>24</v>
      </c>
      <c r="AB81" s="34" t="n">
        <f aca="false">AA81+Y81</f>
        <v>82.8</v>
      </c>
      <c r="AC81" s="34" t="n">
        <f aca="false">AA81+Z81</f>
        <v>83</v>
      </c>
      <c r="AD81" s="32" t="n">
        <f aca="false">X81+R81+Q81+K81+J81</f>
        <v>410</v>
      </c>
      <c r="AE81" s="16" t="n">
        <f aca="false">AD81/5</f>
        <v>82</v>
      </c>
      <c r="AF81" s="16" t="n">
        <v>82</v>
      </c>
      <c r="AG81" s="16" t="n">
        <v>84</v>
      </c>
      <c r="AH81" s="16" t="n">
        <v>94</v>
      </c>
      <c r="AI81" s="16" t="n">
        <v>93</v>
      </c>
      <c r="AJ81" s="16" t="n">
        <f aca="false">(AI81*70)/100</f>
        <v>65.1</v>
      </c>
      <c r="AK81" s="35" t="n">
        <f aca="false">ROUNDUP(AJ81,0)</f>
        <v>66</v>
      </c>
      <c r="AL81" s="16" t="n">
        <v>26</v>
      </c>
      <c r="AM81" s="16" t="n">
        <f aca="false">AL81+AJ81</f>
        <v>91.1</v>
      </c>
      <c r="AN81" s="16" t="n">
        <f aca="false">AL81+AK81</f>
        <v>92</v>
      </c>
      <c r="AO81" s="16" t="n">
        <v>86</v>
      </c>
      <c r="AP81" s="36" t="n">
        <f aca="false">(AO81*70)/100</f>
        <v>60.2</v>
      </c>
      <c r="AQ81" s="37" t="n">
        <f aca="false">ROUNDUP(AP81,0)</f>
        <v>61</v>
      </c>
      <c r="AR81" s="16" t="n">
        <v>28</v>
      </c>
      <c r="AS81" s="16" t="n">
        <f aca="false">AR81+AP81</f>
        <v>88.2</v>
      </c>
      <c r="AT81" s="16" t="n">
        <f aca="false">AR81+AQ81</f>
        <v>89</v>
      </c>
      <c r="AU81" s="16" t="n">
        <f aca="false">AO81+AF81+AI81+AH81+AG81</f>
        <v>439</v>
      </c>
      <c r="AV81" s="16" t="n">
        <f aca="false">(AO81+AF81+AI81+AH81+AG81)/5</f>
        <v>87.8</v>
      </c>
      <c r="AW81" s="36" t="n">
        <f aca="false">(AO81+AF81+AI81+AH81+AG81+X81+R81+Q81+K81+J81)</f>
        <v>849</v>
      </c>
      <c r="AX81" s="16" t="n">
        <f aca="false">AW81/10</f>
        <v>84.9</v>
      </c>
      <c r="AY81" s="16" t="n">
        <f aca="false">AS81+AF81+AM81+AH81+AG81+AB81+V81+Q81+O81+J81</f>
        <v>854.2</v>
      </c>
      <c r="AZ81" s="16" t="n">
        <f aca="false">AT81+AF81+AN81+AH81+AG81+AC81+W81+Q81+P81+J81</f>
        <v>857</v>
      </c>
      <c r="BA81" s="16" t="n">
        <f aca="false">AY81/10</f>
        <v>85.42</v>
      </c>
      <c r="BB81" s="16" t="n">
        <f aca="false">AZ81/10</f>
        <v>85.7</v>
      </c>
      <c r="BC81" s="16" t="n">
        <v>2354</v>
      </c>
      <c r="BD81" s="16" t="n">
        <f aca="false">RANK(AX81,$AX$2:$AX$881,0)</f>
        <v>95</v>
      </c>
      <c r="BE81" s="38" t="n">
        <f aca="false">((BC81*100)/2400)*0.4+(AX81*0.6)</f>
        <v>90.1733333333334</v>
      </c>
      <c r="BF81" s="16" t="n">
        <f aca="false">RANK(BE81,$BE$2:$BE$881,0)</f>
        <v>97</v>
      </c>
      <c r="BG81" s="39" t="n">
        <f aca="false">RANK(BB81,$BB$2:$BB$881,0)</f>
        <v>90</v>
      </c>
      <c r="BH81" s="39" t="n">
        <f aca="false">RANK(BC81,$BC$2:$BC$881,0)</f>
        <v>490</v>
      </c>
      <c r="BI81" s="22" t="s">
        <v>130</v>
      </c>
      <c r="BJ81" s="22" t="s">
        <v>129</v>
      </c>
      <c r="BK81" s="40" t="s">
        <v>131</v>
      </c>
      <c r="BL81" s="41" t="n">
        <v>23</v>
      </c>
      <c r="BM81" s="41" t="n">
        <v>64</v>
      </c>
      <c r="BN81" s="41" t="n">
        <v>87</v>
      </c>
      <c r="BO81" s="42" t="n">
        <v>28</v>
      </c>
      <c r="BP81" s="43" t="n">
        <v>64</v>
      </c>
      <c r="BQ81" s="44" t="n">
        <v>92</v>
      </c>
      <c r="BR81" s="42" t="n">
        <v>26</v>
      </c>
      <c r="BS81" s="45" t="n">
        <v>58</v>
      </c>
      <c r="BT81" s="45" t="n">
        <v>84</v>
      </c>
      <c r="BU81" s="46" t="n">
        <v>99</v>
      </c>
      <c r="BV81" s="47" t="n">
        <v>90</v>
      </c>
      <c r="BW81" s="42" t="n">
        <v>98</v>
      </c>
      <c r="BX81" s="48" t="n">
        <v>90</v>
      </c>
      <c r="BY81" s="32" t="n">
        <v>25</v>
      </c>
      <c r="BZ81" s="32" t="n">
        <v>60</v>
      </c>
      <c r="CA81" s="32" t="n">
        <v>85</v>
      </c>
      <c r="CB81" s="32" t="n">
        <v>25</v>
      </c>
      <c r="CC81" s="32" t="n">
        <v>53</v>
      </c>
      <c r="CD81" s="32" t="n">
        <v>78</v>
      </c>
      <c r="CE81" s="32" t="n">
        <v>28</v>
      </c>
      <c r="CF81" s="32" t="n">
        <v>58</v>
      </c>
      <c r="CG81" s="32" t="n">
        <v>86</v>
      </c>
      <c r="CH81" s="32" t="n">
        <v>98</v>
      </c>
      <c r="CI81" s="32" t="n">
        <v>98</v>
      </c>
      <c r="CJ81" s="49" t="n">
        <v>25</v>
      </c>
      <c r="CK81" s="49" t="n">
        <v>59</v>
      </c>
      <c r="CL81" s="49" t="n">
        <v>84</v>
      </c>
      <c r="CM81" s="49" t="n">
        <v>25</v>
      </c>
      <c r="CN81" s="49" t="n">
        <v>50</v>
      </c>
      <c r="CO81" s="49" t="n">
        <v>75</v>
      </c>
      <c r="CP81" s="25" t="n">
        <f aca="false">BX81+BW81+BV81+BU81+BT81+BQ81+BN81</f>
        <v>640</v>
      </c>
      <c r="CQ81" s="25" t="n">
        <f aca="false">CO81+CL81+CI81+CH81+CG81+CD81+CA81</f>
        <v>604</v>
      </c>
      <c r="CR81" s="26" t="n">
        <f aca="false">CP81/7</f>
        <v>91.4285714285714</v>
      </c>
      <c r="CS81" s="26" t="n">
        <f aca="false">CQ81/7</f>
        <v>86.2857142857143</v>
      </c>
      <c r="CT81" s="24" t="n">
        <f aca="false">RANK(CR81,$CR$2:$CR$881,0)</f>
        <v>106</v>
      </c>
      <c r="CU81" s="25" t="n">
        <f aca="false">RANK(CS81,$CS$2:$CS$881,0)</f>
        <v>70</v>
      </c>
      <c r="CV81" s="26" t="n">
        <f aca="false">(CS81+CR81)/2</f>
        <v>88.8571428571429</v>
      </c>
      <c r="CW81" s="25" t="n">
        <f aca="false">RANK(CV81,$CV$2:$CV$881,0)</f>
        <v>72</v>
      </c>
      <c r="CX81" s="50" t="n">
        <f aca="false">(CV81+BB81)/2</f>
        <v>87.2785714285714</v>
      </c>
      <c r="CY81" s="50" t="n">
        <v>68</v>
      </c>
      <c r="CZ81" s="27" t="s">
        <v>132</v>
      </c>
      <c r="DA81" s="27" t="s">
        <v>219</v>
      </c>
      <c r="DB81" s="27" t="s">
        <v>219</v>
      </c>
      <c r="DC81" s="27" t="s">
        <v>134</v>
      </c>
      <c r="DD81" s="27" t="s">
        <v>160</v>
      </c>
      <c r="DE81" s="27" t="s">
        <v>161</v>
      </c>
      <c r="DF81" s="27" t="s">
        <v>162</v>
      </c>
      <c r="DG81" s="27" t="s">
        <v>134</v>
      </c>
      <c r="DH81" s="27" t="s">
        <v>164</v>
      </c>
      <c r="DI81" s="27" t="s">
        <v>163</v>
      </c>
      <c r="DJ81" s="27" t="s">
        <v>176</v>
      </c>
      <c r="DK81" s="27" t="s">
        <v>134</v>
      </c>
      <c r="DL81" s="27" t="s">
        <v>135</v>
      </c>
      <c r="DM81" s="27" t="s">
        <v>204</v>
      </c>
      <c r="DN81" s="27" t="s">
        <v>209</v>
      </c>
      <c r="DO81" s="27" t="s">
        <v>134</v>
      </c>
      <c r="DP81" s="27" t="s">
        <v>137</v>
      </c>
      <c r="DQ81" s="27" t="s">
        <v>161</v>
      </c>
      <c r="DR81" s="27" t="s">
        <v>178</v>
      </c>
      <c r="DS81" s="27" t="s">
        <v>134</v>
      </c>
      <c r="DT81" s="27" t="s">
        <v>164</v>
      </c>
      <c r="DU81" s="27" t="s">
        <v>220</v>
      </c>
      <c r="DV81" s="27" t="s">
        <v>169</v>
      </c>
      <c r="DW81" s="27" t="s">
        <v>164</v>
      </c>
      <c r="DX81" s="27" t="s">
        <v>161</v>
      </c>
      <c r="DY81" s="27" t="s">
        <v>133</v>
      </c>
      <c r="DZ81" s="27" t="n">
        <f aca="false">DY81+DV81+DR81+DN81+DJ81+DF81+DB81</f>
        <v>603</v>
      </c>
      <c r="EA81" s="28" t="n">
        <f aca="false">DZ81/7</f>
        <v>86.1428571428571</v>
      </c>
      <c r="EB81" s="27" t="n">
        <f aca="false">RANK(EA81,$EA$2:$EA$881,0)</f>
        <v>152</v>
      </c>
      <c r="EC81" s="29" t="n">
        <f aca="false">DZ81+CQ81+CP81+AZ81</f>
        <v>2704</v>
      </c>
      <c r="ED81" s="30" t="n">
        <f aca="false">(EA81+CV81+BB81)/3</f>
        <v>86.9</v>
      </c>
      <c r="EE81" s="51" t="n">
        <f aca="false">ROUND(BE81,3)</f>
        <v>90.173</v>
      </c>
      <c r="EF81" s="51" t="n">
        <f aca="false">ROUND(CR81,3)</f>
        <v>91.429</v>
      </c>
      <c r="EG81" s="51" t="n">
        <f aca="false">ROUND(CS81,3)</f>
        <v>86.286</v>
      </c>
      <c r="EH81" s="51" t="n">
        <f aca="false">ROUND(EA81,3)</f>
        <v>86.143</v>
      </c>
      <c r="EI81" s="51" t="n">
        <f aca="false">ROUND(ED81,3)</f>
        <v>86.9</v>
      </c>
      <c r="EJ81" s="51" t="n">
        <f aca="false">ROUND(CV81,3)</f>
        <v>88.857</v>
      </c>
      <c r="EK81" s="0" t="n">
        <f aca="false">RANK(EI81,$EI$2:$EI$881,0)</f>
        <v>80</v>
      </c>
    </row>
    <row r="82" customFormat="false" ht="15" hidden="false" customHeight="false" outlineLevel="0" collapsed="false">
      <c r="A82" s="4" t="n">
        <v>8716</v>
      </c>
      <c r="B82" s="4" t="n">
        <v>365</v>
      </c>
      <c r="C82" s="27" t="s">
        <v>423</v>
      </c>
      <c r="D82" s="31" t="n">
        <v>370</v>
      </c>
      <c r="E82" s="32" t="n">
        <v>230324838</v>
      </c>
      <c r="F82" s="8" t="s">
        <v>424</v>
      </c>
      <c r="G82" s="22" t="s">
        <v>395</v>
      </c>
      <c r="H82" s="22" t="s">
        <v>129</v>
      </c>
      <c r="I82" s="33" t="n">
        <v>2005</v>
      </c>
      <c r="J82" s="32" t="n">
        <v>74</v>
      </c>
      <c r="K82" s="32" t="n">
        <v>91</v>
      </c>
      <c r="L82" s="34" t="n">
        <f aca="false">(K82*70)/100</f>
        <v>63.7</v>
      </c>
      <c r="M82" s="34" t="n">
        <f aca="false">ROUNDUP(L82,0)</f>
        <v>64</v>
      </c>
      <c r="N82" s="32" t="n">
        <v>30</v>
      </c>
      <c r="O82" s="34" t="n">
        <f aca="false">N82+L82</f>
        <v>93.7</v>
      </c>
      <c r="P82" s="34" t="n">
        <f aca="false">N82+M82</f>
        <v>94</v>
      </c>
      <c r="Q82" s="32" t="n">
        <v>85</v>
      </c>
      <c r="R82" s="32" t="n">
        <v>82</v>
      </c>
      <c r="S82" s="34" t="n">
        <f aca="false">(R82*70)/100</f>
        <v>57.4</v>
      </c>
      <c r="T82" s="34" t="n">
        <f aca="false">ROUNDUP(S82,0)</f>
        <v>58</v>
      </c>
      <c r="U82" s="32" t="n">
        <v>25</v>
      </c>
      <c r="V82" s="34" t="n">
        <f aca="false">U82+S82</f>
        <v>82.4</v>
      </c>
      <c r="W82" s="34" t="n">
        <f aca="false">U82+T82</f>
        <v>83</v>
      </c>
      <c r="X82" s="32" t="n">
        <v>76</v>
      </c>
      <c r="Y82" s="34" t="n">
        <f aca="false">(X82*70)/100</f>
        <v>53.2</v>
      </c>
      <c r="Z82" s="34" t="n">
        <f aca="false">ROUNDUP(Y82,0)</f>
        <v>54</v>
      </c>
      <c r="AA82" s="32" t="n">
        <v>25</v>
      </c>
      <c r="AB82" s="34" t="n">
        <f aca="false">AA82+Y82</f>
        <v>78.2</v>
      </c>
      <c r="AC82" s="34" t="n">
        <f aca="false">AA82+Z82</f>
        <v>79</v>
      </c>
      <c r="AD82" s="32" t="n">
        <f aca="false">X82+R82+Q82+K82+J82</f>
        <v>408</v>
      </c>
      <c r="AE82" s="16" t="n">
        <f aca="false">AD82/5</f>
        <v>81.6</v>
      </c>
      <c r="AF82" s="16" t="n">
        <v>81</v>
      </c>
      <c r="AG82" s="16" t="n">
        <v>80</v>
      </c>
      <c r="AH82" s="16" t="n">
        <v>95</v>
      </c>
      <c r="AI82" s="16" t="n">
        <v>92</v>
      </c>
      <c r="AJ82" s="16" t="n">
        <f aca="false">(AI82*70)/100</f>
        <v>64.4</v>
      </c>
      <c r="AK82" s="35" t="n">
        <f aca="false">ROUNDUP(AJ82,0)</f>
        <v>65</v>
      </c>
      <c r="AL82" s="16" t="n">
        <v>27</v>
      </c>
      <c r="AM82" s="16" t="n">
        <f aca="false">AL82+AJ82</f>
        <v>91.4</v>
      </c>
      <c r="AN82" s="16" t="n">
        <f aca="false">AL82+AK82</f>
        <v>92</v>
      </c>
      <c r="AO82" s="16" t="n">
        <v>88</v>
      </c>
      <c r="AP82" s="36" t="n">
        <f aca="false">(AO82*70)/100</f>
        <v>61.6</v>
      </c>
      <c r="AQ82" s="37" t="n">
        <f aca="false">ROUNDUP(AP82,0)</f>
        <v>62</v>
      </c>
      <c r="AR82" s="16" t="n">
        <v>29</v>
      </c>
      <c r="AS82" s="16" t="n">
        <f aca="false">AR82+AP82</f>
        <v>90.6</v>
      </c>
      <c r="AT82" s="16" t="n">
        <f aca="false">AR82+AQ82</f>
        <v>91</v>
      </c>
      <c r="AU82" s="16" t="n">
        <f aca="false">AO82+AF82+AI82+AH82+AG82</f>
        <v>436</v>
      </c>
      <c r="AV82" s="16" t="n">
        <f aca="false">(AO82+AF82+AI82+AH82+AG82)/5</f>
        <v>87.2</v>
      </c>
      <c r="AW82" s="36" t="n">
        <f aca="false">(AO82+AF82+AI82+AH82+AG82+X82+R82+Q82+K82+J82)</f>
        <v>844</v>
      </c>
      <c r="AX82" s="16" t="n">
        <f aca="false">AW82/10</f>
        <v>84.4</v>
      </c>
      <c r="AY82" s="16" t="n">
        <f aca="false">AS82+AF82+AM82+AH82+AG82+AB82+V82+Q82+O82+J82</f>
        <v>851.3</v>
      </c>
      <c r="AZ82" s="16" t="n">
        <f aca="false">AT82+AF82+AN82+AH82+AG82+AC82+W82+Q82+P82+J82</f>
        <v>854</v>
      </c>
      <c r="BA82" s="16" t="n">
        <f aca="false">AY82/10</f>
        <v>85.13</v>
      </c>
      <c r="BB82" s="16" t="n">
        <f aca="false">AZ82/10</f>
        <v>85.4</v>
      </c>
      <c r="BC82" s="16" t="n">
        <v>2376</v>
      </c>
      <c r="BD82" s="16" t="n">
        <f aca="false">RANK(AX82,$AX$2:$AX$881,0)</f>
        <v>100</v>
      </c>
      <c r="BE82" s="38" t="n">
        <f aca="false">((BC82*100)/2400)*0.4+(AX82*0.6)</f>
        <v>90.24</v>
      </c>
      <c r="BF82" s="16" t="n">
        <f aca="false">RANK(BE82,$BE$2:$BE$881,0)</f>
        <v>95</v>
      </c>
      <c r="BG82" s="39" t="n">
        <f aca="false">RANK(BB82,$BB$2:$BB$881,0)</f>
        <v>97</v>
      </c>
      <c r="BH82" s="39" t="n">
        <f aca="false">RANK(BC82,$BC$2:$BC$881,0)</f>
        <v>203</v>
      </c>
      <c r="BI82" s="22" t="s">
        <v>130</v>
      </c>
      <c r="BJ82" s="22" t="s">
        <v>129</v>
      </c>
      <c r="BK82" s="40" t="s">
        <v>131</v>
      </c>
      <c r="BL82" s="41" t="n">
        <v>27</v>
      </c>
      <c r="BM82" s="41" t="n">
        <v>58</v>
      </c>
      <c r="BN82" s="41" t="n">
        <v>85</v>
      </c>
      <c r="BO82" s="42" t="n">
        <v>23</v>
      </c>
      <c r="BP82" s="43" t="n">
        <v>67</v>
      </c>
      <c r="BQ82" s="44" t="n">
        <v>90</v>
      </c>
      <c r="BR82" s="42" t="n">
        <v>30</v>
      </c>
      <c r="BS82" s="45" t="n">
        <v>61</v>
      </c>
      <c r="BT82" s="45" t="n">
        <v>91</v>
      </c>
      <c r="BU82" s="46" t="n">
        <v>100</v>
      </c>
      <c r="BV82" s="47" t="n">
        <v>86</v>
      </c>
      <c r="BW82" s="42" t="n">
        <v>100</v>
      </c>
      <c r="BX82" s="48" t="n">
        <v>96</v>
      </c>
      <c r="BY82" s="32" t="n">
        <v>27</v>
      </c>
      <c r="BZ82" s="32" t="n">
        <v>62</v>
      </c>
      <c r="CA82" s="32" t="n">
        <v>89</v>
      </c>
      <c r="CB82" s="32" t="n">
        <v>23</v>
      </c>
      <c r="CC82" s="32" t="n">
        <v>34</v>
      </c>
      <c r="CD82" s="69" t="n">
        <v>57</v>
      </c>
      <c r="CE82" s="32" t="n">
        <v>25</v>
      </c>
      <c r="CF82" s="32" t="n">
        <v>57</v>
      </c>
      <c r="CG82" s="32" t="n">
        <v>82</v>
      </c>
      <c r="CH82" s="32" t="n">
        <v>92</v>
      </c>
      <c r="CI82" s="32" t="n">
        <v>95</v>
      </c>
      <c r="CJ82" s="49" t="n">
        <v>30</v>
      </c>
      <c r="CK82" s="49" t="n">
        <v>52</v>
      </c>
      <c r="CL82" s="49" t="n">
        <v>82</v>
      </c>
      <c r="CM82" s="49" t="n">
        <v>24</v>
      </c>
      <c r="CN82" s="49" t="n">
        <v>55</v>
      </c>
      <c r="CO82" s="49" t="n">
        <v>79</v>
      </c>
      <c r="CP82" s="25" t="n">
        <f aca="false">BX82+BW82+BV82+BU82+BT82+BQ82+BN82</f>
        <v>648</v>
      </c>
      <c r="CQ82" s="25" t="n">
        <f aca="false">CO82+CL82+CI82+CH82+CG82+CD82+CA82</f>
        <v>576</v>
      </c>
      <c r="CR82" s="26" t="n">
        <f aca="false">CP82/7</f>
        <v>92.5714285714286</v>
      </c>
      <c r="CS82" s="26" t="n">
        <f aca="false">CQ82/7</f>
        <v>82.2857142857143</v>
      </c>
      <c r="CT82" s="24" t="n">
        <f aca="false">RANK(CR82,$CR$2:$CR$881,0)</f>
        <v>68</v>
      </c>
      <c r="CU82" s="25" t="n">
        <f aca="false">RANK(CS82,$CS$2:$CS$881,0)</f>
        <v>185</v>
      </c>
      <c r="CV82" s="26" t="n">
        <f aca="false">(CS82+CR82)/2</f>
        <v>87.4285714285714</v>
      </c>
      <c r="CW82" s="25" t="n">
        <f aca="false">RANK(CV82,$CV$2:$CV$881,0)</f>
        <v>121</v>
      </c>
      <c r="CX82" s="50" t="n">
        <f aca="false">(CV82+BB82)/2</f>
        <v>86.4142857142857</v>
      </c>
      <c r="CY82" s="50" t="n">
        <v>90</v>
      </c>
      <c r="CZ82" s="27" t="s">
        <v>132</v>
      </c>
      <c r="DA82" s="27" t="s">
        <v>202</v>
      </c>
      <c r="DB82" s="27" t="s">
        <v>202</v>
      </c>
      <c r="DC82" s="27" t="s">
        <v>134</v>
      </c>
      <c r="DD82" s="27" t="s">
        <v>160</v>
      </c>
      <c r="DE82" s="27" t="s">
        <v>204</v>
      </c>
      <c r="DF82" s="27" t="s">
        <v>178</v>
      </c>
      <c r="DG82" s="27" t="s">
        <v>134</v>
      </c>
      <c r="DH82" s="27" t="s">
        <v>164</v>
      </c>
      <c r="DI82" s="27" t="s">
        <v>204</v>
      </c>
      <c r="DJ82" s="27" t="s">
        <v>202</v>
      </c>
      <c r="DK82" s="27" t="s">
        <v>134</v>
      </c>
      <c r="DL82" s="27" t="s">
        <v>160</v>
      </c>
      <c r="DM82" s="27" t="s">
        <v>220</v>
      </c>
      <c r="DN82" s="27" t="s">
        <v>209</v>
      </c>
      <c r="DO82" s="27" t="s">
        <v>134</v>
      </c>
      <c r="DP82" s="27" t="s">
        <v>182</v>
      </c>
      <c r="DQ82" s="27" t="s">
        <v>177</v>
      </c>
      <c r="DR82" s="27" t="s">
        <v>209</v>
      </c>
      <c r="DS82" s="27" t="s">
        <v>134</v>
      </c>
      <c r="DT82" s="27" t="s">
        <v>146</v>
      </c>
      <c r="DU82" s="27" t="s">
        <v>177</v>
      </c>
      <c r="DV82" s="27" t="s">
        <v>153</v>
      </c>
      <c r="DW82" s="27" t="s">
        <v>160</v>
      </c>
      <c r="DX82" s="27" t="s">
        <v>138</v>
      </c>
      <c r="DY82" s="27" t="s">
        <v>144</v>
      </c>
      <c r="DZ82" s="27" t="n">
        <f aca="false">DY82+DV82+DR82+DN82+DJ82+DF82+DB82</f>
        <v>614</v>
      </c>
      <c r="EA82" s="28" t="n">
        <f aca="false">DZ82/7</f>
        <v>87.7142857142857</v>
      </c>
      <c r="EB82" s="27" t="n">
        <f aca="false">RANK(EA82,$EA$2:$EA$881,0)</f>
        <v>103</v>
      </c>
      <c r="EC82" s="29" t="n">
        <f aca="false">DZ82+CQ82+CP82+AZ82</f>
        <v>2692</v>
      </c>
      <c r="ED82" s="30" t="n">
        <f aca="false">(EA82+CV82+BB82)/3</f>
        <v>86.8476190476191</v>
      </c>
      <c r="EE82" s="51" t="n">
        <f aca="false">ROUND(BE82,3)</f>
        <v>90.24</v>
      </c>
      <c r="EF82" s="51" t="n">
        <f aca="false">ROUND(CR82,3)</f>
        <v>92.571</v>
      </c>
      <c r="EG82" s="51" t="n">
        <f aca="false">ROUND(CS82,3)</f>
        <v>82.286</v>
      </c>
      <c r="EH82" s="51" t="n">
        <f aca="false">ROUND(EA82,3)</f>
        <v>87.714</v>
      </c>
      <c r="EI82" s="51" t="n">
        <f aca="false">ROUND(ED82,3)</f>
        <v>86.848</v>
      </c>
      <c r="EJ82" s="51" t="n">
        <f aca="false">ROUND(CV82,3)</f>
        <v>87.429</v>
      </c>
      <c r="EK82" s="0" t="n">
        <f aca="false">RANK(EI82,$EI$2:$EI$881,0)</f>
        <v>81</v>
      </c>
    </row>
    <row r="83" customFormat="false" ht="15" hidden="false" customHeight="false" outlineLevel="0" collapsed="false">
      <c r="A83" s="4" t="n">
        <v>8800</v>
      </c>
      <c r="B83" s="4" t="n">
        <v>55</v>
      </c>
      <c r="C83" s="27" t="s">
        <v>425</v>
      </c>
      <c r="D83" s="52" t="n">
        <v>57</v>
      </c>
      <c r="E83" s="32" t="n">
        <v>230325024</v>
      </c>
      <c r="F83" s="8" t="s">
        <v>426</v>
      </c>
      <c r="G83" s="22" t="s">
        <v>427</v>
      </c>
      <c r="H83" s="22" t="s">
        <v>129</v>
      </c>
      <c r="I83" s="33" t="n">
        <v>2005</v>
      </c>
      <c r="J83" s="32" t="n">
        <v>94</v>
      </c>
      <c r="K83" s="32" t="n">
        <v>90</v>
      </c>
      <c r="L83" s="34" t="n">
        <f aca="false">(K83*70)/100</f>
        <v>63</v>
      </c>
      <c r="M83" s="34" t="n">
        <f aca="false">ROUNDUP(L83,0)</f>
        <v>63</v>
      </c>
      <c r="N83" s="32" t="n">
        <v>28</v>
      </c>
      <c r="O83" s="34" t="n">
        <f aca="false">N83+L83</f>
        <v>91</v>
      </c>
      <c r="P83" s="34" t="n">
        <f aca="false">N83+M83</f>
        <v>91</v>
      </c>
      <c r="Q83" s="32" t="n">
        <v>84</v>
      </c>
      <c r="R83" s="32" t="n">
        <v>80</v>
      </c>
      <c r="S83" s="34" t="n">
        <f aca="false">(R83*70)/100</f>
        <v>56</v>
      </c>
      <c r="T83" s="34" t="n">
        <f aca="false">ROUNDUP(S83,0)</f>
        <v>56</v>
      </c>
      <c r="U83" s="32" t="n">
        <v>28</v>
      </c>
      <c r="V83" s="34" t="n">
        <f aca="false">U83+S83</f>
        <v>84</v>
      </c>
      <c r="W83" s="34" t="n">
        <f aca="false">U83+T83</f>
        <v>84</v>
      </c>
      <c r="X83" s="32" t="n">
        <v>82</v>
      </c>
      <c r="Y83" s="34" t="n">
        <f aca="false">(X83*70)/100</f>
        <v>57.4</v>
      </c>
      <c r="Z83" s="34" t="n">
        <f aca="false">ROUNDUP(Y83,0)</f>
        <v>58</v>
      </c>
      <c r="AA83" s="32" t="n">
        <v>28</v>
      </c>
      <c r="AB83" s="34" t="n">
        <f aca="false">AA83+Y83</f>
        <v>85.4</v>
      </c>
      <c r="AC83" s="34" t="n">
        <f aca="false">AA83+Z83</f>
        <v>86</v>
      </c>
      <c r="AD83" s="32" t="n">
        <f aca="false">X83+R83+Q83+K83+J83</f>
        <v>430</v>
      </c>
      <c r="AE83" s="16" t="n">
        <f aca="false">AD83/5</f>
        <v>86</v>
      </c>
      <c r="AF83" s="16" t="n">
        <v>88</v>
      </c>
      <c r="AG83" s="16" t="n">
        <v>94</v>
      </c>
      <c r="AH83" s="16" t="n">
        <v>93</v>
      </c>
      <c r="AI83" s="16" t="n">
        <v>95</v>
      </c>
      <c r="AJ83" s="16" t="n">
        <f aca="false">(AI83*70)/100</f>
        <v>66.5</v>
      </c>
      <c r="AK83" s="35" t="n">
        <f aca="false">ROUNDUP(AJ83,0)</f>
        <v>67</v>
      </c>
      <c r="AL83" s="16" t="n">
        <v>28</v>
      </c>
      <c r="AM83" s="16" t="n">
        <f aca="false">AL83+AJ83</f>
        <v>94.5</v>
      </c>
      <c r="AN83" s="16" t="n">
        <f aca="false">AL83+AK83</f>
        <v>95</v>
      </c>
      <c r="AO83" s="16" t="n">
        <v>83</v>
      </c>
      <c r="AP83" s="36" t="n">
        <f aca="false">(AO83*70)/100</f>
        <v>58.1</v>
      </c>
      <c r="AQ83" s="37" t="n">
        <f aca="false">ROUNDUP(AP83,0)</f>
        <v>59</v>
      </c>
      <c r="AR83" s="16" t="n">
        <v>30</v>
      </c>
      <c r="AS83" s="16" t="n">
        <f aca="false">AR83+AP83</f>
        <v>88.1</v>
      </c>
      <c r="AT83" s="16" t="n">
        <f aca="false">AR83+AQ83</f>
        <v>89</v>
      </c>
      <c r="AU83" s="16" t="n">
        <f aca="false">AO83+AF83+AI83+AH83+AG83</f>
        <v>453</v>
      </c>
      <c r="AV83" s="16" t="n">
        <f aca="false">(AO83+AF83+AI83+AH83+AG83)/5</f>
        <v>90.6</v>
      </c>
      <c r="AW83" s="36" t="n">
        <f aca="false">(AO83+AF83+AI83+AH83+AG83+X83+R83+Q83+K83+J83)</f>
        <v>883</v>
      </c>
      <c r="AX83" s="16" t="n">
        <f aca="false">AW83/10</f>
        <v>88.3</v>
      </c>
      <c r="AY83" s="16" t="n">
        <f aca="false">AS83+AF83+AM83+AH83+AG83+AB83+V83+Q83+O83+J83</f>
        <v>896</v>
      </c>
      <c r="AZ83" s="16" t="n">
        <f aca="false">AT83+AF83+AN83+AH83+AG83+AC83+W83+Q83+P83+J83</f>
        <v>898</v>
      </c>
      <c r="BA83" s="16" t="n">
        <f aca="false">AY83/10</f>
        <v>89.6</v>
      </c>
      <c r="BB83" s="16" t="n">
        <f aca="false">AZ83/10</f>
        <v>89.8</v>
      </c>
      <c r="BC83" s="16" t="n">
        <v>2368</v>
      </c>
      <c r="BD83" s="16" t="n">
        <f aca="false">RANK(AX83,$AX$2:$AX$881,0)</f>
        <v>31</v>
      </c>
      <c r="BE83" s="38" t="n">
        <f aca="false">((BC83*100)/2400)*0.4+(AX83*0.6)</f>
        <v>92.4466666666667</v>
      </c>
      <c r="BF83" s="16" t="n">
        <f aca="false">RANK(BE83,$BE$2:$BE$881,0)</f>
        <v>34</v>
      </c>
      <c r="BG83" s="39" t="n">
        <f aca="false">RANK(BB83,$BB$2:$BB$881,0)</f>
        <v>23</v>
      </c>
      <c r="BH83" s="39" t="n">
        <f aca="false">RANK(BC83,$BC$2:$BC$881,0)</f>
        <v>295</v>
      </c>
      <c r="BI83" s="22" t="s">
        <v>130</v>
      </c>
      <c r="BJ83" s="22" t="s">
        <v>129</v>
      </c>
      <c r="BK83" s="40" t="s">
        <v>131</v>
      </c>
      <c r="BL83" s="41" t="n">
        <v>20</v>
      </c>
      <c r="BM83" s="41" t="n">
        <v>58</v>
      </c>
      <c r="BN83" s="41" t="n">
        <v>78</v>
      </c>
      <c r="BO83" s="42" t="n">
        <v>28</v>
      </c>
      <c r="BP83" s="43" t="n">
        <v>61</v>
      </c>
      <c r="BQ83" s="44" t="n">
        <v>89</v>
      </c>
      <c r="BR83" s="42" t="n">
        <v>25</v>
      </c>
      <c r="BS83" s="45" t="n">
        <v>58</v>
      </c>
      <c r="BT83" s="45" t="n">
        <v>83</v>
      </c>
      <c r="BU83" s="46" t="n">
        <v>100</v>
      </c>
      <c r="BV83" s="47" t="n">
        <v>96</v>
      </c>
      <c r="BW83" s="42" t="n">
        <v>99</v>
      </c>
      <c r="BX83" s="48" t="n">
        <v>86</v>
      </c>
      <c r="BY83" s="32" t="n">
        <v>26</v>
      </c>
      <c r="BZ83" s="32" t="n">
        <v>55</v>
      </c>
      <c r="CA83" s="32" t="n">
        <v>81</v>
      </c>
      <c r="CB83" s="32" t="n">
        <v>22</v>
      </c>
      <c r="CC83" s="32" t="n">
        <v>43</v>
      </c>
      <c r="CD83" s="32" t="n">
        <v>65</v>
      </c>
      <c r="CE83" s="32" t="n">
        <v>26</v>
      </c>
      <c r="CF83" s="32" t="n">
        <v>56</v>
      </c>
      <c r="CG83" s="32" t="n">
        <v>82</v>
      </c>
      <c r="CH83" s="32" t="n">
        <v>98</v>
      </c>
      <c r="CI83" s="32" t="n">
        <v>98</v>
      </c>
      <c r="CJ83" s="49" t="n">
        <v>23</v>
      </c>
      <c r="CK83" s="49" t="n">
        <v>56</v>
      </c>
      <c r="CL83" s="49" t="n">
        <v>79</v>
      </c>
      <c r="CM83" s="49" t="n">
        <v>25</v>
      </c>
      <c r="CN83" s="49" t="n">
        <v>59</v>
      </c>
      <c r="CO83" s="49" t="n">
        <v>84</v>
      </c>
      <c r="CP83" s="25" t="n">
        <f aca="false">BX83+BW83+BV83+BU83+BT83+BQ83+BN83</f>
        <v>631</v>
      </c>
      <c r="CQ83" s="25" t="n">
        <f aca="false">CO83+CL83+CI83+CH83+CG83+CD83+CA83</f>
        <v>587</v>
      </c>
      <c r="CR83" s="26" t="n">
        <f aca="false">CP83/7</f>
        <v>90.1428571428571</v>
      </c>
      <c r="CS83" s="26" t="n">
        <f aca="false">CQ83/7</f>
        <v>83.8571428571429</v>
      </c>
      <c r="CT83" s="24" t="n">
        <f aca="false">RANK(CR83,$CR$2:$CR$881,0)</f>
        <v>172</v>
      </c>
      <c r="CU83" s="25" t="n">
        <f aca="false">RANK(CS83,$CS$2:$CS$881,0)</f>
        <v>125</v>
      </c>
      <c r="CV83" s="26" t="n">
        <f aca="false">(CS83+CR83)/2</f>
        <v>87</v>
      </c>
      <c r="CW83" s="25" t="n">
        <f aca="false">RANK(CV83,$CV$2:$CV$881,0)</f>
        <v>137</v>
      </c>
      <c r="CX83" s="50" t="n">
        <f aca="false">(CV83+BB83)/2</f>
        <v>88.4</v>
      </c>
      <c r="CY83" s="50" t="n">
        <v>44</v>
      </c>
      <c r="CZ83" s="27" t="s">
        <v>132</v>
      </c>
      <c r="DA83" s="27" t="s">
        <v>176</v>
      </c>
      <c r="DB83" s="27" t="s">
        <v>176</v>
      </c>
      <c r="DC83" s="27" t="s">
        <v>134</v>
      </c>
      <c r="DD83" s="27" t="s">
        <v>135</v>
      </c>
      <c r="DE83" s="27" t="s">
        <v>304</v>
      </c>
      <c r="DF83" s="27" t="s">
        <v>272</v>
      </c>
      <c r="DG83" s="27" t="s">
        <v>134</v>
      </c>
      <c r="DH83" s="27" t="s">
        <v>154</v>
      </c>
      <c r="DI83" s="27" t="s">
        <v>306</v>
      </c>
      <c r="DJ83" s="27" t="s">
        <v>305</v>
      </c>
      <c r="DK83" s="27" t="s">
        <v>134</v>
      </c>
      <c r="DL83" s="27" t="s">
        <v>164</v>
      </c>
      <c r="DM83" s="27" t="s">
        <v>304</v>
      </c>
      <c r="DN83" s="27" t="s">
        <v>196</v>
      </c>
      <c r="DO83" s="27" t="s">
        <v>134</v>
      </c>
      <c r="DP83" s="27" t="s">
        <v>386</v>
      </c>
      <c r="DQ83" s="27" t="s">
        <v>203</v>
      </c>
      <c r="DR83" s="27" t="s">
        <v>219</v>
      </c>
      <c r="DS83" s="27" t="s">
        <v>134</v>
      </c>
      <c r="DT83" s="27" t="s">
        <v>137</v>
      </c>
      <c r="DU83" s="27" t="s">
        <v>313</v>
      </c>
      <c r="DV83" s="27" t="s">
        <v>305</v>
      </c>
      <c r="DW83" s="27" t="s">
        <v>140</v>
      </c>
      <c r="DX83" s="27" t="s">
        <v>143</v>
      </c>
      <c r="DY83" s="27" t="s">
        <v>144</v>
      </c>
      <c r="DZ83" s="27" t="n">
        <f aca="false">DY83+DV83+DR83+DN83+DJ83+DF83+DB83</f>
        <v>585</v>
      </c>
      <c r="EA83" s="28" t="n">
        <f aca="false">DZ83/7</f>
        <v>83.5714285714286</v>
      </c>
      <c r="EB83" s="27" t="n">
        <f aca="false">RANK(EA83,$EA$2:$EA$881,0)</f>
        <v>249</v>
      </c>
      <c r="EC83" s="29" t="n">
        <f aca="false">DZ83+CQ83+CP83+AZ83</f>
        <v>2701</v>
      </c>
      <c r="ED83" s="30" t="n">
        <f aca="false">(EA83+CV83+BB83)/3</f>
        <v>86.7904761904762</v>
      </c>
      <c r="EE83" s="51" t="n">
        <f aca="false">ROUND(BE83,3)</f>
        <v>92.447</v>
      </c>
      <c r="EF83" s="51" t="n">
        <f aca="false">ROUND(CR83,3)</f>
        <v>90.143</v>
      </c>
      <c r="EG83" s="51" t="n">
        <f aca="false">ROUND(CS83,3)</f>
        <v>83.857</v>
      </c>
      <c r="EH83" s="51" t="n">
        <f aca="false">ROUND(EA83,3)</f>
        <v>83.571</v>
      </c>
      <c r="EI83" s="51" t="n">
        <f aca="false">ROUND(ED83,3)</f>
        <v>86.79</v>
      </c>
      <c r="EJ83" s="51" t="n">
        <f aca="false">ROUND(CV83,3)</f>
        <v>87</v>
      </c>
      <c r="EK83" s="0" t="n">
        <f aca="false">RANK(EI83,$EI$2:$EI$881,0)</f>
        <v>82</v>
      </c>
    </row>
    <row r="84" customFormat="false" ht="15" hidden="false" customHeight="false" outlineLevel="0" collapsed="false">
      <c r="A84" s="4" t="n">
        <v>8774</v>
      </c>
      <c r="B84" s="4" t="n">
        <v>249</v>
      </c>
      <c r="C84" s="27" t="s">
        <v>428</v>
      </c>
      <c r="D84" s="31" t="n">
        <v>250</v>
      </c>
      <c r="E84" s="32" t="n">
        <v>230312889</v>
      </c>
      <c r="F84" s="8" t="s">
        <v>429</v>
      </c>
      <c r="G84" s="22" t="s">
        <v>303</v>
      </c>
      <c r="H84" s="22" t="s">
        <v>129</v>
      </c>
      <c r="I84" s="33" t="n">
        <v>2005</v>
      </c>
      <c r="J84" s="32" t="n">
        <v>74</v>
      </c>
      <c r="K84" s="32" t="n">
        <v>88</v>
      </c>
      <c r="L84" s="34" t="n">
        <f aca="false">(K84*70)/100</f>
        <v>61.6</v>
      </c>
      <c r="M84" s="34" t="n">
        <f aca="false">ROUNDUP(L84,0)</f>
        <v>62</v>
      </c>
      <c r="N84" s="32" t="n">
        <v>29</v>
      </c>
      <c r="O84" s="34" t="n">
        <f aca="false">N84+L84</f>
        <v>90.6</v>
      </c>
      <c r="P84" s="34" t="n">
        <f aca="false">N84+M84</f>
        <v>91</v>
      </c>
      <c r="Q84" s="32" t="n">
        <v>82</v>
      </c>
      <c r="R84" s="32" t="n">
        <v>80</v>
      </c>
      <c r="S84" s="34" t="n">
        <f aca="false">(R84*70)/100</f>
        <v>56</v>
      </c>
      <c r="T84" s="34" t="n">
        <f aca="false">ROUNDUP(S84,0)</f>
        <v>56</v>
      </c>
      <c r="U84" s="32" t="n">
        <v>18</v>
      </c>
      <c r="V84" s="34" t="n">
        <f aca="false">U84+S84</f>
        <v>74</v>
      </c>
      <c r="W84" s="34" t="n">
        <f aca="false">U84+T84</f>
        <v>74</v>
      </c>
      <c r="X84" s="32" t="n">
        <v>82</v>
      </c>
      <c r="Y84" s="34" t="n">
        <f aca="false">(X84*70)/100</f>
        <v>57.4</v>
      </c>
      <c r="Z84" s="34" t="n">
        <f aca="false">ROUNDUP(Y84,0)</f>
        <v>58</v>
      </c>
      <c r="AA84" s="32" t="n">
        <v>27</v>
      </c>
      <c r="AB84" s="34" t="n">
        <f aca="false">AA84+Y84</f>
        <v>84.4</v>
      </c>
      <c r="AC84" s="34" t="n">
        <f aca="false">AA84+Z84</f>
        <v>85</v>
      </c>
      <c r="AD84" s="32" t="n">
        <f aca="false">X84+R84+Q84+K84+J84</f>
        <v>406</v>
      </c>
      <c r="AE84" s="16" t="n">
        <f aca="false">AD84/5</f>
        <v>81.2</v>
      </c>
      <c r="AF84" s="16" t="n">
        <v>82</v>
      </c>
      <c r="AG84" s="16" t="n">
        <v>88</v>
      </c>
      <c r="AH84" s="16" t="n">
        <v>93</v>
      </c>
      <c r="AI84" s="16" t="n">
        <v>95</v>
      </c>
      <c r="AJ84" s="16" t="n">
        <f aca="false">(AI84*70)/100</f>
        <v>66.5</v>
      </c>
      <c r="AK84" s="35" t="n">
        <f aca="false">ROUNDUP(AJ84,0)</f>
        <v>67</v>
      </c>
      <c r="AL84" s="16" t="n">
        <v>28</v>
      </c>
      <c r="AM84" s="16" t="n">
        <f aca="false">AL84+AJ84</f>
        <v>94.5</v>
      </c>
      <c r="AN84" s="16" t="n">
        <f aca="false">AL84+AK84</f>
        <v>95</v>
      </c>
      <c r="AO84" s="16" t="n">
        <v>78</v>
      </c>
      <c r="AP84" s="36" t="n">
        <f aca="false">(AO84*70)/100</f>
        <v>54.6</v>
      </c>
      <c r="AQ84" s="37" t="n">
        <f aca="false">ROUNDUP(AP84,0)</f>
        <v>55</v>
      </c>
      <c r="AR84" s="16" t="n">
        <v>29</v>
      </c>
      <c r="AS84" s="16" t="n">
        <f aca="false">AR84+AP84</f>
        <v>83.6</v>
      </c>
      <c r="AT84" s="16" t="n">
        <f aca="false">AR84+AQ84</f>
        <v>84</v>
      </c>
      <c r="AU84" s="16" t="n">
        <f aca="false">AO84+AF84+AI84+AH84+AG84</f>
        <v>436</v>
      </c>
      <c r="AV84" s="16" t="n">
        <f aca="false">(AO84+AF84+AI84+AH84+AG84)/5</f>
        <v>87.2</v>
      </c>
      <c r="AW84" s="36" t="n">
        <f aca="false">(AO84+AF84+AI84+AH84+AG84+X84+R84+Q84+K84+J84)</f>
        <v>842</v>
      </c>
      <c r="AX84" s="16" t="n">
        <f aca="false">AW84/10</f>
        <v>84.2</v>
      </c>
      <c r="AY84" s="16" t="n">
        <f aca="false">AS84+AF84+AM84+AH84+AG84+AB84+V84+Q84+O84+J84</f>
        <v>846.1</v>
      </c>
      <c r="AZ84" s="16" t="n">
        <f aca="false">AT84+AF84+AN84+AH84+AG84+AC84+W84+Q84+P84+J84</f>
        <v>848</v>
      </c>
      <c r="BA84" s="16" t="n">
        <f aca="false">AY84/10</f>
        <v>84.61</v>
      </c>
      <c r="BB84" s="16" t="n">
        <f aca="false">AZ84/10</f>
        <v>84.8</v>
      </c>
      <c r="BC84" s="16" t="n">
        <v>2360</v>
      </c>
      <c r="BD84" s="16" t="n">
        <f aca="false">RANK(AX84,$AX$2:$AX$881,0)</f>
        <v>104</v>
      </c>
      <c r="BE84" s="54" t="n">
        <f aca="false">((BC84*100)/2400)*0.4+(AX84*0.6)</f>
        <v>89.8533333333333</v>
      </c>
      <c r="BF84" s="16" t="n">
        <f aca="false">RANK(BE84,$BE$2:$BE$881,0)</f>
        <v>109</v>
      </c>
      <c r="BG84" s="39" t="n">
        <f aca="false">RANK(BB84,$BB$2:$BB$881,0)</f>
        <v>103</v>
      </c>
      <c r="BH84" s="39" t="n">
        <f aca="false">RANK(BC84,$BC$2:$BC$881,0)</f>
        <v>402</v>
      </c>
      <c r="BI84" s="22" t="s">
        <v>130</v>
      </c>
      <c r="BJ84" s="22" t="s">
        <v>129</v>
      </c>
      <c r="BK84" s="40" t="s">
        <v>131</v>
      </c>
      <c r="BL84" s="41" t="n">
        <v>25</v>
      </c>
      <c r="BM84" s="41" t="n">
        <v>64</v>
      </c>
      <c r="BN84" s="41" t="n">
        <v>89</v>
      </c>
      <c r="BO84" s="42" t="n">
        <v>25</v>
      </c>
      <c r="BP84" s="43" t="n">
        <v>63</v>
      </c>
      <c r="BQ84" s="44" t="n">
        <v>88</v>
      </c>
      <c r="BR84" s="42" t="n">
        <v>27</v>
      </c>
      <c r="BS84" s="45" t="n">
        <v>62</v>
      </c>
      <c r="BT84" s="45" t="n">
        <v>89</v>
      </c>
      <c r="BU84" s="46" t="n">
        <v>100</v>
      </c>
      <c r="BV84" s="47" t="n">
        <v>88</v>
      </c>
      <c r="BW84" s="42" t="n">
        <v>99</v>
      </c>
      <c r="BX84" s="48" t="n">
        <v>96</v>
      </c>
      <c r="BY84" s="32" t="n">
        <v>26</v>
      </c>
      <c r="BZ84" s="32" t="n">
        <v>59</v>
      </c>
      <c r="CA84" s="32" t="n">
        <v>85</v>
      </c>
      <c r="CB84" s="32" t="n">
        <v>25</v>
      </c>
      <c r="CC84" s="32" t="n">
        <v>51</v>
      </c>
      <c r="CD84" s="32" t="n">
        <v>76</v>
      </c>
      <c r="CE84" s="32" t="n">
        <v>25</v>
      </c>
      <c r="CF84" s="32" t="n">
        <v>63</v>
      </c>
      <c r="CG84" s="32" t="n">
        <v>88</v>
      </c>
      <c r="CH84" s="32" t="n">
        <v>93</v>
      </c>
      <c r="CI84" s="32" t="n">
        <v>100</v>
      </c>
      <c r="CJ84" s="49" t="n">
        <v>25</v>
      </c>
      <c r="CK84" s="49" t="n">
        <v>57</v>
      </c>
      <c r="CL84" s="49" t="n">
        <v>82</v>
      </c>
      <c r="CM84" s="49" t="n">
        <v>22</v>
      </c>
      <c r="CN84" s="49" t="n">
        <v>56</v>
      </c>
      <c r="CO84" s="49" t="n">
        <v>78</v>
      </c>
      <c r="CP84" s="25" t="n">
        <f aca="false">BX84+BW84+BV84+BU84+BT84+BQ84+BN84</f>
        <v>649</v>
      </c>
      <c r="CQ84" s="25" t="n">
        <f aca="false">CO84+CL84+CI84+CH84+CG84+CD84+CA84</f>
        <v>602</v>
      </c>
      <c r="CR84" s="26" t="n">
        <f aca="false">CP84/7</f>
        <v>92.7142857142857</v>
      </c>
      <c r="CS84" s="26" t="n">
        <f aca="false">CQ84/7</f>
        <v>86</v>
      </c>
      <c r="CT84" s="24" t="n">
        <f aca="false">RANK(CR84,$CR$2:$CR$881,0)</f>
        <v>58</v>
      </c>
      <c r="CU84" s="25" t="n">
        <f aca="false">RANK(CS84,$CS$2:$CS$881,0)</f>
        <v>78</v>
      </c>
      <c r="CV84" s="26" t="n">
        <f aca="false">(CS84+CR84)/2</f>
        <v>89.3571428571429</v>
      </c>
      <c r="CW84" s="25" t="n">
        <f aca="false">RANK(CV84,$CV$2:$CV$881,0)</f>
        <v>61</v>
      </c>
      <c r="CX84" s="50" t="n">
        <f aca="false">(CV84+BB84)/2</f>
        <v>87.0785714285714</v>
      </c>
      <c r="CY84" s="50" t="n">
        <v>76</v>
      </c>
      <c r="CZ84" s="27" t="s">
        <v>132</v>
      </c>
      <c r="DA84" s="27" t="s">
        <v>219</v>
      </c>
      <c r="DB84" s="27" t="s">
        <v>219</v>
      </c>
      <c r="DC84" s="27" t="s">
        <v>134</v>
      </c>
      <c r="DD84" s="27" t="s">
        <v>164</v>
      </c>
      <c r="DE84" s="27" t="s">
        <v>177</v>
      </c>
      <c r="DF84" s="27" t="s">
        <v>178</v>
      </c>
      <c r="DG84" s="27" t="s">
        <v>134</v>
      </c>
      <c r="DH84" s="27" t="s">
        <v>160</v>
      </c>
      <c r="DI84" s="27" t="s">
        <v>161</v>
      </c>
      <c r="DJ84" s="27" t="s">
        <v>162</v>
      </c>
      <c r="DK84" s="27" t="s">
        <v>134</v>
      </c>
      <c r="DL84" s="27" t="s">
        <v>137</v>
      </c>
      <c r="DM84" s="27" t="s">
        <v>204</v>
      </c>
      <c r="DN84" s="27" t="s">
        <v>175</v>
      </c>
      <c r="DO84" s="27" t="s">
        <v>134</v>
      </c>
      <c r="DP84" s="27" t="s">
        <v>182</v>
      </c>
      <c r="DQ84" s="27" t="s">
        <v>204</v>
      </c>
      <c r="DR84" s="27" t="s">
        <v>169</v>
      </c>
      <c r="DS84" s="27" t="s">
        <v>134</v>
      </c>
      <c r="DT84" s="27" t="s">
        <v>164</v>
      </c>
      <c r="DU84" s="27" t="s">
        <v>218</v>
      </c>
      <c r="DV84" s="27" t="s">
        <v>209</v>
      </c>
      <c r="DW84" s="27" t="s">
        <v>160</v>
      </c>
      <c r="DX84" s="27" t="s">
        <v>141</v>
      </c>
      <c r="DY84" s="27" t="s">
        <v>139</v>
      </c>
      <c r="DZ84" s="27" t="n">
        <f aca="false">DY84+DV84+DR84+DN84+DJ84+DF84+DB84</f>
        <v>603</v>
      </c>
      <c r="EA84" s="28" t="n">
        <f aca="false">DZ84/7</f>
        <v>86.1428571428571</v>
      </c>
      <c r="EB84" s="27" t="n">
        <f aca="false">RANK(EA84,$EA$2:$EA$881,0)</f>
        <v>152</v>
      </c>
      <c r="EC84" s="29" t="n">
        <f aca="false">DZ84+CQ84+CP84+AZ84</f>
        <v>2702</v>
      </c>
      <c r="ED84" s="30" t="n">
        <f aca="false">(EA84+CV84+BB84)/3</f>
        <v>86.7666666666667</v>
      </c>
      <c r="EE84" s="51" t="n">
        <f aca="false">ROUND(BE84,3)</f>
        <v>89.853</v>
      </c>
      <c r="EF84" s="51" t="n">
        <f aca="false">ROUND(CR84,3)</f>
        <v>92.714</v>
      </c>
      <c r="EG84" s="51" t="n">
        <f aca="false">ROUND(CS84,3)</f>
        <v>86</v>
      </c>
      <c r="EH84" s="51" t="n">
        <f aca="false">ROUND(EA84,3)</f>
        <v>86.143</v>
      </c>
      <c r="EI84" s="51" t="n">
        <f aca="false">ROUND(ED84,3)</f>
        <v>86.767</v>
      </c>
      <c r="EJ84" s="51" t="n">
        <f aca="false">ROUND(CV84,3)</f>
        <v>89.357</v>
      </c>
      <c r="EK84" s="0" t="n">
        <f aca="false">RANK(EI84,$EI$2:$EI$881,0)</f>
        <v>83</v>
      </c>
    </row>
    <row r="85" customFormat="false" ht="33.7" hidden="false" customHeight="false" outlineLevel="0" collapsed="false">
      <c r="A85" s="4" t="n">
        <v>8829</v>
      </c>
      <c r="B85" s="4" t="n">
        <v>691</v>
      </c>
      <c r="C85" s="27" t="s">
        <v>430</v>
      </c>
      <c r="D85" s="31" t="n">
        <v>705</v>
      </c>
      <c r="E85" s="32" t="n">
        <v>230311473</v>
      </c>
      <c r="F85" s="55" t="s">
        <v>431</v>
      </c>
      <c r="G85" s="22" t="s">
        <v>432</v>
      </c>
      <c r="H85" s="22" t="s">
        <v>129</v>
      </c>
      <c r="I85" s="33" t="n">
        <v>2005</v>
      </c>
      <c r="J85" s="32" t="n">
        <v>90</v>
      </c>
      <c r="K85" s="32" t="n">
        <v>95</v>
      </c>
      <c r="L85" s="34" t="n">
        <f aca="false">(K85*70)/100</f>
        <v>66.5</v>
      </c>
      <c r="M85" s="34" t="n">
        <f aca="false">ROUNDUP(L85,0)</f>
        <v>67</v>
      </c>
      <c r="N85" s="32" t="n">
        <v>25</v>
      </c>
      <c r="O85" s="34" t="n">
        <f aca="false">N85+L85</f>
        <v>91.5</v>
      </c>
      <c r="P85" s="34" t="n">
        <f aca="false">N85+M85</f>
        <v>92</v>
      </c>
      <c r="Q85" s="32" t="n">
        <v>84</v>
      </c>
      <c r="R85" s="32" t="n">
        <v>89</v>
      </c>
      <c r="S85" s="34" t="n">
        <f aca="false">(R85*70)/100</f>
        <v>62.3</v>
      </c>
      <c r="T85" s="34" t="n">
        <f aca="false">ROUNDUP(S85,0)</f>
        <v>63</v>
      </c>
      <c r="U85" s="32" t="n">
        <v>26</v>
      </c>
      <c r="V85" s="34" t="n">
        <f aca="false">U85+S85</f>
        <v>88.3</v>
      </c>
      <c r="W85" s="34" t="n">
        <f aca="false">U85+T85</f>
        <v>89</v>
      </c>
      <c r="X85" s="32" t="n">
        <v>80</v>
      </c>
      <c r="Y85" s="34" t="n">
        <f aca="false">(X85*70)/100</f>
        <v>56</v>
      </c>
      <c r="Z85" s="34" t="n">
        <f aca="false">ROUNDUP(Y85,0)</f>
        <v>56</v>
      </c>
      <c r="AA85" s="32" t="n">
        <v>26</v>
      </c>
      <c r="AB85" s="34" t="n">
        <f aca="false">AA85+Y85</f>
        <v>82</v>
      </c>
      <c r="AC85" s="34" t="n">
        <f aca="false">AA85+Z85</f>
        <v>82</v>
      </c>
      <c r="AD85" s="32" t="n">
        <f aca="false">X85+R85+Q85+K85+J85</f>
        <v>438</v>
      </c>
      <c r="AE85" s="16" t="n">
        <f aca="false">AD85/5</f>
        <v>87.6</v>
      </c>
      <c r="AF85" s="16" t="n">
        <v>81</v>
      </c>
      <c r="AG85" s="16" t="n">
        <v>95</v>
      </c>
      <c r="AH85" s="16" t="n">
        <v>93</v>
      </c>
      <c r="AI85" s="16" t="n">
        <v>95</v>
      </c>
      <c r="AJ85" s="16" t="n">
        <f aca="false">(AI85*70)/100</f>
        <v>66.5</v>
      </c>
      <c r="AK85" s="35" t="n">
        <f aca="false">ROUNDUP(AJ85,0)</f>
        <v>67</v>
      </c>
      <c r="AL85" s="16" t="n">
        <v>22</v>
      </c>
      <c r="AM85" s="16" t="n">
        <f aca="false">AL85+AJ85</f>
        <v>88.5</v>
      </c>
      <c r="AN85" s="16" t="n">
        <f aca="false">AL85+AK85</f>
        <v>89</v>
      </c>
      <c r="AO85" s="16" t="n">
        <v>84</v>
      </c>
      <c r="AP85" s="36" t="n">
        <f aca="false">(AO85*70)/100</f>
        <v>58.8</v>
      </c>
      <c r="AQ85" s="37" t="n">
        <f aca="false">ROUNDUP(AP85,0)</f>
        <v>59</v>
      </c>
      <c r="AR85" s="16" t="n">
        <v>19</v>
      </c>
      <c r="AS85" s="16" t="n">
        <f aca="false">AR85+AP85</f>
        <v>77.8</v>
      </c>
      <c r="AT85" s="16" t="n">
        <f aca="false">AR85+AQ85</f>
        <v>78</v>
      </c>
      <c r="AU85" s="16" t="n">
        <f aca="false">AO85+AF85+AI85+AH85+AG85</f>
        <v>448</v>
      </c>
      <c r="AV85" s="16" t="n">
        <f aca="false">(AO85+AF85+AI85+AH85+AG85)/5</f>
        <v>89.6</v>
      </c>
      <c r="AW85" s="36" t="n">
        <f aca="false">(AO85+AF85+AI85+AH85+AG85+X85+R85+Q85+K85+J85)</f>
        <v>886</v>
      </c>
      <c r="AX85" s="16" t="n">
        <f aca="false">AW85/10</f>
        <v>88.6</v>
      </c>
      <c r="AY85" s="16" t="n">
        <f aca="false">AS85+AF85+AM85+AH85+AG85+AB85+V85+Q85+O85+J85</f>
        <v>871.1</v>
      </c>
      <c r="AZ85" s="16" t="n">
        <f aca="false">AT85+AF85+AN85+AH85+AG85+AC85+W85+Q85+P85+J85</f>
        <v>873</v>
      </c>
      <c r="BA85" s="16" t="n">
        <f aca="false">AY85/10</f>
        <v>87.11</v>
      </c>
      <c r="BB85" s="16" t="n">
        <f aca="false">AZ85/10</f>
        <v>87.3</v>
      </c>
      <c r="BC85" s="16" t="n">
        <v>2379</v>
      </c>
      <c r="BD85" s="16" t="n">
        <f aca="false">RANK(AX85,$AX$2:$AX$881,0)</f>
        <v>28</v>
      </c>
      <c r="BE85" s="38" t="n">
        <f aca="false">((BC85*100)/2400)*0.4+(AX85*0.6)</f>
        <v>92.81</v>
      </c>
      <c r="BF85" s="16" t="n">
        <f aca="false">RANK(BE85,$BE$2:$BE$881,0)</f>
        <v>30</v>
      </c>
      <c r="BG85" s="39" t="n">
        <f aca="false">RANK(BB85,$BB$2:$BB$881,0)</f>
        <v>52</v>
      </c>
      <c r="BH85" s="39" t="n">
        <f aca="false">RANK(BC85,$BC$2:$BC$881,0)</f>
        <v>160</v>
      </c>
      <c r="BI85" s="22" t="s">
        <v>130</v>
      </c>
      <c r="BJ85" s="22" t="s">
        <v>129</v>
      </c>
      <c r="BK85" s="40" t="s">
        <v>131</v>
      </c>
      <c r="BL85" s="41" t="n">
        <v>19</v>
      </c>
      <c r="BM85" s="41" t="n">
        <v>62</v>
      </c>
      <c r="BN85" s="41" t="n">
        <v>81</v>
      </c>
      <c r="BO85" s="42" t="n">
        <v>28</v>
      </c>
      <c r="BP85" s="43" t="n">
        <v>66</v>
      </c>
      <c r="BQ85" s="44" t="n">
        <v>94</v>
      </c>
      <c r="BR85" s="42" t="n">
        <v>22</v>
      </c>
      <c r="BS85" s="45" t="n">
        <v>56</v>
      </c>
      <c r="BT85" s="45" t="n">
        <v>78</v>
      </c>
      <c r="BU85" s="46" t="n">
        <v>100</v>
      </c>
      <c r="BV85" s="47" t="n">
        <v>98</v>
      </c>
      <c r="BW85" s="42" t="n">
        <v>99</v>
      </c>
      <c r="BX85" s="48" t="n">
        <v>94</v>
      </c>
      <c r="BY85" s="32" t="n">
        <v>27</v>
      </c>
      <c r="BZ85" s="32" t="n">
        <v>61</v>
      </c>
      <c r="CA85" s="32" t="n">
        <v>88</v>
      </c>
      <c r="CB85" s="32" t="n">
        <v>22</v>
      </c>
      <c r="CC85" s="32" t="n">
        <v>47</v>
      </c>
      <c r="CD85" s="32" t="n">
        <v>69</v>
      </c>
      <c r="CE85" s="32" t="n">
        <v>27</v>
      </c>
      <c r="CF85" s="32" t="n">
        <v>65</v>
      </c>
      <c r="CG85" s="32" t="n">
        <v>92</v>
      </c>
      <c r="CH85" s="32" t="n">
        <v>99</v>
      </c>
      <c r="CI85" s="32" t="n">
        <v>98</v>
      </c>
      <c r="CJ85" s="49" t="n">
        <v>26</v>
      </c>
      <c r="CK85" s="49" t="n">
        <v>50</v>
      </c>
      <c r="CL85" s="49" t="n">
        <v>76</v>
      </c>
      <c r="CM85" s="49" t="n">
        <v>24</v>
      </c>
      <c r="CN85" s="49" t="n">
        <v>55</v>
      </c>
      <c r="CO85" s="49" t="n">
        <v>79</v>
      </c>
      <c r="CP85" s="25" t="n">
        <f aca="false">BX85+BW85+BV85+BU85+BT85+BQ85+BN85</f>
        <v>644</v>
      </c>
      <c r="CQ85" s="25" t="n">
        <f aca="false">CO85+CL85+CI85+CH85+CG85+CD85+CA85</f>
        <v>601</v>
      </c>
      <c r="CR85" s="26" t="n">
        <f aca="false">CP85/7</f>
        <v>92</v>
      </c>
      <c r="CS85" s="26" t="n">
        <f aca="false">CQ85/7</f>
        <v>85.8571428571429</v>
      </c>
      <c r="CT85" s="24" t="n">
        <f aca="false">RANK(CR85,$CR$2:$CR$881,0)</f>
        <v>91</v>
      </c>
      <c r="CU85" s="25" t="n">
        <f aca="false">RANK(CS85,$CS$2:$CS$881,0)</f>
        <v>80</v>
      </c>
      <c r="CV85" s="26" t="n">
        <f aca="false">(CS85+CR85)/2</f>
        <v>88.9285714285714</v>
      </c>
      <c r="CW85" s="25" t="n">
        <f aca="false">RANK(CV85,$CV$2:$CV$881,0)</f>
        <v>70</v>
      </c>
      <c r="CX85" s="50" t="n">
        <f aca="false">(CV85+BB85)/2</f>
        <v>88.1142857142857</v>
      </c>
      <c r="CY85" s="50" t="n">
        <v>47</v>
      </c>
      <c r="CZ85" s="27" t="s">
        <v>132</v>
      </c>
      <c r="DA85" s="27" t="s">
        <v>162</v>
      </c>
      <c r="DB85" s="27" t="s">
        <v>162</v>
      </c>
      <c r="DC85" s="27" t="s">
        <v>134</v>
      </c>
      <c r="DD85" s="27" t="s">
        <v>135</v>
      </c>
      <c r="DE85" s="27" t="s">
        <v>183</v>
      </c>
      <c r="DF85" s="27" t="s">
        <v>169</v>
      </c>
      <c r="DG85" s="27" t="s">
        <v>134</v>
      </c>
      <c r="DH85" s="27" t="s">
        <v>164</v>
      </c>
      <c r="DI85" s="27" t="s">
        <v>204</v>
      </c>
      <c r="DJ85" s="27" t="s">
        <v>202</v>
      </c>
      <c r="DK85" s="27" t="s">
        <v>134</v>
      </c>
      <c r="DL85" s="27" t="s">
        <v>135</v>
      </c>
      <c r="DM85" s="27" t="s">
        <v>183</v>
      </c>
      <c r="DN85" s="27" t="s">
        <v>169</v>
      </c>
      <c r="DO85" s="27" t="s">
        <v>134</v>
      </c>
      <c r="DP85" s="27" t="s">
        <v>154</v>
      </c>
      <c r="DQ85" s="27" t="s">
        <v>306</v>
      </c>
      <c r="DR85" s="27" t="s">
        <v>305</v>
      </c>
      <c r="DS85" s="27" t="s">
        <v>134</v>
      </c>
      <c r="DT85" s="27" t="s">
        <v>174</v>
      </c>
      <c r="DU85" s="27" t="s">
        <v>218</v>
      </c>
      <c r="DV85" s="27" t="s">
        <v>272</v>
      </c>
      <c r="DW85" s="27" t="s">
        <v>164</v>
      </c>
      <c r="DX85" s="27" t="s">
        <v>136</v>
      </c>
      <c r="DY85" s="27" t="s">
        <v>153</v>
      </c>
      <c r="DZ85" s="27" t="n">
        <f aca="false">DY85+DV85+DR85+DN85+DJ85+DF85+DB85</f>
        <v>588</v>
      </c>
      <c r="EA85" s="28" t="n">
        <f aca="false">DZ85/7</f>
        <v>84</v>
      </c>
      <c r="EB85" s="27" t="n">
        <f aca="false">RANK(EA85,$EA$2:$EA$881,0)</f>
        <v>223</v>
      </c>
      <c r="EC85" s="29" t="n">
        <f aca="false">DZ85+CQ85+CP85+AZ85</f>
        <v>2706</v>
      </c>
      <c r="ED85" s="30" t="n">
        <f aca="false">(EA85+CV85+BB85)/3</f>
        <v>86.7428571428572</v>
      </c>
      <c r="EE85" s="51" t="n">
        <f aca="false">ROUND(BE85,3)</f>
        <v>92.81</v>
      </c>
      <c r="EF85" s="51" t="n">
        <f aca="false">ROUND(CR85,3)</f>
        <v>92</v>
      </c>
      <c r="EG85" s="51" t="n">
        <f aca="false">ROUND(CS85,3)</f>
        <v>85.857</v>
      </c>
      <c r="EH85" s="51" t="n">
        <f aca="false">ROUND(EA85,3)</f>
        <v>84</v>
      </c>
      <c r="EI85" s="51" t="n">
        <f aca="false">ROUND(ED85,3)</f>
        <v>86.743</v>
      </c>
      <c r="EJ85" s="51" t="n">
        <f aca="false">ROUND(CV85,3)</f>
        <v>88.929</v>
      </c>
      <c r="EK85" s="0" t="n">
        <f aca="false">RANK(EI85,$EI$2:$EI$881,0)</f>
        <v>84</v>
      </c>
    </row>
    <row r="86" customFormat="false" ht="15" hidden="false" customHeight="false" outlineLevel="0" collapsed="false">
      <c r="A86" s="4" t="n">
        <v>9010</v>
      </c>
      <c r="B86" s="4" t="n">
        <v>382</v>
      </c>
      <c r="C86" s="27" t="s">
        <v>433</v>
      </c>
      <c r="D86" s="31" t="n">
        <v>386</v>
      </c>
      <c r="E86" s="32" t="n">
        <v>230322648</v>
      </c>
      <c r="F86" s="8" t="s">
        <v>434</v>
      </c>
      <c r="G86" s="22" t="s">
        <v>435</v>
      </c>
      <c r="H86" s="22" t="s">
        <v>129</v>
      </c>
      <c r="I86" s="33" t="n">
        <v>2005</v>
      </c>
      <c r="J86" s="32" t="n">
        <v>93</v>
      </c>
      <c r="K86" s="32" t="n">
        <v>89</v>
      </c>
      <c r="L86" s="34" t="n">
        <f aca="false">(K86*70)/100</f>
        <v>62.3</v>
      </c>
      <c r="M86" s="34" t="n">
        <f aca="false">ROUNDUP(L86,0)</f>
        <v>63</v>
      </c>
      <c r="N86" s="32" t="n">
        <v>28</v>
      </c>
      <c r="O86" s="34" t="n">
        <f aca="false">N86+L86</f>
        <v>90.3</v>
      </c>
      <c r="P86" s="34" t="n">
        <f aca="false">N86+M86</f>
        <v>91</v>
      </c>
      <c r="Q86" s="32" t="n">
        <v>90</v>
      </c>
      <c r="R86" s="32" t="n">
        <v>85</v>
      </c>
      <c r="S86" s="34" t="n">
        <f aca="false">(R86*70)/100</f>
        <v>59.5</v>
      </c>
      <c r="T86" s="34" t="n">
        <f aca="false">ROUNDUP(S86,0)</f>
        <v>60</v>
      </c>
      <c r="U86" s="32" t="n">
        <v>26</v>
      </c>
      <c r="V86" s="34" t="n">
        <f aca="false">U86+S86</f>
        <v>85.5</v>
      </c>
      <c r="W86" s="34" t="n">
        <f aca="false">U86+T86</f>
        <v>86</v>
      </c>
      <c r="X86" s="32" t="n">
        <v>75</v>
      </c>
      <c r="Y86" s="34" t="n">
        <f aca="false">(X86*70)/100</f>
        <v>52.5</v>
      </c>
      <c r="Z86" s="34" t="n">
        <f aca="false">ROUNDUP(Y86,0)</f>
        <v>53</v>
      </c>
      <c r="AA86" s="32" t="n">
        <v>23</v>
      </c>
      <c r="AB86" s="34" t="n">
        <f aca="false">AA86+Y86</f>
        <v>75.5</v>
      </c>
      <c r="AC86" s="34" t="n">
        <f aca="false">AA86+Z86</f>
        <v>76</v>
      </c>
      <c r="AD86" s="32" t="n">
        <f aca="false">X86+R86+Q86+K86+J86</f>
        <v>432</v>
      </c>
      <c r="AE86" s="16" t="n">
        <f aca="false">AD86/5</f>
        <v>86.4</v>
      </c>
      <c r="AF86" s="16" t="n">
        <v>86</v>
      </c>
      <c r="AG86" s="16" t="n">
        <v>98</v>
      </c>
      <c r="AH86" s="16" t="n">
        <v>88</v>
      </c>
      <c r="AI86" s="16" t="n">
        <v>94</v>
      </c>
      <c r="AJ86" s="16" t="n">
        <f aca="false">(AI86*70)/100</f>
        <v>65.8</v>
      </c>
      <c r="AK86" s="35" t="n">
        <f aca="false">ROUNDUP(AJ86,0)</f>
        <v>66</v>
      </c>
      <c r="AL86" s="16" t="n">
        <v>26</v>
      </c>
      <c r="AM86" s="16" t="n">
        <f aca="false">AL86+AJ86</f>
        <v>91.8</v>
      </c>
      <c r="AN86" s="16" t="n">
        <f aca="false">AL86+AK86</f>
        <v>92</v>
      </c>
      <c r="AO86" s="16" t="n">
        <v>88</v>
      </c>
      <c r="AP86" s="36" t="n">
        <f aca="false">(AO86*70)/100</f>
        <v>61.6</v>
      </c>
      <c r="AQ86" s="37" t="n">
        <f aca="false">ROUNDUP(AP86,0)</f>
        <v>62</v>
      </c>
      <c r="AR86" s="16" t="n">
        <v>26</v>
      </c>
      <c r="AS86" s="16" t="n">
        <f aca="false">AR86+AP86</f>
        <v>87.6</v>
      </c>
      <c r="AT86" s="16" t="n">
        <f aca="false">AR86+AQ86</f>
        <v>88</v>
      </c>
      <c r="AU86" s="16" t="n">
        <f aca="false">AO86+AF86+AI86+AH86+AG86</f>
        <v>454</v>
      </c>
      <c r="AV86" s="16" t="n">
        <f aca="false">(AO86+AF86+AI86+AH86+AG86)/5</f>
        <v>90.8</v>
      </c>
      <c r="AW86" s="36" t="n">
        <f aca="false">(AO86+AF86+AI86+AH86+AG86+X86+R86+Q86+K86+J86)</f>
        <v>886</v>
      </c>
      <c r="AX86" s="16" t="n">
        <f aca="false">AW86/10</f>
        <v>88.6</v>
      </c>
      <c r="AY86" s="16" t="n">
        <f aca="false">AS86+AF86+AM86+AH86+AG86+AB86+V86+Q86+O86+J86</f>
        <v>885.7</v>
      </c>
      <c r="AZ86" s="16" t="n">
        <f aca="false">AT86+AF86+AN86+AH86+AG86+AC86+W86+Q86+P86+J86</f>
        <v>888</v>
      </c>
      <c r="BA86" s="16" t="n">
        <f aca="false">AY86/10</f>
        <v>88.57</v>
      </c>
      <c r="BB86" s="16" t="n">
        <f aca="false">AZ86/10</f>
        <v>88.8</v>
      </c>
      <c r="BC86" s="16" t="n">
        <v>2380</v>
      </c>
      <c r="BD86" s="16" t="n">
        <f aca="false">RANK(AX86,$AX$2:$AX$881,0)</f>
        <v>28</v>
      </c>
      <c r="BE86" s="38" t="n">
        <f aca="false">((BC86*100)/2400)*0.4+(AX86*0.6)</f>
        <v>92.8266666666667</v>
      </c>
      <c r="BF86" s="16" t="n">
        <f aca="false">RANK(BE86,$BE$2:$BE$881,0)</f>
        <v>29</v>
      </c>
      <c r="BG86" s="39" t="n">
        <f aca="false">RANK(BB86,$BB$2:$BB$881,0)</f>
        <v>29</v>
      </c>
      <c r="BH86" s="39" t="n">
        <f aca="false">RANK(BC86,$BC$2:$BC$881,0)</f>
        <v>148</v>
      </c>
      <c r="BI86" s="22" t="s">
        <v>130</v>
      </c>
      <c r="BJ86" s="22" t="s">
        <v>129</v>
      </c>
      <c r="BK86" s="40" t="s">
        <v>131</v>
      </c>
      <c r="BL86" s="41" t="n">
        <v>17</v>
      </c>
      <c r="BM86" s="41" t="n">
        <v>55</v>
      </c>
      <c r="BN86" s="41" t="n">
        <v>72</v>
      </c>
      <c r="BO86" s="42" t="n">
        <v>28</v>
      </c>
      <c r="BP86" s="43" t="n">
        <v>64</v>
      </c>
      <c r="BQ86" s="44" t="n">
        <v>92</v>
      </c>
      <c r="BR86" s="42" t="n">
        <v>23</v>
      </c>
      <c r="BS86" s="45" t="n">
        <v>58</v>
      </c>
      <c r="BT86" s="45" t="n">
        <v>81</v>
      </c>
      <c r="BU86" s="46" t="n">
        <v>100</v>
      </c>
      <c r="BV86" s="47" t="n">
        <v>94</v>
      </c>
      <c r="BW86" s="42" t="n">
        <v>98</v>
      </c>
      <c r="BX86" s="48" t="n">
        <v>98</v>
      </c>
      <c r="BY86" s="32" t="n">
        <v>28</v>
      </c>
      <c r="BZ86" s="32" t="n">
        <v>46</v>
      </c>
      <c r="CA86" s="32" t="n">
        <v>74</v>
      </c>
      <c r="CB86" s="32" t="n">
        <v>23</v>
      </c>
      <c r="CC86" s="32" t="n">
        <v>41</v>
      </c>
      <c r="CD86" s="32" t="n">
        <v>64</v>
      </c>
      <c r="CE86" s="32" t="n">
        <v>26</v>
      </c>
      <c r="CF86" s="32" t="n">
        <v>52</v>
      </c>
      <c r="CG86" s="32" t="n">
        <v>78</v>
      </c>
      <c r="CH86" s="32" t="n">
        <v>93</v>
      </c>
      <c r="CI86" s="32" t="n">
        <v>100</v>
      </c>
      <c r="CJ86" s="49" t="n">
        <v>25</v>
      </c>
      <c r="CK86" s="49" t="n">
        <v>52</v>
      </c>
      <c r="CL86" s="49" t="n">
        <v>77</v>
      </c>
      <c r="CM86" s="49" t="n">
        <v>20</v>
      </c>
      <c r="CN86" s="49" t="n">
        <v>50</v>
      </c>
      <c r="CO86" s="49" t="n">
        <v>70</v>
      </c>
      <c r="CP86" s="25" t="n">
        <f aca="false">BX86+BW86+BV86+BU86+BT86+BQ86+BN86</f>
        <v>635</v>
      </c>
      <c r="CQ86" s="25" t="n">
        <f aca="false">CO86+CL86+CI86+CH86+CG86+CD86+CA86</f>
        <v>556</v>
      </c>
      <c r="CR86" s="26" t="n">
        <f aca="false">CP86/7</f>
        <v>90.7142857142857</v>
      </c>
      <c r="CS86" s="26" t="n">
        <f aca="false">CQ86/7</f>
        <v>79.4285714285714</v>
      </c>
      <c r="CT86" s="24" t="n">
        <f aca="false">RANK(CR86,$CR$2:$CR$881,0)</f>
        <v>140</v>
      </c>
      <c r="CU86" s="25" t="n">
        <f aca="false">RANK(CS86,$CS$2:$CS$881,0)</f>
        <v>287</v>
      </c>
      <c r="CV86" s="26" t="n">
        <f aca="false">(CS86+CR86)/2</f>
        <v>85.0714285714286</v>
      </c>
      <c r="CW86" s="25" t="n">
        <f aca="false">RANK(CV86,$CV$2:$CV$881,0)</f>
        <v>211</v>
      </c>
      <c r="CX86" s="50" t="n">
        <f aca="false">(CV86+BB86)/2</f>
        <v>86.9357142857143</v>
      </c>
      <c r="CY86" s="50" t="n">
        <v>79</v>
      </c>
      <c r="CZ86" s="27" t="s">
        <v>132</v>
      </c>
      <c r="DA86" s="27" t="s">
        <v>202</v>
      </c>
      <c r="DB86" s="27" t="s">
        <v>202</v>
      </c>
      <c r="DC86" s="27" t="s">
        <v>134</v>
      </c>
      <c r="DD86" s="27" t="s">
        <v>195</v>
      </c>
      <c r="DE86" s="27" t="s">
        <v>161</v>
      </c>
      <c r="DF86" s="27" t="s">
        <v>205</v>
      </c>
      <c r="DG86" s="27" t="s">
        <v>134</v>
      </c>
      <c r="DH86" s="27" t="s">
        <v>191</v>
      </c>
      <c r="DI86" s="27" t="s">
        <v>163</v>
      </c>
      <c r="DJ86" s="27" t="s">
        <v>175</v>
      </c>
      <c r="DK86" s="27" t="s">
        <v>134</v>
      </c>
      <c r="DL86" s="27" t="s">
        <v>137</v>
      </c>
      <c r="DM86" s="27" t="s">
        <v>204</v>
      </c>
      <c r="DN86" s="27" t="s">
        <v>175</v>
      </c>
      <c r="DO86" s="27" t="s">
        <v>134</v>
      </c>
      <c r="DP86" s="27" t="s">
        <v>135</v>
      </c>
      <c r="DQ86" s="27" t="s">
        <v>204</v>
      </c>
      <c r="DR86" s="27" t="s">
        <v>209</v>
      </c>
      <c r="DS86" s="27" t="s">
        <v>134</v>
      </c>
      <c r="DT86" s="27" t="s">
        <v>146</v>
      </c>
      <c r="DU86" s="27" t="s">
        <v>220</v>
      </c>
      <c r="DV86" s="27" t="s">
        <v>202</v>
      </c>
      <c r="DW86" s="27" t="s">
        <v>164</v>
      </c>
      <c r="DX86" s="27" t="s">
        <v>138</v>
      </c>
      <c r="DY86" s="27" t="s">
        <v>142</v>
      </c>
      <c r="DZ86" s="27" t="n">
        <f aca="false">DY86+DV86+DR86+DN86+DJ86+DF86+DB86</f>
        <v>604</v>
      </c>
      <c r="EA86" s="28" t="n">
        <f aca="false">DZ86/7</f>
        <v>86.2857142857143</v>
      </c>
      <c r="EB86" s="27" t="n">
        <f aca="false">RANK(EA86,$EA$2:$EA$881,0)</f>
        <v>148</v>
      </c>
      <c r="EC86" s="29" t="n">
        <f aca="false">DZ86+CQ86+CP86+AZ86</f>
        <v>2683</v>
      </c>
      <c r="ED86" s="30" t="n">
        <f aca="false">(EA86+CV86+BB86)/3</f>
        <v>86.7190476190476</v>
      </c>
      <c r="EE86" s="51" t="n">
        <f aca="false">ROUND(BE86,3)</f>
        <v>92.827</v>
      </c>
      <c r="EF86" s="51" t="n">
        <f aca="false">ROUND(CR86,3)</f>
        <v>90.714</v>
      </c>
      <c r="EG86" s="51" t="n">
        <f aca="false">ROUND(CS86,3)</f>
        <v>79.429</v>
      </c>
      <c r="EH86" s="51" t="n">
        <f aca="false">ROUND(EA86,3)</f>
        <v>86.286</v>
      </c>
      <c r="EI86" s="51" t="n">
        <f aca="false">ROUND(ED86,3)</f>
        <v>86.719</v>
      </c>
      <c r="EJ86" s="51" t="n">
        <f aca="false">ROUND(CV86,3)</f>
        <v>85.071</v>
      </c>
      <c r="EK86" s="0" t="n">
        <f aca="false">RANK(EI86,$EI$2:$EI$881,0)</f>
        <v>85</v>
      </c>
    </row>
    <row r="87" customFormat="false" ht="15" hidden="false" customHeight="false" outlineLevel="0" collapsed="false">
      <c r="A87" s="4" t="n">
        <v>8914</v>
      </c>
      <c r="B87" s="4" t="n">
        <v>166</v>
      </c>
      <c r="C87" s="27" t="s">
        <v>436</v>
      </c>
      <c r="D87" s="31" t="n">
        <v>166</v>
      </c>
      <c r="E87" s="32" t="n">
        <v>230315145</v>
      </c>
      <c r="F87" s="8" t="s">
        <v>437</v>
      </c>
      <c r="G87" s="22" t="s">
        <v>438</v>
      </c>
      <c r="H87" s="22" t="s">
        <v>129</v>
      </c>
      <c r="I87" s="33" t="n">
        <v>2005</v>
      </c>
      <c r="J87" s="32" t="n">
        <v>90</v>
      </c>
      <c r="K87" s="32" t="n">
        <v>77</v>
      </c>
      <c r="L87" s="34" t="n">
        <f aca="false">(K87*70)/100</f>
        <v>53.9</v>
      </c>
      <c r="M87" s="34" t="n">
        <f aca="false">ROUNDUP(L87,0)</f>
        <v>54</v>
      </c>
      <c r="N87" s="32" t="n">
        <v>23</v>
      </c>
      <c r="O87" s="34" t="n">
        <f aca="false">N87+L87</f>
        <v>76.9</v>
      </c>
      <c r="P87" s="34" t="n">
        <f aca="false">N87+M87</f>
        <v>77</v>
      </c>
      <c r="Q87" s="32" t="n">
        <v>67</v>
      </c>
      <c r="R87" s="32" t="n">
        <v>72</v>
      </c>
      <c r="S87" s="34" t="n">
        <f aca="false">(R87*70)/100</f>
        <v>50.4</v>
      </c>
      <c r="T87" s="34" t="n">
        <f aca="false">ROUNDUP(S87,0)</f>
        <v>51</v>
      </c>
      <c r="U87" s="32" t="n">
        <v>27</v>
      </c>
      <c r="V87" s="34" t="n">
        <f aca="false">U87+S87</f>
        <v>77.4</v>
      </c>
      <c r="W87" s="34" t="n">
        <f aca="false">U87+T87</f>
        <v>78</v>
      </c>
      <c r="X87" s="32" t="n">
        <v>66</v>
      </c>
      <c r="Y87" s="34" t="n">
        <f aca="false">(X87*70)/100</f>
        <v>46.2</v>
      </c>
      <c r="Z87" s="34" t="n">
        <f aca="false">ROUNDUP(Y87,0)</f>
        <v>47</v>
      </c>
      <c r="AA87" s="32" t="n">
        <v>26</v>
      </c>
      <c r="AB87" s="34" t="n">
        <f aca="false">AA87+Y87</f>
        <v>72.2</v>
      </c>
      <c r="AC87" s="34" t="n">
        <f aca="false">AA87+Z87</f>
        <v>73</v>
      </c>
      <c r="AD87" s="32" t="n">
        <f aca="false">X87+R87+Q87+K87+J87</f>
        <v>372</v>
      </c>
      <c r="AE87" s="16" t="n">
        <f aca="false">AD87/5</f>
        <v>74.4</v>
      </c>
      <c r="AF87" s="16" t="n">
        <v>81</v>
      </c>
      <c r="AG87" s="16" t="n">
        <v>93</v>
      </c>
      <c r="AH87" s="16" t="n">
        <v>92</v>
      </c>
      <c r="AI87" s="16" t="n">
        <v>93</v>
      </c>
      <c r="AJ87" s="16" t="n">
        <f aca="false">(AI87*70)/100</f>
        <v>65.1</v>
      </c>
      <c r="AK87" s="35" t="n">
        <f aca="false">ROUNDUP(AJ87,0)</f>
        <v>66</v>
      </c>
      <c r="AL87" s="16" t="n">
        <v>23</v>
      </c>
      <c r="AM87" s="16" t="n">
        <f aca="false">AL87+AJ87</f>
        <v>88.1</v>
      </c>
      <c r="AN87" s="16" t="n">
        <f aca="false">AL87+AK87</f>
        <v>89</v>
      </c>
      <c r="AO87" s="16" t="n">
        <v>83</v>
      </c>
      <c r="AP87" s="36" t="n">
        <f aca="false">(AO87*70)/100</f>
        <v>58.1</v>
      </c>
      <c r="AQ87" s="37" t="n">
        <f aca="false">ROUNDUP(AP87,0)</f>
        <v>59</v>
      </c>
      <c r="AR87" s="16" t="n">
        <v>29</v>
      </c>
      <c r="AS87" s="16" t="n">
        <f aca="false">AR87+AP87</f>
        <v>87.1</v>
      </c>
      <c r="AT87" s="16" t="n">
        <f aca="false">AR87+AQ87</f>
        <v>88</v>
      </c>
      <c r="AU87" s="16" t="n">
        <f aca="false">AO87+AF87+AI87+AH87+AG87</f>
        <v>442</v>
      </c>
      <c r="AV87" s="16" t="n">
        <f aca="false">(AO87+AF87+AI87+AH87+AG87)/5</f>
        <v>88.4</v>
      </c>
      <c r="AW87" s="36" t="n">
        <f aca="false">(AO87+AF87+AI87+AH87+AG87+X87+R87+Q87+K87+J87)</f>
        <v>814</v>
      </c>
      <c r="AX87" s="16" t="n">
        <f aca="false">AW87/10</f>
        <v>81.4</v>
      </c>
      <c r="AY87" s="16" t="n">
        <f aca="false">AS87+AF87+AM87+AH87+AG87+AB87+V87+Q87+O87+J87</f>
        <v>824.7</v>
      </c>
      <c r="AZ87" s="16" t="n">
        <f aca="false">AT87+AF87+AN87+AH87+AG87+AC87+W87+Q87+P87+J87</f>
        <v>828</v>
      </c>
      <c r="BA87" s="16" t="n">
        <f aca="false">AY87/10</f>
        <v>82.47</v>
      </c>
      <c r="BB87" s="16" t="n">
        <f aca="false">AZ87/10</f>
        <v>82.8</v>
      </c>
      <c r="BC87" s="16" t="n">
        <v>2333</v>
      </c>
      <c r="BD87" s="16" t="n">
        <f aca="false">RANK(AX87,$AX$2:$AX$881,0)</f>
        <v>194</v>
      </c>
      <c r="BE87" s="54" t="n">
        <f aca="false">((BC87*100)/2400)*0.4+(AX87*0.6)</f>
        <v>87.7233333333333</v>
      </c>
      <c r="BF87" s="16" t="n">
        <f aca="false">RANK(BE87,$BE$2:$BE$881,0)</f>
        <v>230</v>
      </c>
      <c r="BG87" s="39" t="n">
        <f aca="false">RANK(BB87,$BB$2:$BB$881,0)</f>
        <v>169</v>
      </c>
      <c r="BH87" s="39" t="n">
        <f aca="false">RANK(BC87,$BC$2:$BC$881,0)</f>
        <v>697</v>
      </c>
      <c r="BI87" s="22" t="s">
        <v>130</v>
      </c>
      <c r="BJ87" s="22" t="s">
        <v>129</v>
      </c>
      <c r="BK87" s="40" t="s">
        <v>131</v>
      </c>
      <c r="BL87" s="41" t="n">
        <v>20</v>
      </c>
      <c r="BM87" s="41" t="n">
        <v>55</v>
      </c>
      <c r="BN87" s="41" t="n">
        <v>75</v>
      </c>
      <c r="BO87" s="42" t="n">
        <v>25</v>
      </c>
      <c r="BP87" s="43" t="n">
        <v>63</v>
      </c>
      <c r="BQ87" s="44" t="n">
        <v>88</v>
      </c>
      <c r="BR87" s="42" t="n">
        <v>26</v>
      </c>
      <c r="BS87" s="45" t="n">
        <v>64</v>
      </c>
      <c r="BT87" s="45" t="n">
        <v>90</v>
      </c>
      <c r="BU87" s="46" t="n">
        <v>100</v>
      </c>
      <c r="BV87" s="47" t="n">
        <v>80</v>
      </c>
      <c r="BW87" s="42" t="n">
        <v>99</v>
      </c>
      <c r="BX87" s="48" t="n">
        <v>92</v>
      </c>
      <c r="BY87" s="32" t="n">
        <v>26</v>
      </c>
      <c r="BZ87" s="32" t="n">
        <v>63</v>
      </c>
      <c r="CA87" s="32" t="n">
        <v>89</v>
      </c>
      <c r="CB87" s="32" t="n">
        <v>26</v>
      </c>
      <c r="CC87" s="32" t="n">
        <v>54</v>
      </c>
      <c r="CD87" s="32" t="n">
        <v>80</v>
      </c>
      <c r="CE87" s="32" t="n">
        <v>28</v>
      </c>
      <c r="CF87" s="32" t="n">
        <v>60</v>
      </c>
      <c r="CG87" s="32" t="n">
        <v>88</v>
      </c>
      <c r="CH87" s="32" t="n">
        <v>98</v>
      </c>
      <c r="CI87" s="32" t="n">
        <v>99</v>
      </c>
      <c r="CJ87" s="49" t="n">
        <v>18</v>
      </c>
      <c r="CK87" s="49" t="n">
        <v>57</v>
      </c>
      <c r="CL87" s="49" t="n">
        <v>75</v>
      </c>
      <c r="CM87" s="49" t="n">
        <v>25</v>
      </c>
      <c r="CN87" s="49" t="n">
        <v>49</v>
      </c>
      <c r="CO87" s="49" t="n">
        <v>74</v>
      </c>
      <c r="CP87" s="25" t="n">
        <f aca="false">BX87+BW87+BV87+BU87+BT87+BQ87+BN87</f>
        <v>624</v>
      </c>
      <c r="CQ87" s="25" t="n">
        <f aca="false">CO87+CL87+CI87+CH87+CG87+CD87+CA87</f>
        <v>603</v>
      </c>
      <c r="CR87" s="26" t="n">
        <f aca="false">CP87/7</f>
        <v>89.1428571428571</v>
      </c>
      <c r="CS87" s="26" t="n">
        <f aca="false">CQ87/7</f>
        <v>86.1428571428571</v>
      </c>
      <c r="CT87" s="24" t="n">
        <f aca="false">RANK(CR87,$CR$2:$CR$881,0)</f>
        <v>235</v>
      </c>
      <c r="CU87" s="25" t="n">
        <f aca="false">RANK(CS87,$CS$2:$CS$881,0)</f>
        <v>74</v>
      </c>
      <c r="CV87" s="26" t="n">
        <f aca="false">(CS87+CR87)/2</f>
        <v>87.6428571428571</v>
      </c>
      <c r="CW87" s="25" t="n">
        <f aca="false">RANK(CV87,$CV$2:$CV$881,0)</f>
        <v>110</v>
      </c>
      <c r="CX87" s="50" t="n">
        <f aca="false">(CV87+BB87)/2</f>
        <v>85.2214285714286</v>
      </c>
      <c r="CY87" s="50" t="n">
        <v>114</v>
      </c>
      <c r="CZ87" s="27" t="s">
        <v>132</v>
      </c>
      <c r="DA87" s="27" t="s">
        <v>153</v>
      </c>
      <c r="DB87" s="27" t="s">
        <v>153</v>
      </c>
      <c r="DC87" s="27" t="s">
        <v>134</v>
      </c>
      <c r="DD87" s="27" t="s">
        <v>160</v>
      </c>
      <c r="DE87" s="27" t="s">
        <v>136</v>
      </c>
      <c r="DF87" s="27" t="s">
        <v>170</v>
      </c>
      <c r="DG87" s="27" t="s">
        <v>134</v>
      </c>
      <c r="DH87" s="27" t="s">
        <v>154</v>
      </c>
      <c r="DI87" s="27" t="s">
        <v>152</v>
      </c>
      <c r="DJ87" s="27" t="s">
        <v>178</v>
      </c>
      <c r="DK87" s="27" t="s">
        <v>134</v>
      </c>
      <c r="DL87" s="27" t="s">
        <v>160</v>
      </c>
      <c r="DM87" s="27" t="s">
        <v>152</v>
      </c>
      <c r="DN87" s="27" t="s">
        <v>176</v>
      </c>
      <c r="DO87" s="27" t="s">
        <v>134</v>
      </c>
      <c r="DP87" s="27" t="s">
        <v>182</v>
      </c>
      <c r="DQ87" s="27" t="s">
        <v>218</v>
      </c>
      <c r="DR87" s="27" t="s">
        <v>196</v>
      </c>
      <c r="DS87" s="27" t="s">
        <v>134</v>
      </c>
      <c r="DT87" s="27" t="s">
        <v>160</v>
      </c>
      <c r="DU87" s="27" t="s">
        <v>204</v>
      </c>
      <c r="DV87" s="27" t="s">
        <v>178</v>
      </c>
      <c r="DW87" s="27" t="s">
        <v>140</v>
      </c>
      <c r="DX87" s="27" t="s">
        <v>155</v>
      </c>
      <c r="DY87" s="27" t="s">
        <v>147</v>
      </c>
      <c r="DZ87" s="27" t="n">
        <f aca="false">DY87+DV87+DR87+DN87+DJ87+DF87+DB87</f>
        <v>627</v>
      </c>
      <c r="EA87" s="28" t="n">
        <f aca="false">DZ87/7</f>
        <v>89.5714285714286</v>
      </c>
      <c r="EB87" s="27" t="n">
        <f aca="false">RANK(EA87,$EA$2:$EA$881,0)</f>
        <v>67</v>
      </c>
      <c r="EC87" s="29" t="n">
        <f aca="false">DZ87+CQ87+CP87+AZ87</f>
        <v>2682</v>
      </c>
      <c r="ED87" s="30" t="n">
        <f aca="false">(EA87+CV87+BB87)/3</f>
        <v>86.6714285714286</v>
      </c>
      <c r="EE87" s="51" t="n">
        <f aca="false">ROUND(BE87,3)</f>
        <v>87.723</v>
      </c>
      <c r="EF87" s="51" t="n">
        <f aca="false">ROUND(CR87,3)</f>
        <v>89.143</v>
      </c>
      <c r="EG87" s="51" t="n">
        <f aca="false">ROUND(CS87,3)</f>
        <v>86.143</v>
      </c>
      <c r="EH87" s="51" t="n">
        <f aca="false">ROUND(EA87,3)</f>
        <v>89.571</v>
      </c>
      <c r="EI87" s="51" t="n">
        <f aca="false">ROUND(ED87,3)</f>
        <v>86.671</v>
      </c>
      <c r="EJ87" s="51" t="n">
        <f aca="false">ROUND(CV87,3)</f>
        <v>87.643</v>
      </c>
      <c r="EK87" s="0" t="n">
        <f aca="false">RANK(EI87,$EI$2:$EI$881,0)</f>
        <v>86</v>
      </c>
    </row>
    <row r="88" customFormat="false" ht="15" hidden="false" customHeight="false" outlineLevel="0" collapsed="false">
      <c r="A88" s="4" t="n">
        <v>8817</v>
      </c>
      <c r="B88" s="4" t="n">
        <v>284</v>
      </c>
      <c r="C88" s="27" t="s">
        <v>439</v>
      </c>
      <c r="D88" s="31" t="n">
        <v>284</v>
      </c>
      <c r="E88" s="32" t="n">
        <v>230319866</v>
      </c>
      <c r="F88" s="8" t="s">
        <v>440</v>
      </c>
      <c r="G88" s="22" t="s">
        <v>249</v>
      </c>
      <c r="H88" s="22" t="s">
        <v>129</v>
      </c>
      <c r="I88" s="33" t="n">
        <v>2005</v>
      </c>
      <c r="J88" s="32" t="n">
        <v>83</v>
      </c>
      <c r="K88" s="32" t="n">
        <v>86</v>
      </c>
      <c r="L88" s="34" t="n">
        <f aca="false">(K88*70)/100</f>
        <v>60.2</v>
      </c>
      <c r="M88" s="34" t="n">
        <f aca="false">ROUNDUP(L88,0)</f>
        <v>61</v>
      </c>
      <c r="N88" s="32" t="n">
        <v>29</v>
      </c>
      <c r="O88" s="34" t="n">
        <f aca="false">N88+L88</f>
        <v>89.2</v>
      </c>
      <c r="P88" s="34" t="n">
        <f aca="false">N88+M88</f>
        <v>90</v>
      </c>
      <c r="Q88" s="32" t="n">
        <v>89</v>
      </c>
      <c r="R88" s="32" t="n">
        <v>84</v>
      </c>
      <c r="S88" s="34" t="n">
        <f aca="false">(R88*70)/100</f>
        <v>58.8</v>
      </c>
      <c r="T88" s="34" t="n">
        <f aca="false">ROUNDUP(S88,0)</f>
        <v>59</v>
      </c>
      <c r="U88" s="32" t="n">
        <v>28</v>
      </c>
      <c r="V88" s="34" t="n">
        <f aca="false">U88+S88</f>
        <v>86.8</v>
      </c>
      <c r="W88" s="34" t="n">
        <f aca="false">U88+T88</f>
        <v>87</v>
      </c>
      <c r="X88" s="32" t="n">
        <v>80</v>
      </c>
      <c r="Y88" s="34" t="n">
        <f aca="false">(X88*70)/100</f>
        <v>56</v>
      </c>
      <c r="Z88" s="34" t="n">
        <f aca="false">ROUNDUP(Y88,0)</f>
        <v>56</v>
      </c>
      <c r="AA88" s="32" t="n">
        <v>26</v>
      </c>
      <c r="AB88" s="34" t="n">
        <f aca="false">AA88+Y88</f>
        <v>82</v>
      </c>
      <c r="AC88" s="34" t="n">
        <f aca="false">AA88+Z88</f>
        <v>82</v>
      </c>
      <c r="AD88" s="32" t="n">
        <f aca="false">X88+R88+Q88+K88+J88</f>
        <v>422</v>
      </c>
      <c r="AE88" s="16" t="n">
        <f aca="false">AD88/5</f>
        <v>84.4</v>
      </c>
      <c r="AF88" s="16" t="n">
        <v>81</v>
      </c>
      <c r="AG88" s="16" t="n">
        <v>89</v>
      </c>
      <c r="AH88" s="16" t="n">
        <v>94</v>
      </c>
      <c r="AI88" s="16" t="n">
        <v>93</v>
      </c>
      <c r="AJ88" s="16" t="n">
        <f aca="false">(AI88*70)/100</f>
        <v>65.1</v>
      </c>
      <c r="AK88" s="35" t="n">
        <f aca="false">ROUNDUP(AJ88,0)</f>
        <v>66</v>
      </c>
      <c r="AL88" s="16" t="n">
        <v>28</v>
      </c>
      <c r="AM88" s="16" t="n">
        <f aca="false">AL88+AJ88</f>
        <v>93.1</v>
      </c>
      <c r="AN88" s="16" t="n">
        <f aca="false">AL88+AK88</f>
        <v>94</v>
      </c>
      <c r="AO88" s="16" t="n">
        <v>87</v>
      </c>
      <c r="AP88" s="36" t="n">
        <f aca="false">(AO88*70)/100</f>
        <v>60.9</v>
      </c>
      <c r="AQ88" s="37" t="n">
        <f aca="false">ROUNDUP(AP88,0)</f>
        <v>61</v>
      </c>
      <c r="AR88" s="16" t="n">
        <v>28</v>
      </c>
      <c r="AS88" s="16" t="n">
        <f aca="false">AR88+AP88</f>
        <v>88.9</v>
      </c>
      <c r="AT88" s="16" t="n">
        <f aca="false">AR88+AQ88</f>
        <v>89</v>
      </c>
      <c r="AU88" s="16" t="n">
        <f aca="false">AO88+AF88+AI88+AH88+AG88</f>
        <v>444</v>
      </c>
      <c r="AV88" s="16" t="n">
        <f aca="false">(AO88+AF88+AI88+AH88+AG88)/5</f>
        <v>88.8</v>
      </c>
      <c r="AW88" s="36" t="n">
        <f aca="false">(AO88+AF88+AI88+AH88+AG88+X88+R88+Q88+K88+J88)</f>
        <v>866</v>
      </c>
      <c r="AX88" s="16" t="n">
        <f aca="false">AW88/10</f>
        <v>86.6</v>
      </c>
      <c r="AY88" s="16" t="n">
        <f aca="false">AS88+AF88+AM88+AH88+AG88+AB88+V88+Q88+O88+J88</f>
        <v>876</v>
      </c>
      <c r="AZ88" s="16" t="n">
        <f aca="false">AT88+AF88+AN88+AH88+AG88+AC88+W88+Q88+P88+J88</f>
        <v>878</v>
      </c>
      <c r="BA88" s="16" t="n">
        <f aca="false">AY88/10</f>
        <v>87.6</v>
      </c>
      <c r="BB88" s="16" t="n">
        <f aca="false">AZ88/10</f>
        <v>87.8</v>
      </c>
      <c r="BC88" s="16" t="n">
        <v>2366</v>
      </c>
      <c r="BD88" s="16" t="n">
        <f aca="false">RANK(AX88,$AX$2:$AX$881,0)</f>
        <v>60</v>
      </c>
      <c r="BE88" s="38" t="n">
        <f aca="false">((BC88*100)/2400)*0.4+(AX88*0.6)</f>
        <v>91.3933333333333</v>
      </c>
      <c r="BF88" s="16" t="n">
        <f aca="false">RANK(BE88,$BE$2:$BE$881,0)</f>
        <v>64</v>
      </c>
      <c r="BG88" s="39" t="n">
        <f aca="false">RANK(BB88,$BB$2:$BB$881,0)</f>
        <v>44</v>
      </c>
      <c r="BH88" s="39" t="n">
        <f aca="false">RANK(BC88,$BC$2:$BC$881,0)</f>
        <v>319</v>
      </c>
      <c r="BI88" s="22" t="s">
        <v>130</v>
      </c>
      <c r="BJ88" s="22" t="s">
        <v>129</v>
      </c>
      <c r="BK88" s="40" t="s">
        <v>131</v>
      </c>
      <c r="BL88" s="41" t="n">
        <v>20</v>
      </c>
      <c r="BM88" s="41" t="n">
        <v>59</v>
      </c>
      <c r="BN88" s="41" t="n">
        <v>79</v>
      </c>
      <c r="BO88" s="42" t="n">
        <v>27</v>
      </c>
      <c r="BP88" s="43" t="n">
        <v>60</v>
      </c>
      <c r="BQ88" s="44" t="n">
        <v>87</v>
      </c>
      <c r="BR88" s="42" t="n">
        <v>26</v>
      </c>
      <c r="BS88" s="45" t="n">
        <v>61</v>
      </c>
      <c r="BT88" s="45" t="n">
        <v>87</v>
      </c>
      <c r="BU88" s="46" t="n">
        <v>100</v>
      </c>
      <c r="BV88" s="47" t="n">
        <v>88</v>
      </c>
      <c r="BW88" s="42" t="n">
        <v>98</v>
      </c>
      <c r="BX88" s="48" t="n">
        <v>90</v>
      </c>
      <c r="BY88" s="32" t="n">
        <v>26</v>
      </c>
      <c r="BZ88" s="32" t="n">
        <v>62</v>
      </c>
      <c r="CA88" s="32" t="n">
        <v>88</v>
      </c>
      <c r="CB88" s="32" t="n">
        <v>19</v>
      </c>
      <c r="CC88" s="32" t="n">
        <v>45</v>
      </c>
      <c r="CD88" s="32" t="n">
        <v>64</v>
      </c>
      <c r="CE88" s="32" t="n">
        <v>27</v>
      </c>
      <c r="CF88" s="32" t="n">
        <v>64</v>
      </c>
      <c r="CG88" s="32" t="n">
        <v>91</v>
      </c>
      <c r="CH88" s="32" t="n">
        <v>95</v>
      </c>
      <c r="CI88" s="32" t="n">
        <v>99</v>
      </c>
      <c r="CJ88" s="49" t="n">
        <v>30</v>
      </c>
      <c r="CK88" s="49" t="n">
        <v>56</v>
      </c>
      <c r="CL88" s="49" t="n">
        <v>86</v>
      </c>
      <c r="CM88" s="49" t="n">
        <v>25</v>
      </c>
      <c r="CN88" s="49" t="n">
        <v>52</v>
      </c>
      <c r="CO88" s="49" t="n">
        <v>77</v>
      </c>
      <c r="CP88" s="25" t="n">
        <f aca="false">BX88+BW88+BV88+BU88+BT88+BQ88+BN88</f>
        <v>629</v>
      </c>
      <c r="CQ88" s="25" t="n">
        <f aca="false">CO88+CL88+CI88+CH88+CG88+CD88+CA88</f>
        <v>600</v>
      </c>
      <c r="CR88" s="26" t="n">
        <f aca="false">CP88/7</f>
        <v>89.8571428571429</v>
      </c>
      <c r="CS88" s="26" t="n">
        <f aca="false">CQ88/7</f>
        <v>85.7142857142857</v>
      </c>
      <c r="CT88" s="24" t="n">
        <f aca="false">RANK(CR88,$CR$2:$CR$881,0)</f>
        <v>193</v>
      </c>
      <c r="CU88" s="25" t="n">
        <f aca="false">RANK(CS88,$CS$2:$CS$881,0)</f>
        <v>88</v>
      </c>
      <c r="CV88" s="26" t="n">
        <f aca="false">(CS88+CR88)/2</f>
        <v>87.7857142857143</v>
      </c>
      <c r="CW88" s="25" t="n">
        <f aca="false">RANK(CV88,$CV$2:$CV$881,0)</f>
        <v>100</v>
      </c>
      <c r="CX88" s="50" t="n">
        <f aca="false">(CV88+BB88)/2</f>
        <v>87.7928571428571</v>
      </c>
      <c r="CY88" s="50" t="n">
        <v>55</v>
      </c>
      <c r="CZ88" s="27" t="s">
        <v>132</v>
      </c>
      <c r="DA88" s="27" t="s">
        <v>153</v>
      </c>
      <c r="DB88" s="27" t="s">
        <v>153</v>
      </c>
      <c r="DC88" s="27" t="s">
        <v>134</v>
      </c>
      <c r="DD88" s="27" t="s">
        <v>135</v>
      </c>
      <c r="DE88" s="27" t="s">
        <v>177</v>
      </c>
      <c r="DF88" s="27" t="s">
        <v>175</v>
      </c>
      <c r="DG88" s="27" t="s">
        <v>134</v>
      </c>
      <c r="DH88" s="27" t="s">
        <v>135</v>
      </c>
      <c r="DI88" s="27" t="s">
        <v>204</v>
      </c>
      <c r="DJ88" s="27" t="s">
        <v>209</v>
      </c>
      <c r="DK88" s="27" t="s">
        <v>134</v>
      </c>
      <c r="DL88" s="27" t="s">
        <v>160</v>
      </c>
      <c r="DM88" s="27" t="s">
        <v>183</v>
      </c>
      <c r="DN88" s="27" t="s">
        <v>202</v>
      </c>
      <c r="DO88" s="27" t="s">
        <v>134</v>
      </c>
      <c r="DP88" s="27" t="s">
        <v>195</v>
      </c>
      <c r="DQ88" s="27" t="s">
        <v>304</v>
      </c>
      <c r="DR88" s="27" t="s">
        <v>441</v>
      </c>
      <c r="DS88" s="27" t="s">
        <v>134</v>
      </c>
      <c r="DT88" s="27" t="s">
        <v>164</v>
      </c>
      <c r="DU88" s="27" t="s">
        <v>442</v>
      </c>
      <c r="DV88" s="27" t="s">
        <v>443</v>
      </c>
      <c r="DW88" s="27" t="s">
        <v>135</v>
      </c>
      <c r="DX88" s="27" t="s">
        <v>138</v>
      </c>
      <c r="DY88" s="27" t="s">
        <v>156</v>
      </c>
      <c r="DZ88" s="27" t="n">
        <f aca="false">DY88+DV88+DR88+DN88+DJ88+DF88+DB88</f>
        <v>590</v>
      </c>
      <c r="EA88" s="28" t="n">
        <f aca="false">DZ88/7</f>
        <v>84.2857142857143</v>
      </c>
      <c r="EB88" s="27" t="n">
        <f aca="false">RANK(EA88,$EA$2:$EA$881,0)</f>
        <v>210</v>
      </c>
      <c r="EC88" s="29" t="n">
        <f aca="false">DZ88+CQ88+CP88+AZ88</f>
        <v>2697</v>
      </c>
      <c r="ED88" s="30" t="n">
        <f aca="false">(EA88+CV88+BB88)/3</f>
        <v>86.6238095238095</v>
      </c>
      <c r="EE88" s="51" t="n">
        <f aca="false">ROUND(BE88,3)</f>
        <v>91.393</v>
      </c>
      <c r="EF88" s="51" t="n">
        <f aca="false">ROUND(CR88,3)</f>
        <v>89.857</v>
      </c>
      <c r="EG88" s="51" t="n">
        <f aca="false">ROUND(CS88,3)</f>
        <v>85.714</v>
      </c>
      <c r="EH88" s="51" t="n">
        <f aca="false">ROUND(EA88,3)</f>
        <v>84.286</v>
      </c>
      <c r="EI88" s="51" t="n">
        <f aca="false">ROUND(ED88,3)</f>
        <v>86.624</v>
      </c>
      <c r="EJ88" s="51" t="n">
        <f aca="false">ROUND(CV88,3)</f>
        <v>87.786</v>
      </c>
      <c r="EK88" s="0" t="n">
        <f aca="false">RANK(EI88,$EI$2:$EI$881,0)</f>
        <v>87</v>
      </c>
    </row>
    <row r="89" customFormat="false" ht="15" hidden="false" customHeight="false" outlineLevel="0" collapsed="false">
      <c r="A89" s="4" t="n">
        <v>8615</v>
      </c>
      <c r="B89" s="4" t="n">
        <v>835</v>
      </c>
      <c r="C89" s="27" t="s">
        <v>444</v>
      </c>
      <c r="D89" s="31" t="n">
        <v>855</v>
      </c>
      <c r="E89" s="32" t="n">
        <v>230311482</v>
      </c>
      <c r="F89" s="8" t="s">
        <v>445</v>
      </c>
      <c r="G89" s="22" t="s">
        <v>446</v>
      </c>
      <c r="H89" s="22" t="s">
        <v>129</v>
      </c>
      <c r="I89" s="33" t="n">
        <v>2006</v>
      </c>
      <c r="J89" s="32" t="n">
        <v>87</v>
      </c>
      <c r="K89" s="32" t="n">
        <v>88</v>
      </c>
      <c r="L89" s="34" t="n">
        <f aca="false">(K89*70)/100</f>
        <v>61.6</v>
      </c>
      <c r="M89" s="34" t="n">
        <f aca="false">ROUNDUP(L89,0)</f>
        <v>62</v>
      </c>
      <c r="N89" s="32" t="n">
        <v>28</v>
      </c>
      <c r="O89" s="34" t="n">
        <f aca="false">N89+L89</f>
        <v>89.6</v>
      </c>
      <c r="P89" s="34" t="n">
        <f aca="false">N89+M89</f>
        <v>90</v>
      </c>
      <c r="Q89" s="32" t="n">
        <v>81</v>
      </c>
      <c r="R89" s="32" t="n">
        <v>75</v>
      </c>
      <c r="S89" s="34" t="n">
        <f aca="false">(R89*70)/100</f>
        <v>52.5</v>
      </c>
      <c r="T89" s="34" t="n">
        <f aca="false">ROUNDUP(S89,0)</f>
        <v>53</v>
      </c>
      <c r="U89" s="32" t="n">
        <v>23</v>
      </c>
      <c r="V89" s="34" t="n">
        <f aca="false">U89+S89</f>
        <v>75.5</v>
      </c>
      <c r="W89" s="34" t="n">
        <f aca="false">U89+T89</f>
        <v>76</v>
      </c>
      <c r="X89" s="32" t="n">
        <v>79</v>
      </c>
      <c r="Y89" s="34" t="n">
        <f aca="false">(X89*70)/100</f>
        <v>55.3</v>
      </c>
      <c r="Z89" s="34" t="n">
        <f aca="false">ROUNDUP(Y89,0)</f>
        <v>56</v>
      </c>
      <c r="AA89" s="32" t="n">
        <v>26</v>
      </c>
      <c r="AB89" s="34" t="n">
        <f aca="false">AA89+Y89</f>
        <v>81.3</v>
      </c>
      <c r="AC89" s="34" t="n">
        <f aca="false">AA89+Z89</f>
        <v>82</v>
      </c>
      <c r="AD89" s="32" t="n">
        <f aca="false">X89+R89+Q89+K89+J89</f>
        <v>410</v>
      </c>
      <c r="AE89" s="16" t="n">
        <f aca="false">AD89/5</f>
        <v>82</v>
      </c>
      <c r="AF89" s="16" t="n">
        <v>81</v>
      </c>
      <c r="AG89" s="16" t="n">
        <v>88</v>
      </c>
      <c r="AH89" s="16" t="n">
        <v>89</v>
      </c>
      <c r="AI89" s="16" t="n">
        <v>92</v>
      </c>
      <c r="AJ89" s="16" t="n">
        <f aca="false">(AI89*70)/100</f>
        <v>64.4</v>
      </c>
      <c r="AK89" s="35" t="n">
        <f aca="false">ROUNDUP(AJ89,0)</f>
        <v>65</v>
      </c>
      <c r="AL89" s="16" t="n">
        <v>22</v>
      </c>
      <c r="AM89" s="16" t="n">
        <f aca="false">AL89+AJ89</f>
        <v>86.4</v>
      </c>
      <c r="AN89" s="16" t="n">
        <f aca="false">AL89+AK89</f>
        <v>87</v>
      </c>
      <c r="AO89" s="16" t="n">
        <v>81</v>
      </c>
      <c r="AP89" s="36" t="n">
        <f aca="false">(AO89*70)/100</f>
        <v>56.7</v>
      </c>
      <c r="AQ89" s="37" t="n">
        <f aca="false">ROUNDUP(AP89,0)</f>
        <v>57</v>
      </c>
      <c r="AR89" s="16" t="n">
        <v>30</v>
      </c>
      <c r="AS89" s="16" t="n">
        <f aca="false">AR89+AP89</f>
        <v>86.7</v>
      </c>
      <c r="AT89" s="16" t="n">
        <f aca="false">AR89+AQ89</f>
        <v>87</v>
      </c>
      <c r="AU89" s="16" t="n">
        <f aca="false">AO89+AF89+AI89+AH89+AG89</f>
        <v>431</v>
      </c>
      <c r="AV89" s="16" t="n">
        <f aca="false">(AO89+AF89+AI89+AH89+AG89)/5</f>
        <v>86.2</v>
      </c>
      <c r="AW89" s="36" t="n">
        <f aca="false">(AO89+AF89+AI89+AH89+AG89+X89+R89+Q89+K89+J89)</f>
        <v>841</v>
      </c>
      <c r="AX89" s="16" t="n">
        <f aca="false">AW89/10</f>
        <v>84.1</v>
      </c>
      <c r="AY89" s="16" t="n">
        <f aca="false">AS89+AF89+AM89+AH89+AG89+AB89+V89+Q89+O89+J89</f>
        <v>845.5</v>
      </c>
      <c r="AZ89" s="16" t="n">
        <f aca="false">AT89+AF89+AN89+AH89+AG89+AC89+W89+Q89+P89+J89</f>
        <v>848</v>
      </c>
      <c r="BA89" s="16" t="n">
        <f aca="false">AY89/10</f>
        <v>84.55</v>
      </c>
      <c r="BB89" s="16" t="n">
        <f aca="false">AZ89/10</f>
        <v>84.8</v>
      </c>
      <c r="BC89" s="16" t="n">
        <v>2361</v>
      </c>
      <c r="BD89" s="16" t="n">
        <f aca="false">RANK(AX89,$AX$2:$AX$881,0)</f>
        <v>106</v>
      </c>
      <c r="BE89" s="54" t="n">
        <f aca="false">((BC89*100)/2400)*0.4+(AX89*0.6)</f>
        <v>89.81</v>
      </c>
      <c r="BF89" s="16" t="n">
        <f aca="false">RANK(BE89,$BE$2:$BE$881,0)</f>
        <v>110</v>
      </c>
      <c r="BG89" s="39" t="n">
        <f aca="false">RANK(BB89,$BB$2:$BB$881,0)</f>
        <v>103</v>
      </c>
      <c r="BH89" s="39" t="n">
        <f aca="false">RANK(BC89,$BC$2:$BC$881,0)</f>
        <v>382</v>
      </c>
      <c r="BI89" s="22" t="s">
        <v>130</v>
      </c>
      <c r="BJ89" s="22" t="s">
        <v>129</v>
      </c>
      <c r="BK89" s="40" t="s">
        <v>131</v>
      </c>
      <c r="BL89" s="41" t="n">
        <v>24</v>
      </c>
      <c r="BM89" s="41" t="n">
        <v>58</v>
      </c>
      <c r="BN89" s="41" t="n">
        <v>82</v>
      </c>
      <c r="BO89" s="42" t="n">
        <v>26</v>
      </c>
      <c r="BP89" s="43" t="n">
        <v>63</v>
      </c>
      <c r="BQ89" s="44" t="n">
        <v>89</v>
      </c>
      <c r="BR89" s="42" t="n">
        <v>26</v>
      </c>
      <c r="BS89" s="45" t="n">
        <v>61</v>
      </c>
      <c r="BT89" s="45" t="n">
        <v>87</v>
      </c>
      <c r="BU89" s="46" t="n">
        <v>99</v>
      </c>
      <c r="BV89" s="47" t="n">
        <v>90</v>
      </c>
      <c r="BW89" s="42" t="n">
        <v>100</v>
      </c>
      <c r="BX89" s="48" t="n">
        <v>92</v>
      </c>
      <c r="BY89" s="32" t="n">
        <v>28</v>
      </c>
      <c r="BZ89" s="32" t="n">
        <v>57</v>
      </c>
      <c r="CA89" s="32" t="n">
        <v>85</v>
      </c>
      <c r="CB89" s="32" t="n">
        <v>24</v>
      </c>
      <c r="CC89" s="32" t="n">
        <v>52</v>
      </c>
      <c r="CD89" s="32" t="n">
        <v>76</v>
      </c>
      <c r="CE89" s="32" t="n">
        <v>24</v>
      </c>
      <c r="CF89" s="32" t="n">
        <v>59</v>
      </c>
      <c r="CG89" s="32" t="n">
        <v>83</v>
      </c>
      <c r="CH89" s="32" t="n">
        <v>98</v>
      </c>
      <c r="CI89" s="32" t="n">
        <v>100</v>
      </c>
      <c r="CJ89" s="49" t="n">
        <v>24</v>
      </c>
      <c r="CK89" s="49" t="n">
        <v>58</v>
      </c>
      <c r="CL89" s="49" t="n">
        <v>82</v>
      </c>
      <c r="CM89" s="49" t="n">
        <v>23</v>
      </c>
      <c r="CN89" s="49" t="n">
        <v>56</v>
      </c>
      <c r="CO89" s="49" t="n">
        <v>79</v>
      </c>
      <c r="CP89" s="25" t="n">
        <f aca="false">BX89+BW89+BV89+BU89+BT89+BQ89+BN89</f>
        <v>639</v>
      </c>
      <c r="CQ89" s="25" t="n">
        <f aca="false">CO89+CL89+CI89+CH89+CG89+CD89+CA89</f>
        <v>603</v>
      </c>
      <c r="CR89" s="26" t="n">
        <f aca="false">CP89/7</f>
        <v>91.2857142857143</v>
      </c>
      <c r="CS89" s="26" t="n">
        <f aca="false">CQ89/7</f>
        <v>86.1428571428571</v>
      </c>
      <c r="CT89" s="24" t="n">
        <f aca="false">RANK(CR89,$CR$2:$CR$881,0)</f>
        <v>114</v>
      </c>
      <c r="CU89" s="25" t="n">
        <f aca="false">RANK(CS89,$CS$2:$CS$881,0)</f>
        <v>74</v>
      </c>
      <c r="CV89" s="26" t="n">
        <f aca="false">(CS89+CR89)/2</f>
        <v>88.7142857142857</v>
      </c>
      <c r="CW89" s="25" t="n">
        <f aca="false">RANK(CV89,$CV$2:$CV$881,0)</f>
        <v>78</v>
      </c>
      <c r="CX89" s="50" t="n">
        <f aca="false">(CV89+BB89)/2</f>
        <v>86.7571428571429</v>
      </c>
      <c r="CY89" s="50" t="n">
        <v>85</v>
      </c>
      <c r="CZ89" s="27" t="s">
        <v>132</v>
      </c>
      <c r="DA89" s="27" t="s">
        <v>176</v>
      </c>
      <c r="DB89" s="27" t="s">
        <v>176</v>
      </c>
      <c r="DC89" s="27" t="s">
        <v>134</v>
      </c>
      <c r="DD89" s="27" t="s">
        <v>135</v>
      </c>
      <c r="DE89" s="27" t="s">
        <v>203</v>
      </c>
      <c r="DF89" s="27" t="s">
        <v>178</v>
      </c>
      <c r="DG89" s="27" t="s">
        <v>134</v>
      </c>
      <c r="DH89" s="27" t="s">
        <v>174</v>
      </c>
      <c r="DI89" s="27" t="s">
        <v>152</v>
      </c>
      <c r="DJ89" s="27" t="s">
        <v>202</v>
      </c>
      <c r="DK89" s="27" t="s">
        <v>134</v>
      </c>
      <c r="DL89" s="27" t="s">
        <v>182</v>
      </c>
      <c r="DM89" s="27" t="s">
        <v>447</v>
      </c>
      <c r="DN89" s="27" t="s">
        <v>382</v>
      </c>
      <c r="DO89" s="27" t="s">
        <v>134</v>
      </c>
      <c r="DP89" s="27" t="s">
        <v>195</v>
      </c>
      <c r="DQ89" s="27" t="s">
        <v>204</v>
      </c>
      <c r="DR89" s="27" t="s">
        <v>219</v>
      </c>
      <c r="DS89" s="27" t="s">
        <v>134</v>
      </c>
      <c r="DT89" s="27" t="s">
        <v>164</v>
      </c>
      <c r="DU89" s="27" t="s">
        <v>203</v>
      </c>
      <c r="DV89" s="27" t="s">
        <v>162</v>
      </c>
      <c r="DW89" s="27" t="s">
        <v>182</v>
      </c>
      <c r="DX89" s="27" t="s">
        <v>138</v>
      </c>
      <c r="DY89" s="27" t="s">
        <v>151</v>
      </c>
      <c r="DZ89" s="27" t="n">
        <f aca="false">DY89+DV89+DR89+DN89+DJ89+DF89+DB89</f>
        <v>604</v>
      </c>
      <c r="EA89" s="28" t="n">
        <f aca="false">DZ89/7</f>
        <v>86.2857142857143</v>
      </c>
      <c r="EB89" s="27" t="n">
        <f aca="false">RANK(EA89,$EA$2:$EA$881,0)</f>
        <v>148</v>
      </c>
      <c r="EC89" s="29" t="n">
        <f aca="false">DZ89+CQ89+CP89+AZ89</f>
        <v>2694</v>
      </c>
      <c r="ED89" s="30" t="n">
        <f aca="false">(EA89+CV89+BB89)/3</f>
        <v>86.6</v>
      </c>
      <c r="EE89" s="51" t="n">
        <f aca="false">ROUND(BE89,3)</f>
        <v>89.81</v>
      </c>
      <c r="EF89" s="51" t="n">
        <f aca="false">ROUND(CR89,3)</f>
        <v>91.286</v>
      </c>
      <c r="EG89" s="51" t="n">
        <f aca="false">ROUND(CS89,3)</f>
        <v>86.143</v>
      </c>
      <c r="EH89" s="51" t="n">
        <f aca="false">ROUND(EA89,3)</f>
        <v>86.286</v>
      </c>
      <c r="EI89" s="51" t="n">
        <f aca="false">ROUND(ED89,3)</f>
        <v>86.6</v>
      </c>
      <c r="EJ89" s="51" t="n">
        <f aca="false">ROUND(CV89,3)</f>
        <v>88.714</v>
      </c>
      <c r="EK89" s="0" t="n">
        <f aca="false">RANK(EI89,$EI$2:$EI$881,0)</f>
        <v>88</v>
      </c>
    </row>
    <row r="90" customFormat="false" ht="15" hidden="false" customHeight="false" outlineLevel="0" collapsed="false">
      <c r="A90" s="4" t="n">
        <v>8819</v>
      </c>
      <c r="B90" s="4" t="n">
        <v>805</v>
      </c>
      <c r="C90" s="27" t="s">
        <v>448</v>
      </c>
      <c r="D90" s="31" t="n">
        <v>824</v>
      </c>
      <c r="E90" s="32" t="n">
        <v>230323890</v>
      </c>
      <c r="F90" s="8" t="s">
        <v>449</v>
      </c>
      <c r="G90" s="22" t="s">
        <v>450</v>
      </c>
      <c r="H90" s="22" t="s">
        <v>129</v>
      </c>
      <c r="I90" s="33" t="n">
        <v>2005</v>
      </c>
      <c r="J90" s="32" t="n">
        <v>82</v>
      </c>
      <c r="K90" s="32" t="n">
        <v>96</v>
      </c>
      <c r="L90" s="34" t="n">
        <f aca="false">(K90*70)/100</f>
        <v>67.2</v>
      </c>
      <c r="M90" s="34" t="n">
        <f aca="false">ROUNDUP(L90,0)</f>
        <v>68</v>
      </c>
      <c r="N90" s="32" t="n">
        <v>29</v>
      </c>
      <c r="O90" s="34" t="n">
        <f aca="false">N90+L90</f>
        <v>96.2</v>
      </c>
      <c r="P90" s="34" t="n">
        <f aca="false">N90+M90</f>
        <v>97</v>
      </c>
      <c r="Q90" s="32" t="n">
        <v>81</v>
      </c>
      <c r="R90" s="32" t="n">
        <v>77</v>
      </c>
      <c r="S90" s="34" t="n">
        <f aca="false">(R90*70)/100</f>
        <v>53.9</v>
      </c>
      <c r="T90" s="34" t="n">
        <f aca="false">ROUNDUP(S90,0)</f>
        <v>54</v>
      </c>
      <c r="U90" s="32" t="n">
        <v>29</v>
      </c>
      <c r="V90" s="34" t="n">
        <f aca="false">U90+S90</f>
        <v>82.9</v>
      </c>
      <c r="W90" s="34" t="n">
        <f aca="false">U90+T90</f>
        <v>83</v>
      </c>
      <c r="X90" s="32" t="n">
        <v>77</v>
      </c>
      <c r="Y90" s="34" t="n">
        <f aca="false">(X90*70)/100</f>
        <v>53.9</v>
      </c>
      <c r="Z90" s="34" t="n">
        <f aca="false">ROUNDUP(Y90,0)</f>
        <v>54</v>
      </c>
      <c r="AA90" s="32" t="n">
        <v>25</v>
      </c>
      <c r="AB90" s="34" t="n">
        <f aca="false">AA90+Y90</f>
        <v>78.9</v>
      </c>
      <c r="AC90" s="34" t="n">
        <f aca="false">AA90+Z90</f>
        <v>79</v>
      </c>
      <c r="AD90" s="32" t="n">
        <f aca="false">X90+R90+Q90+K90+J90</f>
        <v>413</v>
      </c>
      <c r="AE90" s="16" t="n">
        <f aca="false">AD90/5</f>
        <v>82.6</v>
      </c>
      <c r="AF90" s="16" t="n">
        <v>87</v>
      </c>
      <c r="AG90" s="16" t="n">
        <v>86</v>
      </c>
      <c r="AH90" s="16" t="n">
        <v>93</v>
      </c>
      <c r="AI90" s="16" t="n">
        <v>97</v>
      </c>
      <c r="AJ90" s="16" t="n">
        <f aca="false">(AI90*70)/100</f>
        <v>67.9</v>
      </c>
      <c r="AK90" s="35" t="n">
        <f aca="false">ROUNDUP(AJ90,0)</f>
        <v>68</v>
      </c>
      <c r="AL90" s="16" t="n">
        <v>26</v>
      </c>
      <c r="AM90" s="16" t="n">
        <f aca="false">AL90+AJ90</f>
        <v>93.9</v>
      </c>
      <c r="AN90" s="16" t="n">
        <f aca="false">AL90+AK90</f>
        <v>94</v>
      </c>
      <c r="AO90" s="16" t="n">
        <v>80</v>
      </c>
      <c r="AP90" s="36" t="n">
        <f aca="false">(AO90*70)/100</f>
        <v>56</v>
      </c>
      <c r="AQ90" s="37" t="n">
        <f aca="false">ROUNDUP(AP90,0)</f>
        <v>56</v>
      </c>
      <c r="AR90" s="16" t="n">
        <v>28</v>
      </c>
      <c r="AS90" s="16" t="n">
        <f aca="false">AR90+AP90</f>
        <v>84</v>
      </c>
      <c r="AT90" s="16" t="n">
        <f aca="false">AR90+AQ90</f>
        <v>84</v>
      </c>
      <c r="AU90" s="16" t="n">
        <f aca="false">AO90+AF90+AI90+AH90+AG90</f>
        <v>443</v>
      </c>
      <c r="AV90" s="16" t="n">
        <f aca="false">(AO90+AF90+AI90+AH90+AG90)/5</f>
        <v>88.6</v>
      </c>
      <c r="AW90" s="36" t="n">
        <f aca="false">(AO90+AF90+AI90+AH90+AG90+X90+R90+Q90+K90+J90)</f>
        <v>856</v>
      </c>
      <c r="AX90" s="16" t="n">
        <f aca="false">AW90/10</f>
        <v>85.6</v>
      </c>
      <c r="AY90" s="16" t="n">
        <f aca="false">AS90+AF90+AM90+AH90+AG90+AB90+V90+Q90+O90+J90</f>
        <v>864.9</v>
      </c>
      <c r="AZ90" s="16" t="n">
        <f aca="false">AT90+AF90+AN90+AH90+AG90+AC90+W90+Q90+P90+J90</f>
        <v>866</v>
      </c>
      <c r="BA90" s="16" t="n">
        <f aca="false">AY90/10</f>
        <v>86.49</v>
      </c>
      <c r="BB90" s="16" t="n">
        <f aca="false">AZ90/10</f>
        <v>86.6</v>
      </c>
      <c r="BC90" s="16" t="n">
        <v>2348</v>
      </c>
      <c r="BD90" s="16" t="n">
        <f aca="false">RANK(AX90,$AX$2:$AX$881,0)</f>
        <v>80</v>
      </c>
      <c r="BE90" s="38" t="n">
        <f aca="false">((BC90*100)/2400)*0.4+(AX90*0.6)</f>
        <v>90.4933333333333</v>
      </c>
      <c r="BF90" s="16" t="n">
        <f aca="false">RANK(BE90,$BE$2:$BE$881,0)</f>
        <v>87</v>
      </c>
      <c r="BG90" s="39" t="n">
        <f aca="false">RANK(BB90,$BB$2:$BB$881,0)</f>
        <v>69</v>
      </c>
      <c r="BH90" s="39" t="n">
        <f aca="false">RANK(BC90,$BC$2:$BC$881,0)</f>
        <v>551</v>
      </c>
      <c r="BI90" s="22" t="s">
        <v>130</v>
      </c>
      <c r="BJ90" s="22" t="s">
        <v>129</v>
      </c>
      <c r="BK90" s="40" t="s">
        <v>131</v>
      </c>
      <c r="BL90" s="41" t="n">
        <v>26</v>
      </c>
      <c r="BM90" s="41" t="n">
        <v>59</v>
      </c>
      <c r="BN90" s="41" t="n">
        <v>85</v>
      </c>
      <c r="BO90" s="42" t="n">
        <v>27</v>
      </c>
      <c r="BP90" s="43" t="n">
        <v>65</v>
      </c>
      <c r="BQ90" s="44" t="n">
        <v>92</v>
      </c>
      <c r="BR90" s="42" t="n">
        <v>27</v>
      </c>
      <c r="BS90" s="45" t="n">
        <v>64</v>
      </c>
      <c r="BT90" s="45" t="n">
        <v>91</v>
      </c>
      <c r="BU90" s="46" t="n">
        <v>100</v>
      </c>
      <c r="BV90" s="47" t="n">
        <v>88</v>
      </c>
      <c r="BW90" s="42" t="n">
        <v>99</v>
      </c>
      <c r="BX90" s="48" t="n">
        <v>94</v>
      </c>
      <c r="BY90" s="32" t="n">
        <v>27</v>
      </c>
      <c r="BZ90" s="32" t="n">
        <v>56</v>
      </c>
      <c r="CA90" s="32" t="n">
        <v>83</v>
      </c>
      <c r="CB90" s="32" t="n">
        <v>24</v>
      </c>
      <c r="CC90" s="32" t="n">
        <v>48</v>
      </c>
      <c r="CD90" s="32" t="n">
        <v>72</v>
      </c>
      <c r="CE90" s="32" t="n">
        <v>25</v>
      </c>
      <c r="CF90" s="32" t="n">
        <v>51</v>
      </c>
      <c r="CG90" s="32" t="n">
        <v>76</v>
      </c>
      <c r="CH90" s="32" t="n">
        <v>96</v>
      </c>
      <c r="CI90" s="32" t="n">
        <v>100</v>
      </c>
      <c r="CJ90" s="49" t="n">
        <v>29</v>
      </c>
      <c r="CK90" s="49" t="n">
        <v>58</v>
      </c>
      <c r="CL90" s="49" t="n">
        <v>87</v>
      </c>
      <c r="CM90" s="49" t="n">
        <v>26</v>
      </c>
      <c r="CN90" s="49" t="n">
        <v>55</v>
      </c>
      <c r="CO90" s="49" t="n">
        <v>81</v>
      </c>
      <c r="CP90" s="25" t="n">
        <f aca="false">BX90+BW90+BV90+BU90+BT90+BQ90+BN90</f>
        <v>649</v>
      </c>
      <c r="CQ90" s="25" t="n">
        <f aca="false">CO90+CL90+CI90+CH90+CG90+CD90+CA90</f>
        <v>595</v>
      </c>
      <c r="CR90" s="26" t="n">
        <f aca="false">CP90/7</f>
        <v>92.7142857142857</v>
      </c>
      <c r="CS90" s="26" t="n">
        <f aca="false">CQ90/7</f>
        <v>85</v>
      </c>
      <c r="CT90" s="24" t="n">
        <f aca="false">RANK(CR90,$CR$2:$CR$881,0)</f>
        <v>58</v>
      </c>
      <c r="CU90" s="25" t="n">
        <f aca="false">RANK(CS90,$CS$2:$CS$881,0)</f>
        <v>101</v>
      </c>
      <c r="CV90" s="26" t="n">
        <f aca="false">(CS90+CR90)/2</f>
        <v>88.8571428571429</v>
      </c>
      <c r="CW90" s="25" t="n">
        <f aca="false">RANK(CV90,$CV$2:$CV$881,0)</f>
        <v>72</v>
      </c>
      <c r="CX90" s="50" t="n">
        <f aca="false">(CV90+BB90)/2</f>
        <v>87.7285714285714</v>
      </c>
      <c r="CY90" s="50" t="n">
        <v>56</v>
      </c>
      <c r="CZ90" s="27" t="s">
        <v>132</v>
      </c>
      <c r="DA90" s="27" t="s">
        <v>176</v>
      </c>
      <c r="DB90" s="27" t="s">
        <v>176</v>
      </c>
      <c r="DC90" s="27" t="s">
        <v>134</v>
      </c>
      <c r="DD90" s="27" t="s">
        <v>135</v>
      </c>
      <c r="DE90" s="27" t="s">
        <v>183</v>
      </c>
      <c r="DF90" s="27" t="s">
        <v>169</v>
      </c>
      <c r="DG90" s="27" t="s">
        <v>134</v>
      </c>
      <c r="DH90" s="27" t="s">
        <v>182</v>
      </c>
      <c r="DI90" s="27" t="s">
        <v>204</v>
      </c>
      <c r="DJ90" s="27" t="s">
        <v>169</v>
      </c>
      <c r="DK90" s="27" t="s">
        <v>134</v>
      </c>
      <c r="DL90" s="27" t="s">
        <v>137</v>
      </c>
      <c r="DM90" s="27" t="s">
        <v>183</v>
      </c>
      <c r="DN90" s="27" t="s">
        <v>209</v>
      </c>
      <c r="DO90" s="27" t="s">
        <v>134</v>
      </c>
      <c r="DP90" s="27" t="s">
        <v>174</v>
      </c>
      <c r="DQ90" s="27" t="s">
        <v>304</v>
      </c>
      <c r="DR90" s="27" t="s">
        <v>443</v>
      </c>
      <c r="DS90" s="27" t="s">
        <v>134</v>
      </c>
      <c r="DT90" s="27" t="s">
        <v>135</v>
      </c>
      <c r="DU90" s="27" t="s">
        <v>447</v>
      </c>
      <c r="DV90" s="27" t="s">
        <v>305</v>
      </c>
      <c r="DW90" s="27" t="s">
        <v>135</v>
      </c>
      <c r="DX90" s="27" t="s">
        <v>138</v>
      </c>
      <c r="DY90" s="27" t="s">
        <v>156</v>
      </c>
      <c r="DZ90" s="27" t="n">
        <f aca="false">DY90+DV90+DR90+DN90+DJ90+DF90+DB90</f>
        <v>590</v>
      </c>
      <c r="EA90" s="28" t="n">
        <f aca="false">DZ90/7</f>
        <v>84.2857142857143</v>
      </c>
      <c r="EB90" s="27" t="n">
        <f aca="false">RANK(EA90,$EA$2:$EA$881,0)</f>
        <v>210</v>
      </c>
      <c r="EC90" s="29" t="n">
        <f aca="false">DZ90+CQ90+CP90+AZ90</f>
        <v>2700</v>
      </c>
      <c r="ED90" s="30" t="n">
        <f aca="false">(EA90+CV90+BB90)/3</f>
        <v>86.5809523809524</v>
      </c>
      <c r="EE90" s="51" t="n">
        <f aca="false">ROUND(BE90,3)</f>
        <v>90.493</v>
      </c>
      <c r="EF90" s="51" t="n">
        <f aca="false">ROUND(CR90,3)</f>
        <v>92.714</v>
      </c>
      <c r="EG90" s="51" t="n">
        <f aca="false">ROUND(CS90,3)</f>
        <v>85</v>
      </c>
      <c r="EH90" s="51" t="n">
        <f aca="false">ROUND(EA90,3)</f>
        <v>84.286</v>
      </c>
      <c r="EI90" s="51" t="n">
        <f aca="false">ROUND(ED90,3)</f>
        <v>86.581</v>
      </c>
      <c r="EJ90" s="51" t="n">
        <f aca="false">ROUND(CV90,3)</f>
        <v>88.857</v>
      </c>
      <c r="EK90" s="0" t="n">
        <f aca="false">RANK(EI90,$EI$2:$EI$881,0)</f>
        <v>89</v>
      </c>
    </row>
    <row r="91" customFormat="false" ht="15" hidden="false" customHeight="false" outlineLevel="0" collapsed="false">
      <c r="A91" s="4" t="n">
        <v>8908</v>
      </c>
      <c r="B91" s="4" t="n">
        <v>173</v>
      </c>
      <c r="C91" s="27" t="s">
        <v>451</v>
      </c>
      <c r="D91" s="31" t="n">
        <v>174</v>
      </c>
      <c r="E91" s="32" t="n">
        <v>230320224</v>
      </c>
      <c r="F91" s="8" t="s">
        <v>452</v>
      </c>
      <c r="G91" s="22" t="s">
        <v>453</v>
      </c>
      <c r="H91" s="22" t="s">
        <v>129</v>
      </c>
      <c r="I91" s="33" t="n">
        <v>2005</v>
      </c>
      <c r="J91" s="32" t="n">
        <v>97</v>
      </c>
      <c r="K91" s="32" t="n">
        <v>95</v>
      </c>
      <c r="L91" s="34" t="n">
        <f aca="false">(K91*70)/100</f>
        <v>66.5</v>
      </c>
      <c r="M91" s="34" t="n">
        <f aca="false">ROUNDUP(L91,0)</f>
        <v>67</v>
      </c>
      <c r="N91" s="32" t="n">
        <v>28</v>
      </c>
      <c r="O91" s="34" t="n">
        <f aca="false">N91+L91</f>
        <v>94.5</v>
      </c>
      <c r="P91" s="34" t="n">
        <f aca="false">N91+M91</f>
        <v>95</v>
      </c>
      <c r="Q91" s="32" t="n">
        <v>86</v>
      </c>
      <c r="R91" s="32" t="n">
        <v>86</v>
      </c>
      <c r="S91" s="34" t="n">
        <f aca="false">(R91*70)/100</f>
        <v>60.2</v>
      </c>
      <c r="T91" s="34" t="n">
        <f aca="false">ROUNDUP(S91,0)</f>
        <v>61</v>
      </c>
      <c r="U91" s="32" t="n">
        <v>24</v>
      </c>
      <c r="V91" s="34" t="n">
        <f aca="false">U91+S91</f>
        <v>84.2</v>
      </c>
      <c r="W91" s="34" t="n">
        <f aca="false">U91+T91</f>
        <v>85</v>
      </c>
      <c r="X91" s="32" t="n">
        <v>71</v>
      </c>
      <c r="Y91" s="34" t="n">
        <f aca="false">(X91*70)/100</f>
        <v>49.7</v>
      </c>
      <c r="Z91" s="34" t="n">
        <f aca="false">ROUNDUP(Y91,0)</f>
        <v>50</v>
      </c>
      <c r="AA91" s="32" t="n">
        <v>27</v>
      </c>
      <c r="AB91" s="34" t="n">
        <f aca="false">AA91+Y91</f>
        <v>76.7</v>
      </c>
      <c r="AC91" s="34" t="n">
        <f aca="false">AA91+Z91</f>
        <v>77</v>
      </c>
      <c r="AD91" s="32" t="n">
        <f aca="false">X91+R91+Q91+K91+J91</f>
        <v>435</v>
      </c>
      <c r="AE91" s="16" t="n">
        <f aca="false">AD91/5</f>
        <v>87</v>
      </c>
      <c r="AF91" s="16" t="n">
        <v>79</v>
      </c>
      <c r="AG91" s="16" t="n">
        <v>98</v>
      </c>
      <c r="AH91" s="16" t="n">
        <v>96</v>
      </c>
      <c r="AI91" s="16" t="n">
        <v>97</v>
      </c>
      <c r="AJ91" s="16" t="n">
        <f aca="false">(AI91*70)/100</f>
        <v>67.9</v>
      </c>
      <c r="AK91" s="35" t="n">
        <f aca="false">ROUNDUP(AJ91,0)</f>
        <v>68</v>
      </c>
      <c r="AL91" s="16" t="n">
        <v>29</v>
      </c>
      <c r="AM91" s="16" t="n">
        <f aca="false">AL91+AJ91</f>
        <v>96.9</v>
      </c>
      <c r="AN91" s="16" t="n">
        <f aca="false">AL91+AK91</f>
        <v>97</v>
      </c>
      <c r="AO91" s="16" t="n">
        <v>92</v>
      </c>
      <c r="AP91" s="36" t="n">
        <f aca="false">(AO91*70)/100</f>
        <v>64.4</v>
      </c>
      <c r="AQ91" s="37" t="n">
        <f aca="false">ROUNDUP(AP91,0)</f>
        <v>65</v>
      </c>
      <c r="AR91" s="16" t="n">
        <v>30</v>
      </c>
      <c r="AS91" s="16" t="n">
        <f aca="false">AR91+AP91</f>
        <v>94.4</v>
      </c>
      <c r="AT91" s="16" t="n">
        <f aca="false">AR91+AQ91</f>
        <v>95</v>
      </c>
      <c r="AU91" s="16" t="n">
        <f aca="false">AO91+AF91+AI91+AH91+AG91</f>
        <v>462</v>
      </c>
      <c r="AV91" s="16" t="n">
        <f aca="false">(AO91+AF91+AI91+AH91+AG91)/5</f>
        <v>92.4</v>
      </c>
      <c r="AW91" s="36" t="n">
        <f aca="false">(AO91+AF91+AI91+AH91+AG91+X91+R91+Q91+K91+J91)</f>
        <v>897</v>
      </c>
      <c r="AX91" s="16" t="n">
        <f aca="false">AW91/10</f>
        <v>89.7</v>
      </c>
      <c r="AY91" s="16" t="n">
        <f aca="false">AS91+AF91+AM91+AH91+AG91+AB91+V91+Q91+O91+J91</f>
        <v>902.7</v>
      </c>
      <c r="AZ91" s="16" t="n">
        <f aca="false">AT91+AF91+AN91+AH91+AG91+AC91+W91+Q91+P91+J91</f>
        <v>905</v>
      </c>
      <c r="BA91" s="16" t="n">
        <f aca="false">AY91/10</f>
        <v>90.27</v>
      </c>
      <c r="BB91" s="16" t="n">
        <f aca="false">AZ91/10</f>
        <v>90.5</v>
      </c>
      <c r="BC91" s="16" t="n">
        <v>2361</v>
      </c>
      <c r="BD91" s="16" t="n">
        <f aca="false">RANK(AX91,$AX$2:$AX$881,0)</f>
        <v>25</v>
      </c>
      <c r="BE91" s="38" t="n">
        <f aca="false">((BC91*100)/2400)*0.4+(AX91*0.6)</f>
        <v>93.17</v>
      </c>
      <c r="BF91" s="16" t="n">
        <f aca="false">RANK(BE91,$BE$2:$BE$881,0)</f>
        <v>27</v>
      </c>
      <c r="BG91" s="39" t="n">
        <f aca="false">RANK(BB91,$BB$2:$BB$881,0)</f>
        <v>18</v>
      </c>
      <c r="BH91" s="39" t="n">
        <f aca="false">RANK(BC91,$BC$2:$BC$881,0)</f>
        <v>382</v>
      </c>
      <c r="BI91" s="22" t="s">
        <v>130</v>
      </c>
      <c r="BJ91" s="22" t="s">
        <v>129</v>
      </c>
      <c r="BK91" s="40" t="s">
        <v>131</v>
      </c>
      <c r="BL91" s="41" t="n">
        <v>22</v>
      </c>
      <c r="BM91" s="41" t="n">
        <v>57</v>
      </c>
      <c r="BN91" s="41" t="n">
        <v>79</v>
      </c>
      <c r="BO91" s="42" t="n">
        <v>24</v>
      </c>
      <c r="BP91" s="43" t="n">
        <v>61</v>
      </c>
      <c r="BQ91" s="44" t="n">
        <v>85</v>
      </c>
      <c r="BR91" s="42" t="n">
        <v>22</v>
      </c>
      <c r="BS91" s="45" t="n">
        <v>60</v>
      </c>
      <c r="BT91" s="45" t="n">
        <v>82</v>
      </c>
      <c r="BU91" s="46" t="n">
        <v>99</v>
      </c>
      <c r="BV91" s="47" t="n">
        <v>88</v>
      </c>
      <c r="BW91" s="42" t="n">
        <v>99</v>
      </c>
      <c r="BX91" s="48" t="n">
        <v>96</v>
      </c>
      <c r="BY91" s="32" t="n">
        <v>26</v>
      </c>
      <c r="BZ91" s="32" t="n">
        <v>58</v>
      </c>
      <c r="CA91" s="32" t="n">
        <v>84</v>
      </c>
      <c r="CB91" s="32" t="n">
        <v>24</v>
      </c>
      <c r="CC91" s="32" t="n">
        <v>38</v>
      </c>
      <c r="CD91" s="32" t="n">
        <v>62</v>
      </c>
      <c r="CE91" s="32" t="n">
        <v>28</v>
      </c>
      <c r="CF91" s="32" t="n">
        <v>56</v>
      </c>
      <c r="CG91" s="32" t="n">
        <v>84</v>
      </c>
      <c r="CH91" s="32" t="n">
        <v>98</v>
      </c>
      <c r="CI91" s="32" t="n">
        <v>99</v>
      </c>
      <c r="CJ91" s="49" t="n">
        <v>25</v>
      </c>
      <c r="CK91" s="49" t="n">
        <v>50</v>
      </c>
      <c r="CL91" s="49" t="n">
        <v>75</v>
      </c>
      <c r="CM91" s="49" t="n">
        <v>20</v>
      </c>
      <c r="CN91" s="60"/>
      <c r="CO91" s="60"/>
      <c r="CP91" s="25" t="n">
        <f aca="false">BX91+BW91+BV91+BU91+BT91+BQ91+BN91</f>
        <v>628</v>
      </c>
      <c r="CQ91" s="25" t="n">
        <f aca="false">CO91+CL91+CI91+CH91+CG91+CD91+CA91</f>
        <v>502</v>
      </c>
      <c r="CR91" s="26" t="n">
        <f aca="false">CP91/7</f>
        <v>89.7142857142857</v>
      </c>
      <c r="CS91" s="26" t="n">
        <f aca="false">CQ91/7</f>
        <v>71.7142857142857</v>
      </c>
      <c r="CT91" s="24" t="n">
        <f aca="false">RANK(CR91,$CR$2:$CR$881,0)</f>
        <v>202</v>
      </c>
      <c r="CU91" s="25" t="n">
        <f aca="false">RANK(CS91,$CS$2:$CS$881,0)</f>
        <v>517</v>
      </c>
      <c r="CV91" s="26" t="n">
        <f aca="false">(CS91+CR91)/2</f>
        <v>80.7142857142857</v>
      </c>
      <c r="CW91" s="25" t="n">
        <f aca="false">RANK(CV91,$CV$2:$CV$881,0)</f>
        <v>401</v>
      </c>
      <c r="CX91" s="50" t="n">
        <f aca="false">(CV91+BB91)/2</f>
        <v>85.6071428571429</v>
      </c>
      <c r="CY91" s="50" t="n">
        <v>105</v>
      </c>
      <c r="CZ91" s="27" t="s">
        <v>132</v>
      </c>
      <c r="DA91" s="27" t="s">
        <v>151</v>
      </c>
      <c r="DB91" s="27" t="s">
        <v>151</v>
      </c>
      <c r="DC91" s="27" t="s">
        <v>134</v>
      </c>
      <c r="DD91" s="27" t="s">
        <v>182</v>
      </c>
      <c r="DE91" s="27" t="s">
        <v>218</v>
      </c>
      <c r="DF91" s="27" t="s">
        <v>196</v>
      </c>
      <c r="DG91" s="27" t="s">
        <v>134</v>
      </c>
      <c r="DH91" s="27" t="s">
        <v>140</v>
      </c>
      <c r="DI91" s="27" t="s">
        <v>220</v>
      </c>
      <c r="DJ91" s="27" t="s">
        <v>175</v>
      </c>
      <c r="DK91" s="27" t="s">
        <v>134</v>
      </c>
      <c r="DL91" s="27" t="s">
        <v>137</v>
      </c>
      <c r="DM91" s="27" t="s">
        <v>218</v>
      </c>
      <c r="DN91" s="27" t="s">
        <v>169</v>
      </c>
      <c r="DO91" s="27" t="s">
        <v>134</v>
      </c>
      <c r="DP91" s="27" t="s">
        <v>154</v>
      </c>
      <c r="DQ91" s="27" t="s">
        <v>187</v>
      </c>
      <c r="DR91" s="27" t="s">
        <v>162</v>
      </c>
      <c r="DS91" s="27" t="s">
        <v>134</v>
      </c>
      <c r="DT91" s="27" t="s">
        <v>140</v>
      </c>
      <c r="DU91" s="27" t="s">
        <v>161</v>
      </c>
      <c r="DV91" s="27" t="s">
        <v>153</v>
      </c>
      <c r="DW91" s="27" t="s">
        <v>160</v>
      </c>
      <c r="DX91" s="27" t="s">
        <v>138</v>
      </c>
      <c r="DY91" s="27" t="s">
        <v>144</v>
      </c>
      <c r="DZ91" s="27" t="n">
        <f aca="false">DY91+DV91+DR91+DN91+DJ91+DF91+DB91</f>
        <v>618</v>
      </c>
      <c r="EA91" s="28" t="n">
        <f aca="false">DZ91/7</f>
        <v>88.2857142857143</v>
      </c>
      <c r="EB91" s="27" t="n">
        <f aca="false">RANK(EA91,$EA$2:$EA$881,0)</f>
        <v>92</v>
      </c>
      <c r="EC91" s="29" t="n">
        <f aca="false">DZ91+CQ91+CP91+AZ91</f>
        <v>2653</v>
      </c>
      <c r="ED91" s="30" t="n">
        <f aca="false">(EA91+CV91+BB91)/3</f>
        <v>86.5</v>
      </c>
      <c r="EE91" s="51" t="n">
        <f aca="false">ROUND(BE91,3)</f>
        <v>93.17</v>
      </c>
      <c r="EF91" s="51" t="n">
        <f aca="false">ROUND(CR91,3)</f>
        <v>89.714</v>
      </c>
      <c r="EG91" s="51" t="n">
        <f aca="false">ROUND(CS91,3)</f>
        <v>71.714</v>
      </c>
      <c r="EH91" s="51" t="n">
        <f aca="false">ROUND(EA91,3)</f>
        <v>88.286</v>
      </c>
      <c r="EI91" s="51" t="n">
        <f aca="false">ROUND(ED91,3)</f>
        <v>86.5</v>
      </c>
      <c r="EJ91" s="51" t="n">
        <f aca="false">ROUND(CV91,3)</f>
        <v>80.714</v>
      </c>
      <c r="EK91" s="0" t="n">
        <f aca="false">RANK(EI91,$EI$2:$EI$881,0)</f>
        <v>90</v>
      </c>
    </row>
    <row r="92" customFormat="false" ht="15" hidden="false" customHeight="false" outlineLevel="0" collapsed="false">
      <c r="A92" s="4" t="n">
        <v>8802</v>
      </c>
      <c r="B92" s="4" t="n">
        <v>361</v>
      </c>
      <c r="C92" s="27" t="s">
        <v>454</v>
      </c>
      <c r="D92" s="31" t="n">
        <v>366</v>
      </c>
      <c r="E92" s="32" t="n">
        <v>230321026</v>
      </c>
      <c r="F92" s="8" t="s">
        <v>455</v>
      </c>
      <c r="G92" s="22" t="s">
        <v>456</v>
      </c>
      <c r="H92" s="22" t="s">
        <v>129</v>
      </c>
      <c r="I92" s="33" t="n">
        <v>2005</v>
      </c>
      <c r="J92" s="32" t="n">
        <v>72</v>
      </c>
      <c r="K92" s="32" t="n">
        <v>78</v>
      </c>
      <c r="L92" s="34" t="n">
        <f aca="false">(K92*70)/100</f>
        <v>54.6</v>
      </c>
      <c r="M92" s="34" t="n">
        <f aca="false">ROUNDUP(L92,0)</f>
        <v>55</v>
      </c>
      <c r="N92" s="32" t="n">
        <v>27</v>
      </c>
      <c r="O92" s="34" t="n">
        <f aca="false">N92+L92</f>
        <v>81.6</v>
      </c>
      <c r="P92" s="34" t="n">
        <f aca="false">N92+M92</f>
        <v>82</v>
      </c>
      <c r="Q92" s="32" t="n">
        <v>85</v>
      </c>
      <c r="R92" s="32" t="n">
        <v>74</v>
      </c>
      <c r="S92" s="34" t="n">
        <f aca="false">(R92*70)/100</f>
        <v>51.8</v>
      </c>
      <c r="T92" s="34" t="n">
        <f aca="false">ROUNDUP(S92,0)</f>
        <v>52</v>
      </c>
      <c r="U92" s="32" t="n">
        <v>27</v>
      </c>
      <c r="V92" s="34" t="n">
        <f aca="false">U92+S92</f>
        <v>78.8</v>
      </c>
      <c r="W92" s="34" t="n">
        <f aca="false">U92+T92</f>
        <v>79</v>
      </c>
      <c r="X92" s="32" t="n">
        <v>64</v>
      </c>
      <c r="Y92" s="34" t="n">
        <f aca="false">(X92*70)/100</f>
        <v>44.8</v>
      </c>
      <c r="Z92" s="34" t="n">
        <f aca="false">ROUNDUP(Y92,0)</f>
        <v>45</v>
      </c>
      <c r="AA92" s="32" t="n">
        <v>26</v>
      </c>
      <c r="AB92" s="34" t="n">
        <f aca="false">AA92+Y92</f>
        <v>70.8</v>
      </c>
      <c r="AC92" s="34" t="n">
        <f aca="false">AA92+Z92</f>
        <v>71</v>
      </c>
      <c r="AD92" s="32" t="n">
        <f aca="false">X92+R92+Q92+K92+J92</f>
        <v>373</v>
      </c>
      <c r="AE92" s="16" t="n">
        <f aca="false">AD92/5</f>
        <v>74.6</v>
      </c>
      <c r="AF92" s="16" t="n">
        <v>82</v>
      </c>
      <c r="AG92" s="16" t="n">
        <v>83</v>
      </c>
      <c r="AH92" s="16" t="n">
        <v>94</v>
      </c>
      <c r="AI92" s="16" t="n">
        <v>95</v>
      </c>
      <c r="AJ92" s="16" t="n">
        <f aca="false">(AI92*70)/100</f>
        <v>66.5</v>
      </c>
      <c r="AK92" s="35" t="n">
        <f aca="false">ROUNDUP(AJ92,0)</f>
        <v>67</v>
      </c>
      <c r="AL92" s="16" t="n">
        <v>25</v>
      </c>
      <c r="AM92" s="16" t="n">
        <f aca="false">AL92+AJ92</f>
        <v>91.5</v>
      </c>
      <c r="AN92" s="16" t="n">
        <f aca="false">AL92+AK92</f>
        <v>92</v>
      </c>
      <c r="AO92" s="16" t="n">
        <v>76</v>
      </c>
      <c r="AP92" s="36" t="n">
        <f aca="false">(AO92*70)/100</f>
        <v>53.2</v>
      </c>
      <c r="AQ92" s="37" t="n">
        <f aca="false">ROUNDUP(AP92,0)</f>
        <v>54</v>
      </c>
      <c r="AR92" s="16" t="n">
        <v>27</v>
      </c>
      <c r="AS92" s="16" t="n">
        <f aca="false">AR92+AP92</f>
        <v>80.2</v>
      </c>
      <c r="AT92" s="16" t="n">
        <f aca="false">AR92+AQ92</f>
        <v>81</v>
      </c>
      <c r="AU92" s="16" t="n">
        <f aca="false">AO92+AF92+AI92+AH92+AG92</f>
        <v>430</v>
      </c>
      <c r="AV92" s="16" t="n">
        <f aca="false">(AO92+AF92+AI92+AH92+AG92)/5</f>
        <v>86</v>
      </c>
      <c r="AW92" s="36" t="n">
        <f aca="false">(AO92+AF92+AI92+AH92+AG92+X92+R92+Q92+K92+J92)</f>
        <v>803</v>
      </c>
      <c r="AX92" s="16" t="n">
        <f aca="false">AW92/10</f>
        <v>80.3</v>
      </c>
      <c r="AY92" s="16" t="n">
        <f aca="false">AS92+AF92+AM92+AH92+AG92+AB92+V92+Q92+O92+J92</f>
        <v>818.9</v>
      </c>
      <c r="AZ92" s="16" t="n">
        <f aca="false">AT92+AF92+AN92+AH92+AG92+AC92+W92+Q92+P92+J92</f>
        <v>821</v>
      </c>
      <c r="BA92" s="16" t="n">
        <f aca="false">AY92/10</f>
        <v>81.89</v>
      </c>
      <c r="BB92" s="16" t="n">
        <f aca="false">AZ92/10</f>
        <v>82.1</v>
      </c>
      <c r="BC92" s="16" t="n">
        <v>2385</v>
      </c>
      <c r="BD92" s="16" t="n">
        <f aca="false">RANK(AX92,$AX$2:$AX$881,0)</f>
        <v>245</v>
      </c>
      <c r="BE92" s="54" t="n">
        <f aca="false">((BC92*100)/2400)*0.4+(AX92*0.6)</f>
        <v>87.93</v>
      </c>
      <c r="BF92" s="16" t="n">
        <f aca="false">RANK(BE92,$BE$2:$BE$881,0)</f>
        <v>213</v>
      </c>
      <c r="BG92" s="39" t="n">
        <f aca="false">RANK(BB92,$BB$2:$BB$881,0)</f>
        <v>206</v>
      </c>
      <c r="BH92" s="39" t="n">
        <f aca="false">RANK(BC92,$BC$2:$BC$881,0)</f>
        <v>93</v>
      </c>
      <c r="BI92" s="22" t="s">
        <v>130</v>
      </c>
      <c r="BJ92" s="22" t="s">
        <v>129</v>
      </c>
      <c r="BK92" s="40" t="s">
        <v>131</v>
      </c>
      <c r="BL92" s="41" t="n">
        <v>22</v>
      </c>
      <c r="BM92" s="41" t="n">
        <v>55</v>
      </c>
      <c r="BN92" s="41" t="n">
        <v>77</v>
      </c>
      <c r="BO92" s="42" t="n">
        <v>23</v>
      </c>
      <c r="BP92" s="43" t="n">
        <v>64</v>
      </c>
      <c r="BQ92" s="44" t="n">
        <v>87</v>
      </c>
      <c r="BR92" s="42" t="n">
        <v>27</v>
      </c>
      <c r="BS92" s="45" t="n">
        <v>63</v>
      </c>
      <c r="BT92" s="45" t="n">
        <v>90</v>
      </c>
      <c r="BU92" s="46" t="n">
        <v>99</v>
      </c>
      <c r="BV92" s="47" t="n">
        <v>86</v>
      </c>
      <c r="BW92" s="42" t="n">
        <v>99</v>
      </c>
      <c r="BX92" s="48" t="n">
        <v>94</v>
      </c>
      <c r="BY92" s="32" t="n">
        <v>27</v>
      </c>
      <c r="BZ92" s="32" t="n">
        <v>48</v>
      </c>
      <c r="CA92" s="32" t="n">
        <v>75</v>
      </c>
      <c r="CB92" s="32" t="n">
        <v>22</v>
      </c>
      <c r="CC92" s="32" t="n">
        <v>51</v>
      </c>
      <c r="CD92" s="32" t="n">
        <v>73</v>
      </c>
      <c r="CE92" s="32" t="n">
        <v>26</v>
      </c>
      <c r="CF92" s="32" t="n">
        <v>61</v>
      </c>
      <c r="CG92" s="32" t="n">
        <v>87</v>
      </c>
      <c r="CH92" s="32" t="n">
        <v>99</v>
      </c>
      <c r="CI92" s="32" t="n">
        <v>98</v>
      </c>
      <c r="CJ92" s="49" t="n">
        <v>24</v>
      </c>
      <c r="CK92" s="49" t="n">
        <v>60</v>
      </c>
      <c r="CL92" s="49" t="n">
        <v>84</v>
      </c>
      <c r="CM92" s="49" t="n">
        <v>26</v>
      </c>
      <c r="CN92" s="49" t="n">
        <v>59</v>
      </c>
      <c r="CO92" s="49" t="n">
        <v>85</v>
      </c>
      <c r="CP92" s="25" t="n">
        <f aca="false">BX92+BW92+BV92+BU92+BT92+BQ92+BN92</f>
        <v>632</v>
      </c>
      <c r="CQ92" s="25" t="n">
        <f aca="false">CO92+CL92+CI92+CH92+CG92+CD92+CA92</f>
        <v>601</v>
      </c>
      <c r="CR92" s="26" t="n">
        <f aca="false">CP92/7</f>
        <v>90.2857142857143</v>
      </c>
      <c r="CS92" s="26" t="n">
        <f aca="false">CQ92/7</f>
        <v>85.8571428571429</v>
      </c>
      <c r="CT92" s="24" t="n">
        <f aca="false">RANK(CR92,$CR$2:$CR$881,0)</f>
        <v>160</v>
      </c>
      <c r="CU92" s="25" t="n">
        <f aca="false">RANK(CS92,$CS$2:$CS$881,0)</f>
        <v>80</v>
      </c>
      <c r="CV92" s="26" t="n">
        <f aca="false">(CS92+CR92)/2</f>
        <v>88.0714285714286</v>
      </c>
      <c r="CW92" s="25" t="n">
        <f aca="false">RANK(CV92,$CV$2:$CV$881,0)</f>
        <v>93</v>
      </c>
      <c r="CX92" s="50" t="n">
        <f aca="false">(CV92+BB92)/2</f>
        <v>85.0857142857143</v>
      </c>
      <c r="CY92" s="50" t="n">
        <v>124</v>
      </c>
      <c r="CZ92" s="27" t="s">
        <v>132</v>
      </c>
      <c r="DA92" s="27" t="s">
        <v>151</v>
      </c>
      <c r="DB92" s="27" t="s">
        <v>151</v>
      </c>
      <c r="DC92" s="27" t="s">
        <v>134</v>
      </c>
      <c r="DD92" s="27" t="s">
        <v>174</v>
      </c>
      <c r="DE92" s="27" t="s">
        <v>136</v>
      </c>
      <c r="DF92" s="27" t="s">
        <v>175</v>
      </c>
      <c r="DG92" s="27" t="s">
        <v>134</v>
      </c>
      <c r="DH92" s="27" t="s">
        <v>174</v>
      </c>
      <c r="DI92" s="27" t="s">
        <v>203</v>
      </c>
      <c r="DJ92" s="27" t="s">
        <v>209</v>
      </c>
      <c r="DK92" s="27" t="s">
        <v>134</v>
      </c>
      <c r="DL92" s="27" t="s">
        <v>137</v>
      </c>
      <c r="DM92" s="27" t="s">
        <v>161</v>
      </c>
      <c r="DN92" s="27" t="s">
        <v>178</v>
      </c>
      <c r="DO92" s="27" t="s">
        <v>134</v>
      </c>
      <c r="DP92" s="27" t="s">
        <v>135</v>
      </c>
      <c r="DQ92" s="27" t="s">
        <v>152</v>
      </c>
      <c r="DR92" s="27" t="s">
        <v>162</v>
      </c>
      <c r="DS92" s="27" t="s">
        <v>134</v>
      </c>
      <c r="DT92" s="27" t="s">
        <v>146</v>
      </c>
      <c r="DU92" s="27" t="s">
        <v>161</v>
      </c>
      <c r="DV92" s="27" t="s">
        <v>170</v>
      </c>
      <c r="DW92" s="27" t="s">
        <v>135</v>
      </c>
      <c r="DX92" s="27" t="s">
        <v>155</v>
      </c>
      <c r="DY92" s="27" t="s">
        <v>139</v>
      </c>
      <c r="DZ92" s="27" t="n">
        <f aca="false">DY92+DV92+DR92+DN92+DJ92+DF92+DB92</f>
        <v>624</v>
      </c>
      <c r="EA92" s="28" t="n">
        <f aca="false">DZ92/7</f>
        <v>89.1428571428571</v>
      </c>
      <c r="EB92" s="27" t="n">
        <f aca="false">RANK(EA92,$EA$2:$EA$881,0)</f>
        <v>77</v>
      </c>
      <c r="EC92" s="29" t="n">
        <f aca="false">DZ92+CQ92+CP92+AZ92</f>
        <v>2678</v>
      </c>
      <c r="ED92" s="30" t="n">
        <f aca="false">(EA92+CV92+BB92)/3</f>
        <v>86.4380952380952</v>
      </c>
      <c r="EE92" s="51" t="n">
        <f aca="false">ROUND(BE92,3)</f>
        <v>87.93</v>
      </c>
      <c r="EF92" s="51" t="n">
        <f aca="false">ROUND(CR92,3)</f>
        <v>90.286</v>
      </c>
      <c r="EG92" s="51" t="n">
        <f aca="false">ROUND(CS92,3)</f>
        <v>85.857</v>
      </c>
      <c r="EH92" s="51" t="n">
        <f aca="false">ROUND(EA92,3)</f>
        <v>89.143</v>
      </c>
      <c r="EI92" s="51" t="n">
        <f aca="false">ROUND(ED92,3)</f>
        <v>86.438</v>
      </c>
      <c r="EJ92" s="51" t="n">
        <f aca="false">ROUND(CV92,3)</f>
        <v>88.071</v>
      </c>
      <c r="EK92" s="0" t="n">
        <f aca="false">RANK(EI92,$EI$2:$EI$881,0)</f>
        <v>91</v>
      </c>
    </row>
    <row r="93" customFormat="false" ht="15" hidden="false" customHeight="false" outlineLevel="0" collapsed="false">
      <c r="A93" s="4" t="n">
        <v>8967</v>
      </c>
      <c r="B93" s="4" t="n">
        <v>744</v>
      </c>
      <c r="C93" s="27" t="s">
        <v>457</v>
      </c>
      <c r="D93" s="31" t="n">
        <v>759</v>
      </c>
      <c r="E93" s="32" t="n">
        <v>230320724</v>
      </c>
      <c r="F93" s="8" t="s">
        <v>458</v>
      </c>
      <c r="G93" s="22" t="s">
        <v>459</v>
      </c>
      <c r="H93" s="22" t="s">
        <v>129</v>
      </c>
      <c r="I93" s="33" t="n">
        <v>2006</v>
      </c>
      <c r="J93" s="32" t="n">
        <v>80</v>
      </c>
      <c r="K93" s="32" t="n">
        <v>93</v>
      </c>
      <c r="L93" s="34" t="n">
        <f aca="false">(K93*70)/100</f>
        <v>65.1</v>
      </c>
      <c r="M93" s="34" t="n">
        <f aca="false">ROUNDUP(L93,0)</f>
        <v>66</v>
      </c>
      <c r="N93" s="32" t="n">
        <v>27</v>
      </c>
      <c r="O93" s="34" t="n">
        <f aca="false">N93+L93</f>
        <v>92.1</v>
      </c>
      <c r="P93" s="34" t="n">
        <f aca="false">N93+M93</f>
        <v>93</v>
      </c>
      <c r="Q93" s="32" t="n">
        <v>86</v>
      </c>
      <c r="R93" s="32" t="n">
        <v>86</v>
      </c>
      <c r="S93" s="34" t="n">
        <f aca="false">(R93*70)/100</f>
        <v>60.2</v>
      </c>
      <c r="T93" s="34" t="n">
        <f aca="false">ROUNDUP(S93,0)</f>
        <v>61</v>
      </c>
      <c r="U93" s="32" t="n">
        <v>24</v>
      </c>
      <c r="V93" s="34" t="n">
        <f aca="false">U93+S93</f>
        <v>84.2</v>
      </c>
      <c r="W93" s="34" t="n">
        <f aca="false">U93+T93</f>
        <v>85</v>
      </c>
      <c r="X93" s="32" t="n">
        <v>80</v>
      </c>
      <c r="Y93" s="34" t="n">
        <f aca="false">(X93*70)/100</f>
        <v>56</v>
      </c>
      <c r="Z93" s="34" t="n">
        <f aca="false">ROUNDUP(Y93,0)</f>
        <v>56</v>
      </c>
      <c r="AA93" s="32" t="n">
        <v>27</v>
      </c>
      <c r="AB93" s="34" t="n">
        <f aca="false">AA93+Y93</f>
        <v>83</v>
      </c>
      <c r="AC93" s="34" t="n">
        <f aca="false">AA93+Z93</f>
        <v>83</v>
      </c>
      <c r="AD93" s="32" t="n">
        <f aca="false">X93+R93+Q93+K93+J93</f>
        <v>425</v>
      </c>
      <c r="AE93" s="16" t="n">
        <f aca="false">AD93/5</f>
        <v>85</v>
      </c>
      <c r="AF93" s="16" t="n">
        <v>84</v>
      </c>
      <c r="AG93" s="16" t="n">
        <v>90</v>
      </c>
      <c r="AH93" s="16" t="n">
        <v>97</v>
      </c>
      <c r="AI93" s="16" t="n">
        <v>94</v>
      </c>
      <c r="AJ93" s="16" t="n">
        <f aca="false">(AI93*70)/100</f>
        <v>65.8</v>
      </c>
      <c r="AK93" s="35" t="n">
        <f aca="false">ROUNDUP(AJ93,0)</f>
        <v>66</v>
      </c>
      <c r="AL93" s="16" t="n">
        <v>27</v>
      </c>
      <c r="AM93" s="16" t="n">
        <f aca="false">AL93+AJ93</f>
        <v>92.8</v>
      </c>
      <c r="AN93" s="16" t="n">
        <f aca="false">AL93+AK93</f>
        <v>93</v>
      </c>
      <c r="AO93" s="16" t="n">
        <v>86</v>
      </c>
      <c r="AP93" s="36" t="n">
        <f aca="false">(AO93*70)/100</f>
        <v>60.2</v>
      </c>
      <c r="AQ93" s="37" t="n">
        <f aca="false">ROUNDUP(AP93,0)</f>
        <v>61</v>
      </c>
      <c r="AR93" s="16" t="n">
        <v>29</v>
      </c>
      <c r="AS93" s="16" t="n">
        <f aca="false">AR93+AP93</f>
        <v>89.2</v>
      </c>
      <c r="AT93" s="16" t="n">
        <f aca="false">AR93+AQ93</f>
        <v>90</v>
      </c>
      <c r="AU93" s="16" t="n">
        <f aca="false">AO93+AF93+AI93+AH93+AG93</f>
        <v>451</v>
      </c>
      <c r="AV93" s="16" t="n">
        <f aca="false">(AO93+AF93+AI93+AH93+AG93)/5</f>
        <v>90.2</v>
      </c>
      <c r="AW93" s="36" t="n">
        <f aca="false">(AO93+AF93+AI93+AH93+AG93+X93+R93+Q93+K93+J93)</f>
        <v>876</v>
      </c>
      <c r="AX93" s="16" t="n">
        <f aca="false">AW93/10</f>
        <v>87.6</v>
      </c>
      <c r="AY93" s="16" t="n">
        <f aca="false">AS93+AF93+AM93+AH93+AG93+AB93+V93+Q93+O93+J93</f>
        <v>878.3</v>
      </c>
      <c r="AZ93" s="16" t="n">
        <f aca="false">AT93+AF93+AN93+AH93+AG93+AC93+W93+Q93+P93+J93</f>
        <v>881</v>
      </c>
      <c r="BA93" s="16" t="n">
        <f aca="false">AY93/10</f>
        <v>87.83</v>
      </c>
      <c r="BB93" s="16" t="n">
        <f aca="false">AZ93/10</f>
        <v>88.1</v>
      </c>
      <c r="BC93" s="16" t="n">
        <v>2377</v>
      </c>
      <c r="BD93" s="16" t="n">
        <f aca="false">RANK(AX93,$AX$2:$AX$881,0)</f>
        <v>40</v>
      </c>
      <c r="BE93" s="38" t="n">
        <f aca="false">((BC93*100)/2400)*0.4+(AX93*0.6)</f>
        <v>92.1766666666667</v>
      </c>
      <c r="BF93" s="16" t="n">
        <f aca="false">RANK(BE93,$BE$2:$BE$881,0)</f>
        <v>40</v>
      </c>
      <c r="BG93" s="39" t="n">
        <f aca="false">RANK(BB93,$BB$2:$BB$881,0)</f>
        <v>39</v>
      </c>
      <c r="BH93" s="39" t="n">
        <f aca="false">RANK(BC93,$BC$2:$BC$881,0)</f>
        <v>189</v>
      </c>
      <c r="BI93" s="22" t="s">
        <v>130</v>
      </c>
      <c r="BJ93" s="22" t="s">
        <v>129</v>
      </c>
      <c r="BK93" s="40" t="s">
        <v>131</v>
      </c>
      <c r="BL93" s="41" t="n">
        <v>26</v>
      </c>
      <c r="BM93" s="41" t="n">
        <v>50</v>
      </c>
      <c r="BN93" s="41" t="n">
        <v>76</v>
      </c>
      <c r="BO93" s="42" t="n">
        <v>26</v>
      </c>
      <c r="BP93" s="43" t="n">
        <v>64</v>
      </c>
      <c r="BQ93" s="44" t="n">
        <v>90</v>
      </c>
      <c r="BR93" s="42" t="n">
        <v>25</v>
      </c>
      <c r="BS93" s="45" t="n">
        <v>60</v>
      </c>
      <c r="BT93" s="45" t="n">
        <v>85</v>
      </c>
      <c r="BU93" s="46" t="n">
        <v>100</v>
      </c>
      <c r="BV93" s="47" t="n">
        <v>90</v>
      </c>
      <c r="BW93" s="42" t="n">
        <v>100</v>
      </c>
      <c r="BX93" s="48" t="n">
        <v>90</v>
      </c>
      <c r="BY93" s="32" t="n">
        <v>26</v>
      </c>
      <c r="BZ93" s="32" t="n">
        <v>57</v>
      </c>
      <c r="CA93" s="32" t="n">
        <v>83</v>
      </c>
      <c r="CB93" s="32" t="n">
        <v>26</v>
      </c>
      <c r="CC93" s="32" t="n">
        <v>44</v>
      </c>
      <c r="CD93" s="32" t="n">
        <v>70</v>
      </c>
      <c r="CE93" s="32" t="n">
        <v>25</v>
      </c>
      <c r="CF93" s="32" t="n">
        <v>56</v>
      </c>
      <c r="CG93" s="32" t="n">
        <v>81</v>
      </c>
      <c r="CH93" s="32" t="n">
        <v>98</v>
      </c>
      <c r="CI93" s="32" t="n">
        <v>99</v>
      </c>
      <c r="CJ93" s="49" t="n">
        <v>25</v>
      </c>
      <c r="CK93" s="49" t="n">
        <v>51</v>
      </c>
      <c r="CL93" s="49" t="n">
        <v>76</v>
      </c>
      <c r="CM93" s="49" t="n">
        <v>23</v>
      </c>
      <c r="CN93" s="49" t="n">
        <v>52</v>
      </c>
      <c r="CO93" s="49" t="n">
        <v>75</v>
      </c>
      <c r="CP93" s="25" t="n">
        <f aca="false">BX93+BW93+BV93+BU93+BT93+BQ93+BN93</f>
        <v>631</v>
      </c>
      <c r="CQ93" s="25" t="n">
        <f aca="false">CO93+CL93+CI93+CH93+CG93+CD93+CA93</f>
        <v>582</v>
      </c>
      <c r="CR93" s="26" t="n">
        <f aca="false">CP93/7</f>
        <v>90.1428571428571</v>
      </c>
      <c r="CS93" s="26" t="n">
        <f aca="false">CQ93/7</f>
        <v>83.1428571428571</v>
      </c>
      <c r="CT93" s="24" t="n">
        <f aca="false">RANK(CR93,$CR$2:$CR$881,0)</f>
        <v>172</v>
      </c>
      <c r="CU93" s="25" t="n">
        <f aca="false">RANK(CS93,$CS$2:$CS$881,0)</f>
        <v>153</v>
      </c>
      <c r="CV93" s="26" t="n">
        <f aca="false">(CS93+CR93)/2</f>
        <v>86.6428571428571</v>
      </c>
      <c r="CW93" s="25" t="n">
        <f aca="false">RANK(CV93,$CV$2:$CV$881,0)</f>
        <v>147</v>
      </c>
      <c r="CX93" s="50" t="n">
        <f aca="false">(CV93+BB93)/2</f>
        <v>87.3714285714286</v>
      </c>
      <c r="CY93" s="50" t="n">
        <v>65</v>
      </c>
      <c r="CZ93" s="27" t="s">
        <v>132</v>
      </c>
      <c r="DA93" s="27" t="s">
        <v>272</v>
      </c>
      <c r="DB93" s="27" t="s">
        <v>272</v>
      </c>
      <c r="DC93" s="27" t="s">
        <v>134</v>
      </c>
      <c r="DD93" s="27" t="s">
        <v>137</v>
      </c>
      <c r="DE93" s="27" t="s">
        <v>218</v>
      </c>
      <c r="DF93" s="27" t="s">
        <v>169</v>
      </c>
      <c r="DG93" s="27" t="s">
        <v>134</v>
      </c>
      <c r="DH93" s="27" t="s">
        <v>195</v>
      </c>
      <c r="DI93" s="27" t="s">
        <v>204</v>
      </c>
      <c r="DJ93" s="27" t="s">
        <v>219</v>
      </c>
      <c r="DK93" s="27" t="s">
        <v>134</v>
      </c>
      <c r="DL93" s="27" t="s">
        <v>137</v>
      </c>
      <c r="DM93" s="27" t="s">
        <v>204</v>
      </c>
      <c r="DN93" s="27" t="s">
        <v>175</v>
      </c>
      <c r="DO93" s="27" t="s">
        <v>134</v>
      </c>
      <c r="DP93" s="27" t="s">
        <v>154</v>
      </c>
      <c r="DQ93" s="27" t="s">
        <v>203</v>
      </c>
      <c r="DR93" s="27" t="s">
        <v>175</v>
      </c>
      <c r="DS93" s="27" t="s">
        <v>134</v>
      </c>
      <c r="DT93" s="27" t="s">
        <v>160</v>
      </c>
      <c r="DU93" s="27" t="s">
        <v>306</v>
      </c>
      <c r="DV93" s="27" t="s">
        <v>169</v>
      </c>
      <c r="DW93" s="27" t="s">
        <v>164</v>
      </c>
      <c r="DX93" s="27" t="s">
        <v>155</v>
      </c>
      <c r="DY93" s="27" t="s">
        <v>144</v>
      </c>
      <c r="DZ93" s="27" t="n">
        <f aca="false">DY93+DV93+DR93+DN93+DJ93+DF93+DB93</f>
        <v>592</v>
      </c>
      <c r="EA93" s="28" t="n">
        <f aca="false">DZ93/7</f>
        <v>84.5714285714286</v>
      </c>
      <c r="EB93" s="27" t="n">
        <f aca="false">RANK(EA93,$EA$2:$EA$881,0)</f>
        <v>201</v>
      </c>
      <c r="EC93" s="29" t="n">
        <f aca="false">DZ93+CQ93+CP93+AZ93</f>
        <v>2686</v>
      </c>
      <c r="ED93" s="30" t="n">
        <f aca="false">(EA93+CV93+BB93)/3</f>
        <v>86.4380952380952</v>
      </c>
      <c r="EE93" s="51" t="n">
        <f aca="false">ROUND(BE93,3)</f>
        <v>92.177</v>
      </c>
      <c r="EF93" s="51" t="n">
        <f aca="false">ROUND(CR93,3)</f>
        <v>90.143</v>
      </c>
      <c r="EG93" s="51" t="n">
        <f aca="false">ROUND(CS93,3)</f>
        <v>83.143</v>
      </c>
      <c r="EH93" s="51" t="n">
        <f aca="false">ROUND(EA93,3)</f>
        <v>84.571</v>
      </c>
      <c r="EI93" s="51" t="n">
        <f aca="false">ROUND(ED93,3)</f>
        <v>86.438</v>
      </c>
      <c r="EJ93" s="51" t="n">
        <f aca="false">ROUND(CV93,3)</f>
        <v>86.643</v>
      </c>
      <c r="EK93" s="0" t="n">
        <f aca="false">RANK(EI93,$EI$2:$EI$881,0)</f>
        <v>91</v>
      </c>
    </row>
    <row r="94" customFormat="false" ht="15" hidden="false" customHeight="false" outlineLevel="0" collapsed="false">
      <c r="A94" s="4" t="n">
        <v>8904</v>
      </c>
      <c r="B94" s="4" t="n">
        <v>212</v>
      </c>
      <c r="C94" s="27" t="s">
        <v>460</v>
      </c>
      <c r="D94" s="31" t="n">
        <v>213</v>
      </c>
      <c r="E94" s="32" t="n">
        <v>230321578</v>
      </c>
      <c r="F94" s="8" t="s">
        <v>461</v>
      </c>
      <c r="G94" s="22" t="s">
        <v>289</v>
      </c>
      <c r="H94" s="22" t="s">
        <v>129</v>
      </c>
      <c r="I94" s="33" t="n">
        <v>2005</v>
      </c>
      <c r="J94" s="32" t="n">
        <v>82</v>
      </c>
      <c r="K94" s="32" t="n">
        <v>81</v>
      </c>
      <c r="L94" s="34" t="n">
        <f aca="false">(K94*70)/100</f>
        <v>56.7</v>
      </c>
      <c r="M94" s="34" t="n">
        <f aca="false">ROUNDUP(L94,0)</f>
        <v>57</v>
      </c>
      <c r="N94" s="32" t="n">
        <v>28</v>
      </c>
      <c r="O94" s="34" t="n">
        <f aca="false">N94+L94</f>
        <v>84.7</v>
      </c>
      <c r="P94" s="34" t="n">
        <f aca="false">N94+M94</f>
        <v>85</v>
      </c>
      <c r="Q94" s="32" t="n">
        <v>62</v>
      </c>
      <c r="R94" s="32" t="n">
        <v>72</v>
      </c>
      <c r="S94" s="34" t="n">
        <f aca="false">(R94*70)/100</f>
        <v>50.4</v>
      </c>
      <c r="T94" s="34" t="n">
        <f aca="false">ROUNDUP(S94,0)</f>
        <v>51</v>
      </c>
      <c r="U94" s="32" t="n">
        <v>25</v>
      </c>
      <c r="V94" s="34" t="n">
        <f aca="false">U94+S94</f>
        <v>75.4</v>
      </c>
      <c r="W94" s="34" t="n">
        <f aca="false">U94+T94</f>
        <v>76</v>
      </c>
      <c r="X94" s="32" t="n">
        <v>70</v>
      </c>
      <c r="Y94" s="34" t="n">
        <f aca="false">(X94*70)/100</f>
        <v>49</v>
      </c>
      <c r="Z94" s="34" t="n">
        <f aca="false">ROUNDUP(Y94,0)</f>
        <v>49</v>
      </c>
      <c r="AA94" s="32" t="n">
        <v>24</v>
      </c>
      <c r="AB94" s="34" t="n">
        <f aca="false">AA94+Y94</f>
        <v>73</v>
      </c>
      <c r="AC94" s="34" t="n">
        <f aca="false">AA94+Z94</f>
        <v>73</v>
      </c>
      <c r="AD94" s="32" t="n">
        <f aca="false">X94+R94+Q94+K94+J94</f>
        <v>367</v>
      </c>
      <c r="AE94" s="16" t="n">
        <f aca="false">AD94/5</f>
        <v>73.4</v>
      </c>
      <c r="AF94" s="16" t="n">
        <v>86</v>
      </c>
      <c r="AG94" s="16" t="n">
        <v>85</v>
      </c>
      <c r="AH94" s="16" t="n">
        <v>95</v>
      </c>
      <c r="AI94" s="16" t="n">
        <v>95</v>
      </c>
      <c r="AJ94" s="16" t="n">
        <f aca="false">(AI94*70)/100</f>
        <v>66.5</v>
      </c>
      <c r="AK94" s="35" t="n">
        <f aca="false">ROUNDUP(AJ94,0)</f>
        <v>67</v>
      </c>
      <c r="AL94" s="16" t="n">
        <v>27</v>
      </c>
      <c r="AM94" s="16" t="n">
        <f aca="false">AL94+AJ94</f>
        <v>93.5</v>
      </c>
      <c r="AN94" s="16" t="n">
        <f aca="false">AL94+AK94</f>
        <v>94</v>
      </c>
      <c r="AO94" s="16" t="n">
        <v>89</v>
      </c>
      <c r="AP94" s="36" t="n">
        <f aca="false">(AO94*70)/100</f>
        <v>62.3</v>
      </c>
      <c r="AQ94" s="37" t="n">
        <f aca="false">ROUNDUP(AP94,0)</f>
        <v>63</v>
      </c>
      <c r="AR94" s="16" t="n">
        <v>29</v>
      </c>
      <c r="AS94" s="16" t="n">
        <f aca="false">AR94+AP94</f>
        <v>91.3</v>
      </c>
      <c r="AT94" s="16" t="n">
        <f aca="false">AR94+AQ94</f>
        <v>92</v>
      </c>
      <c r="AU94" s="16" t="n">
        <f aca="false">AO94+AF94+AI94+AH94+AG94</f>
        <v>450</v>
      </c>
      <c r="AV94" s="16" t="n">
        <f aca="false">(AO94+AF94+AI94+AH94+AG94)/5</f>
        <v>90</v>
      </c>
      <c r="AW94" s="36" t="n">
        <f aca="false">(AO94+AF94+AI94+AH94+AG94+X94+R94+Q94+K94+J94)</f>
        <v>817</v>
      </c>
      <c r="AX94" s="16" t="n">
        <f aca="false">AW94/10</f>
        <v>81.7</v>
      </c>
      <c r="AY94" s="16" t="n">
        <f aca="false">AS94+AF94+AM94+AH94+AG94+AB94+V94+Q94+O94+J94</f>
        <v>827.9</v>
      </c>
      <c r="AZ94" s="16" t="n">
        <f aca="false">AT94+AF94+AN94+AH94+AG94+AC94+W94+Q94+P94+J94</f>
        <v>830</v>
      </c>
      <c r="BA94" s="16" t="n">
        <f aca="false">AY94/10</f>
        <v>82.79</v>
      </c>
      <c r="BB94" s="16" t="n">
        <f aca="false">AZ94/10</f>
        <v>83</v>
      </c>
      <c r="BC94" s="16" t="n">
        <v>2365</v>
      </c>
      <c r="BD94" s="16" t="n">
        <f aca="false">RANK(AX94,$AX$2:$AX$881,0)</f>
        <v>179</v>
      </c>
      <c r="BE94" s="54" t="n">
        <f aca="false">((BC94*100)/2400)*0.4+(AX94*0.6)</f>
        <v>88.4366666666667</v>
      </c>
      <c r="BF94" s="16" t="n">
        <f aca="false">RANK(BE94,$BE$2:$BE$881,0)</f>
        <v>166</v>
      </c>
      <c r="BG94" s="39" t="n">
        <f aca="false">RANK(BB94,$BB$2:$BB$881,0)</f>
        <v>158</v>
      </c>
      <c r="BH94" s="39" t="n">
        <f aca="false">RANK(BC94,$BC$2:$BC$881,0)</f>
        <v>333</v>
      </c>
      <c r="BI94" s="22" t="s">
        <v>130</v>
      </c>
      <c r="BJ94" s="22" t="s">
        <v>129</v>
      </c>
      <c r="BK94" s="40" t="s">
        <v>131</v>
      </c>
      <c r="BL94" s="41" t="n">
        <v>27</v>
      </c>
      <c r="BM94" s="41" t="n">
        <v>57</v>
      </c>
      <c r="BN94" s="41" t="n">
        <v>84</v>
      </c>
      <c r="BO94" s="42" t="n">
        <v>21</v>
      </c>
      <c r="BP94" s="43" t="n">
        <v>65</v>
      </c>
      <c r="BQ94" s="44" t="n">
        <v>86</v>
      </c>
      <c r="BR94" s="42" t="n">
        <v>24</v>
      </c>
      <c r="BS94" s="45" t="n">
        <v>56</v>
      </c>
      <c r="BT94" s="45" t="n">
        <v>80</v>
      </c>
      <c r="BU94" s="46" t="n">
        <v>99</v>
      </c>
      <c r="BV94" s="47" t="n">
        <v>90</v>
      </c>
      <c r="BW94" s="42" t="n">
        <v>100</v>
      </c>
      <c r="BX94" s="48" t="n">
        <v>98</v>
      </c>
      <c r="BY94" s="32" t="n">
        <v>27</v>
      </c>
      <c r="BZ94" s="32" t="n">
        <v>51</v>
      </c>
      <c r="CA94" s="32" t="n">
        <v>78</v>
      </c>
      <c r="CB94" s="32" t="n">
        <v>26</v>
      </c>
      <c r="CC94" s="32" t="n">
        <v>42</v>
      </c>
      <c r="CD94" s="32" t="n">
        <v>68</v>
      </c>
      <c r="CE94" s="32" t="n">
        <v>23</v>
      </c>
      <c r="CF94" s="32" t="n">
        <v>61</v>
      </c>
      <c r="CG94" s="32" t="n">
        <v>84</v>
      </c>
      <c r="CH94" s="32" t="n">
        <v>100</v>
      </c>
      <c r="CI94" s="32" t="n">
        <v>96</v>
      </c>
      <c r="CJ94" s="49" t="n">
        <v>28</v>
      </c>
      <c r="CK94" s="49" t="n">
        <v>49</v>
      </c>
      <c r="CL94" s="49" t="n">
        <v>77</v>
      </c>
      <c r="CM94" s="49" t="n">
        <v>26</v>
      </c>
      <c r="CN94" s="49" t="n">
        <v>56</v>
      </c>
      <c r="CO94" s="49" t="n">
        <v>82</v>
      </c>
      <c r="CP94" s="25" t="n">
        <f aca="false">BX94+BW94+BV94+BU94+BT94+BQ94+BN94</f>
        <v>637</v>
      </c>
      <c r="CQ94" s="25" t="n">
        <f aca="false">CO94+CL94+CI94+CH94+CG94+CD94+CA94</f>
        <v>585</v>
      </c>
      <c r="CR94" s="26" t="n">
        <f aca="false">CP94/7</f>
        <v>91</v>
      </c>
      <c r="CS94" s="26" t="n">
        <f aca="false">CQ94/7</f>
        <v>83.5714285714286</v>
      </c>
      <c r="CT94" s="24" t="n">
        <f aca="false">RANK(CR94,$CR$2:$CR$881,0)</f>
        <v>130</v>
      </c>
      <c r="CU94" s="25" t="n">
        <f aca="false">RANK(CS94,$CS$2:$CS$881,0)</f>
        <v>135</v>
      </c>
      <c r="CV94" s="26" t="n">
        <f aca="false">(CS94+CR94)/2</f>
        <v>87.2857142857143</v>
      </c>
      <c r="CW94" s="25" t="n">
        <f aca="false">RANK(CV94,$CV$2:$CV$881,0)</f>
        <v>130</v>
      </c>
      <c r="CX94" s="50" t="n">
        <f aca="false">(CV94+BB94)/2</f>
        <v>85.1428571428571</v>
      </c>
      <c r="CY94" s="50" t="n">
        <v>121</v>
      </c>
      <c r="CZ94" s="27" t="s">
        <v>132</v>
      </c>
      <c r="DA94" s="27" t="s">
        <v>205</v>
      </c>
      <c r="DB94" s="27" t="s">
        <v>205</v>
      </c>
      <c r="DC94" s="27" t="s">
        <v>134</v>
      </c>
      <c r="DD94" s="27" t="s">
        <v>137</v>
      </c>
      <c r="DE94" s="27" t="s">
        <v>203</v>
      </c>
      <c r="DF94" s="27" t="s">
        <v>133</v>
      </c>
      <c r="DG94" s="27" t="s">
        <v>134</v>
      </c>
      <c r="DH94" s="27" t="s">
        <v>164</v>
      </c>
      <c r="DI94" s="27" t="s">
        <v>163</v>
      </c>
      <c r="DJ94" s="27" t="s">
        <v>176</v>
      </c>
      <c r="DK94" s="27" t="s">
        <v>134</v>
      </c>
      <c r="DL94" s="27" t="s">
        <v>137</v>
      </c>
      <c r="DM94" s="27" t="s">
        <v>136</v>
      </c>
      <c r="DN94" s="27" t="s">
        <v>162</v>
      </c>
      <c r="DO94" s="27" t="s">
        <v>134</v>
      </c>
      <c r="DP94" s="27" t="s">
        <v>135</v>
      </c>
      <c r="DQ94" s="27" t="s">
        <v>204</v>
      </c>
      <c r="DR94" s="27" t="s">
        <v>209</v>
      </c>
      <c r="DS94" s="27" t="s">
        <v>134</v>
      </c>
      <c r="DT94" s="27" t="s">
        <v>146</v>
      </c>
      <c r="DU94" s="27" t="s">
        <v>177</v>
      </c>
      <c r="DV94" s="27" t="s">
        <v>153</v>
      </c>
      <c r="DW94" s="27" t="s">
        <v>140</v>
      </c>
      <c r="DX94" s="27" t="s">
        <v>138</v>
      </c>
      <c r="DY94" s="27" t="s">
        <v>145</v>
      </c>
      <c r="DZ94" s="27" t="n">
        <f aca="false">DY94+DV94+DR94+DN94+DJ94+DF94+DB94</f>
        <v>623</v>
      </c>
      <c r="EA94" s="28" t="n">
        <f aca="false">DZ94/7</f>
        <v>89</v>
      </c>
      <c r="EB94" s="27" t="n">
        <f aca="false">RANK(EA94,$EA$2:$EA$881,0)</f>
        <v>81</v>
      </c>
      <c r="EC94" s="29" t="n">
        <f aca="false">DZ94+CQ94+CP94+AZ94</f>
        <v>2675</v>
      </c>
      <c r="ED94" s="30" t="n">
        <f aca="false">(EA94+CV94+BB94)/3</f>
        <v>86.4285714285714</v>
      </c>
      <c r="EE94" s="51" t="n">
        <f aca="false">ROUND(BE94,3)</f>
        <v>88.437</v>
      </c>
      <c r="EF94" s="51" t="n">
        <f aca="false">ROUND(CR94,3)</f>
        <v>91</v>
      </c>
      <c r="EG94" s="51" t="n">
        <f aca="false">ROUND(CS94,3)</f>
        <v>83.571</v>
      </c>
      <c r="EH94" s="51" t="n">
        <f aca="false">ROUND(EA94,3)</f>
        <v>89</v>
      </c>
      <c r="EI94" s="51" t="n">
        <f aca="false">ROUND(ED94,3)</f>
        <v>86.429</v>
      </c>
      <c r="EJ94" s="51" t="n">
        <f aca="false">ROUND(CV94,3)</f>
        <v>87.286</v>
      </c>
      <c r="EK94" s="0" t="n">
        <f aca="false">RANK(EI94,$EI$2:$EI$881,0)</f>
        <v>93</v>
      </c>
    </row>
    <row r="95" customFormat="false" ht="15" hidden="false" customHeight="false" outlineLevel="0" collapsed="false">
      <c r="A95" s="4" t="n">
        <v>8619</v>
      </c>
      <c r="B95" s="4" t="n">
        <v>502</v>
      </c>
      <c r="C95" s="27" t="s">
        <v>462</v>
      </c>
      <c r="D95" s="31" t="n">
        <v>509</v>
      </c>
      <c r="E95" s="32" t="n">
        <v>230507734</v>
      </c>
      <c r="F95" s="8" t="s">
        <v>463</v>
      </c>
      <c r="G95" s="66" t="s">
        <v>464</v>
      </c>
      <c r="H95" s="22" t="s">
        <v>465</v>
      </c>
      <c r="I95" s="67" t="s">
        <v>466</v>
      </c>
      <c r="J95" s="32" t="n">
        <v>84</v>
      </c>
      <c r="K95" s="32" t="n">
        <v>89</v>
      </c>
      <c r="L95" s="34" t="n">
        <f aca="false">(K95*70)/100</f>
        <v>62.3</v>
      </c>
      <c r="M95" s="34" t="n">
        <f aca="false">ROUNDUP(L95,0)</f>
        <v>63</v>
      </c>
      <c r="N95" s="32" t="n">
        <v>29</v>
      </c>
      <c r="O95" s="34" t="n">
        <f aca="false">N95+L95</f>
        <v>91.3</v>
      </c>
      <c r="P95" s="34" t="n">
        <f aca="false">N95+M95</f>
        <v>92</v>
      </c>
      <c r="Q95" s="32" t="n">
        <v>78</v>
      </c>
      <c r="R95" s="32" t="n">
        <v>82</v>
      </c>
      <c r="S95" s="34" t="n">
        <f aca="false">(R95*70)/100</f>
        <v>57.4</v>
      </c>
      <c r="T95" s="34" t="n">
        <f aca="false">ROUNDUP(S95,0)</f>
        <v>58</v>
      </c>
      <c r="U95" s="32" t="n">
        <v>27</v>
      </c>
      <c r="V95" s="34" t="n">
        <f aca="false">U95+S95</f>
        <v>84.4</v>
      </c>
      <c r="W95" s="34" t="n">
        <f aca="false">U95+T95</f>
        <v>85</v>
      </c>
      <c r="X95" s="32" t="n">
        <v>77</v>
      </c>
      <c r="Y95" s="34" t="n">
        <f aca="false">(X95*70)/100</f>
        <v>53.9</v>
      </c>
      <c r="Z95" s="34" t="n">
        <f aca="false">ROUNDUP(Y95,0)</f>
        <v>54</v>
      </c>
      <c r="AA95" s="32" t="n">
        <v>27</v>
      </c>
      <c r="AB95" s="34" t="n">
        <f aca="false">AA95+Y95</f>
        <v>80.9</v>
      </c>
      <c r="AC95" s="34" t="n">
        <f aca="false">AA95+Z95</f>
        <v>81</v>
      </c>
      <c r="AD95" s="32" t="n">
        <f aca="false">X95+R95+Q95+K95+J95</f>
        <v>410</v>
      </c>
      <c r="AE95" s="16" t="n">
        <f aca="false">AD95/5</f>
        <v>82</v>
      </c>
      <c r="AF95" s="16" t="n">
        <v>84</v>
      </c>
      <c r="AG95" s="16" t="n">
        <v>84</v>
      </c>
      <c r="AH95" s="16" t="n">
        <v>96</v>
      </c>
      <c r="AI95" s="16" t="n">
        <v>96</v>
      </c>
      <c r="AJ95" s="16" t="n">
        <f aca="false">(AI95*70)/100</f>
        <v>67.2</v>
      </c>
      <c r="AK95" s="35" t="n">
        <f aca="false">ROUNDUP(AJ95,0)</f>
        <v>68</v>
      </c>
      <c r="AL95" s="16" t="n">
        <v>22</v>
      </c>
      <c r="AM95" s="16" t="n">
        <f aca="false">AL95+AJ95</f>
        <v>89.2</v>
      </c>
      <c r="AN95" s="16" t="n">
        <f aca="false">AL95+AK95</f>
        <v>90</v>
      </c>
      <c r="AO95" s="16" t="n">
        <v>87</v>
      </c>
      <c r="AP95" s="36" t="n">
        <f aca="false">(AO95*70)/100</f>
        <v>60.9</v>
      </c>
      <c r="AQ95" s="37" t="n">
        <f aca="false">ROUNDUP(AP95,0)</f>
        <v>61</v>
      </c>
      <c r="AR95" s="16" t="n">
        <v>26</v>
      </c>
      <c r="AS95" s="16" t="n">
        <f aca="false">AR95+AP95</f>
        <v>86.9</v>
      </c>
      <c r="AT95" s="16" t="n">
        <f aca="false">AR95+AQ95</f>
        <v>87</v>
      </c>
      <c r="AU95" s="16" t="n">
        <f aca="false">AO95+AF95+AI95+AH95+AG95</f>
        <v>447</v>
      </c>
      <c r="AV95" s="16" t="n">
        <f aca="false">(AO95+AF95+AI95+AH95+AG95)/5</f>
        <v>89.4</v>
      </c>
      <c r="AW95" s="36" t="n">
        <f aca="false">(AO95+AF95+AI95+AH95+AG95+X95+R95+Q95+K95+J95)</f>
        <v>857</v>
      </c>
      <c r="AX95" s="16" t="n">
        <f aca="false">AW95/10</f>
        <v>85.7</v>
      </c>
      <c r="AY95" s="16" t="n">
        <f aca="false">AS95+AF95+AM95+AH95+AG95+AB95+V95+Q95+O95+J95</f>
        <v>858.7</v>
      </c>
      <c r="AZ95" s="16" t="n">
        <f aca="false">AT95+AF95+AN95+AH95+AG95+AC95+W95+Q95+P95+J95</f>
        <v>861</v>
      </c>
      <c r="BA95" s="16" t="n">
        <f aca="false">AY95/10</f>
        <v>85.87</v>
      </c>
      <c r="BB95" s="16" t="n">
        <f aca="false">AZ95/10</f>
        <v>86.1</v>
      </c>
      <c r="BC95" s="24" t="n">
        <v>2345</v>
      </c>
      <c r="BD95" s="16" t="n">
        <f aca="false">RANK(AX95,$AX$2:$AX$881,0)</f>
        <v>77</v>
      </c>
      <c r="BE95" s="38" t="n">
        <f aca="false">((BC95*100)/2400)*0.4+(AX95*0.6)</f>
        <v>90.5033333333333</v>
      </c>
      <c r="BF95" s="16" t="n">
        <f aca="false">RANK(BE95,$BE$2:$BE$881,0)</f>
        <v>86</v>
      </c>
      <c r="BG95" s="39" t="n">
        <f aca="false">RANK(BB95,$BB$2:$BB$881,0)</f>
        <v>80</v>
      </c>
      <c r="BH95" s="39" t="n">
        <f aca="false">RANK(BC95,$BC$2:$BC$881,0)</f>
        <v>585</v>
      </c>
      <c r="BI95" s="22" t="s">
        <v>130</v>
      </c>
      <c r="BJ95" s="22" t="s">
        <v>129</v>
      </c>
      <c r="BK95" s="40" t="s">
        <v>131</v>
      </c>
      <c r="BL95" s="41" t="n">
        <v>22</v>
      </c>
      <c r="BM95" s="41" t="n">
        <v>58</v>
      </c>
      <c r="BN95" s="41" t="n">
        <v>80</v>
      </c>
      <c r="BO95" s="42" t="n">
        <v>26</v>
      </c>
      <c r="BP95" s="43" t="n">
        <v>64</v>
      </c>
      <c r="BQ95" s="44" t="n">
        <v>90</v>
      </c>
      <c r="BR95" s="42" t="n">
        <v>25</v>
      </c>
      <c r="BS95" s="45" t="n">
        <v>65</v>
      </c>
      <c r="BT95" s="45" t="n">
        <v>90</v>
      </c>
      <c r="BU95" s="46" t="n">
        <v>100</v>
      </c>
      <c r="BV95" s="47" t="n">
        <v>90</v>
      </c>
      <c r="BW95" s="42" t="n">
        <v>99</v>
      </c>
      <c r="BX95" s="48" t="n">
        <v>92</v>
      </c>
      <c r="BY95" s="32" t="n">
        <v>24</v>
      </c>
      <c r="BZ95" s="32" t="n">
        <v>56</v>
      </c>
      <c r="CA95" s="32" t="n">
        <v>80</v>
      </c>
      <c r="CB95" s="32" t="n">
        <v>21</v>
      </c>
      <c r="CC95" s="32" t="n">
        <v>43</v>
      </c>
      <c r="CD95" s="32" t="n">
        <v>64</v>
      </c>
      <c r="CE95" s="32" t="n">
        <v>27</v>
      </c>
      <c r="CF95" s="32" t="n">
        <v>64</v>
      </c>
      <c r="CG95" s="32" t="n">
        <v>91</v>
      </c>
      <c r="CH95" s="32" t="n">
        <v>99</v>
      </c>
      <c r="CI95" s="32" t="n">
        <v>98</v>
      </c>
      <c r="CJ95" s="49" t="n">
        <v>28</v>
      </c>
      <c r="CK95" s="49" t="n">
        <v>50</v>
      </c>
      <c r="CL95" s="49" t="n">
        <v>78</v>
      </c>
      <c r="CM95" s="49" t="n">
        <v>22</v>
      </c>
      <c r="CN95" s="49" t="n">
        <v>51</v>
      </c>
      <c r="CO95" s="49" t="n">
        <v>73</v>
      </c>
      <c r="CP95" s="25" t="n">
        <f aca="false">BX95+BW95+BV95+BU95+BT95+BQ95+BN95</f>
        <v>641</v>
      </c>
      <c r="CQ95" s="25" t="n">
        <f aca="false">CO95+CL95+CI95+CH95+CG95+CD95+CA95</f>
        <v>583</v>
      </c>
      <c r="CR95" s="26" t="n">
        <f aca="false">CP95/7</f>
        <v>91.5714285714286</v>
      </c>
      <c r="CS95" s="26" t="n">
        <f aca="false">CQ95/7</f>
        <v>83.2857142857143</v>
      </c>
      <c r="CT95" s="24" t="n">
        <f aca="false">RANK(CR95,$CR$2:$CR$881,0)</f>
        <v>100</v>
      </c>
      <c r="CU95" s="25" t="n">
        <f aca="false">RANK(CS95,$CS$2:$CS$881,0)</f>
        <v>149</v>
      </c>
      <c r="CV95" s="26" t="n">
        <f aca="false">(CS95+CR95)/2</f>
        <v>87.4285714285714</v>
      </c>
      <c r="CW95" s="25" t="n">
        <f aca="false">RANK(CV95,$CV$2:$CV$881,0)</f>
        <v>121</v>
      </c>
      <c r="CX95" s="50" t="n">
        <f aca="false">(CV95+BB95)/2</f>
        <v>86.7642857142857</v>
      </c>
      <c r="CY95" s="50" t="n">
        <v>84</v>
      </c>
      <c r="CZ95" s="27" t="s">
        <v>132</v>
      </c>
      <c r="DA95" s="27" t="s">
        <v>272</v>
      </c>
      <c r="DB95" s="27" t="s">
        <v>272</v>
      </c>
      <c r="DC95" s="27" t="s">
        <v>134</v>
      </c>
      <c r="DD95" s="27" t="s">
        <v>135</v>
      </c>
      <c r="DE95" s="27" t="s">
        <v>136</v>
      </c>
      <c r="DF95" s="27" t="s">
        <v>133</v>
      </c>
      <c r="DG95" s="27" t="s">
        <v>134</v>
      </c>
      <c r="DH95" s="27" t="s">
        <v>174</v>
      </c>
      <c r="DI95" s="27" t="s">
        <v>187</v>
      </c>
      <c r="DJ95" s="27" t="s">
        <v>133</v>
      </c>
      <c r="DK95" s="27" t="s">
        <v>134</v>
      </c>
      <c r="DL95" s="27" t="s">
        <v>137</v>
      </c>
      <c r="DM95" s="27" t="s">
        <v>152</v>
      </c>
      <c r="DN95" s="27" t="s">
        <v>153</v>
      </c>
      <c r="DO95" s="27" t="s">
        <v>134</v>
      </c>
      <c r="DP95" s="27" t="s">
        <v>137</v>
      </c>
      <c r="DQ95" s="27" t="s">
        <v>218</v>
      </c>
      <c r="DR95" s="27" t="s">
        <v>169</v>
      </c>
      <c r="DS95" s="27" t="s">
        <v>134</v>
      </c>
      <c r="DT95" s="27" t="s">
        <v>154</v>
      </c>
      <c r="DU95" s="27" t="s">
        <v>204</v>
      </c>
      <c r="DV95" s="27" t="s">
        <v>205</v>
      </c>
      <c r="DW95" s="27" t="s">
        <v>135</v>
      </c>
      <c r="DX95" s="27" t="s">
        <v>163</v>
      </c>
      <c r="DY95" s="27" t="s">
        <v>153</v>
      </c>
      <c r="DZ95" s="27" t="n">
        <f aca="false">DY95+DV95+DR95+DN95+DJ95+DF95+DB95</f>
        <v>600</v>
      </c>
      <c r="EA95" s="28" t="n">
        <f aca="false">DZ95/7</f>
        <v>85.7142857142857</v>
      </c>
      <c r="EB95" s="27" t="n">
        <f aca="false">RANK(EA95,$EA$2:$EA$881,0)</f>
        <v>163</v>
      </c>
      <c r="EC95" s="29" t="n">
        <f aca="false">DZ95+CQ95+CP95+AZ95</f>
        <v>2685</v>
      </c>
      <c r="ED95" s="30" t="n">
        <f aca="false">(EA95+CV95+BB95)/3</f>
        <v>86.4142857142857</v>
      </c>
      <c r="EE95" s="51" t="n">
        <f aca="false">ROUND(BE95,3)</f>
        <v>90.503</v>
      </c>
      <c r="EF95" s="51" t="n">
        <f aca="false">ROUND(CR95,3)</f>
        <v>91.571</v>
      </c>
      <c r="EG95" s="51" t="n">
        <f aca="false">ROUND(CS95,3)</f>
        <v>83.286</v>
      </c>
      <c r="EH95" s="51" t="n">
        <f aca="false">ROUND(EA95,3)</f>
        <v>85.714</v>
      </c>
      <c r="EI95" s="51" t="n">
        <f aca="false">ROUND(ED95,3)</f>
        <v>86.414</v>
      </c>
      <c r="EJ95" s="51" t="n">
        <f aca="false">ROUND(CV95,3)</f>
        <v>87.429</v>
      </c>
      <c r="EK95" s="0" t="n">
        <f aca="false">RANK(EI95,$EI$2:$EI$881,0)</f>
        <v>94</v>
      </c>
    </row>
    <row r="96" customFormat="false" ht="15" hidden="false" customHeight="false" outlineLevel="0" collapsed="false">
      <c r="A96" s="4" t="n">
        <v>9116</v>
      </c>
      <c r="B96" s="4" t="n">
        <v>758</v>
      </c>
      <c r="C96" s="27" t="s">
        <v>467</v>
      </c>
      <c r="D96" s="31" t="n">
        <v>775</v>
      </c>
      <c r="E96" s="32" t="n">
        <v>230320392</v>
      </c>
      <c r="F96" s="8" t="s">
        <v>468</v>
      </c>
      <c r="G96" s="22" t="s">
        <v>469</v>
      </c>
      <c r="H96" s="22" t="s">
        <v>129</v>
      </c>
      <c r="I96" s="33" t="n">
        <v>2006</v>
      </c>
      <c r="J96" s="32" t="n">
        <v>76</v>
      </c>
      <c r="K96" s="32" t="n">
        <v>86</v>
      </c>
      <c r="L96" s="34" t="n">
        <f aca="false">(K96*70)/100</f>
        <v>60.2</v>
      </c>
      <c r="M96" s="34" t="n">
        <f aca="false">ROUNDUP(L96,0)</f>
        <v>61</v>
      </c>
      <c r="N96" s="32" t="n">
        <v>29</v>
      </c>
      <c r="O96" s="34" t="n">
        <f aca="false">N96+L96</f>
        <v>89.2</v>
      </c>
      <c r="P96" s="34" t="n">
        <f aca="false">N96+M96</f>
        <v>90</v>
      </c>
      <c r="Q96" s="32" t="n">
        <v>82</v>
      </c>
      <c r="R96" s="32" t="n">
        <v>76</v>
      </c>
      <c r="S96" s="34" t="n">
        <f aca="false">(R96*70)/100</f>
        <v>53.2</v>
      </c>
      <c r="T96" s="34" t="n">
        <f aca="false">ROUNDUP(S96,0)</f>
        <v>54</v>
      </c>
      <c r="U96" s="32" t="n">
        <v>28</v>
      </c>
      <c r="V96" s="34" t="n">
        <f aca="false">U96+S96</f>
        <v>81.2</v>
      </c>
      <c r="W96" s="34" t="n">
        <f aca="false">U96+T96</f>
        <v>82</v>
      </c>
      <c r="X96" s="32" t="n">
        <v>76</v>
      </c>
      <c r="Y96" s="34" t="n">
        <f aca="false">(X96*70)/100</f>
        <v>53.2</v>
      </c>
      <c r="Z96" s="34" t="n">
        <f aca="false">ROUNDUP(Y96,0)</f>
        <v>54</v>
      </c>
      <c r="AA96" s="32" t="n">
        <v>24</v>
      </c>
      <c r="AB96" s="34" t="n">
        <f aca="false">AA96+Y96</f>
        <v>77.2</v>
      </c>
      <c r="AC96" s="34" t="n">
        <f aca="false">AA96+Z96</f>
        <v>78</v>
      </c>
      <c r="AD96" s="32" t="n">
        <f aca="false">X96+R96+Q96+K96+J96</f>
        <v>396</v>
      </c>
      <c r="AE96" s="16" t="n">
        <f aca="false">AD96/5</f>
        <v>79.2</v>
      </c>
      <c r="AF96" s="16" t="n">
        <v>71</v>
      </c>
      <c r="AG96" s="16" t="n">
        <v>75</v>
      </c>
      <c r="AH96" s="16" t="n">
        <v>97</v>
      </c>
      <c r="AI96" s="16" t="n">
        <v>95</v>
      </c>
      <c r="AJ96" s="16" t="n">
        <f aca="false">(AI96*70)/100</f>
        <v>66.5</v>
      </c>
      <c r="AK96" s="35" t="n">
        <f aca="false">ROUNDUP(AJ96,0)</f>
        <v>67</v>
      </c>
      <c r="AL96" s="16" t="n">
        <v>23</v>
      </c>
      <c r="AM96" s="16" t="n">
        <f aca="false">AL96+AJ96</f>
        <v>89.5</v>
      </c>
      <c r="AN96" s="16" t="n">
        <f aca="false">AL96+AK96</f>
        <v>90</v>
      </c>
      <c r="AO96" s="16" t="n">
        <v>84</v>
      </c>
      <c r="AP96" s="36" t="n">
        <f aca="false">(AO96*70)/100</f>
        <v>58.8</v>
      </c>
      <c r="AQ96" s="37" t="n">
        <f aca="false">ROUNDUP(AP96,0)</f>
        <v>59</v>
      </c>
      <c r="AR96" s="16" t="n">
        <v>26</v>
      </c>
      <c r="AS96" s="16" t="n">
        <f aca="false">AR96+AP96</f>
        <v>84.8</v>
      </c>
      <c r="AT96" s="16" t="n">
        <f aca="false">AR96+AQ96</f>
        <v>85</v>
      </c>
      <c r="AU96" s="16" t="n">
        <f aca="false">AO96+AF96+AI96+AH96+AG96</f>
        <v>422</v>
      </c>
      <c r="AV96" s="16" t="n">
        <f aca="false">(AO96+AF96+AI96+AH96+AG96)/5</f>
        <v>84.4</v>
      </c>
      <c r="AW96" s="36" t="n">
        <f aca="false">(AO96+AF96+AI96+AH96+AG96+X96+R96+Q96+K96+J96)</f>
        <v>818</v>
      </c>
      <c r="AX96" s="16" t="n">
        <f aca="false">AW96/10</f>
        <v>81.8</v>
      </c>
      <c r="AY96" s="16" t="n">
        <f aca="false">AS96+AF96+AM96+AH96+AG96+AB96+V96+Q96+O96+J96</f>
        <v>822.9</v>
      </c>
      <c r="AZ96" s="16" t="n">
        <f aca="false">AT96+AF96+AN96+AH96+AG96+AC96+W96+Q96+P96+J96</f>
        <v>826</v>
      </c>
      <c r="BA96" s="16" t="n">
        <f aca="false">AY96/10</f>
        <v>82.29</v>
      </c>
      <c r="BB96" s="16" t="n">
        <f aca="false">AZ96/10</f>
        <v>82.6</v>
      </c>
      <c r="BC96" s="16" t="n">
        <v>2343</v>
      </c>
      <c r="BD96" s="16" t="n">
        <f aca="false">RANK(AX96,$AX$2:$AX$881,0)</f>
        <v>171</v>
      </c>
      <c r="BE96" s="54" t="n">
        <f aca="false">((BC96*100)/2400)*0.4+(AX96*0.6)</f>
        <v>88.13</v>
      </c>
      <c r="BF96" s="16" t="n">
        <f aca="false">RANK(BE96,$BE$2:$BE$881,0)</f>
        <v>197</v>
      </c>
      <c r="BG96" s="39" t="n">
        <f aca="false">RANK(BB96,$BB$2:$BB$881,0)</f>
        <v>178</v>
      </c>
      <c r="BH96" s="39" t="n">
        <f aca="false">RANK(BC96,$BC$2:$BC$881,0)</f>
        <v>613</v>
      </c>
      <c r="BI96" s="22" t="s">
        <v>130</v>
      </c>
      <c r="BJ96" s="22" t="s">
        <v>129</v>
      </c>
      <c r="BK96" s="40" t="s">
        <v>131</v>
      </c>
      <c r="BL96" s="41" t="n">
        <v>27</v>
      </c>
      <c r="BM96" s="41" t="n">
        <v>56</v>
      </c>
      <c r="BN96" s="41" t="n">
        <v>83</v>
      </c>
      <c r="BO96" s="42" t="n">
        <v>27</v>
      </c>
      <c r="BP96" s="43" t="n">
        <v>62</v>
      </c>
      <c r="BQ96" s="44" t="n">
        <v>89</v>
      </c>
      <c r="BR96" s="42" t="n">
        <v>26</v>
      </c>
      <c r="BS96" s="45" t="n">
        <v>61</v>
      </c>
      <c r="BT96" s="45" t="n">
        <v>87</v>
      </c>
      <c r="BU96" s="46" t="n">
        <v>98</v>
      </c>
      <c r="BV96" s="47" t="n">
        <v>92</v>
      </c>
      <c r="BW96" s="42" t="n">
        <v>99</v>
      </c>
      <c r="BX96" s="48" t="n">
        <v>100</v>
      </c>
      <c r="BY96" s="32" t="n">
        <v>28</v>
      </c>
      <c r="BZ96" s="32" t="n">
        <v>61</v>
      </c>
      <c r="CA96" s="32" t="n">
        <v>89</v>
      </c>
      <c r="CB96" s="32" t="n">
        <v>23</v>
      </c>
      <c r="CC96" s="32" t="n">
        <v>46</v>
      </c>
      <c r="CD96" s="32" t="n">
        <v>69</v>
      </c>
      <c r="CE96" s="32" t="n">
        <v>27</v>
      </c>
      <c r="CF96" s="32" t="n">
        <v>58</v>
      </c>
      <c r="CG96" s="32" t="n">
        <v>85</v>
      </c>
      <c r="CH96" s="32" t="n">
        <v>99</v>
      </c>
      <c r="CI96" s="32" t="n">
        <v>98</v>
      </c>
      <c r="CJ96" s="49" t="n">
        <v>23</v>
      </c>
      <c r="CK96" s="49" t="n">
        <v>56</v>
      </c>
      <c r="CL96" s="49" t="n">
        <v>79</v>
      </c>
      <c r="CM96" s="49" t="n">
        <v>26</v>
      </c>
      <c r="CN96" s="49" t="n">
        <v>50</v>
      </c>
      <c r="CO96" s="49" t="n">
        <v>76</v>
      </c>
      <c r="CP96" s="25" t="n">
        <f aca="false">BX96+BW96+BV96+BU96+BT96+BQ96+BN96</f>
        <v>648</v>
      </c>
      <c r="CQ96" s="25" t="n">
        <f aca="false">CO96+CL96+CI96+CH96+CG96+CD96+CA96</f>
        <v>595</v>
      </c>
      <c r="CR96" s="26" t="n">
        <f aca="false">CP96/7</f>
        <v>92.5714285714286</v>
      </c>
      <c r="CS96" s="26" t="n">
        <f aca="false">CQ96/7</f>
        <v>85</v>
      </c>
      <c r="CT96" s="24" t="n">
        <f aca="false">RANK(CR96,$CR$2:$CR$881,0)</f>
        <v>68</v>
      </c>
      <c r="CU96" s="25" t="n">
        <f aca="false">RANK(CS96,$CS$2:$CS$881,0)</f>
        <v>101</v>
      </c>
      <c r="CV96" s="26" t="n">
        <f aca="false">(CS96+CR96)/2</f>
        <v>88.7857142857143</v>
      </c>
      <c r="CW96" s="25" t="n">
        <f aca="false">RANK(CV96,$CV$2:$CV$881,0)</f>
        <v>75</v>
      </c>
      <c r="CX96" s="50" t="n">
        <f aca="false">(CV96+BB96)/2</f>
        <v>85.6928571428571</v>
      </c>
      <c r="CY96" s="50" t="n">
        <v>101</v>
      </c>
      <c r="CZ96" s="27" t="s">
        <v>132</v>
      </c>
      <c r="DA96" s="27" t="s">
        <v>305</v>
      </c>
      <c r="DB96" s="27" t="s">
        <v>305</v>
      </c>
      <c r="DC96" s="27" t="s">
        <v>134</v>
      </c>
      <c r="DD96" s="27" t="s">
        <v>195</v>
      </c>
      <c r="DE96" s="27" t="s">
        <v>161</v>
      </c>
      <c r="DF96" s="27" t="s">
        <v>205</v>
      </c>
      <c r="DG96" s="27" t="s">
        <v>134</v>
      </c>
      <c r="DH96" s="27" t="s">
        <v>182</v>
      </c>
      <c r="DI96" s="27" t="s">
        <v>177</v>
      </c>
      <c r="DJ96" s="27" t="s">
        <v>209</v>
      </c>
      <c r="DK96" s="27" t="s">
        <v>134</v>
      </c>
      <c r="DL96" s="27" t="s">
        <v>137</v>
      </c>
      <c r="DM96" s="27" t="s">
        <v>187</v>
      </c>
      <c r="DN96" s="27" t="s">
        <v>176</v>
      </c>
      <c r="DO96" s="27" t="s">
        <v>134</v>
      </c>
      <c r="DP96" s="27" t="s">
        <v>182</v>
      </c>
      <c r="DQ96" s="27" t="s">
        <v>163</v>
      </c>
      <c r="DR96" s="27" t="s">
        <v>162</v>
      </c>
      <c r="DS96" s="27" t="s">
        <v>134</v>
      </c>
      <c r="DT96" s="27" t="s">
        <v>140</v>
      </c>
      <c r="DU96" s="27" t="s">
        <v>203</v>
      </c>
      <c r="DV96" s="27" t="s">
        <v>170</v>
      </c>
      <c r="DW96" s="27" t="s">
        <v>140</v>
      </c>
      <c r="DX96" s="27" t="s">
        <v>143</v>
      </c>
      <c r="DY96" s="27" t="s">
        <v>144</v>
      </c>
      <c r="DZ96" s="27" t="n">
        <f aca="false">DY96+DV96+DR96+DN96+DJ96+DF96+DB96</f>
        <v>613</v>
      </c>
      <c r="EA96" s="28" t="n">
        <f aca="false">DZ96/7</f>
        <v>87.5714285714286</v>
      </c>
      <c r="EB96" s="27" t="n">
        <f aca="false">RANK(EA96,$EA$2:$EA$881,0)</f>
        <v>106</v>
      </c>
      <c r="EC96" s="29" t="n">
        <f aca="false">DZ96+CQ96+CP96+AZ96</f>
        <v>2682</v>
      </c>
      <c r="ED96" s="30" t="n">
        <f aca="false">(EA96+CV96+BB96)/3</f>
        <v>86.3190476190476</v>
      </c>
      <c r="EE96" s="51" t="n">
        <f aca="false">ROUND(BE96,3)</f>
        <v>88.13</v>
      </c>
      <c r="EF96" s="51" t="n">
        <f aca="false">ROUND(CR96,3)</f>
        <v>92.571</v>
      </c>
      <c r="EG96" s="51" t="n">
        <f aca="false">ROUND(CS96,3)</f>
        <v>85</v>
      </c>
      <c r="EH96" s="51" t="n">
        <f aca="false">ROUND(EA96,3)</f>
        <v>87.571</v>
      </c>
      <c r="EI96" s="51" t="n">
        <f aca="false">ROUND(ED96,3)</f>
        <v>86.319</v>
      </c>
      <c r="EJ96" s="51" t="n">
        <f aca="false">ROUND(CV96,3)</f>
        <v>88.786</v>
      </c>
      <c r="EK96" s="0" t="n">
        <f aca="false">RANK(EI96,$EI$2:$EI$881,0)</f>
        <v>95</v>
      </c>
    </row>
    <row r="97" customFormat="false" ht="15" hidden="false" customHeight="false" outlineLevel="0" collapsed="false">
      <c r="A97" s="4" t="n">
        <v>9080</v>
      </c>
      <c r="B97" s="4" t="n">
        <v>766</v>
      </c>
      <c r="C97" s="27" t="s">
        <v>470</v>
      </c>
      <c r="D97" s="31" t="n">
        <v>784</v>
      </c>
      <c r="E97" s="62" t="n">
        <v>230321043</v>
      </c>
      <c r="F97" s="8" t="s">
        <v>471</v>
      </c>
      <c r="G97" s="63" t="s">
        <v>472</v>
      </c>
      <c r="H97" s="22" t="s">
        <v>129</v>
      </c>
      <c r="I97" s="64" t="n">
        <v>2005</v>
      </c>
      <c r="J97" s="62" t="n">
        <v>73</v>
      </c>
      <c r="K97" s="62" t="n">
        <v>94</v>
      </c>
      <c r="L97" s="34" t="n">
        <f aca="false">(K97*70)/100</f>
        <v>65.8</v>
      </c>
      <c r="M97" s="34" t="n">
        <f aca="false">ROUNDUP(L97,0)</f>
        <v>66</v>
      </c>
      <c r="N97" s="62" t="n">
        <v>26</v>
      </c>
      <c r="O97" s="34" t="n">
        <f aca="false">N97+L97</f>
        <v>91.8</v>
      </c>
      <c r="P97" s="34" t="n">
        <f aca="false">N97+M97</f>
        <v>92</v>
      </c>
      <c r="Q97" s="62" t="n">
        <v>81</v>
      </c>
      <c r="R97" s="62" t="n">
        <v>72</v>
      </c>
      <c r="S97" s="34" t="n">
        <f aca="false">(R97*70)/100</f>
        <v>50.4</v>
      </c>
      <c r="T97" s="34" t="n">
        <f aca="false">ROUNDUP(S97,0)</f>
        <v>51</v>
      </c>
      <c r="U97" s="62" t="n">
        <v>24</v>
      </c>
      <c r="V97" s="34" t="n">
        <f aca="false">U97+S97</f>
        <v>74.4</v>
      </c>
      <c r="W97" s="34" t="n">
        <f aca="false">U97+T97</f>
        <v>75</v>
      </c>
      <c r="X97" s="62" t="n">
        <v>73</v>
      </c>
      <c r="Y97" s="34" t="n">
        <f aca="false">(X97*70)/100</f>
        <v>51.1</v>
      </c>
      <c r="Z97" s="34" t="n">
        <f aca="false">ROUNDUP(Y97,0)</f>
        <v>52</v>
      </c>
      <c r="AA97" s="62" t="n">
        <v>23</v>
      </c>
      <c r="AB97" s="34" t="n">
        <f aca="false">AA97+Y97</f>
        <v>74.1</v>
      </c>
      <c r="AC97" s="34" t="n">
        <f aca="false">AA97+Z97</f>
        <v>75</v>
      </c>
      <c r="AD97" s="32" t="n">
        <f aca="false">X97+R97+Q97+K97+J97</f>
        <v>393</v>
      </c>
      <c r="AE97" s="16" t="n">
        <f aca="false">AD97/5</f>
        <v>78.6</v>
      </c>
      <c r="AF97" s="65" t="n">
        <v>70</v>
      </c>
      <c r="AG97" s="65" t="n">
        <v>86</v>
      </c>
      <c r="AH97" s="65" t="n">
        <v>97</v>
      </c>
      <c r="AI97" s="65" t="n">
        <v>95</v>
      </c>
      <c r="AJ97" s="16" t="n">
        <f aca="false">(AI97*70)/100</f>
        <v>66.5</v>
      </c>
      <c r="AK97" s="35" t="n">
        <f aca="false">ROUNDUP(AJ97,0)</f>
        <v>67</v>
      </c>
      <c r="AL97" s="65" t="n">
        <v>26</v>
      </c>
      <c r="AM97" s="16" t="n">
        <f aca="false">AL97+AJ97</f>
        <v>92.5</v>
      </c>
      <c r="AN97" s="16" t="n">
        <f aca="false">AL97+AK97</f>
        <v>93</v>
      </c>
      <c r="AO97" s="65" t="n">
        <v>83</v>
      </c>
      <c r="AP97" s="36" t="n">
        <f aca="false">(AO97*70)/100</f>
        <v>58.1</v>
      </c>
      <c r="AQ97" s="37" t="n">
        <f aca="false">ROUNDUP(AP97,0)</f>
        <v>59</v>
      </c>
      <c r="AR97" s="65" t="n">
        <v>28</v>
      </c>
      <c r="AS97" s="16" t="n">
        <f aca="false">AR97+AP97</f>
        <v>86.1</v>
      </c>
      <c r="AT97" s="16" t="n">
        <f aca="false">AR97+AQ97</f>
        <v>87</v>
      </c>
      <c r="AU97" s="16" t="n">
        <f aca="false">AO97+AF97+AI97+AH97+AG97</f>
        <v>431</v>
      </c>
      <c r="AV97" s="16" t="n">
        <f aca="false">(AO97+AF97+AI97+AH97+AG97)/5</f>
        <v>86.2</v>
      </c>
      <c r="AW97" s="36" t="n">
        <f aca="false">(AO97+AF97+AI97+AH97+AG97+X97+R97+Q97+K97+J97)</f>
        <v>824</v>
      </c>
      <c r="AX97" s="16" t="n">
        <f aca="false">AW97/10</f>
        <v>82.4</v>
      </c>
      <c r="AY97" s="16" t="n">
        <f aca="false">AS97+AF97+AM97+AH97+AG97+AB97+V97+Q97+O97+J97</f>
        <v>825.9</v>
      </c>
      <c r="AZ97" s="16" t="n">
        <f aca="false">AT97+AF97+AN97+AH97+AG97+AC97+W97+Q97+P97+J97</f>
        <v>829</v>
      </c>
      <c r="BA97" s="16" t="n">
        <f aca="false">AY97/10</f>
        <v>82.59</v>
      </c>
      <c r="BB97" s="16" t="n">
        <f aca="false">AZ97/10</f>
        <v>82.9</v>
      </c>
      <c r="BC97" s="65" t="n">
        <v>2379</v>
      </c>
      <c r="BD97" s="16" t="n">
        <f aca="false">RANK(AX97,$AX$2:$AX$881,0)</f>
        <v>143</v>
      </c>
      <c r="BE97" s="54" t="n">
        <f aca="false">((BC97*100)/2400)*0.4+(AX97*0.6)</f>
        <v>89.09</v>
      </c>
      <c r="BF97" s="16" t="n">
        <f aca="false">RANK(BE97,$BE$2:$BE$881,0)</f>
        <v>134</v>
      </c>
      <c r="BG97" s="39" t="n">
        <f aca="false">RANK(BB97,$BB$2:$BB$881,0)</f>
        <v>166</v>
      </c>
      <c r="BH97" s="39" t="n">
        <f aca="false">RANK(BC97,$BC$2:$BC$881,0)</f>
        <v>160</v>
      </c>
      <c r="BI97" s="22" t="s">
        <v>130</v>
      </c>
      <c r="BJ97" s="22" t="s">
        <v>129</v>
      </c>
      <c r="BK97" s="40" t="s">
        <v>131</v>
      </c>
      <c r="BL97" s="41" t="n">
        <v>21</v>
      </c>
      <c r="BM97" s="41" t="n">
        <v>63</v>
      </c>
      <c r="BN97" s="41" t="n">
        <v>84</v>
      </c>
      <c r="BO97" s="42" t="n">
        <v>27</v>
      </c>
      <c r="BP97" s="43" t="n">
        <v>69</v>
      </c>
      <c r="BQ97" s="44" t="n">
        <v>96</v>
      </c>
      <c r="BR97" s="42" t="n">
        <v>27</v>
      </c>
      <c r="BS97" s="45" t="n">
        <v>60</v>
      </c>
      <c r="BT97" s="45" t="n">
        <v>87</v>
      </c>
      <c r="BU97" s="46" t="n">
        <v>100</v>
      </c>
      <c r="BV97" s="47" t="n">
        <v>86</v>
      </c>
      <c r="BW97" s="42" t="n">
        <v>98</v>
      </c>
      <c r="BX97" s="48" t="n">
        <v>98</v>
      </c>
      <c r="BY97" s="32" t="n">
        <v>25</v>
      </c>
      <c r="BZ97" s="32" t="n">
        <v>49</v>
      </c>
      <c r="CA97" s="32" t="n">
        <v>74</v>
      </c>
      <c r="CB97" s="32" t="n">
        <v>25</v>
      </c>
      <c r="CC97" s="32" t="n">
        <v>56</v>
      </c>
      <c r="CD97" s="32" t="n">
        <v>81</v>
      </c>
      <c r="CE97" s="32" t="n">
        <v>23</v>
      </c>
      <c r="CF97" s="32" t="n">
        <v>56</v>
      </c>
      <c r="CG97" s="32" t="n">
        <v>79</v>
      </c>
      <c r="CH97" s="32" t="n">
        <v>99</v>
      </c>
      <c r="CI97" s="32" t="n">
        <v>96</v>
      </c>
      <c r="CJ97" s="49" t="n">
        <v>18</v>
      </c>
      <c r="CK97" s="49" t="n">
        <v>49</v>
      </c>
      <c r="CL97" s="49" t="n">
        <v>67</v>
      </c>
      <c r="CM97" s="49" t="n">
        <v>19</v>
      </c>
      <c r="CN97" s="58" t="n">
        <v>56</v>
      </c>
      <c r="CO97" s="58" t="n">
        <v>75</v>
      </c>
      <c r="CP97" s="25" t="n">
        <f aca="false">BX97+BW97+BV97+BU97+BT97+BQ97+BN97</f>
        <v>649</v>
      </c>
      <c r="CQ97" s="25" t="n">
        <f aca="false">CO97+CL97+CI97+CH97+CG97+CD97+CA97</f>
        <v>571</v>
      </c>
      <c r="CR97" s="26" t="n">
        <f aca="false">CP97/7</f>
        <v>92.7142857142857</v>
      </c>
      <c r="CS97" s="26" t="n">
        <f aca="false">CQ97/7</f>
        <v>81.5714285714286</v>
      </c>
      <c r="CT97" s="24" t="n">
        <f aca="false">RANK(CR97,$CR$2:$CR$881,0)</f>
        <v>58</v>
      </c>
      <c r="CU97" s="25" t="n">
        <f aca="false">RANK(CS97,$CS$2:$CS$881,0)</f>
        <v>207</v>
      </c>
      <c r="CV97" s="26" t="n">
        <f aca="false">(CS97+CR97)/2</f>
        <v>87.1428571428571</v>
      </c>
      <c r="CW97" s="25" t="n">
        <f aca="false">RANK(CV97,$CV$2:$CV$881,0)</f>
        <v>133</v>
      </c>
      <c r="CX97" s="50" t="n">
        <f aca="false">(CV97+BB97)/2</f>
        <v>85.0214285714286</v>
      </c>
      <c r="CY97" s="50" t="n">
        <v>245</v>
      </c>
      <c r="CZ97" s="27" t="s">
        <v>132</v>
      </c>
      <c r="DA97" s="27" t="s">
        <v>162</v>
      </c>
      <c r="DB97" s="27" t="s">
        <v>162</v>
      </c>
      <c r="DC97" s="27" t="s">
        <v>134</v>
      </c>
      <c r="DD97" s="27" t="s">
        <v>137</v>
      </c>
      <c r="DE97" s="27" t="s">
        <v>177</v>
      </c>
      <c r="DF97" s="27" t="s">
        <v>202</v>
      </c>
      <c r="DG97" s="27" t="s">
        <v>134</v>
      </c>
      <c r="DH97" s="27" t="s">
        <v>191</v>
      </c>
      <c r="DI97" s="27" t="s">
        <v>141</v>
      </c>
      <c r="DJ97" s="27" t="s">
        <v>178</v>
      </c>
      <c r="DK97" s="27" t="s">
        <v>134</v>
      </c>
      <c r="DL97" s="27" t="s">
        <v>164</v>
      </c>
      <c r="DM97" s="27" t="s">
        <v>152</v>
      </c>
      <c r="DN97" s="27" t="s">
        <v>170</v>
      </c>
      <c r="DO97" s="27" t="s">
        <v>134</v>
      </c>
      <c r="DP97" s="27" t="s">
        <v>154</v>
      </c>
      <c r="DQ97" s="27" t="s">
        <v>163</v>
      </c>
      <c r="DR97" s="27" t="s">
        <v>133</v>
      </c>
      <c r="DS97" s="27" t="s">
        <v>134</v>
      </c>
      <c r="DT97" s="27" t="s">
        <v>164</v>
      </c>
      <c r="DU97" s="27" t="s">
        <v>220</v>
      </c>
      <c r="DV97" s="27" t="s">
        <v>169</v>
      </c>
      <c r="DW97" s="27" t="s">
        <v>140</v>
      </c>
      <c r="DX97" s="27" t="s">
        <v>138</v>
      </c>
      <c r="DY97" s="27" t="s">
        <v>145</v>
      </c>
      <c r="DZ97" s="27" t="n">
        <f aca="false">DY97+DV97+DR97+DN97+DJ97+DF97+DB97</f>
        <v>622</v>
      </c>
      <c r="EA97" s="28" t="n">
        <f aca="false">DZ97/7</f>
        <v>88.8571428571429</v>
      </c>
      <c r="EB97" s="27" t="n">
        <f aca="false">RANK(EA97,$EA$2:$EA$881,0)</f>
        <v>85</v>
      </c>
      <c r="EC97" s="29" t="n">
        <f aca="false">DZ97+CQ97+CP97+AZ97</f>
        <v>2671</v>
      </c>
      <c r="ED97" s="30" t="n">
        <f aca="false">(EA97+CV97+BB97)/3</f>
        <v>86.3</v>
      </c>
      <c r="EE97" s="51" t="n">
        <f aca="false">ROUND(BE97,3)</f>
        <v>89.09</v>
      </c>
      <c r="EF97" s="51" t="n">
        <f aca="false">ROUND(CR97,3)</f>
        <v>92.714</v>
      </c>
      <c r="EG97" s="51" t="n">
        <f aca="false">ROUND(CS97,3)</f>
        <v>81.571</v>
      </c>
      <c r="EH97" s="51" t="n">
        <f aca="false">ROUND(EA97,3)</f>
        <v>88.857</v>
      </c>
      <c r="EI97" s="51" t="n">
        <f aca="false">ROUND(ED97,3)</f>
        <v>86.3</v>
      </c>
      <c r="EJ97" s="51" t="n">
        <f aca="false">ROUND(CV97,3)</f>
        <v>87.143</v>
      </c>
      <c r="EK97" s="0" t="n">
        <f aca="false">RANK(EI97,$EI$2:$EI$881,0)</f>
        <v>96</v>
      </c>
    </row>
    <row r="98" customFormat="false" ht="15" hidden="false" customHeight="false" outlineLevel="0" collapsed="false">
      <c r="A98" s="4" t="n">
        <v>8994</v>
      </c>
      <c r="B98" s="4" t="n">
        <v>387</v>
      </c>
      <c r="C98" s="27" t="s">
        <v>473</v>
      </c>
      <c r="D98" s="31" t="n">
        <v>391</v>
      </c>
      <c r="E98" s="16" t="n">
        <v>230136397</v>
      </c>
      <c r="F98" s="56" t="s">
        <v>474</v>
      </c>
      <c r="G98" s="22" t="s">
        <v>475</v>
      </c>
      <c r="H98" s="22" t="s">
        <v>326</v>
      </c>
      <c r="I98" s="57"/>
      <c r="J98" s="16" t="n">
        <v>84</v>
      </c>
      <c r="K98" s="16" t="n">
        <v>84</v>
      </c>
      <c r="L98" s="34" t="n">
        <f aca="false">(K98*70)/100</f>
        <v>58.8</v>
      </c>
      <c r="M98" s="34" t="n">
        <f aca="false">ROUNDUP(L98,0)</f>
        <v>59</v>
      </c>
      <c r="N98" s="16" t="n">
        <v>29</v>
      </c>
      <c r="O98" s="34" t="n">
        <f aca="false">N98+L98</f>
        <v>87.8</v>
      </c>
      <c r="P98" s="34" t="n">
        <f aca="false">N98+M98</f>
        <v>88</v>
      </c>
      <c r="Q98" s="16" t="n">
        <v>84</v>
      </c>
      <c r="R98" s="16" t="n">
        <v>71</v>
      </c>
      <c r="S98" s="34" t="n">
        <f aca="false">(R98*70)/100</f>
        <v>49.7</v>
      </c>
      <c r="T98" s="34" t="n">
        <f aca="false">ROUNDUP(S98,0)</f>
        <v>50</v>
      </c>
      <c r="U98" s="16" t="n">
        <v>27</v>
      </c>
      <c r="V98" s="34" t="n">
        <f aca="false">U98+S98</f>
        <v>76.7</v>
      </c>
      <c r="W98" s="34" t="n">
        <f aca="false">U98+T98</f>
        <v>77</v>
      </c>
      <c r="X98" s="16" t="n">
        <v>77</v>
      </c>
      <c r="Y98" s="34" t="n">
        <f aca="false">(X98*70)/100</f>
        <v>53.9</v>
      </c>
      <c r="Z98" s="34" t="n">
        <f aca="false">ROUNDUP(Y98,0)</f>
        <v>54</v>
      </c>
      <c r="AA98" s="16" t="n">
        <v>26</v>
      </c>
      <c r="AB98" s="34" t="n">
        <f aca="false">AA98+Y98</f>
        <v>79.9</v>
      </c>
      <c r="AC98" s="34" t="n">
        <f aca="false">AA98+Z98</f>
        <v>80</v>
      </c>
      <c r="AD98" s="32" t="n">
        <f aca="false">X98+R98+Q98+K98+J98</f>
        <v>400</v>
      </c>
      <c r="AE98" s="16" t="n">
        <f aca="false">AD98/5</f>
        <v>80</v>
      </c>
      <c r="AF98" s="16" t="n">
        <v>78</v>
      </c>
      <c r="AG98" s="16" t="n">
        <v>92</v>
      </c>
      <c r="AH98" s="16" t="n">
        <v>91</v>
      </c>
      <c r="AI98" s="16" t="n">
        <v>87</v>
      </c>
      <c r="AJ98" s="16" t="n">
        <f aca="false">(AI98*70)/100</f>
        <v>60.9</v>
      </c>
      <c r="AK98" s="35" t="n">
        <f aca="false">ROUNDUP(AJ98,0)</f>
        <v>61</v>
      </c>
      <c r="AL98" s="16" t="n">
        <v>28</v>
      </c>
      <c r="AM98" s="16" t="n">
        <f aca="false">AL98+AJ98</f>
        <v>88.9</v>
      </c>
      <c r="AN98" s="16" t="n">
        <f aca="false">AL98+AK98</f>
        <v>89</v>
      </c>
      <c r="AO98" s="16" t="n">
        <v>73</v>
      </c>
      <c r="AP98" s="36" t="n">
        <f aca="false">(AO98*70)/100</f>
        <v>51.1</v>
      </c>
      <c r="AQ98" s="37" t="n">
        <f aca="false">ROUNDUP(AP98,0)</f>
        <v>52</v>
      </c>
      <c r="AR98" s="16" t="n">
        <v>28</v>
      </c>
      <c r="AS98" s="16" t="n">
        <f aca="false">AR98+AP98</f>
        <v>79.1</v>
      </c>
      <c r="AT98" s="16" t="n">
        <f aca="false">AR98+AQ98</f>
        <v>80</v>
      </c>
      <c r="AU98" s="16" t="n">
        <f aca="false">AO98+AF98+AI98+AH98+AG98</f>
        <v>421</v>
      </c>
      <c r="AV98" s="16" t="n">
        <f aca="false">(AO98+AF98+AI98+AH98+AG98)/5</f>
        <v>84.2</v>
      </c>
      <c r="AW98" s="36" t="n">
        <f aca="false">(AO98+AF98+AI98+AH98+AG98+X98+R98+Q98+K98+J98)</f>
        <v>821</v>
      </c>
      <c r="AX98" s="16" t="n">
        <f aca="false">AW98/10</f>
        <v>82.1</v>
      </c>
      <c r="AY98" s="16" t="n">
        <f aca="false">AS98+AF98+AM98+AH98+AG98+AB98+V98+Q98+O98+J98</f>
        <v>841.4</v>
      </c>
      <c r="AZ98" s="16" t="n">
        <f aca="false">AT98+AF98+AN98+AH98+AG98+AC98+W98+Q98+P98+J98</f>
        <v>843</v>
      </c>
      <c r="BA98" s="16" t="n">
        <f aca="false">AY98/10</f>
        <v>84.14</v>
      </c>
      <c r="BB98" s="16" t="n">
        <f aca="false">AZ98/10</f>
        <v>84.3</v>
      </c>
      <c r="BC98" s="16" t="n">
        <v>2343</v>
      </c>
      <c r="BD98" s="16" t="n">
        <f aca="false">RANK(AX98,$AX$2:$AX$881,0)</f>
        <v>161</v>
      </c>
      <c r="BE98" s="54" t="n">
        <f aca="false">((BC98*100)/2400)*0.4+(AX98*0.6)</f>
        <v>88.31</v>
      </c>
      <c r="BF98" s="16" t="n">
        <f aca="false">RANK(BE98,$BE$2:$BE$881,0)</f>
        <v>181</v>
      </c>
      <c r="BG98" s="39" t="n">
        <f aca="false">RANK(BB98,$BB$2:$BB$881,0)</f>
        <v>116</v>
      </c>
      <c r="BH98" s="39" t="n">
        <f aca="false">RANK(BC98,$BC$2:$BC$881,0)</f>
        <v>613</v>
      </c>
      <c r="BI98" s="22" t="s">
        <v>130</v>
      </c>
      <c r="BJ98" s="22" t="s">
        <v>129</v>
      </c>
      <c r="BK98" s="40" t="s">
        <v>131</v>
      </c>
      <c r="BL98" s="41" t="n">
        <v>24</v>
      </c>
      <c r="BM98" s="41" t="n">
        <v>47</v>
      </c>
      <c r="BN98" s="41" t="n">
        <v>71</v>
      </c>
      <c r="BO98" s="42" t="n">
        <v>27</v>
      </c>
      <c r="BP98" s="43" t="n">
        <v>43</v>
      </c>
      <c r="BQ98" s="44" t="n">
        <v>70</v>
      </c>
      <c r="BR98" s="42" t="n">
        <v>21</v>
      </c>
      <c r="BS98" s="45" t="n">
        <v>59</v>
      </c>
      <c r="BT98" s="45" t="n">
        <v>80</v>
      </c>
      <c r="BU98" s="46" t="n">
        <v>100</v>
      </c>
      <c r="BV98" s="47" t="n">
        <v>90</v>
      </c>
      <c r="BW98" s="42" t="n">
        <v>93</v>
      </c>
      <c r="BX98" s="48" t="n">
        <v>96</v>
      </c>
      <c r="BY98" s="32" t="n">
        <v>25</v>
      </c>
      <c r="BZ98" s="32" t="n">
        <v>52</v>
      </c>
      <c r="CA98" s="32" t="n">
        <v>77</v>
      </c>
      <c r="CB98" s="32" t="n">
        <v>25</v>
      </c>
      <c r="CC98" s="32" t="n">
        <v>38</v>
      </c>
      <c r="CD98" s="32" t="n">
        <v>63</v>
      </c>
      <c r="CE98" s="32" t="n">
        <v>21</v>
      </c>
      <c r="CF98" s="32" t="n">
        <v>53</v>
      </c>
      <c r="CG98" s="32" t="n">
        <v>74</v>
      </c>
      <c r="CH98" s="32" t="n">
        <v>100</v>
      </c>
      <c r="CI98" s="32" t="n">
        <v>99</v>
      </c>
      <c r="CJ98" s="49" t="n">
        <v>17</v>
      </c>
      <c r="CK98" s="49" t="n">
        <v>51</v>
      </c>
      <c r="CL98" s="49" t="n">
        <v>68</v>
      </c>
      <c r="CM98" s="49" t="n">
        <v>21</v>
      </c>
      <c r="CN98" s="58" t="n">
        <v>62</v>
      </c>
      <c r="CO98" s="58" t="n">
        <v>83</v>
      </c>
      <c r="CP98" s="25" t="n">
        <f aca="false">BX98+BW98+BV98+BU98+BT98+BQ98+BN98</f>
        <v>600</v>
      </c>
      <c r="CQ98" s="25" t="n">
        <f aca="false">CO98+CL98+CI98+CH98+CG98+CD98+CA98</f>
        <v>564</v>
      </c>
      <c r="CR98" s="26" t="n">
        <f aca="false">CP98/7</f>
        <v>85.7142857142857</v>
      </c>
      <c r="CS98" s="26" t="n">
        <f aca="false">CQ98/7</f>
        <v>80.5714285714286</v>
      </c>
      <c r="CT98" s="24" t="n">
        <f aca="false">RANK(CR98,$CR$2:$CR$881,0)</f>
        <v>413</v>
      </c>
      <c r="CU98" s="25" t="n">
        <f aca="false">RANK(CS98,$CS$2:$CS$881,0)</f>
        <v>240</v>
      </c>
      <c r="CV98" s="26" t="n">
        <f aca="false">(CS98+CR98)/2</f>
        <v>83.1428571428571</v>
      </c>
      <c r="CW98" s="25" t="n">
        <f aca="false">RANK(CV98,$CV$2:$CV$881,0)</f>
        <v>289</v>
      </c>
      <c r="CX98" s="50" t="n">
        <f aca="false">(CV98+BB98)/2</f>
        <v>83.7214285714286</v>
      </c>
      <c r="CY98" s="50" t="n">
        <v>336</v>
      </c>
      <c r="CZ98" s="27" t="s">
        <v>132</v>
      </c>
      <c r="DA98" s="27" t="s">
        <v>153</v>
      </c>
      <c r="DB98" s="27" t="s">
        <v>153</v>
      </c>
      <c r="DC98" s="27" t="s">
        <v>134</v>
      </c>
      <c r="DD98" s="27" t="s">
        <v>135</v>
      </c>
      <c r="DE98" s="27" t="s">
        <v>141</v>
      </c>
      <c r="DF98" s="27" t="s">
        <v>176</v>
      </c>
      <c r="DG98" s="27" t="s">
        <v>134</v>
      </c>
      <c r="DH98" s="27" t="s">
        <v>140</v>
      </c>
      <c r="DI98" s="27" t="s">
        <v>163</v>
      </c>
      <c r="DJ98" s="27" t="s">
        <v>156</v>
      </c>
      <c r="DK98" s="27" t="s">
        <v>134</v>
      </c>
      <c r="DL98" s="27" t="s">
        <v>140</v>
      </c>
      <c r="DM98" s="27" t="s">
        <v>204</v>
      </c>
      <c r="DN98" s="27" t="s">
        <v>133</v>
      </c>
      <c r="DO98" s="27" t="s">
        <v>134</v>
      </c>
      <c r="DP98" s="27" t="s">
        <v>135</v>
      </c>
      <c r="DQ98" s="27" t="s">
        <v>183</v>
      </c>
      <c r="DR98" s="27" t="s">
        <v>169</v>
      </c>
      <c r="DS98" s="27" t="s">
        <v>134</v>
      </c>
      <c r="DT98" s="27" t="s">
        <v>146</v>
      </c>
      <c r="DU98" s="27" t="s">
        <v>163</v>
      </c>
      <c r="DV98" s="27" t="s">
        <v>139</v>
      </c>
      <c r="DW98" s="27" t="s">
        <v>160</v>
      </c>
      <c r="DX98" s="27" t="s">
        <v>155</v>
      </c>
      <c r="DY98" s="27" t="s">
        <v>145</v>
      </c>
      <c r="DZ98" s="27" t="n">
        <f aca="false">DY98+DV98+DR98+DN98+DJ98+DF98+DB98</f>
        <v>640</v>
      </c>
      <c r="EA98" s="28" t="n">
        <f aca="false">DZ98/7</f>
        <v>91.4285714285714</v>
      </c>
      <c r="EB98" s="27" t="n">
        <f aca="false">RANK(EA98,$EA$2:$EA$881,0)</f>
        <v>28</v>
      </c>
      <c r="EC98" s="29" t="n">
        <f aca="false">DZ98+CQ98+CP98+AZ98</f>
        <v>2647</v>
      </c>
      <c r="ED98" s="30" t="n">
        <f aca="false">(EA98+CV98+BB98)/3</f>
        <v>86.2904761904762</v>
      </c>
      <c r="EE98" s="51" t="n">
        <f aca="false">ROUND(BE98,3)</f>
        <v>88.31</v>
      </c>
      <c r="EF98" s="51" t="n">
        <f aca="false">ROUND(CR98,3)</f>
        <v>85.714</v>
      </c>
      <c r="EG98" s="51" t="n">
        <f aca="false">ROUND(CS98,3)</f>
        <v>80.571</v>
      </c>
      <c r="EH98" s="51" t="n">
        <f aca="false">ROUND(EA98,3)</f>
        <v>91.429</v>
      </c>
      <c r="EI98" s="51" t="n">
        <f aca="false">ROUND(ED98,3)</f>
        <v>86.29</v>
      </c>
      <c r="EJ98" s="51" t="n">
        <f aca="false">ROUND(CV98,3)</f>
        <v>83.143</v>
      </c>
      <c r="EK98" s="0" t="n">
        <f aca="false">RANK(EI98,$EI$2:$EI$881,0)</f>
        <v>97</v>
      </c>
    </row>
    <row r="99" customFormat="false" ht="15" hidden="false" customHeight="false" outlineLevel="0" collapsed="false">
      <c r="A99" s="4" t="n">
        <v>8932</v>
      </c>
      <c r="B99" s="4" t="n">
        <v>722</v>
      </c>
      <c r="C99" s="27" t="s">
        <v>476</v>
      </c>
      <c r="D99" s="31" t="n">
        <v>737</v>
      </c>
      <c r="E99" s="32" t="n">
        <v>230312579</v>
      </c>
      <c r="F99" s="8" t="s">
        <v>477</v>
      </c>
      <c r="G99" s="22" t="s">
        <v>478</v>
      </c>
      <c r="H99" s="22" t="s">
        <v>129</v>
      </c>
      <c r="I99" s="33" t="n">
        <v>2005</v>
      </c>
      <c r="J99" s="32" t="n">
        <v>87</v>
      </c>
      <c r="K99" s="32" t="n">
        <v>98</v>
      </c>
      <c r="L99" s="34" t="n">
        <f aca="false">(K99*70)/100</f>
        <v>68.6</v>
      </c>
      <c r="M99" s="34" t="n">
        <f aca="false">ROUNDUP(L99,0)</f>
        <v>69</v>
      </c>
      <c r="N99" s="32" t="n">
        <v>30</v>
      </c>
      <c r="O99" s="34" t="n">
        <f aca="false">N99+L99</f>
        <v>98.6</v>
      </c>
      <c r="P99" s="34" t="n">
        <f aca="false">N99+M99</f>
        <v>99</v>
      </c>
      <c r="Q99" s="32" t="n">
        <v>86</v>
      </c>
      <c r="R99" s="32" t="n">
        <v>93</v>
      </c>
      <c r="S99" s="34" t="n">
        <f aca="false">(R99*70)/100</f>
        <v>65.1</v>
      </c>
      <c r="T99" s="34" t="n">
        <f aca="false">ROUNDUP(S99,0)</f>
        <v>66</v>
      </c>
      <c r="U99" s="32" t="n">
        <v>29</v>
      </c>
      <c r="V99" s="34" t="n">
        <f aca="false">U99+S99</f>
        <v>94.1</v>
      </c>
      <c r="W99" s="34" t="n">
        <f aca="false">U99+T99</f>
        <v>95</v>
      </c>
      <c r="X99" s="32" t="n">
        <v>86</v>
      </c>
      <c r="Y99" s="34" t="n">
        <f aca="false">(X99*70)/100</f>
        <v>60.2</v>
      </c>
      <c r="Z99" s="34" t="n">
        <f aca="false">ROUNDUP(Y99,0)</f>
        <v>61</v>
      </c>
      <c r="AA99" s="32" t="n">
        <v>27</v>
      </c>
      <c r="AB99" s="34" t="n">
        <f aca="false">AA99+Y99</f>
        <v>87.2</v>
      </c>
      <c r="AC99" s="34" t="n">
        <f aca="false">AA99+Z99</f>
        <v>88</v>
      </c>
      <c r="AD99" s="32" t="n">
        <f aca="false">X99+R99+Q99+K99+J99</f>
        <v>450</v>
      </c>
      <c r="AE99" s="16" t="n">
        <f aca="false">AD99/5</f>
        <v>90</v>
      </c>
      <c r="AF99" s="16" t="n">
        <v>88</v>
      </c>
      <c r="AG99" s="16" t="n">
        <v>94</v>
      </c>
      <c r="AH99" s="16" t="n">
        <v>93</v>
      </c>
      <c r="AI99" s="16" t="n">
        <v>96</v>
      </c>
      <c r="AJ99" s="16" t="n">
        <f aca="false">(AI99*70)/100</f>
        <v>67.2</v>
      </c>
      <c r="AK99" s="35" t="n">
        <f aca="false">ROUNDUP(AJ99,0)</f>
        <v>68</v>
      </c>
      <c r="AL99" s="16" t="n">
        <v>26</v>
      </c>
      <c r="AM99" s="16" t="n">
        <f aca="false">AL99+AJ99</f>
        <v>93.2</v>
      </c>
      <c r="AN99" s="16" t="n">
        <f aca="false">AL99+AK99</f>
        <v>94</v>
      </c>
      <c r="AO99" s="16" t="n">
        <v>91</v>
      </c>
      <c r="AP99" s="36" t="n">
        <f aca="false">(AO99*70)/100</f>
        <v>63.7</v>
      </c>
      <c r="AQ99" s="37" t="n">
        <f aca="false">ROUNDUP(AP99,0)</f>
        <v>64</v>
      </c>
      <c r="AR99" s="16" t="n">
        <v>30</v>
      </c>
      <c r="AS99" s="16" t="n">
        <f aca="false">AR99+AP99</f>
        <v>93.7</v>
      </c>
      <c r="AT99" s="16" t="n">
        <f aca="false">AR99+AQ99</f>
        <v>94</v>
      </c>
      <c r="AU99" s="16" t="n">
        <f aca="false">AO99+AF99+AI99+AH99+AG99</f>
        <v>462</v>
      </c>
      <c r="AV99" s="16" t="n">
        <f aca="false">(AO99+AF99+AI99+AH99+AG99)/5</f>
        <v>92.4</v>
      </c>
      <c r="AW99" s="36" t="n">
        <f aca="false">(AO99+AF99+AI99+AH99+AG99+X99+R99+Q99+K99+J99)</f>
        <v>912</v>
      </c>
      <c r="AX99" s="16" t="n">
        <f aca="false">AW99/10</f>
        <v>91.2</v>
      </c>
      <c r="AY99" s="16" t="n">
        <f aca="false">AS99+AF99+AM99+AH99+AG99+AB99+V99+Q99+O99+J99</f>
        <v>914.8</v>
      </c>
      <c r="AZ99" s="16" t="n">
        <f aca="false">AT99+AF99+AN99+AH99+AG99+AC99+W99+Q99+P99+J99</f>
        <v>918</v>
      </c>
      <c r="BA99" s="16" t="n">
        <f aca="false">AY99/10</f>
        <v>91.48</v>
      </c>
      <c r="BB99" s="16" t="n">
        <f aca="false">AZ99/10</f>
        <v>91.8</v>
      </c>
      <c r="BC99" s="16" t="n">
        <v>2378</v>
      </c>
      <c r="BD99" s="16" t="n">
        <f aca="false">RANK(AX99,$AX$2:$AX$881,0)</f>
        <v>10</v>
      </c>
      <c r="BE99" s="38" t="n">
        <f aca="false">((BC99*100)/2400)*0.4+(AX99*0.6)</f>
        <v>94.3533333333333</v>
      </c>
      <c r="BF99" s="16" t="n">
        <f aca="false">RANK(BE99,$BE$2:$BE$881,0)</f>
        <v>13</v>
      </c>
      <c r="BG99" s="39" t="n">
        <f aca="false">RANK(BB99,$BB$2:$BB$881,0)</f>
        <v>10</v>
      </c>
      <c r="BH99" s="39" t="n">
        <f aca="false">RANK(BC99,$BC$2:$BC$881,0)</f>
        <v>173</v>
      </c>
      <c r="BI99" s="22" t="s">
        <v>130</v>
      </c>
      <c r="BJ99" s="22" t="s">
        <v>129</v>
      </c>
      <c r="BK99" s="40" t="s">
        <v>131</v>
      </c>
      <c r="BL99" s="41" t="n">
        <v>22</v>
      </c>
      <c r="BM99" s="41" t="n">
        <v>64</v>
      </c>
      <c r="BN99" s="41" t="n">
        <v>86</v>
      </c>
      <c r="BO99" s="42" t="n">
        <v>29</v>
      </c>
      <c r="BP99" s="43" t="n">
        <v>69</v>
      </c>
      <c r="BQ99" s="44" t="n">
        <v>98</v>
      </c>
      <c r="BR99" s="42" t="n">
        <v>24</v>
      </c>
      <c r="BS99" s="45" t="n">
        <v>63</v>
      </c>
      <c r="BT99" s="45" t="n">
        <v>87</v>
      </c>
      <c r="BU99" s="46" t="n">
        <v>100</v>
      </c>
      <c r="BV99" s="47" t="n">
        <v>96</v>
      </c>
      <c r="BW99" s="42" t="n">
        <v>100</v>
      </c>
      <c r="BX99" s="48" t="n">
        <v>96</v>
      </c>
      <c r="BY99" s="32" t="n">
        <v>29</v>
      </c>
      <c r="BZ99" s="32" t="n">
        <v>67</v>
      </c>
      <c r="CA99" s="32" t="n">
        <v>96</v>
      </c>
      <c r="CB99" s="32" t="n">
        <v>25</v>
      </c>
      <c r="CC99" s="60"/>
      <c r="CD99" s="60"/>
      <c r="CE99" s="32" t="n">
        <v>28</v>
      </c>
      <c r="CF99" s="32" t="n">
        <v>66</v>
      </c>
      <c r="CG99" s="32" t="n">
        <v>94</v>
      </c>
      <c r="CH99" s="32" t="n">
        <v>99</v>
      </c>
      <c r="CI99" s="32" t="n">
        <v>100</v>
      </c>
      <c r="CJ99" s="49" t="n">
        <v>26</v>
      </c>
      <c r="CK99" s="49" t="n">
        <v>61</v>
      </c>
      <c r="CL99" s="49" t="n">
        <v>87</v>
      </c>
      <c r="CM99" s="49" t="n">
        <v>21</v>
      </c>
      <c r="CN99" s="49" t="n">
        <v>52</v>
      </c>
      <c r="CO99" s="49" t="n">
        <v>73</v>
      </c>
      <c r="CP99" s="25" t="n">
        <f aca="false">BX99+BW99+BV99+BU99+BT99+BQ99+BN99</f>
        <v>663</v>
      </c>
      <c r="CQ99" s="25" t="n">
        <f aca="false">CO99+CL99+CI99+CH99+CG99+CD99+CA99</f>
        <v>549</v>
      </c>
      <c r="CR99" s="26" t="n">
        <f aca="false">CP99/7</f>
        <v>94.7142857142857</v>
      </c>
      <c r="CS99" s="26" t="n">
        <f aca="false">CQ99/7</f>
        <v>78.4285714285714</v>
      </c>
      <c r="CT99" s="24" t="n">
        <f aca="false">RANK(CR99,$CR$2:$CR$881,0)</f>
        <v>15</v>
      </c>
      <c r="CU99" s="25" t="n">
        <f aca="false">RANK(CS99,$CS$2:$CS$881,0)</f>
        <v>321</v>
      </c>
      <c r="CV99" s="26" t="n">
        <f aca="false">(CS99+CR99)/2</f>
        <v>86.5714285714286</v>
      </c>
      <c r="CW99" s="25" t="n">
        <f aca="false">RANK(CV99,$CV$2:$CV$881,0)</f>
        <v>152</v>
      </c>
      <c r="CX99" s="50" t="n">
        <f aca="false">(CV99+BB99)/2</f>
        <v>89.1857142857143</v>
      </c>
      <c r="CY99" s="50" t="n">
        <v>31</v>
      </c>
      <c r="CZ99" s="27" t="s">
        <v>132</v>
      </c>
      <c r="DA99" s="27" t="s">
        <v>202</v>
      </c>
      <c r="DB99" s="27" t="s">
        <v>202</v>
      </c>
      <c r="DC99" s="27" t="s">
        <v>134</v>
      </c>
      <c r="DD99" s="27" t="s">
        <v>164</v>
      </c>
      <c r="DE99" s="27" t="s">
        <v>163</v>
      </c>
      <c r="DF99" s="27" t="s">
        <v>176</v>
      </c>
      <c r="DG99" s="27" t="s">
        <v>134</v>
      </c>
      <c r="DH99" s="27" t="s">
        <v>135</v>
      </c>
      <c r="DI99" s="27" t="s">
        <v>143</v>
      </c>
      <c r="DJ99" s="27" t="s">
        <v>151</v>
      </c>
      <c r="DK99" s="27" t="s">
        <v>134</v>
      </c>
      <c r="DL99" s="27" t="s">
        <v>140</v>
      </c>
      <c r="DM99" s="27" t="s">
        <v>187</v>
      </c>
      <c r="DN99" s="27" t="s">
        <v>139</v>
      </c>
      <c r="DO99" s="27" t="s">
        <v>134</v>
      </c>
      <c r="DP99" s="27" t="s">
        <v>191</v>
      </c>
      <c r="DQ99" s="27" t="s">
        <v>264</v>
      </c>
      <c r="DR99" s="27" t="s">
        <v>479</v>
      </c>
      <c r="DS99" s="27" t="s">
        <v>480</v>
      </c>
      <c r="DT99" s="27" t="s">
        <v>154</v>
      </c>
      <c r="DU99" s="27" t="s">
        <v>481</v>
      </c>
      <c r="DV99" s="27" t="s">
        <v>177</v>
      </c>
      <c r="DW99" s="27" t="s">
        <v>140</v>
      </c>
      <c r="DX99" s="27" t="s">
        <v>138</v>
      </c>
      <c r="DY99" s="27" t="s">
        <v>145</v>
      </c>
      <c r="DZ99" s="27" t="n">
        <f aca="false">DY99+DV99+DR99+DN99+DJ99+DF99+DB99</f>
        <v>563</v>
      </c>
      <c r="EA99" s="28" t="n">
        <f aca="false">DZ99/7</f>
        <v>80.4285714285714</v>
      </c>
      <c r="EB99" s="27" t="n">
        <f aca="false">RANK(EA99,$EA$2:$EA$881,0)</f>
        <v>373</v>
      </c>
      <c r="EC99" s="29" t="n">
        <f aca="false">DZ99+CQ99+CP99+AZ99</f>
        <v>2693</v>
      </c>
      <c r="ED99" s="30" t="n">
        <f aca="false">(EA99+CV99+BB99)/3</f>
        <v>86.2666666666667</v>
      </c>
      <c r="EE99" s="51" t="n">
        <f aca="false">ROUND(BE99,3)</f>
        <v>94.353</v>
      </c>
      <c r="EF99" s="51" t="n">
        <f aca="false">ROUND(CR99,3)</f>
        <v>94.714</v>
      </c>
      <c r="EG99" s="51" t="n">
        <f aca="false">ROUND(CS99,3)</f>
        <v>78.429</v>
      </c>
      <c r="EH99" s="51" t="n">
        <f aca="false">ROUND(EA99,3)</f>
        <v>80.429</v>
      </c>
      <c r="EI99" s="51" t="n">
        <f aca="false">ROUND(ED99,3)</f>
        <v>86.267</v>
      </c>
      <c r="EJ99" s="51" t="n">
        <f aca="false">ROUND(CV99,3)</f>
        <v>86.571</v>
      </c>
      <c r="EK99" s="0" t="n">
        <f aca="false">RANK(EI99,$EI$2:$EI$881,0)</f>
        <v>98</v>
      </c>
    </row>
    <row r="100" customFormat="false" ht="15" hidden="false" customHeight="false" outlineLevel="0" collapsed="false">
      <c r="A100" s="4" t="n">
        <v>8844</v>
      </c>
      <c r="B100" s="4" t="n">
        <v>728</v>
      </c>
      <c r="C100" s="27" t="s">
        <v>482</v>
      </c>
      <c r="D100" s="31" t="n">
        <v>743</v>
      </c>
      <c r="E100" s="16" t="n">
        <v>230120612</v>
      </c>
      <c r="F100" s="56" t="s">
        <v>483</v>
      </c>
      <c r="G100" s="22" t="s">
        <v>484</v>
      </c>
      <c r="H100" s="22" t="s">
        <v>326</v>
      </c>
      <c r="I100" s="57"/>
      <c r="J100" s="16" t="n">
        <v>80</v>
      </c>
      <c r="K100" s="16" t="n">
        <v>79</v>
      </c>
      <c r="L100" s="34" t="n">
        <f aca="false">(K100*70)/100</f>
        <v>55.3</v>
      </c>
      <c r="M100" s="34" t="n">
        <f aca="false">ROUNDUP(L100,0)</f>
        <v>56</v>
      </c>
      <c r="N100" s="16" t="n">
        <v>28</v>
      </c>
      <c r="O100" s="34" t="n">
        <f aca="false">N100+L100</f>
        <v>83.3</v>
      </c>
      <c r="P100" s="34" t="n">
        <f aca="false">N100+M100</f>
        <v>84</v>
      </c>
      <c r="Q100" s="16" t="n">
        <v>77</v>
      </c>
      <c r="R100" s="16" t="n">
        <v>64</v>
      </c>
      <c r="S100" s="34" t="n">
        <f aca="false">(R100*70)/100</f>
        <v>44.8</v>
      </c>
      <c r="T100" s="34" t="n">
        <f aca="false">ROUNDUP(S100,0)</f>
        <v>45</v>
      </c>
      <c r="U100" s="16" t="n">
        <v>26</v>
      </c>
      <c r="V100" s="34" t="n">
        <f aca="false">U100+S100</f>
        <v>70.8</v>
      </c>
      <c r="W100" s="34" t="n">
        <f aca="false">U100+T100</f>
        <v>71</v>
      </c>
      <c r="X100" s="16" t="n">
        <v>73</v>
      </c>
      <c r="Y100" s="34" t="n">
        <f aca="false">(X100*70)/100</f>
        <v>51.1</v>
      </c>
      <c r="Z100" s="34" t="n">
        <f aca="false">ROUNDUP(Y100,0)</f>
        <v>52</v>
      </c>
      <c r="AA100" s="16" t="n">
        <v>28</v>
      </c>
      <c r="AB100" s="34" t="n">
        <f aca="false">AA100+Y100</f>
        <v>79.1</v>
      </c>
      <c r="AC100" s="34" t="n">
        <f aca="false">AA100+Z100</f>
        <v>80</v>
      </c>
      <c r="AD100" s="32" t="n">
        <f aca="false">X100+R100+Q100+K100+J100</f>
        <v>373</v>
      </c>
      <c r="AE100" s="16" t="n">
        <f aca="false">AD100/5</f>
        <v>74.6</v>
      </c>
      <c r="AF100" s="16" t="n">
        <v>75</v>
      </c>
      <c r="AG100" s="16" t="n">
        <v>86</v>
      </c>
      <c r="AH100" s="16" t="n">
        <v>94</v>
      </c>
      <c r="AI100" s="16" t="n">
        <v>87</v>
      </c>
      <c r="AJ100" s="16" t="n">
        <f aca="false">(AI100*70)/100</f>
        <v>60.9</v>
      </c>
      <c r="AK100" s="35" t="n">
        <f aca="false">ROUNDUP(AJ100,0)</f>
        <v>61</v>
      </c>
      <c r="AL100" s="16" t="n">
        <v>26</v>
      </c>
      <c r="AM100" s="16" t="n">
        <f aca="false">AL100+AJ100</f>
        <v>86.9</v>
      </c>
      <c r="AN100" s="16" t="n">
        <f aca="false">AL100+AK100</f>
        <v>87</v>
      </c>
      <c r="AO100" s="16" t="n">
        <v>88</v>
      </c>
      <c r="AP100" s="36" t="n">
        <f aca="false">(AO100*70)/100</f>
        <v>61.6</v>
      </c>
      <c r="AQ100" s="37" t="n">
        <f aca="false">ROUNDUP(AP100,0)</f>
        <v>62</v>
      </c>
      <c r="AR100" s="16" t="n">
        <v>28</v>
      </c>
      <c r="AS100" s="16" t="n">
        <f aca="false">AR100+AP100</f>
        <v>89.6</v>
      </c>
      <c r="AT100" s="16" t="n">
        <f aca="false">AR100+AQ100</f>
        <v>90</v>
      </c>
      <c r="AU100" s="16" t="n">
        <f aca="false">AO100+AF100+AI100+AH100+AG100</f>
        <v>430</v>
      </c>
      <c r="AV100" s="16" t="n">
        <f aca="false">(AO100+AF100+AI100+AH100+AG100)/5</f>
        <v>86</v>
      </c>
      <c r="AW100" s="36" t="n">
        <f aca="false">(AO100+AF100+AI100+AH100+AG100+X100+R100+Q100+K100+J100)</f>
        <v>803</v>
      </c>
      <c r="AX100" s="16" t="n">
        <f aca="false">AW100/10</f>
        <v>80.3</v>
      </c>
      <c r="AY100" s="16" t="n">
        <f aca="false">AS100+AF100+AM100+AH100+AG100+AB100+V100+Q100+O100+J100</f>
        <v>821.7</v>
      </c>
      <c r="AZ100" s="16" t="n">
        <f aca="false">AT100+AF100+AN100+AH100+AG100+AC100+W100+Q100+P100+J100</f>
        <v>824</v>
      </c>
      <c r="BA100" s="16" t="n">
        <f aca="false">AY100/10</f>
        <v>82.17</v>
      </c>
      <c r="BB100" s="16" t="n">
        <f aca="false">AZ100/10</f>
        <v>82.4</v>
      </c>
      <c r="BC100" s="16" t="n">
        <v>2339</v>
      </c>
      <c r="BD100" s="16" t="n">
        <f aca="false">RANK(AX100,$AX$2:$AX$881,0)</f>
        <v>245</v>
      </c>
      <c r="BE100" s="54" t="n">
        <f aca="false">((BC100*100)/2400)*0.4+(AX100*0.6)</f>
        <v>87.1633333333333</v>
      </c>
      <c r="BF100" s="16" t="n">
        <f aca="false">RANK(BE100,$BE$2:$BE$881,0)</f>
        <v>286</v>
      </c>
      <c r="BG100" s="39" t="n">
        <f aca="false">RANK(BB100,$BB$2:$BB$881,0)</f>
        <v>189</v>
      </c>
      <c r="BH100" s="39" t="n">
        <f aca="false">RANK(BC100,$BC$2:$BC$881,0)</f>
        <v>640</v>
      </c>
      <c r="BI100" s="22" t="s">
        <v>130</v>
      </c>
      <c r="BJ100" s="22" t="s">
        <v>129</v>
      </c>
      <c r="BK100" s="40" t="s">
        <v>131</v>
      </c>
      <c r="BL100" s="41" t="n">
        <v>26</v>
      </c>
      <c r="BM100" s="41" t="n">
        <v>59</v>
      </c>
      <c r="BN100" s="41" t="n">
        <v>85</v>
      </c>
      <c r="BO100" s="42" t="n">
        <v>25</v>
      </c>
      <c r="BP100" s="43" t="n">
        <v>63</v>
      </c>
      <c r="BQ100" s="44" t="n">
        <v>88</v>
      </c>
      <c r="BR100" s="42" t="n">
        <v>27</v>
      </c>
      <c r="BS100" s="45" t="n">
        <v>67</v>
      </c>
      <c r="BT100" s="45" t="n">
        <v>94</v>
      </c>
      <c r="BU100" s="46" t="n">
        <v>99</v>
      </c>
      <c r="BV100" s="47" t="n">
        <v>88</v>
      </c>
      <c r="BW100" s="42" t="n">
        <v>98</v>
      </c>
      <c r="BX100" s="48" t="n">
        <v>96</v>
      </c>
      <c r="BY100" s="32" t="n">
        <v>26</v>
      </c>
      <c r="BZ100" s="32" t="n">
        <v>61</v>
      </c>
      <c r="CA100" s="32" t="n">
        <v>87</v>
      </c>
      <c r="CB100" s="32" t="n">
        <v>25</v>
      </c>
      <c r="CC100" s="32" t="n">
        <v>47</v>
      </c>
      <c r="CD100" s="32" t="n">
        <v>72</v>
      </c>
      <c r="CE100" s="32" t="n">
        <v>27</v>
      </c>
      <c r="CF100" s="32" t="n">
        <v>60</v>
      </c>
      <c r="CG100" s="32" t="n">
        <v>87</v>
      </c>
      <c r="CH100" s="32" t="n">
        <v>96</v>
      </c>
      <c r="CI100" s="32" t="n">
        <v>99</v>
      </c>
      <c r="CJ100" s="49" t="n">
        <v>26</v>
      </c>
      <c r="CK100" s="49" t="n">
        <v>55</v>
      </c>
      <c r="CL100" s="49" t="n">
        <v>81</v>
      </c>
      <c r="CM100" s="49" t="n">
        <v>21</v>
      </c>
      <c r="CN100" s="49" t="n">
        <v>55</v>
      </c>
      <c r="CO100" s="49" t="n">
        <v>76</v>
      </c>
      <c r="CP100" s="25" t="n">
        <f aca="false">BX100+BW100+BV100+BU100+BT100+BQ100+BN100</f>
        <v>648</v>
      </c>
      <c r="CQ100" s="25" t="n">
        <f aca="false">CO100+CL100+CI100+CH100+CG100+CD100+CA100</f>
        <v>598</v>
      </c>
      <c r="CR100" s="26" t="n">
        <f aca="false">CP100/7</f>
        <v>92.5714285714286</v>
      </c>
      <c r="CS100" s="26" t="n">
        <f aca="false">CQ100/7</f>
        <v>85.4285714285714</v>
      </c>
      <c r="CT100" s="24" t="n">
        <f aca="false">RANK(CR100,$CR$2:$CR$881,0)</f>
        <v>68</v>
      </c>
      <c r="CU100" s="25" t="n">
        <f aca="false">RANK(CS100,$CS$2:$CS$881,0)</f>
        <v>92</v>
      </c>
      <c r="CV100" s="26" t="n">
        <f aca="false">(CS100+CR100)/2</f>
        <v>89</v>
      </c>
      <c r="CW100" s="25" t="n">
        <f aca="false">RANK(CV100,$CV$2:$CV$881,0)</f>
        <v>68</v>
      </c>
      <c r="CX100" s="50" t="n">
        <f aca="false">(CV100+BB100)/2</f>
        <v>85.7</v>
      </c>
      <c r="CY100" s="50" t="n">
        <v>100</v>
      </c>
      <c r="CZ100" s="27" t="s">
        <v>132</v>
      </c>
      <c r="DA100" s="27" t="s">
        <v>153</v>
      </c>
      <c r="DB100" s="27" t="s">
        <v>153</v>
      </c>
      <c r="DC100" s="27" t="s">
        <v>134</v>
      </c>
      <c r="DD100" s="27" t="s">
        <v>160</v>
      </c>
      <c r="DE100" s="27" t="s">
        <v>177</v>
      </c>
      <c r="DF100" s="27" t="s">
        <v>133</v>
      </c>
      <c r="DG100" s="27" t="s">
        <v>134</v>
      </c>
      <c r="DH100" s="27" t="s">
        <v>137</v>
      </c>
      <c r="DI100" s="27" t="s">
        <v>161</v>
      </c>
      <c r="DJ100" s="27" t="s">
        <v>178</v>
      </c>
      <c r="DK100" s="27" t="s">
        <v>134</v>
      </c>
      <c r="DL100" s="27" t="s">
        <v>137</v>
      </c>
      <c r="DM100" s="27" t="s">
        <v>204</v>
      </c>
      <c r="DN100" s="27" t="s">
        <v>175</v>
      </c>
      <c r="DO100" s="27" t="s">
        <v>134</v>
      </c>
      <c r="DP100" s="27" t="s">
        <v>485</v>
      </c>
      <c r="DQ100" s="27" t="s">
        <v>220</v>
      </c>
      <c r="DR100" s="27" t="s">
        <v>486</v>
      </c>
      <c r="DS100" s="27" t="s">
        <v>134</v>
      </c>
      <c r="DT100" s="27" t="s">
        <v>146</v>
      </c>
      <c r="DU100" s="27" t="s">
        <v>204</v>
      </c>
      <c r="DV100" s="27" t="s">
        <v>162</v>
      </c>
      <c r="DW100" s="27" t="s">
        <v>140</v>
      </c>
      <c r="DX100" s="27" t="s">
        <v>155</v>
      </c>
      <c r="DY100" s="27" t="s">
        <v>147</v>
      </c>
      <c r="DZ100" s="27" t="n">
        <f aca="false">DY100+DV100+DR100+DN100+DJ100+DF100+DB100</f>
        <v>611</v>
      </c>
      <c r="EA100" s="28" t="n">
        <f aca="false">DZ100/7</f>
        <v>87.2857142857143</v>
      </c>
      <c r="EB100" s="27" t="n">
        <f aca="false">RANK(EA100,$EA$2:$EA$881,0)</f>
        <v>112</v>
      </c>
      <c r="EC100" s="29" t="n">
        <f aca="false">DZ100+CQ100+CP100+AZ100</f>
        <v>2681</v>
      </c>
      <c r="ED100" s="30" t="n">
        <f aca="false">(EA100+CV100+BB100)/3</f>
        <v>86.2285714285714</v>
      </c>
      <c r="EE100" s="51" t="n">
        <f aca="false">ROUND(BE100,3)</f>
        <v>87.163</v>
      </c>
      <c r="EF100" s="51" t="n">
        <f aca="false">ROUND(CR100,3)</f>
        <v>92.571</v>
      </c>
      <c r="EG100" s="51" t="n">
        <f aca="false">ROUND(CS100,3)</f>
        <v>85.429</v>
      </c>
      <c r="EH100" s="51" t="n">
        <f aca="false">ROUND(EA100,3)</f>
        <v>87.286</v>
      </c>
      <c r="EI100" s="51" t="n">
        <f aca="false">ROUND(ED100,3)</f>
        <v>86.229</v>
      </c>
      <c r="EJ100" s="51" t="n">
        <f aca="false">ROUND(CV100,3)</f>
        <v>89</v>
      </c>
      <c r="EK100" s="0" t="n">
        <f aca="false">RANK(EI100,$EI$2:$EI$881,0)</f>
        <v>99</v>
      </c>
    </row>
    <row r="101" customFormat="false" ht="15" hidden="false" customHeight="false" outlineLevel="0" collapsed="false">
      <c r="A101" s="4" t="n">
        <v>8865</v>
      </c>
      <c r="B101" s="4" t="n">
        <v>783</v>
      </c>
      <c r="C101" s="27" t="s">
        <v>487</v>
      </c>
      <c r="D101" s="31" t="n">
        <v>801</v>
      </c>
      <c r="E101" s="32" t="n">
        <v>230419401</v>
      </c>
      <c r="F101" s="8" t="s">
        <v>488</v>
      </c>
      <c r="G101" s="66" t="s">
        <v>489</v>
      </c>
      <c r="H101" s="22" t="s">
        <v>271</v>
      </c>
      <c r="I101" s="67" t="s">
        <v>490</v>
      </c>
      <c r="J101" s="32" t="n">
        <v>75</v>
      </c>
      <c r="K101" s="32" t="n">
        <v>94</v>
      </c>
      <c r="L101" s="34" t="n">
        <f aca="false">(K101*70)/100</f>
        <v>65.8</v>
      </c>
      <c r="M101" s="34" t="n">
        <f aca="false">ROUNDUP(L101,0)</f>
        <v>66</v>
      </c>
      <c r="N101" s="32" t="n">
        <v>29</v>
      </c>
      <c r="O101" s="34" t="n">
        <f aca="false">N101+L101</f>
        <v>94.8</v>
      </c>
      <c r="P101" s="34" t="n">
        <f aca="false">N101+M101</f>
        <v>95</v>
      </c>
      <c r="Q101" s="70" t="n">
        <v>57</v>
      </c>
      <c r="R101" s="32" t="n">
        <v>76</v>
      </c>
      <c r="S101" s="34" t="n">
        <f aca="false">(R101*70)/100</f>
        <v>53.2</v>
      </c>
      <c r="T101" s="34" t="n">
        <f aca="false">ROUNDUP(S101,0)</f>
        <v>54</v>
      </c>
      <c r="U101" s="32" t="n">
        <v>24</v>
      </c>
      <c r="V101" s="34" t="n">
        <f aca="false">U101+S101</f>
        <v>77.2</v>
      </c>
      <c r="W101" s="34" t="n">
        <f aca="false">U101+T101</f>
        <v>78</v>
      </c>
      <c r="X101" s="32" t="n">
        <v>74</v>
      </c>
      <c r="Y101" s="34" t="n">
        <f aca="false">(X101*70)/100</f>
        <v>51.8</v>
      </c>
      <c r="Z101" s="34" t="n">
        <f aca="false">ROUNDUP(Y101,0)</f>
        <v>52</v>
      </c>
      <c r="AA101" s="32" t="n">
        <v>28</v>
      </c>
      <c r="AB101" s="34" t="n">
        <f aca="false">AA101+Y101</f>
        <v>79.8</v>
      </c>
      <c r="AC101" s="34" t="n">
        <f aca="false">AA101+Z101</f>
        <v>80</v>
      </c>
      <c r="AD101" s="32" t="n">
        <f aca="false">X101+R101+Q101+K101+J101</f>
        <v>376</v>
      </c>
      <c r="AE101" s="16" t="n">
        <f aca="false">AD101/5</f>
        <v>75.2</v>
      </c>
      <c r="AF101" s="16" t="n">
        <v>82</v>
      </c>
      <c r="AG101" s="16" t="n">
        <v>82</v>
      </c>
      <c r="AH101" s="16" t="n">
        <v>97</v>
      </c>
      <c r="AI101" s="16" t="n">
        <v>91</v>
      </c>
      <c r="AJ101" s="16" t="n">
        <f aca="false">(AI101*70)/100</f>
        <v>63.7</v>
      </c>
      <c r="AK101" s="35" t="n">
        <f aca="false">ROUNDUP(AJ101,0)</f>
        <v>64</v>
      </c>
      <c r="AL101" s="16" t="n">
        <v>25</v>
      </c>
      <c r="AM101" s="16" t="n">
        <f aca="false">AL101+AJ101</f>
        <v>88.7</v>
      </c>
      <c r="AN101" s="16" t="n">
        <f aca="false">AL101+AK101</f>
        <v>89</v>
      </c>
      <c r="AO101" s="16" t="n">
        <v>84</v>
      </c>
      <c r="AP101" s="36" t="n">
        <f aca="false">(AO101*70)/100</f>
        <v>58.8</v>
      </c>
      <c r="AQ101" s="37" t="n">
        <f aca="false">ROUNDUP(AP101,0)</f>
        <v>59</v>
      </c>
      <c r="AR101" s="16" t="n">
        <v>28</v>
      </c>
      <c r="AS101" s="16" t="n">
        <f aca="false">AR101+AP101</f>
        <v>86.8</v>
      </c>
      <c r="AT101" s="16" t="n">
        <f aca="false">AR101+AQ101</f>
        <v>87</v>
      </c>
      <c r="AU101" s="16" t="n">
        <f aca="false">AO101+AF101+AI101+AH101+AG101</f>
        <v>436</v>
      </c>
      <c r="AV101" s="16" t="n">
        <f aca="false">(AO101+AF101+AI101+AH101+AG101)/5</f>
        <v>87.2</v>
      </c>
      <c r="AW101" s="36" t="n">
        <f aca="false">(AO101+AF101+AI101+AH101+AG101+X101+R101+Q101+K101+J101)</f>
        <v>812</v>
      </c>
      <c r="AX101" s="16" t="n">
        <f aca="false">AW101/10</f>
        <v>81.2</v>
      </c>
      <c r="AY101" s="16" t="n">
        <f aca="false">AS101+AF101+AM101+AH101+AG101+AB101+V101+Q101+O101+J101</f>
        <v>820.3</v>
      </c>
      <c r="AZ101" s="16" t="n">
        <f aca="false">AT101+AF101+AN101+AH101+AG101+AC101+W101+Q101+P101+J101</f>
        <v>822</v>
      </c>
      <c r="BA101" s="16" t="n">
        <f aca="false">AY101/10</f>
        <v>82.03</v>
      </c>
      <c r="BB101" s="16" t="n">
        <f aca="false">AZ101/10</f>
        <v>82.2</v>
      </c>
      <c r="BC101" s="24" t="n">
        <v>2379</v>
      </c>
      <c r="BD101" s="16" t="n">
        <f aca="false">RANK(AX101,$AX$2:$AX$881,0)</f>
        <v>204</v>
      </c>
      <c r="BE101" s="54" t="n">
        <f aca="false">((BC101*100)/2400)*0.4+(AX101*0.6)</f>
        <v>88.37</v>
      </c>
      <c r="BF101" s="16" t="n">
        <f aca="false">RANK(BE101,$BE$2:$BE$881,0)</f>
        <v>176</v>
      </c>
      <c r="BG101" s="39" t="n">
        <f aca="false">RANK(BB101,$BB$2:$BB$881,0)</f>
        <v>202</v>
      </c>
      <c r="BH101" s="39" t="n">
        <f aca="false">RANK(BC101,$BC$2:$BC$881,0)</f>
        <v>160</v>
      </c>
      <c r="BI101" s="22" t="s">
        <v>130</v>
      </c>
      <c r="BJ101" s="22" t="s">
        <v>129</v>
      </c>
      <c r="BK101" s="40" t="s">
        <v>131</v>
      </c>
      <c r="BL101" s="41" t="n">
        <v>20</v>
      </c>
      <c r="BM101" s="41" t="n">
        <v>59</v>
      </c>
      <c r="BN101" s="41" t="n">
        <v>79</v>
      </c>
      <c r="BO101" s="42" t="n">
        <v>26</v>
      </c>
      <c r="BP101" s="43" t="n">
        <v>62</v>
      </c>
      <c r="BQ101" s="44" t="n">
        <v>88</v>
      </c>
      <c r="BR101" s="42" t="n">
        <v>18</v>
      </c>
      <c r="BS101" s="45" t="n">
        <v>61</v>
      </c>
      <c r="BT101" s="45" t="n">
        <v>79</v>
      </c>
      <c r="BU101" s="46" t="n">
        <v>100</v>
      </c>
      <c r="BV101" s="47" t="n">
        <v>94</v>
      </c>
      <c r="BW101" s="42" t="n">
        <v>100</v>
      </c>
      <c r="BX101" s="48" t="n">
        <v>94</v>
      </c>
      <c r="BY101" s="32" t="n">
        <v>27</v>
      </c>
      <c r="BZ101" s="32" t="n">
        <v>60</v>
      </c>
      <c r="CA101" s="32" t="n">
        <v>87</v>
      </c>
      <c r="CB101" s="32" t="n">
        <v>23</v>
      </c>
      <c r="CC101" s="32" t="n">
        <v>39</v>
      </c>
      <c r="CD101" s="32" t="n">
        <v>62</v>
      </c>
      <c r="CE101" s="32" t="n">
        <v>26</v>
      </c>
      <c r="CF101" s="32" t="n">
        <v>58</v>
      </c>
      <c r="CG101" s="32" t="n">
        <v>84</v>
      </c>
      <c r="CH101" s="32" t="n">
        <v>99</v>
      </c>
      <c r="CI101" s="32" t="n">
        <v>96</v>
      </c>
      <c r="CJ101" s="49" t="n">
        <v>28</v>
      </c>
      <c r="CK101" s="49" t="n">
        <v>49</v>
      </c>
      <c r="CL101" s="49" t="n">
        <v>77</v>
      </c>
      <c r="CM101" s="49" t="n">
        <v>25</v>
      </c>
      <c r="CN101" s="49" t="n">
        <v>54</v>
      </c>
      <c r="CO101" s="49" t="n">
        <v>79</v>
      </c>
      <c r="CP101" s="25" t="n">
        <f aca="false">BX101+BW101+BV101+BU101+BT101+BQ101+BN101</f>
        <v>634</v>
      </c>
      <c r="CQ101" s="25" t="n">
        <f aca="false">CO101+CL101+CI101+CH101+CG101+CD101+CA101</f>
        <v>584</v>
      </c>
      <c r="CR101" s="26" t="n">
        <f aca="false">CP101/7</f>
        <v>90.5714285714286</v>
      </c>
      <c r="CS101" s="26" t="n">
        <f aca="false">CQ101/7</f>
        <v>83.4285714285714</v>
      </c>
      <c r="CT101" s="24" t="n">
        <f aca="false">RANK(CR101,$CR$2:$CR$881,0)</f>
        <v>147</v>
      </c>
      <c r="CU101" s="25" t="n">
        <f aca="false">RANK(CS101,$CS$2:$CS$881,0)</f>
        <v>143</v>
      </c>
      <c r="CV101" s="26" t="n">
        <f aca="false">(CS101+CR101)/2</f>
        <v>87</v>
      </c>
      <c r="CW101" s="25" t="n">
        <f aca="false">RANK(CV101,$CV$2:$CV$881,0)</f>
        <v>137</v>
      </c>
      <c r="CX101" s="50" t="n">
        <f aca="false">(CV101+BB101)/2</f>
        <v>84.6</v>
      </c>
      <c r="CY101" s="50" t="n">
        <v>139</v>
      </c>
      <c r="CZ101" s="27" t="s">
        <v>132</v>
      </c>
      <c r="DA101" s="27" t="s">
        <v>153</v>
      </c>
      <c r="DB101" s="27" t="s">
        <v>153</v>
      </c>
      <c r="DC101" s="27" t="s">
        <v>134</v>
      </c>
      <c r="DD101" s="27" t="s">
        <v>154</v>
      </c>
      <c r="DE101" s="27" t="s">
        <v>203</v>
      </c>
      <c r="DF101" s="27" t="s">
        <v>175</v>
      </c>
      <c r="DG101" s="27" t="s">
        <v>134</v>
      </c>
      <c r="DH101" s="27" t="s">
        <v>182</v>
      </c>
      <c r="DI101" s="27" t="s">
        <v>187</v>
      </c>
      <c r="DJ101" s="27" t="s">
        <v>153</v>
      </c>
      <c r="DK101" s="27" t="s">
        <v>134</v>
      </c>
      <c r="DL101" s="27" t="s">
        <v>160</v>
      </c>
      <c r="DM101" s="27" t="s">
        <v>152</v>
      </c>
      <c r="DN101" s="27" t="s">
        <v>176</v>
      </c>
      <c r="DO101" s="27" t="s">
        <v>134</v>
      </c>
      <c r="DP101" s="27" t="s">
        <v>386</v>
      </c>
      <c r="DQ101" s="27" t="s">
        <v>152</v>
      </c>
      <c r="DR101" s="27" t="s">
        <v>205</v>
      </c>
      <c r="DS101" s="27" t="s">
        <v>134</v>
      </c>
      <c r="DT101" s="27" t="s">
        <v>160</v>
      </c>
      <c r="DU101" s="27" t="s">
        <v>203</v>
      </c>
      <c r="DV101" s="27" t="s">
        <v>153</v>
      </c>
      <c r="DW101" s="27" t="s">
        <v>164</v>
      </c>
      <c r="DX101" s="27" t="s">
        <v>155</v>
      </c>
      <c r="DY101" s="27" t="s">
        <v>144</v>
      </c>
      <c r="DZ101" s="27" t="n">
        <f aca="false">DY101+DV101+DR101+DN101+DJ101+DF101+DB101</f>
        <v>626</v>
      </c>
      <c r="EA101" s="28" t="n">
        <f aca="false">DZ101/7</f>
        <v>89.4285714285714</v>
      </c>
      <c r="EB101" s="27" t="n">
        <f aca="false">RANK(EA101,$EA$2:$EA$881,0)</f>
        <v>70</v>
      </c>
      <c r="EC101" s="29" t="n">
        <f aca="false">DZ101+CQ101+CP101+AZ101</f>
        <v>2666</v>
      </c>
      <c r="ED101" s="30" t="n">
        <f aca="false">(EA101+CV101+BB101)/3</f>
        <v>86.2095238095238</v>
      </c>
      <c r="EE101" s="51" t="n">
        <f aca="false">ROUND(BE101,3)</f>
        <v>88.37</v>
      </c>
      <c r="EF101" s="51" t="n">
        <f aca="false">ROUND(CR101,3)</f>
        <v>90.571</v>
      </c>
      <c r="EG101" s="51" t="n">
        <f aca="false">ROUND(CS101,3)</f>
        <v>83.429</v>
      </c>
      <c r="EH101" s="51" t="n">
        <f aca="false">ROUND(EA101,3)</f>
        <v>89.429</v>
      </c>
      <c r="EI101" s="51" t="n">
        <f aca="false">ROUND(ED101,3)</f>
        <v>86.21</v>
      </c>
      <c r="EJ101" s="51" t="n">
        <f aca="false">ROUND(CV101,3)</f>
        <v>87</v>
      </c>
      <c r="EK101" s="0" t="n">
        <f aca="false">RANK(EI101,$EI$2:$EI$881,0)</f>
        <v>100</v>
      </c>
    </row>
    <row r="102" customFormat="false" ht="15" hidden="false" customHeight="false" outlineLevel="0" collapsed="false">
      <c r="A102" s="4" t="n">
        <v>8993</v>
      </c>
      <c r="B102" s="4" t="n">
        <v>449</v>
      </c>
      <c r="C102" s="27" t="s">
        <v>491</v>
      </c>
      <c r="D102" s="31" t="n">
        <v>454</v>
      </c>
      <c r="E102" s="32" t="n">
        <v>230514085</v>
      </c>
      <c r="F102" s="8" t="s">
        <v>492</v>
      </c>
      <c r="G102" s="66" t="s">
        <v>493</v>
      </c>
      <c r="H102" s="22" t="s">
        <v>465</v>
      </c>
      <c r="I102" s="67" t="s">
        <v>466</v>
      </c>
      <c r="J102" s="32" t="n">
        <v>89</v>
      </c>
      <c r="K102" s="32" t="n">
        <v>60</v>
      </c>
      <c r="L102" s="34" t="n">
        <f aca="false">(K102*70)/100</f>
        <v>42</v>
      </c>
      <c r="M102" s="34" t="n">
        <f aca="false">ROUNDUP(L102,0)</f>
        <v>42</v>
      </c>
      <c r="N102" s="32" t="n">
        <v>29</v>
      </c>
      <c r="O102" s="34" t="n">
        <f aca="false">N102+L102</f>
        <v>71</v>
      </c>
      <c r="P102" s="34" t="n">
        <f aca="false">N102+M102</f>
        <v>71</v>
      </c>
      <c r="Q102" s="32" t="n">
        <v>80</v>
      </c>
      <c r="R102" s="32" t="n">
        <v>73</v>
      </c>
      <c r="S102" s="34" t="n">
        <f aca="false">(R102*70)/100</f>
        <v>51.1</v>
      </c>
      <c r="T102" s="34" t="n">
        <f aca="false">ROUNDUP(S102,0)</f>
        <v>52</v>
      </c>
      <c r="U102" s="32" t="n">
        <v>28</v>
      </c>
      <c r="V102" s="34" t="n">
        <f aca="false">U102+S102</f>
        <v>79.1</v>
      </c>
      <c r="W102" s="34" t="n">
        <f aca="false">U102+T102</f>
        <v>80</v>
      </c>
      <c r="X102" s="32" t="n">
        <v>70</v>
      </c>
      <c r="Y102" s="34" t="n">
        <f aca="false">(X102*70)/100</f>
        <v>49</v>
      </c>
      <c r="Z102" s="34" t="n">
        <f aca="false">ROUNDUP(Y102,0)</f>
        <v>49</v>
      </c>
      <c r="AA102" s="32" t="n">
        <v>26</v>
      </c>
      <c r="AB102" s="34" t="n">
        <f aca="false">AA102+Y102</f>
        <v>75</v>
      </c>
      <c r="AC102" s="34" t="n">
        <f aca="false">AA102+Z102</f>
        <v>75</v>
      </c>
      <c r="AD102" s="32" t="n">
        <f aca="false">X102+R102+Q102+K102+J102</f>
        <v>372</v>
      </c>
      <c r="AE102" s="16" t="n">
        <f aca="false">AD102/5</f>
        <v>74.4</v>
      </c>
      <c r="AF102" s="16" t="n">
        <v>90</v>
      </c>
      <c r="AG102" s="16" t="n">
        <v>94</v>
      </c>
      <c r="AH102" s="16" t="n">
        <v>93</v>
      </c>
      <c r="AI102" s="16" t="n">
        <v>93</v>
      </c>
      <c r="AJ102" s="16" t="n">
        <f aca="false">(AI102*70)/100</f>
        <v>65.1</v>
      </c>
      <c r="AK102" s="35" t="n">
        <f aca="false">ROUNDUP(AJ102,0)</f>
        <v>66</v>
      </c>
      <c r="AL102" s="16" t="n">
        <v>24</v>
      </c>
      <c r="AM102" s="16" t="n">
        <f aca="false">AL102+AJ102</f>
        <v>89.1</v>
      </c>
      <c r="AN102" s="16" t="n">
        <f aca="false">AL102+AK102</f>
        <v>90</v>
      </c>
      <c r="AO102" s="16" t="n">
        <v>78</v>
      </c>
      <c r="AP102" s="36" t="n">
        <f aca="false">(AO102*70)/100</f>
        <v>54.6</v>
      </c>
      <c r="AQ102" s="37" t="n">
        <f aca="false">ROUNDUP(AP102,0)</f>
        <v>55</v>
      </c>
      <c r="AR102" s="16" t="n">
        <v>29</v>
      </c>
      <c r="AS102" s="16" t="n">
        <f aca="false">AR102+AP102</f>
        <v>83.6</v>
      </c>
      <c r="AT102" s="16" t="n">
        <f aca="false">AR102+AQ102</f>
        <v>84</v>
      </c>
      <c r="AU102" s="16" t="n">
        <f aca="false">AO102+AF102+AI102+AH102+AG102</f>
        <v>448</v>
      </c>
      <c r="AV102" s="16" t="n">
        <f aca="false">(AO102+AF102+AI102+AH102+AG102)/5</f>
        <v>89.6</v>
      </c>
      <c r="AW102" s="36" t="n">
        <f aca="false">(AO102+AF102+AI102+AH102+AG102+X102+R102+Q102+K102+J102)</f>
        <v>820</v>
      </c>
      <c r="AX102" s="16" t="n">
        <f aca="false">AW102/10</f>
        <v>82</v>
      </c>
      <c r="AY102" s="16" t="n">
        <f aca="false">AS102+AF102+AM102+AH102+AG102+AB102+V102+Q102+O102+J102</f>
        <v>843.8</v>
      </c>
      <c r="AZ102" s="16" t="n">
        <f aca="false">AT102+AF102+AN102+AH102+AG102+AC102+W102+Q102+P102+J102</f>
        <v>846</v>
      </c>
      <c r="BA102" s="16" t="n">
        <f aca="false">AY102/10</f>
        <v>84.38</v>
      </c>
      <c r="BB102" s="16" t="n">
        <f aca="false">AZ102/10</f>
        <v>84.6</v>
      </c>
      <c r="BC102" s="24" t="n">
        <v>2389</v>
      </c>
      <c r="BD102" s="16" t="n">
        <f aca="false">RANK(AX102,$AX$2:$AX$881,0)</f>
        <v>165</v>
      </c>
      <c r="BE102" s="54" t="n">
        <f aca="false">((BC102*100)/2400)*0.4+(AX102*0.6)</f>
        <v>89.0166666666667</v>
      </c>
      <c r="BF102" s="16" t="n">
        <f aca="false">RANK(BE102,$BE$2:$BE$881,0)</f>
        <v>137</v>
      </c>
      <c r="BG102" s="39" t="n">
        <f aca="false">RANK(BB102,$BB$2:$BB$881,0)</f>
        <v>107</v>
      </c>
      <c r="BH102" s="39" t="n">
        <f aca="false">RANK(BC102,$BC$2:$BC$881,0)</f>
        <v>59</v>
      </c>
      <c r="BI102" s="22" t="s">
        <v>130</v>
      </c>
      <c r="BJ102" s="22" t="s">
        <v>129</v>
      </c>
      <c r="BK102" s="40" t="s">
        <v>131</v>
      </c>
      <c r="BL102" s="41" t="n">
        <v>25</v>
      </c>
      <c r="BM102" s="41" t="n">
        <v>62</v>
      </c>
      <c r="BN102" s="41" t="n">
        <v>87</v>
      </c>
      <c r="BO102" s="42" t="n">
        <v>28</v>
      </c>
      <c r="BP102" s="43" t="n">
        <v>66</v>
      </c>
      <c r="BQ102" s="44" t="n">
        <v>94</v>
      </c>
      <c r="BR102" s="42" t="n">
        <v>23</v>
      </c>
      <c r="BS102" s="45" t="n">
        <v>64</v>
      </c>
      <c r="BT102" s="45" t="n">
        <v>87</v>
      </c>
      <c r="BU102" s="46" t="n">
        <v>100</v>
      </c>
      <c r="BV102" s="47" t="n">
        <v>96</v>
      </c>
      <c r="BW102" s="42" t="n">
        <v>99</v>
      </c>
      <c r="BX102" s="48" t="n">
        <v>92</v>
      </c>
      <c r="BY102" s="32" t="n">
        <v>27</v>
      </c>
      <c r="BZ102" s="32" t="n">
        <v>56</v>
      </c>
      <c r="CA102" s="32" t="n">
        <v>83</v>
      </c>
      <c r="CB102" s="32" t="n">
        <v>25</v>
      </c>
      <c r="CC102" s="32" t="n">
        <v>46</v>
      </c>
      <c r="CD102" s="32" t="n">
        <v>71</v>
      </c>
      <c r="CE102" s="32" t="n">
        <v>28</v>
      </c>
      <c r="CF102" s="32" t="n">
        <v>55</v>
      </c>
      <c r="CG102" s="32" t="n">
        <v>83</v>
      </c>
      <c r="CH102" s="32" t="n">
        <v>100</v>
      </c>
      <c r="CI102" s="32" t="n">
        <v>100</v>
      </c>
      <c r="CJ102" s="49" t="n">
        <v>28</v>
      </c>
      <c r="CK102" s="49" t="n">
        <v>55</v>
      </c>
      <c r="CL102" s="49" t="n">
        <v>83</v>
      </c>
      <c r="CM102" s="49" t="n">
        <v>28</v>
      </c>
      <c r="CN102" s="49" t="n">
        <v>52</v>
      </c>
      <c r="CO102" s="49" t="n">
        <v>80</v>
      </c>
      <c r="CP102" s="25" t="n">
        <f aca="false">BX102+BW102+BV102+BU102+BT102+BQ102+BN102</f>
        <v>655</v>
      </c>
      <c r="CQ102" s="25" t="n">
        <f aca="false">CO102+CL102+CI102+CH102+CG102+CD102+CA102</f>
        <v>600</v>
      </c>
      <c r="CR102" s="26" t="n">
        <f aca="false">CP102/7</f>
        <v>93.5714285714286</v>
      </c>
      <c r="CS102" s="26" t="n">
        <f aca="false">CQ102/7</f>
        <v>85.7142857142857</v>
      </c>
      <c r="CT102" s="24" t="n">
        <f aca="false">RANK(CR102,$CR$2:$CR$881,0)</f>
        <v>36</v>
      </c>
      <c r="CU102" s="25" t="n">
        <f aca="false">RANK(CS102,$CS$2:$CS$881,0)</f>
        <v>88</v>
      </c>
      <c r="CV102" s="26" t="n">
        <f aca="false">(CS102+CR102)/2</f>
        <v>89.6428571428571</v>
      </c>
      <c r="CW102" s="25" t="n">
        <f aca="false">RANK(CV102,$CV$2:$CV$881,0)</f>
        <v>56</v>
      </c>
      <c r="CX102" s="50" t="n">
        <f aca="false">(CV102+BB102)/2</f>
        <v>87.1214285714286</v>
      </c>
      <c r="CY102" s="50" t="n">
        <v>73</v>
      </c>
      <c r="CZ102" s="27" t="s">
        <v>132</v>
      </c>
      <c r="DA102" s="27" t="s">
        <v>153</v>
      </c>
      <c r="DB102" s="27" t="s">
        <v>153</v>
      </c>
      <c r="DC102" s="27" t="s">
        <v>134</v>
      </c>
      <c r="DD102" s="27" t="s">
        <v>154</v>
      </c>
      <c r="DE102" s="27" t="s">
        <v>161</v>
      </c>
      <c r="DF102" s="27" t="s">
        <v>209</v>
      </c>
      <c r="DG102" s="27" t="s">
        <v>134</v>
      </c>
      <c r="DH102" s="27" t="s">
        <v>154</v>
      </c>
      <c r="DI102" s="27" t="s">
        <v>177</v>
      </c>
      <c r="DJ102" s="27" t="s">
        <v>169</v>
      </c>
      <c r="DK102" s="27" t="s">
        <v>134</v>
      </c>
      <c r="DL102" s="27" t="s">
        <v>137</v>
      </c>
      <c r="DM102" s="27" t="s">
        <v>177</v>
      </c>
      <c r="DN102" s="27" t="s">
        <v>202</v>
      </c>
      <c r="DO102" s="27" t="s">
        <v>134</v>
      </c>
      <c r="DP102" s="27" t="s">
        <v>182</v>
      </c>
      <c r="DQ102" s="27" t="s">
        <v>220</v>
      </c>
      <c r="DR102" s="27" t="s">
        <v>219</v>
      </c>
      <c r="DS102" s="27" t="s">
        <v>134</v>
      </c>
      <c r="DT102" s="27" t="s">
        <v>135</v>
      </c>
      <c r="DU102" s="27" t="s">
        <v>442</v>
      </c>
      <c r="DV102" s="27" t="s">
        <v>372</v>
      </c>
      <c r="DW102" s="27" t="s">
        <v>135</v>
      </c>
      <c r="DX102" s="27" t="s">
        <v>143</v>
      </c>
      <c r="DY102" s="27" t="s">
        <v>151</v>
      </c>
      <c r="DZ102" s="27" t="n">
        <f aca="false">DY102+DV102+DR102+DN102+DJ102+DF102+DB102</f>
        <v>590</v>
      </c>
      <c r="EA102" s="28" t="n">
        <f aca="false">DZ102/7</f>
        <v>84.2857142857143</v>
      </c>
      <c r="EB102" s="27" t="n">
        <f aca="false">RANK(EA102,$EA$2:$EA$881,0)</f>
        <v>210</v>
      </c>
      <c r="EC102" s="29" t="n">
        <f aca="false">DZ102+CQ102+CP102+AZ102</f>
        <v>2691</v>
      </c>
      <c r="ED102" s="30" t="n">
        <f aca="false">(EA102+CV102+BB102)/3</f>
        <v>86.1761904761905</v>
      </c>
      <c r="EE102" s="51" t="n">
        <f aca="false">ROUND(BE102,3)</f>
        <v>89.017</v>
      </c>
      <c r="EF102" s="51" t="n">
        <f aca="false">ROUND(CR102,3)</f>
        <v>93.571</v>
      </c>
      <c r="EG102" s="51" t="n">
        <f aca="false">ROUND(CS102,3)</f>
        <v>85.714</v>
      </c>
      <c r="EH102" s="51" t="n">
        <f aca="false">ROUND(EA102,3)</f>
        <v>84.286</v>
      </c>
      <c r="EI102" s="51" t="n">
        <f aca="false">ROUND(ED102,3)</f>
        <v>86.176</v>
      </c>
      <c r="EJ102" s="51" t="n">
        <f aca="false">ROUND(CV102,3)</f>
        <v>89.643</v>
      </c>
      <c r="EK102" s="0" t="n">
        <f aca="false">RANK(EI102,$EI$2:$EI$881,0)</f>
        <v>101</v>
      </c>
    </row>
    <row r="103" customFormat="false" ht="15" hidden="false" customHeight="false" outlineLevel="0" collapsed="false">
      <c r="A103" s="4" t="n">
        <v>9034</v>
      </c>
      <c r="B103" s="4" t="n">
        <v>839</v>
      </c>
      <c r="C103" s="27" t="s">
        <v>494</v>
      </c>
      <c r="D103" s="31" t="n">
        <v>859</v>
      </c>
      <c r="E103" s="32" t="n">
        <v>230324099</v>
      </c>
      <c r="F103" s="8" t="s">
        <v>495</v>
      </c>
      <c r="G103" s="22" t="s">
        <v>496</v>
      </c>
      <c r="H103" s="22" t="s">
        <v>129</v>
      </c>
      <c r="I103" s="33" t="n">
        <v>2006</v>
      </c>
      <c r="J103" s="32" t="n">
        <v>87</v>
      </c>
      <c r="K103" s="32" t="n">
        <v>92</v>
      </c>
      <c r="L103" s="34" t="n">
        <f aca="false">(K103*70)/100</f>
        <v>64.4</v>
      </c>
      <c r="M103" s="34" t="n">
        <f aca="false">ROUNDUP(L103,0)</f>
        <v>65</v>
      </c>
      <c r="N103" s="32" t="n">
        <v>27</v>
      </c>
      <c r="O103" s="34" t="n">
        <f aca="false">N103+L103</f>
        <v>91.4</v>
      </c>
      <c r="P103" s="34" t="n">
        <f aca="false">N103+M103</f>
        <v>92</v>
      </c>
      <c r="Q103" s="32" t="n">
        <v>78</v>
      </c>
      <c r="R103" s="32" t="n">
        <v>82</v>
      </c>
      <c r="S103" s="34" t="n">
        <f aca="false">(R103*70)/100</f>
        <v>57.4</v>
      </c>
      <c r="T103" s="34" t="n">
        <f aca="false">ROUNDUP(S103,0)</f>
        <v>58</v>
      </c>
      <c r="U103" s="32" t="n">
        <v>29</v>
      </c>
      <c r="V103" s="34" t="n">
        <f aca="false">U103+S103</f>
        <v>86.4</v>
      </c>
      <c r="W103" s="34" t="n">
        <f aca="false">U103+T103</f>
        <v>87</v>
      </c>
      <c r="X103" s="32" t="n">
        <v>79</v>
      </c>
      <c r="Y103" s="34" t="n">
        <f aca="false">(X103*70)/100</f>
        <v>55.3</v>
      </c>
      <c r="Z103" s="34" t="n">
        <f aca="false">ROUNDUP(Y103,0)</f>
        <v>56</v>
      </c>
      <c r="AA103" s="32" t="n">
        <v>27</v>
      </c>
      <c r="AB103" s="34" t="n">
        <f aca="false">AA103+Y103</f>
        <v>82.3</v>
      </c>
      <c r="AC103" s="34" t="n">
        <f aca="false">AA103+Z103</f>
        <v>83</v>
      </c>
      <c r="AD103" s="32" t="n">
        <f aca="false">X103+R103+Q103+K103+J103</f>
        <v>418</v>
      </c>
      <c r="AE103" s="16" t="n">
        <f aca="false">AD103/5</f>
        <v>83.6</v>
      </c>
      <c r="AF103" s="16" t="n">
        <v>75</v>
      </c>
      <c r="AG103" s="16" t="n">
        <v>94</v>
      </c>
      <c r="AH103" s="16" t="n">
        <v>96</v>
      </c>
      <c r="AI103" s="16" t="n">
        <v>93</v>
      </c>
      <c r="AJ103" s="16" t="n">
        <f aca="false">(AI103*70)/100</f>
        <v>65.1</v>
      </c>
      <c r="AK103" s="35" t="n">
        <f aca="false">ROUNDUP(AJ103,0)</f>
        <v>66</v>
      </c>
      <c r="AL103" s="16" t="n">
        <v>25</v>
      </c>
      <c r="AM103" s="16" t="n">
        <f aca="false">AL103+AJ103</f>
        <v>90.1</v>
      </c>
      <c r="AN103" s="16" t="n">
        <f aca="false">AL103+AK103</f>
        <v>91</v>
      </c>
      <c r="AO103" s="16" t="n">
        <v>74</v>
      </c>
      <c r="AP103" s="36" t="n">
        <f aca="false">(AO103*70)/100</f>
        <v>51.8</v>
      </c>
      <c r="AQ103" s="37" t="n">
        <f aca="false">ROUNDUP(AP103,0)</f>
        <v>52</v>
      </c>
      <c r="AR103" s="16" t="n">
        <v>29</v>
      </c>
      <c r="AS103" s="16" t="n">
        <f aca="false">AR103+AP103</f>
        <v>80.8</v>
      </c>
      <c r="AT103" s="16" t="n">
        <f aca="false">AR103+AQ103</f>
        <v>81</v>
      </c>
      <c r="AU103" s="16" t="n">
        <f aca="false">AO103+AF103+AI103+AH103+AG103</f>
        <v>432</v>
      </c>
      <c r="AV103" s="16" t="n">
        <f aca="false">(AO103+AF103+AI103+AH103+AG103)/5</f>
        <v>86.4</v>
      </c>
      <c r="AW103" s="36" t="n">
        <f aca="false">(AO103+AF103+AI103+AH103+AG103+X103+R103+Q103+K103+J103)</f>
        <v>850</v>
      </c>
      <c r="AX103" s="16" t="n">
        <f aca="false">AW103/10</f>
        <v>85</v>
      </c>
      <c r="AY103" s="16" t="n">
        <f aca="false">AS103+AF103+AM103+AH103+AG103+AB103+V103+Q103+O103+J103</f>
        <v>861</v>
      </c>
      <c r="AZ103" s="16" t="n">
        <f aca="false">AT103+AF103+AN103+AH103+AG103+AC103+W103+Q103+P103+J103</f>
        <v>864</v>
      </c>
      <c r="BA103" s="16" t="n">
        <f aca="false">AY103/10</f>
        <v>86.1</v>
      </c>
      <c r="BB103" s="16" t="n">
        <f aca="false">AZ103/10</f>
        <v>86.4</v>
      </c>
      <c r="BC103" s="16" t="n">
        <v>2333</v>
      </c>
      <c r="BD103" s="16" t="n">
        <f aca="false">RANK(AX103,$AX$2:$AX$881,0)</f>
        <v>92</v>
      </c>
      <c r="BE103" s="54" t="n">
        <f aca="false">((BC103*100)/2400)*0.4+(AX103*0.6)</f>
        <v>89.8833333333333</v>
      </c>
      <c r="BF103" s="16" t="n">
        <f aca="false">RANK(BE103,$BE$2:$BE$881,0)</f>
        <v>108</v>
      </c>
      <c r="BG103" s="39" t="n">
        <f aca="false">RANK(BB103,$BB$2:$BB$881,0)</f>
        <v>75</v>
      </c>
      <c r="BH103" s="39" t="n">
        <f aca="false">RANK(BC103,$BC$2:$BC$881,0)</f>
        <v>697</v>
      </c>
      <c r="BI103" s="22" t="s">
        <v>130</v>
      </c>
      <c r="BJ103" s="22" t="s">
        <v>129</v>
      </c>
      <c r="BK103" s="40" t="s">
        <v>131</v>
      </c>
      <c r="BL103" s="41" t="n">
        <v>26</v>
      </c>
      <c r="BM103" s="41" t="n">
        <v>58</v>
      </c>
      <c r="BN103" s="41" t="n">
        <v>84</v>
      </c>
      <c r="BO103" s="42" t="n">
        <v>28</v>
      </c>
      <c r="BP103" s="43" t="n">
        <v>59</v>
      </c>
      <c r="BQ103" s="44" t="n">
        <v>87</v>
      </c>
      <c r="BR103" s="42" t="n">
        <v>24</v>
      </c>
      <c r="BS103" s="45" t="n">
        <v>60</v>
      </c>
      <c r="BT103" s="45" t="n">
        <v>84</v>
      </c>
      <c r="BU103" s="46" t="n">
        <v>99</v>
      </c>
      <c r="BV103" s="47" t="n">
        <v>82</v>
      </c>
      <c r="BW103" s="42" t="n">
        <v>99</v>
      </c>
      <c r="BX103" s="48" t="n">
        <v>100</v>
      </c>
      <c r="BY103" s="32" t="n">
        <v>27</v>
      </c>
      <c r="BZ103" s="32" t="n">
        <v>56</v>
      </c>
      <c r="CA103" s="32" t="n">
        <v>83</v>
      </c>
      <c r="CB103" s="32" t="n">
        <v>24</v>
      </c>
      <c r="CC103" s="32" t="n">
        <v>46</v>
      </c>
      <c r="CD103" s="32" t="n">
        <v>70</v>
      </c>
      <c r="CE103" s="32" t="n">
        <v>29</v>
      </c>
      <c r="CF103" s="32" t="n">
        <v>55</v>
      </c>
      <c r="CG103" s="32" t="n">
        <v>84</v>
      </c>
      <c r="CH103" s="32" t="n">
        <v>96</v>
      </c>
      <c r="CI103" s="32" t="n">
        <v>98</v>
      </c>
      <c r="CJ103" s="49" t="n">
        <v>27</v>
      </c>
      <c r="CK103" s="49" t="n">
        <v>63</v>
      </c>
      <c r="CL103" s="49" t="n">
        <v>90</v>
      </c>
      <c r="CM103" s="49" t="n">
        <v>22</v>
      </c>
      <c r="CN103" s="49" t="n">
        <v>51</v>
      </c>
      <c r="CO103" s="49" t="n">
        <v>73</v>
      </c>
      <c r="CP103" s="25" t="n">
        <f aca="false">BX103+BW103+BV103+BU103+BT103+BQ103+BN103</f>
        <v>635</v>
      </c>
      <c r="CQ103" s="25" t="n">
        <f aca="false">CO103+CL103+CI103+CH103+CG103+CD103+CA103</f>
        <v>594</v>
      </c>
      <c r="CR103" s="26" t="n">
        <f aca="false">CP103/7</f>
        <v>90.7142857142857</v>
      </c>
      <c r="CS103" s="26" t="n">
        <f aca="false">CQ103/7</f>
        <v>84.8571428571429</v>
      </c>
      <c r="CT103" s="24" t="n">
        <f aca="false">RANK(CR103,$CR$2:$CR$881,0)</f>
        <v>140</v>
      </c>
      <c r="CU103" s="25" t="n">
        <f aca="false">RANK(CS103,$CS$2:$CS$881,0)</f>
        <v>105</v>
      </c>
      <c r="CV103" s="26" t="n">
        <f aca="false">(CS103+CR103)/2</f>
        <v>87.7857142857143</v>
      </c>
      <c r="CW103" s="25" t="n">
        <f aca="false">RANK(CV103,$CV$2:$CV$881,0)</f>
        <v>100</v>
      </c>
      <c r="CX103" s="50" t="n">
        <f aca="false">(CV103+BB103)/2</f>
        <v>87.0928571428571</v>
      </c>
      <c r="CY103" s="50" t="n">
        <v>75</v>
      </c>
      <c r="CZ103" s="27" t="s">
        <v>132</v>
      </c>
      <c r="DA103" s="27" t="s">
        <v>153</v>
      </c>
      <c r="DB103" s="27" t="s">
        <v>153</v>
      </c>
      <c r="DC103" s="27" t="s">
        <v>134</v>
      </c>
      <c r="DD103" s="27" t="s">
        <v>160</v>
      </c>
      <c r="DE103" s="27" t="s">
        <v>161</v>
      </c>
      <c r="DF103" s="27" t="s">
        <v>162</v>
      </c>
      <c r="DG103" s="27" t="s">
        <v>134</v>
      </c>
      <c r="DH103" s="27" t="s">
        <v>174</v>
      </c>
      <c r="DI103" s="27" t="s">
        <v>218</v>
      </c>
      <c r="DJ103" s="27" t="s">
        <v>272</v>
      </c>
      <c r="DK103" s="27" t="s">
        <v>134</v>
      </c>
      <c r="DL103" s="27" t="s">
        <v>154</v>
      </c>
      <c r="DM103" s="27" t="s">
        <v>447</v>
      </c>
      <c r="DN103" s="27" t="s">
        <v>443</v>
      </c>
      <c r="DO103" s="27" t="s">
        <v>134</v>
      </c>
      <c r="DP103" s="27" t="s">
        <v>386</v>
      </c>
      <c r="DQ103" s="27" t="s">
        <v>220</v>
      </c>
      <c r="DR103" s="27" t="s">
        <v>372</v>
      </c>
      <c r="DS103" s="27" t="s">
        <v>134</v>
      </c>
      <c r="DT103" s="27" t="s">
        <v>164</v>
      </c>
      <c r="DU103" s="27" t="s">
        <v>136</v>
      </c>
      <c r="DV103" s="27" t="s">
        <v>153</v>
      </c>
      <c r="DW103" s="27" t="s">
        <v>140</v>
      </c>
      <c r="DX103" s="27" t="s">
        <v>136</v>
      </c>
      <c r="DY103" s="27" t="s">
        <v>176</v>
      </c>
      <c r="DZ103" s="27" t="n">
        <f aca="false">DY103+DV103+DR103+DN103+DJ103+DF103+DB103</f>
        <v>590</v>
      </c>
      <c r="EA103" s="28" t="n">
        <f aca="false">DZ103/7</f>
        <v>84.2857142857143</v>
      </c>
      <c r="EB103" s="27" t="n">
        <f aca="false">RANK(EA103,$EA$2:$EA$881,0)</f>
        <v>210</v>
      </c>
      <c r="EC103" s="29" t="n">
        <f aca="false">DZ103+CQ103+CP103+AZ103</f>
        <v>2683</v>
      </c>
      <c r="ED103" s="30" t="n">
        <f aca="false">(EA103+CV103+BB103)/3</f>
        <v>86.1571428571428</v>
      </c>
      <c r="EE103" s="51" t="n">
        <f aca="false">ROUND(BE103,3)</f>
        <v>89.883</v>
      </c>
      <c r="EF103" s="51" t="n">
        <f aca="false">ROUND(CR103,3)</f>
        <v>90.714</v>
      </c>
      <c r="EG103" s="51" t="n">
        <f aca="false">ROUND(CS103,3)</f>
        <v>84.857</v>
      </c>
      <c r="EH103" s="51" t="n">
        <f aca="false">ROUND(EA103,3)</f>
        <v>84.286</v>
      </c>
      <c r="EI103" s="51" t="n">
        <f aca="false">ROUND(ED103,3)</f>
        <v>86.157</v>
      </c>
      <c r="EJ103" s="51" t="n">
        <f aca="false">ROUND(CV103,3)</f>
        <v>87.786</v>
      </c>
      <c r="EK103" s="0" t="n">
        <f aca="false">RANK(EI103,$EI$2:$EI$881,0)</f>
        <v>102</v>
      </c>
    </row>
    <row r="104" customFormat="false" ht="15" hidden="false" customHeight="false" outlineLevel="0" collapsed="false">
      <c r="A104" s="4" t="n">
        <v>8836</v>
      </c>
      <c r="B104" s="4" t="n">
        <v>514</v>
      </c>
      <c r="C104" s="27" t="s">
        <v>497</v>
      </c>
      <c r="D104" s="31" t="n">
        <v>519</v>
      </c>
      <c r="E104" s="16" t="n">
        <v>230411164</v>
      </c>
      <c r="F104" s="56" t="s">
        <v>498</v>
      </c>
      <c r="G104" s="22" t="s">
        <v>499</v>
      </c>
      <c r="H104" s="22" t="s">
        <v>271</v>
      </c>
      <c r="I104" s="57"/>
      <c r="J104" s="16" t="n">
        <v>87</v>
      </c>
      <c r="K104" s="16" t="n">
        <v>93</v>
      </c>
      <c r="L104" s="34" t="n">
        <f aca="false">(K104*70)/100</f>
        <v>65.1</v>
      </c>
      <c r="M104" s="34" t="n">
        <f aca="false">ROUNDUP(L104,0)</f>
        <v>66</v>
      </c>
      <c r="N104" s="16" t="n">
        <v>26</v>
      </c>
      <c r="O104" s="34" t="n">
        <f aca="false">N104+L104</f>
        <v>91.1</v>
      </c>
      <c r="P104" s="34" t="n">
        <f aca="false">N104+M104</f>
        <v>92</v>
      </c>
      <c r="Q104" s="16" t="n">
        <v>75</v>
      </c>
      <c r="R104" s="16" t="n">
        <v>83</v>
      </c>
      <c r="S104" s="34" t="n">
        <f aca="false">(R104*70)/100</f>
        <v>58.1</v>
      </c>
      <c r="T104" s="34" t="n">
        <f aca="false">ROUNDUP(S104,0)</f>
        <v>59</v>
      </c>
      <c r="U104" s="16" t="n">
        <v>21</v>
      </c>
      <c r="V104" s="34" t="n">
        <f aca="false">U104+S104</f>
        <v>79.1</v>
      </c>
      <c r="W104" s="34" t="n">
        <f aca="false">U104+T104</f>
        <v>80</v>
      </c>
      <c r="X104" s="16" t="n">
        <v>70</v>
      </c>
      <c r="Y104" s="34" t="n">
        <f aca="false">(X104*70)/100</f>
        <v>49</v>
      </c>
      <c r="Z104" s="34" t="n">
        <f aca="false">ROUNDUP(Y104,0)</f>
        <v>49</v>
      </c>
      <c r="AA104" s="16" t="n">
        <v>26</v>
      </c>
      <c r="AB104" s="34" t="n">
        <f aca="false">AA104+Y104</f>
        <v>75</v>
      </c>
      <c r="AC104" s="34" t="n">
        <f aca="false">AA104+Z104</f>
        <v>75</v>
      </c>
      <c r="AD104" s="32" t="n">
        <f aca="false">X104+R104+Q104+K104+J104</f>
        <v>408</v>
      </c>
      <c r="AE104" s="16" t="n">
        <f aca="false">AD104/5</f>
        <v>81.6</v>
      </c>
      <c r="AF104" s="16" t="n">
        <v>84</v>
      </c>
      <c r="AG104" s="16" t="n">
        <v>86</v>
      </c>
      <c r="AH104" s="16" t="n">
        <v>96</v>
      </c>
      <c r="AI104" s="16" t="n">
        <v>95</v>
      </c>
      <c r="AJ104" s="16" t="n">
        <f aca="false">(AI104*70)/100</f>
        <v>66.5</v>
      </c>
      <c r="AK104" s="35" t="n">
        <f aca="false">ROUNDUP(AJ104,0)</f>
        <v>67</v>
      </c>
      <c r="AL104" s="16" t="n">
        <v>26</v>
      </c>
      <c r="AM104" s="16" t="n">
        <f aca="false">AL104+AJ104</f>
        <v>92.5</v>
      </c>
      <c r="AN104" s="16" t="n">
        <f aca="false">AL104+AK104</f>
        <v>93</v>
      </c>
      <c r="AO104" s="16" t="n">
        <v>80</v>
      </c>
      <c r="AP104" s="36" t="n">
        <f aca="false">(AO104*70)/100</f>
        <v>56</v>
      </c>
      <c r="AQ104" s="37" t="n">
        <f aca="false">ROUNDUP(AP104,0)</f>
        <v>56</v>
      </c>
      <c r="AR104" s="16" t="n">
        <v>20</v>
      </c>
      <c r="AS104" s="16" t="n">
        <f aca="false">AR104+AP104</f>
        <v>76</v>
      </c>
      <c r="AT104" s="16" t="n">
        <f aca="false">AR104+AQ104</f>
        <v>76</v>
      </c>
      <c r="AU104" s="16" t="n">
        <f aca="false">AO104+AF104+AI104+AH104+AG104</f>
        <v>441</v>
      </c>
      <c r="AV104" s="16" t="n">
        <f aca="false">(AO104+AF104+AI104+AH104+AG104)/5</f>
        <v>88.2</v>
      </c>
      <c r="AW104" s="36" t="n">
        <f aca="false">(AO104+AF104+AI104+AH104+AG104+X104+R104+Q104+K104+J104)</f>
        <v>849</v>
      </c>
      <c r="AX104" s="16" t="n">
        <f aca="false">AW104/10</f>
        <v>84.9</v>
      </c>
      <c r="AY104" s="16" t="n">
        <f aca="false">AS104+AF104+AM104+AH104+AG104+AB104+V104+Q104+O104+J104</f>
        <v>841.7</v>
      </c>
      <c r="AZ104" s="16" t="n">
        <f aca="false">AT104+AF104+AN104+AH104+AG104+AC104+W104+Q104+P104+J104</f>
        <v>844</v>
      </c>
      <c r="BA104" s="16" t="n">
        <f aca="false">AY104/10</f>
        <v>84.17</v>
      </c>
      <c r="BB104" s="16" t="n">
        <f aca="false">AZ104/10</f>
        <v>84.4</v>
      </c>
      <c r="BC104" s="16" t="n">
        <v>2390</v>
      </c>
      <c r="BD104" s="16" t="n">
        <f aca="false">RANK(AX104,$AX$2:$AX$881,0)</f>
        <v>95</v>
      </c>
      <c r="BE104" s="38" t="n">
        <f aca="false">((BC104*100)/2400)*0.4+(AX104*0.6)</f>
        <v>90.7733333333333</v>
      </c>
      <c r="BF104" s="16" t="n">
        <f aca="false">RANK(BE104,$BE$2:$BE$881,0)</f>
        <v>82</v>
      </c>
      <c r="BG104" s="39" t="n">
        <f aca="false">RANK(BB104,$BB$2:$BB$881,0)</f>
        <v>111</v>
      </c>
      <c r="BH104" s="39" t="n">
        <f aca="false">RANK(BC104,$BC$2:$BC$881,0)</f>
        <v>52</v>
      </c>
      <c r="BI104" s="22" t="s">
        <v>130</v>
      </c>
      <c r="BJ104" s="22" t="s">
        <v>129</v>
      </c>
      <c r="BK104" s="40" t="s">
        <v>131</v>
      </c>
      <c r="BL104" s="41" t="n">
        <v>27</v>
      </c>
      <c r="BM104" s="41" t="n">
        <v>62</v>
      </c>
      <c r="BN104" s="41" t="n">
        <v>89</v>
      </c>
      <c r="BO104" s="42" t="n">
        <v>29</v>
      </c>
      <c r="BP104" s="43" t="n">
        <v>64</v>
      </c>
      <c r="BQ104" s="44" t="n">
        <v>93</v>
      </c>
      <c r="BR104" s="42" t="n">
        <v>23</v>
      </c>
      <c r="BS104" s="45" t="n">
        <v>62</v>
      </c>
      <c r="BT104" s="45" t="n">
        <v>85</v>
      </c>
      <c r="BU104" s="46" t="n">
        <v>100</v>
      </c>
      <c r="BV104" s="47" t="n">
        <v>72</v>
      </c>
      <c r="BW104" s="42" t="n">
        <v>100</v>
      </c>
      <c r="BX104" s="24" t="n">
        <v>92</v>
      </c>
      <c r="BY104" s="32" t="n">
        <v>23</v>
      </c>
      <c r="BZ104" s="32" t="n">
        <v>60</v>
      </c>
      <c r="CA104" s="32" t="n">
        <v>83</v>
      </c>
      <c r="CB104" s="32" t="n">
        <v>25</v>
      </c>
      <c r="CC104" s="32" t="n">
        <v>41</v>
      </c>
      <c r="CD104" s="32" t="n">
        <v>66</v>
      </c>
      <c r="CE104" s="32" t="n">
        <v>23</v>
      </c>
      <c r="CF104" s="32" t="n">
        <v>57</v>
      </c>
      <c r="CG104" s="32" t="n">
        <v>80</v>
      </c>
      <c r="CH104" s="32" t="n">
        <v>98</v>
      </c>
      <c r="CI104" s="32" t="n">
        <v>99</v>
      </c>
      <c r="CJ104" s="25" t="n">
        <v>23</v>
      </c>
      <c r="CK104" s="25" t="n">
        <v>64</v>
      </c>
      <c r="CL104" s="25" t="n">
        <v>87</v>
      </c>
      <c r="CM104" s="49" t="n">
        <v>22</v>
      </c>
      <c r="CN104" s="49" t="n">
        <v>53</v>
      </c>
      <c r="CO104" s="49" t="n">
        <v>75</v>
      </c>
      <c r="CP104" s="25" t="n">
        <f aca="false">BX104+BW104+BV104+BU104+BT104+BQ104+BN104</f>
        <v>631</v>
      </c>
      <c r="CQ104" s="25" t="n">
        <f aca="false">CO104+CL104+CI104+CH104+CG104+CD104+CA104</f>
        <v>588</v>
      </c>
      <c r="CR104" s="26" t="n">
        <f aca="false">CP104/7</f>
        <v>90.1428571428571</v>
      </c>
      <c r="CS104" s="26" t="n">
        <f aca="false">CQ104/7</f>
        <v>84</v>
      </c>
      <c r="CT104" s="24" t="n">
        <f aca="false">RANK(CR104,$CR$2:$CR$881,0)</f>
        <v>172</v>
      </c>
      <c r="CU104" s="25" t="n">
        <f aca="false">RANK(CS104,$CS$2:$CS$881,0)</f>
        <v>120</v>
      </c>
      <c r="CV104" s="26" t="n">
        <f aca="false">(CS104+CR104)/2</f>
        <v>87.0714285714286</v>
      </c>
      <c r="CW104" s="25" t="n">
        <f aca="false">RANK(CV104,$CV$2:$CV$881,0)</f>
        <v>136</v>
      </c>
      <c r="CX104" s="50" t="n">
        <f aca="false">(CV104+BB104)/2</f>
        <v>85.7357142857143</v>
      </c>
      <c r="CY104" s="50" t="n">
        <v>99</v>
      </c>
      <c r="CZ104" s="27" t="s">
        <v>132</v>
      </c>
      <c r="DA104" s="27" t="s">
        <v>169</v>
      </c>
      <c r="DB104" s="27" t="s">
        <v>169</v>
      </c>
      <c r="DC104" s="27" t="s">
        <v>134</v>
      </c>
      <c r="DD104" s="27" t="s">
        <v>137</v>
      </c>
      <c r="DE104" s="27" t="s">
        <v>204</v>
      </c>
      <c r="DF104" s="27" t="s">
        <v>175</v>
      </c>
      <c r="DG104" s="27" t="s">
        <v>134</v>
      </c>
      <c r="DH104" s="27" t="s">
        <v>135</v>
      </c>
      <c r="DI104" s="27" t="s">
        <v>141</v>
      </c>
      <c r="DJ104" s="27" t="s">
        <v>176</v>
      </c>
      <c r="DK104" s="27" t="s">
        <v>134</v>
      </c>
      <c r="DL104" s="27" t="s">
        <v>182</v>
      </c>
      <c r="DM104" s="27" t="s">
        <v>163</v>
      </c>
      <c r="DN104" s="27" t="s">
        <v>162</v>
      </c>
      <c r="DO104" s="27" t="s">
        <v>134</v>
      </c>
      <c r="DP104" s="27" t="s">
        <v>135</v>
      </c>
      <c r="DQ104" s="27" t="s">
        <v>177</v>
      </c>
      <c r="DR104" s="27" t="s">
        <v>175</v>
      </c>
      <c r="DS104" s="27" t="s">
        <v>134</v>
      </c>
      <c r="DT104" s="27" t="s">
        <v>154</v>
      </c>
      <c r="DU104" s="27" t="s">
        <v>218</v>
      </c>
      <c r="DV104" s="27" t="s">
        <v>219</v>
      </c>
      <c r="DW104" s="27" t="s">
        <v>160</v>
      </c>
      <c r="DX104" s="27" t="s">
        <v>141</v>
      </c>
      <c r="DY104" s="27" t="s">
        <v>139</v>
      </c>
      <c r="DZ104" s="27" t="n">
        <f aca="false">DY104+DV104+DR104+DN104+DJ104+DF104+DB104</f>
        <v>609</v>
      </c>
      <c r="EA104" s="28" t="n">
        <f aca="false">DZ104/7</f>
        <v>87</v>
      </c>
      <c r="EB104" s="27" t="n">
        <f aca="false">RANK(EA104,$EA$2:$EA$881,0)</f>
        <v>125</v>
      </c>
      <c r="EC104" s="29" t="n">
        <f aca="false">DZ104+CQ104+CP104+AZ104</f>
        <v>2672</v>
      </c>
      <c r="ED104" s="30" t="n">
        <f aca="false">(EA104+CV104+BB104)/3</f>
        <v>86.1571428571428</v>
      </c>
      <c r="EE104" s="51" t="n">
        <f aca="false">ROUND(BE104,3)</f>
        <v>90.773</v>
      </c>
      <c r="EF104" s="51" t="n">
        <f aca="false">ROUND(CR104,3)</f>
        <v>90.143</v>
      </c>
      <c r="EG104" s="51" t="n">
        <f aca="false">ROUND(CS104,3)</f>
        <v>84</v>
      </c>
      <c r="EH104" s="51" t="n">
        <f aca="false">ROUND(EA104,3)</f>
        <v>87</v>
      </c>
      <c r="EI104" s="51" t="n">
        <f aca="false">ROUND(ED104,3)</f>
        <v>86.157</v>
      </c>
      <c r="EJ104" s="51" t="n">
        <f aca="false">ROUND(CV104,3)</f>
        <v>87.071</v>
      </c>
      <c r="EK104" s="0" t="n">
        <f aca="false">RANK(EI104,$EI$2:$EI$881,0)</f>
        <v>102</v>
      </c>
    </row>
    <row r="105" customFormat="false" ht="15" hidden="false" customHeight="false" outlineLevel="0" collapsed="false">
      <c r="A105" s="4" t="n">
        <v>9032</v>
      </c>
      <c r="B105" s="4" t="n">
        <v>641</v>
      </c>
      <c r="C105" s="27" t="s">
        <v>500</v>
      </c>
      <c r="D105" s="31" t="n">
        <v>650</v>
      </c>
      <c r="E105" s="32" t="n">
        <v>230321114</v>
      </c>
      <c r="F105" s="8" t="s">
        <v>501</v>
      </c>
      <c r="G105" s="22" t="s">
        <v>502</v>
      </c>
      <c r="H105" s="22" t="s">
        <v>129</v>
      </c>
      <c r="I105" s="33" t="n">
        <v>2005</v>
      </c>
      <c r="J105" s="32" t="n">
        <v>92</v>
      </c>
      <c r="K105" s="32" t="n">
        <v>89</v>
      </c>
      <c r="L105" s="34" t="n">
        <f aca="false">(K105*70)/100</f>
        <v>62.3</v>
      </c>
      <c r="M105" s="34" t="n">
        <f aca="false">ROUNDUP(L105,0)</f>
        <v>63</v>
      </c>
      <c r="N105" s="32" t="n">
        <v>26</v>
      </c>
      <c r="O105" s="34" t="n">
        <f aca="false">N105+L105</f>
        <v>88.3</v>
      </c>
      <c r="P105" s="34" t="n">
        <f aca="false">N105+M105</f>
        <v>89</v>
      </c>
      <c r="Q105" s="32" t="n">
        <v>72</v>
      </c>
      <c r="R105" s="32" t="n">
        <v>74</v>
      </c>
      <c r="S105" s="34" t="n">
        <f aca="false">(R105*70)/100</f>
        <v>51.8</v>
      </c>
      <c r="T105" s="34" t="n">
        <f aca="false">ROUNDUP(S105,0)</f>
        <v>52</v>
      </c>
      <c r="U105" s="32" t="n">
        <v>25</v>
      </c>
      <c r="V105" s="34" t="n">
        <f aca="false">U105+S105</f>
        <v>76.8</v>
      </c>
      <c r="W105" s="34" t="n">
        <f aca="false">U105+T105</f>
        <v>77</v>
      </c>
      <c r="X105" s="32" t="n">
        <v>63</v>
      </c>
      <c r="Y105" s="34" t="n">
        <f aca="false">(X105*70)/100</f>
        <v>44.1</v>
      </c>
      <c r="Z105" s="34" t="n">
        <f aca="false">ROUNDUP(Y105,0)</f>
        <v>45</v>
      </c>
      <c r="AA105" s="32" t="n">
        <v>26</v>
      </c>
      <c r="AB105" s="34" t="n">
        <f aca="false">AA105+Y105</f>
        <v>70.1</v>
      </c>
      <c r="AC105" s="34" t="n">
        <f aca="false">AA105+Z105</f>
        <v>71</v>
      </c>
      <c r="AD105" s="32" t="n">
        <f aca="false">X105+R105+Q105+K105+J105</f>
        <v>390</v>
      </c>
      <c r="AE105" s="16" t="n">
        <f aca="false">AD105/5</f>
        <v>78</v>
      </c>
      <c r="AF105" s="16" t="n">
        <v>73</v>
      </c>
      <c r="AG105" s="16" t="n">
        <v>80</v>
      </c>
      <c r="AH105" s="16" t="n">
        <v>99</v>
      </c>
      <c r="AI105" s="16" t="n">
        <v>92</v>
      </c>
      <c r="AJ105" s="16" t="n">
        <f aca="false">(AI105*70)/100</f>
        <v>64.4</v>
      </c>
      <c r="AK105" s="35" t="n">
        <f aca="false">ROUNDUP(AJ105,0)</f>
        <v>65</v>
      </c>
      <c r="AL105" s="16" t="n">
        <v>26</v>
      </c>
      <c r="AM105" s="16" t="n">
        <f aca="false">AL105+AJ105</f>
        <v>90.4</v>
      </c>
      <c r="AN105" s="16" t="n">
        <f aca="false">AL105+AK105</f>
        <v>91</v>
      </c>
      <c r="AO105" s="16" t="n">
        <v>84</v>
      </c>
      <c r="AP105" s="36" t="n">
        <f aca="false">(AO105*70)/100</f>
        <v>58.8</v>
      </c>
      <c r="AQ105" s="37" t="n">
        <f aca="false">ROUNDUP(AP105,0)</f>
        <v>59</v>
      </c>
      <c r="AR105" s="16" t="n">
        <v>29</v>
      </c>
      <c r="AS105" s="16" t="n">
        <f aca="false">AR105+AP105</f>
        <v>87.8</v>
      </c>
      <c r="AT105" s="16" t="n">
        <f aca="false">AR105+AQ105</f>
        <v>88</v>
      </c>
      <c r="AU105" s="16" t="n">
        <f aca="false">AO105+AF105+AI105+AH105+AG105</f>
        <v>428</v>
      </c>
      <c r="AV105" s="16" t="n">
        <f aca="false">(AO105+AF105+AI105+AH105+AG105)/5</f>
        <v>85.6</v>
      </c>
      <c r="AW105" s="36" t="n">
        <f aca="false">(AO105+AF105+AI105+AH105+AG105+X105+R105+Q105+K105+J105)</f>
        <v>818</v>
      </c>
      <c r="AX105" s="16" t="n">
        <f aca="false">AW105/10</f>
        <v>81.8</v>
      </c>
      <c r="AY105" s="16" t="n">
        <f aca="false">AS105+AF105+AM105+AH105+AG105+AB105+V105+Q105+O105+J105</f>
        <v>829.4</v>
      </c>
      <c r="AZ105" s="16" t="n">
        <f aca="false">AT105+AF105+AN105+AH105+AG105+AC105+W105+Q105+P105+J105</f>
        <v>832</v>
      </c>
      <c r="BA105" s="16" t="n">
        <f aca="false">AY105/10</f>
        <v>82.94</v>
      </c>
      <c r="BB105" s="16" t="n">
        <f aca="false">AZ105/10</f>
        <v>83.2</v>
      </c>
      <c r="BC105" s="16" t="n">
        <v>2374</v>
      </c>
      <c r="BD105" s="16" t="n">
        <f aca="false">RANK(AX105,$AX$2:$AX$881,0)</f>
        <v>171</v>
      </c>
      <c r="BE105" s="54" t="n">
        <f aca="false">((BC105*100)/2400)*0.4+(AX105*0.6)</f>
        <v>88.6466666666667</v>
      </c>
      <c r="BF105" s="16" t="n">
        <f aca="false">RANK(BE105,$BE$2:$BE$881,0)</f>
        <v>149</v>
      </c>
      <c r="BG105" s="39" t="n">
        <f aca="false">RANK(BB105,$BB$2:$BB$881,0)</f>
        <v>152</v>
      </c>
      <c r="BH105" s="39" t="n">
        <f aca="false">RANK(BC105,$BC$2:$BC$881,0)</f>
        <v>222</v>
      </c>
      <c r="BI105" s="22" t="s">
        <v>130</v>
      </c>
      <c r="BJ105" s="22" t="s">
        <v>129</v>
      </c>
      <c r="BK105" s="40" t="s">
        <v>131</v>
      </c>
      <c r="BL105" s="41" t="n">
        <v>26</v>
      </c>
      <c r="BM105" s="41" t="n">
        <v>64</v>
      </c>
      <c r="BN105" s="41" t="n">
        <v>90</v>
      </c>
      <c r="BO105" s="42" t="n">
        <v>25</v>
      </c>
      <c r="BP105" s="43" t="n">
        <v>67</v>
      </c>
      <c r="BQ105" s="44" t="n">
        <v>92</v>
      </c>
      <c r="BR105" s="42" t="n">
        <v>26</v>
      </c>
      <c r="BS105" s="45" t="n">
        <v>61</v>
      </c>
      <c r="BT105" s="45" t="n">
        <v>87</v>
      </c>
      <c r="BU105" s="46" t="n">
        <v>100</v>
      </c>
      <c r="BV105" s="47" t="n">
        <v>80</v>
      </c>
      <c r="BW105" s="42" t="n">
        <v>99</v>
      </c>
      <c r="BX105" s="48" t="n">
        <v>98</v>
      </c>
      <c r="BY105" s="32" t="n">
        <v>27</v>
      </c>
      <c r="BZ105" s="32" t="n">
        <v>62</v>
      </c>
      <c r="CA105" s="32" t="n">
        <v>89</v>
      </c>
      <c r="CB105" s="32" t="n">
        <v>23</v>
      </c>
      <c r="CC105" s="32" t="n">
        <v>42</v>
      </c>
      <c r="CD105" s="32" t="n">
        <v>65</v>
      </c>
      <c r="CE105" s="32" t="n">
        <v>25</v>
      </c>
      <c r="CF105" s="32" t="n">
        <v>61</v>
      </c>
      <c r="CG105" s="32" t="n">
        <v>86</v>
      </c>
      <c r="CH105" s="32" t="n">
        <v>96</v>
      </c>
      <c r="CI105" s="32" t="n">
        <v>98</v>
      </c>
      <c r="CJ105" s="49" t="n">
        <v>25</v>
      </c>
      <c r="CK105" s="49" t="n">
        <v>57</v>
      </c>
      <c r="CL105" s="49" t="n">
        <v>82</v>
      </c>
      <c r="CM105" s="49" t="n">
        <v>23</v>
      </c>
      <c r="CN105" s="49" t="n">
        <v>40</v>
      </c>
      <c r="CO105" s="49" t="n">
        <v>63</v>
      </c>
      <c r="CP105" s="25" t="n">
        <f aca="false">BX105+BW105+BV105+BU105+BT105+BQ105+BN105</f>
        <v>646</v>
      </c>
      <c r="CQ105" s="25" t="n">
        <f aca="false">CO105+CL105+CI105+CH105+CG105+CD105+CA105</f>
        <v>579</v>
      </c>
      <c r="CR105" s="26" t="n">
        <f aca="false">CP105/7</f>
        <v>92.2857142857143</v>
      </c>
      <c r="CS105" s="26" t="n">
        <f aca="false">CQ105/7</f>
        <v>82.7142857142857</v>
      </c>
      <c r="CT105" s="24" t="n">
        <f aca="false">RANK(CR105,$CR$2:$CR$881,0)</f>
        <v>80</v>
      </c>
      <c r="CU105" s="25" t="n">
        <f aca="false">RANK(CS105,$CS$2:$CS$881,0)</f>
        <v>167</v>
      </c>
      <c r="CV105" s="26" t="n">
        <f aca="false">(CS105+CR105)/2</f>
        <v>87.5</v>
      </c>
      <c r="CW105" s="25" t="n">
        <f aca="false">RANK(CV105,$CV$2:$CV$881,0)</f>
        <v>117</v>
      </c>
      <c r="CX105" s="50" t="n">
        <f aca="false">(CV105+BB105)/2</f>
        <v>85.35</v>
      </c>
      <c r="CY105" s="50" t="n">
        <v>177</v>
      </c>
      <c r="CZ105" s="27" t="s">
        <v>132</v>
      </c>
      <c r="DA105" s="27" t="s">
        <v>175</v>
      </c>
      <c r="DB105" s="27" t="s">
        <v>175</v>
      </c>
      <c r="DC105" s="27" t="s">
        <v>134</v>
      </c>
      <c r="DD105" s="27" t="s">
        <v>135</v>
      </c>
      <c r="DE105" s="27" t="s">
        <v>204</v>
      </c>
      <c r="DF105" s="27" t="s">
        <v>209</v>
      </c>
      <c r="DG105" s="27" t="s">
        <v>134</v>
      </c>
      <c r="DH105" s="27" t="s">
        <v>182</v>
      </c>
      <c r="DI105" s="27" t="s">
        <v>141</v>
      </c>
      <c r="DJ105" s="27" t="s">
        <v>170</v>
      </c>
      <c r="DK105" s="27" t="s">
        <v>134</v>
      </c>
      <c r="DL105" s="27" t="s">
        <v>160</v>
      </c>
      <c r="DM105" s="27" t="s">
        <v>136</v>
      </c>
      <c r="DN105" s="27" t="s">
        <v>170</v>
      </c>
      <c r="DO105" s="27" t="s">
        <v>134</v>
      </c>
      <c r="DP105" s="27" t="s">
        <v>174</v>
      </c>
      <c r="DQ105" s="27" t="s">
        <v>203</v>
      </c>
      <c r="DR105" s="27" t="s">
        <v>209</v>
      </c>
      <c r="DS105" s="27" t="s">
        <v>134</v>
      </c>
      <c r="DT105" s="27" t="s">
        <v>146</v>
      </c>
      <c r="DU105" s="27" t="s">
        <v>304</v>
      </c>
      <c r="DV105" s="27" t="s">
        <v>209</v>
      </c>
      <c r="DW105" s="27" t="s">
        <v>137</v>
      </c>
      <c r="DX105" s="27" t="s">
        <v>143</v>
      </c>
      <c r="DY105" s="27" t="s">
        <v>156</v>
      </c>
      <c r="DZ105" s="27" t="n">
        <f aca="false">DY105+DV105+DR105+DN105+DJ105+DF105+DB105</f>
        <v>613</v>
      </c>
      <c r="EA105" s="28" t="n">
        <f aca="false">DZ105/7</f>
        <v>87.5714285714286</v>
      </c>
      <c r="EB105" s="27" t="n">
        <f aca="false">RANK(EA105,$EA$2:$EA$881,0)</f>
        <v>106</v>
      </c>
      <c r="EC105" s="29" t="n">
        <f aca="false">DZ105+CQ105+CP105+AZ105</f>
        <v>2670</v>
      </c>
      <c r="ED105" s="30" t="n">
        <f aca="false">(EA105+CV105+BB105)/3</f>
        <v>86.0904761904762</v>
      </c>
      <c r="EE105" s="51" t="n">
        <f aca="false">ROUND(BE105,3)</f>
        <v>88.647</v>
      </c>
      <c r="EF105" s="51" t="n">
        <f aca="false">ROUND(CR105,3)</f>
        <v>92.286</v>
      </c>
      <c r="EG105" s="51" t="n">
        <f aca="false">ROUND(CS105,3)</f>
        <v>82.714</v>
      </c>
      <c r="EH105" s="51" t="n">
        <f aca="false">ROUND(EA105,3)</f>
        <v>87.571</v>
      </c>
      <c r="EI105" s="51" t="n">
        <f aca="false">ROUND(ED105,3)</f>
        <v>86.09</v>
      </c>
      <c r="EJ105" s="51" t="n">
        <f aca="false">ROUND(CV105,3)</f>
        <v>87.5</v>
      </c>
      <c r="EK105" s="0" t="n">
        <f aca="false">RANK(EI105,$EI$2:$EI$881,0)</f>
        <v>104</v>
      </c>
    </row>
    <row r="106" customFormat="false" ht="17.45" hidden="false" customHeight="false" outlineLevel="0" collapsed="false">
      <c r="A106" s="4" t="n">
        <v>9121</v>
      </c>
      <c r="B106" s="4" t="n">
        <v>705</v>
      </c>
      <c r="C106" s="27" t="s">
        <v>503</v>
      </c>
      <c r="D106" s="31" t="n">
        <v>719</v>
      </c>
      <c r="E106" s="32" t="n">
        <v>230314546</v>
      </c>
      <c r="F106" s="55" t="s">
        <v>504</v>
      </c>
      <c r="G106" s="22" t="s">
        <v>505</v>
      </c>
      <c r="H106" s="22" t="s">
        <v>129</v>
      </c>
      <c r="I106" s="33" t="n">
        <v>2006</v>
      </c>
      <c r="J106" s="32" t="n">
        <v>98</v>
      </c>
      <c r="K106" s="32" t="n">
        <v>84</v>
      </c>
      <c r="L106" s="34" t="n">
        <f aca="false">(K106*70)/100</f>
        <v>58.8</v>
      </c>
      <c r="M106" s="34" t="n">
        <f aca="false">ROUNDUP(L106,0)</f>
        <v>59</v>
      </c>
      <c r="N106" s="32" t="n">
        <v>24</v>
      </c>
      <c r="O106" s="34" t="n">
        <f aca="false">N106+L106</f>
        <v>82.8</v>
      </c>
      <c r="P106" s="34" t="n">
        <f aca="false">N106+M106</f>
        <v>83</v>
      </c>
      <c r="Q106" s="32" t="n">
        <v>74</v>
      </c>
      <c r="R106" s="32" t="n">
        <v>94</v>
      </c>
      <c r="S106" s="34" t="n">
        <f aca="false">(R106*70)/100</f>
        <v>65.8</v>
      </c>
      <c r="T106" s="34" t="n">
        <f aca="false">ROUNDUP(S106,0)</f>
        <v>66</v>
      </c>
      <c r="U106" s="32" t="n">
        <v>25</v>
      </c>
      <c r="V106" s="34" t="n">
        <f aca="false">U106+S106</f>
        <v>90.8</v>
      </c>
      <c r="W106" s="34" t="n">
        <f aca="false">U106+T106</f>
        <v>91</v>
      </c>
      <c r="X106" s="32" t="n">
        <v>92</v>
      </c>
      <c r="Y106" s="34" t="n">
        <f aca="false">(X106*70)/100</f>
        <v>64.4</v>
      </c>
      <c r="Z106" s="34" t="n">
        <f aca="false">ROUNDUP(Y106,0)</f>
        <v>65</v>
      </c>
      <c r="AA106" s="32" t="n">
        <v>25</v>
      </c>
      <c r="AB106" s="34" t="n">
        <f aca="false">AA106+Y106</f>
        <v>89.4</v>
      </c>
      <c r="AC106" s="34" t="n">
        <f aca="false">AA106+Z106</f>
        <v>90</v>
      </c>
      <c r="AD106" s="32" t="n">
        <f aca="false">X106+R106+Q106+K106+J106</f>
        <v>442</v>
      </c>
      <c r="AE106" s="16" t="n">
        <f aca="false">AD106/5</f>
        <v>88.4</v>
      </c>
      <c r="AF106" s="16" t="n">
        <v>90</v>
      </c>
      <c r="AG106" s="16" t="n">
        <v>98</v>
      </c>
      <c r="AH106" s="16" t="n">
        <v>87</v>
      </c>
      <c r="AI106" s="16" t="n">
        <v>66</v>
      </c>
      <c r="AJ106" s="16" t="n">
        <f aca="false">(AI106*70)/100</f>
        <v>46.2</v>
      </c>
      <c r="AK106" s="35" t="n">
        <f aca="false">ROUNDUP(AJ106,0)</f>
        <v>47</v>
      </c>
      <c r="AL106" s="16" t="n">
        <v>21</v>
      </c>
      <c r="AM106" s="16" t="n">
        <f aca="false">AL106+AJ106</f>
        <v>67.2</v>
      </c>
      <c r="AN106" s="16" t="n">
        <f aca="false">AL106+AK106</f>
        <v>68</v>
      </c>
      <c r="AO106" s="16" t="n">
        <v>91</v>
      </c>
      <c r="AP106" s="36" t="n">
        <f aca="false">(AO106*70)/100</f>
        <v>63.7</v>
      </c>
      <c r="AQ106" s="37" t="n">
        <f aca="false">ROUNDUP(AP106,0)</f>
        <v>64</v>
      </c>
      <c r="AR106" s="16" t="n">
        <v>29</v>
      </c>
      <c r="AS106" s="16" t="n">
        <f aca="false">AR106+AP106</f>
        <v>92.7</v>
      </c>
      <c r="AT106" s="16" t="n">
        <f aca="false">AR106+AQ106</f>
        <v>93</v>
      </c>
      <c r="AU106" s="16" t="n">
        <f aca="false">AO106+AF106+AI106+AH106+AG106</f>
        <v>432</v>
      </c>
      <c r="AV106" s="16" t="n">
        <f aca="false">(AO106+AF106+AI106+AH106+AG106)/5</f>
        <v>86.4</v>
      </c>
      <c r="AW106" s="36" t="n">
        <f aca="false">(AO106+AF106+AI106+AH106+AG106+X106+R106+Q106+K106+J106)</f>
        <v>874</v>
      </c>
      <c r="AX106" s="16" t="n">
        <f aca="false">AW106/10</f>
        <v>87.4</v>
      </c>
      <c r="AY106" s="16" t="n">
        <f aca="false">AS106+AF106+AM106+AH106+AG106+AB106+V106+Q106+O106+J106</f>
        <v>869.9</v>
      </c>
      <c r="AZ106" s="16" t="n">
        <f aca="false">AT106+AF106+AN106+AH106+AG106+AC106+W106+Q106+P106+J106</f>
        <v>872</v>
      </c>
      <c r="BA106" s="16" t="n">
        <f aca="false">AY106/10</f>
        <v>86.99</v>
      </c>
      <c r="BB106" s="16" t="n">
        <f aca="false">AZ106/10</f>
        <v>87.2</v>
      </c>
      <c r="BC106" s="16" t="n">
        <v>2372</v>
      </c>
      <c r="BD106" s="16" t="n">
        <f aca="false">RANK(AX106,$AX$2:$AX$881,0)</f>
        <v>44</v>
      </c>
      <c r="BE106" s="38" t="n">
        <f aca="false">((BC106*100)/2400)*0.4+(AX106*0.6)</f>
        <v>91.9733333333333</v>
      </c>
      <c r="BF106" s="16" t="n">
        <f aca="false">RANK(BE106,$BE$2:$BE$881,0)</f>
        <v>44</v>
      </c>
      <c r="BG106" s="39" t="n">
        <f aca="false">RANK(BB106,$BB$2:$BB$881,0)</f>
        <v>55</v>
      </c>
      <c r="BH106" s="39" t="n">
        <f aca="false">RANK(BC106,$BC$2:$BC$881,0)</f>
        <v>246</v>
      </c>
      <c r="BI106" s="22" t="s">
        <v>130</v>
      </c>
      <c r="BJ106" s="22" t="s">
        <v>129</v>
      </c>
      <c r="BK106" s="40" t="s">
        <v>131</v>
      </c>
      <c r="BL106" s="41" t="n">
        <v>19</v>
      </c>
      <c r="BM106" s="41" t="n">
        <v>59</v>
      </c>
      <c r="BN106" s="41" t="n">
        <v>78</v>
      </c>
      <c r="BO106" s="42" t="n">
        <v>28</v>
      </c>
      <c r="BP106" s="43" t="n">
        <v>48</v>
      </c>
      <c r="BQ106" s="44" t="n">
        <v>76</v>
      </c>
      <c r="BR106" s="42" t="n">
        <v>20</v>
      </c>
      <c r="BS106" s="45" t="n">
        <v>57</v>
      </c>
      <c r="BT106" s="45" t="n">
        <v>77</v>
      </c>
      <c r="BU106" s="46" t="n">
        <v>100</v>
      </c>
      <c r="BV106" s="47" t="n">
        <v>84</v>
      </c>
      <c r="BW106" s="42" t="n">
        <v>100</v>
      </c>
      <c r="BX106" s="48" t="n">
        <v>86</v>
      </c>
      <c r="BY106" s="32" t="n">
        <v>27</v>
      </c>
      <c r="BZ106" s="32" t="n">
        <v>51</v>
      </c>
      <c r="CA106" s="32" t="n">
        <v>78</v>
      </c>
      <c r="CB106" s="32" t="n">
        <v>17</v>
      </c>
      <c r="CC106" s="32" t="n">
        <v>38</v>
      </c>
      <c r="CD106" s="69" t="n">
        <v>55</v>
      </c>
      <c r="CE106" s="32" t="n">
        <v>26</v>
      </c>
      <c r="CF106" s="32" t="n">
        <v>53</v>
      </c>
      <c r="CG106" s="32" t="n">
        <v>79</v>
      </c>
      <c r="CH106" s="32" t="n">
        <v>96</v>
      </c>
      <c r="CI106" s="32" t="n">
        <v>99</v>
      </c>
      <c r="CJ106" s="49" t="n">
        <v>19</v>
      </c>
      <c r="CK106" s="49" t="n">
        <v>60</v>
      </c>
      <c r="CL106" s="49" t="n">
        <v>79</v>
      </c>
      <c r="CM106" s="49" t="n">
        <v>19</v>
      </c>
      <c r="CN106" s="49" t="n">
        <v>59</v>
      </c>
      <c r="CO106" s="49" t="n">
        <v>78</v>
      </c>
      <c r="CP106" s="25" t="n">
        <f aca="false">BX106+BW106+BV106+BU106+BT106+BQ106+BN106</f>
        <v>601</v>
      </c>
      <c r="CQ106" s="25" t="n">
        <f aca="false">CO106+CL106+CI106+CH106+CG106+CD106+CA106</f>
        <v>564</v>
      </c>
      <c r="CR106" s="26" t="n">
        <f aca="false">CP106/7</f>
        <v>85.8571428571429</v>
      </c>
      <c r="CS106" s="26" t="n">
        <f aca="false">CQ106/7</f>
        <v>80.5714285714286</v>
      </c>
      <c r="CT106" s="24" t="n">
        <f aca="false">RANK(CR106,$CR$2:$CR$881,0)</f>
        <v>408</v>
      </c>
      <c r="CU106" s="25" t="n">
        <f aca="false">RANK(CS106,$CS$2:$CS$881,0)</f>
        <v>240</v>
      </c>
      <c r="CV106" s="26" t="n">
        <f aca="false">(CS106+CR106)/2</f>
        <v>83.2142857142857</v>
      </c>
      <c r="CW106" s="25" t="n">
        <f aca="false">RANK(CV106,$CV$2:$CV$881,0)</f>
        <v>287</v>
      </c>
      <c r="CX106" s="50" t="n">
        <f aca="false">(CV106+BB106)/2</f>
        <v>85.2071428571429</v>
      </c>
      <c r="CY106" s="50" t="n">
        <v>116</v>
      </c>
      <c r="CZ106" s="27" t="s">
        <v>132</v>
      </c>
      <c r="DA106" s="27" t="s">
        <v>162</v>
      </c>
      <c r="DB106" s="27" t="s">
        <v>162</v>
      </c>
      <c r="DC106" s="27" t="s">
        <v>134</v>
      </c>
      <c r="DD106" s="27" t="s">
        <v>182</v>
      </c>
      <c r="DE106" s="27" t="s">
        <v>177</v>
      </c>
      <c r="DF106" s="27" t="s">
        <v>209</v>
      </c>
      <c r="DG106" s="27" t="s">
        <v>134</v>
      </c>
      <c r="DH106" s="27" t="s">
        <v>182</v>
      </c>
      <c r="DI106" s="27" t="s">
        <v>141</v>
      </c>
      <c r="DJ106" s="27" t="s">
        <v>170</v>
      </c>
      <c r="DK106" s="27" t="s">
        <v>134</v>
      </c>
      <c r="DL106" s="27" t="s">
        <v>164</v>
      </c>
      <c r="DM106" s="27" t="s">
        <v>136</v>
      </c>
      <c r="DN106" s="27" t="s">
        <v>153</v>
      </c>
      <c r="DO106" s="27" t="s">
        <v>134</v>
      </c>
      <c r="DP106" s="27" t="s">
        <v>195</v>
      </c>
      <c r="DQ106" s="27" t="s">
        <v>161</v>
      </c>
      <c r="DR106" s="27" t="s">
        <v>205</v>
      </c>
      <c r="DS106" s="27" t="s">
        <v>134</v>
      </c>
      <c r="DT106" s="27" t="s">
        <v>174</v>
      </c>
      <c r="DU106" s="27" t="s">
        <v>177</v>
      </c>
      <c r="DV106" s="27" t="s">
        <v>205</v>
      </c>
      <c r="DW106" s="27" t="s">
        <v>164</v>
      </c>
      <c r="DX106" s="27" t="s">
        <v>155</v>
      </c>
      <c r="DY106" s="27" t="s">
        <v>144</v>
      </c>
      <c r="DZ106" s="27" t="n">
        <f aca="false">DY106+DV106+DR106+DN106+DJ106+DF106+DB106</f>
        <v>615</v>
      </c>
      <c r="EA106" s="28" t="n">
        <f aca="false">DZ106/7</f>
        <v>87.8571428571429</v>
      </c>
      <c r="EB106" s="27" t="n">
        <f aca="false">RANK(EA106,$EA$2:$EA$881,0)</f>
        <v>98</v>
      </c>
      <c r="EC106" s="29" t="n">
        <f aca="false">DZ106+CQ106+CP106+AZ106</f>
        <v>2652</v>
      </c>
      <c r="ED106" s="30" t="n">
        <f aca="false">(EA106+CV106+BB106)/3</f>
        <v>86.0904761904762</v>
      </c>
      <c r="EE106" s="51" t="n">
        <f aca="false">ROUND(BE106,3)</f>
        <v>91.973</v>
      </c>
      <c r="EF106" s="51" t="n">
        <f aca="false">ROUND(CR106,3)</f>
        <v>85.857</v>
      </c>
      <c r="EG106" s="51" t="n">
        <f aca="false">ROUND(CS106,3)</f>
        <v>80.571</v>
      </c>
      <c r="EH106" s="51" t="n">
        <f aca="false">ROUND(EA106,3)</f>
        <v>87.857</v>
      </c>
      <c r="EI106" s="51" t="n">
        <f aca="false">ROUND(ED106,3)</f>
        <v>86.09</v>
      </c>
      <c r="EJ106" s="51" t="n">
        <f aca="false">ROUND(CV106,3)</f>
        <v>83.214</v>
      </c>
      <c r="EK106" s="0" t="n">
        <f aca="false">RANK(EI106,$EI$2:$EI$881,0)</f>
        <v>104</v>
      </c>
    </row>
    <row r="107" customFormat="false" ht="15" hidden="false" customHeight="false" outlineLevel="0" collapsed="false">
      <c r="A107" s="4" t="n">
        <v>2036</v>
      </c>
      <c r="B107" s="4" t="n">
        <v>385</v>
      </c>
      <c r="C107" s="27" t="s">
        <v>506</v>
      </c>
      <c r="D107" s="31" t="n">
        <v>389</v>
      </c>
      <c r="E107" s="16" t="n">
        <v>230247129</v>
      </c>
      <c r="F107" s="56" t="s">
        <v>507</v>
      </c>
      <c r="G107" s="66" t="s">
        <v>508</v>
      </c>
      <c r="H107" s="66" t="s">
        <v>326</v>
      </c>
      <c r="I107" s="57"/>
      <c r="J107" s="16" t="n">
        <v>74</v>
      </c>
      <c r="K107" s="16" t="n">
        <v>80</v>
      </c>
      <c r="L107" s="34" t="n">
        <f aca="false">(K107*70)/100</f>
        <v>56</v>
      </c>
      <c r="M107" s="34" t="n">
        <f aca="false">ROUNDUP(L107,0)</f>
        <v>56</v>
      </c>
      <c r="N107" s="16" t="n">
        <v>27</v>
      </c>
      <c r="O107" s="34" t="n">
        <f aca="false">N107+L107</f>
        <v>83</v>
      </c>
      <c r="P107" s="34" t="n">
        <f aca="false">N107+M107</f>
        <v>83</v>
      </c>
      <c r="Q107" s="16" t="n">
        <v>71</v>
      </c>
      <c r="R107" s="16" t="n">
        <v>69</v>
      </c>
      <c r="S107" s="34" t="n">
        <f aca="false">(R107*70)/100</f>
        <v>48.3</v>
      </c>
      <c r="T107" s="34" t="n">
        <f aca="false">ROUNDUP(S107,0)</f>
        <v>49</v>
      </c>
      <c r="U107" s="16" t="n">
        <v>26</v>
      </c>
      <c r="V107" s="34" t="n">
        <f aca="false">U107+S107</f>
        <v>74.3</v>
      </c>
      <c r="W107" s="34" t="n">
        <f aca="false">U107+T107</f>
        <v>75</v>
      </c>
      <c r="X107" s="16" t="n">
        <v>62</v>
      </c>
      <c r="Y107" s="34" t="n">
        <f aca="false">(X107*70)/100</f>
        <v>43.4</v>
      </c>
      <c r="Z107" s="34" t="n">
        <f aca="false">ROUNDUP(Y107,0)</f>
        <v>44</v>
      </c>
      <c r="AA107" s="16" t="n">
        <v>27</v>
      </c>
      <c r="AB107" s="34" t="n">
        <f aca="false">AA107+Y107</f>
        <v>70.4</v>
      </c>
      <c r="AC107" s="34" t="n">
        <f aca="false">AA107+Z107</f>
        <v>71</v>
      </c>
      <c r="AD107" s="32" t="n">
        <f aca="false">X107+R107+Q107+K107+J107</f>
        <v>356</v>
      </c>
      <c r="AE107" s="16" t="n">
        <f aca="false">AD107/5</f>
        <v>71.2</v>
      </c>
      <c r="AF107" s="16" t="n">
        <v>73</v>
      </c>
      <c r="AG107" s="16" t="n">
        <v>85</v>
      </c>
      <c r="AH107" s="16" t="n">
        <v>95</v>
      </c>
      <c r="AI107" s="16" t="n">
        <v>96</v>
      </c>
      <c r="AJ107" s="16" t="n">
        <f aca="false">(AI107*70)/100</f>
        <v>67.2</v>
      </c>
      <c r="AK107" s="35" t="n">
        <f aca="false">ROUNDUP(AJ107,0)</f>
        <v>68</v>
      </c>
      <c r="AL107" s="16" t="n">
        <v>21</v>
      </c>
      <c r="AM107" s="16" t="n">
        <f aca="false">AL107+AJ107</f>
        <v>88.2</v>
      </c>
      <c r="AN107" s="16" t="n">
        <f aca="false">AL107+AK107</f>
        <v>89</v>
      </c>
      <c r="AO107" s="16" t="n">
        <v>81</v>
      </c>
      <c r="AP107" s="36" t="n">
        <f aca="false">(AO107*70)/100</f>
        <v>56.7</v>
      </c>
      <c r="AQ107" s="37" t="n">
        <f aca="false">ROUNDUP(AP107,0)</f>
        <v>57</v>
      </c>
      <c r="AR107" s="16" t="n">
        <v>23</v>
      </c>
      <c r="AS107" s="16" t="n">
        <f aca="false">AR107+AP107</f>
        <v>79.7</v>
      </c>
      <c r="AT107" s="16" t="n">
        <f aca="false">AR107+AQ107</f>
        <v>80</v>
      </c>
      <c r="AU107" s="16" t="n">
        <f aca="false">AO107+AF107+AI107+AH107+AG107</f>
        <v>430</v>
      </c>
      <c r="AV107" s="16" t="n">
        <f aca="false">(AO107+AF107+AI107+AH107+AG107)/5</f>
        <v>86</v>
      </c>
      <c r="AW107" s="36" t="n">
        <f aca="false">(AO107+AF107+AI107+AH107+AG107+X107+R107+Q107+K107+J107)</f>
        <v>786</v>
      </c>
      <c r="AX107" s="16" t="n">
        <f aca="false">AW107/10</f>
        <v>78.6</v>
      </c>
      <c r="AY107" s="16" t="n">
        <f aca="false">AS107+AF107+AM107+AH107+AG107+AB107+V107+Q107+O107+J107</f>
        <v>793.6</v>
      </c>
      <c r="AZ107" s="16" t="n">
        <f aca="false">AT107+AF107+AN107+AH107+AG107+AC107+W107+Q107+P107+J107</f>
        <v>796</v>
      </c>
      <c r="BA107" s="16" t="n">
        <f aca="false">AY107/10</f>
        <v>79.36</v>
      </c>
      <c r="BB107" s="16" t="n">
        <f aca="false">AZ107/10</f>
        <v>79.6</v>
      </c>
      <c r="BC107" s="16" t="n">
        <v>2335</v>
      </c>
      <c r="BD107" s="16" t="n">
        <f aca="false">RANK(AX107,$AX$2:$AX$881,0)</f>
        <v>370</v>
      </c>
      <c r="BE107" s="54" t="n">
        <f aca="false">((BC107*100)/2400)*0.4+(AX107*0.6)</f>
        <v>86.0766666666667</v>
      </c>
      <c r="BF107" s="16" t="n">
        <f aca="false">RANK(BE107,$BE$2:$BE$881,0)</f>
        <v>424</v>
      </c>
      <c r="BG107" s="39" t="n">
        <f aca="false">RANK(BB107,$BB$2:$BB$881,0)</f>
        <v>392</v>
      </c>
      <c r="BH107" s="39" t="n">
        <f aca="false">RANK(BC107,$BC$2:$BC$881,0)</f>
        <v>681</v>
      </c>
      <c r="BI107" s="22" t="s">
        <v>130</v>
      </c>
      <c r="BJ107" s="22" t="s">
        <v>129</v>
      </c>
      <c r="BK107" s="40" t="s">
        <v>509</v>
      </c>
      <c r="BL107" s="41" t="n">
        <v>25</v>
      </c>
      <c r="BM107" s="41" t="n">
        <v>57</v>
      </c>
      <c r="BN107" s="41" t="n">
        <v>82</v>
      </c>
      <c r="BO107" s="42" t="n">
        <v>27</v>
      </c>
      <c r="BP107" s="43" t="n">
        <v>60</v>
      </c>
      <c r="BQ107" s="44" t="n">
        <v>87</v>
      </c>
      <c r="BR107" s="42" t="n">
        <v>26</v>
      </c>
      <c r="BS107" s="45" t="n">
        <v>61</v>
      </c>
      <c r="BT107" s="45" t="n">
        <v>87</v>
      </c>
      <c r="BU107" s="46" t="n">
        <v>100</v>
      </c>
      <c r="BV107" s="47" t="n">
        <v>80</v>
      </c>
      <c r="BW107" s="42" t="n">
        <v>100</v>
      </c>
      <c r="BX107" s="48" t="n">
        <v>98</v>
      </c>
      <c r="BY107" s="32" t="n">
        <v>28</v>
      </c>
      <c r="BZ107" s="32" t="n">
        <v>54</v>
      </c>
      <c r="CA107" s="32" t="n">
        <v>82</v>
      </c>
      <c r="CB107" s="32" t="n">
        <v>25</v>
      </c>
      <c r="CC107" s="32" t="n">
        <v>49</v>
      </c>
      <c r="CD107" s="32" t="n">
        <v>74</v>
      </c>
      <c r="CE107" s="32" t="n">
        <v>29</v>
      </c>
      <c r="CF107" s="32" t="n">
        <v>57</v>
      </c>
      <c r="CG107" s="32" t="n">
        <v>86</v>
      </c>
      <c r="CH107" s="32" t="n">
        <v>100</v>
      </c>
      <c r="CI107" s="32" t="n">
        <v>100</v>
      </c>
      <c r="CJ107" s="49" t="n">
        <v>29</v>
      </c>
      <c r="CK107" s="49" t="n">
        <v>53</v>
      </c>
      <c r="CL107" s="49" t="n">
        <v>82</v>
      </c>
      <c r="CM107" s="49" t="n">
        <v>26</v>
      </c>
      <c r="CN107" s="49" t="n">
        <v>53</v>
      </c>
      <c r="CO107" s="49" t="n">
        <v>79</v>
      </c>
      <c r="CP107" s="25" t="n">
        <f aca="false">BX107+BW107+BV107+BU107+BT107+BQ107+BN107</f>
        <v>634</v>
      </c>
      <c r="CQ107" s="25" t="n">
        <f aca="false">CO107+CL107+CI107+CH107+CG107+CD107+CA107</f>
        <v>603</v>
      </c>
      <c r="CR107" s="26" t="n">
        <f aca="false">CP107/7</f>
        <v>90.5714285714286</v>
      </c>
      <c r="CS107" s="26" t="n">
        <f aca="false">CQ107/7</f>
        <v>86.1428571428571</v>
      </c>
      <c r="CT107" s="24" t="n">
        <f aca="false">RANK(CR107,$CR$2:$CR$881,0)</f>
        <v>147</v>
      </c>
      <c r="CU107" s="25" t="n">
        <f aca="false">RANK(CS107,$CS$2:$CS$881,0)</f>
        <v>74</v>
      </c>
      <c r="CV107" s="26" t="n">
        <f aca="false">(CS107+CR107)/2</f>
        <v>88.3571428571429</v>
      </c>
      <c r="CW107" s="25" t="n">
        <f aca="false">RANK(CV107,$CV$2:$CV$881,0)</f>
        <v>89</v>
      </c>
      <c r="CX107" s="50" t="n">
        <f aca="false">(CV107+BB107)/2</f>
        <v>83.9785714285714</v>
      </c>
      <c r="CY107" s="50" t="n">
        <v>162</v>
      </c>
      <c r="CZ107" s="27" t="s">
        <v>132</v>
      </c>
      <c r="DA107" s="27" t="s">
        <v>176</v>
      </c>
      <c r="DB107" s="27" t="s">
        <v>176</v>
      </c>
      <c r="DC107" s="27" t="s">
        <v>134</v>
      </c>
      <c r="DD107" s="27" t="s">
        <v>137</v>
      </c>
      <c r="DE107" s="27" t="s">
        <v>152</v>
      </c>
      <c r="DF107" s="27" t="s">
        <v>153</v>
      </c>
      <c r="DG107" s="27" t="s">
        <v>134</v>
      </c>
      <c r="DH107" s="27" t="s">
        <v>140</v>
      </c>
      <c r="DI107" s="27" t="s">
        <v>220</v>
      </c>
      <c r="DJ107" s="27" t="s">
        <v>175</v>
      </c>
      <c r="DK107" s="27" t="s">
        <v>134</v>
      </c>
      <c r="DL107" s="27" t="s">
        <v>164</v>
      </c>
      <c r="DM107" s="27" t="s">
        <v>204</v>
      </c>
      <c r="DN107" s="27" t="s">
        <v>202</v>
      </c>
      <c r="DO107" s="27" t="s">
        <v>134</v>
      </c>
      <c r="DP107" s="27" t="s">
        <v>137</v>
      </c>
      <c r="DQ107" s="27" t="s">
        <v>161</v>
      </c>
      <c r="DR107" s="27" t="s">
        <v>178</v>
      </c>
      <c r="DS107" s="27" t="s">
        <v>134</v>
      </c>
      <c r="DT107" s="27" t="s">
        <v>146</v>
      </c>
      <c r="DU107" s="27" t="s">
        <v>136</v>
      </c>
      <c r="DV107" s="27" t="s">
        <v>151</v>
      </c>
      <c r="DW107" s="27" t="s">
        <v>140</v>
      </c>
      <c r="DX107" s="27" t="s">
        <v>155</v>
      </c>
      <c r="DY107" s="27" t="s">
        <v>147</v>
      </c>
      <c r="DZ107" s="27" t="n">
        <f aca="false">DY107+DV107+DR107+DN107+DJ107+DF107+DB107</f>
        <v>632</v>
      </c>
      <c r="EA107" s="28" t="n">
        <f aca="false">DZ107/7</f>
        <v>90.2857142857143</v>
      </c>
      <c r="EB107" s="27" t="n">
        <f aca="false">RANK(EA107,$EA$2:$EA$881,0)</f>
        <v>50</v>
      </c>
      <c r="EC107" s="29" t="n">
        <f aca="false">DZ107+CQ107+CP107+AZ107</f>
        <v>2665</v>
      </c>
      <c r="ED107" s="30" t="n">
        <f aca="false">(EA107+CV107+BB107)/3</f>
        <v>86.0809523809524</v>
      </c>
      <c r="EE107" s="51" t="n">
        <f aca="false">ROUND(BE107,3)</f>
        <v>86.077</v>
      </c>
      <c r="EF107" s="51" t="n">
        <f aca="false">ROUND(CR107,3)</f>
        <v>90.571</v>
      </c>
      <c r="EG107" s="51" t="n">
        <f aca="false">ROUND(CS107,3)</f>
        <v>86.143</v>
      </c>
      <c r="EH107" s="51" t="n">
        <f aca="false">ROUND(EA107,3)</f>
        <v>90.286</v>
      </c>
      <c r="EI107" s="51" t="n">
        <f aca="false">ROUND(ED107,3)</f>
        <v>86.081</v>
      </c>
      <c r="EJ107" s="51" t="n">
        <f aca="false">ROUND(CV107,3)</f>
        <v>88.357</v>
      </c>
      <c r="EK107" s="0" t="n">
        <f aca="false">RANK(EI107,$EI$2:$EI$881,0)</f>
        <v>106</v>
      </c>
    </row>
    <row r="108" customFormat="false" ht="15" hidden="false" customHeight="false" outlineLevel="0" collapsed="false">
      <c r="A108" s="4" t="n">
        <v>8616</v>
      </c>
      <c r="B108" s="4" t="n">
        <v>778</v>
      </c>
      <c r="C108" s="27" t="s">
        <v>510</v>
      </c>
      <c r="D108" s="31" t="n">
        <v>795</v>
      </c>
      <c r="E108" s="32" t="n">
        <v>230313085</v>
      </c>
      <c r="F108" s="8" t="s">
        <v>511</v>
      </c>
      <c r="G108" s="22" t="s">
        <v>512</v>
      </c>
      <c r="H108" s="22" t="s">
        <v>129</v>
      </c>
      <c r="I108" s="33" t="n">
        <v>2006</v>
      </c>
      <c r="J108" s="32" t="n">
        <v>73</v>
      </c>
      <c r="K108" s="32" t="n">
        <v>75</v>
      </c>
      <c r="L108" s="34" t="n">
        <f aca="false">(K108*70)/100</f>
        <v>52.5</v>
      </c>
      <c r="M108" s="34" t="n">
        <f aca="false">ROUNDUP(L108,0)</f>
        <v>53</v>
      </c>
      <c r="N108" s="32" t="n">
        <v>24</v>
      </c>
      <c r="O108" s="34" t="n">
        <f aca="false">N108+L108</f>
        <v>76.5</v>
      </c>
      <c r="P108" s="34" t="n">
        <f aca="false">N108+M108</f>
        <v>77</v>
      </c>
      <c r="Q108" s="32" t="n">
        <v>81</v>
      </c>
      <c r="R108" s="32" t="n">
        <v>80</v>
      </c>
      <c r="S108" s="34" t="n">
        <f aca="false">(R108*70)/100</f>
        <v>56</v>
      </c>
      <c r="T108" s="34" t="n">
        <f aca="false">ROUNDUP(S108,0)</f>
        <v>56</v>
      </c>
      <c r="U108" s="32" t="n">
        <v>21</v>
      </c>
      <c r="V108" s="34" t="n">
        <f aca="false">U108+S108</f>
        <v>77</v>
      </c>
      <c r="W108" s="34" t="n">
        <f aca="false">U108+T108</f>
        <v>77</v>
      </c>
      <c r="X108" s="32" t="n">
        <v>65</v>
      </c>
      <c r="Y108" s="34" t="n">
        <f aca="false">(X108*70)/100</f>
        <v>45.5</v>
      </c>
      <c r="Z108" s="34" t="n">
        <f aca="false">ROUNDUP(Y108,0)</f>
        <v>46</v>
      </c>
      <c r="AA108" s="32" t="n">
        <v>23</v>
      </c>
      <c r="AB108" s="34" t="n">
        <f aca="false">AA108+Y108</f>
        <v>68.5</v>
      </c>
      <c r="AC108" s="34" t="n">
        <f aca="false">AA108+Z108</f>
        <v>69</v>
      </c>
      <c r="AD108" s="32" t="n">
        <f aca="false">X108+R108+Q108+K108+J108</f>
        <v>374</v>
      </c>
      <c r="AE108" s="16" t="n">
        <f aca="false">AD108/5</f>
        <v>74.8</v>
      </c>
      <c r="AF108" s="16" t="n">
        <v>76</v>
      </c>
      <c r="AG108" s="16" t="n">
        <v>92</v>
      </c>
      <c r="AH108" s="16" t="n">
        <v>88</v>
      </c>
      <c r="AI108" s="16" t="n">
        <v>91</v>
      </c>
      <c r="AJ108" s="16" t="n">
        <f aca="false">(AI108*70)/100</f>
        <v>63.7</v>
      </c>
      <c r="AK108" s="35" t="n">
        <f aca="false">ROUNDUP(AJ108,0)</f>
        <v>64</v>
      </c>
      <c r="AL108" s="16" t="n">
        <v>28</v>
      </c>
      <c r="AM108" s="16" t="n">
        <f aca="false">AL108+AJ108</f>
        <v>91.7</v>
      </c>
      <c r="AN108" s="16" t="n">
        <f aca="false">AL108+AK108</f>
        <v>92</v>
      </c>
      <c r="AO108" s="16" t="n">
        <v>79</v>
      </c>
      <c r="AP108" s="36" t="n">
        <f aca="false">(AO108*70)/100</f>
        <v>55.3</v>
      </c>
      <c r="AQ108" s="37" t="n">
        <f aca="false">ROUNDUP(AP108,0)</f>
        <v>56</v>
      </c>
      <c r="AR108" s="16" t="n">
        <v>28</v>
      </c>
      <c r="AS108" s="16" t="n">
        <f aca="false">AR108+AP108</f>
        <v>83.3</v>
      </c>
      <c r="AT108" s="16" t="n">
        <f aca="false">AR108+AQ108</f>
        <v>84</v>
      </c>
      <c r="AU108" s="16" t="n">
        <f aca="false">AO108+AF108+AI108+AH108+AG108</f>
        <v>426</v>
      </c>
      <c r="AV108" s="16" t="n">
        <f aca="false">(AO108+AF108+AI108+AH108+AG108)/5</f>
        <v>85.2</v>
      </c>
      <c r="AW108" s="36" t="n">
        <f aca="false">(AO108+AF108+AI108+AH108+AG108+X108+R108+Q108+K108+J108)</f>
        <v>800</v>
      </c>
      <c r="AX108" s="16" t="n">
        <f aca="false">AW108/10</f>
        <v>80</v>
      </c>
      <c r="AY108" s="16" t="n">
        <f aca="false">AS108+AF108+AM108+AH108+AG108+AB108+V108+Q108+O108+J108</f>
        <v>807</v>
      </c>
      <c r="AZ108" s="16" t="n">
        <f aca="false">AT108+AF108+AN108+AH108+AG108+AC108+W108+Q108+P108+J108</f>
        <v>809</v>
      </c>
      <c r="BA108" s="16" t="n">
        <f aca="false">AY108/10</f>
        <v>80.7</v>
      </c>
      <c r="BB108" s="16" t="n">
        <f aca="false">AZ108/10</f>
        <v>80.9</v>
      </c>
      <c r="BC108" s="16" t="n">
        <v>2330</v>
      </c>
      <c r="BD108" s="16" t="n">
        <f aca="false">RANK(AX108,$AX$2:$AX$881,0)</f>
        <v>265</v>
      </c>
      <c r="BE108" s="54" t="n">
        <f aca="false">((BC108*100)/2400)*0.4+(AX108*0.6)</f>
        <v>86.8333333333333</v>
      </c>
      <c r="BF108" s="16" t="n">
        <f aca="false">RANK(BE108,$BE$2:$BE$881,0)</f>
        <v>318</v>
      </c>
      <c r="BG108" s="39" t="n">
        <f aca="false">RANK(BB108,$BB$2:$BB$881,0)</f>
        <v>282</v>
      </c>
      <c r="BH108" s="39" t="n">
        <f aca="false">RANK(BC108,$BC$2:$BC$881,0)</f>
        <v>729</v>
      </c>
      <c r="BI108" s="22" t="s">
        <v>130</v>
      </c>
      <c r="BJ108" s="22" t="s">
        <v>129</v>
      </c>
      <c r="BK108" s="40" t="s">
        <v>131</v>
      </c>
      <c r="BL108" s="41" t="n">
        <v>22</v>
      </c>
      <c r="BM108" s="41" t="n">
        <v>58</v>
      </c>
      <c r="BN108" s="41" t="n">
        <v>80</v>
      </c>
      <c r="BO108" s="42" t="n">
        <v>24</v>
      </c>
      <c r="BP108" s="43" t="n">
        <v>66</v>
      </c>
      <c r="BQ108" s="44" t="n">
        <v>90</v>
      </c>
      <c r="BR108" s="42" t="n">
        <v>27</v>
      </c>
      <c r="BS108" s="45" t="n">
        <v>62</v>
      </c>
      <c r="BT108" s="45" t="n">
        <v>89</v>
      </c>
      <c r="BU108" s="46" t="n">
        <v>100</v>
      </c>
      <c r="BV108" s="47" t="n">
        <v>82</v>
      </c>
      <c r="BW108" s="42" t="n">
        <v>100</v>
      </c>
      <c r="BX108" s="48" t="n">
        <v>86</v>
      </c>
      <c r="BY108" s="32" t="n">
        <v>28</v>
      </c>
      <c r="BZ108" s="32" t="n">
        <v>56</v>
      </c>
      <c r="CA108" s="32" t="n">
        <v>84</v>
      </c>
      <c r="CB108" s="32" t="n">
        <v>22</v>
      </c>
      <c r="CC108" s="32" t="n">
        <v>46</v>
      </c>
      <c r="CD108" s="32" t="n">
        <v>68</v>
      </c>
      <c r="CE108" s="32" t="n">
        <v>27</v>
      </c>
      <c r="CF108" s="32" t="n">
        <v>60</v>
      </c>
      <c r="CG108" s="32" t="n">
        <v>87</v>
      </c>
      <c r="CH108" s="32" t="n">
        <v>99</v>
      </c>
      <c r="CI108" s="32" t="n">
        <v>100</v>
      </c>
      <c r="CJ108" s="49" t="n">
        <v>24</v>
      </c>
      <c r="CK108" s="49" t="n">
        <v>57</v>
      </c>
      <c r="CL108" s="49" t="n">
        <v>81</v>
      </c>
      <c r="CM108" s="49" t="n">
        <v>20</v>
      </c>
      <c r="CN108" s="49" t="n">
        <v>58</v>
      </c>
      <c r="CO108" s="49" t="n">
        <v>78</v>
      </c>
      <c r="CP108" s="25" t="n">
        <f aca="false">BX108+BW108+BV108+BU108+BT108+BQ108+BN108</f>
        <v>627</v>
      </c>
      <c r="CQ108" s="25" t="n">
        <f aca="false">CO108+CL108+CI108+CH108+CG108+CD108+CA108</f>
        <v>597</v>
      </c>
      <c r="CR108" s="26" t="n">
        <f aca="false">CP108/7</f>
        <v>89.5714285714286</v>
      </c>
      <c r="CS108" s="26" t="n">
        <f aca="false">CQ108/7</f>
        <v>85.2857142857143</v>
      </c>
      <c r="CT108" s="24" t="n">
        <f aca="false">RANK(CR108,$CR$2:$CR$881,0)</f>
        <v>209</v>
      </c>
      <c r="CU108" s="25" t="n">
        <f aca="false">RANK(CS108,$CS$2:$CS$881,0)</f>
        <v>96</v>
      </c>
      <c r="CV108" s="26" t="n">
        <f aca="false">(CS108+CR108)/2</f>
        <v>87.4285714285714</v>
      </c>
      <c r="CW108" s="25" t="n">
        <f aca="false">RANK(CV108,$CV$2:$CV$881,0)</f>
        <v>121</v>
      </c>
      <c r="CX108" s="50" t="n">
        <f aca="false">(CV108+BB108)/2</f>
        <v>84.1642857142857</v>
      </c>
      <c r="CY108" s="50" t="n">
        <v>157</v>
      </c>
      <c r="CZ108" s="27" t="s">
        <v>132</v>
      </c>
      <c r="DA108" s="27" t="s">
        <v>151</v>
      </c>
      <c r="DB108" s="27" t="s">
        <v>151</v>
      </c>
      <c r="DC108" s="27" t="s">
        <v>134</v>
      </c>
      <c r="DD108" s="27" t="s">
        <v>135</v>
      </c>
      <c r="DE108" s="27" t="s">
        <v>152</v>
      </c>
      <c r="DF108" s="27" t="s">
        <v>162</v>
      </c>
      <c r="DG108" s="27" t="s">
        <v>134</v>
      </c>
      <c r="DH108" s="27" t="s">
        <v>191</v>
      </c>
      <c r="DI108" s="27" t="s">
        <v>187</v>
      </c>
      <c r="DJ108" s="27" t="s">
        <v>202</v>
      </c>
      <c r="DK108" s="27" t="s">
        <v>134</v>
      </c>
      <c r="DL108" s="27" t="s">
        <v>160</v>
      </c>
      <c r="DM108" s="27" t="s">
        <v>152</v>
      </c>
      <c r="DN108" s="27" t="s">
        <v>176</v>
      </c>
      <c r="DO108" s="27" t="s">
        <v>134</v>
      </c>
      <c r="DP108" s="27" t="s">
        <v>135</v>
      </c>
      <c r="DQ108" s="27" t="s">
        <v>218</v>
      </c>
      <c r="DR108" s="27" t="s">
        <v>205</v>
      </c>
      <c r="DS108" s="27" t="s">
        <v>134</v>
      </c>
      <c r="DT108" s="27" t="s">
        <v>140</v>
      </c>
      <c r="DU108" s="27" t="s">
        <v>136</v>
      </c>
      <c r="DV108" s="27" t="s">
        <v>176</v>
      </c>
      <c r="DW108" s="27" t="s">
        <v>137</v>
      </c>
      <c r="DX108" s="27" t="s">
        <v>138</v>
      </c>
      <c r="DY108" s="27" t="s">
        <v>139</v>
      </c>
      <c r="DZ108" s="27" t="n">
        <f aca="false">DY108+DV108+DR108+DN108+DJ108+DF108+DB108</f>
        <v>629</v>
      </c>
      <c r="EA108" s="28" t="n">
        <f aca="false">DZ108/7</f>
        <v>89.8571428571429</v>
      </c>
      <c r="EB108" s="27" t="n">
        <f aca="false">RANK(EA108,$EA$2:$EA$881,0)</f>
        <v>56</v>
      </c>
      <c r="EC108" s="29" t="n">
        <f aca="false">DZ108+CQ108+CP108+AZ108</f>
        <v>2662</v>
      </c>
      <c r="ED108" s="30" t="n">
        <f aca="false">(EA108+CV108+BB108)/3</f>
        <v>86.0619047619048</v>
      </c>
      <c r="EE108" s="51" t="n">
        <f aca="false">ROUND(BE108,3)</f>
        <v>86.833</v>
      </c>
      <c r="EF108" s="51" t="n">
        <f aca="false">ROUND(CR108,3)</f>
        <v>89.571</v>
      </c>
      <c r="EG108" s="51" t="n">
        <f aca="false">ROUND(CS108,3)</f>
        <v>85.286</v>
      </c>
      <c r="EH108" s="51" t="n">
        <f aca="false">ROUND(EA108,3)</f>
        <v>89.857</v>
      </c>
      <c r="EI108" s="51" t="n">
        <f aca="false">ROUND(ED108,3)</f>
        <v>86.062</v>
      </c>
      <c r="EJ108" s="51" t="n">
        <f aca="false">ROUND(CV108,3)</f>
        <v>87.429</v>
      </c>
      <c r="EK108" s="0" t="n">
        <f aca="false">RANK(EI108,$EI$2:$EI$881,0)</f>
        <v>107</v>
      </c>
    </row>
    <row r="109" customFormat="false" ht="15" hidden="false" customHeight="false" outlineLevel="0" collapsed="false">
      <c r="A109" s="4" t="n">
        <v>9055</v>
      </c>
      <c r="B109" s="4" t="n">
        <v>854</v>
      </c>
      <c r="C109" s="27" t="s">
        <v>513</v>
      </c>
      <c r="D109" s="31" t="n">
        <v>874</v>
      </c>
      <c r="E109" s="32" t="n">
        <v>230319223</v>
      </c>
      <c r="F109" s="8" t="s">
        <v>514</v>
      </c>
      <c r="G109" s="22" t="s">
        <v>515</v>
      </c>
      <c r="H109" s="22" t="s">
        <v>129</v>
      </c>
      <c r="I109" s="33" t="n">
        <v>2005</v>
      </c>
      <c r="J109" s="32" t="n">
        <v>85</v>
      </c>
      <c r="K109" s="32" t="n">
        <v>86</v>
      </c>
      <c r="L109" s="34" t="n">
        <f aca="false">(K109*70)/100</f>
        <v>60.2</v>
      </c>
      <c r="M109" s="34" t="n">
        <f aca="false">ROUNDUP(L109,0)</f>
        <v>61</v>
      </c>
      <c r="N109" s="32" t="n">
        <v>22</v>
      </c>
      <c r="O109" s="34" t="n">
        <f aca="false">N109+L109</f>
        <v>82.2</v>
      </c>
      <c r="P109" s="34" t="n">
        <f aca="false">N109+M109</f>
        <v>83</v>
      </c>
      <c r="Q109" s="32" t="n">
        <v>78</v>
      </c>
      <c r="R109" s="32" t="n">
        <v>87</v>
      </c>
      <c r="S109" s="34" t="n">
        <f aca="false">(R109*70)/100</f>
        <v>60.9</v>
      </c>
      <c r="T109" s="34" t="n">
        <f aca="false">ROUNDUP(S109,0)</f>
        <v>61</v>
      </c>
      <c r="U109" s="32" t="n">
        <v>18</v>
      </c>
      <c r="V109" s="34" t="n">
        <f aca="false">U109+S109</f>
        <v>78.9</v>
      </c>
      <c r="W109" s="34" t="n">
        <f aca="false">U109+T109</f>
        <v>79</v>
      </c>
      <c r="X109" s="32" t="n">
        <v>74</v>
      </c>
      <c r="Y109" s="34" t="n">
        <f aca="false">(X109*70)/100</f>
        <v>51.8</v>
      </c>
      <c r="Z109" s="34" t="n">
        <f aca="false">ROUNDUP(Y109,0)</f>
        <v>52</v>
      </c>
      <c r="AA109" s="32" t="n">
        <v>24</v>
      </c>
      <c r="AB109" s="34" t="n">
        <f aca="false">AA109+Y109</f>
        <v>75.8</v>
      </c>
      <c r="AC109" s="34" t="n">
        <f aca="false">AA109+Z109</f>
        <v>76</v>
      </c>
      <c r="AD109" s="32" t="n">
        <f aca="false">X109+R109+Q109+K109+J109</f>
        <v>410</v>
      </c>
      <c r="AE109" s="16" t="n">
        <f aca="false">AD109/5</f>
        <v>82</v>
      </c>
      <c r="AF109" s="16" t="n">
        <v>81</v>
      </c>
      <c r="AG109" s="16" t="n">
        <v>98</v>
      </c>
      <c r="AH109" s="16" t="n">
        <v>87</v>
      </c>
      <c r="AI109" s="16" t="n">
        <v>91</v>
      </c>
      <c r="AJ109" s="16" t="n">
        <f aca="false">(AI109*70)/100</f>
        <v>63.7</v>
      </c>
      <c r="AK109" s="35" t="n">
        <f aca="false">ROUNDUP(AJ109,0)</f>
        <v>64</v>
      </c>
      <c r="AL109" s="16" t="n">
        <v>20</v>
      </c>
      <c r="AM109" s="16" t="n">
        <f aca="false">AL109+AJ109</f>
        <v>83.7</v>
      </c>
      <c r="AN109" s="16" t="n">
        <f aca="false">AL109+AK109</f>
        <v>84</v>
      </c>
      <c r="AO109" s="16" t="n">
        <v>83</v>
      </c>
      <c r="AP109" s="36" t="n">
        <f aca="false">(AO109*70)/100</f>
        <v>58.1</v>
      </c>
      <c r="AQ109" s="37" t="n">
        <f aca="false">ROUNDUP(AP109,0)</f>
        <v>59</v>
      </c>
      <c r="AR109" s="16" t="n">
        <v>27</v>
      </c>
      <c r="AS109" s="16" t="n">
        <f aca="false">AR109+AP109</f>
        <v>85.1</v>
      </c>
      <c r="AT109" s="16" t="n">
        <f aca="false">AR109+AQ109</f>
        <v>86</v>
      </c>
      <c r="AU109" s="16" t="n">
        <f aca="false">AO109+AF109+AI109+AH109+AG109</f>
        <v>440</v>
      </c>
      <c r="AV109" s="16" t="n">
        <f aca="false">(AO109+AF109+AI109+AH109+AG109)/5</f>
        <v>88</v>
      </c>
      <c r="AW109" s="36" t="n">
        <f aca="false">(AO109+AF109+AI109+AH109+AG109+X109+R109+Q109+K109+J109)</f>
        <v>850</v>
      </c>
      <c r="AX109" s="16" t="n">
        <f aca="false">AW109/10</f>
        <v>85</v>
      </c>
      <c r="AY109" s="16" t="n">
        <f aca="false">AS109+AF109+AM109+AH109+AG109+AB109+V109+Q109+O109+J109</f>
        <v>834.7</v>
      </c>
      <c r="AZ109" s="16" t="n">
        <f aca="false">AT109+AF109+AN109+AH109+AG109+AC109+W109+Q109+P109+J109</f>
        <v>837</v>
      </c>
      <c r="BA109" s="16" t="n">
        <f aca="false">AY109/10</f>
        <v>83.47</v>
      </c>
      <c r="BB109" s="16" t="n">
        <f aca="false">AZ109/10</f>
        <v>83.7</v>
      </c>
      <c r="BC109" s="16" t="n">
        <v>2358</v>
      </c>
      <c r="BD109" s="16" t="n">
        <f aca="false">RANK(AX109,$AX$2:$AX$881,0)</f>
        <v>92</v>
      </c>
      <c r="BE109" s="38" t="n">
        <f aca="false">((BC109*100)/2400)*0.4+(AX109*0.6)</f>
        <v>90.3</v>
      </c>
      <c r="BF109" s="16" t="n">
        <f aca="false">RANK(BE109,$BE$2:$BE$881,0)</f>
        <v>94</v>
      </c>
      <c r="BG109" s="39" t="n">
        <f aca="false">RANK(BB109,$BB$2:$BB$881,0)</f>
        <v>133</v>
      </c>
      <c r="BH109" s="39" t="n">
        <f aca="false">RANK(BC109,$BC$2:$BC$881,0)</f>
        <v>429</v>
      </c>
      <c r="BI109" s="22" t="s">
        <v>130</v>
      </c>
      <c r="BJ109" s="22" t="s">
        <v>129</v>
      </c>
      <c r="BK109" s="40" t="s">
        <v>131</v>
      </c>
      <c r="BL109" s="41" t="n">
        <v>20</v>
      </c>
      <c r="BM109" s="41" t="n">
        <v>57</v>
      </c>
      <c r="BN109" s="41" t="n">
        <v>77</v>
      </c>
      <c r="BO109" s="42" t="n">
        <v>27</v>
      </c>
      <c r="BP109" s="43" t="n">
        <v>57</v>
      </c>
      <c r="BQ109" s="44" t="n">
        <v>84</v>
      </c>
      <c r="BR109" s="42" t="n">
        <v>22</v>
      </c>
      <c r="BS109" s="45" t="n">
        <v>62</v>
      </c>
      <c r="BT109" s="45" t="n">
        <v>84</v>
      </c>
      <c r="BU109" s="46" t="n">
        <v>100</v>
      </c>
      <c r="BV109" s="47" t="n">
        <v>84</v>
      </c>
      <c r="BW109" s="42" t="n">
        <v>99</v>
      </c>
      <c r="BX109" s="48" t="n">
        <v>92</v>
      </c>
      <c r="BY109" s="32" t="n">
        <v>27</v>
      </c>
      <c r="BZ109" s="32" t="n">
        <v>54</v>
      </c>
      <c r="CA109" s="32" t="n">
        <v>81</v>
      </c>
      <c r="CB109" s="32" t="n">
        <v>26</v>
      </c>
      <c r="CC109" s="32" t="n">
        <v>44</v>
      </c>
      <c r="CD109" s="32" t="n">
        <v>70</v>
      </c>
      <c r="CE109" s="32" t="n">
        <v>23</v>
      </c>
      <c r="CF109" s="32" t="n">
        <v>61</v>
      </c>
      <c r="CG109" s="32" t="n">
        <v>84</v>
      </c>
      <c r="CH109" s="32" t="n">
        <v>95</v>
      </c>
      <c r="CI109" s="25" t="n">
        <v>98</v>
      </c>
      <c r="CJ109" s="49" t="n">
        <v>25</v>
      </c>
      <c r="CK109" s="49" t="n">
        <v>47</v>
      </c>
      <c r="CL109" s="49" t="n">
        <v>72</v>
      </c>
      <c r="CM109" s="49" t="n">
        <v>23</v>
      </c>
      <c r="CN109" s="49" t="n">
        <v>48</v>
      </c>
      <c r="CO109" s="49" t="n">
        <v>71</v>
      </c>
      <c r="CP109" s="25" t="n">
        <f aca="false">BX109+BW109+BV109+BU109+BT109+BQ109+BN109</f>
        <v>620</v>
      </c>
      <c r="CQ109" s="25" t="n">
        <f aca="false">CO109+CL109+CI109+CH109+CG109+CD109+CA109</f>
        <v>571</v>
      </c>
      <c r="CR109" s="26" t="n">
        <f aca="false">CP109/7</f>
        <v>88.5714285714286</v>
      </c>
      <c r="CS109" s="26" t="n">
        <f aca="false">CQ109/7</f>
        <v>81.5714285714286</v>
      </c>
      <c r="CT109" s="24" t="n">
        <f aca="false">RANK(CR109,$CR$2:$CR$881,0)</f>
        <v>265</v>
      </c>
      <c r="CU109" s="25" t="n">
        <f aca="false">RANK(CS109,$CS$2:$CS$881,0)</f>
        <v>207</v>
      </c>
      <c r="CV109" s="26" t="n">
        <f aca="false">(CS109+CR109)/2</f>
        <v>85.0714285714286</v>
      </c>
      <c r="CW109" s="25" t="n">
        <f aca="false">RANK(CV109,$CV$2:$CV$881,0)</f>
        <v>211</v>
      </c>
      <c r="CX109" s="50" t="n">
        <f aca="false">(CV109+BB109)/2</f>
        <v>84.3857142857143</v>
      </c>
      <c r="CY109" s="50" t="n">
        <v>150</v>
      </c>
      <c r="CZ109" s="27" t="s">
        <v>132</v>
      </c>
      <c r="DA109" s="27" t="s">
        <v>139</v>
      </c>
      <c r="DB109" s="27" t="s">
        <v>139</v>
      </c>
      <c r="DC109" s="27" t="s">
        <v>134</v>
      </c>
      <c r="DD109" s="27" t="s">
        <v>182</v>
      </c>
      <c r="DE109" s="27" t="s">
        <v>152</v>
      </c>
      <c r="DF109" s="27" t="s">
        <v>133</v>
      </c>
      <c r="DG109" s="27" t="s">
        <v>134</v>
      </c>
      <c r="DH109" s="27" t="s">
        <v>135</v>
      </c>
      <c r="DI109" s="27" t="s">
        <v>152</v>
      </c>
      <c r="DJ109" s="27" t="s">
        <v>162</v>
      </c>
      <c r="DK109" s="27" t="s">
        <v>134</v>
      </c>
      <c r="DL109" s="27" t="s">
        <v>164</v>
      </c>
      <c r="DM109" s="27" t="s">
        <v>136</v>
      </c>
      <c r="DN109" s="27" t="s">
        <v>153</v>
      </c>
      <c r="DO109" s="27" t="s">
        <v>134</v>
      </c>
      <c r="DP109" s="27" t="s">
        <v>137</v>
      </c>
      <c r="DQ109" s="27" t="s">
        <v>447</v>
      </c>
      <c r="DR109" s="27" t="s">
        <v>272</v>
      </c>
      <c r="DS109" s="27" t="s">
        <v>134</v>
      </c>
      <c r="DT109" s="27" t="s">
        <v>160</v>
      </c>
      <c r="DU109" s="27" t="s">
        <v>183</v>
      </c>
      <c r="DV109" s="27" t="s">
        <v>202</v>
      </c>
      <c r="DW109" s="27" t="s">
        <v>164</v>
      </c>
      <c r="DX109" s="27" t="s">
        <v>155</v>
      </c>
      <c r="DY109" s="27" t="s">
        <v>144</v>
      </c>
      <c r="DZ109" s="27" t="n">
        <f aca="false">DY109+DV109+DR109+DN109+DJ109+DF109+DB109</f>
        <v>624</v>
      </c>
      <c r="EA109" s="28" t="n">
        <f aca="false">DZ109/7</f>
        <v>89.1428571428571</v>
      </c>
      <c r="EB109" s="27" t="n">
        <f aca="false">RANK(EA109,$EA$2:$EA$881,0)</f>
        <v>77</v>
      </c>
      <c r="EC109" s="29" t="n">
        <f aca="false">DZ109+CQ109+CP109+AZ109</f>
        <v>2652</v>
      </c>
      <c r="ED109" s="30" t="n">
        <f aca="false">(EA109+CV109+BB109)/3</f>
        <v>85.9714285714286</v>
      </c>
      <c r="EE109" s="51" t="n">
        <f aca="false">ROUND(BE109,3)</f>
        <v>90.3</v>
      </c>
      <c r="EF109" s="51" t="n">
        <f aca="false">ROUND(CR109,3)</f>
        <v>88.571</v>
      </c>
      <c r="EG109" s="51" t="n">
        <f aca="false">ROUND(CS109,3)</f>
        <v>81.571</v>
      </c>
      <c r="EH109" s="51" t="n">
        <f aca="false">ROUND(EA109,3)</f>
        <v>89.143</v>
      </c>
      <c r="EI109" s="51" t="n">
        <f aca="false">ROUND(ED109,3)</f>
        <v>85.971</v>
      </c>
      <c r="EJ109" s="51" t="n">
        <f aca="false">ROUND(CV109,3)</f>
        <v>85.071</v>
      </c>
      <c r="EK109" s="0" t="n">
        <f aca="false">RANK(EI109,$EI$2:$EI$881,0)</f>
        <v>108</v>
      </c>
    </row>
    <row r="110" customFormat="false" ht="15" hidden="false" customHeight="false" outlineLevel="0" collapsed="false">
      <c r="A110" s="4" t="n">
        <v>8663</v>
      </c>
      <c r="B110" s="4" t="n">
        <v>7</v>
      </c>
      <c r="C110" s="27" t="s">
        <v>516</v>
      </c>
      <c r="D110" s="52" t="n">
        <v>9</v>
      </c>
      <c r="E110" s="32" t="n">
        <v>230311435</v>
      </c>
      <c r="F110" s="8" t="s">
        <v>517</v>
      </c>
      <c r="G110" s="22" t="s">
        <v>518</v>
      </c>
      <c r="H110" s="22" t="s">
        <v>129</v>
      </c>
      <c r="I110" s="33" t="n">
        <v>2005</v>
      </c>
      <c r="J110" s="32" t="n">
        <v>92</v>
      </c>
      <c r="K110" s="32" t="n">
        <v>96</v>
      </c>
      <c r="L110" s="34" t="n">
        <f aca="false">(K110*70)/100</f>
        <v>67.2</v>
      </c>
      <c r="M110" s="34" t="n">
        <f aca="false">ROUNDUP(L110,0)</f>
        <v>68</v>
      </c>
      <c r="N110" s="32" t="n">
        <v>28</v>
      </c>
      <c r="O110" s="34" t="n">
        <f aca="false">N110+L110</f>
        <v>95.2</v>
      </c>
      <c r="P110" s="34" t="n">
        <f aca="false">N110+M110</f>
        <v>96</v>
      </c>
      <c r="Q110" s="32" t="n">
        <v>70</v>
      </c>
      <c r="R110" s="32" t="n">
        <v>84</v>
      </c>
      <c r="S110" s="34" t="n">
        <f aca="false">(R110*70)/100</f>
        <v>58.8</v>
      </c>
      <c r="T110" s="34" t="n">
        <f aca="false">ROUNDUP(S110,0)</f>
        <v>59</v>
      </c>
      <c r="U110" s="32" t="n">
        <v>20</v>
      </c>
      <c r="V110" s="34" t="n">
        <f aca="false">U110+S110</f>
        <v>78.8</v>
      </c>
      <c r="W110" s="34" t="n">
        <f aca="false">U110+T110</f>
        <v>79</v>
      </c>
      <c r="X110" s="32" t="n">
        <v>75</v>
      </c>
      <c r="Y110" s="34" t="n">
        <f aca="false">(X110*70)/100</f>
        <v>52.5</v>
      </c>
      <c r="Z110" s="34" t="n">
        <f aca="false">ROUNDUP(Y110,0)</f>
        <v>53</v>
      </c>
      <c r="AA110" s="32" t="n">
        <v>29</v>
      </c>
      <c r="AB110" s="34" t="n">
        <f aca="false">AA110+Y110</f>
        <v>81.5</v>
      </c>
      <c r="AC110" s="34" t="n">
        <f aca="false">AA110+Z110</f>
        <v>82</v>
      </c>
      <c r="AD110" s="32" t="n">
        <f aca="false">X110+R110+Q110+K110+J110</f>
        <v>417</v>
      </c>
      <c r="AE110" s="16" t="n">
        <f aca="false">AD110/5</f>
        <v>83.4</v>
      </c>
      <c r="AF110" s="16" t="n">
        <v>73</v>
      </c>
      <c r="AG110" s="16" t="n">
        <v>95</v>
      </c>
      <c r="AH110" s="16" t="n">
        <v>93</v>
      </c>
      <c r="AI110" s="16" t="n">
        <v>96</v>
      </c>
      <c r="AJ110" s="16" t="n">
        <f aca="false">(AI110*70)/100</f>
        <v>67.2</v>
      </c>
      <c r="AK110" s="35" t="n">
        <f aca="false">ROUNDUP(AJ110,0)</f>
        <v>68</v>
      </c>
      <c r="AL110" s="16" t="n">
        <v>28</v>
      </c>
      <c r="AM110" s="16" t="n">
        <f aca="false">AL110+AJ110</f>
        <v>95.2</v>
      </c>
      <c r="AN110" s="16" t="n">
        <f aca="false">AL110+AK110</f>
        <v>96</v>
      </c>
      <c r="AO110" s="16" t="n">
        <v>89</v>
      </c>
      <c r="AP110" s="36" t="n">
        <f aca="false">(AO110*70)/100</f>
        <v>62.3</v>
      </c>
      <c r="AQ110" s="37" t="n">
        <f aca="false">ROUNDUP(AP110,0)</f>
        <v>63</v>
      </c>
      <c r="AR110" s="16" t="n">
        <v>30</v>
      </c>
      <c r="AS110" s="16" t="n">
        <f aca="false">AR110+AP110</f>
        <v>92.3</v>
      </c>
      <c r="AT110" s="16" t="n">
        <f aca="false">AR110+AQ110</f>
        <v>93</v>
      </c>
      <c r="AU110" s="16" t="n">
        <f aca="false">AO110+AF110+AI110+AH110+AG110</f>
        <v>446</v>
      </c>
      <c r="AV110" s="16" t="n">
        <f aca="false">(AO110+AF110+AI110+AH110+AG110)/5</f>
        <v>89.2</v>
      </c>
      <c r="AW110" s="36" t="n">
        <f aca="false">(AO110+AF110+AI110+AH110+AG110+X110+R110+Q110+K110+J110)</f>
        <v>863</v>
      </c>
      <c r="AX110" s="16" t="n">
        <f aca="false">AW110/10</f>
        <v>86.3</v>
      </c>
      <c r="AY110" s="16" t="n">
        <f aca="false">AS110+AF110+AM110+AH110+AG110+AB110+V110+Q110+O110+J110</f>
        <v>866</v>
      </c>
      <c r="AZ110" s="16" t="n">
        <f aca="false">AT110+AF110+AN110+AH110+AG110+AC110+W110+Q110+P110+J110</f>
        <v>869</v>
      </c>
      <c r="BA110" s="16" t="n">
        <f aca="false">AY110/10</f>
        <v>86.6</v>
      </c>
      <c r="BB110" s="16" t="n">
        <f aca="false">AZ110/10</f>
        <v>86.9</v>
      </c>
      <c r="BC110" s="16" t="n">
        <v>2387</v>
      </c>
      <c r="BD110" s="16" t="n">
        <f aca="false">RANK(AX110,$AX$2:$AX$881,0)</f>
        <v>66</v>
      </c>
      <c r="BE110" s="38" t="n">
        <f aca="false">((BC110*100)/2400)*0.4+(AX110*0.6)</f>
        <v>91.5633333333333</v>
      </c>
      <c r="BF110" s="16" t="n">
        <f aca="false">RANK(BE110,$BE$2:$BE$881,0)</f>
        <v>58</v>
      </c>
      <c r="BG110" s="39" t="n">
        <f aca="false">RANK(BB110,$BB$2:$BB$881,0)</f>
        <v>62</v>
      </c>
      <c r="BH110" s="39" t="n">
        <f aca="false">RANK(BC110,$BC$2:$BC$881,0)</f>
        <v>76</v>
      </c>
      <c r="BI110" s="22" t="s">
        <v>130</v>
      </c>
      <c r="BJ110" s="22" t="s">
        <v>129</v>
      </c>
      <c r="BK110" s="40" t="s">
        <v>131</v>
      </c>
      <c r="BL110" s="41" t="n">
        <v>24</v>
      </c>
      <c r="BM110" s="41" t="n">
        <v>55</v>
      </c>
      <c r="BN110" s="41" t="n">
        <v>79</v>
      </c>
      <c r="BO110" s="42" t="n">
        <v>25</v>
      </c>
      <c r="BP110" s="53" t="n">
        <v>59</v>
      </c>
      <c r="BQ110" s="44" t="n">
        <v>84</v>
      </c>
      <c r="BR110" s="42" t="n">
        <v>26</v>
      </c>
      <c r="BS110" s="45" t="n">
        <v>57</v>
      </c>
      <c r="BT110" s="45" t="n">
        <v>83</v>
      </c>
      <c r="BU110" s="46" t="n">
        <v>100</v>
      </c>
      <c r="BV110" s="47" t="n">
        <v>88</v>
      </c>
      <c r="BW110" s="42" t="n">
        <v>98</v>
      </c>
      <c r="BX110" s="48" t="n">
        <v>86</v>
      </c>
      <c r="BY110" s="32" t="n">
        <v>23</v>
      </c>
      <c r="BZ110" s="32" t="n">
        <v>55</v>
      </c>
      <c r="CA110" s="32" t="n">
        <v>78</v>
      </c>
      <c r="CB110" s="32" t="n">
        <v>21</v>
      </c>
      <c r="CC110" s="32" t="n">
        <v>20</v>
      </c>
      <c r="CD110" s="69" t="n">
        <v>41</v>
      </c>
      <c r="CE110" s="32" t="n">
        <v>29</v>
      </c>
      <c r="CF110" s="32" t="n">
        <v>61</v>
      </c>
      <c r="CG110" s="32" t="n">
        <v>90</v>
      </c>
      <c r="CH110" s="32" t="n">
        <v>98</v>
      </c>
      <c r="CI110" s="32" t="n">
        <v>100</v>
      </c>
      <c r="CJ110" s="49" t="n">
        <v>17</v>
      </c>
      <c r="CK110" s="49" t="n">
        <v>54</v>
      </c>
      <c r="CL110" s="49" t="n">
        <v>71</v>
      </c>
      <c r="CM110" s="49" t="n">
        <v>24</v>
      </c>
      <c r="CN110" s="49" t="n">
        <v>62</v>
      </c>
      <c r="CO110" s="49" t="n">
        <v>86</v>
      </c>
      <c r="CP110" s="25" t="n">
        <f aca="false">BX110+BW110+BV110+BU110+BT110+BQ110+BN110</f>
        <v>618</v>
      </c>
      <c r="CQ110" s="25" t="n">
        <f aca="false">CO110+CL110+CI110+CH110+CG110+CD110+CA110</f>
        <v>564</v>
      </c>
      <c r="CR110" s="26" t="n">
        <f aca="false">CP110/7</f>
        <v>88.2857142857143</v>
      </c>
      <c r="CS110" s="26" t="n">
        <f aca="false">CQ110/7</f>
        <v>80.5714285714286</v>
      </c>
      <c r="CT110" s="24" t="n">
        <f aca="false">RANK(CR110,$CR$2:$CR$881,0)</f>
        <v>287</v>
      </c>
      <c r="CU110" s="25" t="n">
        <f aca="false">RANK(CS110,$CS$2:$CS$881,0)</f>
        <v>240</v>
      </c>
      <c r="CV110" s="26" t="n">
        <f aca="false">(CS110+CR110)/2</f>
        <v>84.4285714285714</v>
      </c>
      <c r="CW110" s="25" t="n">
        <f aca="false">RANK(CV110,$CV$2:$CV$881,0)</f>
        <v>243</v>
      </c>
      <c r="CX110" s="50" t="n">
        <f aca="false">(CV110+BB110)/2</f>
        <v>85.6642857142857</v>
      </c>
      <c r="CY110" s="50" t="n">
        <v>103</v>
      </c>
      <c r="CZ110" s="27" t="s">
        <v>132</v>
      </c>
      <c r="DA110" s="27" t="s">
        <v>151</v>
      </c>
      <c r="DB110" s="27" t="s">
        <v>151</v>
      </c>
      <c r="DC110" s="27" t="s">
        <v>134</v>
      </c>
      <c r="DD110" s="27" t="s">
        <v>137</v>
      </c>
      <c r="DE110" s="27" t="s">
        <v>218</v>
      </c>
      <c r="DF110" s="27" t="s">
        <v>169</v>
      </c>
      <c r="DG110" s="27" t="s">
        <v>134</v>
      </c>
      <c r="DH110" s="27" t="s">
        <v>154</v>
      </c>
      <c r="DI110" s="27" t="s">
        <v>152</v>
      </c>
      <c r="DJ110" s="27" t="s">
        <v>178</v>
      </c>
      <c r="DK110" s="27" t="s">
        <v>134</v>
      </c>
      <c r="DL110" s="27" t="s">
        <v>135</v>
      </c>
      <c r="DM110" s="27" t="s">
        <v>161</v>
      </c>
      <c r="DN110" s="27" t="s">
        <v>202</v>
      </c>
      <c r="DO110" s="27" t="s">
        <v>134</v>
      </c>
      <c r="DP110" s="27" t="s">
        <v>135</v>
      </c>
      <c r="DQ110" s="27" t="s">
        <v>218</v>
      </c>
      <c r="DR110" s="27" t="s">
        <v>205</v>
      </c>
      <c r="DS110" s="27" t="s">
        <v>134</v>
      </c>
      <c r="DT110" s="27" t="s">
        <v>160</v>
      </c>
      <c r="DU110" s="27" t="s">
        <v>313</v>
      </c>
      <c r="DV110" s="27" t="s">
        <v>219</v>
      </c>
      <c r="DW110" s="27" t="s">
        <v>160</v>
      </c>
      <c r="DX110" s="27" t="s">
        <v>141</v>
      </c>
      <c r="DY110" s="27" t="s">
        <v>139</v>
      </c>
      <c r="DZ110" s="27" t="n">
        <f aca="false">DY110+DV110+DR110+DN110+DJ110+DF110+DB110</f>
        <v>606</v>
      </c>
      <c r="EA110" s="28" t="n">
        <f aca="false">DZ110/7</f>
        <v>86.5714285714286</v>
      </c>
      <c r="EB110" s="27" t="n">
        <f aca="false">RANK(EA110,$EA$2:$EA$881,0)</f>
        <v>140</v>
      </c>
      <c r="EC110" s="29" t="n">
        <f aca="false">DZ110+CQ110+CP110+AZ110</f>
        <v>2657</v>
      </c>
      <c r="ED110" s="30" t="n">
        <f aca="false">(EA110+CV110+BB110)/3</f>
        <v>85.9666666666667</v>
      </c>
      <c r="EE110" s="51" t="n">
        <f aca="false">ROUND(BE110,3)</f>
        <v>91.563</v>
      </c>
      <c r="EF110" s="51" t="n">
        <f aca="false">ROUND(CR110,3)</f>
        <v>88.286</v>
      </c>
      <c r="EG110" s="51" t="n">
        <f aca="false">ROUND(CS110,3)</f>
        <v>80.571</v>
      </c>
      <c r="EH110" s="51" t="n">
        <f aca="false">ROUND(EA110,3)</f>
        <v>86.571</v>
      </c>
      <c r="EI110" s="51" t="n">
        <f aca="false">ROUND(ED110,3)</f>
        <v>85.967</v>
      </c>
      <c r="EJ110" s="51" t="n">
        <f aca="false">ROUND(CV110,3)</f>
        <v>84.429</v>
      </c>
      <c r="EK110" s="0" t="n">
        <f aca="false">RANK(EI110,$EI$2:$EI$881,0)</f>
        <v>109</v>
      </c>
    </row>
    <row r="111" customFormat="false" ht="15" hidden="false" customHeight="false" outlineLevel="0" collapsed="false">
      <c r="A111" s="4" t="n">
        <v>9135</v>
      </c>
      <c r="B111" s="4" t="n">
        <v>271</v>
      </c>
      <c r="C111" s="27" t="s">
        <v>519</v>
      </c>
      <c r="D111" s="31" t="n">
        <v>269</v>
      </c>
      <c r="E111" s="16" t="n">
        <v>230235566</v>
      </c>
      <c r="F111" s="56" t="s">
        <v>520</v>
      </c>
      <c r="G111" s="22" t="s">
        <v>521</v>
      </c>
      <c r="H111" s="22" t="s">
        <v>326</v>
      </c>
      <c r="I111" s="57"/>
      <c r="J111" s="16" t="n">
        <v>83</v>
      </c>
      <c r="K111" s="16" t="n">
        <v>93</v>
      </c>
      <c r="L111" s="34" t="n">
        <f aca="false">(K111*70)/100</f>
        <v>65.1</v>
      </c>
      <c r="M111" s="34" t="n">
        <f aca="false">ROUNDUP(L111,0)</f>
        <v>66</v>
      </c>
      <c r="N111" s="16" t="n">
        <v>28</v>
      </c>
      <c r="O111" s="34" t="n">
        <f aca="false">N111+L111</f>
        <v>93.1</v>
      </c>
      <c r="P111" s="34" t="n">
        <f aca="false">N111+M111</f>
        <v>94</v>
      </c>
      <c r="Q111" s="16" t="n">
        <v>72</v>
      </c>
      <c r="R111" s="16" t="n">
        <v>73</v>
      </c>
      <c r="S111" s="34" t="n">
        <f aca="false">(R111*70)/100</f>
        <v>51.1</v>
      </c>
      <c r="T111" s="34" t="n">
        <f aca="false">ROUNDUP(S111,0)</f>
        <v>52</v>
      </c>
      <c r="U111" s="16" t="n">
        <v>26</v>
      </c>
      <c r="V111" s="34" t="n">
        <f aca="false">U111+S111</f>
        <v>77.1</v>
      </c>
      <c r="W111" s="34" t="n">
        <f aca="false">U111+T111</f>
        <v>78</v>
      </c>
      <c r="X111" s="16" t="n">
        <v>79</v>
      </c>
      <c r="Y111" s="34" t="n">
        <f aca="false">(X111*70)/100</f>
        <v>55.3</v>
      </c>
      <c r="Z111" s="34" t="n">
        <f aca="false">ROUNDUP(Y111,0)</f>
        <v>56</v>
      </c>
      <c r="AA111" s="16" t="n">
        <v>27</v>
      </c>
      <c r="AB111" s="34" t="n">
        <f aca="false">AA111+Y111</f>
        <v>82.3</v>
      </c>
      <c r="AC111" s="34" t="n">
        <f aca="false">AA111+Z111</f>
        <v>83</v>
      </c>
      <c r="AD111" s="32" t="n">
        <f aca="false">X111+R111+Q111+K111+J111</f>
        <v>400</v>
      </c>
      <c r="AE111" s="16" t="n">
        <f aca="false">AD111/5</f>
        <v>80</v>
      </c>
      <c r="AF111" s="71" t="n">
        <v>58</v>
      </c>
      <c r="AG111" s="16" t="n">
        <v>79</v>
      </c>
      <c r="AH111" s="16" t="n">
        <v>96</v>
      </c>
      <c r="AI111" s="16" t="n">
        <v>93</v>
      </c>
      <c r="AJ111" s="16" t="n">
        <f aca="false">(AI111*70)/100</f>
        <v>65.1</v>
      </c>
      <c r="AK111" s="35" t="n">
        <f aca="false">ROUNDUP(AJ111,0)</f>
        <v>66</v>
      </c>
      <c r="AL111" s="24" t="n">
        <v>18</v>
      </c>
      <c r="AM111" s="16" t="n">
        <f aca="false">AL111+AJ111</f>
        <v>83.1</v>
      </c>
      <c r="AN111" s="16" t="n">
        <f aca="false">AL111+AK111</f>
        <v>84</v>
      </c>
      <c r="AO111" s="16" t="n">
        <v>83</v>
      </c>
      <c r="AP111" s="36" t="n">
        <f aca="false">(AO111*70)/100</f>
        <v>58.1</v>
      </c>
      <c r="AQ111" s="37" t="n">
        <f aca="false">ROUNDUP(AP111,0)</f>
        <v>59</v>
      </c>
      <c r="AR111" s="16" t="n">
        <v>26</v>
      </c>
      <c r="AS111" s="16" t="n">
        <f aca="false">AR111+AP111</f>
        <v>84.1</v>
      </c>
      <c r="AT111" s="16" t="n">
        <f aca="false">AR111+AQ111</f>
        <v>85</v>
      </c>
      <c r="AU111" s="16" t="n">
        <f aca="false">AO111+AF111+AI111+AH111+AG111</f>
        <v>409</v>
      </c>
      <c r="AV111" s="16" t="n">
        <f aca="false">(AO111+AF111+AI111+AH111+AG111)/5</f>
        <v>81.8</v>
      </c>
      <c r="AW111" s="36" t="n">
        <f aca="false">(AO111+AF111+AI111+AH111+AG111+X111+R111+Q111+K111+J111)</f>
        <v>809</v>
      </c>
      <c r="AX111" s="16" t="n">
        <f aca="false">AW111/10</f>
        <v>80.9</v>
      </c>
      <c r="AY111" s="16" t="n">
        <f aca="false">AS111+AF111+AM111+AH111+AG111+AB111+V111+Q111+O111+J111</f>
        <v>807.7</v>
      </c>
      <c r="AZ111" s="16" t="n">
        <f aca="false">AT111+AF111+AN111+AH111+AG111+AC111+W111+Q111+P111+J111</f>
        <v>812</v>
      </c>
      <c r="BA111" s="16" t="n">
        <f aca="false">AY111/10</f>
        <v>80.77</v>
      </c>
      <c r="BB111" s="16" t="n">
        <f aca="false">AZ111/10</f>
        <v>81.2</v>
      </c>
      <c r="BC111" s="16" t="n">
        <v>2336</v>
      </c>
      <c r="BD111" s="16" t="n">
        <f aca="false">RANK(AX111,$AX$2:$AX$881,0)</f>
        <v>213</v>
      </c>
      <c r="BE111" s="54" t="n">
        <f aca="false">((BC111*100)/2400)*0.4+(AX111*0.6)</f>
        <v>87.4733333333333</v>
      </c>
      <c r="BF111" s="16" t="n">
        <f aca="false">RANK(BE111,$BE$2:$BE$881,0)</f>
        <v>250</v>
      </c>
      <c r="BG111" s="39" t="n">
        <f aca="false">RANK(BB111,$BB$2:$BB$881,0)</f>
        <v>263</v>
      </c>
      <c r="BH111" s="39" t="n">
        <f aca="false">RANK(BC111,$BC$2:$BC$881,0)</f>
        <v>670</v>
      </c>
      <c r="BI111" s="22" t="s">
        <v>130</v>
      </c>
      <c r="BJ111" s="22" t="s">
        <v>129</v>
      </c>
      <c r="BK111" s="40" t="s">
        <v>131</v>
      </c>
      <c r="BL111" s="41" t="n">
        <v>19</v>
      </c>
      <c r="BM111" s="41" t="n">
        <v>58</v>
      </c>
      <c r="BN111" s="41" t="n">
        <v>77</v>
      </c>
      <c r="BO111" s="42" t="n">
        <v>23</v>
      </c>
      <c r="BP111" s="43" t="n">
        <v>59</v>
      </c>
      <c r="BQ111" s="44" t="n">
        <v>82</v>
      </c>
      <c r="BR111" s="42" t="n">
        <v>28</v>
      </c>
      <c r="BS111" s="45" t="n">
        <v>62</v>
      </c>
      <c r="BT111" s="45" t="n">
        <v>90</v>
      </c>
      <c r="BU111" s="46" t="n">
        <v>100</v>
      </c>
      <c r="BV111" s="47" t="n">
        <v>76</v>
      </c>
      <c r="BW111" s="42" t="n">
        <v>100</v>
      </c>
      <c r="BX111" s="48" t="n">
        <v>94</v>
      </c>
      <c r="BY111" s="32" t="n">
        <v>25</v>
      </c>
      <c r="BZ111" s="32" t="n">
        <v>61</v>
      </c>
      <c r="CA111" s="32" t="n">
        <v>86</v>
      </c>
      <c r="CB111" s="32" t="n">
        <v>27</v>
      </c>
      <c r="CC111" s="32" t="n">
        <v>55</v>
      </c>
      <c r="CD111" s="32" t="n">
        <v>82</v>
      </c>
      <c r="CE111" s="32" t="n">
        <v>24</v>
      </c>
      <c r="CF111" s="32" t="n">
        <v>59</v>
      </c>
      <c r="CG111" s="32" t="n">
        <v>83</v>
      </c>
      <c r="CH111" s="32" t="n">
        <v>95</v>
      </c>
      <c r="CI111" s="32" t="n">
        <v>99</v>
      </c>
      <c r="CJ111" s="49" t="n">
        <v>27</v>
      </c>
      <c r="CK111" s="49" t="n">
        <v>56</v>
      </c>
      <c r="CL111" s="49" t="n">
        <v>83</v>
      </c>
      <c r="CM111" s="49" t="n">
        <v>21</v>
      </c>
      <c r="CN111" s="49" t="n">
        <v>52</v>
      </c>
      <c r="CO111" s="49" t="n">
        <v>73</v>
      </c>
      <c r="CP111" s="25" t="n">
        <f aca="false">BX111+BW111+BV111+BU111+BT111+BQ111+BN111</f>
        <v>619</v>
      </c>
      <c r="CQ111" s="25" t="n">
        <f aca="false">CO111+CL111+CI111+CH111+CG111+CD111+CA111</f>
        <v>601</v>
      </c>
      <c r="CR111" s="26" t="n">
        <f aca="false">CP111/7</f>
        <v>88.4285714285714</v>
      </c>
      <c r="CS111" s="26" t="n">
        <f aca="false">CQ111/7</f>
        <v>85.8571428571429</v>
      </c>
      <c r="CT111" s="24" t="n">
        <f aca="false">RANK(CR111,$CR$2:$CR$881,0)</f>
        <v>276</v>
      </c>
      <c r="CU111" s="25" t="n">
        <f aca="false">RANK(CS111,$CS$2:$CS$881,0)</f>
        <v>80</v>
      </c>
      <c r="CV111" s="26" t="n">
        <f aca="false">(CS111+CR111)/2</f>
        <v>87.1428571428571</v>
      </c>
      <c r="CW111" s="25" t="n">
        <f aca="false">RANK(CV111,$CV$2:$CV$881,0)</f>
        <v>133</v>
      </c>
      <c r="CX111" s="50" t="n">
        <f aca="false">(CV111+BB111)/2</f>
        <v>84.1714285714286</v>
      </c>
      <c r="CY111" s="50" t="n">
        <v>156</v>
      </c>
      <c r="CZ111" s="27" t="s">
        <v>132</v>
      </c>
      <c r="DA111" s="27" t="s">
        <v>162</v>
      </c>
      <c r="DB111" s="27" t="s">
        <v>162</v>
      </c>
      <c r="DC111" s="27" t="s">
        <v>134</v>
      </c>
      <c r="DD111" s="27" t="s">
        <v>182</v>
      </c>
      <c r="DE111" s="27" t="s">
        <v>203</v>
      </c>
      <c r="DF111" s="27" t="s">
        <v>202</v>
      </c>
      <c r="DG111" s="27" t="s">
        <v>134</v>
      </c>
      <c r="DH111" s="27" t="s">
        <v>135</v>
      </c>
      <c r="DI111" s="27" t="s">
        <v>138</v>
      </c>
      <c r="DJ111" s="27" t="s">
        <v>156</v>
      </c>
      <c r="DK111" s="27" t="s">
        <v>134</v>
      </c>
      <c r="DL111" s="27" t="s">
        <v>164</v>
      </c>
      <c r="DM111" s="27" t="s">
        <v>152</v>
      </c>
      <c r="DN111" s="27" t="s">
        <v>170</v>
      </c>
      <c r="DO111" s="27" t="s">
        <v>134</v>
      </c>
      <c r="DP111" s="27" t="s">
        <v>182</v>
      </c>
      <c r="DQ111" s="27" t="s">
        <v>204</v>
      </c>
      <c r="DR111" s="27" t="s">
        <v>169</v>
      </c>
      <c r="DS111" s="27" t="s">
        <v>134</v>
      </c>
      <c r="DT111" s="27" t="s">
        <v>164</v>
      </c>
      <c r="DU111" s="27" t="s">
        <v>204</v>
      </c>
      <c r="DV111" s="27" t="s">
        <v>202</v>
      </c>
      <c r="DW111" s="27" t="s">
        <v>137</v>
      </c>
      <c r="DX111" s="27" t="s">
        <v>155</v>
      </c>
      <c r="DY111" s="27" t="s">
        <v>142</v>
      </c>
      <c r="DZ111" s="27" t="n">
        <f aca="false">DY111+DV111+DR111+DN111+DJ111+DF111+DB111</f>
        <v>625</v>
      </c>
      <c r="EA111" s="28" t="n">
        <f aca="false">DZ111/7</f>
        <v>89.2857142857143</v>
      </c>
      <c r="EB111" s="27" t="n">
        <f aca="false">RANK(EA111,$EA$2:$EA$881,0)</f>
        <v>74</v>
      </c>
      <c r="EC111" s="29" t="n">
        <f aca="false">DZ111+CQ111+CP111+AZ111</f>
        <v>2657</v>
      </c>
      <c r="ED111" s="30" t="n">
        <f aca="false">(EA111+CV111+BB111)/3</f>
        <v>85.8761904761905</v>
      </c>
      <c r="EE111" s="51" t="n">
        <f aca="false">ROUND(BE111,3)</f>
        <v>87.473</v>
      </c>
      <c r="EF111" s="51" t="n">
        <f aca="false">ROUND(CR111,3)</f>
        <v>88.429</v>
      </c>
      <c r="EG111" s="51" t="n">
        <f aca="false">ROUND(CS111,3)</f>
        <v>85.857</v>
      </c>
      <c r="EH111" s="51" t="n">
        <f aca="false">ROUND(EA111,3)</f>
        <v>89.286</v>
      </c>
      <c r="EI111" s="51" t="n">
        <f aca="false">ROUND(ED111,3)</f>
        <v>85.876</v>
      </c>
      <c r="EJ111" s="51" t="n">
        <f aca="false">ROUND(CV111,3)</f>
        <v>87.143</v>
      </c>
      <c r="EK111" s="0" t="n">
        <f aca="false">RANK(EI111,$EI$2:$EI$881,0)</f>
        <v>110</v>
      </c>
    </row>
    <row r="112" customFormat="false" ht="15" hidden="false" customHeight="false" outlineLevel="0" collapsed="false">
      <c r="A112" s="4" t="n">
        <v>2093</v>
      </c>
      <c r="B112" s="4" t="n">
        <v>78</v>
      </c>
      <c r="C112" s="27" t="s">
        <v>522</v>
      </c>
      <c r="D112" s="52" t="n">
        <v>80</v>
      </c>
      <c r="E112" s="32" t="n">
        <v>234300188</v>
      </c>
      <c r="F112" s="8" t="s">
        <v>523</v>
      </c>
      <c r="G112" s="66" t="s">
        <v>524</v>
      </c>
      <c r="H112" s="66" t="s">
        <v>129</v>
      </c>
      <c r="I112" s="67" t="s">
        <v>525</v>
      </c>
      <c r="J112" s="32" t="n">
        <v>85</v>
      </c>
      <c r="K112" s="32" t="n">
        <v>91</v>
      </c>
      <c r="L112" s="34" t="n">
        <f aca="false">(K112*70)/100</f>
        <v>63.7</v>
      </c>
      <c r="M112" s="34" t="n">
        <f aca="false">ROUNDUP(L112,0)</f>
        <v>64</v>
      </c>
      <c r="N112" s="32" t="n">
        <v>30</v>
      </c>
      <c r="O112" s="34" t="n">
        <f aca="false">N112+L112</f>
        <v>93.7</v>
      </c>
      <c r="P112" s="34" t="n">
        <f aca="false">N112+M112</f>
        <v>94</v>
      </c>
      <c r="Q112" s="32" t="n">
        <v>84</v>
      </c>
      <c r="R112" s="32" t="n">
        <v>75</v>
      </c>
      <c r="S112" s="34" t="n">
        <f aca="false">(R112*70)/100</f>
        <v>52.5</v>
      </c>
      <c r="T112" s="34" t="n">
        <f aca="false">ROUNDUP(S112,0)</f>
        <v>53</v>
      </c>
      <c r="U112" s="32" t="n">
        <v>26</v>
      </c>
      <c r="V112" s="34" t="n">
        <f aca="false">U112+S112</f>
        <v>78.5</v>
      </c>
      <c r="W112" s="34" t="n">
        <f aca="false">U112+T112</f>
        <v>79</v>
      </c>
      <c r="X112" s="32" t="n">
        <v>78</v>
      </c>
      <c r="Y112" s="34" t="n">
        <f aca="false">(X112*70)/100</f>
        <v>54.6</v>
      </c>
      <c r="Z112" s="34" t="n">
        <f aca="false">ROUNDUP(Y112,0)</f>
        <v>55</v>
      </c>
      <c r="AA112" s="32" t="n">
        <v>23</v>
      </c>
      <c r="AB112" s="34" t="n">
        <f aca="false">AA112+Y112</f>
        <v>77.6</v>
      </c>
      <c r="AC112" s="34" t="n">
        <f aca="false">AA112+Z112</f>
        <v>78</v>
      </c>
      <c r="AD112" s="32" t="n">
        <f aca="false">X112+R112+Q112+K112+J112</f>
        <v>413</v>
      </c>
      <c r="AE112" s="16" t="n">
        <f aca="false">AD112/5</f>
        <v>82.6</v>
      </c>
      <c r="AF112" s="16" t="n">
        <v>76</v>
      </c>
      <c r="AG112" s="16" t="n">
        <v>88</v>
      </c>
      <c r="AH112" s="16" t="n">
        <v>89</v>
      </c>
      <c r="AI112" s="16" t="n">
        <v>90</v>
      </c>
      <c r="AJ112" s="16" t="n">
        <f aca="false">(AI112*70)/100</f>
        <v>63</v>
      </c>
      <c r="AK112" s="35" t="n">
        <f aca="false">ROUNDUP(AJ112,0)</f>
        <v>63</v>
      </c>
      <c r="AL112" s="16" t="n">
        <v>29</v>
      </c>
      <c r="AM112" s="16" t="n">
        <f aca="false">AL112+AJ112</f>
        <v>92</v>
      </c>
      <c r="AN112" s="16" t="n">
        <f aca="false">AL112+AK112</f>
        <v>92</v>
      </c>
      <c r="AO112" s="16" t="n">
        <v>73</v>
      </c>
      <c r="AP112" s="36" t="n">
        <f aca="false">(AO112*70)/100</f>
        <v>51.1</v>
      </c>
      <c r="AQ112" s="37" t="n">
        <f aca="false">ROUNDUP(AP112,0)</f>
        <v>52</v>
      </c>
      <c r="AR112" s="16" t="n">
        <v>27</v>
      </c>
      <c r="AS112" s="16" t="n">
        <f aca="false">AR112+AP112</f>
        <v>78.1</v>
      </c>
      <c r="AT112" s="16" t="n">
        <f aca="false">AR112+AQ112</f>
        <v>79</v>
      </c>
      <c r="AU112" s="16" t="n">
        <f aca="false">AO112+AF112+AI112+AH112+AG112</f>
        <v>416</v>
      </c>
      <c r="AV112" s="16" t="n">
        <f aca="false">(AO112+AF112+AI112+AH112+AG112)/5</f>
        <v>83.2</v>
      </c>
      <c r="AW112" s="36" t="n">
        <f aca="false">(AO112+AF112+AI112+AH112+AG112+X112+R112+Q112+K112+J112)</f>
        <v>829</v>
      </c>
      <c r="AX112" s="16" t="n">
        <f aca="false">AW112/10</f>
        <v>82.9</v>
      </c>
      <c r="AY112" s="16" t="n">
        <f aca="false">AS112+AF112+AM112+AH112+AG112+AB112+V112+Q112+O112+J112</f>
        <v>841.9</v>
      </c>
      <c r="AZ112" s="16" t="n">
        <f aca="false">AT112+AF112+AN112+AH112+AG112+AC112+W112+Q112+P112+J112</f>
        <v>844</v>
      </c>
      <c r="BA112" s="16" t="n">
        <f aca="false">AY112/10</f>
        <v>84.19</v>
      </c>
      <c r="BB112" s="16" t="n">
        <f aca="false">AZ112/10</f>
        <v>84.4</v>
      </c>
      <c r="BC112" s="72" t="n">
        <v>0</v>
      </c>
      <c r="BD112" s="16" t="n">
        <f aca="false">RANK(AX112,$AX$2:$AX$881,0)</f>
        <v>132</v>
      </c>
      <c r="BE112" s="73" t="n">
        <f aca="false">AX112</f>
        <v>82.9</v>
      </c>
      <c r="BF112" s="16" t="n">
        <f aca="false">RANK(BE112,$BE$2:$BE$881,0)</f>
        <v>699</v>
      </c>
      <c r="BG112" s="39" t="n">
        <f aca="false">RANK(BB112,$BB$2:$BB$881,0)</f>
        <v>111</v>
      </c>
      <c r="BH112" s="39" t="n">
        <f aca="false">RANK(BC112,$BC$2:$BC$881,0)</f>
        <v>780</v>
      </c>
      <c r="BI112" s="22" t="s">
        <v>130</v>
      </c>
      <c r="BJ112" s="22" t="s">
        <v>129</v>
      </c>
      <c r="BK112" s="22" t="s">
        <v>526</v>
      </c>
      <c r="BL112" s="41" t="n">
        <v>25</v>
      </c>
      <c r="BM112" s="41" t="n">
        <v>65</v>
      </c>
      <c r="BN112" s="41" t="n">
        <v>90</v>
      </c>
      <c r="BO112" s="42" t="n">
        <v>23</v>
      </c>
      <c r="BP112" s="43" t="n">
        <v>64</v>
      </c>
      <c r="BQ112" s="44" t="n">
        <v>87</v>
      </c>
      <c r="BR112" s="42" t="n">
        <v>25</v>
      </c>
      <c r="BS112" s="45" t="n">
        <v>60</v>
      </c>
      <c r="BT112" s="45" t="n">
        <v>85</v>
      </c>
      <c r="BU112" s="46" t="n">
        <v>99</v>
      </c>
      <c r="BV112" s="47" t="n">
        <v>74</v>
      </c>
      <c r="BW112" s="42" t="n">
        <v>100</v>
      </c>
      <c r="BX112" s="48" t="n">
        <v>90</v>
      </c>
      <c r="BY112" s="32" t="n">
        <v>25</v>
      </c>
      <c r="BZ112" s="32" t="n">
        <v>57</v>
      </c>
      <c r="CA112" s="32" t="n">
        <v>82</v>
      </c>
      <c r="CB112" s="32" t="n">
        <v>25</v>
      </c>
      <c r="CC112" s="32" t="n">
        <v>37</v>
      </c>
      <c r="CD112" s="32" t="n">
        <v>62</v>
      </c>
      <c r="CE112" s="32" t="n">
        <v>26</v>
      </c>
      <c r="CF112" s="32" t="n">
        <v>61</v>
      </c>
      <c r="CG112" s="32" t="n">
        <v>87</v>
      </c>
      <c r="CH112" s="32" t="n">
        <v>100</v>
      </c>
      <c r="CI112" s="32" t="n">
        <v>98</v>
      </c>
      <c r="CJ112" s="49" t="n">
        <v>26</v>
      </c>
      <c r="CK112" s="49" t="n">
        <v>52</v>
      </c>
      <c r="CL112" s="49" t="n">
        <v>78</v>
      </c>
      <c r="CM112" s="49" t="n">
        <v>22</v>
      </c>
      <c r="CN112" s="49" t="n">
        <v>50</v>
      </c>
      <c r="CO112" s="49" t="n">
        <v>72</v>
      </c>
      <c r="CP112" s="25" t="n">
        <f aca="false">BX112+BW112+BV112+BU112+BT112+BQ112+BN112</f>
        <v>625</v>
      </c>
      <c r="CQ112" s="25" t="n">
        <f aca="false">CO112+CL112+CI112+CH112+CG112+CD112+CA112</f>
        <v>579</v>
      </c>
      <c r="CR112" s="26" t="n">
        <f aca="false">CP112/7</f>
        <v>89.2857142857143</v>
      </c>
      <c r="CS112" s="26" t="n">
        <f aca="false">CQ112/7</f>
        <v>82.7142857142857</v>
      </c>
      <c r="CT112" s="24" t="n">
        <f aca="false">RANK(CR112,$CR$2:$CR$881,0)</f>
        <v>228</v>
      </c>
      <c r="CU112" s="25" t="n">
        <f aca="false">RANK(CS112,$CS$2:$CS$881,0)</f>
        <v>167</v>
      </c>
      <c r="CV112" s="26" t="n">
        <f aca="false">(CS112+CR112)/2</f>
        <v>86</v>
      </c>
      <c r="CW112" s="25" t="n">
        <f aca="false">RANK(CV112,$CV$2:$CV$881,0)</f>
        <v>172</v>
      </c>
      <c r="CX112" s="50" t="n">
        <f aca="false">(CV112+BB112)/2</f>
        <v>85.2</v>
      </c>
      <c r="CY112" s="50" t="n">
        <v>118</v>
      </c>
      <c r="CZ112" s="27" t="s">
        <v>132</v>
      </c>
      <c r="DA112" s="27" t="s">
        <v>162</v>
      </c>
      <c r="DB112" s="27" t="s">
        <v>162</v>
      </c>
      <c r="DC112" s="27" t="s">
        <v>134</v>
      </c>
      <c r="DD112" s="27" t="s">
        <v>174</v>
      </c>
      <c r="DE112" s="27" t="s">
        <v>161</v>
      </c>
      <c r="DF112" s="27" t="s">
        <v>169</v>
      </c>
      <c r="DG112" s="27" t="s">
        <v>134</v>
      </c>
      <c r="DH112" s="27" t="s">
        <v>164</v>
      </c>
      <c r="DI112" s="27" t="s">
        <v>163</v>
      </c>
      <c r="DJ112" s="27" t="s">
        <v>176</v>
      </c>
      <c r="DK112" s="27" t="s">
        <v>134</v>
      </c>
      <c r="DL112" s="27" t="s">
        <v>135</v>
      </c>
      <c r="DM112" s="27" t="s">
        <v>183</v>
      </c>
      <c r="DN112" s="27" t="s">
        <v>169</v>
      </c>
      <c r="DO112" s="27" t="s">
        <v>134</v>
      </c>
      <c r="DP112" s="27" t="s">
        <v>182</v>
      </c>
      <c r="DQ112" s="27" t="s">
        <v>177</v>
      </c>
      <c r="DR112" s="27" t="s">
        <v>209</v>
      </c>
      <c r="DS112" s="27" t="s">
        <v>134</v>
      </c>
      <c r="DT112" s="27" t="s">
        <v>160</v>
      </c>
      <c r="DU112" s="27" t="s">
        <v>447</v>
      </c>
      <c r="DV112" s="27" t="s">
        <v>196</v>
      </c>
      <c r="DW112" s="27" t="s">
        <v>160</v>
      </c>
      <c r="DX112" s="27" t="s">
        <v>155</v>
      </c>
      <c r="DY112" s="27" t="s">
        <v>145</v>
      </c>
      <c r="DZ112" s="27" t="n">
        <f aca="false">DY112+DV112+DR112+DN112+DJ112+DF112+DB112</f>
        <v>610</v>
      </c>
      <c r="EA112" s="28" t="n">
        <f aca="false">DZ112/7</f>
        <v>87.1428571428571</v>
      </c>
      <c r="EB112" s="27" t="n">
        <f aca="false">RANK(EA112,$EA$2:$EA$881,0)</f>
        <v>119</v>
      </c>
      <c r="EC112" s="29" t="n">
        <f aca="false">DZ112+CQ112+CP112+AZ112</f>
        <v>2658</v>
      </c>
      <c r="ED112" s="30" t="n">
        <f aca="false">(EA112+CV112+BB112)/3</f>
        <v>85.8476190476191</v>
      </c>
      <c r="EE112" s="51" t="n">
        <f aca="false">ROUND(BE112,3)</f>
        <v>82.9</v>
      </c>
      <c r="EF112" s="51" t="n">
        <f aca="false">ROUND(CR112,3)</f>
        <v>89.286</v>
      </c>
      <c r="EG112" s="51" t="n">
        <f aca="false">ROUND(CS112,3)</f>
        <v>82.714</v>
      </c>
      <c r="EH112" s="51" t="n">
        <f aca="false">ROUND(EA112,3)</f>
        <v>87.143</v>
      </c>
      <c r="EI112" s="51" t="n">
        <f aca="false">ROUND(ED112,3)</f>
        <v>85.848</v>
      </c>
      <c r="EJ112" s="51" t="n">
        <f aca="false">ROUND(CV112,3)</f>
        <v>86</v>
      </c>
      <c r="EK112" s="0" t="n">
        <f aca="false">RANK(EI112,$EI$2:$EI$881,0)</f>
        <v>111</v>
      </c>
    </row>
    <row r="113" customFormat="false" ht="15" hidden="false" customHeight="false" outlineLevel="0" collapsed="false">
      <c r="A113" s="4" t="n">
        <v>9021</v>
      </c>
      <c r="B113" s="4" t="n">
        <v>596</v>
      </c>
      <c r="C113" s="27" t="s">
        <v>527</v>
      </c>
      <c r="D113" s="31" t="n">
        <v>604</v>
      </c>
      <c r="E113" s="62" t="n">
        <v>230323171</v>
      </c>
      <c r="F113" s="8" t="s">
        <v>528</v>
      </c>
      <c r="G113" s="63" t="s">
        <v>529</v>
      </c>
      <c r="H113" s="22" t="s">
        <v>129</v>
      </c>
      <c r="I113" s="64" t="n">
        <v>2005</v>
      </c>
      <c r="J113" s="62" t="n">
        <v>68</v>
      </c>
      <c r="K113" s="62" t="n">
        <v>92</v>
      </c>
      <c r="L113" s="34" t="n">
        <f aca="false">(K113*70)/100</f>
        <v>64.4</v>
      </c>
      <c r="M113" s="34" t="n">
        <f aca="false">ROUNDUP(L113,0)</f>
        <v>65</v>
      </c>
      <c r="N113" s="62" t="n">
        <v>30</v>
      </c>
      <c r="O113" s="34" t="n">
        <f aca="false">N113+L113</f>
        <v>94.4</v>
      </c>
      <c r="P113" s="34" t="n">
        <f aca="false">N113+M113</f>
        <v>95</v>
      </c>
      <c r="Q113" s="62" t="n">
        <v>85</v>
      </c>
      <c r="R113" s="62" t="n">
        <v>71</v>
      </c>
      <c r="S113" s="34" t="n">
        <f aca="false">(R113*70)/100</f>
        <v>49.7</v>
      </c>
      <c r="T113" s="34" t="n">
        <f aca="false">ROUNDUP(S113,0)</f>
        <v>50</v>
      </c>
      <c r="U113" s="62" t="n">
        <v>27</v>
      </c>
      <c r="V113" s="34" t="n">
        <f aca="false">U113+S113</f>
        <v>76.7</v>
      </c>
      <c r="W113" s="34" t="n">
        <f aca="false">U113+T113</f>
        <v>77</v>
      </c>
      <c r="X113" s="62" t="n">
        <v>72</v>
      </c>
      <c r="Y113" s="34" t="n">
        <f aca="false">(X113*70)/100</f>
        <v>50.4</v>
      </c>
      <c r="Z113" s="34" t="n">
        <f aca="false">ROUNDUP(Y113,0)</f>
        <v>51</v>
      </c>
      <c r="AA113" s="62" t="n">
        <v>25</v>
      </c>
      <c r="AB113" s="34" t="n">
        <f aca="false">AA113+Y113</f>
        <v>75.4</v>
      </c>
      <c r="AC113" s="34" t="n">
        <f aca="false">AA113+Z113</f>
        <v>76</v>
      </c>
      <c r="AD113" s="32" t="n">
        <f aca="false">X113+R113+Q113+K113+J113</f>
        <v>388</v>
      </c>
      <c r="AE113" s="16" t="n">
        <f aca="false">AD113/5</f>
        <v>77.6</v>
      </c>
      <c r="AF113" s="65" t="n">
        <v>73</v>
      </c>
      <c r="AG113" s="65" t="n">
        <v>85</v>
      </c>
      <c r="AH113" s="65" t="n">
        <v>92</v>
      </c>
      <c r="AI113" s="65" t="n">
        <v>94</v>
      </c>
      <c r="AJ113" s="16" t="n">
        <f aca="false">(AI113*70)/100</f>
        <v>65.8</v>
      </c>
      <c r="AK113" s="35" t="n">
        <f aca="false">ROUNDUP(AJ113,0)</f>
        <v>66</v>
      </c>
      <c r="AL113" s="65" t="n">
        <v>28</v>
      </c>
      <c r="AM113" s="16" t="n">
        <f aca="false">AL113+AJ113</f>
        <v>93.8</v>
      </c>
      <c r="AN113" s="16" t="n">
        <f aca="false">AL113+AK113</f>
        <v>94</v>
      </c>
      <c r="AO113" s="65" t="n">
        <v>81</v>
      </c>
      <c r="AP113" s="36" t="n">
        <f aca="false">(AO113*70)/100</f>
        <v>56.7</v>
      </c>
      <c r="AQ113" s="37" t="n">
        <f aca="false">ROUNDUP(AP113,0)</f>
        <v>57</v>
      </c>
      <c r="AR113" s="65" t="n">
        <v>30</v>
      </c>
      <c r="AS113" s="16" t="n">
        <f aca="false">AR113+AP113</f>
        <v>86.7</v>
      </c>
      <c r="AT113" s="16" t="n">
        <f aca="false">AR113+AQ113</f>
        <v>87</v>
      </c>
      <c r="AU113" s="16" t="n">
        <f aca="false">AO113+AF113+AI113+AH113+AG113</f>
        <v>425</v>
      </c>
      <c r="AV113" s="16" t="n">
        <f aca="false">(AO113+AF113+AI113+AH113+AG113)/5</f>
        <v>85</v>
      </c>
      <c r="AW113" s="36" t="n">
        <f aca="false">(AO113+AF113+AI113+AH113+AG113+X113+R113+Q113+K113+J113)</f>
        <v>813</v>
      </c>
      <c r="AX113" s="16" t="n">
        <f aca="false">AW113/10</f>
        <v>81.3</v>
      </c>
      <c r="AY113" s="16" t="n">
        <f aca="false">AS113+AF113+AM113+AH113+AG113+AB113+V113+Q113+O113+J113</f>
        <v>830</v>
      </c>
      <c r="AZ113" s="16" t="n">
        <f aca="false">AT113+AF113+AN113+AH113+AG113+AC113+W113+Q113+P113+J113</f>
        <v>832</v>
      </c>
      <c r="BA113" s="16" t="n">
        <f aca="false">AY113/10</f>
        <v>83</v>
      </c>
      <c r="BB113" s="16" t="n">
        <f aca="false">AZ113/10</f>
        <v>83.2</v>
      </c>
      <c r="BC113" s="65" t="n">
        <v>2361</v>
      </c>
      <c r="BD113" s="16" t="n">
        <f aca="false">RANK(AX113,$AX$2:$AX$881,0)</f>
        <v>198</v>
      </c>
      <c r="BE113" s="54" t="n">
        <f aca="false">((BC113*100)/2400)*0.4+(AX113*0.6)</f>
        <v>88.13</v>
      </c>
      <c r="BF113" s="16" t="n">
        <f aca="false">RANK(BE113,$BE$2:$BE$881,0)</f>
        <v>197</v>
      </c>
      <c r="BG113" s="39" t="n">
        <f aca="false">RANK(BB113,$BB$2:$BB$881,0)</f>
        <v>152</v>
      </c>
      <c r="BH113" s="39" t="n">
        <f aca="false">RANK(BC113,$BC$2:$BC$881,0)</f>
        <v>382</v>
      </c>
      <c r="BI113" s="22" t="s">
        <v>130</v>
      </c>
      <c r="BJ113" s="22" t="s">
        <v>129</v>
      </c>
      <c r="BK113" s="40" t="s">
        <v>131</v>
      </c>
      <c r="BL113" s="41" t="n">
        <v>23</v>
      </c>
      <c r="BM113" s="41" t="n">
        <v>61</v>
      </c>
      <c r="BN113" s="41" t="n">
        <v>84</v>
      </c>
      <c r="BO113" s="42" t="n">
        <v>29</v>
      </c>
      <c r="BP113" s="43" t="n">
        <v>64</v>
      </c>
      <c r="BQ113" s="44" t="n">
        <v>93</v>
      </c>
      <c r="BR113" s="42" t="n">
        <v>29</v>
      </c>
      <c r="BS113" s="45" t="n">
        <v>54</v>
      </c>
      <c r="BT113" s="45" t="n">
        <v>83</v>
      </c>
      <c r="BU113" s="46" t="n">
        <v>100</v>
      </c>
      <c r="BV113" s="47" t="n">
        <v>76</v>
      </c>
      <c r="BW113" s="42" t="n">
        <v>99</v>
      </c>
      <c r="BX113" s="48" t="n">
        <v>96</v>
      </c>
      <c r="BY113" s="32" t="n">
        <v>25</v>
      </c>
      <c r="BZ113" s="32" t="n">
        <v>59</v>
      </c>
      <c r="CA113" s="32" t="n">
        <v>84</v>
      </c>
      <c r="CB113" s="32" t="n">
        <v>26</v>
      </c>
      <c r="CC113" s="32" t="n">
        <v>45</v>
      </c>
      <c r="CD113" s="32" t="n">
        <v>71</v>
      </c>
      <c r="CE113" s="32" t="n">
        <v>26</v>
      </c>
      <c r="CF113" s="32" t="n">
        <v>56</v>
      </c>
      <c r="CG113" s="32" t="n">
        <v>82</v>
      </c>
      <c r="CH113" s="32" t="n">
        <v>99</v>
      </c>
      <c r="CI113" s="32" t="n">
        <v>99</v>
      </c>
      <c r="CJ113" s="49" t="n">
        <v>26</v>
      </c>
      <c r="CK113" s="49" t="n">
        <v>51</v>
      </c>
      <c r="CL113" s="49" t="n">
        <v>77</v>
      </c>
      <c r="CM113" s="49" t="n">
        <v>24</v>
      </c>
      <c r="CN113" s="49" t="n">
        <v>53</v>
      </c>
      <c r="CO113" s="49" t="n">
        <v>77</v>
      </c>
      <c r="CP113" s="25" t="n">
        <f aca="false">BX113+BW113+BV113+BU113+BT113+BQ113+BN113</f>
        <v>631</v>
      </c>
      <c r="CQ113" s="25" t="n">
        <f aca="false">CO113+CL113+CI113+CH113+CG113+CD113+CA113</f>
        <v>589</v>
      </c>
      <c r="CR113" s="26" t="n">
        <f aca="false">CP113/7</f>
        <v>90.1428571428571</v>
      </c>
      <c r="CS113" s="26" t="n">
        <f aca="false">CQ113/7</f>
        <v>84.1428571428571</v>
      </c>
      <c r="CT113" s="24" t="n">
        <f aca="false">RANK(CR113,$CR$2:$CR$881,0)</f>
        <v>172</v>
      </c>
      <c r="CU113" s="25" t="n">
        <f aca="false">RANK(CS113,$CS$2:$CS$881,0)</f>
        <v>118</v>
      </c>
      <c r="CV113" s="26" t="n">
        <f aca="false">(CS113+CR113)/2</f>
        <v>87.1428571428571</v>
      </c>
      <c r="CW113" s="25" t="n">
        <f aca="false">RANK(CV113,$CV$2:$CV$881,0)</f>
        <v>133</v>
      </c>
      <c r="CX113" s="50" t="n">
        <f aca="false">(CV113+BB113)/2</f>
        <v>85.1714285714286</v>
      </c>
      <c r="CY113" s="50" t="n">
        <v>120</v>
      </c>
      <c r="CZ113" s="27" t="s">
        <v>132</v>
      </c>
      <c r="DA113" s="27" t="s">
        <v>175</v>
      </c>
      <c r="DB113" s="27" t="s">
        <v>175</v>
      </c>
      <c r="DC113" s="27" t="s">
        <v>134</v>
      </c>
      <c r="DD113" s="27" t="s">
        <v>164</v>
      </c>
      <c r="DE113" s="27" t="s">
        <v>177</v>
      </c>
      <c r="DF113" s="27" t="s">
        <v>178</v>
      </c>
      <c r="DG113" s="27" t="s">
        <v>134</v>
      </c>
      <c r="DH113" s="27" t="s">
        <v>140</v>
      </c>
      <c r="DI113" s="27" t="s">
        <v>218</v>
      </c>
      <c r="DJ113" s="27" t="s">
        <v>202</v>
      </c>
      <c r="DK113" s="27" t="s">
        <v>134</v>
      </c>
      <c r="DL113" s="27" t="s">
        <v>160</v>
      </c>
      <c r="DM113" s="27" t="s">
        <v>136</v>
      </c>
      <c r="DN113" s="27" t="s">
        <v>170</v>
      </c>
      <c r="DO113" s="27" t="s">
        <v>134</v>
      </c>
      <c r="DP113" s="27" t="s">
        <v>191</v>
      </c>
      <c r="DQ113" s="27" t="s">
        <v>183</v>
      </c>
      <c r="DR113" s="27" t="s">
        <v>305</v>
      </c>
      <c r="DS113" s="27" t="s">
        <v>134</v>
      </c>
      <c r="DT113" s="27" t="s">
        <v>164</v>
      </c>
      <c r="DU113" s="27" t="s">
        <v>161</v>
      </c>
      <c r="DV113" s="27" t="s">
        <v>133</v>
      </c>
      <c r="DW113" s="27" t="s">
        <v>160</v>
      </c>
      <c r="DX113" s="27" t="s">
        <v>141</v>
      </c>
      <c r="DY113" s="27" t="s">
        <v>139</v>
      </c>
      <c r="DZ113" s="27" t="n">
        <f aca="false">DY113+DV113+DR113+DN113+DJ113+DF113+DB113</f>
        <v>610</v>
      </c>
      <c r="EA113" s="28" t="n">
        <f aca="false">DZ113/7</f>
        <v>87.1428571428571</v>
      </c>
      <c r="EB113" s="27" t="n">
        <f aca="false">RANK(EA113,$EA$2:$EA$881,0)</f>
        <v>119</v>
      </c>
      <c r="EC113" s="29" t="n">
        <f aca="false">DZ113+CQ113+CP113+AZ113</f>
        <v>2662</v>
      </c>
      <c r="ED113" s="30" t="n">
        <f aca="false">(EA113+CV113+BB113)/3</f>
        <v>85.8285714285714</v>
      </c>
      <c r="EE113" s="51" t="n">
        <f aca="false">ROUND(BE113,3)</f>
        <v>88.13</v>
      </c>
      <c r="EF113" s="51" t="n">
        <f aca="false">ROUND(CR113,3)</f>
        <v>90.143</v>
      </c>
      <c r="EG113" s="51" t="n">
        <f aca="false">ROUND(CS113,3)</f>
        <v>84.143</v>
      </c>
      <c r="EH113" s="51" t="n">
        <f aca="false">ROUND(EA113,3)</f>
        <v>87.143</v>
      </c>
      <c r="EI113" s="51" t="n">
        <f aca="false">ROUND(ED113,3)</f>
        <v>85.829</v>
      </c>
      <c r="EJ113" s="51" t="n">
        <f aca="false">ROUND(CV113,3)</f>
        <v>87.143</v>
      </c>
      <c r="EK113" s="0" t="n">
        <f aca="false">RANK(EI113,$EI$2:$EI$881,0)</f>
        <v>112</v>
      </c>
    </row>
    <row r="114" customFormat="false" ht="15" hidden="false" customHeight="false" outlineLevel="0" collapsed="false">
      <c r="A114" s="4" t="n">
        <v>9035</v>
      </c>
      <c r="B114" s="4" t="n">
        <v>272</v>
      </c>
      <c r="C114" s="27" t="s">
        <v>530</v>
      </c>
      <c r="D114" s="31" t="n">
        <v>270</v>
      </c>
      <c r="E114" s="16" t="n">
        <v>230242844</v>
      </c>
      <c r="F114" s="56" t="s">
        <v>531</v>
      </c>
      <c r="G114" s="22" t="s">
        <v>532</v>
      </c>
      <c r="H114" s="22" t="s">
        <v>326</v>
      </c>
      <c r="I114" s="57"/>
      <c r="J114" s="16" t="n">
        <v>69</v>
      </c>
      <c r="K114" s="16" t="n">
        <v>77</v>
      </c>
      <c r="L114" s="34" t="n">
        <f aca="false">(K114*70)/100</f>
        <v>53.9</v>
      </c>
      <c r="M114" s="34" t="n">
        <f aca="false">ROUNDUP(L114,0)</f>
        <v>54</v>
      </c>
      <c r="N114" s="16" t="n">
        <v>22</v>
      </c>
      <c r="O114" s="34" t="n">
        <f aca="false">N114+L114</f>
        <v>75.9</v>
      </c>
      <c r="P114" s="34" t="n">
        <f aca="false">N114+M114</f>
        <v>76</v>
      </c>
      <c r="Q114" s="16" t="n">
        <v>78</v>
      </c>
      <c r="R114" s="16" t="n">
        <v>76</v>
      </c>
      <c r="S114" s="34" t="n">
        <f aca="false">(R114*70)/100</f>
        <v>53.2</v>
      </c>
      <c r="T114" s="34" t="n">
        <f aca="false">ROUNDUP(S114,0)</f>
        <v>54</v>
      </c>
      <c r="U114" s="16" t="n">
        <v>27</v>
      </c>
      <c r="V114" s="34" t="n">
        <f aca="false">U114+S114</f>
        <v>80.2</v>
      </c>
      <c r="W114" s="34" t="n">
        <f aca="false">U114+T114</f>
        <v>81</v>
      </c>
      <c r="X114" s="16" t="n">
        <v>79</v>
      </c>
      <c r="Y114" s="34" t="n">
        <f aca="false">(X114*70)/100</f>
        <v>55.3</v>
      </c>
      <c r="Z114" s="34" t="n">
        <f aca="false">ROUNDUP(Y114,0)</f>
        <v>56</v>
      </c>
      <c r="AA114" s="16" t="n">
        <v>28</v>
      </c>
      <c r="AB114" s="34" t="n">
        <f aca="false">AA114+Y114</f>
        <v>83.3</v>
      </c>
      <c r="AC114" s="34" t="n">
        <f aca="false">AA114+Z114</f>
        <v>84</v>
      </c>
      <c r="AD114" s="32" t="n">
        <f aca="false">X114+R114+Q114+K114+J114</f>
        <v>379</v>
      </c>
      <c r="AE114" s="16" t="n">
        <f aca="false">AD114/5</f>
        <v>75.8</v>
      </c>
      <c r="AF114" s="16" t="n">
        <v>87</v>
      </c>
      <c r="AG114" s="16" t="n">
        <v>75</v>
      </c>
      <c r="AH114" s="16" t="n">
        <v>89</v>
      </c>
      <c r="AI114" s="16" t="n">
        <v>98</v>
      </c>
      <c r="AJ114" s="16" t="n">
        <f aca="false">(AI114*70)/100</f>
        <v>68.6</v>
      </c>
      <c r="AK114" s="35" t="n">
        <f aca="false">ROUNDUP(AJ114,0)</f>
        <v>69</v>
      </c>
      <c r="AL114" s="16" t="n">
        <v>22</v>
      </c>
      <c r="AM114" s="16" t="n">
        <f aca="false">AL114+AJ114</f>
        <v>90.6</v>
      </c>
      <c r="AN114" s="16" t="n">
        <f aca="false">AL114+AK114</f>
        <v>91</v>
      </c>
      <c r="AO114" s="16" t="n">
        <v>80</v>
      </c>
      <c r="AP114" s="36" t="n">
        <f aca="false">(AO114*70)/100</f>
        <v>56</v>
      </c>
      <c r="AQ114" s="37" t="n">
        <f aca="false">ROUNDUP(AP114,0)</f>
        <v>56</v>
      </c>
      <c r="AR114" s="16" t="n">
        <v>28</v>
      </c>
      <c r="AS114" s="16" t="n">
        <f aca="false">AR114+AP114</f>
        <v>84</v>
      </c>
      <c r="AT114" s="16" t="n">
        <f aca="false">AR114+AQ114</f>
        <v>84</v>
      </c>
      <c r="AU114" s="16" t="n">
        <f aca="false">AO114+AF114+AI114+AH114+AG114</f>
        <v>429</v>
      </c>
      <c r="AV114" s="16" t="n">
        <f aca="false">(AO114+AF114+AI114+AH114+AG114)/5</f>
        <v>85.8</v>
      </c>
      <c r="AW114" s="36" t="n">
        <f aca="false">(AO114+AF114+AI114+AH114+AG114+X114+R114+Q114+K114+J114)</f>
        <v>808</v>
      </c>
      <c r="AX114" s="16" t="n">
        <f aca="false">AW114/10</f>
        <v>80.8</v>
      </c>
      <c r="AY114" s="16" t="n">
        <f aca="false">AS114+AF114+AM114+AH114+AG114+AB114+V114+Q114+O114+J114</f>
        <v>812</v>
      </c>
      <c r="AZ114" s="16" t="n">
        <f aca="false">AT114+AF114+AN114+AH114+AG114+AC114+W114+Q114+P114+J114</f>
        <v>814</v>
      </c>
      <c r="BA114" s="16" t="n">
        <f aca="false">AY114/10</f>
        <v>81.2</v>
      </c>
      <c r="BB114" s="16" t="n">
        <f aca="false">AZ114/10</f>
        <v>81.4</v>
      </c>
      <c r="BC114" s="16" t="n">
        <v>2356</v>
      </c>
      <c r="BD114" s="16" t="n">
        <f aca="false">RANK(AX114,$AX$2:$AX$881,0)</f>
        <v>217</v>
      </c>
      <c r="BE114" s="54" t="n">
        <f aca="false">((BC114*100)/2400)*0.4+(AX114*0.6)</f>
        <v>87.7466666666667</v>
      </c>
      <c r="BF114" s="16" t="n">
        <f aca="false">RANK(BE114,$BE$2:$BE$881,0)</f>
        <v>225</v>
      </c>
      <c r="BG114" s="39" t="n">
        <f aca="false">RANK(BB114,$BB$2:$BB$881,0)</f>
        <v>252</v>
      </c>
      <c r="BH114" s="39" t="n">
        <f aca="false">RANK(BC114,$BC$2:$BC$881,0)</f>
        <v>462</v>
      </c>
      <c r="BI114" s="22" t="s">
        <v>130</v>
      </c>
      <c r="BJ114" s="22" t="s">
        <v>129</v>
      </c>
      <c r="BK114" s="40" t="s">
        <v>131</v>
      </c>
      <c r="BL114" s="41" t="n">
        <v>25</v>
      </c>
      <c r="BM114" s="41" t="n">
        <v>60</v>
      </c>
      <c r="BN114" s="41" t="n">
        <v>85</v>
      </c>
      <c r="BO114" s="42" t="n">
        <v>21</v>
      </c>
      <c r="BP114" s="43" t="n">
        <v>61</v>
      </c>
      <c r="BQ114" s="44" t="n">
        <v>82</v>
      </c>
      <c r="BR114" s="42" t="n">
        <v>23</v>
      </c>
      <c r="BS114" s="45" t="n">
        <v>54</v>
      </c>
      <c r="BT114" s="45" t="n">
        <v>77</v>
      </c>
      <c r="BU114" s="46" t="n">
        <v>100</v>
      </c>
      <c r="BV114" s="47" t="n">
        <v>84</v>
      </c>
      <c r="BW114" s="42" t="n">
        <v>98</v>
      </c>
      <c r="BX114" s="48" t="n">
        <v>96</v>
      </c>
      <c r="BY114" s="32" t="n">
        <v>27</v>
      </c>
      <c r="BZ114" s="32" t="n">
        <v>60</v>
      </c>
      <c r="CA114" s="32" t="n">
        <v>87</v>
      </c>
      <c r="CB114" s="32" t="n">
        <v>27</v>
      </c>
      <c r="CC114" s="32" t="n">
        <v>50</v>
      </c>
      <c r="CD114" s="32" t="n">
        <v>77</v>
      </c>
      <c r="CE114" s="32" t="n">
        <v>24</v>
      </c>
      <c r="CF114" s="32" t="n">
        <v>58</v>
      </c>
      <c r="CG114" s="32" t="n">
        <v>82</v>
      </c>
      <c r="CH114" s="32" t="n">
        <v>95</v>
      </c>
      <c r="CI114" s="32" t="n">
        <v>93</v>
      </c>
      <c r="CJ114" s="49" t="n">
        <v>21</v>
      </c>
      <c r="CK114" s="49" t="n">
        <v>54</v>
      </c>
      <c r="CL114" s="49" t="n">
        <v>75</v>
      </c>
      <c r="CM114" s="49" t="n">
        <v>23</v>
      </c>
      <c r="CN114" s="49" t="n">
        <v>55</v>
      </c>
      <c r="CO114" s="49" t="n">
        <v>78</v>
      </c>
      <c r="CP114" s="25" t="n">
        <f aca="false">BX114+BW114+BV114+BU114+BT114+BQ114+BN114</f>
        <v>622</v>
      </c>
      <c r="CQ114" s="25" t="n">
        <f aca="false">CO114+CL114+CI114+CH114+CG114+CD114+CA114</f>
        <v>587</v>
      </c>
      <c r="CR114" s="26" t="n">
        <f aca="false">CP114/7</f>
        <v>88.8571428571429</v>
      </c>
      <c r="CS114" s="26" t="n">
        <f aca="false">CQ114/7</f>
        <v>83.8571428571429</v>
      </c>
      <c r="CT114" s="24" t="n">
        <f aca="false">RANK(CR114,$CR$2:$CR$881,0)</f>
        <v>254</v>
      </c>
      <c r="CU114" s="25" t="n">
        <f aca="false">RANK(CS114,$CS$2:$CS$881,0)</f>
        <v>125</v>
      </c>
      <c r="CV114" s="26" t="n">
        <f aca="false">(CS114+CR114)/2</f>
        <v>86.3571428571429</v>
      </c>
      <c r="CW114" s="25" t="n">
        <f aca="false">RANK(CV114,$CV$2:$CV$881,0)</f>
        <v>163</v>
      </c>
      <c r="CX114" s="50" t="n">
        <f aca="false">(CV114+BB114)/2</f>
        <v>83.8785714285714</v>
      </c>
      <c r="CY114" s="50" t="n">
        <v>168</v>
      </c>
      <c r="CZ114" s="27" t="s">
        <v>132</v>
      </c>
      <c r="DA114" s="27" t="s">
        <v>153</v>
      </c>
      <c r="DB114" s="27" t="s">
        <v>153</v>
      </c>
      <c r="DC114" s="27" t="s">
        <v>134</v>
      </c>
      <c r="DD114" s="27" t="s">
        <v>174</v>
      </c>
      <c r="DE114" s="27" t="s">
        <v>187</v>
      </c>
      <c r="DF114" s="27" t="s">
        <v>133</v>
      </c>
      <c r="DG114" s="27" t="s">
        <v>134</v>
      </c>
      <c r="DH114" s="27" t="s">
        <v>135</v>
      </c>
      <c r="DI114" s="27" t="s">
        <v>163</v>
      </c>
      <c r="DJ114" s="27" t="s">
        <v>153</v>
      </c>
      <c r="DK114" s="27" t="s">
        <v>134</v>
      </c>
      <c r="DL114" s="27" t="s">
        <v>135</v>
      </c>
      <c r="DM114" s="27" t="s">
        <v>152</v>
      </c>
      <c r="DN114" s="27" t="s">
        <v>162</v>
      </c>
      <c r="DO114" s="27" t="s">
        <v>134</v>
      </c>
      <c r="DP114" s="27" t="s">
        <v>174</v>
      </c>
      <c r="DQ114" s="27" t="s">
        <v>161</v>
      </c>
      <c r="DR114" s="27" t="s">
        <v>169</v>
      </c>
      <c r="DS114" s="27" t="s">
        <v>134</v>
      </c>
      <c r="DT114" s="27" t="s">
        <v>164</v>
      </c>
      <c r="DU114" s="27" t="s">
        <v>136</v>
      </c>
      <c r="DV114" s="27" t="s">
        <v>153</v>
      </c>
      <c r="DW114" s="27" t="s">
        <v>160</v>
      </c>
      <c r="DX114" s="27" t="s">
        <v>155</v>
      </c>
      <c r="DY114" s="27" t="s">
        <v>145</v>
      </c>
      <c r="DZ114" s="27" t="n">
        <f aca="false">DY114+DV114+DR114+DN114+DJ114+DF114+DB114</f>
        <v>628</v>
      </c>
      <c r="EA114" s="28" t="n">
        <f aca="false">DZ114/7</f>
        <v>89.7142857142857</v>
      </c>
      <c r="EB114" s="27" t="n">
        <f aca="false">RANK(EA114,$EA$2:$EA$881,0)</f>
        <v>59</v>
      </c>
      <c r="EC114" s="29" t="n">
        <f aca="false">DZ114+CQ114+CP114+AZ114</f>
        <v>2651</v>
      </c>
      <c r="ED114" s="30" t="n">
        <f aca="false">(EA114+CV114+BB114)/3</f>
        <v>85.8238095238095</v>
      </c>
      <c r="EE114" s="51" t="n">
        <f aca="false">ROUND(BE114,3)</f>
        <v>87.747</v>
      </c>
      <c r="EF114" s="51" t="n">
        <f aca="false">ROUND(CR114,3)</f>
        <v>88.857</v>
      </c>
      <c r="EG114" s="51" t="n">
        <f aca="false">ROUND(CS114,3)</f>
        <v>83.857</v>
      </c>
      <c r="EH114" s="51" t="n">
        <f aca="false">ROUND(EA114,3)</f>
        <v>89.714</v>
      </c>
      <c r="EI114" s="51" t="n">
        <f aca="false">ROUND(ED114,3)</f>
        <v>85.824</v>
      </c>
      <c r="EJ114" s="51" t="n">
        <f aca="false">ROUND(CV114,3)</f>
        <v>86.357</v>
      </c>
      <c r="EK114" s="0" t="n">
        <f aca="false">RANK(EI114,$EI$2:$EI$881,0)</f>
        <v>113</v>
      </c>
    </row>
    <row r="115" customFormat="false" ht="15" hidden="false" customHeight="false" outlineLevel="0" collapsed="false">
      <c r="A115" s="4" t="n">
        <v>8752</v>
      </c>
      <c r="B115" s="4" t="n">
        <v>350</v>
      </c>
      <c r="C115" s="27" t="s">
        <v>533</v>
      </c>
      <c r="D115" s="31" t="n">
        <v>355</v>
      </c>
      <c r="E115" s="32" t="n">
        <v>230314126</v>
      </c>
      <c r="F115" s="8" t="s">
        <v>534</v>
      </c>
      <c r="G115" s="22" t="s">
        <v>535</v>
      </c>
      <c r="H115" s="22" t="s">
        <v>129</v>
      </c>
      <c r="I115" s="33" t="n">
        <v>2006</v>
      </c>
      <c r="J115" s="32" t="n">
        <v>64</v>
      </c>
      <c r="K115" s="32" t="n">
        <v>86</v>
      </c>
      <c r="L115" s="34" t="n">
        <f aca="false">(K115*70)/100</f>
        <v>60.2</v>
      </c>
      <c r="M115" s="34" t="n">
        <f aca="false">ROUNDUP(L115,0)</f>
        <v>61</v>
      </c>
      <c r="N115" s="32" t="n">
        <v>23</v>
      </c>
      <c r="O115" s="34" t="n">
        <f aca="false">N115+L115</f>
        <v>83.2</v>
      </c>
      <c r="P115" s="34" t="n">
        <f aca="false">N115+M115</f>
        <v>84</v>
      </c>
      <c r="Q115" s="32" t="n">
        <v>87</v>
      </c>
      <c r="R115" s="32" t="n">
        <v>87</v>
      </c>
      <c r="S115" s="34" t="n">
        <f aca="false">(R115*70)/100</f>
        <v>60.9</v>
      </c>
      <c r="T115" s="34" t="n">
        <f aca="false">ROUNDUP(S115,0)</f>
        <v>61</v>
      </c>
      <c r="U115" s="32" t="n">
        <v>22</v>
      </c>
      <c r="V115" s="34" t="n">
        <f aca="false">U115+S115</f>
        <v>82.9</v>
      </c>
      <c r="W115" s="34" t="n">
        <f aca="false">U115+T115</f>
        <v>83</v>
      </c>
      <c r="X115" s="32" t="n">
        <v>72</v>
      </c>
      <c r="Y115" s="34" t="n">
        <f aca="false">(X115*70)/100</f>
        <v>50.4</v>
      </c>
      <c r="Z115" s="34" t="n">
        <f aca="false">ROUNDUP(Y115,0)</f>
        <v>51</v>
      </c>
      <c r="AA115" s="32" t="n">
        <v>20</v>
      </c>
      <c r="AB115" s="34" t="n">
        <f aca="false">AA115+Y115</f>
        <v>70.4</v>
      </c>
      <c r="AC115" s="34" t="n">
        <f aca="false">AA115+Z115</f>
        <v>71</v>
      </c>
      <c r="AD115" s="32" t="n">
        <f aca="false">X115+R115+Q115+K115+J115</f>
        <v>396</v>
      </c>
      <c r="AE115" s="16" t="n">
        <f aca="false">AD115/5</f>
        <v>79.2</v>
      </c>
      <c r="AF115" s="16" t="n">
        <v>89</v>
      </c>
      <c r="AG115" s="16" t="n">
        <v>75</v>
      </c>
      <c r="AH115" s="16" t="n">
        <v>96</v>
      </c>
      <c r="AI115" s="16" t="n">
        <v>95</v>
      </c>
      <c r="AJ115" s="16" t="n">
        <f aca="false">(AI115*70)/100</f>
        <v>66.5</v>
      </c>
      <c r="AK115" s="35" t="n">
        <f aca="false">ROUNDUP(AJ115,0)</f>
        <v>67</v>
      </c>
      <c r="AL115" s="16" t="n">
        <v>25</v>
      </c>
      <c r="AM115" s="16" t="n">
        <f aca="false">AL115+AJ115</f>
        <v>91.5</v>
      </c>
      <c r="AN115" s="16" t="n">
        <f aca="false">AL115+AK115</f>
        <v>92</v>
      </c>
      <c r="AO115" s="16" t="n">
        <v>81</v>
      </c>
      <c r="AP115" s="36" t="n">
        <f aca="false">(AO115*70)/100</f>
        <v>56.7</v>
      </c>
      <c r="AQ115" s="37" t="n">
        <f aca="false">ROUNDUP(AP115,0)</f>
        <v>57</v>
      </c>
      <c r="AR115" s="16" t="n">
        <v>29</v>
      </c>
      <c r="AS115" s="16" t="n">
        <f aca="false">AR115+AP115</f>
        <v>85.7</v>
      </c>
      <c r="AT115" s="16" t="n">
        <f aca="false">AR115+AQ115</f>
        <v>86</v>
      </c>
      <c r="AU115" s="16" t="n">
        <f aca="false">AO115+AF115+AI115+AH115+AG115</f>
        <v>436</v>
      </c>
      <c r="AV115" s="16" t="n">
        <f aca="false">(AO115+AF115+AI115+AH115+AG115)/5</f>
        <v>87.2</v>
      </c>
      <c r="AW115" s="36" t="n">
        <f aca="false">(AO115+AF115+AI115+AH115+AG115+X115+R115+Q115+K115+J115)</f>
        <v>832</v>
      </c>
      <c r="AX115" s="16" t="n">
        <f aca="false">AW115/10</f>
        <v>83.2</v>
      </c>
      <c r="AY115" s="16" t="n">
        <f aca="false">AS115+AF115+AM115+AH115+AG115+AB115+V115+Q115+O115+J115</f>
        <v>824.7</v>
      </c>
      <c r="AZ115" s="16" t="n">
        <f aca="false">AT115+AF115+AN115+AH115+AG115+AC115+W115+Q115+P115+J115</f>
        <v>827</v>
      </c>
      <c r="BA115" s="16" t="n">
        <f aca="false">AY115/10</f>
        <v>82.47</v>
      </c>
      <c r="BB115" s="16" t="n">
        <f aca="false">AZ115/10</f>
        <v>82.7</v>
      </c>
      <c r="BC115" s="16" t="n">
        <v>2338</v>
      </c>
      <c r="BD115" s="16" t="n">
        <f aca="false">RANK(AX115,$AX$2:$AX$881,0)</f>
        <v>124</v>
      </c>
      <c r="BE115" s="54" t="n">
        <f aca="false">((BC115*100)/2400)*0.4+(AX115*0.6)</f>
        <v>88.8866666666667</v>
      </c>
      <c r="BF115" s="16" t="n">
        <f aca="false">RANK(BE115,$BE$2:$BE$881,0)</f>
        <v>140</v>
      </c>
      <c r="BG115" s="39" t="n">
        <f aca="false">RANK(BB115,$BB$2:$BB$881,0)</f>
        <v>175</v>
      </c>
      <c r="BH115" s="39" t="n">
        <f aca="false">RANK(BC115,$BC$2:$BC$881,0)</f>
        <v>649</v>
      </c>
      <c r="BI115" s="22" t="s">
        <v>130</v>
      </c>
      <c r="BJ115" s="22" t="s">
        <v>129</v>
      </c>
      <c r="BK115" s="40" t="s">
        <v>131</v>
      </c>
      <c r="BL115" s="41" t="n">
        <v>16</v>
      </c>
      <c r="BM115" s="41" t="n">
        <v>52</v>
      </c>
      <c r="BN115" s="41" t="n">
        <v>68</v>
      </c>
      <c r="BO115" s="42" t="n">
        <v>18</v>
      </c>
      <c r="BP115" s="43" t="n">
        <v>56</v>
      </c>
      <c r="BQ115" s="44" t="n">
        <v>74</v>
      </c>
      <c r="BR115" s="42" t="n">
        <v>22</v>
      </c>
      <c r="BS115" s="45" t="n">
        <v>58</v>
      </c>
      <c r="BT115" s="45" t="n">
        <v>80</v>
      </c>
      <c r="BU115" s="46" t="n">
        <v>100</v>
      </c>
      <c r="BV115" s="47" t="n">
        <v>76</v>
      </c>
      <c r="BW115" s="42" t="n">
        <v>92</v>
      </c>
      <c r="BX115" s="48" t="n">
        <v>92</v>
      </c>
      <c r="BY115" s="32" t="n">
        <v>26</v>
      </c>
      <c r="BZ115" s="32" t="n">
        <v>63</v>
      </c>
      <c r="CA115" s="32" t="n">
        <v>89</v>
      </c>
      <c r="CB115" s="32" t="n">
        <v>24</v>
      </c>
      <c r="CC115" s="32" t="n">
        <v>58</v>
      </c>
      <c r="CD115" s="32" t="n">
        <v>82</v>
      </c>
      <c r="CE115" s="32" t="n">
        <v>28</v>
      </c>
      <c r="CF115" s="32" t="n">
        <v>59</v>
      </c>
      <c r="CG115" s="32" t="n">
        <v>87</v>
      </c>
      <c r="CH115" s="32" t="n">
        <v>96</v>
      </c>
      <c r="CI115" s="32" t="n">
        <v>93</v>
      </c>
      <c r="CJ115" s="49" t="n">
        <v>18</v>
      </c>
      <c r="CK115" s="49" t="n">
        <v>62</v>
      </c>
      <c r="CL115" s="49" t="n">
        <v>80</v>
      </c>
      <c r="CM115" s="49" t="n">
        <v>25</v>
      </c>
      <c r="CN115" s="49" t="n">
        <v>52</v>
      </c>
      <c r="CO115" s="49" t="n">
        <v>77</v>
      </c>
      <c r="CP115" s="25" t="n">
        <f aca="false">BX115+BW115+BV115+BU115+BT115+BQ115+BN115</f>
        <v>582</v>
      </c>
      <c r="CQ115" s="25" t="n">
        <f aca="false">CO115+CL115+CI115+CH115+CG115+CD115+CA115</f>
        <v>604</v>
      </c>
      <c r="CR115" s="26" t="n">
        <f aca="false">CP115/7</f>
        <v>83.1428571428571</v>
      </c>
      <c r="CS115" s="26" t="n">
        <f aca="false">CQ115/7</f>
        <v>86.2857142857143</v>
      </c>
      <c r="CT115" s="24" t="n">
        <f aca="false">RANK(CR115,$CR$2:$CR$881,0)</f>
        <v>514</v>
      </c>
      <c r="CU115" s="25" t="n">
        <f aca="false">RANK(CS115,$CS$2:$CS$881,0)</f>
        <v>70</v>
      </c>
      <c r="CV115" s="26" t="n">
        <f aca="false">(CS115+CR115)/2</f>
        <v>84.7142857142857</v>
      </c>
      <c r="CW115" s="25" t="n">
        <f aca="false">RANK(CV115,$CV$2:$CV$881,0)</f>
        <v>228</v>
      </c>
      <c r="CX115" s="50" t="n">
        <f aca="false">(CV115+BB115)/2</f>
        <v>83.7071428571429</v>
      </c>
      <c r="CY115" s="50" t="n">
        <v>176</v>
      </c>
      <c r="CZ115" s="27" t="s">
        <v>132</v>
      </c>
      <c r="DA115" s="27" t="s">
        <v>176</v>
      </c>
      <c r="DB115" s="27" t="s">
        <v>176</v>
      </c>
      <c r="DC115" s="27" t="s">
        <v>134</v>
      </c>
      <c r="DD115" s="27" t="s">
        <v>160</v>
      </c>
      <c r="DE115" s="27" t="s">
        <v>161</v>
      </c>
      <c r="DF115" s="27" t="s">
        <v>162</v>
      </c>
      <c r="DG115" s="27" t="s">
        <v>134</v>
      </c>
      <c r="DH115" s="27" t="s">
        <v>182</v>
      </c>
      <c r="DI115" s="27" t="s">
        <v>203</v>
      </c>
      <c r="DJ115" s="27" t="s">
        <v>202</v>
      </c>
      <c r="DK115" s="27" t="s">
        <v>134</v>
      </c>
      <c r="DL115" s="27" t="s">
        <v>160</v>
      </c>
      <c r="DM115" s="27" t="s">
        <v>161</v>
      </c>
      <c r="DN115" s="27" t="s">
        <v>162</v>
      </c>
      <c r="DO115" s="27" t="s">
        <v>134</v>
      </c>
      <c r="DP115" s="27" t="s">
        <v>135</v>
      </c>
      <c r="DQ115" s="27" t="s">
        <v>203</v>
      </c>
      <c r="DR115" s="27" t="s">
        <v>178</v>
      </c>
      <c r="DS115" s="27" t="s">
        <v>134</v>
      </c>
      <c r="DT115" s="27" t="s">
        <v>140</v>
      </c>
      <c r="DU115" s="27" t="s">
        <v>183</v>
      </c>
      <c r="DV115" s="27" t="s">
        <v>178</v>
      </c>
      <c r="DW115" s="27" t="s">
        <v>146</v>
      </c>
      <c r="DX115" s="27" t="s">
        <v>155</v>
      </c>
      <c r="DY115" s="27" t="s">
        <v>165</v>
      </c>
      <c r="DZ115" s="27" t="n">
        <f aca="false">DY115+DV115+DR115+DN115+DJ115+DF115+DB115</f>
        <v>630</v>
      </c>
      <c r="EA115" s="28" t="n">
        <f aca="false">DZ115/7</f>
        <v>90</v>
      </c>
      <c r="EB115" s="27" t="n">
        <f aca="false">RANK(EA115,$EA$2:$EA$881,0)</f>
        <v>54</v>
      </c>
      <c r="EC115" s="29" t="n">
        <f aca="false">DZ115+CQ115+CP115+AZ115</f>
        <v>2643</v>
      </c>
      <c r="ED115" s="30" t="n">
        <f aca="false">(EA115+CV115+BB115)/3</f>
        <v>85.8047619047619</v>
      </c>
      <c r="EE115" s="51" t="n">
        <f aca="false">ROUND(BE115,3)</f>
        <v>88.887</v>
      </c>
      <c r="EF115" s="51" t="n">
        <f aca="false">ROUND(CR115,3)</f>
        <v>83.143</v>
      </c>
      <c r="EG115" s="51" t="n">
        <f aca="false">ROUND(CS115,3)</f>
        <v>86.286</v>
      </c>
      <c r="EH115" s="51" t="n">
        <f aca="false">ROUND(EA115,3)</f>
        <v>90</v>
      </c>
      <c r="EI115" s="51" t="n">
        <f aca="false">ROUND(ED115,3)</f>
        <v>85.805</v>
      </c>
      <c r="EJ115" s="51" t="n">
        <f aca="false">ROUND(CV115,3)</f>
        <v>84.714</v>
      </c>
      <c r="EK115" s="0" t="n">
        <f aca="false">RANK(EI115,$EI$2:$EI$881,0)</f>
        <v>114</v>
      </c>
    </row>
    <row r="116" customFormat="false" ht="15" hidden="false" customHeight="false" outlineLevel="0" collapsed="false">
      <c r="A116" s="4" t="n">
        <v>9038</v>
      </c>
      <c r="B116" s="4" t="n">
        <v>730</v>
      </c>
      <c r="C116" s="27" t="s">
        <v>536</v>
      </c>
      <c r="D116" s="31" t="n">
        <v>745</v>
      </c>
      <c r="E116" s="32" t="n">
        <v>230323673</v>
      </c>
      <c r="F116" s="8" t="s">
        <v>537</v>
      </c>
      <c r="G116" s="22" t="s">
        <v>538</v>
      </c>
      <c r="H116" s="22" t="s">
        <v>129</v>
      </c>
      <c r="I116" s="33" t="n">
        <v>2005</v>
      </c>
      <c r="J116" s="32" t="n">
        <v>92</v>
      </c>
      <c r="K116" s="32" t="n">
        <v>91</v>
      </c>
      <c r="L116" s="34" t="n">
        <f aca="false">(K116*70)/100</f>
        <v>63.7</v>
      </c>
      <c r="M116" s="34" t="n">
        <f aca="false">ROUNDUP(L116,0)</f>
        <v>64</v>
      </c>
      <c r="N116" s="32" t="n">
        <v>29</v>
      </c>
      <c r="O116" s="34" t="n">
        <f aca="false">N116+L116</f>
        <v>92.7</v>
      </c>
      <c r="P116" s="34" t="n">
        <f aca="false">N116+M116</f>
        <v>93</v>
      </c>
      <c r="Q116" s="32" t="n">
        <v>86</v>
      </c>
      <c r="R116" s="32" t="n">
        <v>77</v>
      </c>
      <c r="S116" s="34" t="n">
        <f aca="false">(R116*70)/100</f>
        <v>53.9</v>
      </c>
      <c r="T116" s="34" t="n">
        <f aca="false">ROUNDUP(S116,0)</f>
        <v>54</v>
      </c>
      <c r="U116" s="32" t="n">
        <v>28</v>
      </c>
      <c r="V116" s="34" t="n">
        <f aca="false">U116+S116</f>
        <v>81.9</v>
      </c>
      <c r="W116" s="34" t="n">
        <f aca="false">U116+T116</f>
        <v>82</v>
      </c>
      <c r="X116" s="32" t="n">
        <v>75</v>
      </c>
      <c r="Y116" s="34" t="n">
        <f aca="false">(X116*70)/100</f>
        <v>52.5</v>
      </c>
      <c r="Z116" s="34" t="n">
        <f aca="false">ROUNDUP(Y116,0)</f>
        <v>53</v>
      </c>
      <c r="AA116" s="32" t="n">
        <v>27</v>
      </c>
      <c r="AB116" s="34" t="n">
        <f aca="false">AA116+Y116</f>
        <v>79.5</v>
      </c>
      <c r="AC116" s="34" t="n">
        <f aca="false">AA116+Z116</f>
        <v>80</v>
      </c>
      <c r="AD116" s="32" t="n">
        <f aca="false">X116+R116+Q116+K116+J116</f>
        <v>421</v>
      </c>
      <c r="AE116" s="16" t="n">
        <f aca="false">AD116/5</f>
        <v>84.2</v>
      </c>
      <c r="AF116" s="16" t="n">
        <v>76</v>
      </c>
      <c r="AG116" s="16" t="n">
        <v>95</v>
      </c>
      <c r="AH116" s="16" t="n">
        <v>90</v>
      </c>
      <c r="AI116" s="16" t="n">
        <v>91</v>
      </c>
      <c r="AJ116" s="16" t="n">
        <f aca="false">(AI116*70)/100</f>
        <v>63.7</v>
      </c>
      <c r="AK116" s="35" t="n">
        <f aca="false">ROUNDUP(AJ116,0)</f>
        <v>64</v>
      </c>
      <c r="AL116" s="16" t="n">
        <v>28</v>
      </c>
      <c r="AM116" s="16" t="n">
        <f aca="false">AL116+AJ116</f>
        <v>91.7</v>
      </c>
      <c r="AN116" s="16" t="n">
        <f aca="false">AL116+AK116</f>
        <v>92</v>
      </c>
      <c r="AO116" s="16" t="n">
        <v>80</v>
      </c>
      <c r="AP116" s="36" t="n">
        <f aca="false">(AO116*70)/100</f>
        <v>56</v>
      </c>
      <c r="AQ116" s="37" t="n">
        <f aca="false">ROUNDUP(AP116,0)</f>
        <v>56</v>
      </c>
      <c r="AR116" s="16" t="n">
        <v>27</v>
      </c>
      <c r="AS116" s="16" t="n">
        <f aca="false">AR116+AP116</f>
        <v>83</v>
      </c>
      <c r="AT116" s="16" t="n">
        <f aca="false">AR116+AQ116</f>
        <v>83</v>
      </c>
      <c r="AU116" s="16" t="n">
        <f aca="false">AO116+AF116+AI116+AH116+AG116</f>
        <v>432</v>
      </c>
      <c r="AV116" s="16" t="n">
        <f aca="false">(AO116+AF116+AI116+AH116+AG116)/5</f>
        <v>86.4</v>
      </c>
      <c r="AW116" s="36" t="n">
        <f aca="false">(AO116+AF116+AI116+AH116+AG116+X116+R116+Q116+K116+J116)</f>
        <v>853</v>
      </c>
      <c r="AX116" s="16" t="n">
        <f aca="false">AW116/10</f>
        <v>85.3</v>
      </c>
      <c r="AY116" s="16" t="n">
        <f aca="false">AS116+AF116+AM116+AH116+AG116+AB116+V116+Q116+O116+J116</f>
        <v>867.8</v>
      </c>
      <c r="AZ116" s="16" t="n">
        <f aca="false">AT116+AF116+AN116+AH116+AG116+AC116+W116+Q116+P116+J116</f>
        <v>869</v>
      </c>
      <c r="BA116" s="16" t="n">
        <f aca="false">AY116/10</f>
        <v>86.78</v>
      </c>
      <c r="BB116" s="16" t="n">
        <f aca="false">AZ116/10</f>
        <v>86.9</v>
      </c>
      <c r="BC116" s="16" t="n">
        <v>2398</v>
      </c>
      <c r="BD116" s="16" t="n">
        <f aca="false">RANK(AX116,$AX$2:$AX$881,0)</f>
        <v>85</v>
      </c>
      <c r="BE116" s="38" t="n">
        <f aca="false">((BC116*100)/2400)*0.4+(AX116*0.6)</f>
        <v>91.1466666666667</v>
      </c>
      <c r="BF116" s="16" t="n">
        <f aca="false">RANK(BE116,$BE$2:$BE$881,0)</f>
        <v>72</v>
      </c>
      <c r="BG116" s="39" t="n">
        <f aca="false">RANK(BB116,$BB$2:$BB$881,0)</f>
        <v>62</v>
      </c>
      <c r="BH116" s="39" t="n">
        <f aca="false">RANK(BC116,$BC$2:$BC$881,0)</f>
        <v>8</v>
      </c>
      <c r="BI116" s="22" t="s">
        <v>130</v>
      </c>
      <c r="BJ116" s="22" t="s">
        <v>129</v>
      </c>
      <c r="BK116" s="40" t="s">
        <v>131</v>
      </c>
      <c r="BL116" s="41" t="n">
        <v>25</v>
      </c>
      <c r="BM116" s="41" t="n">
        <v>55</v>
      </c>
      <c r="BN116" s="41" t="n">
        <v>80</v>
      </c>
      <c r="BO116" s="42" t="n">
        <v>27</v>
      </c>
      <c r="BP116" s="42" t="n">
        <v>66</v>
      </c>
      <c r="BQ116" s="42" t="n">
        <v>93</v>
      </c>
      <c r="BR116" s="42" t="n">
        <v>25</v>
      </c>
      <c r="BS116" s="45" t="n">
        <v>56</v>
      </c>
      <c r="BT116" s="45" t="n">
        <v>81</v>
      </c>
      <c r="BU116" s="46" t="n">
        <v>99</v>
      </c>
      <c r="BV116" s="47" t="n">
        <v>94</v>
      </c>
      <c r="BW116" s="42" t="n">
        <v>93</v>
      </c>
      <c r="BX116" s="48" t="n">
        <v>86</v>
      </c>
      <c r="BY116" s="32" t="n">
        <v>27</v>
      </c>
      <c r="BZ116" s="32" t="n">
        <v>51</v>
      </c>
      <c r="CA116" s="32" t="n">
        <v>78</v>
      </c>
      <c r="CB116" s="32" t="n">
        <v>18</v>
      </c>
      <c r="CC116" s="32" t="n">
        <v>38</v>
      </c>
      <c r="CD116" s="69" t="n">
        <v>56</v>
      </c>
      <c r="CE116" s="32" t="n">
        <v>29</v>
      </c>
      <c r="CF116" s="32" t="n">
        <v>51</v>
      </c>
      <c r="CG116" s="32" t="n">
        <v>80</v>
      </c>
      <c r="CH116" s="32" t="n">
        <v>98</v>
      </c>
      <c r="CI116" s="32" t="n">
        <v>93</v>
      </c>
      <c r="CJ116" s="49" t="n">
        <v>22</v>
      </c>
      <c r="CK116" s="49" t="n">
        <v>53</v>
      </c>
      <c r="CL116" s="49" t="n">
        <v>75</v>
      </c>
      <c r="CM116" s="49" t="n">
        <v>18</v>
      </c>
      <c r="CN116" s="49" t="n">
        <v>55</v>
      </c>
      <c r="CO116" s="49" t="n">
        <v>73</v>
      </c>
      <c r="CP116" s="25" t="n">
        <f aca="false">BX116+BW116+BV116+BU116+BT116+BQ116+BN116</f>
        <v>626</v>
      </c>
      <c r="CQ116" s="25" t="n">
        <f aca="false">CO116+CL116+CI116+CH116+CG116+CD116+CA116</f>
        <v>553</v>
      </c>
      <c r="CR116" s="26" t="n">
        <f aca="false">CP116/7</f>
        <v>89.4285714285714</v>
      </c>
      <c r="CS116" s="26" t="n">
        <f aca="false">CQ116/7</f>
        <v>79</v>
      </c>
      <c r="CT116" s="24" t="n">
        <f aca="false">RANK(CR116,$CR$2:$CR$881,0)</f>
        <v>217</v>
      </c>
      <c r="CU116" s="25" t="n">
        <f aca="false">RANK(CS116,$CS$2:$CS$881,0)</f>
        <v>300</v>
      </c>
      <c r="CV116" s="26" t="n">
        <f aca="false">(CS116+CR116)/2</f>
        <v>84.2142857142857</v>
      </c>
      <c r="CW116" s="25" t="n">
        <f aca="false">RANK(CV116,$CV$2:$CV$881,0)</f>
        <v>256</v>
      </c>
      <c r="CX116" s="50" t="n">
        <f aca="false">(CV116+BB116)/2</f>
        <v>85.5571428571429</v>
      </c>
      <c r="CY116" s="50" t="n">
        <v>106</v>
      </c>
      <c r="CZ116" s="27" t="s">
        <v>132</v>
      </c>
      <c r="DA116" s="27" t="s">
        <v>133</v>
      </c>
      <c r="DB116" s="27" t="s">
        <v>133</v>
      </c>
      <c r="DC116" s="27" t="s">
        <v>134</v>
      </c>
      <c r="DD116" s="27" t="s">
        <v>160</v>
      </c>
      <c r="DE116" s="27" t="s">
        <v>161</v>
      </c>
      <c r="DF116" s="27" t="s">
        <v>162</v>
      </c>
      <c r="DG116" s="27" t="s">
        <v>134</v>
      </c>
      <c r="DH116" s="27" t="s">
        <v>182</v>
      </c>
      <c r="DI116" s="27" t="s">
        <v>177</v>
      </c>
      <c r="DJ116" s="27" t="s">
        <v>209</v>
      </c>
      <c r="DK116" s="27" t="s">
        <v>134</v>
      </c>
      <c r="DL116" s="27" t="s">
        <v>164</v>
      </c>
      <c r="DM116" s="27" t="s">
        <v>183</v>
      </c>
      <c r="DN116" s="27" t="s">
        <v>175</v>
      </c>
      <c r="DO116" s="27" t="s">
        <v>134</v>
      </c>
      <c r="DP116" s="27" t="s">
        <v>386</v>
      </c>
      <c r="DQ116" s="27" t="s">
        <v>447</v>
      </c>
      <c r="DR116" s="27" t="s">
        <v>416</v>
      </c>
      <c r="DS116" s="27" t="s">
        <v>134</v>
      </c>
      <c r="DT116" s="27" t="s">
        <v>137</v>
      </c>
      <c r="DU116" s="27" t="s">
        <v>203</v>
      </c>
      <c r="DV116" s="27" t="s">
        <v>133</v>
      </c>
      <c r="DW116" s="27" t="s">
        <v>140</v>
      </c>
      <c r="DX116" s="27" t="s">
        <v>155</v>
      </c>
      <c r="DY116" s="27" t="s">
        <v>147</v>
      </c>
      <c r="DZ116" s="27" t="n">
        <f aca="false">DY116+DV116+DR116+DN116+DJ116+DF116+DB116</f>
        <v>604</v>
      </c>
      <c r="EA116" s="28" t="n">
        <f aca="false">DZ116/7</f>
        <v>86.2857142857143</v>
      </c>
      <c r="EB116" s="27" t="n">
        <f aca="false">RANK(EA116,$EA$2:$EA$881,0)</f>
        <v>148</v>
      </c>
      <c r="EC116" s="29" t="n">
        <f aca="false">DZ116+CQ116+CP116+AZ116</f>
        <v>2652</v>
      </c>
      <c r="ED116" s="30" t="n">
        <f aca="false">(EA116+CV116+BB116)/3</f>
        <v>85.8</v>
      </c>
      <c r="EE116" s="51" t="n">
        <f aca="false">ROUND(BE116,3)</f>
        <v>91.147</v>
      </c>
      <c r="EF116" s="51" t="n">
        <f aca="false">ROUND(CR116,3)</f>
        <v>89.429</v>
      </c>
      <c r="EG116" s="51" t="n">
        <f aca="false">ROUND(CS116,3)</f>
        <v>79</v>
      </c>
      <c r="EH116" s="51" t="n">
        <f aca="false">ROUND(EA116,3)</f>
        <v>86.286</v>
      </c>
      <c r="EI116" s="51" t="n">
        <f aca="false">ROUND(ED116,3)</f>
        <v>85.8</v>
      </c>
      <c r="EJ116" s="51" t="n">
        <f aca="false">ROUND(CV116,3)</f>
        <v>84.214</v>
      </c>
      <c r="EK116" s="0" t="n">
        <f aca="false">RANK(EI116,$EI$2:$EI$881,0)</f>
        <v>115</v>
      </c>
    </row>
    <row r="117" customFormat="false" ht="15" hidden="false" customHeight="false" outlineLevel="0" collapsed="false">
      <c r="A117" s="4" t="n">
        <v>8629</v>
      </c>
      <c r="B117" s="4" t="n">
        <v>73</v>
      </c>
      <c r="C117" s="27" t="s">
        <v>539</v>
      </c>
      <c r="D117" s="52" t="n">
        <v>75</v>
      </c>
      <c r="E117" s="16" t="n">
        <v>230241127</v>
      </c>
      <c r="F117" s="56" t="s">
        <v>540</v>
      </c>
      <c r="G117" s="22" t="s">
        <v>532</v>
      </c>
      <c r="H117" s="22" t="s">
        <v>326</v>
      </c>
      <c r="I117" s="57"/>
      <c r="J117" s="16" t="n">
        <v>76</v>
      </c>
      <c r="K117" s="16" t="n">
        <v>69</v>
      </c>
      <c r="L117" s="34" t="n">
        <f aca="false">(K117*70)/100</f>
        <v>48.3</v>
      </c>
      <c r="M117" s="34" t="n">
        <f aca="false">ROUNDUP(L117,0)</f>
        <v>49</v>
      </c>
      <c r="N117" s="16" t="n">
        <v>27</v>
      </c>
      <c r="O117" s="34" t="n">
        <f aca="false">N117+L117</f>
        <v>75.3</v>
      </c>
      <c r="P117" s="34" t="n">
        <f aca="false">N117+M117</f>
        <v>76</v>
      </c>
      <c r="Q117" s="16" t="n">
        <v>88</v>
      </c>
      <c r="R117" s="16" t="n">
        <v>75</v>
      </c>
      <c r="S117" s="34" t="n">
        <f aca="false">(R117*70)/100</f>
        <v>52.5</v>
      </c>
      <c r="T117" s="34" t="n">
        <f aca="false">ROUNDUP(S117,0)</f>
        <v>53</v>
      </c>
      <c r="U117" s="16" t="n">
        <v>26</v>
      </c>
      <c r="V117" s="34" t="n">
        <f aca="false">U117+S117</f>
        <v>78.5</v>
      </c>
      <c r="W117" s="34" t="n">
        <f aca="false">U117+T117</f>
        <v>79</v>
      </c>
      <c r="X117" s="16" t="n">
        <v>70</v>
      </c>
      <c r="Y117" s="34" t="n">
        <f aca="false">(X117*70)/100</f>
        <v>49</v>
      </c>
      <c r="Z117" s="34" t="n">
        <f aca="false">ROUNDUP(Y117,0)</f>
        <v>49</v>
      </c>
      <c r="AA117" s="16" t="n">
        <v>28</v>
      </c>
      <c r="AB117" s="34" t="n">
        <f aca="false">AA117+Y117</f>
        <v>77</v>
      </c>
      <c r="AC117" s="34" t="n">
        <f aca="false">AA117+Z117</f>
        <v>77</v>
      </c>
      <c r="AD117" s="32" t="n">
        <f aca="false">X117+R117+Q117+K117+J117</f>
        <v>378</v>
      </c>
      <c r="AE117" s="16" t="n">
        <f aca="false">AD117/5</f>
        <v>75.6</v>
      </c>
      <c r="AF117" s="16" t="n">
        <v>77</v>
      </c>
      <c r="AG117" s="16" t="n">
        <v>84</v>
      </c>
      <c r="AH117" s="16" t="n">
        <v>94</v>
      </c>
      <c r="AI117" s="16" t="n">
        <v>91</v>
      </c>
      <c r="AJ117" s="16" t="n">
        <f aca="false">(AI117*70)/100</f>
        <v>63.7</v>
      </c>
      <c r="AK117" s="35" t="n">
        <f aca="false">ROUNDUP(AJ117,0)</f>
        <v>64</v>
      </c>
      <c r="AL117" s="16" t="n">
        <v>24</v>
      </c>
      <c r="AM117" s="16" t="n">
        <f aca="false">AL117+AJ117</f>
        <v>87.7</v>
      </c>
      <c r="AN117" s="16" t="n">
        <f aca="false">AL117+AK117</f>
        <v>88</v>
      </c>
      <c r="AO117" s="16" t="n">
        <v>73</v>
      </c>
      <c r="AP117" s="36" t="n">
        <f aca="false">(AO117*70)/100</f>
        <v>51.1</v>
      </c>
      <c r="AQ117" s="37" t="n">
        <f aca="false">ROUNDUP(AP117,0)</f>
        <v>52</v>
      </c>
      <c r="AR117" s="16" t="n">
        <v>28</v>
      </c>
      <c r="AS117" s="16" t="n">
        <f aca="false">AR117+AP117</f>
        <v>79.1</v>
      </c>
      <c r="AT117" s="16" t="n">
        <f aca="false">AR117+AQ117</f>
        <v>80</v>
      </c>
      <c r="AU117" s="16" t="n">
        <f aca="false">AO117+AF117+AI117+AH117+AG117</f>
        <v>419</v>
      </c>
      <c r="AV117" s="16" t="n">
        <f aca="false">(AO117+AF117+AI117+AH117+AG117)/5</f>
        <v>83.8</v>
      </c>
      <c r="AW117" s="36" t="n">
        <f aca="false">(AO117+AF117+AI117+AH117+AG117+X117+R117+Q117+K117+J117)</f>
        <v>797</v>
      </c>
      <c r="AX117" s="16" t="n">
        <f aca="false">AW117/10</f>
        <v>79.7</v>
      </c>
      <c r="AY117" s="16" t="n">
        <f aca="false">AS117+AF117+AM117+AH117+AG117+AB117+V117+Q117+O117+J117</f>
        <v>816.6</v>
      </c>
      <c r="AZ117" s="16" t="n">
        <f aca="false">AT117+AF117+AN117+AH117+AG117+AC117+W117+Q117+P117+J117</f>
        <v>819</v>
      </c>
      <c r="BA117" s="16" t="n">
        <f aca="false">AY117/10</f>
        <v>81.66</v>
      </c>
      <c r="BB117" s="16" t="n">
        <f aca="false">AZ117/10</f>
        <v>81.9</v>
      </c>
      <c r="BC117" s="16" t="n">
        <v>2383</v>
      </c>
      <c r="BD117" s="16" t="n">
        <f aca="false">RANK(AX117,$AX$2:$AX$881,0)</f>
        <v>288</v>
      </c>
      <c r="BE117" s="54" t="n">
        <f aca="false">((BC117*100)/2400)*0.4+(AX117*0.6)</f>
        <v>87.5366666666667</v>
      </c>
      <c r="BF117" s="16" t="n">
        <f aca="false">RANK(BE117,$BE$2:$BE$881,0)</f>
        <v>244</v>
      </c>
      <c r="BG117" s="39" t="n">
        <f aca="false">RANK(BB117,$BB$2:$BB$881,0)</f>
        <v>218</v>
      </c>
      <c r="BH117" s="39" t="n">
        <f aca="false">RANK(BC117,$BC$2:$BC$881,0)</f>
        <v>114</v>
      </c>
      <c r="BI117" s="22" t="s">
        <v>130</v>
      </c>
      <c r="BJ117" s="22" t="s">
        <v>129</v>
      </c>
      <c r="BK117" s="40" t="s">
        <v>131</v>
      </c>
      <c r="BL117" s="41" t="n">
        <v>16</v>
      </c>
      <c r="BM117" s="41" t="n">
        <v>62</v>
      </c>
      <c r="BN117" s="41" t="n">
        <v>78</v>
      </c>
      <c r="BO117" s="42" t="n">
        <v>26</v>
      </c>
      <c r="BP117" s="43" t="n">
        <v>64</v>
      </c>
      <c r="BQ117" s="44" t="n">
        <v>90</v>
      </c>
      <c r="BR117" s="42" t="n">
        <v>23</v>
      </c>
      <c r="BS117" s="45" t="n">
        <v>58</v>
      </c>
      <c r="BT117" s="45" t="n">
        <v>81</v>
      </c>
      <c r="BU117" s="46" t="n">
        <v>100</v>
      </c>
      <c r="BV117" s="47" t="n">
        <v>94</v>
      </c>
      <c r="BW117" s="42" t="n">
        <v>93</v>
      </c>
      <c r="BX117" s="24" t="n">
        <v>98</v>
      </c>
      <c r="BY117" s="32" t="n">
        <v>25</v>
      </c>
      <c r="BZ117" s="32" t="n">
        <v>61</v>
      </c>
      <c r="CA117" s="32" t="n">
        <v>86</v>
      </c>
      <c r="CB117" s="32" t="n">
        <v>18</v>
      </c>
      <c r="CC117" s="32" t="n">
        <v>48</v>
      </c>
      <c r="CD117" s="32" t="n">
        <v>66</v>
      </c>
      <c r="CE117" s="32" t="n">
        <v>26</v>
      </c>
      <c r="CF117" s="32" t="n">
        <v>60</v>
      </c>
      <c r="CG117" s="32" t="n">
        <v>86</v>
      </c>
      <c r="CH117" s="32" t="n">
        <v>100</v>
      </c>
      <c r="CI117" s="32" t="n">
        <v>98</v>
      </c>
      <c r="CJ117" s="25" t="n">
        <v>22</v>
      </c>
      <c r="CK117" s="25" t="n">
        <v>55</v>
      </c>
      <c r="CL117" s="25" t="n">
        <v>77</v>
      </c>
      <c r="CM117" s="49" t="n">
        <v>28</v>
      </c>
      <c r="CN117" s="49" t="n">
        <v>51</v>
      </c>
      <c r="CO117" s="49" t="n">
        <v>79</v>
      </c>
      <c r="CP117" s="25" t="n">
        <f aca="false">BX117+BW117+BV117+BU117+BT117+BQ117+BN117</f>
        <v>634</v>
      </c>
      <c r="CQ117" s="25" t="n">
        <f aca="false">CO117+CL117+CI117+CH117+CG117+CD117+CA117</f>
        <v>592</v>
      </c>
      <c r="CR117" s="26" t="n">
        <f aca="false">CP117/7</f>
        <v>90.5714285714286</v>
      </c>
      <c r="CS117" s="26" t="n">
        <f aca="false">CQ117/7</f>
        <v>84.5714285714286</v>
      </c>
      <c r="CT117" s="24" t="n">
        <f aca="false">RANK(CR117,$CR$2:$CR$881,0)</f>
        <v>147</v>
      </c>
      <c r="CU117" s="25" t="n">
        <f aca="false">RANK(CS117,$CS$2:$CS$881,0)</f>
        <v>108</v>
      </c>
      <c r="CV117" s="26" t="n">
        <f aca="false">(CS117+CR117)/2</f>
        <v>87.5714285714286</v>
      </c>
      <c r="CW117" s="25" t="n">
        <f aca="false">RANK(CV117,$CV$2:$CV$881,0)</f>
        <v>114</v>
      </c>
      <c r="CX117" s="50" t="n">
        <f aca="false">(CV117+BB117)/2</f>
        <v>84.7357142857143</v>
      </c>
      <c r="CY117" s="50" t="n">
        <v>133</v>
      </c>
      <c r="CZ117" s="27" t="s">
        <v>132</v>
      </c>
      <c r="DA117" s="27" t="s">
        <v>162</v>
      </c>
      <c r="DB117" s="27" t="s">
        <v>162</v>
      </c>
      <c r="DC117" s="27" t="s">
        <v>134</v>
      </c>
      <c r="DD117" s="27" t="s">
        <v>135</v>
      </c>
      <c r="DE117" s="27" t="s">
        <v>204</v>
      </c>
      <c r="DF117" s="27" t="s">
        <v>209</v>
      </c>
      <c r="DG117" s="27" t="s">
        <v>134</v>
      </c>
      <c r="DH117" s="27" t="s">
        <v>135</v>
      </c>
      <c r="DI117" s="27" t="s">
        <v>152</v>
      </c>
      <c r="DJ117" s="27" t="s">
        <v>162</v>
      </c>
      <c r="DK117" s="27" t="s">
        <v>134</v>
      </c>
      <c r="DL117" s="27" t="s">
        <v>164</v>
      </c>
      <c r="DM117" s="27" t="s">
        <v>136</v>
      </c>
      <c r="DN117" s="27" t="s">
        <v>153</v>
      </c>
      <c r="DO117" s="27" t="s">
        <v>134</v>
      </c>
      <c r="DP117" s="27" t="s">
        <v>264</v>
      </c>
      <c r="DQ117" s="27" t="s">
        <v>203</v>
      </c>
      <c r="DR117" s="27" t="s">
        <v>196</v>
      </c>
      <c r="DS117" s="27" t="s">
        <v>134</v>
      </c>
      <c r="DT117" s="27" t="s">
        <v>140</v>
      </c>
      <c r="DU117" s="27" t="s">
        <v>177</v>
      </c>
      <c r="DV117" s="27" t="s">
        <v>162</v>
      </c>
      <c r="DW117" s="27" t="s">
        <v>182</v>
      </c>
      <c r="DX117" s="27" t="s">
        <v>138</v>
      </c>
      <c r="DY117" s="27" t="s">
        <v>151</v>
      </c>
      <c r="DZ117" s="27" t="n">
        <f aca="false">DY117+DV117+DR117+DN117+DJ117+DF117+DB117</f>
        <v>615</v>
      </c>
      <c r="EA117" s="28" t="n">
        <f aca="false">DZ117/7</f>
        <v>87.8571428571429</v>
      </c>
      <c r="EB117" s="27" t="n">
        <f aca="false">RANK(EA117,$EA$2:$EA$881,0)</f>
        <v>98</v>
      </c>
      <c r="EC117" s="29" t="n">
        <f aca="false">DZ117+CQ117+CP117+AZ117</f>
        <v>2660</v>
      </c>
      <c r="ED117" s="30" t="n">
        <f aca="false">(EA117+CV117+BB117)/3</f>
        <v>85.7761904761905</v>
      </c>
      <c r="EE117" s="51" t="n">
        <f aca="false">ROUND(BE117,3)</f>
        <v>87.537</v>
      </c>
      <c r="EF117" s="51" t="n">
        <f aca="false">ROUND(CR117,3)</f>
        <v>90.571</v>
      </c>
      <c r="EG117" s="51" t="n">
        <f aca="false">ROUND(CS117,3)</f>
        <v>84.571</v>
      </c>
      <c r="EH117" s="51" t="n">
        <f aca="false">ROUND(EA117,3)</f>
        <v>87.857</v>
      </c>
      <c r="EI117" s="51" t="n">
        <f aca="false">ROUND(ED117,3)</f>
        <v>85.776</v>
      </c>
      <c r="EJ117" s="51" t="n">
        <f aca="false">ROUND(CV117,3)</f>
        <v>87.571</v>
      </c>
      <c r="EK117" s="0" t="n">
        <f aca="false">RANK(EI117,$EI$2:$EI$881,0)</f>
        <v>116</v>
      </c>
    </row>
    <row r="118" customFormat="false" ht="15" hidden="false" customHeight="false" outlineLevel="0" collapsed="false">
      <c r="A118" s="4" t="n">
        <v>9007</v>
      </c>
      <c r="B118" s="4" t="n">
        <v>418</v>
      </c>
      <c r="C118" s="27" t="s">
        <v>541</v>
      </c>
      <c r="D118" s="31" t="n">
        <v>423</v>
      </c>
      <c r="E118" s="32" t="n">
        <v>230312922</v>
      </c>
      <c r="F118" s="8" t="s">
        <v>542</v>
      </c>
      <c r="G118" s="22" t="s">
        <v>186</v>
      </c>
      <c r="H118" s="22" t="s">
        <v>129</v>
      </c>
      <c r="I118" s="33" t="n">
        <v>2005</v>
      </c>
      <c r="J118" s="32" t="n">
        <v>82</v>
      </c>
      <c r="K118" s="32" t="n">
        <v>87</v>
      </c>
      <c r="L118" s="34" t="n">
        <f aca="false">(K118*70)/100</f>
        <v>60.9</v>
      </c>
      <c r="M118" s="34" t="n">
        <f aca="false">ROUNDUP(L118,0)</f>
        <v>61</v>
      </c>
      <c r="N118" s="32" t="n">
        <v>26</v>
      </c>
      <c r="O118" s="34" t="n">
        <f aca="false">N118+L118</f>
        <v>86.9</v>
      </c>
      <c r="P118" s="34" t="n">
        <f aca="false">N118+M118</f>
        <v>87</v>
      </c>
      <c r="Q118" s="32" t="n">
        <v>77</v>
      </c>
      <c r="R118" s="32" t="n">
        <v>83</v>
      </c>
      <c r="S118" s="34" t="n">
        <f aca="false">(R118*70)/100</f>
        <v>58.1</v>
      </c>
      <c r="T118" s="34" t="n">
        <f aca="false">ROUNDUP(S118,0)</f>
        <v>59</v>
      </c>
      <c r="U118" s="32" t="n">
        <v>25</v>
      </c>
      <c r="V118" s="34" t="n">
        <f aca="false">U118+S118</f>
        <v>83.1</v>
      </c>
      <c r="W118" s="34" t="n">
        <f aca="false">U118+T118</f>
        <v>84</v>
      </c>
      <c r="X118" s="32" t="n">
        <v>74</v>
      </c>
      <c r="Y118" s="34" t="n">
        <f aca="false">(X118*70)/100</f>
        <v>51.8</v>
      </c>
      <c r="Z118" s="34" t="n">
        <f aca="false">ROUNDUP(Y118,0)</f>
        <v>52</v>
      </c>
      <c r="AA118" s="32" t="n">
        <v>26</v>
      </c>
      <c r="AB118" s="34" t="n">
        <f aca="false">AA118+Y118</f>
        <v>77.8</v>
      </c>
      <c r="AC118" s="34" t="n">
        <f aca="false">AA118+Z118</f>
        <v>78</v>
      </c>
      <c r="AD118" s="32" t="n">
        <f aca="false">X118+R118+Q118+K118+J118</f>
        <v>403</v>
      </c>
      <c r="AE118" s="16" t="n">
        <f aca="false">AD118/5</f>
        <v>80.6</v>
      </c>
      <c r="AF118" s="16" t="n">
        <v>86</v>
      </c>
      <c r="AG118" s="16" t="n">
        <v>93</v>
      </c>
      <c r="AH118" s="16" t="n">
        <v>94</v>
      </c>
      <c r="AI118" s="16" t="n">
        <v>96</v>
      </c>
      <c r="AJ118" s="16" t="n">
        <f aca="false">(AI118*70)/100</f>
        <v>67.2</v>
      </c>
      <c r="AK118" s="35" t="n">
        <f aca="false">ROUNDUP(AJ118,0)</f>
        <v>68</v>
      </c>
      <c r="AL118" s="16" t="n">
        <v>27</v>
      </c>
      <c r="AM118" s="16" t="n">
        <f aca="false">AL118+AJ118</f>
        <v>94.2</v>
      </c>
      <c r="AN118" s="16" t="n">
        <f aca="false">AL118+AK118</f>
        <v>95</v>
      </c>
      <c r="AO118" s="16" t="n">
        <v>84</v>
      </c>
      <c r="AP118" s="36" t="n">
        <f aca="false">(AO118*70)/100</f>
        <v>58.8</v>
      </c>
      <c r="AQ118" s="37" t="n">
        <f aca="false">ROUNDUP(AP118,0)</f>
        <v>59</v>
      </c>
      <c r="AR118" s="16" t="n">
        <v>27</v>
      </c>
      <c r="AS118" s="16" t="n">
        <f aca="false">AR118+AP118</f>
        <v>85.8</v>
      </c>
      <c r="AT118" s="16" t="n">
        <f aca="false">AR118+AQ118</f>
        <v>86</v>
      </c>
      <c r="AU118" s="16" t="n">
        <f aca="false">AO118+AF118+AI118+AH118+AG118</f>
        <v>453</v>
      </c>
      <c r="AV118" s="16" t="n">
        <f aca="false">(AO118+AF118+AI118+AH118+AG118)/5</f>
        <v>90.6</v>
      </c>
      <c r="AW118" s="36" t="n">
        <f aca="false">(AO118+AF118+AI118+AH118+AG118+X118+R118+Q118+K118+J118)</f>
        <v>856</v>
      </c>
      <c r="AX118" s="16" t="n">
        <f aca="false">AW118/10</f>
        <v>85.6</v>
      </c>
      <c r="AY118" s="16" t="n">
        <f aca="false">AS118+AF118+AM118+AH118+AG118+AB118+V118+Q118+O118+J118</f>
        <v>859.8</v>
      </c>
      <c r="AZ118" s="16" t="n">
        <f aca="false">AT118+AF118+AN118+AH118+AG118+AC118+W118+Q118+P118+J118</f>
        <v>862</v>
      </c>
      <c r="BA118" s="16" t="n">
        <f aca="false">AY118/10</f>
        <v>85.98</v>
      </c>
      <c r="BB118" s="16" t="n">
        <f aca="false">AZ118/10</f>
        <v>86.2</v>
      </c>
      <c r="BC118" s="16" t="n">
        <v>2376</v>
      </c>
      <c r="BD118" s="16" t="n">
        <f aca="false">RANK(AX118,$AX$2:$AX$881,0)</f>
        <v>80</v>
      </c>
      <c r="BE118" s="38" t="n">
        <f aca="false">((BC118*100)/2400)*0.4+(AX118*0.6)</f>
        <v>90.96</v>
      </c>
      <c r="BF118" s="16" t="n">
        <f aca="false">RANK(BE118,$BE$2:$BE$881,0)</f>
        <v>79</v>
      </c>
      <c r="BG118" s="39" t="n">
        <f aca="false">RANK(BB118,$BB$2:$BB$881,0)</f>
        <v>77</v>
      </c>
      <c r="BH118" s="39" t="n">
        <f aca="false">RANK(BC118,$BC$2:$BC$881,0)</f>
        <v>203</v>
      </c>
      <c r="BI118" s="22" t="s">
        <v>130</v>
      </c>
      <c r="BJ118" s="22" t="s">
        <v>129</v>
      </c>
      <c r="BK118" s="40" t="s">
        <v>131</v>
      </c>
      <c r="BL118" s="41" t="n">
        <v>22</v>
      </c>
      <c r="BM118" s="41" t="n">
        <v>62</v>
      </c>
      <c r="BN118" s="41" t="n">
        <v>84</v>
      </c>
      <c r="BO118" s="42" t="n">
        <v>23</v>
      </c>
      <c r="BP118" s="43" t="n">
        <v>64</v>
      </c>
      <c r="BQ118" s="44" t="n">
        <v>87</v>
      </c>
      <c r="BR118" s="42" t="n">
        <v>26</v>
      </c>
      <c r="BS118" s="45" t="n">
        <v>61</v>
      </c>
      <c r="BT118" s="45" t="n">
        <v>87</v>
      </c>
      <c r="BU118" s="46" t="n">
        <v>100</v>
      </c>
      <c r="BV118" s="47" t="n">
        <v>86</v>
      </c>
      <c r="BW118" s="74" t="n">
        <v>0</v>
      </c>
      <c r="BX118" s="48" t="n">
        <v>94</v>
      </c>
      <c r="BY118" s="32" t="n">
        <v>25</v>
      </c>
      <c r="BZ118" s="32" t="n">
        <v>45</v>
      </c>
      <c r="CA118" s="32" t="n">
        <v>70</v>
      </c>
      <c r="CB118" s="32" t="n">
        <v>19</v>
      </c>
      <c r="CC118" s="32" t="n">
        <v>47</v>
      </c>
      <c r="CD118" s="32" t="n">
        <v>66</v>
      </c>
      <c r="CE118" s="32" t="n">
        <v>24</v>
      </c>
      <c r="CF118" s="32" t="n">
        <v>64</v>
      </c>
      <c r="CG118" s="32" t="n">
        <v>88</v>
      </c>
      <c r="CH118" s="32" t="n">
        <v>96</v>
      </c>
      <c r="CI118" s="32" t="n">
        <v>99</v>
      </c>
      <c r="CJ118" s="49" t="n">
        <v>24</v>
      </c>
      <c r="CK118" s="49" t="n">
        <v>60</v>
      </c>
      <c r="CL118" s="49" t="n">
        <v>84</v>
      </c>
      <c r="CM118" s="49" t="n">
        <v>24</v>
      </c>
      <c r="CN118" s="49" t="n">
        <v>61</v>
      </c>
      <c r="CO118" s="49" t="n">
        <v>85</v>
      </c>
      <c r="CP118" s="25" t="n">
        <f aca="false">BX118+BW118+BV118+BU118+BT118+BQ118+BN118</f>
        <v>538</v>
      </c>
      <c r="CQ118" s="25" t="n">
        <f aca="false">CO118+CL118+CI118+CH118+CG118+CD118+CA118</f>
        <v>588</v>
      </c>
      <c r="CR118" s="26" t="n">
        <f aca="false">CP118/7</f>
        <v>76.8571428571429</v>
      </c>
      <c r="CS118" s="26" t="n">
        <f aca="false">CQ118/7</f>
        <v>84</v>
      </c>
      <c r="CT118" s="24" t="n">
        <f aca="false">RANK(CR118,$CR$2:$CR$881,0)</f>
        <v>629</v>
      </c>
      <c r="CU118" s="25" t="n">
        <f aca="false">RANK(CS118,$CS$2:$CS$881,0)</f>
        <v>120</v>
      </c>
      <c r="CV118" s="26" t="n">
        <f aca="false">(CS118+CR118)/2</f>
        <v>80.4285714285714</v>
      </c>
      <c r="CW118" s="25" t="n">
        <f aca="false">RANK(CV118,$CV$2:$CV$881,0)</f>
        <v>411</v>
      </c>
      <c r="CX118" s="50" t="n">
        <f aca="false">(CV118+BB118)/2</f>
        <v>83.3142857142857</v>
      </c>
      <c r="CY118" s="50" t="n">
        <v>202</v>
      </c>
      <c r="CZ118" s="27" t="s">
        <v>132</v>
      </c>
      <c r="DA118" s="27" t="s">
        <v>151</v>
      </c>
      <c r="DB118" s="27" t="s">
        <v>151</v>
      </c>
      <c r="DC118" s="27" t="s">
        <v>134</v>
      </c>
      <c r="DD118" s="27" t="s">
        <v>137</v>
      </c>
      <c r="DE118" s="27" t="s">
        <v>141</v>
      </c>
      <c r="DF118" s="27" t="s">
        <v>151</v>
      </c>
      <c r="DG118" s="27" t="s">
        <v>134</v>
      </c>
      <c r="DH118" s="27" t="s">
        <v>174</v>
      </c>
      <c r="DI118" s="27" t="s">
        <v>152</v>
      </c>
      <c r="DJ118" s="27" t="s">
        <v>202</v>
      </c>
      <c r="DK118" s="27" t="s">
        <v>134</v>
      </c>
      <c r="DL118" s="27" t="s">
        <v>160</v>
      </c>
      <c r="DM118" s="27" t="s">
        <v>204</v>
      </c>
      <c r="DN118" s="27" t="s">
        <v>178</v>
      </c>
      <c r="DO118" s="27" t="s">
        <v>134</v>
      </c>
      <c r="DP118" s="27" t="s">
        <v>164</v>
      </c>
      <c r="DQ118" s="27" t="s">
        <v>161</v>
      </c>
      <c r="DR118" s="27" t="s">
        <v>133</v>
      </c>
      <c r="DS118" s="27" t="s">
        <v>134</v>
      </c>
      <c r="DT118" s="27" t="s">
        <v>140</v>
      </c>
      <c r="DU118" s="27" t="s">
        <v>203</v>
      </c>
      <c r="DV118" s="27" t="s">
        <v>170</v>
      </c>
      <c r="DW118" s="27" t="s">
        <v>140</v>
      </c>
      <c r="DX118" s="27" t="s">
        <v>141</v>
      </c>
      <c r="DY118" s="27" t="s">
        <v>142</v>
      </c>
      <c r="DZ118" s="27" t="n">
        <f aca="false">DY118+DV118+DR118+DN118+DJ118+DF118+DB118</f>
        <v>634</v>
      </c>
      <c r="EA118" s="28" t="n">
        <f aca="false">DZ118/7</f>
        <v>90.5714285714286</v>
      </c>
      <c r="EB118" s="27" t="n">
        <f aca="false">RANK(EA118,$EA$2:$EA$881,0)</f>
        <v>45</v>
      </c>
      <c r="EC118" s="29" t="n">
        <f aca="false">DZ118+CQ118+CP118+AZ118</f>
        <v>2622</v>
      </c>
      <c r="ED118" s="30" t="n">
        <f aca="false">(EA118+CV118+BB118)/3</f>
        <v>85.7333333333333</v>
      </c>
      <c r="EE118" s="51" t="n">
        <f aca="false">ROUND(BE118,3)</f>
        <v>90.96</v>
      </c>
      <c r="EF118" s="51" t="n">
        <f aca="false">ROUND(CR118,3)</f>
        <v>76.857</v>
      </c>
      <c r="EG118" s="51" t="n">
        <f aca="false">ROUND(CS118,3)</f>
        <v>84</v>
      </c>
      <c r="EH118" s="51" t="n">
        <f aca="false">ROUND(EA118,3)</f>
        <v>90.571</v>
      </c>
      <c r="EI118" s="51" t="n">
        <f aca="false">ROUND(ED118,3)</f>
        <v>85.733</v>
      </c>
      <c r="EJ118" s="51" t="n">
        <f aca="false">ROUND(CV118,3)</f>
        <v>80.429</v>
      </c>
      <c r="EK118" s="0" t="n">
        <f aca="false">RANK(EI118,$EI$2:$EI$881,0)</f>
        <v>117</v>
      </c>
    </row>
    <row r="119" customFormat="false" ht="15" hidden="false" customHeight="false" outlineLevel="0" collapsed="false">
      <c r="A119" s="4" t="n">
        <v>8705</v>
      </c>
      <c r="B119" s="4" t="n">
        <v>368</v>
      </c>
      <c r="C119" s="27" t="s">
        <v>543</v>
      </c>
      <c r="D119" s="31" t="n">
        <v>373</v>
      </c>
      <c r="E119" s="32" t="n">
        <v>230320924</v>
      </c>
      <c r="F119" s="8" t="s">
        <v>544</v>
      </c>
      <c r="G119" s="22" t="s">
        <v>545</v>
      </c>
      <c r="H119" s="22" t="s">
        <v>129</v>
      </c>
      <c r="I119" s="33" t="n">
        <v>2005</v>
      </c>
      <c r="J119" s="32" t="n">
        <v>86</v>
      </c>
      <c r="K119" s="32" t="n">
        <v>79</v>
      </c>
      <c r="L119" s="34" t="n">
        <f aca="false">(K119*70)/100</f>
        <v>55.3</v>
      </c>
      <c r="M119" s="34" t="n">
        <f aca="false">ROUNDUP(L119,0)</f>
        <v>56</v>
      </c>
      <c r="N119" s="32" t="n">
        <v>23</v>
      </c>
      <c r="O119" s="34" t="n">
        <f aca="false">N119+L119</f>
        <v>78.3</v>
      </c>
      <c r="P119" s="34" t="n">
        <f aca="false">N119+M119</f>
        <v>79</v>
      </c>
      <c r="Q119" s="32" t="n">
        <v>68</v>
      </c>
      <c r="R119" s="32" t="n">
        <v>79</v>
      </c>
      <c r="S119" s="34" t="n">
        <f aca="false">(R119*70)/100</f>
        <v>55.3</v>
      </c>
      <c r="T119" s="34" t="n">
        <f aca="false">ROUNDUP(S119,0)</f>
        <v>56</v>
      </c>
      <c r="U119" s="32" t="n">
        <v>20</v>
      </c>
      <c r="V119" s="34" t="n">
        <f aca="false">U119+S119</f>
        <v>75.3</v>
      </c>
      <c r="W119" s="34" t="n">
        <f aca="false">U119+T119</f>
        <v>76</v>
      </c>
      <c r="X119" s="32" t="n">
        <v>71</v>
      </c>
      <c r="Y119" s="34" t="n">
        <f aca="false">(X119*70)/100</f>
        <v>49.7</v>
      </c>
      <c r="Z119" s="34" t="n">
        <f aca="false">ROUNDUP(Y119,0)</f>
        <v>50</v>
      </c>
      <c r="AA119" s="32" t="n">
        <v>24</v>
      </c>
      <c r="AB119" s="34" t="n">
        <f aca="false">AA119+Y119</f>
        <v>73.7</v>
      </c>
      <c r="AC119" s="34" t="n">
        <f aca="false">AA119+Z119</f>
        <v>74</v>
      </c>
      <c r="AD119" s="32" t="n">
        <f aca="false">X119+R119+Q119+K119+J119</f>
        <v>383</v>
      </c>
      <c r="AE119" s="16" t="n">
        <f aca="false">AD119/5</f>
        <v>76.6</v>
      </c>
      <c r="AF119" s="16" t="n">
        <v>78</v>
      </c>
      <c r="AG119" s="16" t="n">
        <v>95</v>
      </c>
      <c r="AH119" s="16" t="n">
        <v>89</v>
      </c>
      <c r="AI119" s="16" t="n">
        <v>92</v>
      </c>
      <c r="AJ119" s="16" t="n">
        <f aca="false">(AI119*70)/100</f>
        <v>64.4</v>
      </c>
      <c r="AK119" s="35" t="n">
        <f aca="false">ROUNDUP(AJ119,0)</f>
        <v>65</v>
      </c>
      <c r="AL119" s="16" t="n">
        <v>30</v>
      </c>
      <c r="AM119" s="16" t="n">
        <f aca="false">AL119+AJ119</f>
        <v>94.4</v>
      </c>
      <c r="AN119" s="16" t="n">
        <f aca="false">AL119+AK119</f>
        <v>95</v>
      </c>
      <c r="AO119" s="16" t="n">
        <v>79</v>
      </c>
      <c r="AP119" s="36" t="n">
        <f aca="false">(AO119*70)/100</f>
        <v>55.3</v>
      </c>
      <c r="AQ119" s="37" t="n">
        <f aca="false">ROUNDUP(AP119,0)</f>
        <v>56</v>
      </c>
      <c r="AR119" s="16" t="n">
        <v>29</v>
      </c>
      <c r="AS119" s="16" t="n">
        <f aca="false">AR119+AP119</f>
        <v>84.3</v>
      </c>
      <c r="AT119" s="16" t="n">
        <f aca="false">AR119+AQ119</f>
        <v>85</v>
      </c>
      <c r="AU119" s="16" t="n">
        <f aca="false">AO119+AF119+AI119+AH119+AG119</f>
        <v>433</v>
      </c>
      <c r="AV119" s="16" t="n">
        <f aca="false">(AO119+AF119+AI119+AH119+AG119)/5</f>
        <v>86.6</v>
      </c>
      <c r="AW119" s="36" t="n">
        <f aca="false">(AO119+AF119+AI119+AH119+AG119+X119+R119+Q119+K119+J119)</f>
        <v>816</v>
      </c>
      <c r="AX119" s="16" t="n">
        <f aca="false">AW119/10</f>
        <v>81.6</v>
      </c>
      <c r="AY119" s="16" t="n">
        <f aca="false">AS119+AF119+AM119+AH119+AG119+AB119+V119+Q119+O119+J119</f>
        <v>822</v>
      </c>
      <c r="AZ119" s="16" t="n">
        <f aca="false">AT119+AF119+AN119+AH119+AG119+AC119+W119+Q119+P119+J119</f>
        <v>825</v>
      </c>
      <c r="BA119" s="16" t="n">
        <f aca="false">AY119/10</f>
        <v>82.2</v>
      </c>
      <c r="BB119" s="16" t="n">
        <f aca="false">AZ119/10</f>
        <v>82.5</v>
      </c>
      <c r="BC119" s="16" t="n">
        <v>2366</v>
      </c>
      <c r="BD119" s="16" t="n">
        <f aca="false">RANK(AX119,$AX$2:$AX$881,0)</f>
        <v>185</v>
      </c>
      <c r="BE119" s="54" t="n">
        <f aca="false">((BC119*100)/2400)*0.4+(AX119*0.6)</f>
        <v>88.3933333333333</v>
      </c>
      <c r="BF119" s="16" t="n">
        <f aca="false">RANK(BE119,$BE$2:$BE$881,0)</f>
        <v>172</v>
      </c>
      <c r="BG119" s="39" t="n">
        <f aca="false">RANK(BB119,$BB$2:$BB$881,0)</f>
        <v>185</v>
      </c>
      <c r="BH119" s="39" t="n">
        <f aca="false">RANK(BC119,$BC$2:$BC$881,0)</f>
        <v>319</v>
      </c>
      <c r="BI119" s="22" t="s">
        <v>130</v>
      </c>
      <c r="BJ119" s="22" t="s">
        <v>129</v>
      </c>
      <c r="BK119" s="40" t="s">
        <v>131</v>
      </c>
      <c r="BL119" s="41" t="n">
        <v>24</v>
      </c>
      <c r="BM119" s="41" t="n">
        <v>59</v>
      </c>
      <c r="BN119" s="41" t="n">
        <v>83</v>
      </c>
      <c r="BO119" s="42" t="n">
        <v>28</v>
      </c>
      <c r="BP119" s="43" t="n">
        <v>62</v>
      </c>
      <c r="BQ119" s="44" t="n">
        <v>90</v>
      </c>
      <c r="BR119" s="42" t="n">
        <v>27</v>
      </c>
      <c r="BS119" s="45" t="n">
        <v>61</v>
      </c>
      <c r="BT119" s="45" t="n">
        <v>88</v>
      </c>
      <c r="BU119" s="46" t="n">
        <v>100</v>
      </c>
      <c r="BV119" s="47" t="n">
        <v>94</v>
      </c>
      <c r="BW119" s="42" t="n">
        <v>96</v>
      </c>
      <c r="BX119" s="48" t="n">
        <v>90</v>
      </c>
      <c r="BY119" s="32" t="n">
        <v>25</v>
      </c>
      <c r="BZ119" s="32" t="n">
        <v>54</v>
      </c>
      <c r="CA119" s="32" t="n">
        <v>79</v>
      </c>
      <c r="CB119" s="32" t="n">
        <v>26</v>
      </c>
      <c r="CC119" s="32" t="n">
        <v>46</v>
      </c>
      <c r="CD119" s="32" t="n">
        <v>72</v>
      </c>
      <c r="CE119" s="32" t="n">
        <v>26</v>
      </c>
      <c r="CF119" s="32" t="n">
        <v>47</v>
      </c>
      <c r="CG119" s="32" t="n">
        <v>73</v>
      </c>
      <c r="CH119" s="32" t="n">
        <v>98</v>
      </c>
      <c r="CI119" s="32" t="n">
        <v>99</v>
      </c>
      <c r="CJ119" s="49" t="n">
        <v>18</v>
      </c>
      <c r="CK119" s="49" t="n">
        <v>53</v>
      </c>
      <c r="CL119" s="49" t="n">
        <v>71</v>
      </c>
      <c r="CM119" s="49" t="n">
        <v>27</v>
      </c>
      <c r="CN119" s="49" t="n">
        <v>55</v>
      </c>
      <c r="CO119" s="49" t="n">
        <v>82</v>
      </c>
      <c r="CP119" s="25" t="n">
        <f aca="false">BX119+BW119+BV119+BU119+BT119+BQ119+BN119</f>
        <v>641</v>
      </c>
      <c r="CQ119" s="25" t="n">
        <f aca="false">CO119+CL119+CI119+CH119+CG119+CD119+CA119</f>
        <v>574</v>
      </c>
      <c r="CR119" s="26" t="n">
        <f aca="false">CP119/7</f>
        <v>91.5714285714286</v>
      </c>
      <c r="CS119" s="26" t="n">
        <f aca="false">CQ119/7</f>
        <v>82</v>
      </c>
      <c r="CT119" s="24" t="n">
        <f aca="false">RANK(CR119,$CR$2:$CR$881,0)</f>
        <v>100</v>
      </c>
      <c r="CU119" s="25" t="n">
        <f aca="false">RANK(CS119,$CS$2:$CS$881,0)</f>
        <v>192</v>
      </c>
      <c r="CV119" s="26" t="n">
        <f aca="false">(CS119+CR119)/2</f>
        <v>86.7857142857143</v>
      </c>
      <c r="CW119" s="25" t="n">
        <f aca="false">RANK(CV119,$CV$2:$CV$881,0)</f>
        <v>145</v>
      </c>
      <c r="CX119" s="50" t="n">
        <f aca="false">(CV119+BB119)/2</f>
        <v>84.6428571428571</v>
      </c>
      <c r="CY119" s="50" t="n">
        <v>136</v>
      </c>
      <c r="CZ119" s="27" t="s">
        <v>132</v>
      </c>
      <c r="DA119" s="27" t="s">
        <v>169</v>
      </c>
      <c r="DB119" s="27" t="s">
        <v>169</v>
      </c>
      <c r="DC119" s="27" t="s">
        <v>134</v>
      </c>
      <c r="DD119" s="27" t="s">
        <v>135</v>
      </c>
      <c r="DE119" s="27" t="s">
        <v>161</v>
      </c>
      <c r="DF119" s="27" t="s">
        <v>202</v>
      </c>
      <c r="DG119" s="27" t="s">
        <v>134</v>
      </c>
      <c r="DH119" s="27" t="s">
        <v>137</v>
      </c>
      <c r="DI119" s="27" t="s">
        <v>136</v>
      </c>
      <c r="DJ119" s="27" t="s">
        <v>162</v>
      </c>
      <c r="DK119" s="27" t="s">
        <v>134</v>
      </c>
      <c r="DL119" s="27" t="s">
        <v>137</v>
      </c>
      <c r="DM119" s="27" t="s">
        <v>183</v>
      </c>
      <c r="DN119" s="27" t="s">
        <v>209</v>
      </c>
      <c r="DO119" s="27" t="s">
        <v>134</v>
      </c>
      <c r="DP119" s="27" t="s">
        <v>182</v>
      </c>
      <c r="DQ119" s="27" t="s">
        <v>161</v>
      </c>
      <c r="DR119" s="27" t="s">
        <v>175</v>
      </c>
      <c r="DS119" s="27" t="s">
        <v>134</v>
      </c>
      <c r="DT119" s="27" t="s">
        <v>164</v>
      </c>
      <c r="DU119" s="27" t="s">
        <v>203</v>
      </c>
      <c r="DV119" s="27" t="s">
        <v>162</v>
      </c>
      <c r="DW119" s="27" t="s">
        <v>140</v>
      </c>
      <c r="DX119" s="27" t="s">
        <v>155</v>
      </c>
      <c r="DY119" s="27" t="s">
        <v>147</v>
      </c>
      <c r="DZ119" s="27" t="n">
        <f aca="false">DY119+DV119+DR119+DN119+DJ119+DF119+DB119</f>
        <v>615</v>
      </c>
      <c r="EA119" s="28" t="n">
        <f aca="false">DZ119/7</f>
        <v>87.8571428571429</v>
      </c>
      <c r="EB119" s="27" t="n">
        <f aca="false">RANK(EA119,$EA$2:$EA$881,0)</f>
        <v>98</v>
      </c>
      <c r="EC119" s="29" t="n">
        <f aca="false">DZ119+CQ119+CP119+AZ119</f>
        <v>2655</v>
      </c>
      <c r="ED119" s="30" t="n">
        <f aca="false">(EA119+CV119+BB119)/3</f>
        <v>85.7142857142857</v>
      </c>
      <c r="EE119" s="51" t="n">
        <f aca="false">ROUND(BE119,3)</f>
        <v>88.393</v>
      </c>
      <c r="EF119" s="51" t="n">
        <f aca="false">ROUND(CR119,3)</f>
        <v>91.571</v>
      </c>
      <c r="EG119" s="51" t="n">
        <f aca="false">ROUND(CS119,3)</f>
        <v>82</v>
      </c>
      <c r="EH119" s="51" t="n">
        <f aca="false">ROUND(EA119,3)</f>
        <v>87.857</v>
      </c>
      <c r="EI119" s="51" t="n">
        <f aca="false">ROUND(ED119,3)</f>
        <v>85.714</v>
      </c>
      <c r="EJ119" s="51" t="n">
        <f aca="false">ROUND(CV119,3)</f>
        <v>86.786</v>
      </c>
      <c r="EK119" s="0" t="n">
        <f aca="false">RANK(EI119,$EI$2:$EI$881,0)</f>
        <v>118</v>
      </c>
    </row>
    <row r="120" customFormat="false" ht="15" hidden="false" customHeight="false" outlineLevel="0" collapsed="false">
      <c r="A120" s="4" t="n">
        <v>1926</v>
      </c>
      <c r="B120" s="4" t="n">
        <v>357</v>
      </c>
      <c r="C120" s="27" t="s">
        <v>546</v>
      </c>
      <c r="D120" s="31" t="n">
        <v>362</v>
      </c>
      <c r="E120" s="32" t="n">
        <v>230323787</v>
      </c>
      <c r="F120" s="8" t="s">
        <v>547</v>
      </c>
      <c r="G120" s="22" t="s">
        <v>319</v>
      </c>
      <c r="H120" s="22" t="s">
        <v>129</v>
      </c>
      <c r="I120" s="33" t="n">
        <v>2005</v>
      </c>
      <c r="J120" s="32" t="n">
        <v>84</v>
      </c>
      <c r="K120" s="32" t="n">
        <v>90</v>
      </c>
      <c r="L120" s="34" t="n">
        <f aca="false">(K120*70)/100</f>
        <v>63</v>
      </c>
      <c r="M120" s="34" t="n">
        <f aca="false">ROUNDUP(L120,0)</f>
        <v>63</v>
      </c>
      <c r="N120" s="32" t="n">
        <v>28</v>
      </c>
      <c r="O120" s="34" t="n">
        <f aca="false">N120+L120</f>
        <v>91</v>
      </c>
      <c r="P120" s="34" t="n">
        <f aca="false">N120+M120</f>
        <v>91</v>
      </c>
      <c r="Q120" s="32" t="n">
        <v>87</v>
      </c>
      <c r="R120" s="32" t="n">
        <v>67</v>
      </c>
      <c r="S120" s="34" t="n">
        <f aca="false">(R120*70)/100</f>
        <v>46.9</v>
      </c>
      <c r="T120" s="34" t="n">
        <f aca="false">ROUNDUP(S120,0)</f>
        <v>47</v>
      </c>
      <c r="U120" s="32" t="n">
        <v>30</v>
      </c>
      <c r="V120" s="34" t="n">
        <f aca="false">U120+S120</f>
        <v>76.9</v>
      </c>
      <c r="W120" s="34" t="n">
        <f aca="false">U120+T120</f>
        <v>77</v>
      </c>
      <c r="X120" s="32" t="n">
        <v>76</v>
      </c>
      <c r="Y120" s="34" t="n">
        <f aca="false">(X120*70)/100</f>
        <v>53.2</v>
      </c>
      <c r="Z120" s="34" t="n">
        <f aca="false">ROUNDUP(Y120,0)</f>
        <v>54</v>
      </c>
      <c r="AA120" s="32" t="n">
        <v>25</v>
      </c>
      <c r="AB120" s="34" t="n">
        <f aca="false">AA120+Y120</f>
        <v>78.2</v>
      </c>
      <c r="AC120" s="34" t="n">
        <f aca="false">AA120+Z120</f>
        <v>79</v>
      </c>
      <c r="AD120" s="32" t="n">
        <f aca="false">X120+R120+Q120+K120+J120</f>
        <v>404</v>
      </c>
      <c r="AE120" s="16" t="n">
        <f aca="false">AD120/5</f>
        <v>80.8</v>
      </c>
      <c r="AF120" s="71" t="n">
        <v>51</v>
      </c>
      <c r="AG120" s="16" t="n">
        <v>76</v>
      </c>
      <c r="AH120" s="16" t="n">
        <v>86</v>
      </c>
      <c r="AI120" s="16" t="n">
        <v>92</v>
      </c>
      <c r="AJ120" s="16" t="n">
        <f aca="false">(AI120*70)/100</f>
        <v>64.4</v>
      </c>
      <c r="AK120" s="35" t="n">
        <f aca="false">ROUNDUP(AJ120,0)</f>
        <v>65</v>
      </c>
      <c r="AL120" s="16" t="n">
        <v>22</v>
      </c>
      <c r="AM120" s="16" t="n">
        <f aca="false">AL120+AJ120</f>
        <v>86.4</v>
      </c>
      <c r="AN120" s="16" t="n">
        <f aca="false">AL120+AK120</f>
        <v>87</v>
      </c>
      <c r="AO120" s="16" t="n">
        <v>60</v>
      </c>
      <c r="AP120" s="36" t="n">
        <f aca="false">(AO120*70)/100</f>
        <v>42</v>
      </c>
      <c r="AQ120" s="37" t="n">
        <f aca="false">ROUNDUP(AP120,0)</f>
        <v>42</v>
      </c>
      <c r="AR120" s="16" t="n">
        <v>26</v>
      </c>
      <c r="AS120" s="16" t="n">
        <f aca="false">AR120+AP120</f>
        <v>68</v>
      </c>
      <c r="AT120" s="16" t="n">
        <f aca="false">AR120+AQ120</f>
        <v>68</v>
      </c>
      <c r="AU120" s="16" t="n">
        <f aca="false">AO120+AF120+AI120+AH120+AG120</f>
        <v>365</v>
      </c>
      <c r="AV120" s="16" t="n">
        <f aca="false">(AO120+AF120+AI120+AH120+AG120)/5</f>
        <v>73</v>
      </c>
      <c r="AW120" s="36" t="n">
        <f aca="false">(AO120+AF120+AI120+AH120+AG120+X120+R120+Q120+K120+J120)</f>
        <v>769</v>
      </c>
      <c r="AX120" s="16" t="n">
        <f aca="false">AW120/10</f>
        <v>76.9</v>
      </c>
      <c r="AY120" s="16" t="n">
        <f aca="false">AS120+AF120+AM120+AH120+AG120+AB120+V120+Q120+O120+J120</f>
        <v>784.5</v>
      </c>
      <c r="AZ120" s="16" t="n">
        <f aca="false">AT120+AF120+AN120+AH120+AG120+AC120+W120+Q120+P120+J120</f>
        <v>786</v>
      </c>
      <c r="BA120" s="16" t="n">
        <f aca="false">AY120/10</f>
        <v>78.45</v>
      </c>
      <c r="BB120" s="16" t="n">
        <f aca="false">AZ120/10</f>
        <v>78.6</v>
      </c>
      <c r="BC120" s="16" t="n">
        <v>2350</v>
      </c>
      <c r="BD120" s="16" t="n">
        <f aca="false">RANK(AX120,$AX$2:$AX$881,0)</f>
        <v>519</v>
      </c>
      <c r="BE120" s="54" t="n">
        <f aca="false">((BC120*100)/2400)*0.4+(AX120*0.6)</f>
        <v>85.3066666666667</v>
      </c>
      <c r="BF120" s="16" t="n">
        <f aca="false">RANK(BE120,$BE$2:$BE$881,0)</f>
        <v>541</v>
      </c>
      <c r="BG120" s="39" t="n">
        <f aca="false">RANK(BB120,$BB$2:$BB$881,0)</f>
        <v>494</v>
      </c>
      <c r="BH120" s="39" t="n">
        <f aca="false">RANK(BC120,$BC$2:$BC$881,0)</f>
        <v>532</v>
      </c>
      <c r="BI120" s="22" t="s">
        <v>130</v>
      </c>
      <c r="BJ120" s="22" t="s">
        <v>129</v>
      </c>
      <c r="BK120" s="40" t="s">
        <v>509</v>
      </c>
      <c r="BL120" s="41" t="n">
        <v>23</v>
      </c>
      <c r="BM120" s="41" t="n">
        <v>58</v>
      </c>
      <c r="BN120" s="41" t="n">
        <v>81</v>
      </c>
      <c r="BO120" s="42" t="n">
        <v>25</v>
      </c>
      <c r="BP120" s="43" t="n">
        <v>60</v>
      </c>
      <c r="BQ120" s="44" t="n">
        <v>85</v>
      </c>
      <c r="BR120" s="42" t="n">
        <v>22</v>
      </c>
      <c r="BS120" s="45" t="n">
        <v>57</v>
      </c>
      <c r="BT120" s="45" t="n">
        <v>79</v>
      </c>
      <c r="BU120" s="46" t="n">
        <v>99</v>
      </c>
      <c r="BV120" s="47" t="n">
        <v>82</v>
      </c>
      <c r="BW120" s="42" t="n">
        <v>99</v>
      </c>
      <c r="BX120" s="48" t="n">
        <v>94</v>
      </c>
      <c r="BY120" s="32" t="n">
        <v>27</v>
      </c>
      <c r="BZ120" s="32" t="n">
        <v>60</v>
      </c>
      <c r="CA120" s="32" t="n">
        <v>87</v>
      </c>
      <c r="CB120" s="32" t="n">
        <v>26</v>
      </c>
      <c r="CC120" s="32" t="n">
        <v>45</v>
      </c>
      <c r="CD120" s="32" t="n">
        <v>71</v>
      </c>
      <c r="CE120" s="32" t="n">
        <v>28</v>
      </c>
      <c r="CF120" s="32" t="n">
        <v>59</v>
      </c>
      <c r="CG120" s="32" t="n">
        <v>87</v>
      </c>
      <c r="CH120" s="32" t="n">
        <v>99</v>
      </c>
      <c r="CI120" s="32" t="n">
        <v>99</v>
      </c>
      <c r="CJ120" s="49" t="n">
        <v>30</v>
      </c>
      <c r="CK120" s="49" t="n">
        <v>54</v>
      </c>
      <c r="CL120" s="49" t="n">
        <v>84</v>
      </c>
      <c r="CM120" s="49" t="n">
        <v>28</v>
      </c>
      <c r="CN120" s="49" t="n">
        <v>54</v>
      </c>
      <c r="CO120" s="49" t="n">
        <v>82</v>
      </c>
      <c r="CP120" s="25" t="n">
        <f aca="false">BX120+BW120+BV120+BU120+BT120+BQ120+BN120</f>
        <v>619</v>
      </c>
      <c r="CQ120" s="25" t="n">
        <f aca="false">CO120+CL120+CI120+CH120+CG120+CD120+CA120</f>
        <v>609</v>
      </c>
      <c r="CR120" s="26" t="n">
        <f aca="false">CP120/7</f>
        <v>88.4285714285714</v>
      </c>
      <c r="CS120" s="26" t="n">
        <f aca="false">CQ120/7</f>
        <v>87</v>
      </c>
      <c r="CT120" s="24" t="n">
        <f aca="false">RANK(CR120,$CR$2:$CR$881,0)</f>
        <v>276</v>
      </c>
      <c r="CU120" s="25" t="n">
        <f aca="false">RANK(CS120,$CS$2:$CS$881,0)</f>
        <v>58</v>
      </c>
      <c r="CV120" s="26" t="n">
        <f aca="false">(CS120+CR120)/2</f>
        <v>87.7142857142857</v>
      </c>
      <c r="CW120" s="25" t="n">
        <f aca="false">RANK(CV120,$CV$2:$CV$881,0)</f>
        <v>107</v>
      </c>
      <c r="CX120" s="50" t="n">
        <f aca="false">(CV120+BB120)/2</f>
        <v>83.1571428571429</v>
      </c>
      <c r="CY120" s="50" t="n">
        <v>205</v>
      </c>
      <c r="CZ120" s="27" t="s">
        <v>132</v>
      </c>
      <c r="DA120" s="27" t="s">
        <v>142</v>
      </c>
      <c r="DB120" s="27" t="s">
        <v>142</v>
      </c>
      <c r="DC120" s="27" t="s">
        <v>134</v>
      </c>
      <c r="DD120" s="27" t="s">
        <v>137</v>
      </c>
      <c r="DE120" s="27" t="s">
        <v>183</v>
      </c>
      <c r="DF120" s="27" t="s">
        <v>209</v>
      </c>
      <c r="DG120" s="27" t="s">
        <v>134</v>
      </c>
      <c r="DH120" s="27" t="s">
        <v>174</v>
      </c>
      <c r="DI120" s="27" t="s">
        <v>152</v>
      </c>
      <c r="DJ120" s="27" t="s">
        <v>202</v>
      </c>
      <c r="DK120" s="27" t="s">
        <v>134</v>
      </c>
      <c r="DL120" s="27" t="s">
        <v>164</v>
      </c>
      <c r="DM120" s="27" t="s">
        <v>136</v>
      </c>
      <c r="DN120" s="27" t="s">
        <v>153</v>
      </c>
      <c r="DO120" s="27" t="s">
        <v>134</v>
      </c>
      <c r="DP120" s="27" t="s">
        <v>182</v>
      </c>
      <c r="DQ120" s="27" t="s">
        <v>152</v>
      </c>
      <c r="DR120" s="27" t="s">
        <v>133</v>
      </c>
      <c r="DS120" s="27" t="s">
        <v>134</v>
      </c>
      <c r="DT120" s="27" t="s">
        <v>160</v>
      </c>
      <c r="DU120" s="27" t="s">
        <v>152</v>
      </c>
      <c r="DV120" s="27" t="s">
        <v>176</v>
      </c>
      <c r="DW120" s="27" t="s">
        <v>140</v>
      </c>
      <c r="DX120" s="27" t="s">
        <v>155</v>
      </c>
      <c r="DY120" s="27" t="s">
        <v>147</v>
      </c>
      <c r="DZ120" s="27" t="n">
        <f aca="false">DY120+DV120+DR120+DN120+DJ120+DF120+DB120</f>
        <v>635</v>
      </c>
      <c r="EA120" s="28" t="n">
        <f aca="false">DZ120/7</f>
        <v>90.7142857142857</v>
      </c>
      <c r="EB120" s="27" t="n">
        <f aca="false">RANK(EA120,$EA$2:$EA$881,0)</f>
        <v>43</v>
      </c>
      <c r="EC120" s="29" t="n">
        <f aca="false">DZ120+CQ120+CP120+AZ120</f>
        <v>2649</v>
      </c>
      <c r="ED120" s="30" t="n">
        <f aca="false">(EA120+CV120+BB120)/3</f>
        <v>85.6761904761905</v>
      </c>
      <c r="EE120" s="51" t="n">
        <f aca="false">ROUND(BE120,3)</f>
        <v>85.307</v>
      </c>
      <c r="EF120" s="51" t="n">
        <f aca="false">ROUND(CR120,3)</f>
        <v>88.429</v>
      </c>
      <c r="EG120" s="51" t="n">
        <f aca="false">ROUND(CS120,3)</f>
        <v>87</v>
      </c>
      <c r="EH120" s="51" t="n">
        <f aca="false">ROUND(EA120,3)</f>
        <v>90.714</v>
      </c>
      <c r="EI120" s="51" t="n">
        <f aca="false">ROUND(ED120,3)</f>
        <v>85.676</v>
      </c>
      <c r="EJ120" s="51" t="n">
        <f aca="false">ROUND(CV120,3)</f>
        <v>87.714</v>
      </c>
      <c r="EK120" s="0" t="n">
        <f aca="false">RANK(EI120,$EI$2:$EI$881,0)</f>
        <v>119</v>
      </c>
    </row>
    <row r="121" customFormat="false" ht="16.85" hidden="false" customHeight="false" outlineLevel="0" collapsed="false">
      <c r="A121" s="4" t="n">
        <v>8725</v>
      </c>
      <c r="B121" s="4" t="n">
        <v>396</v>
      </c>
      <c r="C121" s="27" t="s">
        <v>548</v>
      </c>
      <c r="D121" s="31" t="n">
        <v>401</v>
      </c>
      <c r="E121" s="32" t="n">
        <v>230324986</v>
      </c>
      <c r="F121" s="8" t="s">
        <v>549</v>
      </c>
      <c r="G121" s="22" t="s">
        <v>550</v>
      </c>
      <c r="H121" s="22" t="s">
        <v>129</v>
      </c>
      <c r="I121" s="33" t="n">
        <v>2005</v>
      </c>
      <c r="J121" s="32" t="n">
        <v>77</v>
      </c>
      <c r="K121" s="32" t="n">
        <v>74</v>
      </c>
      <c r="L121" s="34" t="n">
        <f aca="false">(K121*70)/100</f>
        <v>51.8</v>
      </c>
      <c r="M121" s="34" t="n">
        <f aca="false">ROUNDUP(L121,0)</f>
        <v>52</v>
      </c>
      <c r="N121" s="32" t="n">
        <v>25</v>
      </c>
      <c r="O121" s="34" t="n">
        <f aca="false">N121+L121</f>
        <v>76.8</v>
      </c>
      <c r="P121" s="34" t="n">
        <f aca="false">N121+M121</f>
        <v>77</v>
      </c>
      <c r="Q121" s="32" t="n">
        <v>72</v>
      </c>
      <c r="R121" s="32" t="n">
        <v>70</v>
      </c>
      <c r="S121" s="34" t="n">
        <f aca="false">(R121*70)/100</f>
        <v>49</v>
      </c>
      <c r="T121" s="34" t="n">
        <f aca="false">ROUNDUP(S121,0)</f>
        <v>49</v>
      </c>
      <c r="U121" s="32" t="n">
        <v>25</v>
      </c>
      <c r="V121" s="34" t="n">
        <f aca="false">U121+S121</f>
        <v>74</v>
      </c>
      <c r="W121" s="34" t="n">
        <f aca="false">U121+T121</f>
        <v>74</v>
      </c>
      <c r="X121" s="32" t="n">
        <v>88</v>
      </c>
      <c r="Y121" s="34" t="n">
        <f aca="false">(X121*70)/100</f>
        <v>61.6</v>
      </c>
      <c r="Z121" s="34" t="n">
        <f aca="false">ROUNDUP(Y121,0)</f>
        <v>62</v>
      </c>
      <c r="AA121" s="32" t="n">
        <v>26</v>
      </c>
      <c r="AB121" s="34" t="n">
        <f aca="false">AA121+Y121</f>
        <v>87.6</v>
      </c>
      <c r="AC121" s="34" t="n">
        <f aca="false">AA121+Z121</f>
        <v>88</v>
      </c>
      <c r="AD121" s="32" t="n">
        <f aca="false">X121+R121+Q121+K121+J121</f>
        <v>381</v>
      </c>
      <c r="AE121" s="16" t="n">
        <f aca="false">AD121/5</f>
        <v>76.2</v>
      </c>
      <c r="AF121" s="16" t="n">
        <v>64</v>
      </c>
      <c r="AG121" s="16" t="n">
        <v>89</v>
      </c>
      <c r="AH121" s="16" t="n">
        <v>84</v>
      </c>
      <c r="AI121" s="16" t="n">
        <v>93</v>
      </c>
      <c r="AJ121" s="16" t="n">
        <f aca="false">(AI121*70)/100</f>
        <v>65.1</v>
      </c>
      <c r="AK121" s="35" t="n">
        <f aca="false">ROUNDUP(AJ121,0)</f>
        <v>66</v>
      </c>
      <c r="AL121" s="16" t="n">
        <v>25</v>
      </c>
      <c r="AM121" s="16" t="n">
        <f aca="false">AL121+AJ121</f>
        <v>90.1</v>
      </c>
      <c r="AN121" s="16" t="n">
        <f aca="false">AL121+AK121</f>
        <v>91</v>
      </c>
      <c r="AO121" s="16" t="n">
        <v>79</v>
      </c>
      <c r="AP121" s="36" t="n">
        <f aca="false">(AO121*70)/100</f>
        <v>55.3</v>
      </c>
      <c r="AQ121" s="37" t="n">
        <f aca="false">ROUNDUP(AP121,0)</f>
        <v>56</v>
      </c>
      <c r="AR121" s="16" t="n">
        <v>27</v>
      </c>
      <c r="AS121" s="16" t="n">
        <f aca="false">AR121+AP121</f>
        <v>82.3</v>
      </c>
      <c r="AT121" s="16" t="n">
        <f aca="false">AR121+AQ121</f>
        <v>83</v>
      </c>
      <c r="AU121" s="16" t="n">
        <f aca="false">AO121+AF121+AI121+AH121+AG121</f>
        <v>409</v>
      </c>
      <c r="AV121" s="16" t="n">
        <f aca="false">(AO121+AF121+AI121+AH121+AG121)/5</f>
        <v>81.8</v>
      </c>
      <c r="AW121" s="36" t="n">
        <f aca="false">(AO121+AF121+AI121+AH121+AG121+X121+R121+Q121+K121+J121)</f>
        <v>790</v>
      </c>
      <c r="AX121" s="16" t="n">
        <f aca="false">AW121/10</f>
        <v>79</v>
      </c>
      <c r="AY121" s="16" t="n">
        <f aca="false">AS121+AF121+AM121+AH121+AG121+AB121+V121+Q121+O121+J121</f>
        <v>796.8</v>
      </c>
      <c r="AZ121" s="16" t="n">
        <f aca="false">AT121+AF121+AN121+AH121+AG121+AC121+W121+Q121+P121+J121</f>
        <v>799</v>
      </c>
      <c r="BA121" s="16" t="n">
        <f aca="false">AY121/10</f>
        <v>79.68</v>
      </c>
      <c r="BB121" s="16" t="n">
        <f aca="false">AZ121/10</f>
        <v>79.9</v>
      </c>
      <c r="BC121" s="16" t="n">
        <v>2374</v>
      </c>
      <c r="BD121" s="16" t="n">
        <f aca="false">RANK(AX121,$AX$2:$AX$881,0)</f>
        <v>330</v>
      </c>
      <c r="BE121" s="54" t="n">
        <f aca="false">((BC121*100)/2400)*0.4+(AX121*0.6)</f>
        <v>86.9666666666667</v>
      </c>
      <c r="BF121" s="16" t="n">
        <f aca="false">RANK(BE121,$BE$2:$BE$881,0)</f>
        <v>298</v>
      </c>
      <c r="BG121" s="39" t="n">
        <f aca="false">RANK(BB121,$BB$2:$BB$881,0)</f>
        <v>356</v>
      </c>
      <c r="BH121" s="39" t="n">
        <f aca="false">RANK(BC121,$BC$2:$BC$881,0)</f>
        <v>222</v>
      </c>
      <c r="BI121" s="22" t="s">
        <v>130</v>
      </c>
      <c r="BJ121" s="22" t="s">
        <v>129</v>
      </c>
      <c r="BK121" s="40" t="s">
        <v>131</v>
      </c>
      <c r="BL121" s="41" t="n">
        <v>28</v>
      </c>
      <c r="BM121" s="41" t="n">
        <v>60</v>
      </c>
      <c r="BN121" s="41" t="n">
        <v>88</v>
      </c>
      <c r="BO121" s="42" t="n">
        <v>23</v>
      </c>
      <c r="BP121" s="43" t="n">
        <v>65</v>
      </c>
      <c r="BQ121" s="44" t="n">
        <v>88</v>
      </c>
      <c r="BR121" s="42" t="n">
        <v>26</v>
      </c>
      <c r="BS121" s="45" t="n">
        <v>63</v>
      </c>
      <c r="BT121" s="45" t="n">
        <v>89</v>
      </c>
      <c r="BU121" s="46" t="n">
        <v>100</v>
      </c>
      <c r="BV121" s="47" t="n">
        <v>90</v>
      </c>
      <c r="BW121" s="42" t="n">
        <v>98</v>
      </c>
      <c r="BX121" s="48" t="n">
        <v>98</v>
      </c>
      <c r="BY121" s="32" t="n">
        <v>27</v>
      </c>
      <c r="BZ121" s="32" t="n">
        <v>64</v>
      </c>
      <c r="CA121" s="32" t="n">
        <v>91</v>
      </c>
      <c r="CB121" s="32" t="n">
        <v>26</v>
      </c>
      <c r="CC121" s="32" t="n">
        <v>58</v>
      </c>
      <c r="CD121" s="32" t="n">
        <v>84</v>
      </c>
      <c r="CE121" s="32" t="n">
        <v>28</v>
      </c>
      <c r="CF121" s="32" t="n">
        <v>57</v>
      </c>
      <c r="CG121" s="32" t="n">
        <v>85</v>
      </c>
      <c r="CH121" s="32" t="n">
        <v>100</v>
      </c>
      <c r="CI121" s="32" t="n">
        <v>99</v>
      </c>
      <c r="CJ121" s="49" t="n">
        <v>27</v>
      </c>
      <c r="CK121" s="49" t="n">
        <v>57</v>
      </c>
      <c r="CL121" s="49" t="n">
        <v>84</v>
      </c>
      <c r="CM121" s="49" t="n">
        <v>21</v>
      </c>
      <c r="CN121" s="49" t="n">
        <v>52</v>
      </c>
      <c r="CO121" s="49" t="n">
        <v>73</v>
      </c>
      <c r="CP121" s="25" t="n">
        <f aca="false">BX121+BW121+BV121+BU121+BT121+BQ121+BN121</f>
        <v>651</v>
      </c>
      <c r="CQ121" s="25" t="n">
        <f aca="false">CO121+CL121+CI121+CH121+CG121+CD121+CA121</f>
        <v>616</v>
      </c>
      <c r="CR121" s="26" t="n">
        <f aca="false">CP121/7</f>
        <v>93</v>
      </c>
      <c r="CS121" s="26" t="n">
        <f aca="false">CQ121/7</f>
        <v>88</v>
      </c>
      <c r="CT121" s="24" t="n">
        <f aca="false">RANK(CR121,$CR$2:$CR$881,0)</f>
        <v>49</v>
      </c>
      <c r="CU121" s="25" t="n">
        <f aca="false">RANK(CS121,$CS$2:$CS$881,0)</f>
        <v>42</v>
      </c>
      <c r="CV121" s="26" t="n">
        <f aca="false">(CS121+CR121)/2</f>
        <v>90.5</v>
      </c>
      <c r="CW121" s="25" t="n">
        <f aca="false">RANK(CV121,$CV$2:$CV$881,0)</f>
        <v>48</v>
      </c>
      <c r="CX121" s="50" t="n">
        <f aca="false">(CV121+BB121)/2</f>
        <v>85.2</v>
      </c>
      <c r="CY121" s="50" t="n">
        <v>117</v>
      </c>
      <c r="CZ121" s="27" t="s">
        <v>132</v>
      </c>
      <c r="DA121" s="27" t="s">
        <v>176</v>
      </c>
      <c r="DB121" s="27" t="s">
        <v>176</v>
      </c>
      <c r="DC121" s="27" t="s">
        <v>134</v>
      </c>
      <c r="DD121" s="27" t="s">
        <v>137</v>
      </c>
      <c r="DE121" s="27" t="s">
        <v>218</v>
      </c>
      <c r="DF121" s="27" t="s">
        <v>169</v>
      </c>
      <c r="DG121" s="27" t="s">
        <v>134</v>
      </c>
      <c r="DH121" s="27" t="s">
        <v>182</v>
      </c>
      <c r="DI121" s="27" t="s">
        <v>218</v>
      </c>
      <c r="DJ121" s="27" t="s">
        <v>196</v>
      </c>
      <c r="DK121" s="27" t="s">
        <v>134</v>
      </c>
      <c r="DL121" s="27" t="s">
        <v>160</v>
      </c>
      <c r="DM121" s="27" t="s">
        <v>447</v>
      </c>
      <c r="DN121" s="27" t="s">
        <v>196</v>
      </c>
      <c r="DO121" s="27" t="s">
        <v>134</v>
      </c>
      <c r="DP121" s="27" t="s">
        <v>174</v>
      </c>
      <c r="DQ121" s="27" t="s">
        <v>204</v>
      </c>
      <c r="DR121" s="27" t="s">
        <v>196</v>
      </c>
      <c r="DS121" s="27" t="s">
        <v>134</v>
      </c>
      <c r="DT121" s="27" t="s">
        <v>146</v>
      </c>
      <c r="DU121" s="27" t="s">
        <v>203</v>
      </c>
      <c r="DV121" s="27" t="s">
        <v>176</v>
      </c>
      <c r="DW121" s="27" t="s">
        <v>137</v>
      </c>
      <c r="DX121" s="27" t="s">
        <v>155</v>
      </c>
      <c r="DY121" s="27" t="s">
        <v>142</v>
      </c>
      <c r="DZ121" s="27" t="n">
        <f aca="false">DY121+DV121+DR121+DN121+DJ121+DF121+DB121</f>
        <v>606</v>
      </c>
      <c r="EA121" s="28" t="n">
        <f aca="false">DZ121/7</f>
        <v>86.5714285714286</v>
      </c>
      <c r="EB121" s="27" t="n">
        <f aca="false">RANK(EA121,$EA$2:$EA$881,0)</f>
        <v>140</v>
      </c>
      <c r="EC121" s="29" t="n">
        <f aca="false">DZ121+CQ121+CP121+AZ121</f>
        <v>2672</v>
      </c>
      <c r="ED121" s="30" t="n">
        <f aca="false">(EA121+CV121+BB121)/3</f>
        <v>85.6571428571428</v>
      </c>
      <c r="EE121" s="51" t="n">
        <f aca="false">ROUND(BE121,3)</f>
        <v>86.967</v>
      </c>
      <c r="EF121" s="51" t="n">
        <f aca="false">ROUND(CR121,3)</f>
        <v>93</v>
      </c>
      <c r="EG121" s="51" t="n">
        <f aca="false">ROUND(CS121,3)</f>
        <v>88</v>
      </c>
      <c r="EH121" s="51" t="n">
        <f aca="false">ROUND(EA121,3)</f>
        <v>86.571</v>
      </c>
      <c r="EI121" s="51" t="n">
        <f aca="false">ROUND(ED121,3)</f>
        <v>85.657</v>
      </c>
      <c r="EJ121" s="51" t="n">
        <f aca="false">ROUND(CV121,3)</f>
        <v>90.5</v>
      </c>
      <c r="EK121" s="0" t="n">
        <f aca="false">RANK(EI121,$EI$2:$EI$881,0)</f>
        <v>120</v>
      </c>
    </row>
    <row r="122" customFormat="false" ht="17.45" hidden="false" customHeight="false" outlineLevel="0" collapsed="false">
      <c r="A122" s="4" t="n">
        <v>8804</v>
      </c>
      <c r="B122" s="4" t="n">
        <v>677</v>
      </c>
      <c r="C122" s="27" t="s">
        <v>551</v>
      </c>
      <c r="D122" s="31" t="n">
        <v>691</v>
      </c>
      <c r="E122" s="32" t="n">
        <v>230312576</v>
      </c>
      <c r="F122" s="55" t="s">
        <v>552</v>
      </c>
      <c r="G122" s="22" t="s">
        <v>553</v>
      </c>
      <c r="H122" s="22" t="s">
        <v>129</v>
      </c>
      <c r="I122" s="33" t="n">
        <v>2006</v>
      </c>
      <c r="J122" s="32" t="n">
        <v>83</v>
      </c>
      <c r="K122" s="32" t="n">
        <v>91</v>
      </c>
      <c r="L122" s="34" t="n">
        <f aca="false">(K122*70)/100</f>
        <v>63.7</v>
      </c>
      <c r="M122" s="34" t="n">
        <f aca="false">ROUNDUP(L122,0)</f>
        <v>64</v>
      </c>
      <c r="N122" s="32" t="n">
        <v>25</v>
      </c>
      <c r="O122" s="34" t="n">
        <f aca="false">N122+L122</f>
        <v>88.7</v>
      </c>
      <c r="P122" s="34" t="n">
        <f aca="false">N122+M122</f>
        <v>89</v>
      </c>
      <c r="Q122" s="32" t="n">
        <v>83</v>
      </c>
      <c r="R122" s="32" t="n">
        <v>84</v>
      </c>
      <c r="S122" s="34" t="n">
        <f aca="false">(R122*70)/100</f>
        <v>58.8</v>
      </c>
      <c r="T122" s="34" t="n">
        <f aca="false">ROUNDUP(S122,0)</f>
        <v>59</v>
      </c>
      <c r="U122" s="32" t="n">
        <v>22</v>
      </c>
      <c r="V122" s="34" t="n">
        <f aca="false">U122+S122</f>
        <v>80.8</v>
      </c>
      <c r="W122" s="34" t="n">
        <f aca="false">U122+T122</f>
        <v>81</v>
      </c>
      <c r="X122" s="32" t="n">
        <v>85</v>
      </c>
      <c r="Y122" s="34" t="n">
        <f aca="false">(X122*70)/100</f>
        <v>59.5</v>
      </c>
      <c r="Z122" s="34" t="n">
        <f aca="false">ROUNDUP(Y122,0)</f>
        <v>60</v>
      </c>
      <c r="AA122" s="32" t="n">
        <v>26</v>
      </c>
      <c r="AB122" s="34" t="n">
        <f aca="false">AA122+Y122</f>
        <v>85.5</v>
      </c>
      <c r="AC122" s="34" t="n">
        <f aca="false">AA122+Z122</f>
        <v>86</v>
      </c>
      <c r="AD122" s="32" t="n">
        <f aca="false">X122+R122+Q122+K122+J122</f>
        <v>426</v>
      </c>
      <c r="AE122" s="16" t="n">
        <f aca="false">AD122/5</f>
        <v>85.2</v>
      </c>
      <c r="AF122" s="16" t="n">
        <v>89</v>
      </c>
      <c r="AG122" s="16" t="n">
        <v>88</v>
      </c>
      <c r="AH122" s="16" t="n">
        <v>91</v>
      </c>
      <c r="AI122" s="16" t="n">
        <v>94</v>
      </c>
      <c r="AJ122" s="16" t="n">
        <f aca="false">(AI122*70)/100</f>
        <v>65.8</v>
      </c>
      <c r="AK122" s="35" t="n">
        <f aca="false">ROUNDUP(AJ122,0)</f>
        <v>66</v>
      </c>
      <c r="AL122" s="16" t="n">
        <v>27</v>
      </c>
      <c r="AM122" s="16" t="n">
        <f aca="false">AL122+AJ122</f>
        <v>92.8</v>
      </c>
      <c r="AN122" s="16" t="n">
        <f aca="false">AL122+AK122</f>
        <v>93</v>
      </c>
      <c r="AO122" s="16" t="n">
        <v>85</v>
      </c>
      <c r="AP122" s="36" t="n">
        <f aca="false">(AO122*70)/100</f>
        <v>59.5</v>
      </c>
      <c r="AQ122" s="37" t="n">
        <f aca="false">ROUNDUP(AP122,0)</f>
        <v>60</v>
      </c>
      <c r="AR122" s="16" t="n">
        <v>28</v>
      </c>
      <c r="AS122" s="16" t="n">
        <f aca="false">AR122+AP122</f>
        <v>87.5</v>
      </c>
      <c r="AT122" s="16" t="n">
        <f aca="false">AR122+AQ122</f>
        <v>88</v>
      </c>
      <c r="AU122" s="16" t="n">
        <f aca="false">AO122+AF122+AI122+AH122+AG122</f>
        <v>447</v>
      </c>
      <c r="AV122" s="16" t="n">
        <f aca="false">(AO122+AF122+AI122+AH122+AG122)/5</f>
        <v>89.4</v>
      </c>
      <c r="AW122" s="36" t="n">
        <f aca="false">(AO122+AF122+AI122+AH122+AG122+X122+R122+Q122+K122+J122)</f>
        <v>873</v>
      </c>
      <c r="AX122" s="16" t="n">
        <f aca="false">AW122/10</f>
        <v>87.3</v>
      </c>
      <c r="AY122" s="16" t="n">
        <f aca="false">AS122+AF122+AM122+AH122+AG122+AB122+V122+Q122+O122+J122</f>
        <v>869.3</v>
      </c>
      <c r="AZ122" s="16" t="n">
        <f aca="false">AT122+AF122+AN122+AH122+AG122+AC122+W122+Q122+P122+J122</f>
        <v>871</v>
      </c>
      <c r="BA122" s="16" t="n">
        <f aca="false">AY122/10</f>
        <v>86.93</v>
      </c>
      <c r="BB122" s="16" t="n">
        <f aca="false">AZ122/10</f>
        <v>87.1</v>
      </c>
      <c r="BC122" s="16" t="n">
        <v>2391</v>
      </c>
      <c r="BD122" s="16" t="n">
        <f aca="false">RANK(AX122,$AX$2:$AX$881,0)</f>
        <v>46</v>
      </c>
      <c r="BE122" s="38" t="n">
        <f aca="false">((BC122*100)/2400)*0.4+(AX122*0.6)</f>
        <v>92.23</v>
      </c>
      <c r="BF122" s="16" t="n">
        <f aca="false">RANK(BE122,$BE$2:$BE$881,0)</f>
        <v>37</v>
      </c>
      <c r="BG122" s="39" t="n">
        <f aca="false">RANK(BB122,$BB$2:$BB$881,0)</f>
        <v>56</v>
      </c>
      <c r="BH122" s="39" t="n">
        <f aca="false">RANK(BC122,$BC$2:$BC$881,0)</f>
        <v>37</v>
      </c>
      <c r="BI122" s="22" t="s">
        <v>130</v>
      </c>
      <c r="BJ122" s="22" t="s">
        <v>129</v>
      </c>
      <c r="BK122" s="40" t="s">
        <v>131</v>
      </c>
      <c r="BL122" s="41" t="n">
        <v>21</v>
      </c>
      <c r="BM122" s="41" t="n">
        <v>54</v>
      </c>
      <c r="BN122" s="41" t="n">
        <v>75</v>
      </c>
      <c r="BO122" s="42" t="n">
        <v>22</v>
      </c>
      <c r="BP122" s="43" t="n">
        <v>60</v>
      </c>
      <c r="BQ122" s="44" t="n">
        <v>82</v>
      </c>
      <c r="BR122" s="42" t="n">
        <v>25</v>
      </c>
      <c r="BS122" s="45" t="n">
        <v>64</v>
      </c>
      <c r="BT122" s="45" t="n">
        <v>89</v>
      </c>
      <c r="BU122" s="46" t="n">
        <v>100</v>
      </c>
      <c r="BV122" s="47" t="n">
        <v>82</v>
      </c>
      <c r="BW122" s="42" t="n">
        <v>99</v>
      </c>
      <c r="BX122" s="48" t="n">
        <v>92</v>
      </c>
      <c r="BY122" s="32" t="n">
        <v>26</v>
      </c>
      <c r="BZ122" s="32" t="n">
        <v>62</v>
      </c>
      <c r="CA122" s="32" t="n">
        <v>88</v>
      </c>
      <c r="CB122" s="32" t="n">
        <v>24</v>
      </c>
      <c r="CC122" s="32" t="n">
        <v>42</v>
      </c>
      <c r="CD122" s="32" t="n">
        <v>66</v>
      </c>
      <c r="CE122" s="32" t="n">
        <v>24</v>
      </c>
      <c r="CF122" s="32" t="n">
        <v>64</v>
      </c>
      <c r="CG122" s="32" t="n">
        <v>88</v>
      </c>
      <c r="CH122" s="32" t="n">
        <v>96</v>
      </c>
      <c r="CI122" s="32" t="n">
        <v>99</v>
      </c>
      <c r="CJ122" s="49" t="n">
        <v>18</v>
      </c>
      <c r="CK122" s="49" t="n">
        <v>52</v>
      </c>
      <c r="CL122" s="49" t="n">
        <v>70</v>
      </c>
      <c r="CM122" s="49" t="n">
        <v>20</v>
      </c>
      <c r="CN122" s="49" t="n">
        <v>55</v>
      </c>
      <c r="CO122" s="49" t="n">
        <v>75</v>
      </c>
      <c r="CP122" s="25" t="n">
        <f aca="false">BX122+BW122+BV122+BU122+BT122+BQ122+BN122</f>
        <v>619</v>
      </c>
      <c r="CQ122" s="25" t="n">
        <f aca="false">CO122+CL122+CI122+CH122+CG122+CD122+CA122</f>
        <v>582</v>
      </c>
      <c r="CR122" s="26" t="n">
        <f aca="false">CP122/7</f>
        <v>88.4285714285714</v>
      </c>
      <c r="CS122" s="26" t="n">
        <f aca="false">CQ122/7</f>
        <v>83.1428571428571</v>
      </c>
      <c r="CT122" s="24" t="n">
        <f aca="false">RANK(CR122,$CR$2:$CR$881,0)</f>
        <v>276</v>
      </c>
      <c r="CU122" s="25" t="n">
        <f aca="false">RANK(CS122,$CS$2:$CS$881,0)</f>
        <v>153</v>
      </c>
      <c r="CV122" s="26" t="n">
        <f aca="false">(CS122+CR122)/2</f>
        <v>85.7857142857143</v>
      </c>
      <c r="CW122" s="25" t="n">
        <f aca="false">RANK(CV122,$CV$2:$CV$881,0)</f>
        <v>183</v>
      </c>
      <c r="CX122" s="50" t="n">
        <f aca="false">(CV122+BB122)/2</f>
        <v>86.4428571428571</v>
      </c>
      <c r="CY122" s="50" t="n">
        <v>89</v>
      </c>
      <c r="CZ122" s="27" t="s">
        <v>132</v>
      </c>
      <c r="DA122" s="27" t="s">
        <v>133</v>
      </c>
      <c r="DB122" s="27" t="s">
        <v>133</v>
      </c>
      <c r="DC122" s="27" t="s">
        <v>134</v>
      </c>
      <c r="DD122" s="27" t="s">
        <v>154</v>
      </c>
      <c r="DE122" s="27" t="s">
        <v>204</v>
      </c>
      <c r="DF122" s="27" t="s">
        <v>205</v>
      </c>
      <c r="DG122" s="27" t="s">
        <v>134</v>
      </c>
      <c r="DH122" s="27" t="s">
        <v>154</v>
      </c>
      <c r="DI122" s="27" t="s">
        <v>152</v>
      </c>
      <c r="DJ122" s="27" t="s">
        <v>178</v>
      </c>
      <c r="DK122" s="27" t="s">
        <v>134</v>
      </c>
      <c r="DL122" s="27" t="s">
        <v>182</v>
      </c>
      <c r="DM122" s="27" t="s">
        <v>203</v>
      </c>
      <c r="DN122" s="27" t="s">
        <v>202</v>
      </c>
      <c r="DO122" s="27" t="s">
        <v>134</v>
      </c>
      <c r="DP122" s="27" t="s">
        <v>191</v>
      </c>
      <c r="DQ122" s="27" t="s">
        <v>218</v>
      </c>
      <c r="DR122" s="27" t="s">
        <v>382</v>
      </c>
      <c r="DS122" s="27" t="s">
        <v>134</v>
      </c>
      <c r="DT122" s="27" t="s">
        <v>135</v>
      </c>
      <c r="DU122" s="27" t="s">
        <v>399</v>
      </c>
      <c r="DV122" s="27" t="s">
        <v>486</v>
      </c>
      <c r="DW122" s="27" t="s">
        <v>135</v>
      </c>
      <c r="DX122" s="27" t="s">
        <v>138</v>
      </c>
      <c r="DY122" s="27" t="s">
        <v>156</v>
      </c>
      <c r="DZ122" s="27" t="n">
        <f aca="false">DY122+DV122+DR122+DN122+DJ122+DF122+DB122</f>
        <v>587</v>
      </c>
      <c r="EA122" s="28" t="n">
        <f aca="false">DZ122/7</f>
        <v>83.8571428571429</v>
      </c>
      <c r="EB122" s="27" t="n">
        <f aca="false">RANK(EA122,$EA$2:$EA$881,0)</f>
        <v>230</v>
      </c>
      <c r="EC122" s="29" t="n">
        <f aca="false">DZ122+CQ122+CP122+AZ122</f>
        <v>2659</v>
      </c>
      <c r="ED122" s="30" t="n">
        <f aca="false">(EA122+CV122+BB122)/3</f>
        <v>85.5809523809524</v>
      </c>
      <c r="EE122" s="51" t="n">
        <f aca="false">ROUND(BE122,3)</f>
        <v>92.23</v>
      </c>
      <c r="EF122" s="51" t="n">
        <f aca="false">ROUND(CR122,3)</f>
        <v>88.429</v>
      </c>
      <c r="EG122" s="51" t="n">
        <f aca="false">ROUND(CS122,3)</f>
        <v>83.143</v>
      </c>
      <c r="EH122" s="51" t="n">
        <f aca="false">ROUND(EA122,3)</f>
        <v>83.857</v>
      </c>
      <c r="EI122" s="51" t="n">
        <f aca="false">ROUND(ED122,3)</f>
        <v>85.581</v>
      </c>
      <c r="EJ122" s="51" t="n">
        <f aca="false">ROUND(CV122,3)</f>
        <v>85.786</v>
      </c>
      <c r="EK122" s="0" t="n">
        <f aca="false">RANK(EI122,$EI$2:$EI$881,0)</f>
        <v>121</v>
      </c>
    </row>
    <row r="123" customFormat="false" ht="15" hidden="false" customHeight="false" outlineLevel="0" collapsed="false">
      <c r="A123" s="4" t="n">
        <v>1808</v>
      </c>
      <c r="B123" s="4" t="n">
        <v>128</v>
      </c>
      <c r="C123" s="27" t="s">
        <v>554</v>
      </c>
      <c r="D123" s="31" t="n">
        <v>126</v>
      </c>
      <c r="E123" s="16" t="n">
        <v>230126622</v>
      </c>
      <c r="F123" s="56" t="s">
        <v>555</v>
      </c>
      <c r="G123" s="22" t="s">
        <v>515</v>
      </c>
      <c r="H123" s="22" t="s">
        <v>326</v>
      </c>
      <c r="I123" s="57"/>
      <c r="J123" s="16" t="n">
        <v>62</v>
      </c>
      <c r="K123" s="16" t="n">
        <v>64</v>
      </c>
      <c r="L123" s="34" t="n">
        <f aca="false">(K123*70)/100</f>
        <v>44.8</v>
      </c>
      <c r="M123" s="34" t="n">
        <f aca="false">ROUNDUP(L123,0)</f>
        <v>45</v>
      </c>
      <c r="N123" s="16" t="n">
        <v>25</v>
      </c>
      <c r="O123" s="34" t="n">
        <f aca="false">N123+L123</f>
        <v>69.8</v>
      </c>
      <c r="P123" s="34" t="n">
        <f aca="false">N123+M123</f>
        <v>70</v>
      </c>
      <c r="Q123" s="71" t="n">
        <v>46</v>
      </c>
      <c r="R123" s="16" t="n">
        <v>65</v>
      </c>
      <c r="S123" s="34" t="n">
        <f aca="false">(R123*70)/100</f>
        <v>45.5</v>
      </c>
      <c r="T123" s="34" t="n">
        <f aca="false">ROUNDUP(S123,0)</f>
        <v>46</v>
      </c>
      <c r="U123" s="16" t="n">
        <v>25</v>
      </c>
      <c r="V123" s="34" t="n">
        <f aca="false">U123+S123</f>
        <v>70.5</v>
      </c>
      <c r="W123" s="34" t="n">
        <f aca="false">U123+T123</f>
        <v>71</v>
      </c>
      <c r="X123" s="16" t="n">
        <v>82</v>
      </c>
      <c r="Y123" s="34" t="n">
        <f aca="false">(X123*70)/100</f>
        <v>57.4</v>
      </c>
      <c r="Z123" s="34" t="n">
        <f aca="false">ROUNDUP(Y123,0)</f>
        <v>58</v>
      </c>
      <c r="AA123" s="16" t="n">
        <v>27</v>
      </c>
      <c r="AB123" s="34" t="n">
        <f aca="false">AA123+Y123</f>
        <v>84.4</v>
      </c>
      <c r="AC123" s="34" t="n">
        <f aca="false">AA123+Z123</f>
        <v>85</v>
      </c>
      <c r="AD123" s="32" t="n">
        <f aca="false">X123+R123+Q123+K123+J123</f>
        <v>319</v>
      </c>
      <c r="AE123" s="16" t="n">
        <f aca="false">AD123/5</f>
        <v>63.8</v>
      </c>
      <c r="AF123" s="16" t="n">
        <v>85</v>
      </c>
      <c r="AG123" s="16" t="n">
        <v>84</v>
      </c>
      <c r="AH123" s="16" t="n">
        <v>96</v>
      </c>
      <c r="AI123" s="16" t="n">
        <v>96</v>
      </c>
      <c r="AJ123" s="16" t="n">
        <f aca="false">(AI123*70)/100</f>
        <v>67.2</v>
      </c>
      <c r="AK123" s="35" t="n">
        <f aca="false">ROUNDUP(AJ123,0)</f>
        <v>68</v>
      </c>
      <c r="AL123" s="24" t="n">
        <v>17</v>
      </c>
      <c r="AM123" s="16" t="n">
        <f aca="false">AL123+AJ123</f>
        <v>84.2</v>
      </c>
      <c r="AN123" s="16" t="n">
        <f aca="false">AL123+AK123</f>
        <v>85</v>
      </c>
      <c r="AO123" s="16" t="n">
        <v>85</v>
      </c>
      <c r="AP123" s="36" t="n">
        <f aca="false">(AO123*70)/100</f>
        <v>59.5</v>
      </c>
      <c r="AQ123" s="37" t="n">
        <f aca="false">ROUNDUP(AP123,0)</f>
        <v>60</v>
      </c>
      <c r="AR123" s="16" t="n">
        <v>18</v>
      </c>
      <c r="AS123" s="16" t="n">
        <f aca="false">AR123+AP123</f>
        <v>77.5</v>
      </c>
      <c r="AT123" s="16" t="n">
        <f aca="false">AR123+AQ123</f>
        <v>78</v>
      </c>
      <c r="AU123" s="16" t="n">
        <f aca="false">AO123+AF123+AI123+AH123+AG123</f>
        <v>446</v>
      </c>
      <c r="AV123" s="16" t="n">
        <f aca="false">(AO123+AF123+AI123+AH123+AG123)/5</f>
        <v>89.2</v>
      </c>
      <c r="AW123" s="36" t="n">
        <f aca="false">(AO123+AF123+AI123+AH123+AG123+X123+R123+Q123+K123+J123)</f>
        <v>765</v>
      </c>
      <c r="AX123" s="16" t="n">
        <f aca="false">AW123/10</f>
        <v>76.5</v>
      </c>
      <c r="AY123" s="16" t="n">
        <f aca="false">AS123+AF123+AM123+AH123+AG123+AB123+V123+Q123+O123+J123</f>
        <v>759.4</v>
      </c>
      <c r="AZ123" s="16" t="n">
        <f aca="false">AT123+AF123+AN123+AH123+AG123+AC123+W123+Q123+P123+J123</f>
        <v>762</v>
      </c>
      <c r="BA123" s="16" t="n">
        <f aca="false">AY123/10</f>
        <v>75.94</v>
      </c>
      <c r="BB123" s="16" t="n">
        <f aca="false">AZ123/10</f>
        <v>76.2</v>
      </c>
      <c r="BC123" s="16" t="n">
        <v>2340</v>
      </c>
      <c r="BD123" s="16" t="n">
        <f aca="false">RANK(AX123,$AX$2:$AX$881,0)</f>
        <v>562</v>
      </c>
      <c r="BE123" s="73" t="n">
        <f aca="false">((BC123*100)/2400)*0.4+(AX123*0.6)</f>
        <v>84.9</v>
      </c>
      <c r="BF123" s="16" t="n">
        <f aca="false">RANK(BE123,$BE$2:$BE$881,0)</f>
        <v>635</v>
      </c>
      <c r="BG123" s="39" t="n">
        <f aca="false">RANK(BB123,$BB$2:$BB$881,0)</f>
        <v>672</v>
      </c>
      <c r="BH123" s="39" t="n">
        <f aca="false">RANK(BC123,$BC$2:$BC$881,0)</f>
        <v>636</v>
      </c>
      <c r="BI123" s="22" t="s">
        <v>130</v>
      </c>
      <c r="BJ123" s="22" t="s">
        <v>129</v>
      </c>
      <c r="BK123" s="22" t="s">
        <v>509</v>
      </c>
      <c r="BL123" s="41" t="n">
        <v>20</v>
      </c>
      <c r="BM123" s="41" t="n">
        <v>60</v>
      </c>
      <c r="BN123" s="41" t="n">
        <v>80</v>
      </c>
      <c r="BO123" s="42" t="n">
        <v>25</v>
      </c>
      <c r="BP123" s="43" t="n">
        <v>68</v>
      </c>
      <c r="BQ123" s="44" t="n">
        <v>93</v>
      </c>
      <c r="BR123" s="42" t="n">
        <v>25</v>
      </c>
      <c r="BS123" s="45" t="n">
        <v>64</v>
      </c>
      <c r="BT123" s="45" t="n">
        <v>89</v>
      </c>
      <c r="BU123" s="46" t="n">
        <v>100</v>
      </c>
      <c r="BV123" s="47" t="n">
        <v>82</v>
      </c>
      <c r="BW123" s="42" t="n">
        <v>99</v>
      </c>
      <c r="BX123" s="48" t="n">
        <v>98</v>
      </c>
      <c r="BY123" s="32" t="n">
        <v>28</v>
      </c>
      <c r="BZ123" s="32" t="n">
        <v>66</v>
      </c>
      <c r="CA123" s="32" t="n">
        <v>94</v>
      </c>
      <c r="CB123" s="32" t="n">
        <v>26</v>
      </c>
      <c r="CC123" s="32" t="n">
        <v>60</v>
      </c>
      <c r="CD123" s="32" t="n">
        <v>86</v>
      </c>
      <c r="CE123" s="32" t="n">
        <v>26</v>
      </c>
      <c r="CF123" s="32" t="n">
        <v>63</v>
      </c>
      <c r="CG123" s="32" t="n">
        <v>89</v>
      </c>
      <c r="CH123" s="32" t="n">
        <v>96</v>
      </c>
      <c r="CI123" s="32" t="n">
        <v>96</v>
      </c>
      <c r="CJ123" s="49" t="n">
        <v>26</v>
      </c>
      <c r="CK123" s="49" t="n">
        <v>65</v>
      </c>
      <c r="CL123" s="49" t="n">
        <v>91</v>
      </c>
      <c r="CM123" s="49" t="n">
        <v>24</v>
      </c>
      <c r="CN123" s="49" t="n">
        <v>58</v>
      </c>
      <c r="CO123" s="49" t="n">
        <v>82</v>
      </c>
      <c r="CP123" s="25" t="n">
        <f aca="false">BX123+BW123+BV123+BU123+BT123+BQ123+BN123</f>
        <v>641</v>
      </c>
      <c r="CQ123" s="25" t="n">
        <f aca="false">CO123+CL123+CI123+CH123+CG123+CD123+CA123</f>
        <v>634</v>
      </c>
      <c r="CR123" s="26" t="n">
        <f aca="false">CP123/7</f>
        <v>91.5714285714286</v>
      </c>
      <c r="CS123" s="26" t="n">
        <f aca="false">CQ123/7</f>
        <v>90.5714285714286</v>
      </c>
      <c r="CT123" s="24" t="n">
        <f aca="false">RANK(CR123,$CR$2:$CR$881,0)</f>
        <v>100</v>
      </c>
      <c r="CU123" s="25" t="n">
        <f aca="false">RANK(CS123,$CS$2:$CS$881,0)</f>
        <v>17</v>
      </c>
      <c r="CV123" s="26" t="n">
        <f aca="false">(CS123+CR123)/2</f>
        <v>91.0714285714286</v>
      </c>
      <c r="CW123" s="25" t="n">
        <f aca="false">RANK(CV123,$CV$2:$CV$881,0)</f>
        <v>36</v>
      </c>
      <c r="CX123" s="50" t="n">
        <f aca="false">(CV123+BB123)/2</f>
        <v>83.6357142857143</v>
      </c>
      <c r="CY123" s="50" t="n">
        <v>182</v>
      </c>
      <c r="CZ123" s="27" t="s">
        <v>132</v>
      </c>
      <c r="DA123" s="27" t="s">
        <v>219</v>
      </c>
      <c r="DB123" s="27" t="s">
        <v>219</v>
      </c>
      <c r="DC123" s="27" t="s">
        <v>134</v>
      </c>
      <c r="DD123" s="27" t="s">
        <v>137</v>
      </c>
      <c r="DE123" s="27" t="s">
        <v>161</v>
      </c>
      <c r="DF123" s="27" t="s">
        <v>178</v>
      </c>
      <c r="DG123" s="27" t="s">
        <v>134</v>
      </c>
      <c r="DH123" s="27" t="s">
        <v>182</v>
      </c>
      <c r="DI123" s="27" t="s">
        <v>143</v>
      </c>
      <c r="DJ123" s="27" t="s">
        <v>176</v>
      </c>
      <c r="DK123" s="27" t="s">
        <v>134</v>
      </c>
      <c r="DL123" s="27" t="s">
        <v>154</v>
      </c>
      <c r="DM123" s="27" t="s">
        <v>187</v>
      </c>
      <c r="DN123" s="27" t="s">
        <v>162</v>
      </c>
      <c r="DO123" s="27" t="s">
        <v>134</v>
      </c>
      <c r="DP123" s="27" t="s">
        <v>137</v>
      </c>
      <c r="DQ123" s="27" t="s">
        <v>187</v>
      </c>
      <c r="DR123" s="27" t="s">
        <v>176</v>
      </c>
      <c r="DS123" s="27" t="s">
        <v>134</v>
      </c>
      <c r="DT123" s="27" t="s">
        <v>140</v>
      </c>
      <c r="DU123" s="27" t="s">
        <v>136</v>
      </c>
      <c r="DV123" s="27" t="s">
        <v>176</v>
      </c>
      <c r="DW123" s="27" t="s">
        <v>137</v>
      </c>
      <c r="DX123" s="27" t="s">
        <v>143</v>
      </c>
      <c r="DY123" s="27" t="s">
        <v>156</v>
      </c>
      <c r="DZ123" s="27" t="n">
        <f aca="false">DY123+DV123+DR123+DN123+DJ123+DF123+DB123</f>
        <v>626</v>
      </c>
      <c r="EA123" s="28" t="n">
        <f aca="false">DZ123/7</f>
        <v>89.4285714285714</v>
      </c>
      <c r="EB123" s="27" t="n">
        <f aca="false">RANK(EA123,$EA$2:$EA$881,0)</f>
        <v>70</v>
      </c>
      <c r="EC123" s="29" t="n">
        <f aca="false">DZ123+CQ123+CP123+AZ123</f>
        <v>2663</v>
      </c>
      <c r="ED123" s="30" t="n">
        <f aca="false">(EA123+CV123+BB123)/3</f>
        <v>85.5666666666667</v>
      </c>
      <c r="EE123" s="51" t="n">
        <f aca="false">ROUND(BE123,3)</f>
        <v>84.9</v>
      </c>
      <c r="EF123" s="51" t="n">
        <f aca="false">ROUND(CR123,3)</f>
        <v>91.571</v>
      </c>
      <c r="EG123" s="51" t="n">
        <f aca="false">ROUND(CS123,3)</f>
        <v>90.571</v>
      </c>
      <c r="EH123" s="51" t="n">
        <f aca="false">ROUND(EA123,3)</f>
        <v>89.429</v>
      </c>
      <c r="EI123" s="51" t="n">
        <f aca="false">ROUND(ED123,3)</f>
        <v>85.567</v>
      </c>
      <c r="EJ123" s="51" t="n">
        <f aca="false">ROUND(CV123,3)</f>
        <v>91.071</v>
      </c>
      <c r="EK123" s="0" t="n">
        <f aca="false">RANK(EI123,$EI$2:$EI$881,0)</f>
        <v>122</v>
      </c>
    </row>
    <row r="124" customFormat="false" ht="15" hidden="false" customHeight="false" outlineLevel="0" collapsed="false">
      <c r="A124" s="4" t="n">
        <v>1911</v>
      </c>
      <c r="B124" s="4" t="n">
        <v>686</v>
      </c>
      <c r="C124" s="27" t="s">
        <v>556</v>
      </c>
      <c r="D124" s="31" t="n">
        <v>700</v>
      </c>
      <c r="E124" s="16" t="n">
        <v>230612969</v>
      </c>
      <c r="F124" s="56" t="s">
        <v>557</v>
      </c>
      <c r="G124" s="22" t="s">
        <v>478</v>
      </c>
      <c r="H124" s="22" t="s">
        <v>558</v>
      </c>
      <c r="I124" s="57"/>
      <c r="J124" s="16" t="n">
        <v>72</v>
      </c>
      <c r="K124" s="16" t="n">
        <v>76</v>
      </c>
      <c r="L124" s="34" t="n">
        <f aca="false">(K124*70)/100</f>
        <v>53.2</v>
      </c>
      <c r="M124" s="34" t="n">
        <f aca="false">ROUNDUP(L124,0)</f>
        <v>54</v>
      </c>
      <c r="N124" s="16" t="n">
        <v>29</v>
      </c>
      <c r="O124" s="34" t="n">
        <f aca="false">N124+L124</f>
        <v>82.2</v>
      </c>
      <c r="P124" s="34" t="n">
        <f aca="false">N124+M124</f>
        <v>83</v>
      </c>
      <c r="Q124" s="16" t="n">
        <v>66</v>
      </c>
      <c r="R124" s="16" t="n">
        <v>70</v>
      </c>
      <c r="S124" s="34" t="n">
        <f aca="false">(R124*70)/100</f>
        <v>49</v>
      </c>
      <c r="T124" s="34" t="n">
        <f aca="false">ROUNDUP(S124,0)</f>
        <v>49</v>
      </c>
      <c r="U124" s="16" t="n">
        <v>27</v>
      </c>
      <c r="V124" s="34" t="n">
        <f aca="false">U124+S124</f>
        <v>76</v>
      </c>
      <c r="W124" s="34" t="n">
        <f aca="false">U124+T124</f>
        <v>76</v>
      </c>
      <c r="X124" s="16" t="n">
        <v>72</v>
      </c>
      <c r="Y124" s="34" t="n">
        <f aca="false">(X124*70)/100</f>
        <v>50.4</v>
      </c>
      <c r="Z124" s="34" t="n">
        <f aca="false">ROUNDUP(Y124,0)</f>
        <v>51</v>
      </c>
      <c r="AA124" s="16" t="n">
        <v>29</v>
      </c>
      <c r="AB124" s="34" t="n">
        <f aca="false">AA124+Y124</f>
        <v>79.4</v>
      </c>
      <c r="AC124" s="34" t="n">
        <f aca="false">AA124+Z124</f>
        <v>80</v>
      </c>
      <c r="AD124" s="32" t="n">
        <f aca="false">X124+R124+Q124+K124+J124</f>
        <v>356</v>
      </c>
      <c r="AE124" s="16" t="n">
        <f aca="false">AD124/5</f>
        <v>71.2</v>
      </c>
      <c r="AF124" s="16" t="n">
        <v>79</v>
      </c>
      <c r="AG124" s="16" t="n">
        <v>85</v>
      </c>
      <c r="AH124" s="16" t="n">
        <v>88</v>
      </c>
      <c r="AI124" s="16" t="n">
        <v>88</v>
      </c>
      <c r="AJ124" s="16" t="n">
        <f aca="false">(AI124*70)/100</f>
        <v>61.6</v>
      </c>
      <c r="AK124" s="35" t="n">
        <f aca="false">ROUNDUP(AJ124,0)</f>
        <v>62</v>
      </c>
      <c r="AL124" s="16" t="n">
        <v>28</v>
      </c>
      <c r="AM124" s="16" t="n">
        <f aca="false">AL124+AJ124</f>
        <v>89.6</v>
      </c>
      <c r="AN124" s="16" t="n">
        <f aca="false">AL124+AK124</f>
        <v>90</v>
      </c>
      <c r="AO124" s="16" t="n">
        <v>78</v>
      </c>
      <c r="AP124" s="36" t="n">
        <f aca="false">(AO124*70)/100</f>
        <v>54.6</v>
      </c>
      <c r="AQ124" s="37" t="n">
        <f aca="false">ROUNDUP(AP124,0)</f>
        <v>55</v>
      </c>
      <c r="AR124" s="16" t="n">
        <v>28</v>
      </c>
      <c r="AS124" s="16" t="n">
        <f aca="false">AR124+AP124</f>
        <v>82.6</v>
      </c>
      <c r="AT124" s="16" t="n">
        <f aca="false">AR124+AQ124</f>
        <v>83</v>
      </c>
      <c r="AU124" s="16" t="n">
        <f aca="false">AO124+AF124+AI124+AH124+AG124</f>
        <v>418</v>
      </c>
      <c r="AV124" s="16" t="n">
        <f aca="false">(AO124+AF124+AI124+AH124+AG124)/5</f>
        <v>83.6</v>
      </c>
      <c r="AW124" s="36" t="n">
        <f aca="false">(AO124+AF124+AI124+AH124+AG124+X124+R124+Q124+K124+J124)</f>
        <v>774</v>
      </c>
      <c r="AX124" s="16" t="n">
        <f aca="false">AW124/10</f>
        <v>77.4</v>
      </c>
      <c r="AY124" s="16" t="n">
        <f aca="false">AS124+AF124+AM124+AH124+AG124+AB124+V124+Q124+O124+J124</f>
        <v>799.8</v>
      </c>
      <c r="AZ124" s="16" t="n">
        <f aca="false">AT124+AF124+AN124+AH124+AG124+AC124+W124+Q124+P124+J124</f>
        <v>802</v>
      </c>
      <c r="BA124" s="16" t="n">
        <f aca="false">AY124/10</f>
        <v>79.98</v>
      </c>
      <c r="BB124" s="16" t="n">
        <f aca="false">AZ124/10</f>
        <v>80.2</v>
      </c>
      <c r="BC124" s="16" t="n">
        <v>2372</v>
      </c>
      <c r="BD124" s="16" t="n">
        <f aca="false">RANK(AX124,$AX$2:$AX$881,0)</f>
        <v>461</v>
      </c>
      <c r="BE124" s="54" t="n">
        <f aca="false">((BC124*100)/2400)*0.4+(AX124*0.6)</f>
        <v>85.9733333333333</v>
      </c>
      <c r="BF124" s="16" t="n">
        <f aca="false">RANK(BE124,$BE$2:$BE$881,0)</f>
        <v>437</v>
      </c>
      <c r="BG124" s="39" t="n">
        <f aca="false">RANK(BB124,$BB$2:$BB$881,0)</f>
        <v>338</v>
      </c>
      <c r="BH124" s="39" t="n">
        <f aca="false">RANK(BC124,$BC$2:$BC$881,0)</f>
        <v>246</v>
      </c>
      <c r="BI124" s="22" t="s">
        <v>130</v>
      </c>
      <c r="BJ124" s="22" t="s">
        <v>129</v>
      </c>
      <c r="BK124" s="40" t="s">
        <v>509</v>
      </c>
      <c r="BL124" s="41" t="n">
        <v>23</v>
      </c>
      <c r="BM124" s="41" t="n">
        <v>59</v>
      </c>
      <c r="BN124" s="41" t="n">
        <v>82</v>
      </c>
      <c r="BO124" s="42" t="n">
        <v>28</v>
      </c>
      <c r="BP124" s="43" t="n">
        <v>61</v>
      </c>
      <c r="BQ124" s="44" t="n">
        <v>89</v>
      </c>
      <c r="BR124" s="42" t="n">
        <v>22</v>
      </c>
      <c r="BS124" s="45" t="n">
        <v>63</v>
      </c>
      <c r="BT124" s="45" t="n">
        <v>85</v>
      </c>
      <c r="BU124" s="46" t="n">
        <v>100</v>
      </c>
      <c r="BV124" s="47" t="n">
        <v>90</v>
      </c>
      <c r="BW124" s="42" t="n">
        <v>95</v>
      </c>
      <c r="BX124" s="62" t="n">
        <v>98</v>
      </c>
      <c r="BY124" s="62" t="n">
        <v>27</v>
      </c>
      <c r="BZ124" s="62" t="n">
        <v>56</v>
      </c>
      <c r="CA124" s="62" t="n">
        <v>83</v>
      </c>
      <c r="CB124" s="62" t="n">
        <v>28</v>
      </c>
      <c r="CC124" s="62" t="n">
        <v>38</v>
      </c>
      <c r="CD124" s="62" t="n">
        <v>66</v>
      </c>
      <c r="CE124" s="62" t="n">
        <v>26</v>
      </c>
      <c r="CF124" s="62" t="n">
        <v>51</v>
      </c>
      <c r="CG124" s="62" t="n">
        <v>77</v>
      </c>
      <c r="CH124" s="62" t="n">
        <v>100</v>
      </c>
      <c r="CI124" s="62" t="n">
        <v>99</v>
      </c>
      <c r="CJ124" s="75" t="n">
        <v>25</v>
      </c>
      <c r="CK124" s="75" t="n">
        <v>53</v>
      </c>
      <c r="CL124" s="75" t="n">
        <v>78</v>
      </c>
      <c r="CM124" s="49" t="n">
        <v>25</v>
      </c>
      <c r="CN124" s="49" t="n">
        <v>54</v>
      </c>
      <c r="CO124" s="49" t="n">
        <v>79</v>
      </c>
      <c r="CP124" s="25" t="n">
        <f aca="false">BX124+BW124+BV124+BU124+BT124+BQ124+BN124</f>
        <v>639</v>
      </c>
      <c r="CQ124" s="25" t="n">
        <f aca="false">CO124+CL124+CI124+CH124+CG124+CD124+CA124</f>
        <v>582</v>
      </c>
      <c r="CR124" s="26" t="n">
        <f aca="false">CP124/7</f>
        <v>91.2857142857143</v>
      </c>
      <c r="CS124" s="26" t="n">
        <f aca="false">CQ124/7</f>
        <v>83.1428571428571</v>
      </c>
      <c r="CT124" s="24" t="n">
        <f aca="false">RANK(CR124,$CR$2:$CR$881,0)</f>
        <v>114</v>
      </c>
      <c r="CU124" s="25" t="n">
        <f aca="false">RANK(CS124,$CS$2:$CS$881,0)</f>
        <v>153</v>
      </c>
      <c r="CV124" s="26" t="n">
        <f aca="false">(CS124+CR124)/2</f>
        <v>87.2142857142857</v>
      </c>
      <c r="CW124" s="25" t="n">
        <f aca="false">RANK(CV124,$CV$2:$CV$881,0)</f>
        <v>132</v>
      </c>
      <c r="CX124" s="50" t="n">
        <f aca="false">(CV124+BB124)/2</f>
        <v>83.7071428571429</v>
      </c>
      <c r="CY124" s="50" t="n">
        <v>174</v>
      </c>
      <c r="CZ124" s="27" t="s">
        <v>132</v>
      </c>
      <c r="DA124" s="27" t="s">
        <v>153</v>
      </c>
      <c r="DB124" s="27" t="s">
        <v>153</v>
      </c>
      <c r="DC124" s="27" t="s">
        <v>134</v>
      </c>
      <c r="DD124" s="27" t="s">
        <v>140</v>
      </c>
      <c r="DE124" s="27" t="s">
        <v>136</v>
      </c>
      <c r="DF124" s="27" t="s">
        <v>176</v>
      </c>
      <c r="DG124" s="27" t="s">
        <v>134</v>
      </c>
      <c r="DH124" s="27" t="s">
        <v>182</v>
      </c>
      <c r="DI124" s="27" t="s">
        <v>136</v>
      </c>
      <c r="DJ124" s="27" t="s">
        <v>178</v>
      </c>
      <c r="DK124" s="27" t="s">
        <v>134</v>
      </c>
      <c r="DL124" s="27" t="s">
        <v>164</v>
      </c>
      <c r="DM124" s="27" t="s">
        <v>177</v>
      </c>
      <c r="DN124" s="27" t="s">
        <v>178</v>
      </c>
      <c r="DO124" s="27" t="s">
        <v>134</v>
      </c>
      <c r="DP124" s="27" t="s">
        <v>137</v>
      </c>
      <c r="DQ124" s="27" t="s">
        <v>183</v>
      </c>
      <c r="DR124" s="27" t="s">
        <v>209</v>
      </c>
      <c r="DS124" s="27" t="s">
        <v>134</v>
      </c>
      <c r="DT124" s="27" t="s">
        <v>140</v>
      </c>
      <c r="DU124" s="27" t="s">
        <v>136</v>
      </c>
      <c r="DV124" s="27" t="s">
        <v>176</v>
      </c>
      <c r="DW124" s="27" t="s">
        <v>182</v>
      </c>
      <c r="DX124" s="27" t="s">
        <v>138</v>
      </c>
      <c r="DY124" s="27" t="s">
        <v>151</v>
      </c>
      <c r="DZ124" s="27" t="n">
        <f aca="false">DY124+DV124+DR124+DN124+DJ124+DF124+DB124</f>
        <v>625</v>
      </c>
      <c r="EA124" s="28" t="n">
        <f aca="false">DZ124/7</f>
        <v>89.2857142857143</v>
      </c>
      <c r="EB124" s="27" t="n">
        <f aca="false">RANK(EA124,$EA$2:$EA$881,0)</f>
        <v>74</v>
      </c>
      <c r="EC124" s="29" t="n">
        <f aca="false">DZ124+CQ124+CP124+AZ124</f>
        <v>2648</v>
      </c>
      <c r="ED124" s="30" t="n">
        <f aca="false">(EA124+CV124+BB124)/3</f>
        <v>85.5666666666667</v>
      </c>
      <c r="EE124" s="51" t="n">
        <f aca="false">ROUND(BE124,3)</f>
        <v>85.973</v>
      </c>
      <c r="EF124" s="51" t="n">
        <f aca="false">ROUND(CR124,3)</f>
        <v>91.286</v>
      </c>
      <c r="EG124" s="51" t="n">
        <f aca="false">ROUND(CS124,3)</f>
        <v>83.143</v>
      </c>
      <c r="EH124" s="51" t="n">
        <f aca="false">ROUND(EA124,3)</f>
        <v>89.286</v>
      </c>
      <c r="EI124" s="51" t="n">
        <f aca="false">ROUND(ED124,3)</f>
        <v>85.567</v>
      </c>
      <c r="EJ124" s="51" t="n">
        <f aca="false">ROUND(CV124,3)</f>
        <v>87.214</v>
      </c>
      <c r="EK124" s="0" t="n">
        <f aca="false">RANK(EI124,$EI$2:$EI$881,0)</f>
        <v>122</v>
      </c>
    </row>
    <row r="125" customFormat="false" ht="15" hidden="false" customHeight="false" outlineLevel="0" collapsed="false">
      <c r="A125" s="4" t="n">
        <v>1961</v>
      </c>
      <c r="B125" s="4" t="n">
        <v>111</v>
      </c>
      <c r="C125" s="27" t="s">
        <v>559</v>
      </c>
      <c r="D125" s="52" t="n">
        <v>111</v>
      </c>
      <c r="E125" s="32" t="n">
        <v>234300101</v>
      </c>
      <c r="F125" s="8" t="s">
        <v>560</v>
      </c>
      <c r="G125" s="66" t="s">
        <v>561</v>
      </c>
      <c r="H125" s="66" t="s">
        <v>129</v>
      </c>
      <c r="I125" s="67" t="s">
        <v>525</v>
      </c>
      <c r="J125" s="32" t="n">
        <v>83</v>
      </c>
      <c r="K125" s="32" t="n">
        <v>78</v>
      </c>
      <c r="L125" s="34" t="n">
        <f aca="false">(K125*70)/100</f>
        <v>54.6</v>
      </c>
      <c r="M125" s="34" t="n">
        <f aca="false">ROUNDUP(L125,0)</f>
        <v>55</v>
      </c>
      <c r="N125" s="32" t="n">
        <v>27</v>
      </c>
      <c r="O125" s="34" t="n">
        <f aca="false">N125+L125</f>
        <v>81.6</v>
      </c>
      <c r="P125" s="34" t="n">
        <f aca="false">N125+M125</f>
        <v>82</v>
      </c>
      <c r="Q125" s="32" t="n">
        <v>73</v>
      </c>
      <c r="R125" s="32" t="n">
        <v>72</v>
      </c>
      <c r="S125" s="34" t="n">
        <f aca="false">(R125*70)/100</f>
        <v>50.4</v>
      </c>
      <c r="T125" s="34" t="n">
        <f aca="false">ROUNDUP(S125,0)</f>
        <v>51</v>
      </c>
      <c r="U125" s="32" t="n">
        <v>25</v>
      </c>
      <c r="V125" s="34" t="n">
        <f aca="false">U125+S125</f>
        <v>75.4</v>
      </c>
      <c r="W125" s="34" t="n">
        <f aca="false">U125+T125</f>
        <v>76</v>
      </c>
      <c r="X125" s="32" t="n">
        <v>70</v>
      </c>
      <c r="Y125" s="34" t="n">
        <f aca="false">(X125*70)/100</f>
        <v>49</v>
      </c>
      <c r="Z125" s="34" t="n">
        <f aca="false">ROUNDUP(Y125,0)</f>
        <v>49</v>
      </c>
      <c r="AA125" s="32" t="n">
        <v>26</v>
      </c>
      <c r="AB125" s="34" t="n">
        <f aca="false">AA125+Y125</f>
        <v>75</v>
      </c>
      <c r="AC125" s="34" t="n">
        <f aca="false">AA125+Z125</f>
        <v>75</v>
      </c>
      <c r="AD125" s="32" t="n">
        <f aca="false">X125+R125+Q125+K125+J125</f>
        <v>376</v>
      </c>
      <c r="AE125" s="16" t="n">
        <f aca="false">AD125/5</f>
        <v>75.2</v>
      </c>
      <c r="AF125" s="16" t="n">
        <v>73</v>
      </c>
      <c r="AG125" s="16" t="n">
        <v>89</v>
      </c>
      <c r="AH125" s="16" t="n">
        <v>91</v>
      </c>
      <c r="AI125" s="16" t="n">
        <v>92</v>
      </c>
      <c r="AJ125" s="16" t="n">
        <f aca="false">(AI125*70)/100</f>
        <v>64.4</v>
      </c>
      <c r="AK125" s="35" t="n">
        <f aca="false">ROUNDUP(AJ125,0)</f>
        <v>65</v>
      </c>
      <c r="AL125" s="16" t="n">
        <v>29</v>
      </c>
      <c r="AM125" s="16" t="n">
        <f aca="false">AL125+AJ125</f>
        <v>93.4</v>
      </c>
      <c r="AN125" s="16" t="n">
        <f aca="false">AL125+AK125</f>
        <v>94</v>
      </c>
      <c r="AO125" s="16" t="n">
        <v>79</v>
      </c>
      <c r="AP125" s="36" t="n">
        <f aca="false">(AO125*70)/100</f>
        <v>55.3</v>
      </c>
      <c r="AQ125" s="37" t="n">
        <f aca="false">ROUNDUP(AP125,0)</f>
        <v>56</v>
      </c>
      <c r="AR125" s="16" t="n">
        <v>26</v>
      </c>
      <c r="AS125" s="16" t="n">
        <f aca="false">AR125+AP125</f>
        <v>81.3</v>
      </c>
      <c r="AT125" s="16" t="n">
        <f aca="false">AR125+AQ125</f>
        <v>82</v>
      </c>
      <c r="AU125" s="16" t="n">
        <f aca="false">AO125+AF125+AI125+AH125+AG125</f>
        <v>424</v>
      </c>
      <c r="AV125" s="16" t="n">
        <f aca="false">(AO125+AF125+AI125+AH125+AG125)/5</f>
        <v>84.8</v>
      </c>
      <c r="AW125" s="36" t="n">
        <f aca="false">(AO125+AF125+AI125+AH125+AG125+X125+R125+Q125+K125+J125)</f>
        <v>800</v>
      </c>
      <c r="AX125" s="16" t="n">
        <f aca="false">AW125/10</f>
        <v>80</v>
      </c>
      <c r="AY125" s="16" t="n">
        <f aca="false">AS125+AF125+AM125+AH125+AG125+AB125+V125+Q125+O125+J125</f>
        <v>815.7</v>
      </c>
      <c r="AZ125" s="16" t="n">
        <f aca="false">AT125+AF125+AN125+AH125+AG125+AC125+W125+Q125+P125+J125</f>
        <v>818</v>
      </c>
      <c r="BA125" s="16" t="n">
        <f aca="false">AY125/10</f>
        <v>81.57</v>
      </c>
      <c r="BB125" s="16" t="n">
        <f aca="false">AZ125/10</f>
        <v>81.8</v>
      </c>
      <c r="BC125" s="72" t="n">
        <v>0</v>
      </c>
      <c r="BD125" s="16" t="n">
        <f aca="false">RANK(AX125,$AX$2:$AX$881,0)</f>
        <v>265</v>
      </c>
      <c r="BE125" s="73" t="n">
        <f aca="false">AX125</f>
        <v>80</v>
      </c>
      <c r="BF125" s="16" t="n">
        <f aca="false">RANK(BE125,$BE$2:$BE$881,0)</f>
        <v>728</v>
      </c>
      <c r="BG125" s="39" t="n">
        <f aca="false">RANK(BB125,$BB$2:$BB$881,0)</f>
        <v>222</v>
      </c>
      <c r="BH125" s="39" t="n">
        <f aca="false">RANK(BC125,$BC$2:$BC$881,0)</f>
        <v>780</v>
      </c>
      <c r="BI125" s="22" t="s">
        <v>130</v>
      </c>
      <c r="BJ125" s="22" t="s">
        <v>129</v>
      </c>
      <c r="BK125" s="22" t="s">
        <v>526</v>
      </c>
      <c r="BL125" s="41" t="n">
        <v>23</v>
      </c>
      <c r="BM125" s="41" t="n">
        <v>60</v>
      </c>
      <c r="BN125" s="41" t="n">
        <v>83</v>
      </c>
      <c r="BO125" s="42" t="n">
        <v>28</v>
      </c>
      <c r="BP125" s="43" t="n">
        <v>66</v>
      </c>
      <c r="BQ125" s="44" t="n">
        <v>94</v>
      </c>
      <c r="BR125" s="42" t="n">
        <v>27</v>
      </c>
      <c r="BS125" s="45" t="n">
        <v>63</v>
      </c>
      <c r="BT125" s="45" t="n">
        <v>90</v>
      </c>
      <c r="BU125" s="46" t="n">
        <v>100</v>
      </c>
      <c r="BV125" s="47" t="n">
        <v>74</v>
      </c>
      <c r="BW125" s="42" t="n">
        <v>100</v>
      </c>
      <c r="BX125" s="48" t="n">
        <v>96</v>
      </c>
      <c r="BY125" s="32" t="n">
        <v>24</v>
      </c>
      <c r="BZ125" s="32" t="n">
        <v>60</v>
      </c>
      <c r="CA125" s="32" t="n">
        <v>84</v>
      </c>
      <c r="CB125" s="32" t="n">
        <v>24</v>
      </c>
      <c r="CC125" s="32" t="n">
        <v>49</v>
      </c>
      <c r="CD125" s="32" t="n">
        <v>73</v>
      </c>
      <c r="CE125" s="32" t="n">
        <v>27</v>
      </c>
      <c r="CF125" s="32" t="n">
        <v>58</v>
      </c>
      <c r="CG125" s="32" t="n">
        <v>85</v>
      </c>
      <c r="CH125" s="32" t="n">
        <v>99</v>
      </c>
      <c r="CI125" s="32" t="n">
        <v>100</v>
      </c>
      <c r="CJ125" s="49" t="n">
        <v>24</v>
      </c>
      <c r="CK125" s="49" t="n">
        <v>59</v>
      </c>
      <c r="CL125" s="49" t="n">
        <v>83</v>
      </c>
      <c r="CM125" s="49" t="n">
        <v>21</v>
      </c>
      <c r="CN125" s="49" t="n">
        <v>56</v>
      </c>
      <c r="CO125" s="49" t="n">
        <v>77</v>
      </c>
      <c r="CP125" s="25" t="n">
        <f aca="false">BX125+BW125+BV125+BU125+BT125+BQ125+BN125</f>
        <v>637</v>
      </c>
      <c r="CQ125" s="25" t="n">
        <f aca="false">CO125+CL125+CI125+CH125+CG125+CD125+CA125</f>
        <v>601</v>
      </c>
      <c r="CR125" s="26" t="n">
        <f aca="false">CP125/7</f>
        <v>91</v>
      </c>
      <c r="CS125" s="26" t="n">
        <f aca="false">CQ125/7</f>
        <v>85.8571428571429</v>
      </c>
      <c r="CT125" s="24" t="n">
        <f aca="false">RANK(CR125,$CR$2:$CR$881,0)</f>
        <v>130</v>
      </c>
      <c r="CU125" s="25" t="n">
        <f aca="false">RANK(CS125,$CS$2:$CS$881,0)</f>
        <v>80</v>
      </c>
      <c r="CV125" s="26" t="n">
        <f aca="false">(CS125+CR125)/2</f>
        <v>88.4285714285714</v>
      </c>
      <c r="CW125" s="25" t="n">
        <f aca="false">RANK(CV125,$CV$2:$CV$881,0)</f>
        <v>85</v>
      </c>
      <c r="CX125" s="50" t="n">
        <f aca="false">(CV125+BB125)/2</f>
        <v>85.1142857142857</v>
      </c>
      <c r="CY125" s="50" t="n">
        <v>122</v>
      </c>
      <c r="CZ125" s="27" t="s">
        <v>132</v>
      </c>
      <c r="DA125" s="27" t="s">
        <v>202</v>
      </c>
      <c r="DB125" s="27" t="s">
        <v>202</v>
      </c>
      <c r="DC125" s="27" t="s">
        <v>134</v>
      </c>
      <c r="DD125" s="27" t="s">
        <v>154</v>
      </c>
      <c r="DE125" s="27" t="s">
        <v>218</v>
      </c>
      <c r="DF125" s="27" t="s">
        <v>219</v>
      </c>
      <c r="DG125" s="27" t="s">
        <v>134</v>
      </c>
      <c r="DH125" s="27" t="s">
        <v>160</v>
      </c>
      <c r="DI125" s="27" t="s">
        <v>218</v>
      </c>
      <c r="DJ125" s="27" t="s">
        <v>175</v>
      </c>
      <c r="DK125" s="27" t="s">
        <v>134</v>
      </c>
      <c r="DL125" s="27" t="s">
        <v>137</v>
      </c>
      <c r="DM125" s="27" t="s">
        <v>204</v>
      </c>
      <c r="DN125" s="27" t="s">
        <v>175</v>
      </c>
      <c r="DO125" s="27" t="s">
        <v>134</v>
      </c>
      <c r="DP125" s="27" t="s">
        <v>135</v>
      </c>
      <c r="DQ125" s="27" t="s">
        <v>177</v>
      </c>
      <c r="DR125" s="27" t="s">
        <v>175</v>
      </c>
      <c r="DS125" s="27" t="s">
        <v>134</v>
      </c>
      <c r="DT125" s="27" t="s">
        <v>164</v>
      </c>
      <c r="DU125" s="27" t="s">
        <v>204</v>
      </c>
      <c r="DV125" s="27" t="s">
        <v>202</v>
      </c>
      <c r="DW125" s="27" t="s">
        <v>160</v>
      </c>
      <c r="DX125" s="27" t="s">
        <v>155</v>
      </c>
      <c r="DY125" s="27" t="s">
        <v>145</v>
      </c>
      <c r="DZ125" s="27" t="n">
        <f aca="false">DY125+DV125+DR125+DN125+DJ125+DF125+DB125</f>
        <v>605</v>
      </c>
      <c r="EA125" s="28" t="n">
        <f aca="false">DZ125/7</f>
        <v>86.4285714285714</v>
      </c>
      <c r="EB125" s="27" t="n">
        <f aca="false">RANK(EA125,$EA$2:$EA$881,0)</f>
        <v>145</v>
      </c>
      <c r="EC125" s="29" t="n">
        <f aca="false">DZ125+CQ125+CP125+AZ125</f>
        <v>2661</v>
      </c>
      <c r="ED125" s="30" t="n">
        <f aca="false">(EA125+CV125+BB125)/3</f>
        <v>85.5523809523809</v>
      </c>
      <c r="EE125" s="51" t="n">
        <f aca="false">ROUND(BE125,3)</f>
        <v>80</v>
      </c>
      <c r="EF125" s="51" t="n">
        <f aca="false">ROUND(CR125,3)</f>
        <v>91</v>
      </c>
      <c r="EG125" s="51" t="n">
        <f aca="false">ROUND(CS125,3)</f>
        <v>85.857</v>
      </c>
      <c r="EH125" s="51" t="n">
        <f aca="false">ROUND(EA125,3)</f>
        <v>86.429</v>
      </c>
      <c r="EI125" s="51" t="n">
        <f aca="false">ROUND(ED125,3)</f>
        <v>85.552</v>
      </c>
      <c r="EJ125" s="51" t="n">
        <f aca="false">ROUND(CV125,3)</f>
        <v>88.429</v>
      </c>
      <c r="EK125" s="0" t="n">
        <f aca="false">RANK(EI125,$EI$2:$EI$881,0)</f>
        <v>124</v>
      </c>
    </row>
    <row r="126" customFormat="false" ht="15" hidden="false" customHeight="false" outlineLevel="0" collapsed="false">
      <c r="A126" s="4" t="n">
        <v>8965</v>
      </c>
      <c r="B126" s="4" t="n">
        <v>710</v>
      </c>
      <c r="C126" s="27" t="s">
        <v>562</v>
      </c>
      <c r="D126" s="31" t="n">
        <v>725</v>
      </c>
      <c r="E126" s="16" t="n">
        <v>230129128</v>
      </c>
      <c r="F126" s="56" t="s">
        <v>563</v>
      </c>
      <c r="G126" s="22" t="s">
        <v>564</v>
      </c>
      <c r="H126" s="22" t="s">
        <v>326</v>
      </c>
      <c r="I126" s="57"/>
      <c r="J126" s="16" t="n">
        <v>74</v>
      </c>
      <c r="K126" s="16" t="n">
        <v>87</v>
      </c>
      <c r="L126" s="34" t="n">
        <f aca="false">(K126*70)/100</f>
        <v>60.9</v>
      </c>
      <c r="M126" s="34" t="n">
        <f aca="false">ROUNDUP(L126,0)</f>
        <v>61</v>
      </c>
      <c r="N126" s="16" t="n">
        <v>27</v>
      </c>
      <c r="O126" s="34" t="n">
        <f aca="false">N126+L126</f>
        <v>87.9</v>
      </c>
      <c r="P126" s="34" t="n">
        <f aca="false">N126+M126</f>
        <v>88</v>
      </c>
      <c r="Q126" s="71" t="n">
        <v>59</v>
      </c>
      <c r="R126" s="16" t="n">
        <v>77</v>
      </c>
      <c r="S126" s="34" t="n">
        <f aca="false">(R126*70)/100</f>
        <v>53.9</v>
      </c>
      <c r="T126" s="34" t="n">
        <f aca="false">ROUNDUP(S126,0)</f>
        <v>54</v>
      </c>
      <c r="U126" s="16" t="n">
        <v>26</v>
      </c>
      <c r="V126" s="34" t="n">
        <f aca="false">U126+S126</f>
        <v>79.9</v>
      </c>
      <c r="W126" s="34" t="n">
        <f aca="false">U126+T126</f>
        <v>80</v>
      </c>
      <c r="X126" s="16" t="n">
        <v>73</v>
      </c>
      <c r="Y126" s="34" t="n">
        <f aca="false">(X126*70)/100</f>
        <v>51.1</v>
      </c>
      <c r="Z126" s="34" t="n">
        <f aca="false">ROUNDUP(Y126,0)</f>
        <v>52</v>
      </c>
      <c r="AA126" s="16" t="n">
        <v>26</v>
      </c>
      <c r="AB126" s="34" t="n">
        <f aca="false">AA126+Y126</f>
        <v>77.1</v>
      </c>
      <c r="AC126" s="34" t="n">
        <f aca="false">AA126+Z126</f>
        <v>78</v>
      </c>
      <c r="AD126" s="32" t="n">
        <f aca="false">X126+R126+Q126+K126+J126</f>
        <v>370</v>
      </c>
      <c r="AE126" s="16" t="n">
        <f aca="false">AD126/5</f>
        <v>74</v>
      </c>
      <c r="AF126" s="16" t="n">
        <v>80</v>
      </c>
      <c r="AG126" s="16" t="n">
        <v>86</v>
      </c>
      <c r="AH126" s="16" t="n">
        <v>96</v>
      </c>
      <c r="AI126" s="16" t="n">
        <v>92</v>
      </c>
      <c r="AJ126" s="16" t="n">
        <f aca="false">(AI126*70)/100</f>
        <v>64.4</v>
      </c>
      <c r="AK126" s="35" t="n">
        <f aca="false">ROUNDUP(AJ126,0)</f>
        <v>65</v>
      </c>
      <c r="AL126" s="16" t="n">
        <v>28</v>
      </c>
      <c r="AM126" s="16" t="n">
        <f aca="false">AL126+AJ126</f>
        <v>92.4</v>
      </c>
      <c r="AN126" s="16" t="n">
        <f aca="false">AL126+AK126</f>
        <v>93</v>
      </c>
      <c r="AO126" s="16" t="n">
        <v>86</v>
      </c>
      <c r="AP126" s="36" t="n">
        <f aca="false">(AO126*70)/100</f>
        <v>60.2</v>
      </c>
      <c r="AQ126" s="37" t="n">
        <f aca="false">ROUNDUP(AP126,0)</f>
        <v>61</v>
      </c>
      <c r="AR126" s="16" t="n">
        <v>30</v>
      </c>
      <c r="AS126" s="16" t="n">
        <f aca="false">AR126+AP126</f>
        <v>90.2</v>
      </c>
      <c r="AT126" s="16" t="n">
        <f aca="false">AR126+AQ126</f>
        <v>91</v>
      </c>
      <c r="AU126" s="16" t="n">
        <f aca="false">AO126+AF126+AI126+AH126+AG126</f>
        <v>440</v>
      </c>
      <c r="AV126" s="16" t="n">
        <f aca="false">(AO126+AF126+AI126+AH126+AG126)/5</f>
        <v>88</v>
      </c>
      <c r="AW126" s="36" t="n">
        <f aca="false">(AO126+AF126+AI126+AH126+AG126+X126+R126+Q126+K126+J126)</f>
        <v>810</v>
      </c>
      <c r="AX126" s="16" t="n">
        <f aca="false">AW126/10</f>
        <v>81</v>
      </c>
      <c r="AY126" s="16" t="n">
        <f aca="false">AS126+AF126+AM126+AH126+AG126+AB126+V126+Q126+O126+J126</f>
        <v>822.5</v>
      </c>
      <c r="AZ126" s="16" t="n">
        <f aca="false">AT126+AF126+AN126+AH126+AG126+AC126+W126+Q126+P126+J126</f>
        <v>825</v>
      </c>
      <c r="BA126" s="16" t="n">
        <f aca="false">AY126/10</f>
        <v>82.25</v>
      </c>
      <c r="BB126" s="16" t="n">
        <f aca="false">AZ126/10</f>
        <v>82.5</v>
      </c>
      <c r="BC126" s="16" t="n">
        <v>2371</v>
      </c>
      <c r="BD126" s="16" t="n">
        <f aca="false">RANK(AX126,$AX$2:$AX$881,0)</f>
        <v>210</v>
      </c>
      <c r="BE126" s="54" t="n">
        <f aca="false">((BC126*100)/2400)*0.4+(AX126*0.6)</f>
        <v>88.1166666666667</v>
      </c>
      <c r="BF126" s="16" t="n">
        <f aca="false">RANK(BE126,$BE$2:$BE$881,0)</f>
        <v>199</v>
      </c>
      <c r="BG126" s="39" t="n">
        <f aca="false">RANK(BB126,$BB$2:$BB$881,0)</f>
        <v>185</v>
      </c>
      <c r="BH126" s="39" t="n">
        <f aca="false">RANK(BC126,$BC$2:$BC$881,0)</f>
        <v>257</v>
      </c>
      <c r="BI126" s="22" t="s">
        <v>130</v>
      </c>
      <c r="BJ126" s="22" t="s">
        <v>129</v>
      </c>
      <c r="BK126" s="40" t="s">
        <v>131</v>
      </c>
      <c r="BL126" s="41" t="n">
        <v>23</v>
      </c>
      <c r="BM126" s="41" t="n">
        <v>62</v>
      </c>
      <c r="BN126" s="41" t="n">
        <v>85</v>
      </c>
      <c r="BO126" s="42" t="n">
        <v>26</v>
      </c>
      <c r="BP126" s="43" t="n">
        <v>62</v>
      </c>
      <c r="BQ126" s="44" t="n">
        <v>88</v>
      </c>
      <c r="BR126" s="42" t="n">
        <v>20</v>
      </c>
      <c r="BS126" s="45" t="n">
        <v>63</v>
      </c>
      <c r="BT126" s="45" t="n">
        <v>83</v>
      </c>
      <c r="BU126" s="46" t="n">
        <v>100</v>
      </c>
      <c r="BV126" s="47" t="n">
        <v>96</v>
      </c>
      <c r="BW126" s="42" t="n">
        <v>100</v>
      </c>
      <c r="BX126" s="48" t="n">
        <v>100</v>
      </c>
      <c r="BY126" s="32" t="n">
        <v>25</v>
      </c>
      <c r="BZ126" s="32" t="n">
        <v>54</v>
      </c>
      <c r="CA126" s="32" t="n">
        <v>79</v>
      </c>
      <c r="CB126" s="32" t="n">
        <v>22</v>
      </c>
      <c r="CC126" s="32" t="n">
        <v>36</v>
      </c>
      <c r="CD126" s="69" t="n">
        <v>58</v>
      </c>
      <c r="CE126" s="32" t="n">
        <v>27</v>
      </c>
      <c r="CF126" s="32" t="n">
        <v>59</v>
      </c>
      <c r="CG126" s="32" t="n">
        <v>86</v>
      </c>
      <c r="CH126" s="32" t="n">
        <v>99</v>
      </c>
      <c r="CI126" s="32" t="n">
        <v>99</v>
      </c>
      <c r="CJ126" s="49" t="n">
        <v>28</v>
      </c>
      <c r="CK126" s="49" t="n">
        <v>0</v>
      </c>
      <c r="CL126" s="76" t="n">
        <v>28</v>
      </c>
      <c r="CM126" s="49" t="n">
        <v>20</v>
      </c>
      <c r="CN126" s="49" t="n">
        <v>59</v>
      </c>
      <c r="CO126" s="49" t="n">
        <v>79</v>
      </c>
      <c r="CP126" s="25" t="n">
        <f aca="false">BX126+BW126+BV126+BU126+BT126+BQ126+BN126</f>
        <v>652</v>
      </c>
      <c r="CQ126" s="25" t="n">
        <f aca="false">CO126+CL126+CI126+CH126+CG126+CD126+CA126</f>
        <v>528</v>
      </c>
      <c r="CR126" s="26" t="n">
        <f aca="false">CP126/7</f>
        <v>93.1428571428571</v>
      </c>
      <c r="CS126" s="26" t="n">
        <f aca="false">CQ126/7</f>
        <v>75.4285714285714</v>
      </c>
      <c r="CT126" s="24" t="n">
        <f aca="false">RANK(CR126,$CR$2:$CR$881,0)</f>
        <v>45</v>
      </c>
      <c r="CU126" s="25" t="n">
        <f aca="false">RANK(CS126,$CS$2:$CS$881,0)</f>
        <v>417</v>
      </c>
      <c r="CV126" s="26" t="n">
        <f aca="false">(CS126+CR126)/2</f>
        <v>84.2857142857143</v>
      </c>
      <c r="CW126" s="25" t="n">
        <f aca="false">RANK(CV126,$CV$2:$CV$881,0)</f>
        <v>253</v>
      </c>
      <c r="CX126" s="50" t="n">
        <f aca="false">(CV126+BB126)/2</f>
        <v>83.3928571428571</v>
      </c>
      <c r="CY126" s="50" t="n">
        <v>199</v>
      </c>
      <c r="CZ126" s="27" t="s">
        <v>132</v>
      </c>
      <c r="DA126" s="27" t="s">
        <v>145</v>
      </c>
      <c r="DB126" s="27" t="s">
        <v>145</v>
      </c>
      <c r="DC126" s="27" t="s">
        <v>134</v>
      </c>
      <c r="DD126" s="27" t="s">
        <v>135</v>
      </c>
      <c r="DE126" s="27" t="s">
        <v>152</v>
      </c>
      <c r="DF126" s="27" t="s">
        <v>162</v>
      </c>
      <c r="DG126" s="27" t="s">
        <v>134</v>
      </c>
      <c r="DH126" s="27" t="s">
        <v>182</v>
      </c>
      <c r="DI126" s="27" t="s">
        <v>136</v>
      </c>
      <c r="DJ126" s="27" t="s">
        <v>178</v>
      </c>
      <c r="DK126" s="27" t="s">
        <v>134</v>
      </c>
      <c r="DL126" s="27" t="s">
        <v>164</v>
      </c>
      <c r="DM126" s="27" t="s">
        <v>177</v>
      </c>
      <c r="DN126" s="27" t="s">
        <v>178</v>
      </c>
      <c r="DO126" s="27" t="s">
        <v>134</v>
      </c>
      <c r="DP126" s="27" t="s">
        <v>191</v>
      </c>
      <c r="DQ126" s="27" t="s">
        <v>203</v>
      </c>
      <c r="DR126" s="27" t="s">
        <v>205</v>
      </c>
      <c r="DS126" s="27" t="s">
        <v>134</v>
      </c>
      <c r="DT126" s="27" t="s">
        <v>140</v>
      </c>
      <c r="DU126" s="27" t="s">
        <v>183</v>
      </c>
      <c r="DV126" s="27" t="s">
        <v>178</v>
      </c>
      <c r="DW126" s="27" t="s">
        <v>140</v>
      </c>
      <c r="DX126" s="27" t="s">
        <v>155</v>
      </c>
      <c r="DY126" s="27" t="s">
        <v>147</v>
      </c>
      <c r="DZ126" s="27" t="n">
        <f aca="false">DY126+DV126+DR126+DN126+DJ126+DF126+DB126</f>
        <v>629</v>
      </c>
      <c r="EA126" s="28" t="n">
        <f aca="false">DZ126/7</f>
        <v>89.8571428571429</v>
      </c>
      <c r="EB126" s="27" t="n">
        <f aca="false">RANK(EA126,$EA$2:$EA$881,0)</f>
        <v>56</v>
      </c>
      <c r="EC126" s="29" t="n">
        <f aca="false">DZ126+CQ126+CP126+AZ126</f>
        <v>2634</v>
      </c>
      <c r="ED126" s="30" t="n">
        <f aca="false">(EA126+CV126+BB126)/3</f>
        <v>85.547619047619</v>
      </c>
      <c r="EE126" s="51" t="n">
        <f aca="false">ROUND(BE126,3)</f>
        <v>88.117</v>
      </c>
      <c r="EF126" s="51" t="n">
        <f aca="false">ROUND(CR126,3)</f>
        <v>93.143</v>
      </c>
      <c r="EG126" s="51" t="n">
        <f aca="false">ROUND(CS126,3)</f>
        <v>75.429</v>
      </c>
      <c r="EH126" s="51" t="n">
        <f aca="false">ROUND(EA126,3)</f>
        <v>89.857</v>
      </c>
      <c r="EI126" s="51" t="n">
        <f aca="false">ROUND(ED126,3)</f>
        <v>85.548</v>
      </c>
      <c r="EJ126" s="51" t="n">
        <f aca="false">ROUND(CV126,3)</f>
        <v>84.286</v>
      </c>
      <c r="EK126" s="0" t="n">
        <f aca="false">RANK(EI126,$EI$2:$EI$881,0)</f>
        <v>125</v>
      </c>
    </row>
    <row r="127" customFormat="false" ht="15" hidden="false" customHeight="false" outlineLevel="0" collapsed="false">
      <c r="A127" s="4" t="n">
        <v>1993</v>
      </c>
      <c r="B127" s="4" t="n">
        <v>574</v>
      </c>
      <c r="C127" s="27" t="s">
        <v>565</v>
      </c>
      <c r="D127" s="31" t="n">
        <v>579</v>
      </c>
      <c r="E127" s="32" t="n">
        <v>234300202</v>
      </c>
      <c r="F127" s="8" t="s">
        <v>566</v>
      </c>
      <c r="G127" s="66" t="s">
        <v>567</v>
      </c>
      <c r="H127" s="66" t="s">
        <v>129</v>
      </c>
      <c r="I127" s="67" t="s">
        <v>525</v>
      </c>
      <c r="J127" s="32" t="n">
        <v>100</v>
      </c>
      <c r="K127" s="32" t="n">
        <v>82</v>
      </c>
      <c r="L127" s="34" t="n">
        <f aca="false">(K127*70)/100</f>
        <v>57.4</v>
      </c>
      <c r="M127" s="34" t="n">
        <f aca="false">ROUNDUP(L127,0)</f>
        <v>58</v>
      </c>
      <c r="N127" s="32" t="n">
        <v>27</v>
      </c>
      <c r="O127" s="34" t="n">
        <f aca="false">N127+L127</f>
        <v>84.4</v>
      </c>
      <c r="P127" s="34" t="n">
        <f aca="false">N127+M127</f>
        <v>85</v>
      </c>
      <c r="Q127" s="32" t="n">
        <v>73</v>
      </c>
      <c r="R127" s="32" t="n">
        <v>72</v>
      </c>
      <c r="S127" s="34" t="n">
        <f aca="false">(R127*70)/100</f>
        <v>50.4</v>
      </c>
      <c r="T127" s="34" t="n">
        <f aca="false">ROUNDUP(S127,0)</f>
        <v>51</v>
      </c>
      <c r="U127" s="32" t="n">
        <v>18</v>
      </c>
      <c r="V127" s="34" t="n">
        <f aca="false">U127+S127</f>
        <v>68.4</v>
      </c>
      <c r="W127" s="34" t="n">
        <f aca="false">U127+T127</f>
        <v>69</v>
      </c>
      <c r="X127" s="32" t="n">
        <v>71</v>
      </c>
      <c r="Y127" s="34" t="n">
        <f aca="false">(X127*70)/100</f>
        <v>49.7</v>
      </c>
      <c r="Z127" s="34" t="n">
        <f aca="false">ROUNDUP(Y127,0)</f>
        <v>50</v>
      </c>
      <c r="AA127" s="32" t="n">
        <v>25</v>
      </c>
      <c r="AB127" s="34" t="n">
        <f aca="false">AA127+Y127</f>
        <v>74.7</v>
      </c>
      <c r="AC127" s="34" t="n">
        <f aca="false">AA127+Z127</f>
        <v>75</v>
      </c>
      <c r="AD127" s="32" t="n">
        <f aca="false">X127+R127+Q127+K127+J127</f>
        <v>398</v>
      </c>
      <c r="AE127" s="16" t="n">
        <f aca="false">AD127/5</f>
        <v>79.6</v>
      </c>
      <c r="AF127" s="16" t="n">
        <v>81</v>
      </c>
      <c r="AG127" s="16" t="n">
        <v>98</v>
      </c>
      <c r="AH127" s="16" t="n">
        <v>90</v>
      </c>
      <c r="AI127" s="16" t="n">
        <v>95</v>
      </c>
      <c r="AJ127" s="16" t="n">
        <f aca="false">(AI127*70)/100</f>
        <v>66.5</v>
      </c>
      <c r="AK127" s="35" t="n">
        <f aca="false">ROUNDUP(AJ127,0)</f>
        <v>67</v>
      </c>
      <c r="AL127" s="16" t="n">
        <v>23</v>
      </c>
      <c r="AM127" s="16" t="n">
        <f aca="false">AL127+AJ127</f>
        <v>89.5</v>
      </c>
      <c r="AN127" s="16" t="n">
        <f aca="false">AL127+AK127</f>
        <v>90</v>
      </c>
      <c r="AO127" s="16" t="n">
        <v>79</v>
      </c>
      <c r="AP127" s="36" t="n">
        <f aca="false">(AO127*70)/100</f>
        <v>55.3</v>
      </c>
      <c r="AQ127" s="37" t="n">
        <f aca="false">ROUNDUP(AP127,0)</f>
        <v>56</v>
      </c>
      <c r="AR127" s="16" t="n">
        <v>27</v>
      </c>
      <c r="AS127" s="16" t="n">
        <f aca="false">AR127+AP127</f>
        <v>82.3</v>
      </c>
      <c r="AT127" s="16" t="n">
        <f aca="false">AR127+AQ127</f>
        <v>83</v>
      </c>
      <c r="AU127" s="16" t="n">
        <f aca="false">AO127+AF127+AI127+AH127+AG127</f>
        <v>443</v>
      </c>
      <c r="AV127" s="16" t="n">
        <f aca="false">(AO127+AF127+AI127+AH127+AG127)/5</f>
        <v>88.6</v>
      </c>
      <c r="AW127" s="36" t="n">
        <f aca="false">(AO127+AF127+AI127+AH127+AG127+X127+R127+Q127+K127+J127)</f>
        <v>841</v>
      </c>
      <c r="AX127" s="16" t="n">
        <f aca="false">AW127/10</f>
        <v>84.1</v>
      </c>
      <c r="AY127" s="16" t="n">
        <f aca="false">AS127+AF127+AM127+AH127+AG127+AB127+V127+Q127+O127+J127</f>
        <v>841.3</v>
      </c>
      <c r="AZ127" s="16" t="n">
        <f aca="false">AT127+AF127+AN127+AH127+AG127+AC127+W127+Q127+P127+J127</f>
        <v>844</v>
      </c>
      <c r="BA127" s="16" t="n">
        <f aca="false">AY127/10</f>
        <v>84.13</v>
      </c>
      <c r="BB127" s="16" t="n">
        <f aca="false">AZ127/10</f>
        <v>84.4</v>
      </c>
      <c r="BC127" s="72" t="n">
        <v>0</v>
      </c>
      <c r="BD127" s="16" t="n">
        <f aca="false">RANK(AX127,$AX$2:$AX$881,0)</f>
        <v>106</v>
      </c>
      <c r="BE127" s="73" t="n">
        <f aca="false">AX127</f>
        <v>84.1</v>
      </c>
      <c r="BF127" s="16" t="n">
        <f aca="false">RANK(BE127,$BE$2:$BE$881,0)</f>
        <v>683</v>
      </c>
      <c r="BG127" s="39" t="n">
        <f aca="false">RANK(BB127,$BB$2:$BB$881,0)</f>
        <v>111</v>
      </c>
      <c r="BH127" s="39" t="n">
        <f aca="false">RANK(BC127,$BC$2:$BC$881,0)</f>
        <v>780</v>
      </c>
      <c r="BI127" s="22" t="s">
        <v>130</v>
      </c>
      <c r="BJ127" s="22" t="s">
        <v>129</v>
      </c>
      <c r="BK127" s="22" t="s">
        <v>526</v>
      </c>
      <c r="BL127" s="44" t="n">
        <v>21</v>
      </c>
      <c r="BM127" s="44" t="n">
        <v>62</v>
      </c>
      <c r="BN127" s="44" t="n">
        <v>83</v>
      </c>
      <c r="BO127" s="44" t="n">
        <v>26</v>
      </c>
      <c r="BP127" s="43" t="n">
        <v>64</v>
      </c>
      <c r="BQ127" s="44" t="n">
        <v>90</v>
      </c>
      <c r="BR127" s="44" t="n">
        <v>24</v>
      </c>
      <c r="BS127" s="45" t="n">
        <v>59</v>
      </c>
      <c r="BT127" s="45" t="n">
        <v>83</v>
      </c>
      <c r="BU127" s="46" t="n">
        <v>99</v>
      </c>
      <c r="BV127" s="42" t="n">
        <v>76</v>
      </c>
      <c r="BW127" s="44" t="n">
        <v>100</v>
      </c>
      <c r="BX127" s="48" t="n">
        <v>94</v>
      </c>
      <c r="BY127" s="32" t="n">
        <v>26</v>
      </c>
      <c r="BZ127" s="32" t="n">
        <v>60</v>
      </c>
      <c r="CA127" s="32" t="n">
        <v>86</v>
      </c>
      <c r="CB127" s="32" t="n">
        <v>22</v>
      </c>
      <c r="CC127" s="32" t="n">
        <v>48</v>
      </c>
      <c r="CD127" s="32" t="n">
        <v>70</v>
      </c>
      <c r="CE127" s="32" t="n">
        <v>24</v>
      </c>
      <c r="CF127" s="32" t="n">
        <v>50</v>
      </c>
      <c r="CG127" s="32" t="n">
        <v>74</v>
      </c>
      <c r="CH127" s="32" t="n">
        <v>96</v>
      </c>
      <c r="CI127" s="32" t="n">
        <v>99</v>
      </c>
      <c r="CJ127" s="49" t="n">
        <v>25</v>
      </c>
      <c r="CK127" s="49" t="n">
        <v>58</v>
      </c>
      <c r="CL127" s="49" t="n">
        <v>83</v>
      </c>
      <c r="CM127" s="49" t="n">
        <v>23</v>
      </c>
      <c r="CN127" s="49" t="n">
        <v>53</v>
      </c>
      <c r="CO127" s="49" t="n">
        <v>76</v>
      </c>
      <c r="CP127" s="25" t="n">
        <f aca="false">BX127+BW127+BV127+BU127+BT127+BQ127+BN127</f>
        <v>625</v>
      </c>
      <c r="CQ127" s="25" t="n">
        <f aca="false">CO127+CL127+CI127+CH127+CG127+CD127+CA127</f>
        <v>584</v>
      </c>
      <c r="CR127" s="26" t="n">
        <f aca="false">CP127/7</f>
        <v>89.2857142857143</v>
      </c>
      <c r="CS127" s="26" t="n">
        <f aca="false">CQ127/7</f>
        <v>83.4285714285714</v>
      </c>
      <c r="CT127" s="24" t="n">
        <f aca="false">RANK(CR127,$CR$2:$CR$881,0)</f>
        <v>228</v>
      </c>
      <c r="CU127" s="25" t="n">
        <f aca="false">RANK(CS127,$CS$2:$CS$881,0)</f>
        <v>143</v>
      </c>
      <c r="CV127" s="26" t="n">
        <f aca="false">(CS127+CR127)/2</f>
        <v>86.3571428571429</v>
      </c>
      <c r="CW127" s="25" t="n">
        <f aca="false">RANK(CV127,$CV$2:$CV$881,0)</f>
        <v>163</v>
      </c>
      <c r="CX127" s="50" t="n">
        <f aca="false">(CV127+BB127)/2</f>
        <v>85.3785714285714</v>
      </c>
      <c r="CY127" s="50" t="n">
        <v>109</v>
      </c>
      <c r="CZ127" s="27" t="s">
        <v>132</v>
      </c>
      <c r="DA127" s="27" t="s">
        <v>176</v>
      </c>
      <c r="DB127" s="27" t="s">
        <v>176</v>
      </c>
      <c r="DC127" s="27" t="s">
        <v>134</v>
      </c>
      <c r="DD127" s="27" t="s">
        <v>137</v>
      </c>
      <c r="DE127" s="27" t="s">
        <v>204</v>
      </c>
      <c r="DF127" s="27" t="s">
        <v>175</v>
      </c>
      <c r="DG127" s="27" t="s">
        <v>134</v>
      </c>
      <c r="DH127" s="27" t="s">
        <v>182</v>
      </c>
      <c r="DI127" s="27" t="s">
        <v>187</v>
      </c>
      <c r="DJ127" s="27" t="s">
        <v>153</v>
      </c>
      <c r="DK127" s="27" t="s">
        <v>134</v>
      </c>
      <c r="DL127" s="27" t="s">
        <v>182</v>
      </c>
      <c r="DM127" s="27" t="s">
        <v>304</v>
      </c>
      <c r="DN127" s="27" t="s">
        <v>305</v>
      </c>
      <c r="DO127" s="27" t="s">
        <v>134</v>
      </c>
      <c r="DP127" s="27" t="s">
        <v>137</v>
      </c>
      <c r="DQ127" s="27" t="s">
        <v>177</v>
      </c>
      <c r="DR127" s="27" t="s">
        <v>202</v>
      </c>
      <c r="DS127" s="27" t="s">
        <v>134</v>
      </c>
      <c r="DT127" s="27" t="s">
        <v>137</v>
      </c>
      <c r="DU127" s="27" t="s">
        <v>218</v>
      </c>
      <c r="DV127" s="27" t="s">
        <v>169</v>
      </c>
      <c r="DW127" s="27" t="s">
        <v>485</v>
      </c>
      <c r="DX127" s="27" t="s">
        <v>155</v>
      </c>
      <c r="DY127" s="27" t="s">
        <v>178</v>
      </c>
      <c r="DZ127" s="27" t="n">
        <f aca="false">DY127+DV127+DR127+DN127+DJ127+DF127+DB127</f>
        <v>601</v>
      </c>
      <c r="EA127" s="28" t="n">
        <f aca="false">DZ127/7</f>
        <v>85.8571428571429</v>
      </c>
      <c r="EB127" s="27" t="n">
        <f aca="false">RANK(EA127,$EA$2:$EA$881,0)</f>
        <v>159</v>
      </c>
      <c r="EC127" s="29" t="n">
        <f aca="false">DZ127+CQ127+CP127+AZ127</f>
        <v>2654</v>
      </c>
      <c r="ED127" s="30" t="n">
        <f aca="false">(EA127+CV127+BB127)/3</f>
        <v>85.5380952380953</v>
      </c>
      <c r="EE127" s="51" t="n">
        <f aca="false">ROUND(BE127,3)</f>
        <v>84.1</v>
      </c>
      <c r="EF127" s="51" t="n">
        <f aca="false">ROUND(CR127,3)</f>
        <v>89.286</v>
      </c>
      <c r="EG127" s="51" t="n">
        <f aca="false">ROUND(CS127,3)</f>
        <v>83.429</v>
      </c>
      <c r="EH127" s="51" t="n">
        <f aca="false">ROUND(EA127,3)</f>
        <v>85.857</v>
      </c>
      <c r="EI127" s="51" t="n">
        <f aca="false">ROUND(ED127,3)</f>
        <v>85.538</v>
      </c>
      <c r="EJ127" s="51" t="n">
        <f aca="false">ROUND(CV127,3)</f>
        <v>86.357</v>
      </c>
      <c r="EK127" s="0" t="n">
        <f aca="false">RANK(EI127,$EI$2:$EI$881,0)</f>
        <v>126</v>
      </c>
    </row>
    <row r="128" customFormat="false" ht="15" hidden="false" customHeight="false" outlineLevel="0" collapsed="false">
      <c r="A128" s="4" t="n">
        <v>8893</v>
      </c>
      <c r="B128" s="4" t="n">
        <v>243</v>
      </c>
      <c r="C128" s="27" t="s">
        <v>568</v>
      </c>
      <c r="D128" s="31" t="n">
        <v>244</v>
      </c>
      <c r="E128" s="16" t="n">
        <v>230119541</v>
      </c>
      <c r="F128" s="56" t="s">
        <v>569</v>
      </c>
      <c r="G128" s="22" t="s">
        <v>570</v>
      </c>
      <c r="H128" s="22" t="s">
        <v>326</v>
      </c>
      <c r="I128" s="57"/>
      <c r="J128" s="16" t="n">
        <v>80</v>
      </c>
      <c r="K128" s="16" t="n">
        <v>84</v>
      </c>
      <c r="L128" s="34" t="n">
        <f aca="false">(K128*70)/100</f>
        <v>58.8</v>
      </c>
      <c r="M128" s="34" t="n">
        <f aca="false">ROUNDUP(L128,0)</f>
        <v>59</v>
      </c>
      <c r="N128" s="16" t="n">
        <v>24</v>
      </c>
      <c r="O128" s="34" t="n">
        <f aca="false">N128+L128</f>
        <v>82.8</v>
      </c>
      <c r="P128" s="34" t="n">
        <f aca="false">N128+M128</f>
        <v>83</v>
      </c>
      <c r="Q128" s="16" t="n">
        <v>78</v>
      </c>
      <c r="R128" s="16" t="n">
        <v>76</v>
      </c>
      <c r="S128" s="34" t="n">
        <f aca="false">(R128*70)/100</f>
        <v>53.2</v>
      </c>
      <c r="T128" s="34" t="n">
        <f aca="false">ROUNDUP(S128,0)</f>
        <v>54</v>
      </c>
      <c r="U128" s="16" t="n">
        <v>26</v>
      </c>
      <c r="V128" s="34" t="n">
        <f aca="false">U128+S128</f>
        <v>79.2</v>
      </c>
      <c r="W128" s="34" t="n">
        <f aca="false">U128+T128</f>
        <v>80</v>
      </c>
      <c r="X128" s="16" t="n">
        <v>71</v>
      </c>
      <c r="Y128" s="34" t="n">
        <f aca="false">(X128*70)/100</f>
        <v>49.7</v>
      </c>
      <c r="Z128" s="34" t="n">
        <f aca="false">ROUNDUP(Y128,0)</f>
        <v>50</v>
      </c>
      <c r="AA128" s="16" t="n">
        <v>27</v>
      </c>
      <c r="AB128" s="34" t="n">
        <f aca="false">AA128+Y128</f>
        <v>76.7</v>
      </c>
      <c r="AC128" s="34" t="n">
        <f aca="false">AA128+Z128</f>
        <v>77</v>
      </c>
      <c r="AD128" s="32" t="n">
        <f aca="false">X128+R128+Q128+K128+J128</f>
        <v>389</v>
      </c>
      <c r="AE128" s="16" t="n">
        <f aca="false">AD128/5</f>
        <v>77.8</v>
      </c>
      <c r="AF128" s="16" t="n">
        <v>81</v>
      </c>
      <c r="AG128" s="16" t="n">
        <v>80</v>
      </c>
      <c r="AH128" s="16" t="n">
        <v>89</v>
      </c>
      <c r="AI128" s="16" t="n">
        <v>84</v>
      </c>
      <c r="AJ128" s="16" t="n">
        <f aca="false">(AI128*70)/100</f>
        <v>58.8</v>
      </c>
      <c r="AK128" s="35" t="n">
        <f aca="false">ROUNDUP(AJ128,0)</f>
        <v>59</v>
      </c>
      <c r="AL128" s="16" t="n">
        <v>22</v>
      </c>
      <c r="AM128" s="16" t="n">
        <f aca="false">AL128+AJ128</f>
        <v>80.8</v>
      </c>
      <c r="AN128" s="16" t="n">
        <f aca="false">AL128+AK128</f>
        <v>81</v>
      </c>
      <c r="AO128" s="16" t="n">
        <v>79</v>
      </c>
      <c r="AP128" s="36" t="n">
        <f aca="false">(AO128*70)/100</f>
        <v>55.3</v>
      </c>
      <c r="AQ128" s="37" t="n">
        <f aca="false">ROUNDUP(AP128,0)</f>
        <v>56</v>
      </c>
      <c r="AR128" s="16" t="n">
        <v>23</v>
      </c>
      <c r="AS128" s="16" t="n">
        <f aca="false">AR128+AP128</f>
        <v>78.3</v>
      </c>
      <c r="AT128" s="16" t="n">
        <f aca="false">AR128+AQ128</f>
        <v>79</v>
      </c>
      <c r="AU128" s="16" t="n">
        <f aca="false">AO128+AF128+AI128+AH128+AG128</f>
        <v>413</v>
      </c>
      <c r="AV128" s="16" t="n">
        <f aca="false">(AO128+AF128+AI128+AH128+AG128)/5</f>
        <v>82.6</v>
      </c>
      <c r="AW128" s="36" t="n">
        <f aca="false">(AO128+AF128+AI128+AH128+AG128+X128+R128+Q128+K128+J128)</f>
        <v>802</v>
      </c>
      <c r="AX128" s="16" t="n">
        <f aca="false">AW128/10</f>
        <v>80.2</v>
      </c>
      <c r="AY128" s="16" t="n">
        <f aca="false">AS128+AF128+AM128+AH128+AG128+AB128+V128+Q128+O128+J128</f>
        <v>805.8</v>
      </c>
      <c r="AZ128" s="16" t="n">
        <f aca="false">AT128+AF128+AN128+AH128+AG128+AC128+W128+Q128+P128+J128</f>
        <v>808</v>
      </c>
      <c r="BA128" s="16" t="n">
        <f aca="false">AY128/10</f>
        <v>80.58</v>
      </c>
      <c r="BB128" s="16" t="n">
        <f aca="false">AZ128/10</f>
        <v>80.8</v>
      </c>
      <c r="BC128" s="16" t="n">
        <v>2369</v>
      </c>
      <c r="BD128" s="16" t="n">
        <f aca="false">RANK(AX128,$AX$2:$AX$881,0)</f>
        <v>251</v>
      </c>
      <c r="BE128" s="54" t="n">
        <f aca="false">((BC128*100)/2400)*0.4+(AX128*0.6)</f>
        <v>87.6033333333333</v>
      </c>
      <c r="BF128" s="16" t="n">
        <f aca="false">RANK(BE128,$BE$2:$BE$881,0)</f>
        <v>237</v>
      </c>
      <c r="BG128" s="39" t="n">
        <f aca="false">RANK(BB128,$BB$2:$BB$881,0)</f>
        <v>290</v>
      </c>
      <c r="BH128" s="39" t="n">
        <f aca="false">RANK(BC128,$BC$2:$BC$881,0)</f>
        <v>283</v>
      </c>
      <c r="BI128" s="22" t="s">
        <v>130</v>
      </c>
      <c r="BJ128" s="22" t="s">
        <v>129</v>
      </c>
      <c r="BK128" s="40" t="s">
        <v>131</v>
      </c>
      <c r="BL128" s="41" t="n">
        <v>22</v>
      </c>
      <c r="BM128" s="41" t="n">
        <v>60</v>
      </c>
      <c r="BN128" s="41" t="n">
        <v>82</v>
      </c>
      <c r="BO128" s="42" t="n">
        <v>23</v>
      </c>
      <c r="BP128" s="43" t="n">
        <v>67</v>
      </c>
      <c r="BQ128" s="44" t="n">
        <v>90</v>
      </c>
      <c r="BR128" s="42" t="n">
        <v>21</v>
      </c>
      <c r="BS128" s="45" t="n">
        <v>64</v>
      </c>
      <c r="BT128" s="45" t="n">
        <v>85</v>
      </c>
      <c r="BU128" s="46" t="n">
        <v>100</v>
      </c>
      <c r="BV128" s="47" t="n">
        <v>94</v>
      </c>
      <c r="BW128" s="42" t="n">
        <v>99</v>
      </c>
      <c r="BX128" s="48" t="n">
        <v>96</v>
      </c>
      <c r="BY128" s="32" t="n">
        <v>26</v>
      </c>
      <c r="BZ128" s="32" t="n">
        <v>61</v>
      </c>
      <c r="CA128" s="32" t="n">
        <v>87</v>
      </c>
      <c r="CB128" s="32" t="n">
        <v>23</v>
      </c>
      <c r="CC128" s="32" t="n">
        <v>47</v>
      </c>
      <c r="CD128" s="32" t="n">
        <v>70</v>
      </c>
      <c r="CE128" s="32" t="n">
        <v>23</v>
      </c>
      <c r="CF128" s="32" t="n">
        <v>64</v>
      </c>
      <c r="CG128" s="32" t="n">
        <v>87</v>
      </c>
      <c r="CH128" s="32" t="n">
        <v>98</v>
      </c>
      <c r="CI128" s="32" t="n">
        <v>96</v>
      </c>
      <c r="CJ128" s="49" t="n">
        <v>25</v>
      </c>
      <c r="CK128" s="49" t="n">
        <v>59</v>
      </c>
      <c r="CL128" s="49" t="n">
        <v>84</v>
      </c>
      <c r="CM128" s="49" t="n">
        <v>27</v>
      </c>
      <c r="CN128" s="49" t="n">
        <v>48</v>
      </c>
      <c r="CO128" s="49" t="n">
        <v>75</v>
      </c>
      <c r="CP128" s="25" t="n">
        <f aca="false">BX128+BW128+BV128+BU128+BT128+BQ128+BN128</f>
        <v>646</v>
      </c>
      <c r="CQ128" s="25" t="n">
        <f aca="false">CO128+CL128+CI128+CH128+CG128+CD128+CA128</f>
        <v>597</v>
      </c>
      <c r="CR128" s="26" t="n">
        <f aca="false">CP128/7</f>
        <v>92.2857142857143</v>
      </c>
      <c r="CS128" s="26" t="n">
        <f aca="false">CQ128/7</f>
        <v>85.2857142857143</v>
      </c>
      <c r="CT128" s="24" t="n">
        <f aca="false">RANK(CR128,$CR$2:$CR$881,0)</f>
        <v>80</v>
      </c>
      <c r="CU128" s="25" t="n">
        <f aca="false">RANK(CS128,$CS$2:$CS$881,0)</f>
        <v>96</v>
      </c>
      <c r="CV128" s="26" t="n">
        <f aca="false">(CS128+CR128)/2</f>
        <v>88.7857142857143</v>
      </c>
      <c r="CW128" s="25" t="n">
        <f aca="false">RANK(CV128,$CV$2:$CV$881,0)</f>
        <v>74</v>
      </c>
      <c r="CX128" s="50" t="n">
        <f aca="false">(CV128+BB128)/2</f>
        <v>84.7928571428571</v>
      </c>
      <c r="CY128" s="50" t="n">
        <v>132</v>
      </c>
      <c r="CZ128" s="27" t="s">
        <v>132</v>
      </c>
      <c r="DA128" s="27" t="s">
        <v>133</v>
      </c>
      <c r="DB128" s="27" t="s">
        <v>133</v>
      </c>
      <c r="DC128" s="27" t="s">
        <v>134</v>
      </c>
      <c r="DD128" s="27" t="s">
        <v>135</v>
      </c>
      <c r="DE128" s="27" t="s">
        <v>220</v>
      </c>
      <c r="DF128" s="27" t="s">
        <v>196</v>
      </c>
      <c r="DG128" s="27" t="s">
        <v>134</v>
      </c>
      <c r="DH128" s="27" t="s">
        <v>164</v>
      </c>
      <c r="DI128" s="27" t="s">
        <v>161</v>
      </c>
      <c r="DJ128" s="27" t="s">
        <v>133</v>
      </c>
      <c r="DK128" s="27" t="s">
        <v>134</v>
      </c>
      <c r="DL128" s="27" t="s">
        <v>160</v>
      </c>
      <c r="DM128" s="27" t="s">
        <v>218</v>
      </c>
      <c r="DN128" s="27" t="s">
        <v>175</v>
      </c>
      <c r="DO128" s="27" t="s">
        <v>134</v>
      </c>
      <c r="DP128" s="27" t="s">
        <v>174</v>
      </c>
      <c r="DQ128" s="27" t="s">
        <v>203</v>
      </c>
      <c r="DR128" s="27" t="s">
        <v>209</v>
      </c>
      <c r="DS128" s="27" t="s">
        <v>134</v>
      </c>
      <c r="DT128" s="27" t="s">
        <v>164</v>
      </c>
      <c r="DU128" s="27" t="s">
        <v>218</v>
      </c>
      <c r="DV128" s="27" t="s">
        <v>209</v>
      </c>
      <c r="DW128" s="27" t="s">
        <v>146</v>
      </c>
      <c r="DX128" s="27" t="s">
        <v>138</v>
      </c>
      <c r="DY128" s="27" t="s">
        <v>147</v>
      </c>
      <c r="DZ128" s="27" t="n">
        <f aca="false">DY128+DV128+DR128+DN128+DJ128+DF128+DB128</f>
        <v>609</v>
      </c>
      <c r="EA128" s="28" t="n">
        <f aca="false">DZ128/7</f>
        <v>87</v>
      </c>
      <c r="EB128" s="27" t="n">
        <f aca="false">RANK(EA128,$EA$2:$EA$881,0)</f>
        <v>125</v>
      </c>
      <c r="EC128" s="29" t="n">
        <f aca="false">DZ128+CQ128+CP128+AZ128</f>
        <v>2660</v>
      </c>
      <c r="ED128" s="30" t="n">
        <f aca="false">(EA128+CV128+BB128)/3</f>
        <v>85.5285714285714</v>
      </c>
      <c r="EE128" s="51" t="n">
        <f aca="false">ROUND(BE128,3)</f>
        <v>87.603</v>
      </c>
      <c r="EF128" s="51" t="n">
        <f aca="false">ROUND(CR128,3)</f>
        <v>92.286</v>
      </c>
      <c r="EG128" s="51" t="n">
        <f aca="false">ROUND(CS128,3)</f>
        <v>85.286</v>
      </c>
      <c r="EH128" s="51" t="n">
        <f aca="false">ROUND(EA128,3)</f>
        <v>87</v>
      </c>
      <c r="EI128" s="51" t="n">
        <f aca="false">ROUND(ED128,3)</f>
        <v>85.529</v>
      </c>
      <c r="EJ128" s="51" t="n">
        <f aca="false">ROUND(CV128,3)</f>
        <v>88.786</v>
      </c>
      <c r="EK128" s="0" t="n">
        <f aca="false">RANK(EI128,$EI$2:$EI$881,0)</f>
        <v>127</v>
      </c>
    </row>
    <row r="129" customFormat="false" ht="15" hidden="false" customHeight="false" outlineLevel="0" collapsed="false">
      <c r="A129" s="4" t="n">
        <v>1826</v>
      </c>
      <c r="B129" s="4" t="n">
        <v>94</v>
      </c>
      <c r="C129" s="27" t="s">
        <v>571</v>
      </c>
      <c r="D129" s="52" t="n">
        <v>95</v>
      </c>
      <c r="E129" s="32" t="n">
        <v>231408610</v>
      </c>
      <c r="F129" s="8" t="s">
        <v>572</v>
      </c>
      <c r="G129" s="66" t="s">
        <v>573</v>
      </c>
      <c r="H129" s="66" t="s">
        <v>129</v>
      </c>
      <c r="I129" s="67" t="s">
        <v>574</v>
      </c>
      <c r="J129" s="32" t="n">
        <v>89</v>
      </c>
      <c r="K129" s="32" t="n">
        <v>79</v>
      </c>
      <c r="L129" s="34" t="n">
        <f aca="false">(K129*70)/100</f>
        <v>55.3</v>
      </c>
      <c r="M129" s="34" t="n">
        <f aca="false">ROUNDUP(L129,0)</f>
        <v>56</v>
      </c>
      <c r="N129" s="32" t="n">
        <v>26</v>
      </c>
      <c r="O129" s="34" t="n">
        <f aca="false">N129+L129</f>
        <v>81.3</v>
      </c>
      <c r="P129" s="34" t="n">
        <f aca="false">N129+M129</f>
        <v>82</v>
      </c>
      <c r="Q129" s="32" t="n">
        <v>72</v>
      </c>
      <c r="R129" s="32" t="n">
        <v>73</v>
      </c>
      <c r="S129" s="34" t="n">
        <f aca="false">(R129*70)/100</f>
        <v>51.1</v>
      </c>
      <c r="T129" s="34" t="n">
        <f aca="false">ROUNDUP(S129,0)</f>
        <v>52</v>
      </c>
      <c r="U129" s="32" t="n">
        <v>26</v>
      </c>
      <c r="V129" s="34" t="n">
        <f aca="false">U129+S129</f>
        <v>77.1</v>
      </c>
      <c r="W129" s="34" t="n">
        <f aca="false">U129+T129</f>
        <v>78</v>
      </c>
      <c r="X129" s="32" t="n">
        <v>71</v>
      </c>
      <c r="Y129" s="34" t="n">
        <f aca="false">(X129*70)/100</f>
        <v>49.7</v>
      </c>
      <c r="Z129" s="34" t="n">
        <f aca="false">ROUNDUP(Y129,0)</f>
        <v>50</v>
      </c>
      <c r="AA129" s="32" t="n">
        <v>24</v>
      </c>
      <c r="AB129" s="34" t="n">
        <f aca="false">AA129+Y129</f>
        <v>73.7</v>
      </c>
      <c r="AC129" s="34" t="n">
        <f aca="false">AA129+Z129</f>
        <v>74</v>
      </c>
      <c r="AD129" s="32" t="n">
        <f aca="false">X129+R129+Q129+K129+J129</f>
        <v>384</v>
      </c>
      <c r="AE129" s="16" t="n">
        <f aca="false">AD129/5</f>
        <v>76.8</v>
      </c>
      <c r="AF129" s="16" t="n">
        <v>75</v>
      </c>
      <c r="AG129" s="16" t="n">
        <v>77</v>
      </c>
      <c r="AH129" s="16" t="n">
        <v>93</v>
      </c>
      <c r="AI129" s="16" t="n">
        <v>91</v>
      </c>
      <c r="AJ129" s="16" t="n">
        <f aca="false">(AI129*70)/100</f>
        <v>63.7</v>
      </c>
      <c r="AK129" s="35" t="n">
        <f aca="false">ROUNDUP(AJ129,0)</f>
        <v>64</v>
      </c>
      <c r="AL129" s="16" t="n">
        <v>26</v>
      </c>
      <c r="AM129" s="16" t="n">
        <f aca="false">AL129+AJ129</f>
        <v>89.7</v>
      </c>
      <c r="AN129" s="16" t="n">
        <f aca="false">AL129+AK129</f>
        <v>90</v>
      </c>
      <c r="AO129" s="16" t="n">
        <v>78</v>
      </c>
      <c r="AP129" s="36" t="n">
        <f aca="false">(AO129*70)/100</f>
        <v>54.6</v>
      </c>
      <c r="AQ129" s="37" t="n">
        <f aca="false">ROUNDUP(AP129,0)</f>
        <v>55</v>
      </c>
      <c r="AR129" s="16" t="n">
        <v>27</v>
      </c>
      <c r="AS129" s="16" t="n">
        <f aca="false">AR129+AP129</f>
        <v>81.6</v>
      </c>
      <c r="AT129" s="16" t="n">
        <f aca="false">AR129+AQ129</f>
        <v>82</v>
      </c>
      <c r="AU129" s="16" t="n">
        <f aca="false">AO129+AF129+AI129+AH129+AG129</f>
        <v>414</v>
      </c>
      <c r="AV129" s="16" t="n">
        <f aca="false">(AO129+AF129+AI129+AH129+AG129)/5</f>
        <v>82.8</v>
      </c>
      <c r="AW129" s="36" t="n">
        <f aca="false">(AO129+AF129+AI129+AH129+AG129+X129+R129+Q129+K129+J129)</f>
        <v>798</v>
      </c>
      <c r="AX129" s="16" t="n">
        <f aca="false">AW129/10</f>
        <v>79.8</v>
      </c>
      <c r="AY129" s="16" t="n">
        <f aca="false">AS129+AF129+AM129+AH129+AG129+AB129+V129+Q129+O129+J129</f>
        <v>809.4</v>
      </c>
      <c r="AZ129" s="16" t="n">
        <f aca="false">AT129+AF129+AN129+AH129+AG129+AC129+W129+Q129+P129+J129</f>
        <v>812</v>
      </c>
      <c r="BA129" s="16" t="n">
        <f aca="false">AY129/10</f>
        <v>80.94</v>
      </c>
      <c r="BB129" s="16" t="n">
        <f aca="false">AZ129/10</f>
        <v>81.2</v>
      </c>
      <c r="BC129" s="24" t="n">
        <v>2331</v>
      </c>
      <c r="BD129" s="16" t="n">
        <f aca="false">RANK(AX129,$AX$2:$AX$881,0)</f>
        <v>281</v>
      </c>
      <c r="BE129" s="73" t="n">
        <f aca="false">((BC129*100)/2400)*0.4+(AX129*0.6)</f>
        <v>86.73</v>
      </c>
      <c r="BF129" s="16" t="n">
        <f aca="false">RANK(BE129,$BE$2:$BE$881,0)</f>
        <v>329</v>
      </c>
      <c r="BG129" s="39" t="n">
        <f aca="false">RANK(BB129,$BB$2:$BB$881,0)</f>
        <v>263</v>
      </c>
      <c r="BH129" s="39" t="n">
        <f aca="false">RANK(BC129,$BC$2:$BC$881,0)</f>
        <v>716</v>
      </c>
      <c r="BI129" s="22" t="s">
        <v>130</v>
      </c>
      <c r="BJ129" s="22" t="s">
        <v>129</v>
      </c>
      <c r="BK129" s="22" t="s">
        <v>509</v>
      </c>
      <c r="BL129" s="41" t="n">
        <v>14</v>
      </c>
      <c r="BM129" s="41" t="n">
        <v>62</v>
      </c>
      <c r="BN129" s="41" t="n">
        <v>76</v>
      </c>
      <c r="BO129" s="42" t="n">
        <v>24</v>
      </c>
      <c r="BP129" s="43" t="n">
        <v>63</v>
      </c>
      <c r="BQ129" s="44" t="n">
        <v>87</v>
      </c>
      <c r="BR129" s="42" t="n">
        <v>27</v>
      </c>
      <c r="BS129" s="45" t="n">
        <v>63</v>
      </c>
      <c r="BT129" s="45" t="n">
        <v>90</v>
      </c>
      <c r="BU129" s="46" t="n">
        <v>100</v>
      </c>
      <c r="BV129" s="47" t="n">
        <v>78</v>
      </c>
      <c r="BW129" s="42" t="n">
        <v>99</v>
      </c>
      <c r="BX129" s="48" t="n">
        <v>94</v>
      </c>
      <c r="BY129" s="32" t="n">
        <v>23</v>
      </c>
      <c r="BZ129" s="32" t="n">
        <v>61</v>
      </c>
      <c r="CA129" s="32" t="n">
        <v>84</v>
      </c>
      <c r="CB129" s="32" t="n">
        <v>24</v>
      </c>
      <c r="CC129" s="32" t="n">
        <v>48</v>
      </c>
      <c r="CD129" s="32" t="n">
        <v>72</v>
      </c>
      <c r="CE129" s="32" t="n">
        <v>26</v>
      </c>
      <c r="CF129" s="32" t="n">
        <v>61</v>
      </c>
      <c r="CG129" s="32" t="n">
        <v>87</v>
      </c>
      <c r="CH129" s="32" t="n">
        <v>98</v>
      </c>
      <c r="CI129" s="32" t="n">
        <v>100</v>
      </c>
      <c r="CJ129" s="49" t="n">
        <v>29</v>
      </c>
      <c r="CK129" s="49" t="n">
        <v>54</v>
      </c>
      <c r="CL129" s="49" t="n">
        <v>83</v>
      </c>
      <c r="CM129" s="49" t="n">
        <v>24</v>
      </c>
      <c r="CN129" s="49" t="n">
        <v>53</v>
      </c>
      <c r="CO129" s="49" t="n">
        <v>77</v>
      </c>
      <c r="CP129" s="25" t="n">
        <f aca="false">BX129+BW129+BV129+BU129+BT129+BQ129+BN129</f>
        <v>624</v>
      </c>
      <c r="CQ129" s="25" t="n">
        <f aca="false">CO129+CL129+CI129+CH129+CG129+CD129+CA129</f>
        <v>601</v>
      </c>
      <c r="CR129" s="26" t="n">
        <f aca="false">CP129/7</f>
        <v>89.1428571428571</v>
      </c>
      <c r="CS129" s="26" t="n">
        <f aca="false">CQ129/7</f>
        <v>85.8571428571429</v>
      </c>
      <c r="CT129" s="24" t="n">
        <f aca="false">RANK(CR129,$CR$2:$CR$881,0)</f>
        <v>235</v>
      </c>
      <c r="CU129" s="25" t="n">
        <f aca="false">RANK(CS129,$CS$2:$CS$881,0)</f>
        <v>80</v>
      </c>
      <c r="CV129" s="26" t="n">
        <f aca="false">(CS129+CR129)/2</f>
        <v>87.5</v>
      </c>
      <c r="CW129" s="25" t="n">
        <f aca="false">RANK(CV129,$CV$2:$CV$881,0)</f>
        <v>117</v>
      </c>
      <c r="CX129" s="50" t="n">
        <f aca="false">(CV129+BB129)/2</f>
        <v>84.35</v>
      </c>
      <c r="CY129" s="50" t="n">
        <v>220</v>
      </c>
      <c r="CZ129" s="27" t="s">
        <v>132</v>
      </c>
      <c r="DA129" s="27" t="s">
        <v>175</v>
      </c>
      <c r="DB129" s="27" t="s">
        <v>175</v>
      </c>
      <c r="DC129" s="27" t="s">
        <v>134</v>
      </c>
      <c r="DD129" s="27" t="s">
        <v>164</v>
      </c>
      <c r="DE129" s="27" t="s">
        <v>152</v>
      </c>
      <c r="DF129" s="27" t="s">
        <v>170</v>
      </c>
      <c r="DG129" s="27" t="s">
        <v>134</v>
      </c>
      <c r="DH129" s="27" t="s">
        <v>135</v>
      </c>
      <c r="DI129" s="27" t="s">
        <v>203</v>
      </c>
      <c r="DJ129" s="27" t="s">
        <v>178</v>
      </c>
      <c r="DK129" s="27" t="s">
        <v>134</v>
      </c>
      <c r="DL129" s="27" t="s">
        <v>160</v>
      </c>
      <c r="DM129" s="27" t="s">
        <v>204</v>
      </c>
      <c r="DN129" s="27" t="s">
        <v>178</v>
      </c>
      <c r="DO129" s="27" t="s">
        <v>134</v>
      </c>
      <c r="DP129" s="27" t="s">
        <v>195</v>
      </c>
      <c r="DQ129" s="27" t="s">
        <v>204</v>
      </c>
      <c r="DR129" s="27" t="s">
        <v>219</v>
      </c>
      <c r="DS129" s="27" t="s">
        <v>134</v>
      </c>
      <c r="DT129" s="27" t="s">
        <v>140</v>
      </c>
      <c r="DU129" s="27" t="s">
        <v>220</v>
      </c>
      <c r="DV129" s="27" t="s">
        <v>175</v>
      </c>
      <c r="DW129" s="27" t="s">
        <v>146</v>
      </c>
      <c r="DX129" s="27" t="s">
        <v>138</v>
      </c>
      <c r="DY129" s="27" t="s">
        <v>147</v>
      </c>
      <c r="DZ129" s="27" t="n">
        <f aca="false">DY129+DV129+DR129+DN129+DJ129+DF129+DB129</f>
        <v>614</v>
      </c>
      <c r="EA129" s="28" t="n">
        <f aca="false">DZ129/7</f>
        <v>87.7142857142857</v>
      </c>
      <c r="EB129" s="27" t="n">
        <f aca="false">RANK(EA129,$EA$2:$EA$881,0)</f>
        <v>103</v>
      </c>
      <c r="EC129" s="29" t="n">
        <f aca="false">DZ129+CQ129+CP129+AZ129</f>
        <v>2651</v>
      </c>
      <c r="ED129" s="30" t="n">
        <f aca="false">(EA129+CV129+BB129)/3</f>
        <v>85.4714285714286</v>
      </c>
      <c r="EE129" s="51" t="n">
        <f aca="false">ROUND(BE129,3)</f>
        <v>86.73</v>
      </c>
      <c r="EF129" s="51" t="n">
        <f aca="false">ROUND(CR129,3)</f>
        <v>89.143</v>
      </c>
      <c r="EG129" s="51" t="n">
        <f aca="false">ROUND(CS129,3)</f>
        <v>85.857</v>
      </c>
      <c r="EH129" s="51" t="n">
        <f aca="false">ROUND(EA129,3)</f>
        <v>87.714</v>
      </c>
      <c r="EI129" s="51" t="n">
        <f aca="false">ROUND(ED129,3)</f>
        <v>85.471</v>
      </c>
      <c r="EJ129" s="51" t="n">
        <f aca="false">ROUND(CV129,3)</f>
        <v>87.5</v>
      </c>
      <c r="EK129" s="0" t="n">
        <f aca="false">RANK(EI129,$EI$2:$EI$881,0)</f>
        <v>128</v>
      </c>
    </row>
    <row r="130" customFormat="false" ht="15" hidden="false" customHeight="false" outlineLevel="0" collapsed="false">
      <c r="A130" s="4" t="n">
        <v>9060</v>
      </c>
      <c r="B130" s="4" t="n">
        <v>189</v>
      </c>
      <c r="C130" s="27" t="s">
        <v>575</v>
      </c>
      <c r="D130" s="31" t="n">
        <v>190</v>
      </c>
      <c r="E130" s="16" t="n">
        <v>230250043</v>
      </c>
      <c r="F130" s="56" t="s">
        <v>576</v>
      </c>
      <c r="G130" s="22" t="s">
        <v>577</v>
      </c>
      <c r="H130" s="22" t="s">
        <v>326</v>
      </c>
      <c r="I130" s="57"/>
      <c r="J130" s="16" t="n">
        <v>73</v>
      </c>
      <c r="K130" s="16" t="n">
        <v>80</v>
      </c>
      <c r="L130" s="34" t="n">
        <f aca="false">(K130*70)/100</f>
        <v>56</v>
      </c>
      <c r="M130" s="34" t="n">
        <f aca="false">ROUNDUP(L130,0)</f>
        <v>56</v>
      </c>
      <c r="N130" s="16" t="n">
        <v>25</v>
      </c>
      <c r="O130" s="34" t="n">
        <f aca="false">N130+L130</f>
        <v>81</v>
      </c>
      <c r="P130" s="34" t="n">
        <f aca="false">N130+M130</f>
        <v>81</v>
      </c>
      <c r="Q130" s="16" t="n">
        <v>69</v>
      </c>
      <c r="R130" s="16" t="n">
        <v>72</v>
      </c>
      <c r="S130" s="34" t="n">
        <f aca="false">(R130*70)/100</f>
        <v>50.4</v>
      </c>
      <c r="T130" s="34" t="n">
        <f aca="false">ROUNDUP(S130,0)</f>
        <v>51</v>
      </c>
      <c r="U130" s="16" t="n">
        <v>25</v>
      </c>
      <c r="V130" s="34" t="n">
        <f aca="false">U130+S130</f>
        <v>75.4</v>
      </c>
      <c r="W130" s="34" t="n">
        <f aca="false">U130+T130</f>
        <v>76</v>
      </c>
      <c r="X130" s="16" t="n">
        <v>67</v>
      </c>
      <c r="Y130" s="34" t="n">
        <f aca="false">(X130*70)/100</f>
        <v>46.9</v>
      </c>
      <c r="Z130" s="34" t="n">
        <f aca="false">ROUNDUP(Y130,0)</f>
        <v>47</v>
      </c>
      <c r="AA130" s="16" t="n">
        <v>28</v>
      </c>
      <c r="AB130" s="34" t="n">
        <f aca="false">AA130+Y130</f>
        <v>74.9</v>
      </c>
      <c r="AC130" s="34" t="n">
        <f aca="false">AA130+Z130</f>
        <v>75</v>
      </c>
      <c r="AD130" s="32" t="n">
        <f aca="false">X130+R130+Q130+K130+J130</f>
        <v>361</v>
      </c>
      <c r="AE130" s="16" t="n">
        <f aca="false">AD130/5</f>
        <v>72.2</v>
      </c>
      <c r="AF130" s="16" t="n">
        <v>87</v>
      </c>
      <c r="AG130" s="16" t="n">
        <v>84</v>
      </c>
      <c r="AH130" s="16" t="n">
        <v>93</v>
      </c>
      <c r="AI130" s="16" t="n">
        <v>98</v>
      </c>
      <c r="AJ130" s="16" t="n">
        <f aca="false">(AI130*70)/100</f>
        <v>68.6</v>
      </c>
      <c r="AK130" s="35" t="n">
        <f aca="false">ROUNDUP(AJ130,0)</f>
        <v>69</v>
      </c>
      <c r="AL130" s="16" t="n">
        <v>26</v>
      </c>
      <c r="AM130" s="16" t="n">
        <f aca="false">AL130+AJ130</f>
        <v>94.6</v>
      </c>
      <c r="AN130" s="16" t="n">
        <f aca="false">AL130+AK130</f>
        <v>95</v>
      </c>
      <c r="AO130" s="16" t="n">
        <v>77</v>
      </c>
      <c r="AP130" s="36" t="n">
        <f aca="false">(AO130*70)/100</f>
        <v>53.9</v>
      </c>
      <c r="AQ130" s="37" t="n">
        <f aca="false">ROUNDUP(AP130,0)</f>
        <v>54</v>
      </c>
      <c r="AR130" s="16" t="n">
        <v>29</v>
      </c>
      <c r="AS130" s="16" t="n">
        <f aca="false">AR130+AP130</f>
        <v>82.9</v>
      </c>
      <c r="AT130" s="16" t="n">
        <f aca="false">AR130+AQ130</f>
        <v>83</v>
      </c>
      <c r="AU130" s="16" t="n">
        <f aca="false">AO130+AF130+AI130+AH130+AG130</f>
        <v>439</v>
      </c>
      <c r="AV130" s="16" t="n">
        <f aca="false">(AO130+AF130+AI130+AH130+AG130)/5</f>
        <v>87.8</v>
      </c>
      <c r="AW130" s="36" t="n">
        <f aca="false">(AO130+AF130+AI130+AH130+AG130+X130+R130+Q130+K130+J130)</f>
        <v>800</v>
      </c>
      <c r="AX130" s="16" t="n">
        <f aca="false">AW130/10</f>
        <v>80</v>
      </c>
      <c r="AY130" s="16" t="n">
        <f aca="false">AS130+AF130+AM130+AH130+AG130+AB130+V130+Q130+O130+J130</f>
        <v>814.8</v>
      </c>
      <c r="AZ130" s="16" t="n">
        <f aca="false">AT130+AF130+AN130+AH130+AG130+AC130+W130+Q130+P130+J130</f>
        <v>816</v>
      </c>
      <c r="BA130" s="16" t="n">
        <f aca="false">AY130/10</f>
        <v>81.48</v>
      </c>
      <c r="BB130" s="16" t="n">
        <f aca="false">AZ130/10</f>
        <v>81.6</v>
      </c>
      <c r="BC130" s="16" t="n">
        <v>2386</v>
      </c>
      <c r="BD130" s="16" t="n">
        <f aca="false">RANK(AX130,$AX$2:$AX$881,0)</f>
        <v>265</v>
      </c>
      <c r="BE130" s="54" t="n">
        <f aca="false">((BC130*100)/2400)*0.4+(AX130*0.6)</f>
        <v>87.7666666666667</v>
      </c>
      <c r="BF130" s="16" t="n">
        <f aca="false">RANK(BE130,$BE$2:$BE$881,0)</f>
        <v>224</v>
      </c>
      <c r="BG130" s="39" t="n">
        <f aca="false">RANK(BB130,$BB$2:$BB$881,0)</f>
        <v>240</v>
      </c>
      <c r="BH130" s="39" t="n">
        <f aca="false">RANK(BC130,$BC$2:$BC$881,0)</f>
        <v>86</v>
      </c>
      <c r="BI130" s="22" t="s">
        <v>130</v>
      </c>
      <c r="BJ130" s="22" t="s">
        <v>129</v>
      </c>
      <c r="BK130" s="40" t="s">
        <v>131</v>
      </c>
      <c r="BL130" s="41" t="n">
        <v>21</v>
      </c>
      <c r="BM130" s="41" t="n">
        <v>57</v>
      </c>
      <c r="BN130" s="41" t="n">
        <v>78</v>
      </c>
      <c r="BO130" s="42" t="n">
        <v>24</v>
      </c>
      <c r="BP130" s="43" t="n">
        <v>64</v>
      </c>
      <c r="BQ130" s="44" t="n">
        <v>88</v>
      </c>
      <c r="BR130" s="42" t="n">
        <v>22</v>
      </c>
      <c r="BS130" s="45" t="n">
        <v>63</v>
      </c>
      <c r="BT130" s="45" t="n">
        <v>85</v>
      </c>
      <c r="BU130" s="77" t="n">
        <v>100</v>
      </c>
      <c r="BV130" s="47" t="n">
        <v>90</v>
      </c>
      <c r="BW130" s="43" t="n">
        <v>100</v>
      </c>
      <c r="BX130" s="48" t="n">
        <v>96</v>
      </c>
      <c r="BY130" s="32" t="n">
        <v>24</v>
      </c>
      <c r="BZ130" s="32" t="n">
        <v>50</v>
      </c>
      <c r="CA130" s="32" t="n">
        <v>74</v>
      </c>
      <c r="CB130" s="32" t="n">
        <v>25</v>
      </c>
      <c r="CC130" s="32" t="n">
        <v>45</v>
      </c>
      <c r="CD130" s="32" t="n">
        <v>70</v>
      </c>
      <c r="CE130" s="32" t="n">
        <v>27</v>
      </c>
      <c r="CF130" s="32" t="n">
        <v>57</v>
      </c>
      <c r="CG130" s="32" t="n">
        <v>84</v>
      </c>
      <c r="CH130" s="32" t="n">
        <v>100</v>
      </c>
      <c r="CI130" s="32" t="n">
        <v>99</v>
      </c>
      <c r="CJ130" s="49" t="n">
        <v>15</v>
      </c>
      <c r="CK130" s="49" t="n">
        <v>58</v>
      </c>
      <c r="CL130" s="49" t="n">
        <v>73</v>
      </c>
      <c r="CM130" s="49" t="n">
        <v>21</v>
      </c>
      <c r="CN130" s="49" t="n">
        <v>53</v>
      </c>
      <c r="CO130" s="49" t="n">
        <v>74</v>
      </c>
      <c r="CP130" s="25" t="n">
        <f aca="false">BX130+BW130+BV130+BU130+BT130+BQ130+BN130</f>
        <v>637</v>
      </c>
      <c r="CQ130" s="25" t="n">
        <f aca="false">CO130+CL130+CI130+CH130+CG130+CD130+CA130</f>
        <v>574</v>
      </c>
      <c r="CR130" s="26" t="n">
        <f aca="false">CP130/7</f>
        <v>91</v>
      </c>
      <c r="CS130" s="26" t="n">
        <f aca="false">CQ130/7</f>
        <v>82</v>
      </c>
      <c r="CT130" s="24" t="n">
        <f aca="false">RANK(CR130,$CR$2:$CR$881,0)</f>
        <v>130</v>
      </c>
      <c r="CU130" s="25" t="n">
        <f aca="false">RANK(CS130,$CS$2:$CS$881,0)</f>
        <v>192</v>
      </c>
      <c r="CV130" s="26" t="n">
        <f aca="false">(CS130+CR130)/2</f>
        <v>86.5</v>
      </c>
      <c r="CW130" s="25" t="n">
        <f aca="false">RANK(CV130,$CV$2:$CV$881,0)</f>
        <v>154</v>
      </c>
      <c r="CX130" s="50" t="n">
        <f aca="false">(CV130+BB130)/2</f>
        <v>84.05</v>
      </c>
      <c r="CY130" s="50" t="n">
        <v>161</v>
      </c>
      <c r="CZ130" s="27" t="s">
        <v>132</v>
      </c>
      <c r="DA130" s="27" t="s">
        <v>139</v>
      </c>
      <c r="DB130" s="27" t="s">
        <v>139</v>
      </c>
      <c r="DC130" s="27" t="s">
        <v>134</v>
      </c>
      <c r="DD130" s="27" t="s">
        <v>154</v>
      </c>
      <c r="DE130" s="27" t="s">
        <v>203</v>
      </c>
      <c r="DF130" s="27" t="s">
        <v>175</v>
      </c>
      <c r="DG130" s="27" t="s">
        <v>134</v>
      </c>
      <c r="DH130" s="27" t="s">
        <v>164</v>
      </c>
      <c r="DI130" s="27" t="s">
        <v>163</v>
      </c>
      <c r="DJ130" s="27" t="s">
        <v>176</v>
      </c>
      <c r="DK130" s="27" t="s">
        <v>134</v>
      </c>
      <c r="DL130" s="27" t="s">
        <v>135</v>
      </c>
      <c r="DM130" s="27" t="s">
        <v>141</v>
      </c>
      <c r="DN130" s="27" t="s">
        <v>176</v>
      </c>
      <c r="DO130" s="27" t="s">
        <v>134</v>
      </c>
      <c r="DP130" s="27" t="s">
        <v>191</v>
      </c>
      <c r="DQ130" s="27" t="s">
        <v>313</v>
      </c>
      <c r="DR130" s="27" t="s">
        <v>398</v>
      </c>
      <c r="DS130" s="27" t="s">
        <v>134</v>
      </c>
      <c r="DT130" s="27" t="s">
        <v>164</v>
      </c>
      <c r="DU130" s="27" t="s">
        <v>218</v>
      </c>
      <c r="DV130" s="27" t="s">
        <v>209</v>
      </c>
      <c r="DW130" s="27" t="s">
        <v>140</v>
      </c>
      <c r="DX130" s="27" t="s">
        <v>138</v>
      </c>
      <c r="DY130" s="27" t="s">
        <v>145</v>
      </c>
      <c r="DZ130" s="27" t="n">
        <f aca="false">DY130+DV130+DR130+DN130+DJ130+DF130+DB130</f>
        <v>618</v>
      </c>
      <c r="EA130" s="28" t="n">
        <f aca="false">DZ130/7</f>
        <v>88.2857142857143</v>
      </c>
      <c r="EB130" s="27" t="n">
        <f aca="false">RANK(EA130,$EA$2:$EA$881,0)</f>
        <v>92</v>
      </c>
      <c r="EC130" s="29" t="n">
        <f aca="false">DZ130+CQ130+CP130+AZ130</f>
        <v>2645</v>
      </c>
      <c r="ED130" s="30" t="n">
        <f aca="false">(EA130+CV130+BB130)/3</f>
        <v>85.4619047619048</v>
      </c>
      <c r="EE130" s="51" t="n">
        <f aca="false">ROUND(BE130,3)</f>
        <v>87.767</v>
      </c>
      <c r="EF130" s="51" t="n">
        <f aca="false">ROUND(CR130,3)</f>
        <v>91</v>
      </c>
      <c r="EG130" s="51" t="n">
        <f aca="false">ROUND(CS130,3)</f>
        <v>82</v>
      </c>
      <c r="EH130" s="51" t="n">
        <f aca="false">ROUND(EA130,3)</f>
        <v>88.286</v>
      </c>
      <c r="EI130" s="51" t="n">
        <f aca="false">ROUND(ED130,3)</f>
        <v>85.462</v>
      </c>
      <c r="EJ130" s="51" t="n">
        <f aca="false">ROUND(CV130,3)</f>
        <v>86.5</v>
      </c>
      <c r="EK130" s="0" t="n">
        <f aca="false">RANK(EI130,$EI$2:$EI$881,0)</f>
        <v>129</v>
      </c>
    </row>
    <row r="131" customFormat="false" ht="15" hidden="false" customHeight="false" outlineLevel="0" collapsed="false">
      <c r="A131" s="4" t="n">
        <v>9084</v>
      </c>
      <c r="B131" s="4" t="n">
        <v>167</v>
      </c>
      <c r="C131" s="27" t="s">
        <v>578</v>
      </c>
      <c r="D131" s="31" t="n">
        <v>168</v>
      </c>
      <c r="E131" s="32" t="n">
        <v>230324537</v>
      </c>
      <c r="F131" s="8" t="s">
        <v>579</v>
      </c>
      <c r="G131" s="22" t="s">
        <v>580</v>
      </c>
      <c r="H131" s="22" t="s">
        <v>129</v>
      </c>
      <c r="I131" s="33" t="n">
        <v>2005</v>
      </c>
      <c r="J131" s="32" t="n">
        <v>80</v>
      </c>
      <c r="K131" s="32" t="n">
        <v>80</v>
      </c>
      <c r="L131" s="34" t="n">
        <f aca="false">(K131*70)/100</f>
        <v>56</v>
      </c>
      <c r="M131" s="34" t="n">
        <f aca="false">ROUNDUP(L131,0)</f>
        <v>56</v>
      </c>
      <c r="N131" s="32" t="n">
        <v>28</v>
      </c>
      <c r="O131" s="34" t="n">
        <f aca="false">N131+L131</f>
        <v>84</v>
      </c>
      <c r="P131" s="34" t="n">
        <f aca="false">N131+M131</f>
        <v>84</v>
      </c>
      <c r="Q131" s="32" t="n">
        <v>83</v>
      </c>
      <c r="R131" s="32" t="n">
        <v>82</v>
      </c>
      <c r="S131" s="34" t="n">
        <f aca="false">(R131*70)/100</f>
        <v>57.4</v>
      </c>
      <c r="T131" s="34" t="n">
        <f aca="false">ROUNDUP(S131,0)</f>
        <v>58</v>
      </c>
      <c r="U131" s="32" t="n">
        <v>27</v>
      </c>
      <c r="V131" s="34" t="n">
        <f aca="false">U131+S131</f>
        <v>84.4</v>
      </c>
      <c r="W131" s="34" t="n">
        <f aca="false">U131+T131</f>
        <v>85</v>
      </c>
      <c r="X131" s="32" t="n">
        <v>68</v>
      </c>
      <c r="Y131" s="34" t="n">
        <f aca="false">(X131*70)/100</f>
        <v>47.6</v>
      </c>
      <c r="Z131" s="34" t="n">
        <f aca="false">ROUNDUP(Y131,0)</f>
        <v>48</v>
      </c>
      <c r="AA131" s="32" t="n">
        <v>26</v>
      </c>
      <c r="AB131" s="34" t="n">
        <f aca="false">AA131+Y131</f>
        <v>73.6</v>
      </c>
      <c r="AC131" s="34" t="n">
        <f aca="false">AA131+Z131</f>
        <v>74</v>
      </c>
      <c r="AD131" s="32" t="n">
        <f aca="false">X131+R131+Q131+K131+J131</f>
        <v>393</v>
      </c>
      <c r="AE131" s="16" t="n">
        <f aca="false">AD131/5</f>
        <v>78.6</v>
      </c>
      <c r="AF131" s="16" t="n">
        <v>81</v>
      </c>
      <c r="AG131" s="16" t="n">
        <v>85</v>
      </c>
      <c r="AH131" s="16" t="n">
        <v>91</v>
      </c>
      <c r="AI131" s="16" t="n">
        <v>93</v>
      </c>
      <c r="AJ131" s="16" t="n">
        <f aca="false">(AI131*70)/100</f>
        <v>65.1</v>
      </c>
      <c r="AK131" s="35" t="n">
        <f aca="false">ROUNDUP(AJ131,0)</f>
        <v>66</v>
      </c>
      <c r="AL131" s="16" t="n">
        <v>24</v>
      </c>
      <c r="AM131" s="16" t="n">
        <f aca="false">AL131+AJ131</f>
        <v>89.1</v>
      </c>
      <c r="AN131" s="16" t="n">
        <f aca="false">AL131+AK131</f>
        <v>90</v>
      </c>
      <c r="AO131" s="16" t="n">
        <v>75</v>
      </c>
      <c r="AP131" s="36" t="n">
        <f aca="false">(AO131*70)/100</f>
        <v>52.5</v>
      </c>
      <c r="AQ131" s="37" t="n">
        <f aca="false">ROUNDUP(AP131,0)</f>
        <v>53</v>
      </c>
      <c r="AR131" s="16" t="n">
        <v>29</v>
      </c>
      <c r="AS131" s="16" t="n">
        <f aca="false">AR131+AP131</f>
        <v>81.5</v>
      </c>
      <c r="AT131" s="16" t="n">
        <f aca="false">AR131+AQ131</f>
        <v>82</v>
      </c>
      <c r="AU131" s="16" t="n">
        <f aca="false">AO131+AF131+AI131+AH131+AG131</f>
        <v>425</v>
      </c>
      <c r="AV131" s="16" t="n">
        <f aca="false">(AO131+AF131+AI131+AH131+AG131)/5</f>
        <v>85</v>
      </c>
      <c r="AW131" s="36" t="n">
        <f aca="false">(AO131+AF131+AI131+AH131+AG131+X131+R131+Q131+K131+J131)</f>
        <v>818</v>
      </c>
      <c r="AX131" s="16" t="n">
        <f aca="false">AW131/10</f>
        <v>81.8</v>
      </c>
      <c r="AY131" s="16" t="n">
        <f aca="false">AS131+AF131+AM131+AH131+AG131+AB131+V131+Q131+O131+J131</f>
        <v>832.6</v>
      </c>
      <c r="AZ131" s="16" t="n">
        <f aca="false">AT131+AF131+AN131+AH131+AG131+AC131+W131+Q131+P131+J131</f>
        <v>835</v>
      </c>
      <c r="BA131" s="16" t="n">
        <f aca="false">AY131/10</f>
        <v>83.26</v>
      </c>
      <c r="BB131" s="16" t="n">
        <f aca="false">AZ131/10</f>
        <v>83.5</v>
      </c>
      <c r="BC131" s="16" t="n">
        <v>2370</v>
      </c>
      <c r="BD131" s="16" t="n">
        <f aca="false">RANK(AX131,$AX$2:$AX$881,0)</f>
        <v>171</v>
      </c>
      <c r="BE131" s="54" t="n">
        <f aca="false">((BC131*100)/2400)*0.4+(AX131*0.6)</f>
        <v>88.58</v>
      </c>
      <c r="BF131" s="16" t="n">
        <f aca="false">RANK(BE131,$BE$2:$BE$881,0)</f>
        <v>154</v>
      </c>
      <c r="BG131" s="39" t="n">
        <f aca="false">RANK(BB131,$BB$2:$BB$881,0)</f>
        <v>141</v>
      </c>
      <c r="BH131" s="39" t="n">
        <f aca="false">RANK(BC131,$BC$2:$BC$881,0)</f>
        <v>268</v>
      </c>
      <c r="BI131" s="22" t="s">
        <v>130</v>
      </c>
      <c r="BJ131" s="22" t="s">
        <v>129</v>
      </c>
      <c r="BK131" s="40" t="s">
        <v>131</v>
      </c>
      <c r="BL131" s="41" t="n">
        <v>23</v>
      </c>
      <c r="BM131" s="41" t="n">
        <v>55</v>
      </c>
      <c r="BN131" s="41" t="n">
        <v>78</v>
      </c>
      <c r="BO131" s="42" t="n">
        <v>28</v>
      </c>
      <c r="BP131" s="43" t="n">
        <v>57</v>
      </c>
      <c r="BQ131" s="44" t="n">
        <v>85</v>
      </c>
      <c r="BR131" s="42" t="n">
        <v>22</v>
      </c>
      <c r="BS131" s="45" t="n">
        <v>60</v>
      </c>
      <c r="BT131" s="45" t="n">
        <v>82</v>
      </c>
      <c r="BU131" s="46" t="n">
        <v>100</v>
      </c>
      <c r="BV131" s="47" t="n">
        <v>80</v>
      </c>
      <c r="BW131" s="42" t="n">
        <v>100</v>
      </c>
      <c r="BX131" s="48" t="n">
        <v>96</v>
      </c>
      <c r="BY131" s="32" t="n">
        <v>26</v>
      </c>
      <c r="BZ131" s="32" t="n">
        <v>62</v>
      </c>
      <c r="CA131" s="32" t="n">
        <v>88</v>
      </c>
      <c r="CB131" s="32" t="n">
        <v>22</v>
      </c>
      <c r="CC131" s="32" t="n">
        <v>40</v>
      </c>
      <c r="CD131" s="32" t="n">
        <v>62</v>
      </c>
      <c r="CE131" s="32" t="n">
        <v>27</v>
      </c>
      <c r="CF131" s="32" t="n">
        <v>53</v>
      </c>
      <c r="CG131" s="32" t="n">
        <v>80</v>
      </c>
      <c r="CH131" s="32" t="n">
        <v>95</v>
      </c>
      <c r="CI131" s="32" t="n">
        <v>96</v>
      </c>
      <c r="CJ131" s="49" t="n">
        <v>22</v>
      </c>
      <c r="CK131" s="49" t="n">
        <v>55</v>
      </c>
      <c r="CL131" s="49" t="n">
        <v>77</v>
      </c>
      <c r="CM131" s="49" t="n">
        <v>25</v>
      </c>
      <c r="CN131" s="49" t="n">
        <v>50</v>
      </c>
      <c r="CO131" s="49" t="n">
        <v>75</v>
      </c>
      <c r="CP131" s="25" t="n">
        <f aca="false">BX131+BW131+BV131+BU131+BT131+BQ131+BN131</f>
        <v>621</v>
      </c>
      <c r="CQ131" s="25" t="n">
        <f aca="false">CO131+CL131+CI131+CH131+CG131+CD131+CA131</f>
        <v>573</v>
      </c>
      <c r="CR131" s="26" t="n">
        <f aca="false">CP131/7</f>
        <v>88.7142857142857</v>
      </c>
      <c r="CS131" s="26" t="n">
        <f aca="false">CQ131/7</f>
        <v>81.8571428571429</v>
      </c>
      <c r="CT131" s="24" t="n">
        <f aca="false">RANK(CR131,$CR$2:$CR$881,0)</f>
        <v>262</v>
      </c>
      <c r="CU131" s="25" t="n">
        <f aca="false">RANK(CS131,$CS$2:$CS$881,0)</f>
        <v>197</v>
      </c>
      <c r="CV131" s="26" t="n">
        <f aca="false">(CS131+CR131)/2</f>
        <v>85.2857142857143</v>
      </c>
      <c r="CW131" s="25" t="n">
        <f aca="false">RANK(CV131,$CV$2:$CV$881,0)</f>
        <v>200</v>
      </c>
      <c r="CX131" s="50" t="n">
        <f aca="false">(CV131+BB131)/2</f>
        <v>84.3928571428571</v>
      </c>
      <c r="CY131" s="50" t="n">
        <v>149</v>
      </c>
      <c r="CZ131" s="27" t="s">
        <v>132</v>
      </c>
      <c r="DA131" s="27" t="s">
        <v>162</v>
      </c>
      <c r="DB131" s="27" t="s">
        <v>162</v>
      </c>
      <c r="DC131" s="27" t="s">
        <v>134</v>
      </c>
      <c r="DD131" s="27" t="s">
        <v>137</v>
      </c>
      <c r="DE131" s="27" t="s">
        <v>136</v>
      </c>
      <c r="DF131" s="27" t="s">
        <v>162</v>
      </c>
      <c r="DG131" s="27" t="s">
        <v>134</v>
      </c>
      <c r="DH131" s="27" t="s">
        <v>135</v>
      </c>
      <c r="DI131" s="27" t="s">
        <v>163</v>
      </c>
      <c r="DJ131" s="27" t="s">
        <v>153</v>
      </c>
      <c r="DK131" s="27" t="s">
        <v>134</v>
      </c>
      <c r="DL131" s="27" t="s">
        <v>137</v>
      </c>
      <c r="DM131" s="27" t="s">
        <v>152</v>
      </c>
      <c r="DN131" s="27" t="s">
        <v>153</v>
      </c>
      <c r="DO131" s="27" t="s">
        <v>134</v>
      </c>
      <c r="DP131" s="27" t="s">
        <v>174</v>
      </c>
      <c r="DQ131" s="27" t="s">
        <v>304</v>
      </c>
      <c r="DR131" s="27" t="s">
        <v>443</v>
      </c>
      <c r="DS131" s="27" t="s">
        <v>134</v>
      </c>
      <c r="DT131" s="27" t="s">
        <v>182</v>
      </c>
      <c r="DU131" s="27" t="s">
        <v>163</v>
      </c>
      <c r="DV131" s="27" t="s">
        <v>162</v>
      </c>
      <c r="DW131" s="27" t="s">
        <v>154</v>
      </c>
      <c r="DX131" s="27" t="s">
        <v>141</v>
      </c>
      <c r="DY131" s="27" t="s">
        <v>153</v>
      </c>
      <c r="DZ131" s="27" t="n">
        <f aca="false">DY131+DV131+DR131+DN131+DJ131+DF131+DB131</f>
        <v>613</v>
      </c>
      <c r="EA131" s="28" t="n">
        <f aca="false">DZ131/7</f>
        <v>87.5714285714286</v>
      </c>
      <c r="EB131" s="27" t="n">
        <f aca="false">RANK(EA131,$EA$2:$EA$881,0)</f>
        <v>106</v>
      </c>
      <c r="EC131" s="29" t="n">
        <f aca="false">DZ131+CQ131+CP131+AZ131</f>
        <v>2642</v>
      </c>
      <c r="ED131" s="30" t="n">
        <f aca="false">(EA131+CV131+BB131)/3</f>
        <v>85.452380952381</v>
      </c>
      <c r="EE131" s="51" t="n">
        <f aca="false">ROUND(BE131,3)</f>
        <v>88.58</v>
      </c>
      <c r="EF131" s="51" t="n">
        <f aca="false">ROUND(CR131,3)</f>
        <v>88.714</v>
      </c>
      <c r="EG131" s="51" t="n">
        <f aca="false">ROUND(CS131,3)</f>
        <v>81.857</v>
      </c>
      <c r="EH131" s="51" t="n">
        <f aca="false">ROUND(EA131,3)</f>
        <v>87.571</v>
      </c>
      <c r="EI131" s="51" t="n">
        <f aca="false">ROUND(ED131,3)</f>
        <v>85.452</v>
      </c>
      <c r="EJ131" s="51" t="n">
        <f aca="false">ROUND(CV131,3)</f>
        <v>85.286</v>
      </c>
      <c r="EK131" s="0" t="n">
        <f aca="false">RANK(EI131,$EI$2:$EI$881,0)</f>
        <v>130</v>
      </c>
    </row>
    <row r="132" customFormat="false" ht="15" hidden="false" customHeight="false" outlineLevel="0" collapsed="false">
      <c r="A132" s="4" t="n">
        <v>8625</v>
      </c>
      <c r="B132" s="4" t="n">
        <v>258</v>
      </c>
      <c r="C132" s="27" t="s">
        <v>581</v>
      </c>
      <c r="D132" s="31" t="n">
        <v>260</v>
      </c>
      <c r="E132" s="32" t="n">
        <v>230319616</v>
      </c>
      <c r="F132" s="8" t="s">
        <v>582</v>
      </c>
      <c r="G132" s="22" t="s">
        <v>583</v>
      </c>
      <c r="H132" s="22" t="s">
        <v>129</v>
      </c>
      <c r="I132" s="33" t="n">
        <v>2005</v>
      </c>
      <c r="J132" s="32" t="n">
        <v>66</v>
      </c>
      <c r="K132" s="32" t="n">
        <v>88</v>
      </c>
      <c r="L132" s="34" t="n">
        <f aca="false">(K132*70)/100</f>
        <v>61.6</v>
      </c>
      <c r="M132" s="34" t="n">
        <f aca="false">ROUNDUP(L132,0)</f>
        <v>62</v>
      </c>
      <c r="N132" s="32" t="n">
        <v>27</v>
      </c>
      <c r="O132" s="34" t="n">
        <f aca="false">N132+L132</f>
        <v>88.6</v>
      </c>
      <c r="P132" s="34" t="n">
        <f aca="false">N132+M132</f>
        <v>89</v>
      </c>
      <c r="Q132" s="32" t="n">
        <v>86</v>
      </c>
      <c r="R132" s="32" t="n">
        <v>66</v>
      </c>
      <c r="S132" s="34" t="n">
        <f aca="false">(R132*70)/100</f>
        <v>46.2</v>
      </c>
      <c r="T132" s="34" t="n">
        <f aca="false">ROUNDUP(S132,0)</f>
        <v>47</v>
      </c>
      <c r="U132" s="32" t="n">
        <v>27</v>
      </c>
      <c r="V132" s="34" t="n">
        <f aca="false">U132+S132</f>
        <v>73.2</v>
      </c>
      <c r="W132" s="34" t="n">
        <f aca="false">U132+T132</f>
        <v>74</v>
      </c>
      <c r="X132" s="32" t="n">
        <v>77</v>
      </c>
      <c r="Y132" s="34" t="n">
        <f aca="false">(X132*70)/100</f>
        <v>53.9</v>
      </c>
      <c r="Z132" s="34" t="n">
        <f aca="false">ROUNDUP(Y132,0)</f>
        <v>54</v>
      </c>
      <c r="AA132" s="32" t="n">
        <v>25</v>
      </c>
      <c r="AB132" s="34" t="n">
        <f aca="false">AA132+Y132</f>
        <v>78.9</v>
      </c>
      <c r="AC132" s="34" t="n">
        <f aca="false">AA132+Z132</f>
        <v>79</v>
      </c>
      <c r="AD132" s="32" t="n">
        <f aca="false">X132+R132+Q132+K132+J132</f>
        <v>383</v>
      </c>
      <c r="AE132" s="16" t="n">
        <f aca="false">AD132/5</f>
        <v>76.6</v>
      </c>
      <c r="AF132" s="16" t="n">
        <v>78</v>
      </c>
      <c r="AG132" s="16" t="n">
        <v>73</v>
      </c>
      <c r="AH132" s="16" t="n">
        <v>94</v>
      </c>
      <c r="AI132" s="16" t="n">
        <v>93</v>
      </c>
      <c r="AJ132" s="16" t="n">
        <f aca="false">(AI132*70)/100</f>
        <v>65.1</v>
      </c>
      <c r="AK132" s="35" t="n">
        <f aca="false">ROUNDUP(AJ132,0)</f>
        <v>66</v>
      </c>
      <c r="AL132" s="16" t="n">
        <v>29</v>
      </c>
      <c r="AM132" s="16" t="n">
        <f aca="false">AL132+AJ132</f>
        <v>94.1</v>
      </c>
      <c r="AN132" s="16" t="n">
        <f aca="false">AL132+AK132</f>
        <v>95</v>
      </c>
      <c r="AO132" s="16" t="n">
        <v>87</v>
      </c>
      <c r="AP132" s="36" t="n">
        <f aca="false">(AO132*70)/100</f>
        <v>60.9</v>
      </c>
      <c r="AQ132" s="37" t="n">
        <f aca="false">ROUNDUP(AP132,0)</f>
        <v>61</v>
      </c>
      <c r="AR132" s="16" t="n">
        <v>30</v>
      </c>
      <c r="AS132" s="16" t="n">
        <f aca="false">AR132+AP132</f>
        <v>90.9</v>
      </c>
      <c r="AT132" s="16" t="n">
        <f aca="false">AR132+AQ132</f>
        <v>91</v>
      </c>
      <c r="AU132" s="16" t="n">
        <f aca="false">AO132+AF132+AI132+AH132+AG132</f>
        <v>425</v>
      </c>
      <c r="AV132" s="16" t="n">
        <f aca="false">(AO132+AF132+AI132+AH132+AG132)/5</f>
        <v>85</v>
      </c>
      <c r="AW132" s="36" t="n">
        <f aca="false">(AO132+AF132+AI132+AH132+AG132+X132+R132+Q132+K132+J132)</f>
        <v>808</v>
      </c>
      <c r="AX132" s="16" t="n">
        <f aca="false">AW132/10</f>
        <v>80.8</v>
      </c>
      <c r="AY132" s="16" t="n">
        <f aca="false">AS132+AF132+AM132+AH132+AG132+AB132+V132+Q132+O132+J132</f>
        <v>822.7</v>
      </c>
      <c r="AZ132" s="16" t="n">
        <f aca="false">AT132+AF132+AN132+AH132+AG132+AC132+W132+Q132+P132+J132</f>
        <v>825</v>
      </c>
      <c r="BA132" s="16" t="n">
        <f aca="false">AY132/10</f>
        <v>82.27</v>
      </c>
      <c r="BB132" s="16" t="n">
        <f aca="false">AZ132/10</f>
        <v>82.5</v>
      </c>
      <c r="BC132" s="16" t="n">
        <v>2348</v>
      </c>
      <c r="BD132" s="16" t="n">
        <f aca="false">RANK(AX132,$AX$2:$AX$881,0)</f>
        <v>217</v>
      </c>
      <c r="BE132" s="54" t="n">
        <f aca="false">((BC132*100)/2400)*0.4+(AX132*0.6)</f>
        <v>87.6133333333333</v>
      </c>
      <c r="BF132" s="16" t="n">
        <f aca="false">RANK(BE132,$BE$2:$BE$881,0)</f>
        <v>235</v>
      </c>
      <c r="BG132" s="39" t="n">
        <f aca="false">RANK(BB132,$BB$2:$BB$881,0)</f>
        <v>185</v>
      </c>
      <c r="BH132" s="39" t="n">
        <f aca="false">RANK(BC132,$BC$2:$BC$881,0)</f>
        <v>551</v>
      </c>
      <c r="BI132" s="22" t="s">
        <v>130</v>
      </c>
      <c r="BJ132" s="22" t="s">
        <v>129</v>
      </c>
      <c r="BK132" s="40" t="s">
        <v>131</v>
      </c>
      <c r="BL132" s="41" t="n">
        <v>27</v>
      </c>
      <c r="BM132" s="41" t="n">
        <v>49</v>
      </c>
      <c r="BN132" s="41" t="n">
        <v>76</v>
      </c>
      <c r="BO132" s="42" t="n">
        <v>27</v>
      </c>
      <c r="BP132" s="43" t="n">
        <v>67</v>
      </c>
      <c r="BQ132" s="44" t="n">
        <v>94</v>
      </c>
      <c r="BR132" s="42" t="n">
        <v>27</v>
      </c>
      <c r="BS132" s="45" t="n">
        <v>58</v>
      </c>
      <c r="BT132" s="45" t="n">
        <v>85</v>
      </c>
      <c r="BU132" s="46" t="n">
        <v>100</v>
      </c>
      <c r="BV132" s="47" t="n">
        <v>70</v>
      </c>
      <c r="BW132" s="42" t="n">
        <v>98</v>
      </c>
      <c r="BX132" s="24" t="n">
        <v>92</v>
      </c>
      <c r="BY132" s="32" t="n">
        <v>26</v>
      </c>
      <c r="BZ132" s="32" t="n">
        <v>62</v>
      </c>
      <c r="CA132" s="32" t="n">
        <v>88</v>
      </c>
      <c r="CB132" s="32" t="n">
        <v>24</v>
      </c>
      <c r="CC132" s="32" t="n">
        <v>44</v>
      </c>
      <c r="CD132" s="32" t="n">
        <v>68</v>
      </c>
      <c r="CE132" s="32" t="n">
        <v>27</v>
      </c>
      <c r="CF132" s="32" t="n">
        <v>57</v>
      </c>
      <c r="CG132" s="32" t="n">
        <v>84</v>
      </c>
      <c r="CH132" s="32" t="n">
        <v>100</v>
      </c>
      <c r="CI132" s="32" t="n">
        <v>100</v>
      </c>
      <c r="CJ132" s="25" t="n">
        <v>25</v>
      </c>
      <c r="CK132" s="25" t="n">
        <v>50</v>
      </c>
      <c r="CL132" s="25" t="n">
        <v>75</v>
      </c>
      <c r="CM132" s="49" t="n">
        <v>19</v>
      </c>
      <c r="CN132" s="49" t="n">
        <v>56</v>
      </c>
      <c r="CO132" s="49" t="n">
        <v>75</v>
      </c>
      <c r="CP132" s="25" t="n">
        <f aca="false">BX132+BW132+BV132+BU132+BT132+BQ132+BN132</f>
        <v>615</v>
      </c>
      <c r="CQ132" s="25" t="n">
        <f aca="false">CO132+CL132+CI132+CH132+CG132+CD132+CA132</f>
        <v>590</v>
      </c>
      <c r="CR132" s="26" t="n">
        <f aca="false">CP132/7</f>
        <v>87.8571428571429</v>
      </c>
      <c r="CS132" s="26" t="n">
        <f aca="false">CQ132/7</f>
        <v>84.2857142857143</v>
      </c>
      <c r="CT132" s="24" t="n">
        <f aca="false">RANK(CR132,$CR$2:$CR$881,0)</f>
        <v>315</v>
      </c>
      <c r="CU132" s="25" t="n">
        <f aca="false">RANK(CS132,$CS$2:$CS$881,0)</f>
        <v>115</v>
      </c>
      <c r="CV132" s="26" t="n">
        <f aca="false">(CS132+CR132)/2</f>
        <v>86.0714285714286</v>
      </c>
      <c r="CW132" s="25" t="n">
        <f aca="false">RANK(CV132,$CV$2:$CV$881,0)</f>
        <v>170</v>
      </c>
      <c r="CX132" s="50" t="n">
        <f aca="false">(CV132+BB132)/2</f>
        <v>84.2857142857143</v>
      </c>
      <c r="CY132" s="50" t="n">
        <v>153</v>
      </c>
      <c r="CZ132" s="27" t="s">
        <v>132</v>
      </c>
      <c r="DA132" s="27" t="s">
        <v>202</v>
      </c>
      <c r="DB132" s="27" t="s">
        <v>202</v>
      </c>
      <c r="DC132" s="27" t="s">
        <v>134</v>
      </c>
      <c r="DD132" s="27" t="s">
        <v>137</v>
      </c>
      <c r="DE132" s="27" t="s">
        <v>204</v>
      </c>
      <c r="DF132" s="27" t="s">
        <v>175</v>
      </c>
      <c r="DG132" s="27" t="s">
        <v>134</v>
      </c>
      <c r="DH132" s="27" t="s">
        <v>154</v>
      </c>
      <c r="DI132" s="27" t="s">
        <v>187</v>
      </c>
      <c r="DJ132" s="27" t="s">
        <v>162</v>
      </c>
      <c r="DK132" s="27" t="s">
        <v>134</v>
      </c>
      <c r="DL132" s="27" t="s">
        <v>137</v>
      </c>
      <c r="DM132" s="27" t="s">
        <v>136</v>
      </c>
      <c r="DN132" s="27" t="s">
        <v>162</v>
      </c>
      <c r="DO132" s="27" t="s">
        <v>134</v>
      </c>
      <c r="DP132" s="27" t="s">
        <v>182</v>
      </c>
      <c r="DQ132" s="27" t="s">
        <v>220</v>
      </c>
      <c r="DR132" s="27" t="s">
        <v>219</v>
      </c>
      <c r="DS132" s="27" t="s">
        <v>134</v>
      </c>
      <c r="DT132" s="27" t="s">
        <v>164</v>
      </c>
      <c r="DU132" s="27" t="s">
        <v>204</v>
      </c>
      <c r="DV132" s="27" t="s">
        <v>202</v>
      </c>
      <c r="DW132" s="27" t="s">
        <v>164</v>
      </c>
      <c r="DX132" s="27" t="s">
        <v>155</v>
      </c>
      <c r="DY132" s="27" t="s">
        <v>144</v>
      </c>
      <c r="DZ132" s="27" t="n">
        <f aca="false">DY132+DV132+DR132+DN132+DJ132+DF132+DB132</f>
        <v>612</v>
      </c>
      <c r="EA132" s="28" t="n">
        <f aca="false">DZ132/7</f>
        <v>87.4285714285714</v>
      </c>
      <c r="EB132" s="27" t="n">
        <f aca="false">RANK(EA132,$EA$2:$EA$881,0)</f>
        <v>110</v>
      </c>
      <c r="EC132" s="29" t="n">
        <f aca="false">DZ132+CQ132+CP132+AZ132</f>
        <v>2642</v>
      </c>
      <c r="ED132" s="30" t="n">
        <f aca="false">(EA132+CV132+BB132)/3</f>
        <v>85.3333333333333</v>
      </c>
      <c r="EE132" s="51" t="n">
        <f aca="false">ROUND(BE132,3)</f>
        <v>87.613</v>
      </c>
      <c r="EF132" s="51" t="n">
        <f aca="false">ROUND(CR132,3)</f>
        <v>87.857</v>
      </c>
      <c r="EG132" s="51" t="n">
        <f aca="false">ROUND(CS132,3)</f>
        <v>84.286</v>
      </c>
      <c r="EH132" s="51" t="n">
        <f aca="false">ROUND(EA132,3)</f>
        <v>87.429</v>
      </c>
      <c r="EI132" s="51" t="n">
        <f aca="false">ROUND(ED132,3)</f>
        <v>85.333</v>
      </c>
      <c r="EJ132" s="51" t="n">
        <f aca="false">ROUND(CV132,3)</f>
        <v>86.071</v>
      </c>
      <c r="EK132" s="0" t="n">
        <f aca="false">RANK(EI132,$EI$2:$EI$881,0)</f>
        <v>131</v>
      </c>
    </row>
    <row r="133" customFormat="false" ht="15" hidden="false" customHeight="false" outlineLevel="0" collapsed="false">
      <c r="A133" s="4" t="n">
        <v>8650</v>
      </c>
      <c r="B133" s="4" t="n">
        <v>270</v>
      </c>
      <c r="C133" s="27" t="s">
        <v>584</v>
      </c>
      <c r="D133" s="31" t="n">
        <v>268</v>
      </c>
      <c r="E133" s="16" t="n">
        <v>230911507</v>
      </c>
      <c r="F133" s="56" t="s">
        <v>585</v>
      </c>
      <c r="G133" s="22" t="s">
        <v>586</v>
      </c>
      <c r="H133" s="22" t="s">
        <v>326</v>
      </c>
      <c r="I133" s="57"/>
      <c r="J133" s="16" t="n">
        <v>68</v>
      </c>
      <c r="K133" s="16" t="n">
        <v>95</v>
      </c>
      <c r="L133" s="34" t="n">
        <f aca="false">(K133*70)/100</f>
        <v>66.5</v>
      </c>
      <c r="M133" s="34" t="n">
        <f aca="false">ROUNDUP(L133,0)</f>
        <v>67</v>
      </c>
      <c r="N133" s="16" t="n">
        <v>23</v>
      </c>
      <c r="O133" s="34" t="n">
        <f aca="false">N133+L133</f>
        <v>89.5</v>
      </c>
      <c r="P133" s="34" t="n">
        <f aca="false">N133+M133</f>
        <v>90</v>
      </c>
      <c r="Q133" s="16" t="n">
        <v>91</v>
      </c>
      <c r="R133" s="16" t="n">
        <v>81</v>
      </c>
      <c r="S133" s="34" t="n">
        <f aca="false">(R133*70)/100</f>
        <v>56.7</v>
      </c>
      <c r="T133" s="34" t="n">
        <f aca="false">ROUNDUP(S133,0)</f>
        <v>57</v>
      </c>
      <c r="U133" s="16" t="n">
        <v>26</v>
      </c>
      <c r="V133" s="34" t="n">
        <f aca="false">U133+S133</f>
        <v>82.7</v>
      </c>
      <c r="W133" s="34" t="n">
        <f aca="false">U133+T133</f>
        <v>83</v>
      </c>
      <c r="X133" s="16" t="n">
        <v>67</v>
      </c>
      <c r="Y133" s="34" t="n">
        <f aca="false">(X133*70)/100</f>
        <v>46.9</v>
      </c>
      <c r="Z133" s="34" t="n">
        <f aca="false">ROUNDUP(Y133,0)</f>
        <v>47</v>
      </c>
      <c r="AA133" s="16" t="n">
        <v>28</v>
      </c>
      <c r="AB133" s="34" t="n">
        <f aca="false">AA133+Y133</f>
        <v>74.9</v>
      </c>
      <c r="AC133" s="34" t="n">
        <f aca="false">AA133+Z133</f>
        <v>75</v>
      </c>
      <c r="AD133" s="32" t="n">
        <f aca="false">X133+R133+Q133+K133+J133</f>
        <v>402</v>
      </c>
      <c r="AE133" s="16" t="n">
        <f aca="false">AD133/5</f>
        <v>80.4</v>
      </c>
      <c r="AF133" s="16" t="n">
        <v>75</v>
      </c>
      <c r="AG133" s="16" t="n">
        <v>73</v>
      </c>
      <c r="AH133" s="16" t="n">
        <v>93</v>
      </c>
      <c r="AI133" s="16" t="n">
        <v>94</v>
      </c>
      <c r="AJ133" s="16" t="n">
        <f aca="false">(AI133*70)/100</f>
        <v>65.8</v>
      </c>
      <c r="AK133" s="35" t="n">
        <f aca="false">ROUNDUP(AJ133,0)</f>
        <v>66</v>
      </c>
      <c r="AL133" s="16" t="n">
        <v>29</v>
      </c>
      <c r="AM133" s="16" t="n">
        <f aca="false">AL133+AJ133</f>
        <v>94.8</v>
      </c>
      <c r="AN133" s="16" t="n">
        <f aca="false">AL133+AK133</f>
        <v>95</v>
      </c>
      <c r="AO133" s="16" t="n">
        <v>85</v>
      </c>
      <c r="AP133" s="36" t="n">
        <f aca="false">(AO133*70)/100</f>
        <v>59.5</v>
      </c>
      <c r="AQ133" s="37" t="n">
        <f aca="false">ROUNDUP(AP133,0)</f>
        <v>60</v>
      </c>
      <c r="AR133" s="16" t="n">
        <v>27</v>
      </c>
      <c r="AS133" s="16" t="n">
        <f aca="false">AR133+AP133</f>
        <v>86.5</v>
      </c>
      <c r="AT133" s="16" t="n">
        <f aca="false">AR133+AQ133</f>
        <v>87</v>
      </c>
      <c r="AU133" s="16" t="n">
        <f aca="false">AO133+AF133+AI133+AH133+AG133</f>
        <v>420</v>
      </c>
      <c r="AV133" s="16" t="n">
        <f aca="false">(AO133+AF133+AI133+AH133+AG133)/5</f>
        <v>84</v>
      </c>
      <c r="AW133" s="36" t="n">
        <f aca="false">(AO133+AF133+AI133+AH133+AG133+X133+R133+Q133+K133+J133)</f>
        <v>822</v>
      </c>
      <c r="AX133" s="16" t="n">
        <f aca="false">AW133/10</f>
        <v>82.2</v>
      </c>
      <c r="AY133" s="16" t="n">
        <f aca="false">AS133+AF133+AM133+AH133+AG133+AB133+V133+Q133+O133+J133</f>
        <v>828.4</v>
      </c>
      <c r="AZ133" s="16" t="n">
        <f aca="false">AT133+AF133+AN133+AH133+AG133+AC133+W133+Q133+P133+J133</f>
        <v>830</v>
      </c>
      <c r="BA133" s="16" t="n">
        <f aca="false">AY133/10</f>
        <v>82.84</v>
      </c>
      <c r="BB133" s="16" t="n">
        <f aca="false">AZ133/10</f>
        <v>83</v>
      </c>
      <c r="BC133" s="16" t="n">
        <v>2342</v>
      </c>
      <c r="BD133" s="16" t="n">
        <f aca="false">RANK(AX133,$AX$2:$AX$881,0)</f>
        <v>156</v>
      </c>
      <c r="BE133" s="54" t="n">
        <f aca="false">((BC133*100)/2400)*0.4+(AX133*0.6)</f>
        <v>88.3533333333333</v>
      </c>
      <c r="BF133" s="16" t="n">
        <f aca="false">RANK(BE133,$BE$2:$BE$881,0)</f>
        <v>178</v>
      </c>
      <c r="BG133" s="39" t="n">
        <f aca="false">RANK(BB133,$BB$2:$BB$881,0)</f>
        <v>158</v>
      </c>
      <c r="BH133" s="39" t="n">
        <f aca="false">RANK(BC133,$BC$2:$BC$881,0)</f>
        <v>621</v>
      </c>
      <c r="BI133" s="22" t="s">
        <v>130</v>
      </c>
      <c r="BJ133" s="22" t="s">
        <v>129</v>
      </c>
      <c r="BK133" s="40" t="s">
        <v>131</v>
      </c>
      <c r="BL133" s="41" t="n">
        <v>21</v>
      </c>
      <c r="BM133" s="41" t="n">
        <v>60</v>
      </c>
      <c r="BN133" s="41" t="n">
        <v>81</v>
      </c>
      <c r="BO133" s="42" t="n">
        <v>18</v>
      </c>
      <c r="BP133" s="43" t="n">
        <v>57</v>
      </c>
      <c r="BQ133" s="44" t="n">
        <v>75</v>
      </c>
      <c r="BR133" s="42" t="n">
        <v>25</v>
      </c>
      <c r="BS133" s="45" t="n">
        <v>62</v>
      </c>
      <c r="BT133" s="45" t="n">
        <v>87</v>
      </c>
      <c r="BU133" s="46" t="n">
        <v>99</v>
      </c>
      <c r="BV133" s="47" t="n">
        <v>96</v>
      </c>
      <c r="BW133" s="42" t="n">
        <v>100</v>
      </c>
      <c r="BX133" s="48" t="n">
        <v>98</v>
      </c>
      <c r="BY133" s="32" t="n">
        <v>27</v>
      </c>
      <c r="BZ133" s="32" t="n">
        <v>45</v>
      </c>
      <c r="CA133" s="32" t="n">
        <v>72</v>
      </c>
      <c r="CB133" s="32" t="n">
        <v>26</v>
      </c>
      <c r="CC133" s="32" t="n">
        <v>41</v>
      </c>
      <c r="CD133" s="32" t="n">
        <v>67</v>
      </c>
      <c r="CE133" s="32" t="n">
        <v>25</v>
      </c>
      <c r="CF133" s="32" t="n">
        <v>56</v>
      </c>
      <c r="CG133" s="32" t="n">
        <v>81</v>
      </c>
      <c r="CH133" s="32" t="n">
        <v>99</v>
      </c>
      <c r="CI133" s="32" t="n">
        <v>89</v>
      </c>
      <c r="CJ133" s="49" t="n">
        <v>23</v>
      </c>
      <c r="CK133" s="49" t="n">
        <v>50</v>
      </c>
      <c r="CL133" s="49" t="n">
        <v>73</v>
      </c>
      <c r="CM133" s="49" t="n">
        <v>20</v>
      </c>
      <c r="CN133" s="49" t="n">
        <v>55</v>
      </c>
      <c r="CO133" s="49" t="n">
        <v>75</v>
      </c>
      <c r="CP133" s="25" t="n">
        <f aca="false">BX133+BW133+BV133+BU133+BT133+BQ133+BN133</f>
        <v>636</v>
      </c>
      <c r="CQ133" s="25" t="n">
        <f aca="false">CO133+CL133+CI133+CH133+CG133+CD133+CA133</f>
        <v>556</v>
      </c>
      <c r="CR133" s="26" t="n">
        <f aca="false">CP133/7</f>
        <v>90.8571428571429</v>
      </c>
      <c r="CS133" s="26" t="n">
        <f aca="false">CQ133/7</f>
        <v>79.4285714285714</v>
      </c>
      <c r="CT133" s="24" t="n">
        <f aca="false">RANK(CR133,$CR$2:$CR$881,0)</f>
        <v>135</v>
      </c>
      <c r="CU133" s="25" t="n">
        <f aca="false">RANK(CS133,$CS$2:$CS$881,0)</f>
        <v>287</v>
      </c>
      <c r="CV133" s="26" t="n">
        <f aca="false">(CS133+CR133)/2</f>
        <v>85.1428571428571</v>
      </c>
      <c r="CW133" s="25" t="n">
        <f aca="false">RANK(CV133,$CV$2:$CV$881,0)</f>
        <v>206</v>
      </c>
      <c r="CX133" s="50" t="n">
        <f aca="false">(CV133+BB133)/2</f>
        <v>84.0714285714286</v>
      </c>
      <c r="CY133" s="50" t="n">
        <v>160</v>
      </c>
      <c r="CZ133" s="27" t="s">
        <v>132</v>
      </c>
      <c r="DA133" s="27" t="s">
        <v>162</v>
      </c>
      <c r="DB133" s="27" t="s">
        <v>162</v>
      </c>
      <c r="DC133" s="27" t="s">
        <v>134</v>
      </c>
      <c r="DD133" s="27" t="s">
        <v>485</v>
      </c>
      <c r="DE133" s="27" t="s">
        <v>177</v>
      </c>
      <c r="DF133" s="27" t="s">
        <v>382</v>
      </c>
      <c r="DG133" s="27" t="s">
        <v>134</v>
      </c>
      <c r="DH133" s="27" t="s">
        <v>182</v>
      </c>
      <c r="DI133" s="27" t="s">
        <v>163</v>
      </c>
      <c r="DJ133" s="27" t="s">
        <v>162</v>
      </c>
      <c r="DK133" s="27" t="s">
        <v>134</v>
      </c>
      <c r="DL133" s="27" t="s">
        <v>137</v>
      </c>
      <c r="DM133" s="27" t="s">
        <v>161</v>
      </c>
      <c r="DN133" s="27" t="s">
        <v>178</v>
      </c>
      <c r="DO133" s="27" t="s">
        <v>134</v>
      </c>
      <c r="DP133" s="27" t="s">
        <v>154</v>
      </c>
      <c r="DQ133" s="27" t="s">
        <v>203</v>
      </c>
      <c r="DR133" s="27" t="s">
        <v>175</v>
      </c>
      <c r="DS133" s="27" t="s">
        <v>134</v>
      </c>
      <c r="DT133" s="27" t="s">
        <v>160</v>
      </c>
      <c r="DU133" s="27" t="s">
        <v>152</v>
      </c>
      <c r="DV133" s="27" t="s">
        <v>176</v>
      </c>
      <c r="DW133" s="27" t="s">
        <v>164</v>
      </c>
      <c r="DX133" s="27" t="s">
        <v>138</v>
      </c>
      <c r="DY133" s="27" t="s">
        <v>142</v>
      </c>
      <c r="DZ133" s="27" t="n">
        <f aca="false">DY133+DV133+DR133+DN133+DJ133+DF133+DB133</f>
        <v>615</v>
      </c>
      <c r="EA133" s="28" t="n">
        <f aca="false">DZ133/7</f>
        <v>87.8571428571429</v>
      </c>
      <c r="EB133" s="27" t="n">
        <f aca="false">RANK(EA133,$EA$2:$EA$881,0)</f>
        <v>98</v>
      </c>
      <c r="EC133" s="29" t="n">
        <f aca="false">DZ133+CQ133+CP133+AZ133</f>
        <v>2637</v>
      </c>
      <c r="ED133" s="30" t="n">
        <f aca="false">(EA133+CV133+BB133)/3</f>
        <v>85.3333333333333</v>
      </c>
      <c r="EE133" s="51" t="n">
        <f aca="false">ROUND(BE133,3)</f>
        <v>88.353</v>
      </c>
      <c r="EF133" s="51" t="n">
        <f aca="false">ROUND(CR133,3)</f>
        <v>90.857</v>
      </c>
      <c r="EG133" s="51" t="n">
        <f aca="false">ROUND(CS133,3)</f>
        <v>79.429</v>
      </c>
      <c r="EH133" s="51" t="n">
        <f aca="false">ROUND(EA133,3)</f>
        <v>87.857</v>
      </c>
      <c r="EI133" s="51" t="n">
        <f aca="false">ROUND(ED133,3)</f>
        <v>85.333</v>
      </c>
      <c r="EJ133" s="51" t="n">
        <f aca="false">ROUND(CV133,3)</f>
        <v>85.143</v>
      </c>
      <c r="EK133" s="0" t="n">
        <f aca="false">RANK(EI133,$EI$2:$EI$881,0)</f>
        <v>131</v>
      </c>
    </row>
    <row r="134" customFormat="false" ht="15" hidden="false" customHeight="false" outlineLevel="0" collapsed="false">
      <c r="A134" s="4" t="n">
        <v>8626</v>
      </c>
      <c r="B134" s="4" t="n">
        <v>71</v>
      </c>
      <c r="C134" s="27" t="s">
        <v>587</v>
      </c>
      <c r="D134" s="52" t="n">
        <v>73</v>
      </c>
      <c r="E134" s="32" t="n">
        <v>230324804</v>
      </c>
      <c r="F134" s="8" t="s">
        <v>588</v>
      </c>
      <c r="G134" s="22" t="s">
        <v>252</v>
      </c>
      <c r="H134" s="22" t="s">
        <v>129</v>
      </c>
      <c r="I134" s="33" t="n">
        <v>2005</v>
      </c>
      <c r="J134" s="32" t="n">
        <v>76</v>
      </c>
      <c r="K134" s="32" t="n">
        <v>75</v>
      </c>
      <c r="L134" s="34" t="n">
        <f aca="false">(K134*70)/100</f>
        <v>52.5</v>
      </c>
      <c r="M134" s="34" t="n">
        <f aca="false">ROUNDUP(L134,0)</f>
        <v>53</v>
      </c>
      <c r="N134" s="32" t="n">
        <v>26</v>
      </c>
      <c r="O134" s="34" t="n">
        <f aca="false">N134+L134</f>
        <v>78.5</v>
      </c>
      <c r="P134" s="34" t="n">
        <f aca="false">N134+M134</f>
        <v>79</v>
      </c>
      <c r="Q134" s="32" t="n">
        <v>87</v>
      </c>
      <c r="R134" s="32" t="n">
        <v>84</v>
      </c>
      <c r="S134" s="34" t="n">
        <f aca="false">(R134*70)/100</f>
        <v>58.8</v>
      </c>
      <c r="T134" s="34" t="n">
        <f aca="false">ROUNDUP(S134,0)</f>
        <v>59</v>
      </c>
      <c r="U134" s="32" t="n">
        <v>22</v>
      </c>
      <c r="V134" s="34" t="n">
        <f aca="false">U134+S134</f>
        <v>80.8</v>
      </c>
      <c r="W134" s="34" t="n">
        <f aca="false">U134+T134</f>
        <v>81</v>
      </c>
      <c r="X134" s="32" t="n">
        <v>75</v>
      </c>
      <c r="Y134" s="34" t="n">
        <f aca="false">(X134*70)/100</f>
        <v>52.5</v>
      </c>
      <c r="Z134" s="34" t="n">
        <f aca="false">ROUNDUP(Y134,0)</f>
        <v>53</v>
      </c>
      <c r="AA134" s="32" t="n">
        <v>25</v>
      </c>
      <c r="AB134" s="34" t="n">
        <f aca="false">AA134+Y134</f>
        <v>77.5</v>
      </c>
      <c r="AC134" s="34" t="n">
        <f aca="false">AA134+Z134</f>
        <v>78</v>
      </c>
      <c r="AD134" s="32" t="n">
        <f aca="false">X134+R134+Q134+K134+J134</f>
        <v>397</v>
      </c>
      <c r="AE134" s="16" t="n">
        <f aca="false">AD134/5</f>
        <v>79.4</v>
      </c>
      <c r="AF134" s="16" t="n">
        <v>77</v>
      </c>
      <c r="AG134" s="16" t="n">
        <v>86</v>
      </c>
      <c r="AH134" s="16" t="n">
        <v>89</v>
      </c>
      <c r="AI134" s="16" t="n">
        <v>90</v>
      </c>
      <c r="AJ134" s="16" t="n">
        <f aca="false">(AI134*70)/100</f>
        <v>63</v>
      </c>
      <c r="AK134" s="35" t="n">
        <f aca="false">ROUNDUP(AJ134,0)</f>
        <v>63</v>
      </c>
      <c r="AL134" s="16" t="n">
        <v>29</v>
      </c>
      <c r="AM134" s="16" t="n">
        <f aca="false">AL134+AJ134</f>
        <v>92</v>
      </c>
      <c r="AN134" s="16" t="n">
        <f aca="false">AL134+AK134</f>
        <v>92</v>
      </c>
      <c r="AO134" s="16" t="n">
        <v>65</v>
      </c>
      <c r="AP134" s="36" t="n">
        <f aca="false">(AO134*70)/100</f>
        <v>45.5</v>
      </c>
      <c r="AQ134" s="37" t="n">
        <f aca="false">ROUNDUP(AP134,0)</f>
        <v>46</v>
      </c>
      <c r="AR134" s="16" t="n">
        <v>29</v>
      </c>
      <c r="AS134" s="16" t="n">
        <f aca="false">AR134+AP134</f>
        <v>74.5</v>
      </c>
      <c r="AT134" s="16" t="n">
        <f aca="false">AR134+AQ134</f>
        <v>75</v>
      </c>
      <c r="AU134" s="16" t="n">
        <f aca="false">AO134+AF134+AI134+AH134+AG134</f>
        <v>407</v>
      </c>
      <c r="AV134" s="16" t="n">
        <f aca="false">(AO134+AF134+AI134+AH134+AG134)/5</f>
        <v>81.4</v>
      </c>
      <c r="AW134" s="36" t="n">
        <f aca="false">(AO134+AF134+AI134+AH134+AG134+X134+R134+Q134+K134+J134)</f>
        <v>804</v>
      </c>
      <c r="AX134" s="16" t="n">
        <f aca="false">AW134/10</f>
        <v>80.4</v>
      </c>
      <c r="AY134" s="16" t="n">
        <f aca="false">AS134+AF134+AM134+AH134+AG134+AB134+V134+Q134+O134+J134</f>
        <v>818.3</v>
      </c>
      <c r="AZ134" s="16" t="n">
        <f aca="false">AT134+AF134+AN134+AH134+AG134+AC134+W134+Q134+P134+J134</f>
        <v>820</v>
      </c>
      <c r="BA134" s="16" t="n">
        <f aca="false">AY134/10</f>
        <v>81.83</v>
      </c>
      <c r="BB134" s="16" t="n">
        <f aca="false">AZ134/10</f>
        <v>82</v>
      </c>
      <c r="BC134" s="16" t="n">
        <v>2392</v>
      </c>
      <c r="BD134" s="16" t="n">
        <f aca="false">RANK(AX134,$AX$2:$AX$881,0)</f>
        <v>238</v>
      </c>
      <c r="BE134" s="54" t="n">
        <f aca="false">((BC134*100)/2400)*0.4+(AX134*0.6)</f>
        <v>88.1066666666667</v>
      </c>
      <c r="BF134" s="16" t="n">
        <f aca="false">RANK(BE134,$BE$2:$BE$881,0)</f>
        <v>201</v>
      </c>
      <c r="BG134" s="39" t="n">
        <f aca="false">RANK(BB134,$BB$2:$BB$881,0)</f>
        <v>212</v>
      </c>
      <c r="BH134" s="39" t="n">
        <f aca="false">RANK(BC134,$BC$2:$BC$881,0)</f>
        <v>28</v>
      </c>
      <c r="BI134" s="22" t="s">
        <v>130</v>
      </c>
      <c r="BJ134" s="22" t="s">
        <v>129</v>
      </c>
      <c r="BK134" s="40" t="s">
        <v>131</v>
      </c>
      <c r="BL134" s="41" t="n">
        <v>20</v>
      </c>
      <c r="BM134" s="41" t="n">
        <v>61</v>
      </c>
      <c r="BN134" s="41" t="n">
        <v>81</v>
      </c>
      <c r="BO134" s="42" t="n">
        <v>22</v>
      </c>
      <c r="BP134" s="43" t="n">
        <v>59</v>
      </c>
      <c r="BQ134" s="44" t="n">
        <v>81</v>
      </c>
      <c r="BR134" s="42" t="n">
        <v>22</v>
      </c>
      <c r="BS134" s="45" t="n">
        <v>60</v>
      </c>
      <c r="BT134" s="45" t="n">
        <v>82</v>
      </c>
      <c r="BU134" s="46" t="n">
        <v>100</v>
      </c>
      <c r="BV134" s="47" t="n">
        <v>82</v>
      </c>
      <c r="BW134" s="42" t="n">
        <v>99</v>
      </c>
      <c r="BX134" s="48" t="n">
        <v>98</v>
      </c>
      <c r="BY134" s="32" t="n">
        <v>27</v>
      </c>
      <c r="BZ134" s="32" t="n">
        <v>57</v>
      </c>
      <c r="CA134" s="32" t="n">
        <v>84</v>
      </c>
      <c r="CB134" s="32" t="n">
        <v>22</v>
      </c>
      <c r="CC134" s="32" t="n">
        <v>39</v>
      </c>
      <c r="CD134" s="32" t="n">
        <v>61</v>
      </c>
      <c r="CE134" s="25" t="n">
        <v>21</v>
      </c>
      <c r="CF134" s="25" t="n">
        <v>51</v>
      </c>
      <c r="CG134" s="25" t="n">
        <v>72</v>
      </c>
      <c r="CH134" s="32" t="n">
        <v>99</v>
      </c>
      <c r="CI134" s="32" t="n">
        <v>100</v>
      </c>
      <c r="CJ134" s="49" t="n">
        <v>22</v>
      </c>
      <c r="CK134" s="49" t="n">
        <v>56</v>
      </c>
      <c r="CL134" s="49" t="n">
        <v>78</v>
      </c>
      <c r="CM134" s="49" t="n">
        <v>24</v>
      </c>
      <c r="CN134" s="49" t="n">
        <v>49</v>
      </c>
      <c r="CO134" s="49" t="n">
        <v>73</v>
      </c>
      <c r="CP134" s="25" t="n">
        <f aca="false">BX134+BW134+BV134+BU134+BT134+BQ134+BN134</f>
        <v>623</v>
      </c>
      <c r="CQ134" s="25" t="n">
        <f aca="false">CO134+CL134+CI134+CH134+CG134+CD134+CA134</f>
        <v>567</v>
      </c>
      <c r="CR134" s="26" t="n">
        <f aca="false">CP134/7</f>
        <v>89</v>
      </c>
      <c r="CS134" s="26" t="n">
        <f aca="false">CQ134/7</f>
        <v>81</v>
      </c>
      <c r="CT134" s="24" t="n">
        <f aca="false">RANK(CR134,$CR$2:$CR$881,0)</f>
        <v>244</v>
      </c>
      <c r="CU134" s="25" t="n">
        <f aca="false">RANK(CS134,$CS$2:$CS$881,0)</f>
        <v>225</v>
      </c>
      <c r="CV134" s="26" t="n">
        <f aca="false">(CS134+CR134)/2</f>
        <v>85</v>
      </c>
      <c r="CW134" s="25" t="n">
        <f aca="false">RANK(CV134,$CV$2:$CV$881,0)</f>
        <v>213</v>
      </c>
      <c r="CX134" s="50" t="n">
        <f aca="false">(CV134+BB134)/2</f>
        <v>83.5</v>
      </c>
      <c r="CY134" s="50" t="n">
        <v>191</v>
      </c>
      <c r="CZ134" s="27" t="s">
        <v>132</v>
      </c>
      <c r="DA134" s="27" t="s">
        <v>176</v>
      </c>
      <c r="DB134" s="27" t="s">
        <v>176</v>
      </c>
      <c r="DC134" s="27" t="s">
        <v>134</v>
      </c>
      <c r="DD134" s="27" t="s">
        <v>154</v>
      </c>
      <c r="DE134" s="27" t="s">
        <v>136</v>
      </c>
      <c r="DF134" s="27" t="s">
        <v>202</v>
      </c>
      <c r="DG134" s="27" t="s">
        <v>134</v>
      </c>
      <c r="DH134" s="27" t="s">
        <v>137</v>
      </c>
      <c r="DI134" s="27" t="s">
        <v>203</v>
      </c>
      <c r="DJ134" s="27" t="s">
        <v>133</v>
      </c>
      <c r="DK134" s="27" t="s">
        <v>134</v>
      </c>
      <c r="DL134" s="27" t="s">
        <v>160</v>
      </c>
      <c r="DM134" s="27" t="s">
        <v>183</v>
      </c>
      <c r="DN134" s="27" t="s">
        <v>202</v>
      </c>
      <c r="DO134" s="27" t="s">
        <v>134</v>
      </c>
      <c r="DP134" s="27" t="s">
        <v>154</v>
      </c>
      <c r="DQ134" s="27" t="s">
        <v>203</v>
      </c>
      <c r="DR134" s="27" t="s">
        <v>175</v>
      </c>
      <c r="DS134" s="27" t="s">
        <v>134</v>
      </c>
      <c r="DT134" s="27" t="s">
        <v>160</v>
      </c>
      <c r="DU134" s="27" t="s">
        <v>203</v>
      </c>
      <c r="DV134" s="27" t="s">
        <v>153</v>
      </c>
      <c r="DW134" s="27" t="s">
        <v>164</v>
      </c>
      <c r="DX134" s="27" t="s">
        <v>138</v>
      </c>
      <c r="DY134" s="27" t="s">
        <v>142</v>
      </c>
      <c r="DZ134" s="27" t="n">
        <f aca="false">DY134+DV134+DR134+DN134+DJ134+DF134+DB134</f>
        <v>623</v>
      </c>
      <c r="EA134" s="28" t="n">
        <f aca="false">DZ134/7</f>
        <v>89</v>
      </c>
      <c r="EB134" s="27" t="n">
        <f aca="false">RANK(EA134,$EA$2:$EA$881,0)</f>
        <v>81</v>
      </c>
      <c r="EC134" s="29" t="n">
        <f aca="false">DZ134+CQ134+CP134+AZ134</f>
        <v>2633</v>
      </c>
      <c r="ED134" s="30" t="n">
        <f aca="false">(EA134+CV134+BB134)/3</f>
        <v>85.3333333333333</v>
      </c>
      <c r="EE134" s="51" t="n">
        <f aca="false">ROUND(BE134,3)</f>
        <v>88.107</v>
      </c>
      <c r="EF134" s="51" t="n">
        <f aca="false">ROUND(CR134,3)</f>
        <v>89</v>
      </c>
      <c r="EG134" s="51" t="n">
        <f aca="false">ROUND(CS134,3)</f>
        <v>81</v>
      </c>
      <c r="EH134" s="51" t="n">
        <f aca="false">ROUND(EA134,3)</f>
        <v>89</v>
      </c>
      <c r="EI134" s="51" t="n">
        <f aca="false">ROUND(ED134,3)</f>
        <v>85.333</v>
      </c>
      <c r="EJ134" s="51" t="n">
        <f aca="false">ROUND(CV134,3)</f>
        <v>85</v>
      </c>
      <c r="EK134" s="0" t="n">
        <f aca="false">RANK(EI134,$EI$2:$EI$881,0)</f>
        <v>131</v>
      </c>
    </row>
    <row r="135" customFormat="false" ht="15" hidden="false" customHeight="false" outlineLevel="0" collapsed="false">
      <c r="A135" s="4" t="n">
        <v>8638</v>
      </c>
      <c r="B135" s="4" t="n">
        <v>426</v>
      </c>
      <c r="C135" s="27" t="s">
        <v>589</v>
      </c>
      <c r="D135" s="31" t="n">
        <v>431</v>
      </c>
      <c r="E135" s="16" t="n">
        <v>230238835</v>
      </c>
      <c r="F135" s="56" t="s">
        <v>590</v>
      </c>
      <c r="G135" s="22" t="s">
        <v>591</v>
      </c>
      <c r="H135" s="22" t="s">
        <v>326</v>
      </c>
      <c r="I135" s="57"/>
      <c r="J135" s="16" t="n">
        <v>78</v>
      </c>
      <c r="K135" s="16" t="n">
        <v>87</v>
      </c>
      <c r="L135" s="34" t="n">
        <f aca="false">(K135*70)/100</f>
        <v>60.9</v>
      </c>
      <c r="M135" s="34" t="n">
        <f aca="false">ROUNDUP(L135,0)</f>
        <v>61</v>
      </c>
      <c r="N135" s="16" t="n">
        <v>27</v>
      </c>
      <c r="O135" s="34" t="n">
        <f aca="false">N135+L135</f>
        <v>87.9</v>
      </c>
      <c r="P135" s="34" t="n">
        <f aca="false">N135+M135</f>
        <v>88</v>
      </c>
      <c r="Q135" s="16" t="n">
        <v>82</v>
      </c>
      <c r="R135" s="16" t="n">
        <v>79</v>
      </c>
      <c r="S135" s="34" t="n">
        <f aca="false">(R135*70)/100</f>
        <v>55.3</v>
      </c>
      <c r="T135" s="34" t="n">
        <f aca="false">ROUNDUP(S135,0)</f>
        <v>56</v>
      </c>
      <c r="U135" s="16" t="n">
        <v>26</v>
      </c>
      <c r="V135" s="34" t="n">
        <f aca="false">U135+S135</f>
        <v>81.3</v>
      </c>
      <c r="W135" s="34" t="n">
        <f aca="false">U135+T135</f>
        <v>82</v>
      </c>
      <c r="X135" s="16" t="n">
        <v>59</v>
      </c>
      <c r="Y135" s="34" t="n">
        <f aca="false">(X135*70)/100</f>
        <v>41.3</v>
      </c>
      <c r="Z135" s="34" t="n">
        <f aca="false">ROUNDUP(Y135,0)</f>
        <v>42</v>
      </c>
      <c r="AA135" s="16" t="n">
        <v>26</v>
      </c>
      <c r="AB135" s="34" t="n">
        <f aca="false">AA135+Y135</f>
        <v>67.3</v>
      </c>
      <c r="AC135" s="34" t="n">
        <f aca="false">AA135+Z135</f>
        <v>68</v>
      </c>
      <c r="AD135" s="32" t="n">
        <f aca="false">X135+R135+Q135+K135+J135</f>
        <v>385</v>
      </c>
      <c r="AE135" s="16" t="n">
        <f aca="false">AD135/5</f>
        <v>77</v>
      </c>
      <c r="AF135" s="16" t="n">
        <v>81</v>
      </c>
      <c r="AG135" s="16" t="n">
        <v>82</v>
      </c>
      <c r="AH135" s="16" t="n">
        <v>90</v>
      </c>
      <c r="AI135" s="16" t="n">
        <v>94</v>
      </c>
      <c r="AJ135" s="16" t="n">
        <f aca="false">(AI135*70)/100</f>
        <v>65.8</v>
      </c>
      <c r="AK135" s="35" t="n">
        <f aca="false">ROUNDUP(AJ135,0)</f>
        <v>66</v>
      </c>
      <c r="AL135" s="16" t="n">
        <v>27</v>
      </c>
      <c r="AM135" s="16" t="n">
        <f aca="false">AL135+AJ135</f>
        <v>92.8</v>
      </c>
      <c r="AN135" s="16" t="n">
        <f aca="false">AL135+AK135</f>
        <v>93</v>
      </c>
      <c r="AO135" s="16" t="n">
        <v>81</v>
      </c>
      <c r="AP135" s="36" t="n">
        <f aca="false">(AO135*70)/100</f>
        <v>56.7</v>
      </c>
      <c r="AQ135" s="37" t="n">
        <f aca="false">ROUNDUP(AP135,0)</f>
        <v>57</v>
      </c>
      <c r="AR135" s="16" t="n">
        <v>29</v>
      </c>
      <c r="AS135" s="16" t="n">
        <f aca="false">AR135+AP135</f>
        <v>85.7</v>
      </c>
      <c r="AT135" s="16" t="n">
        <f aca="false">AR135+AQ135</f>
        <v>86</v>
      </c>
      <c r="AU135" s="16" t="n">
        <f aca="false">AO135+AF135+AI135+AH135+AG135</f>
        <v>428</v>
      </c>
      <c r="AV135" s="16" t="n">
        <f aca="false">(AO135+AF135+AI135+AH135+AG135)/5</f>
        <v>85.6</v>
      </c>
      <c r="AW135" s="36" t="n">
        <f aca="false">(AO135+AF135+AI135+AH135+AG135+X135+R135+Q135+K135+J135)</f>
        <v>813</v>
      </c>
      <c r="AX135" s="16" t="n">
        <f aca="false">AW135/10</f>
        <v>81.3</v>
      </c>
      <c r="AY135" s="16" t="n">
        <f aca="false">AS135+AF135+AM135+AH135+AG135+AB135+V135+Q135+O135+J135</f>
        <v>828</v>
      </c>
      <c r="AZ135" s="16" t="n">
        <f aca="false">AT135+AF135+AN135+AH135+AG135+AC135+W135+Q135+P135+J135</f>
        <v>830</v>
      </c>
      <c r="BA135" s="16" t="n">
        <f aca="false">AY135/10</f>
        <v>82.8</v>
      </c>
      <c r="BB135" s="16" t="n">
        <f aca="false">AZ135/10</f>
        <v>83</v>
      </c>
      <c r="BC135" s="16" t="n">
        <v>2346</v>
      </c>
      <c r="BD135" s="16" t="n">
        <f aca="false">RANK(AX135,$AX$2:$AX$881,0)</f>
        <v>198</v>
      </c>
      <c r="BE135" s="54" t="n">
        <f aca="false">((BC135*100)/2400)*0.4+(AX135*0.6)</f>
        <v>87.88</v>
      </c>
      <c r="BF135" s="16" t="n">
        <f aca="false">RANK(BE135,$BE$2:$BE$881,0)</f>
        <v>217</v>
      </c>
      <c r="BG135" s="39" t="n">
        <f aca="false">RANK(BB135,$BB$2:$BB$881,0)</f>
        <v>158</v>
      </c>
      <c r="BH135" s="39" t="n">
        <f aca="false">RANK(BC135,$BC$2:$BC$881,0)</f>
        <v>571</v>
      </c>
      <c r="BI135" s="22" t="s">
        <v>130</v>
      </c>
      <c r="BJ135" s="22" t="s">
        <v>129</v>
      </c>
      <c r="BK135" s="40" t="s">
        <v>131</v>
      </c>
      <c r="BL135" s="41" t="n">
        <v>20</v>
      </c>
      <c r="BM135" s="41" t="n">
        <v>66</v>
      </c>
      <c r="BN135" s="41" t="n">
        <v>86</v>
      </c>
      <c r="BO135" s="42" t="n">
        <v>26</v>
      </c>
      <c r="BP135" s="43" t="n">
        <v>66</v>
      </c>
      <c r="BQ135" s="44" t="n">
        <v>92</v>
      </c>
      <c r="BR135" s="42" t="n">
        <v>26</v>
      </c>
      <c r="BS135" s="45" t="n">
        <v>63</v>
      </c>
      <c r="BT135" s="45" t="n">
        <v>89</v>
      </c>
      <c r="BU135" s="46" t="n">
        <v>99</v>
      </c>
      <c r="BV135" s="47" t="n">
        <v>92</v>
      </c>
      <c r="BW135" s="42" t="n">
        <v>99</v>
      </c>
      <c r="BX135" s="48" t="n">
        <v>92</v>
      </c>
      <c r="BY135" s="32" t="n">
        <v>23</v>
      </c>
      <c r="BZ135" s="32" t="n">
        <v>57</v>
      </c>
      <c r="CA135" s="32" t="n">
        <v>80</v>
      </c>
      <c r="CB135" s="32" t="n">
        <v>25</v>
      </c>
      <c r="CC135" s="32" t="n">
        <v>46</v>
      </c>
      <c r="CD135" s="32" t="n">
        <v>71</v>
      </c>
      <c r="CE135" s="32" t="n">
        <v>28</v>
      </c>
      <c r="CF135" s="32" t="n">
        <v>42</v>
      </c>
      <c r="CG135" s="32" t="n">
        <v>70</v>
      </c>
      <c r="CH135" s="32" t="n">
        <v>98</v>
      </c>
      <c r="CI135" s="32" t="n">
        <v>99</v>
      </c>
      <c r="CJ135" s="49" t="n">
        <v>29</v>
      </c>
      <c r="CK135" s="49" t="n">
        <v>53</v>
      </c>
      <c r="CL135" s="49" t="n">
        <v>82</v>
      </c>
      <c r="CM135" s="49" t="n">
        <v>20</v>
      </c>
      <c r="CN135" s="49" t="n">
        <v>54</v>
      </c>
      <c r="CO135" s="49" t="n">
        <v>74</v>
      </c>
      <c r="CP135" s="25" t="n">
        <f aca="false">BX135+BW135+BV135+BU135+BT135+BQ135+BN135</f>
        <v>649</v>
      </c>
      <c r="CQ135" s="25" t="n">
        <f aca="false">CO135+CL135+CI135+CH135+CG135+CD135+CA135</f>
        <v>574</v>
      </c>
      <c r="CR135" s="26" t="n">
        <f aca="false">CP135/7</f>
        <v>92.7142857142857</v>
      </c>
      <c r="CS135" s="26" t="n">
        <f aca="false">CQ135/7</f>
        <v>82</v>
      </c>
      <c r="CT135" s="24" t="n">
        <f aca="false">RANK(CR135,$CR$2:$CR$881,0)</f>
        <v>58</v>
      </c>
      <c r="CU135" s="25" t="n">
        <f aca="false">RANK(CS135,$CS$2:$CS$881,0)</f>
        <v>192</v>
      </c>
      <c r="CV135" s="26" t="n">
        <f aca="false">(CS135+CR135)/2</f>
        <v>87.3571428571429</v>
      </c>
      <c r="CW135" s="25" t="n">
        <f aca="false">RANK(CV135,$CV$2:$CV$881,0)</f>
        <v>127</v>
      </c>
      <c r="CX135" s="50" t="n">
        <f aca="false">(CV135+BB135)/2</f>
        <v>85.1785714285714</v>
      </c>
      <c r="CY135" s="50" t="n">
        <v>119</v>
      </c>
      <c r="CZ135" s="27" t="s">
        <v>132</v>
      </c>
      <c r="DA135" s="27" t="s">
        <v>162</v>
      </c>
      <c r="DB135" s="27" t="s">
        <v>162</v>
      </c>
      <c r="DC135" s="27" t="s">
        <v>134</v>
      </c>
      <c r="DD135" s="27" t="s">
        <v>154</v>
      </c>
      <c r="DE135" s="27" t="s">
        <v>218</v>
      </c>
      <c r="DF135" s="27" t="s">
        <v>219</v>
      </c>
      <c r="DG135" s="27" t="s">
        <v>134</v>
      </c>
      <c r="DH135" s="27" t="s">
        <v>135</v>
      </c>
      <c r="DI135" s="27" t="s">
        <v>177</v>
      </c>
      <c r="DJ135" s="27" t="s">
        <v>175</v>
      </c>
      <c r="DK135" s="27" t="s">
        <v>134</v>
      </c>
      <c r="DL135" s="27" t="s">
        <v>160</v>
      </c>
      <c r="DM135" s="27" t="s">
        <v>447</v>
      </c>
      <c r="DN135" s="27" t="s">
        <v>196</v>
      </c>
      <c r="DO135" s="27" t="s">
        <v>134</v>
      </c>
      <c r="DP135" s="27" t="s">
        <v>160</v>
      </c>
      <c r="DQ135" s="27" t="s">
        <v>304</v>
      </c>
      <c r="DR135" s="27" t="s">
        <v>205</v>
      </c>
      <c r="DS135" s="27" t="s">
        <v>134</v>
      </c>
      <c r="DT135" s="27" t="s">
        <v>160</v>
      </c>
      <c r="DU135" s="27" t="s">
        <v>177</v>
      </c>
      <c r="DV135" s="27" t="s">
        <v>133</v>
      </c>
      <c r="DW135" s="27" t="s">
        <v>135</v>
      </c>
      <c r="DX135" s="27" t="s">
        <v>138</v>
      </c>
      <c r="DY135" s="27" t="s">
        <v>156</v>
      </c>
      <c r="DZ135" s="27" t="n">
        <f aca="false">DY135+DV135+DR135+DN135+DJ135+DF135+DB135</f>
        <v>599</v>
      </c>
      <c r="EA135" s="28" t="n">
        <f aca="false">DZ135/7</f>
        <v>85.5714285714286</v>
      </c>
      <c r="EB135" s="27" t="n">
        <f aca="false">RANK(EA135,$EA$2:$EA$881,0)</f>
        <v>166</v>
      </c>
      <c r="EC135" s="29" t="n">
        <f aca="false">DZ135+CQ135+CP135+AZ135</f>
        <v>2652</v>
      </c>
      <c r="ED135" s="30" t="n">
        <f aca="false">(EA135+CV135+BB135)/3</f>
        <v>85.3095238095238</v>
      </c>
      <c r="EE135" s="51" t="n">
        <f aca="false">ROUND(BE135,3)</f>
        <v>87.88</v>
      </c>
      <c r="EF135" s="51" t="n">
        <f aca="false">ROUND(CR135,3)</f>
        <v>92.714</v>
      </c>
      <c r="EG135" s="51" t="n">
        <f aca="false">ROUND(CS135,3)</f>
        <v>82</v>
      </c>
      <c r="EH135" s="51" t="n">
        <f aca="false">ROUND(EA135,3)</f>
        <v>85.571</v>
      </c>
      <c r="EI135" s="51" t="n">
        <f aca="false">ROUND(ED135,3)</f>
        <v>85.31</v>
      </c>
      <c r="EJ135" s="51" t="n">
        <f aca="false">ROUND(CV135,3)</f>
        <v>87.357</v>
      </c>
      <c r="EK135" s="0" t="n">
        <f aca="false">RANK(EI135,$EI$2:$EI$881,0)</f>
        <v>134</v>
      </c>
    </row>
    <row r="136" customFormat="false" ht="15" hidden="false" customHeight="false" outlineLevel="0" collapsed="false">
      <c r="A136" s="4" t="n">
        <v>8989</v>
      </c>
      <c r="B136" s="4" t="n">
        <v>183</v>
      </c>
      <c r="C136" s="27" t="s">
        <v>592</v>
      </c>
      <c r="D136" s="31" t="n">
        <v>184</v>
      </c>
      <c r="E136" s="32" t="n">
        <v>230322626</v>
      </c>
      <c r="F136" s="8" t="s">
        <v>593</v>
      </c>
      <c r="G136" s="22" t="s">
        <v>378</v>
      </c>
      <c r="H136" s="22" t="s">
        <v>129</v>
      </c>
      <c r="I136" s="33" t="n">
        <v>2005</v>
      </c>
      <c r="J136" s="32" t="n">
        <v>84</v>
      </c>
      <c r="K136" s="32" t="n">
        <v>68</v>
      </c>
      <c r="L136" s="34" t="n">
        <f aca="false">(K136*70)/100</f>
        <v>47.6</v>
      </c>
      <c r="M136" s="34" t="n">
        <f aca="false">ROUNDUP(L136,0)</f>
        <v>48</v>
      </c>
      <c r="N136" s="32" t="n">
        <v>24</v>
      </c>
      <c r="O136" s="34" t="n">
        <f aca="false">N136+L136</f>
        <v>71.6</v>
      </c>
      <c r="P136" s="34" t="n">
        <f aca="false">N136+M136</f>
        <v>72</v>
      </c>
      <c r="Q136" s="32" t="n">
        <v>78</v>
      </c>
      <c r="R136" s="32" t="n">
        <v>71</v>
      </c>
      <c r="S136" s="34" t="n">
        <f aca="false">(R136*70)/100</f>
        <v>49.7</v>
      </c>
      <c r="T136" s="34" t="n">
        <f aca="false">ROUNDUP(S136,0)</f>
        <v>50</v>
      </c>
      <c r="U136" s="32" t="n">
        <v>19</v>
      </c>
      <c r="V136" s="34" t="n">
        <f aca="false">U136+S136</f>
        <v>68.7</v>
      </c>
      <c r="W136" s="34" t="n">
        <f aca="false">U136+T136</f>
        <v>69</v>
      </c>
      <c r="X136" s="32" t="n">
        <v>70</v>
      </c>
      <c r="Y136" s="34" t="n">
        <f aca="false">(X136*70)/100</f>
        <v>49</v>
      </c>
      <c r="Z136" s="34" t="n">
        <f aca="false">ROUNDUP(Y136,0)</f>
        <v>49</v>
      </c>
      <c r="AA136" s="32" t="n">
        <v>20</v>
      </c>
      <c r="AB136" s="34" t="n">
        <f aca="false">AA136+Y136</f>
        <v>69</v>
      </c>
      <c r="AC136" s="34" t="n">
        <f aca="false">AA136+Z136</f>
        <v>69</v>
      </c>
      <c r="AD136" s="32" t="n">
        <f aca="false">X136+R136+Q136+K136+J136</f>
        <v>371</v>
      </c>
      <c r="AE136" s="16" t="n">
        <f aca="false">AD136/5</f>
        <v>74.2</v>
      </c>
      <c r="AF136" s="16" t="n">
        <v>78</v>
      </c>
      <c r="AG136" s="16" t="n">
        <v>80</v>
      </c>
      <c r="AH136" s="16" t="n">
        <v>86</v>
      </c>
      <c r="AI136" s="16" t="n">
        <v>96</v>
      </c>
      <c r="AJ136" s="16" t="n">
        <f aca="false">(AI136*70)/100</f>
        <v>67.2</v>
      </c>
      <c r="AK136" s="35" t="n">
        <f aca="false">ROUNDUP(AJ136,0)</f>
        <v>68</v>
      </c>
      <c r="AL136" s="16" t="n">
        <v>26</v>
      </c>
      <c r="AM136" s="16" t="n">
        <f aca="false">AL136+AJ136</f>
        <v>93.2</v>
      </c>
      <c r="AN136" s="16" t="n">
        <f aca="false">AL136+AK136</f>
        <v>94</v>
      </c>
      <c r="AO136" s="16" t="n">
        <v>79</v>
      </c>
      <c r="AP136" s="36" t="n">
        <f aca="false">(AO136*70)/100</f>
        <v>55.3</v>
      </c>
      <c r="AQ136" s="37" t="n">
        <f aca="false">ROUNDUP(AP136,0)</f>
        <v>56</v>
      </c>
      <c r="AR136" s="16" t="n">
        <v>26</v>
      </c>
      <c r="AS136" s="16" t="n">
        <f aca="false">AR136+AP136</f>
        <v>81.3</v>
      </c>
      <c r="AT136" s="16" t="n">
        <f aca="false">AR136+AQ136</f>
        <v>82</v>
      </c>
      <c r="AU136" s="16" t="n">
        <f aca="false">AO136+AF136+AI136+AH136+AG136</f>
        <v>419</v>
      </c>
      <c r="AV136" s="16" t="n">
        <f aca="false">(AO136+AF136+AI136+AH136+AG136)/5</f>
        <v>83.8</v>
      </c>
      <c r="AW136" s="36" t="n">
        <f aca="false">(AO136+AF136+AI136+AH136+AG136+X136+R136+Q136+K136+J136)</f>
        <v>790</v>
      </c>
      <c r="AX136" s="16" t="n">
        <f aca="false">AW136/10</f>
        <v>79</v>
      </c>
      <c r="AY136" s="16" t="n">
        <f aca="false">AS136+AF136+AM136+AH136+AG136+AB136+V136+Q136+O136+J136</f>
        <v>789.8</v>
      </c>
      <c r="AZ136" s="16" t="n">
        <f aca="false">AT136+AF136+AN136+AH136+AG136+AC136+W136+Q136+P136+J136</f>
        <v>792</v>
      </c>
      <c r="BA136" s="16" t="n">
        <f aca="false">AY136/10</f>
        <v>78.98</v>
      </c>
      <c r="BB136" s="16" t="n">
        <f aca="false">AZ136/10</f>
        <v>79.2</v>
      </c>
      <c r="BC136" s="16" t="n">
        <v>2354</v>
      </c>
      <c r="BD136" s="16" t="n">
        <f aca="false">RANK(AX136,$AX$2:$AX$881,0)</f>
        <v>330</v>
      </c>
      <c r="BE136" s="54" t="n">
        <f aca="false">((BC136*100)/2400)*0.4+(AX136*0.6)</f>
        <v>86.6333333333333</v>
      </c>
      <c r="BF136" s="16" t="n">
        <f aca="false">RANK(BE136,$BE$2:$BE$881,0)</f>
        <v>336</v>
      </c>
      <c r="BG136" s="39" t="n">
        <f aca="false">RANK(BB136,$BB$2:$BB$881,0)</f>
        <v>434</v>
      </c>
      <c r="BH136" s="39" t="n">
        <f aca="false">RANK(BC136,$BC$2:$BC$881,0)</f>
        <v>490</v>
      </c>
      <c r="BI136" s="22" t="s">
        <v>130</v>
      </c>
      <c r="BJ136" s="22" t="s">
        <v>129</v>
      </c>
      <c r="BK136" s="40" t="s">
        <v>131</v>
      </c>
      <c r="BL136" s="41" t="n">
        <v>25</v>
      </c>
      <c r="BM136" s="41" t="n">
        <v>57</v>
      </c>
      <c r="BN136" s="41" t="n">
        <v>82</v>
      </c>
      <c r="BO136" s="42" t="n">
        <v>28</v>
      </c>
      <c r="BP136" s="43" t="n">
        <v>67</v>
      </c>
      <c r="BQ136" s="44" t="n">
        <v>95</v>
      </c>
      <c r="BR136" s="42" t="n">
        <v>25</v>
      </c>
      <c r="BS136" s="45" t="n">
        <v>65</v>
      </c>
      <c r="BT136" s="45" t="n">
        <v>90</v>
      </c>
      <c r="BU136" s="46" t="n">
        <v>100</v>
      </c>
      <c r="BV136" s="47" t="n">
        <v>88</v>
      </c>
      <c r="BW136" s="42" t="n">
        <v>99</v>
      </c>
      <c r="BX136" s="48" t="n">
        <v>96</v>
      </c>
      <c r="BY136" s="32" t="n">
        <v>25</v>
      </c>
      <c r="BZ136" s="32" t="n">
        <v>60</v>
      </c>
      <c r="CA136" s="32" t="n">
        <v>85</v>
      </c>
      <c r="CB136" s="32" t="n">
        <v>18</v>
      </c>
      <c r="CC136" s="32" t="n">
        <v>39</v>
      </c>
      <c r="CD136" s="69" t="n">
        <v>57</v>
      </c>
      <c r="CE136" s="32" t="n">
        <v>23</v>
      </c>
      <c r="CF136" s="32" t="n">
        <v>58</v>
      </c>
      <c r="CG136" s="32" t="n">
        <v>81</v>
      </c>
      <c r="CH136" s="32" t="n">
        <v>96</v>
      </c>
      <c r="CI136" s="32" t="n">
        <v>100</v>
      </c>
      <c r="CJ136" s="49" t="n">
        <v>27</v>
      </c>
      <c r="CK136" s="49" t="n">
        <v>57</v>
      </c>
      <c r="CL136" s="49" t="n">
        <v>84</v>
      </c>
      <c r="CM136" s="49" t="n">
        <v>21</v>
      </c>
      <c r="CN136" s="49" t="n">
        <v>55</v>
      </c>
      <c r="CO136" s="49" t="n">
        <v>76</v>
      </c>
      <c r="CP136" s="25" t="n">
        <f aca="false">BX136+BW136+BV136+BU136+BT136+BQ136+BN136</f>
        <v>650</v>
      </c>
      <c r="CQ136" s="25" t="n">
        <f aca="false">CO136+CL136+CI136+CH136+CG136+CD136+CA136</f>
        <v>579</v>
      </c>
      <c r="CR136" s="26" t="n">
        <f aca="false">CP136/7</f>
        <v>92.8571428571429</v>
      </c>
      <c r="CS136" s="26" t="n">
        <f aca="false">CQ136/7</f>
        <v>82.7142857142857</v>
      </c>
      <c r="CT136" s="24" t="n">
        <f aca="false">RANK(CR136,$CR$2:$CR$881,0)</f>
        <v>52</v>
      </c>
      <c r="CU136" s="25" t="n">
        <f aca="false">RANK(CS136,$CS$2:$CS$881,0)</f>
        <v>167</v>
      </c>
      <c r="CV136" s="26" t="n">
        <f aca="false">(CS136+CR136)/2</f>
        <v>87.7857142857143</v>
      </c>
      <c r="CW136" s="25" t="n">
        <f aca="false">RANK(CV136,$CV$2:$CV$881,0)</f>
        <v>100</v>
      </c>
      <c r="CX136" s="50" t="n">
        <f aca="false">(CV136+BB136)/2</f>
        <v>83.4928571428571</v>
      </c>
      <c r="CY136" s="50" t="n">
        <v>192</v>
      </c>
      <c r="CZ136" s="27" t="s">
        <v>132</v>
      </c>
      <c r="DA136" s="27" t="s">
        <v>133</v>
      </c>
      <c r="DB136" s="27" t="s">
        <v>133</v>
      </c>
      <c r="DC136" s="27" t="s">
        <v>134</v>
      </c>
      <c r="DD136" s="27" t="s">
        <v>140</v>
      </c>
      <c r="DE136" s="27" t="s">
        <v>152</v>
      </c>
      <c r="DF136" s="27" t="s">
        <v>151</v>
      </c>
      <c r="DG136" s="27" t="s">
        <v>134</v>
      </c>
      <c r="DH136" s="27" t="s">
        <v>195</v>
      </c>
      <c r="DI136" s="27" t="s">
        <v>203</v>
      </c>
      <c r="DJ136" s="27" t="s">
        <v>169</v>
      </c>
      <c r="DK136" s="27" t="s">
        <v>134</v>
      </c>
      <c r="DL136" s="27" t="s">
        <v>164</v>
      </c>
      <c r="DM136" s="27" t="s">
        <v>203</v>
      </c>
      <c r="DN136" s="27" t="s">
        <v>162</v>
      </c>
      <c r="DO136" s="27" t="s">
        <v>134</v>
      </c>
      <c r="DP136" s="27" t="s">
        <v>174</v>
      </c>
      <c r="DQ136" s="27" t="s">
        <v>183</v>
      </c>
      <c r="DR136" s="27" t="s">
        <v>219</v>
      </c>
      <c r="DS136" s="27" t="s">
        <v>134</v>
      </c>
      <c r="DT136" s="27" t="s">
        <v>146</v>
      </c>
      <c r="DU136" s="27" t="s">
        <v>136</v>
      </c>
      <c r="DV136" s="27" t="s">
        <v>151</v>
      </c>
      <c r="DW136" s="27" t="s">
        <v>164</v>
      </c>
      <c r="DX136" s="27" t="s">
        <v>138</v>
      </c>
      <c r="DY136" s="27" t="s">
        <v>142</v>
      </c>
      <c r="DZ136" s="27" t="n">
        <f aca="false">DY136+DV136+DR136+DN136+DJ136+DF136+DB136</f>
        <v>622</v>
      </c>
      <c r="EA136" s="28" t="n">
        <f aca="false">DZ136/7</f>
        <v>88.8571428571429</v>
      </c>
      <c r="EB136" s="27" t="n">
        <f aca="false">RANK(EA136,$EA$2:$EA$881,0)</f>
        <v>85</v>
      </c>
      <c r="EC136" s="29" t="n">
        <f aca="false">DZ136+CQ136+CP136+AZ136</f>
        <v>2643</v>
      </c>
      <c r="ED136" s="30" t="n">
        <f aca="false">(EA136+CV136+BB136)/3</f>
        <v>85.2809523809524</v>
      </c>
      <c r="EE136" s="51" t="n">
        <f aca="false">ROUND(BE136,3)</f>
        <v>86.633</v>
      </c>
      <c r="EF136" s="51" t="n">
        <f aca="false">ROUND(CR136,3)</f>
        <v>92.857</v>
      </c>
      <c r="EG136" s="51" t="n">
        <f aca="false">ROUND(CS136,3)</f>
        <v>82.714</v>
      </c>
      <c r="EH136" s="51" t="n">
        <f aca="false">ROUND(EA136,3)</f>
        <v>88.857</v>
      </c>
      <c r="EI136" s="51" t="n">
        <f aca="false">ROUND(ED136,3)</f>
        <v>85.281</v>
      </c>
      <c r="EJ136" s="51" t="n">
        <f aca="false">ROUND(CV136,3)</f>
        <v>87.786</v>
      </c>
      <c r="EK136" s="0" t="n">
        <f aca="false">RANK(EI136,$EI$2:$EI$881,0)</f>
        <v>135</v>
      </c>
    </row>
    <row r="137" customFormat="false" ht="15" hidden="false" customHeight="false" outlineLevel="0" collapsed="false">
      <c r="A137" s="4" t="n">
        <v>8935</v>
      </c>
      <c r="B137" s="4" t="n">
        <v>785</v>
      </c>
      <c r="C137" s="27" t="s">
        <v>594</v>
      </c>
      <c r="D137" s="31" t="n">
        <v>803</v>
      </c>
      <c r="E137" s="32" t="n">
        <v>230312580</v>
      </c>
      <c r="F137" s="8" t="s">
        <v>595</v>
      </c>
      <c r="G137" s="22" t="s">
        <v>243</v>
      </c>
      <c r="H137" s="22" t="s">
        <v>129</v>
      </c>
      <c r="I137" s="33" t="n">
        <v>2005</v>
      </c>
      <c r="J137" s="32" t="n">
        <v>76</v>
      </c>
      <c r="K137" s="32" t="n">
        <v>94</v>
      </c>
      <c r="L137" s="34" t="n">
        <f aca="false">(K137*70)/100</f>
        <v>65.8</v>
      </c>
      <c r="M137" s="34" t="n">
        <f aca="false">ROUNDUP(L137,0)</f>
        <v>66</v>
      </c>
      <c r="N137" s="32" t="n">
        <v>30</v>
      </c>
      <c r="O137" s="34" t="n">
        <f aca="false">N137+L137</f>
        <v>95.8</v>
      </c>
      <c r="P137" s="34" t="n">
        <f aca="false">N137+M137</f>
        <v>96</v>
      </c>
      <c r="Q137" s="32" t="n">
        <v>87</v>
      </c>
      <c r="R137" s="32" t="n">
        <v>86</v>
      </c>
      <c r="S137" s="34" t="n">
        <f aca="false">(R137*70)/100</f>
        <v>60.2</v>
      </c>
      <c r="T137" s="34" t="n">
        <f aca="false">ROUNDUP(S137,0)</f>
        <v>61</v>
      </c>
      <c r="U137" s="32" t="n">
        <v>16</v>
      </c>
      <c r="V137" s="34" t="n">
        <f aca="false">U137+S137</f>
        <v>76.2</v>
      </c>
      <c r="W137" s="34" t="n">
        <f aca="false">U137+T137</f>
        <v>77</v>
      </c>
      <c r="X137" s="32" t="n">
        <v>77</v>
      </c>
      <c r="Y137" s="34" t="n">
        <f aca="false">(X137*70)/100</f>
        <v>53.9</v>
      </c>
      <c r="Z137" s="34" t="n">
        <f aca="false">ROUNDUP(Y137,0)</f>
        <v>54</v>
      </c>
      <c r="AA137" s="32" t="n">
        <v>28</v>
      </c>
      <c r="AB137" s="34" t="n">
        <f aca="false">AA137+Y137</f>
        <v>81.9</v>
      </c>
      <c r="AC137" s="34" t="n">
        <f aca="false">AA137+Z137</f>
        <v>82</v>
      </c>
      <c r="AD137" s="32" t="n">
        <f aca="false">X137+R137+Q137+K137+J137</f>
        <v>420</v>
      </c>
      <c r="AE137" s="16" t="n">
        <f aca="false">AD137/5</f>
        <v>84</v>
      </c>
      <c r="AF137" s="16" t="n">
        <v>77</v>
      </c>
      <c r="AG137" s="16" t="n">
        <v>82</v>
      </c>
      <c r="AH137" s="16" t="n">
        <v>91</v>
      </c>
      <c r="AI137" s="16" t="n">
        <v>93</v>
      </c>
      <c r="AJ137" s="16" t="n">
        <f aca="false">(AI137*70)/100</f>
        <v>65.1</v>
      </c>
      <c r="AK137" s="35" t="n">
        <f aca="false">ROUNDUP(AJ137,0)</f>
        <v>66</v>
      </c>
      <c r="AL137" s="16" t="n">
        <v>24</v>
      </c>
      <c r="AM137" s="16" t="n">
        <f aca="false">AL137+AJ137</f>
        <v>89.1</v>
      </c>
      <c r="AN137" s="16" t="n">
        <f aca="false">AL137+AK137</f>
        <v>90</v>
      </c>
      <c r="AO137" s="16" t="n">
        <v>81</v>
      </c>
      <c r="AP137" s="36" t="n">
        <f aca="false">(AO137*70)/100</f>
        <v>56.7</v>
      </c>
      <c r="AQ137" s="37" t="n">
        <f aca="false">ROUNDUP(AP137,0)</f>
        <v>57</v>
      </c>
      <c r="AR137" s="16" t="n">
        <v>29</v>
      </c>
      <c r="AS137" s="16" t="n">
        <f aca="false">AR137+AP137</f>
        <v>85.7</v>
      </c>
      <c r="AT137" s="16" t="n">
        <f aca="false">AR137+AQ137</f>
        <v>86</v>
      </c>
      <c r="AU137" s="16" t="n">
        <f aca="false">AO137+AF137+AI137+AH137+AG137</f>
        <v>424</v>
      </c>
      <c r="AV137" s="16" t="n">
        <f aca="false">(AO137+AF137+AI137+AH137+AG137)/5</f>
        <v>84.8</v>
      </c>
      <c r="AW137" s="36" t="n">
        <f aca="false">(AO137+AF137+AI137+AH137+AG137+X137+R137+Q137+K137+J137)</f>
        <v>844</v>
      </c>
      <c r="AX137" s="16" t="n">
        <f aca="false">AW137/10</f>
        <v>84.4</v>
      </c>
      <c r="AY137" s="16" t="n">
        <f aca="false">AS137+AF137+AM137+AH137+AG137+AB137+V137+Q137+O137+J137</f>
        <v>841.7</v>
      </c>
      <c r="AZ137" s="16" t="n">
        <f aca="false">AT137+AF137+AN137+AH137+AG137+AC137+W137+Q137+P137+J137</f>
        <v>844</v>
      </c>
      <c r="BA137" s="16" t="n">
        <f aca="false">AY137/10</f>
        <v>84.17</v>
      </c>
      <c r="BB137" s="16" t="n">
        <f aca="false">AZ137/10</f>
        <v>84.4</v>
      </c>
      <c r="BC137" s="16" t="n">
        <v>2367</v>
      </c>
      <c r="BD137" s="16" t="n">
        <f aca="false">RANK(AX137,$AX$2:$AX$881,0)</f>
        <v>100</v>
      </c>
      <c r="BE137" s="38" t="n">
        <f aca="false">((BC137*100)/2400)*0.4+(AX137*0.6)</f>
        <v>90.09</v>
      </c>
      <c r="BF137" s="16" t="n">
        <f aca="false">RANK(BE137,$BE$2:$BE$881,0)</f>
        <v>100</v>
      </c>
      <c r="BG137" s="39" t="n">
        <f aca="false">RANK(BB137,$BB$2:$BB$881,0)</f>
        <v>111</v>
      </c>
      <c r="BH137" s="39" t="n">
        <f aca="false">RANK(BC137,$BC$2:$BC$881,0)</f>
        <v>308</v>
      </c>
      <c r="BI137" s="22" t="s">
        <v>130</v>
      </c>
      <c r="BJ137" s="22" t="s">
        <v>129</v>
      </c>
      <c r="BK137" s="40" t="s">
        <v>131</v>
      </c>
      <c r="BL137" s="41" t="n">
        <v>17</v>
      </c>
      <c r="BM137" s="41" t="n">
        <v>58</v>
      </c>
      <c r="BN137" s="41" t="n">
        <v>75</v>
      </c>
      <c r="BO137" s="42" t="n">
        <v>24</v>
      </c>
      <c r="BP137" s="43" t="n">
        <v>62</v>
      </c>
      <c r="BQ137" s="44" t="n">
        <v>86</v>
      </c>
      <c r="BR137" s="42" t="n">
        <v>25</v>
      </c>
      <c r="BS137" s="45" t="n">
        <v>58</v>
      </c>
      <c r="BT137" s="45" t="n">
        <v>83</v>
      </c>
      <c r="BU137" s="46" t="n">
        <v>99</v>
      </c>
      <c r="BV137" s="47" t="n">
        <v>94</v>
      </c>
      <c r="BW137" s="42" t="n">
        <v>96</v>
      </c>
      <c r="BX137" s="48" t="n">
        <v>98</v>
      </c>
      <c r="BY137" s="32" t="n">
        <v>26</v>
      </c>
      <c r="BZ137" s="32" t="n">
        <v>48</v>
      </c>
      <c r="CA137" s="32" t="n">
        <v>74</v>
      </c>
      <c r="CB137" s="32" t="n">
        <v>19</v>
      </c>
      <c r="CC137" s="32" t="n">
        <v>40</v>
      </c>
      <c r="CD137" s="69" t="n">
        <v>59</v>
      </c>
      <c r="CE137" s="32" t="n">
        <v>27</v>
      </c>
      <c r="CF137" s="32" t="n">
        <v>61</v>
      </c>
      <c r="CG137" s="32" t="n">
        <v>88</v>
      </c>
      <c r="CH137" s="32" t="n">
        <v>98</v>
      </c>
      <c r="CI137" s="32" t="n">
        <v>95</v>
      </c>
      <c r="CJ137" s="49" t="n">
        <v>24</v>
      </c>
      <c r="CK137" s="49" t="n">
        <v>44</v>
      </c>
      <c r="CL137" s="49" t="n">
        <v>68</v>
      </c>
      <c r="CM137" s="49" t="n">
        <v>19</v>
      </c>
      <c r="CN137" s="49" t="n">
        <v>57</v>
      </c>
      <c r="CO137" s="49" t="n">
        <v>76</v>
      </c>
      <c r="CP137" s="25" t="n">
        <f aca="false">BX137+BW137+BV137+BU137+BT137+BQ137+BN137</f>
        <v>631</v>
      </c>
      <c r="CQ137" s="25" t="n">
        <f aca="false">CO137+CL137+CI137+CH137+CG137+CD137+CA137</f>
        <v>558</v>
      </c>
      <c r="CR137" s="26" t="n">
        <f aca="false">CP137/7</f>
        <v>90.1428571428571</v>
      </c>
      <c r="CS137" s="26" t="n">
        <f aca="false">CQ137/7</f>
        <v>79.7142857142857</v>
      </c>
      <c r="CT137" s="24" t="n">
        <f aca="false">RANK(CR137,$CR$2:$CR$881,0)</f>
        <v>172</v>
      </c>
      <c r="CU137" s="25" t="n">
        <f aca="false">RANK(CS137,$CS$2:$CS$881,0)</f>
        <v>275</v>
      </c>
      <c r="CV137" s="26" t="n">
        <f aca="false">(CS137+CR137)/2</f>
        <v>84.9285714285714</v>
      </c>
      <c r="CW137" s="25" t="n">
        <f aca="false">RANK(CV137,$CV$2:$CV$881,0)</f>
        <v>218</v>
      </c>
      <c r="CX137" s="50" t="n">
        <f aca="false">(CV137+BB137)/2</f>
        <v>84.6642857142857</v>
      </c>
      <c r="CY137" s="50" t="n">
        <v>134</v>
      </c>
      <c r="CZ137" s="27" t="s">
        <v>132</v>
      </c>
      <c r="DA137" s="27" t="s">
        <v>162</v>
      </c>
      <c r="DB137" s="27" t="s">
        <v>162</v>
      </c>
      <c r="DC137" s="27" t="s">
        <v>134</v>
      </c>
      <c r="DD137" s="27" t="s">
        <v>154</v>
      </c>
      <c r="DE137" s="27" t="s">
        <v>183</v>
      </c>
      <c r="DF137" s="27" t="s">
        <v>196</v>
      </c>
      <c r="DG137" s="27" t="s">
        <v>134</v>
      </c>
      <c r="DH137" s="27" t="s">
        <v>182</v>
      </c>
      <c r="DI137" s="27" t="s">
        <v>136</v>
      </c>
      <c r="DJ137" s="27" t="s">
        <v>178</v>
      </c>
      <c r="DK137" s="27" t="s">
        <v>134</v>
      </c>
      <c r="DL137" s="27" t="s">
        <v>160</v>
      </c>
      <c r="DM137" s="27" t="s">
        <v>136</v>
      </c>
      <c r="DN137" s="27" t="s">
        <v>170</v>
      </c>
      <c r="DO137" s="27" t="s">
        <v>134</v>
      </c>
      <c r="DP137" s="27" t="s">
        <v>386</v>
      </c>
      <c r="DQ137" s="27" t="s">
        <v>177</v>
      </c>
      <c r="DR137" s="27" t="s">
        <v>305</v>
      </c>
      <c r="DS137" s="27" t="s">
        <v>134</v>
      </c>
      <c r="DT137" s="27" t="s">
        <v>160</v>
      </c>
      <c r="DU137" s="27" t="s">
        <v>447</v>
      </c>
      <c r="DV137" s="27" t="s">
        <v>196</v>
      </c>
      <c r="DW137" s="27" t="s">
        <v>160</v>
      </c>
      <c r="DX137" s="27" t="s">
        <v>155</v>
      </c>
      <c r="DY137" s="27" t="s">
        <v>145</v>
      </c>
      <c r="DZ137" s="27" t="n">
        <f aca="false">DY137+DV137+DR137+DN137+DJ137+DF137+DB137</f>
        <v>605</v>
      </c>
      <c r="EA137" s="28" t="n">
        <f aca="false">DZ137/7</f>
        <v>86.4285714285714</v>
      </c>
      <c r="EB137" s="27" t="n">
        <f aca="false">RANK(EA137,$EA$2:$EA$881,0)</f>
        <v>145</v>
      </c>
      <c r="EC137" s="29" t="n">
        <f aca="false">DZ137+CQ137+CP137+AZ137</f>
        <v>2638</v>
      </c>
      <c r="ED137" s="30" t="n">
        <f aca="false">(EA137+CV137+BB137)/3</f>
        <v>85.252380952381</v>
      </c>
      <c r="EE137" s="51" t="n">
        <f aca="false">ROUND(BE137,3)</f>
        <v>90.09</v>
      </c>
      <c r="EF137" s="51" t="n">
        <f aca="false">ROUND(CR137,3)</f>
        <v>90.143</v>
      </c>
      <c r="EG137" s="51" t="n">
        <f aca="false">ROUND(CS137,3)</f>
        <v>79.714</v>
      </c>
      <c r="EH137" s="51" t="n">
        <f aca="false">ROUND(EA137,3)</f>
        <v>86.429</v>
      </c>
      <c r="EI137" s="51" t="n">
        <f aca="false">ROUND(ED137,3)</f>
        <v>85.252</v>
      </c>
      <c r="EJ137" s="51" t="n">
        <f aca="false">ROUND(CV137,3)</f>
        <v>84.929</v>
      </c>
      <c r="EK137" s="0" t="n">
        <f aca="false">RANK(EI137,$EI$2:$EI$881,0)</f>
        <v>136</v>
      </c>
    </row>
    <row r="138" customFormat="false" ht="15" hidden="false" customHeight="false" outlineLevel="0" collapsed="false">
      <c r="A138" s="4" t="n">
        <v>8597</v>
      </c>
      <c r="B138" s="4" t="n">
        <v>160</v>
      </c>
      <c r="C138" s="27" t="s">
        <v>596</v>
      </c>
      <c r="D138" s="31" t="n">
        <v>160</v>
      </c>
      <c r="E138" s="16" t="n">
        <v>230132959</v>
      </c>
      <c r="F138" s="56" t="s">
        <v>597</v>
      </c>
      <c r="G138" s="22" t="s">
        <v>598</v>
      </c>
      <c r="H138" s="22" t="s">
        <v>326</v>
      </c>
      <c r="I138" s="57"/>
      <c r="J138" s="16" t="n">
        <v>86</v>
      </c>
      <c r="K138" s="16" t="n">
        <v>69</v>
      </c>
      <c r="L138" s="34" t="n">
        <f aca="false">(K138*70)/100</f>
        <v>48.3</v>
      </c>
      <c r="M138" s="34" t="n">
        <f aca="false">ROUNDUP(L138,0)</f>
        <v>49</v>
      </c>
      <c r="N138" s="16" t="n">
        <v>26</v>
      </c>
      <c r="O138" s="34" t="n">
        <f aca="false">N138+L138</f>
        <v>74.3</v>
      </c>
      <c r="P138" s="34" t="n">
        <f aca="false">N138+M138</f>
        <v>75</v>
      </c>
      <c r="Q138" s="16" t="n">
        <v>84</v>
      </c>
      <c r="R138" s="16" t="n">
        <v>74</v>
      </c>
      <c r="S138" s="34" t="n">
        <f aca="false">(R138*70)/100</f>
        <v>51.8</v>
      </c>
      <c r="T138" s="34" t="n">
        <f aca="false">ROUNDUP(S138,0)</f>
        <v>52</v>
      </c>
      <c r="U138" s="16" t="n">
        <v>26</v>
      </c>
      <c r="V138" s="34" t="n">
        <f aca="false">U138+S138</f>
        <v>77.8</v>
      </c>
      <c r="W138" s="34" t="n">
        <f aca="false">U138+T138</f>
        <v>78</v>
      </c>
      <c r="X138" s="16" t="n">
        <v>73</v>
      </c>
      <c r="Y138" s="34" t="n">
        <f aca="false">(X138*70)/100</f>
        <v>51.1</v>
      </c>
      <c r="Z138" s="34" t="n">
        <f aca="false">ROUNDUP(Y138,0)</f>
        <v>52</v>
      </c>
      <c r="AA138" s="16" t="n">
        <v>28</v>
      </c>
      <c r="AB138" s="34" t="n">
        <f aca="false">AA138+Y138</f>
        <v>79.1</v>
      </c>
      <c r="AC138" s="34" t="n">
        <f aca="false">AA138+Z138</f>
        <v>80</v>
      </c>
      <c r="AD138" s="32" t="n">
        <f aca="false">X138+R138+Q138+K138+J138</f>
        <v>386</v>
      </c>
      <c r="AE138" s="16" t="n">
        <f aca="false">AD138/5</f>
        <v>77.2</v>
      </c>
      <c r="AF138" s="16" t="n">
        <v>75</v>
      </c>
      <c r="AG138" s="16" t="n">
        <v>96</v>
      </c>
      <c r="AH138" s="16" t="n">
        <v>91</v>
      </c>
      <c r="AI138" s="16" t="n">
        <v>94</v>
      </c>
      <c r="AJ138" s="16" t="n">
        <f aca="false">(AI138*70)/100</f>
        <v>65.8</v>
      </c>
      <c r="AK138" s="35" t="n">
        <f aca="false">ROUNDUP(AJ138,0)</f>
        <v>66</v>
      </c>
      <c r="AL138" s="16" t="n">
        <v>25</v>
      </c>
      <c r="AM138" s="16" t="n">
        <f aca="false">AL138+AJ138</f>
        <v>90.8</v>
      </c>
      <c r="AN138" s="16" t="n">
        <f aca="false">AL138+AK138</f>
        <v>91</v>
      </c>
      <c r="AO138" s="16" t="n">
        <v>76</v>
      </c>
      <c r="AP138" s="36" t="n">
        <f aca="false">(AO138*70)/100</f>
        <v>53.2</v>
      </c>
      <c r="AQ138" s="37" t="n">
        <f aca="false">ROUNDUP(AP138,0)</f>
        <v>54</v>
      </c>
      <c r="AR138" s="16" t="n">
        <v>30</v>
      </c>
      <c r="AS138" s="16" t="n">
        <f aca="false">AR138+AP138</f>
        <v>83.2</v>
      </c>
      <c r="AT138" s="16" t="n">
        <f aca="false">AR138+AQ138</f>
        <v>84</v>
      </c>
      <c r="AU138" s="16" t="n">
        <f aca="false">AO138+AF138+AI138+AH138+AG138</f>
        <v>432</v>
      </c>
      <c r="AV138" s="16" t="n">
        <f aca="false">(AO138+AF138+AI138+AH138+AG138)/5</f>
        <v>86.4</v>
      </c>
      <c r="AW138" s="36" t="n">
        <f aca="false">(AO138+AF138+AI138+AH138+AG138+X138+R138+Q138+K138+J138)</f>
        <v>818</v>
      </c>
      <c r="AX138" s="16" t="n">
        <f aca="false">AW138/10</f>
        <v>81.8</v>
      </c>
      <c r="AY138" s="16" t="n">
        <f aca="false">AS138+AF138+AM138+AH138+AG138+AB138+V138+Q138+O138+J138</f>
        <v>837.2</v>
      </c>
      <c r="AZ138" s="16" t="n">
        <f aca="false">AT138+AF138+AN138+AH138+AG138+AC138+W138+Q138+P138+J138</f>
        <v>840</v>
      </c>
      <c r="BA138" s="16" t="n">
        <f aca="false">AY138/10</f>
        <v>83.72</v>
      </c>
      <c r="BB138" s="16" t="n">
        <f aca="false">AZ138/10</f>
        <v>84</v>
      </c>
      <c r="BC138" s="16" t="n">
        <v>2348</v>
      </c>
      <c r="BD138" s="16" t="n">
        <f aca="false">RANK(AX138,$AX$2:$AX$881,0)</f>
        <v>171</v>
      </c>
      <c r="BE138" s="54" t="n">
        <f aca="false">((BC138*100)/2400)*0.4+(AX138*0.6)</f>
        <v>88.2133333333333</v>
      </c>
      <c r="BF138" s="16" t="n">
        <f aca="false">RANK(BE138,$BE$2:$BE$881,0)</f>
        <v>187</v>
      </c>
      <c r="BG138" s="39" t="n">
        <f aca="false">RANK(BB138,$BB$2:$BB$881,0)</f>
        <v>123</v>
      </c>
      <c r="BH138" s="39" t="n">
        <f aca="false">RANK(BC138,$BC$2:$BC$881,0)</f>
        <v>551</v>
      </c>
      <c r="BI138" s="22" t="s">
        <v>130</v>
      </c>
      <c r="BJ138" s="22" t="s">
        <v>129</v>
      </c>
      <c r="BK138" s="40" t="s">
        <v>131</v>
      </c>
      <c r="BL138" s="41" t="n">
        <v>22</v>
      </c>
      <c r="BM138" s="41" t="n">
        <v>63</v>
      </c>
      <c r="BN138" s="41" t="n">
        <v>85</v>
      </c>
      <c r="BO138" s="42" t="n">
        <v>24</v>
      </c>
      <c r="BP138" s="43" t="n">
        <v>47</v>
      </c>
      <c r="BQ138" s="44" t="n">
        <v>71</v>
      </c>
      <c r="BR138" s="42" t="n">
        <v>23</v>
      </c>
      <c r="BS138" s="45" t="n">
        <v>66</v>
      </c>
      <c r="BT138" s="45" t="n">
        <v>89</v>
      </c>
      <c r="BU138" s="46" t="n">
        <v>100</v>
      </c>
      <c r="BV138" s="47" t="n">
        <v>80</v>
      </c>
      <c r="BW138" s="42" t="n">
        <v>100</v>
      </c>
      <c r="BX138" s="48" t="n">
        <v>98</v>
      </c>
      <c r="BY138" s="32" t="n">
        <v>27</v>
      </c>
      <c r="BZ138" s="32" t="n">
        <v>51</v>
      </c>
      <c r="CA138" s="32" t="n">
        <v>78</v>
      </c>
      <c r="CB138" s="32" t="n">
        <v>20</v>
      </c>
      <c r="CC138" s="32" t="n">
        <v>45</v>
      </c>
      <c r="CD138" s="32" t="n">
        <v>65</v>
      </c>
      <c r="CE138" s="32" t="n">
        <v>26</v>
      </c>
      <c r="CF138" s="32" t="n">
        <v>57</v>
      </c>
      <c r="CG138" s="32" t="n">
        <v>83</v>
      </c>
      <c r="CH138" s="32" t="n">
        <v>100</v>
      </c>
      <c r="CI138" s="32" t="n">
        <v>100</v>
      </c>
      <c r="CJ138" s="49" t="n">
        <v>25</v>
      </c>
      <c r="CK138" s="49" t="n">
        <v>59</v>
      </c>
      <c r="CL138" s="49" t="n">
        <v>84</v>
      </c>
      <c r="CM138" s="49" t="n">
        <v>25</v>
      </c>
      <c r="CN138" s="49" t="n">
        <v>52</v>
      </c>
      <c r="CO138" s="49" t="n">
        <v>77</v>
      </c>
      <c r="CP138" s="25" t="n">
        <f aca="false">BX138+BW138+BV138+BU138+BT138+BQ138+BN138</f>
        <v>623</v>
      </c>
      <c r="CQ138" s="25" t="n">
        <f aca="false">CO138+CL138+CI138+CH138+CG138+CD138+CA138</f>
        <v>587</v>
      </c>
      <c r="CR138" s="26" t="n">
        <f aca="false">CP138/7</f>
        <v>89</v>
      </c>
      <c r="CS138" s="26" t="n">
        <f aca="false">CQ138/7</f>
        <v>83.8571428571429</v>
      </c>
      <c r="CT138" s="24" t="n">
        <f aca="false">RANK(CR138,$CR$2:$CR$881,0)</f>
        <v>244</v>
      </c>
      <c r="CU138" s="25" t="n">
        <f aca="false">RANK(CS138,$CS$2:$CS$881,0)</f>
        <v>125</v>
      </c>
      <c r="CV138" s="26" t="n">
        <f aca="false">(CS138+CR138)/2</f>
        <v>86.4285714285714</v>
      </c>
      <c r="CW138" s="25" t="n">
        <f aca="false">RANK(CV138,$CV$2:$CV$881,0)</f>
        <v>159</v>
      </c>
      <c r="CX138" s="50" t="n">
        <f aca="false">(CV138+BB138)/2</f>
        <v>85.2142857142857</v>
      </c>
      <c r="CY138" s="50" t="n">
        <v>115</v>
      </c>
      <c r="CZ138" s="27" t="s">
        <v>132</v>
      </c>
      <c r="DA138" s="27" t="s">
        <v>139</v>
      </c>
      <c r="DB138" s="27" t="s">
        <v>139</v>
      </c>
      <c r="DC138" s="27" t="s">
        <v>134</v>
      </c>
      <c r="DD138" s="27" t="s">
        <v>154</v>
      </c>
      <c r="DE138" s="27" t="s">
        <v>203</v>
      </c>
      <c r="DF138" s="27" t="s">
        <v>175</v>
      </c>
      <c r="DG138" s="27" t="s">
        <v>134</v>
      </c>
      <c r="DH138" s="27" t="s">
        <v>135</v>
      </c>
      <c r="DI138" s="27" t="s">
        <v>163</v>
      </c>
      <c r="DJ138" s="27" t="s">
        <v>153</v>
      </c>
      <c r="DK138" s="27" t="s">
        <v>134</v>
      </c>
      <c r="DL138" s="27" t="s">
        <v>191</v>
      </c>
      <c r="DM138" s="27" t="s">
        <v>204</v>
      </c>
      <c r="DN138" s="27" t="s">
        <v>272</v>
      </c>
      <c r="DO138" s="27" t="s">
        <v>134</v>
      </c>
      <c r="DP138" s="27" t="s">
        <v>174</v>
      </c>
      <c r="DQ138" s="27" t="s">
        <v>183</v>
      </c>
      <c r="DR138" s="27" t="s">
        <v>219</v>
      </c>
      <c r="DS138" s="27" t="s">
        <v>134</v>
      </c>
      <c r="DT138" s="27" t="s">
        <v>191</v>
      </c>
      <c r="DU138" s="27" t="s">
        <v>313</v>
      </c>
      <c r="DV138" s="27" t="s">
        <v>398</v>
      </c>
      <c r="DW138" s="27" t="s">
        <v>137</v>
      </c>
      <c r="DX138" s="27" t="s">
        <v>155</v>
      </c>
      <c r="DY138" s="27" t="s">
        <v>142</v>
      </c>
      <c r="DZ138" s="27" t="n">
        <f aca="false">DY138+DV138+DR138+DN138+DJ138+DF138+DB138</f>
        <v>597</v>
      </c>
      <c r="EA138" s="28" t="n">
        <f aca="false">DZ138/7</f>
        <v>85.2857142857143</v>
      </c>
      <c r="EB138" s="27" t="n">
        <f aca="false">RANK(EA138,$EA$2:$EA$881,0)</f>
        <v>176</v>
      </c>
      <c r="EC138" s="29" t="n">
        <f aca="false">DZ138+CQ138+CP138+AZ138</f>
        <v>2647</v>
      </c>
      <c r="ED138" s="30" t="n">
        <f aca="false">(EA138+CV138+BB138)/3</f>
        <v>85.2380952380952</v>
      </c>
      <c r="EE138" s="51" t="n">
        <f aca="false">ROUND(BE138,3)</f>
        <v>88.213</v>
      </c>
      <c r="EF138" s="51" t="n">
        <f aca="false">ROUND(CR138,3)</f>
        <v>89</v>
      </c>
      <c r="EG138" s="51" t="n">
        <f aca="false">ROUND(CS138,3)</f>
        <v>83.857</v>
      </c>
      <c r="EH138" s="51" t="n">
        <f aca="false">ROUND(EA138,3)</f>
        <v>85.286</v>
      </c>
      <c r="EI138" s="51" t="n">
        <f aca="false">ROUND(ED138,3)</f>
        <v>85.238</v>
      </c>
      <c r="EJ138" s="51" t="n">
        <f aca="false">ROUND(CV138,3)</f>
        <v>86.429</v>
      </c>
      <c r="EK138" s="0" t="n">
        <f aca="false">RANK(EI138,$EI$2:$EI$881,0)</f>
        <v>137</v>
      </c>
    </row>
    <row r="139" customFormat="false" ht="15" hidden="false" customHeight="false" outlineLevel="0" collapsed="false">
      <c r="A139" s="4" t="n">
        <v>2047</v>
      </c>
      <c r="B139" s="4" t="n">
        <v>381</v>
      </c>
      <c r="C139" s="27" t="s">
        <v>599</v>
      </c>
      <c r="D139" s="31" t="n">
        <v>385</v>
      </c>
      <c r="E139" s="32" t="n">
        <v>234300121</v>
      </c>
      <c r="F139" s="8" t="s">
        <v>600</v>
      </c>
      <c r="G139" s="66" t="s">
        <v>601</v>
      </c>
      <c r="H139" s="66" t="s">
        <v>129</v>
      </c>
      <c r="I139" s="67" t="s">
        <v>525</v>
      </c>
      <c r="J139" s="32" t="n">
        <v>70</v>
      </c>
      <c r="K139" s="32" t="n">
        <v>73</v>
      </c>
      <c r="L139" s="34" t="n">
        <f aca="false">(K139*70)/100</f>
        <v>51.1</v>
      </c>
      <c r="M139" s="34" t="n">
        <f aca="false">ROUNDUP(L139,0)</f>
        <v>52</v>
      </c>
      <c r="N139" s="32" t="n">
        <v>27</v>
      </c>
      <c r="O139" s="34" t="n">
        <f aca="false">N139+L139</f>
        <v>78.1</v>
      </c>
      <c r="P139" s="34" t="n">
        <f aca="false">N139+M139</f>
        <v>79</v>
      </c>
      <c r="Q139" s="32" t="n">
        <v>79</v>
      </c>
      <c r="R139" s="32" t="n">
        <v>75</v>
      </c>
      <c r="S139" s="34" t="n">
        <f aca="false">(R139*70)/100</f>
        <v>52.5</v>
      </c>
      <c r="T139" s="34" t="n">
        <f aca="false">ROUNDUP(S139,0)</f>
        <v>53</v>
      </c>
      <c r="U139" s="32" t="n">
        <v>13</v>
      </c>
      <c r="V139" s="34" t="n">
        <f aca="false">U139+S139</f>
        <v>65.5</v>
      </c>
      <c r="W139" s="34" t="n">
        <f aca="false">U139+T139</f>
        <v>66</v>
      </c>
      <c r="X139" s="32" t="n">
        <v>73</v>
      </c>
      <c r="Y139" s="34" t="n">
        <f aca="false">(X139*70)/100</f>
        <v>51.1</v>
      </c>
      <c r="Z139" s="34" t="n">
        <f aca="false">ROUNDUP(Y139,0)</f>
        <v>52</v>
      </c>
      <c r="AA139" s="32" t="n">
        <v>25</v>
      </c>
      <c r="AB139" s="34" t="n">
        <f aca="false">AA139+Y139</f>
        <v>76.1</v>
      </c>
      <c r="AC139" s="34" t="n">
        <f aca="false">AA139+Z139</f>
        <v>77</v>
      </c>
      <c r="AD139" s="32" t="n">
        <f aca="false">X139+R139+Q139+K139+J139</f>
        <v>370</v>
      </c>
      <c r="AE139" s="16" t="n">
        <f aca="false">AD139/5</f>
        <v>74</v>
      </c>
      <c r="AF139" s="16" t="n">
        <v>81</v>
      </c>
      <c r="AG139" s="16" t="n">
        <v>76</v>
      </c>
      <c r="AH139" s="16" t="n">
        <v>89</v>
      </c>
      <c r="AI139" s="16" t="n">
        <v>82</v>
      </c>
      <c r="AJ139" s="16" t="n">
        <f aca="false">(AI139*70)/100</f>
        <v>57.4</v>
      </c>
      <c r="AK139" s="35" t="n">
        <f aca="false">ROUNDUP(AJ139,0)</f>
        <v>58</v>
      </c>
      <c r="AL139" s="16" t="n">
        <v>21</v>
      </c>
      <c r="AM139" s="16" t="n">
        <f aca="false">AL139+AJ139</f>
        <v>78.4</v>
      </c>
      <c r="AN139" s="16" t="n">
        <f aca="false">AL139+AK139</f>
        <v>79</v>
      </c>
      <c r="AO139" s="16" t="n">
        <v>81</v>
      </c>
      <c r="AP139" s="36" t="n">
        <f aca="false">(AO139*70)/100</f>
        <v>56.7</v>
      </c>
      <c r="AQ139" s="37" t="n">
        <f aca="false">ROUNDUP(AP139,0)</f>
        <v>57</v>
      </c>
      <c r="AR139" s="16" t="n">
        <v>26</v>
      </c>
      <c r="AS139" s="16" t="n">
        <f aca="false">AR139+AP139</f>
        <v>82.7</v>
      </c>
      <c r="AT139" s="16" t="n">
        <f aca="false">AR139+AQ139</f>
        <v>83</v>
      </c>
      <c r="AU139" s="16" t="n">
        <f aca="false">AO139+AF139+AI139+AH139+AG139</f>
        <v>409</v>
      </c>
      <c r="AV139" s="16" t="n">
        <f aca="false">(AO139+AF139+AI139+AH139+AG139)/5</f>
        <v>81.8</v>
      </c>
      <c r="AW139" s="36" t="n">
        <f aca="false">(AO139+AF139+AI139+AH139+AG139+X139+R139+Q139+K139+J139)</f>
        <v>779</v>
      </c>
      <c r="AX139" s="16" t="n">
        <f aca="false">AW139/10</f>
        <v>77.9</v>
      </c>
      <c r="AY139" s="16" t="n">
        <f aca="false">AS139+AF139+AM139+AH139+AG139+AB139+V139+Q139+O139+J139</f>
        <v>775.8</v>
      </c>
      <c r="AZ139" s="16" t="n">
        <f aca="false">AT139+AF139+AN139+AH139+AG139+AC139+W139+Q139+P139+J139</f>
        <v>779</v>
      </c>
      <c r="BA139" s="16" t="n">
        <f aca="false">AY139/10</f>
        <v>77.58</v>
      </c>
      <c r="BB139" s="16" t="n">
        <f aca="false">AZ139/10</f>
        <v>77.9</v>
      </c>
      <c r="BC139" s="72" t="n">
        <v>0</v>
      </c>
      <c r="BD139" s="16" t="n">
        <f aca="false">RANK(AX139,$AX$2:$AX$881,0)</f>
        <v>414</v>
      </c>
      <c r="BE139" s="78" t="n">
        <f aca="false">AX139</f>
        <v>77.9</v>
      </c>
      <c r="BF139" s="16" t="n">
        <f aca="false">RANK(BE139,$BE$2:$BE$881,0)</f>
        <v>745</v>
      </c>
      <c r="BG139" s="39" t="n">
        <f aca="false">RANK(BB139,$BB$2:$BB$881,0)</f>
        <v>569</v>
      </c>
      <c r="BH139" s="39" t="n">
        <f aca="false">RANK(BC139,$BC$2:$BC$881,0)</f>
        <v>780</v>
      </c>
      <c r="BI139" s="22" t="s">
        <v>130</v>
      </c>
      <c r="BJ139" s="22" t="s">
        <v>129</v>
      </c>
      <c r="BK139" s="22" t="s">
        <v>526</v>
      </c>
      <c r="BL139" s="41" t="n">
        <v>23</v>
      </c>
      <c r="BM139" s="41" t="n">
        <v>60</v>
      </c>
      <c r="BN139" s="41" t="n">
        <v>83</v>
      </c>
      <c r="BO139" s="42" t="n">
        <v>27</v>
      </c>
      <c r="BP139" s="43" t="n">
        <v>68</v>
      </c>
      <c r="BQ139" s="44" t="n">
        <v>95</v>
      </c>
      <c r="BR139" s="42" t="n">
        <v>26</v>
      </c>
      <c r="BS139" s="45" t="n">
        <v>64</v>
      </c>
      <c r="BT139" s="45" t="n">
        <v>90</v>
      </c>
      <c r="BU139" s="46" t="n">
        <v>100</v>
      </c>
      <c r="BV139" s="47" t="n">
        <v>74</v>
      </c>
      <c r="BW139" s="42" t="n">
        <v>99</v>
      </c>
      <c r="BX139" s="48" t="n">
        <v>88</v>
      </c>
      <c r="BY139" s="32" t="n">
        <v>26</v>
      </c>
      <c r="BZ139" s="32" t="n">
        <v>66</v>
      </c>
      <c r="CA139" s="32" t="n">
        <v>92</v>
      </c>
      <c r="CB139" s="32" t="n">
        <v>22</v>
      </c>
      <c r="CC139" s="32" t="n">
        <v>48</v>
      </c>
      <c r="CD139" s="32" t="n">
        <v>70</v>
      </c>
      <c r="CE139" s="32" t="n">
        <v>29</v>
      </c>
      <c r="CF139" s="32" t="n">
        <v>66</v>
      </c>
      <c r="CG139" s="32" t="n">
        <v>95</v>
      </c>
      <c r="CH139" s="32" t="n">
        <v>95</v>
      </c>
      <c r="CI139" s="32" t="n">
        <v>99</v>
      </c>
      <c r="CJ139" s="49" t="n">
        <v>27</v>
      </c>
      <c r="CK139" s="49" t="n">
        <v>54</v>
      </c>
      <c r="CL139" s="49" t="n">
        <v>81</v>
      </c>
      <c r="CM139" s="49" t="n">
        <v>25</v>
      </c>
      <c r="CN139" s="49" t="n">
        <v>56</v>
      </c>
      <c r="CO139" s="49" t="n">
        <v>81</v>
      </c>
      <c r="CP139" s="25" t="n">
        <f aca="false">BX139+BW139+BV139+BU139+BT139+BQ139+BN139</f>
        <v>629</v>
      </c>
      <c r="CQ139" s="25" t="n">
        <f aca="false">CO139+CL139+CI139+CH139+CG139+CD139+CA139</f>
        <v>613</v>
      </c>
      <c r="CR139" s="26" t="n">
        <f aca="false">CP139/7</f>
        <v>89.8571428571429</v>
      </c>
      <c r="CS139" s="26" t="n">
        <f aca="false">CQ139/7</f>
        <v>87.5714285714286</v>
      </c>
      <c r="CT139" s="24" t="n">
        <f aca="false">RANK(CR139,$CR$2:$CR$881,0)</f>
        <v>193</v>
      </c>
      <c r="CU139" s="25" t="n">
        <f aca="false">RANK(CS139,$CS$2:$CS$881,0)</f>
        <v>48</v>
      </c>
      <c r="CV139" s="26" t="n">
        <f aca="false">(CS139+CR139)/2</f>
        <v>88.7142857142857</v>
      </c>
      <c r="CW139" s="25" t="n">
        <f aca="false">RANK(CV139,$CV$2:$CV$881,0)</f>
        <v>78</v>
      </c>
      <c r="CX139" s="50" t="n">
        <f aca="false">(CV139+BB139)/2</f>
        <v>83.3071428571429</v>
      </c>
      <c r="CY139" s="50" t="n">
        <v>203</v>
      </c>
      <c r="CZ139" s="27" t="s">
        <v>132</v>
      </c>
      <c r="DA139" s="27" t="s">
        <v>133</v>
      </c>
      <c r="DB139" s="27" t="s">
        <v>133</v>
      </c>
      <c r="DC139" s="27" t="s">
        <v>134</v>
      </c>
      <c r="DD139" s="27" t="s">
        <v>182</v>
      </c>
      <c r="DE139" s="27" t="s">
        <v>177</v>
      </c>
      <c r="DF139" s="27" t="s">
        <v>209</v>
      </c>
      <c r="DG139" s="27" t="s">
        <v>134</v>
      </c>
      <c r="DH139" s="27" t="s">
        <v>182</v>
      </c>
      <c r="DI139" s="27" t="s">
        <v>163</v>
      </c>
      <c r="DJ139" s="27" t="s">
        <v>162</v>
      </c>
      <c r="DK139" s="27" t="s">
        <v>134</v>
      </c>
      <c r="DL139" s="27" t="s">
        <v>164</v>
      </c>
      <c r="DM139" s="27" t="s">
        <v>136</v>
      </c>
      <c r="DN139" s="27" t="s">
        <v>153</v>
      </c>
      <c r="DO139" s="27" t="s">
        <v>134</v>
      </c>
      <c r="DP139" s="27" t="s">
        <v>195</v>
      </c>
      <c r="DQ139" s="27" t="s">
        <v>161</v>
      </c>
      <c r="DR139" s="27" t="s">
        <v>205</v>
      </c>
      <c r="DS139" s="27" t="s">
        <v>134</v>
      </c>
      <c r="DT139" s="27" t="s">
        <v>164</v>
      </c>
      <c r="DU139" s="27" t="s">
        <v>163</v>
      </c>
      <c r="DV139" s="27" t="s">
        <v>176</v>
      </c>
      <c r="DW139" s="27" t="s">
        <v>160</v>
      </c>
      <c r="DX139" s="27" t="s">
        <v>155</v>
      </c>
      <c r="DY139" s="27" t="s">
        <v>145</v>
      </c>
      <c r="DZ139" s="27" t="n">
        <f aca="false">DY139+DV139+DR139+DN139+DJ139+DF139+DB139</f>
        <v>623</v>
      </c>
      <c r="EA139" s="28" t="n">
        <f aca="false">DZ139/7</f>
        <v>89</v>
      </c>
      <c r="EB139" s="27" t="n">
        <f aca="false">RANK(EA139,$EA$2:$EA$881,0)</f>
        <v>81</v>
      </c>
      <c r="EC139" s="29" t="n">
        <f aca="false">DZ139+CQ139+CP139+AZ139</f>
        <v>2644</v>
      </c>
      <c r="ED139" s="30" t="n">
        <f aca="false">(EA139+CV139+BB139)/3</f>
        <v>85.2047619047619</v>
      </c>
      <c r="EE139" s="51" t="n">
        <f aca="false">ROUND(BE139,3)</f>
        <v>77.9</v>
      </c>
      <c r="EF139" s="51" t="n">
        <f aca="false">ROUND(CR139,3)</f>
        <v>89.857</v>
      </c>
      <c r="EG139" s="51" t="n">
        <f aca="false">ROUND(CS139,3)</f>
        <v>87.571</v>
      </c>
      <c r="EH139" s="51" t="n">
        <f aca="false">ROUND(EA139,3)</f>
        <v>89</v>
      </c>
      <c r="EI139" s="51" t="n">
        <f aca="false">ROUND(ED139,3)</f>
        <v>85.205</v>
      </c>
      <c r="EJ139" s="51" t="n">
        <f aca="false">ROUND(CV139,3)</f>
        <v>88.714</v>
      </c>
      <c r="EK139" s="0" t="n">
        <f aca="false">RANK(EI139,$EI$2:$EI$881,0)</f>
        <v>138</v>
      </c>
    </row>
    <row r="140" customFormat="false" ht="15" hidden="false" customHeight="false" outlineLevel="0" collapsed="false">
      <c r="A140" s="4" t="n">
        <v>9124</v>
      </c>
      <c r="B140" s="4" t="n">
        <v>869</v>
      </c>
      <c r="C140" s="27" t="s">
        <v>602</v>
      </c>
      <c r="D140" s="31" t="n">
        <v>889</v>
      </c>
      <c r="E140" s="32" t="n">
        <v>230312772</v>
      </c>
      <c r="F140" s="8" t="s">
        <v>603</v>
      </c>
      <c r="G140" s="22" t="s">
        <v>345</v>
      </c>
      <c r="H140" s="22" t="s">
        <v>129</v>
      </c>
      <c r="I140" s="33" t="n">
        <v>2005</v>
      </c>
      <c r="J140" s="32" t="n">
        <v>90</v>
      </c>
      <c r="K140" s="32" t="n">
        <v>85</v>
      </c>
      <c r="L140" s="34" t="n">
        <f aca="false">(K140*70)/100</f>
        <v>59.5</v>
      </c>
      <c r="M140" s="34" t="n">
        <f aca="false">ROUNDUP(L140,0)</f>
        <v>60</v>
      </c>
      <c r="N140" s="32" t="n">
        <v>26</v>
      </c>
      <c r="O140" s="34" t="n">
        <f aca="false">N140+L140</f>
        <v>85.5</v>
      </c>
      <c r="P140" s="34" t="n">
        <f aca="false">N140+M140</f>
        <v>86</v>
      </c>
      <c r="Q140" s="32" t="n">
        <v>74</v>
      </c>
      <c r="R140" s="32" t="n">
        <v>80</v>
      </c>
      <c r="S140" s="34" t="n">
        <f aca="false">(R140*70)/100</f>
        <v>56</v>
      </c>
      <c r="T140" s="34" t="n">
        <f aca="false">ROUNDUP(S140,0)</f>
        <v>56</v>
      </c>
      <c r="U140" s="32" t="n">
        <v>19</v>
      </c>
      <c r="V140" s="34" t="n">
        <f aca="false">U140+S140</f>
        <v>75</v>
      </c>
      <c r="W140" s="34" t="n">
        <f aca="false">U140+T140</f>
        <v>75</v>
      </c>
      <c r="X140" s="32" t="n">
        <v>74</v>
      </c>
      <c r="Y140" s="34" t="n">
        <f aca="false">(X140*70)/100</f>
        <v>51.8</v>
      </c>
      <c r="Z140" s="34" t="n">
        <f aca="false">ROUNDUP(Y140,0)</f>
        <v>52</v>
      </c>
      <c r="AA140" s="32" t="n">
        <v>26</v>
      </c>
      <c r="AB140" s="34" t="n">
        <f aca="false">AA140+Y140</f>
        <v>77.8</v>
      </c>
      <c r="AC140" s="34" t="n">
        <f aca="false">AA140+Z140</f>
        <v>78</v>
      </c>
      <c r="AD140" s="32" t="n">
        <f aca="false">X140+R140+Q140+K140+J140</f>
        <v>403</v>
      </c>
      <c r="AE140" s="16" t="n">
        <f aca="false">AD140/5</f>
        <v>80.6</v>
      </c>
      <c r="AF140" s="16" t="n">
        <v>80</v>
      </c>
      <c r="AG140" s="16" t="n">
        <v>89</v>
      </c>
      <c r="AH140" s="16" t="n">
        <v>87</v>
      </c>
      <c r="AI140" s="16" t="n">
        <v>91</v>
      </c>
      <c r="AJ140" s="16" t="n">
        <f aca="false">(AI140*70)/100</f>
        <v>63.7</v>
      </c>
      <c r="AK140" s="35" t="n">
        <f aca="false">ROUNDUP(AJ140,0)</f>
        <v>64</v>
      </c>
      <c r="AL140" s="16" t="n">
        <v>26</v>
      </c>
      <c r="AM140" s="16" t="n">
        <f aca="false">AL140+AJ140</f>
        <v>89.7</v>
      </c>
      <c r="AN140" s="16" t="n">
        <f aca="false">AL140+AK140</f>
        <v>90</v>
      </c>
      <c r="AO140" s="16" t="n">
        <v>87</v>
      </c>
      <c r="AP140" s="36" t="n">
        <f aca="false">(AO140*70)/100</f>
        <v>60.9</v>
      </c>
      <c r="AQ140" s="37" t="n">
        <f aca="false">ROUNDUP(AP140,0)</f>
        <v>61</v>
      </c>
      <c r="AR140" s="16" t="n">
        <v>28</v>
      </c>
      <c r="AS140" s="16" t="n">
        <f aca="false">AR140+AP140</f>
        <v>88.9</v>
      </c>
      <c r="AT140" s="16" t="n">
        <f aca="false">AR140+AQ140</f>
        <v>89</v>
      </c>
      <c r="AU140" s="16" t="n">
        <f aca="false">AO140+AF140+AI140+AH140+AG140</f>
        <v>434</v>
      </c>
      <c r="AV140" s="16" t="n">
        <f aca="false">(AO140+AF140+AI140+AH140+AG140)/5</f>
        <v>86.8</v>
      </c>
      <c r="AW140" s="36" t="n">
        <f aca="false">(AO140+AF140+AI140+AH140+AG140+X140+R140+Q140+K140+J140)</f>
        <v>837</v>
      </c>
      <c r="AX140" s="16" t="n">
        <f aca="false">AW140/10</f>
        <v>83.7</v>
      </c>
      <c r="AY140" s="16" t="n">
        <f aca="false">AS140+AF140+AM140+AH140+AG140+AB140+V140+Q140+O140+J140</f>
        <v>836.9</v>
      </c>
      <c r="AZ140" s="16" t="n">
        <f aca="false">AT140+AF140+AN140+AH140+AG140+AC140+W140+Q140+P140+J140</f>
        <v>838</v>
      </c>
      <c r="BA140" s="16" t="n">
        <f aca="false">AY140/10</f>
        <v>83.69</v>
      </c>
      <c r="BB140" s="16" t="n">
        <f aca="false">AZ140/10</f>
        <v>83.8</v>
      </c>
      <c r="BC140" s="16" t="n">
        <v>2364</v>
      </c>
      <c r="BD140" s="16" t="n">
        <f aca="false">RANK(AX140,$AX$2:$AX$881,0)</f>
        <v>115</v>
      </c>
      <c r="BE140" s="54" t="n">
        <f aca="false">((BC140*100)/2400)*0.4+(AX140*0.6)</f>
        <v>89.62</v>
      </c>
      <c r="BF140" s="16" t="n">
        <f aca="false">RANK(BE140,$BE$2:$BE$881,0)</f>
        <v>118</v>
      </c>
      <c r="BG140" s="39" t="n">
        <f aca="false">RANK(BB140,$BB$2:$BB$881,0)</f>
        <v>128</v>
      </c>
      <c r="BH140" s="39" t="n">
        <f aca="false">RANK(BC140,$BC$2:$BC$881,0)</f>
        <v>347</v>
      </c>
      <c r="BI140" s="22" t="s">
        <v>130</v>
      </c>
      <c r="BJ140" s="22" t="s">
        <v>129</v>
      </c>
      <c r="BK140" s="40" t="s">
        <v>131</v>
      </c>
      <c r="BL140" s="41" t="n">
        <v>17</v>
      </c>
      <c r="BM140" s="41" t="n">
        <v>59</v>
      </c>
      <c r="BN140" s="41" t="n">
        <v>76</v>
      </c>
      <c r="BO140" s="42" t="n">
        <v>26</v>
      </c>
      <c r="BP140" s="43" t="n">
        <v>66</v>
      </c>
      <c r="BQ140" s="44" t="n">
        <v>92</v>
      </c>
      <c r="BR140" s="42" t="n">
        <v>23</v>
      </c>
      <c r="BS140" s="45" t="n">
        <v>60</v>
      </c>
      <c r="BT140" s="45" t="n">
        <v>83</v>
      </c>
      <c r="BU140" s="46" t="n">
        <v>99</v>
      </c>
      <c r="BV140" s="47" t="n">
        <v>80</v>
      </c>
      <c r="BW140" s="42" t="n">
        <v>100</v>
      </c>
      <c r="BX140" s="48" t="n">
        <v>96</v>
      </c>
      <c r="BY140" s="32" t="n">
        <v>23</v>
      </c>
      <c r="BZ140" s="32" t="n">
        <v>57</v>
      </c>
      <c r="CA140" s="32" t="n">
        <v>80</v>
      </c>
      <c r="CB140" s="32" t="n">
        <v>25</v>
      </c>
      <c r="CC140" s="32" t="n">
        <v>33</v>
      </c>
      <c r="CD140" s="69" t="n">
        <v>58</v>
      </c>
      <c r="CE140" s="32" t="n">
        <v>22</v>
      </c>
      <c r="CF140" s="32" t="n">
        <v>59</v>
      </c>
      <c r="CG140" s="32" t="n">
        <v>81</v>
      </c>
      <c r="CH140" s="32" t="n">
        <v>96</v>
      </c>
      <c r="CI140" s="25" t="n">
        <v>98</v>
      </c>
      <c r="CJ140" s="25" t="n">
        <v>23</v>
      </c>
      <c r="CK140" s="25" t="n">
        <v>49</v>
      </c>
      <c r="CL140" s="25" t="n">
        <v>72</v>
      </c>
      <c r="CM140" s="49" t="n">
        <v>23</v>
      </c>
      <c r="CN140" s="49" t="n">
        <v>55</v>
      </c>
      <c r="CO140" s="49" t="n">
        <v>78</v>
      </c>
      <c r="CP140" s="25" t="n">
        <f aca="false">BX140+BW140+BV140+BU140+BT140+BQ140+BN140</f>
        <v>626</v>
      </c>
      <c r="CQ140" s="25" t="n">
        <f aca="false">CO140+CL140+CI140+CH140+CG140+CD140+CA140</f>
        <v>563</v>
      </c>
      <c r="CR140" s="26" t="n">
        <f aca="false">CP140/7</f>
        <v>89.4285714285714</v>
      </c>
      <c r="CS140" s="26" t="n">
        <f aca="false">CQ140/7</f>
        <v>80.4285714285714</v>
      </c>
      <c r="CT140" s="24" t="n">
        <f aca="false">RANK(CR140,$CR$2:$CR$881,0)</f>
        <v>217</v>
      </c>
      <c r="CU140" s="25" t="n">
        <f aca="false">RANK(CS140,$CS$2:$CS$881,0)</f>
        <v>245</v>
      </c>
      <c r="CV140" s="26" t="n">
        <f aca="false">(CS140+CR140)/2</f>
        <v>84.9285714285714</v>
      </c>
      <c r="CW140" s="25" t="n">
        <f aca="false">RANK(CV140,$CV$2:$CV$881,0)</f>
        <v>216</v>
      </c>
      <c r="CX140" s="50" t="n">
        <f aca="false">(CV140+BB140)/2</f>
        <v>84.3642857142857</v>
      </c>
      <c r="CY140" s="50" t="n">
        <v>151</v>
      </c>
      <c r="CZ140" s="27" t="s">
        <v>132</v>
      </c>
      <c r="DA140" s="27" t="s">
        <v>153</v>
      </c>
      <c r="DB140" s="27" t="s">
        <v>153</v>
      </c>
      <c r="DC140" s="27" t="s">
        <v>134</v>
      </c>
      <c r="DD140" s="27" t="s">
        <v>154</v>
      </c>
      <c r="DE140" s="27" t="s">
        <v>203</v>
      </c>
      <c r="DF140" s="27" t="s">
        <v>175</v>
      </c>
      <c r="DG140" s="27" t="s">
        <v>134</v>
      </c>
      <c r="DH140" s="27" t="s">
        <v>182</v>
      </c>
      <c r="DI140" s="27" t="s">
        <v>177</v>
      </c>
      <c r="DJ140" s="27" t="s">
        <v>209</v>
      </c>
      <c r="DK140" s="27" t="s">
        <v>134</v>
      </c>
      <c r="DL140" s="27" t="s">
        <v>164</v>
      </c>
      <c r="DM140" s="27" t="s">
        <v>177</v>
      </c>
      <c r="DN140" s="27" t="s">
        <v>178</v>
      </c>
      <c r="DO140" s="27" t="s">
        <v>134</v>
      </c>
      <c r="DP140" s="27" t="s">
        <v>604</v>
      </c>
      <c r="DQ140" s="27" t="s">
        <v>220</v>
      </c>
      <c r="DR140" s="27" t="s">
        <v>398</v>
      </c>
      <c r="DS140" s="27" t="s">
        <v>134</v>
      </c>
      <c r="DT140" s="27" t="s">
        <v>160</v>
      </c>
      <c r="DU140" s="27" t="s">
        <v>163</v>
      </c>
      <c r="DV140" s="27" t="s">
        <v>151</v>
      </c>
      <c r="DW140" s="27" t="s">
        <v>164</v>
      </c>
      <c r="DX140" s="27" t="s">
        <v>155</v>
      </c>
      <c r="DY140" s="27" t="s">
        <v>144</v>
      </c>
      <c r="DZ140" s="27" t="n">
        <f aca="false">DY140+DV140+DR140+DN140+DJ140+DF140+DB140</f>
        <v>608</v>
      </c>
      <c r="EA140" s="28" t="n">
        <f aca="false">DZ140/7</f>
        <v>86.8571428571429</v>
      </c>
      <c r="EB140" s="27" t="n">
        <f aca="false">RANK(EA140,$EA$2:$EA$881,0)</f>
        <v>131</v>
      </c>
      <c r="EC140" s="29" t="n">
        <f aca="false">DZ140+CQ140+CP140+AZ140</f>
        <v>2635</v>
      </c>
      <c r="ED140" s="30" t="n">
        <f aca="false">(EA140+CV140+BB140)/3</f>
        <v>85.1952380952381</v>
      </c>
      <c r="EE140" s="51" t="n">
        <f aca="false">ROUND(BE140,3)</f>
        <v>89.62</v>
      </c>
      <c r="EF140" s="51" t="n">
        <f aca="false">ROUND(CR140,3)</f>
        <v>89.429</v>
      </c>
      <c r="EG140" s="51" t="n">
        <f aca="false">ROUND(CS140,3)</f>
        <v>80.429</v>
      </c>
      <c r="EH140" s="51" t="n">
        <f aca="false">ROUND(EA140,3)</f>
        <v>86.857</v>
      </c>
      <c r="EI140" s="51" t="n">
        <f aca="false">ROUND(ED140,3)</f>
        <v>85.195</v>
      </c>
      <c r="EJ140" s="51" t="n">
        <f aca="false">ROUND(CV140,3)</f>
        <v>84.929</v>
      </c>
      <c r="EK140" s="0" t="n">
        <f aca="false">RANK(EI140,$EI$2:$EI$881,0)</f>
        <v>139</v>
      </c>
    </row>
    <row r="141" customFormat="false" ht="15" hidden="false" customHeight="false" outlineLevel="0" collapsed="false">
      <c r="A141" s="4" t="n">
        <v>8826</v>
      </c>
      <c r="B141" s="4" t="n">
        <v>699</v>
      </c>
      <c r="C141" s="27" t="s">
        <v>605</v>
      </c>
      <c r="D141" s="31" t="n">
        <v>713</v>
      </c>
      <c r="E141" s="32" t="n">
        <v>230311192</v>
      </c>
      <c r="F141" s="55" t="s">
        <v>606</v>
      </c>
      <c r="G141" s="63" t="s">
        <v>607</v>
      </c>
      <c r="H141" s="22" t="s">
        <v>129</v>
      </c>
      <c r="I141" s="64" t="n">
        <v>2005</v>
      </c>
      <c r="J141" s="32" t="n">
        <v>78</v>
      </c>
      <c r="K141" s="32" t="n">
        <v>80</v>
      </c>
      <c r="L141" s="34" t="n">
        <f aca="false">(K141*70)/100</f>
        <v>56</v>
      </c>
      <c r="M141" s="34" t="n">
        <f aca="false">ROUNDUP(L141,0)</f>
        <v>56</v>
      </c>
      <c r="N141" s="32" t="n">
        <v>23</v>
      </c>
      <c r="O141" s="34" t="n">
        <f aca="false">N141+L141</f>
        <v>79</v>
      </c>
      <c r="P141" s="34" t="n">
        <f aca="false">N141+M141</f>
        <v>79</v>
      </c>
      <c r="Q141" s="32" t="n">
        <v>83</v>
      </c>
      <c r="R141" s="32" t="n">
        <v>79</v>
      </c>
      <c r="S141" s="34" t="n">
        <f aca="false">(R141*70)/100</f>
        <v>55.3</v>
      </c>
      <c r="T141" s="34" t="n">
        <f aca="false">ROUNDUP(S141,0)</f>
        <v>56</v>
      </c>
      <c r="U141" s="32" t="n">
        <v>24</v>
      </c>
      <c r="V141" s="34" t="n">
        <f aca="false">U141+S141</f>
        <v>79.3</v>
      </c>
      <c r="W141" s="34" t="n">
        <f aca="false">U141+T141</f>
        <v>80</v>
      </c>
      <c r="X141" s="32" t="n">
        <v>72</v>
      </c>
      <c r="Y141" s="34" t="n">
        <f aca="false">(X141*70)/100</f>
        <v>50.4</v>
      </c>
      <c r="Z141" s="34" t="n">
        <f aca="false">ROUNDUP(Y141,0)</f>
        <v>51</v>
      </c>
      <c r="AA141" s="32" t="n">
        <v>23</v>
      </c>
      <c r="AB141" s="34" t="n">
        <f aca="false">AA141+Y141</f>
        <v>73.4</v>
      </c>
      <c r="AC141" s="34" t="n">
        <f aca="false">AA141+Z141</f>
        <v>74</v>
      </c>
      <c r="AD141" s="32" t="n">
        <f aca="false">X141+R141+Q141+K141+J141</f>
        <v>392</v>
      </c>
      <c r="AE141" s="16" t="n">
        <f aca="false">AD141/5</f>
        <v>78.4</v>
      </c>
      <c r="AF141" s="16" t="n">
        <v>84</v>
      </c>
      <c r="AG141" s="16" t="n">
        <v>80</v>
      </c>
      <c r="AH141" s="16" t="n">
        <v>93</v>
      </c>
      <c r="AI141" s="16" t="n">
        <v>90</v>
      </c>
      <c r="AJ141" s="16" t="n">
        <f aca="false">(AI141*70)/100</f>
        <v>63</v>
      </c>
      <c r="AK141" s="35" t="n">
        <f aca="false">ROUNDUP(AJ141,0)</f>
        <v>63</v>
      </c>
      <c r="AL141" s="16" t="n">
        <v>25</v>
      </c>
      <c r="AM141" s="16" t="n">
        <f aca="false">AL141+AJ141</f>
        <v>88</v>
      </c>
      <c r="AN141" s="16" t="n">
        <f aca="false">AL141+AK141</f>
        <v>88</v>
      </c>
      <c r="AO141" s="16" t="n">
        <v>83</v>
      </c>
      <c r="AP141" s="36" t="n">
        <f aca="false">(AO141*70)/100</f>
        <v>58.1</v>
      </c>
      <c r="AQ141" s="37" t="n">
        <f aca="false">ROUNDUP(AP141,0)</f>
        <v>59</v>
      </c>
      <c r="AR141" s="16" t="n">
        <v>27</v>
      </c>
      <c r="AS141" s="16" t="n">
        <f aca="false">AR141+AP141</f>
        <v>85.1</v>
      </c>
      <c r="AT141" s="16" t="n">
        <f aca="false">AR141+AQ141</f>
        <v>86</v>
      </c>
      <c r="AU141" s="16" t="n">
        <f aca="false">AO141+AF141+AI141+AH141+AG141</f>
        <v>430</v>
      </c>
      <c r="AV141" s="16" t="n">
        <f aca="false">(AO141+AF141+AI141+AH141+AG141)/5</f>
        <v>86</v>
      </c>
      <c r="AW141" s="36" t="n">
        <f aca="false">(AO141+AF141+AI141+AH141+AG141+X141+R141+Q141+K141+J141)</f>
        <v>822</v>
      </c>
      <c r="AX141" s="16" t="n">
        <f aca="false">AW141/10</f>
        <v>82.2</v>
      </c>
      <c r="AY141" s="16" t="n">
        <f aca="false">AS141+AF141+AM141+AH141+AG141+AB141+V141+Q141+O141+J141</f>
        <v>822.8</v>
      </c>
      <c r="AZ141" s="16" t="n">
        <f aca="false">AT141+AF141+AN141+AH141+AG141+AC141+W141+Q141+P141+J141</f>
        <v>825</v>
      </c>
      <c r="BA141" s="16" t="n">
        <f aca="false">AY141/10</f>
        <v>82.28</v>
      </c>
      <c r="BB141" s="16" t="n">
        <f aca="false">AZ141/10</f>
        <v>82.5</v>
      </c>
      <c r="BC141" s="16" t="n">
        <v>2332</v>
      </c>
      <c r="BD141" s="16" t="n">
        <f aca="false">RANK(AX141,$AX$2:$AX$881,0)</f>
        <v>156</v>
      </c>
      <c r="BE141" s="54" t="n">
        <f aca="false">((BC141*100)/2400)*0.4+(AX141*0.6)</f>
        <v>88.1866666666667</v>
      </c>
      <c r="BF141" s="16" t="n">
        <f aca="false">RANK(BE141,$BE$2:$BE$881,0)</f>
        <v>190</v>
      </c>
      <c r="BG141" s="39" t="n">
        <f aca="false">RANK(BB141,$BB$2:$BB$881,0)</f>
        <v>185</v>
      </c>
      <c r="BH141" s="39" t="n">
        <f aca="false">RANK(BC141,$BC$2:$BC$881,0)</f>
        <v>709</v>
      </c>
      <c r="BI141" s="22" t="s">
        <v>130</v>
      </c>
      <c r="BJ141" s="22" t="s">
        <v>129</v>
      </c>
      <c r="BK141" s="40" t="s">
        <v>131</v>
      </c>
      <c r="BL141" s="41" t="n">
        <v>19</v>
      </c>
      <c r="BM141" s="41" t="n">
        <v>52</v>
      </c>
      <c r="BN141" s="41" t="n">
        <v>71</v>
      </c>
      <c r="BO141" s="42" t="n">
        <v>27</v>
      </c>
      <c r="BP141" s="43" t="n">
        <v>65</v>
      </c>
      <c r="BQ141" s="44" t="n">
        <v>92</v>
      </c>
      <c r="BR141" s="42" t="n">
        <v>23</v>
      </c>
      <c r="BS141" s="45" t="n">
        <v>58</v>
      </c>
      <c r="BT141" s="45" t="n">
        <v>81</v>
      </c>
      <c r="BU141" s="46" t="n">
        <v>100</v>
      </c>
      <c r="BV141" s="47" t="n">
        <v>76</v>
      </c>
      <c r="BW141" s="42" t="n">
        <v>98</v>
      </c>
      <c r="BX141" s="48" t="n">
        <v>94</v>
      </c>
      <c r="BY141" s="32" t="n">
        <v>27</v>
      </c>
      <c r="BZ141" s="32" t="n">
        <v>64</v>
      </c>
      <c r="CA141" s="32" t="n">
        <v>91</v>
      </c>
      <c r="CB141" s="32" t="n">
        <v>23</v>
      </c>
      <c r="CC141" s="32" t="n">
        <v>48</v>
      </c>
      <c r="CD141" s="32" t="n">
        <v>71</v>
      </c>
      <c r="CE141" s="32" t="n">
        <v>24</v>
      </c>
      <c r="CF141" s="32" t="n">
        <v>65</v>
      </c>
      <c r="CG141" s="32" t="n">
        <v>89</v>
      </c>
      <c r="CH141" s="32" t="n">
        <v>99</v>
      </c>
      <c r="CI141" s="32" t="n">
        <v>96</v>
      </c>
      <c r="CJ141" s="49" t="n">
        <v>22</v>
      </c>
      <c r="CK141" s="49" t="n">
        <v>47</v>
      </c>
      <c r="CL141" s="49" t="n">
        <v>69</v>
      </c>
      <c r="CM141" s="49" t="n">
        <v>23</v>
      </c>
      <c r="CN141" s="49" t="n">
        <v>57</v>
      </c>
      <c r="CO141" s="49" t="n">
        <v>80</v>
      </c>
      <c r="CP141" s="25" t="n">
        <f aca="false">BX141+BW141+BV141+BU141+BT141+BQ141+BN141</f>
        <v>612</v>
      </c>
      <c r="CQ141" s="25" t="n">
        <f aca="false">CO141+CL141+CI141+CH141+CG141+CD141+CA141</f>
        <v>595</v>
      </c>
      <c r="CR141" s="26" t="n">
        <f aca="false">CP141/7</f>
        <v>87.4285714285714</v>
      </c>
      <c r="CS141" s="26" t="n">
        <f aca="false">CQ141/7</f>
        <v>85</v>
      </c>
      <c r="CT141" s="24" t="n">
        <f aca="false">RANK(CR141,$CR$2:$CR$881,0)</f>
        <v>340</v>
      </c>
      <c r="CU141" s="25" t="n">
        <f aca="false">RANK(CS141,$CS$2:$CS$881,0)</f>
        <v>101</v>
      </c>
      <c r="CV141" s="26" t="n">
        <f aca="false">(CS141+CR141)/2</f>
        <v>86.2142857142857</v>
      </c>
      <c r="CW141" s="25" t="n">
        <f aca="false">RANK(CV141,$CV$2:$CV$881,0)</f>
        <v>168</v>
      </c>
      <c r="CX141" s="50" t="n">
        <f aca="false">(CV141+BB141)/2</f>
        <v>84.3571428571429</v>
      </c>
      <c r="CY141" s="50" t="n">
        <v>152</v>
      </c>
      <c r="CZ141" s="27" t="s">
        <v>132</v>
      </c>
      <c r="DA141" s="27" t="s">
        <v>153</v>
      </c>
      <c r="DB141" s="27" t="s">
        <v>153</v>
      </c>
      <c r="DC141" s="27" t="s">
        <v>134</v>
      </c>
      <c r="DD141" s="27" t="s">
        <v>182</v>
      </c>
      <c r="DE141" s="27" t="s">
        <v>136</v>
      </c>
      <c r="DF141" s="27" t="s">
        <v>178</v>
      </c>
      <c r="DG141" s="27" t="s">
        <v>134</v>
      </c>
      <c r="DH141" s="27" t="s">
        <v>386</v>
      </c>
      <c r="DI141" s="27" t="s">
        <v>187</v>
      </c>
      <c r="DJ141" s="27" t="s">
        <v>209</v>
      </c>
      <c r="DK141" s="27" t="s">
        <v>134</v>
      </c>
      <c r="DL141" s="27" t="s">
        <v>137</v>
      </c>
      <c r="DM141" s="27" t="s">
        <v>204</v>
      </c>
      <c r="DN141" s="27" t="s">
        <v>175</v>
      </c>
      <c r="DO141" s="27" t="s">
        <v>134</v>
      </c>
      <c r="DP141" s="27" t="s">
        <v>154</v>
      </c>
      <c r="DQ141" s="27" t="s">
        <v>177</v>
      </c>
      <c r="DR141" s="27" t="s">
        <v>169</v>
      </c>
      <c r="DS141" s="27" t="s">
        <v>134</v>
      </c>
      <c r="DT141" s="27" t="s">
        <v>160</v>
      </c>
      <c r="DU141" s="27" t="s">
        <v>177</v>
      </c>
      <c r="DV141" s="27" t="s">
        <v>133</v>
      </c>
      <c r="DW141" s="27" t="s">
        <v>195</v>
      </c>
      <c r="DX141" s="27" t="s">
        <v>155</v>
      </c>
      <c r="DY141" s="27" t="s">
        <v>170</v>
      </c>
      <c r="DZ141" s="27" t="n">
        <f aca="false">DY141+DV141+DR141+DN141+DJ141+DF141+DB141</f>
        <v>608</v>
      </c>
      <c r="EA141" s="28" t="n">
        <f aca="false">DZ141/7</f>
        <v>86.8571428571429</v>
      </c>
      <c r="EB141" s="27" t="n">
        <f aca="false">RANK(EA141,$EA$2:$EA$881,0)</f>
        <v>131</v>
      </c>
      <c r="EC141" s="29" t="n">
        <f aca="false">DZ141+CQ141+CP141+AZ141</f>
        <v>2640</v>
      </c>
      <c r="ED141" s="30" t="n">
        <f aca="false">(EA141+CV141+BB141)/3</f>
        <v>85.1904761904762</v>
      </c>
      <c r="EE141" s="51" t="n">
        <f aca="false">ROUND(BE141,3)</f>
        <v>88.187</v>
      </c>
      <c r="EF141" s="51" t="n">
        <f aca="false">ROUND(CR141,3)</f>
        <v>87.429</v>
      </c>
      <c r="EG141" s="51" t="n">
        <f aca="false">ROUND(CS141,3)</f>
        <v>85</v>
      </c>
      <c r="EH141" s="51" t="n">
        <f aca="false">ROUND(EA141,3)</f>
        <v>86.857</v>
      </c>
      <c r="EI141" s="51" t="n">
        <f aca="false">ROUND(ED141,3)</f>
        <v>85.19</v>
      </c>
      <c r="EJ141" s="51" t="n">
        <f aca="false">ROUND(CV141,3)</f>
        <v>86.214</v>
      </c>
      <c r="EK141" s="0" t="n">
        <f aca="false">RANK(EI141,$EI$2:$EI$881,0)</f>
        <v>140</v>
      </c>
    </row>
    <row r="142" customFormat="false" ht="15" hidden="false" customHeight="false" outlineLevel="0" collapsed="false">
      <c r="A142" s="4" t="n">
        <v>8786</v>
      </c>
      <c r="B142" s="4" t="n">
        <v>749</v>
      </c>
      <c r="C142" s="27" t="s">
        <v>608</v>
      </c>
      <c r="D142" s="31" t="n">
        <v>764</v>
      </c>
      <c r="E142" s="62" t="n">
        <v>230319986</v>
      </c>
      <c r="F142" s="8" t="s">
        <v>609</v>
      </c>
      <c r="G142" s="63" t="s">
        <v>610</v>
      </c>
      <c r="H142" s="22" t="s">
        <v>129</v>
      </c>
      <c r="I142" s="64" t="n">
        <v>2006</v>
      </c>
      <c r="J142" s="62" t="n">
        <v>67</v>
      </c>
      <c r="K142" s="62" t="n">
        <v>79</v>
      </c>
      <c r="L142" s="34" t="n">
        <f aca="false">(K142*70)/100</f>
        <v>55.3</v>
      </c>
      <c r="M142" s="34" t="n">
        <f aca="false">ROUNDUP(L142,0)</f>
        <v>56</v>
      </c>
      <c r="N142" s="62" t="n">
        <v>26</v>
      </c>
      <c r="O142" s="34" t="n">
        <f aca="false">N142+L142</f>
        <v>81.3</v>
      </c>
      <c r="P142" s="34" t="n">
        <f aca="false">N142+M142</f>
        <v>82</v>
      </c>
      <c r="Q142" s="62" t="n">
        <v>73</v>
      </c>
      <c r="R142" s="62" t="n">
        <v>77</v>
      </c>
      <c r="S142" s="34" t="n">
        <f aca="false">(R142*70)/100</f>
        <v>53.9</v>
      </c>
      <c r="T142" s="34" t="n">
        <f aca="false">ROUNDUP(S142,0)</f>
        <v>54</v>
      </c>
      <c r="U142" s="62" t="n">
        <v>27</v>
      </c>
      <c r="V142" s="34" t="n">
        <f aca="false">U142+S142</f>
        <v>80.9</v>
      </c>
      <c r="W142" s="34" t="n">
        <f aca="false">U142+T142</f>
        <v>81</v>
      </c>
      <c r="X142" s="62" t="n">
        <v>72</v>
      </c>
      <c r="Y142" s="34" t="n">
        <f aca="false">(X142*70)/100</f>
        <v>50.4</v>
      </c>
      <c r="Z142" s="34" t="n">
        <f aca="false">ROUNDUP(Y142,0)</f>
        <v>51</v>
      </c>
      <c r="AA142" s="62" t="n">
        <v>24</v>
      </c>
      <c r="AB142" s="34" t="n">
        <f aca="false">AA142+Y142</f>
        <v>74.4</v>
      </c>
      <c r="AC142" s="34" t="n">
        <f aca="false">AA142+Z142</f>
        <v>75</v>
      </c>
      <c r="AD142" s="32" t="n">
        <f aca="false">X142+R142+Q142+K142+J142</f>
        <v>368</v>
      </c>
      <c r="AE142" s="16" t="n">
        <f aca="false">AD142/5</f>
        <v>73.6</v>
      </c>
      <c r="AF142" s="65" t="n">
        <v>74</v>
      </c>
      <c r="AG142" s="65" t="n">
        <v>84</v>
      </c>
      <c r="AH142" s="65" t="n">
        <v>97</v>
      </c>
      <c r="AI142" s="65" t="n">
        <v>88</v>
      </c>
      <c r="AJ142" s="16" t="n">
        <f aca="false">(AI142*70)/100</f>
        <v>61.6</v>
      </c>
      <c r="AK142" s="35" t="n">
        <f aca="false">ROUNDUP(AJ142,0)</f>
        <v>62</v>
      </c>
      <c r="AL142" s="65" t="n">
        <v>23</v>
      </c>
      <c r="AM142" s="16" t="n">
        <f aca="false">AL142+AJ142</f>
        <v>84.6</v>
      </c>
      <c r="AN142" s="16" t="n">
        <f aca="false">AL142+AK142</f>
        <v>85</v>
      </c>
      <c r="AO142" s="65" t="n">
        <v>78</v>
      </c>
      <c r="AP142" s="36" t="n">
        <f aca="false">(AO142*70)/100</f>
        <v>54.6</v>
      </c>
      <c r="AQ142" s="37" t="n">
        <f aca="false">ROUNDUP(AP142,0)</f>
        <v>55</v>
      </c>
      <c r="AR142" s="65" t="n">
        <v>25</v>
      </c>
      <c r="AS142" s="16" t="n">
        <f aca="false">AR142+AP142</f>
        <v>79.6</v>
      </c>
      <c r="AT142" s="16" t="n">
        <f aca="false">AR142+AQ142</f>
        <v>80</v>
      </c>
      <c r="AU142" s="16" t="n">
        <f aca="false">AO142+AF142+AI142+AH142+AG142</f>
        <v>421</v>
      </c>
      <c r="AV142" s="16" t="n">
        <f aca="false">(AO142+AF142+AI142+AH142+AG142)/5</f>
        <v>84.2</v>
      </c>
      <c r="AW142" s="36" t="n">
        <f aca="false">(AO142+AF142+AI142+AH142+AG142+X142+R142+Q142+K142+J142)</f>
        <v>789</v>
      </c>
      <c r="AX142" s="16" t="n">
        <f aca="false">AW142/10</f>
        <v>78.9</v>
      </c>
      <c r="AY142" s="16" t="n">
        <f aca="false">AS142+AF142+AM142+AH142+AG142+AB142+V142+Q142+O142+J142</f>
        <v>795.8</v>
      </c>
      <c r="AZ142" s="16" t="n">
        <f aca="false">AT142+AF142+AN142+AH142+AG142+AC142+W142+Q142+P142+J142</f>
        <v>798</v>
      </c>
      <c r="BA142" s="16" t="n">
        <f aca="false">AY142/10</f>
        <v>79.58</v>
      </c>
      <c r="BB142" s="16" t="n">
        <f aca="false">AZ142/10</f>
        <v>79.8</v>
      </c>
      <c r="BC142" s="65" t="n">
        <v>2328</v>
      </c>
      <c r="BD142" s="16" t="n">
        <f aca="false">RANK(AX142,$AX$2:$AX$881,0)</f>
        <v>339</v>
      </c>
      <c r="BE142" s="54" t="n">
        <f aca="false">((BC142*100)/2400)*0.4+(AX142*0.6)</f>
        <v>86.14</v>
      </c>
      <c r="BF142" s="16" t="n">
        <f aca="false">RANK(BE142,$BE$2:$BE$881,0)</f>
        <v>414</v>
      </c>
      <c r="BG142" s="39" t="n">
        <f aca="false">RANK(BB142,$BB$2:$BB$881,0)</f>
        <v>369</v>
      </c>
      <c r="BH142" s="39" t="n">
        <f aca="false">RANK(BC142,$BC$2:$BC$881,0)</f>
        <v>745</v>
      </c>
      <c r="BI142" s="22" t="s">
        <v>130</v>
      </c>
      <c r="BJ142" s="22" t="s">
        <v>129</v>
      </c>
      <c r="BK142" s="40" t="s">
        <v>131</v>
      </c>
      <c r="BL142" s="41" t="n">
        <v>22</v>
      </c>
      <c r="BM142" s="41" t="n">
        <v>55</v>
      </c>
      <c r="BN142" s="41" t="n">
        <v>77</v>
      </c>
      <c r="BO142" s="42" t="n">
        <v>28</v>
      </c>
      <c r="BP142" s="43" t="n">
        <v>62</v>
      </c>
      <c r="BQ142" s="44" t="n">
        <v>90</v>
      </c>
      <c r="BR142" s="42" t="n">
        <v>26</v>
      </c>
      <c r="BS142" s="45" t="n">
        <v>60</v>
      </c>
      <c r="BT142" s="45" t="n">
        <v>86</v>
      </c>
      <c r="BU142" s="46" t="n">
        <v>100</v>
      </c>
      <c r="BV142" s="47" t="n">
        <v>90</v>
      </c>
      <c r="BW142" s="42" t="n">
        <v>99</v>
      </c>
      <c r="BX142" s="48" t="n">
        <v>90</v>
      </c>
      <c r="BY142" s="32" t="n">
        <v>27</v>
      </c>
      <c r="BZ142" s="32" t="n">
        <v>52</v>
      </c>
      <c r="CA142" s="32" t="n">
        <v>79</v>
      </c>
      <c r="CB142" s="32" t="n">
        <v>22</v>
      </c>
      <c r="CC142" s="32" t="n">
        <v>49</v>
      </c>
      <c r="CD142" s="32" t="n">
        <v>71</v>
      </c>
      <c r="CE142" s="32" t="n">
        <v>23</v>
      </c>
      <c r="CF142" s="32" t="n">
        <v>57</v>
      </c>
      <c r="CG142" s="32" t="n">
        <v>80</v>
      </c>
      <c r="CH142" s="32" t="n">
        <v>100</v>
      </c>
      <c r="CI142" s="32" t="n">
        <v>99</v>
      </c>
      <c r="CJ142" s="49" t="n">
        <v>22</v>
      </c>
      <c r="CK142" s="49" t="n">
        <v>62</v>
      </c>
      <c r="CL142" s="49" t="n">
        <v>84</v>
      </c>
      <c r="CM142" s="49" t="n">
        <v>24</v>
      </c>
      <c r="CN142" s="49" t="n">
        <v>57</v>
      </c>
      <c r="CO142" s="49" t="n">
        <v>81</v>
      </c>
      <c r="CP142" s="25" t="n">
        <f aca="false">BX142+BW142+BV142+BU142+BT142+BQ142+BN142</f>
        <v>632</v>
      </c>
      <c r="CQ142" s="25" t="n">
        <f aca="false">CO142+CL142+CI142+CH142+CG142+CD142+CA142</f>
        <v>594</v>
      </c>
      <c r="CR142" s="26" t="n">
        <f aca="false">CP142/7</f>
        <v>90.2857142857143</v>
      </c>
      <c r="CS142" s="26" t="n">
        <f aca="false">CQ142/7</f>
        <v>84.8571428571429</v>
      </c>
      <c r="CT142" s="24" t="n">
        <f aca="false">RANK(CR142,$CR$2:$CR$881,0)</f>
        <v>160</v>
      </c>
      <c r="CU142" s="25" t="n">
        <f aca="false">RANK(CS142,$CS$2:$CS$881,0)</f>
        <v>105</v>
      </c>
      <c r="CV142" s="26" t="n">
        <f aca="false">(CS142+CR142)/2</f>
        <v>87.5714285714286</v>
      </c>
      <c r="CW142" s="25" t="n">
        <f aca="false">RANK(CV142,$CV$2:$CV$881,0)</f>
        <v>113</v>
      </c>
      <c r="CX142" s="50" t="n">
        <f aca="false">(CV142+BB142)/2</f>
        <v>83.6857142857143</v>
      </c>
      <c r="CY142" s="50" t="n">
        <v>179</v>
      </c>
      <c r="CZ142" s="27" t="s">
        <v>132</v>
      </c>
      <c r="DA142" s="27" t="s">
        <v>176</v>
      </c>
      <c r="DB142" s="27" t="s">
        <v>176</v>
      </c>
      <c r="DC142" s="27" t="s">
        <v>134</v>
      </c>
      <c r="DD142" s="27" t="s">
        <v>135</v>
      </c>
      <c r="DE142" s="27" t="s">
        <v>204</v>
      </c>
      <c r="DF142" s="27" t="s">
        <v>209</v>
      </c>
      <c r="DG142" s="27" t="s">
        <v>134</v>
      </c>
      <c r="DH142" s="27" t="s">
        <v>182</v>
      </c>
      <c r="DI142" s="27" t="s">
        <v>161</v>
      </c>
      <c r="DJ142" s="27" t="s">
        <v>175</v>
      </c>
      <c r="DK142" s="27" t="s">
        <v>134</v>
      </c>
      <c r="DL142" s="27" t="s">
        <v>164</v>
      </c>
      <c r="DM142" s="27" t="s">
        <v>152</v>
      </c>
      <c r="DN142" s="27" t="s">
        <v>170</v>
      </c>
      <c r="DO142" s="27" t="s">
        <v>134</v>
      </c>
      <c r="DP142" s="27" t="s">
        <v>154</v>
      </c>
      <c r="DQ142" s="27" t="s">
        <v>183</v>
      </c>
      <c r="DR142" s="27" t="s">
        <v>196</v>
      </c>
      <c r="DS142" s="27" t="s">
        <v>134</v>
      </c>
      <c r="DT142" s="27" t="s">
        <v>160</v>
      </c>
      <c r="DU142" s="27" t="s">
        <v>204</v>
      </c>
      <c r="DV142" s="27" t="s">
        <v>178</v>
      </c>
      <c r="DW142" s="27" t="s">
        <v>160</v>
      </c>
      <c r="DX142" s="27" t="s">
        <v>138</v>
      </c>
      <c r="DY142" s="27" t="s">
        <v>144</v>
      </c>
      <c r="DZ142" s="27" t="n">
        <f aca="false">DY142+DV142+DR142+DN142+DJ142+DF142+DB142</f>
        <v>617</v>
      </c>
      <c r="EA142" s="28" t="n">
        <f aca="false">DZ142/7</f>
        <v>88.1428571428571</v>
      </c>
      <c r="EB142" s="27" t="n">
        <f aca="false">RANK(EA142,$EA$2:$EA$881,0)</f>
        <v>94</v>
      </c>
      <c r="EC142" s="29" t="n">
        <f aca="false">DZ142+CQ142+CP142+AZ142</f>
        <v>2641</v>
      </c>
      <c r="ED142" s="30" t="n">
        <f aca="false">(EA142+CV142+BB142)/3</f>
        <v>85.1714285714286</v>
      </c>
      <c r="EE142" s="51" t="n">
        <f aca="false">ROUND(BE142,3)</f>
        <v>86.14</v>
      </c>
      <c r="EF142" s="51" t="n">
        <f aca="false">ROUND(CR142,3)</f>
        <v>90.286</v>
      </c>
      <c r="EG142" s="51" t="n">
        <f aca="false">ROUND(CS142,3)</f>
        <v>84.857</v>
      </c>
      <c r="EH142" s="51" t="n">
        <f aca="false">ROUND(EA142,3)</f>
        <v>88.143</v>
      </c>
      <c r="EI142" s="51" t="n">
        <f aca="false">ROUND(ED142,3)</f>
        <v>85.171</v>
      </c>
      <c r="EJ142" s="51" t="n">
        <f aca="false">ROUND(CV142,3)</f>
        <v>87.571</v>
      </c>
      <c r="EK142" s="0" t="n">
        <f aca="false">RANK(EI142,$EI$2:$EI$881,0)</f>
        <v>141</v>
      </c>
    </row>
    <row r="143" customFormat="false" ht="15" hidden="false" customHeight="false" outlineLevel="0" collapsed="false">
      <c r="A143" s="4" t="n">
        <v>8692</v>
      </c>
      <c r="B143" s="4" t="n">
        <v>535</v>
      </c>
      <c r="C143" s="27" t="s">
        <v>611</v>
      </c>
      <c r="D143" s="31" t="n">
        <v>541</v>
      </c>
      <c r="E143" s="32" t="n">
        <v>230311464</v>
      </c>
      <c r="F143" s="8" t="s">
        <v>612</v>
      </c>
      <c r="G143" s="22" t="s">
        <v>573</v>
      </c>
      <c r="H143" s="22" t="s">
        <v>129</v>
      </c>
      <c r="I143" s="33" t="n">
        <v>2006</v>
      </c>
      <c r="J143" s="32" t="n">
        <v>85</v>
      </c>
      <c r="K143" s="32" t="n">
        <v>84</v>
      </c>
      <c r="L143" s="34" t="n">
        <f aca="false">(K143*70)/100</f>
        <v>58.8</v>
      </c>
      <c r="M143" s="34" t="n">
        <f aca="false">ROUNDUP(L143,0)</f>
        <v>59</v>
      </c>
      <c r="N143" s="32" t="n">
        <v>25</v>
      </c>
      <c r="O143" s="34" t="n">
        <f aca="false">N143+L143</f>
        <v>83.8</v>
      </c>
      <c r="P143" s="34" t="n">
        <f aca="false">N143+M143</f>
        <v>84</v>
      </c>
      <c r="Q143" s="32" t="n">
        <v>71</v>
      </c>
      <c r="R143" s="32" t="n">
        <v>66</v>
      </c>
      <c r="S143" s="34" t="n">
        <f aca="false">(R143*70)/100</f>
        <v>46.2</v>
      </c>
      <c r="T143" s="34" t="n">
        <f aca="false">ROUNDUP(S143,0)</f>
        <v>47</v>
      </c>
      <c r="U143" s="32" t="n">
        <v>24</v>
      </c>
      <c r="V143" s="34" t="n">
        <f aca="false">U143+S143</f>
        <v>70.2</v>
      </c>
      <c r="W143" s="34" t="n">
        <f aca="false">U143+T143</f>
        <v>71</v>
      </c>
      <c r="X143" s="32" t="n">
        <v>67</v>
      </c>
      <c r="Y143" s="34" t="n">
        <f aca="false">(X143*70)/100</f>
        <v>46.9</v>
      </c>
      <c r="Z143" s="34" t="n">
        <f aca="false">ROUNDUP(Y143,0)</f>
        <v>47</v>
      </c>
      <c r="AA143" s="32" t="n">
        <v>25</v>
      </c>
      <c r="AB143" s="34" t="n">
        <f aca="false">AA143+Y143</f>
        <v>71.9</v>
      </c>
      <c r="AC143" s="34" t="n">
        <f aca="false">AA143+Z143</f>
        <v>72</v>
      </c>
      <c r="AD143" s="32" t="n">
        <f aca="false">X143+R143+Q143+K143+J143</f>
        <v>373</v>
      </c>
      <c r="AE143" s="16" t="n">
        <f aca="false">AD143/5</f>
        <v>74.6</v>
      </c>
      <c r="AF143" s="16" t="n">
        <v>84</v>
      </c>
      <c r="AG143" s="16" t="n">
        <v>84</v>
      </c>
      <c r="AH143" s="16" t="n">
        <v>90</v>
      </c>
      <c r="AI143" s="16" t="n">
        <v>85</v>
      </c>
      <c r="AJ143" s="16" t="n">
        <f aca="false">(AI143*70)/100</f>
        <v>59.5</v>
      </c>
      <c r="AK143" s="35" t="n">
        <f aca="false">ROUNDUP(AJ143,0)</f>
        <v>60</v>
      </c>
      <c r="AL143" s="16" t="n">
        <v>24</v>
      </c>
      <c r="AM143" s="16" t="n">
        <f aca="false">AL143+AJ143</f>
        <v>83.5</v>
      </c>
      <c r="AN143" s="16" t="n">
        <f aca="false">AL143+AK143</f>
        <v>84</v>
      </c>
      <c r="AO143" s="16" t="n">
        <v>65</v>
      </c>
      <c r="AP143" s="36" t="n">
        <f aca="false">(AO143*70)/100</f>
        <v>45.5</v>
      </c>
      <c r="AQ143" s="37" t="n">
        <f aca="false">ROUNDUP(AP143,0)</f>
        <v>46</v>
      </c>
      <c r="AR143" s="16" t="n">
        <v>25</v>
      </c>
      <c r="AS143" s="16" t="n">
        <f aca="false">AR143+AP143</f>
        <v>70.5</v>
      </c>
      <c r="AT143" s="16" t="n">
        <f aca="false">AR143+AQ143</f>
        <v>71</v>
      </c>
      <c r="AU143" s="16" t="n">
        <f aca="false">AO143+AF143+AI143+AH143+AG143</f>
        <v>408</v>
      </c>
      <c r="AV143" s="16" t="n">
        <f aca="false">(AO143+AF143+AI143+AH143+AG143)/5</f>
        <v>81.6</v>
      </c>
      <c r="AW143" s="36" t="n">
        <f aca="false">(AO143+AF143+AI143+AH143+AG143+X143+R143+Q143+K143+J143)</f>
        <v>781</v>
      </c>
      <c r="AX143" s="16" t="n">
        <f aca="false">AW143/10</f>
        <v>78.1</v>
      </c>
      <c r="AY143" s="16" t="n">
        <f aca="false">AS143+AF143+AM143+AH143+AG143+AB143+V143+Q143+O143+J143</f>
        <v>793.9</v>
      </c>
      <c r="AZ143" s="16" t="n">
        <f aca="false">AT143+AF143+AN143+AH143+AG143+AC143+W143+Q143+P143+J143</f>
        <v>796</v>
      </c>
      <c r="BA143" s="16" t="n">
        <f aca="false">AY143/10</f>
        <v>79.39</v>
      </c>
      <c r="BB143" s="16" t="n">
        <f aca="false">AZ143/10</f>
        <v>79.6</v>
      </c>
      <c r="BC143" s="16" t="n">
        <v>2381</v>
      </c>
      <c r="BD143" s="16" t="n">
        <f aca="false">RANK(AX143,$AX$2:$AX$881,0)</f>
        <v>402</v>
      </c>
      <c r="BE143" s="54" t="n">
        <f aca="false">((BC143*100)/2400)*0.4+(AX143*0.6)</f>
        <v>86.5433333333333</v>
      </c>
      <c r="BF143" s="16" t="n">
        <f aca="false">RANK(BE143,$BE$2:$BE$881,0)</f>
        <v>346</v>
      </c>
      <c r="BG143" s="39" t="n">
        <f aca="false">RANK(BB143,$BB$2:$BB$881,0)</f>
        <v>392</v>
      </c>
      <c r="BH143" s="39" t="n">
        <f aca="false">RANK(BC143,$BC$2:$BC$881,0)</f>
        <v>136</v>
      </c>
      <c r="BI143" s="22" t="s">
        <v>130</v>
      </c>
      <c r="BJ143" s="22" t="s">
        <v>129</v>
      </c>
      <c r="BK143" s="40" t="s">
        <v>131</v>
      </c>
      <c r="BL143" s="41" t="n">
        <v>22</v>
      </c>
      <c r="BM143" s="41" t="n">
        <v>57</v>
      </c>
      <c r="BN143" s="41" t="n">
        <v>79</v>
      </c>
      <c r="BO143" s="42" t="n">
        <v>27</v>
      </c>
      <c r="BP143" s="43" t="n">
        <v>59</v>
      </c>
      <c r="BQ143" s="44" t="n">
        <v>86</v>
      </c>
      <c r="BR143" s="42" t="n">
        <v>25</v>
      </c>
      <c r="BS143" s="45" t="n">
        <v>58</v>
      </c>
      <c r="BT143" s="45" t="n">
        <v>83</v>
      </c>
      <c r="BU143" s="46" t="n">
        <v>100</v>
      </c>
      <c r="BV143" s="47" t="n">
        <v>86</v>
      </c>
      <c r="BW143" s="42" t="n">
        <v>98</v>
      </c>
      <c r="BX143" s="48" t="n">
        <v>98</v>
      </c>
      <c r="BY143" s="32" t="n">
        <v>27</v>
      </c>
      <c r="BZ143" s="32" t="n">
        <v>63</v>
      </c>
      <c r="CA143" s="32" t="n">
        <v>90</v>
      </c>
      <c r="CB143" s="32" t="n">
        <v>24</v>
      </c>
      <c r="CC143" s="32" t="n">
        <v>42</v>
      </c>
      <c r="CD143" s="32" t="n">
        <v>66</v>
      </c>
      <c r="CE143" s="25" t="n">
        <v>28</v>
      </c>
      <c r="CF143" s="25" t="n">
        <v>64</v>
      </c>
      <c r="CG143" s="25" t="n">
        <v>92</v>
      </c>
      <c r="CH143" s="32" t="n">
        <v>95</v>
      </c>
      <c r="CI143" s="32" t="n">
        <v>100</v>
      </c>
      <c r="CJ143" s="49" t="n">
        <v>28</v>
      </c>
      <c r="CK143" s="49" t="n">
        <v>53</v>
      </c>
      <c r="CL143" s="49" t="n">
        <v>81</v>
      </c>
      <c r="CM143" s="49" t="n">
        <v>22</v>
      </c>
      <c r="CN143" s="49" t="n">
        <v>52</v>
      </c>
      <c r="CO143" s="49" t="n">
        <v>74</v>
      </c>
      <c r="CP143" s="25" t="n">
        <f aca="false">BX143+BW143+BV143+BU143+BT143+BQ143+BN143</f>
        <v>630</v>
      </c>
      <c r="CQ143" s="25" t="n">
        <f aca="false">CO143+CL143+CI143+CH143+CG143+CD143+CA143</f>
        <v>598</v>
      </c>
      <c r="CR143" s="26" t="n">
        <f aca="false">CP143/7</f>
        <v>90</v>
      </c>
      <c r="CS143" s="26" t="n">
        <f aca="false">CQ143/7</f>
        <v>85.4285714285714</v>
      </c>
      <c r="CT143" s="24" t="n">
        <f aca="false">RANK(CR143,$CR$2:$CR$881,0)</f>
        <v>182</v>
      </c>
      <c r="CU143" s="25" t="n">
        <f aca="false">RANK(CS143,$CS$2:$CS$881,0)</f>
        <v>92</v>
      </c>
      <c r="CV143" s="26" t="n">
        <f aca="false">(CS143+CR143)/2</f>
        <v>87.7142857142857</v>
      </c>
      <c r="CW143" s="25" t="n">
        <f aca="false">RANK(CV143,$CV$2:$CV$881,0)</f>
        <v>107</v>
      </c>
      <c r="CX143" s="50" t="n">
        <f aca="false">(CV143+BB143)/2</f>
        <v>83.6571428571429</v>
      </c>
      <c r="CY143" s="50" t="n">
        <v>181</v>
      </c>
      <c r="CZ143" s="27" t="s">
        <v>132</v>
      </c>
      <c r="DA143" s="27" t="s">
        <v>153</v>
      </c>
      <c r="DB143" s="27" t="s">
        <v>153</v>
      </c>
      <c r="DC143" s="27" t="s">
        <v>134</v>
      </c>
      <c r="DD143" s="27" t="s">
        <v>135</v>
      </c>
      <c r="DE143" s="27" t="s">
        <v>306</v>
      </c>
      <c r="DF143" s="27" t="s">
        <v>219</v>
      </c>
      <c r="DG143" s="27" t="s">
        <v>134</v>
      </c>
      <c r="DH143" s="27" t="s">
        <v>137</v>
      </c>
      <c r="DI143" s="27" t="s">
        <v>187</v>
      </c>
      <c r="DJ143" s="27" t="s">
        <v>176</v>
      </c>
      <c r="DK143" s="27" t="s">
        <v>134</v>
      </c>
      <c r="DL143" s="27" t="s">
        <v>137</v>
      </c>
      <c r="DM143" s="27" t="s">
        <v>183</v>
      </c>
      <c r="DN143" s="27" t="s">
        <v>209</v>
      </c>
      <c r="DO143" s="27" t="s">
        <v>134</v>
      </c>
      <c r="DP143" s="27" t="s">
        <v>164</v>
      </c>
      <c r="DQ143" s="27" t="s">
        <v>203</v>
      </c>
      <c r="DR143" s="27" t="s">
        <v>162</v>
      </c>
      <c r="DS143" s="27" t="s">
        <v>134</v>
      </c>
      <c r="DT143" s="27" t="s">
        <v>160</v>
      </c>
      <c r="DU143" s="27" t="s">
        <v>183</v>
      </c>
      <c r="DV143" s="27" t="s">
        <v>202</v>
      </c>
      <c r="DW143" s="27" t="s">
        <v>160</v>
      </c>
      <c r="DX143" s="27" t="s">
        <v>143</v>
      </c>
      <c r="DY143" s="27" t="s">
        <v>142</v>
      </c>
      <c r="DZ143" s="27" t="n">
        <f aca="false">DY143+DV143+DR143+DN143+DJ143+DF143+DB143</f>
        <v>617</v>
      </c>
      <c r="EA143" s="28" t="n">
        <f aca="false">DZ143/7</f>
        <v>88.1428571428571</v>
      </c>
      <c r="EB143" s="27" t="n">
        <f aca="false">RANK(EA143,$EA$2:$EA$881,0)</f>
        <v>94</v>
      </c>
      <c r="EC143" s="29" t="n">
        <f aca="false">DZ143+CQ143+CP143+AZ143</f>
        <v>2641</v>
      </c>
      <c r="ED143" s="30" t="n">
        <f aca="false">(EA143+CV143+BB143)/3</f>
        <v>85.152380952381</v>
      </c>
      <c r="EE143" s="51" t="n">
        <f aca="false">ROUND(BE143,3)</f>
        <v>86.543</v>
      </c>
      <c r="EF143" s="51" t="n">
        <f aca="false">ROUND(CR143,3)</f>
        <v>90</v>
      </c>
      <c r="EG143" s="51" t="n">
        <f aca="false">ROUND(CS143,3)</f>
        <v>85.429</v>
      </c>
      <c r="EH143" s="51" t="n">
        <f aca="false">ROUND(EA143,3)</f>
        <v>88.143</v>
      </c>
      <c r="EI143" s="51" t="n">
        <f aca="false">ROUND(ED143,3)</f>
        <v>85.152</v>
      </c>
      <c r="EJ143" s="51" t="n">
        <f aca="false">ROUND(CV143,3)</f>
        <v>87.714</v>
      </c>
      <c r="EK143" s="0" t="n">
        <f aca="false">RANK(EI143,$EI$2:$EI$881,0)</f>
        <v>142</v>
      </c>
    </row>
    <row r="144" customFormat="false" ht="15" hidden="false" customHeight="false" outlineLevel="0" collapsed="false">
      <c r="A144" s="4" t="n">
        <v>8743</v>
      </c>
      <c r="B144" s="4" t="n">
        <v>266</v>
      </c>
      <c r="C144" s="27" t="s">
        <v>613</v>
      </c>
      <c r="D144" s="31" t="n">
        <v>264</v>
      </c>
      <c r="E144" s="16" t="n">
        <v>230226008</v>
      </c>
      <c r="F144" s="56" t="s">
        <v>614</v>
      </c>
      <c r="G144" s="22" t="s">
        <v>615</v>
      </c>
      <c r="H144" s="22" t="s">
        <v>326</v>
      </c>
      <c r="I144" s="57"/>
      <c r="J144" s="16" t="n">
        <v>90</v>
      </c>
      <c r="K144" s="16" t="n">
        <v>63</v>
      </c>
      <c r="L144" s="34" t="n">
        <f aca="false">(K144*70)/100</f>
        <v>44.1</v>
      </c>
      <c r="M144" s="34" t="n">
        <f aca="false">ROUNDUP(L144,0)</f>
        <v>45</v>
      </c>
      <c r="N144" s="16" t="n">
        <v>25</v>
      </c>
      <c r="O144" s="34" t="n">
        <f aca="false">N144+L144</f>
        <v>69.1</v>
      </c>
      <c r="P144" s="34" t="n">
        <f aca="false">N144+M144</f>
        <v>70</v>
      </c>
      <c r="Q144" s="16" t="n">
        <v>84</v>
      </c>
      <c r="R144" s="16" t="n">
        <v>70</v>
      </c>
      <c r="S144" s="34" t="n">
        <f aca="false">(R144*70)/100</f>
        <v>49</v>
      </c>
      <c r="T144" s="34" t="n">
        <f aca="false">ROUNDUP(S144,0)</f>
        <v>49</v>
      </c>
      <c r="U144" s="16" t="n">
        <v>26</v>
      </c>
      <c r="V144" s="34" t="n">
        <f aca="false">U144+S144</f>
        <v>75</v>
      </c>
      <c r="W144" s="34" t="n">
        <f aca="false">U144+T144</f>
        <v>75</v>
      </c>
      <c r="X144" s="16" t="n">
        <v>73</v>
      </c>
      <c r="Y144" s="34" t="n">
        <f aca="false">(X144*70)/100</f>
        <v>51.1</v>
      </c>
      <c r="Z144" s="34" t="n">
        <f aca="false">ROUNDUP(Y144,0)</f>
        <v>52</v>
      </c>
      <c r="AA144" s="16" t="n">
        <v>28</v>
      </c>
      <c r="AB144" s="34" t="n">
        <f aca="false">AA144+Y144</f>
        <v>79.1</v>
      </c>
      <c r="AC144" s="34" t="n">
        <f aca="false">AA144+Z144</f>
        <v>80</v>
      </c>
      <c r="AD144" s="32" t="n">
        <f aca="false">X144+R144+Q144+K144+J144</f>
        <v>380</v>
      </c>
      <c r="AE144" s="16" t="n">
        <f aca="false">AD144/5</f>
        <v>76</v>
      </c>
      <c r="AF144" s="16" t="n">
        <v>71</v>
      </c>
      <c r="AG144" s="16" t="n">
        <v>87</v>
      </c>
      <c r="AH144" s="16" t="n">
        <v>90</v>
      </c>
      <c r="AI144" s="16" t="n">
        <v>88</v>
      </c>
      <c r="AJ144" s="16" t="n">
        <f aca="false">(AI144*70)/100</f>
        <v>61.6</v>
      </c>
      <c r="AK144" s="35" t="n">
        <f aca="false">ROUNDUP(AJ144,0)</f>
        <v>62</v>
      </c>
      <c r="AL144" s="16" t="n">
        <v>23</v>
      </c>
      <c r="AM144" s="16" t="n">
        <f aca="false">AL144+AJ144</f>
        <v>84.6</v>
      </c>
      <c r="AN144" s="16" t="n">
        <f aca="false">AL144+AK144</f>
        <v>85</v>
      </c>
      <c r="AO144" s="16" t="n">
        <v>85</v>
      </c>
      <c r="AP144" s="36" t="n">
        <f aca="false">(AO144*70)/100</f>
        <v>59.5</v>
      </c>
      <c r="AQ144" s="37" t="n">
        <f aca="false">ROUNDUP(AP144,0)</f>
        <v>60</v>
      </c>
      <c r="AR144" s="16" t="n">
        <v>25</v>
      </c>
      <c r="AS144" s="16" t="n">
        <f aca="false">AR144+AP144</f>
        <v>84.5</v>
      </c>
      <c r="AT144" s="16" t="n">
        <f aca="false">AR144+AQ144</f>
        <v>85</v>
      </c>
      <c r="AU144" s="16" t="n">
        <f aca="false">AO144+AF144+AI144+AH144+AG144</f>
        <v>421</v>
      </c>
      <c r="AV144" s="16" t="n">
        <f aca="false">(AO144+AF144+AI144+AH144+AG144)/5</f>
        <v>84.2</v>
      </c>
      <c r="AW144" s="36" t="n">
        <f aca="false">(AO144+AF144+AI144+AH144+AG144+X144+R144+Q144+K144+J144)</f>
        <v>801</v>
      </c>
      <c r="AX144" s="16" t="n">
        <f aca="false">AW144/10</f>
        <v>80.1</v>
      </c>
      <c r="AY144" s="16" t="n">
        <f aca="false">AS144+AF144+AM144+AH144+AG144+AB144+V144+Q144+O144+J144</f>
        <v>814.3</v>
      </c>
      <c r="AZ144" s="16" t="n">
        <f aca="false">AT144+AF144+AN144+AH144+AG144+AC144+W144+Q144+P144+J144</f>
        <v>817</v>
      </c>
      <c r="BA144" s="16" t="n">
        <f aca="false">AY144/10</f>
        <v>81.43</v>
      </c>
      <c r="BB144" s="16" t="n">
        <f aca="false">AZ144/10</f>
        <v>81.7</v>
      </c>
      <c r="BC144" s="16" t="n">
        <v>2378</v>
      </c>
      <c r="BD144" s="16" t="n">
        <f aca="false">RANK(AX144,$AX$2:$AX$881,0)</f>
        <v>257</v>
      </c>
      <c r="BE144" s="54" t="n">
        <f aca="false">((BC144*100)/2400)*0.4+(AX144*0.6)</f>
        <v>87.6933333333333</v>
      </c>
      <c r="BF144" s="16" t="n">
        <f aca="false">RANK(BE144,$BE$2:$BE$881,0)</f>
        <v>232</v>
      </c>
      <c r="BG144" s="39" t="n">
        <f aca="false">RANK(BB144,$BB$2:$BB$881,0)</f>
        <v>229</v>
      </c>
      <c r="BH144" s="39" t="n">
        <f aca="false">RANK(BC144,$BC$2:$BC$881,0)</f>
        <v>173</v>
      </c>
      <c r="BI144" s="22" t="s">
        <v>130</v>
      </c>
      <c r="BJ144" s="22" t="s">
        <v>129</v>
      </c>
      <c r="BK144" s="40" t="s">
        <v>131</v>
      </c>
      <c r="BL144" s="41" t="n">
        <v>26</v>
      </c>
      <c r="BM144" s="41" t="n">
        <v>66</v>
      </c>
      <c r="BN144" s="41" t="n">
        <v>92</v>
      </c>
      <c r="BO144" s="42" t="n">
        <v>26</v>
      </c>
      <c r="BP144" s="43" t="n">
        <v>63</v>
      </c>
      <c r="BQ144" s="44" t="n">
        <v>89</v>
      </c>
      <c r="BR144" s="42" t="n">
        <v>24</v>
      </c>
      <c r="BS144" s="45" t="n">
        <v>62</v>
      </c>
      <c r="BT144" s="45" t="n">
        <v>86</v>
      </c>
      <c r="BU144" s="46" t="n">
        <v>100</v>
      </c>
      <c r="BV144" s="47" t="n">
        <v>84</v>
      </c>
      <c r="BW144" s="42" t="n">
        <v>99</v>
      </c>
      <c r="BX144" s="48" t="n">
        <v>88</v>
      </c>
      <c r="BY144" s="32" t="n">
        <v>27</v>
      </c>
      <c r="BZ144" s="32" t="n">
        <v>52</v>
      </c>
      <c r="CA144" s="32" t="n">
        <v>79</v>
      </c>
      <c r="CB144" s="32" t="n">
        <v>20</v>
      </c>
      <c r="CC144" s="32" t="n">
        <v>46</v>
      </c>
      <c r="CD144" s="32" t="n">
        <v>66</v>
      </c>
      <c r="CE144" s="32" t="n">
        <v>27</v>
      </c>
      <c r="CF144" s="32" t="n">
        <v>57</v>
      </c>
      <c r="CG144" s="32" t="n">
        <v>84</v>
      </c>
      <c r="CH144" s="32" t="n">
        <v>96</v>
      </c>
      <c r="CI144" s="32" t="n">
        <v>100</v>
      </c>
      <c r="CJ144" s="49" t="n">
        <v>22</v>
      </c>
      <c r="CK144" s="49" t="n">
        <v>55</v>
      </c>
      <c r="CL144" s="49" t="n">
        <v>77</v>
      </c>
      <c r="CM144" s="49" t="n">
        <v>20</v>
      </c>
      <c r="CN144" s="49" t="n">
        <v>56</v>
      </c>
      <c r="CO144" s="49" t="n">
        <v>76</v>
      </c>
      <c r="CP144" s="25" t="n">
        <f aca="false">BX144+BW144+BV144+BU144+BT144+BQ144+BN144</f>
        <v>638</v>
      </c>
      <c r="CQ144" s="25" t="n">
        <f aca="false">CO144+CL144+CI144+CH144+CG144+CD144+CA144</f>
        <v>578</v>
      </c>
      <c r="CR144" s="26" t="n">
        <f aca="false">CP144/7</f>
        <v>91.1428571428571</v>
      </c>
      <c r="CS144" s="26" t="n">
        <f aca="false">CQ144/7</f>
        <v>82.5714285714286</v>
      </c>
      <c r="CT144" s="24" t="n">
        <f aca="false">RANK(CR144,$CR$2:$CR$881,0)</f>
        <v>124</v>
      </c>
      <c r="CU144" s="25" t="n">
        <f aca="false">RANK(CS144,$CS$2:$CS$881,0)</f>
        <v>176</v>
      </c>
      <c r="CV144" s="26" t="n">
        <f aca="false">(CS144+CR144)/2</f>
        <v>86.8571428571429</v>
      </c>
      <c r="CW144" s="25" t="n">
        <f aca="false">RANK(CV144,$CV$2:$CV$881,0)</f>
        <v>142</v>
      </c>
      <c r="CX144" s="50" t="n">
        <f aca="false">(CV144+BB144)/2</f>
        <v>84.2785714285714</v>
      </c>
      <c r="CY144" s="50" t="n">
        <v>213</v>
      </c>
      <c r="CZ144" s="27" t="s">
        <v>132</v>
      </c>
      <c r="DA144" s="27" t="s">
        <v>202</v>
      </c>
      <c r="DB144" s="27" t="s">
        <v>202</v>
      </c>
      <c r="DC144" s="27" t="s">
        <v>134</v>
      </c>
      <c r="DD144" s="27" t="s">
        <v>137</v>
      </c>
      <c r="DE144" s="27" t="s">
        <v>177</v>
      </c>
      <c r="DF144" s="27" t="s">
        <v>202</v>
      </c>
      <c r="DG144" s="27" t="s">
        <v>134</v>
      </c>
      <c r="DH144" s="27" t="s">
        <v>182</v>
      </c>
      <c r="DI144" s="27" t="s">
        <v>152</v>
      </c>
      <c r="DJ144" s="27" t="s">
        <v>133</v>
      </c>
      <c r="DK144" s="27" t="s">
        <v>134</v>
      </c>
      <c r="DL144" s="27" t="s">
        <v>160</v>
      </c>
      <c r="DM144" s="27" t="s">
        <v>203</v>
      </c>
      <c r="DN144" s="27" t="s">
        <v>153</v>
      </c>
      <c r="DO144" s="27" t="s">
        <v>134</v>
      </c>
      <c r="DP144" s="27" t="s">
        <v>160</v>
      </c>
      <c r="DQ144" s="27" t="s">
        <v>220</v>
      </c>
      <c r="DR144" s="27" t="s">
        <v>209</v>
      </c>
      <c r="DS144" s="27" t="s">
        <v>134</v>
      </c>
      <c r="DT144" s="27" t="s">
        <v>135</v>
      </c>
      <c r="DU144" s="27" t="s">
        <v>447</v>
      </c>
      <c r="DV144" s="27" t="s">
        <v>305</v>
      </c>
      <c r="DW144" s="27" t="s">
        <v>164</v>
      </c>
      <c r="DX144" s="27" t="s">
        <v>143</v>
      </c>
      <c r="DY144" s="27" t="s">
        <v>139</v>
      </c>
      <c r="DZ144" s="27" t="n">
        <f aca="false">DY144+DV144+DR144+DN144+DJ144+DF144+DB144</f>
        <v>607</v>
      </c>
      <c r="EA144" s="28" t="n">
        <f aca="false">DZ144/7</f>
        <v>86.7142857142857</v>
      </c>
      <c r="EB144" s="27" t="n">
        <f aca="false">RANK(EA144,$EA$2:$EA$881,0)</f>
        <v>135</v>
      </c>
      <c r="EC144" s="29" t="n">
        <f aca="false">DZ144+CQ144+CP144+AZ144</f>
        <v>2640</v>
      </c>
      <c r="ED144" s="30" t="n">
        <f aca="false">(EA144+CV144+BB144)/3</f>
        <v>85.0904761904762</v>
      </c>
      <c r="EE144" s="51" t="n">
        <f aca="false">ROUND(BE144,3)</f>
        <v>87.693</v>
      </c>
      <c r="EF144" s="51" t="n">
        <f aca="false">ROUND(CR144,3)</f>
        <v>91.143</v>
      </c>
      <c r="EG144" s="51" t="n">
        <f aca="false">ROUND(CS144,3)</f>
        <v>82.571</v>
      </c>
      <c r="EH144" s="51" t="n">
        <f aca="false">ROUND(EA144,3)</f>
        <v>86.714</v>
      </c>
      <c r="EI144" s="51" t="n">
        <f aca="false">ROUND(ED144,3)</f>
        <v>85.09</v>
      </c>
      <c r="EJ144" s="51" t="n">
        <f aca="false">ROUND(CV144,3)</f>
        <v>86.857</v>
      </c>
      <c r="EK144" s="0" t="n">
        <f aca="false">RANK(EI144,$EI$2:$EI$881,0)</f>
        <v>143</v>
      </c>
    </row>
    <row r="145" customFormat="false" ht="33.7" hidden="false" customHeight="false" outlineLevel="0" collapsed="false">
      <c r="A145" s="4" t="n">
        <v>8926</v>
      </c>
      <c r="B145" s="4" t="n">
        <v>578</v>
      </c>
      <c r="C145" s="27" t="s">
        <v>616</v>
      </c>
      <c r="D145" s="31" t="n">
        <v>583</v>
      </c>
      <c r="E145" s="32" t="n">
        <v>230319765</v>
      </c>
      <c r="F145" s="8" t="s">
        <v>617</v>
      </c>
      <c r="G145" s="22" t="s">
        <v>618</v>
      </c>
      <c r="H145" s="22" t="s">
        <v>129</v>
      </c>
      <c r="I145" s="33" t="n">
        <v>2005</v>
      </c>
      <c r="J145" s="32" t="n">
        <v>79</v>
      </c>
      <c r="K145" s="32" t="n">
        <v>93</v>
      </c>
      <c r="L145" s="34" t="n">
        <f aca="false">(K145*70)/100</f>
        <v>65.1</v>
      </c>
      <c r="M145" s="34" t="n">
        <f aca="false">ROUNDUP(L145,0)</f>
        <v>66</v>
      </c>
      <c r="N145" s="32" t="n">
        <v>30</v>
      </c>
      <c r="O145" s="34" t="n">
        <f aca="false">N145+L145</f>
        <v>95.1</v>
      </c>
      <c r="P145" s="34" t="n">
        <f aca="false">N145+M145</f>
        <v>96</v>
      </c>
      <c r="Q145" s="32" t="n">
        <v>71</v>
      </c>
      <c r="R145" s="32" t="n">
        <v>90</v>
      </c>
      <c r="S145" s="34" t="n">
        <f aca="false">(R145*70)/100</f>
        <v>63</v>
      </c>
      <c r="T145" s="34" t="n">
        <f aca="false">ROUNDUP(S145,0)</f>
        <v>63</v>
      </c>
      <c r="U145" s="32" t="n">
        <v>21</v>
      </c>
      <c r="V145" s="34" t="n">
        <f aca="false">U145+S145</f>
        <v>84</v>
      </c>
      <c r="W145" s="34" t="n">
        <f aca="false">U145+T145</f>
        <v>84</v>
      </c>
      <c r="X145" s="32" t="n">
        <v>81</v>
      </c>
      <c r="Y145" s="34" t="n">
        <f aca="false">(X145*70)/100</f>
        <v>56.7</v>
      </c>
      <c r="Z145" s="34" t="n">
        <f aca="false">ROUNDUP(Y145,0)</f>
        <v>57</v>
      </c>
      <c r="AA145" s="32" t="n">
        <v>28</v>
      </c>
      <c r="AB145" s="34" t="n">
        <f aca="false">AA145+Y145</f>
        <v>84.7</v>
      </c>
      <c r="AC145" s="34" t="n">
        <f aca="false">AA145+Z145</f>
        <v>85</v>
      </c>
      <c r="AD145" s="32" t="n">
        <f aca="false">X145+R145+Q145+K145+J145</f>
        <v>414</v>
      </c>
      <c r="AE145" s="16" t="n">
        <f aca="false">AD145/5</f>
        <v>82.8</v>
      </c>
      <c r="AF145" s="16" t="n">
        <v>85</v>
      </c>
      <c r="AG145" s="16" t="n">
        <v>92</v>
      </c>
      <c r="AH145" s="16" t="n">
        <v>93</v>
      </c>
      <c r="AI145" s="16" t="n">
        <v>90</v>
      </c>
      <c r="AJ145" s="16" t="n">
        <f aca="false">(AI145*70)/100</f>
        <v>63</v>
      </c>
      <c r="AK145" s="35" t="n">
        <f aca="false">ROUNDUP(AJ145,0)</f>
        <v>63</v>
      </c>
      <c r="AL145" s="16" t="n">
        <v>25</v>
      </c>
      <c r="AM145" s="16" t="n">
        <f aca="false">AL145+AJ145</f>
        <v>88</v>
      </c>
      <c r="AN145" s="16" t="n">
        <f aca="false">AL145+AK145</f>
        <v>88</v>
      </c>
      <c r="AO145" s="16" t="n">
        <v>83</v>
      </c>
      <c r="AP145" s="36" t="n">
        <f aca="false">(AO145*70)/100</f>
        <v>58.1</v>
      </c>
      <c r="AQ145" s="37" t="n">
        <f aca="false">ROUNDUP(AP145,0)</f>
        <v>59</v>
      </c>
      <c r="AR145" s="16" t="n">
        <v>26</v>
      </c>
      <c r="AS145" s="16" t="n">
        <f aca="false">AR145+AP145</f>
        <v>84.1</v>
      </c>
      <c r="AT145" s="16" t="n">
        <f aca="false">AR145+AQ145</f>
        <v>85</v>
      </c>
      <c r="AU145" s="16" t="n">
        <f aca="false">AO145+AF145+AI145+AH145+AG145</f>
        <v>443</v>
      </c>
      <c r="AV145" s="16" t="n">
        <f aca="false">(AO145+AF145+AI145+AH145+AG145)/5</f>
        <v>88.6</v>
      </c>
      <c r="AW145" s="36" t="n">
        <f aca="false">(AO145+AF145+AI145+AH145+AG145+X145+R145+Q145+K145+J145)</f>
        <v>857</v>
      </c>
      <c r="AX145" s="16" t="n">
        <f aca="false">AW145/10</f>
        <v>85.7</v>
      </c>
      <c r="AY145" s="16" t="n">
        <f aca="false">AS145+AF145+AM145+AH145+AG145+AB145+V145+Q145+O145+J145</f>
        <v>855.9</v>
      </c>
      <c r="AZ145" s="16" t="n">
        <f aca="false">AT145+AF145+AN145+AH145+AG145+AC145+W145+Q145+P145+J145</f>
        <v>858</v>
      </c>
      <c r="BA145" s="16" t="n">
        <f aca="false">AY145/10</f>
        <v>85.59</v>
      </c>
      <c r="BB145" s="16" t="n">
        <f aca="false">AZ145/10</f>
        <v>85.8</v>
      </c>
      <c r="BC145" s="16" t="n">
        <v>2385</v>
      </c>
      <c r="BD145" s="16" t="n">
        <f aca="false">RANK(AX145,$AX$2:$AX$881,0)</f>
        <v>77</v>
      </c>
      <c r="BE145" s="38" t="n">
        <f aca="false">((BC145*100)/2400)*0.4+(AX145*0.6)</f>
        <v>91.17</v>
      </c>
      <c r="BF145" s="16" t="n">
        <f aca="false">RANK(BE145,$BE$2:$BE$881,0)</f>
        <v>71</v>
      </c>
      <c r="BG145" s="39" t="n">
        <f aca="false">RANK(BB145,$BB$2:$BB$881,0)</f>
        <v>88</v>
      </c>
      <c r="BH145" s="39" t="n">
        <f aca="false">RANK(BC145,$BC$2:$BC$881,0)</f>
        <v>93</v>
      </c>
      <c r="BI145" s="22" t="s">
        <v>130</v>
      </c>
      <c r="BJ145" s="22" t="s">
        <v>129</v>
      </c>
      <c r="BK145" s="40" t="s">
        <v>131</v>
      </c>
      <c r="BL145" s="41" t="n">
        <v>27</v>
      </c>
      <c r="BM145" s="41" t="n">
        <v>66</v>
      </c>
      <c r="BN145" s="41" t="n">
        <v>93</v>
      </c>
      <c r="BO145" s="42" t="n">
        <v>29</v>
      </c>
      <c r="BP145" s="43" t="n">
        <v>66</v>
      </c>
      <c r="BQ145" s="44" t="n">
        <v>95</v>
      </c>
      <c r="BR145" s="42" t="n">
        <v>29</v>
      </c>
      <c r="BS145" s="45" t="n">
        <v>64</v>
      </c>
      <c r="BT145" s="45" t="n">
        <v>93</v>
      </c>
      <c r="BU145" s="46" t="n">
        <v>100</v>
      </c>
      <c r="BV145" s="47" t="n">
        <v>96</v>
      </c>
      <c r="BW145" s="42" t="n">
        <v>100</v>
      </c>
      <c r="BX145" s="48" t="n">
        <v>98</v>
      </c>
      <c r="BY145" s="32" t="n">
        <v>28</v>
      </c>
      <c r="BZ145" s="32" t="n">
        <v>66</v>
      </c>
      <c r="CA145" s="32" t="n">
        <v>94</v>
      </c>
      <c r="CB145" s="32" t="n">
        <v>23</v>
      </c>
      <c r="CC145" s="32" t="n">
        <v>43</v>
      </c>
      <c r="CD145" s="32" t="n">
        <v>66</v>
      </c>
      <c r="CE145" s="32" t="n">
        <v>25</v>
      </c>
      <c r="CF145" s="32" t="n">
        <v>56</v>
      </c>
      <c r="CG145" s="32" t="n">
        <v>81</v>
      </c>
      <c r="CH145" s="32" t="n">
        <v>98</v>
      </c>
      <c r="CI145" s="32" t="n">
        <v>100</v>
      </c>
      <c r="CJ145" s="49" t="n">
        <v>27</v>
      </c>
      <c r="CK145" s="49" t="n">
        <v>55</v>
      </c>
      <c r="CL145" s="49" t="n">
        <v>82</v>
      </c>
      <c r="CM145" s="49" t="n">
        <v>24</v>
      </c>
      <c r="CN145" s="49" t="n">
        <v>59</v>
      </c>
      <c r="CO145" s="49" t="n">
        <v>83</v>
      </c>
      <c r="CP145" s="25" t="n">
        <f aca="false">BX145+BW145+BV145+BU145+BT145+BQ145+BN145</f>
        <v>675</v>
      </c>
      <c r="CQ145" s="25" t="n">
        <f aca="false">CO145+CL145+CI145+CH145+CG145+CD145+CA145</f>
        <v>604</v>
      </c>
      <c r="CR145" s="26" t="n">
        <f aca="false">CP145/7</f>
        <v>96.4285714285714</v>
      </c>
      <c r="CS145" s="26" t="n">
        <f aca="false">CQ145/7</f>
        <v>86.2857142857143</v>
      </c>
      <c r="CT145" s="24" t="n">
        <f aca="false">RANK(CR145,$CR$2:$CR$881,0)</f>
        <v>2</v>
      </c>
      <c r="CU145" s="25" t="n">
        <f aca="false">RANK(CS145,$CS$2:$CS$881,0)</f>
        <v>70</v>
      </c>
      <c r="CV145" s="26" t="n">
        <f aca="false">(CS145+CR145)/2</f>
        <v>91.3571428571429</v>
      </c>
      <c r="CW145" s="25" t="n">
        <f aca="false">RANK(CV145,$CV$2:$CV$881,0)</f>
        <v>32</v>
      </c>
      <c r="CX145" s="50" t="n">
        <f aca="false">(CV145+BB145)/2</f>
        <v>88.5785714285714</v>
      </c>
      <c r="CY145" s="50" t="n">
        <v>41</v>
      </c>
      <c r="CZ145" s="27" t="s">
        <v>132</v>
      </c>
      <c r="DA145" s="27" t="s">
        <v>176</v>
      </c>
      <c r="DB145" s="27" t="s">
        <v>176</v>
      </c>
      <c r="DC145" s="27" t="s">
        <v>134</v>
      </c>
      <c r="DD145" s="27" t="s">
        <v>135</v>
      </c>
      <c r="DE145" s="27" t="s">
        <v>619</v>
      </c>
      <c r="DF145" s="27" t="s">
        <v>135</v>
      </c>
      <c r="DG145" s="27" t="s">
        <v>480</v>
      </c>
      <c r="DH145" s="27" t="s">
        <v>191</v>
      </c>
      <c r="DI145" s="27" t="s">
        <v>141</v>
      </c>
      <c r="DJ145" s="27" t="s">
        <v>178</v>
      </c>
      <c r="DK145" s="27" t="s">
        <v>134</v>
      </c>
      <c r="DL145" s="27" t="s">
        <v>137</v>
      </c>
      <c r="DM145" s="27" t="s">
        <v>306</v>
      </c>
      <c r="DN145" s="27" t="s">
        <v>196</v>
      </c>
      <c r="DO145" s="27" t="s">
        <v>134</v>
      </c>
      <c r="DP145" s="27" t="s">
        <v>154</v>
      </c>
      <c r="DQ145" s="27" t="s">
        <v>304</v>
      </c>
      <c r="DR145" s="27" t="s">
        <v>382</v>
      </c>
      <c r="DS145" s="27" t="s">
        <v>134</v>
      </c>
      <c r="DT145" s="27" t="s">
        <v>182</v>
      </c>
      <c r="DU145" s="27" t="s">
        <v>203</v>
      </c>
      <c r="DV145" s="27" t="s">
        <v>202</v>
      </c>
      <c r="DW145" s="27" t="s">
        <v>160</v>
      </c>
      <c r="DX145" s="27" t="s">
        <v>155</v>
      </c>
      <c r="DY145" s="27" t="s">
        <v>145</v>
      </c>
      <c r="DZ145" s="27" t="n">
        <f aca="false">DY145+DV145+DR145+DN145+DJ145+DF145+DB145</f>
        <v>546</v>
      </c>
      <c r="EA145" s="28" t="n">
        <f aca="false">DZ145/7</f>
        <v>78</v>
      </c>
      <c r="EB145" s="27" t="n">
        <f aca="false">RANK(EA145,$EA$2:$EA$881,0)</f>
        <v>456</v>
      </c>
      <c r="EC145" s="29" t="n">
        <f aca="false">DZ145+CQ145+CP145+AZ145</f>
        <v>2683</v>
      </c>
      <c r="ED145" s="30" t="n">
        <f aca="false">(EA145+CV145+BB145)/3</f>
        <v>85.0523809523809</v>
      </c>
      <c r="EE145" s="51" t="n">
        <f aca="false">ROUND(BE145,3)</f>
        <v>91.17</v>
      </c>
      <c r="EF145" s="51" t="n">
        <f aca="false">ROUND(CR145,3)</f>
        <v>96.429</v>
      </c>
      <c r="EG145" s="51" t="n">
        <f aca="false">ROUND(CS145,3)</f>
        <v>86.286</v>
      </c>
      <c r="EH145" s="51" t="n">
        <f aca="false">ROUND(EA145,3)</f>
        <v>78</v>
      </c>
      <c r="EI145" s="51" t="n">
        <f aca="false">ROUND(ED145,3)</f>
        <v>85.052</v>
      </c>
      <c r="EJ145" s="51" t="n">
        <f aca="false">ROUND(CV145,3)</f>
        <v>91.357</v>
      </c>
      <c r="EK145" s="0" t="n">
        <f aca="false">RANK(EI145,$EI$2:$EI$881,0)</f>
        <v>144</v>
      </c>
    </row>
    <row r="146" customFormat="false" ht="15" hidden="false" customHeight="false" outlineLevel="0" collapsed="false">
      <c r="A146" s="4" t="n">
        <v>8837</v>
      </c>
      <c r="B146" s="4" t="n">
        <v>607</v>
      </c>
      <c r="C146" s="27" t="s">
        <v>620</v>
      </c>
      <c r="D146" s="31" t="n">
        <v>614</v>
      </c>
      <c r="E146" s="32" t="n">
        <v>230319159</v>
      </c>
      <c r="F146" s="55" t="s">
        <v>621</v>
      </c>
      <c r="G146" s="22" t="s">
        <v>622</v>
      </c>
      <c r="H146" s="22" t="s">
        <v>129</v>
      </c>
      <c r="I146" s="33" t="n">
        <v>2006</v>
      </c>
      <c r="J146" s="32" t="n">
        <v>88</v>
      </c>
      <c r="K146" s="32" t="n">
        <v>83</v>
      </c>
      <c r="L146" s="34" t="n">
        <f aca="false">(K146*70)/100</f>
        <v>58.1</v>
      </c>
      <c r="M146" s="34" t="n">
        <f aca="false">ROUNDUP(L146,0)</f>
        <v>59</v>
      </c>
      <c r="N146" s="32" t="n">
        <v>27</v>
      </c>
      <c r="O146" s="34" t="n">
        <f aca="false">N146+L146</f>
        <v>85.1</v>
      </c>
      <c r="P146" s="34" t="n">
        <f aca="false">N146+M146</f>
        <v>86</v>
      </c>
      <c r="Q146" s="32" t="n">
        <v>81</v>
      </c>
      <c r="R146" s="32" t="n">
        <v>72</v>
      </c>
      <c r="S146" s="34" t="n">
        <f aca="false">(R146*70)/100</f>
        <v>50.4</v>
      </c>
      <c r="T146" s="34" t="n">
        <f aca="false">ROUNDUP(S146,0)</f>
        <v>51</v>
      </c>
      <c r="U146" s="32" t="n">
        <v>21</v>
      </c>
      <c r="V146" s="34" t="n">
        <f aca="false">U146+S146</f>
        <v>71.4</v>
      </c>
      <c r="W146" s="34" t="n">
        <f aca="false">U146+T146</f>
        <v>72</v>
      </c>
      <c r="X146" s="32" t="n">
        <v>70</v>
      </c>
      <c r="Y146" s="34" t="n">
        <f aca="false">(X146*70)/100</f>
        <v>49</v>
      </c>
      <c r="Z146" s="34" t="n">
        <f aca="false">ROUNDUP(Y146,0)</f>
        <v>49</v>
      </c>
      <c r="AA146" s="32" t="n">
        <v>21</v>
      </c>
      <c r="AB146" s="34" t="n">
        <f aca="false">AA146+Y146</f>
        <v>70</v>
      </c>
      <c r="AC146" s="34" t="n">
        <f aca="false">AA146+Z146</f>
        <v>70</v>
      </c>
      <c r="AD146" s="32" t="n">
        <f aca="false">X146+R146+Q146+K146+J146</f>
        <v>394</v>
      </c>
      <c r="AE146" s="16" t="n">
        <f aca="false">AD146/5</f>
        <v>78.8</v>
      </c>
      <c r="AF146" s="16" t="n">
        <v>75</v>
      </c>
      <c r="AG146" s="16" t="n">
        <v>92</v>
      </c>
      <c r="AH146" s="16" t="n">
        <v>82</v>
      </c>
      <c r="AI146" s="16" t="n">
        <v>88</v>
      </c>
      <c r="AJ146" s="16" t="n">
        <f aca="false">(AI146*70)/100</f>
        <v>61.6</v>
      </c>
      <c r="AK146" s="35" t="n">
        <f aca="false">ROUNDUP(AJ146,0)</f>
        <v>62</v>
      </c>
      <c r="AL146" s="16" t="n">
        <v>24</v>
      </c>
      <c r="AM146" s="16" t="n">
        <f aca="false">AL146+AJ146</f>
        <v>85.6</v>
      </c>
      <c r="AN146" s="16" t="n">
        <f aca="false">AL146+AK146</f>
        <v>86</v>
      </c>
      <c r="AO146" s="16" t="n">
        <v>77</v>
      </c>
      <c r="AP146" s="36" t="n">
        <f aca="false">(AO146*70)/100</f>
        <v>53.9</v>
      </c>
      <c r="AQ146" s="37" t="n">
        <f aca="false">ROUNDUP(AP146,0)</f>
        <v>54</v>
      </c>
      <c r="AR146" s="16" t="n">
        <v>28</v>
      </c>
      <c r="AS146" s="16" t="n">
        <f aca="false">AR146+AP146</f>
        <v>81.9</v>
      </c>
      <c r="AT146" s="16" t="n">
        <f aca="false">AR146+AQ146</f>
        <v>82</v>
      </c>
      <c r="AU146" s="16" t="n">
        <f aca="false">AO146+AF146+AI146+AH146+AG146</f>
        <v>414</v>
      </c>
      <c r="AV146" s="16" t="n">
        <f aca="false">(AO146+AF146+AI146+AH146+AG146)/5</f>
        <v>82.8</v>
      </c>
      <c r="AW146" s="36" t="n">
        <f aca="false">(AO146+AF146+AI146+AH146+AG146+X146+R146+Q146+K146+J146)</f>
        <v>808</v>
      </c>
      <c r="AX146" s="16" t="n">
        <f aca="false">AW146/10</f>
        <v>80.8</v>
      </c>
      <c r="AY146" s="16" t="n">
        <f aca="false">AS146+AF146+AM146+AH146+AG146+AB146+V146+Q146+O146+J146</f>
        <v>812</v>
      </c>
      <c r="AZ146" s="16" t="n">
        <f aca="false">AT146+AF146+AN146+AH146+AG146+AC146+W146+Q146+P146+J146</f>
        <v>814</v>
      </c>
      <c r="BA146" s="16" t="n">
        <f aca="false">AY146/10</f>
        <v>81.2</v>
      </c>
      <c r="BB146" s="16" t="n">
        <f aca="false">AZ146/10</f>
        <v>81.4</v>
      </c>
      <c r="BC146" s="16" t="n">
        <v>2347</v>
      </c>
      <c r="BD146" s="16" t="n">
        <f aca="false">RANK(AX146,$AX$2:$AX$881,0)</f>
        <v>217</v>
      </c>
      <c r="BE146" s="54" t="n">
        <f aca="false">((BC146*100)/2400)*0.4+(AX146*0.6)</f>
        <v>87.5966666666667</v>
      </c>
      <c r="BF146" s="16" t="n">
        <f aca="false">RANK(BE146,$BE$2:$BE$881,0)</f>
        <v>238</v>
      </c>
      <c r="BG146" s="39" t="n">
        <f aca="false">RANK(BB146,$BB$2:$BB$881,0)</f>
        <v>252</v>
      </c>
      <c r="BH146" s="39" t="n">
        <f aca="false">RANK(BC146,$BC$2:$BC$881,0)</f>
        <v>562</v>
      </c>
      <c r="BI146" s="22" t="s">
        <v>130</v>
      </c>
      <c r="BJ146" s="22" t="s">
        <v>129</v>
      </c>
      <c r="BK146" s="40" t="s">
        <v>131</v>
      </c>
      <c r="BL146" s="41" t="n">
        <v>16</v>
      </c>
      <c r="BM146" s="41" t="n">
        <v>57</v>
      </c>
      <c r="BN146" s="41" t="n">
        <v>73</v>
      </c>
      <c r="BO146" s="42" t="n">
        <v>27</v>
      </c>
      <c r="BP146" s="43" t="n">
        <v>58</v>
      </c>
      <c r="BQ146" s="44" t="n">
        <v>85</v>
      </c>
      <c r="BR146" s="42" t="n">
        <v>22</v>
      </c>
      <c r="BS146" s="45" t="n">
        <v>58</v>
      </c>
      <c r="BT146" s="45" t="n">
        <v>80</v>
      </c>
      <c r="BU146" s="46" t="n">
        <v>100</v>
      </c>
      <c r="BV146" s="47" t="n">
        <v>94</v>
      </c>
      <c r="BW146" s="42" t="n">
        <v>92</v>
      </c>
      <c r="BX146" s="48" t="n">
        <v>92</v>
      </c>
      <c r="BY146" s="32" t="n">
        <v>28</v>
      </c>
      <c r="BZ146" s="32" t="n">
        <v>56</v>
      </c>
      <c r="CA146" s="32" t="n">
        <v>84</v>
      </c>
      <c r="CB146" s="32" t="n">
        <v>26</v>
      </c>
      <c r="CC146" s="32" t="n">
        <v>48</v>
      </c>
      <c r="CD146" s="32" t="n">
        <v>74</v>
      </c>
      <c r="CE146" s="32" t="n">
        <v>25</v>
      </c>
      <c r="CF146" s="32" t="n">
        <v>55</v>
      </c>
      <c r="CG146" s="32" t="n">
        <v>80</v>
      </c>
      <c r="CH146" s="32" t="n">
        <v>93</v>
      </c>
      <c r="CI146" s="32" t="n">
        <v>99</v>
      </c>
      <c r="CJ146" s="49" t="n">
        <v>28</v>
      </c>
      <c r="CK146" s="49" t="n">
        <v>59</v>
      </c>
      <c r="CL146" s="49" t="n">
        <v>87</v>
      </c>
      <c r="CM146" s="49" t="n">
        <v>26</v>
      </c>
      <c r="CN146" s="49" t="n">
        <v>50</v>
      </c>
      <c r="CO146" s="49" t="n">
        <v>76</v>
      </c>
      <c r="CP146" s="25" t="n">
        <f aca="false">BX146+BW146+BV146+BU146+BT146+BQ146+BN146</f>
        <v>616</v>
      </c>
      <c r="CQ146" s="25" t="n">
        <f aca="false">CO146+CL146+CI146+CH146+CG146+CD146+CA146</f>
        <v>593</v>
      </c>
      <c r="CR146" s="26" t="n">
        <f aca="false">CP146/7</f>
        <v>88</v>
      </c>
      <c r="CS146" s="26" t="n">
        <f aca="false">CQ146/7</f>
        <v>84.7142857142857</v>
      </c>
      <c r="CT146" s="24" t="n">
        <f aca="false">RANK(CR146,$CR$2:$CR$881,0)</f>
        <v>304</v>
      </c>
      <c r="CU146" s="25" t="n">
        <f aca="false">RANK(CS146,$CS$2:$CS$881,0)</f>
        <v>107</v>
      </c>
      <c r="CV146" s="26" t="n">
        <f aca="false">(CS146+CR146)/2</f>
        <v>86.3571428571429</v>
      </c>
      <c r="CW146" s="25" t="n">
        <f aca="false">RANK(CV146,$CV$2:$CV$881,0)</f>
        <v>163</v>
      </c>
      <c r="CX146" s="50" t="n">
        <f aca="false">(CV146+BB146)/2</f>
        <v>83.8785714285714</v>
      </c>
      <c r="CY146" s="50" t="n">
        <v>167</v>
      </c>
      <c r="CZ146" s="27" t="s">
        <v>132</v>
      </c>
      <c r="DA146" s="27" t="s">
        <v>175</v>
      </c>
      <c r="DB146" s="27" t="s">
        <v>175</v>
      </c>
      <c r="DC146" s="27" t="s">
        <v>134</v>
      </c>
      <c r="DD146" s="27" t="s">
        <v>135</v>
      </c>
      <c r="DE146" s="27" t="s">
        <v>204</v>
      </c>
      <c r="DF146" s="27" t="s">
        <v>209</v>
      </c>
      <c r="DG146" s="27" t="s">
        <v>134</v>
      </c>
      <c r="DH146" s="27" t="s">
        <v>135</v>
      </c>
      <c r="DI146" s="27" t="s">
        <v>161</v>
      </c>
      <c r="DJ146" s="27" t="s">
        <v>202</v>
      </c>
      <c r="DK146" s="27" t="s">
        <v>134</v>
      </c>
      <c r="DL146" s="27" t="s">
        <v>137</v>
      </c>
      <c r="DM146" s="27" t="s">
        <v>306</v>
      </c>
      <c r="DN146" s="27" t="s">
        <v>196</v>
      </c>
      <c r="DO146" s="27" t="s">
        <v>134</v>
      </c>
      <c r="DP146" s="27" t="s">
        <v>182</v>
      </c>
      <c r="DQ146" s="27" t="s">
        <v>203</v>
      </c>
      <c r="DR146" s="27" t="s">
        <v>202</v>
      </c>
      <c r="DS146" s="27" t="s">
        <v>134</v>
      </c>
      <c r="DT146" s="27" t="s">
        <v>140</v>
      </c>
      <c r="DU146" s="27" t="s">
        <v>203</v>
      </c>
      <c r="DV146" s="27" t="s">
        <v>170</v>
      </c>
      <c r="DW146" s="27" t="s">
        <v>160</v>
      </c>
      <c r="DX146" s="27" t="s">
        <v>155</v>
      </c>
      <c r="DY146" s="27" t="s">
        <v>145</v>
      </c>
      <c r="DZ146" s="27" t="n">
        <f aca="false">DY146+DV146+DR146+DN146+DJ146+DF146+DB146</f>
        <v>611</v>
      </c>
      <c r="EA146" s="28" t="n">
        <f aca="false">DZ146/7</f>
        <v>87.2857142857143</v>
      </c>
      <c r="EB146" s="27" t="n">
        <f aca="false">RANK(EA146,$EA$2:$EA$881,0)</f>
        <v>112</v>
      </c>
      <c r="EC146" s="29" t="n">
        <f aca="false">DZ146+CQ146+CP146+AZ146</f>
        <v>2634</v>
      </c>
      <c r="ED146" s="30" t="n">
        <f aca="false">(EA146+CV146+BB146)/3</f>
        <v>85.0142857142857</v>
      </c>
      <c r="EE146" s="51" t="n">
        <f aca="false">ROUND(BE146,3)</f>
        <v>87.597</v>
      </c>
      <c r="EF146" s="51" t="n">
        <f aca="false">ROUND(CR146,3)</f>
        <v>88</v>
      </c>
      <c r="EG146" s="51" t="n">
        <f aca="false">ROUND(CS146,3)</f>
        <v>84.714</v>
      </c>
      <c r="EH146" s="51" t="n">
        <f aca="false">ROUND(EA146,3)</f>
        <v>87.286</v>
      </c>
      <c r="EI146" s="51" t="n">
        <f aca="false">ROUND(ED146,3)</f>
        <v>85.014</v>
      </c>
      <c r="EJ146" s="51" t="n">
        <f aca="false">ROUND(CV146,3)</f>
        <v>86.357</v>
      </c>
      <c r="EK146" s="0" t="n">
        <f aca="false">RANK(EI146,$EI$2:$EI$881,0)</f>
        <v>145</v>
      </c>
    </row>
    <row r="147" customFormat="false" ht="15" hidden="false" customHeight="false" outlineLevel="0" collapsed="false">
      <c r="A147" s="4" t="n">
        <v>8943</v>
      </c>
      <c r="B147" s="4" t="n">
        <v>137</v>
      </c>
      <c r="C147" s="27" t="s">
        <v>623</v>
      </c>
      <c r="D147" s="31" t="n">
        <v>134</v>
      </c>
      <c r="E147" s="32" t="n">
        <v>230324820</v>
      </c>
      <c r="F147" s="8" t="s">
        <v>624</v>
      </c>
      <c r="G147" s="22" t="s">
        <v>573</v>
      </c>
      <c r="H147" s="22" t="s">
        <v>129</v>
      </c>
      <c r="I147" s="33" t="n">
        <v>2005</v>
      </c>
      <c r="J147" s="32" t="n">
        <v>84</v>
      </c>
      <c r="K147" s="32" t="n">
        <v>91</v>
      </c>
      <c r="L147" s="34" t="n">
        <f aca="false">(K147*70)/100</f>
        <v>63.7</v>
      </c>
      <c r="M147" s="34" t="n">
        <f aca="false">ROUNDUP(L147,0)</f>
        <v>64</v>
      </c>
      <c r="N147" s="32" t="n">
        <v>24</v>
      </c>
      <c r="O147" s="34" t="n">
        <f aca="false">N147+L147</f>
        <v>87.7</v>
      </c>
      <c r="P147" s="34" t="n">
        <f aca="false">N147+M147</f>
        <v>88</v>
      </c>
      <c r="Q147" s="32" t="n">
        <v>86</v>
      </c>
      <c r="R147" s="32" t="n">
        <v>89</v>
      </c>
      <c r="S147" s="34" t="n">
        <f aca="false">(R147*70)/100</f>
        <v>62.3</v>
      </c>
      <c r="T147" s="34" t="n">
        <f aca="false">ROUNDUP(S147,0)</f>
        <v>63</v>
      </c>
      <c r="U147" s="32" t="n">
        <v>21</v>
      </c>
      <c r="V147" s="34" t="n">
        <f aca="false">U147+S147</f>
        <v>83.3</v>
      </c>
      <c r="W147" s="34" t="n">
        <f aca="false">U147+T147</f>
        <v>84</v>
      </c>
      <c r="X147" s="32" t="n">
        <v>83</v>
      </c>
      <c r="Y147" s="34" t="n">
        <f aca="false">(X147*70)/100</f>
        <v>58.1</v>
      </c>
      <c r="Z147" s="34" t="n">
        <f aca="false">ROUNDUP(Y147,0)</f>
        <v>59</v>
      </c>
      <c r="AA147" s="32" t="n">
        <v>24</v>
      </c>
      <c r="AB147" s="34" t="n">
        <f aca="false">AA147+Y147</f>
        <v>82.1</v>
      </c>
      <c r="AC147" s="34" t="n">
        <f aca="false">AA147+Z147</f>
        <v>83</v>
      </c>
      <c r="AD147" s="32" t="n">
        <f aca="false">X147+R147+Q147+K147+J147</f>
        <v>433</v>
      </c>
      <c r="AE147" s="16" t="n">
        <f aca="false">AD147/5</f>
        <v>86.6</v>
      </c>
      <c r="AF147" s="16" t="n">
        <v>87</v>
      </c>
      <c r="AG147" s="16" t="n">
        <v>85</v>
      </c>
      <c r="AH147" s="16" t="n">
        <v>95</v>
      </c>
      <c r="AI147" s="16" t="n">
        <v>88</v>
      </c>
      <c r="AJ147" s="16" t="n">
        <f aca="false">(AI147*70)/100</f>
        <v>61.6</v>
      </c>
      <c r="AK147" s="35" t="n">
        <f aca="false">ROUNDUP(AJ147,0)</f>
        <v>62</v>
      </c>
      <c r="AL147" s="16" t="n">
        <v>27</v>
      </c>
      <c r="AM147" s="16" t="n">
        <f aca="false">AL147+AJ147</f>
        <v>88.6</v>
      </c>
      <c r="AN147" s="16" t="n">
        <f aca="false">AL147+AK147</f>
        <v>89</v>
      </c>
      <c r="AO147" s="16" t="n">
        <v>79</v>
      </c>
      <c r="AP147" s="36" t="n">
        <f aca="false">(AO147*70)/100</f>
        <v>55.3</v>
      </c>
      <c r="AQ147" s="37" t="n">
        <f aca="false">ROUNDUP(AP147,0)</f>
        <v>56</v>
      </c>
      <c r="AR147" s="16" t="n">
        <v>29</v>
      </c>
      <c r="AS147" s="16" t="n">
        <f aca="false">AR147+AP147</f>
        <v>84.3</v>
      </c>
      <c r="AT147" s="16" t="n">
        <f aca="false">AR147+AQ147</f>
        <v>85</v>
      </c>
      <c r="AU147" s="16" t="n">
        <f aca="false">AO147+AF147+AI147+AH147+AG147</f>
        <v>434</v>
      </c>
      <c r="AV147" s="16" t="n">
        <f aca="false">(AO147+AF147+AI147+AH147+AG147)/5</f>
        <v>86.8</v>
      </c>
      <c r="AW147" s="36" t="n">
        <f aca="false">(AO147+AF147+AI147+AH147+AG147+X147+R147+Q147+K147+J147)</f>
        <v>867</v>
      </c>
      <c r="AX147" s="16" t="n">
        <f aca="false">AW147/10</f>
        <v>86.7</v>
      </c>
      <c r="AY147" s="16" t="n">
        <f aca="false">AS147+AF147+AM147+AH147+AG147+AB147+V147+Q147+O147+J147</f>
        <v>863</v>
      </c>
      <c r="AZ147" s="16" t="n">
        <f aca="false">AT147+AF147+AN147+AH147+AG147+AC147+W147+Q147+P147+J147</f>
        <v>866</v>
      </c>
      <c r="BA147" s="16" t="n">
        <f aca="false">AY147/10</f>
        <v>86.3</v>
      </c>
      <c r="BB147" s="16" t="n">
        <f aca="false">AZ147/10</f>
        <v>86.6</v>
      </c>
      <c r="BC147" s="16" t="n">
        <v>2386</v>
      </c>
      <c r="BD147" s="16" t="n">
        <f aca="false">RANK(AX147,$AX$2:$AX$881,0)</f>
        <v>57</v>
      </c>
      <c r="BE147" s="38" t="n">
        <f aca="false">((BC147*100)/2400)*0.4+(AX147*0.6)</f>
        <v>91.7866666666667</v>
      </c>
      <c r="BF147" s="16" t="n">
        <f aca="false">RANK(BE147,$BE$2:$BE$881,0)</f>
        <v>48</v>
      </c>
      <c r="BG147" s="39" t="n">
        <f aca="false">RANK(BB147,$BB$2:$BB$881,0)</f>
        <v>69</v>
      </c>
      <c r="BH147" s="39" t="n">
        <f aca="false">RANK(BC147,$BC$2:$BC$881,0)</f>
        <v>86</v>
      </c>
      <c r="BI147" s="22" t="s">
        <v>130</v>
      </c>
      <c r="BJ147" s="22" t="s">
        <v>129</v>
      </c>
      <c r="BK147" s="40" t="s">
        <v>131</v>
      </c>
      <c r="BL147" s="41" t="n">
        <v>22</v>
      </c>
      <c r="BM147" s="41" t="n">
        <v>60</v>
      </c>
      <c r="BN147" s="41" t="n">
        <v>82</v>
      </c>
      <c r="BO147" s="42" t="n">
        <v>28</v>
      </c>
      <c r="BP147" s="43" t="n">
        <v>59</v>
      </c>
      <c r="BQ147" s="44" t="n">
        <v>87</v>
      </c>
      <c r="BR147" s="42" t="n">
        <v>22</v>
      </c>
      <c r="BS147" s="45" t="n">
        <v>63</v>
      </c>
      <c r="BT147" s="45" t="n">
        <v>85</v>
      </c>
      <c r="BU147" s="46" t="n">
        <v>100</v>
      </c>
      <c r="BV147" s="47" t="n">
        <v>92</v>
      </c>
      <c r="BW147" s="42" t="n">
        <v>100</v>
      </c>
      <c r="BX147" s="48" t="n">
        <v>98</v>
      </c>
      <c r="BY147" s="32" t="n">
        <v>26</v>
      </c>
      <c r="BZ147" s="32" t="n">
        <v>56</v>
      </c>
      <c r="CA147" s="32" t="n">
        <v>82</v>
      </c>
      <c r="CB147" s="32" t="n">
        <v>27</v>
      </c>
      <c r="CC147" s="32" t="n">
        <v>46</v>
      </c>
      <c r="CD147" s="32" t="n">
        <v>73</v>
      </c>
      <c r="CE147" s="32" t="n">
        <v>22</v>
      </c>
      <c r="CF147" s="32" t="n">
        <v>58</v>
      </c>
      <c r="CG147" s="32" t="n">
        <v>80</v>
      </c>
      <c r="CH147" s="32" t="n">
        <v>99</v>
      </c>
      <c r="CI147" s="32" t="n">
        <v>98</v>
      </c>
      <c r="CJ147" s="49" t="n">
        <v>25</v>
      </c>
      <c r="CK147" s="49" t="n">
        <v>56</v>
      </c>
      <c r="CL147" s="49" t="n">
        <v>81</v>
      </c>
      <c r="CM147" s="49" t="n">
        <v>20</v>
      </c>
      <c r="CN147" s="49" t="n">
        <v>53</v>
      </c>
      <c r="CO147" s="49" t="n">
        <v>73</v>
      </c>
      <c r="CP147" s="25" t="n">
        <f aca="false">BX147+BW147+BV147+BU147+BT147+BQ147+BN147</f>
        <v>644</v>
      </c>
      <c r="CQ147" s="25" t="n">
        <f aca="false">CO147+CL147+CI147+CH147+CG147+CD147+CA147</f>
        <v>586</v>
      </c>
      <c r="CR147" s="26" t="n">
        <f aca="false">CP147/7</f>
        <v>92</v>
      </c>
      <c r="CS147" s="26" t="n">
        <f aca="false">CQ147/7</f>
        <v>83.7142857142857</v>
      </c>
      <c r="CT147" s="24" t="n">
        <f aca="false">RANK(CR147,$CR$2:$CR$881,0)</f>
        <v>91</v>
      </c>
      <c r="CU147" s="25" t="n">
        <f aca="false">RANK(CS147,$CS$2:$CS$881,0)</f>
        <v>131</v>
      </c>
      <c r="CV147" s="26" t="n">
        <f aca="false">(CS147+CR147)/2</f>
        <v>87.8571428571429</v>
      </c>
      <c r="CW147" s="25" t="n">
        <f aca="false">RANK(CV147,$CV$2:$CV$881,0)</f>
        <v>96</v>
      </c>
      <c r="CX147" s="50" t="n">
        <f aca="false">(CV147+BB147)/2</f>
        <v>87.2285714285714</v>
      </c>
      <c r="CY147" s="50" t="n">
        <v>69</v>
      </c>
      <c r="CZ147" s="27" t="s">
        <v>132</v>
      </c>
      <c r="DA147" s="27" t="s">
        <v>175</v>
      </c>
      <c r="DB147" s="27" t="s">
        <v>175</v>
      </c>
      <c r="DC147" s="27" t="s">
        <v>134</v>
      </c>
      <c r="DD147" s="27" t="s">
        <v>182</v>
      </c>
      <c r="DE147" s="27" t="s">
        <v>220</v>
      </c>
      <c r="DF147" s="27" t="s">
        <v>219</v>
      </c>
      <c r="DG147" s="27" t="s">
        <v>134</v>
      </c>
      <c r="DH147" s="27" t="s">
        <v>195</v>
      </c>
      <c r="DI147" s="27" t="s">
        <v>203</v>
      </c>
      <c r="DJ147" s="27" t="s">
        <v>169</v>
      </c>
      <c r="DK147" s="27" t="s">
        <v>134</v>
      </c>
      <c r="DL147" s="27" t="s">
        <v>174</v>
      </c>
      <c r="DM147" s="27" t="s">
        <v>220</v>
      </c>
      <c r="DN147" s="27" t="s">
        <v>305</v>
      </c>
      <c r="DO147" s="27" t="s">
        <v>134</v>
      </c>
      <c r="DP147" s="27" t="s">
        <v>264</v>
      </c>
      <c r="DQ147" s="27" t="s">
        <v>177</v>
      </c>
      <c r="DR147" s="27" t="s">
        <v>272</v>
      </c>
      <c r="DS147" s="27" t="s">
        <v>134</v>
      </c>
      <c r="DT147" s="27" t="s">
        <v>137</v>
      </c>
      <c r="DU147" s="27" t="s">
        <v>412</v>
      </c>
      <c r="DV147" s="27" t="s">
        <v>382</v>
      </c>
      <c r="DW147" s="27" t="s">
        <v>182</v>
      </c>
      <c r="DX147" s="27" t="s">
        <v>183</v>
      </c>
      <c r="DY147" s="27" t="s">
        <v>205</v>
      </c>
      <c r="DZ147" s="27" t="n">
        <f aca="false">DY147+DV147+DR147+DN147+DJ147+DF147+DB147</f>
        <v>564</v>
      </c>
      <c r="EA147" s="28" t="n">
        <f aca="false">DZ147/7</f>
        <v>80.5714285714286</v>
      </c>
      <c r="EB147" s="27" t="n">
        <f aca="false">RANK(EA147,$EA$2:$EA$881,0)</f>
        <v>368</v>
      </c>
      <c r="EC147" s="29" t="n">
        <f aca="false">DZ147+CQ147+CP147+AZ147</f>
        <v>2660</v>
      </c>
      <c r="ED147" s="30" t="n">
        <f aca="false">(EA147+CV147+BB147)/3</f>
        <v>85.0095238095238</v>
      </c>
      <c r="EE147" s="51" t="n">
        <f aca="false">ROUND(BE147,3)</f>
        <v>91.787</v>
      </c>
      <c r="EF147" s="51" t="n">
        <f aca="false">ROUND(CR147,3)</f>
        <v>92</v>
      </c>
      <c r="EG147" s="51" t="n">
        <f aca="false">ROUND(CS147,3)</f>
        <v>83.714</v>
      </c>
      <c r="EH147" s="51" t="n">
        <f aca="false">ROUND(EA147,3)</f>
        <v>80.571</v>
      </c>
      <c r="EI147" s="51" t="n">
        <f aca="false">ROUND(ED147,3)</f>
        <v>85.01</v>
      </c>
      <c r="EJ147" s="51" t="n">
        <f aca="false">ROUND(CV147,3)</f>
        <v>87.857</v>
      </c>
      <c r="EK147" s="0" t="n">
        <f aca="false">RANK(EI147,$EI$2:$EI$881,0)</f>
        <v>146</v>
      </c>
    </row>
    <row r="148" customFormat="false" ht="33.7" hidden="false" customHeight="false" outlineLevel="0" collapsed="false">
      <c r="A148" s="4" t="n">
        <v>1897</v>
      </c>
      <c r="B148" s="4" t="n">
        <v>568</v>
      </c>
      <c r="C148" s="27" t="s">
        <v>625</v>
      </c>
      <c r="D148" s="31" t="n">
        <v>573</v>
      </c>
      <c r="E148" s="16" t="n">
        <v>230511729</v>
      </c>
      <c r="F148" s="56" t="s">
        <v>626</v>
      </c>
      <c r="G148" s="22" t="s">
        <v>627</v>
      </c>
      <c r="H148" s="22" t="s">
        <v>465</v>
      </c>
      <c r="I148" s="57"/>
      <c r="J148" s="16" t="n">
        <v>83</v>
      </c>
      <c r="K148" s="16" t="n">
        <v>61</v>
      </c>
      <c r="L148" s="34" t="n">
        <f aca="false">(K148*70)/100</f>
        <v>42.7</v>
      </c>
      <c r="M148" s="34" t="n">
        <f aca="false">ROUNDUP(L148,0)</f>
        <v>43</v>
      </c>
      <c r="N148" s="16" t="n">
        <v>28</v>
      </c>
      <c r="O148" s="34" t="n">
        <f aca="false">N148+L148</f>
        <v>70.7</v>
      </c>
      <c r="P148" s="34" t="n">
        <f aca="false">N148+M148</f>
        <v>71</v>
      </c>
      <c r="Q148" s="16" t="n">
        <v>85</v>
      </c>
      <c r="R148" s="16" t="n">
        <v>75</v>
      </c>
      <c r="S148" s="34" t="n">
        <f aca="false">(R148*70)/100</f>
        <v>52.5</v>
      </c>
      <c r="T148" s="34" t="n">
        <f aca="false">ROUNDUP(S148,0)</f>
        <v>53</v>
      </c>
      <c r="U148" s="16" t="n">
        <v>28</v>
      </c>
      <c r="V148" s="34" t="n">
        <f aca="false">U148+S148</f>
        <v>80.5</v>
      </c>
      <c r="W148" s="34" t="n">
        <f aca="false">U148+T148</f>
        <v>81</v>
      </c>
      <c r="X148" s="16" t="n">
        <v>60</v>
      </c>
      <c r="Y148" s="34" t="n">
        <f aca="false">(X148*70)/100</f>
        <v>42</v>
      </c>
      <c r="Z148" s="34" t="n">
        <f aca="false">ROUNDUP(Y148,0)</f>
        <v>42</v>
      </c>
      <c r="AA148" s="16" t="n">
        <v>26</v>
      </c>
      <c r="AB148" s="34" t="n">
        <f aca="false">AA148+Y148</f>
        <v>68</v>
      </c>
      <c r="AC148" s="34" t="n">
        <f aca="false">AA148+Z148</f>
        <v>68</v>
      </c>
      <c r="AD148" s="32" t="n">
        <f aca="false">X148+R148+Q148+K148+J148</f>
        <v>364</v>
      </c>
      <c r="AE148" s="16" t="n">
        <f aca="false">AD148/5</f>
        <v>72.8</v>
      </c>
      <c r="AF148" s="16" t="n">
        <v>75</v>
      </c>
      <c r="AG148" s="16" t="n">
        <v>89</v>
      </c>
      <c r="AH148" s="16" t="n">
        <v>81</v>
      </c>
      <c r="AI148" s="16" t="n">
        <v>89</v>
      </c>
      <c r="AJ148" s="16" t="n">
        <f aca="false">(AI148*70)/100</f>
        <v>62.3</v>
      </c>
      <c r="AK148" s="35" t="n">
        <f aca="false">ROUNDUP(AJ148,0)</f>
        <v>63</v>
      </c>
      <c r="AL148" s="16" t="n">
        <v>29</v>
      </c>
      <c r="AM148" s="16" t="n">
        <f aca="false">AL148+AJ148</f>
        <v>91.3</v>
      </c>
      <c r="AN148" s="16" t="n">
        <f aca="false">AL148+AK148</f>
        <v>92</v>
      </c>
      <c r="AO148" s="16" t="n">
        <v>77</v>
      </c>
      <c r="AP148" s="36" t="n">
        <f aca="false">(AO148*70)/100</f>
        <v>53.9</v>
      </c>
      <c r="AQ148" s="37" t="n">
        <f aca="false">ROUNDUP(AP148,0)</f>
        <v>54</v>
      </c>
      <c r="AR148" s="16" t="n">
        <v>30</v>
      </c>
      <c r="AS148" s="16" t="n">
        <f aca="false">AR148+AP148</f>
        <v>83.9</v>
      </c>
      <c r="AT148" s="16" t="n">
        <f aca="false">AR148+AQ148</f>
        <v>84</v>
      </c>
      <c r="AU148" s="16" t="n">
        <f aca="false">AO148+AF148+AI148+AH148+AG148</f>
        <v>411</v>
      </c>
      <c r="AV148" s="16" t="n">
        <f aca="false">(AO148+AF148+AI148+AH148+AG148)/5</f>
        <v>82.2</v>
      </c>
      <c r="AW148" s="36" t="n">
        <f aca="false">(AO148+AF148+AI148+AH148+AG148+X148+R148+Q148+K148+J148)</f>
        <v>775</v>
      </c>
      <c r="AX148" s="16" t="n">
        <f aca="false">AW148/10</f>
        <v>77.5</v>
      </c>
      <c r="AY148" s="16" t="n">
        <f aca="false">AS148+AF148+AM148+AH148+AG148+AB148+V148+Q148+O148+J148</f>
        <v>807.4</v>
      </c>
      <c r="AZ148" s="16" t="n">
        <f aca="false">AT148+AF148+AN148+AH148+AG148+AC148+W148+Q148+P148+J148</f>
        <v>809</v>
      </c>
      <c r="BA148" s="16" t="n">
        <f aca="false">AY148/10</f>
        <v>80.74</v>
      </c>
      <c r="BB148" s="16" t="n">
        <f aca="false">AZ148/10</f>
        <v>80.9</v>
      </c>
      <c r="BC148" s="16" t="n">
        <v>2357</v>
      </c>
      <c r="BD148" s="16" t="n">
        <f aca="false">RANK(AX148,$AX$2:$AX$881,0)</f>
        <v>455</v>
      </c>
      <c r="BE148" s="54" t="n">
        <f aca="false">((BC148*100)/2400)*0.4+(AX148*0.6)</f>
        <v>85.7833333333333</v>
      </c>
      <c r="BF148" s="16" t="n">
        <f aca="false">RANK(BE148,$BE$2:$BE$881,0)</f>
        <v>465</v>
      </c>
      <c r="BG148" s="39" t="n">
        <f aca="false">RANK(BB148,$BB$2:$BB$881,0)</f>
        <v>282</v>
      </c>
      <c r="BH148" s="39" t="n">
        <f aca="false">RANK(BC148,$BC$2:$BC$881,0)</f>
        <v>444</v>
      </c>
      <c r="BI148" s="22" t="s">
        <v>130</v>
      </c>
      <c r="BJ148" s="22" t="s">
        <v>129</v>
      </c>
      <c r="BK148" s="40" t="s">
        <v>509</v>
      </c>
      <c r="BL148" s="41" t="n">
        <v>19</v>
      </c>
      <c r="BM148" s="41" t="n">
        <v>58</v>
      </c>
      <c r="BN148" s="41" t="n">
        <v>77</v>
      </c>
      <c r="BO148" s="42" t="n">
        <v>26</v>
      </c>
      <c r="BP148" s="43" t="n">
        <v>58</v>
      </c>
      <c r="BQ148" s="44" t="n">
        <v>84</v>
      </c>
      <c r="BR148" s="42" t="n">
        <v>19</v>
      </c>
      <c r="BS148" s="45" t="n">
        <v>57</v>
      </c>
      <c r="BT148" s="45" t="n">
        <v>76</v>
      </c>
      <c r="BU148" s="46" t="n">
        <v>100</v>
      </c>
      <c r="BV148" s="47" t="n">
        <v>94</v>
      </c>
      <c r="BW148" s="42" t="n">
        <v>99</v>
      </c>
      <c r="BX148" s="48" t="n">
        <v>96</v>
      </c>
      <c r="BY148" s="32" t="n">
        <v>29</v>
      </c>
      <c r="BZ148" s="32" t="n">
        <v>58</v>
      </c>
      <c r="CA148" s="32" t="n">
        <v>87</v>
      </c>
      <c r="CB148" s="32" t="n">
        <v>21</v>
      </c>
      <c r="CC148" s="32" t="n">
        <v>40</v>
      </c>
      <c r="CD148" s="32" t="n">
        <v>61</v>
      </c>
      <c r="CE148" s="32" t="n">
        <v>28</v>
      </c>
      <c r="CF148" s="32" t="n">
        <v>50</v>
      </c>
      <c r="CG148" s="32" t="n">
        <v>78</v>
      </c>
      <c r="CH148" s="32" t="n">
        <v>99</v>
      </c>
      <c r="CI148" s="32" t="n">
        <v>100</v>
      </c>
      <c r="CJ148" s="49" t="n">
        <v>24</v>
      </c>
      <c r="CK148" s="49" t="n">
        <v>57</v>
      </c>
      <c r="CL148" s="49" t="n">
        <v>81</v>
      </c>
      <c r="CM148" s="49" t="n">
        <v>26</v>
      </c>
      <c r="CN148" s="49" t="n">
        <v>56</v>
      </c>
      <c r="CO148" s="49" t="n">
        <v>82</v>
      </c>
      <c r="CP148" s="25" t="n">
        <f aca="false">BX148+BW148+BV148+BU148+BT148+BQ148+BN148</f>
        <v>626</v>
      </c>
      <c r="CQ148" s="25" t="n">
        <f aca="false">CO148+CL148+CI148+CH148+CG148+CD148+CA148</f>
        <v>588</v>
      </c>
      <c r="CR148" s="26" t="n">
        <f aca="false">CP148/7</f>
        <v>89.4285714285714</v>
      </c>
      <c r="CS148" s="26" t="n">
        <f aca="false">CQ148/7</f>
        <v>84</v>
      </c>
      <c r="CT148" s="24" t="n">
        <f aca="false">RANK(CR148,$CR$2:$CR$881,0)</f>
        <v>217</v>
      </c>
      <c r="CU148" s="25" t="n">
        <f aca="false">RANK(CS148,$CS$2:$CS$881,0)</f>
        <v>120</v>
      </c>
      <c r="CV148" s="26" t="n">
        <f aca="false">(CS148+CR148)/2</f>
        <v>86.7142857142857</v>
      </c>
      <c r="CW148" s="25" t="n">
        <f aca="false">RANK(CV148,$CV$2:$CV$881,0)</f>
        <v>146</v>
      </c>
      <c r="CX148" s="50" t="n">
        <f aca="false">(CV148+BB148)/2</f>
        <v>83.8071428571429</v>
      </c>
      <c r="CY148" s="50" t="n">
        <v>171</v>
      </c>
      <c r="CZ148" s="27" t="s">
        <v>132</v>
      </c>
      <c r="DA148" s="27" t="s">
        <v>176</v>
      </c>
      <c r="DB148" s="27" t="s">
        <v>176</v>
      </c>
      <c r="DC148" s="27" t="s">
        <v>134</v>
      </c>
      <c r="DD148" s="27" t="s">
        <v>164</v>
      </c>
      <c r="DE148" s="27" t="s">
        <v>161</v>
      </c>
      <c r="DF148" s="27" t="s">
        <v>133</v>
      </c>
      <c r="DG148" s="27" t="s">
        <v>134</v>
      </c>
      <c r="DH148" s="27" t="s">
        <v>135</v>
      </c>
      <c r="DI148" s="27" t="s">
        <v>203</v>
      </c>
      <c r="DJ148" s="27" t="s">
        <v>178</v>
      </c>
      <c r="DK148" s="27" t="s">
        <v>134</v>
      </c>
      <c r="DL148" s="27" t="s">
        <v>164</v>
      </c>
      <c r="DM148" s="27" t="s">
        <v>218</v>
      </c>
      <c r="DN148" s="27" t="s">
        <v>209</v>
      </c>
      <c r="DO148" s="27" t="s">
        <v>134</v>
      </c>
      <c r="DP148" s="27" t="s">
        <v>174</v>
      </c>
      <c r="DQ148" s="27" t="s">
        <v>161</v>
      </c>
      <c r="DR148" s="27" t="s">
        <v>169</v>
      </c>
      <c r="DS148" s="27" t="s">
        <v>134</v>
      </c>
      <c r="DT148" s="27" t="s">
        <v>140</v>
      </c>
      <c r="DU148" s="27" t="s">
        <v>313</v>
      </c>
      <c r="DV148" s="27" t="s">
        <v>196</v>
      </c>
      <c r="DW148" s="27" t="s">
        <v>140</v>
      </c>
      <c r="DX148" s="27" t="s">
        <v>163</v>
      </c>
      <c r="DY148" s="27" t="s">
        <v>156</v>
      </c>
      <c r="DZ148" s="27" t="n">
        <f aca="false">DY148+DV148+DR148+DN148+DJ148+DF148+DB148</f>
        <v>609</v>
      </c>
      <c r="EA148" s="28" t="n">
        <f aca="false">DZ148/7</f>
        <v>87</v>
      </c>
      <c r="EB148" s="27" t="n">
        <f aca="false">RANK(EA148,$EA$2:$EA$881,0)</f>
        <v>125</v>
      </c>
      <c r="EC148" s="29" t="n">
        <f aca="false">DZ148+CQ148+CP148+AZ148</f>
        <v>2632</v>
      </c>
      <c r="ED148" s="30" t="n">
        <f aca="false">(EA148+CV148+BB148)/3</f>
        <v>84.8714285714286</v>
      </c>
      <c r="EE148" s="51" t="n">
        <f aca="false">ROUND(BE148,3)</f>
        <v>85.783</v>
      </c>
      <c r="EF148" s="51" t="n">
        <f aca="false">ROUND(CR148,3)</f>
        <v>89.429</v>
      </c>
      <c r="EG148" s="51" t="n">
        <f aca="false">ROUND(CS148,3)</f>
        <v>84</v>
      </c>
      <c r="EH148" s="51" t="n">
        <f aca="false">ROUND(EA148,3)</f>
        <v>87</v>
      </c>
      <c r="EI148" s="51" t="n">
        <f aca="false">ROUND(ED148,3)</f>
        <v>84.871</v>
      </c>
      <c r="EJ148" s="51" t="n">
        <f aca="false">ROUND(CV148,3)</f>
        <v>86.714</v>
      </c>
      <c r="EK148" s="0" t="n">
        <f aca="false">RANK(EI148,$EI$2:$EI$881,0)</f>
        <v>147</v>
      </c>
    </row>
    <row r="149" customFormat="false" ht="15" hidden="false" customHeight="false" outlineLevel="0" collapsed="false">
      <c r="A149" s="4" t="n">
        <v>9079</v>
      </c>
      <c r="B149" s="4" t="n">
        <v>759</v>
      </c>
      <c r="C149" s="27" t="s">
        <v>628</v>
      </c>
      <c r="D149" s="31" t="n">
        <v>776</v>
      </c>
      <c r="E149" s="32" t="n">
        <v>230311478</v>
      </c>
      <c r="F149" s="8" t="s">
        <v>629</v>
      </c>
      <c r="G149" s="22" t="s">
        <v>456</v>
      </c>
      <c r="H149" s="22" t="s">
        <v>129</v>
      </c>
      <c r="I149" s="33" t="n">
        <v>2005</v>
      </c>
      <c r="J149" s="32" t="n">
        <v>83</v>
      </c>
      <c r="K149" s="32" t="n">
        <v>97</v>
      </c>
      <c r="L149" s="34" t="n">
        <f aca="false">(K149*70)/100</f>
        <v>67.9</v>
      </c>
      <c r="M149" s="34" t="n">
        <f aca="false">ROUNDUP(L149,0)</f>
        <v>68</v>
      </c>
      <c r="N149" s="32" t="n">
        <v>27</v>
      </c>
      <c r="O149" s="34" t="n">
        <f aca="false">N149+L149</f>
        <v>94.9</v>
      </c>
      <c r="P149" s="34" t="n">
        <f aca="false">N149+M149</f>
        <v>95</v>
      </c>
      <c r="Q149" s="32" t="n">
        <v>87</v>
      </c>
      <c r="R149" s="32" t="n">
        <v>85</v>
      </c>
      <c r="S149" s="34" t="n">
        <f aca="false">(R149*70)/100</f>
        <v>59.5</v>
      </c>
      <c r="T149" s="34" t="n">
        <f aca="false">ROUNDUP(S149,0)</f>
        <v>60</v>
      </c>
      <c r="U149" s="32" t="n">
        <v>18</v>
      </c>
      <c r="V149" s="34" t="n">
        <f aca="false">U149+S149</f>
        <v>77.5</v>
      </c>
      <c r="W149" s="34" t="n">
        <f aca="false">U149+T149</f>
        <v>78</v>
      </c>
      <c r="X149" s="32" t="n">
        <v>85</v>
      </c>
      <c r="Y149" s="34" t="n">
        <f aca="false">(X149*70)/100</f>
        <v>59.5</v>
      </c>
      <c r="Z149" s="34" t="n">
        <f aca="false">ROUNDUP(Y149,0)</f>
        <v>60</v>
      </c>
      <c r="AA149" s="32" t="n">
        <v>27</v>
      </c>
      <c r="AB149" s="34" t="n">
        <f aca="false">AA149+Y149</f>
        <v>86.5</v>
      </c>
      <c r="AC149" s="34" t="n">
        <f aca="false">AA149+Z149</f>
        <v>87</v>
      </c>
      <c r="AD149" s="32" t="n">
        <f aca="false">X149+R149+Q149+K149+J149</f>
        <v>437</v>
      </c>
      <c r="AE149" s="16" t="n">
        <f aca="false">AD149/5</f>
        <v>87.4</v>
      </c>
      <c r="AF149" s="16" t="n">
        <v>88</v>
      </c>
      <c r="AG149" s="16" t="n">
        <v>79</v>
      </c>
      <c r="AH149" s="16" t="n">
        <v>94</v>
      </c>
      <c r="AI149" s="16" t="n">
        <v>87</v>
      </c>
      <c r="AJ149" s="16" t="n">
        <f aca="false">(AI149*70)/100</f>
        <v>60.9</v>
      </c>
      <c r="AK149" s="35" t="n">
        <f aca="false">ROUNDUP(AJ149,0)</f>
        <v>61</v>
      </c>
      <c r="AL149" s="16" t="n">
        <v>22</v>
      </c>
      <c r="AM149" s="16" t="n">
        <f aca="false">AL149+AJ149</f>
        <v>82.9</v>
      </c>
      <c r="AN149" s="16" t="n">
        <f aca="false">AL149+AK149</f>
        <v>83</v>
      </c>
      <c r="AO149" s="16" t="n">
        <v>86</v>
      </c>
      <c r="AP149" s="36" t="n">
        <f aca="false">(AO149*70)/100</f>
        <v>60.2</v>
      </c>
      <c r="AQ149" s="37" t="n">
        <f aca="false">ROUNDUP(AP149,0)</f>
        <v>61</v>
      </c>
      <c r="AR149" s="16" t="n">
        <v>24</v>
      </c>
      <c r="AS149" s="16" t="n">
        <f aca="false">AR149+AP149</f>
        <v>84.2</v>
      </c>
      <c r="AT149" s="16" t="n">
        <f aca="false">AR149+AQ149</f>
        <v>85</v>
      </c>
      <c r="AU149" s="16" t="n">
        <f aca="false">AO149+AF149+AI149+AH149+AG149</f>
        <v>434</v>
      </c>
      <c r="AV149" s="16" t="n">
        <f aca="false">(AO149+AF149+AI149+AH149+AG149)/5</f>
        <v>86.8</v>
      </c>
      <c r="AW149" s="36" t="n">
        <f aca="false">(AO149+AF149+AI149+AH149+AG149+X149+R149+Q149+K149+J149)</f>
        <v>871</v>
      </c>
      <c r="AX149" s="16" t="n">
        <f aca="false">AW149/10</f>
        <v>87.1</v>
      </c>
      <c r="AY149" s="16" t="n">
        <f aca="false">AS149+AF149+AM149+AH149+AG149+AB149+V149+Q149+O149+J149</f>
        <v>857</v>
      </c>
      <c r="AZ149" s="16" t="n">
        <f aca="false">AT149+AF149+AN149+AH149+AG149+AC149+W149+Q149+P149+J149</f>
        <v>859</v>
      </c>
      <c r="BA149" s="16" t="n">
        <f aca="false">AY149/10</f>
        <v>85.7</v>
      </c>
      <c r="BB149" s="16" t="n">
        <f aca="false">AZ149/10</f>
        <v>85.9</v>
      </c>
      <c r="BC149" s="16" t="n">
        <v>2355</v>
      </c>
      <c r="BD149" s="16" t="n">
        <f aca="false">RANK(AX149,$AX$2:$AX$881,0)</f>
        <v>50</v>
      </c>
      <c r="BE149" s="38" t="n">
        <f aca="false">((BC149*100)/2400)*0.4+(AX149*0.6)</f>
        <v>91.51</v>
      </c>
      <c r="BF149" s="16" t="n">
        <f aca="false">RANK(BE149,$BE$2:$BE$881,0)</f>
        <v>59</v>
      </c>
      <c r="BG149" s="39" t="n">
        <f aca="false">RANK(BB149,$BB$2:$BB$881,0)</f>
        <v>85</v>
      </c>
      <c r="BH149" s="39" t="n">
        <f aca="false">RANK(BC149,$BC$2:$BC$881,0)</f>
        <v>476</v>
      </c>
      <c r="BI149" s="22" t="s">
        <v>130</v>
      </c>
      <c r="BJ149" s="22" t="s">
        <v>129</v>
      </c>
      <c r="BK149" s="40" t="s">
        <v>131</v>
      </c>
      <c r="BL149" s="41" t="n">
        <v>25</v>
      </c>
      <c r="BM149" s="41" t="n">
        <v>53</v>
      </c>
      <c r="BN149" s="41" t="n">
        <v>78</v>
      </c>
      <c r="BO149" s="42" t="n">
        <v>28</v>
      </c>
      <c r="BP149" s="43" t="n">
        <v>64</v>
      </c>
      <c r="BQ149" s="44" t="n">
        <v>92</v>
      </c>
      <c r="BR149" s="42" t="n">
        <v>23</v>
      </c>
      <c r="BS149" s="45" t="n">
        <v>57</v>
      </c>
      <c r="BT149" s="45" t="n">
        <v>80</v>
      </c>
      <c r="BU149" s="46" t="n">
        <v>100</v>
      </c>
      <c r="BV149" s="47" t="n">
        <v>92</v>
      </c>
      <c r="BW149" s="42" t="n">
        <v>98</v>
      </c>
      <c r="BX149" s="48" t="n">
        <v>92</v>
      </c>
      <c r="BY149" s="32" t="n">
        <v>29</v>
      </c>
      <c r="BZ149" s="32" t="n">
        <v>46</v>
      </c>
      <c r="CA149" s="32" t="n">
        <v>75</v>
      </c>
      <c r="CB149" s="32" t="n">
        <v>21</v>
      </c>
      <c r="CC149" s="32" t="n">
        <v>39</v>
      </c>
      <c r="CD149" s="32" t="n">
        <v>60</v>
      </c>
      <c r="CE149" s="32" t="n">
        <v>26</v>
      </c>
      <c r="CF149" s="32" t="n">
        <v>58</v>
      </c>
      <c r="CG149" s="32" t="n">
        <v>84</v>
      </c>
      <c r="CH149" s="32" t="n">
        <v>89</v>
      </c>
      <c r="CI149" s="32" t="n">
        <v>99</v>
      </c>
      <c r="CJ149" s="49" t="n">
        <v>22</v>
      </c>
      <c r="CK149" s="49" t="n">
        <v>50</v>
      </c>
      <c r="CL149" s="49" t="n">
        <v>72</v>
      </c>
      <c r="CM149" s="49" t="n">
        <v>18</v>
      </c>
      <c r="CN149" s="58" t="n">
        <v>55</v>
      </c>
      <c r="CO149" s="58" t="n">
        <v>73</v>
      </c>
      <c r="CP149" s="25" t="n">
        <f aca="false">BX149+BW149+BV149+BU149+BT149+BQ149+BN149</f>
        <v>632</v>
      </c>
      <c r="CQ149" s="25" t="n">
        <f aca="false">CO149+CL149+CI149+CH149+CG149+CD149+CA149</f>
        <v>552</v>
      </c>
      <c r="CR149" s="26" t="n">
        <f aca="false">CP149/7</f>
        <v>90.2857142857143</v>
      </c>
      <c r="CS149" s="26" t="n">
        <f aca="false">CQ149/7</f>
        <v>78.8571428571429</v>
      </c>
      <c r="CT149" s="24" t="n">
        <f aca="false">RANK(CR149,$CR$2:$CR$881,0)</f>
        <v>160</v>
      </c>
      <c r="CU149" s="25" t="n">
        <f aca="false">RANK(CS149,$CS$2:$CS$881,0)</f>
        <v>305</v>
      </c>
      <c r="CV149" s="26" t="n">
        <f aca="false">(CS149+CR149)/2</f>
        <v>84.5714285714286</v>
      </c>
      <c r="CW149" s="25" t="n">
        <f aca="false">RANK(CV149,$CV$2:$CV$881,0)</f>
        <v>236</v>
      </c>
      <c r="CX149" s="50" t="n">
        <f aca="false">(CV149+BB149)/2</f>
        <v>85.2357142857143</v>
      </c>
      <c r="CY149" s="50" t="n">
        <v>224</v>
      </c>
      <c r="CZ149" s="27" t="s">
        <v>132</v>
      </c>
      <c r="DA149" s="27" t="s">
        <v>202</v>
      </c>
      <c r="DB149" s="27" t="s">
        <v>202</v>
      </c>
      <c r="DC149" s="27" t="s">
        <v>134</v>
      </c>
      <c r="DD149" s="27" t="s">
        <v>135</v>
      </c>
      <c r="DE149" s="27" t="s">
        <v>177</v>
      </c>
      <c r="DF149" s="27" t="s">
        <v>175</v>
      </c>
      <c r="DG149" s="27" t="s">
        <v>134</v>
      </c>
      <c r="DH149" s="27" t="s">
        <v>154</v>
      </c>
      <c r="DI149" s="27" t="s">
        <v>177</v>
      </c>
      <c r="DJ149" s="27" t="s">
        <v>169</v>
      </c>
      <c r="DK149" s="27" t="s">
        <v>134</v>
      </c>
      <c r="DL149" s="27" t="s">
        <v>140</v>
      </c>
      <c r="DM149" s="27" t="s">
        <v>218</v>
      </c>
      <c r="DN149" s="27" t="s">
        <v>202</v>
      </c>
      <c r="DO149" s="27" t="s">
        <v>134</v>
      </c>
      <c r="DP149" s="27" t="s">
        <v>182</v>
      </c>
      <c r="DQ149" s="27" t="s">
        <v>161</v>
      </c>
      <c r="DR149" s="27" t="s">
        <v>175</v>
      </c>
      <c r="DS149" s="27" t="s">
        <v>134</v>
      </c>
      <c r="DT149" s="27" t="s">
        <v>137</v>
      </c>
      <c r="DU149" s="27" t="s">
        <v>375</v>
      </c>
      <c r="DV149" s="27" t="s">
        <v>443</v>
      </c>
      <c r="DW149" s="27" t="s">
        <v>174</v>
      </c>
      <c r="DX149" s="27" t="s">
        <v>163</v>
      </c>
      <c r="DY149" s="27" t="s">
        <v>178</v>
      </c>
      <c r="DZ149" s="27" t="n">
        <f aca="false">DY149+DV149+DR149+DN149+DJ149+DF149+DB149</f>
        <v>588</v>
      </c>
      <c r="EA149" s="28" t="n">
        <f aca="false">DZ149/7</f>
        <v>84</v>
      </c>
      <c r="EB149" s="27" t="n">
        <f aca="false">RANK(EA149,$EA$2:$EA$881,0)</f>
        <v>223</v>
      </c>
      <c r="EC149" s="29" t="n">
        <f aca="false">DZ149+CQ149+CP149+AZ149</f>
        <v>2631</v>
      </c>
      <c r="ED149" s="30" t="n">
        <f aca="false">(EA149+CV149+BB149)/3</f>
        <v>84.8238095238095</v>
      </c>
      <c r="EE149" s="51" t="n">
        <f aca="false">ROUND(BE149,3)</f>
        <v>91.51</v>
      </c>
      <c r="EF149" s="51" t="n">
        <f aca="false">ROUND(CR149,3)</f>
        <v>90.286</v>
      </c>
      <c r="EG149" s="51" t="n">
        <f aca="false">ROUND(CS149,3)</f>
        <v>78.857</v>
      </c>
      <c r="EH149" s="51" t="n">
        <f aca="false">ROUND(EA149,3)</f>
        <v>84</v>
      </c>
      <c r="EI149" s="51" t="n">
        <f aca="false">ROUND(ED149,3)</f>
        <v>84.824</v>
      </c>
      <c r="EJ149" s="51" t="n">
        <f aca="false">ROUND(CV149,3)</f>
        <v>84.571</v>
      </c>
      <c r="EK149" s="0" t="n">
        <f aca="false">RANK(EI149,$EI$2:$EI$881,0)</f>
        <v>148</v>
      </c>
    </row>
    <row r="150" customFormat="false" ht="15" hidden="false" customHeight="false" outlineLevel="0" collapsed="false">
      <c r="A150" s="4" t="n">
        <v>8960</v>
      </c>
      <c r="B150" s="4" t="n">
        <v>232</v>
      </c>
      <c r="C150" s="27" t="s">
        <v>630</v>
      </c>
      <c r="D150" s="31" t="n">
        <v>233</v>
      </c>
      <c r="E150" s="32" t="n">
        <v>230323862</v>
      </c>
      <c r="F150" s="8" t="s">
        <v>631</v>
      </c>
      <c r="G150" s="22" t="s">
        <v>632</v>
      </c>
      <c r="H150" s="22" t="s">
        <v>129</v>
      </c>
      <c r="I150" s="33" t="n">
        <v>2005</v>
      </c>
      <c r="J150" s="32" t="n">
        <v>72</v>
      </c>
      <c r="K150" s="32" t="n">
        <v>76</v>
      </c>
      <c r="L150" s="34" t="n">
        <f aca="false">(K150*70)/100</f>
        <v>53.2</v>
      </c>
      <c r="M150" s="34" t="n">
        <f aca="false">ROUNDUP(L150,0)</f>
        <v>54</v>
      </c>
      <c r="N150" s="32" t="n">
        <v>26</v>
      </c>
      <c r="O150" s="34" t="n">
        <f aca="false">N150+L150</f>
        <v>79.2</v>
      </c>
      <c r="P150" s="34" t="n">
        <f aca="false">N150+M150</f>
        <v>80</v>
      </c>
      <c r="Q150" s="32" t="n">
        <v>64</v>
      </c>
      <c r="R150" s="32" t="n">
        <v>76</v>
      </c>
      <c r="S150" s="34" t="n">
        <f aca="false">(R150*70)/100</f>
        <v>53.2</v>
      </c>
      <c r="T150" s="34" t="n">
        <f aca="false">ROUNDUP(S150,0)</f>
        <v>54</v>
      </c>
      <c r="U150" s="32" t="n">
        <v>27</v>
      </c>
      <c r="V150" s="34" t="n">
        <f aca="false">U150+S150</f>
        <v>80.2</v>
      </c>
      <c r="W150" s="34" t="n">
        <f aca="false">U150+T150</f>
        <v>81</v>
      </c>
      <c r="X150" s="32" t="n">
        <v>77</v>
      </c>
      <c r="Y150" s="34" t="n">
        <f aca="false">(X150*70)/100</f>
        <v>53.9</v>
      </c>
      <c r="Z150" s="34" t="n">
        <f aca="false">ROUNDUP(Y150,0)</f>
        <v>54</v>
      </c>
      <c r="AA150" s="32" t="n">
        <v>27</v>
      </c>
      <c r="AB150" s="34" t="n">
        <f aca="false">AA150+Y150</f>
        <v>80.9</v>
      </c>
      <c r="AC150" s="34" t="n">
        <f aca="false">AA150+Z150</f>
        <v>81</v>
      </c>
      <c r="AD150" s="32" t="n">
        <f aca="false">X150+R150+Q150+K150+J150</f>
        <v>365</v>
      </c>
      <c r="AE150" s="16" t="n">
        <f aca="false">AD150/5</f>
        <v>73</v>
      </c>
      <c r="AF150" s="16" t="n">
        <v>80</v>
      </c>
      <c r="AG150" s="16" t="n">
        <v>79</v>
      </c>
      <c r="AH150" s="16" t="n">
        <v>95</v>
      </c>
      <c r="AI150" s="16" t="n">
        <v>98</v>
      </c>
      <c r="AJ150" s="16" t="n">
        <f aca="false">(AI150*70)/100</f>
        <v>68.6</v>
      </c>
      <c r="AK150" s="35" t="n">
        <f aca="false">ROUNDUP(AJ150,0)</f>
        <v>69</v>
      </c>
      <c r="AL150" s="16" t="n">
        <v>28</v>
      </c>
      <c r="AM150" s="16" t="n">
        <f aca="false">AL150+AJ150</f>
        <v>96.6</v>
      </c>
      <c r="AN150" s="16" t="n">
        <f aca="false">AL150+AK150</f>
        <v>97</v>
      </c>
      <c r="AO150" s="16" t="n">
        <v>80</v>
      </c>
      <c r="AP150" s="36" t="n">
        <f aca="false">(AO150*70)/100</f>
        <v>56</v>
      </c>
      <c r="AQ150" s="37" t="n">
        <f aca="false">ROUNDUP(AP150,0)</f>
        <v>56</v>
      </c>
      <c r="AR150" s="16" t="n">
        <v>28</v>
      </c>
      <c r="AS150" s="16" t="n">
        <f aca="false">AR150+AP150</f>
        <v>84</v>
      </c>
      <c r="AT150" s="16" t="n">
        <f aca="false">AR150+AQ150</f>
        <v>84</v>
      </c>
      <c r="AU150" s="16" t="n">
        <f aca="false">AO150+AF150+AI150+AH150+AG150</f>
        <v>432</v>
      </c>
      <c r="AV150" s="16" t="n">
        <f aca="false">(AO150+AF150+AI150+AH150+AG150)/5</f>
        <v>86.4</v>
      </c>
      <c r="AW150" s="36" t="n">
        <f aca="false">(AO150+AF150+AI150+AH150+AG150+X150+R150+Q150+K150+J150)</f>
        <v>797</v>
      </c>
      <c r="AX150" s="16" t="n">
        <f aca="false">AW150/10</f>
        <v>79.7</v>
      </c>
      <c r="AY150" s="16" t="n">
        <f aca="false">AS150+AF150+AM150+AH150+AG150+AB150+V150+Q150+O150+J150</f>
        <v>810.9</v>
      </c>
      <c r="AZ150" s="16" t="n">
        <f aca="false">AT150+AF150+AN150+AH150+AG150+AC150+W150+Q150+P150+J150</f>
        <v>813</v>
      </c>
      <c r="BA150" s="16" t="n">
        <f aca="false">AY150/10</f>
        <v>81.09</v>
      </c>
      <c r="BB150" s="16" t="n">
        <f aca="false">AZ150/10</f>
        <v>81.3</v>
      </c>
      <c r="BC150" s="16" t="n">
        <v>2377</v>
      </c>
      <c r="BD150" s="16" t="n">
        <f aca="false">RANK(AX150,$AX$2:$AX$881,0)</f>
        <v>288</v>
      </c>
      <c r="BE150" s="54" t="n">
        <f aca="false">((BC150*100)/2400)*0.4+(AX150*0.6)</f>
        <v>87.4366666666667</v>
      </c>
      <c r="BF150" s="16" t="n">
        <f aca="false">RANK(BE150,$BE$2:$BE$881,0)</f>
        <v>256</v>
      </c>
      <c r="BG150" s="39" t="n">
        <f aca="false">RANK(BB150,$BB$2:$BB$881,0)</f>
        <v>257</v>
      </c>
      <c r="BH150" s="39" t="n">
        <f aca="false">RANK(BC150,$BC$2:$BC$881,0)</f>
        <v>189</v>
      </c>
      <c r="BI150" s="22" t="s">
        <v>130</v>
      </c>
      <c r="BJ150" s="22" t="s">
        <v>129</v>
      </c>
      <c r="BK150" s="40" t="s">
        <v>131</v>
      </c>
      <c r="BL150" s="41" t="n">
        <v>26</v>
      </c>
      <c r="BM150" s="41" t="n">
        <v>60</v>
      </c>
      <c r="BN150" s="41" t="n">
        <v>86</v>
      </c>
      <c r="BO150" s="42" t="n">
        <v>23</v>
      </c>
      <c r="BP150" s="43" t="n">
        <v>56</v>
      </c>
      <c r="BQ150" s="44" t="n">
        <v>79</v>
      </c>
      <c r="BR150" s="42" t="n">
        <v>17</v>
      </c>
      <c r="BS150" s="45" t="n">
        <v>63</v>
      </c>
      <c r="BT150" s="45" t="n">
        <v>80</v>
      </c>
      <c r="BU150" s="46" t="n">
        <v>100</v>
      </c>
      <c r="BV150" s="47" t="n">
        <v>96</v>
      </c>
      <c r="BW150" s="42" t="n">
        <v>95</v>
      </c>
      <c r="BX150" s="48" t="n">
        <v>92</v>
      </c>
      <c r="BY150" s="32" t="n">
        <v>26</v>
      </c>
      <c r="BZ150" s="32" t="n">
        <v>48</v>
      </c>
      <c r="CA150" s="32" t="n">
        <v>74</v>
      </c>
      <c r="CB150" s="32" t="n">
        <v>28</v>
      </c>
      <c r="CC150" s="32" t="n">
        <v>49</v>
      </c>
      <c r="CD150" s="32" t="n">
        <v>77</v>
      </c>
      <c r="CE150" s="32" t="n">
        <v>27</v>
      </c>
      <c r="CF150" s="32" t="n">
        <v>58</v>
      </c>
      <c r="CG150" s="32" t="n">
        <v>85</v>
      </c>
      <c r="CH150" s="32" t="n">
        <v>100</v>
      </c>
      <c r="CI150" s="32" t="n">
        <v>99</v>
      </c>
      <c r="CJ150" s="49" t="n">
        <v>28</v>
      </c>
      <c r="CK150" s="49" t="n">
        <v>56</v>
      </c>
      <c r="CL150" s="49" t="n">
        <v>84</v>
      </c>
      <c r="CM150" s="49" t="n">
        <v>26</v>
      </c>
      <c r="CN150" s="49" t="n">
        <v>56</v>
      </c>
      <c r="CO150" s="49" t="n">
        <v>82</v>
      </c>
      <c r="CP150" s="25" t="n">
        <f aca="false">BX150+BW150+BV150+BU150+BT150+BQ150+BN150</f>
        <v>628</v>
      </c>
      <c r="CQ150" s="25" t="n">
        <f aca="false">CO150+CL150+CI150+CH150+CG150+CD150+CA150</f>
        <v>601</v>
      </c>
      <c r="CR150" s="26" t="n">
        <f aca="false">CP150/7</f>
        <v>89.7142857142857</v>
      </c>
      <c r="CS150" s="26" t="n">
        <f aca="false">CQ150/7</f>
        <v>85.8571428571429</v>
      </c>
      <c r="CT150" s="24" t="n">
        <f aca="false">RANK(CR150,$CR$2:$CR$881,0)</f>
        <v>202</v>
      </c>
      <c r="CU150" s="25" t="n">
        <f aca="false">RANK(CS150,$CS$2:$CS$881,0)</f>
        <v>80</v>
      </c>
      <c r="CV150" s="26" t="n">
        <f aca="false">(CS150+CR150)/2</f>
        <v>87.7857142857143</v>
      </c>
      <c r="CW150" s="25" t="n">
        <f aca="false">RANK(CV150,$CV$2:$CV$881,0)</f>
        <v>100</v>
      </c>
      <c r="CX150" s="50" t="n">
        <f aca="false">(CV150+BB150)/2</f>
        <v>84.5428571428571</v>
      </c>
      <c r="CY150" s="50" t="n">
        <v>144</v>
      </c>
      <c r="CZ150" s="27" t="s">
        <v>132</v>
      </c>
      <c r="DA150" s="27" t="s">
        <v>153</v>
      </c>
      <c r="DB150" s="27" t="s">
        <v>153</v>
      </c>
      <c r="DC150" s="27" t="s">
        <v>134</v>
      </c>
      <c r="DD150" s="27" t="s">
        <v>137</v>
      </c>
      <c r="DE150" s="27" t="s">
        <v>203</v>
      </c>
      <c r="DF150" s="27" t="s">
        <v>133</v>
      </c>
      <c r="DG150" s="27" t="s">
        <v>134</v>
      </c>
      <c r="DH150" s="27" t="s">
        <v>135</v>
      </c>
      <c r="DI150" s="27" t="s">
        <v>136</v>
      </c>
      <c r="DJ150" s="27" t="s">
        <v>133</v>
      </c>
      <c r="DK150" s="27" t="s">
        <v>134</v>
      </c>
      <c r="DL150" s="27" t="s">
        <v>154</v>
      </c>
      <c r="DM150" s="27" t="s">
        <v>412</v>
      </c>
      <c r="DN150" s="27" t="s">
        <v>372</v>
      </c>
      <c r="DO150" s="27" t="s">
        <v>134</v>
      </c>
      <c r="DP150" s="27" t="s">
        <v>191</v>
      </c>
      <c r="DQ150" s="27" t="s">
        <v>204</v>
      </c>
      <c r="DR150" s="27" t="s">
        <v>272</v>
      </c>
      <c r="DS150" s="27" t="s">
        <v>134</v>
      </c>
      <c r="DT150" s="27" t="s">
        <v>140</v>
      </c>
      <c r="DU150" s="27" t="s">
        <v>177</v>
      </c>
      <c r="DV150" s="27" t="s">
        <v>162</v>
      </c>
      <c r="DW150" s="27" t="s">
        <v>135</v>
      </c>
      <c r="DX150" s="27" t="s">
        <v>152</v>
      </c>
      <c r="DY150" s="27" t="s">
        <v>162</v>
      </c>
      <c r="DZ150" s="27" t="n">
        <f aca="false">DY150+DV150+DR150+DN150+DJ150+DF150+DB150</f>
        <v>597</v>
      </c>
      <c r="EA150" s="28" t="n">
        <f aca="false">DZ150/7</f>
        <v>85.2857142857143</v>
      </c>
      <c r="EB150" s="27" t="n">
        <f aca="false">RANK(EA150,$EA$2:$EA$881,0)</f>
        <v>176</v>
      </c>
      <c r="EC150" s="29" t="n">
        <f aca="false">DZ150+CQ150+CP150+AZ150</f>
        <v>2639</v>
      </c>
      <c r="ED150" s="30" t="n">
        <f aca="false">(EA150+CV150+BB150)/3</f>
        <v>84.7904761904762</v>
      </c>
      <c r="EE150" s="51" t="n">
        <f aca="false">ROUND(BE150,3)</f>
        <v>87.437</v>
      </c>
      <c r="EF150" s="51" t="n">
        <f aca="false">ROUND(CR150,3)</f>
        <v>89.714</v>
      </c>
      <c r="EG150" s="51" t="n">
        <f aca="false">ROUND(CS150,3)</f>
        <v>85.857</v>
      </c>
      <c r="EH150" s="51" t="n">
        <f aca="false">ROUND(EA150,3)</f>
        <v>85.286</v>
      </c>
      <c r="EI150" s="51" t="n">
        <f aca="false">ROUND(ED150,3)</f>
        <v>84.79</v>
      </c>
      <c r="EJ150" s="51" t="n">
        <f aca="false">ROUND(CV150,3)</f>
        <v>87.786</v>
      </c>
      <c r="EK150" s="0" t="n">
        <f aca="false">RANK(EI150,$EI$2:$EI$881,0)</f>
        <v>149</v>
      </c>
    </row>
    <row r="151" customFormat="false" ht="15" hidden="false" customHeight="false" outlineLevel="0" collapsed="false">
      <c r="A151" s="4" t="n">
        <v>8767</v>
      </c>
      <c r="B151" s="4" t="n">
        <v>374</v>
      </c>
      <c r="C151" s="27" t="s">
        <v>633</v>
      </c>
      <c r="D151" s="31" t="n">
        <v>379</v>
      </c>
      <c r="E151" s="32" t="n">
        <v>230319570</v>
      </c>
      <c r="F151" s="8" t="s">
        <v>634</v>
      </c>
      <c r="G151" s="22" t="s">
        <v>201</v>
      </c>
      <c r="H151" s="22" t="s">
        <v>129</v>
      </c>
      <c r="I151" s="33" t="n">
        <v>2005</v>
      </c>
      <c r="J151" s="32" t="n">
        <v>78</v>
      </c>
      <c r="K151" s="32" t="n">
        <v>83</v>
      </c>
      <c r="L151" s="34" t="n">
        <f aca="false">(K151*70)/100</f>
        <v>58.1</v>
      </c>
      <c r="M151" s="34" t="n">
        <f aca="false">ROUNDUP(L151,0)</f>
        <v>59</v>
      </c>
      <c r="N151" s="32" t="n">
        <v>28</v>
      </c>
      <c r="O151" s="34" t="n">
        <f aca="false">N151+L151</f>
        <v>86.1</v>
      </c>
      <c r="P151" s="34" t="n">
        <f aca="false">N151+M151</f>
        <v>87</v>
      </c>
      <c r="Q151" s="32" t="n">
        <v>66</v>
      </c>
      <c r="R151" s="32" t="n">
        <v>73</v>
      </c>
      <c r="S151" s="34" t="n">
        <f aca="false">(R151*70)/100</f>
        <v>51.1</v>
      </c>
      <c r="T151" s="34" t="n">
        <f aca="false">ROUNDUP(S151,0)</f>
        <v>52</v>
      </c>
      <c r="U151" s="32" t="n">
        <v>26</v>
      </c>
      <c r="V151" s="34" t="n">
        <f aca="false">U151+S151</f>
        <v>77.1</v>
      </c>
      <c r="W151" s="34" t="n">
        <f aca="false">U151+T151</f>
        <v>78</v>
      </c>
      <c r="X151" s="32" t="n">
        <v>78</v>
      </c>
      <c r="Y151" s="34" t="n">
        <f aca="false">(X151*70)/100</f>
        <v>54.6</v>
      </c>
      <c r="Z151" s="34" t="n">
        <f aca="false">ROUNDUP(Y151,0)</f>
        <v>55</v>
      </c>
      <c r="AA151" s="32" t="n">
        <v>25</v>
      </c>
      <c r="AB151" s="34" t="n">
        <f aca="false">AA151+Y151</f>
        <v>79.6</v>
      </c>
      <c r="AC151" s="34" t="n">
        <f aca="false">AA151+Z151</f>
        <v>80</v>
      </c>
      <c r="AD151" s="32" t="n">
        <f aca="false">X151+R151+Q151+K151+J151</f>
        <v>378</v>
      </c>
      <c r="AE151" s="16" t="n">
        <f aca="false">AD151/5</f>
        <v>75.6</v>
      </c>
      <c r="AF151" s="16" t="n">
        <v>83</v>
      </c>
      <c r="AG151" s="16" t="n">
        <v>85</v>
      </c>
      <c r="AH151" s="16" t="n">
        <v>87</v>
      </c>
      <c r="AI151" s="16" t="n">
        <v>91</v>
      </c>
      <c r="AJ151" s="16" t="n">
        <f aca="false">(AI151*70)/100</f>
        <v>63.7</v>
      </c>
      <c r="AK151" s="35" t="n">
        <f aca="false">ROUNDUP(AJ151,0)</f>
        <v>64</v>
      </c>
      <c r="AL151" s="16" t="n">
        <v>27</v>
      </c>
      <c r="AM151" s="16" t="n">
        <f aca="false">AL151+AJ151</f>
        <v>90.7</v>
      </c>
      <c r="AN151" s="16" t="n">
        <f aca="false">AL151+AK151</f>
        <v>91</v>
      </c>
      <c r="AO151" s="16" t="n">
        <v>78</v>
      </c>
      <c r="AP151" s="36" t="n">
        <f aca="false">(AO151*70)/100</f>
        <v>54.6</v>
      </c>
      <c r="AQ151" s="37" t="n">
        <f aca="false">ROUNDUP(AP151,0)</f>
        <v>55</v>
      </c>
      <c r="AR151" s="16" t="n">
        <v>26</v>
      </c>
      <c r="AS151" s="16" t="n">
        <f aca="false">AR151+AP151</f>
        <v>80.6</v>
      </c>
      <c r="AT151" s="16" t="n">
        <f aca="false">AR151+AQ151</f>
        <v>81</v>
      </c>
      <c r="AU151" s="16" t="n">
        <f aca="false">AO151+AF151+AI151+AH151+AG151</f>
        <v>424</v>
      </c>
      <c r="AV151" s="16" t="n">
        <f aca="false">(AO151+AF151+AI151+AH151+AG151)/5</f>
        <v>84.8</v>
      </c>
      <c r="AW151" s="36" t="n">
        <f aca="false">(AO151+AF151+AI151+AH151+AG151+X151+R151+Q151+K151+J151)</f>
        <v>802</v>
      </c>
      <c r="AX151" s="16" t="n">
        <f aca="false">AW151/10</f>
        <v>80.2</v>
      </c>
      <c r="AY151" s="16" t="n">
        <f aca="false">AS151+AF151+AM151+AH151+AG151+AB151+V151+Q151+O151+J151</f>
        <v>813.1</v>
      </c>
      <c r="AZ151" s="16" t="n">
        <f aca="false">AT151+AF151+AN151+AH151+AG151+AC151+W151+Q151+P151+J151</f>
        <v>816</v>
      </c>
      <c r="BA151" s="16" t="n">
        <f aca="false">AY151/10</f>
        <v>81.31</v>
      </c>
      <c r="BB151" s="16" t="n">
        <f aca="false">AZ151/10</f>
        <v>81.6</v>
      </c>
      <c r="BC151" s="16" t="n">
        <v>2379</v>
      </c>
      <c r="BD151" s="16" t="n">
        <f aca="false">RANK(AX151,$AX$2:$AX$881,0)</f>
        <v>251</v>
      </c>
      <c r="BE151" s="54" t="n">
        <f aca="false">((BC151*100)/2400)*0.4+(AX151*0.6)</f>
        <v>87.77</v>
      </c>
      <c r="BF151" s="16" t="n">
        <f aca="false">RANK(BE151,$BE$2:$BE$881,0)</f>
        <v>223</v>
      </c>
      <c r="BG151" s="39" t="n">
        <f aca="false">RANK(BB151,$BB$2:$BB$881,0)</f>
        <v>240</v>
      </c>
      <c r="BH151" s="39" t="n">
        <f aca="false">RANK(BC151,$BC$2:$BC$881,0)</f>
        <v>160</v>
      </c>
      <c r="BI151" s="22" t="s">
        <v>130</v>
      </c>
      <c r="BJ151" s="22" t="s">
        <v>129</v>
      </c>
      <c r="BK151" s="40" t="s">
        <v>131</v>
      </c>
      <c r="BL151" s="41" t="n">
        <v>22</v>
      </c>
      <c r="BM151" s="41" t="n">
        <v>58</v>
      </c>
      <c r="BN151" s="41" t="n">
        <v>80</v>
      </c>
      <c r="BO151" s="42" t="n">
        <v>28</v>
      </c>
      <c r="BP151" s="43" t="n">
        <v>62</v>
      </c>
      <c r="BQ151" s="44" t="n">
        <v>90</v>
      </c>
      <c r="BR151" s="42" t="n">
        <v>25</v>
      </c>
      <c r="BS151" s="45" t="n">
        <v>59</v>
      </c>
      <c r="BT151" s="45" t="n">
        <v>84</v>
      </c>
      <c r="BU151" s="46" t="n">
        <v>100</v>
      </c>
      <c r="BV151" s="47" t="n">
        <v>76</v>
      </c>
      <c r="BW151" s="42" t="n">
        <v>96</v>
      </c>
      <c r="BX151" s="48" t="n">
        <v>94</v>
      </c>
      <c r="BY151" s="32" t="n">
        <v>27</v>
      </c>
      <c r="BZ151" s="32" t="n">
        <v>63</v>
      </c>
      <c r="CA151" s="32" t="n">
        <v>90</v>
      </c>
      <c r="CB151" s="32" t="n">
        <v>23</v>
      </c>
      <c r="CC151" s="32" t="n">
        <v>43</v>
      </c>
      <c r="CD151" s="32" t="n">
        <v>66</v>
      </c>
      <c r="CE151" s="32" t="n">
        <v>29</v>
      </c>
      <c r="CF151" s="32" t="n">
        <v>51</v>
      </c>
      <c r="CG151" s="32" t="n">
        <v>80</v>
      </c>
      <c r="CH151" s="32" t="n">
        <v>93</v>
      </c>
      <c r="CI151" s="32" t="n">
        <v>96</v>
      </c>
      <c r="CJ151" s="49" t="n">
        <v>18</v>
      </c>
      <c r="CK151" s="49" t="n">
        <v>52</v>
      </c>
      <c r="CL151" s="49" t="n">
        <v>70</v>
      </c>
      <c r="CM151" s="49" t="n">
        <v>22</v>
      </c>
      <c r="CN151" s="49" t="n">
        <v>46</v>
      </c>
      <c r="CO151" s="49" t="n">
        <v>68</v>
      </c>
      <c r="CP151" s="25" t="n">
        <f aca="false">BX151+BW151+BV151+BU151+BT151+BQ151+BN151</f>
        <v>620</v>
      </c>
      <c r="CQ151" s="25" t="n">
        <f aca="false">CO151+CL151+CI151+CH151+CG151+CD151+CA151</f>
        <v>563</v>
      </c>
      <c r="CR151" s="26" t="n">
        <f aca="false">CP151/7</f>
        <v>88.5714285714286</v>
      </c>
      <c r="CS151" s="26" t="n">
        <f aca="false">CQ151/7</f>
        <v>80.4285714285714</v>
      </c>
      <c r="CT151" s="24" t="n">
        <f aca="false">RANK(CR151,$CR$2:$CR$881,0)</f>
        <v>265</v>
      </c>
      <c r="CU151" s="25" t="n">
        <f aca="false">RANK(CS151,$CS$2:$CS$881,0)</f>
        <v>245</v>
      </c>
      <c r="CV151" s="26" t="n">
        <f aca="false">(CS151+CR151)/2</f>
        <v>84.5</v>
      </c>
      <c r="CW151" s="25" t="n">
        <f aca="false">RANK(CV151,$CV$2:$CV$881,0)</f>
        <v>239</v>
      </c>
      <c r="CX151" s="50" t="n">
        <f aca="false">(CV151+BB151)/2</f>
        <v>83.05</v>
      </c>
      <c r="CY151" s="50" t="n">
        <v>211</v>
      </c>
      <c r="CZ151" s="27" t="s">
        <v>132</v>
      </c>
      <c r="DA151" s="27" t="s">
        <v>133</v>
      </c>
      <c r="DB151" s="27" t="s">
        <v>133</v>
      </c>
      <c r="DC151" s="27" t="s">
        <v>134</v>
      </c>
      <c r="DD151" s="27" t="s">
        <v>137</v>
      </c>
      <c r="DE151" s="27" t="s">
        <v>183</v>
      </c>
      <c r="DF151" s="27" t="s">
        <v>209</v>
      </c>
      <c r="DG151" s="27" t="s">
        <v>134</v>
      </c>
      <c r="DH151" s="27" t="s">
        <v>137</v>
      </c>
      <c r="DI151" s="27" t="s">
        <v>177</v>
      </c>
      <c r="DJ151" s="27" t="s">
        <v>202</v>
      </c>
      <c r="DK151" s="27" t="s">
        <v>134</v>
      </c>
      <c r="DL151" s="27" t="s">
        <v>164</v>
      </c>
      <c r="DM151" s="27" t="s">
        <v>177</v>
      </c>
      <c r="DN151" s="27" t="s">
        <v>178</v>
      </c>
      <c r="DO151" s="27" t="s">
        <v>134</v>
      </c>
      <c r="DP151" s="27" t="s">
        <v>160</v>
      </c>
      <c r="DQ151" s="27" t="s">
        <v>177</v>
      </c>
      <c r="DR151" s="27" t="s">
        <v>133</v>
      </c>
      <c r="DS151" s="27" t="s">
        <v>134</v>
      </c>
      <c r="DT151" s="27" t="s">
        <v>140</v>
      </c>
      <c r="DU151" s="27" t="s">
        <v>161</v>
      </c>
      <c r="DV151" s="27" t="s">
        <v>153</v>
      </c>
      <c r="DW151" s="27" t="s">
        <v>135</v>
      </c>
      <c r="DX151" s="27" t="s">
        <v>138</v>
      </c>
      <c r="DY151" s="27" t="s">
        <v>156</v>
      </c>
      <c r="DZ151" s="27" t="n">
        <f aca="false">DY151+DV151+DR151+DN151+DJ151+DF151+DB151</f>
        <v>617</v>
      </c>
      <c r="EA151" s="28" t="n">
        <f aca="false">DZ151/7</f>
        <v>88.1428571428571</v>
      </c>
      <c r="EB151" s="27" t="n">
        <f aca="false">RANK(EA151,$EA$2:$EA$881,0)</f>
        <v>94</v>
      </c>
      <c r="EC151" s="29" t="n">
        <f aca="false">DZ151+CQ151+CP151+AZ151</f>
        <v>2616</v>
      </c>
      <c r="ED151" s="30" t="n">
        <f aca="false">(EA151+CV151+BB151)/3</f>
        <v>84.747619047619</v>
      </c>
      <c r="EE151" s="51" t="n">
        <f aca="false">ROUND(BE151,3)</f>
        <v>87.77</v>
      </c>
      <c r="EF151" s="51" t="n">
        <f aca="false">ROUND(CR151,3)</f>
        <v>88.571</v>
      </c>
      <c r="EG151" s="51" t="n">
        <f aca="false">ROUND(CS151,3)</f>
        <v>80.429</v>
      </c>
      <c r="EH151" s="51" t="n">
        <f aca="false">ROUND(EA151,3)</f>
        <v>88.143</v>
      </c>
      <c r="EI151" s="51" t="n">
        <f aca="false">ROUND(ED151,3)</f>
        <v>84.748</v>
      </c>
      <c r="EJ151" s="51" t="n">
        <f aca="false">ROUND(CV151,3)</f>
        <v>84.5</v>
      </c>
      <c r="EK151" s="0" t="n">
        <f aca="false">RANK(EI151,$EI$2:$EI$881,0)</f>
        <v>150</v>
      </c>
    </row>
    <row r="152" customFormat="false" ht="15" hidden="false" customHeight="false" outlineLevel="0" collapsed="false">
      <c r="A152" s="4" t="n">
        <v>8999</v>
      </c>
      <c r="B152" s="4" t="n">
        <v>251</v>
      </c>
      <c r="C152" s="27" t="s">
        <v>635</v>
      </c>
      <c r="D152" s="31" t="n">
        <v>253</v>
      </c>
      <c r="E152" s="32" t="n">
        <v>230311964</v>
      </c>
      <c r="F152" s="8" t="s">
        <v>636</v>
      </c>
      <c r="G152" s="22" t="s">
        <v>637</v>
      </c>
      <c r="H152" s="22" t="s">
        <v>129</v>
      </c>
      <c r="I152" s="33" t="n">
        <v>2005</v>
      </c>
      <c r="J152" s="32" t="n">
        <v>70</v>
      </c>
      <c r="K152" s="32" t="n">
        <v>88</v>
      </c>
      <c r="L152" s="34" t="n">
        <f aca="false">(K152*70)/100</f>
        <v>61.6</v>
      </c>
      <c r="M152" s="34" t="n">
        <f aca="false">ROUNDUP(L152,0)</f>
        <v>62</v>
      </c>
      <c r="N152" s="32" t="n">
        <v>28</v>
      </c>
      <c r="O152" s="34" t="n">
        <f aca="false">N152+L152</f>
        <v>89.6</v>
      </c>
      <c r="P152" s="34" t="n">
        <f aca="false">N152+M152</f>
        <v>90</v>
      </c>
      <c r="Q152" s="32" t="n">
        <v>78</v>
      </c>
      <c r="R152" s="32" t="n">
        <v>77</v>
      </c>
      <c r="S152" s="34" t="n">
        <f aca="false">(R152*70)/100</f>
        <v>53.9</v>
      </c>
      <c r="T152" s="34" t="n">
        <f aca="false">ROUNDUP(S152,0)</f>
        <v>54</v>
      </c>
      <c r="U152" s="32" t="n">
        <v>20</v>
      </c>
      <c r="V152" s="34" t="n">
        <f aca="false">U152+S152</f>
        <v>73.9</v>
      </c>
      <c r="W152" s="34" t="n">
        <f aca="false">U152+T152</f>
        <v>74</v>
      </c>
      <c r="X152" s="32" t="n">
        <v>69</v>
      </c>
      <c r="Y152" s="34" t="n">
        <f aca="false">(X152*70)/100</f>
        <v>48.3</v>
      </c>
      <c r="Z152" s="34" t="n">
        <f aca="false">ROUNDUP(Y152,0)</f>
        <v>49</v>
      </c>
      <c r="AA152" s="32" t="n">
        <v>23</v>
      </c>
      <c r="AB152" s="34" t="n">
        <f aca="false">AA152+Y152</f>
        <v>71.3</v>
      </c>
      <c r="AC152" s="34" t="n">
        <f aca="false">AA152+Z152</f>
        <v>72</v>
      </c>
      <c r="AD152" s="32" t="n">
        <f aca="false">X152+R152+Q152+K152+J152</f>
        <v>382</v>
      </c>
      <c r="AE152" s="16" t="n">
        <f aca="false">AD152/5</f>
        <v>76.4</v>
      </c>
      <c r="AF152" s="16" t="n">
        <v>77</v>
      </c>
      <c r="AG152" s="16" t="n">
        <v>88</v>
      </c>
      <c r="AH152" s="16" t="n">
        <v>96</v>
      </c>
      <c r="AI152" s="16" t="n">
        <v>98</v>
      </c>
      <c r="AJ152" s="16" t="n">
        <f aca="false">(AI152*70)/100</f>
        <v>68.6</v>
      </c>
      <c r="AK152" s="35" t="n">
        <f aca="false">ROUNDUP(AJ152,0)</f>
        <v>69</v>
      </c>
      <c r="AL152" s="16" t="n">
        <v>27</v>
      </c>
      <c r="AM152" s="16" t="n">
        <f aca="false">AL152+AJ152</f>
        <v>95.6</v>
      </c>
      <c r="AN152" s="16" t="n">
        <f aca="false">AL152+AK152</f>
        <v>96</v>
      </c>
      <c r="AO152" s="16" t="n">
        <v>83</v>
      </c>
      <c r="AP152" s="36" t="n">
        <f aca="false">(AO152*70)/100</f>
        <v>58.1</v>
      </c>
      <c r="AQ152" s="37" t="n">
        <f aca="false">ROUNDUP(AP152,0)</f>
        <v>59</v>
      </c>
      <c r="AR152" s="16" t="n">
        <v>30</v>
      </c>
      <c r="AS152" s="16" t="n">
        <f aca="false">AR152+AP152</f>
        <v>88.1</v>
      </c>
      <c r="AT152" s="16" t="n">
        <f aca="false">AR152+AQ152</f>
        <v>89</v>
      </c>
      <c r="AU152" s="16" t="n">
        <f aca="false">AO152+AF152+AI152+AH152+AG152</f>
        <v>442</v>
      </c>
      <c r="AV152" s="16" t="n">
        <f aca="false">(AO152+AF152+AI152+AH152+AG152)/5</f>
        <v>88.4</v>
      </c>
      <c r="AW152" s="36" t="n">
        <f aca="false">(AO152+AF152+AI152+AH152+AG152+X152+R152+Q152+K152+J152)</f>
        <v>824</v>
      </c>
      <c r="AX152" s="16" t="n">
        <f aca="false">AW152/10</f>
        <v>82.4</v>
      </c>
      <c r="AY152" s="16" t="n">
        <f aca="false">AS152+AF152+AM152+AH152+AG152+AB152+V152+Q152+O152+J152</f>
        <v>827.5</v>
      </c>
      <c r="AZ152" s="16" t="n">
        <f aca="false">AT152+AF152+AN152+AH152+AG152+AC152+W152+Q152+P152+J152</f>
        <v>830</v>
      </c>
      <c r="BA152" s="16" t="n">
        <f aca="false">AY152/10</f>
        <v>82.75</v>
      </c>
      <c r="BB152" s="16" t="n">
        <f aca="false">AZ152/10</f>
        <v>83</v>
      </c>
      <c r="BC152" s="16" t="n">
        <v>2336</v>
      </c>
      <c r="BD152" s="16" t="n">
        <f aca="false">RANK(AX152,$AX$2:$AX$881,0)</f>
        <v>143</v>
      </c>
      <c r="BE152" s="54" t="n">
        <f aca="false">((BC152*100)/2400)*0.4+(AX152*0.6)</f>
        <v>88.3733333333333</v>
      </c>
      <c r="BF152" s="16" t="n">
        <f aca="false">RANK(BE152,$BE$2:$BE$881,0)</f>
        <v>175</v>
      </c>
      <c r="BG152" s="39" t="n">
        <f aca="false">RANK(BB152,$BB$2:$BB$881,0)</f>
        <v>158</v>
      </c>
      <c r="BH152" s="39" t="n">
        <f aca="false">RANK(BC152,$BC$2:$BC$881,0)</f>
        <v>670</v>
      </c>
      <c r="BI152" s="22" t="s">
        <v>130</v>
      </c>
      <c r="BJ152" s="22" t="s">
        <v>129</v>
      </c>
      <c r="BK152" s="40" t="s">
        <v>131</v>
      </c>
      <c r="BL152" s="41" t="n">
        <v>28</v>
      </c>
      <c r="BM152" s="41" t="n">
        <v>63</v>
      </c>
      <c r="BN152" s="41" t="n">
        <v>91</v>
      </c>
      <c r="BO152" s="42" t="n">
        <v>28</v>
      </c>
      <c r="BP152" s="43" t="n">
        <v>66</v>
      </c>
      <c r="BQ152" s="44" t="n">
        <v>94</v>
      </c>
      <c r="BR152" s="42" t="n">
        <v>24</v>
      </c>
      <c r="BS152" s="45" t="n">
        <v>66</v>
      </c>
      <c r="BT152" s="45" t="n">
        <v>90</v>
      </c>
      <c r="BU152" s="46" t="n">
        <v>100</v>
      </c>
      <c r="BV152" s="47" t="n">
        <v>94</v>
      </c>
      <c r="BW152" s="42" t="n">
        <v>100</v>
      </c>
      <c r="BX152" s="48" t="n">
        <v>94</v>
      </c>
      <c r="BY152" s="32" t="n">
        <v>25</v>
      </c>
      <c r="BZ152" s="32" t="n">
        <v>62</v>
      </c>
      <c r="CA152" s="32" t="n">
        <v>87</v>
      </c>
      <c r="CB152" s="32" t="n">
        <v>24</v>
      </c>
      <c r="CC152" s="32" t="n">
        <v>49</v>
      </c>
      <c r="CD152" s="32" t="n">
        <v>73</v>
      </c>
      <c r="CE152" s="25" t="n">
        <v>27</v>
      </c>
      <c r="CF152" s="25" t="n">
        <v>51</v>
      </c>
      <c r="CG152" s="25" t="n">
        <v>78</v>
      </c>
      <c r="CH152" s="32" t="n">
        <v>92</v>
      </c>
      <c r="CI152" s="32" t="n">
        <v>99</v>
      </c>
      <c r="CJ152" s="49" t="n">
        <v>25</v>
      </c>
      <c r="CK152" s="49" t="n">
        <v>57</v>
      </c>
      <c r="CL152" s="49" t="n">
        <v>82</v>
      </c>
      <c r="CM152" s="25" t="n">
        <v>24</v>
      </c>
      <c r="CN152" s="25" t="n">
        <v>50</v>
      </c>
      <c r="CO152" s="25" t="n">
        <v>74</v>
      </c>
      <c r="CP152" s="25" t="n">
        <f aca="false">BX152+BW152+BV152+BU152+BT152+BQ152+BN152</f>
        <v>663</v>
      </c>
      <c r="CQ152" s="25" t="n">
        <f aca="false">CO152+CL152+CI152+CH152+CG152+CD152+CA152</f>
        <v>585</v>
      </c>
      <c r="CR152" s="26" t="n">
        <f aca="false">CP152/7</f>
        <v>94.7142857142857</v>
      </c>
      <c r="CS152" s="26" t="n">
        <f aca="false">CQ152/7</f>
        <v>83.5714285714286</v>
      </c>
      <c r="CT152" s="24" t="n">
        <f aca="false">RANK(CR152,$CR$2:$CR$881,0)</f>
        <v>15</v>
      </c>
      <c r="CU152" s="25" t="n">
        <f aca="false">RANK(CS152,$CS$2:$CS$881,0)</f>
        <v>135</v>
      </c>
      <c r="CV152" s="26" t="n">
        <f aca="false">(CS152+CR152)/2</f>
        <v>89.1428571428571</v>
      </c>
      <c r="CW152" s="25" t="n">
        <f aca="false">RANK(CV152,$CV$2:$CV$881,0)</f>
        <v>66</v>
      </c>
      <c r="CX152" s="50" t="n">
        <f aca="false">(CV152+BB152)/2</f>
        <v>86.0714285714286</v>
      </c>
      <c r="CY152" s="50" t="n">
        <v>94</v>
      </c>
      <c r="CZ152" s="27" t="s">
        <v>132</v>
      </c>
      <c r="DA152" s="27" t="s">
        <v>202</v>
      </c>
      <c r="DB152" s="27" t="s">
        <v>202</v>
      </c>
      <c r="DC152" s="27" t="s">
        <v>134</v>
      </c>
      <c r="DD152" s="27" t="s">
        <v>182</v>
      </c>
      <c r="DE152" s="27" t="s">
        <v>218</v>
      </c>
      <c r="DF152" s="27" t="s">
        <v>196</v>
      </c>
      <c r="DG152" s="27" t="s">
        <v>134</v>
      </c>
      <c r="DH152" s="27" t="s">
        <v>135</v>
      </c>
      <c r="DI152" s="27" t="s">
        <v>177</v>
      </c>
      <c r="DJ152" s="27" t="s">
        <v>175</v>
      </c>
      <c r="DK152" s="27" t="s">
        <v>134</v>
      </c>
      <c r="DL152" s="27" t="s">
        <v>182</v>
      </c>
      <c r="DM152" s="27" t="s">
        <v>447</v>
      </c>
      <c r="DN152" s="27" t="s">
        <v>382</v>
      </c>
      <c r="DO152" s="27" t="s">
        <v>134</v>
      </c>
      <c r="DP152" s="27" t="s">
        <v>135</v>
      </c>
      <c r="DQ152" s="27" t="s">
        <v>220</v>
      </c>
      <c r="DR152" s="27" t="s">
        <v>196</v>
      </c>
      <c r="DS152" s="27" t="s">
        <v>134</v>
      </c>
      <c r="DT152" s="27" t="s">
        <v>164</v>
      </c>
      <c r="DU152" s="27" t="s">
        <v>638</v>
      </c>
      <c r="DV152" s="27" t="s">
        <v>398</v>
      </c>
      <c r="DW152" s="27" t="s">
        <v>160</v>
      </c>
      <c r="DX152" s="27" t="s">
        <v>136</v>
      </c>
      <c r="DY152" s="27" t="s">
        <v>170</v>
      </c>
      <c r="DZ152" s="27" t="n">
        <f aca="false">DY152+DV152+DR152+DN152+DJ152+DF152+DB152</f>
        <v>573</v>
      </c>
      <c r="EA152" s="28" t="n">
        <f aca="false">DZ152/7</f>
        <v>81.8571428571429</v>
      </c>
      <c r="EB152" s="27" t="n">
        <f aca="false">RANK(EA152,$EA$2:$EA$881,0)</f>
        <v>316</v>
      </c>
      <c r="EC152" s="29" t="n">
        <f aca="false">DZ152+CQ152+CP152+AZ152</f>
        <v>2651</v>
      </c>
      <c r="ED152" s="30" t="n">
        <f aca="false">(EA152+CV152+BB152)/3</f>
        <v>84.6666666666667</v>
      </c>
      <c r="EE152" s="51" t="n">
        <f aca="false">ROUND(BE152,3)</f>
        <v>88.373</v>
      </c>
      <c r="EF152" s="51" t="n">
        <f aca="false">ROUND(CR152,3)</f>
        <v>94.714</v>
      </c>
      <c r="EG152" s="51" t="n">
        <f aca="false">ROUND(CS152,3)</f>
        <v>83.571</v>
      </c>
      <c r="EH152" s="51" t="n">
        <f aca="false">ROUND(EA152,3)</f>
        <v>81.857</v>
      </c>
      <c r="EI152" s="51" t="n">
        <f aca="false">ROUND(ED152,3)</f>
        <v>84.667</v>
      </c>
      <c r="EJ152" s="51" t="n">
        <f aca="false">ROUND(CV152,3)</f>
        <v>89.143</v>
      </c>
      <c r="EK152" s="0" t="n">
        <f aca="false">RANK(EI152,$EI$2:$EI$881,0)</f>
        <v>151</v>
      </c>
    </row>
    <row r="153" customFormat="false" ht="15" hidden="false" customHeight="false" outlineLevel="0" collapsed="false">
      <c r="A153" s="4" t="n">
        <v>8618</v>
      </c>
      <c r="B153" s="4" t="n">
        <v>614</v>
      </c>
      <c r="C153" s="27" t="s">
        <v>639</v>
      </c>
      <c r="D153" s="31" t="n">
        <v>621</v>
      </c>
      <c r="E153" s="32" t="n">
        <v>230321039</v>
      </c>
      <c r="F153" s="8" t="s">
        <v>640</v>
      </c>
      <c r="G153" s="22" t="s">
        <v>521</v>
      </c>
      <c r="H153" s="22" t="s">
        <v>129</v>
      </c>
      <c r="I153" s="33" t="n">
        <v>2005</v>
      </c>
      <c r="J153" s="32" t="n">
        <v>73</v>
      </c>
      <c r="K153" s="32" t="n">
        <v>82</v>
      </c>
      <c r="L153" s="34" t="n">
        <f aca="false">(K153*70)/100</f>
        <v>57.4</v>
      </c>
      <c r="M153" s="34" t="n">
        <f aca="false">ROUNDUP(L153,0)</f>
        <v>58</v>
      </c>
      <c r="N153" s="32" t="n">
        <v>27</v>
      </c>
      <c r="O153" s="34" t="n">
        <f aca="false">N153+L153</f>
        <v>84.4</v>
      </c>
      <c r="P153" s="34" t="n">
        <f aca="false">N153+M153</f>
        <v>85</v>
      </c>
      <c r="Q153" s="32" t="n">
        <v>90</v>
      </c>
      <c r="R153" s="32" t="n">
        <v>79</v>
      </c>
      <c r="S153" s="34" t="n">
        <f aca="false">(R153*70)/100</f>
        <v>55.3</v>
      </c>
      <c r="T153" s="34" t="n">
        <f aca="false">ROUNDUP(S153,0)</f>
        <v>56</v>
      </c>
      <c r="U153" s="32" t="n">
        <v>25</v>
      </c>
      <c r="V153" s="34" t="n">
        <f aca="false">U153+S153</f>
        <v>80.3</v>
      </c>
      <c r="W153" s="34" t="n">
        <f aca="false">U153+T153</f>
        <v>81</v>
      </c>
      <c r="X153" s="32" t="n">
        <v>76</v>
      </c>
      <c r="Y153" s="34" t="n">
        <f aca="false">(X153*70)/100</f>
        <v>53.2</v>
      </c>
      <c r="Z153" s="34" t="n">
        <f aca="false">ROUNDUP(Y153,0)</f>
        <v>54</v>
      </c>
      <c r="AA153" s="32" t="n">
        <v>26</v>
      </c>
      <c r="AB153" s="34" t="n">
        <f aca="false">AA153+Y153</f>
        <v>79.2</v>
      </c>
      <c r="AC153" s="34" t="n">
        <f aca="false">AA153+Z153</f>
        <v>80</v>
      </c>
      <c r="AD153" s="32" t="n">
        <f aca="false">X153+R153+Q153+K153+J153</f>
        <v>400</v>
      </c>
      <c r="AE153" s="16" t="n">
        <f aca="false">AD153/5</f>
        <v>80</v>
      </c>
      <c r="AF153" s="16" t="n">
        <v>66</v>
      </c>
      <c r="AG153" s="16" t="n">
        <v>79</v>
      </c>
      <c r="AH153" s="16" t="n">
        <v>83</v>
      </c>
      <c r="AI153" s="16" t="n">
        <v>88</v>
      </c>
      <c r="AJ153" s="16" t="n">
        <f aca="false">(AI153*70)/100</f>
        <v>61.6</v>
      </c>
      <c r="AK153" s="35" t="n">
        <f aca="false">ROUNDUP(AJ153,0)</f>
        <v>62</v>
      </c>
      <c r="AL153" s="16" t="n">
        <v>25</v>
      </c>
      <c r="AM153" s="16" t="n">
        <f aca="false">AL153+AJ153</f>
        <v>86.6</v>
      </c>
      <c r="AN153" s="16" t="n">
        <f aca="false">AL153+AK153</f>
        <v>87</v>
      </c>
      <c r="AO153" s="16" t="n">
        <v>80</v>
      </c>
      <c r="AP153" s="36" t="n">
        <f aca="false">(AO153*70)/100</f>
        <v>56</v>
      </c>
      <c r="AQ153" s="37" t="n">
        <f aca="false">ROUNDUP(AP153,0)</f>
        <v>56</v>
      </c>
      <c r="AR153" s="16" t="n">
        <v>29</v>
      </c>
      <c r="AS153" s="16" t="n">
        <f aca="false">AR153+AP153</f>
        <v>85</v>
      </c>
      <c r="AT153" s="16" t="n">
        <f aca="false">AR153+AQ153</f>
        <v>85</v>
      </c>
      <c r="AU153" s="16" t="n">
        <f aca="false">AO153+AF153+AI153+AH153+AG153</f>
        <v>396</v>
      </c>
      <c r="AV153" s="16" t="n">
        <f aca="false">(AO153+AF153+AI153+AH153+AG153)/5</f>
        <v>79.2</v>
      </c>
      <c r="AW153" s="36" t="n">
        <f aca="false">(AO153+AF153+AI153+AH153+AG153+X153+R153+Q153+K153+J153)</f>
        <v>796</v>
      </c>
      <c r="AX153" s="16" t="n">
        <f aca="false">AW153/10</f>
        <v>79.6</v>
      </c>
      <c r="AY153" s="16" t="n">
        <f aca="false">AS153+AF153+AM153+AH153+AG153+AB153+V153+Q153+O153+J153</f>
        <v>806.5</v>
      </c>
      <c r="AZ153" s="16" t="n">
        <f aca="false">AT153+AF153+AN153+AH153+AG153+AC153+W153+Q153+P153+J153</f>
        <v>809</v>
      </c>
      <c r="BA153" s="16" t="n">
        <f aca="false">AY153/10</f>
        <v>80.65</v>
      </c>
      <c r="BB153" s="16" t="n">
        <f aca="false">AZ153/10</f>
        <v>80.9</v>
      </c>
      <c r="BC153" s="16" t="n">
        <v>2349</v>
      </c>
      <c r="BD153" s="16" t="n">
        <f aca="false">RANK(AX153,$AX$2:$AX$881,0)</f>
        <v>296</v>
      </c>
      <c r="BE153" s="54" t="n">
        <f aca="false">((BC153*100)/2400)*0.4+(AX153*0.6)</f>
        <v>86.91</v>
      </c>
      <c r="BF153" s="16" t="n">
        <f aca="false">RANK(BE153,$BE$2:$BE$881,0)</f>
        <v>308</v>
      </c>
      <c r="BG153" s="39" t="n">
        <f aca="false">RANK(BB153,$BB$2:$BB$881,0)</f>
        <v>282</v>
      </c>
      <c r="BH153" s="39" t="n">
        <f aca="false">RANK(BC153,$BC$2:$BC$881,0)</f>
        <v>542</v>
      </c>
      <c r="BI153" s="22" t="s">
        <v>130</v>
      </c>
      <c r="BJ153" s="22" t="s">
        <v>129</v>
      </c>
      <c r="BK153" s="40" t="s">
        <v>131</v>
      </c>
      <c r="BL153" s="41" t="n">
        <v>25</v>
      </c>
      <c r="BM153" s="41" t="n">
        <v>64</v>
      </c>
      <c r="BN153" s="41" t="n">
        <v>89</v>
      </c>
      <c r="BO153" s="42" t="n">
        <v>28</v>
      </c>
      <c r="BP153" s="43" t="n">
        <v>65</v>
      </c>
      <c r="BQ153" s="44" t="n">
        <v>93</v>
      </c>
      <c r="BR153" s="42" t="n">
        <v>21</v>
      </c>
      <c r="BS153" s="45" t="n">
        <v>61</v>
      </c>
      <c r="BT153" s="45" t="n">
        <v>82</v>
      </c>
      <c r="BU153" s="46" t="n">
        <v>100</v>
      </c>
      <c r="BV153" s="47" t="n">
        <v>90</v>
      </c>
      <c r="BW153" s="42" t="n">
        <v>99</v>
      </c>
      <c r="BX153" s="48" t="n">
        <v>96</v>
      </c>
      <c r="BY153" s="32" t="n">
        <v>28</v>
      </c>
      <c r="BZ153" s="32" t="n">
        <v>55</v>
      </c>
      <c r="CA153" s="32" t="n">
        <v>83</v>
      </c>
      <c r="CB153" s="32" t="n">
        <v>22</v>
      </c>
      <c r="CC153" s="32" t="n">
        <v>41</v>
      </c>
      <c r="CD153" s="32" t="n">
        <v>63</v>
      </c>
      <c r="CE153" s="32" t="n">
        <v>27</v>
      </c>
      <c r="CF153" s="32" t="n">
        <v>54</v>
      </c>
      <c r="CG153" s="32" t="n">
        <v>81</v>
      </c>
      <c r="CH153" s="32" t="n">
        <v>92</v>
      </c>
      <c r="CI153" s="32" t="n">
        <v>100</v>
      </c>
      <c r="CJ153" s="49" t="n">
        <v>28</v>
      </c>
      <c r="CK153" s="49" t="n">
        <v>59</v>
      </c>
      <c r="CL153" s="49" t="n">
        <v>87</v>
      </c>
      <c r="CM153" s="49" t="n">
        <v>26</v>
      </c>
      <c r="CN153" s="49" t="n">
        <v>53</v>
      </c>
      <c r="CO153" s="49" t="n">
        <v>79</v>
      </c>
      <c r="CP153" s="25" t="n">
        <f aca="false">BX153+BW153+BV153+BU153+BT153+BQ153+BN153</f>
        <v>649</v>
      </c>
      <c r="CQ153" s="25" t="n">
        <f aca="false">CO153+CL153+CI153+CH153+CG153+CD153+CA153</f>
        <v>585</v>
      </c>
      <c r="CR153" s="26" t="n">
        <f aca="false">CP153/7</f>
        <v>92.7142857142857</v>
      </c>
      <c r="CS153" s="26" t="n">
        <f aca="false">CQ153/7</f>
        <v>83.5714285714286</v>
      </c>
      <c r="CT153" s="24" t="n">
        <f aca="false">RANK(CR153,$CR$2:$CR$881,0)</f>
        <v>58</v>
      </c>
      <c r="CU153" s="25" t="n">
        <f aca="false">RANK(CS153,$CS$2:$CS$881,0)</f>
        <v>135</v>
      </c>
      <c r="CV153" s="26" t="n">
        <f aca="false">(CS153+CR153)/2</f>
        <v>88.1428571428571</v>
      </c>
      <c r="CW153" s="25" t="n">
        <f aca="false">RANK(CV153,$CV$2:$CV$881,0)</f>
        <v>92</v>
      </c>
      <c r="CX153" s="50" t="n">
        <f aca="false">(CV153+BB153)/2</f>
        <v>84.5214285714286</v>
      </c>
      <c r="CY153" s="50" t="n">
        <v>145</v>
      </c>
      <c r="CZ153" s="27" t="s">
        <v>132</v>
      </c>
      <c r="DA153" s="27" t="s">
        <v>202</v>
      </c>
      <c r="DB153" s="27" t="s">
        <v>202</v>
      </c>
      <c r="DC153" s="27" t="s">
        <v>134</v>
      </c>
      <c r="DD153" s="27" t="s">
        <v>154</v>
      </c>
      <c r="DE153" s="27" t="s">
        <v>203</v>
      </c>
      <c r="DF153" s="27" t="s">
        <v>175</v>
      </c>
      <c r="DG153" s="27" t="s">
        <v>134</v>
      </c>
      <c r="DH153" s="27" t="s">
        <v>154</v>
      </c>
      <c r="DI153" s="27" t="s">
        <v>183</v>
      </c>
      <c r="DJ153" s="27" t="s">
        <v>196</v>
      </c>
      <c r="DK153" s="27" t="s">
        <v>134</v>
      </c>
      <c r="DL153" s="27" t="s">
        <v>164</v>
      </c>
      <c r="DM153" s="27" t="s">
        <v>177</v>
      </c>
      <c r="DN153" s="27" t="s">
        <v>178</v>
      </c>
      <c r="DO153" s="27" t="s">
        <v>134</v>
      </c>
      <c r="DP153" s="27" t="s">
        <v>191</v>
      </c>
      <c r="DQ153" s="27" t="s">
        <v>218</v>
      </c>
      <c r="DR153" s="27" t="s">
        <v>382</v>
      </c>
      <c r="DS153" s="27" t="s">
        <v>134</v>
      </c>
      <c r="DT153" s="27" t="s">
        <v>160</v>
      </c>
      <c r="DU153" s="27" t="s">
        <v>306</v>
      </c>
      <c r="DV153" s="27" t="s">
        <v>169</v>
      </c>
      <c r="DW153" s="27" t="s">
        <v>135</v>
      </c>
      <c r="DX153" s="27" t="s">
        <v>155</v>
      </c>
      <c r="DY153" s="27" t="s">
        <v>139</v>
      </c>
      <c r="DZ153" s="27" t="n">
        <f aca="false">DY153+DV153+DR153+DN153+DJ153+DF153+DB153</f>
        <v>594</v>
      </c>
      <c r="EA153" s="28" t="n">
        <f aca="false">DZ153/7</f>
        <v>84.8571428571429</v>
      </c>
      <c r="EB153" s="27" t="n">
        <f aca="false">RANK(EA153,$EA$2:$EA$881,0)</f>
        <v>188</v>
      </c>
      <c r="EC153" s="29" t="n">
        <f aca="false">DZ153+CQ153+CP153+AZ153</f>
        <v>2637</v>
      </c>
      <c r="ED153" s="30" t="n">
        <f aca="false">(EA153+CV153+BB153)/3</f>
        <v>84.6333333333333</v>
      </c>
      <c r="EE153" s="51" t="n">
        <f aca="false">ROUND(BE153,3)</f>
        <v>86.91</v>
      </c>
      <c r="EF153" s="51" t="n">
        <f aca="false">ROUND(CR153,3)</f>
        <v>92.714</v>
      </c>
      <c r="EG153" s="51" t="n">
        <f aca="false">ROUND(CS153,3)</f>
        <v>83.571</v>
      </c>
      <c r="EH153" s="51" t="n">
        <f aca="false">ROUND(EA153,3)</f>
        <v>84.857</v>
      </c>
      <c r="EI153" s="51" t="n">
        <f aca="false">ROUND(ED153,3)</f>
        <v>84.633</v>
      </c>
      <c r="EJ153" s="51" t="n">
        <f aca="false">ROUND(CV153,3)</f>
        <v>88.143</v>
      </c>
      <c r="EK153" s="0" t="n">
        <f aca="false">RANK(EI153,$EI$2:$EI$881,0)</f>
        <v>152</v>
      </c>
    </row>
    <row r="154" customFormat="false" ht="15" hidden="false" customHeight="false" outlineLevel="0" collapsed="false">
      <c r="A154" s="4" t="n">
        <v>8827</v>
      </c>
      <c r="B154" s="4" t="n">
        <v>816</v>
      </c>
      <c r="C154" s="27" t="s">
        <v>641</v>
      </c>
      <c r="D154" s="31" t="n">
        <v>837</v>
      </c>
      <c r="E154" s="16" t="n">
        <v>230251807</v>
      </c>
      <c r="F154" s="56" t="s">
        <v>642</v>
      </c>
      <c r="G154" s="22" t="s">
        <v>237</v>
      </c>
      <c r="H154" s="22" t="s">
        <v>326</v>
      </c>
      <c r="I154" s="57"/>
      <c r="J154" s="16" t="n">
        <v>67</v>
      </c>
      <c r="K154" s="16" t="n">
        <v>89</v>
      </c>
      <c r="L154" s="34" t="n">
        <f aca="false">(K154*70)/100</f>
        <v>62.3</v>
      </c>
      <c r="M154" s="34" t="n">
        <f aca="false">ROUNDUP(L154,0)</f>
        <v>63</v>
      </c>
      <c r="N154" s="16" t="n">
        <v>28</v>
      </c>
      <c r="O154" s="34" t="n">
        <f aca="false">N154+L154</f>
        <v>90.3</v>
      </c>
      <c r="P154" s="34" t="n">
        <f aca="false">N154+M154</f>
        <v>91</v>
      </c>
      <c r="Q154" s="16" t="n">
        <v>81</v>
      </c>
      <c r="R154" s="16" t="n">
        <v>83</v>
      </c>
      <c r="S154" s="34" t="n">
        <f aca="false">(R154*70)/100</f>
        <v>58.1</v>
      </c>
      <c r="T154" s="34" t="n">
        <f aca="false">ROUNDUP(S154,0)</f>
        <v>59</v>
      </c>
      <c r="U154" s="16" t="n">
        <v>26</v>
      </c>
      <c r="V154" s="34" t="n">
        <f aca="false">U154+S154</f>
        <v>84.1</v>
      </c>
      <c r="W154" s="34" t="n">
        <f aca="false">U154+T154</f>
        <v>85</v>
      </c>
      <c r="X154" s="16" t="n">
        <v>73</v>
      </c>
      <c r="Y154" s="34" t="n">
        <f aca="false">(X154*70)/100</f>
        <v>51.1</v>
      </c>
      <c r="Z154" s="34" t="n">
        <f aca="false">ROUNDUP(Y154,0)</f>
        <v>52</v>
      </c>
      <c r="AA154" s="16" t="n">
        <v>26</v>
      </c>
      <c r="AB154" s="34" t="n">
        <f aca="false">AA154+Y154</f>
        <v>77.1</v>
      </c>
      <c r="AC154" s="34" t="n">
        <f aca="false">AA154+Z154</f>
        <v>78</v>
      </c>
      <c r="AD154" s="32" t="n">
        <f aca="false">X154+R154+Q154+K154+J154</f>
        <v>393</v>
      </c>
      <c r="AE154" s="16" t="n">
        <f aca="false">AD154/5</f>
        <v>78.6</v>
      </c>
      <c r="AF154" s="16" t="n">
        <v>83</v>
      </c>
      <c r="AG154" s="16" t="n">
        <v>70</v>
      </c>
      <c r="AH154" s="16" t="n">
        <v>94</v>
      </c>
      <c r="AI154" s="16" t="n">
        <v>94</v>
      </c>
      <c r="AJ154" s="16" t="n">
        <f aca="false">(AI154*70)/100</f>
        <v>65.8</v>
      </c>
      <c r="AK154" s="35" t="n">
        <f aca="false">ROUNDUP(AJ154,0)</f>
        <v>66</v>
      </c>
      <c r="AL154" s="16" t="n">
        <v>23</v>
      </c>
      <c r="AM154" s="16" t="n">
        <f aca="false">AL154+AJ154</f>
        <v>88.8</v>
      </c>
      <c r="AN154" s="16" t="n">
        <f aca="false">AL154+AK154</f>
        <v>89</v>
      </c>
      <c r="AO154" s="16" t="n">
        <v>88</v>
      </c>
      <c r="AP154" s="36" t="n">
        <f aca="false">(AO154*70)/100</f>
        <v>61.6</v>
      </c>
      <c r="AQ154" s="37" t="n">
        <f aca="false">ROUNDUP(AP154,0)</f>
        <v>62</v>
      </c>
      <c r="AR154" s="16" t="n">
        <v>23</v>
      </c>
      <c r="AS154" s="16" t="n">
        <f aca="false">AR154+AP154</f>
        <v>84.6</v>
      </c>
      <c r="AT154" s="16" t="n">
        <f aca="false">AR154+AQ154</f>
        <v>85</v>
      </c>
      <c r="AU154" s="16" t="n">
        <f aca="false">AO154+AF154+AI154+AH154+AG154</f>
        <v>429</v>
      </c>
      <c r="AV154" s="16" t="n">
        <f aca="false">(AO154+AF154+AI154+AH154+AG154)/5</f>
        <v>85.8</v>
      </c>
      <c r="AW154" s="36" t="n">
        <f aca="false">(AO154+AF154+AI154+AH154+AG154+X154+R154+Q154+K154+J154)</f>
        <v>822</v>
      </c>
      <c r="AX154" s="16" t="n">
        <f aca="false">AW154/10</f>
        <v>82.2</v>
      </c>
      <c r="AY154" s="16" t="n">
        <f aca="false">AS154+AF154+AM154+AH154+AG154+AB154+V154+Q154+O154+J154</f>
        <v>819.9</v>
      </c>
      <c r="AZ154" s="16" t="n">
        <f aca="false">AT154+AF154+AN154+AH154+AG154+AC154+W154+Q154+P154+J154</f>
        <v>823</v>
      </c>
      <c r="BA154" s="16" t="n">
        <f aca="false">AY154/10</f>
        <v>81.99</v>
      </c>
      <c r="BB154" s="16" t="n">
        <f aca="false">AZ154/10</f>
        <v>82.3</v>
      </c>
      <c r="BC154" s="16" t="n">
        <v>2346</v>
      </c>
      <c r="BD154" s="16" t="n">
        <f aca="false">RANK(AX154,$AX$2:$AX$881,0)</f>
        <v>156</v>
      </c>
      <c r="BE154" s="54" t="n">
        <f aca="false">((BC154*100)/2400)*0.4+(AX154*0.6)</f>
        <v>88.42</v>
      </c>
      <c r="BF154" s="16" t="n">
        <f aca="false">RANK(BE154,$BE$2:$BE$881,0)</f>
        <v>169</v>
      </c>
      <c r="BG154" s="39" t="n">
        <f aca="false">RANK(BB154,$BB$2:$BB$881,0)</f>
        <v>193</v>
      </c>
      <c r="BH154" s="39" t="n">
        <f aca="false">RANK(BC154,$BC$2:$BC$881,0)</f>
        <v>571</v>
      </c>
      <c r="BI154" s="22" t="s">
        <v>130</v>
      </c>
      <c r="BJ154" s="22" t="s">
        <v>129</v>
      </c>
      <c r="BK154" s="40" t="s">
        <v>131</v>
      </c>
      <c r="BL154" s="41" t="n">
        <v>27</v>
      </c>
      <c r="BM154" s="41" t="n">
        <v>63</v>
      </c>
      <c r="BN154" s="41" t="n">
        <v>90</v>
      </c>
      <c r="BO154" s="42" t="n">
        <v>25</v>
      </c>
      <c r="BP154" s="43" t="n">
        <v>56</v>
      </c>
      <c r="BQ154" s="44" t="n">
        <v>81</v>
      </c>
      <c r="BR154" s="42" t="n">
        <v>25</v>
      </c>
      <c r="BS154" s="45" t="n">
        <v>60</v>
      </c>
      <c r="BT154" s="45" t="n">
        <v>85</v>
      </c>
      <c r="BU154" s="46" t="n">
        <v>100</v>
      </c>
      <c r="BV154" s="47" t="n">
        <v>86</v>
      </c>
      <c r="BW154" s="42" t="n">
        <v>96</v>
      </c>
      <c r="BX154" s="48" t="n">
        <v>94</v>
      </c>
      <c r="BY154" s="25" t="n">
        <v>26</v>
      </c>
      <c r="BZ154" s="25" t="n">
        <v>60</v>
      </c>
      <c r="CA154" s="25" t="n">
        <v>86</v>
      </c>
      <c r="CB154" s="59" t="n">
        <v>22</v>
      </c>
      <c r="CC154" s="58" t="n">
        <v>55</v>
      </c>
      <c r="CD154" s="58" t="n">
        <v>77</v>
      </c>
      <c r="CE154" s="32" t="n">
        <v>20</v>
      </c>
      <c r="CF154" s="32" t="n">
        <v>55</v>
      </c>
      <c r="CG154" s="32" t="n">
        <v>75</v>
      </c>
      <c r="CH154" s="32" t="n">
        <v>100</v>
      </c>
      <c r="CI154" s="32" t="n">
        <v>90</v>
      </c>
      <c r="CJ154" s="49" t="n">
        <v>27</v>
      </c>
      <c r="CK154" s="49" t="n">
        <v>59</v>
      </c>
      <c r="CL154" s="49" t="n">
        <v>86</v>
      </c>
      <c r="CM154" s="49" t="n">
        <v>21</v>
      </c>
      <c r="CN154" s="49" t="n">
        <v>57</v>
      </c>
      <c r="CO154" s="49" t="n">
        <v>78</v>
      </c>
      <c r="CP154" s="25" t="n">
        <f aca="false">BX154+BW154+BV154+BU154+BT154+BQ154+BN154</f>
        <v>632</v>
      </c>
      <c r="CQ154" s="25" t="n">
        <f aca="false">CO154+CL154+CI154+CH154+CG154+CD154+CA154</f>
        <v>592</v>
      </c>
      <c r="CR154" s="26" t="n">
        <f aca="false">CP154/7</f>
        <v>90.2857142857143</v>
      </c>
      <c r="CS154" s="26" t="n">
        <f aca="false">CQ154/7</f>
        <v>84.5714285714286</v>
      </c>
      <c r="CT154" s="24" t="n">
        <f aca="false">RANK(CR154,$CR$2:$CR$881,0)</f>
        <v>160</v>
      </c>
      <c r="CU154" s="25" t="n">
        <f aca="false">RANK(CS154,$CS$2:$CS$881,0)</f>
        <v>108</v>
      </c>
      <c r="CV154" s="26" t="n">
        <f aca="false">(CS154+CR154)/2</f>
        <v>87.4285714285714</v>
      </c>
      <c r="CW154" s="25" t="n">
        <f aca="false">RANK(CV154,$CV$2:$CV$881,0)</f>
        <v>121</v>
      </c>
      <c r="CX154" s="50" t="n">
        <f aca="false">(CV154+BB154)/2</f>
        <v>84.8642857142857</v>
      </c>
      <c r="CY154" s="50" t="n">
        <v>129</v>
      </c>
      <c r="CZ154" s="27" t="s">
        <v>132</v>
      </c>
      <c r="DA154" s="27" t="s">
        <v>205</v>
      </c>
      <c r="DB154" s="27" t="s">
        <v>205</v>
      </c>
      <c r="DC154" s="27" t="s">
        <v>134</v>
      </c>
      <c r="DD154" s="27" t="s">
        <v>174</v>
      </c>
      <c r="DE154" s="27" t="s">
        <v>203</v>
      </c>
      <c r="DF154" s="27" t="s">
        <v>209</v>
      </c>
      <c r="DG154" s="27" t="s">
        <v>134</v>
      </c>
      <c r="DH154" s="27" t="s">
        <v>154</v>
      </c>
      <c r="DI154" s="27" t="s">
        <v>136</v>
      </c>
      <c r="DJ154" s="27" t="s">
        <v>202</v>
      </c>
      <c r="DK154" s="27" t="s">
        <v>134</v>
      </c>
      <c r="DL154" s="27" t="s">
        <v>182</v>
      </c>
      <c r="DM154" s="27" t="s">
        <v>136</v>
      </c>
      <c r="DN154" s="27" t="s">
        <v>178</v>
      </c>
      <c r="DO154" s="27" t="s">
        <v>134</v>
      </c>
      <c r="DP154" s="27" t="s">
        <v>485</v>
      </c>
      <c r="DQ154" s="27" t="s">
        <v>161</v>
      </c>
      <c r="DR154" s="27" t="s">
        <v>305</v>
      </c>
      <c r="DS154" s="27" t="s">
        <v>134</v>
      </c>
      <c r="DT154" s="27" t="s">
        <v>182</v>
      </c>
      <c r="DU154" s="27" t="s">
        <v>375</v>
      </c>
      <c r="DV154" s="27" t="s">
        <v>372</v>
      </c>
      <c r="DW154" s="27" t="s">
        <v>160</v>
      </c>
      <c r="DX154" s="27" t="s">
        <v>155</v>
      </c>
      <c r="DY154" s="27" t="s">
        <v>145</v>
      </c>
      <c r="DZ154" s="27" t="n">
        <f aca="false">DY154+DV154+DR154+DN154+DJ154+DF154+DB154</f>
        <v>589</v>
      </c>
      <c r="EA154" s="28" t="n">
        <f aca="false">DZ154/7</f>
        <v>84.1428571428571</v>
      </c>
      <c r="EB154" s="27" t="n">
        <f aca="false">RANK(EA154,$EA$2:$EA$881,0)</f>
        <v>218</v>
      </c>
      <c r="EC154" s="29" t="n">
        <f aca="false">DZ154+CQ154+CP154+AZ154</f>
        <v>2636</v>
      </c>
      <c r="ED154" s="30" t="n">
        <f aca="false">(EA154+CV154+BB154)/3</f>
        <v>84.6238095238095</v>
      </c>
      <c r="EE154" s="51" t="n">
        <f aca="false">ROUND(BE154,3)</f>
        <v>88.42</v>
      </c>
      <c r="EF154" s="51" t="n">
        <f aca="false">ROUND(CR154,3)</f>
        <v>90.286</v>
      </c>
      <c r="EG154" s="51" t="n">
        <f aca="false">ROUND(CS154,3)</f>
        <v>84.571</v>
      </c>
      <c r="EH154" s="51" t="n">
        <f aca="false">ROUND(EA154,3)</f>
        <v>84.143</v>
      </c>
      <c r="EI154" s="51" t="n">
        <f aca="false">ROUND(ED154,3)</f>
        <v>84.624</v>
      </c>
      <c r="EJ154" s="51" t="n">
        <f aca="false">ROUND(CV154,3)</f>
        <v>87.429</v>
      </c>
      <c r="EK154" s="0" t="n">
        <f aca="false">RANK(EI154,$EI$2:$EI$881,0)</f>
        <v>153</v>
      </c>
    </row>
    <row r="155" customFormat="false" ht="15" hidden="false" customHeight="false" outlineLevel="0" collapsed="false">
      <c r="A155" s="4" t="n">
        <v>8652</v>
      </c>
      <c r="B155" s="4" t="n">
        <v>776</v>
      </c>
      <c r="C155" s="27" t="s">
        <v>643</v>
      </c>
      <c r="D155" s="31" t="n">
        <v>793</v>
      </c>
      <c r="E155" s="16" t="n">
        <v>230912195</v>
      </c>
      <c r="F155" s="56" t="s">
        <v>644</v>
      </c>
      <c r="G155" s="22" t="s">
        <v>532</v>
      </c>
      <c r="H155" s="22" t="s">
        <v>326</v>
      </c>
      <c r="I155" s="57"/>
      <c r="J155" s="16" t="n">
        <v>76</v>
      </c>
      <c r="K155" s="16" t="n">
        <v>73</v>
      </c>
      <c r="L155" s="34" t="n">
        <f aca="false">(K155*70)/100</f>
        <v>51.1</v>
      </c>
      <c r="M155" s="34" t="n">
        <f aca="false">ROUNDUP(L155,0)</f>
        <v>52</v>
      </c>
      <c r="N155" s="16" t="n">
        <v>24</v>
      </c>
      <c r="O155" s="34" t="n">
        <f aca="false">N155+L155</f>
        <v>75.1</v>
      </c>
      <c r="P155" s="34" t="n">
        <f aca="false">N155+M155</f>
        <v>76</v>
      </c>
      <c r="Q155" s="71" t="n">
        <v>59</v>
      </c>
      <c r="R155" s="16" t="n">
        <v>74</v>
      </c>
      <c r="S155" s="34" t="n">
        <f aca="false">(R155*70)/100</f>
        <v>51.8</v>
      </c>
      <c r="T155" s="34" t="n">
        <f aca="false">ROUNDUP(S155,0)</f>
        <v>52</v>
      </c>
      <c r="U155" s="16" t="n">
        <v>26</v>
      </c>
      <c r="V155" s="34" t="n">
        <f aca="false">U155+S155</f>
        <v>77.8</v>
      </c>
      <c r="W155" s="34" t="n">
        <f aca="false">U155+T155</f>
        <v>78</v>
      </c>
      <c r="X155" s="16" t="n">
        <v>71</v>
      </c>
      <c r="Y155" s="34" t="n">
        <f aca="false">(X155*70)/100</f>
        <v>49.7</v>
      </c>
      <c r="Z155" s="34" t="n">
        <f aca="false">ROUNDUP(Y155,0)</f>
        <v>50</v>
      </c>
      <c r="AA155" s="16" t="n">
        <v>28</v>
      </c>
      <c r="AB155" s="34" t="n">
        <f aca="false">AA155+Y155</f>
        <v>77.7</v>
      </c>
      <c r="AC155" s="34" t="n">
        <f aca="false">AA155+Z155</f>
        <v>78</v>
      </c>
      <c r="AD155" s="32" t="n">
        <f aca="false">X155+R155+Q155+K155+J155</f>
        <v>353</v>
      </c>
      <c r="AE155" s="16" t="n">
        <f aca="false">AD155/5</f>
        <v>70.6</v>
      </c>
      <c r="AF155" s="16" t="n">
        <v>89</v>
      </c>
      <c r="AG155" s="16" t="n">
        <v>83</v>
      </c>
      <c r="AH155" s="16" t="n">
        <v>97</v>
      </c>
      <c r="AI155" s="16" t="n">
        <v>95</v>
      </c>
      <c r="AJ155" s="16" t="n">
        <f aca="false">(AI155*70)/100</f>
        <v>66.5</v>
      </c>
      <c r="AK155" s="35" t="n">
        <f aca="false">ROUNDUP(AJ155,0)</f>
        <v>67</v>
      </c>
      <c r="AL155" s="16" t="n">
        <v>25</v>
      </c>
      <c r="AM155" s="16" t="n">
        <f aca="false">AL155+AJ155</f>
        <v>91.5</v>
      </c>
      <c r="AN155" s="16" t="n">
        <f aca="false">AL155+AK155</f>
        <v>92</v>
      </c>
      <c r="AO155" s="16" t="n">
        <v>85</v>
      </c>
      <c r="AP155" s="36" t="n">
        <f aca="false">(AO155*70)/100</f>
        <v>59.5</v>
      </c>
      <c r="AQ155" s="37" t="n">
        <f aca="false">ROUNDUP(AP155,0)</f>
        <v>60</v>
      </c>
      <c r="AR155" s="16" t="n">
        <v>29</v>
      </c>
      <c r="AS155" s="16" t="n">
        <f aca="false">AR155+AP155</f>
        <v>88.5</v>
      </c>
      <c r="AT155" s="16" t="n">
        <f aca="false">AR155+AQ155</f>
        <v>89</v>
      </c>
      <c r="AU155" s="16" t="n">
        <f aca="false">AO155+AF155+AI155+AH155+AG155</f>
        <v>449</v>
      </c>
      <c r="AV155" s="16" t="n">
        <f aca="false">(AO155+AF155+AI155+AH155+AG155)/5</f>
        <v>89.8</v>
      </c>
      <c r="AW155" s="36" t="n">
        <f aca="false">(AO155+AF155+AI155+AH155+AG155+X155+R155+Q155+K155+J155)</f>
        <v>802</v>
      </c>
      <c r="AX155" s="16" t="n">
        <f aca="false">AW155/10</f>
        <v>80.2</v>
      </c>
      <c r="AY155" s="16" t="n">
        <f aca="false">AS155+AF155+AM155+AH155+AG155+AB155+V155+Q155+O155+J155</f>
        <v>814.6</v>
      </c>
      <c r="AZ155" s="16" t="n">
        <f aca="false">AT155+AF155+AN155+AH155+AG155+AC155+W155+Q155+P155+J155</f>
        <v>817</v>
      </c>
      <c r="BA155" s="16" t="n">
        <f aca="false">AY155/10</f>
        <v>81.46</v>
      </c>
      <c r="BB155" s="16" t="n">
        <f aca="false">AZ155/10</f>
        <v>81.7</v>
      </c>
      <c r="BC155" s="16" t="n">
        <v>2363</v>
      </c>
      <c r="BD155" s="16" t="n">
        <f aca="false">RANK(AX155,$AX$2:$AX$881,0)</f>
        <v>251</v>
      </c>
      <c r="BE155" s="54" t="n">
        <f aca="false">((BC155*100)/2400)*0.4+(AX155*0.6)</f>
        <v>87.5033333333333</v>
      </c>
      <c r="BF155" s="16" t="n">
        <f aca="false">RANK(BE155,$BE$2:$BE$881,0)</f>
        <v>246</v>
      </c>
      <c r="BG155" s="39" t="n">
        <f aca="false">RANK(BB155,$BB$2:$BB$881,0)</f>
        <v>229</v>
      </c>
      <c r="BH155" s="39" t="n">
        <f aca="false">RANK(BC155,$BC$2:$BC$881,0)</f>
        <v>356</v>
      </c>
      <c r="BI155" s="22" t="s">
        <v>130</v>
      </c>
      <c r="BJ155" s="22" t="s">
        <v>129</v>
      </c>
      <c r="BK155" s="40" t="s">
        <v>131</v>
      </c>
      <c r="BL155" s="41" t="n">
        <v>25</v>
      </c>
      <c r="BM155" s="41" t="n">
        <v>60</v>
      </c>
      <c r="BN155" s="41" t="n">
        <v>85</v>
      </c>
      <c r="BO155" s="42" t="n">
        <v>28</v>
      </c>
      <c r="BP155" s="43" t="n">
        <v>57</v>
      </c>
      <c r="BQ155" s="44" t="n">
        <v>85</v>
      </c>
      <c r="BR155" s="42" t="n">
        <v>27</v>
      </c>
      <c r="BS155" s="45" t="n">
        <v>64</v>
      </c>
      <c r="BT155" s="45" t="n">
        <v>91</v>
      </c>
      <c r="BU155" s="46" t="n">
        <v>100</v>
      </c>
      <c r="BV155" s="47" t="n">
        <v>92</v>
      </c>
      <c r="BW155" s="42" t="n">
        <v>98</v>
      </c>
      <c r="BX155" s="48" t="n">
        <v>96</v>
      </c>
      <c r="BY155" s="32" t="n">
        <v>29</v>
      </c>
      <c r="BZ155" s="32" t="n">
        <v>57</v>
      </c>
      <c r="CA155" s="32" t="n">
        <v>86</v>
      </c>
      <c r="CB155" s="32" t="n">
        <v>26</v>
      </c>
      <c r="CC155" s="32" t="n">
        <v>41</v>
      </c>
      <c r="CD155" s="32" t="n">
        <v>67</v>
      </c>
      <c r="CE155" s="25" t="n">
        <v>28</v>
      </c>
      <c r="CF155" s="25" t="n">
        <v>59</v>
      </c>
      <c r="CG155" s="25" t="n">
        <v>87</v>
      </c>
      <c r="CH155" s="32" t="n">
        <v>96</v>
      </c>
      <c r="CI155" s="32" t="n">
        <v>98</v>
      </c>
      <c r="CJ155" s="49" t="n">
        <v>26</v>
      </c>
      <c r="CK155" s="49" t="n">
        <v>58</v>
      </c>
      <c r="CL155" s="49" t="n">
        <v>84</v>
      </c>
      <c r="CM155" s="49" t="n">
        <v>21</v>
      </c>
      <c r="CN155" s="49" t="n">
        <v>52</v>
      </c>
      <c r="CO155" s="49" t="n">
        <v>73</v>
      </c>
      <c r="CP155" s="25" t="n">
        <f aca="false">BX155+BW155+BV155+BU155+BT155+BQ155+BN155</f>
        <v>647</v>
      </c>
      <c r="CQ155" s="25" t="n">
        <f aca="false">CO155+CL155+CI155+CH155+CG155+CD155+CA155</f>
        <v>591</v>
      </c>
      <c r="CR155" s="26" t="n">
        <f aca="false">CP155/7</f>
        <v>92.4285714285714</v>
      </c>
      <c r="CS155" s="26" t="n">
        <f aca="false">CQ155/7</f>
        <v>84.4285714285714</v>
      </c>
      <c r="CT155" s="24" t="n">
        <f aca="false">RANK(CR155,$CR$2:$CR$881,0)</f>
        <v>74</v>
      </c>
      <c r="CU155" s="25" t="n">
        <f aca="false">RANK(CS155,$CS$2:$CS$881,0)</f>
        <v>114</v>
      </c>
      <c r="CV155" s="26" t="n">
        <f aca="false">(CS155+CR155)/2</f>
        <v>88.4285714285714</v>
      </c>
      <c r="CW155" s="25" t="n">
        <f aca="false">RANK(CV155,$CV$2:$CV$881,0)</f>
        <v>85</v>
      </c>
      <c r="CX155" s="50" t="n">
        <f aca="false">(CV155+BB155)/2</f>
        <v>85.0642857142857</v>
      </c>
      <c r="CY155" s="50" t="n">
        <v>126</v>
      </c>
      <c r="CZ155" s="27" t="s">
        <v>132</v>
      </c>
      <c r="DA155" s="27" t="s">
        <v>133</v>
      </c>
      <c r="DB155" s="27" t="s">
        <v>133</v>
      </c>
      <c r="DC155" s="27" t="s">
        <v>134</v>
      </c>
      <c r="DD155" s="27" t="s">
        <v>137</v>
      </c>
      <c r="DE155" s="27" t="s">
        <v>447</v>
      </c>
      <c r="DF155" s="27" t="s">
        <v>272</v>
      </c>
      <c r="DG155" s="27" t="s">
        <v>134</v>
      </c>
      <c r="DH155" s="27" t="s">
        <v>164</v>
      </c>
      <c r="DI155" s="27" t="s">
        <v>152</v>
      </c>
      <c r="DJ155" s="27" t="s">
        <v>170</v>
      </c>
      <c r="DK155" s="27" t="s">
        <v>134</v>
      </c>
      <c r="DL155" s="27" t="s">
        <v>164</v>
      </c>
      <c r="DM155" s="27" t="s">
        <v>220</v>
      </c>
      <c r="DN155" s="27" t="s">
        <v>169</v>
      </c>
      <c r="DO155" s="27" t="s">
        <v>134</v>
      </c>
      <c r="DP155" s="27" t="s">
        <v>135</v>
      </c>
      <c r="DQ155" s="27" t="s">
        <v>220</v>
      </c>
      <c r="DR155" s="27" t="s">
        <v>196</v>
      </c>
      <c r="DS155" s="27" t="s">
        <v>134</v>
      </c>
      <c r="DT155" s="27" t="s">
        <v>182</v>
      </c>
      <c r="DU155" s="27" t="s">
        <v>645</v>
      </c>
      <c r="DV155" s="27" t="s">
        <v>143</v>
      </c>
      <c r="DW155" s="27" t="s">
        <v>160</v>
      </c>
      <c r="DX155" s="27" t="s">
        <v>143</v>
      </c>
      <c r="DY155" s="27" t="s">
        <v>142</v>
      </c>
      <c r="DZ155" s="27" t="n">
        <f aca="false">DY155+DV155+DR155+DN155+DJ155+DF155+DB155</f>
        <v>586</v>
      </c>
      <c r="EA155" s="28" t="n">
        <f aca="false">DZ155/7</f>
        <v>83.7142857142857</v>
      </c>
      <c r="EB155" s="27" t="n">
        <f aca="false">RANK(EA155,$EA$2:$EA$881,0)</f>
        <v>237</v>
      </c>
      <c r="EC155" s="29" t="n">
        <f aca="false">DZ155+CQ155+CP155+AZ155</f>
        <v>2641</v>
      </c>
      <c r="ED155" s="30" t="n">
        <f aca="false">(EA155+CV155+BB155)/3</f>
        <v>84.6142857142857</v>
      </c>
      <c r="EE155" s="51" t="n">
        <f aca="false">ROUND(BE155,3)</f>
        <v>87.503</v>
      </c>
      <c r="EF155" s="51" t="n">
        <f aca="false">ROUND(CR155,3)</f>
        <v>92.429</v>
      </c>
      <c r="EG155" s="51" t="n">
        <f aca="false">ROUND(CS155,3)</f>
        <v>84.429</v>
      </c>
      <c r="EH155" s="51" t="n">
        <f aca="false">ROUND(EA155,3)</f>
        <v>83.714</v>
      </c>
      <c r="EI155" s="51" t="n">
        <f aca="false">ROUND(ED155,3)</f>
        <v>84.614</v>
      </c>
      <c r="EJ155" s="51" t="n">
        <f aca="false">ROUND(CV155,3)</f>
        <v>88.429</v>
      </c>
      <c r="EK155" s="0" t="n">
        <f aca="false">RANK(EI155,$EI$2:$EI$881,0)</f>
        <v>154</v>
      </c>
    </row>
    <row r="156" customFormat="false" ht="15" hidden="false" customHeight="false" outlineLevel="0" collapsed="false">
      <c r="A156" s="4" t="n">
        <v>8696</v>
      </c>
      <c r="B156" s="4" t="n">
        <v>618</v>
      </c>
      <c r="C156" s="27" t="s">
        <v>646</v>
      </c>
      <c r="D156" s="31" t="n">
        <v>626</v>
      </c>
      <c r="E156" s="16" t="n">
        <v>230132521</v>
      </c>
      <c r="F156" s="56" t="s">
        <v>647</v>
      </c>
      <c r="G156" s="22" t="s">
        <v>648</v>
      </c>
      <c r="H156" s="22" t="s">
        <v>326</v>
      </c>
      <c r="I156" s="57"/>
      <c r="J156" s="16" t="n">
        <v>75</v>
      </c>
      <c r="K156" s="16" t="n">
        <v>92</v>
      </c>
      <c r="L156" s="34" t="n">
        <f aca="false">(K156*70)/100</f>
        <v>64.4</v>
      </c>
      <c r="M156" s="34" t="n">
        <f aca="false">ROUNDUP(L156,0)</f>
        <v>65</v>
      </c>
      <c r="N156" s="16" t="n">
        <v>16</v>
      </c>
      <c r="O156" s="34" t="n">
        <f aca="false">N156+L156</f>
        <v>80.4</v>
      </c>
      <c r="P156" s="34" t="n">
        <f aca="false">N156+M156</f>
        <v>81</v>
      </c>
      <c r="Q156" s="16" t="n">
        <v>76</v>
      </c>
      <c r="R156" s="16" t="n">
        <v>73</v>
      </c>
      <c r="S156" s="34" t="n">
        <f aca="false">(R156*70)/100</f>
        <v>51.1</v>
      </c>
      <c r="T156" s="34" t="n">
        <f aca="false">ROUNDUP(S156,0)</f>
        <v>52</v>
      </c>
      <c r="U156" s="16" t="n">
        <v>23</v>
      </c>
      <c r="V156" s="34" t="n">
        <f aca="false">U156+S156</f>
        <v>74.1</v>
      </c>
      <c r="W156" s="34" t="n">
        <f aca="false">U156+T156</f>
        <v>75</v>
      </c>
      <c r="X156" s="16" t="n">
        <v>70</v>
      </c>
      <c r="Y156" s="34" t="n">
        <f aca="false">(X156*70)/100</f>
        <v>49</v>
      </c>
      <c r="Z156" s="34" t="n">
        <f aca="false">ROUNDUP(Y156,0)</f>
        <v>49</v>
      </c>
      <c r="AA156" s="16" t="n">
        <v>26</v>
      </c>
      <c r="AB156" s="34" t="n">
        <f aca="false">AA156+Y156</f>
        <v>75</v>
      </c>
      <c r="AC156" s="34" t="n">
        <f aca="false">AA156+Z156</f>
        <v>75</v>
      </c>
      <c r="AD156" s="32" t="n">
        <f aca="false">X156+R156+Q156+K156+J156</f>
        <v>386</v>
      </c>
      <c r="AE156" s="16" t="n">
        <f aca="false">AD156/5</f>
        <v>77.2</v>
      </c>
      <c r="AF156" s="16" t="n">
        <v>77</v>
      </c>
      <c r="AG156" s="16" t="n">
        <v>88</v>
      </c>
      <c r="AH156" s="16" t="n">
        <v>95</v>
      </c>
      <c r="AI156" s="16" t="n">
        <v>94</v>
      </c>
      <c r="AJ156" s="16" t="n">
        <f aca="false">(AI156*70)/100</f>
        <v>65.8</v>
      </c>
      <c r="AK156" s="35" t="n">
        <f aca="false">ROUNDUP(AJ156,0)</f>
        <v>66</v>
      </c>
      <c r="AL156" s="16" t="n">
        <v>22</v>
      </c>
      <c r="AM156" s="16" t="n">
        <f aca="false">AL156+AJ156</f>
        <v>87.8</v>
      </c>
      <c r="AN156" s="16" t="n">
        <f aca="false">AL156+AK156</f>
        <v>88</v>
      </c>
      <c r="AO156" s="16" t="n">
        <v>79</v>
      </c>
      <c r="AP156" s="36" t="n">
        <f aca="false">(AO156*70)/100</f>
        <v>55.3</v>
      </c>
      <c r="AQ156" s="37" t="n">
        <f aca="false">ROUNDUP(AP156,0)</f>
        <v>56</v>
      </c>
      <c r="AR156" s="16" t="n">
        <v>21</v>
      </c>
      <c r="AS156" s="16" t="n">
        <f aca="false">AR156+AP156</f>
        <v>76.3</v>
      </c>
      <c r="AT156" s="16" t="n">
        <f aca="false">AR156+AQ156</f>
        <v>77</v>
      </c>
      <c r="AU156" s="16" t="n">
        <f aca="false">AO156+AF156+AI156+AH156+AG156</f>
        <v>433</v>
      </c>
      <c r="AV156" s="16" t="n">
        <f aca="false">(AO156+AF156+AI156+AH156+AG156)/5</f>
        <v>86.6</v>
      </c>
      <c r="AW156" s="36" t="n">
        <f aca="false">(AO156+AF156+AI156+AH156+AG156+X156+R156+Q156+K156+J156)</f>
        <v>819</v>
      </c>
      <c r="AX156" s="16" t="n">
        <f aca="false">AW156/10</f>
        <v>81.9</v>
      </c>
      <c r="AY156" s="16" t="n">
        <f aca="false">AS156+AF156+AM156+AH156+AG156+AB156+V156+Q156+O156+J156</f>
        <v>804.6</v>
      </c>
      <c r="AZ156" s="16" t="n">
        <f aca="false">AT156+AF156+AN156+AH156+AG156+AC156+W156+Q156+P156+J156</f>
        <v>807</v>
      </c>
      <c r="BA156" s="16" t="n">
        <f aca="false">AY156/10</f>
        <v>80.46</v>
      </c>
      <c r="BB156" s="16" t="n">
        <f aca="false">AZ156/10</f>
        <v>80.7</v>
      </c>
      <c r="BC156" s="16" t="n">
        <v>2329</v>
      </c>
      <c r="BD156" s="16" t="n">
        <f aca="false">RANK(AX156,$AX$2:$AX$881,0)</f>
        <v>169</v>
      </c>
      <c r="BE156" s="54" t="n">
        <f aca="false">((BC156*100)/2400)*0.4+(AX156*0.6)</f>
        <v>87.9566666666667</v>
      </c>
      <c r="BF156" s="16" t="n">
        <f aca="false">RANK(BE156,$BE$2:$BE$881,0)</f>
        <v>209</v>
      </c>
      <c r="BG156" s="39" t="n">
        <f aca="false">RANK(BB156,$BB$2:$BB$881,0)</f>
        <v>298</v>
      </c>
      <c r="BH156" s="39" t="n">
        <f aca="false">RANK(BC156,$BC$2:$BC$881,0)</f>
        <v>737</v>
      </c>
      <c r="BI156" s="22" t="s">
        <v>130</v>
      </c>
      <c r="BJ156" s="22" t="s">
        <v>129</v>
      </c>
      <c r="BK156" s="40" t="s">
        <v>131</v>
      </c>
      <c r="BL156" s="41" t="n">
        <v>27</v>
      </c>
      <c r="BM156" s="41" t="n">
        <v>53</v>
      </c>
      <c r="BN156" s="41" t="n">
        <v>80</v>
      </c>
      <c r="BO156" s="42" t="n">
        <v>28</v>
      </c>
      <c r="BP156" s="43" t="n">
        <v>53</v>
      </c>
      <c r="BQ156" s="44" t="n">
        <v>81</v>
      </c>
      <c r="BR156" s="42" t="n">
        <v>25</v>
      </c>
      <c r="BS156" s="45" t="n">
        <v>55</v>
      </c>
      <c r="BT156" s="45" t="n">
        <v>80</v>
      </c>
      <c r="BU156" s="46" t="n">
        <v>100</v>
      </c>
      <c r="BV156" s="47" t="n">
        <v>96</v>
      </c>
      <c r="BW156" s="42" t="n">
        <v>95</v>
      </c>
      <c r="BX156" s="48" t="n">
        <v>96</v>
      </c>
      <c r="BY156" s="32" t="n">
        <v>24</v>
      </c>
      <c r="BZ156" s="32" t="n">
        <v>60</v>
      </c>
      <c r="CA156" s="32" t="n">
        <v>84</v>
      </c>
      <c r="CB156" s="32" t="n">
        <v>23</v>
      </c>
      <c r="CC156" s="32" t="n">
        <v>36</v>
      </c>
      <c r="CD156" s="69" t="n">
        <v>59</v>
      </c>
      <c r="CE156" s="32" t="n">
        <v>25</v>
      </c>
      <c r="CF156" s="32" t="n">
        <v>54</v>
      </c>
      <c r="CG156" s="32" t="n">
        <v>79</v>
      </c>
      <c r="CH156" s="32" t="n">
        <v>100</v>
      </c>
      <c r="CI156" s="32" t="n">
        <v>98</v>
      </c>
      <c r="CJ156" s="49" t="n">
        <v>25</v>
      </c>
      <c r="CK156" s="49" t="n">
        <v>55</v>
      </c>
      <c r="CL156" s="49" t="n">
        <v>80</v>
      </c>
      <c r="CM156" s="49" t="n">
        <v>23</v>
      </c>
      <c r="CN156" s="49" t="n">
        <v>51</v>
      </c>
      <c r="CO156" s="49" t="n">
        <v>74</v>
      </c>
      <c r="CP156" s="25" t="n">
        <f aca="false">BX156+BW156+BV156+BU156+BT156+BQ156+BN156</f>
        <v>628</v>
      </c>
      <c r="CQ156" s="25" t="n">
        <f aca="false">CO156+CL156+CI156+CH156+CG156+CD156+CA156</f>
        <v>574</v>
      </c>
      <c r="CR156" s="26" t="n">
        <f aca="false">CP156/7</f>
        <v>89.7142857142857</v>
      </c>
      <c r="CS156" s="26" t="n">
        <f aca="false">CQ156/7</f>
        <v>82</v>
      </c>
      <c r="CT156" s="24" t="n">
        <f aca="false">RANK(CR156,$CR$2:$CR$881,0)</f>
        <v>202</v>
      </c>
      <c r="CU156" s="25" t="n">
        <f aca="false">RANK(CS156,$CS$2:$CS$881,0)</f>
        <v>192</v>
      </c>
      <c r="CV156" s="26" t="n">
        <f aca="false">(CS156+CR156)/2</f>
        <v>85.8571428571429</v>
      </c>
      <c r="CW156" s="25" t="n">
        <f aca="false">RANK(CV156,$CV$2:$CV$881,0)</f>
        <v>179</v>
      </c>
      <c r="CX156" s="50" t="n">
        <f aca="false">(CV156+BB156)/2</f>
        <v>83.2785714285714</v>
      </c>
      <c r="CY156" s="50" t="n">
        <v>204</v>
      </c>
      <c r="CZ156" s="27" t="s">
        <v>132</v>
      </c>
      <c r="DA156" s="27" t="s">
        <v>142</v>
      </c>
      <c r="DB156" s="27" t="s">
        <v>142</v>
      </c>
      <c r="DC156" s="27" t="s">
        <v>134</v>
      </c>
      <c r="DD156" s="27" t="s">
        <v>137</v>
      </c>
      <c r="DE156" s="27" t="s">
        <v>183</v>
      </c>
      <c r="DF156" s="27" t="s">
        <v>209</v>
      </c>
      <c r="DG156" s="27" t="s">
        <v>134</v>
      </c>
      <c r="DH156" s="27" t="s">
        <v>135</v>
      </c>
      <c r="DI156" s="27" t="s">
        <v>161</v>
      </c>
      <c r="DJ156" s="27" t="s">
        <v>202</v>
      </c>
      <c r="DK156" s="27" t="s">
        <v>134</v>
      </c>
      <c r="DL156" s="27" t="s">
        <v>154</v>
      </c>
      <c r="DM156" s="27" t="s">
        <v>163</v>
      </c>
      <c r="DN156" s="27" t="s">
        <v>133</v>
      </c>
      <c r="DO156" s="27" t="s">
        <v>134</v>
      </c>
      <c r="DP156" s="27" t="s">
        <v>191</v>
      </c>
      <c r="DQ156" s="27" t="s">
        <v>447</v>
      </c>
      <c r="DR156" s="27" t="s">
        <v>486</v>
      </c>
      <c r="DS156" s="27" t="s">
        <v>134</v>
      </c>
      <c r="DT156" s="27" t="s">
        <v>146</v>
      </c>
      <c r="DU156" s="27" t="s">
        <v>177</v>
      </c>
      <c r="DV156" s="27" t="s">
        <v>153</v>
      </c>
      <c r="DW156" s="27" t="s">
        <v>137</v>
      </c>
      <c r="DX156" s="27" t="s">
        <v>143</v>
      </c>
      <c r="DY156" s="27" t="s">
        <v>156</v>
      </c>
      <c r="DZ156" s="27" t="n">
        <f aca="false">DY156+DV156+DR156+DN156+DJ156+DF156+DB156</f>
        <v>611</v>
      </c>
      <c r="EA156" s="28" t="n">
        <f aca="false">DZ156/7</f>
        <v>87.2857142857143</v>
      </c>
      <c r="EB156" s="27" t="n">
        <f aca="false">RANK(EA156,$EA$2:$EA$881,0)</f>
        <v>112</v>
      </c>
      <c r="EC156" s="29" t="n">
        <f aca="false">DZ156+CQ156+CP156+AZ156</f>
        <v>2620</v>
      </c>
      <c r="ED156" s="30" t="n">
        <f aca="false">(EA156+CV156+BB156)/3</f>
        <v>84.6142857142857</v>
      </c>
      <c r="EE156" s="51" t="n">
        <f aca="false">ROUND(BE156,3)</f>
        <v>87.957</v>
      </c>
      <c r="EF156" s="51" t="n">
        <f aca="false">ROUND(CR156,3)</f>
        <v>89.714</v>
      </c>
      <c r="EG156" s="51" t="n">
        <f aca="false">ROUND(CS156,3)</f>
        <v>82</v>
      </c>
      <c r="EH156" s="51" t="n">
        <f aca="false">ROUND(EA156,3)</f>
        <v>87.286</v>
      </c>
      <c r="EI156" s="51" t="n">
        <f aca="false">ROUND(ED156,3)</f>
        <v>84.614</v>
      </c>
      <c r="EJ156" s="51" t="n">
        <f aca="false">ROUND(CV156,3)</f>
        <v>85.857</v>
      </c>
      <c r="EK156" s="0" t="n">
        <f aca="false">RANK(EI156,$EI$2:$EI$881,0)</f>
        <v>154</v>
      </c>
    </row>
    <row r="157" customFormat="false" ht="15" hidden="false" customHeight="false" outlineLevel="0" collapsed="false">
      <c r="A157" s="4" t="n">
        <v>2095</v>
      </c>
      <c r="B157" s="4" t="n">
        <v>335</v>
      </c>
      <c r="C157" s="27" t="s">
        <v>649</v>
      </c>
      <c r="D157" s="31" t="n">
        <v>337</v>
      </c>
      <c r="E157" s="16" t="n">
        <v>234300019</v>
      </c>
      <c r="F157" s="56" t="s">
        <v>650</v>
      </c>
      <c r="G157" s="22" t="s">
        <v>651</v>
      </c>
      <c r="H157" s="22" t="s">
        <v>129</v>
      </c>
      <c r="I157" s="57"/>
      <c r="J157" s="16" t="n">
        <v>83</v>
      </c>
      <c r="K157" s="16" t="n">
        <v>64</v>
      </c>
      <c r="L157" s="34" t="n">
        <f aca="false">(K157*70)/100</f>
        <v>44.8</v>
      </c>
      <c r="M157" s="34" t="n">
        <f aca="false">ROUNDUP(L157,0)</f>
        <v>45</v>
      </c>
      <c r="N157" s="16" t="n">
        <v>26</v>
      </c>
      <c r="O157" s="34" t="n">
        <f aca="false">N157+L157</f>
        <v>70.8</v>
      </c>
      <c r="P157" s="34" t="n">
        <f aca="false">N157+M157</f>
        <v>71</v>
      </c>
      <c r="Q157" s="16" t="n">
        <v>79</v>
      </c>
      <c r="R157" s="16" t="n">
        <v>82</v>
      </c>
      <c r="S157" s="34" t="n">
        <f aca="false">(R157*70)/100</f>
        <v>57.4</v>
      </c>
      <c r="T157" s="34" t="n">
        <f aca="false">ROUNDUP(S157,0)</f>
        <v>58</v>
      </c>
      <c r="U157" s="16" t="n">
        <v>25</v>
      </c>
      <c r="V157" s="34" t="n">
        <f aca="false">U157+S157</f>
        <v>82.4</v>
      </c>
      <c r="W157" s="34" t="n">
        <f aca="false">U157+T157</f>
        <v>83</v>
      </c>
      <c r="X157" s="16" t="n">
        <v>64</v>
      </c>
      <c r="Y157" s="34" t="n">
        <f aca="false">(X157*70)/100</f>
        <v>44.8</v>
      </c>
      <c r="Z157" s="34" t="n">
        <f aca="false">ROUNDUP(Y157,0)</f>
        <v>45</v>
      </c>
      <c r="AA157" s="16" t="n">
        <v>24</v>
      </c>
      <c r="AB157" s="34" t="n">
        <f aca="false">AA157+Y157</f>
        <v>68.8</v>
      </c>
      <c r="AC157" s="34" t="n">
        <f aca="false">AA157+Z157</f>
        <v>69</v>
      </c>
      <c r="AD157" s="32" t="n">
        <f aca="false">X157+R157+Q157+K157+J157</f>
        <v>372</v>
      </c>
      <c r="AE157" s="16" t="n">
        <f aca="false">AD157/5</f>
        <v>74.4</v>
      </c>
      <c r="AF157" s="16" t="n">
        <v>72</v>
      </c>
      <c r="AG157" s="16" t="n">
        <v>78</v>
      </c>
      <c r="AH157" s="16" t="n">
        <v>86</v>
      </c>
      <c r="AI157" s="16" t="n">
        <v>74</v>
      </c>
      <c r="AJ157" s="16" t="n">
        <f aca="false">(AI157*70)/100</f>
        <v>51.8</v>
      </c>
      <c r="AK157" s="35" t="n">
        <f aca="false">ROUNDUP(AJ157,0)</f>
        <v>52</v>
      </c>
      <c r="AL157" s="16" t="n">
        <v>27</v>
      </c>
      <c r="AM157" s="16" t="n">
        <f aca="false">AL157+AJ157</f>
        <v>78.8</v>
      </c>
      <c r="AN157" s="16" t="n">
        <f aca="false">AL157+AK157</f>
        <v>79</v>
      </c>
      <c r="AO157" s="16" t="n">
        <v>65</v>
      </c>
      <c r="AP157" s="36" t="n">
        <f aca="false">(AO157*70)/100</f>
        <v>45.5</v>
      </c>
      <c r="AQ157" s="37" t="n">
        <f aca="false">ROUNDUP(AP157,0)</f>
        <v>46</v>
      </c>
      <c r="AR157" s="16" t="n">
        <v>29</v>
      </c>
      <c r="AS157" s="16" t="n">
        <f aca="false">AR157+AP157</f>
        <v>74.5</v>
      </c>
      <c r="AT157" s="16" t="n">
        <f aca="false">AR157+AQ157</f>
        <v>75</v>
      </c>
      <c r="AU157" s="16" t="n">
        <f aca="false">AO157+AF157+AI157+AH157+AG157</f>
        <v>375</v>
      </c>
      <c r="AV157" s="16" t="n">
        <f aca="false">(AO157+AF157+AI157+AH157+AG157)/5</f>
        <v>75</v>
      </c>
      <c r="AW157" s="36" t="n">
        <f aca="false">(AO157+AF157+AI157+AH157+AG157+X157+R157+Q157+K157+J157)</f>
        <v>747</v>
      </c>
      <c r="AX157" s="16" t="n">
        <f aca="false">AW157/10</f>
        <v>74.7</v>
      </c>
      <c r="AY157" s="16" t="n">
        <f aca="false">AS157+AF157+AM157+AH157+AG157+AB157+V157+Q157+O157+J157</f>
        <v>773.3</v>
      </c>
      <c r="AZ157" s="16" t="n">
        <f aca="false">AT157+AF157+AN157+AH157+AG157+AC157+W157+Q157+P157+J157</f>
        <v>775</v>
      </c>
      <c r="BA157" s="16" t="n">
        <f aca="false">AY157/10</f>
        <v>77.33</v>
      </c>
      <c r="BB157" s="16" t="n">
        <f aca="false">AZ157/10</f>
        <v>77.5</v>
      </c>
      <c r="BC157" s="72" t="n">
        <v>0</v>
      </c>
      <c r="BD157" s="16" t="n">
        <f aca="false">RANK(AX157,$AX$2:$AX$881,0)</f>
        <v>691</v>
      </c>
      <c r="BE157" s="78" t="n">
        <f aca="false">AX157</f>
        <v>74.7</v>
      </c>
      <c r="BF157" s="16" t="n">
        <f aca="false">RANK(BE157,$BE$2:$BE$881,0)</f>
        <v>776</v>
      </c>
      <c r="BG157" s="39" t="n">
        <f aca="false">RANK(BB157,$BB$2:$BB$881,0)</f>
        <v>603</v>
      </c>
      <c r="BH157" s="39" t="n">
        <f aca="false">RANK(BC157,$BC$2:$BC$881,0)</f>
        <v>780</v>
      </c>
      <c r="BI157" s="22" t="s">
        <v>130</v>
      </c>
      <c r="BJ157" s="22" t="s">
        <v>129</v>
      </c>
      <c r="BK157" s="22" t="s">
        <v>526</v>
      </c>
      <c r="BL157" s="41" t="n">
        <v>27</v>
      </c>
      <c r="BM157" s="41" t="n">
        <v>64</v>
      </c>
      <c r="BN157" s="41" t="n">
        <v>91</v>
      </c>
      <c r="BO157" s="42" t="n">
        <v>22</v>
      </c>
      <c r="BP157" s="43" t="n">
        <v>53</v>
      </c>
      <c r="BQ157" s="44" t="n">
        <v>75</v>
      </c>
      <c r="BR157" s="42" t="n">
        <v>23</v>
      </c>
      <c r="BS157" s="45" t="n">
        <v>56</v>
      </c>
      <c r="BT157" s="45" t="n">
        <v>79</v>
      </c>
      <c r="BU157" s="46" t="n">
        <v>100</v>
      </c>
      <c r="BV157" s="47" t="n">
        <v>74</v>
      </c>
      <c r="BW157" s="42" t="n">
        <v>100</v>
      </c>
      <c r="BX157" s="48" t="n">
        <v>94</v>
      </c>
      <c r="BY157" s="32" t="n">
        <v>26</v>
      </c>
      <c r="BZ157" s="32" t="n">
        <v>57</v>
      </c>
      <c r="CA157" s="32" t="n">
        <v>83</v>
      </c>
      <c r="CB157" s="32" t="n">
        <v>24</v>
      </c>
      <c r="CC157" s="32" t="n">
        <v>48</v>
      </c>
      <c r="CD157" s="32" t="n">
        <v>72</v>
      </c>
      <c r="CE157" s="32" t="n">
        <v>28</v>
      </c>
      <c r="CF157" s="32" t="n">
        <v>60</v>
      </c>
      <c r="CG157" s="32" t="n">
        <v>88</v>
      </c>
      <c r="CH157" s="32" t="n">
        <v>100</v>
      </c>
      <c r="CI157" s="32" t="n">
        <v>100</v>
      </c>
      <c r="CJ157" s="49" t="n">
        <v>26</v>
      </c>
      <c r="CK157" s="49" t="n">
        <v>60</v>
      </c>
      <c r="CL157" s="49" t="n">
        <v>86</v>
      </c>
      <c r="CM157" s="49" t="n">
        <v>24</v>
      </c>
      <c r="CN157" s="49" t="n">
        <v>56</v>
      </c>
      <c r="CO157" s="49" t="n">
        <v>80</v>
      </c>
      <c r="CP157" s="25" t="n">
        <f aca="false">BX157+BW157+BV157+BU157+BT157+BQ157+BN157</f>
        <v>613</v>
      </c>
      <c r="CQ157" s="25" t="n">
        <f aca="false">CO157+CL157+CI157+CH157+CG157+CD157+CA157</f>
        <v>609</v>
      </c>
      <c r="CR157" s="26" t="n">
        <f aca="false">CP157/7</f>
        <v>87.5714285714286</v>
      </c>
      <c r="CS157" s="26" t="n">
        <f aca="false">CQ157/7</f>
        <v>87</v>
      </c>
      <c r="CT157" s="24" t="n">
        <f aca="false">RANK(CR157,$CR$2:$CR$881,0)</f>
        <v>329</v>
      </c>
      <c r="CU157" s="25" t="n">
        <f aca="false">RANK(CS157,$CS$2:$CS$881,0)</f>
        <v>58</v>
      </c>
      <c r="CV157" s="26" t="n">
        <f aca="false">(CS157+CR157)/2</f>
        <v>87.2857142857143</v>
      </c>
      <c r="CW157" s="25" t="n">
        <f aca="false">RANK(CV157,$CV$2:$CV$881,0)</f>
        <v>130</v>
      </c>
      <c r="CX157" s="50" t="n">
        <f aca="false">(CV157+BB157)/2</f>
        <v>82.3928571428571</v>
      </c>
      <c r="CY157" s="50" t="n">
        <v>242</v>
      </c>
      <c r="CZ157" s="27" t="s">
        <v>132</v>
      </c>
      <c r="DA157" s="27" t="s">
        <v>153</v>
      </c>
      <c r="DB157" s="27" t="s">
        <v>153</v>
      </c>
      <c r="DC157" s="27" t="s">
        <v>134</v>
      </c>
      <c r="DD157" s="27" t="s">
        <v>135</v>
      </c>
      <c r="DE157" s="27" t="s">
        <v>152</v>
      </c>
      <c r="DF157" s="27" t="s">
        <v>162</v>
      </c>
      <c r="DG157" s="27" t="s">
        <v>134</v>
      </c>
      <c r="DH157" s="27" t="s">
        <v>174</v>
      </c>
      <c r="DI157" s="27" t="s">
        <v>152</v>
      </c>
      <c r="DJ157" s="27" t="s">
        <v>202</v>
      </c>
      <c r="DK157" s="27" t="s">
        <v>134</v>
      </c>
      <c r="DL157" s="27" t="s">
        <v>182</v>
      </c>
      <c r="DM157" s="27" t="s">
        <v>203</v>
      </c>
      <c r="DN157" s="27" t="s">
        <v>202</v>
      </c>
      <c r="DO157" s="27" t="s">
        <v>134</v>
      </c>
      <c r="DP157" s="27" t="s">
        <v>137</v>
      </c>
      <c r="DQ157" s="27" t="s">
        <v>161</v>
      </c>
      <c r="DR157" s="27" t="s">
        <v>178</v>
      </c>
      <c r="DS157" s="27" t="s">
        <v>134</v>
      </c>
      <c r="DT157" s="27" t="s">
        <v>146</v>
      </c>
      <c r="DU157" s="27" t="s">
        <v>218</v>
      </c>
      <c r="DV157" s="27" t="s">
        <v>178</v>
      </c>
      <c r="DW157" s="27" t="s">
        <v>160</v>
      </c>
      <c r="DX157" s="27" t="s">
        <v>155</v>
      </c>
      <c r="DY157" s="27" t="s">
        <v>145</v>
      </c>
      <c r="DZ157" s="27" t="n">
        <f aca="false">DY157+DV157+DR157+DN157+DJ157+DF157+DB157</f>
        <v>623</v>
      </c>
      <c r="EA157" s="28" t="n">
        <f aca="false">DZ157/7</f>
        <v>89</v>
      </c>
      <c r="EB157" s="27" t="n">
        <f aca="false">RANK(EA157,$EA$2:$EA$881,0)</f>
        <v>81</v>
      </c>
      <c r="EC157" s="29" t="n">
        <f aca="false">DZ157+CQ157+CP157+AZ157</f>
        <v>2620</v>
      </c>
      <c r="ED157" s="30" t="n">
        <f aca="false">(EA157+CV157+BB157)/3</f>
        <v>84.5952380952381</v>
      </c>
      <c r="EE157" s="51" t="n">
        <f aca="false">ROUND(BE157,3)</f>
        <v>74.7</v>
      </c>
      <c r="EF157" s="51" t="n">
        <f aca="false">ROUND(CR157,3)</f>
        <v>87.571</v>
      </c>
      <c r="EG157" s="51" t="n">
        <f aca="false">ROUND(CS157,3)</f>
        <v>87</v>
      </c>
      <c r="EH157" s="51" t="n">
        <f aca="false">ROUND(EA157,3)</f>
        <v>89</v>
      </c>
      <c r="EI157" s="51" t="n">
        <f aca="false">ROUND(ED157,3)</f>
        <v>84.595</v>
      </c>
      <c r="EJ157" s="51" t="n">
        <f aca="false">ROUND(CV157,3)</f>
        <v>87.286</v>
      </c>
      <c r="EK157" s="0" t="n">
        <f aca="false">RANK(EI157,$EI$2:$EI$881,0)</f>
        <v>156</v>
      </c>
    </row>
    <row r="158" customFormat="false" ht="15" hidden="false" customHeight="false" outlineLevel="0" collapsed="false">
      <c r="A158" s="4" t="n">
        <v>9027</v>
      </c>
      <c r="B158" s="4" t="n">
        <v>175</v>
      </c>
      <c r="C158" s="27" t="s">
        <v>652</v>
      </c>
      <c r="D158" s="31" t="n">
        <v>176</v>
      </c>
      <c r="E158" s="32" t="n">
        <v>230321240</v>
      </c>
      <c r="F158" s="8" t="s">
        <v>653</v>
      </c>
      <c r="G158" s="22" t="s">
        <v>654</v>
      </c>
      <c r="H158" s="22" t="s">
        <v>129</v>
      </c>
      <c r="I158" s="33" t="n">
        <v>2005</v>
      </c>
      <c r="J158" s="32" t="n">
        <v>86</v>
      </c>
      <c r="K158" s="32" t="n">
        <v>93</v>
      </c>
      <c r="L158" s="34" t="n">
        <f aca="false">(K158*70)/100</f>
        <v>65.1</v>
      </c>
      <c r="M158" s="34" t="n">
        <f aca="false">ROUNDUP(L158,0)</f>
        <v>66</v>
      </c>
      <c r="N158" s="32" t="n">
        <v>24</v>
      </c>
      <c r="O158" s="34" t="n">
        <f aca="false">N158+L158</f>
        <v>89.1</v>
      </c>
      <c r="P158" s="34" t="n">
        <f aca="false">N158+M158</f>
        <v>90</v>
      </c>
      <c r="Q158" s="32" t="n">
        <v>91</v>
      </c>
      <c r="R158" s="32" t="n">
        <v>74</v>
      </c>
      <c r="S158" s="34" t="n">
        <f aca="false">(R158*70)/100</f>
        <v>51.8</v>
      </c>
      <c r="T158" s="34" t="n">
        <f aca="false">ROUNDUP(S158,0)</f>
        <v>52</v>
      </c>
      <c r="U158" s="32" t="n">
        <v>27</v>
      </c>
      <c r="V158" s="34" t="n">
        <f aca="false">U158+S158</f>
        <v>78.8</v>
      </c>
      <c r="W158" s="34" t="n">
        <f aca="false">U158+T158</f>
        <v>79</v>
      </c>
      <c r="X158" s="32" t="n">
        <v>79</v>
      </c>
      <c r="Y158" s="34" t="n">
        <f aca="false">(X158*70)/100</f>
        <v>55.3</v>
      </c>
      <c r="Z158" s="34" t="n">
        <f aca="false">ROUNDUP(Y158,0)</f>
        <v>56</v>
      </c>
      <c r="AA158" s="32" t="n">
        <v>30</v>
      </c>
      <c r="AB158" s="34" t="n">
        <f aca="false">AA158+Y158</f>
        <v>85.3</v>
      </c>
      <c r="AC158" s="34" t="n">
        <f aca="false">AA158+Z158</f>
        <v>86</v>
      </c>
      <c r="AD158" s="32" t="n">
        <f aca="false">X158+R158+Q158+K158+J158</f>
        <v>423</v>
      </c>
      <c r="AE158" s="16" t="n">
        <f aca="false">AD158/5</f>
        <v>84.6</v>
      </c>
      <c r="AF158" s="16" t="n">
        <v>81</v>
      </c>
      <c r="AG158" s="16" t="n">
        <v>94</v>
      </c>
      <c r="AH158" s="16" t="n">
        <v>95</v>
      </c>
      <c r="AI158" s="16" t="n">
        <v>90</v>
      </c>
      <c r="AJ158" s="16" t="n">
        <f aca="false">(AI158*70)/100</f>
        <v>63</v>
      </c>
      <c r="AK158" s="35" t="n">
        <f aca="false">ROUNDUP(AJ158,0)</f>
        <v>63</v>
      </c>
      <c r="AL158" s="16" t="n">
        <v>27</v>
      </c>
      <c r="AM158" s="16" t="n">
        <f aca="false">AL158+AJ158</f>
        <v>90</v>
      </c>
      <c r="AN158" s="16" t="n">
        <f aca="false">AL158+AK158</f>
        <v>90</v>
      </c>
      <c r="AO158" s="16" t="n">
        <v>81</v>
      </c>
      <c r="AP158" s="36" t="n">
        <f aca="false">(AO158*70)/100</f>
        <v>56.7</v>
      </c>
      <c r="AQ158" s="37" t="n">
        <f aca="false">ROUNDUP(AP158,0)</f>
        <v>57</v>
      </c>
      <c r="AR158" s="16" t="n">
        <v>25</v>
      </c>
      <c r="AS158" s="16" t="n">
        <f aca="false">AR158+AP158</f>
        <v>81.7</v>
      </c>
      <c r="AT158" s="16" t="n">
        <f aca="false">AR158+AQ158</f>
        <v>82</v>
      </c>
      <c r="AU158" s="16" t="n">
        <f aca="false">AO158+AF158+AI158+AH158+AG158</f>
        <v>441</v>
      </c>
      <c r="AV158" s="16" t="n">
        <f aca="false">(AO158+AF158+AI158+AH158+AG158)/5</f>
        <v>88.2</v>
      </c>
      <c r="AW158" s="36" t="n">
        <f aca="false">(AO158+AF158+AI158+AH158+AG158+X158+R158+Q158+K158+J158)</f>
        <v>864</v>
      </c>
      <c r="AX158" s="16" t="n">
        <f aca="false">AW158/10</f>
        <v>86.4</v>
      </c>
      <c r="AY158" s="16" t="n">
        <f aca="false">AS158+AF158+AM158+AH158+AG158+AB158+V158+Q158+O158+J158</f>
        <v>871.9</v>
      </c>
      <c r="AZ158" s="16" t="n">
        <f aca="false">AT158+AF158+AN158+AH158+AG158+AC158+W158+Q158+P158+J158</f>
        <v>874</v>
      </c>
      <c r="BA158" s="16" t="n">
        <f aca="false">AY158/10</f>
        <v>87.19</v>
      </c>
      <c r="BB158" s="16" t="n">
        <f aca="false">AZ158/10</f>
        <v>87.4</v>
      </c>
      <c r="BC158" s="16" t="n">
        <v>2388</v>
      </c>
      <c r="BD158" s="16" t="n">
        <f aca="false">RANK(AX158,$AX$2:$AX$881,0)</f>
        <v>64</v>
      </c>
      <c r="BE158" s="38" t="n">
        <f aca="false">((BC158*100)/2400)*0.4+(AX158*0.6)</f>
        <v>91.64</v>
      </c>
      <c r="BF158" s="16" t="n">
        <f aca="false">RANK(BE158,$BE$2:$BE$881,0)</f>
        <v>55</v>
      </c>
      <c r="BG158" s="39" t="n">
        <f aca="false">RANK(BB158,$BB$2:$BB$881,0)</f>
        <v>49</v>
      </c>
      <c r="BH158" s="39" t="n">
        <f aca="false">RANK(BC158,$BC$2:$BC$881,0)</f>
        <v>70</v>
      </c>
      <c r="BI158" s="22" t="s">
        <v>130</v>
      </c>
      <c r="BJ158" s="22" t="s">
        <v>129</v>
      </c>
      <c r="BK158" s="40" t="s">
        <v>131</v>
      </c>
      <c r="BL158" s="41" t="n">
        <v>17</v>
      </c>
      <c r="BM158" s="41" t="n">
        <v>53</v>
      </c>
      <c r="BN158" s="41" t="n">
        <v>70</v>
      </c>
      <c r="BO158" s="42" t="n">
        <v>23</v>
      </c>
      <c r="BP158" s="43" t="n">
        <v>59</v>
      </c>
      <c r="BQ158" s="44" t="n">
        <v>82</v>
      </c>
      <c r="BR158" s="42" t="n">
        <v>19</v>
      </c>
      <c r="BS158" s="45" t="n">
        <v>50</v>
      </c>
      <c r="BT158" s="45" t="n">
        <v>69</v>
      </c>
      <c r="BU158" s="46" t="n">
        <v>100</v>
      </c>
      <c r="BV158" s="47" t="n">
        <v>86</v>
      </c>
      <c r="BW158" s="42" t="n">
        <v>93</v>
      </c>
      <c r="BX158" s="48" t="n">
        <v>96</v>
      </c>
      <c r="BY158" s="32" t="n">
        <v>23</v>
      </c>
      <c r="BZ158" s="32" t="n">
        <v>54</v>
      </c>
      <c r="CA158" s="32" t="n">
        <v>77</v>
      </c>
      <c r="CB158" s="32" t="n">
        <v>18</v>
      </c>
      <c r="CC158" s="32" t="n">
        <v>35</v>
      </c>
      <c r="CD158" s="69" t="n">
        <v>53</v>
      </c>
      <c r="CE158" s="32" t="n">
        <v>25</v>
      </c>
      <c r="CF158" s="32" t="n">
        <v>55</v>
      </c>
      <c r="CG158" s="32" t="n">
        <v>80</v>
      </c>
      <c r="CH158" s="32" t="n">
        <v>99</v>
      </c>
      <c r="CI158" s="32" t="n">
        <v>98</v>
      </c>
      <c r="CJ158" s="49" t="n">
        <v>17</v>
      </c>
      <c r="CK158" s="49" t="n">
        <v>53</v>
      </c>
      <c r="CL158" s="49" t="n">
        <v>70</v>
      </c>
      <c r="CM158" s="49" t="n">
        <v>23</v>
      </c>
      <c r="CN158" s="49" t="n">
        <v>45</v>
      </c>
      <c r="CO158" s="49" t="n">
        <v>68</v>
      </c>
      <c r="CP158" s="25" t="n">
        <f aca="false">BX158+BW158+BV158+BU158+BT158+BQ158+BN158</f>
        <v>596</v>
      </c>
      <c r="CQ158" s="25" t="n">
        <f aca="false">CO158+CL158+CI158+CH158+CG158+CD158+CA158</f>
        <v>545</v>
      </c>
      <c r="CR158" s="26" t="n">
        <f aca="false">CP158/7</f>
        <v>85.1428571428571</v>
      </c>
      <c r="CS158" s="26" t="n">
        <f aca="false">CQ158/7</f>
        <v>77.8571428571429</v>
      </c>
      <c r="CT158" s="24" t="n">
        <f aca="false">RANK(CR158,$CR$2:$CR$881,0)</f>
        <v>431</v>
      </c>
      <c r="CU158" s="25" t="n">
        <f aca="false">RANK(CS158,$CS$2:$CS$881,0)</f>
        <v>336</v>
      </c>
      <c r="CV158" s="26" t="n">
        <f aca="false">(CS158+CR158)/2</f>
        <v>81.5</v>
      </c>
      <c r="CW158" s="25" t="n">
        <f aca="false">RANK(CV158,$CV$2:$CV$881,0)</f>
        <v>363</v>
      </c>
      <c r="CX158" s="50" t="n">
        <f aca="false">(CV158+BB158)/2</f>
        <v>84.45</v>
      </c>
      <c r="CY158" s="50" t="n">
        <v>146</v>
      </c>
      <c r="CZ158" s="27" t="s">
        <v>132</v>
      </c>
      <c r="DA158" s="27" t="s">
        <v>169</v>
      </c>
      <c r="DB158" s="27" t="s">
        <v>169</v>
      </c>
      <c r="DC158" s="27" t="s">
        <v>134</v>
      </c>
      <c r="DD158" s="27" t="s">
        <v>135</v>
      </c>
      <c r="DE158" s="27" t="s">
        <v>218</v>
      </c>
      <c r="DF158" s="27" t="s">
        <v>205</v>
      </c>
      <c r="DG158" s="27" t="s">
        <v>134</v>
      </c>
      <c r="DH158" s="27" t="s">
        <v>182</v>
      </c>
      <c r="DI158" s="27" t="s">
        <v>177</v>
      </c>
      <c r="DJ158" s="27" t="s">
        <v>209</v>
      </c>
      <c r="DK158" s="27" t="s">
        <v>134</v>
      </c>
      <c r="DL158" s="27" t="s">
        <v>164</v>
      </c>
      <c r="DM158" s="27" t="s">
        <v>183</v>
      </c>
      <c r="DN158" s="27" t="s">
        <v>175</v>
      </c>
      <c r="DO158" s="27" t="s">
        <v>134</v>
      </c>
      <c r="DP158" s="27" t="s">
        <v>195</v>
      </c>
      <c r="DQ158" s="27" t="s">
        <v>313</v>
      </c>
      <c r="DR158" s="27" t="s">
        <v>486</v>
      </c>
      <c r="DS158" s="27" t="s">
        <v>134</v>
      </c>
      <c r="DT158" s="27" t="s">
        <v>160</v>
      </c>
      <c r="DU158" s="27" t="s">
        <v>161</v>
      </c>
      <c r="DV158" s="27" t="s">
        <v>162</v>
      </c>
      <c r="DW158" s="27" t="s">
        <v>140</v>
      </c>
      <c r="DX158" s="27" t="s">
        <v>138</v>
      </c>
      <c r="DY158" s="27" t="s">
        <v>145</v>
      </c>
      <c r="DZ158" s="27" t="n">
        <f aca="false">DY158+DV158+DR158+DN158+DJ158+DF158+DB158</f>
        <v>594</v>
      </c>
      <c r="EA158" s="28" t="n">
        <f aca="false">DZ158/7</f>
        <v>84.8571428571429</v>
      </c>
      <c r="EB158" s="27" t="n">
        <f aca="false">RANK(EA158,$EA$2:$EA$881,0)</f>
        <v>188</v>
      </c>
      <c r="EC158" s="29" t="n">
        <f aca="false">DZ158+CQ158+CP158+AZ158</f>
        <v>2609</v>
      </c>
      <c r="ED158" s="30" t="n">
        <f aca="false">(EA158+CV158+BB158)/3</f>
        <v>84.5857142857143</v>
      </c>
      <c r="EE158" s="51" t="n">
        <f aca="false">ROUND(BE158,3)</f>
        <v>91.64</v>
      </c>
      <c r="EF158" s="51" t="n">
        <f aca="false">ROUND(CR158,3)</f>
        <v>85.143</v>
      </c>
      <c r="EG158" s="51" t="n">
        <f aca="false">ROUND(CS158,3)</f>
        <v>77.857</v>
      </c>
      <c r="EH158" s="51" t="n">
        <f aca="false">ROUND(EA158,3)</f>
        <v>84.857</v>
      </c>
      <c r="EI158" s="51" t="n">
        <f aca="false">ROUND(ED158,3)</f>
        <v>84.586</v>
      </c>
      <c r="EJ158" s="51" t="n">
        <f aca="false">ROUND(CV158,3)</f>
        <v>81.5</v>
      </c>
      <c r="EK158" s="0" t="n">
        <f aca="false">RANK(EI158,$EI$2:$EI$881,0)</f>
        <v>157</v>
      </c>
    </row>
    <row r="159" customFormat="false" ht="16.85" hidden="false" customHeight="false" outlineLevel="0" collapsed="false">
      <c r="A159" s="4" t="n">
        <v>9049</v>
      </c>
      <c r="B159" s="4" t="n">
        <v>520</v>
      </c>
      <c r="C159" s="27" t="s">
        <v>655</v>
      </c>
      <c r="D159" s="31" t="n">
        <v>525</v>
      </c>
      <c r="E159" s="32" t="n">
        <v>230311461</v>
      </c>
      <c r="F159" s="8" t="s">
        <v>656</v>
      </c>
      <c r="G159" s="22" t="s">
        <v>622</v>
      </c>
      <c r="H159" s="22" t="s">
        <v>129</v>
      </c>
      <c r="I159" s="33" t="n">
        <v>2005</v>
      </c>
      <c r="J159" s="32" t="n">
        <v>74</v>
      </c>
      <c r="K159" s="32" t="n">
        <v>90</v>
      </c>
      <c r="L159" s="34" t="n">
        <f aca="false">(K159*70)/100</f>
        <v>63</v>
      </c>
      <c r="M159" s="34" t="n">
        <f aca="false">ROUNDUP(L159,0)</f>
        <v>63</v>
      </c>
      <c r="N159" s="32" t="n">
        <v>26</v>
      </c>
      <c r="O159" s="34" t="n">
        <f aca="false">N159+L159</f>
        <v>89</v>
      </c>
      <c r="P159" s="34" t="n">
        <f aca="false">N159+M159</f>
        <v>89</v>
      </c>
      <c r="Q159" s="32" t="n">
        <v>81</v>
      </c>
      <c r="R159" s="32" t="n">
        <v>81</v>
      </c>
      <c r="S159" s="34" t="n">
        <f aca="false">(R159*70)/100</f>
        <v>56.7</v>
      </c>
      <c r="T159" s="34" t="n">
        <f aca="false">ROUNDUP(S159,0)</f>
        <v>57</v>
      </c>
      <c r="U159" s="32" t="n">
        <v>25</v>
      </c>
      <c r="V159" s="34" t="n">
        <f aca="false">U159+S159</f>
        <v>81.7</v>
      </c>
      <c r="W159" s="34" t="n">
        <f aca="false">U159+T159</f>
        <v>82</v>
      </c>
      <c r="X159" s="32" t="n">
        <v>81</v>
      </c>
      <c r="Y159" s="34" t="n">
        <f aca="false">(X159*70)/100</f>
        <v>56.7</v>
      </c>
      <c r="Z159" s="34" t="n">
        <f aca="false">ROUNDUP(Y159,0)</f>
        <v>57</v>
      </c>
      <c r="AA159" s="32" t="n">
        <v>25</v>
      </c>
      <c r="AB159" s="34" t="n">
        <f aca="false">AA159+Y159</f>
        <v>81.7</v>
      </c>
      <c r="AC159" s="34" t="n">
        <f aca="false">AA159+Z159</f>
        <v>82</v>
      </c>
      <c r="AD159" s="32" t="n">
        <f aca="false">X159+R159+Q159+K159+J159</f>
        <v>407</v>
      </c>
      <c r="AE159" s="16" t="n">
        <f aca="false">AD159/5</f>
        <v>81.4</v>
      </c>
      <c r="AF159" s="16" t="n">
        <v>75</v>
      </c>
      <c r="AG159" s="16" t="n">
        <v>83</v>
      </c>
      <c r="AH159" s="16" t="n">
        <v>88</v>
      </c>
      <c r="AI159" s="16" t="n">
        <v>96</v>
      </c>
      <c r="AJ159" s="16" t="n">
        <f aca="false">(AI159*70)/100</f>
        <v>67.2</v>
      </c>
      <c r="AK159" s="35" t="n">
        <f aca="false">ROUNDUP(AJ159,0)</f>
        <v>68</v>
      </c>
      <c r="AL159" s="16" t="n">
        <v>18</v>
      </c>
      <c r="AM159" s="16" t="n">
        <f aca="false">AL159+AJ159</f>
        <v>85.2</v>
      </c>
      <c r="AN159" s="16" t="n">
        <f aca="false">AL159+AK159</f>
        <v>86</v>
      </c>
      <c r="AO159" s="16" t="n">
        <v>76</v>
      </c>
      <c r="AP159" s="36" t="n">
        <f aca="false">(AO159*70)/100</f>
        <v>53.2</v>
      </c>
      <c r="AQ159" s="37" t="n">
        <f aca="false">ROUNDUP(AP159,0)</f>
        <v>54</v>
      </c>
      <c r="AR159" s="16" t="n">
        <v>27</v>
      </c>
      <c r="AS159" s="16" t="n">
        <f aca="false">AR159+AP159</f>
        <v>80.2</v>
      </c>
      <c r="AT159" s="16" t="n">
        <f aca="false">AR159+AQ159</f>
        <v>81</v>
      </c>
      <c r="AU159" s="16" t="n">
        <f aca="false">AO159+AF159+AI159+AH159+AG159</f>
        <v>418</v>
      </c>
      <c r="AV159" s="16" t="n">
        <f aca="false">(AO159+AF159+AI159+AH159+AG159)/5</f>
        <v>83.6</v>
      </c>
      <c r="AW159" s="36" t="n">
        <f aca="false">(AO159+AF159+AI159+AH159+AG159+X159+R159+Q159+K159+J159)</f>
        <v>825</v>
      </c>
      <c r="AX159" s="16" t="n">
        <f aca="false">AW159/10</f>
        <v>82.5</v>
      </c>
      <c r="AY159" s="16" t="n">
        <f aca="false">AS159+AF159+AM159+AH159+AG159+AB159+V159+Q159+O159+J159</f>
        <v>818.8</v>
      </c>
      <c r="AZ159" s="16" t="n">
        <f aca="false">AT159+AF159+AN159+AH159+AG159+AC159+W159+Q159+P159+J159</f>
        <v>821</v>
      </c>
      <c r="BA159" s="16" t="n">
        <f aca="false">AY159/10</f>
        <v>81.88</v>
      </c>
      <c r="BB159" s="16" t="n">
        <f aca="false">AZ159/10</f>
        <v>82.1</v>
      </c>
      <c r="BC159" s="16" t="n">
        <v>2381</v>
      </c>
      <c r="BD159" s="16" t="n">
        <f aca="false">RANK(AX159,$AX$2:$AX$881,0)</f>
        <v>141</v>
      </c>
      <c r="BE159" s="54" t="n">
        <f aca="false">((BC159*100)/2400)*0.4+(AX159*0.6)</f>
        <v>89.1833333333333</v>
      </c>
      <c r="BF159" s="16" t="n">
        <f aca="false">RANK(BE159,$BE$2:$BE$881,0)</f>
        <v>130</v>
      </c>
      <c r="BG159" s="39" t="n">
        <f aca="false">RANK(BB159,$BB$2:$BB$881,0)</f>
        <v>206</v>
      </c>
      <c r="BH159" s="39" t="n">
        <f aca="false">RANK(BC159,$BC$2:$BC$881,0)</f>
        <v>136</v>
      </c>
      <c r="BI159" s="22" t="s">
        <v>130</v>
      </c>
      <c r="BJ159" s="22" t="s">
        <v>129</v>
      </c>
      <c r="BK159" s="40" t="s">
        <v>131</v>
      </c>
      <c r="BL159" s="41" t="n">
        <v>20</v>
      </c>
      <c r="BM159" s="41" t="n">
        <v>59</v>
      </c>
      <c r="BN159" s="41" t="n">
        <v>79</v>
      </c>
      <c r="BO159" s="42" t="n">
        <v>28</v>
      </c>
      <c r="BP159" s="43" t="n">
        <v>49</v>
      </c>
      <c r="BQ159" s="44" t="n">
        <v>77</v>
      </c>
      <c r="BR159" s="42" t="n">
        <v>24</v>
      </c>
      <c r="BS159" s="45" t="n">
        <v>60</v>
      </c>
      <c r="BT159" s="45" t="n">
        <v>84</v>
      </c>
      <c r="BU159" s="46" t="n">
        <v>100</v>
      </c>
      <c r="BV159" s="47" t="n">
        <v>88</v>
      </c>
      <c r="BW159" s="42" t="n">
        <v>96</v>
      </c>
      <c r="BX159" s="48" t="n">
        <v>94</v>
      </c>
      <c r="BY159" s="32" t="n">
        <v>26</v>
      </c>
      <c r="BZ159" s="32" t="n">
        <v>57</v>
      </c>
      <c r="CA159" s="32" t="n">
        <v>83</v>
      </c>
      <c r="CB159" s="32" t="n">
        <v>18</v>
      </c>
      <c r="CC159" s="32" t="n">
        <v>46</v>
      </c>
      <c r="CD159" s="32" t="n">
        <v>64</v>
      </c>
      <c r="CE159" s="32" t="n">
        <v>26</v>
      </c>
      <c r="CF159" s="32" t="n">
        <v>53</v>
      </c>
      <c r="CG159" s="32" t="n">
        <v>79</v>
      </c>
      <c r="CH159" s="32" t="n">
        <v>98</v>
      </c>
      <c r="CI159" s="32" t="n">
        <v>99</v>
      </c>
      <c r="CJ159" s="49" t="n">
        <v>20</v>
      </c>
      <c r="CK159" s="49" t="n">
        <v>51</v>
      </c>
      <c r="CL159" s="49" t="n">
        <v>71</v>
      </c>
      <c r="CM159" s="49" t="n">
        <v>21</v>
      </c>
      <c r="CN159" s="49" t="n">
        <v>53</v>
      </c>
      <c r="CO159" s="49" t="n">
        <v>74</v>
      </c>
      <c r="CP159" s="25" t="n">
        <f aca="false">BX159+BW159+BV159+BU159+BT159+BQ159+BN159</f>
        <v>618</v>
      </c>
      <c r="CQ159" s="25" t="n">
        <f aca="false">CO159+CL159+CI159+CH159+CG159+CD159+CA159</f>
        <v>568</v>
      </c>
      <c r="CR159" s="26" t="n">
        <f aca="false">CP159/7</f>
        <v>88.2857142857143</v>
      </c>
      <c r="CS159" s="26" t="n">
        <f aca="false">CQ159/7</f>
        <v>81.1428571428571</v>
      </c>
      <c r="CT159" s="24" t="n">
        <f aca="false">RANK(CR159,$CR$2:$CR$881,0)</f>
        <v>287</v>
      </c>
      <c r="CU159" s="25" t="n">
        <f aca="false">RANK(CS159,$CS$2:$CS$881,0)</f>
        <v>222</v>
      </c>
      <c r="CV159" s="26" t="n">
        <f aca="false">(CS159+CR159)/2</f>
        <v>84.7142857142857</v>
      </c>
      <c r="CW159" s="25" t="n">
        <f aca="false">RANK(CV159,$CV$2:$CV$881,0)</f>
        <v>228</v>
      </c>
      <c r="CX159" s="50" t="n">
        <f aca="false">(CV159+BB159)/2</f>
        <v>83.4071428571429</v>
      </c>
      <c r="CY159" s="50" t="n">
        <v>198</v>
      </c>
      <c r="CZ159" s="27" t="s">
        <v>132</v>
      </c>
      <c r="DA159" s="27" t="s">
        <v>133</v>
      </c>
      <c r="DB159" s="27" t="s">
        <v>133</v>
      </c>
      <c r="DC159" s="27" t="s">
        <v>134</v>
      </c>
      <c r="DD159" s="27" t="s">
        <v>154</v>
      </c>
      <c r="DE159" s="27" t="s">
        <v>447</v>
      </c>
      <c r="DF159" s="27" t="s">
        <v>443</v>
      </c>
      <c r="DG159" s="27" t="s">
        <v>134</v>
      </c>
      <c r="DH159" s="27" t="s">
        <v>174</v>
      </c>
      <c r="DI159" s="27" t="s">
        <v>177</v>
      </c>
      <c r="DJ159" s="27" t="s">
        <v>205</v>
      </c>
      <c r="DK159" s="27" t="s">
        <v>134</v>
      </c>
      <c r="DL159" s="27" t="s">
        <v>137</v>
      </c>
      <c r="DM159" s="27" t="s">
        <v>152</v>
      </c>
      <c r="DN159" s="27" t="s">
        <v>153</v>
      </c>
      <c r="DO159" s="27" t="s">
        <v>134</v>
      </c>
      <c r="DP159" s="27" t="s">
        <v>154</v>
      </c>
      <c r="DQ159" s="27" t="s">
        <v>161</v>
      </c>
      <c r="DR159" s="27" t="s">
        <v>209</v>
      </c>
      <c r="DS159" s="27" t="s">
        <v>134</v>
      </c>
      <c r="DT159" s="27" t="s">
        <v>137</v>
      </c>
      <c r="DU159" s="27" t="s">
        <v>136</v>
      </c>
      <c r="DV159" s="27" t="s">
        <v>162</v>
      </c>
      <c r="DW159" s="27" t="s">
        <v>140</v>
      </c>
      <c r="DX159" s="27" t="s">
        <v>138</v>
      </c>
      <c r="DY159" s="27" t="s">
        <v>145</v>
      </c>
      <c r="DZ159" s="27" t="n">
        <f aca="false">DY159+DV159+DR159+DN159+DJ159+DF159+DB159</f>
        <v>607</v>
      </c>
      <c r="EA159" s="28" t="n">
        <f aca="false">DZ159/7</f>
        <v>86.7142857142857</v>
      </c>
      <c r="EB159" s="27" t="n">
        <f aca="false">RANK(EA159,$EA$2:$EA$881,0)</f>
        <v>135</v>
      </c>
      <c r="EC159" s="29" t="n">
        <f aca="false">DZ159+CQ159+CP159+AZ159</f>
        <v>2614</v>
      </c>
      <c r="ED159" s="30" t="n">
        <f aca="false">(EA159+CV159+BB159)/3</f>
        <v>84.5095238095238</v>
      </c>
      <c r="EE159" s="51" t="n">
        <f aca="false">ROUND(BE159,3)</f>
        <v>89.183</v>
      </c>
      <c r="EF159" s="51" t="n">
        <f aca="false">ROUND(CR159,3)</f>
        <v>88.286</v>
      </c>
      <c r="EG159" s="51" t="n">
        <f aca="false">ROUND(CS159,3)</f>
        <v>81.143</v>
      </c>
      <c r="EH159" s="51" t="n">
        <f aca="false">ROUND(EA159,3)</f>
        <v>86.714</v>
      </c>
      <c r="EI159" s="51" t="n">
        <f aca="false">ROUND(ED159,3)</f>
        <v>84.51</v>
      </c>
      <c r="EJ159" s="51" t="n">
        <f aca="false">ROUND(CV159,3)</f>
        <v>84.714</v>
      </c>
      <c r="EK159" s="0" t="n">
        <f aca="false">RANK(EI159,$EI$2:$EI$881,0)</f>
        <v>158</v>
      </c>
    </row>
    <row r="160" customFormat="false" ht="15" hidden="false" customHeight="false" outlineLevel="0" collapsed="false">
      <c r="A160" s="4" t="n">
        <v>8903</v>
      </c>
      <c r="B160" s="4" t="n">
        <v>59</v>
      </c>
      <c r="C160" s="27" t="s">
        <v>657</v>
      </c>
      <c r="D160" s="52" t="n">
        <v>63</v>
      </c>
      <c r="E160" s="32" t="n">
        <v>230312806</v>
      </c>
      <c r="F160" s="8" t="s">
        <v>658</v>
      </c>
      <c r="G160" s="22" t="s">
        <v>659</v>
      </c>
      <c r="H160" s="22" t="s">
        <v>129</v>
      </c>
      <c r="I160" s="33" t="n">
        <v>2005</v>
      </c>
      <c r="J160" s="32" t="n">
        <v>95</v>
      </c>
      <c r="K160" s="32" t="n">
        <v>80</v>
      </c>
      <c r="L160" s="34" t="n">
        <f aca="false">(K160*70)/100</f>
        <v>56</v>
      </c>
      <c r="M160" s="34" t="n">
        <f aca="false">ROUNDUP(L160,0)</f>
        <v>56</v>
      </c>
      <c r="N160" s="32" t="n">
        <v>28</v>
      </c>
      <c r="O160" s="34" t="n">
        <f aca="false">N160+L160</f>
        <v>84</v>
      </c>
      <c r="P160" s="34" t="n">
        <f aca="false">N160+M160</f>
        <v>84</v>
      </c>
      <c r="Q160" s="32" t="n">
        <v>82</v>
      </c>
      <c r="R160" s="32" t="n">
        <v>73</v>
      </c>
      <c r="S160" s="34" t="n">
        <f aca="false">(R160*70)/100</f>
        <v>51.1</v>
      </c>
      <c r="T160" s="34" t="n">
        <f aca="false">ROUNDUP(S160,0)</f>
        <v>52</v>
      </c>
      <c r="U160" s="32" t="n">
        <v>27</v>
      </c>
      <c r="V160" s="34" t="n">
        <f aca="false">U160+S160</f>
        <v>78.1</v>
      </c>
      <c r="W160" s="34" t="n">
        <f aca="false">U160+T160</f>
        <v>79</v>
      </c>
      <c r="X160" s="32" t="n">
        <v>71</v>
      </c>
      <c r="Y160" s="34" t="n">
        <f aca="false">(X160*70)/100</f>
        <v>49.7</v>
      </c>
      <c r="Z160" s="34" t="n">
        <f aca="false">ROUNDUP(Y160,0)</f>
        <v>50</v>
      </c>
      <c r="AA160" s="32" t="n">
        <v>28</v>
      </c>
      <c r="AB160" s="34" t="n">
        <f aca="false">AA160+Y160</f>
        <v>77.7</v>
      </c>
      <c r="AC160" s="34" t="n">
        <f aca="false">AA160+Z160</f>
        <v>78</v>
      </c>
      <c r="AD160" s="32" t="n">
        <f aca="false">X160+R160+Q160+K160+J160</f>
        <v>401</v>
      </c>
      <c r="AE160" s="16" t="n">
        <f aca="false">AD160/5</f>
        <v>80.2</v>
      </c>
      <c r="AF160" s="16" t="n">
        <v>72</v>
      </c>
      <c r="AG160" s="16" t="n">
        <v>97</v>
      </c>
      <c r="AH160" s="16" t="n">
        <v>92</v>
      </c>
      <c r="AI160" s="16" t="n">
        <v>92</v>
      </c>
      <c r="AJ160" s="16" t="n">
        <f aca="false">(AI160*70)/100</f>
        <v>64.4</v>
      </c>
      <c r="AK160" s="35" t="n">
        <f aca="false">ROUNDUP(AJ160,0)</f>
        <v>65</v>
      </c>
      <c r="AL160" s="16" t="n">
        <v>26</v>
      </c>
      <c r="AM160" s="16" t="n">
        <f aca="false">AL160+AJ160</f>
        <v>90.4</v>
      </c>
      <c r="AN160" s="16" t="n">
        <f aca="false">AL160+AK160</f>
        <v>91</v>
      </c>
      <c r="AO160" s="16" t="n">
        <v>77</v>
      </c>
      <c r="AP160" s="36" t="n">
        <f aca="false">(AO160*70)/100</f>
        <v>53.9</v>
      </c>
      <c r="AQ160" s="37" t="n">
        <f aca="false">ROUNDUP(AP160,0)</f>
        <v>54</v>
      </c>
      <c r="AR160" s="16" t="n">
        <v>24</v>
      </c>
      <c r="AS160" s="16" t="n">
        <f aca="false">AR160+AP160</f>
        <v>77.9</v>
      </c>
      <c r="AT160" s="16" t="n">
        <f aca="false">AR160+AQ160</f>
        <v>78</v>
      </c>
      <c r="AU160" s="16" t="n">
        <f aca="false">AO160+AF160+AI160+AH160+AG160</f>
        <v>430</v>
      </c>
      <c r="AV160" s="16" t="n">
        <f aca="false">(AO160+AF160+AI160+AH160+AG160)/5</f>
        <v>86</v>
      </c>
      <c r="AW160" s="36" t="n">
        <f aca="false">(AO160+AF160+AI160+AH160+AG160+X160+R160+Q160+K160+J160)</f>
        <v>831</v>
      </c>
      <c r="AX160" s="16" t="n">
        <f aca="false">AW160/10</f>
        <v>83.1</v>
      </c>
      <c r="AY160" s="16" t="n">
        <f aca="false">AS160+AF160+AM160+AH160+AG160+AB160+V160+Q160+O160+J160</f>
        <v>846.1</v>
      </c>
      <c r="AZ160" s="16" t="n">
        <f aca="false">AT160+AF160+AN160+AH160+AG160+AC160+W160+Q160+P160+J160</f>
        <v>848</v>
      </c>
      <c r="BA160" s="16" t="n">
        <f aca="false">AY160/10</f>
        <v>84.61</v>
      </c>
      <c r="BB160" s="16" t="n">
        <f aca="false">AZ160/10</f>
        <v>84.8</v>
      </c>
      <c r="BC160" s="16" t="n">
        <v>2379</v>
      </c>
      <c r="BD160" s="16" t="n">
        <f aca="false">RANK(AX160,$AX$2:$AX$881,0)</f>
        <v>127</v>
      </c>
      <c r="BE160" s="54" t="n">
        <f aca="false">((BC160*100)/2400)*0.4+(AX160*0.6)</f>
        <v>89.51</v>
      </c>
      <c r="BF160" s="16" t="n">
        <f aca="false">RANK(BE160,$BE$2:$BE$881,0)</f>
        <v>120</v>
      </c>
      <c r="BG160" s="39" t="n">
        <f aca="false">RANK(BB160,$BB$2:$BB$881,0)</f>
        <v>103</v>
      </c>
      <c r="BH160" s="39" t="n">
        <f aca="false">RANK(BC160,$BC$2:$BC$881,0)</f>
        <v>160</v>
      </c>
      <c r="BI160" s="22" t="s">
        <v>130</v>
      </c>
      <c r="BJ160" s="22" t="s">
        <v>129</v>
      </c>
      <c r="BK160" s="40" t="s">
        <v>131</v>
      </c>
      <c r="BL160" s="41" t="n">
        <v>18</v>
      </c>
      <c r="BM160" s="42" t="n">
        <v>48</v>
      </c>
      <c r="BN160" s="42" t="n">
        <v>66</v>
      </c>
      <c r="BO160" s="42" t="n">
        <v>20</v>
      </c>
      <c r="BP160" s="43" t="n">
        <v>59</v>
      </c>
      <c r="BQ160" s="44" t="n">
        <v>79</v>
      </c>
      <c r="BR160" s="42" t="n">
        <v>22</v>
      </c>
      <c r="BS160" s="45" t="n">
        <v>62</v>
      </c>
      <c r="BT160" s="45" t="n">
        <v>84</v>
      </c>
      <c r="BU160" s="46" t="n">
        <v>99</v>
      </c>
      <c r="BV160" s="47" t="n">
        <v>92</v>
      </c>
      <c r="BW160" s="42" t="n">
        <v>99</v>
      </c>
      <c r="BX160" s="48" t="n">
        <v>94</v>
      </c>
      <c r="BY160" s="32" t="n">
        <v>26</v>
      </c>
      <c r="BZ160" s="32" t="n">
        <v>62</v>
      </c>
      <c r="CA160" s="32" t="n">
        <v>88</v>
      </c>
      <c r="CB160" s="32" t="n">
        <v>21</v>
      </c>
      <c r="CC160" s="32" t="n">
        <v>35</v>
      </c>
      <c r="CD160" s="69" t="n">
        <v>56</v>
      </c>
      <c r="CE160" s="32" t="n">
        <v>29</v>
      </c>
      <c r="CF160" s="32" t="n">
        <v>56</v>
      </c>
      <c r="CG160" s="32" t="n">
        <v>85</v>
      </c>
      <c r="CH160" s="32" t="n">
        <v>98</v>
      </c>
      <c r="CI160" s="32" t="n">
        <v>98</v>
      </c>
      <c r="CJ160" s="49" t="n">
        <v>23</v>
      </c>
      <c r="CK160" s="58" t="n">
        <v>47</v>
      </c>
      <c r="CL160" s="59" t="n">
        <v>70</v>
      </c>
      <c r="CM160" s="49" t="n">
        <v>23</v>
      </c>
      <c r="CN160" s="49" t="n">
        <v>55</v>
      </c>
      <c r="CO160" s="49" t="n">
        <v>78</v>
      </c>
      <c r="CP160" s="25" t="n">
        <f aca="false">BX160+BW160+BV160+BU160+BT160+BQ160+BN160</f>
        <v>613</v>
      </c>
      <c r="CQ160" s="25" t="n">
        <f aca="false">CO160+CL160+CI160+CH160+CG160+CD160+CA160</f>
        <v>573</v>
      </c>
      <c r="CR160" s="26" t="n">
        <f aca="false">CP160/7</f>
        <v>87.5714285714286</v>
      </c>
      <c r="CS160" s="26" t="n">
        <f aca="false">CQ160/7</f>
        <v>81.8571428571429</v>
      </c>
      <c r="CT160" s="24" t="n">
        <f aca="false">RANK(CR160,$CR$2:$CR$881,0)</f>
        <v>329</v>
      </c>
      <c r="CU160" s="25" t="n">
        <f aca="false">RANK(CS160,$CS$2:$CS$881,0)</f>
        <v>197</v>
      </c>
      <c r="CV160" s="26" t="n">
        <f aca="false">(CS160+CR160)/2</f>
        <v>84.7142857142857</v>
      </c>
      <c r="CW160" s="25" t="n">
        <f aca="false">RANK(CV160,$CV$2:$CV$881,0)</f>
        <v>228</v>
      </c>
      <c r="CX160" s="50" t="n">
        <f aca="false">(CV160+BB160)/2</f>
        <v>84.7571428571429</v>
      </c>
      <c r="CY160" s="50" t="n">
        <v>252</v>
      </c>
      <c r="CZ160" s="27" t="s">
        <v>132</v>
      </c>
      <c r="DA160" s="27" t="s">
        <v>133</v>
      </c>
      <c r="DB160" s="27" t="s">
        <v>133</v>
      </c>
      <c r="DC160" s="27" t="s">
        <v>134</v>
      </c>
      <c r="DD160" s="27" t="s">
        <v>135</v>
      </c>
      <c r="DE160" s="27" t="s">
        <v>218</v>
      </c>
      <c r="DF160" s="27" t="s">
        <v>205</v>
      </c>
      <c r="DG160" s="27" t="s">
        <v>134</v>
      </c>
      <c r="DH160" s="27" t="s">
        <v>135</v>
      </c>
      <c r="DI160" s="27" t="s">
        <v>161</v>
      </c>
      <c r="DJ160" s="27" t="s">
        <v>202</v>
      </c>
      <c r="DK160" s="27" t="s">
        <v>134</v>
      </c>
      <c r="DL160" s="27" t="s">
        <v>164</v>
      </c>
      <c r="DM160" s="27" t="s">
        <v>183</v>
      </c>
      <c r="DN160" s="27" t="s">
        <v>175</v>
      </c>
      <c r="DO160" s="27" t="s">
        <v>134</v>
      </c>
      <c r="DP160" s="27" t="s">
        <v>135</v>
      </c>
      <c r="DQ160" s="27" t="s">
        <v>313</v>
      </c>
      <c r="DR160" s="27" t="s">
        <v>382</v>
      </c>
      <c r="DS160" s="27" t="s">
        <v>134</v>
      </c>
      <c r="DT160" s="27" t="s">
        <v>160</v>
      </c>
      <c r="DU160" s="27" t="s">
        <v>313</v>
      </c>
      <c r="DV160" s="27" t="s">
        <v>219</v>
      </c>
      <c r="DW160" s="27" t="s">
        <v>164</v>
      </c>
      <c r="DX160" s="27" t="s">
        <v>136</v>
      </c>
      <c r="DY160" s="27" t="s">
        <v>153</v>
      </c>
      <c r="DZ160" s="27" t="n">
        <f aca="false">DY160+DV160+DR160+DN160+DJ160+DF160+DB160</f>
        <v>588</v>
      </c>
      <c r="EA160" s="28" t="n">
        <f aca="false">DZ160/7</f>
        <v>84</v>
      </c>
      <c r="EB160" s="27" t="n">
        <f aca="false">RANK(EA160,$EA$2:$EA$881,0)</f>
        <v>223</v>
      </c>
      <c r="EC160" s="29" t="n">
        <f aca="false">DZ160+CQ160+CP160+AZ160</f>
        <v>2622</v>
      </c>
      <c r="ED160" s="30" t="n">
        <f aca="false">(EA160+CV160+BB160)/3</f>
        <v>84.5047619047619</v>
      </c>
      <c r="EE160" s="51" t="n">
        <f aca="false">ROUND(BE160,3)</f>
        <v>89.51</v>
      </c>
      <c r="EF160" s="51" t="n">
        <f aca="false">ROUND(CR160,3)</f>
        <v>87.571</v>
      </c>
      <c r="EG160" s="51" t="n">
        <f aca="false">ROUND(CS160,3)</f>
        <v>81.857</v>
      </c>
      <c r="EH160" s="51" t="n">
        <f aca="false">ROUND(EA160,3)</f>
        <v>84</v>
      </c>
      <c r="EI160" s="51" t="n">
        <f aca="false">ROUND(ED160,3)</f>
        <v>84.505</v>
      </c>
      <c r="EJ160" s="51" t="n">
        <f aca="false">ROUND(CV160,3)</f>
        <v>84.714</v>
      </c>
      <c r="EK160" s="0" t="n">
        <f aca="false">RANK(EI160,$EI$2:$EI$881,0)</f>
        <v>159</v>
      </c>
    </row>
    <row r="161" customFormat="false" ht="15" hidden="false" customHeight="false" outlineLevel="0" collapsed="false">
      <c r="A161" s="4" t="n">
        <v>1995</v>
      </c>
      <c r="B161" s="4" t="n">
        <v>101</v>
      </c>
      <c r="C161" s="27" t="s">
        <v>660</v>
      </c>
      <c r="D161" s="52" t="n">
        <v>101</v>
      </c>
      <c r="E161" s="32" t="n">
        <v>230319726</v>
      </c>
      <c r="F161" s="8" t="s">
        <v>661</v>
      </c>
      <c r="G161" s="22" t="s">
        <v>422</v>
      </c>
      <c r="H161" s="22" t="s">
        <v>129</v>
      </c>
      <c r="I161" s="33" t="n">
        <v>2005</v>
      </c>
      <c r="J161" s="32" t="n">
        <v>70</v>
      </c>
      <c r="K161" s="32" t="n">
        <v>67</v>
      </c>
      <c r="L161" s="34" t="n">
        <f aca="false">(K161*70)/100</f>
        <v>46.9</v>
      </c>
      <c r="M161" s="34" t="n">
        <f aca="false">ROUNDUP(L161,0)</f>
        <v>47</v>
      </c>
      <c r="N161" s="32" t="n">
        <v>24</v>
      </c>
      <c r="O161" s="34" t="n">
        <f aca="false">N161+L161</f>
        <v>70.9</v>
      </c>
      <c r="P161" s="34" t="n">
        <f aca="false">N161+M161</f>
        <v>71</v>
      </c>
      <c r="Q161" s="32" t="n">
        <v>83</v>
      </c>
      <c r="R161" s="32" t="n">
        <v>64</v>
      </c>
      <c r="S161" s="34" t="n">
        <f aca="false">(R161*70)/100</f>
        <v>44.8</v>
      </c>
      <c r="T161" s="34" t="n">
        <f aca="false">ROUNDUP(S161,0)</f>
        <v>45</v>
      </c>
      <c r="U161" s="32" t="n">
        <v>28</v>
      </c>
      <c r="V161" s="34" t="n">
        <f aca="false">U161+S161</f>
        <v>72.8</v>
      </c>
      <c r="W161" s="34" t="n">
        <f aca="false">U161+T161</f>
        <v>73</v>
      </c>
      <c r="X161" s="32" t="n">
        <v>63</v>
      </c>
      <c r="Y161" s="34" t="n">
        <f aca="false">(X161*70)/100</f>
        <v>44.1</v>
      </c>
      <c r="Z161" s="34" t="n">
        <f aca="false">ROUNDUP(Y161,0)</f>
        <v>45</v>
      </c>
      <c r="AA161" s="32" t="n">
        <v>26</v>
      </c>
      <c r="AB161" s="34" t="n">
        <f aca="false">AA161+Y161</f>
        <v>70.1</v>
      </c>
      <c r="AC161" s="34" t="n">
        <f aca="false">AA161+Z161</f>
        <v>71</v>
      </c>
      <c r="AD161" s="32" t="n">
        <f aca="false">X161+R161+Q161+K161+J161</f>
        <v>347</v>
      </c>
      <c r="AE161" s="16" t="n">
        <f aca="false">AD161/5</f>
        <v>69.4</v>
      </c>
      <c r="AF161" s="16" t="n">
        <v>82</v>
      </c>
      <c r="AG161" s="16" t="n">
        <v>86</v>
      </c>
      <c r="AH161" s="16" t="n">
        <v>93</v>
      </c>
      <c r="AI161" s="16" t="n">
        <v>89</v>
      </c>
      <c r="AJ161" s="16" t="n">
        <f aca="false">(AI161*70)/100</f>
        <v>62.3</v>
      </c>
      <c r="AK161" s="35" t="n">
        <f aca="false">ROUNDUP(AJ161,0)</f>
        <v>63</v>
      </c>
      <c r="AL161" s="16" t="n">
        <v>28</v>
      </c>
      <c r="AM161" s="16" t="n">
        <f aca="false">AL161+AJ161</f>
        <v>90.3</v>
      </c>
      <c r="AN161" s="16" t="n">
        <f aca="false">AL161+AK161</f>
        <v>91</v>
      </c>
      <c r="AO161" s="16" t="n">
        <v>76</v>
      </c>
      <c r="AP161" s="36" t="n">
        <f aca="false">(AO161*70)/100</f>
        <v>53.2</v>
      </c>
      <c r="AQ161" s="37" t="n">
        <f aca="false">ROUNDUP(AP161,0)</f>
        <v>54</v>
      </c>
      <c r="AR161" s="16" t="n">
        <v>25</v>
      </c>
      <c r="AS161" s="16" t="n">
        <f aca="false">AR161+AP161</f>
        <v>78.2</v>
      </c>
      <c r="AT161" s="16" t="n">
        <f aca="false">AR161+AQ161</f>
        <v>79</v>
      </c>
      <c r="AU161" s="16" t="n">
        <f aca="false">AO161+AF161+AI161+AH161+AG161</f>
        <v>426</v>
      </c>
      <c r="AV161" s="16" t="n">
        <f aca="false">(AO161+AF161+AI161+AH161+AG161)/5</f>
        <v>85.2</v>
      </c>
      <c r="AW161" s="36" t="n">
        <f aca="false">(AO161+AF161+AI161+AH161+AG161+X161+R161+Q161+K161+J161)</f>
        <v>773</v>
      </c>
      <c r="AX161" s="16" t="n">
        <f aca="false">AW161/10</f>
        <v>77.3</v>
      </c>
      <c r="AY161" s="16" t="n">
        <f aca="false">AS161+AF161+AM161+AH161+AG161+AB161+V161+Q161+O161+J161</f>
        <v>796.3</v>
      </c>
      <c r="AZ161" s="16" t="n">
        <f aca="false">AT161+AF161+AN161+AH161+AG161+AC161+W161+Q161+P161+J161</f>
        <v>799</v>
      </c>
      <c r="BA161" s="16" t="n">
        <f aca="false">AY161/10</f>
        <v>79.63</v>
      </c>
      <c r="BB161" s="16" t="n">
        <f aca="false">AZ161/10</f>
        <v>79.9</v>
      </c>
      <c r="BC161" s="16" t="n">
        <v>2354</v>
      </c>
      <c r="BD161" s="16" t="n">
        <f aca="false">RANK(AX161,$AX$2:$AX$881,0)</f>
        <v>472</v>
      </c>
      <c r="BE161" s="54" t="n">
        <f aca="false">((BC161*100)/2400)*0.4+(AX161*0.6)</f>
        <v>85.6133333333333</v>
      </c>
      <c r="BF161" s="16" t="n">
        <f aca="false">RANK(BE161,$BE$2:$BE$881,0)</f>
        <v>487</v>
      </c>
      <c r="BG161" s="39" t="n">
        <f aca="false">RANK(BB161,$BB$2:$BB$881,0)</f>
        <v>356</v>
      </c>
      <c r="BH161" s="39" t="n">
        <f aca="false">RANK(BC161,$BC$2:$BC$881,0)</f>
        <v>490</v>
      </c>
      <c r="BI161" s="22" t="s">
        <v>130</v>
      </c>
      <c r="BJ161" s="22" t="s">
        <v>129</v>
      </c>
      <c r="BK161" s="40" t="s">
        <v>509</v>
      </c>
      <c r="BL161" s="41" t="n">
        <v>24</v>
      </c>
      <c r="BM161" s="41" t="n">
        <v>61</v>
      </c>
      <c r="BN161" s="41" t="n">
        <v>85</v>
      </c>
      <c r="BO161" s="42" t="n">
        <v>26</v>
      </c>
      <c r="BP161" s="43" t="n">
        <v>56</v>
      </c>
      <c r="BQ161" s="44" t="n">
        <v>82</v>
      </c>
      <c r="BR161" s="42" t="n">
        <v>24</v>
      </c>
      <c r="BS161" s="45" t="n">
        <v>57</v>
      </c>
      <c r="BT161" s="45" t="n">
        <v>81</v>
      </c>
      <c r="BU161" s="46" t="n">
        <v>100</v>
      </c>
      <c r="BV161" s="47" t="n">
        <v>96</v>
      </c>
      <c r="BW161" s="42" t="n">
        <v>100</v>
      </c>
      <c r="BX161" s="48" t="n">
        <v>96</v>
      </c>
      <c r="BY161" s="32" t="n">
        <v>25</v>
      </c>
      <c r="BZ161" s="32" t="n">
        <v>56</v>
      </c>
      <c r="CA161" s="32" t="n">
        <v>81</v>
      </c>
      <c r="CB161" s="32" t="n">
        <v>24</v>
      </c>
      <c r="CC161" s="32" t="n">
        <v>48</v>
      </c>
      <c r="CD161" s="32" t="n">
        <v>72</v>
      </c>
      <c r="CE161" s="32" t="n">
        <v>29</v>
      </c>
      <c r="CF161" s="32" t="n">
        <v>58</v>
      </c>
      <c r="CG161" s="32" t="n">
        <v>87</v>
      </c>
      <c r="CH161" s="32" t="n">
        <v>98</v>
      </c>
      <c r="CI161" s="32" t="n">
        <v>100</v>
      </c>
      <c r="CJ161" s="49" t="n">
        <v>25</v>
      </c>
      <c r="CK161" s="49" t="n">
        <v>62</v>
      </c>
      <c r="CL161" s="49" t="n">
        <v>87</v>
      </c>
      <c r="CM161" s="49" t="n">
        <v>27</v>
      </c>
      <c r="CN161" s="49" t="n">
        <v>58</v>
      </c>
      <c r="CO161" s="49" t="n">
        <v>85</v>
      </c>
      <c r="CP161" s="25" t="n">
        <f aca="false">BX161+BW161+BV161+BU161+BT161+BQ161+BN161</f>
        <v>640</v>
      </c>
      <c r="CQ161" s="25" t="n">
        <f aca="false">CO161+CL161+CI161+CH161+CG161+CD161+CA161</f>
        <v>610</v>
      </c>
      <c r="CR161" s="26" t="n">
        <f aca="false">CP161/7</f>
        <v>91.4285714285714</v>
      </c>
      <c r="CS161" s="26" t="n">
        <f aca="false">CQ161/7</f>
        <v>87.1428571428571</v>
      </c>
      <c r="CT161" s="24" t="n">
        <f aca="false">RANK(CR161,$CR$2:$CR$881,0)</f>
        <v>106</v>
      </c>
      <c r="CU161" s="25" t="n">
        <f aca="false">RANK(CS161,$CS$2:$CS$881,0)</f>
        <v>55</v>
      </c>
      <c r="CV161" s="26" t="n">
        <f aca="false">(CS161+CR161)/2</f>
        <v>89.2857142857143</v>
      </c>
      <c r="CW161" s="25" t="n">
        <f aca="false">RANK(CV161,$CV$2:$CV$881,0)</f>
        <v>64</v>
      </c>
      <c r="CX161" s="50" t="n">
        <f aca="false">(CV161+BB161)/2</f>
        <v>84.5928571428571</v>
      </c>
      <c r="CY161" s="50" t="n">
        <v>140</v>
      </c>
      <c r="CZ161" s="27" t="s">
        <v>132</v>
      </c>
      <c r="DA161" s="27" t="s">
        <v>133</v>
      </c>
      <c r="DB161" s="27" t="s">
        <v>133</v>
      </c>
      <c r="DC161" s="27" t="s">
        <v>134</v>
      </c>
      <c r="DD161" s="27" t="s">
        <v>135</v>
      </c>
      <c r="DE161" s="27" t="s">
        <v>218</v>
      </c>
      <c r="DF161" s="27" t="s">
        <v>205</v>
      </c>
      <c r="DG161" s="27" t="s">
        <v>134</v>
      </c>
      <c r="DH161" s="27" t="s">
        <v>154</v>
      </c>
      <c r="DI161" s="27" t="s">
        <v>220</v>
      </c>
      <c r="DJ161" s="27" t="s">
        <v>272</v>
      </c>
      <c r="DK161" s="27" t="s">
        <v>134</v>
      </c>
      <c r="DL161" s="27" t="s">
        <v>137</v>
      </c>
      <c r="DM161" s="27" t="s">
        <v>204</v>
      </c>
      <c r="DN161" s="27" t="s">
        <v>175</v>
      </c>
      <c r="DO161" s="27" t="s">
        <v>134</v>
      </c>
      <c r="DP161" s="27" t="s">
        <v>604</v>
      </c>
      <c r="DQ161" s="27" t="s">
        <v>447</v>
      </c>
      <c r="DR161" s="27" t="s">
        <v>138</v>
      </c>
      <c r="DS161" s="27" t="s">
        <v>134</v>
      </c>
      <c r="DT161" s="27" t="s">
        <v>140</v>
      </c>
      <c r="DU161" s="27" t="s">
        <v>177</v>
      </c>
      <c r="DV161" s="27" t="s">
        <v>162</v>
      </c>
      <c r="DW161" s="27" t="s">
        <v>140</v>
      </c>
      <c r="DX161" s="27" t="s">
        <v>138</v>
      </c>
      <c r="DY161" s="27" t="s">
        <v>145</v>
      </c>
      <c r="DZ161" s="27" t="n">
        <f aca="false">DY161+DV161+DR161+DN161+DJ161+DF161+DB161</f>
        <v>590</v>
      </c>
      <c r="EA161" s="28" t="n">
        <f aca="false">DZ161/7</f>
        <v>84.2857142857143</v>
      </c>
      <c r="EB161" s="27" t="n">
        <f aca="false">RANK(EA161,$EA$2:$EA$881,0)</f>
        <v>210</v>
      </c>
      <c r="EC161" s="29" t="n">
        <f aca="false">DZ161+CQ161+CP161+AZ161</f>
        <v>2639</v>
      </c>
      <c r="ED161" s="30" t="n">
        <f aca="false">(EA161+CV161+BB161)/3</f>
        <v>84.4904761904762</v>
      </c>
      <c r="EE161" s="51" t="n">
        <f aca="false">ROUND(BE161,3)</f>
        <v>85.613</v>
      </c>
      <c r="EF161" s="51" t="n">
        <f aca="false">ROUND(CR161,3)</f>
        <v>91.429</v>
      </c>
      <c r="EG161" s="51" t="n">
        <f aca="false">ROUND(CS161,3)</f>
        <v>87.143</v>
      </c>
      <c r="EH161" s="51" t="n">
        <f aca="false">ROUND(EA161,3)</f>
        <v>84.286</v>
      </c>
      <c r="EI161" s="51" t="n">
        <f aca="false">ROUND(ED161,3)</f>
        <v>84.49</v>
      </c>
      <c r="EJ161" s="51" t="n">
        <f aca="false">ROUND(CV161,3)</f>
        <v>89.286</v>
      </c>
      <c r="EK161" s="0" t="n">
        <f aca="false">RANK(EI161,$EI$2:$EI$881,0)</f>
        <v>160</v>
      </c>
    </row>
    <row r="162" customFormat="false" ht="16.85" hidden="false" customHeight="false" outlineLevel="0" collapsed="false">
      <c r="A162" s="4" t="n">
        <v>8877</v>
      </c>
      <c r="B162" s="4" t="n">
        <v>674</v>
      </c>
      <c r="C162" s="27" t="s">
        <v>662</v>
      </c>
      <c r="D162" s="31" t="n">
        <v>688</v>
      </c>
      <c r="E162" s="32" t="n">
        <v>230313036</v>
      </c>
      <c r="F162" s="8" t="s">
        <v>663</v>
      </c>
      <c r="G162" s="22" t="s">
        <v>664</v>
      </c>
      <c r="H162" s="22" t="s">
        <v>129</v>
      </c>
      <c r="I162" s="33" t="n">
        <v>2005</v>
      </c>
      <c r="J162" s="32" t="n">
        <v>88</v>
      </c>
      <c r="K162" s="32" t="n">
        <v>85</v>
      </c>
      <c r="L162" s="34" t="n">
        <f aca="false">(K162*70)/100</f>
        <v>59.5</v>
      </c>
      <c r="M162" s="34" t="n">
        <f aca="false">ROUNDUP(L162,0)</f>
        <v>60</v>
      </c>
      <c r="N162" s="32" t="n">
        <v>25</v>
      </c>
      <c r="O162" s="34" t="n">
        <f aca="false">N162+L162</f>
        <v>84.5</v>
      </c>
      <c r="P162" s="34" t="n">
        <f aca="false">N162+M162</f>
        <v>85</v>
      </c>
      <c r="Q162" s="68" t="n">
        <v>58</v>
      </c>
      <c r="R162" s="32" t="n">
        <v>72</v>
      </c>
      <c r="S162" s="34" t="n">
        <f aca="false">(R162*70)/100</f>
        <v>50.4</v>
      </c>
      <c r="T162" s="34" t="n">
        <f aca="false">ROUNDUP(S162,0)</f>
        <v>51</v>
      </c>
      <c r="U162" s="32" t="n">
        <v>25</v>
      </c>
      <c r="V162" s="34" t="n">
        <f aca="false">U162+S162</f>
        <v>75.4</v>
      </c>
      <c r="W162" s="34" t="n">
        <f aca="false">U162+T162</f>
        <v>76</v>
      </c>
      <c r="X162" s="32" t="n">
        <v>75</v>
      </c>
      <c r="Y162" s="34" t="n">
        <f aca="false">(X162*70)/100</f>
        <v>52.5</v>
      </c>
      <c r="Z162" s="34" t="n">
        <f aca="false">ROUNDUP(Y162,0)</f>
        <v>53</v>
      </c>
      <c r="AA162" s="32" t="n">
        <v>26</v>
      </c>
      <c r="AB162" s="34" t="n">
        <f aca="false">AA162+Y162</f>
        <v>78.5</v>
      </c>
      <c r="AC162" s="34" t="n">
        <f aca="false">AA162+Z162</f>
        <v>79</v>
      </c>
      <c r="AD162" s="32" t="n">
        <f aca="false">X162+R162+Q162+K162+J162</f>
        <v>378</v>
      </c>
      <c r="AE162" s="16" t="n">
        <f aca="false">AD162/5</f>
        <v>75.6</v>
      </c>
      <c r="AF162" s="16" t="n">
        <v>87</v>
      </c>
      <c r="AG162" s="16" t="n">
        <v>86</v>
      </c>
      <c r="AH162" s="16" t="n">
        <v>98</v>
      </c>
      <c r="AI162" s="16" t="n">
        <v>95</v>
      </c>
      <c r="AJ162" s="16" t="n">
        <f aca="false">(AI162*70)/100</f>
        <v>66.5</v>
      </c>
      <c r="AK162" s="35" t="n">
        <f aca="false">ROUNDUP(AJ162,0)</f>
        <v>67</v>
      </c>
      <c r="AL162" s="16" t="n">
        <v>27</v>
      </c>
      <c r="AM162" s="16" t="n">
        <f aca="false">AL162+AJ162</f>
        <v>93.5</v>
      </c>
      <c r="AN162" s="16" t="n">
        <f aca="false">AL162+AK162</f>
        <v>94</v>
      </c>
      <c r="AO162" s="16" t="n">
        <v>88</v>
      </c>
      <c r="AP162" s="36" t="n">
        <f aca="false">(AO162*70)/100</f>
        <v>61.6</v>
      </c>
      <c r="AQ162" s="37" t="n">
        <f aca="false">ROUNDUP(AP162,0)</f>
        <v>62</v>
      </c>
      <c r="AR162" s="16" t="n">
        <v>30</v>
      </c>
      <c r="AS162" s="16" t="n">
        <f aca="false">AR162+AP162</f>
        <v>91.6</v>
      </c>
      <c r="AT162" s="16" t="n">
        <f aca="false">AR162+AQ162</f>
        <v>92</v>
      </c>
      <c r="AU162" s="16" t="n">
        <f aca="false">AO162+AF162+AI162+AH162+AG162</f>
        <v>454</v>
      </c>
      <c r="AV162" s="16" t="n">
        <f aca="false">(AO162+AF162+AI162+AH162+AG162)/5</f>
        <v>90.8</v>
      </c>
      <c r="AW162" s="36" t="n">
        <f aca="false">(AO162+AF162+AI162+AH162+AG162+X162+R162+Q162+K162+J162)</f>
        <v>832</v>
      </c>
      <c r="AX162" s="16" t="n">
        <f aca="false">AW162/10</f>
        <v>83.2</v>
      </c>
      <c r="AY162" s="16" t="n">
        <f aca="false">AS162+AF162+AM162+AH162+AG162+AB162+V162+Q162+O162+J162</f>
        <v>840.5</v>
      </c>
      <c r="AZ162" s="16" t="n">
        <f aca="false">AT162+AF162+AN162+AH162+AG162+AC162+W162+Q162+P162+J162</f>
        <v>843</v>
      </c>
      <c r="BA162" s="16" t="n">
        <f aca="false">AY162/10</f>
        <v>84.05</v>
      </c>
      <c r="BB162" s="16" t="n">
        <f aca="false">AZ162/10</f>
        <v>84.3</v>
      </c>
      <c r="BC162" s="16" t="n">
        <v>2389</v>
      </c>
      <c r="BD162" s="16" t="n">
        <f aca="false">RANK(AX162,$AX$2:$AX$881,0)</f>
        <v>124</v>
      </c>
      <c r="BE162" s="54" t="n">
        <f aca="false">((BC162*100)/2400)*0.4+(AX162*0.6)</f>
        <v>89.7366666666667</v>
      </c>
      <c r="BF162" s="16" t="n">
        <f aca="false">RANK(BE162,$BE$2:$BE$881,0)</f>
        <v>111</v>
      </c>
      <c r="BG162" s="39" t="n">
        <f aca="false">RANK(BB162,$BB$2:$BB$881,0)</f>
        <v>116</v>
      </c>
      <c r="BH162" s="39" t="n">
        <f aca="false">RANK(BC162,$BC$2:$BC$881,0)</f>
        <v>59</v>
      </c>
      <c r="BI162" s="22" t="s">
        <v>130</v>
      </c>
      <c r="BJ162" s="22" t="s">
        <v>129</v>
      </c>
      <c r="BK162" s="40" t="s">
        <v>131</v>
      </c>
      <c r="BL162" s="41" t="n">
        <v>14</v>
      </c>
      <c r="BM162" s="41" t="n">
        <v>60</v>
      </c>
      <c r="BN162" s="41" t="n">
        <v>74</v>
      </c>
      <c r="BO162" s="42" t="n">
        <v>27</v>
      </c>
      <c r="BP162" s="43" t="n">
        <v>56</v>
      </c>
      <c r="BQ162" s="44" t="n">
        <v>83</v>
      </c>
      <c r="BR162" s="42" t="n">
        <v>26</v>
      </c>
      <c r="BS162" s="45" t="n">
        <v>61</v>
      </c>
      <c r="BT162" s="45" t="n">
        <v>87</v>
      </c>
      <c r="BU162" s="46" t="n">
        <v>100</v>
      </c>
      <c r="BV162" s="47" t="n">
        <v>94</v>
      </c>
      <c r="BW162" s="42" t="n">
        <v>92</v>
      </c>
      <c r="BX162" s="48" t="n">
        <v>96</v>
      </c>
      <c r="BY162" s="32" t="n">
        <v>25</v>
      </c>
      <c r="BZ162" s="32" t="n">
        <v>49</v>
      </c>
      <c r="CA162" s="32" t="n">
        <v>74</v>
      </c>
      <c r="CB162" s="32" t="n">
        <v>23</v>
      </c>
      <c r="CC162" s="32" t="n">
        <v>44</v>
      </c>
      <c r="CD162" s="32" t="n">
        <v>67</v>
      </c>
      <c r="CE162" s="32" t="n">
        <v>26</v>
      </c>
      <c r="CF162" s="32" t="n">
        <v>57</v>
      </c>
      <c r="CG162" s="32" t="n">
        <v>83</v>
      </c>
      <c r="CH162" s="32" t="n">
        <v>93</v>
      </c>
      <c r="CI162" s="32" t="n">
        <v>99</v>
      </c>
      <c r="CJ162" s="49" t="n">
        <v>26</v>
      </c>
      <c r="CK162" s="49" t="n">
        <v>50</v>
      </c>
      <c r="CL162" s="49" t="n">
        <v>76</v>
      </c>
      <c r="CM162" s="49" t="n">
        <v>22</v>
      </c>
      <c r="CN162" s="49" t="n">
        <v>56</v>
      </c>
      <c r="CO162" s="49" t="n">
        <v>78</v>
      </c>
      <c r="CP162" s="25" t="n">
        <f aca="false">BX162+BW162+BV162+BU162+BT162+BQ162+BN162</f>
        <v>626</v>
      </c>
      <c r="CQ162" s="25" t="n">
        <f aca="false">CO162+CL162+CI162+CH162+CG162+CD162+CA162</f>
        <v>570</v>
      </c>
      <c r="CR162" s="26" t="n">
        <f aca="false">CP162/7</f>
        <v>89.4285714285714</v>
      </c>
      <c r="CS162" s="26" t="n">
        <f aca="false">CQ162/7</f>
        <v>81.4285714285714</v>
      </c>
      <c r="CT162" s="24" t="n">
        <f aca="false">RANK(CR162,$CR$2:$CR$881,0)</f>
        <v>217</v>
      </c>
      <c r="CU162" s="25" t="n">
        <f aca="false">RANK(CS162,$CS$2:$CS$881,0)</f>
        <v>211</v>
      </c>
      <c r="CV162" s="26" t="n">
        <f aca="false">(CS162+CR162)/2</f>
        <v>85.4285714285714</v>
      </c>
      <c r="CW162" s="25" t="n">
        <f aca="false">RANK(CV162,$CV$2:$CV$881,0)</f>
        <v>191</v>
      </c>
      <c r="CX162" s="50" t="n">
        <f aca="false">(CV162+BB162)/2</f>
        <v>84.8642857142857</v>
      </c>
      <c r="CY162" s="50" t="n">
        <v>130</v>
      </c>
      <c r="CZ162" s="27" t="s">
        <v>132</v>
      </c>
      <c r="DA162" s="27" t="s">
        <v>133</v>
      </c>
      <c r="DB162" s="27" t="s">
        <v>133</v>
      </c>
      <c r="DC162" s="27" t="s">
        <v>134</v>
      </c>
      <c r="DD162" s="27" t="s">
        <v>137</v>
      </c>
      <c r="DE162" s="27" t="s">
        <v>306</v>
      </c>
      <c r="DF162" s="27" t="s">
        <v>196</v>
      </c>
      <c r="DG162" s="27" t="s">
        <v>134</v>
      </c>
      <c r="DH162" s="27" t="s">
        <v>135</v>
      </c>
      <c r="DI162" s="27" t="s">
        <v>203</v>
      </c>
      <c r="DJ162" s="27" t="s">
        <v>178</v>
      </c>
      <c r="DK162" s="27" t="s">
        <v>134</v>
      </c>
      <c r="DL162" s="27" t="s">
        <v>182</v>
      </c>
      <c r="DM162" s="27" t="s">
        <v>204</v>
      </c>
      <c r="DN162" s="27" t="s">
        <v>169</v>
      </c>
      <c r="DO162" s="27" t="s">
        <v>134</v>
      </c>
      <c r="DP162" s="27" t="s">
        <v>485</v>
      </c>
      <c r="DQ162" s="27" t="s">
        <v>304</v>
      </c>
      <c r="DR162" s="27" t="s">
        <v>416</v>
      </c>
      <c r="DS162" s="27" t="s">
        <v>134</v>
      </c>
      <c r="DT162" s="27" t="s">
        <v>174</v>
      </c>
      <c r="DU162" s="27" t="s">
        <v>136</v>
      </c>
      <c r="DV162" s="27" t="s">
        <v>175</v>
      </c>
      <c r="DW162" s="27" t="s">
        <v>195</v>
      </c>
      <c r="DX162" s="27" t="s">
        <v>138</v>
      </c>
      <c r="DY162" s="27" t="s">
        <v>153</v>
      </c>
      <c r="DZ162" s="27" t="n">
        <f aca="false">DY162+DV162+DR162+DN162+DJ162+DF162+DB162</f>
        <v>585</v>
      </c>
      <c r="EA162" s="28" t="n">
        <f aca="false">DZ162/7</f>
        <v>83.5714285714286</v>
      </c>
      <c r="EB162" s="27" t="n">
        <f aca="false">RANK(EA162,$EA$2:$EA$881,0)</f>
        <v>249</v>
      </c>
      <c r="EC162" s="29" t="n">
        <f aca="false">DZ162+CQ162+CP162+AZ162</f>
        <v>2624</v>
      </c>
      <c r="ED162" s="30" t="n">
        <f aca="false">(EA162+CV162+BB162)/3</f>
        <v>84.4333333333333</v>
      </c>
      <c r="EE162" s="51" t="n">
        <f aca="false">ROUND(BE162,3)</f>
        <v>89.737</v>
      </c>
      <c r="EF162" s="51" t="n">
        <f aca="false">ROUND(CR162,3)</f>
        <v>89.429</v>
      </c>
      <c r="EG162" s="51" t="n">
        <f aca="false">ROUND(CS162,3)</f>
        <v>81.429</v>
      </c>
      <c r="EH162" s="51" t="n">
        <f aca="false">ROUND(EA162,3)</f>
        <v>83.571</v>
      </c>
      <c r="EI162" s="51" t="n">
        <f aca="false">ROUND(ED162,3)</f>
        <v>84.433</v>
      </c>
      <c r="EJ162" s="51" t="n">
        <f aca="false">ROUND(CV162,3)</f>
        <v>85.429</v>
      </c>
      <c r="EK162" s="0" t="n">
        <f aca="false">RANK(EI162,$EI$2:$EI$881,0)</f>
        <v>161</v>
      </c>
    </row>
    <row r="163" customFormat="false" ht="15" hidden="false" customHeight="false" outlineLevel="0" collapsed="false">
      <c r="A163" s="4" t="n">
        <v>8824</v>
      </c>
      <c r="B163" s="4" t="n">
        <v>685</v>
      </c>
      <c r="C163" s="27" t="s">
        <v>665</v>
      </c>
      <c r="D163" s="31" t="n">
        <v>699</v>
      </c>
      <c r="E163" s="62" t="n">
        <v>230505139</v>
      </c>
      <c r="F163" s="8" t="s">
        <v>666</v>
      </c>
      <c r="G163" s="63" t="s">
        <v>667</v>
      </c>
      <c r="H163" s="63" t="s">
        <v>129</v>
      </c>
      <c r="I163" s="64" t="s">
        <v>466</v>
      </c>
      <c r="J163" s="62" t="n">
        <v>63</v>
      </c>
      <c r="K163" s="62" t="n">
        <v>85</v>
      </c>
      <c r="L163" s="34" t="n">
        <f aca="false">(K163*70)/100</f>
        <v>59.5</v>
      </c>
      <c r="M163" s="34" t="n">
        <f aca="false">ROUNDUP(L163,0)</f>
        <v>60</v>
      </c>
      <c r="N163" s="62" t="n">
        <v>23</v>
      </c>
      <c r="O163" s="34" t="n">
        <f aca="false">N163+L163</f>
        <v>82.5</v>
      </c>
      <c r="P163" s="34" t="n">
        <f aca="false">N163+M163</f>
        <v>83</v>
      </c>
      <c r="Q163" s="62" t="n">
        <v>78</v>
      </c>
      <c r="R163" s="62" t="n">
        <v>76</v>
      </c>
      <c r="S163" s="34" t="n">
        <f aca="false">(R163*70)/100</f>
        <v>53.2</v>
      </c>
      <c r="T163" s="34" t="n">
        <f aca="false">ROUNDUP(S163,0)</f>
        <v>54</v>
      </c>
      <c r="U163" s="62" t="n">
        <v>24</v>
      </c>
      <c r="V163" s="34" t="n">
        <f aca="false">U163+S163</f>
        <v>77.2</v>
      </c>
      <c r="W163" s="34" t="n">
        <f aca="false">U163+T163</f>
        <v>78</v>
      </c>
      <c r="X163" s="62" t="n">
        <v>78</v>
      </c>
      <c r="Y163" s="34" t="n">
        <f aca="false">(X163*70)/100</f>
        <v>54.6</v>
      </c>
      <c r="Z163" s="34" t="n">
        <f aca="false">ROUNDUP(Y163,0)</f>
        <v>55</v>
      </c>
      <c r="AA163" s="62" t="n">
        <v>24</v>
      </c>
      <c r="AB163" s="34" t="n">
        <f aca="false">AA163+Y163</f>
        <v>78.6</v>
      </c>
      <c r="AC163" s="34" t="n">
        <f aca="false">AA163+Z163</f>
        <v>79</v>
      </c>
      <c r="AD163" s="32" t="n">
        <f aca="false">X163+R163+Q163+K163+J163</f>
        <v>380</v>
      </c>
      <c r="AE163" s="16" t="n">
        <f aca="false">AD163/5</f>
        <v>76</v>
      </c>
      <c r="AF163" s="65" t="n">
        <v>80</v>
      </c>
      <c r="AG163" s="65" t="n">
        <v>82</v>
      </c>
      <c r="AH163" s="65" t="n">
        <v>95</v>
      </c>
      <c r="AI163" s="65" t="n">
        <v>95</v>
      </c>
      <c r="AJ163" s="16" t="n">
        <f aca="false">(AI163*70)/100</f>
        <v>66.5</v>
      </c>
      <c r="AK163" s="35" t="n">
        <f aca="false">ROUNDUP(AJ163,0)</f>
        <v>67</v>
      </c>
      <c r="AL163" s="65" t="n">
        <v>25</v>
      </c>
      <c r="AM163" s="16" t="n">
        <f aca="false">AL163+AJ163</f>
        <v>91.5</v>
      </c>
      <c r="AN163" s="16" t="n">
        <f aca="false">AL163+AK163</f>
        <v>92</v>
      </c>
      <c r="AO163" s="65" t="n">
        <v>85</v>
      </c>
      <c r="AP163" s="36" t="n">
        <f aca="false">(AO163*70)/100</f>
        <v>59.5</v>
      </c>
      <c r="AQ163" s="37" t="n">
        <f aca="false">ROUNDUP(AP163,0)</f>
        <v>60</v>
      </c>
      <c r="AR163" s="65" t="n">
        <v>27</v>
      </c>
      <c r="AS163" s="16" t="n">
        <f aca="false">AR163+AP163</f>
        <v>86.5</v>
      </c>
      <c r="AT163" s="16" t="n">
        <f aca="false">AR163+AQ163</f>
        <v>87</v>
      </c>
      <c r="AU163" s="16" t="n">
        <f aca="false">AO163+AF163+AI163+AH163+AG163</f>
        <v>437</v>
      </c>
      <c r="AV163" s="16" t="n">
        <f aca="false">(AO163+AF163+AI163+AH163+AG163)/5</f>
        <v>87.4</v>
      </c>
      <c r="AW163" s="36" t="n">
        <f aca="false">(AO163+AF163+AI163+AH163+AG163+X163+R163+Q163+K163+J163)</f>
        <v>817</v>
      </c>
      <c r="AX163" s="16" t="n">
        <f aca="false">AW163/10</f>
        <v>81.7</v>
      </c>
      <c r="AY163" s="16" t="n">
        <f aca="false">AS163+AF163+AM163+AH163+AG163+AB163+V163+Q163+O163+J163</f>
        <v>814.3</v>
      </c>
      <c r="AZ163" s="16" t="n">
        <f aca="false">AT163+AF163+AN163+AH163+AG163+AC163+W163+Q163+P163+J163</f>
        <v>817</v>
      </c>
      <c r="BA163" s="16" t="n">
        <f aca="false">AY163/10</f>
        <v>81.43</v>
      </c>
      <c r="BB163" s="16" t="n">
        <f aca="false">AZ163/10</f>
        <v>81.7</v>
      </c>
      <c r="BC163" s="65" t="n">
        <v>2333</v>
      </c>
      <c r="BD163" s="16" t="n">
        <f aca="false">RANK(AX163,$AX$2:$AX$881,0)</f>
        <v>179</v>
      </c>
      <c r="BE163" s="54" t="n">
        <f aca="false">((BC163*100)/2400)*0.4+(AX163*0.6)</f>
        <v>87.9033333333333</v>
      </c>
      <c r="BF163" s="16" t="n">
        <f aca="false">RANK(BE163,$BE$2:$BE$881,0)</f>
        <v>214</v>
      </c>
      <c r="BG163" s="39" t="n">
        <f aca="false">RANK(BB163,$BB$2:$BB$881,0)</f>
        <v>229</v>
      </c>
      <c r="BH163" s="39" t="n">
        <f aca="false">RANK(BC163,$BC$2:$BC$881,0)</f>
        <v>697</v>
      </c>
      <c r="BI163" s="22" t="s">
        <v>130</v>
      </c>
      <c r="BJ163" s="22" t="s">
        <v>129</v>
      </c>
      <c r="BK163" s="40" t="s">
        <v>131</v>
      </c>
      <c r="BL163" s="41" t="n">
        <v>20</v>
      </c>
      <c r="BM163" s="41" t="n">
        <v>53</v>
      </c>
      <c r="BN163" s="41" t="n">
        <v>73</v>
      </c>
      <c r="BO163" s="42" t="n">
        <v>29</v>
      </c>
      <c r="BP163" s="43" t="n">
        <v>66</v>
      </c>
      <c r="BQ163" s="44" t="n">
        <v>95</v>
      </c>
      <c r="BR163" s="42" t="n">
        <v>24</v>
      </c>
      <c r="BS163" s="45" t="n">
        <v>59</v>
      </c>
      <c r="BT163" s="45" t="n">
        <v>83</v>
      </c>
      <c r="BU163" s="46" t="n">
        <v>99</v>
      </c>
      <c r="BV163" s="47" t="n">
        <v>72</v>
      </c>
      <c r="BW163" s="42" t="n">
        <v>95</v>
      </c>
      <c r="BX163" s="48" t="n">
        <v>96</v>
      </c>
      <c r="BY163" s="32" t="n">
        <v>28</v>
      </c>
      <c r="BZ163" s="32" t="n">
        <v>56</v>
      </c>
      <c r="CA163" s="32" t="n">
        <v>84</v>
      </c>
      <c r="CB163" s="32" t="n">
        <v>22</v>
      </c>
      <c r="CC163" s="32" t="n">
        <v>49</v>
      </c>
      <c r="CD163" s="32" t="n">
        <v>71</v>
      </c>
      <c r="CE163" s="32" t="n">
        <v>27</v>
      </c>
      <c r="CF163" s="32" t="n">
        <v>59</v>
      </c>
      <c r="CG163" s="32" t="n">
        <v>86</v>
      </c>
      <c r="CH163" s="32" t="n">
        <v>96</v>
      </c>
      <c r="CI163" s="32" t="n">
        <v>93</v>
      </c>
      <c r="CJ163" s="49" t="n">
        <v>27</v>
      </c>
      <c r="CK163" s="49" t="n">
        <v>52</v>
      </c>
      <c r="CL163" s="49" t="n">
        <v>79</v>
      </c>
      <c r="CM163" s="49" t="n">
        <v>24</v>
      </c>
      <c r="CN163" s="49" t="n">
        <v>51</v>
      </c>
      <c r="CO163" s="49" t="n">
        <v>75</v>
      </c>
      <c r="CP163" s="25" t="n">
        <f aca="false">BX163+BW163+BV163+BU163+BT163+BQ163+BN163</f>
        <v>613</v>
      </c>
      <c r="CQ163" s="25" t="n">
        <f aca="false">CO163+CL163+CI163+CH163+CG163+CD163+CA163</f>
        <v>584</v>
      </c>
      <c r="CR163" s="26" t="n">
        <f aca="false">CP163/7</f>
        <v>87.5714285714286</v>
      </c>
      <c r="CS163" s="26" t="n">
        <f aca="false">CQ163/7</f>
        <v>83.4285714285714</v>
      </c>
      <c r="CT163" s="24" t="n">
        <f aca="false">RANK(CR163,$CR$2:$CR$881,0)</f>
        <v>329</v>
      </c>
      <c r="CU163" s="25" t="n">
        <f aca="false">RANK(CS163,$CS$2:$CS$881,0)</f>
        <v>143</v>
      </c>
      <c r="CV163" s="26" t="n">
        <f aca="false">(CS163+CR163)/2</f>
        <v>85.5</v>
      </c>
      <c r="CW163" s="25" t="n">
        <f aca="false">RANK(CV163,$CV$2:$CV$881,0)</f>
        <v>190</v>
      </c>
      <c r="CX163" s="50" t="n">
        <f aca="false">(CV163+BB163)/2</f>
        <v>83.6</v>
      </c>
      <c r="CY163" s="50" t="n">
        <v>185</v>
      </c>
      <c r="CZ163" s="27" t="s">
        <v>132</v>
      </c>
      <c r="DA163" s="27" t="s">
        <v>205</v>
      </c>
      <c r="DB163" s="27" t="s">
        <v>205</v>
      </c>
      <c r="DC163" s="27" t="s">
        <v>134</v>
      </c>
      <c r="DD163" s="27" t="s">
        <v>182</v>
      </c>
      <c r="DE163" s="27" t="s">
        <v>447</v>
      </c>
      <c r="DF163" s="27" t="s">
        <v>382</v>
      </c>
      <c r="DG163" s="27" t="s">
        <v>134</v>
      </c>
      <c r="DH163" s="27" t="s">
        <v>182</v>
      </c>
      <c r="DI163" s="27" t="s">
        <v>136</v>
      </c>
      <c r="DJ163" s="27" t="s">
        <v>178</v>
      </c>
      <c r="DK163" s="27" t="s">
        <v>134</v>
      </c>
      <c r="DL163" s="27" t="s">
        <v>140</v>
      </c>
      <c r="DM163" s="27" t="s">
        <v>204</v>
      </c>
      <c r="DN163" s="27" t="s">
        <v>133</v>
      </c>
      <c r="DO163" s="27" t="s">
        <v>134</v>
      </c>
      <c r="DP163" s="27" t="s">
        <v>195</v>
      </c>
      <c r="DQ163" s="27" t="s">
        <v>203</v>
      </c>
      <c r="DR163" s="27" t="s">
        <v>169</v>
      </c>
      <c r="DS163" s="27" t="s">
        <v>134</v>
      </c>
      <c r="DT163" s="27" t="s">
        <v>160</v>
      </c>
      <c r="DU163" s="27" t="s">
        <v>183</v>
      </c>
      <c r="DV163" s="27" t="s">
        <v>202</v>
      </c>
      <c r="DW163" s="27" t="s">
        <v>146</v>
      </c>
      <c r="DX163" s="27" t="s">
        <v>138</v>
      </c>
      <c r="DY163" s="27" t="s">
        <v>147</v>
      </c>
      <c r="DZ163" s="27" t="n">
        <f aca="false">DY163+DV163+DR163+DN163+DJ163+DF163+DB163</f>
        <v>602</v>
      </c>
      <c r="EA163" s="28" t="n">
        <f aca="false">DZ163/7</f>
        <v>86</v>
      </c>
      <c r="EB163" s="27" t="n">
        <f aca="false">RANK(EA163,$EA$2:$EA$881,0)</f>
        <v>155</v>
      </c>
      <c r="EC163" s="29" t="n">
        <f aca="false">DZ163+CQ163+CP163+AZ163</f>
        <v>2616</v>
      </c>
      <c r="ED163" s="30" t="n">
        <f aca="false">(EA163+CV163+BB163)/3</f>
        <v>84.4</v>
      </c>
      <c r="EE163" s="51" t="n">
        <f aca="false">ROUND(BE163,3)</f>
        <v>87.903</v>
      </c>
      <c r="EF163" s="51" t="n">
        <f aca="false">ROUND(CR163,3)</f>
        <v>87.571</v>
      </c>
      <c r="EG163" s="51" t="n">
        <f aca="false">ROUND(CS163,3)</f>
        <v>83.429</v>
      </c>
      <c r="EH163" s="51" t="n">
        <f aca="false">ROUND(EA163,3)</f>
        <v>86</v>
      </c>
      <c r="EI163" s="51" t="n">
        <f aca="false">ROUND(ED163,3)</f>
        <v>84.4</v>
      </c>
      <c r="EJ163" s="51" t="n">
        <f aca="false">ROUND(CV163,3)</f>
        <v>85.5</v>
      </c>
      <c r="EK163" s="0" t="n">
        <f aca="false">RANK(EI163,$EI$2:$EI$881,0)</f>
        <v>162</v>
      </c>
    </row>
    <row r="164" customFormat="false" ht="15" hidden="false" customHeight="false" outlineLevel="0" collapsed="false">
      <c r="A164" s="4" t="n">
        <v>8790</v>
      </c>
      <c r="B164" s="4" t="n">
        <v>808</v>
      </c>
      <c r="C164" s="27" t="s">
        <v>668</v>
      </c>
      <c r="D164" s="31" t="n">
        <v>827</v>
      </c>
      <c r="E164" s="16" t="n">
        <v>230251143</v>
      </c>
      <c r="F164" s="56" t="s">
        <v>669</v>
      </c>
      <c r="G164" s="22" t="s">
        <v>622</v>
      </c>
      <c r="H164" s="22" t="s">
        <v>326</v>
      </c>
      <c r="I164" s="57"/>
      <c r="J164" s="16" t="n">
        <v>86</v>
      </c>
      <c r="K164" s="16" t="n">
        <v>84</v>
      </c>
      <c r="L164" s="34" t="n">
        <f aca="false">(K164*70)/100</f>
        <v>58.8</v>
      </c>
      <c r="M164" s="34" t="n">
        <f aca="false">ROUNDUP(L164,0)</f>
        <v>59</v>
      </c>
      <c r="N164" s="16" t="n">
        <v>28</v>
      </c>
      <c r="O164" s="34" t="n">
        <f aca="false">N164+L164</f>
        <v>86.8</v>
      </c>
      <c r="P164" s="34" t="n">
        <f aca="false">N164+M164</f>
        <v>87</v>
      </c>
      <c r="Q164" s="16" t="n">
        <v>77</v>
      </c>
      <c r="R164" s="16" t="n">
        <v>70</v>
      </c>
      <c r="S164" s="34" t="n">
        <f aca="false">(R164*70)/100</f>
        <v>49</v>
      </c>
      <c r="T164" s="34" t="n">
        <f aca="false">ROUNDUP(S164,0)</f>
        <v>49</v>
      </c>
      <c r="U164" s="16" t="n">
        <v>26</v>
      </c>
      <c r="V164" s="34" t="n">
        <f aca="false">U164+S164</f>
        <v>75</v>
      </c>
      <c r="W164" s="34" t="n">
        <f aca="false">U164+T164</f>
        <v>75</v>
      </c>
      <c r="X164" s="16" t="n">
        <v>66</v>
      </c>
      <c r="Y164" s="34" t="n">
        <f aca="false">(X164*70)/100</f>
        <v>46.2</v>
      </c>
      <c r="Z164" s="34" t="n">
        <f aca="false">ROUNDUP(Y164,0)</f>
        <v>47</v>
      </c>
      <c r="AA164" s="16" t="n">
        <v>28</v>
      </c>
      <c r="AB164" s="34" t="n">
        <f aca="false">AA164+Y164</f>
        <v>74.2</v>
      </c>
      <c r="AC164" s="34" t="n">
        <f aca="false">AA164+Z164</f>
        <v>75</v>
      </c>
      <c r="AD164" s="32" t="n">
        <f aca="false">X164+R164+Q164+K164+J164</f>
        <v>383</v>
      </c>
      <c r="AE164" s="16" t="n">
        <f aca="false">AD164/5</f>
        <v>76.6</v>
      </c>
      <c r="AF164" s="16" t="n">
        <v>75</v>
      </c>
      <c r="AG164" s="16" t="n">
        <v>94</v>
      </c>
      <c r="AH164" s="16" t="n">
        <v>90</v>
      </c>
      <c r="AI164" s="16" t="n">
        <v>90</v>
      </c>
      <c r="AJ164" s="16" t="n">
        <f aca="false">(AI164*70)/100</f>
        <v>63</v>
      </c>
      <c r="AK164" s="35" t="n">
        <f aca="false">ROUNDUP(AJ164,0)</f>
        <v>63</v>
      </c>
      <c r="AL164" s="16" t="n">
        <v>29</v>
      </c>
      <c r="AM164" s="16" t="n">
        <f aca="false">AL164+AJ164</f>
        <v>92</v>
      </c>
      <c r="AN164" s="16" t="n">
        <f aca="false">AL164+AK164</f>
        <v>92</v>
      </c>
      <c r="AO164" s="16" t="n">
        <v>81</v>
      </c>
      <c r="AP164" s="36" t="n">
        <f aca="false">(AO164*70)/100</f>
        <v>56.7</v>
      </c>
      <c r="AQ164" s="37" t="n">
        <f aca="false">ROUNDUP(AP164,0)</f>
        <v>57</v>
      </c>
      <c r="AR164" s="16" t="n">
        <v>29</v>
      </c>
      <c r="AS164" s="16" t="n">
        <f aca="false">AR164+AP164</f>
        <v>85.7</v>
      </c>
      <c r="AT164" s="16" t="n">
        <f aca="false">AR164+AQ164</f>
        <v>86</v>
      </c>
      <c r="AU164" s="16" t="n">
        <f aca="false">AO164+AF164+AI164+AH164+AG164</f>
        <v>430</v>
      </c>
      <c r="AV164" s="16" t="n">
        <f aca="false">(AO164+AF164+AI164+AH164+AG164)/5</f>
        <v>86</v>
      </c>
      <c r="AW164" s="36" t="n">
        <f aca="false">(AO164+AF164+AI164+AH164+AG164+X164+R164+Q164+K164+J164)</f>
        <v>813</v>
      </c>
      <c r="AX164" s="16" t="n">
        <f aca="false">AW164/10</f>
        <v>81.3</v>
      </c>
      <c r="AY164" s="16" t="n">
        <f aca="false">AS164+AF164+AM164+AH164+AG164+AB164+V164+Q164+O164+J164</f>
        <v>835.7</v>
      </c>
      <c r="AZ164" s="16" t="n">
        <f aca="false">AT164+AF164+AN164+AH164+AG164+AC164+W164+Q164+P164+J164</f>
        <v>837</v>
      </c>
      <c r="BA164" s="16" t="n">
        <f aca="false">AY164/10</f>
        <v>83.57</v>
      </c>
      <c r="BB164" s="16" t="n">
        <f aca="false">AZ164/10</f>
        <v>83.7</v>
      </c>
      <c r="BC164" s="16" t="n">
        <v>2366</v>
      </c>
      <c r="BD164" s="16" t="n">
        <f aca="false">RANK(AX164,$AX$2:$AX$881,0)</f>
        <v>198</v>
      </c>
      <c r="BE164" s="54" t="n">
        <f aca="false">((BC164*100)/2400)*0.4+(AX164*0.6)</f>
        <v>88.2133333333333</v>
      </c>
      <c r="BF164" s="16" t="n">
        <f aca="false">RANK(BE164,$BE$2:$BE$881,0)</f>
        <v>187</v>
      </c>
      <c r="BG164" s="39" t="n">
        <f aca="false">RANK(BB164,$BB$2:$BB$881,0)</f>
        <v>133</v>
      </c>
      <c r="BH164" s="39" t="n">
        <f aca="false">RANK(BC164,$BC$2:$BC$881,0)</f>
        <v>319</v>
      </c>
      <c r="BI164" s="22" t="s">
        <v>130</v>
      </c>
      <c r="BJ164" s="22" t="s">
        <v>129</v>
      </c>
      <c r="BK164" s="40" t="s">
        <v>131</v>
      </c>
      <c r="BL164" s="41" t="n">
        <v>27</v>
      </c>
      <c r="BM164" s="41" t="n">
        <v>59</v>
      </c>
      <c r="BN164" s="41" t="n">
        <v>86</v>
      </c>
      <c r="BO164" s="42" t="n">
        <v>22</v>
      </c>
      <c r="BP164" s="43" t="n">
        <v>64</v>
      </c>
      <c r="BQ164" s="44" t="n">
        <v>86</v>
      </c>
      <c r="BR164" s="42" t="n">
        <v>24</v>
      </c>
      <c r="BS164" s="45" t="n">
        <v>57</v>
      </c>
      <c r="BT164" s="45" t="n">
        <v>81</v>
      </c>
      <c r="BU164" s="46" t="n">
        <v>99</v>
      </c>
      <c r="BV164" s="47" t="n">
        <v>96</v>
      </c>
      <c r="BW164" s="42" t="n">
        <v>99</v>
      </c>
      <c r="BX164" s="48" t="n">
        <v>98</v>
      </c>
      <c r="BY164" s="32" t="n">
        <v>27</v>
      </c>
      <c r="BZ164" s="32" t="n">
        <v>49</v>
      </c>
      <c r="CA164" s="32" t="n">
        <v>76</v>
      </c>
      <c r="CB164" s="32" t="n">
        <v>20</v>
      </c>
      <c r="CC164" s="32" t="n">
        <v>41</v>
      </c>
      <c r="CD164" s="32" t="n">
        <v>61</v>
      </c>
      <c r="CE164" s="32" t="n">
        <v>22</v>
      </c>
      <c r="CF164" s="32" t="n">
        <v>52</v>
      </c>
      <c r="CG164" s="32" t="n">
        <v>74</v>
      </c>
      <c r="CH164" s="32" t="n">
        <v>95</v>
      </c>
      <c r="CI164" s="32" t="n">
        <v>99</v>
      </c>
      <c r="CJ164" s="49" t="n">
        <v>24</v>
      </c>
      <c r="CK164" s="49" t="n">
        <v>52</v>
      </c>
      <c r="CL164" s="49" t="n">
        <v>76</v>
      </c>
      <c r="CM164" s="49" t="n">
        <v>21</v>
      </c>
      <c r="CN164" s="49" t="n">
        <v>60</v>
      </c>
      <c r="CO164" s="49" t="n">
        <v>81</v>
      </c>
      <c r="CP164" s="25" t="n">
        <f aca="false">BX164+BW164+BV164+BU164+BT164+BQ164+BN164</f>
        <v>645</v>
      </c>
      <c r="CQ164" s="25" t="n">
        <f aca="false">CO164+CL164+CI164+CH164+CG164+CD164+CA164</f>
        <v>562</v>
      </c>
      <c r="CR164" s="26" t="n">
        <f aca="false">CP164/7</f>
        <v>92.1428571428571</v>
      </c>
      <c r="CS164" s="26" t="n">
        <f aca="false">CQ164/7</f>
        <v>80.2857142857143</v>
      </c>
      <c r="CT164" s="24" t="n">
        <f aca="false">RANK(CR164,$CR$2:$CR$881,0)</f>
        <v>85</v>
      </c>
      <c r="CU164" s="25" t="n">
        <f aca="false">RANK(CS164,$CS$2:$CS$881,0)</f>
        <v>253</v>
      </c>
      <c r="CV164" s="26" t="n">
        <f aca="false">(CS164+CR164)/2</f>
        <v>86.2142857142857</v>
      </c>
      <c r="CW164" s="25" t="n">
        <f aca="false">RANK(CV164,$CV$2:$CV$881,0)</f>
        <v>168</v>
      </c>
      <c r="CX164" s="50" t="n">
        <f aca="false">(CV164+BB164)/2</f>
        <v>84.9571428571429</v>
      </c>
      <c r="CY164" s="50" t="n">
        <v>128</v>
      </c>
      <c r="CZ164" s="27" t="s">
        <v>132</v>
      </c>
      <c r="DA164" s="27" t="s">
        <v>162</v>
      </c>
      <c r="DB164" s="27" t="s">
        <v>162</v>
      </c>
      <c r="DC164" s="27" t="s">
        <v>134</v>
      </c>
      <c r="DD164" s="27" t="s">
        <v>154</v>
      </c>
      <c r="DE164" s="27" t="s">
        <v>161</v>
      </c>
      <c r="DF164" s="27" t="s">
        <v>209</v>
      </c>
      <c r="DG164" s="27" t="s">
        <v>134</v>
      </c>
      <c r="DH164" s="27" t="s">
        <v>137</v>
      </c>
      <c r="DI164" s="27" t="s">
        <v>304</v>
      </c>
      <c r="DJ164" s="27" t="s">
        <v>219</v>
      </c>
      <c r="DK164" s="27" t="s">
        <v>134</v>
      </c>
      <c r="DL164" s="27" t="s">
        <v>137</v>
      </c>
      <c r="DM164" s="27" t="s">
        <v>399</v>
      </c>
      <c r="DN164" s="27" t="s">
        <v>372</v>
      </c>
      <c r="DO164" s="27" t="s">
        <v>134</v>
      </c>
      <c r="DP164" s="27" t="s">
        <v>485</v>
      </c>
      <c r="DQ164" s="27" t="s">
        <v>306</v>
      </c>
      <c r="DR164" s="27" t="s">
        <v>398</v>
      </c>
      <c r="DS164" s="27" t="s">
        <v>134</v>
      </c>
      <c r="DT164" s="27" t="s">
        <v>160</v>
      </c>
      <c r="DU164" s="27" t="s">
        <v>204</v>
      </c>
      <c r="DV164" s="27" t="s">
        <v>178</v>
      </c>
      <c r="DW164" s="27" t="s">
        <v>160</v>
      </c>
      <c r="DX164" s="27" t="s">
        <v>138</v>
      </c>
      <c r="DY164" s="27" t="s">
        <v>144</v>
      </c>
      <c r="DZ164" s="27" t="n">
        <f aca="false">DY164+DV164+DR164+DN164+DJ164+DF164+DB164</f>
        <v>583</v>
      </c>
      <c r="EA164" s="28" t="n">
        <f aca="false">DZ164/7</f>
        <v>83.2857142857143</v>
      </c>
      <c r="EB164" s="27" t="n">
        <f aca="false">RANK(EA164,$EA$2:$EA$881,0)</f>
        <v>262</v>
      </c>
      <c r="EC164" s="29" t="n">
        <f aca="false">DZ164+CQ164+CP164+AZ164</f>
        <v>2627</v>
      </c>
      <c r="ED164" s="30" t="n">
        <f aca="false">(EA164+CV164+BB164)/3</f>
        <v>84.4</v>
      </c>
      <c r="EE164" s="51" t="n">
        <f aca="false">ROUND(BE164,3)</f>
        <v>88.213</v>
      </c>
      <c r="EF164" s="51" t="n">
        <f aca="false">ROUND(CR164,3)</f>
        <v>92.143</v>
      </c>
      <c r="EG164" s="51" t="n">
        <f aca="false">ROUND(CS164,3)</f>
        <v>80.286</v>
      </c>
      <c r="EH164" s="51" t="n">
        <f aca="false">ROUND(EA164,3)</f>
        <v>83.286</v>
      </c>
      <c r="EI164" s="51" t="n">
        <f aca="false">ROUND(ED164,3)</f>
        <v>84.4</v>
      </c>
      <c r="EJ164" s="51" t="n">
        <f aca="false">ROUND(CV164,3)</f>
        <v>86.214</v>
      </c>
      <c r="EK164" s="0" t="n">
        <f aca="false">RANK(EI164,$EI$2:$EI$881,0)</f>
        <v>162</v>
      </c>
    </row>
    <row r="165" customFormat="false" ht="15" hidden="false" customHeight="false" outlineLevel="0" collapsed="false">
      <c r="A165" s="4" t="n">
        <v>8676</v>
      </c>
      <c r="B165" s="4" t="n">
        <v>332</v>
      </c>
      <c r="C165" s="27" t="s">
        <v>670</v>
      </c>
      <c r="D165" s="31" t="n">
        <v>334</v>
      </c>
      <c r="E165" s="32" t="n">
        <v>230323544</v>
      </c>
      <c r="F165" s="8" t="s">
        <v>671</v>
      </c>
      <c r="G165" s="22" t="s">
        <v>672</v>
      </c>
      <c r="H165" s="22" t="s">
        <v>129</v>
      </c>
      <c r="I165" s="33" t="n">
        <v>2005</v>
      </c>
      <c r="J165" s="32" t="n">
        <v>94</v>
      </c>
      <c r="K165" s="32" t="n">
        <v>86</v>
      </c>
      <c r="L165" s="34" t="n">
        <f aca="false">(K165*70)/100</f>
        <v>60.2</v>
      </c>
      <c r="M165" s="34" t="n">
        <f aca="false">ROUNDUP(L165,0)</f>
        <v>61</v>
      </c>
      <c r="N165" s="32" t="n">
        <v>28</v>
      </c>
      <c r="O165" s="34" t="n">
        <f aca="false">N165+L165</f>
        <v>88.2</v>
      </c>
      <c r="P165" s="34" t="n">
        <f aca="false">N165+M165</f>
        <v>89</v>
      </c>
      <c r="Q165" s="32" t="n">
        <v>79</v>
      </c>
      <c r="R165" s="32" t="n">
        <v>79</v>
      </c>
      <c r="S165" s="34" t="n">
        <f aca="false">(R165*70)/100</f>
        <v>55.3</v>
      </c>
      <c r="T165" s="34" t="n">
        <f aca="false">ROUNDUP(S165,0)</f>
        <v>56</v>
      </c>
      <c r="U165" s="32" t="n">
        <v>23</v>
      </c>
      <c r="V165" s="34" t="n">
        <f aca="false">U165+S165</f>
        <v>78.3</v>
      </c>
      <c r="W165" s="34" t="n">
        <f aca="false">U165+T165</f>
        <v>79</v>
      </c>
      <c r="X165" s="32" t="n">
        <v>72</v>
      </c>
      <c r="Y165" s="34" t="n">
        <f aca="false">(X165*70)/100</f>
        <v>50.4</v>
      </c>
      <c r="Z165" s="34" t="n">
        <f aca="false">ROUNDUP(Y165,0)</f>
        <v>51</v>
      </c>
      <c r="AA165" s="32" t="n">
        <v>26</v>
      </c>
      <c r="AB165" s="34" t="n">
        <f aca="false">AA165+Y165</f>
        <v>76.4</v>
      </c>
      <c r="AC165" s="34" t="n">
        <f aca="false">AA165+Z165</f>
        <v>77</v>
      </c>
      <c r="AD165" s="32" t="n">
        <f aca="false">X165+R165+Q165+K165+J165</f>
        <v>410</v>
      </c>
      <c r="AE165" s="16" t="n">
        <f aca="false">AD165/5</f>
        <v>82</v>
      </c>
      <c r="AF165" s="16" t="n">
        <v>83</v>
      </c>
      <c r="AG165" s="16" t="n">
        <v>96</v>
      </c>
      <c r="AH165" s="16" t="n">
        <v>96</v>
      </c>
      <c r="AI165" s="16" t="n">
        <v>90</v>
      </c>
      <c r="AJ165" s="16" t="n">
        <f aca="false">(AI165*70)/100</f>
        <v>63</v>
      </c>
      <c r="AK165" s="35" t="n">
        <f aca="false">ROUNDUP(AJ165,0)</f>
        <v>63</v>
      </c>
      <c r="AL165" s="16" t="n">
        <v>25</v>
      </c>
      <c r="AM165" s="16" t="n">
        <f aca="false">AL165+AJ165</f>
        <v>88</v>
      </c>
      <c r="AN165" s="16" t="n">
        <f aca="false">AL165+AK165</f>
        <v>88</v>
      </c>
      <c r="AO165" s="16" t="n">
        <v>83</v>
      </c>
      <c r="AP165" s="36" t="n">
        <f aca="false">(AO165*70)/100</f>
        <v>58.1</v>
      </c>
      <c r="AQ165" s="37" t="n">
        <f aca="false">ROUNDUP(AP165,0)</f>
        <v>59</v>
      </c>
      <c r="AR165" s="16" t="n">
        <v>25</v>
      </c>
      <c r="AS165" s="16" t="n">
        <f aca="false">AR165+AP165</f>
        <v>83.1</v>
      </c>
      <c r="AT165" s="16" t="n">
        <f aca="false">AR165+AQ165</f>
        <v>84</v>
      </c>
      <c r="AU165" s="16" t="n">
        <f aca="false">AO165+AF165+AI165+AH165+AG165</f>
        <v>448</v>
      </c>
      <c r="AV165" s="16" t="n">
        <f aca="false">(AO165+AF165+AI165+AH165+AG165)/5</f>
        <v>89.6</v>
      </c>
      <c r="AW165" s="36" t="n">
        <f aca="false">(AO165+AF165+AI165+AH165+AG165+X165+R165+Q165+K165+J165)</f>
        <v>858</v>
      </c>
      <c r="AX165" s="16" t="n">
        <f aca="false">AW165/10</f>
        <v>85.8</v>
      </c>
      <c r="AY165" s="16" t="n">
        <f aca="false">AS165+AF165+AM165+AH165+AG165+AB165+V165+Q165+O165+J165</f>
        <v>862</v>
      </c>
      <c r="AZ165" s="16" t="n">
        <f aca="false">AT165+AF165+AN165+AH165+AG165+AC165+W165+Q165+P165+J165</f>
        <v>865</v>
      </c>
      <c r="BA165" s="16" t="n">
        <f aca="false">AY165/10</f>
        <v>86.2</v>
      </c>
      <c r="BB165" s="16" t="n">
        <f aca="false">AZ165/10</f>
        <v>86.5</v>
      </c>
      <c r="BC165" s="16" t="n">
        <v>2333</v>
      </c>
      <c r="BD165" s="16" t="n">
        <f aca="false">RANK(AX165,$AX$2:$AX$881,0)</f>
        <v>75</v>
      </c>
      <c r="BE165" s="38" t="n">
        <f aca="false">((BC165*100)/2400)*0.4+(AX165*0.6)</f>
        <v>90.3633333333333</v>
      </c>
      <c r="BF165" s="16" t="n">
        <f aca="false">RANK(BE165,$BE$2:$BE$881,0)</f>
        <v>90</v>
      </c>
      <c r="BG165" s="39" t="n">
        <f aca="false">RANK(BB165,$BB$2:$BB$881,0)</f>
        <v>72</v>
      </c>
      <c r="BH165" s="39" t="n">
        <f aca="false">RANK(BC165,$BC$2:$BC$881,0)</f>
        <v>697</v>
      </c>
      <c r="BI165" s="22" t="s">
        <v>130</v>
      </c>
      <c r="BJ165" s="22" t="s">
        <v>129</v>
      </c>
      <c r="BK165" s="40" t="s">
        <v>131</v>
      </c>
      <c r="BL165" s="41" t="n">
        <v>28</v>
      </c>
      <c r="BM165" s="41" t="n">
        <v>56</v>
      </c>
      <c r="BN165" s="41" t="n">
        <v>84</v>
      </c>
      <c r="BO165" s="42" t="n">
        <v>25</v>
      </c>
      <c r="BP165" s="43" t="n">
        <v>63</v>
      </c>
      <c r="BQ165" s="44" t="n">
        <v>88</v>
      </c>
      <c r="BR165" s="42" t="n">
        <v>24</v>
      </c>
      <c r="BS165" s="45" t="n">
        <v>56</v>
      </c>
      <c r="BT165" s="45" t="n">
        <v>80</v>
      </c>
      <c r="BU165" s="46" t="n">
        <v>100</v>
      </c>
      <c r="BV165" s="47" t="n">
        <v>80</v>
      </c>
      <c r="BW165" s="42" t="n">
        <v>100</v>
      </c>
      <c r="BX165" s="24" t="n">
        <v>98</v>
      </c>
      <c r="BY165" s="32" t="n">
        <v>27</v>
      </c>
      <c r="BZ165" s="32" t="n">
        <v>55</v>
      </c>
      <c r="CA165" s="32" t="n">
        <v>82</v>
      </c>
      <c r="CB165" s="32" t="n">
        <v>22</v>
      </c>
      <c r="CC165" s="32" t="n">
        <v>48</v>
      </c>
      <c r="CD165" s="32" t="n">
        <v>70</v>
      </c>
      <c r="CE165" s="32" t="n">
        <v>28</v>
      </c>
      <c r="CF165" s="32" t="n">
        <v>54</v>
      </c>
      <c r="CG165" s="32" t="n">
        <v>82</v>
      </c>
      <c r="CH165" s="32" t="n">
        <v>100</v>
      </c>
      <c r="CI165" s="32" t="n">
        <v>99</v>
      </c>
      <c r="CJ165" s="25" t="n">
        <v>23</v>
      </c>
      <c r="CK165" s="25" t="n">
        <v>58</v>
      </c>
      <c r="CL165" s="24" t="n">
        <v>81</v>
      </c>
      <c r="CM165" s="49" t="n">
        <v>21</v>
      </c>
      <c r="CN165" s="49" t="n">
        <v>51</v>
      </c>
      <c r="CO165" s="49" t="n">
        <v>72</v>
      </c>
      <c r="CP165" s="25" t="n">
        <f aca="false">BX165+BW165+BV165+BU165+BT165+BQ165+BN165</f>
        <v>630</v>
      </c>
      <c r="CQ165" s="25" t="n">
        <f aca="false">CO165+CL165+CI165+CH165+CG165+CD165+CA165</f>
        <v>586</v>
      </c>
      <c r="CR165" s="26" t="n">
        <f aca="false">CP165/7</f>
        <v>90</v>
      </c>
      <c r="CS165" s="26" t="n">
        <f aca="false">CQ165/7</f>
        <v>83.7142857142857</v>
      </c>
      <c r="CT165" s="24" t="n">
        <f aca="false">RANK(CR165,$CR$2:$CR$881,0)</f>
        <v>182</v>
      </c>
      <c r="CU165" s="25" t="n">
        <f aca="false">RANK(CS165,$CS$2:$CS$881,0)</f>
        <v>131</v>
      </c>
      <c r="CV165" s="26" t="n">
        <f aca="false">(CS165+CR165)/2</f>
        <v>86.8571428571429</v>
      </c>
      <c r="CW165" s="25" t="n">
        <f aca="false">RANK(CV165,$CV$2:$CV$881,0)</f>
        <v>142</v>
      </c>
      <c r="CX165" s="50" t="n">
        <f aca="false">(CV165+BB165)/2</f>
        <v>86.6785714285714</v>
      </c>
      <c r="CY165" s="50" t="n">
        <v>137</v>
      </c>
      <c r="CZ165" s="27" t="s">
        <v>132</v>
      </c>
      <c r="DA165" s="27" t="s">
        <v>205</v>
      </c>
      <c r="DB165" s="27" t="s">
        <v>205</v>
      </c>
      <c r="DC165" s="27" t="s">
        <v>134</v>
      </c>
      <c r="DD165" s="27" t="s">
        <v>191</v>
      </c>
      <c r="DE165" s="27" t="s">
        <v>183</v>
      </c>
      <c r="DF165" s="27" t="s">
        <v>305</v>
      </c>
      <c r="DG165" s="27" t="s">
        <v>134</v>
      </c>
      <c r="DH165" s="27" t="s">
        <v>140</v>
      </c>
      <c r="DI165" s="27" t="s">
        <v>163</v>
      </c>
      <c r="DJ165" s="27" t="s">
        <v>156</v>
      </c>
      <c r="DK165" s="27" t="s">
        <v>134</v>
      </c>
      <c r="DL165" s="27" t="s">
        <v>137</v>
      </c>
      <c r="DM165" s="27" t="s">
        <v>220</v>
      </c>
      <c r="DN165" s="27" t="s">
        <v>205</v>
      </c>
      <c r="DO165" s="27" t="s">
        <v>134</v>
      </c>
      <c r="DP165" s="27" t="s">
        <v>485</v>
      </c>
      <c r="DQ165" s="27" t="s">
        <v>375</v>
      </c>
      <c r="DR165" s="27" t="s">
        <v>141</v>
      </c>
      <c r="DS165" s="27" t="s">
        <v>134</v>
      </c>
      <c r="DT165" s="27" t="s">
        <v>160</v>
      </c>
      <c r="DU165" s="27" t="s">
        <v>673</v>
      </c>
      <c r="DV165" s="27" t="s">
        <v>138</v>
      </c>
      <c r="DW165" s="27" t="s">
        <v>182</v>
      </c>
      <c r="DX165" s="27" t="s">
        <v>203</v>
      </c>
      <c r="DY165" s="27" t="s">
        <v>202</v>
      </c>
      <c r="DZ165" s="27" t="n">
        <f aca="false">DY165+DV165+DR165+DN165+DJ165+DF165+DB165</f>
        <v>558</v>
      </c>
      <c r="EA165" s="28" t="n">
        <f aca="false">DZ165/7</f>
        <v>79.7142857142857</v>
      </c>
      <c r="EB165" s="27" t="n">
        <f aca="false">RANK(EA165,$EA$2:$EA$881,0)</f>
        <v>404</v>
      </c>
      <c r="EC165" s="29" t="n">
        <f aca="false">DZ165+CQ165+CP165+AZ165</f>
        <v>2639</v>
      </c>
      <c r="ED165" s="30" t="n">
        <f aca="false">(EA165+CV165+BB165)/3</f>
        <v>84.3571428571429</v>
      </c>
      <c r="EE165" s="51" t="n">
        <f aca="false">ROUND(BE165,3)</f>
        <v>90.363</v>
      </c>
      <c r="EF165" s="51" t="n">
        <f aca="false">ROUND(CR165,3)</f>
        <v>90</v>
      </c>
      <c r="EG165" s="51" t="n">
        <f aca="false">ROUND(CS165,3)</f>
        <v>83.714</v>
      </c>
      <c r="EH165" s="51" t="n">
        <f aca="false">ROUND(EA165,3)</f>
        <v>79.714</v>
      </c>
      <c r="EI165" s="51" t="n">
        <f aca="false">ROUND(ED165,3)</f>
        <v>84.357</v>
      </c>
      <c r="EJ165" s="51" t="n">
        <f aca="false">ROUND(CV165,3)</f>
        <v>86.857</v>
      </c>
      <c r="EK165" s="0" t="n">
        <f aca="false">RANK(EI165,$EI$2:$EI$881,0)</f>
        <v>164</v>
      </c>
    </row>
    <row r="166" customFormat="false" ht="15" hidden="false" customHeight="false" outlineLevel="0" collapsed="false">
      <c r="A166" s="4" t="n">
        <v>2048</v>
      </c>
      <c r="B166" s="4" t="n">
        <v>489</v>
      </c>
      <c r="C166" s="27" t="s">
        <v>674</v>
      </c>
      <c r="D166" s="31" t="n">
        <v>497</v>
      </c>
      <c r="E166" s="32" t="n">
        <v>234300163</v>
      </c>
      <c r="F166" s="8" t="s">
        <v>675</v>
      </c>
      <c r="G166" s="66" t="s">
        <v>243</v>
      </c>
      <c r="H166" s="66" t="s">
        <v>129</v>
      </c>
      <c r="I166" s="67" t="s">
        <v>525</v>
      </c>
      <c r="J166" s="32" t="n">
        <v>92</v>
      </c>
      <c r="K166" s="32" t="n">
        <v>85</v>
      </c>
      <c r="L166" s="34" t="n">
        <f aca="false">(K166*70)/100</f>
        <v>59.5</v>
      </c>
      <c r="M166" s="34" t="n">
        <f aca="false">ROUNDUP(L166,0)</f>
        <v>60</v>
      </c>
      <c r="N166" s="32" t="n">
        <v>26</v>
      </c>
      <c r="O166" s="34" t="n">
        <f aca="false">N166+L166</f>
        <v>85.5</v>
      </c>
      <c r="P166" s="34" t="n">
        <f aca="false">N166+M166</f>
        <v>86</v>
      </c>
      <c r="Q166" s="32" t="n">
        <v>82</v>
      </c>
      <c r="R166" s="32" t="n">
        <v>74</v>
      </c>
      <c r="S166" s="34" t="n">
        <f aca="false">(R166*70)/100</f>
        <v>51.8</v>
      </c>
      <c r="T166" s="34" t="n">
        <f aca="false">ROUNDUP(S166,0)</f>
        <v>52</v>
      </c>
      <c r="U166" s="32" t="n">
        <v>24</v>
      </c>
      <c r="V166" s="34" t="n">
        <f aca="false">U166+S166</f>
        <v>75.8</v>
      </c>
      <c r="W166" s="34" t="n">
        <f aca="false">U166+T166</f>
        <v>76</v>
      </c>
      <c r="X166" s="32" t="n">
        <v>69</v>
      </c>
      <c r="Y166" s="34" t="n">
        <f aca="false">(X166*70)/100</f>
        <v>48.3</v>
      </c>
      <c r="Z166" s="34" t="n">
        <f aca="false">ROUNDUP(Y166,0)</f>
        <v>49</v>
      </c>
      <c r="AA166" s="32" t="n">
        <v>26</v>
      </c>
      <c r="AB166" s="34" t="n">
        <f aca="false">AA166+Y166</f>
        <v>74.3</v>
      </c>
      <c r="AC166" s="34" t="n">
        <f aca="false">AA166+Z166</f>
        <v>75</v>
      </c>
      <c r="AD166" s="32" t="n">
        <f aca="false">X166+R166+Q166+K166+J166</f>
        <v>402</v>
      </c>
      <c r="AE166" s="16" t="n">
        <f aca="false">AD166/5</f>
        <v>80.4</v>
      </c>
      <c r="AF166" s="16" t="n">
        <v>81</v>
      </c>
      <c r="AG166" s="16" t="n">
        <v>97</v>
      </c>
      <c r="AH166" s="16" t="n">
        <v>96</v>
      </c>
      <c r="AI166" s="16" t="n">
        <v>93</v>
      </c>
      <c r="AJ166" s="16" t="n">
        <f aca="false">(AI166*70)/100</f>
        <v>65.1</v>
      </c>
      <c r="AK166" s="35" t="n">
        <f aca="false">ROUNDUP(AJ166,0)</f>
        <v>66</v>
      </c>
      <c r="AL166" s="16" t="n">
        <v>23</v>
      </c>
      <c r="AM166" s="16" t="n">
        <f aca="false">AL166+AJ166</f>
        <v>88.1</v>
      </c>
      <c r="AN166" s="16" t="n">
        <f aca="false">AL166+AK166</f>
        <v>89</v>
      </c>
      <c r="AO166" s="16" t="n">
        <v>81</v>
      </c>
      <c r="AP166" s="36" t="n">
        <f aca="false">(AO166*70)/100</f>
        <v>56.7</v>
      </c>
      <c r="AQ166" s="37" t="n">
        <f aca="false">ROUNDUP(AP166,0)</f>
        <v>57</v>
      </c>
      <c r="AR166" s="16" t="n">
        <v>24</v>
      </c>
      <c r="AS166" s="16" t="n">
        <f aca="false">AR166+AP166</f>
        <v>80.7</v>
      </c>
      <c r="AT166" s="16" t="n">
        <f aca="false">AR166+AQ166</f>
        <v>81</v>
      </c>
      <c r="AU166" s="16" t="n">
        <f aca="false">AO166+AF166+AI166+AH166+AG166</f>
        <v>448</v>
      </c>
      <c r="AV166" s="16" t="n">
        <f aca="false">(AO166+AF166+AI166+AH166+AG166)/5</f>
        <v>89.6</v>
      </c>
      <c r="AW166" s="36" t="n">
        <f aca="false">(AO166+AF166+AI166+AH166+AG166+X166+R166+Q166+K166+J166)</f>
        <v>850</v>
      </c>
      <c r="AX166" s="16" t="n">
        <f aca="false">AW166/10</f>
        <v>85</v>
      </c>
      <c r="AY166" s="16" t="n">
        <f aca="false">AS166+AF166+AM166+AH166+AG166+AB166+V166+Q166+O166+J166</f>
        <v>852.4</v>
      </c>
      <c r="AZ166" s="16" t="n">
        <f aca="false">AT166+AF166+AN166+AH166+AG166+AC166+W166+Q166+P166+J166</f>
        <v>855</v>
      </c>
      <c r="BA166" s="16" t="n">
        <f aca="false">AY166/10</f>
        <v>85.24</v>
      </c>
      <c r="BB166" s="16" t="n">
        <f aca="false">AZ166/10</f>
        <v>85.5</v>
      </c>
      <c r="BC166" s="72" t="n">
        <v>0</v>
      </c>
      <c r="BD166" s="16" t="n">
        <f aca="false">RANK(AX166,$AX$2:$AX$881,0)</f>
        <v>92</v>
      </c>
      <c r="BE166" s="54" t="n">
        <f aca="false">AX166</f>
        <v>85</v>
      </c>
      <c r="BF166" s="16" t="n">
        <f aca="false">RANK(BE166,$BE$2:$BE$881,0)</f>
        <v>614</v>
      </c>
      <c r="BG166" s="39" t="n">
        <f aca="false">RANK(BB166,$BB$2:$BB$881,0)</f>
        <v>94</v>
      </c>
      <c r="BH166" s="39" t="n">
        <f aca="false">RANK(BC166,$BC$2:$BC$881,0)</f>
        <v>780</v>
      </c>
      <c r="BI166" s="22" t="s">
        <v>130</v>
      </c>
      <c r="BJ166" s="22" t="s">
        <v>129</v>
      </c>
      <c r="BK166" s="22" t="s">
        <v>526</v>
      </c>
      <c r="BL166" s="41" t="n">
        <v>20</v>
      </c>
      <c r="BM166" s="41" t="n">
        <v>61</v>
      </c>
      <c r="BN166" s="41" t="n">
        <v>81</v>
      </c>
      <c r="BO166" s="42" t="n">
        <v>26</v>
      </c>
      <c r="BP166" s="43" t="n">
        <v>66</v>
      </c>
      <c r="BQ166" s="44" t="n">
        <v>92</v>
      </c>
      <c r="BR166" s="42" t="n">
        <v>23</v>
      </c>
      <c r="BS166" s="45" t="n">
        <v>63</v>
      </c>
      <c r="BT166" s="45" t="n">
        <v>86</v>
      </c>
      <c r="BU166" s="46" t="n">
        <v>100</v>
      </c>
      <c r="BV166" s="79" t="n">
        <v>0</v>
      </c>
      <c r="BW166" s="42" t="n">
        <v>98</v>
      </c>
      <c r="BX166" s="48" t="n">
        <v>98</v>
      </c>
      <c r="BY166" s="32" t="n">
        <v>25</v>
      </c>
      <c r="BZ166" s="32" t="n">
        <v>59</v>
      </c>
      <c r="CA166" s="32" t="n">
        <v>84</v>
      </c>
      <c r="CB166" s="32" t="n">
        <v>24</v>
      </c>
      <c r="CC166" s="32" t="n">
        <v>39</v>
      </c>
      <c r="CD166" s="32" t="n">
        <v>63</v>
      </c>
      <c r="CE166" s="32" t="n">
        <v>23</v>
      </c>
      <c r="CF166" s="32" t="n">
        <v>66</v>
      </c>
      <c r="CG166" s="32" t="n">
        <v>89</v>
      </c>
      <c r="CH166" s="32" t="n">
        <v>100</v>
      </c>
      <c r="CI166" s="32" t="n">
        <v>100</v>
      </c>
      <c r="CJ166" s="49" t="n">
        <v>28</v>
      </c>
      <c r="CK166" s="49" t="n">
        <v>59</v>
      </c>
      <c r="CL166" s="49" t="n">
        <v>87</v>
      </c>
      <c r="CM166" s="49" t="n">
        <v>24</v>
      </c>
      <c r="CN166" s="49" t="n">
        <v>59</v>
      </c>
      <c r="CO166" s="49" t="n">
        <v>83</v>
      </c>
      <c r="CP166" s="25" t="n">
        <f aca="false">BX166+BW166+BV166+BU166+BT166+BQ166+BN166</f>
        <v>555</v>
      </c>
      <c r="CQ166" s="25" t="n">
        <f aca="false">CO166+CL166+CI166+CH166+CG166+CD166+CA166</f>
        <v>606</v>
      </c>
      <c r="CR166" s="26" t="n">
        <f aca="false">CP166/7</f>
        <v>79.2857142857143</v>
      </c>
      <c r="CS166" s="26" t="n">
        <f aca="false">CQ166/7</f>
        <v>86.5714285714286</v>
      </c>
      <c r="CT166" s="24" t="n">
        <f aca="false">RANK(CR166,$CR$2:$CR$881,0)</f>
        <v>597</v>
      </c>
      <c r="CU166" s="25" t="n">
        <f aca="false">RANK(CS166,$CS$2:$CS$881,0)</f>
        <v>64</v>
      </c>
      <c r="CV166" s="26" t="n">
        <f aca="false">(CS166+CR166)/2</f>
        <v>82.9285714285714</v>
      </c>
      <c r="CW166" s="25" t="n">
        <f aca="false">RANK(CV166,$CV$2:$CV$881,0)</f>
        <v>301</v>
      </c>
      <c r="CX166" s="50" t="n">
        <f aca="false">(CV166+BB166)/2</f>
        <v>84.2142857142857</v>
      </c>
      <c r="CY166" s="50" t="n">
        <v>154</v>
      </c>
      <c r="CZ166" s="27" t="s">
        <v>132</v>
      </c>
      <c r="DA166" s="27" t="s">
        <v>169</v>
      </c>
      <c r="DB166" s="27" t="s">
        <v>169</v>
      </c>
      <c r="DC166" s="27" t="s">
        <v>134</v>
      </c>
      <c r="DD166" s="27" t="s">
        <v>182</v>
      </c>
      <c r="DE166" s="27" t="s">
        <v>218</v>
      </c>
      <c r="DF166" s="27" t="s">
        <v>196</v>
      </c>
      <c r="DG166" s="27" t="s">
        <v>134</v>
      </c>
      <c r="DH166" s="27" t="s">
        <v>182</v>
      </c>
      <c r="DI166" s="27" t="s">
        <v>136</v>
      </c>
      <c r="DJ166" s="27" t="s">
        <v>178</v>
      </c>
      <c r="DK166" s="27" t="s">
        <v>134</v>
      </c>
      <c r="DL166" s="27" t="s">
        <v>137</v>
      </c>
      <c r="DM166" s="27" t="s">
        <v>204</v>
      </c>
      <c r="DN166" s="27" t="s">
        <v>175</v>
      </c>
      <c r="DO166" s="27" t="s">
        <v>134</v>
      </c>
      <c r="DP166" s="27" t="s">
        <v>195</v>
      </c>
      <c r="DQ166" s="27" t="s">
        <v>204</v>
      </c>
      <c r="DR166" s="27" t="s">
        <v>219</v>
      </c>
      <c r="DS166" s="27" t="s">
        <v>134</v>
      </c>
      <c r="DT166" s="27" t="s">
        <v>195</v>
      </c>
      <c r="DU166" s="27" t="s">
        <v>183</v>
      </c>
      <c r="DV166" s="27" t="s">
        <v>272</v>
      </c>
      <c r="DW166" s="27" t="s">
        <v>160</v>
      </c>
      <c r="DX166" s="27" t="s">
        <v>138</v>
      </c>
      <c r="DY166" s="27" t="s">
        <v>144</v>
      </c>
      <c r="DZ166" s="27" t="n">
        <f aca="false">DY166+DV166+DR166+DN166+DJ166+DF166+DB166</f>
        <v>592</v>
      </c>
      <c r="EA166" s="28" t="n">
        <f aca="false">DZ166/7</f>
        <v>84.5714285714286</v>
      </c>
      <c r="EB166" s="27" t="n">
        <f aca="false">RANK(EA166,$EA$2:$EA$881,0)</f>
        <v>201</v>
      </c>
      <c r="EC166" s="29" t="n">
        <f aca="false">DZ166+CQ166+CP166+AZ166</f>
        <v>2608</v>
      </c>
      <c r="ED166" s="30" t="n">
        <f aca="false">(EA166+CV166+BB166)/3</f>
        <v>84.3333333333333</v>
      </c>
      <c r="EE166" s="51" t="n">
        <f aca="false">ROUND(BE166,3)</f>
        <v>85</v>
      </c>
      <c r="EF166" s="51" t="n">
        <f aca="false">ROUND(CR166,3)</f>
        <v>79.286</v>
      </c>
      <c r="EG166" s="51" t="n">
        <f aca="false">ROUND(CS166,3)</f>
        <v>86.571</v>
      </c>
      <c r="EH166" s="51" t="n">
        <f aca="false">ROUND(EA166,3)</f>
        <v>84.571</v>
      </c>
      <c r="EI166" s="51" t="n">
        <f aca="false">ROUND(ED166,3)</f>
        <v>84.333</v>
      </c>
      <c r="EJ166" s="51" t="n">
        <f aca="false">ROUND(CV166,3)</f>
        <v>82.929</v>
      </c>
      <c r="EK166" s="0" t="n">
        <f aca="false">RANK(EI166,$EI$2:$EI$881,0)</f>
        <v>165</v>
      </c>
    </row>
    <row r="167" customFormat="false" ht="15" hidden="false" customHeight="false" outlineLevel="0" collapsed="false">
      <c r="A167" s="4" t="n">
        <v>8835</v>
      </c>
      <c r="B167" s="4" t="n">
        <v>499</v>
      </c>
      <c r="C167" s="27" t="s">
        <v>676</v>
      </c>
      <c r="D167" s="31" t="n">
        <v>506</v>
      </c>
      <c r="E167" s="32" t="n">
        <v>230319131</v>
      </c>
      <c r="F167" s="8" t="s">
        <v>677</v>
      </c>
      <c r="G167" s="22" t="s">
        <v>648</v>
      </c>
      <c r="H167" s="22" t="s">
        <v>129</v>
      </c>
      <c r="I167" s="33" t="n">
        <v>2006</v>
      </c>
      <c r="J167" s="32" t="n">
        <v>89</v>
      </c>
      <c r="K167" s="32" t="n">
        <v>84</v>
      </c>
      <c r="L167" s="34" t="n">
        <f aca="false">(K167*70)/100</f>
        <v>58.8</v>
      </c>
      <c r="M167" s="34" t="n">
        <f aca="false">ROUNDUP(L167,0)</f>
        <v>59</v>
      </c>
      <c r="N167" s="32" t="n">
        <v>26</v>
      </c>
      <c r="O167" s="34" t="n">
        <f aca="false">N167+L167</f>
        <v>84.8</v>
      </c>
      <c r="P167" s="34" t="n">
        <f aca="false">N167+M167</f>
        <v>85</v>
      </c>
      <c r="Q167" s="32" t="n">
        <v>69</v>
      </c>
      <c r="R167" s="32" t="n">
        <v>81</v>
      </c>
      <c r="S167" s="34" t="n">
        <f aca="false">(R167*70)/100</f>
        <v>56.7</v>
      </c>
      <c r="T167" s="34" t="n">
        <f aca="false">ROUNDUP(S167,0)</f>
        <v>57</v>
      </c>
      <c r="U167" s="32" t="n">
        <v>23</v>
      </c>
      <c r="V167" s="34" t="n">
        <f aca="false">U167+S167</f>
        <v>79.7</v>
      </c>
      <c r="W167" s="34" t="n">
        <f aca="false">U167+T167</f>
        <v>80</v>
      </c>
      <c r="X167" s="32" t="n">
        <v>64</v>
      </c>
      <c r="Y167" s="34" t="n">
        <f aca="false">(X167*70)/100</f>
        <v>44.8</v>
      </c>
      <c r="Z167" s="34" t="n">
        <f aca="false">ROUNDUP(Y167,0)</f>
        <v>45</v>
      </c>
      <c r="AA167" s="32" t="n">
        <v>24</v>
      </c>
      <c r="AB167" s="34" t="n">
        <f aca="false">AA167+Y167</f>
        <v>68.8</v>
      </c>
      <c r="AC167" s="34" t="n">
        <f aca="false">AA167+Z167</f>
        <v>69</v>
      </c>
      <c r="AD167" s="32" t="n">
        <f aca="false">X167+R167+Q167+K167+J167</f>
        <v>387</v>
      </c>
      <c r="AE167" s="16" t="n">
        <f aca="false">AD167/5</f>
        <v>77.4</v>
      </c>
      <c r="AF167" s="16" t="n">
        <v>85</v>
      </c>
      <c r="AG167" s="16" t="n">
        <v>97</v>
      </c>
      <c r="AH167" s="16" t="n">
        <v>85</v>
      </c>
      <c r="AI167" s="16" t="n">
        <v>82</v>
      </c>
      <c r="AJ167" s="16" t="n">
        <f aca="false">(AI167*70)/100</f>
        <v>57.4</v>
      </c>
      <c r="AK167" s="35" t="n">
        <f aca="false">ROUNDUP(AJ167,0)</f>
        <v>58</v>
      </c>
      <c r="AL167" s="16" t="n">
        <v>18</v>
      </c>
      <c r="AM167" s="16" t="n">
        <f aca="false">AL167+AJ167</f>
        <v>75.4</v>
      </c>
      <c r="AN167" s="16" t="n">
        <f aca="false">AL167+AK167</f>
        <v>76</v>
      </c>
      <c r="AO167" s="16" t="n">
        <v>79</v>
      </c>
      <c r="AP167" s="36" t="n">
        <f aca="false">(AO167*70)/100</f>
        <v>55.3</v>
      </c>
      <c r="AQ167" s="37" t="n">
        <f aca="false">ROUNDUP(AP167,0)</f>
        <v>56</v>
      </c>
      <c r="AR167" s="16" t="n">
        <v>26</v>
      </c>
      <c r="AS167" s="16" t="n">
        <f aca="false">AR167+AP167</f>
        <v>81.3</v>
      </c>
      <c r="AT167" s="16" t="n">
        <f aca="false">AR167+AQ167</f>
        <v>82</v>
      </c>
      <c r="AU167" s="16" t="n">
        <f aca="false">AO167+AF167+AI167+AH167+AG167</f>
        <v>428</v>
      </c>
      <c r="AV167" s="16" t="n">
        <f aca="false">(AO167+AF167+AI167+AH167+AG167)/5</f>
        <v>85.6</v>
      </c>
      <c r="AW167" s="36" t="n">
        <f aca="false">(AO167+AF167+AI167+AH167+AG167+X167+R167+Q167+K167+J167)</f>
        <v>815</v>
      </c>
      <c r="AX167" s="16" t="n">
        <f aca="false">AW167/10</f>
        <v>81.5</v>
      </c>
      <c r="AY167" s="16" t="n">
        <f aca="false">AS167+AF167+AM167+AH167+AG167+AB167+V167+Q167+O167+J167</f>
        <v>815</v>
      </c>
      <c r="AZ167" s="16" t="n">
        <f aca="false">AT167+AF167+AN167+AH167+AG167+AC167+W167+Q167+P167+J167</f>
        <v>817</v>
      </c>
      <c r="BA167" s="16" t="n">
        <f aca="false">AY167/10</f>
        <v>81.5</v>
      </c>
      <c r="BB167" s="16" t="n">
        <f aca="false">AZ167/10</f>
        <v>81.7</v>
      </c>
      <c r="BC167" s="16" t="n">
        <v>2379</v>
      </c>
      <c r="BD167" s="16" t="n">
        <f aca="false">RANK(AX167,$AX$2:$AX$881,0)</f>
        <v>188</v>
      </c>
      <c r="BE167" s="54" t="n">
        <f aca="false">((BC167*100)/2400)*0.4+(AX167*0.6)</f>
        <v>88.55</v>
      </c>
      <c r="BF167" s="16" t="n">
        <f aca="false">RANK(BE167,$BE$2:$BE$881,0)</f>
        <v>155</v>
      </c>
      <c r="BG167" s="39" t="n">
        <f aca="false">RANK(BB167,$BB$2:$BB$881,0)</f>
        <v>229</v>
      </c>
      <c r="BH167" s="39" t="n">
        <f aca="false">RANK(BC167,$BC$2:$BC$881,0)</f>
        <v>160</v>
      </c>
      <c r="BI167" s="22" t="s">
        <v>130</v>
      </c>
      <c r="BJ167" s="22" t="s">
        <v>129</v>
      </c>
      <c r="BK167" s="40" t="s">
        <v>131</v>
      </c>
      <c r="BL167" s="41" t="n">
        <v>18</v>
      </c>
      <c r="BM167" s="41" t="n">
        <v>60</v>
      </c>
      <c r="BN167" s="41" t="n">
        <v>78</v>
      </c>
      <c r="BO167" s="42" t="n">
        <v>28</v>
      </c>
      <c r="BP167" s="43" t="n">
        <v>59</v>
      </c>
      <c r="BQ167" s="44" t="n">
        <v>87</v>
      </c>
      <c r="BR167" s="42" t="n">
        <v>17</v>
      </c>
      <c r="BS167" s="45" t="n">
        <v>56</v>
      </c>
      <c r="BT167" s="45" t="n">
        <v>73</v>
      </c>
      <c r="BU167" s="46" t="n">
        <v>100</v>
      </c>
      <c r="BV167" s="47" t="n">
        <v>92</v>
      </c>
      <c r="BW167" s="42" t="n">
        <v>100</v>
      </c>
      <c r="BX167" s="48" t="n">
        <v>92</v>
      </c>
      <c r="BY167" s="32" t="n">
        <v>24</v>
      </c>
      <c r="BZ167" s="32" t="n">
        <v>61</v>
      </c>
      <c r="CA167" s="32" t="n">
        <v>85</v>
      </c>
      <c r="CB167" s="32" t="n">
        <v>25</v>
      </c>
      <c r="CC167" s="32" t="n">
        <v>38</v>
      </c>
      <c r="CD167" s="32" t="n">
        <v>63</v>
      </c>
      <c r="CE167" s="32" t="n">
        <v>26</v>
      </c>
      <c r="CF167" s="32" t="n">
        <v>60</v>
      </c>
      <c r="CG167" s="32" t="n">
        <v>86</v>
      </c>
      <c r="CH167" s="32" t="n">
        <v>99</v>
      </c>
      <c r="CI167" s="32" t="n">
        <v>99</v>
      </c>
      <c r="CJ167" s="49" t="n">
        <v>27</v>
      </c>
      <c r="CK167" s="49" t="n">
        <v>51</v>
      </c>
      <c r="CL167" s="49" t="n">
        <v>78</v>
      </c>
      <c r="CM167" s="49" t="n">
        <v>17</v>
      </c>
      <c r="CN167" s="49" t="n">
        <v>51</v>
      </c>
      <c r="CO167" s="49" t="n">
        <v>68</v>
      </c>
      <c r="CP167" s="25" t="n">
        <f aca="false">BX167+BW167+BV167+BU167+BT167+BQ167+BN167</f>
        <v>622</v>
      </c>
      <c r="CQ167" s="25" t="n">
        <f aca="false">CO167+CL167+CI167+CH167+CG167+CD167+CA167</f>
        <v>578</v>
      </c>
      <c r="CR167" s="26" t="n">
        <f aca="false">CP167/7</f>
        <v>88.8571428571429</v>
      </c>
      <c r="CS167" s="26" t="n">
        <f aca="false">CQ167/7</f>
        <v>82.5714285714286</v>
      </c>
      <c r="CT167" s="24" t="n">
        <f aca="false">RANK(CR167,$CR$2:$CR$881,0)</f>
        <v>254</v>
      </c>
      <c r="CU167" s="25" t="n">
        <f aca="false">RANK(CS167,$CS$2:$CS$881,0)</f>
        <v>176</v>
      </c>
      <c r="CV167" s="26" t="n">
        <f aca="false">(CS167+CR167)/2</f>
        <v>85.7142857142857</v>
      </c>
      <c r="CW167" s="25" t="n">
        <f aca="false">RANK(CV167,$CV$2:$CV$881,0)</f>
        <v>184</v>
      </c>
      <c r="CX167" s="50" t="n">
        <f aca="false">(CV167+BB167)/2</f>
        <v>83.7071428571429</v>
      </c>
      <c r="CY167" s="50" t="n">
        <v>175</v>
      </c>
      <c r="CZ167" s="27" t="s">
        <v>132</v>
      </c>
      <c r="DA167" s="27" t="s">
        <v>133</v>
      </c>
      <c r="DB167" s="27" t="s">
        <v>133</v>
      </c>
      <c r="DC167" s="27" t="s">
        <v>134</v>
      </c>
      <c r="DD167" s="27" t="s">
        <v>182</v>
      </c>
      <c r="DE167" s="27" t="s">
        <v>177</v>
      </c>
      <c r="DF167" s="27" t="s">
        <v>209</v>
      </c>
      <c r="DG167" s="27" t="s">
        <v>134</v>
      </c>
      <c r="DH167" s="27" t="s">
        <v>174</v>
      </c>
      <c r="DI167" s="27" t="s">
        <v>161</v>
      </c>
      <c r="DJ167" s="27" t="s">
        <v>169</v>
      </c>
      <c r="DK167" s="27" t="s">
        <v>134</v>
      </c>
      <c r="DL167" s="27" t="s">
        <v>164</v>
      </c>
      <c r="DM167" s="27" t="s">
        <v>204</v>
      </c>
      <c r="DN167" s="27" t="s">
        <v>202</v>
      </c>
      <c r="DO167" s="27" t="s">
        <v>134</v>
      </c>
      <c r="DP167" s="27" t="s">
        <v>604</v>
      </c>
      <c r="DQ167" s="27" t="s">
        <v>220</v>
      </c>
      <c r="DR167" s="27" t="s">
        <v>398</v>
      </c>
      <c r="DS167" s="27" t="s">
        <v>134</v>
      </c>
      <c r="DT167" s="27" t="s">
        <v>160</v>
      </c>
      <c r="DU167" s="27" t="s">
        <v>204</v>
      </c>
      <c r="DV167" s="27" t="s">
        <v>178</v>
      </c>
      <c r="DW167" s="27" t="s">
        <v>146</v>
      </c>
      <c r="DX167" s="27" t="s">
        <v>138</v>
      </c>
      <c r="DY167" s="27" t="s">
        <v>147</v>
      </c>
      <c r="DZ167" s="27" t="n">
        <f aca="false">DY167+DV167+DR167+DN167+DJ167+DF167+DB167</f>
        <v>599</v>
      </c>
      <c r="EA167" s="28" t="n">
        <f aca="false">DZ167/7</f>
        <v>85.5714285714286</v>
      </c>
      <c r="EB167" s="27" t="n">
        <f aca="false">RANK(EA167,$EA$2:$EA$881,0)</f>
        <v>166</v>
      </c>
      <c r="EC167" s="29" t="n">
        <f aca="false">DZ167+CQ167+CP167+AZ167</f>
        <v>2616</v>
      </c>
      <c r="ED167" s="30" t="n">
        <f aca="false">(EA167+CV167+BB167)/3</f>
        <v>84.3285714285714</v>
      </c>
      <c r="EE167" s="51" t="n">
        <f aca="false">ROUND(BE167,3)</f>
        <v>88.55</v>
      </c>
      <c r="EF167" s="51" t="n">
        <f aca="false">ROUND(CR167,3)</f>
        <v>88.857</v>
      </c>
      <c r="EG167" s="51" t="n">
        <f aca="false">ROUND(CS167,3)</f>
        <v>82.571</v>
      </c>
      <c r="EH167" s="51" t="n">
        <f aca="false">ROUND(EA167,3)</f>
        <v>85.571</v>
      </c>
      <c r="EI167" s="51" t="n">
        <f aca="false">ROUND(ED167,3)</f>
        <v>84.329</v>
      </c>
      <c r="EJ167" s="51" t="n">
        <f aca="false">ROUND(CV167,3)</f>
        <v>85.714</v>
      </c>
      <c r="EK167" s="0" t="n">
        <f aca="false">RANK(EI167,$EI$2:$EI$881,0)</f>
        <v>166</v>
      </c>
    </row>
    <row r="168" customFormat="false" ht="15" hidden="false" customHeight="false" outlineLevel="0" collapsed="false">
      <c r="A168" s="4" t="n">
        <v>8995</v>
      </c>
      <c r="B168" s="4" t="n">
        <v>144</v>
      </c>
      <c r="C168" s="27" t="s">
        <v>678</v>
      </c>
      <c r="D168" s="31" t="n">
        <v>144</v>
      </c>
      <c r="E168" s="32" t="n">
        <v>230313836</v>
      </c>
      <c r="F168" s="8" t="s">
        <v>679</v>
      </c>
      <c r="G168" s="22" t="s">
        <v>680</v>
      </c>
      <c r="H168" s="22" t="s">
        <v>129</v>
      </c>
      <c r="I168" s="33" t="n">
        <v>2006</v>
      </c>
      <c r="J168" s="32" t="n">
        <v>93</v>
      </c>
      <c r="K168" s="32" t="n">
        <v>80</v>
      </c>
      <c r="L168" s="34" t="n">
        <f aca="false">(K168*70)/100</f>
        <v>56</v>
      </c>
      <c r="M168" s="34" t="n">
        <f aca="false">ROUNDUP(L168,0)</f>
        <v>56</v>
      </c>
      <c r="N168" s="32" t="n">
        <v>26</v>
      </c>
      <c r="O168" s="34" t="n">
        <f aca="false">N168+L168</f>
        <v>82</v>
      </c>
      <c r="P168" s="34" t="n">
        <f aca="false">N168+M168</f>
        <v>82</v>
      </c>
      <c r="Q168" s="32" t="n">
        <v>85</v>
      </c>
      <c r="R168" s="32" t="n">
        <v>69</v>
      </c>
      <c r="S168" s="34" t="n">
        <f aca="false">(R168*70)/100</f>
        <v>48.3</v>
      </c>
      <c r="T168" s="34" t="n">
        <f aca="false">ROUNDUP(S168,0)</f>
        <v>49</v>
      </c>
      <c r="U168" s="32" t="n">
        <v>26</v>
      </c>
      <c r="V168" s="34" t="n">
        <f aca="false">U168+S168</f>
        <v>74.3</v>
      </c>
      <c r="W168" s="34" t="n">
        <f aca="false">U168+T168</f>
        <v>75</v>
      </c>
      <c r="X168" s="32" t="n">
        <v>79</v>
      </c>
      <c r="Y168" s="34" t="n">
        <f aca="false">(X168*70)/100</f>
        <v>55.3</v>
      </c>
      <c r="Z168" s="34" t="n">
        <f aca="false">ROUNDUP(Y168,0)</f>
        <v>56</v>
      </c>
      <c r="AA168" s="32" t="n">
        <v>23</v>
      </c>
      <c r="AB168" s="34" t="n">
        <f aca="false">AA168+Y168</f>
        <v>78.3</v>
      </c>
      <c r="AC168" s="34" t="n">
        <f aca="false">AA168+Z168</f>
        <v>79</v>
      </c>
      <c r="AD168" s="32" t="n">
        <f aca="false">X168+R168+Q168+K168+J168</f>
        <v>406</v>
      </c>
      <c r="AE168" s="16" t="n">
        <f aca="false">AD168/5</f>
        <v>81.2</v>
      </c>
      <c r="AF168" s="16" t="n">
        <v>90</v>
      </c>
      <c r="AG168" s="16" t="n">
        <v>98</v>
      </c>
      <c r="AH168" s="16" t="n">
        <v>89</v>
      </c>
      <c r="AI168" s="16" t="n">
        <v>97</v>
      </c>
      <c r="AJ168" s="16" t="n">
        <f aca="false">(AI168*70)/100</f>
        <v>67.9</v>
      </c>
      <c r="AK168" s="35" t="n">
        <f aca="false">ROUNDUP(AJ168,0)</f>
        <v>68</v>
      </c>
      <c r="AL168" s="16" t="n">
        <v>26</v>
      </c>
      <c r="AM168" s="16" t="n">
        <f aca="false">AL168+AJ168</f>
        <v>93.9</v>
      </c>
      <c r="AN168" s="16" t="n">
        <f aca="false">AL168+AK168</f>
        <v>94</v>
      </c>
      <c r="AO168" s="16" t="n">
        <v>87</v>
      </c>
      <c r="AP168" s="36" t="n">
        <f aca="false">(AO168*70)/100</f>
        <v>60.9</v>
      </c>
      <c r="AQ168" s="37" t="n">
        <f aca="false">ROUNDUP(AP168,0)</f>
        <v>61</v>
      </c>
      <c r="AR168" s="16" t="n">
        <v>28</v>
      </c>
      <c r="AS168" s="16" t="n">
        <f aca="false">AR168+AP168</f>
        <v>88.9</v>
      </c>
      <c r="AT168" s="16" t="n">
        <f aca="false">AR168+AQ168</f>
        <v>89</v>
      </c>
      <c r="AU168" s="16" t="n">
        <f aca="false">AO168+AF168+AI168+AH168+AG168</f>
        <v>461</v>
      </c>
      <c r="AV168" s="16" t="n">
        <f aca="false">(AO168+AF168+AI168+AH168+AG168)/5</f>
        <v>92.2</v>
      </c>
      <c r="AW168" s="36" t="n">
        <f aca="false">(AO168+AF168+AI168+AH168+AG168+X168+R168+Q168+K168+J168)</f>
        <v>867</v>
      </c>
      <c r="AX168" s="16" t="n">
        <f aca="false">AW168/10</f>
        <v>86.7</v>
      </c>
      <c r="AY168" s="16" t="n">
        <f aca="false">AS168+AF168+AM168+AH168+AG168+AB168+V168+Q168+O168+J168</f>
        <v>872.4</v>
      </c>
      <c r="AZ168" s="16" t="n">
        <f aca="false">AT168+AF168+AN168+AH168+AG168+AC168+W168+Q168+P168+J168</f>
        <v>874</v>
      </c>
      <c r="BA168" s="16" t="n">
        <f aca="false">AY168/10</f>
        <v>87.24</v>
      </c>
      <c r="BB168" s="16" t="n">
        <f aca="false">AZ168/10</f>
        <v>87.4</v>
      </c>
      <c r="BC168" s="16" t="n">
        <v>2362</v>
      </c>
      <c r="BD168" s="16" t="n">
        <f aca="false">RANK(AX168,$AX$2:$AX$881,0)</f>
        <v>57</v>
      </c>
      <c r="BE168" s="38" t="n">
        <f aca="false">((BC168*100)/2400)*0.4+(AX168*0.6)</f>
        <v>91.3866666666667</v>
      </c>
      <c r="BF168" s="16" t="n">
        <f aca="false">RANK(BE168,$BE$2:$BE$881,0)</f>
        <v>65</v>
      </c>
      <c r="BG168" s="39" t="n">
        <f aca="false">RANK(BB168,$BB$2:$BB$881,0)</f>
        <v>49</v>
      </c>
      <c r="BH168" s="39" t="n">
        <f aca="false">RANK(BC168,$BC$2:$BC$881,0)</f>
        <v>367</v>
      </c>
      <c r="BI168" s="22" t="s">
        <v>130</v>
      </c>
      <c r="BJ168" s="22" t="s">
        <v>129</v>
      </c>
      <c r="BK168" s="40" t="s">
        <v>131</v>
      </c>
      <c r="BL168" s="41" t="n">
        <v>23</v>
      </c>
      <c r="BM168" s="41" t="n">
        <v>60</v>
      </c>
      <c r="BN168" s="41" t="n">
        <v>83</v>
      </c>
      <c r="BO168" s="42" t="n">
        <v>23</v>
      </c>
      <c r="BP168" s="43" t="n">
        <v>63</v>
      </c>
      <c r="BQ168" s="44" t="n">
        <v>86</v>
      </c>
      <c r="BR168" s="42" t="n">
        <v>23</v>
      </c>
      <c r="BS168" s="45" t="n">
        <v>61</v>
      </c>
      <c r="BT168" s="45" t="n">
        <v>84</v>
      </c>
      <c r="BU168" s="46" t="n">
        <v>99</v>
      </c>
      <c r="BV168" s="47" t="n">
        <v>90</v>
      </c>
      <c r="BW168" s="42" t="n">
        <v>99</v>
      </c>
      <c r="BX168" s="48" t="n">
        <v>92</v>
      </c>
      <c r="BY168" s="32" t="n">
        <v>26</v>
      </c>
      <c r="BZ168" s="32" t="n">
        <v>56</v>
      </c>
      <c r="CA168" s="32" t="n">
        <v>82</v>
      </c>
      <c r="CB168" s="32" t="n">
        <v>24</v>
      </c>
      <c r="CC168" s="32" t="n">
        <v>48</v>
      </c>
      <c r="CD168" s="32" t="n">
        <v>72</v>
      </c>
      <c r="CE168" s="32" t="n">
        <v>28</v>
      </c>
      <c r="CF168" s="32" t="n">
        <v>55</v>
      </c>
      <c r="CG168" s="32" t="n">
        <v>83</v>
      </c>
      <c r="CH168" s="32" t="n">
        <v>92</v>
      </c>
      <c r="CI168" s="32" t="n">
        <v>95</v>
      </c>
      <c r="CJ168" s="49" t="n">
        <v>24</v>
      </c>
      <c r="CK168" s="49" t="n">
        <v>51</v>
      </c>
      <c r="CL168" s="49" t="n">
        <v>75</v>
      </c>
      <c r="CM168" s="49" t="n">
        <v>25</v>
      </c>
      <c r="CN168" s="49" t="n">
        <v>53</v>
      </c>
      <c r="CO168" s="49" t="n">
        <v>78</v>
      </c>
      <c r="CP168" s="25" t="n">
        <f aca="false">BX168+BW168+BV168+BU168+BT168+BQ168+BN168</f>
        <v>633</v>
      </c>
      <c r="CQ168" s="25" t="n">
        <f aca="false">CO168+CL168+CI168+CH168+CG168+CD168+CA168</f>
        <v>577</v>
      </c>
      <c r="CR168" s="26" t="n">
        <f aca="false">CP168/7</f>
        <v>90.4285714285714</v>
      </c>
      <c r="CS168" s="26" t="n">
        <f aca="false">CQ168/7</f>
        <v>82.4285714285714</v>
      </c>
      <c r="CT168" s="24" t="n">
        <f aca="false">RANK(CR168,$CR$2:$CR$881,0)</f>
        <v>155</v>
      </c>
      <c r="CU168" s="25" t="n">
        <f aca="false">RANK(CS168,$CS$2:$CS$881,0)</f>
        <v>179</v>
      </c>
      <c r="CV168" s="26" t="n">
        <f aca="false">(CS168+CR168)/2</f>
        <v>86.4285714285714</v>
      </c>
      <c r="CW168" s="25" t="n">
        <f aca="false">RANK(CV168,$CV$2:$CV$881,0)</f>
        <v>159</v>
      </c>
      <c r="CX168" s="50" t="n">
        <f aca="false">(CV168+BB168)/2</f>
        <v>86.9142857142857</v>
      </c>
      <c r="CY168" s="50" t="n">
        <v>81</v>
      </c>
      <c r="CZ168" s="27" t="s">
        <v>132</v>
      </c>
      <c r="DA168" s="27" t="s">
        <v>169</v>
      </c>
      <c r="DB168" s="27" t="s">
        <v>169</v>
      </c>
      <c r="DC168" s="27" t="s">
        <v>134</v>
      </c>
      <c r="DD168" s="27" t="s">
        <v>135</v>
      </c>
      <c r="DE168" s="27" t="s">
        <v>161</v>
      </c>
      <c r="DF168" s="27" t="s">
        <v>202</v>
      </c>
      <c r="DG168" s="27" t="s">
        <v>134</v>
      </c>
      <c r="DH168" s="27" t="s">
        <v>174</v>
      </c>
      <c r="DI168" s="27" t="s">
        <v>304</v>
      </c>
      <c r="DJ168" s="27" t="s">
        <v>443</v>
      </c>
      <c r="DK168" s="27" t="s">
        <v>134</v>
      </c>
      <c r="DL168" s="27" t="s">
        <v>182</v>
      </c>
      <c r="DM168" s="27" t="s">
        <v>447</v>
      </c>
      <c r="DN168" s="27" t="s">
        <v>382</v>
      </c>
      <c r="DO168" s="27" t="s">
        <v>134</v>
      </c>
      <c r="DP168" s="27" t="s">
        <v>174</v>
      </c>
      <c r="DQ168" s="27" t="s">
        <v>412</v>
      </c>
      <c r="DR168" s="27" t="s">
        <v>486</v>
      </c>
      <c r="DS168" s="27" t="s">
        <v>134</v>
      </c>
      <c r="DT168" s="27" t="s">
        <v>137</v>
      </c>
      <c r="DU168" s="27" t="s">
        <v>681</v>
      </c>
      <c r="DV168" s="27" t="s">
        <v>398</v>
      </c>
      <c r="DW168" s="27" t="s">
        <v>137</v>
      </c>
      <c r="DX168" s="27" t="s">
        <v>161</v>
      </c>
      <c r="DY168" s="27" t="s">
        <v>178</v>
      </c>
      <c r="DZ168" s="27" t="n">
        <f aca="false">DY168+DV168+DR168+DN168+DJ168+DF168+DB168</f>
        <v>554</v>
      </c>
      <c r="EA168" s="28" t="n">
        <f aca="false">DZ168/7</f>
        <v>79.1428571428571</v>
      </c>
      <c r="EB168" s="27" t="n">
        <f aca="false">RANK(EA168,$EA$2:$EA$881,0)</f>
        <v>426</v>
      </c>
      <c r="EC168" s="29" t="n">
        <f aca="false">DZ168+CQ168+CP168+AZ168</f>
        <v>2638</v>
      </c>
      <c r="ED168" s="30" t="n">
        <f aca="false">(EA168+CV168+BB168)/3</f>
        <v>84.3238095238095</v>
      </c>
      <c r="EE168" s="51" t="n">
        <f aca="false">ROUND(BE168,3)</f>
        <v>91.387</v>
      </c>
      <c r="EF168" s="51" t="n">
        <f aca="false">ROUND(CR168,3)</f>
        <v>90.429</v>
      </c>
      <c r="EG168" s="51" t="n">
        <f aca="false">ROUND(CS168,3)</f>
        <v>82.429</v>
      </c>
      <c r="EH168" s="51" t="n">
        <f aca="false">ROUND(EA168,3)</f>
        <v>79.143</v>
      </c>
      <c r="EI168" s="51" t="n">
        <f aca="false">ROUND(ED168,3)</f>
        <v>84.324</v>
      </c>
      <c r="EJ168" s="51" t="n">
        <f aca="false">ROUND(CV168,3)</f>
        <v>86.429</v>
      </c>
      <c r="EK168" s="0" t="n">
        <f aca="false">RANK(EI168,$EI$2:$EI$881,0)</f>
        <v>167</v>
      </c>
    </row>
    <row r="169" customFormat="false" ht="15" hidden="false" customHeight="false" outlineLevel="0" collapsed="false">
      <c r="A169" s="4" t="n">
        <v>8694</v>
      </c>
      <c r="B169" s="4" t="n">
        <v>464</v>
      </c>
      <c r="C169" s="27" t="s">
        <v>682</v>
      </c>
      <c r="D169" s="31" t="n">
        <v>470</v>
      </c>
      <c r="E169" s="32" t="n">
        <v>230315261</v>
      </c>
      <c r="F169" s="8" t="s">
        <v>683</v>
      </c>
      <c r="G169" s="22" t="s">
        <v>684</v>
      </c>
      <c r="H169" s="22" t="s">
        <v>129</v>
      </c>
      <c r="I169" s="33" t="n">
        <v>2005</v>
      </c>
      <c r="J169" s="32" t="n">
        <v>75</v>
      </c>
      <c r="K169" s="32" t="n">
        <v>66</v>
      </c>
      <c r="L169" s="34" t="n">
        <f aca="false">(K169*70)/100</f>
        <v>46.2</v>
      </c>
      <c r="M169" s="34" t="n">
        <f aca="false">ROUNDUP(L169,0)</f>
        <v>47</v>
      </c>
      <c r="N169" s="32" t="n">
        <v>27</v>
      </c>
      <c r="O169" s="34" t="n">
        <f aca="false">N169+L169</f>
        <v>73.2</v>
      </c>
      <c r="P169" s="34" t="n">
        <f aca="false">N169+M169</f>
        <v>74</v>
      </c>
      <c r="Q169" s="32" t="n">
        <v>74</v>
      </c>
      <c r="R169" s="32" t="n">
        <v>77</v>
      </c>
      <c r="S169" s="34" t="n">
        <f aca="false">(R169*70)/100</f>
        <v>53.9</v>
      </c>
      <c r="T169" s="34" t="n">
        <f aca="false">ROUNDUP(S169,0)</f>
        <v>54</v>
      </c>
      <c r="U169" s="32" t="n">
        <v>26</v>
      </c>
      <c r="V169" s="34" t="n">
        <f aca="false">U169+S169</f>
        <v>79.9</v>
      </c>
      <c r="W169" s="34" t="n">
        <f aca="false">U169+T169</f>
        <v>80</v>
      </c>
      <c r="X169" s="32" t="n">
        <v>82</v>
      </c>
      <c r="Y169" s="34" t="n">
        <f aca="false">(X169*70)/100</f>
        <v>57.4</v>
      </c>
      <c r="Z169" s="34" t="n">
        <f aca="false">ROUNDUP(Y169,0)</f>
        <v>58</v>
      </c>
      <c r="AA169" s="32" t="n">
        <v>27</v>
      </c>
      <c r="AB169" s="34" t="n">
        <f aca="false">AA169+Y169</f>
        <v>84.4</v>
      </c>
      <c r="AC169" s="34" t="n">
        <f aca="false">AA169+Z169</f>
        <v>85</v>
      </c>
      <c r="AD169" s="32" t="n">
        <f aca="false">X169+R169+Q169+K169+J169</f>
        <v>374</v>
      </c>
      <c r="AE169" s="16" t="n">
        <f aca="false">AD169/5</f>
        <v>74.8</v>
      </c>
      <c r="AF169" s="16" t="n">
        <v>75</v>
      </c>
      <c r="AG169" s="16" t="n">
        <v>82</v>
      </c>
      <c r="AH169" s="16" t="n">
        <v>91</v>
      </c>
      <c r="AI169" s="16" t="n">
        <v>90</v>
      </c>
      <c r="AJ169" s="16" t="n">
        <f aca="false">(AI169*70)/100</f>
        <v>63</v>
      </c>
      <c r="AK169" s="35" t="n">
        <f aca="false">ROUNDUP(AJ169,0)</f>
        <v>63</v>
      </c>
      <c r="AL169" s="16" t="n">
        <v>27</v>
      </c>
      <c r="AM169" s="16" t="n">
        <f aca="false">AL169+AJ169</f>
        <v>90</v>
      </c>
      <c r="AN169" s="16" t="n">
        <f aca="false">AL169+AK169</f>
        <v>90</v>
      </c>
      <c r="AO169" s="16" t="n">
        <v>86</v>
      </c>
      <c r="AP169" s="36" t="n">
        <f aca="false">(AO169*70)/100</f>
        <v>60.2</v>
      </c>
      <c r="AQ169" s="37" t="n">
        <f aca="false">ROUNDUP(AP169,0)</f>
        <v>61</v>
      </c>
      <c r="AR169" s="16" t="n">
        <v>29</v>
      </c>
      <c r="AS169" s="16" t="n">
        <f aca="false">AR169+AP169</f>
        <v>89.2</v>
      </c>
      <c r="AT169" s="16" t="n">
        <f aca="false">AR169+AQ169</f>
        <v>90</v>
      </c>
      <c r="AU169" s="16" t="n">
        <f aca="false">AO169+AF169+AI169+AH169+AG169</f>
        <v>424</v>
      </c>
      <c r="AV169" s="16" t="n">
        <f aca="false">(AO169+AF169+AI169+AH169+AG169)/5</f>
        <v>84.8</v>
      </c>
      <c r="AW169" s="36" t="n">
        <f aca="false">(AO169+AF169+AI169+AH169+AG169+X169+R169+Q169+K169+J169)</f>
        <v>798</v>
      </c>
      <c r="AX169" s="16" t="n">
        <f aca="false">AW169/10</f>
        <v>79.8</v>
      </c>
      <c r="AY169" s="16" t="n">
        <f aca="false">AS169+AF169+AM169+AH169+AG169+AB169+V169+Q169+O169+J169</f>
        <v>813.7</v>
      </c>
      <c r="AZ169" s="16" t="n">
        <f aca="false">AT169+AF169+AN169+AH169+AG169+AC169+W169+Q169+P169+J169</f>
        <v>816</v>
      </c>
      <c r="BA169" s="16" t="n">
        <f aca="false">AY169/10</f>
        <v>81.37</v>
      </c>
      <c r="BB169" s="16" t="n">
        <f aca="false">AZ169/10</f>
        <v>81.6</v>
      </c>
      <c r="BC169" s="16" t="n">
        <v>2375</v>
      </c>
      <c r="BD169" s="16" t="n">
        <f aca="false">RANK(AX169,$AX$2:$AX$881,0)</f>
        <v>281</v>
      </c>
      <c r="BE169" s="54" t="n">
        <f aca="false">((BC169*100)/2400)*0.4+(AX169*0.6)</f>
        <v>87.4633333333333</v>
      </c>
      <c r="BF169" s="16" t="n">
        <f aca="false">RANK(BE169,$BE$2:$BE$881,0)</f>
        <v>251</v>
      </c>
      <c r="BG169" s="39" t="n">
        <f aca="false">RANK(BB169,$BB$2:$BB$881,0)</f>
        <v>240</v>
      </c>
      <c r="BH169" s="39" t="n">
        <f aca="false">RANK(BC169,$BC$2:$BC$881,0)</f>
        <v>211</v>
      </c>
      <c r="BI169" s="22" t="s">
        <v>130</v>
      </c>
      <c r="BJ169" s="22" t="s">
        <v>129</v>
      </c>
      <c r="BK169" s="40" t="s">
        <v>131</v>
      </c>
      <c r="BL169" s="41" t="n">
        <v>26</v>
      </c>
      <c r="BM169" s="41" t="n">
        <v>61</v>
      </c>
      <c r="BN169" s="41" t="n">
        <v>87</v>
      </c>
      <c r="BO169" s="42" t="n">
        <v>23</v>
      </c>
      <c r="BP169" s="43" t="n">
        <v>68</v>
      </c>
      <c r="BQ169" s="44" t="n">
        <v>91</v>
      </c>
      <c r="BR169" s="42" t="n">
        <v>29</v>
      </c>
      <c r="BS169" s="45" t="n">
        <v>63</v>
      </c>
      <c r="BT169" s="45" t="n">
        <v>92</v>
      </c>
      <c r="BU169" s="46" t="n">
        <v>100</v>
      </c>
      <c r="BV169" s="47" t="n">
        <v>90</v>
      </c>
      <c r="BW169" s="42" t="n">
        <v>99</v>
      </c>
      <c r="BX169" s="48" t="n">
        <v>96</v>
      </c>
      <c r="BY169" s="32" t="n">
        <v>25</v>
      </c>
      <c r="BZ169" s="32" t="n">
        <v>62</v>
      </c>
      <c r="CA169" s="32" t="n">
        <v>87</v>
      </c>
      <c r="CB169" s="32" t="n">
        <v>30</v>
      </c>
      <c r="CC169" s="32" t="n">
        <v>43</v>
      </c>
      <c r="CD169" s="32" t="n">
        <v>73</v>
      </c>
      <c r="CE169" s="32" t="n">
        <v>26</v>
      </c>
      <c r="CF169" s="32" t="n">
        <v>62</v>
      </c>
      <c r="CG169" s="32" t="n">
        <v>88</v>
      </c>
      <c r="CH169" s="32" t="n">
        <v>96</v>
      </c>
      <c r="CI169" s="32" t="n">
        <v>98</v>
      </c>
      <c r="CJ169" s="49" t="n">
        <v>28</v>
      </c>
      <c r="CK169" s="49" t="n">
        <v>58</v>
      </c>
      <c r="CL169" s="49" t="n">
        <v>86</v>
      </c>
      <c r="CM169" s="49" t="n">
        <v>20</v>
      </c>
      <c r="CN169" s="49" t="n">
        <v>58</v>
      </c>
      <c r="CO169" s="49" t="n">
        <v>78</v>
      </c>
      <c r="CP169" s="25" t="n">
        <f aca="false">BX169+BW169+BV169+BU169+BT169+BQ169+BN169</f>
        <v>655</v>
      </c>
      <c r="CQ169" s="25" t="n">
        <f aca="false">CO169+CL169+CI169+CH169+CG169+CD169+CA169</f>
        <v>606</v>
      </c>
      <c r="CR169" s="26" t="n">
        <f aca="false">CP169/7</f>
        <v>93.5714285714286</v>
      </c>
      <c r="CS169" s="26" t="n">
        <f aca="false">CQ169/7</f>
        <v>86.5714285714286</v>
      </c>
      <c r="CT169" s="24" t="n">
        <f aca="false">RANK(CR169,$CR$2:$CR$881,0)</f>
        <v>36</v>
      </c>
      <c r="CU169" s="25" t="n">
        <f aca="false">RANK(CS169,$CS$2:$CS$881,0)</f>
        <v>64</v>
      </c>
      <c r="CV169" s="26" t="n">
        <f aca="false">(CS169+CR169)/2</f>
        <v>90.0714285714286</v>
      </c>
      <c r="CW169" s="25" t="n">
        <f aca="false">RANK(CV169,$CV$2:$CV$881,0)</f>
        <v>51</v>
      </c>
      <c r="CX169" s="50" t="n">
        <f aca="false">(CV169+BB169)/2</f>
        <v>85.8357142857143</v>
      </c>
      <c r="CY169" s="50" t="n">
        <v>97</v>
      </c>
      <c r="CZ169" s="27" t="s">
        <v>132</v>
      </c>
      <c r="DA169" s="27" t="s">
        <v>169</v>
      </c>
      <c r="DB169" s="27" t="s">
        <v>169</v>
      </c>
      <c r="DC169" s="27" t="s">
        <v>134</v>
      </c>
      <c r="DD169" s="27" t="s">
        <v>182</v>
      </c>
      <c r="DE169" s="27" t="s">
        <v>412</v>
      </c>
      <c r="DF169" s="27" t="s">
        <v>441</v>
      </c>
      <c r="DG169" s="27" t="s">
        <v>134</v>
      </c>
      <c r="DH169" s="27" t="s">
        <v>182</v>
      </c>
      <c r="DI169" s="27" t="s">
        <v>136</v>
      </c>
      <c r="DJ169" s="27" t="s">
        <v>178</v>
      </c>
      <c r="DK169" s="27" t="s">
        <v>134</v>
      </c>
      <c r="DL169" s="27" t="s">
        <v>182</v>
      </c>
      <c r="DM169" s="27" t="s">
        <v>204</v>
      </c>
      <c r="DN169" s="27" t="s">
        <v>169</v>
      </c>
      <c r="DO169" s="27" t="s">
        <v>134</v>
      </c>
      <c r="DP169" s="27" t="s">
        <v>264</v>
      </c>
      <c r="DQ169" s="27" t="s">
        <v>306</v>
      </c>
      <c r="DR169" s="27" t="s">
        <v>372</v>
      </c>
      <c r="DS169" s="27" t="s">
        <v>134</v>
      </c>
      <c r="DT169" s="27" t="s">
        <v>182</v>
      </c>
      <c r="DU169" s="27" t="s">
        <v>399</v>
      </c>
      <c r="DV169" s="27" t="s">
        <v>398</v>
      </c>
      <c r="DW169" s="27" t="s">
        <v>135</v>
      </c>
      <c r="DX169" s="27" t="s">
        <v>155</v>
      </c>
      <c r="DY169" s="27" t="s">
        <v>139</v>
      </c>
      <c r="DZ169" s="27" t="n">
        <f aca="false">DY169+DV169+DR169+DN169+DJ169+DF169+DB169</f>
        <v>569</v>
      </c>
      <c r="EA169" s="28" t="n">
        <f aca="false">DZ169/7</f>
        <v>81.2857142857143</v>
      </c>
      <c r="EB169" s="27" t="n">
        <f aca="false">RANK(EA169,$EA$2:$EA$881,0)</f>
        <v>335</v>
      </c>
      <c r="EC169" s="29" t="n">
        <f aca="false">DZ169+CQ169+CP169+AZ169</f>
        <v>2646</v>
      </c>
      <c r="ED169" s="30" t="n">
        <f aca="false">(EA169+CV169+BB169)/3</f>
        <v>84.3190476190476</v>
      </c>
      <c r="EE169" s="51" t="n">
        <f aca="false">ROUND(BE169,3)</f>
        <v>87.463</v>
      </c>
      <c r="EF169" s="51" t="n">
        <f aca="false">ROUND(CR169,3)</f>
        <v>93.571</v>
      </c>
      <c r="EG169" s="51" t="n">
        <f aca="false">ROUND(CS169,3)</f>
        <v>86.571</v>
      </c>
      <c r="EH169" s="51" t="n">
        <f aca="false">ROUND(EA169,3)</f>
        <v>81.286</v>
      </c>
      <c r="EI169" s="51" t="n">
        <f aca="false">ROUND(ED169,3)</f>
        <v>84.319</v>
      </c>
      <c r="EJ169" s="51" t="n">
        <f aca="false">ROUND(CV169,3)</f>
        <v>90.071</v>
      </c>
      <c r="EK169" s="0" t="n">
        <f aca="false">RANK(EI169,$EI$2:$EI$881,0)</f>
        <v>168</v>
      </c>
    </row>
    <row r="170" customFormat="false" ht="15" hidden="false" customHeight="false" outlineLevel="0" collapsed="false">
      <c r="A170" s="4" t="n">
        <v>8645</v>
      </c>
      <c r="B170" s="4" t="n">
        <v>376</v>
      </c>
      <c r="C170" s="27" t="s">
        <v>685</v>
      </c>
      <c r="D170" s="31" t="n">
        <v>381</v>
      </c>
      <c r="E170" s="62" t="n">
        <v>230322646</v>
      </c>
      <c r="F170" s="8" t="s">
        <v>686</v>
      </c>
      <c r="G170" s="63" t="s">
        <v>280</v>
      </c>
      <c r="H170" s="22" t="s">
        <v>129</v>
      </c>
      <c r="I170" s="64" t="n">
        <v>2005</v>
      </c>
      <c r="J170" s="62" t="n">
        <v>77</v>
      </c>
      <c r="K170" s="62" t="n">
        <v>67</v>
      </c>
      <c r="L170" s="34" t="n">
        <f aca="false">(K170*70)/100</f>
        <v>46.9</v>
      </c>
      <c r="M170" s="34" t="n">
        <f aca="false">ROUNDUP(L170,0)</f>
        <v>47</v>
      </c>
      <c r="N170" s="62" t="n">
        <v>26</v>
      </c>
      <c r="O170" s="34" t="n">
        <f aca="false">N170+L170</f>
        <v>72.9</v>
      </c>
      <c r="P170" s="34" t="n">
        <f aca="false">N170+M170</f>
        <v>73</v>
      </c>
      <c r="Q170" s="62" t="n">
        <v>69</v>
      </c>
      <c r="R170" s="62" t="n">
        <v>76</v>
      </c>
      <c r="S170" s="34" t="n">
        <f aca="false">(R170*70)/100</f>
        <v>53.2</v>
      </c>
      <c r="T170" s="34" t="n">
        <f aca="false">ROUNDUP(S170,0)</f>
        <v>54</v>
      </c>
      <c r="U170" s="62" t="n">
        <v>28</v>
      </c>
      <c r="V170" s="34" t="n">
        <f aca="false">U170+S170</f>
        <v>81.2</v>
      </c>
      <c r="W170" s="34" t="n">
        <f aca="false">U170+T170</f>
        <v>82</v>
      </c>
      <c r="X170" s="62" t="n">
        <v>74</v>
      </c>
      <c r="Y170" s="34" t="n">
        <f aca="false">(X170*70)/100</f>
        <v>51.8</v>
      </c>
      <c r="Z170" s="34" t="n">
        <f aca="false">ROUNDUP(Y170,0)</f>
        <v>52</v>
      </c>
      <c r="AA170" s="62" t="n">
        <v>25</v>
      </c>
      <c r="AB170" s="34" t="n">
        <f aca="false">AA170+Y170</f>
        <v>76.8</v>
      </c>
      <c r="AC170" s="34" t="n">
        <f aca="false">AA170+Z170</f>
        <v>77</v>
      </c>
      <c r="AD170" s="32" t="n">
        <f aca="false">X170+R170+Q170+K170+J170</f>
        <v>363</v>
      </c>
      <c r="AE170" s="16" t="n">
        <f aca="false">AD170/5</f>
        <v>72.6</v>
      </c>
      <c r="AF170" s="65" t="n">
        <v>77</v>
      </c>
      <c r="AG170" s="65" t="n">
        <v>87</v>
      </c>
      <c r="AH170" s="65" t="n">
        <v>86</v>
      </c>
      <c r="AI170" s="65" t="n">
        <v>86</v>
      </c>
      <c r="AJ170" s="16" t="n">
        <f aca="false">(AI170*70)/100</f>
        <v>60.2</v>
      </c>
      <c r="AK170" s="35" t="n">
        <f aca="false">ROUNDUP(AJ170,0)</f>
        <v>61</v>
      </c>
      <c r="AL170" s="65" t="n">
        <v>26</v>
      </c>
      <c r="AM170" s="16" t="n">
        <f aca="false">AL170+AJ170</f>
        <v>86.2</v>
      </c>
      <c r="AN170" s="16" t="n">
        <f aca="false">AL170+AK170</f>
        <v>87</v>
      </c>
      <c r="AO170" s="65" t="n">
        <v>78</v>
      </c>
      <c r="AP170" s="36" t="n">
        <f aca="false">(AO170*70)/100</f>
        <v>54.6</v>
      </c>
      <c r="AQ170" s="37" t="n">
        <f aca="false">ROUNDUP(AP170,0)</f>
        <v>55</v>
      </c>
      <c r="AR170" s="65" t="n">
        <v>27</v>
      </c>
      <c r="AS170" s="16" t="n">
        <f aca="false">AR170+AP170</f>
        <v>81.6</v>
      </c>
      <c r="AT170" s="16" t="n">
        <f aca="false">AR170+AQ170</f>
        <v>82</v>
      </c>
      <c r="AU170" s="16" t="n">
        <f aca="false">AO170+AF170+AI170+AH170+AG170</f>
        <v>414</v>
      </c>
      <c r="AV170" s="16" t="n">
        <f aca="false">(AO170+AF170+AI170+AH170+AG170)/5</f>
        <v>82.8</v>
      </c>
      <c r="AW170" s="36" t="n">
        <f aca="false">(AO170+AF170+AI170+AH170+AG170+X170+R170+Q170+K170+J170)</f>
        <v>777</v>
      </c>
      <c r="AX170" s="16" t="n">
        <f aca="false">AW170/10</f>
        <v>77.7</v>
      </c>
      <c r="AY170" s="16" t="n">
        <f aca="false">AS170+AF170+AM170+AH170+AG170+AB170+V170+Q170+O170+J170</f>
        <v>794.7</v>
      </c>
      <c r="AZ170" s="16" t="n">
        <f aca="false">AT170+AF170+AN170+AH170+AG170+AC170+W170+Q170+P170+J170</f>
        <v>797</v>
      </c>
      <c r="BA170" s="16" t="n">
        <f aca="false">AY170/10</f>
        <v>79.47</v>
      </c>
      <c r="BB170" s="16" t="n">
        <f aca="false">AZ170/10</f>
        <v>79.7</v>
      </c>
      <c r="BC170" s="65" t="n">
        <v>2384</v>
      </c>
      <c r="BD170" s="16" t="n">
        <f aca="false">RANK(AX170,$AX$2:$AX$881,0)</f>
        <v>433</v>
      </c>
      <c r="BE170" s="54" t="n">
        <f aca="false">((BC170*100)/2400)*0.4+(AX170*0.6)</f>
        <v>86.3533333333333</v>
      </c>
      <c r="BF170" s="16" t="n">
        <f aca="false">RANK(BE170,$BE$2:$BE$881,0)</f>
        <v>369</v>
      </c>
      <c r="BG170" s="39" t="n">
        <f aca="false">RANK(BB170,$BB$2:$BB$881,0)</f>
        <v>381</v>
      </c>
      <c r="BH170" s="39" t="n">
        <f aca="false">RANK(BC170,$BC$2:$BC$881,0)</f>
        <v>109</v>
      </c>
      <c r="BI170" s="22" t="s">
        <v>130</v>
      </c>
      <c r="BJ170" s="22" t="s">
        <v>129</v>
      </c>
      <c r="BK170" s="40" t="s">
        <v>131</v>
      </c>
      <c r="BL170" s="41" t="n">
        <v>24</v>
      </c>
      <c r="BM170" s="41" t="n">
        <v>59</v>
      </c>
      <c r="BN170" s="41" t="n">
        <v>83</v>
      </c>
      <c r="BO170" s="42" t="n">
        <v>26</v>
      </c>
      <c r="BP170" s="43" t="n">
        <v>67</v>
      </c>
      <c r="BQ170" s="44" t="n">
        <v>93</v>
      </c>
      <c r="BR170" s="42" t="n">
        <v>26</v>
      </c>
      <c r="BS170" s="45" t="n">
        <v>62</v>
      </c>
      <c r="BT170" s="45" t="n">
        <v>88</v>
      </c>
      <c r="BU170" s="46" t="n">
        <v>99</v>
      </c>
      <c r="BV170" s="47" t="n">
        <v>88</v>
      </c>
      <c r="BW170" s="42" t="n">
        <v>100</v>
      </c>
      <c r="BX170" s="48" t="n">
        <v>96</v>
      </c>
      <c r="BY170" s="25" t="n">
        <v>28</v>
      </c>
      <c r="BZ170" s="25" t="n">
        <v>64</v>
      </c>
      <c r="CA170" s="25" t="n">
        <v>92</v>
      </c>
      <c r="CB170" s="25" t="n">
        <v>25</v>
      </c>
      <c r="CC170" s="25" t="n">
        <v>48</v>
      </c>
      <c r="CD170" s="25" t="n">
        <v>73</v>
      </c>
      <c r="CE170" s="32" t="n">
        <v>29</v>
      </c>
      <c r="CF170" s="32" t="n">
        <v>61</v>
      </c>
      <c r="CG170" s="32" t="n">
        <v>90</v>
      </c>
      <c r="CH170" s="32" t="n">
        <v>99</v>
      </c>
      <c r="CI170" s="32" t="n">
        <v>99</v>
      </c>
      <c r="CJ170" s="49" t="n">
        <v>28</v>
      </c>
      <c r="CK170" s="49" t="n">
        <v>59</v>
      </c>
      <c r="CL170" s="49" t="n">
        <v>87</v>
      </c>
      <c r="CM170" s="49" t="n">
        <v>23</v>
      </c>
      <c r="CN170" s="49" t="n">
        <v>43</v>
      </c>
      <c r="CO170" s="49" t="n">
        <v>66</v>
      </c>
      <c r="CP170" s="25" t="n">
        <f aca="false">BX170+BW170+BV170+BU170+BT170+BQ170+BN170</f>
        <v>647</v>
      </c>
      <c r="CQ170" s="25" t="n">
        <f aca="false">CO170+CL170+CI170+CH170+CG170+CD170+CA170</f>
        <v>606</v>
      </c>
      <c r="CR170" s="26" t="n">
        <f aca="false">CP170/7</f>
        <v>92.4285714285714</v>
      </c>
      <c r="CS170" s="26" t="n">
        <f aca="false">CQ170/7</f>
        <v>86.5714285714286</v>
      </c>
      <c r="CT170" s="24" t="n">
        <f aca="false">RANK(CR170,$CR$2:$CR$881,0)</f>
        <v>74</v>
      </c>
      <c r="CU170" s="25" t="n">
        <f aca="false">RANK(CS170,$CS$2:$CS$881,0)</f>
        <v>64</v>
      </c>
      <c r="CV170" s="26" t="n">
        <f aca="false">(CS170+CR170)/2</f>
        <v>89.5</v>
      </c>
      <c r="CW170" s="25" t="n">
        <f aca="false">RANK(CV170,$CV$2:$CV$881,0)</f>
        <v>60</v>
      </c>
      <c r="CX170" s="50" t="n">
        <f aca="false">(CV170+BB170)/2</f>
        <v>84.6</v>
      </c>
      <c r="CY170" s="50" t="n">
        <v>138</v>
      </c>
      <c r="CZ170" s="27" t="s">
        <v>132</v>
      </c>
      <c r="DA170" s="27" t="s">
        <v>133</v>
      </c>
      <c r="DB170" s="27" t="s">
        <v>133</v>
      </c>
      <c r="DC170" s="27" t="s">
        <v>134</v>
      </c>
      <c r="DD170" s="27" t="s">
        <v>174</v>
      </c>
      <c r="DE170" s="27" t="s">
        <v>177</v>
      </c>
      <c r="DF170" s="27" t="s">
        <v>205</v>
      </c>
      <c r="DG170" s="27" t="s">
        <v>134</v>
      </c>
      <c r="DH170" s="27" t="s">
        <v>160</v>
      </c>
      <c r="DI170" s="27" t="s">
        <v>306</v>
      </c>
      <c r="DJ170" s="27" t="s">
        <v>169</v>
      </c>
      <c r="DK170" s="27" t="s">
        <v>134</v>
      </c>
      <c r="DL170" s="27" t="s">
        <v>137</v>
      </c>
      <c r="DM170" s="27" t="s">
        <v>220</v>
      </c>
      <c r="DN170" s="27" t="s">
        <v>205</v>
      </c>
      <c r="DO170" s="27" t="s">
        <v>134</v>
      </c>
      <c r="DP170" s="27" t="s">
        <v>191</v>
      </c>
      <c r="DQ170" s="27" t="s">
        <v>313</v>
      </c>
      <c r="DR170" s="27" t="s">
        <v>398</v>
      </c>
      <c r="DS170" s="27" t="s">
        <v>134</v>
      </c>
      <c r="DT170" s="27" t="s">
        <v>146</v>
      </c>
      <c r="DU170" s="27" t="s">
        <v>375</v>
      </c>
      <c r="DV170" s="27" t="s">
        <v>219</v>
      </c>
      <c r="DW170" s="27" t="s">
        <v>164</v>
      </c>
      <c r="DX170" s="27" t="s">
        <v>138</v>
      </c>
      <c r="DY170" s="27" t="s">
        <v>142</v>
      </c>
      <c r="DZ170" s="27" t="n">
        <f aca="false">DY170+DV170+DR170+DN170+DJ170+DF170+DB170</f>
        <v>583</v>
      </c>
      <c r="EA170" s="28" t="n">
        <f aca="false">DZ170/7</f>
        <v>83.2857142857143</v>
      </c>
      <c r="EB170" s="27" t="n">
        <f aca="false">RANK(EA170,$EA$2:$EA$881,0)</f>
        <v>262</v>
      </c>
      <c r="EC170" s="29" t="n">
        <f aca="false">DZ170+CQ170+CP170+AZ170</f>
        <v>2633</v>
      </c>
      <c r="ED170" s="30" t="n">
        <f aca="false">(EA170+CV170+BB170)/3</f>
        <v>84.1619047619048</v>
      </c>
      <c r="EE170" s="51" t="n">
        <f aca="false">ROUND(BE170,3)</f>
        <v>86.353</v>
      </c>
      <c r="EF170" s="51" t="n">
        <f aca="false">ROUND(CR170,3)</f>
        <v>92.429</v>
      </c>
      <c r="EG170" s="51" t="n">
        <f aca="false">ROUND(CS170,3)</f>
        <v>86.571</v>
      </c>
      <c r="EH170" s="51" t="n">
        <f aca="false">ROUND(EA170,3)</f>
        <v>83.286</v>
      </c>
      <c r="EI170" s="51" t="n">
        <f aca="false">ROUND(ED170,3)</f>
        <v>84.162</v>
      </c>
      <c r="EJ170" s="51" t="n">
        <f aca="false">ROUND(CV170,3)</f>
        <v>89.5</v>
      </c>
      <c r="EK170" s="0" t="n">
        <f aca="false">RANK(EI170,$EI$2:$EI$881,0)</f>
        <v>169</v>
      </c>
    </row>
    <row r="171" customFormat="false" ht="15" hidden="false" customHeight="false" outlineLevel="0" collapsed="false">
      <c r="A171" s="4" t="n">
        <v>8614</v>
      </c>
      <c r="B171" s="4" t="n">
        <v>230</v>
      </c>
      <c r="C171" s="27" t="s">
        <v>687</v>
      </c>
      <c r="D171" s="31" t="n">
        <v>231</v>
      </c>
      <c r="E171" s="32" t="n">
        <v>230324375</v>
      </c>
      <c r="F171" s="8" t="s">
        <v>688</v>
      </c>
      <c r="G171" s="22" t="s">
        <v>217</v>
      </c>
      <c r="H171" s="22" t="s">
        <v>129</v>
      </c>
      <c r="I171" s="33" t="n">
        <v>2006</v>
      </c>
      <c r="J171" s="32" t="n">
        <v>76</v>
      </c>
      <c r="K171" s="32" t="n">
        <v>92</v>
      </c>
      <c r="L171" s="34" t="n">
        <f aca="false">(K171*70)/100</f>
        <v>64.4</v>
      </c>
      <c r="M171" s="34" t="n">
        <f aca="false">ROUNDUP(L171,0)</f>
        <v>65</v>
      </c>
      <c r="N171" s="32" t="n">
        <v>29</v>
      </c>
      <c r="O171" s="34" t="n">
        <f aca="false">N171+L171</f>
        <v>93.4</v>
      </c>
      <c r="P171" s="34" t="n">
        <f aca="false">N171+M171</f>
        <v>94</v>
      </c>
      <c r="Q171" s="32" t="n">
        <v>83</v>
      </c>
      <c r="R171" s="32" t="n">
        <v>75</v>
      </c>
      <c r="S171" s="34" t="n">
        <f aca="false">(R171*70)/100</f>
        <v>52.5</v>
      </c>
      <c r="T171" s="34" t="n">
        <f aca="false">ROUNDUP(S171,0)</f>
        <v>53</v>
      </c>
      <c r="U171" s="32" t="n">
        <v>26</v>
      </c>
      <c r="V171" s="34" t="n">
        <f aca="false">U171+S171</f>
        <v>78.5</v>
      </c>
      <c r="W171" s="34" t="n">
        <f aca="false">U171+T171</f>
        <v>79</v>
      </c>
      <c r="X171" s="32" t="n">
        <v>66</v>
      </c>
      <c r="Y171" s="34" t="n">
        <f aca="false">(X171*70)/100</f>
        <v>46.2</v>
      </c>
      <c r="Z171" s="34" t="n">
        <f aca="false">ROUNDUP(Y171,0)</f>
        <v>47</v>
      </c>
      <c r="AA171" s="32" t="n">
        <v>26</v>
      </c>
      <c r="AB171" s="34" t="n">
        <f aca="false">AA171+Y171</f>
        <v>72.2</v>
      </c>
      <c r="AC171" s="34" t="n">
        <f aca="false">AA171+Z171</f>
        <v>73</v>
      </c>
      <c r="AD171" s="32" t="n">
        <f aca="false">X171+R171+Q171+K171+J171</f>
        <v>392</v>
      </c>
      <c r="AE171" s="16" t="n">
        <f aca="false">AD171/5</f>
        <v>78.4</v>
      </c>
      <c r="AF171" s="16" t="n">
        <v>73</v>
      </c>
      <c r="AG171" s="16" t="n">
        <v>82</v>
      </c>
      <c r="AH171" s="16" t="n">
        <v>97</v>
      </c>
      <c r="AI171" s="16" t="n">
        <v>94</v>
      </c>
      <c r="AJ171" s="16" t="n">
        <f aca="false">(AI171*70)/100</f>
        <v>65.8</v>
      </c>
      <c r="AK171" s="35" t="n">
        <f aca="false">ROUNDUP(AJ171,0)</f>
        <v>66</v>
      </c>
      <c r="AL171" s="16" t="n">
        <v>29</v>
      </c>
      <c r="AM171" s="16" t="n">
        <f aca="false">AL171+AJ171</f>
        <v>94.8</v>
      </c>
      <c r="AN171" s="16" t="n">
        <f aca="false">AL171+AK171</f>
        <v>95</v>
      </c>
      <c r="AO171" s="16" t="n">
        <v>77</v>
      </c>
      <c r="AP171" s="36" t="n">
        <f aca="false">(AO171*70)/100</f>
        <v>53.9</v>
      </c>
      <c r="AQ171" s="37" t="n">
        <f aca="false">ROUNDUP(AP171,0)</f>
        <v>54</v>
      </c>
      <c r="AR171" s="16" t="n">
        <v>29</v>
      </c>
      <c r="AS171" s="16" t="n">
        <f aca="false">AR171+AP171</f>
        <v>82.9</v>
      </c>
      <c r="AT171" s="16" t="n">
        <f aca="false">AR171+AQ171</f>
        <v>83</v>
      </c>
      <c r="AU171" s="16" t="n">
        <f aca="false">AO171+AF171+AI171+AH171+AG171</f>
        <v>423</v>
      </c>
      <c r="AV171" s="16" t="n">
        <f aca="false">(AO171+AF171+AI171+AH171+AG171)/5</f>
        <v>84.6</v>
      </c>
      <c r="AW171" s="36" t="n">
        <f aca="false">(AO171+AF171+AI171+AH171+AG171+X171+R171+Q171+K171+J171)</f>
        <v>815</v>
      </c>
      <c r="AX171" s="16" t="n">
        <f aca="false">AW171/10</f>
        <v>81.5</v>
      </c>
      <c r="AY171" s="16" t="n">
        <f aca="false">AS171+AF171+AM171+AH171+AG171+AB171+V171+Q171+O171+J171</f>
        <v>832.8</v>
      </c>
      <c r="AZ171" s="16" t="n">
        <f aca="false">AT171+AF171+AN171+AH171+AG171+AC171+W171+Q171+P171+J171</f>
        <v>835</v>
      </c>
      <c r="BA171" s="16" t="n">
        <f aca="false">AY171/10</f>
        <v>83.28</v>
      </c>
      <c r="BB171" s="16" t="n">
        <f aca="false">AZ171/10</f>
        <v>83.5</v>
      </c>
      <c r="BC171" s="16" t="n">
        <v>2374</v>
      </c>
      <c r="BD171" s="16" t="n">
        <f aca="false">RANK(AX171,$AX$2:$AX$881,0)</f>
        <v>188</v>
      </c>
      <c r="BE171" s="54" t="n">
        <f aca="false">((BC171*100)/2400)*0.4+(AX171*0.6)</f>
        <v>88.4666666666667</v>
      </c>
      <c r="BF171" s="16" t="n">
        <f aca="false">RANK(BE171,$BE$2:$BE$881,0)</f>
        <v>164</v>
      </c>
      <c r="BG171" s="39" t="n">
        <f aca="false">RANK(BB171,$BB$2:$BB$881,0)</f>
        <v>141</v>
      </c>
      <c r="BH171" s="39" t="n">
        <f aca="false">RANK(BC171,$BC$2:$BC$881,0)</f>
        <v>222</v>
      </c>
      <c r="BI171" s="22" t="s">
        <v>130</v>
      </c>
      <c r="BJ171" s="22" t="s">
        <v>129</v>
      </c>
      <c r="BK171" s="40" t="s">
        <v>131</v>
      </c>
      <c r="BL171" s="41" t="n">
        <v>23</v>
      </c>
      <c r="BM171" s="42" t="n">
        <v>0</v>
      </c>
      <c r="BN171" s="74" t="n">
        <v>23</v>
      </c>
      <c r="BO171" s="42" t="n">
        <v>25</v>
      </c>
      <c r="BP171" s="42" t="n">
        <v>62</v>
      </c>
      <c r="BQ171" s="42" t="n">
        <v>87</v>
      </c>
      <c r="BR171" s="42" t="n">
        <v>20</v>
      </c>
      <c r="BS171" s="45" t="n">
        <v>59</v>
      </c>
      <c r="BT171" s="45" t="n">
        <v>79</v>
      </c>
      <c r="BU171" s="46" t="n">
        <v>100</v>
      </c>
      <c r="BV171" s="47" t="n">
        <v>92</v>
      </c>
      <c r="BW171" s="42" t="n">
        <v>98</v>
      </c>
      <c r="BX171" s="48" t="n">
        <v>96</v>
      </c>
      <c r="BY171" s="32" t="n">
        <v>25</v>
      </c>
      <c r="BZ171" s="32" t="n">
        <v>55</v>
      </c>
      <c r="CA171" s="32" t="n">
        <v>80</v>
      </c>
      <c r="CB171" s="32" t="n">
        <v>22</v>
      </c>
      <c r="CC171" s="32" t="n">
        <v>38</v>
      </c>
      <c r="CD171" s="32" t="n">
        <v>60</v>
      </c>
      <c r="CE171" s="32" t="n">
        <v>27</v>
      </c>
      <c r="CF171" s="32" t="n">
        <v>57</v>
      </c>
      <c r="CG171" s="32" t="n">
        <v>84</v>
      </c>
      <c r="CH171" s="32" t="n">
        <v>99</v>
      </c>
      <c r="CI171" s="32" t="n">
        <v>99</v>
      </c>
      <c r="CJ171" s="49" t="n">
        <v>25</v>
      </c>
      <c r="CK171" s="49" t="n">
        <v>54</v>
      </c>
      <c r="CL171" s="49" t="n">
        <v>79</v>
      </c>
      <c r="CM171" s="49" t="n">
        <v>22</v>
      </c>
      <c r="CN171" s="49" t="n">
        <v>54</v>
      </c>
      <c r="CO171" s="49" t="n">
        <v>76</v>
      </c>
      <c r="CP171" s="25" t="n">
        <f aca="false">BX171+BW171+BV171+BU171+BT171+BQ171+BN171</f>
        <v>575</v>
      </c>
      <c r="CQ171" s="25" t="n">
        <f aca="false">CO171+CL171+CI171+CH171+CG171+CD171+CA171</f>
        <v>577</v>
      </c>
      <c r="CR171" s="26" t="n">
        <f aca="false">CP171/7</f>
        <v>82.1428571428571</v>
      </c>
      <c r="CS171" s="26" t="n">
        <f aca="false">CQ171/7</f>
        <v>82.4285714285714</v>
      </c>
      <c r="CT171" s="24" t="n">
        <f aca="false">RANK(CR171,$CR$2:$CR$881,0)</f>
        <v>536</v>
      </c>
      <c r="CU171" s="25" t="n">
        <f aca="false">RANK(CS171,$CS$2:$CS$881,0)</f>
        <v>179</v>
      </c>
      <c r="CV171" s="26" t="n">
        <f aca="false">(CS171+CR171)/2</f>
        <v>82.2857142857143</v>
      </c>
      <c r="CW171" s="25" t="n">
        <f aca="false">RANK(CV171,$CV$2:$CV$881,0)</f>
        <v>324</v>
      </c>
      <c r="CX171" s="50" t="n">
        <f aca="false">(CV171+BB171)/2</f>
        <v>82.8928571428571</v>
      </c>
      <c r="CY171" s="50" t="n">
        <v>216</v>
      </c>
      <c r="CZ171" s="27" t="s">
        <v>132</v>
      </c>
      <c r="DA171" s="27" t="s">
        <v>153</v>
      </c>
      <c r="DB171" s="27" t="s">
        <v>153</v>
      </c>
      <c r="DC171" s="27" t="s">
        <v>134</v>
      </c>
      <c r="DD171" s="27" t="s">
        <v>140</v>
      </c>
      <c r="DE171" s="27" t="s">
        <v>161</v>
      </c>
      <c r="DF171" s="27" t="s">
        <v>153</v>
      </c>
      <c r="DG171" s="27" t="s">
        <v>134</v>
      </c>
      <c r="DH171" s="27" t="s">
        <v>154</v>
      </c>
      <c r="DI171" s="27" t="s">
        <v>203</v>
      </c>
      <c r="DJ171" s="27" t="s">
        <v>175</v>
      </c>
      <c r="DK171" s="27" t="s">
        <v>134</v>
      </c>
      <c r="DL171" s="27" t="s">
        <v>164</v>
      </c>
      <c r="DM171" s="27" t="s">
        <v>177</v>
      </c>
      <c r="DN171" s="27" t="s">
        <v>178</v>
      </c>
      <c r="DO171" s="27" t="s">
        <v>134</v>
      </c>
      <c r="DP171" s="27" t="s">
        <v>137</v>
      </c>
      <c r="DQ171" s="27" t="s">
        <v>220</v>
      </c>
      <c r="DR171" s="27" t="s">
        <v>205</v>
      </c>
      <c r="DS171" s="27" t="s">
        <v>134</v>
      </c>
      <c r="DT171" s="27" t="s">
        <v>164</v>
      </c>
      <c r="DU171" s="27" t="s">
        <v>399</v>
      </c>
      <c r="DV171" s="27" t="s">
        <v>441</v>
      </c>
      <c r="DW171" s="27" t="s">
        <v>164</v>
      </c>
      <c r="DX171" s="27" t="s">
        <v>155</v>
      </c>
      <c r="DY171" s="27" t="s">
        <v>144</v>
      </c>
      <c r="DZ171" s="27" t="n">
        <f aca="false">DY171+DV171+DR171+DN171+DJ171+DF171+DB171</f>
        <v>606</v>
      </c>
      <c r="EA171" s="28" t="n">
        <f aca="false">DZ171/7</f>
        <v>86.5714285714286</v>
      </c>
      <c r="EB171" s="27" t="n">
        <f aca="false">RANK(EA171,$EA$2:$EA$881,0)</f>
        <v>140</v>
      </c>
      <c r="EC171" s="29" t="n">
        <f aca="false">DZ171+CQ171+CP171+AZ171</f>
        <v>2593</v>
      </c>
      <c r="ED171" s="30" t="n">
        <f aca="false">(EA171+CV171+BB171)/3</f>
        <v>84.1190476190476</v>
      </c>
      <c r="EE171" s="51" t="n">
        <f aca="false">ROUND(BE171,3)</f>
        <v>88.467</v>
      </c>
      <c r="EF171" s="51" t="n">
        <f aca="false">ROUND(CR171,3)</f>
        <v>82.143</v>
      </c>
      <c r="EG171" s="51" t="n">
        <f aca="false">ROUND(CS171,3)</f>
        <v>82.429</v>
      </c>
      <c r="EH171" s="51" t="n">
        <f aca="false">ROUND(EA171,3)</f>
        <v>86.571</v>
      </c>
      <c r="EI171" s="51" t="n">
        <f aca="false">ROUND(ED171,3)</f>
        <v>84.119</v>
      </c>
      <c r="EJ171" s="51" t="n">
        <f aca="false">ROUND(CV171,3)</f>
        <v>82.286</v>
      </c>
      <c r="EK171" s="0" t="n">
        <f aca="false">RANK(EI171,$EI$2:$EI$881,0)</f>
        <v>170</v>
      </c>
    </row>
    <row r="172" customFormat="false" ht="15" hidden="false" customHeight="false" outlineLevel="0" collapsed="false">
      <c r="A172" s="4" t="n">
        <v>8647</v>
      </c>
      <c r="B172" s="4" t="n">
        <v>442</v>
      </c>
      <c r="C172" s="27" t="s">
        <v>689</v>
      </c>
      <c r="D172" s="31" t="n">
        <v>448</v>
      </c>
      <c r="E172" s="32" t="n">
        <v>230314433</v>
      </c>
      <c r="F172" s="8" t="s">
        <v>690</v>
      </c>
      <c r="G172" s="22" t="s">
        <v>691</v>
      </c>
      <c r="H172" s="22" t="s">
        <v>129</v>
      </c>
      <c r="I172" s="33" t="n">
        <v>2005</v>
      </c>
      <c r="J172" s="32" t="n">
        <v>67</v>
      </c>
      <c r="K172" s="32" t="n">
        <v>87</v>
      </c>
      <c r="L172" s="34" t="n">
        <f aca="false">(K172*70)/100</f>
        <v>60.9</v>
      </c>
      <c r="M172" s="34" t="n">
        <f aca="false">ROUNDUP(L172,0)</f>
        <v>61</v>
      </c>
      <c r="N172" s="32" t="n">
        <v>29</v>
      </c>
      <c r="O172" s="34" t="n">
        <f aca="false">N172+L172</f>
        <v>89.9</v>
      </c>
      <c r="P172" s="34" t="n">
        <f aca="false">N172+M172</f>
        <v>90</v>
      </c>
      <c r="Q172" s="32" t="n">
        <v>81</v>
      </c>
      <c r="R172" s="32" t="n">
        <v>87</v>
      </c>
      <c r="S172" s="34" t="n">
        <f aca="false">(R172*70)/100</f>
        <v>60.9</v>
      </c>
      <c r="T172" s="34" t="n">
        <f aca="false">ROUNDUP(S172,0)</f>
        <v>61</v>
      </c>
      <c r="U172" s="32" t="n">
        <v>25</v>
      </c>
      <c r="V172" s="34" t="n">
        <f aca="false">U172+S172</f>
        <v>85.9</v>
      </c>
      <c r="W172" s="34" t="n">
        <f aca="false">U172+T172</f>
        <v>86</v>
      </c>
      <c r="X172" s="32" t="n">
        <v>78</v>
      </c>
      <c r="Y172" s="34" t="n">
        <f aca="false">(X172*70)/100</f>
        <v>54.6</v>
      </c>
      <c r="Z172" s="34" t="n">
        <f aca="false">ROUNDUP(Y172,0)</f>
        <v>55</v>
      </c>
      <c r="AA172" s="32" t="n">
        <v>29</v>
      </c>
      <c r="AB172" s="34" t="n">
        <f aca="false">AA172+Y172</f>
        <v>83.6</v>
      </c>
      <c r="AC172" s="34" t="n">
        <f aca="false">AA172+Z172</f>
        <v>84</v>
      </c>
      <c r="AD172" s="32" t="n">
        <f aca="false">X172+R172+Q172+K172+J172</f>
        <v>400</v>
      </c>
      <c r="AE172" s="16" t="n">
        <f aca="false">AD172/5</f>
        <v>80</v>
      </c>
      <c r="AF172" s="16" t="n">
        <v>86</v>
      </c>
      <c r="AG172" s="16" t="n">
        <v>82</v>
      </c>
      <c r="AH172" s="16" t="n">
        <v>91</v>
      </c>
      <c r="AI172" s="16" t="n">
        <v>94</v>
      </c>
      <c r="AJ172" s="16" t="n">
        <f aca="false">(AI172*70)/100</f>
        <v>65.8</v>
      </c>
      <c r="AK172" s="35" t="n">
        <f aca="false">ROUNDUP(AJ172,0)</f>
        <v>66</v>
      </c>
      <c r="AL172" s="16" t="n">
        <v>27</v>
      </c>
      <c r="AM172" s="16" t="n">
        <f aca="false">AL172+AJ172</f>
        <v>92.8</v>
      </c>
      <c r="AN172" s="16" t="n">
        <f aca="false">AL172+AK172</f>
        <v>93</v>
      </c>
      <c r="AO172" s="16" t="n">
        <v>84</v>
      </c>
      <c r="AP172" s="36" t="n">
        <f aca="false">(AO172*70)/100</f>
        <v>58.8</v>
      </c>
      <c r="AQ172" s="37" t="n">
        <f aca="false">ROUNDUP(AP172,0)</f>
        <v>59</v>
      </c>
      <c r="AR172" s="16" t="n">
        <v>30</v>
      </c>
      <c r="AS172" s="16" t="n">
        <f aca="false">AR172+AP172</f>
        <v>88.8</v>
      </c>
      <c r="AT172" s="16" t="n">
        <f aca="false">AR172+AQ172</f>
        <v>89</v>
      </c>
      <c r="AU172" s="16" t="n">
        <f aca="false">AO172+AF172+AI172+AH172+AG172</f>
        <v>437</v>
      </c>
      <c r="AV172" s="16" t="n">
        <f aca="false">(AO172+AF172+AI172+AH172+AG172)/5</f>
        <v>87.4</v>
      </c>
      <c r="AW172" s="36" t="n">
        <f aca="false">(AO172+AF172+AI172+AH172+AG172+X172+R172+Q172+K172+J172)</f>
        <v>837</v>
      </c>
      <c r="AX172" s="16" t="n">
        <f aca="false">AW172/10</f>
        <v>83.7</v>
      </c>
      <c r="AY172" s="16" t="n">
        <f aca="false">AS172+AF172+AM172+AH172+AG172+AB172+V172+Q172+O172+J172</f>
        <v>848</v>
      </c>
      <c r="AZ172" s="16" t="n">
        <f aca="false">AT172+AF172+AN172+AH172+AG172+AC172+W172+Q172+P172+J172</f>
        <v>849</v>
      </c>
      <c r="BA172" s="16" t="n">
        <f aca="false">AY172/10</f>
        <v>84.8</v>
      </c>
      <c r="BB172" s="16" t="n">
        <f aca="false">AZ172/10</f>
        <v>84.9</v>
      </c>
      <c r="BC172" s="16" t="n">
        <v>2346</v>
      </c>
      <c r="BD172" s="16" t="n">
        <f aca="false">RANK(AX172,$AX$2:$AX$881,0)</f>
        <v>115</v>
      </c>
      <c r="BE172" s="54" t="n">
        <f aca="false">((BC172*100)/2400)*0.4+(AX172*0.6)</f>
        <v>89.32</v>
      </c>
      <c r="BF172" s="16" t="n">
        <f aca="false">RANK(BE172,$BE$2:$BE$881,0)</f>
        <v>126</v>
      </c>
      <c r="BG172" s="39" t="n">
        <f aca="false">RANK(BB172,$BB$2:$BB$881,0)</f>
        <v>102</v>
      </c>
      <c r="BH172" s="39" t="n">
        <f aca="false">RANK(BC172,$BC$2:$BC$881,0)</f>
        <v>571</v>
      </c>
      <c r="BI172" s="22" t="s">
        <v>130</v>
      </c>
      <c r="BJ172" s="22" t="s">
        <v>129</v>
      </c>
      <c r="BK172" s="40" t="s">
        <v>131</v>
      </c>
      <c r="BL172" s="41" t="n">
        <v>25</v>
      </c>
      <c r="BM172" s="41" t="n">
        <v>65</v>
      </c>
      <c r="BN172" s="41" t="n">
        <v>90</v>
      </c>
      <c r="BO172" s="42" t="n">
        <v>25</v>
      </c>
      <c r="BP172" s="43" t="n">
        <v>65</v>
      </c>
      <c r="BQ172" s="44" t="n">
        <v>90</v>
      </c>
      <c r="BR172" s="42" t="n">
        <v>22</v>
      </c>
      <c r="BS172" s="45" t="n">
        <v>63</v>
      </c>
      <c r="BT172" s="45" t="n">
        <v>85</v>
      </c>
      <c r="BU172" s="46" t="n">
        <v>99</v>
      </c>
      <c r="BV172" s="47" t="n">
        <v>72</v>
      </c>
      <c r="BW172" s="42" t="n">
        <v>99</v>
      </c>
      <c r="BX172" s="48" t="n">
        <v>94</v>
      </c>
      <c r="BY172" s="32" t="n">
        <v>27</v>
      </c>
      <c r="BZ172" s="32" t="n">
        <v>63</v>
      </c>
      <c r="CA172" s="32" t="n">
        <v>90</v>
      </c>
      <c r="CB172" s="32" t="n">
        <v>28</v>
      </c>
      <c r="CC172" s="68" t="n">
        <v>0</v>
      </c>
      <c r="CD172" s="69" t="n">
        <v>28</v>
      </c>
      <c r="CE172" s="32" t="n">
        <v>27</v>
      </c>
      <c r="CF172" s="32" t="n">
        <v>56</v>
      </c>
      <c r="CG172" s="32" t="n">
        <v>83</v>
      </c>
      <c r="CH172" s="32" t="n">
        <v>92</v>
      </c>
      <c r="CI172" s="32" t="n">
        <v>89</v>
      </c>
      <c r="CJ172" s="49" t="n">
        <v>26</v>
      </c>
      <c r="CK172" s="49" t="n">
        <v>58</v>
      </c>
      <c r="CL172" s="49" t="n">
        <v>84</v>
      </c>
      <c r="CM172" s="49" t="n">
        <v>28</v>
      </c>
      <c r="CN172" s="49" t="n">
        <v>56</v>
      </c>
      <c r="CO172" s="49" t="n">
        <v>84</v>
      </c>
      <c r="CP172" s="25" t="n">
        <f aca="false">BX172+BW172+BV172+BU172+BT172+BQ172+BN172</f>
        <v>629</v>
      </c>
      <c r="CQ172" s="25" t="n">
        <f aca="false">CO172+CL172+CI172+CH172+CG172+CD172+CA172</f>
        <v>550</v>
      </c>
      <c r="CR172" s="26" t="n">
        <f aca="false">CP172/7</f>
        <v>89.8571428571429</v>
      </c>
      <c r="CS172" s="26" t="n">
        <f aca="false">CQ172/7</f>
        <v>78.5714285714286</v>
      </c>
      <c r="CT172" s="24" t="n">
        <f aca="false">RANK(CR172,$CR$2:$CR$881,0)</f>
        <v>193</v>
      </c>
      <c r="CU172" s="25" t="n">
        <f aca="false">RANK(CS172,$CS$2:$CS$881,0)</f>
        <v>317</v>
      </c>
      <c r="CV172" s="26" t="n">
        <f aca="false">(CS172+CR172)/2</f>
        <v>84.2142857142857</v>
      </c>
      <c r="CW172" s="25" t="n">
        <f aca="false">RANK(CV172,$CV$2:$CV$881,0)</f>
        <v>256</v>
      </c>
      <c r="CX172" s="50" t="n">
        <f aca="false">(CV172+BB172)/2</f>
        <v>84.5571428571429</v>
      </c>
      <c r="CY172" s="50" t="n">
        <v>143</v>
      </c>
      <c r="CZ172" s="27" t="s">
        <v>132</v>
      </c>
      <c r="DA172" s="27" t="s">
        <v>162</v>
      </c>
      <c r="DB172" s="27" t="s">
        <v>162</v>
      </c>
      <c r="DC172" s="27" t="s">
        <v>134</v>
      </c>
      <c r="DD172" s="27" t="s">
        <v>164</v>
      </c>
      <c r="DE172" s="27" t="s">
        <v>204</v>
      </c>
      <c r="DF172" s="27" t="s">
        <v>202</v>
      </c>
      <c r="DG172" s="27" t="s">
        <v>134</v>
      </c>
      <c r="DH172" s="27" t="s">
        <v>174</v>
      </c>
      <c r="DI172" s="27" t="s">
        <v>187</v>
      </c>
      <c r="DJ172" s="27" t="s">
        <v>133</v>
      </c>
      <c r="DK172" s="27" t="s">
        <v>134</v>
      </c>
      <c r="DL172" s="27" t="s">
        <v>164</v>
      </c>
      <c r="DM172" s="27" t="s">
        <v>183</v>
      </c>
      <c r="DN172" s="27" t="s">
        <v>175</v>
      </c>
      <c r="DO172" s="27" t="s">
        <v>134</v>
      </c>
      <c r="DP172" s="27" t="s">
        <v>195</v>
      </c>
      <c r="DQ172" s="27" t="s">
        <v>306</v>
      </c>
      <c r="DR172" s="27" t="s">
        <v>443</v>
      </c>
      <c r="DS172" s="27" t="s">
        <v>134</v>
      </c>
      <c r="DT172" s="27" t="s">
        <v>195</v>
      </c>
      <c r="DU172" s="27" t="s">
        <v>479</v>
      </c>
      <c r="DV172" s="27" t="s">
        <v>177</v>
      </c>
      <c r="DW172" s="27" t="s">
        <v>140</v>
      </c>
      <c r="DX172" s="27" t="s">
        <v>138</v>
      </c>
      <c r="DY172" s="27" t="s">
        <v>145</v>
      </c>
      <c r="DZ172" s="27" t="n">
        <f aca="false">DY172+DV172+DR172+DN172+DJ172+DF172+DB172</f>
        <v>582</v>
      </c>
      <c r="EA172" s="28" t="n">
        <f aca="false">DZ172/7</f>
        <v>83.1428571428571</v>
      </c>
      <c r="EB172" s="27" t="n">
        <f aca="false">RANK(EA172,$EA$2:$EA$881,0)</f>
        <v>268</v>
      </c>
      <c r="EC172" s="29" t="n">
        <f aca="false">DZ172+CQ172+CP172+AZ172</f>
        <v>2610</v>
      </c>
      <c r="ED172" s="30" t="n">
        <f aca="false">(EA172+CV172+BB172)/3</f>
        <v>84.0857142857143</v>
      </c>
      <c r="EE172" s="51" t="n">
        <f aca="false">ROUND(BE172,3)</f>
        <v>89.32</v>
      </c>
      <c r="EF172" s="51" t="n">
        <f aca="false">ROUND(CR172,3)</f>
        <v>89.857</v>
      </c>
      <c r="EG172" s="51" t="n">
        <f aca="false">ROUND(CS172,3)</f>
        <v>78.571</v>
      </c>
      <c r="EH172" s="51" t="n">
        <f aca="false">ROUND(EA172,3)</f>
        <v>83.143</v>
      </c>
      <c r="EI172" s="51" t="n">
        <f aca="false">ROUND(ED172,3)</f>
        <v>84.086</v>
      </c>
      <c r="EJ172" s="51" t="n">
        <f aca="false">ROUND(CV172,3)</f>
        <v>84.214</v>
      </c>
      <c r="EK172" s="0" t="n">
        <f aca="false">RANK(EI172,$EI$2:$EI$881,0)</f>
        <v>171</v>
      </c>
    </row>
    <row r="173" customFormat="false" ht="15" hidden="false" customHeight="false" outlineLevel="0" collapsed="false">
      <c r="A173" s="4" t="n">
        <v>8981</v>
      </c>
      <c r="B173" s="4" t="n">
        <v>203</v>
      </c>
      <c r="C173" s="27" t="s">
        <v>692</v>
      </c>
      <c r="D173" s="31" t="n">
        <v>205</v>
      </c>
      <c r="E173" s="16" t="n">
        <v>230224206</v>
      </c>
      <c r="F173" s="56" t="s">
        <v>693</v>
      </c>
      <c r="G173" s="22" t="s">
        <v>532</v>
      </c>
      <c r="H173" s="22" t="s">
        <v>326</v>
      </c>
      <c r="I173" s="57"/>
      <c r="J173" s="16" t="n">
        <v>75</v>
      </c>
      <c r="K173" s="16" t="n">
        <v>86</v>
      </c>
      <c r="L173" s="34" t="n">
        <f aca="false">(K173*70)/100</f>
        <v>60.2</v>
      </c>
      <c r="M173" s="34" t="n">
        <f aca="false">ROUNDUP(L173,0)</f>
        <v>61</v>
      </c>
      <c r="N173" s="16" t="n">
        <v>27</v>
      </c>
      <c r="O173" s="34" t="n">
        <f aca="false">N173+L173</f>
        <v>87.2</v>
      </c>
      <c r="P173" s="34" t="n">
        <f aca="false">N173+M173</f>
        <v>88</v>
      </c>
      <c r="Q173" s="16" t="n">
        <v>81</v>
      </c>
      <c r="R173" s="16" t="n">
        <v>77</v>
      </c>
      <c r="S173" s="34" t="n">
        <f aca="false">(R173*70)/100</f>
        <v>53.9</v>
      </c>
      <c r="T173" s="34" t="n">
        <f aca="false">ROUNDUP(S173,0)</f>
        <v>54</v>
      </c>
      <c r="U173" s="16" t="n">
        <v>26</v>
      </c>
      <c r="V173" s="34" t="n">
        <f aca="false">U173+S173</f>
        <v>79.9</v>
      </c>
      <c r="W173" s="34" t="n">
        <f aca="false">U173+T173</f>
        <v>80</v>
      </c>
      <c r="X173" s="16" t="n">
        <v>63</v>
      </c>
      <c r="Y173" s="34" t="n">
        <f aca="false">(X173*70)/100</f>
        <v>44.1</v>
      </c>
      <c r="Z173" s="34" t="n">
        <f aca="false">ROUNDUP(Y173,0)</f>
        <v>45</v>
      </c>
      <c r="AA173" s="16" t="n">
        <v>27</v>
      </c>
      <c r="AB173" s="34" t="n">
        <f aca="false">AA173+Y173</f>
        <v>71.1</v>
      </c>
      <c r="AC173" s="34" t="n">
        <f aca="false">AA173+Z173</f>
        <v>72</v>
      </c>
      <c r="AD173" s="32" t="n">
        <f aca="false">X173+R173+Q173+K173+J173</f>
        <v>382</v>
      </c>
      <c r="AE173" s="16" t="n">
        <f aca="false">AD173/5</f>
        <v>76.4</v>
      </c>
      <c r="AF173" s="16" t="n">
        <v>76</v>
      </c>
      <c r="AG173" s="16" t="n">
        <v>86</v>
      </c>
      <c r="AH173" s="16" t="n">
        <v>87</v>
      </c>
      <c r="AI173" s="16" t="n">
        <v>87</v>
      </c>
      <c r="AJ173" s="16" t="n">
        <f aca="false">(AI173*70)/100</f>
        <v>60.9</v>
      </c>
      <c r="AK173" s="35" t="n">
        <f aca="false">ROUNDUP(AJ173,0)</f>
        <v>61</v>
      </c>
      <c r="AL173" s="16" t="n">
        <v>27</v>
      </c>
      <c r="AM173" s="16" t="n">
        <f aca="false">AL173+AJ173</f>
        <v>87.9</v>
      </c>
      <c r="AN173" s="16" t="n">
        <f aca="false">AL173+AK173</f>
        <v>88</v>
      </c>
      <c r="AO173" s="16" t="n">
        <v>77</v>
      </c>
      <c r="AP173" s="36" t="n">
        <f aca="false">(AO173*70)/100</f>
        <v>53.9</v>
      </c>
      <c r="AQ173" s="37" t="n">
        <f aca="false">ROUNDUP(AP173,0)</f>
        <v>54</v>
      </c>
      <c r="AR173" s="16" t="n">
        <v>30</v>
      </c>
      <c r="AS173" s="16" t="n">
        <f aca="false">AR173+AP173</f>
        <v>83.9</v>
      </c>
      <c r="AT173" s="16" t="n">
        <f aca="false">AR173+AQ173</f>
        <v>84</v>
      </c>
      <c r="AU173" s="16" t="n">
        <f aca="false">AO173+AF173+AI173+AH173+AG173</f>
        <v>413</v>
      </c>
      <c r="AV173" s="16" t="n">
        <f aca="false">(AO173+AF173+AI173+AH173+AG173)/5</f>
        <v>82.6</v>
      </c>
      <c r="AW173" s="36" t="n">
        <f aca="false">(AO173+AF173+AI173+AH173+AG173+X173+R173+Q173+K173+J173)</f>
        <v>795</v>
      </c>
      <c r="AX173" s="16" t="n">
        <f aca="false">AW173/10</f>
        <v>79.5</v>
      </c>
      <c r="AY173" s="16" t="n">
        <f aca="false">AS173+AF173+AM173+AH173+AG173+AB173+V173+Q173+O173+J173</f>
        <v>815</v>
      </c>
      <c r="AZ173" s="16" t="n">
        <f aca="false">AT173+AF173+AN173+AH173+AG173+AC173+W173+Q173+P173+J173</f>
        <v>817</v>
      </c>
      <c r="BA173" s="16" t="n">
        <f aca="false">AY173/10</f>
        <v>81.5</v>
      </c>
      <c r="BB173" s="16" t="n">
        <f aca="false">AZ173/10</f>
        <v>81.7</v>
      </c>
      <c r="BC173" s="16" t="n">
        <v>2355</v>
      </c>
      <c r="BD173" s="16" t="n">
        <f aca="false">RANK(AX173,$AX$2:$AX$881,0)</f>
        <v>300</v>
      </c>
      <c r="BE173" s="54" t="n">
        <f aca="false">((BC173*100)/2400)*0.4+(AX173*0.6)</f>
        <v>86.95</v>
      </c>
      <c r="BF173" s="16" t="n">
        <f aca="false">RANK(BE173,$BE$2:$BE$881,0)</f>
        <v>302</v>
      </c>
      <c r="BG173" s="39" t="n">
        <f aca="false">RANK(BB173,$BB$2:$BB$881,0)</f>
        <v>229</v>
      </c>
      <c r="BH173" s="39" t="n">
        <f aca="false">RANK(BC173,$BC$2:$BC$881,0)</f>
        <v>476</v>
      </c>
      <c r="BI173" s="22" t="s">
        <v>130</v>
      </c>
      <c r="BJ173" s="22" t="s">
        <v>129</v>
      </c>
      <c r="BK173" s="40" t="s">
        <v>131</v>
      </c>
      <c r="BL173" s="44" t="n">
        <v>21</v>
      </c>
      <c r="BM173" s="44" t="n">
        <v>63</v>
      </c>
      <c r="BN173" s="44" t="n">
        <v>84</v>
      </c>
      <c r="BO173" s="44" t="n">
        <v>23</v>
      </c>
      <c r="BP173" s="43" t="n">
        <v>69</v>
      </c>
      <c r="BQ173" s="44" t="n">
        <v>92</v>
      </c>
      <c r="BR173" s="44" t="n">
        <v>22</v>
      </c>
      <c r="BS173" s="45" t="n">
        <v>58</v>
      </c>
      <c r="BT173" s="45" t="n">
        <v>80</v>
      </c>
      <c r="BU173" s="46" t="n">
        <v>100</v>
      </c>
      <c r="BV173" s="42" t="n">
        <v>96</v>
      </c>
      <c r="BW173" s="44" t="n">
        <v>99</v>
      </c>
      <c r="BX173" s="48" t="n">
        <v>92</v>
      </c>
      <c r="BY173" s="32" t="n">
        <v>26</v>
      </c>
      <c r="BZ173" s="32" t="n">
        <v>54</v>
      </c>
      <c r="CA173" s="32" t="n">
        <v>80</v>
      </c>
      <c r="CB173" s="32" t="n">
        <v>18</v>
      </c>
      <c r="CC173" s="32" t="n">
        <v>39</v>
      </c>
      <c r="CD173" s="69" t="n">
        <v>57</v>
      </c>
      <c r="CE173" s="32" t="n">
        <v>23</v>
      </c>
      <c r="CF173" s="32" t="n">
        <v>52</v>
      </c>
      <c r="CG173" s="32" t="n">
        <v>75</v>
      </c>
      <c r="CH173" s="32" t="n">
        <v>98</v>
      </c>
      <c r="CI173" s="32" t="n">
        <v>95</v>
      </c>
      <c r="CJ173" s="49" t="n">
        <v>20</v>
      </c>
      <c r="CK173" s="49" t="n">
        <v>54</v>
      </c>
      <c r="CL173" s="49" t="n">
        <v>74</v>
      </c>
      <c r="CM173" s="49" t="n">
        <v>24</v>
      </c>
      <c r="CN173" s="49" t="n">
        <v>58</v>
      </c>
      <c r="CO173" s="49" t="n">
        <v>82</v>
      </c>
      <c r="CP173" s="25" t="n">
        <f aca="false">BX173+BW173+BV173+BU173+BT173+BQ173+BN173</f>
        <v>643</v>
      </c>
      <c r="CQ173" s="25" t="n">
        <f aca="false">CO173+CL173+CI173+CH173+CG173+CD173+CA173</f>
        <v>561</v>
      </c>
      <c r="CR173" s="26" t="n">
        <f aca="false">CP173/7</f>
        <v>91.8571428571429</v>
      </c>
      <c r="CS173" s="26" t="n">
        <f aca="false">CQ173/7</f>
        <v>80.1428571428571</v>
      </c>
      <c r="CT173" s="24" t="n">
        <f aca="false">RANK(CR173,$CR$2:$CR$881,0)</f>
        <v>97</v>
      </c>
      <c r="CU173" s="25" t="n">
        <f aca="false">RANK(CS173,$CS$2:$CS$881,0)</f>
        <v>258</v>
      </c>
      <c r="CV173" s="26" t="n">
        <f aca="false">(CS173+CR173)/2</f>
        <v>86</v>
      </c>
      <c r="CW173" s="25" t="n">
        <f aca="false">RANK(CV173,$CV$2:$CV$881,0)</f>
        <v>172</v>
      </c>
      <c r="CX173" s="50" t="n">
        <f aca="false">(CV173+BB173)/2</f>
        <v>83.85</v>
      </c>
      <c r="CY173" s="50" t="n">
        <v>169</v>
      </c>
      <c r="CZ173" s="27" t="s">
        <v>132</v>
      </c>
      <c r="DA173" s="27" t="s">
        <v>202</v>
      </c>
      <c r="DB173" s="27" t="s">
        <v>202</v>
      </c>
      <c r="DC173" s="27" t="s">
        <v>134</v>
      </c>
      <c r="DD173" s="27" t="s">
        <v>174</v>
      </c>
      <c r="DE173" s="27" t="s">
        <v>161</v>
      </c>
      <c r="DF173" s="27" t="s">
        <v>169</v>
      </c>
      <c r="DG173" s="27" t="s">
        <v>134</v>
      </c>
      <c r="DH173" s="27" t="s">
        <v>135</v>
      </c>
      <c r="DI173" s="27" t="s">
        <v>161</v>
      </c>
      <c r="DJ173" s="27" t="s">
        <v>202</v>
      </c>
      <c r="DK173" s="27" t="s">
        <v>134</v>
      </c>
      <c r="DL173" s="27" t="s">
        <v>174</v>
      </c>
      <c r="DM173" s="27" t="s">
        <v>183</v>
      </c>
      <c r="DN173" s="27" t="s">
        <v>219</v>
      </c>
      <c r="DO173" s="27" t="s">
        <v>134</v>
      </c>
      <c r="DP173" s="27" t="s">
        <v>174</v>
      </c>
      <c r="DQ173" s="27" t="s">
        <v>218</v>
      </c>
      <c r="DR173" s="27" t="s">
        <v>272</v>
      </c>
      <c r="DS173" s="27" t="s">
        <v>134</v>
      </c>
      <c r="DT173" s="27" t="s">
        <v>164</v>
      </c>
      <c r="DU173" s="27" t="s">
        <v>412</v>
      </c>
      <c r="DV173" s="27" t="s">
        <v>305</v>
      </c>
      <c r="DW173" s="27" t="s">
        <v>146</v>
      </c>
      <c r="DX173" s="27" t="s">
        <v>138</v>
      </c>
      <c r="DY173" s="27" t="s">
        <v>147</v>
      </c>
      <c r="DZ173" s="27" t="n">
        <f aca="false">DY173+DV173+DR173+DN173+DJ173+DF173+DB173</f>
        <v>591</v>
      </c>
      <c r="EA173" s="28" t="n">
        <f aca="false">DZ173/7</f>
        <v>84.4285714285714</v>
      </c>
      <c r="EB173" s="27" t="n">
        <f aca="false">RANK(EA173,$EA$2:$EA$881,0)</f>
        <v>205</v>
      </c>
      <c r="EC173" s="29" t="n">
        <f aca="false">DZ173+CQ173+CP173+AZ173</f>
        <v>2612</v>
      </c>
      <c r="ED173" s="30" t="n">
        <f aca="false">(EA173+CV173+BB173)/3</f>
        <v>84.0428571428571</v>
      </c>
      <c r="EE173" s="51" t="n">
        <f aca="false">ROUND(BE173,3)</f>
        <v>86.95</v>
      </c>
      <c r="EF173" s="51" t="n">
        <f aca="false">ROUND(CR173,3)</f>
        <v>91.857</v>
      </c>
      <c r="EG173" s="51" t="n">
        <f aca="false">ROUND(CS173,3)</f>
        <v>80.143</v>
      </c>
      <c r="EH173" s="51" t="n">
        <f aca="false">ROUND(EA173,3)</f>
        <v>84.429</v>
      </c>
      <c r="EI173" s="51" t="n">
        <f aca="false">ROUND(ED173,3)</f>
        <v>84.043</v>
      </c>
      <c r="EJ173" s="51" t="n">
        <f aca="false">ROUND(CV173,3)</f>
        <v>86</v>
      </c>
      <c r="EK173" s="0" t="n">
        <f aca="false">RANK(EI173,$EI$2:$EI$881,0)</f>
        <v>172</v>
      </c>
    </row>
    <row r="174" customFormat="false" ht="15" hidden="false" customHeight="false" outlineLevel="0" collapsed="false">
      <c r="A174" s="4" t="n">
        <v>8980</v>
      </c>
      <c r="B174" s="4" t="n">
        <v>225</v>
      </c>
      <c r="C174" s="27" t="s">
        <v>694</v>
      </c>
      <c r="D174" s="31" t="n">
        <v>227</v>
      </c>
      <c r="E174" s="32" t="n">
        <v>230323343</v>
      </c>
      <c r="F174" s="8" t="s">
        <v>695</v>
      </c>
      <c r="G174" s="22" t="s">
        <v>696</v>
      </c>
      <c r="H174" s="22" t="s">
        <v>129</v>
      </c>
      <c r="I174" s="33" t="n">
        <v>2005</v>
      </c>
      <c r="J174" s="32" t="n">
        <v>79</v>
      </c>
      <c r="K174" s="32" t="n">
        <v>85</v>
      </c>
      <c r="L174" s="34" t="n">
        <f aca="false">(K174*70)/100</f>
        <v>59.5</v>
      </c>
      <c r="M174" s="34" t="n">
        <f aca="false">ROUNDUP(L174,0)</f>
        <v>60</v>
      </c>
      <c r="N174" s="32" t="n">
        <v>27</v>
      </c>
      <c r="O174" s="34" t="n">
        <f aca="false">N174+L174</f>
        <v>86.5</v>
      </c>
      <c r="P174" s="34" t="n">
        <f aca="false">N174+M174</f>
        <v>87</v>
      </c>
      <c r="Q174" s="32" t="n">
        <v>77</v>
      </c>
      <c r="R174" s="32" t="n">
        <v>82</v>
      </c>
      <c r="S174" s="34" t="n">
        <f aca="false">(R174*70)/100</f>
        <v>57.4</v>
      </c>
      <c r="T174" s="34" t="n">
        <f aca="false">ROUNDUP(S174,0)</f>
        <v>58</v>
      </c>
      <c r="U174" s="32" t="n">
        <v>20</v>
      </c>
      <c r="V174" s="34" t="n">
        <f aca="false">U174+S174</f>
        <v>77.4</v>
      </c>
      <c r="W174" s="34" t="n">
        <f aca="false">U174+T174</f>
        <v>78</v>
      </c>
      <c r="X174" s="32" t="n">
        <v>66</v>
      </c>
      <c r="Y174" s="34" t="n">
        <f aca="false">(X174*70)/100</f>
        <v>46.2</v>
      </c>
      <c r="Z174" s="34" t="n">
        <f aca="false">ROUNDUP(Y174,0)</f>
        <v>47</v>
      </c>
      <c r="AA174" s="32" t="n">
        <v>26</v>
      </c>
      <c r="AB174" s="34" t="n">
        <f aca="false">AA174+Y174</f>
        <v>72.2</v>
      </c>
      <c r="AC174" s="34" t="n">
        <f aca="false">AA174+Z174</f>
        <v>73</v>
      </c>
      <c r="AD174" s="32" t="n">
        <f aca="false">X174+R174+Q174+K174+J174</f>
        <v>389</v>
      </c>
      <c r="AE174" s="16" t="n">
        <f aca="false">AD174/5</f>
        <v>77.8</v>
      </c>
      <c r="AF174" s="16" t="n">
        <v>81</v>
      </c>
      <c r="AG174" s="16" t="n">
        <v>83</v>
      </c>
      <c r="AH174" s="16" t="n">
        <v>87</v>
      </c>
      <c r="AI174" s="16" t="n">
        <v>89</v>
      </c>
      <c r="AJ174" s="16" t="n">
        <f aca="false">(AI174*70)/100</f>
        <v>62.3</v>
      </c>
      <c r="AK174" s="35" t="n">
        <f aca="false">ROUNDUP(AJ174,0)</f>
        <v>63</v>
      </c>
      <c r="AL174" s="16" t="n">
        <v>25</v>
      </c>
      <c r="AM174" s="16" t="n">
        <f aca="false">AL174+AJ174</f>
        <v>87.3</v>
      </c>
      <c r="AN174" s="16" t="n">
        <f aca="false">AL174+AK174</f>
        <v>88</v>
      </c>
      <c r="AO174" s="16" t="n">
        <v>81</v>
      </c>
      <c r="AP174" s="36" t="n">
        <f aca="false">(AO174*70)/100</f>
        <v>56.7</v>
      </c>
      <c r="AQ174" s="37" t="n">
        <f aca="false">ROUNDUP(AP174,0)</f>
        <v>57</v>
      </c>
      <c r="AR174" s="16" t="n">
        <v>29</v>
      </c>
      <c r="AS174" s="16" t="n">
        <f aca="false">AR174+AP174</f>
        <v>85.7</v>
      </c>
      <c r="AT174" s="16" t="n">
        <f aca="false">AR174+AQ174</f>
        <v>86</v>
      </c>
      <c r="AU174" s="16" t="n">
        <f aca="false">AO174+AF174+AI174+AH174+AG174</f>
        <v>421</v>
      </c>
      <c r="AV174" s="16" t="n">
        <f aca="false">(AO174+AF174+AI174+AH174+AG174)/5</f>
        <v>84.2</v>
      </c>
      <c r="AW174" s="36" t="n">
        <f aca="false">(AO174+AF174+AI174+AH174+AG174+X174+R174+Q174+K174+J174)</f>
        <v>810</v>
      </c>
      <c r="AX174" s="16" t="n">
        <f aca="false">AW174/10</f>
        <v>81</v>
      </c>
      <c r="AY174" s="16" t="n">
        <f aca="false">AS174+AF174+AM174+AH174+AG174+AB174+V174+Q174+O174+J174</f>
        <v>816.1</v>
      </c>
      <c r="AZ174" s="16" t="n">
        <f aca="false">AT174+AF174+AN174+AH174+AG174+AC174+W174+Q174+P174+J174</f>
        <v>819</v>
      </c>
      <c r="BA174" s="16" t="n">
        <f aca="false">AY174/10</f>
        <v>81.61</v>
      </c>
      <c r="BB174" s="16" t="n">
        <f aca="false">AZ174/10</f>
        <v>81.9</v>
      </c>
      <c r="BC174" s="16" t="n">
        <v>2354</v>
      </c>
      <c r="BD174" s="16" t="n">
        <f aca="false">RANK(AX174,$AX$2:$AX$881,0)</f>
        <v>210</v>
      </c>
      <c r="BE174" s="54" t="n">
        <f aca="false">((BC174*100)/2400)*0.4+(AX174*0.6)</f>
        <v>87.8333333333333</v>
      </c>
      <c r="BF174" s="16" t="n">
        <f aca="false">RANK(BE174,$BE$2:$BE$881,0)</f>
        <v>219</v>
      </c>
      <c r="BG174" s="39" t="n">
        <f aca="false">RANK(BB174,$BB$2:$BB$881,0)</f>
        <v>218</v>
      </c>
      <c r="BH174" s="39" t="n">
        <f aca="false">RANK(BC174,$BC$2:$BC$881,0)</f>
        <v>490</v>
      </c>
      <c r="BI174" s="22" t="s">
        <v>130</v>
      </c>
      <c r="BJ174" s="22" t="s">
        <v>129</v>
      </c>
      <c r="BK174" s="40" t="s">
        <v>131</v>
      </c>
      <c r="BL174" s="41" t="n">
        <v>27</v>
      </c>
      <c r="BM174" s="41" t="n">
        <v>60</v>
      </c>
      <c r="BN174" s="41" t="n">
        <v>87</v>
      </c>
      <c r="BO174" s="42" t="n">
        <v>27</v>
      </c>
      <c r="BP174" s="43" t="n">
        <v>62</v>
      </c>
      <c r="BQ174" s="44" t="n">
        <v>89</v>
      </c>
      <c r="BR174" s="42" t="n">
        <v>26</v>
      </c>
      <c r="BS174" s="45" t="n">
        <v>60</v>
      </c>
      <c r="BT174" s="45" t="n">
        <v>86</v>
      </c>
      <c r="BU174" s="46" t="n">
        <v>100</v>
      </c>
      <c r="BV174" s="47" t="n">
        <v>78</v>
      </c>
      <c r="BW174" s="42" t="n">
        <v>98</v>
      </c>
      <c r="BX174" s="48" t="n">
        <v>86</v>
      </c>
      <c r="BY174" s="32" t="n">
        <v>27</v>
      </c>
      <c r="BZ174" s="32" t="n">
        <v>53</v>
      </c>
      <c r="CA174" s="32" t="n">
        <v>80</v>
      </c>
      <c r="CB174" s="32" t="n">
        <v>24</v>
      </c>
      <c r="CC174" s="32" t="n">
        <v>42</v>
      </c>
      <c r="CD174" s="32" t="n">
        <v>66</v>
      </c>
      <c r="CE174" s="32" t="n">
        <v>27</v>
      </c>
      <c r="CF174" s="32" t="n">
        <v>56</v>
      </c>
      <c r="CG174" s="32" t="n">
        <v>83</v>
      </c>
      <c r="CH174" s="32" t="n">
        <v>93</v>
      </c>
      <c r="CI174" s="32" t="n">
        <v>100</v>
      </c>
      <c r="CJ174" s="49" t="n">
        <v>26</v>
      </c>
      <c r="CK174" s="49" t="n">
        <v>50</v>
      </c>
      <c r="CL174" s="49" t="n">
        <v>76</v>
      </c>
      <c r="CM174" s="49" t="n">
        <v>22</v>
      </c>
      <c r="CN174" s="49" t="n">
        <v>51</v>
      </c>
      <c r="CO174" s="49" t="n">
        <v>73</v>
      </c>
      <c r="CP174" s="25" t="n">
        <f aca="false">BX174+BW174+BV174+BU174+BT174+BQ174+BN174</f>
        <v>624</v>
      </c>
      <c r="CQ174" s="25" t="n">
        <f aca="false">CO174+CL174+CI174+CH174+CG174+CD174+CA174</f>
        <v>571</v>
      </c>
      <c r="CR174" s="26" t="n">
        <f aca="false">CP174/7</f>
        <v>89.1428571428571</v>
      </c>
      <c r="CS174" s="26" t="n">
        <f aca="false">CQ174/7</f>
        <v>81.5714285714286</v>
      </c>
      <c r="CT174" s="24" t="n">
        <f aca="false">RANK(CR174,$CR$2:$CR$881,0)</f>
        <v>235</v>
      </c>
      <c r="CU174" s="25" t="n">
        <f aca="false">RANK(CS174,$CS$2:$CS$881,0)</f>
        <v>207</v>
      </c>
      <c r="CV174" s="26" t="n">
        <f aca="false">(CS174+CR174)/2</f>
        <v>85.3571428571429</v>
      </c>
      <c r="CW174" s="25" t="n">
        <f aca="false">RANK(CV174,$CV$2:$CV$881,0)</f>
        <v>194</v>
      </c>
      <c r="CX174" s="50" t="n">
        <f aca="false">(CV174+BB174)/2</f>
        <v>83.6285714285714</v>
      </c>
      <c r="CY174" s="50" t="n">
        <v>183</v>
      </c>
      <c r="CZ174" s="27" t="s">
        <v>132</v>
      </c>
      <c r="DA174" s="27" t="s">
        <v>151</v>
      </c>
      <c r="DB174" s="27" t="s">
        <v>151</v>
      </c>
      <c r="DC174" s="27" t="s">
        <v>134</v>
      </c>
      <c r="DD174" s="27" t="s">
        <v>160</v>
      </c>
      <c r="DE174" s="27" t="s">
        <v>220</v>
      </c>
      <c r="DF174" s="27" t="s">
        <v>209</v>
      </c>
      <c r="DG174" s="27" t="s">
        <v>134</v>
      </c>
      <c r="DH174" s="27" t="s">
        <v>195</v>
      </c>
      <c r="DI174" s="27" t="s">
        <v>218</v>
      </c>
      <c r="DJ174" s="27" t="s">
        <v>305</v>
      </c>
      <c r="DK174" s="27" t="s">
        <v>134</v>
      </c>
      <c r="DL174" s="27" t="s">
        <v>135</v>
      </c>
      <c r="DM174" s="27" t="s">
        <v>220</v>
      </c>
      <c r="DN174" s="27" t="s">
        <v>196</v>
      </c>
      <c r="DO174" s="27" t="s">
        <v>134</v>
      </c>
      <c r="DP174" s="27" t="s">
        <v>182</v>
      </c>
      <c r="DQ174" s="27" t="s">
        <v>177</v>
      </c>
      <c r="DR174" s="27" t="s">
        <v>209</v>
      </c>
      <c r="DS174" s="27" t="s">
        <v>134</v>
      </c>
      <c r="DT174" s="27" t="s">
        <v>164</v>
      </c>
      <c r="DU174" s="27" t="s">
        <v>412</v>
      </c>
      <c r="DV174" s="27" t="s">
        <v>305</v>
      </c>
      <c r="DW174" s="27" t="s">
        <v>137</v>
      </c>
      <c r="DX174" s="27" t="s">
        <v>155</v>
      </c>
      <c r="DY174" s="27" t="s">
        <v>142</v>
      </c>
      <c r="DZ174" s="27" t="n">
        <f aca="false">DY174+DV174+DR174+DN174+DJ174+DF174+DB174</f>
        <v>594</v>
      </c>
      <c r="EA174" s="28" t="n">
        <f aca="false">DZ174/7</f>
        <v>84.8571428571429</v>
      </c>
      <c r="EB174" s="27" t="n">
        <f aca="false">RANK(EA174,$EA$2:$EA$881,0)</f>
        <v>188</v>
      </c>
      <c r="EC174" s="29" t="n">
        <f aca="false">DZ174+CQ174+CP174+AZ174</f>
        <v>2608</v>
      </c>
      <c r="ED174" s="30" t="n">
        <f aca="false">(EA174+CV174+BB174)/3</f>
        <v>84.0380952380952</v>
      </c>
      <c r="EE174" s="51" t="n">
        <f aca="false">ROUND(BE174,3)</f>
        <v>87.833</v>
      </c>
      <c r="EF174" s="51" t="n">
        <f aca="false">ROUND(CR174,3)</f>
        <v>89.143</v>
      </c>
      <c r="EG174" s="51" t="n">
        <f aca="false">ROUND(CS174,3)</f>
        <v>81.571</v>
      </c>
      <c r="EH174" s="51" t="n">
        <f aca="false">ROUND(EA174,3)</f>
        <v>84.857</v>
      </c>
      <c r="EI174" s="51" t="n">
        <f aca="false">ROUND(ED174,3)</f>
        <v>84.038</v>
      </c>
      <c r="EJ174" s="51" t="n">
        <f aca="false">ROUND(CV174,3)</f>
        <v>85.357</v>
      </c>
      <c r="EK174" s="0" t="n">
        <f aca="false">RANK(EI174,$EI$2:$EI$881,0)</f>
        <v>173</v>
      </c>
    </row>
    <row r="175" customFormat="false" ht="15" hidden="false" customHeight="false" outlineLevel="0" collapsed="false">
      <c r="A175" s="4" t="n">
        <v>8929</v>
      </c>
      <c r="B175" s="4" t="n">
        <v>742</v>
      </c>
      <c r="C175" s="27" t="s">
        <v>697</v>
      </c>
      <c r="D175" s="31" t="n">
        <v>757</v>
      </c>
      <c r="E175" s="32" t="n">
        <v>230321791</v>
      </c>
      <c r="F175" s="8" t="s">
        <v>698</v>
      </c>
      <c r="G175" s="22" t="s">
        <v>699</v>
      </c>
      <c r="H175" s="22" t="s">
        <v>129</v>
      </c>
      <c r="I175" s="33" t="n">
        <v>2005</v>
      </c>
      <c r="J175" s="32" t="n">
        <v>77</v>
      </c>
      <c r="K175" s="32" t="n">
        <v>84</v>
      </c>
      <c r="L175" s="34" t="n">
        <f aca="false">(K175*70)/100</f>
        <v>58.8</v>
      </c>
      <c r="M175" s="34" t="n">
        <f aca="false">ROUNDUP(L175,0)</f>
        <v>59</v>
      </c>
      <c r="N175" s="32" t="n">
        <v>27</v>
      </c>
      <c r="O175" s="34" t="n">
        <f aca="false">N175+L175</f>
        <v>85.8</v>
      </c>
      <c r="P175" s="34" t="n">
        <f aca="false">N175+M175</f>
        <v>86</v>
      </c>
      <c r="Q175" s="32" t="n">
        <v>87</v>
      </c>
      <c r="R175" s="32" t="n">
        <v>81</v>
      </c>
      <c r="S175" s="34" t="n">
        <f aca="false">(R175*70)/100</f>
        <v>56.7</v>
      </c>
      <c r="T175" s="34" t="n">
        <f aca="false">ROUNDUP(S175,0)</f>
        <v>57</v>
      </c>
      <c r="U175" s="32" t="n">
        <v>23</v>
      </c>
      <c r="V175" s="34" t="n">
        <f aca="false">U175+S175</f>
        <v>79.7</v>
      </c>
      <c r="W175" s="34" t="n">
        <f aca="false">U175+T175</f>
        <v>80</v>
      </c>
      <c r="X175" s="32" t="n">
        <v>74</v>
      </c>
      <c r="Y175" s="34" t="n">
        <f aca="false">(X175*70)/100</f>
        <v>51.8</v>
      </c>
      <c r="Z175" s="34" t="n">
        <f aca="false">ROUNDUP(Y175,0)</f>
        <v>52</v>
      </c>
      <c r="AA175" s="32" t="n">
        <v>24</v>
      </c>
      <c r="AB175" s="34" t="n">
        <f aca="false">AA175+Y175</f>
        <v>75.8</v>
      </c>
      <c r="AC175" s="34" t="n">
        <f aca="false">AA175+Z175</f>
        <v>76</v>
      </c>
      <c r="AD175" s="32" t="n">
        <f aca="false">X175+R175+Q175+K175+J175</f>
        <v>403</v>
      </c>
      <c r="AE175" s="16" t="n">
        <f aca="false">AD175/5</f>
        <v>80.6</v>
      </c>
      <c r="AF175" s="16" t="n">
        <v>71</v>
      </c>
      <c r="AG175" s="16" t="n">
        <v>82</v>
      </c>
      <c r="AH175" s="16" t="n">
        <v>91</v>
      </c>
      <c r="AI175" s="16" t="n">
        <v>80</v>
      </c>
      <c r="AJ175" s="16" t="n">
        <f aca="false">(AI175*70)/100</f>
        <v>56</v>
      </c>
      <c r="AK175" s="35" t="n">
        <f aca="false">ROUNDUP(AJ175,0)</f>
        <v>56</v>
      </c>
      <c r="AL175" s="16" t="n">
        <v>22</v>
      </c>
      <c r="AM175" s="16" t="n">
        <f aca="false">AL175+AJ175</f>
        <v>78</v>
      </c>
      <c r="AN175" s="16" t="n">
        <f aca="false">AL175+AK175</f>
        <v>78</v>
      </c>
      <c r="AO175" s="16" t="n">
        <v>70</v>
      </c>
      <c r="AP175" s="36" t="n">
        <f aca="false">(AO175*70)/100</f>
        <v>49</v>
      </c>
      <c r="AQ175" s="37" t="n">
        <f aca="false">ROUNDUP(AP175,0)</f>
        <v>49</v>
      </c>
      <c r="AR175" s="16" t="n">
        <v>28</v>
      </c>
      <c r="AS175" s="16" t="n">
        <f aca="false">AR175+AP175</f>
        <v>77</v>
      </c>
      <c r="AT175" s="16" t="n">
        <f aca="false">AR175+AQ175</f>
        <v>77</v>
      </c>
      <c r="AU175" s="16" t="n">
        <f aca="false">AO175+AF175+AI175+AH175+AG175</f>
        <v>394</v>
      </c>
      <c r="AV175" s="16" t="n">
        <f aca="false">(AO175+AF175+AI175+AH175+AG175)/5</f>
        <v>78.8</v>
      </c>
      <c r="AW175" s="36" t="n">
        <f aca="false">(AO175+AF175+AI175+AH175+AG175+X175+R175+Q175+K175+J175)</f>
        <v>797</v>
      </c>
      <c r="AX175" s="16" t="n">
        <f aca="false">AW175/10</f>
        <v>79.7</v>
      </c>
      <c r="AY175" s="16" t="n">
        <f aca="false">AS175+AF175+AM175+AH175+AG175+AB175+V175+Q175+O175+J175</f>
        <v>804.3</v>
      </c>
      <c r="AZ175" s="16" t="n">
        <f aca="false">AT175+AF175+AN175+AH175+AG175+AC175+W175+Q175+P175+J175</f>
        <v>805</v>
      </c>
      <c r="BA175" s="16" t="n">
        <f aca="false">AY175/10</f>
        <v>80.43</v>
      </c>
      <c r="BB175" s="16" t="n">
        <f aca="false">AZ175/10</f>
        <v>80.5</v>
      </c>
      <c r="BC175" s="16" t="n">
        <v>2380</v>
      </c>
      <c r="BD175" s="16" t="n">
        <f aca="false">RANK(AX175,$AX$2:$AX$881,0)</f>
        <v>288</v>
      </c>
      <c r="BE175" s="54" t="n">
        <f aca="false">((BC175*100)/2400)*0.4+(AX175*0.6)</f>
        <v>87.4866666666667</v>
      </c>
      <c r="BF175" s="16" t="n">
        <f aca="false">RANK(BE175,$BE$2:$BE$881,0)</f>
        <v>249</v>
      </c>
      <c r="BG175" s="39" t="n">
        <f aca="false">RANK(BB175,$BB$2:$BB$881,0)</f>
        <v>312</v>
      </c>
      <c r="BH175" s="39" t="n">
        <f aca="false">RANK(BC175,$BC$2:$BC$881,0)</f>
        <v>148</v>
      </c>
      <c r="BI175" s="22" t="s">
        <v>130</v>
      </c>
      <c r="BJ175" s="22" t="s">
        <v>129</v>
      </c>
      <c r="BK175" s="40" t="s">
        <v>131</v>
      </c>
      <c r="BL175" s="41" t="n">
        <v>21</v>
      </c>
      <c r="BM175" s="41" t="n">
        <v>57</v>
      </c>
      <c r="BN175" s="41" t="n">
        <v>78</v>
      </c>
      <c r="BO175" s="42" t="n">
        <v>26</v>
      </c>
      <c r="BP175" s="43" t="n">
        <v>60</v>
      </c>
      <c r="BQ175" s="44" t="n">
        <v>86</v>
      </c>
      <c r="BR175" s="42" t="n">
        <v>27</v>
      </c>
      <c r="BS175" s="45" t="n">
        <v>51</v>
      </c>
      <c r="BT175" s="45" t="n">
        <v>78</v>
      </c>
      <c r="BU175" s="46" t="n">
        <v>100</v>
      </c>
      <c r="BV175" s="47" t="n">
        <v>92</v>
      </c>
      <c r="BW175" s="42" t="n">
        <v>93</v>
      </c>
      <c r="BX175" s="48" t="n">
        <v>100</v>
      </c>
      <c r="BY175" s="32" t="n">
        <v>27</v>
      </c>
      <c r="BZ175" s="32" t="n">
        <v>53</v>
      </c>
      <c r="CA175" s="32" t="n">
        <v>80</v>
      </c>
      <c r="CB175" s="32" t="n">
        <v>18</v>
      </c>
      <c r="CC175" s="32" t="n">
        <v>32</v>
      </c>
      <c r="CD175" s="69" t="n">
        <v>50</v>
      </c>
      <c r="CE175" s="25" t="n">
        <v>26</v>
      </c>
      <c r="CF175" s="25" t="n">
        <v>54</v>
      </c>
      <c r="CG175" s="25" t="n">
        <v>80</v>
      </c>
      <c r="CH175" s="32" t="n">
        <v>98</v>
      </c>
      <c r="CI175" s="32" t="n">
        <v>100</v>
      </c>
      <c r="CJ175" s="49" t="n">
        <v>20</v>
      </c>
      <c r="CK175" s="49" t="n">
        <v>57</v>
      </c>
      <c r="CL175" s="49" t="n">
        <v>77</v>
      </c>
      <c r="CM175" s="49" t="n">
        <v>24</v>
      </c>
      <c r="CN175" s="49" t="n">
        <v>56</v>
      </c>
      <c r="CO175" s="49" t="n">
        <v>80</v>
      </c>
      <c r="CP175" s="25" t="n">
        <f aca="false">BX175+BW175+BV175+BU175+BT175+BQ175+BN175</f>
        <v>627</v>
      </c>
      <c r="CQ175" s="25" t="n">
        <f aca="false">CO175+CL175+CI175+CH175+CG175+CD175+CA175</f>
        <v>565</v>
      </c>
      <c r="CR175" s="26" t="n">
        <f aca="false">CP175/7</f>
        <v>89.5714285714286</v>
      </c>
      <c r="CS175" s="26" t="n">
        <f aca="false">CQ175/7</f>
        <v>80.7142857142857</v>
      </c>
      <c r="CT175" s="24" t="n">
        <f aca="false">RANK(CR175,$CR$2:$CR$881,0)</f>
        <v>209</v>
      </c>
      <c r="CU175" s="25" t="n">
        <f aca="false">RANK(CS175,$CS$2:$CS$881,0)</f>
        <v>233</v>
      </c>
      <c r="CV175" s="26" t="n">
        <f aca="false">(CS175+CR175)/2</f>
        <v>85.1428571428571</v>
      </c>
      <c r="CW175" s="25" t="n">
        <f aca="false">RANK(CV175,$CV$2:$CV$881,0)</f>
        <v>206</v>
      </c>
      <c r="CX175" s="50" t="n">
        <f aca="false">(CV175+BB175)/2</f>
        <v>82.8214285714286</v>
      </c>
      <c r="CY175" s="50" t="n">
        <v>218</v>
      </c>
      <c r="CZ175" s="27" t="s">
        <v>132</v>
      </c>
      <c r="DA175" s="27" t="s">
        <v>176</v>
      </c>
      <c r="DB175" s="27" t="s">
        <v>176</v>
      </c>
      <c r="DC175" s="27" t="s">
        <v>134</v>
      </c>
      <c r="DD175" s="27" t="s">
        <v>135</v>
      </c>
      <c r="DE175" s="27" t="s">
        <v>183</v>
      </c>
      <c r="DF175" s="27" t="s">
        <v>169</v>
      </c>
      <c r="DG175" s="27" t="s">
        <v>134</v>
      </c>
      <c r="DH175" s="27" t="s">
        <v>164</v>
      </c>
      <c r="DI175" s="27" t="s">
        <v>177</v>
      </c>
      <c r="DJ175" s="27" t="s">
        <v>178</v>
      </c>
      <c r="DK175" s="27" t="s">
        <v>134</v>
      </c>
      <c r="DL175" s="27" t="s">
        <v>137</v>
      </c>
      <c r="DM175" s="27" t="s">
        <v>183</v>
      </c>
      <c r="DN175" s="27" t="s">
        <v>209</v>
      </c>
      <c r="DO175" s="27" t="s">
        <v>134</v>
      </c>
      <c r="DP175" s="27" t="s">
        <v>386</v>
      </c>
      <c r="DQ175" s="27" t="s">
        <v>218</v>
      </c>
      <c r="DR175" s="27" t="s">
        <v>441</v>
      </c>
      <c r="DS175" s="27" t="s">
        <v>134</v>
      </c>
      <c r="DT175" s="27" t="s">
        <v>137</v>
      </c>
      <c r="DU175" s="27" t="s">
        <v>203</v>
      </c>
      <c r="DV175" s="27" t="s">
        <v>133</v>
      </c>
      <c r="DW175" s="27" t="s">
        <v>137</v>
      </c>
      <c r="DX175" s="27" t="s">
        <v>155</v>
      </c>
      <c r="DY175" s="27" t="s">
        <v>142</v>
      </c>
      <c r="DZ175" s="27" t="n">
        <f aca="false">DY175+DV175+DR175+DN175+DJ175+DF175+DB175</f>
        <v>605</v>
      </c>
      <c r="EA175" s="28" t="n">
        <f aca="false">DZ175/7</f>
        <v>86.4285714285714</v>
      </c>
      <c r="EB175" s="27" t="n">
        <f aca="false">RANK(EA175,$EA$2:$EA$881,0)</f>
        <v>145</v>
      </c>
      <c r="EC175" s="29" t="n">
        <f aca="false">DZ175+CQ175+CP175+AZ175</f>
        <v>2602</v>
      </c>
      <c r="ED175" s="30" t="n">
        <f aca="false">(EA175+CV175+BB175)/3</f>
        <v>84.0238095238095</v>
      </c>
      <c r="EE175" s="51" t="n">
        <f aca="false">ROUND(BE175,3)</f>
        <v>87.487</v>
      </c>
      <c r="EF175" s="51" t="n">
        <f aca="false">ROUND(CR175,3)</f>
        <v>89.571</v>
      </c>
      <c r="EG175" s="51" t="n">
        <f aca="false">ROUND(CS175,3)</f>
        <v>80.714</v>
      </c>
      <c r="EH175" s="51" t="n">
        <f aca="false">ROUND(EA175,3)</f>
        <v>86.429</v>
      </c>
      <c r="EI175" s="51" t="n">
        <f aca="false">ROUND(ED175,3)</f>
        <v>84.024</v>
      </c>
      <c r="EJ175" s="51" t="n">
        <f aca="false">ROUND(CV175,3)</f>
        <v>85.143</v>
      </c>
      <c r="EK175" s="0" t="n">
        <f aca="false">RANK(EI175,$EI$2:$EI$881,0)</f>
        <v>174</v>
      </c>
    </row>
    <row r="176" customFormat="false" ht="15" hidden="false" customHeight="false" outlineLevel="0" collapsed="false">
      <c r="A176" s="4" t="n">
        <v>9089</v>
      </c>
      <c r="B176" s="4" t="n">
        <v>543</v>
      </c>
      <c r="C176" s="27" t="s">
        <v>700</v>
      </c>
      <c r="D176" s="31" t="n">
        <v>548</v>
      </c>
      <c r="E176" s="32" t="n">
        <v>230314518</v>
      </c>
      <c r="F176" s="8" t="s">
        <v>701</v>
      </c>
      <c r="G176" s="22" t="s">
        <v>237</v>
      </c>
      <c r="H176" s="22" t="s">
        <v>129</v>
      </c>
      <c r="I176" s="33" t="n">
        <v>2006</v>
      </c>
      <c r="J176" s="32" t="n">
        <v>67</v>
      </c>
      <c r="K176" s="32" t="n">
        <v>70</v>
      </c>
      <c r="L176" s="34" t="n">
        <f aca="false">(K176*70)/100</f>
        <v>49</v>
      </c>
      <c r="M176" s="34" t="n">
        <f aca="false">ROUNDUP(L176,0)</f>
        <v>49</v>
      </c>
      <c r="N176" s="32" t="n">
        <v>26</v>
      </c>
      <c r="O176" s="34" t="n">
        <f aca="false">N176+L176</f>
        <v>75</v>
      </c>
      <c r="P176" s="34" t="n">
        <f aca="false">N176+M176</f>
        <v>75</v>
      </c>
      <c r="Q176" s="32" t="n">
        <v>70</v>
      </c>
      <c r="R176" s="32" t="n">
        <v>75</v>
      </c>
      <c r="S176" s="34" t="n">
        <f aca="false">(R176*70)/100</f>
        <v>52.5</v>
      </c>
      <c r="T176" s="34" t="n">
        <f aca="false">ROUNDUP(S176,0)</f>
        <v>53</v>
      </c>
      <c r="U176" s="32" t="n">
        <v>24</v>
      </c>
      <c r="V176" s="34" t="n">
        <f aca="false">U176+S176</f>
        <v>76.5</v>
      </c>
      <c r="W176" s="34" t="n">
        <f aca="false">U176+T176</f>
        <v>77</v>
      </c>
      <c r="X176" s="32" t="n">
        <v>70</v>
      </c>
      <c r="Y176" s="34" t="n">
        <f aca="false">(X176*70)/100</f>
        <v>49</v>
      </c>
      <c r="Z176" s="34" t="n">
        <f aca="false">ROUNDUP(Y176,0)</f>
        <v>49</v>
      </c>
      <c r="AA176" s="32" t="n">
        <v>22</v>
      </c>
      <c r="AB176" s="34" t="n">
        <f aca="false">AA176+Y176</f>
        <v>71</v>
      </c>
      <c r="AC176" s="34" t="n">
        <f aca="false">AA176+Z176</f>
        <v>71</v>
      </c>
      <c r="AD176" s="32" t="n">
        <f aca="false">X176+R176+Q176+K176+J176</f>
        <v>352</v>
      </c>
      <c r="AE176" s="16" t="n">
        <f aca="false">AD176/5</f>
        <v>70.4</v>
      </c>
      <c r="AF176" s="16" t="n">
        <v>69</v>
      </c>
      <c r="AG176" s="16" t="n">
        <v>76</v>
      </c>
      <c r="AH176" s="16" t="n">
        <v>88</v>
      </c>
      <c r="AI176" s="16" t="n">
        <v>88</v>
      </c>
      <c r="AJ176" s="16" t="n">
        <f aca="false">(AI176*70)/100</f>
        <v>61.6</v>
      </c>
      <c r="AK176" s="35" t="n">
        <f aca="false">ROUNDUP(AJ176,0)</f>
        <v>62</v>
      </c>
      <c r="AL176" s="16" t="n">
        <v>26</v>
      </c>
      <c r="AM176" s="16" t="n">
        <f aca="false">AL176+AJ176</f>
        <v>87.6</v>
      </c>
      <c r="AN176" s="16" t="n">
        <f aca="false">AL176+AK176</f>
        <v>88</v>
      </c>
      <c r="AO176" s="16" t="n">
        <v>78</v>
      </c>
      <c r="AP176" s="36" t="n">
        <f aca="false">(AO176*70)/100</f>
        <v>54.6</v>
      </c>
      <c r="AQ176" s="37" t="n">
        <f aca="false">ROUNDUP(AP176,0)</f>
        <v>55</v>
      </c>
      <c r="AR176" s="16" t="n">
        <v>22</v>
      </c>
      <c r="AS176" s="16" t="n">
        <f aca="false">AR176+AP176</f>
        <v>76.6</v>
      </c>
      <c r="AT176" s="16" t="n">
        <f aca="false">AR176+AQ176</f>
        <v>77</v>
      </c>
      <c r="AU176" s="16" t="n">
        <f aca="false">AO176+AF176+AI176+AH176+AG176</f>
        <v>399</v>
      </c>
      <c r="AV176" s="16" t="n">
        <f aca="false">(AO176+AF176+AI176+AH176+AG176)/5</f>
        <v>79.8</v>
      </c>
      <c r="AW176" s="36" t="n">
        <f aca="false">(AO176+AF176+AI176+AH176+AG176+X176+R176+Q176+K176+J176)</f>
        <v>751</v>
      </c>
      <c r="AX176" s="16" t="n">
        <f aca="false">AW176/10</f>
        <v>75.1</v>
      </c>
      <c r="AY176" s="16" t="n">
        <f aca="false">AS176+AF176+AM176+AH176+AG176+AB176+V176+Q176+O176+J176</f>
        <v>756.7</v>
      </c>
      <c r="AZ176" s="16" t="n">
        <f aca="false">AT176+AF176+AN176+AH176+AG176+AC176+W176+Q176+P176+J176</f>
        <v>758</v>
      </c>
      <c r="BA176" s="16" t="n">
        <f aca="false">AY176/10</f>
        <v>75.67</v>
      </c>
      <c r="BB176" s="16" t="n">
        <f aca="false">AZ176/10</f>
        <v>75.8</v>
      </c>
      <c r="BC176" s="16" t="n">
        <v>2308</v>
      </c>
      <c r="BD176" s="16" t="n">
        <f aca="false">RANK(AX176,$AX$2:$AX$881,0)</f>
        <v>682</v>
      </c>
      <c r="BE176" s="73" t="n">
        <f aca="false">((BC176*100)/2400)*0.4+(AX176*0.6)</f>
        <v>83.5266666666667</v>
      </c>
      <c r="BF176" s="16" t="n">
        <f aca="false">RANK(BE176,$BE$2:$BE$881,0)</f>
        <v>694</v>
      </c>
      <c r="BG176" s="39" t="n">
        <f aca="false">RANK(BB176,$BB$2:$BB$881,0)</f>
        <v>681</v>
      </c>
      <c r="BH176" s="39" t="n">
        <f aca="false">RANK(BC176,$BC$2:$BC$881,0)</f>
        <v>758</v>
      </c>
      <c r="BI176" s="22" t="s">
        <v>130</v>
      </c>
      <c r="BJ176" s="22" t="s">
        <v>129</v>
      </c>
      <c r="BK176" s="40" t="s">
        <v>702</v>
      </c>
      <c r="BL176" s="41" t="n">
        <v>24</v>
      </c>
      <c r="BM176" s="41" t="n">
        <v>62</v>
      </c>
      <c r="BN176" s="41" t="n">
        <v>86</v>
      </c>
      <c r="BO176" s="42" t="n">
        <v>26</v>
      </c>
      <c r="BP176" s="43" t="n">
        <v>65</v>
      </c>
      <c r="BQ176" s="44" t="n">
        <v>91</v>
      </c>
      <c r="BR176" s="42" t="n">
        <v>26</v>
      </c>
      <c r="BS176" s="45" t="n">
        <v>61</v>
      </c>
      <c r="BT176" s="45" t="n">
        <v>87</v>
      </c>
      <c r="BU176" s="46" t="n">
        <v>100</v>
      </c>
      <c r="BV176" s="47" t="n">
        <v>84</v>
      </c>
      <c r="BW176" s="42" t="n">
        <v>99</v>
      </c>
      <c r="BX176" s="48" t="n">
        <v>92</v>
      </c>
      <c r="BY176" s="32" t="n">
        <v>27</v>
      </c>
      <c r="BZ176" s="32" t="n">
        <v>61</v>
      </c>
      <c r="CA176" s="32" t="n">
        <v>88</v>
      </c>
      <c r="CB176" s="32" t="n">
        <v>29</v>
      </c>
      <c r="CC176" s="32" t="n">
        <v>46</v>
      </c>
      <c r="CD176" s="32" t="n">
        <v>75</v>
      </c>
      <c r="CE176" s="32" t="n">
        <v>26</v>
      </c>
      <c r="CF176" s="32" t="n">
        <v>66</v>
      </c>
      <c r="CG176" s="32" t="n">
        <v>92</v>
      </c>
      <c r="CH176" s="32" t="n">
        <v>98</v>
      </c>
      <c r="CI176" s="32" t="n">
        <v>99</v>
      </c>
      <c r="CJ176" s="49" t="n">
        <v>25</v>
      </c>
      <c r="CK176" s="49" t="n">
        <v>59</v>
      </c>
      <c r="CL176" s="49" t="n">
        <v>84</v>
      </c>
      <c r="CM176" s="49" t="n">
        <v>25</v>
      </c>
      <c r="CN176" s="49" t="n">
        <v>49</v>
      </c>
      <c r="CO176" s="49" t="n">
        <v>74</v>
      </c>
      <c r="CP176" s="25" t="n">
        <f aca="false">BX176+BW176+BV176+BU176+BT176+BQ176+BN176</f>
        <v>639</v>
      </c>
      <c r="CQ176" s="25" t="n">
        <f aca="false">CO176+CL176+CI176+CH176+CG176+CD176+CA176</f>
        <v>610</v>
      </c>
      <c r="CR176" s="26" t="n">
        <f aca="false">CP176/7</f>
        <v>91.2857142857143</v>
      </c>
      <c r="CS176" s="26" t="n">
        <f aca="false">CQ176/7</f>
        <v>87.1428571428571</v>
      </c>
      <c r="CT176" s="24" t="n">
        <f aca="false">RANK(CR176,$CR$2:$CR$881,0)</f>
        <v>114</v>
      </c>
      <c r="CU176" s="25" t="n">
        <f aca="false">RANK(CS176,$CS$2:$CS$881,0)</f>
        <v>55</v>
      </c>
      <c r="CV176" s="26" t="n">
        <f aca="false">(CS176+CR176)/2</f>
        <v>89.2142857142857</v>
      </c>
      <c r="CW176" s="25" t="n">
        <f aca="false">RANK(CV176,$CV$2:$CV$881,0)</f>
        <v>65</v>
      </c>
      <c r="CX176" s="50" t="n">
        <f aca="false">(CV176+BB176)/2</f>
        <v>82.5071428571429</v>
      </c>
      <c r="CY176" s="50" t="n">
        <v>235</v>
      </c>
      <c r="CZ176" s="27" t="s">
        <v>132</v>
      </c>
      <c r="DA176" s="27" t="s">
        <v>202</v>
      </c>
      <c r="DB176" s="27" t="s">
        <v>202</v>
      </c>
      <c r="DC176" s="27" t="s">
        <v>134</v>
      </c>
      <c r="DD176" s="27" t="s">
        <v>160</v>
      </c>
      <c r="DE176" s="27" t="s">
        <v>183</v>
      </c>
      <c r="DF176" s="27" t="s">
        <v>202</v>
      </c>
      <c r="DG176" s="27" t="s">
        <v>134</v>
      </c>
      <c r="DH176" s="27" t="s">
        <v>182</v>
      </c>
      <c r="DI176" s="27" t="s">
        <v>152</v>
      </c>
      <c r="DJ176" s="27" t="s">
        <v>133</v>
      </c>
      <c r="DK176" s="27" t="s">
        <v>134</v>
      </c>
      <c r="DL176" s="27" t="s">
        <v>182</v>
      </c>
      <c r="DM176" s="27" t="s">
        <v>136</v>
      </c>
      <c r="DN176" s="27" t="s">
        <v>178</v>
      </c>
      <c r="DO176" s="27" t="s">
        <v>134</v>
      </c>
      <c r="DP176" s="27" t="s">
        <v>135</v>
      </c>
      <c r="DQ176" s="27" t="s">
        <v>204</v>
      </c>
      <c r="DR176" s="27" t="s">
        <v>209</v>
      </c>
      <c r="DS176" s="27" t="s">
        <v>134</v>
      </c>
      <c r="DT176" s="27" t="s">
        <v>160</v>
      </c>
      <c r="DU176" s="27" t="s">
        <v>306</v>
      </c>
      <c r="DV176" s="27" t="s">
        <v>169</v>
      </c>
      <c r="DW176" s="27" t="s">
        <v>135</v>
      </c>
      <c r="DX176" s="27" t="s">
        <v>138</v>
      </c>
      <c r="DY176" s="27" t="s">
        <v>156</v>
      </c>
      <c r="DZ176" s="27" t="n">
        <f aca="false">DY176+DV176+DR176+DN176+DJ176+DF176+DB176</f>
        <v>608</v>
      </c>
      <c r="EA176" s="28" t="n">
        <f aca="false">DZ176/7</f>
        <v>86.8571428571429</v>
      </c>
      <c r="EB176" s="27" t="n">
        <f aca="false">RANK(EA176,$EA$2:$EA$881,0)</f>
        <v>131</v>
      </c>
      <c r="EC176" s="29" t="n">
        <f aca="false">DZ176+CQ176+CP176+AZ176</f>
        <v>2615</v>
      </c>
      <c r="ED176" s="30" t="n">
        <f aca="false">(EA176+CV176+BB176)/3</f>
        <v>83.9571428571429</v>
      </c>
      <c r="EE176" s="51" t="n">
        <f aca="false">ROUND(BE176,3)</f>
        <v>83.527</v>
      </c>
      <c r="EF176" s="51" t="n">
        <f aca="false">ROUND(CR176,3)</f>
        <v>91.286</v>
      </c>
      <c r="EG176" s="51" t="n">
        <f aca="false">ROUND(CS176,3)</f>
        <v>87.143</v>
      </c>
      <c r="EH176" s="51" t="n">
        <f aca="false">ROUND(EA176,3)</f>
        <v>86.857</v>
      </c>
      <c r="EI176" s="51" t="n">
        <f aca="false">ROUND(ED176,3)</f>
        <v>83.957</v>
      </c>
      <c r="EJ176" s="51" t="n">
        <f aca="false">ROUND(CV176,3)</f>
        <v>89.214</v>
      </c>
      <c r="EK176" s="0" t="n">
        <f aca="false">RANK(EI176,$EI$2:$EI$881,0)</f>
        <v>175</v>
      </c>
    </row>
    <row r="177" customFormat="false" ht="15" hidden="false" customHeight="false" outlineLevel="0" collapsed="false">
      <c r="A177" s="4" t="n">
        <v>1952</v>
      </c>
      <c r="B177" s="4" t="n">
        <v>761</v>
      </c>
      <c r="C177" s="27" t="s">
        <v>703</v>
      </c>
      <c r="D177" s="31" t="n">
        <v>778</v>
      </c>
      <c r="E177" s="16" t="n">
        <v>230253902</v>
      </c>
      <c r="F177" s="56" t="s">
        <v>704</v>
      </c>
      <c r="G177" s="22" t="s">
        <v>705</v>
      </c>
      <c r="H177" s="22" t="s">
        <v>326</v>
      </c>
      <c r="I177" s="57"/>
      <c r="J177" s="16" t="n">
        <v>62</v>
      </c>
      <c r="K177" s="16" t="n">
        <v>76</v>
      </c>
      <c r="L177" s="34" t="n">
        <f aca="false">(K177*70)/100</f>
        <v>53.2</v>
      </c>
      <c r="M177" s="34" t="n">
        <f aca="false">ROUNDUP(L177,0)</f>
        <v>54</v>
      </c>
      <c r="N177" s="16" t="n">
        <v>29</v>
      </c>
      <c r="O177" s="34" t="n">
        <f aca="false">N177+L177</f>
        <v>82.2</v>
      </c>
      <c r="P177" s="34" t="n">
        <f aca="false">N177+M177</f>
        <v>83</v>
      </c>
      <c r="Q177" s="16" t="n">
        <v>83</v>
      </c>
      <c r="R177" s="16" t="n">
        <v>78</v>
      </c>
      <c r="S177" s="34" t="n">
        <f aca="false">(R177*70)/100</f>
        <v>54.6</v>
      </c>
      <c r="T177" s="34" t="n">
        <f aca="false">ROUNDUP(S177,0)</f>
        <v>55</v>
      </c>
      <c r="U177" s="16" t="n">
        <v>25</v>
      </c>
      <c r="V177" s="34" t="n">
        <f aca="false">U177+S177</f>
        <v>79.6</v>
      </c>
      <c r="W177" s="34" t="n">
        <f aca="false">U177+T177</f>
        <v>80</v>
      </c>
      <c r="X177" s="16" t="n">
        <v>75</v>
      </c>
      <c r="Y177" s="34" t="n">
        <f aca="false">(X177*70)/100</f>
        <v>52.5</v>
      </c>
      <c r="Z177" s="34" t="n">
        <f aca="false">ROUNDUP(Y177,0)</f>
        <v>53</v>
      </c>
      <c r="AA177" s="16" t="n">
        <v>28</v>
      </c>
      <c r="AB177" s="34" t="n">
        <f aca="false">AA177+Y177</f>
        <v>80.5</v>
      </c>
      <c r="AC177" s="34" t="n">
        <f aca="false">AA177+Z177</f>
        <v>81</v>
      </c>
      <c r="AD177" s="32" t="n">
        <f aca="false">X177+R177+Q177+K177+J177</f>
        <v>374</v>
      </c>
      <c r="AE177" s="16" t="n">
        <f aca="false">AD177/5</f>
        <v>74.8</v>
      </c>
      <c r="AF177" s="16" t="n">
        <v>78</v>
      </c>
      <c r="AG177" s="16" t="n">
        <v>79</v>
      </c>
      <c r="AH177" s="16" t="n">
        <v>90</v>
      </c>
      <c r="AI177" s="16" t="n">
        <v>88</v>
      </c>
      <c r="AJ177" s="16" t="n">
        <f aca="false">(AI177*70)/100</f>
        <v>61.6</v>
      </c>
      <c r="AK177" s="35" t="n">
        <f aca="false">ROUNDUP(AJ177,0)</f>
        <v>62</v>
      </c>
      <c r="AL177" s="16" t="n">
        <v>27</v>
      </c>
      <c r="AM177" s="16" t="n">
        <f aca="false">AL177+AJ177</f>
        <v>88.6</v>
      </c>
      <c r="AN177" s="16" t="n">
        <f aca="false">AL177+AK177</f>
        <v>89</v>
      </c>
      <c r="AO177" s="16" t="n">
        <v>76</v>
      </c>
      <c r="AP177" s="36" t="n">
        <f aca="false">(AO177*70)/100</f>
        <v>53.2</v>
      </c>
      <c r="AQ177" s="37" t="n">
        <f aca="false">ROUNDUP(AP177,0)</f>
        <v>54</v>
      </c>
      <c r="AR177" s="16" t="n">
        <v>28</v>
      </c>
      <c r="AS177" s="16" t="n">
        <f aca="false">AR177+AP177</f>
        <v>81.2</v>
      </c>
      <c r="AT177" s="16" t="n">
        <f aca="false">AR177+AQ177</f>
        <v>82</v>
      </c>
      <c r="AU177" s="16" t="n">
        <f aca="false">AO177+AF177+AI177+AH177+AG177</f>
        <v>411</v>
      </c>
      <c r="AV177" s="16" t="n">
        <f aca="false">(AO177+AF177+AI177+AH177+AG177)/5</f>
        <v>82.2</v>
      </c>
      <c r="AW177" s="36" t="n">
        <f aca="false">(AO177+AF177+AI177+AH177+AG177+X177+R177+Q177+K177+J177)</f>
        <v>785</v>
      </c>
      <c r="AX177" s="16" t="n">
        <f aca="false">AW177/10</f>
        <v>78.5</v>
      </c>
      <c r="AY177" s="16" t="n">
        <f aca="false">AS177+AF177+AM177+AH177+AG177+AB177+V177+Q177+O177+J177</f>
        <v>804.1</v>
      </c>
      <c r="AZ177" s="16" t="n">
        <f aca="false">AT177+AF177+AN177+AH177+AG177+AC177+W177+Q177+P177+J177</f>
        <v>807</v>
      </c>
      <c r="BA177" s="16" t="n">
        <f aca="false">AY177/10</f>
        <v>80.41</v>
      </c>
      <c r="BB177" s="16" t="n">
        <f aca="false">AZ177/10</f>
        <v>80.7</v>
      </c>
      <c r="BC177" s="16" t="n">
        <v>2334</v>
      </c>
      <c r="BD177" s="16" t="n">
        <f aca="false">RANK(AX177,$AX$2:$AX$881,0)</f>
        <v>375</v>
      </c>
      <c r="BE177" s="54" t="n">
        <f aca="false">((BC177*100)/2400)*0.4+(AX177*0.6)</f>
        <v>86</v>
      </c>
      <c r="BF177" s="16" t="n">
        <f aca="false">RANK(BE177,$BE$2:$BE$881,0)</f>
        <v>433</v>
      </c>
      <c r="BG177" s="39" t="n">
        <f aca="false">RANK(BB177,$BB$2:$BB$881,0)</f>
        <v>298</v>
      </c>
      <c r="BH177" s="39" t="n">
        <f aca="false">RANK(BC177,$BC$2:$BC$881,0)</f>
        <v>687</v>
      </c>
      <c r="BI177" s="22" t="s">
        <v>130</v>
      </c>
      <c r="BJ177" s="22" t="s">
        <v>129</v>
      </c>
      <c r="BK177" s="40" t="s">
        <v>509</v>
      </c>
      <c r="BL177" s="41" t="n">
        <v>25</v>
      </c>
      <c r="BM177" s="41" t="n">
        <v>56</v>
      </c>
      <c r="BN177" s="41" t="n">
        <v>81</v>
      </c>
      <c r="BO177" s="42" t="n">
        <v>27</v>
      </c>
      <c r="BP177" s="43" t="n">
        <v>64</v>
      </c>
      <c r="BQ177" s="44" t="n">
        <v>91</v>
      </c>
      <c r="BR177" s="42" t="n">
        <v>27</v>
      </c>
      <c r="BS177" s="45" t="n">
        <v>65</v>
      </c>
      <c r="BT177" s="45" t="n">
        <v>92</v>
      </c>
      <c r="BU177" s="46" t="n">
        <v>99</v>
      </c>
      <c r="BV177" s="47" t="n">
        <v>74</v>
      </c>
      <c r="BW177" s="42" t="n">
        <v>99</v>
      </c>
      <c r="BX177" s="24" t="n">
        <v>98</v>
      </c>
      <c r="BY177" s="32" t="n">
        <v>27</v>
      </c>
      <c r="BZ177" s="32" t="n">
        <v>60</v>
      </c>
      <c r="CA177" s="32" t="n">
        <v>87</v>
      </c>
      <c r="CB177" s="32" t="n">
        <v>22</v>
      </c>
      <c r="CC177" s="32" t="n">
        <v>54</v>
      </c>
      <c r="CD177" s="32" t="n">
        <v>76</v>
      </c>
      <c r="CE177" s="32" t="n">
        <v>27</v>
      </c>
      <c r="CF177" s="32" t="n">
        <v>55</v>
      </c>
      <c r="CG177" s="32" t="n">
        <v>82</v>
      </c>
      <c r="CH177" s="32" t="n">
        <v>98</v>
      </c>
      <c r="CI177" s="32" t="n">
        <v>96</v>
      </c>
      <c r="CJ177" s="25" t="n">
        <v>26</v>
      </c>
      <c r="CK177" s="25" t="n">
        <v>50</v>
      </c>
      <c r="CL177" s="25" t="n">
        <v>76</v>
      </c>
      <c r="CM177" s="49" t="n">
        <v>22</v>
      </c>
      <c r="CN177" s="49" t="n">
        <v>55</v>
      </c>
      <c r="CO177" s="49" t="n">
        <v>77</v>
      </c>
      <c r="CP177" s="25" t="n">
        <f aca="false">BX177+BW177+BV177+BU177+BT177+BQ177+BN177</f>
        <v>634</v>
      </c>
      <c r="CQ177" s="25" t="n">
        <f aca="false">CO177+CL177+CI177+CH177+CG177+CD177+CA177</f>
        <v>592</v>
      </c>
      <c r="CR177" s="26" t="n">
        <f aca="false">CP177/7</f>
        <v>90.5714285714286</v>
      </c>
      <c r="CS177" s="26" t="n">
        <f aca="false">CQ177/7</f>
        <v>84.5714285714286</v>
      </c>
      <c r="CT177" s="24" t="n">
        <f aca="false">RANK(CR177,$CR$2:$CR$881,0)</f>
        <v>147</v>
      </c>
      <c r="CU177" s="25" t="n">
        <f aca="false">RANK(CS177,$CS$2:$CS$881,0)</f>
        <v>108</v>
      </c>
      <c r="CV177" s="26" t="n">
        <f aca="false">(CS177+CR177)/2</f>
        <v>87.5714285714286</v>
      </c>
      <c r="CW177" s="25" t="n">
        <f aca="false">RANK(CV177,$CV$2:$CV$881,0)</f>
        <v>114</v>
      </c>
      <c r="CX177" s="50" t="n">
        <f aca="false">(CV177+BB177)/2</f>
        <v>84.1357142857143</v>
      </c>
      <c r="CY177" s="50" t="n">
        <v>158</v>
      </c>
      <c r="CZ177" s="27" t="s">
        <v>132</v>
      </c>
      <c r="DA177" s="27" t="s">
        <v>169</v>
      </c>
      <c r="DB177" s="27" t="s">
        <v>169</v>
      </c>
      <c r="DC177" s="27" t="s">
        <v>134</v>
      </c>
      <c r="DD177" s="27" t="s">
        <v>164</v>
      </c>
      <c r="DE177" s="27" t="s">
        <v>203</v>
      </c>
      <c r="DF177" s="27" t="s">
        <v>162</v>
      </c>
      <c r="DG177" s="27" t="s">
        <v>134</v>
      </c>
      <c r="DH177" s="27" t="s">
        <v>135</v>
      </c>
      <c r="DI177" s="27" t="s">
        <v>204</v>
      </c>
      <c r="DJ177" s="27" t="s">
        <v>209</v>
      </c>
      <c r="DK177" s="27" t="s">
        <v>134</v>
      </c>
      <c r="DL177" s="27" t="s">
        <v>135</v>
      </c>
      <c r="DM177" s="27" t="s">
        <v>220</v>
      </c>
      <c r="DN177" s="27" t="s">
        <v>196</v>
      </c>
      <c r="DO177" s="27" t="s">
        <v>134</v>
      </c>
      <c r="DP177" s="27" t="s">
        <v>706</v>
      </c>
      <c r="DQ177" s="27" t="s">
        <v>304</v>
      </c>
      <c r="DR177" s="27" t="s">
        <v>138</v>
      </c>
      <c r="DS177" s="27" t="s">
        <v>134</v>
      </c>
      <c r="DT177" s="27" t="s">
        <v>160</v>
      </c>
      <c r="DU177" s="27" t="s">
        <v>183</v>
      </c>
      <c r="DV177" s="27" t="s">
        <v>202</v>
      </c>
      <c r="DW177" s="27" t="s">
        <v>174</v>
      </c>
      <c r="DX177" s="27" t="s">
        <v>155</v>
      </c>
      <c r="DY177" s="27" t="s">
        <v>176</v>
      </c>
      <c r="DZ177" s="27" t="n">
        <f aca="false">DY177+DV177+DR177+DN177+DJ177+DF177+DB177</f>
        <v>584</v>
      </c>
      <c r="EA177" s="28" t="n">
        <f aca="false">DZ177/7</f>
        <v>83.4285714285714</v>
      </c>
      <c r="EB177" s="27" t="n">
        <f aca="false">RANK(EA177,$EA$2:$EA$881,0)</f>
        <v>253</v>
      </c>
      <c r="EC177" s="29" t="n">
        <f aca="false">DZ177+CQ177+CP177+AZ177</f>
        <v>2617</v>
      </c>
      <c r="ED177" s="30" t="n">
        <f aca="false">(EA177+CV177+BB177)/3</f>
        <v>83.9</v>
      </c>
      <c r="EE177" s="51" t="n">
        <f aca="false">ROUND(BE177,3)</f>
        <v>86</v>
      </c>
      <c r="EF177" s="51" t="n">
        <f aca="false">ROUND(CR177,3)</f>
        <v>90.571</v>
      </c>
      <c r="EG177" s="51" t="n">
        <f aca="false">ROUND(CS177,3)</f>
        <v>84.571</v>
      </c>
      <c r="EH177" s="51" t="n">
        <f aca="false">ROUND(EA177,3)</f>
        <v>83.429</v>
      </c>
      <c r="EI177" s="51" t="n">
        <f aca="false">ROUND(ED177,3)</f>
        <v>83.9</v>
      </c>
      <c r="EJ177" s="51" t="n">
        <f aca="false">ROUND(CV177,3)</f>
        <v>87.571</v>
      </c>
      <c r="EK177" s="0" t="n">
        <f aca="false">RANK(EI177,$EI$2:$EI$881,0)</f>
        <v>176</v>
      </c>
    </row>
    <row r="178" customFormat="false" ht="15" hidden="false" customHeight="false" outlineLevel="0" collapsed="false">
      <c r="A178" s="4" t="n">
        <v>8992</v>
      </c>
      <c r="B178" s="4" t="n">
        <v>164</v>
      </c>
      <c r="C178" s="27" t="s">
        <v>707</v>
      </c>
      <c r="D178" s="31" t="n">
        <v>164</v>
      </c>
      <c r="E178" s="16" t="n">
        <v>230238587</v>
      </c>
      <c r="F178" s="56" t="s">
        <v>708</v>
      </c>
      <c r="G178" s="22" t="s">
        <v>709</v>
      </c>
      <c r="H178" s="22" t="s">
        <v>326</v>
      </c>
      <c r="I178" s="57"/>
      <c r="J178" s="16" t="n">
        <v>85</v>
      </c>
      <c r="K178" s="16" t="n">
        <v>85</v>
      </c>
      <c r="L178" s="34" t="n">
        <f aca="false">(K178*70)/100</f>
        <v>59.5</v>
      </c>
      <c r="M178" s="34" t="n">
        <f aca="false">ROUNDUP(L178,0)</f>
        <v>60</v>
      </c>
      <c r="N178" s="16" t="n">
        <v>22</v>
      </c>
      <c r="O178" s="34" t="n">
        <f aca="false">N178+L178</f>
        <v>81.5</v>
      </c>
      <c r="P178" s="34" t="n">
        <f aca="false">N178+M178</f>
        <v>82</v>
      </c>
      <c r="Q178" s="16" t="n">
        <v>87</v>
      </c>
      <c r="R178" s="16" t="n">
        <v>78</v>
      </c>
      <c r="S178" s="34" t="n">
        <f aca="false">(R178*70)/100</f>
        <v>54.6</v>
      </c>
      <c r="T178" s="34" t="n">
        <f aca="false">ROUNDUP(S178,0)</f>
        <v>55</v>
      </c>
      <c r="U178" s="16" t="n">
        <v>26</v>
      </c>
      <c r="V178" s="34" t="n">
        <f aca="false">U178+S178</f>
        <v>80.6</v>
      </c>
      <c r="W178" s="34" t="n">
        <f aca="false">U178+T178</f>
        <v>81</v>
      </c>
      <c r="X178" s="16" t="n">
        <v>69</v>
      </c>
      <c r="Y178" s="34" t="n">
        <f aca="false">(X178*70)/100</f>
        <v>48.3</v>
      </c>
      <c r="Z178" s="34" t="n">
        <f aca="false">ROUNDUP(Y178,0)</f>
        <v>49</v>
      </c>
      <c r="AA178" s="16" t="n">
        <v>27</v>
      </c>
      <c r="AB178" s="34" t="n">
        <f aca="false">AA178+Y178</f>
        <v>75.3</v>
      </c>
      <c r="AC178" s="34" t="n">
        <f aca="false">AA178+Z178</f>
        <v>76</v>
      </c>
      <c r="AD178" s="32" t="n">
        <f aca="false">X178+R178+Q178+K178+J178</f>
        <v>404</v>
      </c>
      <c r="AE178" s="16" t="n">
        <f aca="false">AD178/5</f>
        <v>80.8</v>
      </c>
      <c r="AF178" s="16" t="n">
        <v>77</v>
      </c>
      <c r="AG178" s="16" t="n">
        <v>80</v>
      </c>
      <c r="AH178" s="16" t="n">
        <v>85</v>
      </c>
      <c r="AI178" s="16" t="n">
        <v>95</v>
      </c>
      <c r="AJ178" s="16" t="n">
        <f aca="false">(AI178*70)/100</f>
        <v>66.5</v>
      </c>
      <c r="AK178" s="35" t="n">
        <f aca="false">ROUNDUP(AJ178,0)</f>
        <v>67</v>
      </c>
      <c r="AL178" s="16" t="n">
        <v>27</v>
      </c>
      <c r="AM178" s="16" t="n">
        <f aca="false">AL178+AJ178</f>
        <v>93.5</v>
      </c>
      <c r="AN178" s="16" t="n">
        <f aca="false">AL178+AK178</f>
        <v>94</v>
      </c>
      <c r="AO178" s="16" t="n">
        <v>67</v>
      </c>
      <c r="AP178" s="36" t="n">
        <f aca="false">(AO178*70)/100</f>
        <v>46.9</v>
      </c>
      <c r="AQ178" s="37" t="n">
        <f aca="false">ROUNDUP(AP178,0)</f>
        <v>47</v>
      </c>
      <c r="AR178" s="16" t="n">
        <v>29</v>
      </c>
      <c r="AS178" s="16" t="n">
        <f aca="false">AR178+AP178</f>
        <v>75.9</v>
      </c>
      <c r="AT178" s="16" t="n">
        <f aca="false">AR178+AQ178</f>
        <v>76</v>
      </c>
      <c r="AU178" s="16" t="n">
        <f aca="false">AO178+AF178+AI178+AH178+AG178</f>
        <v>404</v>
      </c>
      <c r="AV178" s="16" t="n">
        <f aca="false">(AO178+AF178+AI178+AH178+AG178)/5</f>
        <v>80.8</v>
      </c>
      <c r="AW178" s="36" t="n">
        <f aca="false">(AO178+AF178+AI178+AH178+AG178+X178+R178+Q178+K178+J178)</f>
        <v>808</v>
      </c>
      <c r="AX178" s="16" t="n">
        <f aca="false">AW178/10</f>
        <v>80.8</v>
      </c>
      <c r="AY178" s="16" t="n">
        <f aca="false">AS178+AF178+AM178+AH178+AG178+AB178+V178+Q178+O178+J178</f>
        <v>820.8</v>
      </c>
      <c r="AZ178" s="16" t="n">
        <f aca="false">AT178+AF178+AN178+AH178+AG178+AC178+W178+Q178+P178+J178</f>
        <v>823</v>
      </c>
      <c r="BA178" s="16" t="n">
        <f aca="false">AY178/10</f>
        <v>82.08</v>
      </c>
      <c r="BB178" s="16" t="n">
        <f aca="false">AZ178/10</f>
        <v>82.3</v>
      </c>
      <c r="BC178" s="16" t="n">
        <v>2394</v>
      </c>
      <c r="BD178" s="16" t="n">
        <f aca="false">RANK(AX178,$AX$2:$AX$881,0)</f>
        <v>217</v>
      </c>
      <c r="BE178" s="54" t="n">
        <f aca="false">((BC178*100)/2400)*0.4+(AX178*0.6)</f>
        <v>88.38</v>
      </c>
      <c r="BF178" s="16" t="n">
        <f aca="false">RANK(BE178,$BE$2:$BE$881,0)</f>
        <v>174</v>
      </c>
      <c r="BG178" s="39" t="n">
        <f aca="false">RANK(BB178,$BB$2:$BB$881,0)</f>
        <v>193</v>
      </c>
      <c r="BH178" s="39" t="n">
        <f aca="false">RANK(BC178,$BC$2:$BC$881,0)</f>
        <v>17</v>
      </c>
      <c r="BI178" s="22" t="s">
        <v>130</v>
      </c>
      <c r="BJ178" s="22" t="s">
        <v>129</v>
      </c>
      <c r="BK178" s="40" t="s">
        <v>131</v>
      </c>
      <c r="BL178" s="41" t="n">
        <v>19</v>
      </c>
      <c r="BM178" s="41" t="n">
        <v>57</v>
      </c>
      <c r="BN178" s="41" t="n">
        <v>76</v>
      </c>
      <c r="BO178" s="42" t="n">
        <v>25</v>
      </c>
      <c r="BP178" s="43" t="n">
        <v>62</v>
      </c>
      <c r="BQ178" s="44" t="n">
        <v>87</v>
      </c>
      <c r="BR178" s="42" t="n">
        <v>23</v>
      </c>
      <c r="BS178" s="45" t="n">
        <v>63</v>
      </c>
      <c r="BT178" s="45" t="n">
        <v>86</v>
      </c>
      <c r="BU178" s="46" t="n">
        <v>100</v>
      </c>
      <c r="BV178" s="47" t="n">
        <v>92</v>
      </c>
      <c r="BW178" s="42" t="n">
        <v>100</v>
      </c>
      <c r="BX178" s="48" t="n">
        <v>92</v>
      </c>
      <c r="BY178" s="32" t="n">
        <v>26</v>
      </c>
      <c r="BZ178" s="32" t="n">
        <v>51</v>
      </c>
      <c r="CA178" s="32" t="n">
        <v>77</v>
      </c>
      <c r="CB178" s="32" t="n">
        <v>27</v>
      </c>
      <c r="CC178" s="32" t="n">
        <v>46</v>
      </c>
      <c r="CD178" s="32" t="n">
        <v>73</v>
      </c>
      <c r="CE178" s="32" t="n">
        <v>25</v>
      </c>
      <c r="CF178" s="32" t="n">
        <v>52</v>
      </c>
      <c r="CG178" s="32" t="n">
        <v>77</v>
      </c>
      <c r="CH178" s="32" t="n">
        <v>96</v>
      </c>
      <c r="CI178" s="32" t="n">
        <v>100</v>
      </c>
      <c r="CJ178" s="49" t="n">
        <v>20</v>
      </c>
      <c r="CK178" s="49" t="n">
        <v>50</v>
      </c>
      <c r="CL178" s="49" t="n">
        <v>70</v>
      </c>
      <c r="CM178" s="49" t="n">
        <v>22</v>
      </c>
      <c r="CN178" s="49" t="n">
        <v>55</v>
      </c>
      <c r="CO178" s="49" t="n">
        <v>77</v>
      </c>
      <c r="CP178" s="25" t="n">
        <f aca="false">BX178+BW178+BV178+BU178+BT178+BQ178+BN178</f>
        <v>633</v>
      </c>
      <c r="CQ178" s="25" t="n">
        <f aca="false">CO178+CL178+CI178+CH178+CG178+CD178+CA178</f>
        <v>570</v>
      </c>
      <c r="CR178" s="26" t="n">
        <f aca="false">CP178/7</f>
        <v>90.4285714285714</v>
      </c>
      <c r="CS178" s="26" t="n">
        <f aca="false">CQ178/7</f>
        <v>81.4285714285714</v>
      </c>
      <c r="CT178" s="24" t="n">
        <f aca="false">RANK(CR178,$CR$2:$CR$881,0)</f>
        <v>155</v>
      </c>
      <c r="CU178" s="25" t="n">
        <f aca="false">RANK(CS178,$CS$2:$CS$881,0)</f>
        <v>211</v>
      </c>
      <c r="CV178" s="26" t="n">
        <f aca="false">(CS178+CR178)/2</f>
        <v>85.9285714285714</v>
      </c>
      <c r="CW178" s="25" t="n">
        <f aca="false">RANK(CV178,$CV$2:$CV$881,0)</f>
        <v>176</v>
      </c>
      <c r="CX178" s="50" t="n">
        <f aca="false">(CV178+BB178)/2</f>
        <v>84.1142857142857</v>
      </c>
      <c r="CY178" s="50" t="n">
        <v>159</v>
      </c>
      <c r="CZ178" s="27" t="s">
        <v>132</v>
      </c>
      <c r="DA178" s="27" t="s">
        <v>162</v>
      </c>
      <c r="DB178" s="27" t="s">
        <v>162</v>
      </c>
      <c r="DC178" s="27" t="s">
        <v>134</v>
      </c>
      <c r="DD178" s="27" t="s">
        <v>174</v>
      </c>
      <c r="DE178" s="27" t="s">
        <v>183</v>
      </c>
      <c r="DF178" s="27" t="s">
        <v>219</v>
      </c>
      <c r="DG178" s="27" t="s">
        <v>134</v>
      </c>
      <c r="DH178" s="27" t="s">
        <v>164</v>
      </c>
      <c r="DI178" s="27" t="s">
        <v>183</v>
      </c>
      <c r="DJ178" s="27" t="s">
        <v>175</v>
      </c>
      <c r="DK178" s="27" t="s">
        <v>134</v>
      </c>
      <c r="DL178" s="27" t="s">
        <v>137</v>
      </c>
      <c r="DM178" s="27" t="s">
        <v>412</v>
      </c>
      <c r="DN178" s="27" t="s">
        <v>382</v>
      </c>
      <c r="DO178" s="27" t="s">
        <v>134</v>
      </c>
      <c r="DP178" s="27" t="s">
        <v>264</v>
      </c>
      <c r="DQ178" s="27" t="s">
        <v>412</v>
      </c>
      <c r="DR178" s="27" t="s">
        <v>155</v>
      </c>
      <c r="DS178" s="27" t="s">
        <v>134</v>
      </c>
      <c r="DT178" s="27" t="s">
        <v>140</v>
      </c>
      <c r="DU178" s="27" t="s">
        <v>183</v>
      </c>
      <c r="DV178" s="27" t="s">
        <v>178</v>
      </c>
      <c r="DW178" s="27" t="s">
        <v>160</v>
      </c>
      <c r="DX178" s="27" t="s">
        <v>143</v>
      </c>
      <c r="DY178" s="27" t="s">
        <v>142</v>
      </c>
      <c r="DZ178" s="27" t="n">
        <f aca="false">DY178+DV178+DR178+DN178+DJ178+DF178+DB178</f>
        <v>584</v>
      </c>
      <c r="EA178" s="28" t="n">
        <f aca="false">DZ178/7</f>
        <v>83.4285714285714</v>
      </c>
      <c r="EB178" s="27" t="n">
        <f aca="false">RANK(EA178,$EA$2:$EA$881,0)</f>
        <v>253</v>
      </c>
      <c r="EC178" s="29" t="n">
        <f aca="false">DZ178+CQ178+CP178+AZ178</f>
        <v>2610</v>
      </c>
      <c r="ED178" s="30" t="n">
        <f aca="false">(EA178+CV178+BB178)/3</f>
        <v>83.8857142857143</v>
      </c>
      <c r="EE178" s="51" t="n">
        <f aca="false">ROUND(BE178,3)</f>
        <v>88.38</v>
      </c>
      <c r="EF178" s="51" t="n">
        <f aca="false">ROUND(CR178,3)</f>
        <v>90.429</v>
      </c>
      <c r="EG178" s="51" t="n">
        <f aca="false">ROUND(CS178,3)</f>
        <v>81.429</v>
      </c>
      <c r="EH178" s="51" t="n">
        <f aca="false">ROUND(EA178,3)</f>
        <v>83.429</v>
      </c>
      <c r="EI178" s="51" t="n">
        <f aca="false">ROUND(ED178,3)</f>
        <v>83.886</v>
      </c>
      <c r="EJ178" s="51" t="n">
        <f aca="false">ROUND(CV178,3)</f>
        <v>85.929</v>
      </c>
      <c r="EK178" s="0" t="n">
        <f aca="false">RANK(EI178,$EI$2:$EI$881,0)</f>
        <v>177</v>
      </c>
    </row>
    <row r="179" customFormat="false" ht="15" hidden="false" customHeight="false" outlineLevel="0" collapsed="false">
      <c r="A179" s="4" t="n">
        <v>9039</v>
      </c>
      <c r="B179" s="4" t="n">
        <v>740</v>
      </c>
      <c r="C179" s="27" t="s">
        <v>710</v>
      </c>
      <c r="D179" s="31" t="n">
        <v>755</v>
      </c>
      <c r="E179" s="32" t="n">
        <v>230321866</v>
      </c>
      <c r="F179" s="8" t="s">
        <v>711</v>
      </c>
      <c r="G179" s="22" t="s">
        <v>246</v>
      </c>
      <c r="H179" s="22" t="s">
        <v>129</v>
      </c>
      <c r="I179" s="33" t="n">
        <v>2005</v>
      </c>
      <c r="J179" s="32" t="n">
        <v>75</v>
      </c>
      <c r="K179" s="32" t="n">
        <v>87</v>
      </c>
      <c r="L179" s="34" t="n">
        <f aca="false">(K179*70)/100</f>
        <v>60.9</v>
      </c>
      <c r="M179" s="34" t="n">
        <f aca="false">ROUNDUP(L179,0)</f>
        <v>61</v>
      </c>
      <c r="N179" s="32" t="n">
        <v>25</v>
      </c>
      <c r="O179" s="34" t="n">
        <f aca="false">N179+L179</f>
        <v>85.9</v>
      </c>
      <c r="P179" s="34" t="n">
        <f aca="false">N179+M179</f>
        <v>86</v>
      </c>
      <c r="Q179" s="32" t="n">
        <v>88</v>
      </c>
      <c r="R179" s="32" t="n">
        <v>73</v>
      </c>
      <c r="S179" s="34" t="n">
        <f aca="false">(R179*70)/100</f>
        <v>51.1</v>
      </c>
      <c r="T179" s="34" t="n">
        <f aca="false">ROUNDUP(S179,0)</f>
        <v>52</v>
      </c>
      <c r="U179" s="32" t="n">
        <v>28</v>
      </c>
      <c r="V179" s="34" t="n">
        <f aca="false">U179+S179</f>
        <v>79.1</v>
      </c>
      <c r="W179" s="34" t="n">
        <f aca="false">U179+T179</f>
        <v>80</v>
      </c>
      <c r="X179" s="32" t="n">
        <v>77</v>
      </c>
      <c r="Y179" s="34" t="n">
        <f aca="false">(X179*70)/100</f>
        <v>53.9</v>
      </c>
      <c r="Z179" s="34" t="n">
        <f aca="false">ROUNDUP(Y179,0)</f>
        <v>54</v>
      </c>
      <c r="AA179" s="32" t="n">
        <v>26</v>
      </c>
      <c r="AB179" s="34" t="n">
        <f aca="false">AA179+Y179</f>
        <v>79.9</v>
      </c>
      <c r="AC179" s="34" t="n">
        <f aca="false">AA179+Z179</f>
        <v>80</v>
      </c>
      <c r="AD179" s="32" t="n">
        <f aca="false">X179+R179+Q179+K179+J179</f>
        <v>400</v>
      </c>
      <c r="AE179" s="16" t="n">
        <f aca="false">AD179/5</f>
        <v>80</v>
      </c>
      <c r="AF179" s="16" t="n">
        <v>87</v>
      </c>
      <c r="AG179" s="16" t="n">
        <v>88</v>
      </c>
      <c r="AH179" s="16" t="n">
        <v>95</v>
      </c>
      <c r="AI179" s="16" t="n">
        <v>95</v>
      </c>
      <c r="AJ179" s="16" t="n">
        <f aca="false">(AI179*70)/100</f>
        <v>66.5</v>
      </c>
      <c r="AK179" s="35" t="n">
        <f aca="false">ROUNDUP(AJ179,0)</f>
        <v>67</v>
      </c>
      <c r="AL179" s="16" t="n">
        <v>27</v>
      </c>
      <c r="AM179" s="16" t="n">
        <f aca="false">AL179+AJ179</f>
        <v>93.5</v>
      </c>
      <c r="AN179" s="16" t="n">
        <f aca="false">AL179+AK179</f>
        <v>94</v>
      </c>
      <c r="AO179" s="16" t="n">
        <v>84</v>
      </c>
      <c r="AP179" s="36" t="n">
        <f aca="false">(AO179*70)/100</f>
        <v>58.8</v>
      </c>
      <c r="AQ179" s="37" t="n">
        <f aca="false">ROUNDUP(AP179,0)</f>
        <v>59</v>
      </c>
      <c r="AR179" s="16" t="n">
        <v>30</v>
      </c>
      <c r="AS179" s="16" t="n">
        <f aca="false">AR179+AP179</f>
        <v>88.8</v>
      </c>
      <c r="AT179" s="16" t="n">
        <f aca="false">AR179+AQ179</f>
        <v>89</v>
      </c>
      <c r="AU179" s="16" t="n">
        <f aca="false">AO179+AF179+AI179+AH179+AG179</f>
        <v>449</v>
      </c>
      <c r="AV179" s="16" t="n">
        <f aca="false">(AO179+AF179+AI179+AH179+AG179)/5</f>
        <v>89.8</v>
      </c>
      <c r="AW179" s="36" t="n">
        <f aca="false">(AO179+AF179+AI179+AH179+AG179+X179+R179+Q179+K179+J179)</f>
        <v>849</v>
      </c>
      <c r="AX179" s="16" t="n">
        <f aca="false">AW179/10</f>
        <v>84.9</v>
      </c>
      <c r="AY179" s="16" t="n">
        <f aca="false">AS179+AF179+AM179+AH179+AG179+AB179+V179+Q179+O179+J179</f>
        <v>860.2</v>
      </c>
      <c r="AZ179" s="16" t="n">
        <f aca="false">AT179+AF179+AN179+AH179+AG179+AC179+W179+Q179+P179+J179</f>
        <v>862</v>
      </c>
      <c r="BA179" s="16" t="n">
        <f aca="false">AY179/10</f>
        <v>86.02</v>
      </c>
      <c r="BB179" s="16" t="n">
        <f aca="false">AZ179/10</f>
        <v>86.2</v>
      </c>
      <c r="BC179" s="16" t="n">
        <v>2362</v>
      </c>
      <c r="BD179" s="16" t="n">
        <f aca="false">RANK(AX179,$AX$2:$AX$881,0)</f>
        <v>95</v>
      </c>
      <c r="BE179" s="38" t="n">
        <f aca="false">((BC179*100)/2400)*0.4+(AX179*0.6)</f>
        <v>90.3066666666667</v>
      </c>
      <c r="BF179" s="16" t="n">
        <f aca="false">RANK(BE179,$BE$2:$BE$881,0)</f>
        <v>92</v>
      </c>
      <c r="BG179" s="39" t="n">
        <f aca="false">RANK(BB179,$BB$2:$BB$881,0)</f>
        <v>77</v>
      </c>
      <c r="BH179" s="39" t="n">
        <f aca="false">RANK(BC179,$BC$2:$BC$881,0)</f>
        <v>367</v>
      </c>
      <c r="BI179" s="22" t="s">
        <v>130</v>
      </c>
      <c r="BJ179" s="22" t="s">
        <v>129</v>
      </c>
      <c r="BK179" s="40" t="s">
        <v>131</v>
      </c>
      <c r="BL179" s="41" t="n">
        <v>24</v>
      </c>
      <c r="BM179" s="61"/>
      <c r="BN179" s="61"/>
      <c r="BO179" s="42" t="n">
        <v>27</v>
      </c>
      <c r="BP179" s="43" t="n">
        <v>58</v>
      </c>
      <c r="BQ179" s="44" t="n">
        <v>85</v>
      </c>
      <c r="BR179" s="42" t="n">
        <v>27</v>
      </c>
      <c r="BS179" s="80"/>
      <c r="BT179" s="80"/>
      <c r="BU179" s="46" t="n">
        <v>100</v>
      </c>
      <c r="BV179" s="47" t="n">
        <v>96</v>
      </c>
      <c r="BW179" s="42" t="n">
        <v>86</v>
      </c>
      <c r="BX179" s="48" t="n">
        <v>98</v>
      </c>
      <c r="BY179" s="32" t="n">
        <v>29</v>
      </c>
      <c r="BZ179" s="32" t="n">
        <v>57</v>
      </c>
      <c r="CA179" s="32" t="n">
        <v>86</v>
      </c>
      <c r="CB179" s="32" t="n">
        <v>19</v>
      </c>
      <c r="CC179" s="32" t="n">
        <v>44</v>
      </c>
      <c r="CD179" s="32" t="n">
        <v>63</v>
      </c>
      <c r="CE179" s="32" t="n">
        <v>28</v>
      </c>
      <c r="CF179" s="32" t="n">
        <v>56</v>
      </c>
      <c r="CG179" s="32" t="n">
        <v>84</v>
      </c>
      <c r="CH179" s="32" t="n">
        <v>99</v>
      </c>
      <c r="CI179" s="32" t="n">
        <v>96</v>
      </c>
      <c r="CJ179" s="49" t="n">
        <v>27</v>
      </c>
      <c r="CK179" s="49" t="n">
        <v>58</v>
      </c>
      <c r="CL179" s="49" t="n">
        <v>85</v>
      </c>
      <c r="CM179" s="49" t="n">
        <v>23</v>
      </c>
      <c r="CN179" s="49" t="n">
        <v>52</v>
      </c>
      <c r="CO179" s="49" t="n">
        <v>75</v>
      </c>
      <c r="CP179" s="25" t="n">
        <f aca="false">BX179+BW179+BV179+BU179+BT179+BQ179+BN179</f>
        <v>465</v>
      </c>
      <c r="CQ179" s="25" t="n">
        <f aca="false">CO179+CL179+CI179+CH179+CG179+CD179+CA179</f>
        <v>588</v>
      </c>
      <c r="CR179" s="26" t="n">
        <f aca="false">CP179/7</f>
        <v>66.4285714285714</v>
      </c>
      <c r="CS179" s="26" t="n">
        <f aca="false">CQ179/7</f>
        <v>84</v>
      </c>
      <c r="CT179" s="24" t="n">
        <f aca="false">RANK(CR179,$CR$2:$CR$881,0)</f>
        <v>699</v>
      </c>
      <c r="CU179" s="25" t="n">
        <f aca="false">RANK(CS179,$CS$2:$CS$881,0)</f>
        <v>120</v>
      </c>
      <c r="CV179" s="26" t="n">
        <f aca="false">(CS179+CR179)/2</f>
        <v>75.2142857142857</v>
      </c>
      <c r="CW179" s="25" t="n">
        <f aca="false">RANK(CV179,$CV$2:$CV$881,0)</f>
        <v>552</v>
      </c>
      <c r="CX179" s="50" t="n">
        <f aca="false">(CV179+BB179)/2</f>
        <v>80.7071428571429</v>
      </c>
      <c r="CY179" s="50" t="n">
        <v>340</v>
      </c>
      <c r="CZ179" s="27" t="s">
        <v>132</v>
      </c>
      <c r="DA179" s="27" t="s">
        <v>153</v>
      </c>
      <c r="DB179" s="27" t="s">
        <v>153</v>
      </c>
      <c r="DC179" s="27" t="s">
        <v>134</v>
      </c>
      <c r="DD179" s="27" t="s">
        <v>160</v>
      </c>
      <c r="DE179" s="27" t="s">
        <v>136</v>
      </c>
      <c r="DF179" s="27" t="s">
        <v>170</v>
      </c>
      <c r="DG179" s="27" t="s">
        <v>134</v>
      </c>
      <c r="DH179" s="27" t="s">
        <v>164</v>
      </c>
      <c r="DI179" s="27" t="s">
        <v>152</v>
      </c>
      <c r="DJ179" s="27" t="s">
        <v>170</v>
      </c>
      <c r="DK179" s="27" t="s">
        <v>134</v>
      </c>
      <c r="DL179" s="27" t="s">
        <v>137</v>
      </c>
      <c r="DM179" s="27" t="s">
        <v>161</v>
      </c>
      <c r="DN179" s="27" t="s">
        <v>178</v>
      </c>
      <c r="DO179" s="27" t="s">
        <v>134</v>
      </c>
      <c r="DP179" s="27" t="s">
        <v>264</v>
      </c>
      <c r="DQ179" s="27" t="s">
        <v>161</v>
      </c>
      <c r="DR179" s="27" t="s">
        <v>219</v>
      </c>
      <c r="DS179" s="27" t="s">
        <v>134</v>
      </c>
      <c r="DT179" s="27" t="s">
        <v>160</v>
      </c>
      <c r="DU179" s="27" t="s">
        <v>163</v>
      </c>
      <c r="DV179" s="27" t="s">
        <v>151</v>
      </c>
      <c r="DW179" s="27" t="s">
        <v>140</v>
      </c>
      <c r="DX179" s="27" t="s">
        <v>155</v>
      </c>
      <c r="DY179" s="27" t="s">
        <v>147</v>
      </c>
      <c r="DZ179" s="27" t="n">
        <f aca="false">DY179+DV179+DR179+DN179+DJ179+DF179+DB179</f>
        <v>631</v>
      </c>
      <c r="EA179" s="28" t="n">
        <f aca="false">DZ179/7</f>
        <v>90.1428571428571</v>
      </c>
      <c r="EB179" s="27" t="n">
        <f aca="false">RANK(EA179,$EA$2:$EA$881,0)</f>
        <v>53</v>
      </c>
      <c r="EC179" s="29" t="n">
        <f aca="false">DZ179+CQ179+CP179+AZ179</f>
        <v>2546</v>
      </c>
      <c r="ED179" s="30" t="n">
        <f aca="false">(EA179+CV179+BB179)/3</f>
        <v>83.852380952381</v>
      </c>
      <c r="EE179" s="51" t="n">
        <f aca="false">ROUND(BE179,3)</f>
        <v>90.307</v>
      </c>
      <c r="EF179" s="51" t="n">
        <f aca="false">ROUND(CR179,3)</f>
        <v>66.429</v>
      </c>
      <c r="EG179" s="51" t="n">
        <f aca="false">ROUND(CS179,3)</f>
        <v>84</v>
      </c>
      <c r="EH179" s="51" t="n">
        <f aca="false">ROUND(EA179,3)</f>
        <v>90.143</v>
      </c>
      <c r="EI179" s="51" t="n">
        <f aca="false">ROUND(ED179,3)</f>
        <v>83.852</v>
      </c>
      <c r="EJ179" s="51" t="n">
        <f aca="false">ROUND(CV179,3)</f>
        <v>75.214</v>
      </c>
      <c r="EK179" s="0" t="n">
        <f aca="false">RANK(EI179,$EI$2:$EI$881,0)</f>
        <v>178</v>
      </c>
    </row>
    <row r="180" customFormat="false" ht="15" hidden="false" customHeight="false" outlineLevel="0" collapsed="false">
      <c r="A180" s="4" t="n">
        <v>9052</v>
      </c>
      <c r="B180" s="4" t="n">
        <v>590</v>
      </c>
      <c r="C180" s="27" t="s">
        <v>712</v>
      </c>
      <c r="D180" s="31" t="n">
        <v>596</v>
      </c>
      <c r="E180" s="16" t="n">
        <v>230119735</v>
      </c>
      <c r="F180" s="56" t="s">
        <v>713</v>
      </c>
      <c r="G180" s="22" t="s">
        <v>714</v>
      </c>
      <c r="H180" s="22" t="s">
        <v>326</v>
      </c>
      <c r="I180" s="57"/>
      <c r="J180" s="16" t="n">
        <v>70</v>
      </c>
      <c r="K180" s="16" t="n">
        <v>72</v>
      </c>
      <c r="L180" s="34" t="n">
        <f aca="false">(K180*70)/100</f>
        <v>50.4</v>
      </c>
      <c r="M180" s="34" t="n">
        <f aca="false">ROUNDUP(L180,0)</f>
        <v>51</v>
      </c>
      <c r="N180" s="16" t="n">
        <v>27</v>
      </c>
      <c r="O180" s="34" t="n">
        <f aca="false">N180+L180</f>
        <v>77.4</v>
      </c>
      <c r="P180" s="34" t="n">
        <f aca="false">N180+M180</f>
        <v>78</v>
      </c>
      <c r="Q180" s="16" t="n">
        <v>85</v>
      </c>
      <c r="R180" s="16" t="n">
        <v>75</v>
      </c>
      <c r="S180" s="34" t="n">
        <f aca="false">(R180*70)/100</f>
        <v>52.5</v>
      </c>
      <c r="T180" s="34" t="n">
        <f aca="false">ROUNDUP(S180,0)</f>
        <v>53</v>
      </c>
      <c r="U180" s="16" t="n">
        <v>27</v>
      </c>
      <c r="V180" s="34" t="n">
        <f aca="false">U180+S180</f>
        <v>79.5</v>
      </c>
      <c r="W180" s="34" t="n">
        <f aca="false">U180+T180</f>
        <v>80</v>
      </c>
      <c r="X180" s="16" t="n">
        <v>72</v>
      </c>
      <c r="Y180" s="34" t="n">
        <f aca="false">(X180*70)/100</f>
        <v>50.4</v>
      </c>
      <c r="Z180" s="34" t="n">
        <f aca="false">ROUNDUP(Y180,0)</f>
        <v>51</v>
      </c>
      <c r="AA180" s="16" t="n">
        <v>28</v>
      </c>
      <c r="AB180" s="34" t="n">
        <f aca="false">AA180+Y180</f>
        <v>78.4</v>
      </c>
      <c r="AC180" s="34" t="n">
        <f aca="false">AA180+Z180</f>
        <v>79</v>
      </c>
      <c r="AD180" s="32" t="n">
        <f aca="false">X180+R180+Q180+K180+J180</f>
        <v>374</v>
      </c>
      <c r="AE180" s="16" t="n">
        <f aca="false">AD180/5</f>
        <v>74.8</v>
      </c>
      <c r="AF180" s="16" t="n">
        <v>77</v>
      </c>
      <c r="AG180" s="16" t="n">
        <v>83</v>
      </c>
      <c r="AH180" s="16" t="n">
        <v>94</v>
      </c>
      <c r="AI180" s="16" t="n">
        <v>96</v>
      </c>
      <c r="AJ180" s="16" t="n">
        <f aca="false">(AI180*70)/100</f>
        <v>67.2</v>
      </c>
      <c r="AK180" s="35" t="n">
        <f aca="false">ROUNDUP(AJ180,0)</f>
        <v>68</v>
      </c>
      <c r="AL180" s="16" t="n">
        <v>30</v>
      </c>
      <c r="AM180" s="16" t="n">
        <f aca="false">AL180+AJ180</f>
        <v>97.2</v>
      </c>
      <c r="AN180" s="16" t="n">
        <f aca="false">AL180+AK180</f>
        <v>98</v>
      </c>
      <c r="AO180" s="16" t="n">
        <v>78</v>
      </c>
      <c r="AP180" s="36" t="n">
        <f aca="false">(AO180*70)/100</f>
        <v>54.6</v>
      </c>
      <c r="AQ180" s="37" t="n">
        <f aca="false">ROUNDUP(AP180,0)</f>
        <v>55</v>
      </c>
      <c r="AR180" s="16" t="n">
        <v>28</v>
      </c>
      <c r="AS180" s="16" t="n">
        <f aca="false">AR180+AP180</f>
        <v>82.6</v>
      </c>
      <c r="AT180" s="16" t="n">
        <f aca="false">AR180+AQ180</f>
        <v>83</v>
      </c>
      <c r="AU180" s="16" t="n">
        <f aca="false">AO180+AF180+AI180+AH180+AG180</f>
        <v>428</v>
      </c>
      <c r="AV180" s="16" t="n">
        <f aca="false">(AO180+AF180+AI180+AH180+AG180)/5</f>
        <v>85.6</v>
      </c>
      <c r="AW180" s="36" t="n">
        <f aca="false">(AO180+AF180+AI180+AH180+AG180+X180+R180+Q180+K180+J180)</f>
        <v>802</v>
      </c>
      <c r="AX180" s="16" t="n">
        <f aca="false">AW180/10</f>
        <v>80.2</v>
      </c>
      <c r="AY180" s="16" t="n">
        <f aca="false">AS180+AF180+AM180+AH180+AG180+AB180+V180+Q180+O180+J180</f>
        <v>824.1</v>
      </c>
      <c r="AZ180" s="16" t="n">
        <f aca="false">AT180+AF180+AN180+AH180+AG180+AC180+W180+Q180+P180+J180</f>
        <v>827</v>
      </c>
      <c r="BA180" s="16" t="n">
        <f aca="false">AY180/10</f>
        <v>82.41</v>
      </c>
      <c r="BB180" s="16" t="n">
        <f aca="false">AZ180/10</f>
        <v>82.7</v>
      </c>
      <c r="BC180" s="16" t="n">
        <v>2391</v>
      </c>
      <c r="BD180" s="16" t="n">
        <f aca="false">RANK(AX180,$AX$2:$AX$881,0)</f>
        <v>251</v>
      </c>
      <c r="BE180" s="54" t="n">
        <f aca="false">((BC180*100)/2400)*0.4+(AX180*0.6)</f>
        <v>87.97</v>
      </c>
      <c r="BF180" s="16" t="n">
        <f aca="false">RANK(BE180,$BE$2:$BE$881,0)</f>
        <v>206</v>
      </c>
      <c r="BG180" s="39" t="n">
        <f aca="false">RANK(BB180,$BB$2:$BB$881,0)</f>
        <v>175</v>
      </c>
      <c r="BH180" s="39" t="n">
        <f aca="false">RANK(BC180,$BC$2:$BC$881,0)</f>
        <v>37</v>
      </c>
      <c r="BI180" s="22" t="s">
        <v>130</v>
      </c>
      <c r="BJ180" s="22" t="s">
        <v>129</v>
      </c>
      <c r="BK180" s="40" t="s">
        <v>131</v>
      </c>
      <c r="BL180" s="41" t="n">
        <v>22</v>
      </c>
      <c r="BM180" s="41" t="n">
        <v>57</v>
      </c>
      <c r="BN180" s="41" t="n">
        <v>79</v>
      </c>
      <c r="BO180" s="42" t="n">
        <v>25</v>
      </c>
      <c r="BP180" s="43" t="n">
        <v>65</v>
      </c>
      <c r="BQ180" s="44" t="n">
        <v>90</v>
      </c>
      <c r="BR180" s="42" t="n">
        <v>24</v>
      </c>
      <c r="BS180" s="45" t="n">
        <v>63</v>
      </c>
      <c r="BT180" s="45" t="n">
        <v>87</v>
      </c>
      <c r="BU180" s="46" t="n">
        <v>98</v>
      </c>
      <c r="BV180" s="47" t="n">
        <v>92</v>
      </c>
      <c r="BW180" s="42" t="n">
        <v>99</v>
      </c>
      <c r="BX180" s="48" t="n">
        <v>100</v>
      </c>
      <c r="BY180" s="32" t="n">
        <v>26</v>
      </c>
      <c r="BZ180" s="32" t="n">
        <v>56</v>
      </c>
      <c r="CA180" s="32" t="n">
        <v>82</v>
      </c>
      <c r="CB180" s="32" t="n">
        <v>27</v>
      </c>
      <c r="CC180" s="32" t="n">
        <v>46</v>
      </c>
      <c r="CD180" s="32" t="n">
        <v>73</v>
      </c>
      <c r="CE180" s="32" t="n">
        <v>27</v>
      </c>
      <c r="CF180" s="32" t="n">
        <v>44</v>
      </c>
      <c r="CG180" s="32" t="n">
        <v>71</v>
      </c>
      <c r="CH180" s="32" t="n">
        <v>93</v>
      </c>
      <c r="CI180" s="32" t="n">
        <v>100</v>
      </c>
      <c r="CJ180" s="49" t="n">
        <v>20</v>
      </c>
      <c r="CK180" s="49" t="n">
        <v>54</v>
      </c>
      <c r="CL180" s="49" t="n">
        <v>74</v>
      </c>
      <c r="CM180" s="49" t="n">
        <v>26</v>
      </c>
      <c r="CN180" s="49" t="n">
        <v>54</v>
      </c>
      <c r="CO180" s="49" t="n">
        <v>80</v>
      </c>
      <c r="CP180" s="25" t="n">
        <f aca="false">BX180+BW180+BV180+BU180+BT180+BQ180+BN180</f>
        <v>645</v>
      </c>
      <c r="CQ180" s="25" t="n">
        <f aca="false">CO180+CL180+CI180+CH180+CG180+CD180+CA180</f>
        <v>573</v>
      </c>
      <c r="CR180" s="26" t="n">
        <f aca="false">CP180/7</f>
        <v>92.1428571428571</v>
      </c>
      <c r="CS180" s="26" t="n">
        <f aca="false">CQ180/7</f>
        <v>81.8571428571429</v>
      </c>
      <c r="CT180" s="24" t="n">
        <f aca="false">RANK(CR180,$CR$2:$CR$881,0)</f>
        <v>85</v>
      </c>
      <c r="CU180" s="25" t="n">
        <f aca="false">RANK(CS180,$CS$2:$CS$881,0)</f>
        <v>197</v>
      </c>
      <c r="CV180" s="26" t="n">
        <f aca="false">(CS180+CR180)/2</f>
        <v>87</v>
      </c>
      <c r="CW180" s="25" t="n">
        <f aca="false">RANK(CV180,$CV$2:$CV$881,0)</f>
        <v>137</v>
      </c>
      <c r="CX180" s="50" t="n">
        <f aca="false">(CV180+BB180)/2</f>
        <v>84.85</v>
      </c>
      <c r="CY180" s="50" t="n">
        <v>131</v>
      </c>
      <c r="CZ180" s="27" t="s">
        <v>132</v>
      </c>
      <c r="DA180" s="27" t="s">
        <v>175</v>
      </c>
      <c r="DB180" s="27" t="s">
        <v>175</v>
      </c>
      <c r="DC180" s="27" t="s">
        <v>134</v>
      </c>
      <c r="DD180" s="27" t="s">
        <v>137</v>
      </c>
      <c r="DE180" s="27" t="s">
        <v>203</v>
      </c>
      <c r="DF180" s="27" t="s">
        <v>133</v>
      </c>
      <c r="DG180" s="27" t="s">
        <v>134</v>
      </c>
      <c r="DH180" s="27" t="s">
        <v>135</v>
      </c>
      <c r="DI180" s="27" t="s">
        <v>161</v>
      </c>
      <c r="DJ180" s="27" t="s">
        <v>202</v>
      </c>
      <c r="DK180" s="27" t="s">
        <v>134</v>
      </c>
      <c r="DL180" s="27" t="s">
        <v>135</v>
      </c>
      <c r="DM180" s="27" t="s">
        <v>304</v>
      </c>
      <c r="DN180" s="27" t="s">
        <v>272</v>
      </c>
      <c r="DO180" s="27" t="s">
        <v>134</v>
      </c>
      <c r="DP180" s="27" t="s">
        <v>604</v>
      </c>
      <c r="DQ180" s="27" t="s">
        <v>375</v>
      </c>
      <c r="DR180" s="27" t="s">
        <v>187</v>
      </c>
      <c r="DS180" s="27" t="s">
        <v>134</v>
      </c>
      <c r="DT180" s="27" t="s">
        <v>160</v>
      </c>
      <c r="DU180" s="27" t="s">
        <v>645</v>
      </c>
      <c r="DV180" s="27" t="s">
        <v>398</v>
      </c>
      <c r="DW180" s="27" t="s">
        <v>164</v>
      </c>
      <c r="DX180" s="27" t="s">
        <v>155</v>
      </c>
      <c r="DY180" s="27" t="s">
        <v>144</v>
      </c>
      <c r="DZ180" s="27" t="n">
        <f aca="false">DY180+DV180+DR180+DN180+DJ180+DF180+DB180</f>
        <v>573</v>
      </c>
      <c r="EA180" s="28" t="n">
        <f aca="false">DZ180/7</f>
        <v>81.8571428571429</v>
      </c>
      <c r="EB180" s="27" t="n">
        <f aca="false">RANK(EA180,$EA$2:$EA$881,0)</f>
        <v>316</v>
      </c>
      <c r="EC180" s="29" t="n">
        <f aca="false">DZ180+CQ180+CP180+AZ180</f>
        <v>2618</v>
      </c>
      <c r="ED180" s="30" t="n">
        <f aca="false">(EA180+CV180+BB180)/3</f>
        <v>83.852380952381</v>
      </c>
      <c r="EE180" s="51" t="n">
        <f aca="false">ROUND(BE180,3)</f>
        <v>87.97</v>
      </c>
      <c r="EF180" s="51" t="n">
        <f aca="false">ROUND(CR180,3)</f>
        <v>92.143</v>
      </c>
      <c r="EG180" s="51" t="n">
        <f aca="false">ROUND(CS180,3)</f>
        <v>81.857</v>
      </c>
      <c r="EH180" s="51" t="n">
        <f aca="false">ROUND(EA180,3)</f>
        <v>81.857</v>
      </c>
      <c r="EI180" s="51" t="n">
        <f aca="false">ROUND(ED180,3)</f>
        <v>83.852</v>
      </c>
      <c r="EJ180" s="51" t="n">
        <f aca="false">ROUND(CV180,3)</f>
        <v>87</v>
      </c>
      <c r="EK180" s="0" t="n">
        <f aca="false">RANK(EI180,$EI$2:$EI$881,0)</f>
        <v>178</v>
      </c>
    </row>
    <row r="181" customFormat="false" ht="15" hidden="false" customHeight="false" outlineLevel="0" collapsed="false">
      <c r="A181" s="4" t="n">
        <v>8636</v>
      </c>
      <c r="B181" s="4" t="n">
        <v>733</v>
      </c>
      <c r="C181" s="27" t="s">
        <v>715</v>
      </c>
      <c r="D181" s="31" t="n">
        <v>748</v>
      </c>
      <c r="E181" s="32" t="n">
        <v>230324289</v>
      </c>
      <c r="F181" s="8" t="s">
        <v>716</v>
      </c>
      <c r="G181" s="22" t="s">
        <v>717</v>
      </c>
      <c r="H181" s="22" t="s">
        <v>129</v>
      </c>
      <c r="I181" s="33" t="n">
        <v>2005</v>
      </c>
      <c r="J181" s="32" t="n">
        <v>77</v>
      </c>
      <c r="K181" s="32" t="n">
        <v>76</v>
      </c>
      <c r="L181" s="34" t="n">
        <f aca="false">(K181*70)/100</f>
        <v>53.2</v>
      </c>
      <c r="M181" s="34" t="n">
        <f aca="false">ROUNDUP(L181,0)</f>
        <v>54</v>
      </c>
      <c r="N181" s="32" t="n">
        <v>24</v>
      </c>
      <c r="O181" s="34" t="n">
        <f aca="false">N181+L181</f>
        <v>77.2</v>
      </c>
      <c r="P181" s="34" t="n">
        <f aca="false">N181+M181</f>
        <v>78</v>
      </c>
      <c r="Q181" s="32" t="n">
        <v>71</v>
      </c>
      <c r="R181" s="32" t="n">
        <v>79</v>
      </c>
      <c r="S181" s="34" t="n">
        <f aca="false">(R181*70)/100</f>
        <v>55.3</v>
      </c>
      <c r="T181" s="34" t="n">
        <f aca="false">ROUNDUP(S181,0)</f>
        <v>56</v>
      </c>
      <c r="U181" s="32" t="n">
        <v>22</v>
      </c>
      <c r="V181" s="34" t="n">
        <f aca="false">U181+S181</f>
        <v>77.3</v>
      </c>
      <c r="W181" s="34" t="n">
        <f aca="false">U181+T181</f>
        <v>78</v>
      </c>
      <c r="X181" s="32" t="n">
        <v>74</v>
      </c>
      <c r="Y181" s="34" t="n">
        <f aca="false">(X181*70)/100</f>
        <v>51.8</v>
      </c>
      <c r="Z181" s="34" t="n">
        <f aca="false">ROUNDUP(Y181,0)</f>
        <v>52</v>
      </c>
      <c r="AA181" s="32" t="n">
        <v>25</v>
      </c>
      <c r="AB181" s="34" t="n">
        <f aca="false">AA181+Y181</f>
        <v>76.8</v>
      </c>
      <c r="AC181" s="34" t="n">
        <f aca="false">AA181+Z181</f>
        <v>77</v>
      </c>
      <c r="AD181" s="32" t="n">
        <f aca="false">X181+R181+Q181+K181+J181</f>
        <v>377</v>
      </c>
      <c r="AE181" s="16" t="n">
        <f aca="false">AD181/5</f>
        <v>75.4</v>
      </c>
      <c r="AF181" s="16" t="n">
        <v>78</v>
      </c>
      <c r="AG181" s="16" t="n">
        <v>88</v>
      </c>
      <c r="AH181" s="16" t="n">
        <v>97</v>
      </c>
      <c r="AI181" s="16" t="n">
        <v>92</v>
      </c>
      <c r="AJ181" s="16" t="n">
        <f aca="false">(AI181*70)/100</f>
        <v>64.4</v>
      </c>
      <c r="AK181" s="35" t="n">
        <f aca="false">ROUNDUP(AJ181,0)</f>
        <v>65</v>
      </c>
      <c r="AL181" s="16" t="n">
        <v>25</v>
      </c>
      <c r="AM181" s="16" t="n">
        <f aca="false">AL181+AJ181</f>
        <v>89.4</v>
      </c>
      <c r="AN181" s="16" t="n">
        <f aca="false">AL181+AK181</f>
        <v>90</v>
      </c>
      <c r="AO181" s="16" t="n">
        <v>81</v>
      </c>
      <c r="AP181" s="36" t="n">
        <f aca="false">(AO181*70)/100</f>
        <v>56.7</v>
      </c>
      <c r="AQ181" s="37" t="n">
        <f aca="false">ROUNDUP(AP181,0)</f>
        <v>57</v>
      </c>
      <c r="AR181" s="16" t="n">
        <v>27</v>
      </c>
      <c r="AS181" s="16" t="n">
        <f aca="false">AR181+AP181</f>
        <v>83.7</v>
      </c>
      <c r="AT181" s="16" t="n">
        <f aca="false">AR181+AQ181</f>
        <v>84</v>
      </c>
      <c r="AU181" s="16" t="n">
        <f aca="false">AO181+AF181+AI181+AH181+AG181</f>
        <v>436</v>
      </c>
      <c r="AV181" s="16" t="n">
        <f aca="false">(AO181+AF181+AI181+AH181+AG181)/5</f>
        <v>87.2</v>
      </c>
      <c r="AW181" s="36" t="n">
        <f aca="false">(AO181+AF181+AI181+AH181+AG181+X181+R181+Q181+K181+J181)</f>
        <v>813</v>
      </c>
      <c r="AX181" s="16" t="n">
        <f aca="false">AW181/10</f>
        <v>81.3</v>
      </c>
      <c r="AY181" s="16" t="n">
        <f aca="false">AS181+AF181+AM181+AH181+AG181+AB181+V181+Q181+O181+J181</f>
        <v>815.4</v>
      </c>
      <c r="AZ181" s="16" t="n">
        <f aca="false">AT181+AF181+AN181+AH181+AG181+AC181+W181+Q181+P181+J181</f>
        <v>818</v>
      </c>
      <c r="BA181" s="16" t="n">
        <f aca="false">AY181/10</f>
        <v>81.54</v>
      </c>
      <c r="BB181" s="16" t="n">
        <f aca="false">AZ181/10</f>
        <v>81.8</v>
      </c>
      <c r="BC181" s="16" t="n">
        <v>2368</v>
      </c>
      <c r="BD181" s="16" t="n">
        <f aca="false">RANK(AX181,$AX$2:$AX$881,0)</f>
        <v>198</v>
      </c>
      <c r="BE181" s="54" t="n">
        <f aca="false">((BC181*100)/2400)*0.4+(AX181*0.6)</f>
        <v>88.2466666666667</v>
      </c>
      <c r="BF181" s="16" t="n">
        <f aca="false">RANK(BE181,$BE$2:$BE$881,0)</f>
        <v>185</v>
      </c>
      <c r="BG181" s="39" t="n">
        <f aca="false">RANK(BB181,$BB$2:$BB$881,0)</f>
        <v>222</v>
      </c>
      <c r="BH181" s="39" t="n">
        <f aca="false">RANK(BC181,$BC$2:$BC$881,0)</f>
        <v>295</v>
      </c>
      <c r="BI181" s="22" t="s">
        <v>130</v>
      </c>
      <c r="BJ181" s="22" t="s">
        <v>129</v>
      </c>
      <c r="BK181" s="40" t="s">
        <v>131</v>
      </c>
      <c r="BL181" s="41" t="n">
        <v>23</v>
      </c>
      <c r="BM181" s="41" t="n">
        <v>59</v>
      </c>
      <c r="BN181" s="41" t="n">
        <v>82</v>
      </c>
      <c r="BO181" s="42" t="n">
        <v>26</v>
      </c>
      <c r="BP181" s="43" t="n">
        <v>65</v>
      </c>
      <c r="BQ181" s="44" t="n">
        <v>91</v>
      </c>
      <c r="BR181" s="42" t="n">
        <v>21</v>
      </c>
      <c r="BS181" s="45" t="n">
        <v>63</v>
      </c>
      <c r="BT181" s="45" t="n">
        <v>84</v>
      </c>
      <c r="BU181" s="46" t="n">
        <v>100</v>
      </c>
      <c r="BV181" s="47" t="n">
        <v>92</v>
      </c>
      <c r="BW181" s="42" t="n">
        <v>96</v>
      </c>
      <c r="BX181" s="48" t="n">
        <v>96</v>
      </c>
      <c r="BY181" s="32" t="n">
        <v>28</v>
      </c>
      <c r="BZ181" s="32" t="n">
        <v>60</v>
      </c>
      <c r="CA181" s="32" t="n">
        <v>88</v>
      </c>
      <c r="CB181" s="32" t="n">
        <v>20</v>
      </c>
      <c r="CC181" s="32" t="n">
        <v>42</v>
      </c>
      <c r="CD181" s="32" t="n">
        <v>62</v>
      </c>
      <c r="CE181" s="32" t="n">
        <v>26</v>
      </c>
      <c r="CF181" s="32" t="n">
        <v>61</v>
      </c>
      <c r="CG181" s="32" t="n">
        <v>87</v>
      </c>
      <c r="CH181" s="32" t="n">
        <v>98</v>
      </c>
      <c r="CI181" s="32" t="n">
        <v>98</v>
      </c>
      <c r="CJ181" s="49" t="n">
        <v>21</v>
      </c>
      <c r="CK181" s="49" t="n">
        <v>54</v>
      </c>
      <c r="CL181" s="49" t="n">
        <v>75</v>
      </c>
      <c r="CM181" s="49" t="n">
        <v>22</v>
      </c>
      <c r="CN181" s="49" t="n">
        <v>54</v>
      </c>
      <c r="CO181" s="49" t="n">
        <v>76</v>
      </c>
      <c r="CP181" s="25" t="n">
        <f aca="false">BX181+BW181+BV181+BU181+BT181+BQ181+BN181</f>
        <v>641</v>
      </c>
      <c r="CQ181" s="25" t="n">
        <f aca="false">CO181+CL181+CI181+CH181+CG181+CD181+CA181</f>
        <v>584</v>
      </c>
      <c r="CR181" s="26" t="n">
        <f aca="false">CP181/7</f>
        <v>91.5714285714286</v>
      </c>
      <c r="CS181" s="26" t="n">
        <f aca="false">CQ181/7</f>
        <v>83.4285714285714</v>
      </c>
      <c r="CT181" s="24" t="n">
        <f aca="false">RANK(CR181,$CR$2:$CR$881,0)</f>
        <v>100</v>
      </c>
      <c r="CU181" s="25" t="n">
        <f aca="false">RANK(CS181,$CS$2:$CS$881,0)</f>
        <v>143</v>
      </c>
      <c r="CV181" s="26" t="n">
        <f aca="false">(CS181+CR181)/2</f>
        <v>87.5</v>
      </c>
      <c r="CW181" s="25" t="n">
        <f aca="false">RANK(CV181,$CV$2:$CV$881,0)</f>
        <v>117</v>
      </c>
      <c r="CX181" s="50" t="n">
        <f aca="false">(CV181+BB181)/2</f>
        <v>84.65</v>
      </c>
      <c r="CY181" s="50" t="n">
        <v>135</v>
      </c>
      <c r="CZ181" s="27" t="s">
        <v>132</v>
      </c>
      <c r="DA181" s="27" t="s">
        <v>162</v>
      </c>
      <c r="DB181" s="27" t="s">
        <v>162</v>
      </c>
      <c r="DC181" s="27" t="s">
        <v>134</v>
      </c>
      <c r="DD181" s="27" t="s">
        <v>137</v>
      </c>
      <c r="DE181" s="27" t="s">
        <v>218</v>
      </c>
      <c r="DF181" s="27" t="s">
        <v>169</v>
      </c>
      <c r="DG181" s="27" t="s">
        <v>134</v>
      </c>
      <c r="DH181" s="27" t="s">
        <v>191</v>
      </c>
      <c r="DI181" s="27" t="s">
        <v>177</v>
      </c>
      <c r="DJ181" s="27" t="s">
        <v>219</v>
      </c>
      <c r="DK181" s="27" t="s">
        <v>134</v>
      </c>
      <c r="DL181" s="27" t="s">
        <v>154</v>
      </c>
      <c r="DM181" s="27" t="s">
        <v>161</v>
      </c>
      <c r="DN181" s="27" t="s">
        <v>209</v>
      </c>
      <c r="DO181" s="27" t="s">
        <v>134</v>
      </c>
      <c r="DP181" s="27" t="s">
        <v>718</v>
      </c>
      <c r="DQ181" s="27" t="s">
        <v>218</v>
      </c>
      <c r="DR181" s="27" t="s">
        <v>138</v>
      </c>
      <c r="DS181" s="27" t="s">
        <v>134</v>
      </c>
      <c r="DT181" s="27" t="s">
        <v>191</v>
      </c>
      <c r="DU181" s="27" t="s">
        <v>306</v>
      </c>
      <c r="DV181" s="27" t="s">
        <v>441</v>
      </c>
      <c r="DW181" s="27" t="s">
        <v>164</v>
      </c>
      <c r="DX181" s="27" t="s">
        <v>143</v>
      </c>
      <c r="DY181" s="27" t="s">
        <v>139</v>
      </c>
      <c r="DZ181" s="27" t="n">
        <f aca="false">DY181+DV181+DR181+DN181+DJ181+DF181+DB181</f>
        <v>575</v>
      </c>
      <c r="EA181" s="28" t="n">
        <f aca="false">DZ181/7</f>
        <v>82.1428571428571</v>
      </c>
      <c r="EB181" s="27" t="n">
        <f aca="false">RANK(EA181,$EA$2:$EA$881,0)</f>
        <v>308</v>
      </c>
      <c r="EC181" s="29" t="n">
        <f aca="false">DZ181+CQ181+CP181+AZ181</f>
        <v>2618</v>
      </c>
      <c r="ED181" s="30" t="n">
        <f aca="false">(EA181+CV181+BB181)/3</f>
        <v>83.8142857142857</v>
      </c>
      <c r="EE181" s="51" t="n">
        <f aca="false">ROUND(BE181,3)</f>
        <v>88.247</v>
      </c>
      <c r="EF181" s="51" t="n">
        <f aca="false">ROUND(CR181,3)</f>
        <v>91.571</v>
      </c>
      <c r="EG181" s="51" t="n">
        <f aca="false">ROUND(CS181,3)</f>
        <v>83.429</v>
      </c>
      <c r="EH181" s="51" t="n">
        <f aca="false">ROUND(EA181,3)</f>
        <v>82.143</v>
      </c>
      <c r="EI181" s="51" t="n">
        <f aca="false">ROUND(ED181,3)</f>
        <v>83.814</v>
      </c>
      <c r="EJ181" s="51" t="n">
        <f aca="false">ROUND(CV181,3)</f>
        <v>87.5</v>
      </c>
      <c r="EK181" s="0" t="n">
        <f aca="false">RANK(EI181,$EI$2:$EI$881,0)</f>
        <v>180</v>
      </c>
    </row>
    <row r="182" customFormat="false" ht="15" hidden="false" customHeight="false" outlineLevel="0" collapsed="false">
      <c r="A182" s="4" t="n">
        <v>8833</v>
      </c>
      <c r="B182" s="4" t="n">
        <v>828</v>
      </c>
      <c r="C182" s="27" t="s">
        <v>719</v>
      </c>
      <c r="D182" s="31" t="n">
        <v>848</v>
      </c>
      <c r="E182" s="32" t="n">
        <v>230319213</v>
      </c>
      <c r="F182" s="8" t="s">
        <v>720</v>
      </c>
      <c r="G182" s="22" t="s">
        <v>721</v>
      </c>
      <c r="H182" s="22" t="s">
        <v>129</v>
      </c>
      <c r="I182" s="33" t="n">
        <v>2006</v>
      </c>
      <c r="J182" s="32" t="n">
        <v>89</v>
      </c>
      <c r="K182" s="32" t="n">
        <v>83</v>
      </c>
      <c r="L182" s="34" t="n">
        <f aca="false">(K182*70)/100</f>
        <v>58.1</v>
      </c>
      <c r="M182" s="34" t="n">
        <f aca="false">ROUNDUP(L182,0)</f>
        <v>59</v>
      </c>
      <c r="N182" s="32" t="n">
        <v>17</v>
      </c>
      <c r="O182" s="34" t="n">
        <f aca="false">N182+L182</f>
        <v>75.1</v>
      </c>
      <c r="P182" s="34" t="n">
        <f aca="false">N182+M182</f>
        <v>76</v>
      </c>
      <c r="Q182" s="32" t="n">
        <v>73</v>
      </c>
      <c r="R182" s="32" t="n">
        <v>81</v>
      </c>
      <c r="S182" s="34" t="n">
        <f aca="false">(R182*70)/100</f>
        <v>56.7</v>
      </c>
      <c r="T182" s="34" t="n">
        <f aca="false">ROUNDUP(S182,0)</f>
        <v>57</v>
      </c>
      <c r="U182" s="32" t="n">
        <v>15</v>
      </c>
      <c r="V182" s="34" t="n">
        <f aca="false">U182+S182</f>
        <v>71.7</v>
      </c>
      <c r="W182" s="34" t="n">
        <f aca="false">U182+T182</f>
        <v>72</v>
      </c>
      <c r="X182" s="32" t="n">
        <v>66</v>
      </c>
      <c r="Y182" s="34" t="n">
        <f aca="false">(X182*70)/100</f>
        <v>46.2</v>
      </c>
      <c r="Z182" s="34" t="n">
        <f aca="false">ROUNDUP(Y182,0)</f>
        <v>47</v>
      </c>
      <c r="AA182" s="32" t="n">
        <v>23</v>
      </c>
      <c r="AB182" s="34" t="n">
        <f aca="false">AA182+Y182</f>
        <v>69.2</v>
      </c>
      <c r="AC182" s="34" t="n">
        <f aca="false">AA182+Z182</f>
        <v>70</v>
      </c>
      <c r="AD182" s="32" t="n">
        <f aca="false">X182+R182+Q182+K182+J182</f>
        <v>392</v>
      </c>
      <c r="AE182" s="16" t="n">
        <f aca="false">AD182/5</f>
        <v>78.4</v>
      </c>
      <c r="AF182" s="16" t="n">
        <v>80</v>
      </c>
      <c r="AG182" s="16" t="n">
        <v>95</v>
      </c>
      <c r="AH182" s="16" t="n">
        <v>93</v>
      </c>
      <c r="AI182" s="16" t="n">
        <v>96</v>
      </c>
      <c r="AJ182" s="16" t="n">
        <f aca="false">(AI182*70)/100</f>
        <v>67.2</v>
      </c>
      <c r="AK182" s="35" t="n">
        <f aca="false">ROUNDUP(AJ182,0)</f>
        <v>68</v>
      </c>
      <c r="AL182" s="16" t="n">
        <v>18</v>
      </c>
      <c r="AM182" s="16" t="n">
        <f aca="false">AL182+AJ182</f>
        <v>85.2</v>
      </c>
      <c r="AN182" s="16" t="n">
        <f aca="false">AL182+AK182</f>
        <v>86</v>
      </c>
      <c r="AO182" s="16" t="n">
        <v>83</v>
      </c>
      <c r="AP182" s="36" t="n">
        <f aca="false">(AO182*70)/100</f>
        <v>58.1</v>
      </c>
      <c r="AQ182" s="37" t="n">
        <f aca="false">ROUNDUP(AP182,0)</f>
        <v>59</v>
      </c>
      <c r="AR182" s="16" t="n">
        <v>25</v>
      </c>
      <c r="AS182" s="16" t="n">
        <f aca="false">AR182+AP182</f>
        <v>83.1</v>
      </c>
      <c r="AT182" s="16" t="n">
        <f aca="false">AR182+AQ182</f>
        <v>84</v>
      </c>
      <c r="AU182" s="16" t="n">
        <f aca="false">AO182+AF182+AI182+AH182+AG182</f>
        <v>447</v>
      </c>
      <c r="AV182" s="16" t="n">
        <f aca="false">(AO182+AF182+AI182+AH182+AG182)/5</f>
        <v>89.4</v>
      </c>
      <c r="AW182" s="36" t="n">
        <f aca="false">(AO182+AF182+AI182+AH182+AG182+X182+R182+Q182+K182+J182)</f>
        <v>839</v>
      </c>
      <c r="AX182" s="16" t="n">
        <f aca="false">AW182/10</f>
        <v>83.9</v>
      </c>
      <c r="AY182" s="16" t="n">
        <f aca="false">AS182+AF182+AM182+AH182+AG182+AB182+V182+Q182+O182+J182</f>
        <v>814.3</v>
      </c>
      <c r="AZ182" s="16" t="n">
        <f aca="false">AT182+AF182+AN182+AH182+AG182+AC182+W182+Q182+P182+J182</f>
        <v>818</v>
      </c>
      <c r="BA182" s="16" t="n">
        <f aca="false">AY182/10</f>
        <v>81.43</v>
      </c>
      <c r="BB182" s="16" t="n">
        <f aca="false">AZ182/10</f>
        <v>81.8</v>
      </c>
      <c r="BC182" s="16" t="n">
        <v>2374</v>
      </c>
      <c r="BD182" s="16" t="n">
        <f aca="false">RANK(AX182,$AX$2:$AX$881,0)</f>
        <v>110</v>
      </c>
      <c r="BE182" s="54" t="n">
        <f aca="false">((BC182*100)/2400)*0.4+(AX182*0.6)</f>
        <v>89.9066666666667</v>
      </c>
      <c r="BF182" s="16" t="n">
        <f aca="false">RANK(BE182,$BE$2:$BE$881,0)</f>
        <v>106</v>
      </c>
      <c r="BG182" s="39" t="n">
        <f aca="false">RANK(BB182,$BB$2:$BB$881,0)</f>
        <v>222</v>
      </c>
      <c r="BH182" s="39" t="n">
        <f aca="false">RANK(BC182,$BC$2:$BC$881,0)</f>
        <v>222</v>
      </c>
      <c r="BI182" s="22" t="s">
        <v>130</v>
      </c>
      <c r="BJ182" s="22" t="s">
        <v>129</v>
      </c>
      <c r="BK182" s="40" t="s">
        <v>131</v>
      </c>
      <c r="BL182" s="41" t="n">
        <v>22</v>
      </c>
      <c r="BM182" s="41" t="n">
        <v>62</v>
      </c>
      <c r="BN182" s="41" t="n">
        <v>84</v>
      </c>
      <c r="BO182" s="42" t="n">
        <v>26</v>
      </c>
      <c r="BP182" s="43" t="n">
        <v>61</v>
      </c>
      <c r="BQ182" s="44" t="n">
        <v>87</v>
      </c>
      <c r="BR182" s="42" t="n">
        <v>25</v>
      </c>
      <c r="BS182" s="45" t="n">
        <v>57</v>
      </c>
      <c r="BT182" s="45" t="n">
        <v>82</v>
      </c>
      <c r="BU182" s="46" t="n">
        <v>99</v>
      </c>
      <c r="BV182" s="47" t="n">
        <v>62</v>
      </c>
      <c r="BW182" s="42" t="n">
        <v>99</v>
      </c>
      <c r="BX182" s="48" t="n">
        <v>90</v>
      </c>
      <c r="BY182" s="32" t="n">
        <v>26</v>
      </c>
      <c r="BZ182" s="32" t="n">
        <v>58</v>
      </c>
      <c r="CA182" s="32" t="n">
        <v>84</v>
      </c>
      <c r="CB182" s="32" t="n">
        <v>25</v>
      </c>
      <c r="CC182" s="32" t="n">
        <v>39</v>
      </c>
      <c r="CD182" s="32" t="n">
        <v>64</v>
      </c>
      <c r="CE182" s="32" t="n">
        <v>26</v>
      </c>
      <c r="CF182" s="32" t="n">
        <v>58</v>
      </c>
      <c r="CG182" s="32" t="n">
        <v>84</v>
      </c>
      <c r="CH182" s="32" t="n">
        <v>98</v>
      </c>
      <c r="CI182" s="32" t="n">
        <v>98</v>
      </c>
      <c r="CJ182" s="49" t="n">
        <v>28</v>
      </c>
      <c r="CK182" s="49" t="n">
        <v>48</v>
      </c>
      <c r="CL182" s="49" t="n">
        <v>76</v>
      </c>
      <c r="CM182" s="49" t="n">
        <v>20</v>
      </c>
      <c r="CN182" s="49" t="n">
        <v>56</v>
      </c>
      <c r="CO182" s="49" t="n">
        <v>76</v>
      </c>
      <c r="CP182" s="25" t="n">
        <f aca="false">BX182+BW182+BV182+BU182+BT182+BQ182+BN182</f>
        <v>603</v>
      </c>
      <c r="CQ182" s="25" t="n">
        <f aca="false">CO182+CL182+CI182+CH182+CG182+CD182+CA182</f>
        <v>580</v>
      </c>
      <c r="CR182" s="26" t="n">
        <f aca="false">CP182/7</f>
        <v>86.1428571428571</v>
      </c>
      <c r="CS182" s="26" t="n">
        <f aca="false">CQ182/7</f>
        <v>82.8571428571429</v>
      </c>
      <c r="CT182" s="24" t="n">
        <f aca="false">RANK(CR182,$CR$2:$CR$881,0)</f>
        <v>396</v>
      </c>
      <c r="CU182" s="25" t="n">
        <f aca="false">RANK(CS182,$CS$2:$CS$881,0)</f>
        <v>161</v>
      </c>
      <c r="CV182" s="26" t="n">
        <f aca="false">(CS182+CR182)/2</f>
        <v>84.5</v>
      </c>
      <c r="CW182" s="25" t="n">
        <f aca="false">RANK(CV182,$CV$2:$CV$881,0)</f>
        <v>239</v>
      </c>
      <c r="CX182" s="50" t="n">
        <f aca="false">(CV182+BB182)/2</f>
        <v>83.15</v>
      </c>
      <c r="CY182" s="50" t="n">
        <v>206</v>
      </c>
      <c r="CZ182" s="27" t="s">
        <v>132</v>
      </c>
      <c r="DA182" s="27" t="s">
        <v>202</v>
      </c>
      <c r="DB182" s="27" t="s">
        <v>202</v>
      </c>
      <c r="DC182" s="27" t="s">
        <v>134</v>
      </c>
      <c r="DD182" s="27" t="s">
        <v>182</v>
      </c>
      <c r="DE182" s="27" t="s">
        <v>183</v>
      </c>
      <c r="DF182" s="27" t="s">
        <v>205</v>
      </c>
      <c r="DG182" s="27" t="s">
        <v>134</v>
      </c>
      <c r="DH182" s="27" t="s">
        <v>164</v>
      </c>
      <c r="DI182" s="27" t="s">
        <v>177</v>
      </c>
      <c r="DJ182" s="27" t="s">
        <v>178</v>
      </c>
      <c r="DK182" s="27" t="s">
        <v>134</v>
      </c>
      <c r="DL182" s="27" t="s">
        <v>164</v>
      </c>
      <c r="DM182" s="27" t="s">
        <v>218</v>
      </c>
      <c r="DN182" s="27" t="s">
        <v>209</v>
      </c>
      <c r="DO182" s="27" t="s">
        <v>134</v>
      </c>
      <c r="DP182" s="27" t="s">
        <v>264</v>
      </c>
      <c r="DQ182" s="27" t="s">
        <v>161</v>
      </c>
      <c r="DR182" s="27" t="s">
        <v>219</v>
      </c>
      <c r="DS182" s="27" t="s">
        <v>134</v>
      </c>
      <c r="DT182" s="27" t="s">
        <v>182</v>
      </c>
      <c r="DU182" s="27" t="s">
        <v>203</v>
      </c>
      <c r="DV182" s="27" t="s">
        <v>202</v>
      </c>
      <c r="DW182" s="27" t="s">
        <v>195</v>
      </c>
      <c r="DX182" s="27" t="s">
        <v>155</v>
      </c>
      <c r="DY182" s="27" t="s">
        <v>170</v>
      </c>
      <c r="DZ182" s="27" t="n">
        <f aca="false">DY182+DV182+DR182+DN182+DJ182+DF182+DB182</f>
        <v>596</v>
      </c>
      <c r="EA182" s="28" t="n">
        <f aca="false">DZ182/7</f>
        <v>85.1428571428571</v>
      </c>
      <c r="EB182" s="27" t="n">
        <f aca="false">RANK(EA182,$EA$2:$EA$881,0)</f>
        <v>182</v>
      </c>
      <c r="EC182" s="29" t="n">
        <f aca="false">DZ182+CQ182+CP182+AZ182</f>
        <v>2597</v>
      </c>
      <c r="ED182" s="30" t="n">
        <f aca="false">(EA182+CV182+BB182)/3</f>
        <v>83.8142857142857</v>
      </c>
      <c r="EE182" s="51" t="n">
        <f aca="false">ROUND(BE182,3)</f>
        <v>89.907</v>
      </c>
      <c r="EF182" s="51" t="n">
        <f aca="false">ROUND(CR182,3)</f>
        <v>86.143</v>
      </c>
      <c r="EG182" s="51" t="n">
        <f aca="false">ROUND(CS182,3)</f>
        <v>82.857</v>
      </c>
      <c r="EH182" s="51" t="n">
        <f aca="false">ROUND(EA182,3)</f>
        <v>85.143</v>
      </c>
      <c r="EI182" s="51" t="n">
        <f aca="false">ROUND(ED182,3)</f>
        <v>83.814</v>
      </c>
      <c r="EJ182" s="51" t="n">
        <f aca="false">ROUND(CV182,3)</f>
        <v>84.5</v>
      </c>
      <c r="EK182" s="0" t="n">
        <f aca="false">RANK(EI182,$EI$2:$EI$881,0)</f>
        <v>180</v>
      </c>
    </row>
    <row r="183" customFormat="false" ht="15" hidden="false" customHeight="false" outlineLevel="0" collapsed="false">
      <c r="A183" s="4" t="n">
        <v>8685</v>
      </c>
      <c r="B183" s="4" t="n">
        <v>837</v>
      </c>
      <c r="C183" s="27" t="s">
        <v>722</v>
      </c>
      <c r="D183" s="31" t="n">
        <v>857</v>
      </c>
      <c r="E183" s="16" t="n">
        <v>230118073</v>
      </c>
      <c r="F183" s="56" t="s">
        <v>723</v>
      </c>
      <c r="G183" s="22" t="s">
        <v>243</v>
      </c>
      <c r="H183" s="22" t="s">
        <v>326</v>
      </c>
      <c r="I183" s="57"/>
      <c r="J183" s="16" t="n">
        <v>83</v>
      </c>
      <c r="K183" s="16" t="n">
        <v>66</v>
      </c>
      <c r="L183" s="34" t="n">
        <f aca="false">(K183*70)/100</f>
        <v>46.2</v>
      </c>
      <c r="M183" s="34" t="n">
        <f aca="false">ROUNDUP(L183,0)</f>
        <v>47</v>
      </c>
      <c r="N183" s="16" t="n">
        <v>24</v>
      </c>
      <c r="O183" s="34" t="n">
        <f aca="false">N183+L183</f>
        <v>70.2</v>
      </c>
      <c r="P183" s="34" t="n">
        <f aca="false">N183+M183</f>
        <v>71</v>
      </c>
      <c r="Q183" s="16" t="n">
        <v>79</v>
      </c>
      <c r="R183" s="16" t="n">
        <v>70</v>
      </c>
      <c r="S183" s="34" t="n">
        <f aca="false">(R183*70)/100</f>
        <v>49</v>
      </c>
      <c r="T183" s="34" t="n">
        <f aca="false">ROUNDUP(S183,0)</f>
        <v>49</v>
      </c>
      <c r="U183" s="16" t="n">
        <v>25</v>
      </c>
      <c r="V183" s="34" t="n">
        <f aca="false">U183+S183</f>
        <v>74</v>
      </c>
      <c r="W183" s="34" t="n">
        <f aca="false">U183+T183</f>
        <v>74</v>
      </c>
      <c r="X183" s="16" t="n">
        <v>62</v>
      </c>
      <c r="Y183" s="34" t="n">
        <f aca="false">(X183*70)/100</f>
        <v>43.4</v>
      </c>
      <c r="Z183" s="34" t="n">
        <f aca="false">ROUNDUP(Y183,0)</f>
        <v>44</v>
      </c>
      <c r="AA183" s="16" t="n">
        <v>28</v>
      </c>
      <c r="AB183" s="34" t="n">
        <f aca="false">AA183+Y183</f>
        <v>71.4</v>
      </c>
      <c r="AC183" s="34" t="n">
        <f aca="false">AA183+Z183</f>
        <v>72</v>
      </c>
      <c r="AD183" s="32" t="n">
        <f aca="false">X183+R183+Q183+K183+J183</f>
        <v>360</v>
      </c>
      <c r="AE183" s="16" t="n">
        <f aca="false">AD183/5</f>
        <v>72</v>
      </c>
      <c r="AF183" s="16" t="n">
        <v>81</v>
      </c>
      <c r="AG183" s="16" t="n">
        <v>90</v>
      </c>
      <c r="AH183" s="16" t="n">
        <v>94</v>
      </c>
      <c r="AI183" s="16" t="n">
        <v>95</v>
      </c>
      <c r="AJ183" s="16" t="n">
        <f aca="false">(AI183*70)/100</f>
        <v>66.5</v>
      </c>
      <c r="AK183" s="35" t="n">
        <f aca="false">ROUNDUP(AJ183,0)</f>
        <v>67</v>
      </c>
      <c r="AL183" s="16" t="n">
        <v>28</v>
      </c>
      <c r="AM183" s="16" t="n">
        <f aca="false">AL183+AJ183</f>
        <v>94.5</v>
      </c>
      <c r="AN183" s="16" t="n">
        <f aca="false">AL183+AK183</f>
        <v>95</v>
      </c>
      <c r="AO183" s="16" t="n">
        <v>81</v>
      </c>
      <c r="AP183" s="36" t="n">
        <f aca="false">(AO183*70)/100</f>
        <v>56.7</v>
      </c>
      <c r="AQ183" s="37" t="n">
        <f aca="false">ROUNDUP(AP183,0)</f>
        <v>57</v>
      </c>
      <c r="AR183" s="16" t="n">
        <v>25</v>
      </c>
      <c r="AS183" s="16" t="n">
        <f aca="false">AR183+AP183</f>
        <v>81.7</v>
      </c>
      <c r="AT183" s="16" t="n">
        <f aca="false">AR183+AQ183</f>
        <v>82</v>
      </c>
      <c r="AU183" s="16" t="n">
        <f aca="false">AO183+AF183+AI183+AH183+AG183</f>
        <v>441</v>
      </c>
      <c r="AV183" s="16" t="n">
        <f aca="false">(AO183+AF183+AI183+AH183+AG183)/5</f>
        <v>88.2</v>
      </c>
      <c r="AW183" s="36" t="n">
        <f aca="false">(AO183+AF183+AI183+AH183+AG183+X183+R183+Q183+K183+J183)</f>
        <v>801</v>
      </c>
      <c r="AX183" s="16" t="n">
        <f aca="false">AW183/10</f>
        <v>80.1</v>
      </c>
      <c r="AY183" s="16" t="n">
        <f aca="false">AS183+AF183+AM183+AH183+AG183+AB183+V183+Q183+O183+J183</f>
        <v>818.8</v>
      </c>
      <c r="AZ183" s="16" t="n">
        <f aca="false">AT183+AF183+AN183+AH183+AG183+AC183+W183+Q183+P183+J183</f>
        <v>821</v>
      </c>
      <c r="BA183" s="16" t="n">
        <f aca="false">AY183/10</f>
        <v>81.88</v>
      </c>
      <c r="BB183" s="16" t="n">
        <f aca="false">AZ183/10</f>
        <v>82.1</v>
      </c>
      <c r="BC183" s="16" t="n">
        <v>2381</v>
      </c>
      <c r="BD183" s="16" t="n">
        <f aca="false">RANK(AX183,$AX$2:$AX$881,0)</f>
        <v>257</v>
      </c>
      <c r="BE183" s="54" t="n">
        <f aca="false">((BC183*100)/2400)*0.4+(AX183*0.6)</f>
        <v>87.7433333333333</v>
      </c>
      <c r="BF183" s="16" t="n">
        <f aca="false">RANK(BE183,$BE$2:$BE$881,0)</f>
        <v>226</v>
      </c>
      <c r="BG183" s="39" t="n">
        <f aca="false">RANK(BB183,$BB$2:$BB$881,0)</f>
        <v>206</v>
      </c>
      <c r="BH183" s="39" t="n">
        <f aca="false">RANK(BC183,$BC$2:$BC$881,0)</f>
        <v>136</v>
      </c>
      <c r="BI183" s="22" t="s">
        <v>130</v>
      </c>
      <c r="BJ183" s="22" t="s">
        <v>129</v>
      </c>
      <c r="BK183" s="40" t="s">
        <v>131</v>
      </c>
      <c r="BL183" s="41" t="n">
        <v>26</v>
      </c>
      <c r="BM183" s="41" t="n">
        <v>65</v>
      </c>
      <c r="BN183" s="41" t="n">
        <v>91</v>
      </c>
      <c r="BO183" s="42" t="n">
        <v>27</v>
      </c>
      <c r="BP183" s="43" t="n">
        <v>66</v>
      </c>
      <c r="BQ183" s="44" t="n">
        <v>93</v>
      </c>
      <c r="BR183" s="42" t="n">
        <v>27</v>
      </c>
      <c r="BS183" s="45" t="n">
        <v>62</v>
      </c>
      <c r="BT183" s="45" t="n">
        <v>89</v>
      </c>
      <c r="BU183" s="46" t="n">
        <v>100</v>
      </c>
      <c r="BV183" s="47" t="n">
        <v>90</v>
      </c>
      <c r="BW183" s="42" t="n">
        <v>99</v>
      </c>
      <c r="BX183" s="48" t="n">
        <v>94</v>
      </c>
      <c r="BY183" s="32" t="n">
        <v>25</v>
      </c>
      <c r="BZ183" s="58" t="n">
        <v>58</v>
      </c>
      <c r="CA183" s="58" t="n">
        <v>83</v>
      </c>
      <c r="CB183" s="32" t="n">
        <v>26</v>
      </c>
      <c r="CC183" s="32" t="n">
        <v>48</v>
      </c>
      <c r="CD183" s="32" t="n">
        <v>74</v>
      </c>
      <c r="CE183" s="32" t="n">
        <v>21</v>
      </c>
      <c r="CF183" s="32" t="n">
        <v>54</v>
      </c>
      <c r="CG183" s="32" t="n">
        <v>75</v>
      </c>
      <c r="CH183" s="32" t="n">
        <v>98</v>
      </c>
      <c r="CI183" s="32" t="n">
        <v>99</v>
      </c>
      <c r="CJ183" s="49" t="n">
        <v>21</v>
      </c>
      <c r="CK183" s="49" t="n">
        <v>60</v>
      </c>
      <c r="CL183" s="49" t="n">
        <v>81</v>
      </c>
      <c r="CM183" s="49" t="n">
        <v>22</v>
      </c>
      <c r="CN183" s="49" t="n">
        <v>53</v>
      </c>
      <c r="CO183" s="49" t="n">
        <v>75</v>
      </c>
      <c r="CP183" s="25" t="n">
        <f aca="false">BX183+BW183+BV183+BU183+BT183+BQ183+BN183</f>
        <v>656</v>
      </c>
      <c r="CQ183" s="25" t="n">
        <f aca="false">CO183+CL183+CI183+CH183+CG183+CD183+CA183</f>
        <v>585</v>
      </c>
      <c r="CR183" s="26" t="n">
        <f aca="false">CP183/7</f>
        <v>93.7142857142857</v>
      </c>
      <c r="CS183" s="26" t="n">
        <f aca="false">CQ183/7</f>
        <v>83.5714285714286</v>
      </c>
      <c r="CT183" s="24" t="n">
        <f aca="false">RANK(CR183,$CR$2:$CR$881,0)</f>
        <v>32</v>
      </c>
      <c r="CU183" s="25" t="n">
        <f aca="false">RANK(CS183,$CS$2:$CS$881,0)</f>
        <v>135</v>
      </c>
      <c r="CV183" s="26" t="n">
        <f aca="false">(CS183+CR183)/2</f>
        <v>88.6428571428571</v>
      </c>
      <c r="CW183" s="25" t="n">
        <f aca="false">RANK(CV183,$CV$2:$CV$881,0)</f>
        <v>82</v>
      </c>
      <c r="CX183" s="50" t="n">
        <f aca="false">(CV183+BB183)/2</f>
        <v>85.3714285714286</v>
      </c>
      <c r="CY183" s="50" t="n">
        <v>240</v>
      </c>
      <c r="CZ183" s="27" t="s">
        <v>132</v>
      </c>
      <c r="DA183" s="27" t="s">
        <v>272</v>
      </c>
      <c r="DB183" s="27" t="s">
        <v>272</v>
      </c>
      <c r="DC183" s="27" t="s">
        <v>134</v>
      </c>
      <c r="DD183" s="27" t="s">
        <v>164</v>
      </c>
      <c r="DE183" s="27" t="s">
        <v>203</v>
      </c>
      <c r="DF183" s="27" t="s">
        <v>162</v>
      </c>
      <c r="DG183" s="27" t="s">
        <v>134</v>
      </c>
      <c r="DH183" s="27" t="s">
        <v>135</v>
      </c>
      <c r="DI183" s="27" t="s">
        <v>183</v>
      </c>
      <c r="DJ183" s="27" t="s">
        <v>169</v>
      </c>
      <c r="DK183" s="27" t="s">
        <v>134</v>
      </c>
      <c r="DL183" s="27" t="s">
        <v>191</v>
      </c>
      <c r="DM183" s="27" t="s">
        <v>183</v>
      </c>
      <c r="DN183" s="27" t="s">
        <v>305</v>
      </c>
      <c r="DO183" s="27" t="s">
        <v>134</v>
      </c>
      <c r="DP183" s="27" t="s">
        <v>604</v>
      </c>
      <c r="DQ183" s="27" t="s">
        <v>399</v>
      </c>
      <c r="DR183" s="27" t="s">
        <v>152</v>
      </c>
      <c r="DS183" s="27" t="s">
        <v>134</v>
      </c>
      <c r="DT183" s="27" t="s">
        <v>182</v>
      </c>
      <c r="DU183" s="27" t="s">
        <v>442</v>
      </c>
      <c r="DV183" s="27" t="s">
        <v>486</v>
      </c>
      <c r="DW183" s="27" t="s">
        <v>160</v>
      </c>
      <c r="DX183" s="27" t="s">
        <v>155</v>
      </c>
      <c r="DY183" s="27" t="s">
        <v>145</v>
      </c>
      <c r="DZ183" s="27" t="n">
        <f aca="false">DY183+DV183+DR183+DN183+DJ183+DF183+DB183</f>
        <v>564</v>
      </c>
      <c r="EA183" s="28" t="n">
        <f aca="false">DZ183/7</f>
        <v>80.5714285714286</v>
      </c>
      <c r="EB183" s="27" t="n">
        <f aca="false">RANK(EA183,$EA$2:$EA$881,0)</f>
        <v>368</v>
      </c>
      <c r="EC183" s="29" t="n">
        <f aca="false">DZ183+CQ183+CP183+AZ183</f>
        <v>2626</v>
      </c>
      <c r="ED183" s="30" t="n">
        <f aca="false">(EA183+CV183+BB183)/3</f>
        <v>83.7714285714286</v>
      </c>
      <c r="EE183" s="51" t="n">
        <f aca="false">ROUND(BE183,3)</f>
        <v>87.743</v>
      </c>
      <c r="EF183" s="51" t="n">
        <f aca="false">ROUND(CR183,3)</f>
        <v>93.714</v>
      </c>
      <c r="EG183" s="51" t="n">
        <f aca="false">ROUND(CS183,3)</f>
        <v>83.571</v>
      </c>
      <c r="EH183" s="51" t="n">
        <f aca="false">ROUND(EA183,3)</f>
        <v>80.571</v>
      </c>
      <c r="EI183" s="51" t="n">
        <f aca="false">ROUND(ED183,3)</f>
        <v>83.771</v>
      </c>
      <c r="EJ183" s="51" t="n">
        <f aca="false">ROUND(CV183,3)</f>
        <v>88.643</v>
      </c>
      <c r="EK183" s="0" t="n">
        <f aca="false">RANK(EI183,$EI$2:$EI$881,0)</f>
        <v>182</v>
      </c>
    </row>
    <row r="184" customFormat="false" ht="15" hidden="false" customHeight="false" outlineLevel="0" collapsed="false">
      <c r="A184" s="4" t="n">
        <v>8821</v>
      </c>
      <c r="B184" s="4" t="n">
        <v>140</v>
      </c>
      <c r="C184" s="27" t="s">
        <v>724</v>
      </c>
      <c r="D184" s="31" t="n">
        <v>139</v>
      </c>
      <c r="E184" s="32" t="n">
        <v>230321812</v>
      </c>
      <c r="F184" s="8" t="s">
        <v>725</v>
      </c>
      <c r="G184" s="22" t="s">
        <v>586</v>
      </c>
      <c r="H184" s="22" t="s">
        <v>129</v>
      </c>
      <c r="I184" s="33" t="n">
        <v>2005</v>
      </c>
      <c r="J184" s="32" t="n">
        <v>96</v>
      </c>
      <c r="K184" s="32" t="n">
        <v>88</v>
      </c>
      <c r="L184" s="34" t="n">
        <f aca="false">(K184*70)/100</f>
        <v>61.6</v>
      </c>
      <c r="M184" s="34" t="n">
        <f aca="false">ROUNDUP(L184,0)</f>
        <v>62</v>
      </c>
      <c r="N184" s="32" t="n">
        <v>25</v>
      </c>
      <c r="O184" s="34" t="n">
        <f aca="false">N184+L184</f>
        <v>86.6</v>
      </c>
      <c r="P184" s="34" t="n">
        <f aca="false">N184+M184</f>
        <v>87</v>
      </c>
      <c r="Q184" s="32" t="n">
        <v>66</v>
      </c>
      <c r="R184" s="32" t="n">
        <v>78</v>
      </c>
      <c r="S184" s="34" t="n">
        <f aca="false">(R184*70)/100</f>
        <v>54.6</v>
      </c>
      <c r="T184" s="34" t="n">
        <f aca="false">ROUNDUP(S184,0)</f>
        <v>55</v>
      </c>
      <c r="U184" s="32" t="n">
        <v>25</v>
      </c>
      <c r="V184" s="34" t="n">
        <f aca="false">U184+S184</f>
        <v>79.6</v>
      </c>
      <c r="W184" s="34" t="n">
        <f aca="false">U184+T184</f>
        <v>80</v>
      </c>
      <c r="X184" s="32" t="n">
        <v>63</v>
      </c>
      <c r="Y184" s="34" t="n">
        <f aca="false">(X184*70)/100</f>
        <v>44.1</v>
      </c>
      <c r="Z184" s="34" t="n">
        <f aca="false">ROUNDUP(Y184,0)</f>
        <v>45</v>
      </c>
      <c r="AA184" s="32" t="n">
        <v>26</v>
      </c>
      <c r="AB184" s="34" t="n">
        <f aca="false">AA184+Y184</f>
        <v>70.1</v>
      </c>
      <c r="AC184" s="34" t="n">
        <f aca="false">AA184+Z184</f>
        <v>71</v>
      </c>
      <c r="AD184" s="32" t="n">
        <f aca="false">X184+R184+Q184+K184+J184</f>
        <v>391</v>
      </c>
      <c r="AE184" s="16" t="n">
        <f aca="false">AD184/5</f>
        <v>78.2</v>
      </c>
      <c r="AF184" s="16" t="n">
        <v>79</v>
      </c>
      <c r="AG184" s="16" t="n">
        <v>98</v>
      </c>
      <c r="AH184" s="16" t="n">
        <v>96</v>
      </c>
      <c r="AI184" s="16" t="n">
        <v>84</v>
      </c>
      <c r="AJ184" s="16" t="n">
        <f aca="false">(AI184*70)/100</f>
        <v>58.8</v>
      </c>
      <c r="AK184" s="35" t="n">
        <f aca="false">ROUNDUP(AJ184,0)</f>
        <v>59</v>
      </c>
      <c r="AL184" s="16" t="n">
        <v>26</v>
      </c>
      <c r="AM184" s="16" t="n">
        <f aca="false">AL184+AJ184</f>
        <v>84.8</v>
      </c>
      <c r="AN184" s="16" t="n">
        <f aca="false">AL184+AK184</f>
        <v>85</v>
      </c>
      <c r="AO184" s="16" t="n">
        <v>76</v>
      </c>
      <c r="AP184" s="36" t="n">
        <f aca="false">(AO184*70)/100</f>
        <v>53.2</v>
      </c>
      <c r="AQ184" s="37" t="n">
        <f aca="false">ROUNDUP(AP184,0)</f>
        <v>54</v>
      </c>
      <c r="AR184" s="16" t="n">
        <v>26</v>
      </c>
      <c r="AS184" s="16" t="n">
        <f aca="false">AR184+AP184</f>
        <v>79.2</v>
      </c>
      <c r="AT184" s="16" t="n">
        <f aca="false">AR184+AQ184</f>
        <v>80</v>
      </c>
      <c r="AU184" s="16" t="n">
        <f aca="false">AO184+AF184+AI184+AH184+AG184</f>
        <v>433</v>
      </c>
      <c r="AV184" s="16" t="n">
        <f aca="false">(AO184+AF184+AI184+AH184+AG184)/5</f>
        <v>86.6</v>
      </c>
      <c r="AW184" s="36" t="n">
        <f aca="false">(AO184+AF184+AI184+AH184+AG184+X184+R184+Q184+K184+J184)</f>
        <v>824</v>
      </c>
      <c r="AX184" s="16" t="n">
        <f aca="false">AW184/10</f>
        <v>82.4</v>
      </c>
      <c r="AY184" s="16" t="n">
        <f aca="false">AS184+AF184+AM184+AH184+AG184+AB184+V184+Q184+O184+J184</f>
        <v>835.3</v>
      </c>
      <c r="AZ184" s="16" t="n">
        <f aca="false">AT184+AF184+AN184+AH184+AG184+AC184+W184+Q184+P184+J184</f>
        <v>838</v>
      </c>
      <c r="BA184" s="16" t="n">
        <f aca="false">AY184/10</f>
        <v>83.53</v>
      </c>
      <c r="BB184" s="16" t="n">
        <f aca="false">AZ184/10</f>
        <v>83.8</v>
      </c>
      <c r="BC184" s="16" t="n">
        <v>2378</v>
      </c>
      <c r="BD184" s="16" t="n">
        <f aca="false">RANK(AX184,$AX$2:$AX$881,0)</f>
        <v>143</v>
      </c>
      <c r="BE184" s="54" t="n">
        <f aca="false">((BC184*100)/2400)*0.4+(AX184*0.6)</f>
        <v>89.0733333333333</v>
      </c>
      <c r="BF184" s="16" t="n">
        <f aca="false">RANK(BE184,$BE$2:$BE$881,0)</f>
        <v>136</v>
      </c>
      <c r="BG184" s="39" t="n">
        <f aca="false">RANK(BB184,$BB$2:$BB$881,0)</f>
        <v>128</v>
      </c>
      <c r="BH184" s="39" t="n">
        <f aca="false">RANK(BC184,$BC$2:$BC$881,0)</f>
        <v>173</v>
      </c>
      <c r="BI184" s="22" t="s">
        <v>130</v>
      </c>
      <c r="BJ184" s="22" t="s">
        <v>129</v>
      </c>
      <c r="BK184" s="40" t="s">
        <v>131</v>
      </c>
      <c r="BL184" s="41" t="n">
        <v>26</v>
      </c>
      <c r="BM184" s="41" t="n">
        <v>60</v>
      </c>
      <c r="BN184" s="41" t="n">
        <v>86</v>
      </c>
      <c r="BO184" s="42" t="n">
        <v>26</v>
      </c>
      <c r="BP184" s="43" t="n">
        <v>63</v>
      </c>
      <c r="BQ184" s="44" t="n">
        <v>89</v>
      </c>
      <c r="BR184" s="42" t="n">
        <v>24</v>
      </c>
      <c r="BS184" s="45" t="n">
        <v>56</v>
      </c>
      <c r="BT184" s="45" t="n">
        <v>80</v>
      </c>
      <c r="BU184" s="46" t="n">
        <v>100</v>
      </c>
      <c r="BV184" s="47" t="n">
        <v>86</v>
      </c>
      <c r="BW184" s="42" t="n">
        <v>99</v>
      </c>
      <c r="BX184" s="48" t="n">
        <v>86</v>
      </c>
      <c r="BY184" s="32" t="n">
        <v>24</v>
      </c>
      <c r="BZ184" s="32" t="n">
        <v>59</v>
      </c>
      <c r="CA184" s="32" t="n">
        <v>83</v>
      </c>
      <c r="CB184" s="32" t="n">
        <v>22</v>
      </c>
      <c r="CC184" s="32" t="n">
        <v>45</v>
      </c>
      <c r="CD184" s="32" t="n">
        <v>67</v>
      </c>
      <c r="CE184" s="32" t="n">
        <v>19</v>
      </c>
      <c r="CF184" s="32" t="n">
        <v>40</v>
      </c>
      <c r="CG184" s="69" t="n">
        <v>59</v>
      </c>
      <c r="CH184" s="32" t="n">
        <v>98</v>
      </c>
      <c r="CI184" s="32" t="n">
        <v>98</v>
      </c>
      <c r="CJ184" s="49" t="n">
        <v>24</v>
      </c>
      <c r="CK184" s="49" t="n">
        <v>47</v>
      </c>
      <c r="CL184" s="49" t="n">
        <v>71</v>
      </c>
      <c r="CM184" s="49" t="n">
        <v>24</v>
      </c>
      <c r="CN184" s="49" t="n">
        <v>51</v>
      </c>
      <c r="CO184" s="49" t="n">
        <v>75</v>
      </c>
      <c r="CP184" s="25" t="n">
        <f aca="false">BX184+BW184+BV184+BU184+BT184+BQ184+BN184</f>
        <v>626</v>
      </c>
      <c r="CQ184" s="25" t="n">
        <f aca="false">CO184+CL184+CI184+CH184+CG184+CD184+CA184</f>
        <v>551</v>
      </c>
      <c r="CR184" s="26" t="n">
        <f aca="false">CP184/7</f>
        <v>89.4285714285714</v>
      </c>
      <c r="CS184" s="26" t="n">
        <f aca="false">CQ184/7</f>
        <v>78.7142857142857</v>
      </c>
      <c r="CT184" s="24" t="n">
        <f aca="false">RANK(CR184,$CR$2:$CR$881,0)</f>
        <v>217</v>
      </c>
      <c r="CU184" s="25" t="n">
        <f aca="false">RANK(CS184,$CS$2:$CS$881,0)</f>
        <v>313</v>
      </c>
      <c r="CV184" s="26" t="n">
        <f aca="false">(CS184+CR184)/2</f>
        <v>84.0714285714286</v>
      </c>
      <c r="CW184" s="25" t="n">
        <f aca="false">RANK(CV184,$CV$2:$CV$881,0)</f>
        <v>259</v>
      </c>
      <c r="CX184" s="50" t="n">
        <f aca="false">(CV184+BB184)/2</f>
        <v>83.9357142857143</v>
      </c>
      <c r="CY184" s="50" t="n">
        <v>164</v>
      </c>
      <c r="CZ184" s="27" t="s">
        <v>132</v>
      </c>
      <c r="DA184" s="27" t="s">
        <v>169</v>
      </c>
      <c r="DB184" s="27" t="s">
        <v>169</v>
      </c>
      <c r="DC184" s="27" t="s">
        <v>134</v>
      </c>
      <c r="DD184" s="27" t="s">
        <v>137</v>
      </c>
      <c r="DE184" s="27" t="s">
        <v>204</v>
      </c>
      <c r="DF184" s="27" t="s">
        <v>175</v>
      </c>
      <c r="DG184" s="27" t="s">
        <v>134</v>
      </c>
      <c r="DH184" s="27" t="s">
        <v>135</v>
      </c>
      <c r="DI184" s="27" t="s">
        <v>177</v>
      </c>
      <c r="DJ184" s="27" t="s">
        <v>175</v>
      </c>
      <c r="DK184" s="27" t="s">
        <v>134</v>
      </c>
      <c r="DL184" s="27" t="s">
        <v>135</v>
      </c>
      <c r="DM184" s="27" t="s">
        <v>447</v>
      </c>
      <c r="DN184" s="27" t="s">
        <v>305</v>
      </c>
      <c r="DO184" s="27" t="s">
        <v>134</v>
      </c>
      <c r="DP184" s="27" t="s">
        <v>264</v>
      </c>
      <c r="DQ184" s="27" t="s">
        <v>204</v>
      </c>
      <c r="DR184" s="27" t="s">
        <v>305</v>
      </c>
      <c r="DS184" s="27" t="s">
        <v>134</v>
      </c>
      <c r="DT184" s="27" t="s">
        <v>174</v>
      </c>
      <c r="DU184" s="27" t="s">
        <v>177</v>
      </c>
      <c r="DV184" s="27" t="s">
        <v>205</v>
      </c>
      <c r="DW184" s="27" t="s">
        <v>160</v>
      </c>
      <c r="DX184" s="27" t="s">
        <v>163</v>
      </c>
      <c r="DY184" s="27" t="s">
        <v>151</v>
      </c>
      <c r="DZ184" s="27" t="n">
        <f aca="false">DY184+DV184+DR184+DN184+DJ184+DF184+DB184</f>
        <v>584</v>
      </c>
      <c r="EA184" s="28" t="n">
        <f aca="false">DZ184/7</f>
        <v>83.4285714285714</v>
      </c>
      <c r="EB184" s="27" t="n">
        <f aca="false">RANK(EA184,$EA$2:$EA$881,0)</f>
        <v>253</v>
      </c>
      <c r="EC184" s="29" t="n">
        <f aca="false">DZ184+CQ184+CP184+AZ184</f>
        <v>2599</v>
      </c>
      <c r="ED184" s="30" t="n">
        <f aca="false">(EA184+CV184+BB184)/3</f>
        <v>83.7666666666667</v>
      </c>
      <c r="EE184" s="51" t="n">
        <f aca="false">ROUND(BE184,3)</f>
        <v>89.073</v>
      </c>
      <c r="EF184" s="51" t="n">
        <f aca="false">ROUND(CR184,3)</f>
        <v>89.429</v>
      </c>
      <c r="EG184" s="51" t="n">
        <f aca="false">ROUND(CS184,3)</f>
        <v>78.714</v>
      </c>
      <c r="EH184" s="51" t="n">
        <f aca="false">ROUND(EA184,3)</f>
        <v>83.429</v>
      </c>
      <c r="EI184" s="51" t="n">
        <f aca="false">ROUND(ED184,3)</f>
        <v>83.767</v>
      </c>
      <c r="EJ184" s="51" t="n">
        <f aca="false">ROUND(CV184,3)</f>
        <v>84.071</v>
      </c>
      <c r="EK184" s="0" t="n">
        <f aca="false">RANK(EI184,$EI$2:$EI$881,0)</f>
        <v>183</v>
      </c>
    </row>
    <row r="185" customFormat="false" ht="15" hidden="false" customHeight="false" outlineLevel="0" collapsed="false">
      <c r="A185" s="4" t="n">
        <v>8759</v>
      </c>
      <c r="B185" s="4" t="n">
        <v>752</v>
      </c>
      <c r="C185" s="27" t="s">
        <v>726</v>
      </c>
      <c r="D185" s="31" t="n">
        <v>767</v>
      </c>
      <c r="E185" s="16" t="n">
        <v>230907685</v>
      </c>
      <c r="F185" s="56" t="s">
        <v>727</v>
      </c>
      <c r="G185" s="22" t="s">
        <v>598</v>
      </c>
      <c r="H185" s="22" t="s">
        <v>326</v>
      </c>
      <c r="I185" s="57"/>
      <c r="J185" s="16" t="n">
        <v>64</v>
      </c>
      <c r="K185" s="16" t="n">
        <v>84</v>
      </c>
      <c r="L185" s="34" t="n">
        <f aca="false">(K185*70)/100</f>
        <v>58.8</v>
      </c>
      <c r="M185" s="34" t="n">
        <f aca="false">ROUNDUP(L185,0)</f>
        <v>59</v>
      </c>
      <c r="N185" s="16" t="n">
        <v>24</v>
      </c>
      <c r="O185" s="34" t="n">
        <f aca="false">N185+L185</f>
        <v>82.8</v>
      </c>
      <c r="P185" s="34" t="n">
        <f aca="false">N185+M185</f>
        <v>83</v>
      </c>
      <c r="Q185" s="16" t="n">
        <v>85</v>
      </c>
      <c r="R185" s="16" t="n">
        <v>78</v>
      </c>
      <c r="S185" s="34" t="n">
        <f aca="false">(R185*70)/100</f>
        <v>54.6</v>
      </c>
      <c r="T185" s="34" t="n">
        <f aca="false">ROUNDUP(S185,0)</f>
        <v>55</v>
      </c>
      <c r="U185" s="16" t="n">
        <v>27</v>
      </c>
      <c r="V185" s="34" t="n">
        <f aca="false">U185+S185</f>
        <v>81.6</v>
      </c>
      <c r="W185" s="34" t="n">
        <f aca="false">U185+T185</f>
        <v>82</v>
      </c>
      <c r="X185" s="16" t="n">
        <v>72</v>
      </c>
      <c r="Y185" s="34" t="n">
        <f aca="false">(X185*70)/100</f>
        <v>50.4</v>
      </c>
      <c r="Z185" s="34" t="n">
        <f aca="false">ROUNDUP(Y185,0)</f>
        <v>51</v>
      </c>
      <c r="AA185" s="16" t="n">
        <v>27</v>
      </c>
      <c r="AB185" s="34" t="n">
        <f aca="false">AA185+Y185</f>
        <v>77.4</v>
      </c>
      <c r="AC185" s="34" t="n">
        <f aca="false">AA185+Z185</f>
        <v>78</v>
      </c>
      <c r="AD185" s="32" t="n">
        <f aca="false">X185+R185+Q185+K185+J185</f>
        <v>383</v>
      </c>
      <c r="AE185" s="16" t="n">
        <f aca="false">AD185/5</f>
        <v>76.6</v>
      </c>
      <c r="AF185" s="16" t="n">
        <v>78</v>
      </c>
      <c r="AG185" s="16" t="n">
        <v>78</v>
      </c>
      <c r="AH185" s="16" t="n">
        <v>95</v>
      </c>
      <c r="AI185" s="16" t="n">
        <v>97</v>
      </c>
      <c r="AJ185" s="16" t="n">
        <f aca="false">(AI185*70)/100</f>
        <v>67.9</v>
      </c>
      <c r="AK185" s="35" t="n">
        <f aca="false">ROUNDUP(AJ185,0)</f>
        <v>68</v>
      </c>
      <c r="AL185" s="16" t="n">
        <v>25</v>
      </c>
      <c r="AM185" s="16" t="n">
        <f aca="false">AL185+AJ185</f>
        <v>92.9</v>
      </c>
      <c r="AN185" s="16" t="n">
        <f aca="false">AL185+AK185</f>
        <v>93</v>
      </c>
      <c r="AO185" s="16" t="n">
        <v>85</v>
      </c>
      <c r="AP185" s="36" t="n">
        <f aca="false">(AO185*70)/100</f>
        <v>59.5</v>
      </c>
      <c r="AQ185" s="37" t="n">
        <f aca="false">ROUNDUP(AP185,0)</f>
        <v>60</v>
      </c>
      <c r="AR185" s="16" t="n">
        <v>27</v>
      </c>
      <c r="AS185" s="16" t="n">
        <f aca="false">AR185+AP185</f>
        <v>86.5</v>
      </c>
      <c r="AT185" s="16" t="n">
        <f aca="false">AR185+AQ185</f>
        <v>87</v>
      </c>
      <c r="AU185" s="16" t="n">
        <f aca="false">AO185+AF185+AI185+AH185+AG185</f>
        <v>433</v>
      </c>
      <c r="AV185" s="16" t="n">
        <f aca="false">(AO185+AF185+AI185+AH185+AG185)/5</f>
        <v>86.6</v>
      </c>
      <c r="AW185" s="36" t="n">
        <f aca="false">(AO185+AF185+AI185+AH185+AG185+X185+R185+Q185+K185+J185)</f>
        <v>816</v>
      </c>
      <c r="AX185" s="16" t="n">
        <f aca="false">AW185/10</f>
        <v>81.6</v>
      </c>
      <c r="AY185" s="16" t="n">
        <f aca="false">AS185+AF185+AM185+AH185+AG185+AB185+V185+Q185+O185+J185</f>
        <v>821.2</v>
      </c>
      <c r="AZ185" s="16" t="n">
        <f aca="false">AT185+AF185+AN185+AH185+AG185+AC185+W185+Q185+P185+J185</f>
        <v>823</v>
      </c>
      <c r="BA185" s="16" t="n">
        <f aca="false">AY185/10</f>
        <v>82.12</v>
      </c>
      <c r="BB185" s="16" t="n">
        <f aca="false">AZ185/10</f>
        <v>82.3</v>
      </c>
      <c r="BC185" s="16" t="n">
        <v>2329</v>
      </c>
      <c r="BD185" s="16" t="n">
        <f aca="false">RANK(AX185,$AX$2:$AX$881,0)</f>
        <v>185</v>
      </c>
      <c r="BE185" s="54" t="n">
        <f aca="false">((BC185*100)/2400)*0.4+(AX185*0.6)</f>
        <v>87.7766666666667</v>
      </c>
      <c r="BF185" s="16" t="n">
        <f aca="false">RANK(BE185,$BE$2:$BE$881,0)</f>
        <v>221</v>
      </c>
      <c r="BG185" s="39" t="n">
        <f aca="false">RANK(BB185,$BB$2:$BB$881,0)</f>
        <v>193</v>
      </c>
      <c r="BH185" s="39" t="n">
        <f aca="false">RANK(BC185,$BC$2:$BC$881,0)</f>
        <v>737</v>
      </c>
      <c r="BI185" s="22" t="s">
        <v>130</v>
      </c>
      <c r="BJ185" s="22" t="s">
        <v>129</v>
      </c>
      <c r="BK185" s="40" t="s">
        <v>131</v>
      </c>
      <c r="BL185" s="41" t="n">
        <v>25</v>
      </c>
      <c r="BM185" s="41" t="n">
        <v>61</v>
      </c>
      <c r="BN185" s="41" t="n">
        <v>86</v>
      </c>
      <c r="BO185" s="42" t="n">
        <v>26</v>
      </c>
      <c r="BP185" s="43" t="n">
        <v>64</v>
      </c>
      <c r="BQ185" s="44" t="n">
        <v>90</v>
      </c>
      <c r="BR185" s="42" t="n">
        <v>26</v>
      </c>
      <c r="BS185" s="45" t="n">
        <v>64</v>
      </c>
      <c r="BT185" s="45" t="n">
        <v>90</v>
      </c>
      <c r="BU185" s="46" t="n">
        <v>96</v>
      </c>
      <c r="BV185" s="47" t="n">
        <v>70</v>
      </c>
      <c r="BW185" s="42" t="n">
        <v>100</v>
      </c>
      <c r="BX185" s="48" t="n">
        <v>92</v>
      </c>
      <c r="BY185" s="32" t="n">
        <v>28</v>
      </c>
      <c r="BZ185" s="32" t="n">
        <v>56</v>
      </c>
      <c r="CA185" s="32" t="n">
        <v>84</v>
      </c>
      <c r="CB185" s="32" t="n">
        <v>24</v>
      </c>
      <c r="CC185" s="32" t="n">
        <v>44</v>
      </c>
      <c r="CD185" s="32" t="n">
        <v>68</v>
      </c>
      <c r="CE185" s="32" t="n">
        <v>27</v>
      </c>
      <c r="CF185" s="32" t="n">
        <v>60</v>
      </c>
      <c r="CG185" s="32" t="n">
        <v>87</v>
      </c>
      <c r="CH185" s="32" t="n">
        <v>99</v>
      </c>
      <c r="CI185" s="32" t="n">
        <v>98</v>
      </c>
      <c r="CJ185" s="49" t="n">
        <v>26</v>
      </c>
      <c r="CK185" s="49" t="n">
        <v>52</v>
      </c>
      <c r="CL185" s="49" t="n">
        <v>78</v>
      </c>
      <c r="CM185" s="49" t="n">
        <v>23</v>
      </c>
      <c r="CN185" s="49" t="n">
        <v>50</v>
      </c>
      <c r="CO185" s="49" t="n">
        <v>73</v>
      </c>
      <c r="CP185" s="25" t="n">
        <f aca="false">BX185+BW185+BV185+BU185+BT185+BQ185+BN185</f>
        <v>624</v>
      </c>
      <c r="CQ185" s="25" t="n">
        <f aca="false">CO185+CL185+CI185+CH185+CG185+CD185+CA185</f>
        <v>587</v>
      </c>
      <c r="CR185" s="26" t="n">
        <f aca="false">CP185/7</f>
        <v>89.1428571428571</v>
      </c>
      <c r="CS185" s="26" t="n">
        <f aca="false">CQ185/7</f>
        <v>83.8571428571429</v>
      </c>
      <c r="CT185" s="24" t="n">
        <f aca="false">RANK(CR185,$CR$2:$CR$881,0)</f>
        <v>235</v>
      </c>
      <c r="CU185" s="25" t="n">
        <f aca="false">RANK(CS185,$CS$2:$CS$881,0)</f>
        <v>125</v>
      </c>
      <c r="CV185" s="26" t="n">
        <f aca="false">(CS185+CR185)/2</f>
        <v>86.5</v>
      </c>
      <c r="CW185" s="25" t="n">
        <f aca="false">RANK(CV185,$CV$2:$CV$881,0)</f>
        <v>154</v>
      </c>
      <c r="CX185" s="50" t="n">
        <f aca="false">(CV185+BB185)/2</f>
        <v>84.4</v>
      </c>
      <c r="CY185" s="50" t="n">
        <v>148</v>
      </c>
      <c r="CZ185" s="27" t="s">
        <v>132</v>
      </c>
      <c r="DA185" s="27" t="s">
        <v>169</v>
      </c>
      <c r="DB185" s="27" t="s">
        <v>169</v>
      </c>
      <c r="DC185" s="27" t="s">
        <v>134</v>
      </c>
      <c r="DD185" s="27" t="s">
        <v>135</v>
      </c>
      <c r="DE185" s="27" t="s">
        <v>218</v>
      </c>
      <c r="DF185" s="27" t="s">
        <v>205</v>
      </c>
      <c r="DG185" s="27" t="s">
        <v>134</v>
      </c>
      <c r="DH185" s="27" t="s">
        <v>135</v>
      </c>
      <c r="DI185" s="27" t="s">
        <v>306</v>
      </c>
      <c r="DJ185" s="27" t="s">
        <v>219</v>
      </c>
      <c r="DK185" s="27" t="s">
        <v>134</v>
      </c>
      <c r="DL185" s="27" t="s">
        <v>160</v>
      </c>
      <c r="DM185" s="27" t="s">
        <v>220</v>
      </c>
      <c r="DN185" s="27" t="s">
        <v>209</v>
      </c>
      <c r="DO185" s="27" t="s">
        <v>134</v>
      </c>
      <c r="DP185" s="27" t="s">
        <v>191</v>
      </c>
      <c r="DQ185" s="27" t="s">
        <v>306</v>
      </c>
      <c r="DR185" s="27" t="s">
        <v>441</v>
      </c>
      <c r="DS185" s="27" t="s">
        <v>134</v>
      </c>
      <c r="DT185" s="27" t="s">
        <v>164</v>
      </c>
      <c r="DU185" s="27" t="s">
        <v>218</v>
      </c>
      <c r="DV185" s="27" t="s">
        <v>209</v>
      </c>
      <c r="DW185" s="27" t="s">
        <v>191</v>
      </c>
      <c r="DX185" s="27" t="s">
        <v>138</v>
      </c>
      <c r="DY185" s="27" t="s">
        <v>162</v>
      </c>
      <c r="DZ185" s="27" t="n">
        <f aca="false">DY185+DV185+DR185+DN185+DJ185+DF185+DB185</f>
        <v>577</v>
      </c>
      <c r="EA185" s="28" t="n">
        <f aca="false">DZ185/7</f>
        <v>82.4285714285714</v>
      </c>
      <c r="EB185" s="27" t="n">
        <f aca="false">RANK(EA185,$EA$2:$EA$881,0)</f>
        <v>295</v>
      </c>
      <c r="EC185" s="29" t="n">
        <f aca="false">DZ185+CQ185+CP185+AZ185</f>
        <v>2611</v>
      </c>
      <c r="ED185" s="30" t="n">
        <f aca="false">(EA185+CV185+BB185)/3</f>
        <v>83.7428571428572</v>
      </c>
      <c r="EE185" s="51" t="n">
        <f aca="false">ROUND(BE185,3)</f>
        <v>87.777</v>
      </c>
      <c r="EF185" s="51" t="n">
        <f aca="false">ROUND(CR185,3)</f>
        <v>89.143</v>
      </c>
      <c r="EG185" s="51" t="n">
        <f aca="false">ROUND(CS185,3)</f>
        <v>83.857</v>
      </c>
      <c r="EH185" s="51" t="n">
        <f aca="false">ROUND(EA185,3)</f>
        <v>82.429</v>
      </c>
      <c r="EI185" s="51" t="n">
        <f aca="false">ROUND(ED185,3)</f>
        <v>83.743</v>
      </c>
      <c r="EJ185" s="51" t="n">
        <f aca="false">ROUND(CV185,3)</f>
        <v>86.5</v>
      </c>
      <c r="EK185" s="0" t="n">
        <f aca="false">RANK(EI185,$EI$2:$EI$881,0)</f>
        <v>184</v>
      </c>
    </row>
    <row r="186" customFormat="false" ht="15" hidden="false" customHeight="false" outlineLevel="0" collapsed="false">
      <c r="A186" s="4" t="n">
        <v>8958</v>
      </c>
      <c r="B186" s="4" t="n">
        <v>703</v>
      </c>
      <c r="C186" s="27" t="s">
        <v>728</v>
      </c>
      <c r="D186" s="31" t="n">
        <v>717</v>
      </c>
      <c r="E186" s="16" t="n">
        <v>230119834</v>
      </c>
      <c r="F186" s="56" t="s">
        <v>729</v>
      </c>
      <c r="G186" s="22" t="s">
        <v>730</v>
      </c>
      <c r="H186" s="22" t="s">
        <v>326</v>
      </c>
      <c r="I186" s="57"/>
      <c r="J186" s="16" t="n">
        <v>74</v>
      </c>
      <c r="K186" s="16" t="n">
        <v>74</v>
      </c>
      <c r="L186" s="34" t="n">
        <f aca="false">(K186*70)/100</f>
        <v>51.8</v>
      </c>
      <c r="M186" s="34" t="n">
        <f aca="false">ROUNDUP(L186,0)</f>
        <v>52</v>
      </c>
      <c r="N186" s="16" t="n">
        <v>29</v>
      </c>
      <c r="O186" s="34" t="n">
        <f aca="false">N186+L186</f>
        <v>80.8</v>
      </c>
      <c r="P186" s="34" t="n">
        <f aca="false">N186+M186</f>
        <v>81</v>
      </c>
      <c r="Q186" s="16" t="n">
        <v>80</v>
      </c>
      <c r="R186" s="16" t="n">
        <v>80</v>
      </c>
      <c r="S186" s="34" t="n">
        <f aca="false">(R186*70)/100</f>
        <v>56</v>
      </c>
      <c r="T186" s="34" t="n">
        <f aca="false">ROUNDUP(S186,0)</f>
        <v>56</v>
      </c>
      <c r="U186" s="16" t="n">
        <v>26</v>
      </c>
      <c r="V186" s="34" t="n">
        <f aca="false">U186+S186</f>
        <v>82</v>
      </c>
      <c r="W186" s="34" t="n">
        <f aca="false">U186+T186</f>
        <v>82</v>
      </c>
      <c r="X186" s="16" t="n">
        <v>74</v>
      </c>
      <c r="Y186" s="34" t="n">
        <f aca="false">(X186*70)/100</f>
        <v>51.8</v>
      </c>
      <c r="Z186" s="34" t="n">
        <f aca="false">ROUNDUP(Y186,0)</f>
        <v>52</v>
      </c>
      <c r="AA186" s="16" t="n">
        <v>28</v>
      </c>
      <c r="AB186" s="34" t="n">
        <f aca="false">AA186+Y186</f>
        <v>79.8</v>
      </c>
      <c r="AC186" s="34" t="n">
        <f aca="false">AA186+Z186</f>
        <v>80</v>
      </c>
      <c r="AD186" s="32" t="n">
        <f aca="false">X186+R186+Q186+K186+J186</f>
        <v>382</v>
      </c>
      <c r="AE186" s="16" t="n">
        <f aca="false">AD186/5</f>
        <v>76.4</v>
      </c>
      <c r="AF186" s="16" t="n">
        <v>77</v>
      </c>
      <c r="AG186" s="16" t="n">
        <v>80</v>
      </c>
      <c r="AH186" s="16" t="n">
        <v>92</v>
      </c>
      <c r="AI186" s="16" t="n">
        <v>92</v>
      </c>
      <c r="AJ186" s="16" t="n">
        <f aca="false">(AI186*70)/100</f>
        <v>64.4</v>
      </c>
      <c r="AK186" s="35" t="n">
        <f aca="false">ROUNDUP(AJ186,0)</f>
        <v>65</v>
      </c>
      <c r="AL186" s="16" t="n">
        <v>26</v>
      </c>
      <c r="AM186" s="16" t="n">
        <f aca="false">AL186+AJ186</f>
        <v>90.4</v>
      </c>
      <c r="AN186" s="16" t="n">
        <f aca="false">AL186+AK186</f>
        <v>91</v>
      </c>
      <c r="AO186" s="16" t="n">
        <v>78</v>
      </c>
      <c r="AP186" s="36" t="n">
        <f aca="false">(AO186*70)/100</f>
        <v>54.6</v>
      </c>
      <c r="AQ186" s="37" t="n">
        <f aca="false">ROUNDUP(AP186,0)</f>
        <v>55</v>
      </c>
      <c r="AR186" s="16" t="n">
        <v>30</v>
      </c>
      <c r="AS186" s="16" t="n">
        <f aca="false">AR186+AP186</f>
        <v>84.6</v>
      </c>
      <c r="AT186" s="16" t="n">
        <f aca="false">AR186+AQ186</f>
        <v>85</v>
      </c>
      <c r="AU186" s="16" t="n">
        <f aca="false">AO186+AF186+AI186+AH186+AG186</f>
        <v>419</v>
      </c>
      <c r="AV186" s="16" t="n">
        <f aca="false">(AO186+AF186+AI186+AH186+AG186)/5</f>
        <v>83.8</v>
      </c>
      <c r="AW186" s="36" t="n">
        <f aca="false">(AO186+AF186+AI186+AH186+AG186+X186+R186+Q186+K186+J186)</f>
        <v>801</v>
      </c>
      <c r="AX186" s="16" t="n">
        <f aca="false">AW186/10</f>
        <v>80.1</v>
      </c>
      <c r="AY186" s="16" t="n">
        <f aca="false">AS186+AF186+AM186+AH186+AG186+AB186+V186+Q186+O186+J186</f>
        <v>820.6</v>
      </c>
      <c r="AZ186" s="16" t="n">
        <f aca="false">AT186+AF186+AN186+AH186+AG186+AC186+W186+Q186+P186+J186</f>
        <v>822</v>
      </c>
      <c r="BA186" s="16" t="n">
        <f aca="false">AY186/10</f>
        <v>82.06</v>
      </c>
      <c r="BB186" s="16" t="n">
        <f aca="false">AZ186/10</f>
        <v>82.2</v>
      </c>
      <c r="BC186" s="16" t="n">
        <v>2351</v>
      </c>
      <c r="BD186" s="16" t="n">
        <f aca="false">RANK(AX186,$AX$2:$AX$881,0)</f>
        <v>257</v>
      </c>
      <c r="BE186" s="54" t="n">
        <f aca="false">((BC186*100)/2400)*0.4+(AX186*0.6)</f>
        <v>87.2433333333333</v>
      </c>
      <c r="BF186" s="16" t="n">
        <f aca="false">RANK(BE186,$BE$2:$BE$881,0)</f>
        <v>279</v>
      </c>
      <c r="BG186" s="39" t="n">
        <f aca="false">RANK(BB186,$BB$2:$BB$881,0)</f>
        <v>202</v>
      </c>
      <c r="BH186" s="39" t="n">
        <f aca="false">RANK(BC186,$BC$2:$BC$881,0)</f>
        <v>520</v>
      </c>
      <c r="BI186" s="22" t="s">
        <v>130</v>
      </c>
      <c r="BJ186" s="22" t="s">
        <v>129</v>
      </c>
      <c r="BK186" s="40" t="s">
        <v>131</v>
      </c>
      <c r="BL186" s="41" t="n">
        <v>25</v>
      </c>
      <c r="BM186" s="41" t="n">
        <v>59</v>
      </c>
      <c r="BN186" s="41" t="n">
        <v>84</v>
      </c>
      <c r="BO186" s="42" t="n">
        <v>26</v>
      </c>
      <c r="BP186" s="43" t="n">
        <v>59</v>
      </c>
      <c r="BQ186" s="44" t="n">
        <v>85</v>
      </c>
      <c r="BR186" s="42" t="n">
        <v>26</v>
      </c>
      <c r="BS186" s="45" t="n">
        <v>61</v>
      </c>
      <c r="BT186" s="45" t="n">
        <v>87</v>
      </c>
      <c r="BU186" s="46" t="n">
        <v>98</v>
      </c>
      <c r="BV186" s="47" t="n">
        <v>96</v>
      </c>
      <c r="BW186" s="42" t="n">
        <v>100</v>
      </c>
      <c r="BX186" s="48" t="n">
        <v>96</v>
      </c>
      <c r="BY186" s="32" t="n">
        <v>25</v>
      </c>
      <c r="BZ186" s="32" t="n">
        <v>58</v>
      </c>
      <c r="CA186" s="32" t="n">
        <v>83</v>
      </c>
      <c r="CB186" s="32" t="n">
        <v>22</v>
      </c>
      <c r="CC186" s="32" t="n">
        <v>48</v>
      </c>
      <c r="CD186" s="32" t="n">
        <v>70</v>
      </c>
      <c r="CE186" s="32" t="n">
        <v>25</v>
      </c>
      <c r="CF186" s="32" t="n">
        <v>60</v>
      </c>
      <c r="CG186" s="32" t="n">
        <v>85</v>
      </c>
      <c r="CH186" s="32" t="n">
        <v>99</v>
      </c>
      <c r="CI186" s="32" t="n">
        <v>98</v>
      </c>
      <c r="CJ186" s="49" t="n">
        <v>23</v>
      </c>
      <c r="CK186" s="49" t="n">
        <v>56</v>
      </c>
      <c r="CL186" s="49" t="n">
        <v>79</v>
      </c>
      <c r="CM186" s="49" t="n">
        <v>24</v>
      </c>
      <c r="CN186" s="49" t="n">
        <v>54</v>
      </c>
      <c r="CO186" s="49" t="n">
        <v>78</v>
      </c>
      <c r="CP186" s="25" t="n">
        <f aca="false">BX186+BW186+BV186+BU186+BT186+BQ186+BN186</f>
        <v>646</v>
      </c>
      <c r="CQ186" s="25" t="n">
        <f aca="false">CO186+CL186+CI186+CH186+CG186+CD186+CA186</f>
        <v>592</v>
      </c>
      <c r="CR186" s="26" t="n">
        <f aca="false">CP186/7</f>
        <v>92.2857142857143</v>
      </c>
      <c r="CS186" s="26" t="n">
        <f aca="false">CQ186/7</f>
        <v>84.5714285714286</v>
      </c>
      <c r="CT186" s="24" t="n">
        <f aca="false">RANK(CR186,$CR$2:$CR$881,0)</f>
        <v>80</v>
      </c>
      <c r="CU186" s="25" t="n">
        <f aca="false">RANK(CS186,$CS$2:$CS$881,0)</f>
        <v>108</v>
      </c>
      <c r="CV186" s="26" t="n">
        <f aca="false">(CS186+CR186)/2</f>
        <v>88.4285714285714</v>
      </c>
      <c r="CW186" s="25" t="n">
        <f aca="false">RANK(CV186,$CV$2:$CV$881,0)</f>
        <v>85</v>
      </c>
      <c r="CX186" s="50" t="n">
        <f aca="false">(CV186+BB186)/2</f>
        <v>85.3142857142857</v>
      </c>
      <c r="CY186" s="50" t="n">
        <v>113</v>
      </c>
      <c r="CZ186" s="27" t="s">
        <v>132</v>
      </c>
      <c r="DA186" s="27" t="s">
        <v>169</v>
      </c>
      <c r="DB186" s="27" t="s">
        <v>169</v>
      </c>
      <c r="DC186" s="27" t="s">
        <v>134</v>
      </c>
      <c r="DD186" s="27" t="s">
        <v>191</v>
      </c>
      <c r="DE186" s="27" t="s">
        <v>161</v>
      </c>
      <c r="DF186" s="27" t="s">
        <v>196</v>
      </c>
      <c r="DG186" s="27" t="s">
        <v>134</v>
      </c>
      <c r="DH186" s="27" t="s">
        <v>160</v>
      </c>
      <c r="DI186" s="27" t="s">
        <v>218</v>
      </c>
      <c r="DJ186" s="27" t="s">
        <v>175</v>
      </c>
      <c r="DK186" s="27" t="s">
        <v>134</v>
      </c>
      <c r="DL186" s="27" t="s">
        <v>135</v>
      </c>
      <c r="DM186" s="27" t="s">
        <v>204</v>
      </c>
      <c r="DN186" s="27" t="s">
        <v>209</v>
      </c>
      <c r="DO186" s="27" t="s">
        <v>134</v>
      </c>
      <c r="DP186" s="27" t="s">
        <v>706</v>
      </c>
      <c r="DQ186" s="27" t="s">
        <v>681</v>
      </c>
      <c r="DR186" s="27" t="s">
        <v>161</v>
      </c>
      <c r="DS186" s="27" t="s">
        <v>134</v>
      </c>
      <c r="DT186" s="27" t="s">
        <v>137</v>
      </c>
      <c r="DU186" s="27" t="s">
        <v>412</v>
      </c>
      <c r="DV186" s="27" t="s">
        <v>382</v>
      </c>
      <c r="DW186" s="27" t="s">
        <v>154</v>
      </c>
      <c r="DX186" s="27" t="s">
        <v>155</v>
      </c>
      <c r="DY186" s="27" t="s">
        <v>151</v>
      </c>
      <c r="DZ186" s="27" t="n">
        <f aca="false">DY186+DV186+DR186+DN186+DJ186+DF186+DB186</f>
        <v>564</v>
      </c>
      <c r="EA186" s="28" t="n">
        <f aca="false">DZ186/7</f>
        <v>80.5714285714286</v>
      </c>
      <c r="EB186" s="27" t="n">
        <f aca="false">RANK(EA186,$EA$2:$EA$881,0)</f>
        <v>368</v>
      </c>
      <c r="EC186" s="29" t="n">
        <f aca="false">DZ186+CQ186+CP186+AZ186</f>
        <v>2624</v>
      </c>
      <c r="ED186" s="30" t="n">
        <f aca="false">(EA186+CV186+BB186)/3</f>
        <v>83.7333333333333</v>
      </c>
      <c r="EE186" s="51" t="n">
        <f aca="false">ROUND(BE186,3)</f>
        <v>87.243</v>
      </c>
      <c r="EF186" s="51" t="n">
        <f aca="false">ROUND(CR186,3)</f>
        <v>92.286</v>
      </c>
      <c r="EG186" s="51" t="n">
        <f aca="false">ROUND(CS186,3)</f>
        <v>84.571</v>
      </c>
      <c r="EH186" s="51" t="n">
        <f aca="false">ROUND(EA186,3)</f>
        <v>80.571</v>
      </c>
      <c r="EI186" s="51" t="n">
        <f aca="false">ROUND(ED186,3)</f>
        <v>83.733</v>
      </c>
      <c r="EJ186" s="51" t="n">
        <f aca="false">ROUND(CV186,3)</f>
        <v>88.429</v>
      </c>
      <c r="EK186" s="0" t="n">
        <f aca="false">RANK(EI186,$EI$2:$EI$881,0)</f>
        <v>185</v>
      </c>
    </row>
    <row r="187" customFormat="false" ht="16.85" hidden="false" customHeight="false" outlineLevel="0" collapsed="false">
      <c r="A187" s="4" t="n">
        <v>8722</v>
      </c>
      <c r="B187" s="4" t="n">
        <v>238</v>
      </c>
      <c r="C187" s="27" t="s">
        <v>731</v>
      </c>
      <c r="D187" s="31" t="n">
        <v>239</v>
      </c>
      <c r="E187" s="32" t="n">
        <v>230311443</v>
      </c>
      <c r="F187" s="8" t="s">
        <v>732</v>
      </c>
      <c r="G187" s="22" t="s">
        <v>733</v>
      </c>
      <c r="H187" s="22" t="s">
        <v>129</v>
      </c>
      <c r="I187" s="33" t="n">
        <v>2005</v>
      </c>
      <c r="J187" s="32" t="n">
        <v>89</v>
      </c>
      <c r="K187" s="32" t="n">
        <v>74</v>
      </c>
      <c r="L187" s="34" t="n">
        <f aca="false">(K187*70)/100</f>
        <v>51.8</v>
      </c>
      <c r="M187" s="34" t="n">
        <f aca="false">ROUNDUP(L187,0)</f>
        <v>52</v>
      </c>
      <c r="N187" s="32" t="n">
        <v>26</v>
      </c>
      <c r="O187" s="34" t="n">
        <f aca="false">N187+L187</f>
        <v>77.8</v>
      </c>
      <c r="P187" s="34" t="n">
        <f aca="false">N187+M187</f>
        <v>78</v>
      </c>
      <c r="Q187" s="32" t="n">
        <v>74</v>
      </c>
      <c r="R187" s="32" t="n">
        <v>76</v>
      </c>
      <c r="S187" s="34" t="n">
        <f aca="false">(R187*70)/100</f>
        <v>53.2</v>
      </c>
      <c r="T187" s="34" t="n">
        <f aca="false">ROUNDUP(S187,0)</f>
        <v>54</v>
      </c>
      <c r="U187" s="32" t="n">
        <v>28</v>
      </c>
      <c r="V187" s="34" t="n">
        <f aca="false">U187+S187</f>
        <v>81.2</v>
      </c>
      <c r="W187" s="34" t="n">
        <f aca="false">U187+T187</f>
        <v>82</v>
      </c>
      <c r="X187" s="32" t="n">
        <v>76</v>
      </c>
      <c r="Y187" s="34" t="n">
        <f aca="false">(X187*70)/100</f>
        <v>53.2</v>
      </c>
      <c r="Z187" s="34" t="n">
        <f aca="false">ROUNDUP(Y187,0)</f>
        <v>54</v>
      </c>
      <c r="AA187" s="32" t="n">
        <v>26</v>
      </c>
      <c r="AB187" s="34" t="n">
        <f aca="false">AA187+Y187</f>
        <v>79.2</v>
      </c>
      <c r="AC187" s="34" t="n">
        <f aca="false">AA187+Z187</f>
        <v>80</v>
      </c>
      <c r="AD187" s="32" t="n">
        <f aca="false">X187+R187+Q187+K187+J187</f>
        <v>389</v>
      </c>
      <c r="AE187" s="16" t="n">
        <f aca="false">AD187/5</f>
        <v>77.8</v>
      </c>
      <c r="AF187" s="16" t="n">
        <v>87</v>
      </c>
      <c r="AG187" s="16" t="n">
        <v>94</v>
      </c>
      <c r="AH187" s="16" t="n">
        <v>95</v>
      </c>
      <c r="AI187" s="16" t="n">
        <v>94</v>
      </c>
      <c r="AJ187" s="16" t="n">
        <f aca="false">(AI187*70)/100</f>
        <v>65.8</v>
      </c>
      <c r="AK187" s="35" t="n">
        <f aca="false">ROUNDUP(AJ187,0)</f>
        <v>66</v>
      </c>
      <c r="AL187" s="16" t="n">
        <v>26</v>
      </c>
      <c r="AM187" s="16" t="n">
        <f aca="false">AL187+AJ187</f>
        <v>91.8</v>
      </c>
      <c r="AN187" s="16" t="n">
        <f aca="false">AL187+AK187</f>
        <v>92</v>
      </c>
      <c r="AO187" s="16" t="n">
        <v>79</v>
      </c>
      <c r="AP187" s="36" t="n">
        <f aca="false">(AO187*70)/100</f>
        <v>55.3</v>
      </c>
      <c r="AQ187" s="37" t="n">
        <f aca="false">ROUNDUP(AP187,0)</f>
        <v>56</v>
      </c>
      <c r="AR187" s="16" t="n">
        <v>29</v>
      </c>
      <c r="AS187" s="16" t="n">
        <f aca="false">AR187+AP187</f>
        <v>84.3</v>
      </c>
      <c r="AT187" s="16" t="n">
        <f aca="false">AR187+AQ187</f>
        <v>85</v>
      </c>
      <c r="AU187" s="16" t="n">
        <f aca="false">AO187+AF187+AI187+AH187+AG187</f>
        <v>449</v>
      </c>
      <c r="AV187" s="16" t="n">
        <f aca="false">(AO187+AF187+AI187+AH187+AG187)/5</f>
        <v>89.8</v>
      </c>
      <c r="AW187" s="36" t="n">
        <f aca="false">(AO187+AF187+AI187+AH187+AG187+X187+R187+Q187+K187+J187)</f>
        <v>838</v>
      </c>
      <c r="AX187" s="16" t="n">
        <f aca="false">AW187/10</f>
        <v>83.8</v>
      </c>
      <c r="AY187" s="16" t="n">
        <f aca="false">AS187+AF187+AM187+AH187+AG187+AB187+V187+Q187+O187+J187</f>
        <v>853.3</v>
      </c>
      <c r="AZ187" s="16" t="n">
        <f aca="false">AT187+AF187+AN187+AH187+AG187+AC187+W187+Q187+P187+J187</f>
        <v>856</v>
      </c>
      <c r="BA187" s="16" t="n">
        <f aca="false">AY187/10</f>
        <v>85.33</v>
      </c>
      <c r="BB187" s="16" t="n">
        <f aca="false">AZ187/10</f>
        <v>85.6</v>
      </c>
      <c r="BC187" s="16" t="n">
        <v>2362</v>
      </c>
      <c r="BD187" s="16" t="n">
        <f aca="false">RANK(AX187,$AX$2:$AX$881,0)</f>
        <v>113</v>
      </c>
      <c r="BE187" s="54" t="n">
        <f aca="false">((BC187*100)/2400)*0.4+(AX187*0.6)</f>
        <v>89.6466666666667</v>
      </c>
      <c r="BF187" s="16" t="n">
        <f aca="false">RANK(BE187,$BE$2:$BE$881,0)</f>
        <v>114</v>
      </c>
      <c r="BG187" s="39" t="n">
        <f aca="false">RANK(BB187,$BB$2:$BB$881,0)</f>
        <v>93</v>
      </c>
      <c r="BH187" s="39" t="n">
        <f aca="false">RANK(BC187,$BC$2:$BC$881,0)</f>
        <v>367</v>
      </c>
      <c r="BI187" s="22" t="s">
        <v>130</v>
      </c>
      <c r="BJ187" s="22" t="s">
        <v>129</v>
      </c>
      <c r="BK187" s="40" t="s">
        <v>131</v>
      </c>
      <c r="BL187" s="44" t="n">
        <v>23</v>
      </c>
      <c r="BM187" s="44" t="n">
        <v>53</v>
      </c>
      <c r="BN187" s="44" t="n">
        <v>76</v>
      </c>
      <c r="BO187" s="44" t="n">
        <v>25</v>
      </c>
      <c r="BP187" s="42" t="n">
        <v>65</v>
      </c>
      <c r="BQ187" s="44" t="n">
        <v>90</v>
      </c>
      <c r="BR187" s="44" t="n">
        <v>26</v>
      </c>
      <c r="BS187" s="45" t="n">
        <v>52</v>
      </c>
      <c r="BT187" s="45" t="n">
        <v>78</v>
      </c>
      <c r="BU187" s="46" t="n">
        <v>100</v>
      </c>
      <c r="BV187" s="42" t="n">
        <v>94</v>
      </c>
      <c r="BW187" s="44" t="n">
        <v>95</v>
      </c>
      <c r="BX187" s="48" t="n">
        <v>96</v>
      </c>
      <c r="BY187" s="32" t="n">
        <v>23</v>
      </c>
      <c r="BZ187" s="32" t="n">
        <v>46</v>
      </c>
      <c r="CA187" s="32" t="n">
        <v>69</v>
      </c>
      <c r="CB187" s="32" t="n">
        <v>24</v>
      </c>
      <c r="CC187" s="60"/>
      <c r="CD187" s="60"/>
      <c r="CE187" s="32" t="n">
        <v>26</v>
      </c>
      <c r="CF187" s="32" t="n">
        <v>49</v>
      </c>
      <c r="CG187" s="32" t="n">
        <v>75</v>
      </c>
      <c r="CH187" s="32" t="n">
        <v>96</v>
      </c>
      <c r="CI187" s="32" t="n">
        <v>96</v>
      </c>
      <c r="CJ187" s="49" t="n">
        <v>19</v>
      </c>
      <c r="CK187" s="49" t="n">
        <v>55</v>
      </c>
      <c r="CL187" s="49" t="n">
        <v>74</v>
      </c>
      <c r="CM187" s="49" t="n">
        <v>25</v>
      </c>
      <c r="CN187" s="49" t="n">
        <v>51</v>
      </c>
      <c r="CO187" s="49" t="n">
        <v>76</v>
      </c>
      <c r="CP187" s="25" t="n">
        <f aca="false">BX187+BW187+BV187+BU187+BT187+BQ187+BN187</f>
        <v>629</v>
      </c>
      <c r="CQ187" s="25" t="n">
        <f aca="false">CO187+CL187+CI187+CH187+CG187+CD187+CA187</f>
        <v>486</v>
      </c>
      <c r="CR187" s="26" t="n">
        <f aca="false">CP187/7</f>
        <v>89.8571428571429</v>
      </c>
      <c r="CS187" s="26" t="n">
        <f aca="false">CQ187/7</f>
        <v>69.4285714285714</v>
      </c>
      <c r="CT187" s="24" t="n">
        <f aca="false">RANK(CR187,$CR$2:$CR$881,0)</f>
        <v>193</v>
      </c>
      <c r="CU187" s="25" t="n">
        <f aca="false">RANK(CS187,$CS$2:$CS$881,0)</f>
        <v>564</v>
      </c>
      <c r="CV187" s="26" t="n">
        <f aca="false">(CS187+CR187)/2</f>
        <v>79.6428571428571</v>
      </c>
      <c r="CW187" s="25" t="n">
        <f aca="false">RANK(CV187,$CV$2:$CV$881,0)</f>
        <v>443</v>
      </c>
      <c r="CX187" s="50" t="n">
        <f aca="false">(CV187+BB187)/2</f>
        <v>82.6214285714286</v>
      </c>
      <c r="CY187" s="50" t="n">
        <v>225</v>
      </c>
      <c r="CZ187" s="27" t="s">
        <v>132</v>
      </c>
      <c r="DA187" s="27" t="s">
        <v>151</v>
      </c>
      <c r="DB187" s="27" t="s">
        <v>151</v>
      </c>
      <c r="DC187" s="27" t="s">
        <v>134</v>
      </c>
      <c r="DD187" s="27" t="s">
        <v>195</v>
      </c>
      <c r="DE187" s="27" t="s">
        <v>152</v>
      </c>
      <c r="DF187" s="27" t="s">
        <v>175</v>
      </c>
      <c r="DG187" s="27" t="s">
        <v>134</v>
      </c>
      <c r="DH187" s="27" t="s">
        <v>137</v>
      </c>
      <c r="DI187" s="27" t="s">
        <v>163</v>
      </c>
      <c r="DJ187" s="27" t="s">
        <v>170</v>
      </c>
      <c r="DK187" s="27" t="s">
        <v>134</v>
      </c>
      <c r="DL187" s="27" t="s">
        <v>182</v>
      </c>
      <c r="DM187" s="27" t="s">
        <v>183</v>
      </c>
      <c r="DN187" s="27" t="s">
        <v>205</v>
      </c>
      <c r="DO187" s="27" t="s">
        <v>134</v>
      </c>
      <c r="DP187" s="27" t="s">
        <v>182</v>
      </c>
      <c r="DQ187" s="27" t="s">
        <v>218</v>
      </c>
      <c r="DR187" s="27" t="s">
        <v>196</v>
      </c>
      <c r="DS187" s="27" t="s">
        <v>134</v>
      </c>
      <c r="DT187" s="27" t="s">
        <v>135</v>
      </c>
      <c r="DU187" s="27" t="s">
        <v>447</v>
      </c>
      <c r="DV187" s="27" t="s">
        <v>305</v>
      </c>
      <c r="DW187" s="27" t="s">
        <v>174</v>
      </c>
      <c r="DX187" s="27" t="s">
        <v>138</v>
      </c>
      <c r="DY187" s="27" t="s">
        <v>170</v>
      </c>
      <c r="DZ187" s="27" t="n">
        <f aca="false">DY187+DV187+DR187+DN187+DJ187+DF187+DB187</f>
        <v>601</v>
      </c>
      <c r="EA187" s="28" t="n">
        <f aca="false">DZ187/7</f>
        <v>85.8571428571429</v>
      </c>
      <c r="EB187" s="27" t="n">
        <f aca="false">RANK(EA187,$EA$2:$EA$881,0)</f>
        <v>159</v>
      </c>
      <c r="EC187" s="29" t="n">
        <f aca="false">DZ187+CQ187+CP187+AZ187</f>
        <v>2572</v>
      </c>
      <c r="ED187" s="30" t="n">
        <f aca="false">(EA187+CV187+BB187)/3</f>
        <v>83.7</v>
      </c>
      <c r="EE187" s="51" t="n">
        <f aca="false">ROUND(BE187,3)</f>
        <v>89.647</v>
      </c>
      <c r="EF187" s="51" t="n">
        <f aca="false">ROUND(CR187,3)</f>
        <v>89.857</v>
      </c>
      <c r="EG187" s="51" t="n">
        <f aca="false">ROUND(CS187,3)</f>
        <v>69.429</v>
      </c>
      <c r="EH187" s="51" t="n">
        <f aca="false">ROUND(EA187,3)</f>
        <v>85.857</v>
      </c>
      <c r="EI187" s="51" t="n">
        <f aca="false">ROUND(ED187,3)</f>
        <v>83.7</v>
      </c>
      <c r="EJ187" s="51" t="n">
        <f aca="false">ROUND(CV187,3)</f>
        <v>79.643</v>
      </c>
      <c r="EK187" s="0" t="n">
        <f aca="false">RANK(EI187,$EI$2:$EI$881,0)</f>
        <v>186</v>
      </c>
    </row>
    <row r="188" customFormat="false" ht="15" hidden="false" customHeight="false" outlineLevel="0" collapsed="false">
      <c r="A188" s="4" t="n">
        <v>8814</v>
      </c>
      <c r="B188" s="4" t="n">
        <v>127</v>
      </c>
      <c r="C188" s="27" t="s">
        <v>734</v>
      </c>
      <c r="D188" s="31" t="n">
        <v>125</v>
      </c>
      <c r="E188" s="32" t="n">
        <v>230311438</v>
      </c>
      <c r="F188" s="8" t="s">
        <v>735</v>
      </c>
      <c r="G188" s="22" t="s">
        <v>736</v>
      </c>
      <c r="H188" s="22" t="s">
        <v>129</v>
      </c>
      <c r="I188" s="33" t="n">
        <v>2005</v>
      </c>
      <c r="J188" s="32" t="n">
        <v>84</v>
      </c>
      <c r="K188" s="32" t="n">
        <v>67</v>
      </c>
      <c r="L188" s="34" t="n">
        <f aca="false">(K188*70)/100</f>
        <v>46.9</v>
      </c>
      <c r="M188" s="34" t="n">
        <f aca="false">ROUNDUP(L188,0)</f>
        <v>47</v>
      </c>
      <c r="N188" s="32" t="n">
        <v>22</v>
      </c>
      <c r="O188" s="34" t="n">
        <f aca="false">N188+L188</f>
        <v>68.9</v>
      </c>
      <c r="P188" s="34" t="n">
        <f aca="false">N188+M188</f>
        <v>69</v>
      </c>
      <c r="Q188" s="32" t="n">
        <v>74</v>
      </c>
      <c r="R188" s="32" t="n">
        <v>65</v>
      </c>
      <c r="S188" s="34" t="n">
        <f aca="false">(R188*70)/100</f>
        <v>45.5</v>
      </c>
      <c r="T188" s="34" t="n">
        <f aca="false">ROUNDUP(S188,0)</f>
        <v>46</v>
      </c>
      <c r="U188" s="32" t="n">
        <v>20</v>
      </c>
      <c r="V188" s="34" t="n">
        <f aca="false">U188+S188</f>
        <v>65.5</v>
      </c>
      <c r="W188" s="34" t="n">
        <f aca="false">U188+T188</f>
        <v>66</v>
      </c>
      <c r="X188" s="32" t="n">
        <v>80</v>
      </c>
      <c r="Y188" s="34" t="n">
        <f aca="false">(X188*70)/100</f>
        <v>56</v>
      </c>
      <c r="Z188" s="34" t="n">
        <f aca="false">ROUNDUP(Y188,0)</f>
        <v>56</v>
      </c>
      <c r="AA188" s="32" t="n">
        <v>24</v>
      </c>
      <c r="AB188" s="34" t="n">
        <f aca="false">AA188+Y188</f>
        <v>80</v>
      </c>
      <c r="AC188" s="34" t="n">
        <f aca="false">AA188+Z188</f>
        <v>80</v>
      </c>
      <c r="AD188" s="32" t="n">
        <f aca="false">X188+R188+Q188+K188+J188</f>
        <v>370</v>
      </c>
      <c r="AE188" s="16" t="n">
        <f aca="false">AD188/5</f>
        <v>74</v>
      </c>
      <c r="AF188" s="16" t="n">
        <v>80</v>
      </c>
      <c r="AG188" s="16" t="n">
        <v>93</v>
      </c>
      <c r="AH188" s="16" t="n">
        <v>86</v>
      </c>
      <c r="AI188" s="16" t="n">
        <v>94</v>
      </c>
      <c r="AJ188" s="16" t="n">
        <f aca="false">(AI188*70)/100</f>
        <v>65.8</v>
      </c>
      <c r="AK188" s="35" t="n">
        <f aca="false">ROUNDUP(AJ188,0)</f>
        <v>66</v>
      </c>
      <c r="AL188" s="16" t="n">
        <v>18</v>
      </c>
      <c r="AM188" s="16" t="n">
        <f aca="false">AL188+AJ188</f>
        <v>83.8</v>
      </c>
      <c r="AN188" s="16" t="n">
        <f aca="false">AL188+AK188</f>
        <v>84</v>
      </c>
      <c r="AO188" s="16" t="n">
        <v>78</v>
      </c>
      <c r="AP188" s="36" t="n">
        <f aca="false">(AO188*70)/100</f>
        <v>54.6</v>
      </c>
      <c r="AQ188" s="37" t="n">
        <f aca="false">ROUNDUP(AP188,0)</f>
        <v>55</v>
      </c>
      <c r="AR188" s="16" t="n">
        <v>27</v>
      </c>
      <c r="AS188" s="16" t="n">
        <f aca="false">AR188+AP188</f>
        <v>81.6</v>
      </c>
      <c r="AT188" s="16" t="n">
        <f aca="false">AR188+AQ188</f>
        <v>82</v>
      </c>
      <c r="AU188" s="16" t="n">
        <f aca="false">AO188+AF188+AI188+AH188+AG188</f>
        <v>431</v>
      </c>
      <c r="AV188" s="16" t="n">
        <f aca="false">(AO188+AF188+AI188+AH188+AG188)/5</f>
        <v>86.2</v>
      </c>
      <c r="AW188" s="36" t="n">
        <f aca="false">(AO188+AF188+AI188+AH188+AG188+X188+R188+Q188+K188+J188)</f>
        <v>801</v>
      </c>
      <c r="AX188" s="16" t="n">
        <f aca="false">AW188/10</f>
        <v>80.1</v>
      </c>
      <c r="AY188" s="16" t="n">
        <f aca="false">AS188+AF188+AM188+AH188+AG188+AB188+V188+Q188+O188+J188</f>
        <v>796.8</v>
      </c>
      <c r="AZ188" s="16" t="n">
        <f aca="false">AT188+AF188+AN188+AH188+AG188+AC188+W188+Q188+P188+J188</f>
        <v>798</v>
      </c>
      <c r="BA188" s="16" t="n">
        <f aca="false">AY188/10</f>
        <v>79.68</v>
      </c>
      <c r="BB188" s="16" t="n">
        <f aca="false">AZ188/10</f>
        <v>79.8</v>
      </c>
      <c r="BC188" s="16" t="n">
        <v>2364</v>
      </c>
      <c r="BD188" s="16" t="n">
        <f aca="false">RANK(AX188,$AX$2:$AX$881,0)</f>
        <v>257</v>
      </c>
      <c r="BE188" s="54" t="n">
        <f aca="false">((BC188*100)/2400)*0.4+(AX188*0.6)</f>
        <v>87.46</v>
      </c>
      <c r="BF188" s="16" t="n">
        <f aca="false">RANK(BE188,$BE$2:$BE$881,0)</f>
        <v>252</v>
      </c>
      <c r="BG188" s="39" t="n">
        <f aca="false">RANK(BB188,$BB$2:$BB$881,0)</f>
        <v>369</v>
      </c>
      <c r="BH188" s="39" t="n">
        <f aca="false">RANK(BC188,$BC$2:$BC$881,0)</f>
        <v>347</v>
      </c>
      <c r="BI188" s="22" t="s">
        <v>130</v>
      </c>
      <c r="BJ188" s="22" t="s">
        <v>129</v>
      </c>
      <c r="BK188" s="40" t="s">
        <v>131</v>
      </c>
      <c r="BL188" s="41" t="n">
        <v>16</v>
      </c>
      <c r="BM188" s="41" t="n">
        <v>55</v>
      </c>
      <c r="BN188" s="41" t="n">
        <v>71</v>
      </c>
      <c r="BO188" s="42" t="n">
        <v>25</v>
      </c>
      <c r="BP188" s="43" t="n">
        <v>62</v>
      </c>
      <c r="BQ188" s="44" t="n">
        <v>87</v>
      </c>
      <c r="BR188" s="42" t="n">
        <v>20</v>
      </c>
      <c r="BS188" s="45" t="n">
        <v>60</v>
      </c>
      <c r="BT188" s="45" t="n">
        <v>80</v>
      </c>
      <c r="BU188" s="46" t="n">
        <v>100</v>
      </c>
      <c r="BV188" s="47" t="n">
        <v>90</v>
      </c>
      <c r="BW188" s="42" t="n">
        <v>99</v>
      </c>
      <c r="BX188" s="48" t="n">
        <v>90</v>
      </c>
      <c r="BY188" s="32" t="n">
        <v>27</v>
      </c>
      <c r="BZ188" s="32" t="n">
        <v>59</v>
      </c>
      <c r="CA188" s="32" t="n">
        <v>86</v>
      </c>
      <c r="CB188" s="32" t="n">
        <v>20</v>
      </c>
      <c r="CC188" s="32" t="n">
        <v>39</v>
      </c>
      <c r="CD188" s="69" t="n">
        <v>59</v>
      </c>
      <c r="CE188" s="32" t="n">
        <v>25</v>
      </c>
      <c r="CF188" s="32" t="n">
        <v>60</v>
      </c>
      <c r="CG188" s="32" t="n">
        <v>85</v>
      </c>
      <c r="CH188" s="32" t="n">
        <v>96</v>
      </c>
      <c r="CI188" s="32" t="n">
        <v>98</v>
      </c>
      <c r="CJ188" s="49" t="n">
        <v>24</v>
      </c>
      <c r="CK188" s="49" t="n">
        <v>53</v>
      </c>
      <c r="CL188" s="49" t="n">
        <v>77</v>
      </c>
      <c r="CM188" s="49" t="n">
        <v>22</v>
      </c>
      <c r="CN188" s="49" t="n">
        <v>56</v>
      </c>
      <c r="CO188" s="49" t="n">
        <v>78</v>
      </c>
      <c r="CP188" s="25" t="n">
        <f aca="false">BX188+BW188+BV188+BU188+BT188+BQ188+BN188</f>
        <v>617</v>
      </c>
      <c r="CQ188" s="25" t="n">
        <f aca="false">CO188+CL188+CI188+CH188+CG188+CD188+CA188</f>
        <v>579</v>
      </c>
      <c r="CR188" s="26" t="n">
        <f aca="false">CP188/7</f>
        <v>88.1428571428571</v>
      </c>
      <c r="CS188" s="26" t="n">
        <f aca="false">CQ188/7</f>
        <v>82.7142857142857</v>
      </c>
      <c r="CT188" s="24" t="n">
        <f aca="false">RANK(CR188,$CR$2:$CR$881,0)</f>
        <v>297</v>
      </c>
      <c r="CU188" s="25" t="n">
        <f aca="false">RANK(CS188,$CS$2:$CS$881,0)</f>
        <v>167</v>
      </c>
      <c r="CV188" s="26" t="n">
        <f aca="false">(CS188+CR188)/2</f>
        <v>85.4285714285714</v>
      </c>
      <c r="CW188" s="25" t="n">
        <f aca="false">RANK(CV188,$CV$2:$CV$881,0)</f>
        <v>193</v>
      </c>
      <c r="CX188" s="50" t="n">
        <f aca="false">(CV188+BB188)/2</f>
        <v>82.6142857142857</v>
      </c>
      <c r="CY188" s="50" t="n">
        <v>227</v>
      </c>
      <c r="CZ188" s="27" t="s">
        <v>132</v>
      </c>
      <c r="DA188" s="27" t="s">
        <v>162</v>
      </c>
      <c r="DB188" s="27" t="s">
        <v>162</v>
      </c>
      <c r="DC188" s="27" t="s">
        <v>134</v>
      </c>
      <c r="DD188" s="27" t="s">
        <v>182</v>
      </c>
      <c r="DE188" s="27" t="s">
        <v>177</v>
      </c>
      <c r="DF188" s="27" t="s">
        <v>209</v>
      </c>
      <c r="DG188" s="27" t="s">
        <v>134</v>
      </c>
      <c r="DH188" s="27" t="s">
        <v>164</v>
      </c>
      <c r="DI188" s="27" t="s">
        <v>204</v>
      </c>
      <c r="DJ188" s="27" t="s">
        <v>202</v>
      </c>
      <c r="DK188" s="27" t="s">
        <v>134</v>
      </c>
      <c r="DL188" s="27" t="s">
        <v>135</v>
      </c>
      <c r="DM188" s="27" t="s">
        <v>161</v>
      </c>
      <c r="DN188" s="27" t="s">
        <v>202</v>
      </c>
      <c r="DO188" s="27" t="s">
        <v>134</v>
      </c>
      <c r="DP188" s="27" t="s">
        <v>182</v>
      </c>
      <c r="DQ188" s="27" t="s">
        <v>313</v>
      </c>
      <c r="DR188" s="27" t="s">
        <v>443</v>
      </c>
      <c r="DS188" s="27" t="s">
        <v>134</v>
      </c>
      <c r="DT188" s="27" t="s">
        <v>137</v>
      </c>
      <c r="DU188" s="27" t="s">
        <v>220</v>
      </c>
      <c r="DV188" s="27" t="s">
        <v>205</v>
      </c>
      <c r="DW188" s="27" t="s">
        <v>160</v>
      </c>
      <c r="DX188" s="27" t="s">
        <v>155</v>
      </c>
      <c r="DY188" s="27" t="s">
        <v>145</v>
      </c>
      <c r="DZ188" s="27" t="n">
        <f aca="false">DY188+DV188+DR188+DN188+DJ188+DF188+DB188</f>
        <v>601</v>
      </c>
      <c r="EA188" s="28" t="n">
        <f aca="false">DZ188/7</f>
        <v>85.8571428571429</v>
      </c>
      <c r="EB188" s="27" t="n">
        <f aca="false">RANK(EA188,$EA$2:$EA$881,0)</f>
        <v>159</v>
      </c>
      <c r="EC188" s="29" t="n">
        <f aca="false">DZ188+CQ188+CP188+AZ188</f>
        <v>2595</v>
      </c>
      <c r="ED188" s="30" t="n">
        <f aca="false">(EA188+CV188+BB188)/3</f>
        <v>83.6952380952381</v>
      </c>
      <c r="EE188" s="51" t="n">
        <f aca="false">ROUND(BE188,3)</f>
        <v>87.46</v>
      </c>
      <c r="EF188" s="51" t="n">
        <f aca="false">ROUND(CR188,3)</f>
        <v>88.143</v>
      </c>
      <c r="EG188" s="51" t="n">
        <f aca="false">ROUND(CS188,3)</f>
        <v>82.714</v>
      </c>
      <c r="EH188" s="51" t="n">
        <f aca="false">ROUND(EA188,3)</f>
        <v>85.857</v>
      </c>
      <c r="EI188" s="51" t="n">
        <f aca="false">ROUND(ED188,3)</f>
        <v>83.695</v>
      </c>
      <c r="EJ188" s="51" t="n">
        <f aca="false">ROUND(CV188,3)</f>
        <v>85.429</v>
      </c>
      <c r="EK188" s="0" t="n">
        <f aca="false">RANK(EI188,$EI$2:$EI$881,0)</f>
        <v>187</v>
      </c>
    </row>
    <row r="189" customFormat="false" ht="15" hidden="false" customHeight="false" outlineLevel="0" collapsed="false">
      <c r="A189" s="4" t="n">
        <v>1946</v>
      </c>
      <c r="B189" s="4" t="n">
        <v>437</v>
      </c>
      <c r="C189" s="27" t="s">
        <v>737</v>
      </c>
      <c r="D189" s="31" t="n">
        <v>443</v>
      </c>
      <c r="E189" s="16" t="n">
        <v>230913733</v>
      </c>
      <c r="F189" s="56" t="s">
        <v>738</v>
      </c>
      <c r="G189" s="22" t="s">
        <v>739</v>
      </c>
      <c r="H189" s="22" t="s">
        <v>326</v>
      </c>
      <c r="I189" s="57"/>
      <c r="J189" s="16" t="n">
        <v>79</v>
      </c>
      <c r="K189" s="16" t="n">
        <v>75</v>
      </c>
      <c r="L189" s="34" t="n">
        <f aca="false">(K189*70)/100</f>
        <v>52.5</v>
      </c>
      <c r="M189" s="34" t="n">
        <f aca="false">ROUNDUP(L189,0)</f>
        <v>53</v>
      </c>
      <c r="N189" s="16" t="n">
        <v>29</v>
      </c>
      <c r="O189" s="34" t="n">
        <f aca="false">N189+L189</f>
        <v>81.5</v>
      </c>
      <c r="P189" s="34" t="n">
        <f aca="false">N189+M189</f>
        <v>82</v>
      </c>
      <c r="Q189" s="16" t="n">
        <v>74</v>
      </c>
      <c r="R189" s="16" t="n">
        <v>76</v>
      </c>
      <c r="S189" s="34" t="n">
        <f aca="false">(R189*70)/100</f>
        <v>53.2</v>
      </c>
      <c r="T189" s="34" t="n">
        <f aca="false">ROUNDUP(S189,0)</f>
        <v>54</v>
      </c>
      <c r="U189" s="16" t="n">
        <v>25</v>
      </c>
      <c r="V189" s="34" t="n">
        <f aca="false">U189+S189</f>
        <v>78.2</v>
      </c>
      <c r="W189" s="34" t="n">
        <f aca="false">U189+T189</f>
        <v>79</v>
      </c>
      <c r="X189" s="16" t="n">
        <v>80</v>
      </c>
      <c r="Y189" s="34" t="n">
        <f aca="false">(X189*70)/100</f>
        <v>56</v>
      </c>
      <c r="Z189" s="34" t="n">
        <f aca="false">ROUNDUP(Y189,0)</f>
        <v>56</v>
      </c>
      <c r="AA189" s="16" t="n">
        <v>28</v>
      </c>
      <c r="AB189" s="34" t="n">
        <f aca="false">AA189+Y189</f>
        <v>84</v>
      </c>
      <c r="AC189" s="34" t="n">
        <f aca="false">AA189+Z189</f>
        <v>84</v>
      </c>
      <c r="AD189" s="32" t="n">
        <f aca="false">X189+R189+Q189+K189+J189</f>
        <v>384</v>
      </c>
      <c r="AE189" s="16" t="n">
        <f aca="false">AD189/5</f>
        <v>76.8</v>
      </c>
      <c r="AF189" s="16" t="n">
        <v>63</v>
      </c>
      <c r="AG189" s="16" t="n">
        <v>84</v>
      </c>
      <c r="AH189" s="16" t="n">
        <v>84</v>
      </c>
      <c r="AI189" s="16" t="n">
        <v>87</v>
      </c>
      <c r="AJ189" s="16" t="n">
        <f aca="false">(AI189*70)/100</f>
        <v>60.9</v>
      </c>
      <c r="AK189" s="35" t="n">
        <f aca="false">ROUNDUP(AJ189,0)</f>
        <v>61</v>
      </c>
      <c r="AL189" s="16" t="n">
        <v>23</v>
      </c>
      <c r="AM189" s="16" t="n">
        <f aca="false">AL189+AJ189</f>
        <v>83.9</v>
      </c>
      <c r="AN189" s="16" t="n">
        <f aca="false">AL189+AK189</f>
        <v>84</v>
      </c>
      <c r="AO189" s="16" t="n">
        <v>64</v>
      </c>
      <c r="AP189" s="36" t="n">
        <f aca="false">(AO189*70)/100</f>
        <v>44.8</v>
      </c>
      <c r="AQ189" s="37" t="n">
        <f aca="false">ROUNDUP(AP189,0)</f>
        <v>45</v>
      </c>
      <c r="AR189" s="16" t="n">
        <v>30</v>
      </c>
      <c r="AS189" s="16" t="n">
        <f aca="false">AR189+AP189</f>
        <v>74.8</v>
      </c>
      <c r="AT189" s="16" t="n">
        <f aca="false">AR189+AQ189</f>
        <v>75</v>
      </c>
      <c r="AU189" s="16" t="n">
        <f aca="false">AO189+AF189+AI189+AH189+AG189</f>
        <v>382</v>
      </c>
      <c r="AV189" s="16" t="n">
        <f aca="false">(AO189+AF189+AI189+AH189+AG189)/5</f>
        <v>76.4</v>
      </c>
      <c r="AW189" s="36" t="n">
        <f aca="false">(AO189+AF189+AI189+AH189+AG189+X189+R189+Q189+K189+J189)</f>
        <v>766</v>
      </c>
      <c r="AX189" s="16" t="n">
        <f aca="false">AW189/10</f>
        <v>76.6</v>
      </c>
      <c r="AY189" s="16" t="n">
        <f aca="false">AS189+AF189+AM189+AH189+AG189+AB189+V189+Q189+O189+J189</f>
        <v>786.4</v>
      </c>
      <c r="AZ189" s="16" t="n">
        <f aca="false">AT189+AF189+AN189+AH189+AG189+AC189+W189+Q189+P189+J189</f>
        <v>788</v>
      </c>
      <c r="BA189" s="16" t="n">
        <f aca="false">AY189/10</f>
        <v>78.64</v>
      </c>
      <c r="BB189" s="16" t="n">
        <f aca="false">AZ189/10</f>
        <v>78.8</v>
      </c>
      <c r="BC189" s="16" t="n">
        <v>2385</v>
      </c>
      <c r="BD189" s="16" t="n">
        <f aca="false">RANK(AX189,$AX$2:$AX$881,0)</f>
        <v>547</v>
      </c>
      <c r="BE189" s="54" t="n">
        <f aca="false">((BC189*100)/2400)*0.4+(AX189*0.6)</f>
        <v>85.71</v>
      </c>
      <c r="BF189" s="16" t="n">
        <f aca="false">RANK(BE189,$BE$2:$BE$881,0)</f>
        <v>479</v>
      </c>
      <c r="BG189" s="39" t="n">
        <f aca="false">RANK(BB189,$BB$2:$BB$881,0)</f>
        <v>472</v>
      </c>
      <c r="BH189" s="39" t="n">
        <f aca="false">RANK(BC189,$BC$2:$BC$881,0)</f>
        <v>93</v>
      </c>
      <c r="BI189" s="22" t="s">
        <v>130</v>
      </c>
      <c r="BJ189" s="22" t="s">
        <v>129</v>
      </c>
      <c r="BK189" s="40" t="s">
        <v>509</v>
      </c>
      <c r="BL189" s="44" t="n">
        <v>21</v>
      </c>
      <c r="BM189" s="44" t="n">
        <v>63</v>
      </c>
      <c r="BN189" s="44" t="n">
        <v>84</v>
      </c>
      <c r="BO189" s="44" t="n">
        <v>25</v>
      </c>
      <c r="BP189" s="43" t="n">
        <v>64</v>
      </c>
      <c r="BQ189" s="44" t="n">
        <v>89</v>
      </c>
      <c r="BR189" s="44" t="n">
        <v>27</v>
      </c>
      <c r="BS189" s="45" t="n">
        <v>56</v>
      </c>
      <c r="BT189" s="45" t="n">
        <v>83</v>
      </c>
      <c r="BU189" s="46" t="n">
        <v>100</v>
      </c>
      <c r="BV189" s="42" t="n">
        <v>96</v>
      </c>
      <c r="BW189" s="44" t="n">
        <v>96</v>
      </c>
      <c r="BX189" s="48" t="n">
        <v>94</v>
      </c>
      <c r="BY189" s="32" t="n">
        <v>28</v>
      </c>
      <c r="BZ189" s="32" t="n">
        <v>62</v>
      </c>
      <c r="CA189" s="32" t="n">
        <v>90</v>
      </c>
      <c r="CB189" s="32" t="n">
        <v>25</v>
      </c>
      <c r="CC189" s="32" t="n">
        <v>44</v>
      </c>
      <c r="CD189" s="32" t="n">
        <v>69</v>
      </c>
      <c r="CE189" s="32" t="n">
        <v>28</v>
      </c>
      <c r="CF189" s="32" t="n">
        <v>51</v>
      </c>
      <c r="CG189" s="32" t="n">
        <v>79</v>
      </c>
      <c r="CH189" s="32" t="n">
        <v>100</v>
      </c>
      <c r="CI189" s="32" t="n">
        <v>96</v>
      </c>
      <c r="CJ189" s="49" t="n">
        <v>27</v>
      </c>
      <c r="CK189" s="49" t="n">
        <v>55</v>
      </c>
      <c r="CL189" s="49" t="n">
        <v>82</v>
      </c>
      <c r="CM189" s="49" t="n">
        <v>28</v>
      </c>
      <c r="CN189" s="49" t="n">
        <v>54</v>
      </c>
      <c r="CO189" s="49" t="n">
        <v>82</v>
      </c>
      <c r="CP189" s="25" t="n">
        <f aca="false">BX189+BW189+BV189+BU189+BT189+BQ189+BN189</f>
        <v>642</v>
      </c>
      <c r="CQ189" s="25" t="n">
        <f aca="false">CO189+CL189+CI189+CH189+CG189+CD189+CA189</f>
        <v>598</v>
      </c>
      <c r="CR189" s="26" t="n">
        <f aca="false">CP189/7</f>
        <v>91.7142857142857</v>
      </c>
      <c r="CS189" s="26" t="n">
        <f aca="false">CQ189/7</f>
        <v>85.4285714285714</v>
      </c>
      <c r="CT189" s="24" t="n">
        <f aca="false">RANK(CR189,$CR$2:$CR$881,0)</f>
        <v>99</v>
      </c>
      <c r="CU189" s="25" t="n">
        <f aca="false">RANK(CS189,$CS$2:$CS$881,0)</f>
        <v>92</v>
      </c>
      <c r="CV189" s="26" t="n">
        <f aca="false">(CS189+CR189)/2</f>
        <v>88.5714285714286</v>
      </c>
      <c r="CW189" s="25" t="n">
        <f aca="false">RANK(CV189,$CV$2:$CV$881,0)</f>
        <v>83</v>
      </c>
      <c r="CX189" s="50" t="n">
        <f aca="false">(CV189+BB189)/2</f>
        <v>83.6857142857143</v>
      </c>
      <c r="CY189" s="50" t="n">
        <v>178</v>
      </c>
      <c r="CZ189" s="27" t="s">
        <v>132</v>
      </c>
      <c r="DA189" s="27" t="s">
        <v>202</v>
      </c>
      <c r="DB189" s="27" t="s">
        <v>202</v>
      </c>
      <c r="DC189" s="27" t="s">
        <v>134</v>
      </c>
      <c r="DD189" s="27" t="s">
        <v>182</v>
      </c>
      <c r="DE189" s="27" t="s">
        <v>218</v>
      </c>
      <c r="DF189" s="27" t="s">
        <v>196</v>
      </c>
      <c r="DG189" s="27" t="s">
        <v>134</v>
      </c>
      <c r="DH189" s="27" t="s">
        <v>140</v>
      </c>
      <c r="DI189" s="27" t="s">
        <v>306</v>
      </c>
      <c r="DJ189" s="27" t="s">
        <v>209</v>
      </c>
      <c r="DK189" s="27" t="s">
        <v>134</v>
      </c>
      <c r="DL189" s="27" t="s">
        <v>135</v>
      </c>
      <c r="DM189" s="27" t="s">
        <v>306</v>
      </c>
      <c r="DN189" s="27" t="s">
        <v>219</v>
      </c>
      <c r="DO189" s="27" t="s">
        <v>134</v>
      </c>
      <c r="DP189" s="27" t="s">
        <v>154</v>
      </c>
      <c r="DQ189" s="27" t="s">
        <v>313</v>
      </c>
      <c r="DR189" s="27" t="s">
        <v>441</v>
      </c>
      <c r="DS189" s="27" t="s">
        <v>134</v>
      </c>
      <c r="DT189" s="27" t="s">
        <v>146</v>
      </c>
      <c r="DU189" s="27" t="s">
        <v>447</v>
      </c>
      <c r="DV189" s="27" t="s">
        <v>169</v>
      </c>
      <c r="DW189" s="27" t="s">
        <v>164</v>
      </c>
      <c r="DX189" s="27" t="s">
        <v>155</v>
      </c>
      <c r="DY189" s="27" t="s">
        <v>144</v>
      </c>
      <c r="DZ189" s="27" t="n">
        <f aca="false">DY189+DV189+DR189+DN189+DJ189+DF189+DB189</f>
        <v>586</v>
      </c>
      <c r="EA189" s="28" t="n">
        <f aca="false">DZ189/7</f>
        <v>83.7142857142857</v>
      </c>
      <c r="EB189" s="27" t="n">
        <f aca="false">RANK(EA189,$EA$2:$EA$881,0)</f>
        <v>237</v>
      </c>
      <c r="EC189" s="29" t="n">
        <f aca="false">DZ189+CQ189+CP189+AZ189</f>
        <v>2614</v>
      </c>
      <c r="ED189" s="30" t="n">
        <f aca="false">(EA189+CV189+BB189)/3</f>
        <v>83.6952380952381</v>
      </c>
      <c r="EE189" s="51" t="n">
        <f aca="false">ROUND(BE189,3)</f>
        <v>85.71</v>
      </c>
      <c r="EF189" s="51" t="n">
        <f aca="false">ROUND(CR189,3)</f>
        <v>91.714</v>
      </c>
      <c r="EG189" s="51" t="n">
        <f aca="false">ROUND(CS189,3)</f>
        <v>85.429</v>
      </c>
      <c r="EH189" s="51" t="n">
        <f aca="false">ROUND(EA189,3)</f>
        <v>83.714</v>
      </c>
      <c r="EI189" s="51" t="n">
        <f aca="false">ROUND(ED189,3)</f>
        <v>83.695</v>
      </c>
      <c r="EJ189" s="51" t="n">
        <f aca="false">ROUND(CV189,3)</f>
        <v>88.571</v>
      </c>
      <c r="EK189" s="0" t="n">
        <f aca="false">RANK(EI189,$EI$2:$EI$881,0)</f>
        <v>187</v>
      </c>
    </row>
    <row r="190" customFormat="false" ht="15" hidden="false" customHeight="false" outlineLevel="0" collapsed="false">
      <c r="A190" s="4" t="n">
        <v>8828</v>
      </c>
      <c r="B190" s="4" t="n">
        <v>798</v>
      </c>
      <c r="C190" s="27" t="s">
        <v>740</v>
      </c>
      <c r="D190" s="31" t="n">
        <v>816</v>
      </c>
      <c r="E190" s="16" t="n">
        <v>230132916</v>
      </c>
      <c r="F190" s="56" t="s">
        <v>741</v>
      </c>
      <c r="G190" s="22" t="s">
        <v>378</v>
      </c>
      <c r="H190" s="22" t="s">
        <v>326</v>
      </c>
      <c r="I190" s="57"/>
      <c r="J190" s="16" t="n">
        <v>80</v>
      </c>
      <c r="K190" s="16" t="n">
        <v>81</v>
      </c>
      <c r="L190" s="34" t="n">
        <f aca="false">(K190*70)/100</f>
        <v>56.7</v>
      </c>
      <c r="M190" s="34" t="n">
        <f aca="false">ROUNDUP(L190,0)</f>
        <v>57</v>
      </c>
      <c r="N190" s="16" t="n">
        <v>27</v>
      </c>
      <c r="O190" s="34" t="n">
        <f aca="false">N190+L190</f>
        <v>83.7</v>
      </c>
      <c r="P190" s="34" t="n">
        <f aca="false">N190+M190</f>
        <v>84</v>
      </c>
      <c r="Q190" s="16" t="n">
        <v>74</v>
      </c>
      <c r="R190" s="16" t="n">
        <v>76</v>
      </c>
      <c r="S190" s="34" t="n">
        <f aca="false">(R190*70)/100</f>
        <v>53.2</v>
      </c>
      <c r="T190" s="34" t="n">
        <f aca="false">ROUNDUP(S190,0)</f>
        <v>54</v>
      </c>
      <c r="U190" s="16" t="n">
        <v>26</v>
      </c>
      <c r="V190" s="34" t="n">
        <f aca="false">U190+S190</f>
        <v>79.2</v>
      </c>
      <c r="W190" s="34" t="n">
        <f aca="false">U190+T190</f>
        <v>80</v>
      </c>
      <c r="X190" s="16" t="n">
        <v>75</v>
      </c>
      <c r="Y190" s="34" t="n">
        <f aca="false">(X190*70)/100</f>
        <v>52.5</v>
      </c>
      <c r="Z190" s="34" t="n">
        <f aca="false">ROUNDUP(Y190,0)</f>
        <v>53</v>
      </c>
      <c r="AA190" s="16" t="n">
        <v>27</v>
      </c>
      <c r="AB190" s="34" t="n">
        <f aca="false">AA190+Y190</f>
        <v>79.5</v>
      </c>
      <c r="AC190" s="34" t="n">
        <f aca="false">AA190+Z190</f>
        <v>80</v>
      </c>
      <c r="AD190" s="32" t="n">
        <f aca="false">X190+R190+Q190+K190+J190</f>
        <v>386</v>
      </c>
      <c r="AE190" s="16" t="n">
        <f aca="false">AD190/5</f>
        <v>77.2</v>
      </c>
      <c r="AF190" s="16" t="n">
        <v>71</v>
      </c>
      <c r="AG190" s="16" t="n">
        <v>85</v>
      </c>
      <c r="AH190" s="16" t="n">
        <v>92</v>
      </c>
      <c r="AI190" s="16" t="n">
        <v>92</v>
      </c>
      <c r="AJ190" s="16" t="n">
        <f aca="false">(AI190*70)/100</f>
        <v>64.4</v>
      </c>
      <c r="AK190" s="35" t="n">
        <f aca="false">ROUNDUP(AJ190,0)</f>
        <v>65</v>
      </c>
      <c r="AL190" s="16" t="n">
        <v>28</v>
      </c>
      <c r="AM190" s="16" t="n">
        <f aca="false">AL190+AJ190</f>
        <v>92.4</v>
      </c>
      <c r="AN190" s="16" t="n">
        <f aca="false">AL190+AK190</f>
        <v>93</v>
      </c>
      <c r="AO190" s="16" t="n">
        <v>80</v>
      </c>
      <c r="AP190" s="36" t="n">
        <f aca="false">(AO190*70)/100</f>
        <v>56</v>
      </c>
      <c r="AQ190" s="37" t="n">
        <f aca="false">ROUNDUP(AP190,0)</f>
        <v>56</v>
      </c>
      <c r="AR190" s="16" t="n">
        <v>27</v>
      </c>
      <c r="AS190" s="16" t="n">
        <f aca="false">AR190+AP190</f>
        <v>83</v>
      </c>
      <c r="AT190" s="16" t="n">
        <f aca="false">AR190+AQ190</f>
        <v>83</v>
      </c>
      <c r="AU190" s="16" t="n">
        <f aca="false">AO190+AF190+AI190+AH190+AG190</f>
        <v>420</v>
      </c>
      <c r="AV190" s="16" t="n">
        <f aca="false">(AO190+AF190+AI190+AH190+AG190)/5</f>
        <v>84</v>
      </c>
      <c r="AW190" s="36" t="n">
        <f aca="false">(AO190+AF190+AI190+AH190+AG190+X190+R190+Q190+K190+J190)</f>
        <v>806</v>
      </c>
      <c r="AX190" s="16" t="n">
        <f aca="false">AW190/10</f>
        <v>80.6</v>
      </c>
      <c r="AY190" s="16" t="n">
        <f aca="false">AS190+AF190+AM190+AH190+AG190+AB190+V190+Q190+O190+J190</f>
        <v>819.8</v>
      </c>
      <c r="AZ190" s="16" t="n">
        <f aca="false">AT190+AF190+AN190+AH190+AG190+AC190+W190+Q190+P190+J190</f>
        <v>822</v>
      </c>
      <c r="BA190" s="16" t="n">
        <f aca="false">AY190/10</f>
        <v>81.98</v>
      </c>
      <c r="BB190" s="16" t="n">
        <f aca="false">AZ190/10</f>
        <v>82.2</v>
      </c>
      <c r="BC190" s="16" t="n">
        <v>2376</v>
      </c>
      <c r="BD190" s="16" t="n">
        <f aca="false">RANK(AX190,$AX$2:$AX$881,0)</f>
        <v>228</v>
      </c>
      <c r="BE190" s="54" t="n">
        <f aca="false">((BC190*100)/2400)*0.4+(AX190*0.6)</f>
        <v>87.96</v>
      </c>
      <c r="BF190" s="16" t="n">
        <f aca="false">RANK(BE190,$BE$2:$BE$881,0)</f>
        <v>208</v>
      </c>
      <c r="BG190" s="39" t="n">
        <f aca="false">RANK(BB190,$BB$2:$BB$881,0)</f>
        <v>202</v>
      </c>
      <c r="BH190" s="39" t="n">
        <f aca="false">RANK(BC190,$BC$2:$BC$881,0)</f>
        <v>203</v>
      </c>
      <c r="BI190" s="22" t="s">
        <v>130</v>
      </c>
      <c r="BJ190" s="22" t="s">
        <v>129</v>
      </c>
      <c r="BK190" s="40" t="s">
        <v>131</v>
      </c>
      <c r="BL190" s="41" t="n">
        <v>23</v>
      </c>
      <c r="BM190" s="41" t="n">
        <v>53</v>
      </c>
      <c r="BN190" s="41" t="n">
        <v>76</v>
      </c>
      <c r="BO190" s="42" t="n">
        <v>29</v>
      </c>
      <c r="BP190" s="43" t="n">
        <v>60</v>
      </c>
      <c r="BQ190" s="44" t="n">
        <v>89</v>
      </c>
      <c r="BR190" s="42" t="n">
        <v>27</v>
      </c>
      <c r="BS190" s="45" t="n">
        <v>57</v>
      </c>
      <c r="BT190" s="45" t="n">
        <v>84</v>
      </c>
      <c r="BU190" s="46" t="n">
        <v>100</v>
      </c>
      <c r="BV190" s="47" t="n">
        <v>90</v>
      </c>
      <c r="BW190" s="44" t="n">
        <v>100</v>
      </c>
      <c r="BX190" s="48" t="n">
        <v>100</v>
      </c>
      <c r="BY190" s="32" t="n">
        <v>26</v>
      </c>
      <c r="BZ190" s="32" t="n">
        <v>51</v>
      </c>
      <c r="CA190" s="32" t="n">
        <v>77</v>
      </c>
      <c r="CB190" s="32" t="n">
        <v>26</v>
      </c>
      <c r="CC190" s="32" t="n">
        <v>42</v>
      </c>
      <c r="CD190" s="32" t="n">
        <v>68</v>
      </c>
      <c r="CE190" s="32" t="n">
        <v>25</v>
      </c>
      <c r="CF190" s="32" t="n">
        <v>46</v>
      </c>
      <c r="CG190" s="32" t="n">
        <v>71</v>
      </c>
      <c r="CH190" s="32" t="n">
        <v>95</v>
      </c>
      <c r="CI190" s="32" t="n">
        <v>98</v>
      </c>
      <c r="CJ190" s="49" t="n">
        <v>25</v>
      </c>
      <c r="CK190" s="49" t="n">
        <v>50</v>
      </c>
      <c r="CL190" s="49" t="n">
        <v>75</v>
      </c>
      <c r="CM190" s="49" t="n">
        <v>21</v>
      </c>
      <c r="CN190" s="49" t="n">
        <v>55</v>
      </c>
      <c r="CO190" s="49" t="n">
        <v>76</v>
      </c>
      <c r="CP190" s="25" t="n">
        <f aca="false">BX190+BW190+BV190+BU190+BT190+BQ190+BN190</f>
        <v>639</v>
      </c>
      <c r="CQ190" s="25" t="n">
        <f aca="false">CO190+CL190+CI190+CH190+CG190+CD190+CA190</f>
        <v>560</v>
      </c>
      <c r="CR190" s="26" t="n">
        <f aca="false">CP190/7</f>
        <v>91.2857142857143</v>
      </c>
      <c r="CS190" s="26" t="n">
        <f aca="false">CQ190/7</f>
        <v>80</v>
      </c>
      <c r="CT190" s="24" t="n">
        <f aca="false">RANK(CR190,$CR$2:$CR$881,0)</f>
        <v>114</v>
      </c>
      <c r="CU190" s="25" t="n">
        <f aca="false">RANK(CS190,$CS$2:$CS$881,0)</f>
        <v>264</v>
      </c>
      <c r="CV190" s="26" t="n">
        <f aca="false">(CS190+CR190)/2</f>
        <v>85.6428571428571</v>
      </c>
      <c r="CW190" s="25" t="n">
        <f aca="false">RANK(CV190,$CV$2:$CV$881,0)</f>
        <v>186</v>
      </c>
      <c r="CX190" s="50" t="n">
        <f aca="false">(CV190+BB190)/2</f>
        <v>83.9214285714286</v>
      </c>
      <c r="CY190" s="50" t="n">
        <v>165</v>
      </c>
      <c r="CZ190" s="27" t="s">
        <v>132</v>
      </c>
      <c r="DA190" s="27" t="s">
        <v>272</v>
      </c>
      <c r="DB190" s="27" t="s">
        <v>272</v>
      </c>
      <c r="DC190" s="27" t="s">
        <v>134</v>
      </c>
      <c r="DD190" s="27" t="s">
        <v>135</v>
      </c>
      <c r="DE190" s="27" t="s">
        <v>204</v>
      </c>
      <c r="DF190" s="27" t="s">
        <v>209</v>
      </c>
      <c r="DG190" s="27" t="s">
        <v>134</v>
      </c>
      <c r="DH190" s="27" t="s">
        <v>164</v>
      </c>
      <c r="DI190" s="27" t="s">
        <v>161</v>
      </c>
      <c r="DJ190" s="27" t="s">
        <v>133</v>
      </c>
      <c r="DK190" s="27" t="s">
        <v>134</v>
      </c>
      <c r="DL190" s="27" t="s">
        <v>140</v>
      </c>
      <c r="DM190" s="27" t="s">
        <v>447</v>
      </c>
      <c r="DN190" s="27" t="s">
        <v>205</v>
      </c>
      <c r="DO190" s="27" t="s">
        <v>134</v>
      </c>
      <c r="DP190" s="27" t="s">
        <v>264</v>
      </c>
      <c r="DQ190" s="27" t="s">
        <v>220</v>
      </c>
      <c r="DR190" s="27" t="s">
        <v>441</v>
      </c>
      <c r="DS190" s="27" t="s">
        <v>134</v>
      </c>
      <c r="DT190" s="27" t="s">
        <v>140</v>
      </c>
      <c r="DU190" s="27" t="s">
        <v>415</v>
      </c>
      <c r="DV190" s="27" t="s">
        <v>443</v>
      </c>
      <c r="DW190" s="27" t="s">
        <v>140</v>
      </c>
      <c r="DX190" s="27" t="s">
        <v>138</v>
      </c>
      <c r="DY190" s="27" t="s">
        <v>145</v>
      </c>
      <c r="DZ190" s="27" t="n">
        <f aca="false">DY190+DV190+DR190+DN190+DJ190+DF190+DB190</f>
        <v>582</v>
      </c>
      <c r="EA190" s="28" t="n">
        <f aca="false">DZ190/7</f>
        <v>83.1428571428571</v>
      </c>
      <c r="EB190" s="27" t="n">
        <f aca="false">RANK(EA190,$EA$2:$EA$881,0)</f>
        <v>268</v>
      </c>
      <c r="EC190" s="29" t="n">
        <f aca="false">DZ190+CQ190+CP190+AZ190</f>
        <v>2603</v>
      </c>
      <c r="ED190" s="30" t="n">
        <f aca="false">(EA190+CV190+BB190)/3</f>
        <v>83.6619047619048</v>
      </c>
      <c r="EE190" s="51" t="n">
        <f aca="false">ROUND(BE190,3)</f>
        <v>87.96</v>
      </c>
      <c r="EF190" s="51" t="n">
        <f aca="false">ROUND(CR190,3)</f>
        <v>91.286</v>
      </c>
      <c r="EG190" s="51" t="n">
        <f aca="false">ROUND(CS190,3)</f>
        <v>80</v>
      </c>
      <c r="EH190" s="51" t="n">
        <f aca="false">ROUND(EA190,3)</f>
        <v>83.143</v>
      </c>
      <c r="EI190" s="51" t="n">
        <f aca="false">ROUND(ED190,3)</f>
        <v>83.662</v>
      </c>
      <c r="EJ190" s="51" t="n">
        <f aca="false">ROUND(CV190,3)</f>
        <v>85.643</v>
      </c>
      <c r="EK190" s="0" t="n">
        <f aca="false">RANK(EI190,$EI$2:$EI$881,0)</f>
        <v>189</v>
      </c>
    </row>
    <row r="191" customFormat="false" ht="15" hidden="false" customHeight="false" outlineLevel="0" collapsed="false">
      <c r="A191" s="4" t="n">
        <v>8869</v>
      </c>
      <c r="B191" s="4" t="n">
        <v>794</v>
      </c>
      <c r="C191" s="27" t="s">
        <v>742</v>
      </c>
      <c r="D191" s="31" t="n">
        <v>813</v>
      </c>
      <c r="E191" s="32" t="n">
        <v>230320969</v>
      </c>
      <c r="F191" s="8" t="s">
        <v>743</v>
      </c>
      <c r="G191" s="22" t="s">
        <v>342</v>
      </c>
      <c r="H191" s="22" t="s">
        <v>129</v>
      </c>
      <c r="I191" s="33" t="n">
        <v>2006</v>
      </c>
      <c r="J191" s="32" t="n">
        <v>85</v>
      </c>
      <c r="K191" s="32" t="n">
        <v>81</v>
      </c>
      <c r="L191" s="34" t="n">
        <f aca="false">(K191*70)/100</f>
        <v>56.7</v>
      </c>
      <c r="M191" s="34" t="n">
        <f aca="false">ROUNDUP(L191,0)</f>
        <v>57</v>
      </c>
      <c r="N191" s="32" t="n">
        <v>28</v>
      </c>
      <c r="O191" s="34" t="n">
        <f aca="false">N191+L191</f>
        <v>84.7</v>
      </c>
      <c r="P191" s="34" t="n">
        <f aca="false">N191+M191</f>
        <v>85</v>
      </c>
      <c r="Q191" s="32" t="n">
        <v>67</v>
      </c>
      <c r="R191" s="32" t="n">
        <v>79</v>
      </c>
      <c r="S191" s="34" t="n">
        <f aca="false">(R191*70)/100</f>
        <v>55.3</v>
      </c>
      <c r="T191" s="34" t="n">
        <f aca="false">ROUNDUP(S191,0)</f>
        <v>56</v>
      </c>
      <c r="U191" s="32" t="n">
        <v>20</v>
      </c>
      <c r="V191" s="34" t="n">
        <f aca="false">U191+S191</f>
        <v>75.3</v>
      </c>
      <c r="W191" s="34" t="n">
        <f aca="false">U191+T191</f>
        <v>76</v>
      </c>
      <c r="X191" s="32" t="n">
        <v>80</v>
      </c>
      <c r="Y191" s="34" t="n">
        <f aca="false">(X191*70)/100</f>
        <v>56</v>
      </c>
      <c r="Z191" s="34" t="n">
        <f aca="false">ROUNDUP(Y191,0)</f>
        <v>56</v>
      </c>
      <c r="AA191" s="32" t="n">
        <v>27</v>
      </c>
      <c r="AB191" s="34" t="n">
        <f aca="false">AA191+Y191</f>
        <v>83</v>
      </c>
      <c r="AC191" s="34" t="n">
        <f aca="false">AA191+Z191</f>
        <v>83</v>
      </c>
      <c r="AD191" s="32" t="n">
        <f aca="false">X191+R191+Q191+K191+J191</f>
        <v>392</v>
      </c>
      <c r="AE191" s="16" t="n">
        <f aca="false">AD191/5</f>
        <v>78.4</v>
      </c>
      <c r="AF191" s="16" t="n">
        <v>78</v>
      </c>
      <c r="AG191" s="16" t="n">
        <v>85</v>
      </c>
      <c r="AH191" s="16" t="n">
        <v>83</v>
      </c>
      <c r="AI191" s="16" t="n">
        <v>83</v>
      </c>
      <c r="AJ191" s="16" t="n">
        <f aca="false">(AI191*70)/100</f>
        <v>58.1</v>
      </c>
      <c r="AK191" s="35" t="n">
        <f aca="false">ROUNDUP(AJ191,0)</f>
        <v>59</v>
      </c>
      <c r="AL191" s="16" t="n">
        <v>24</v>
      </c>
      <c r="AM191" s="16" t="n">
        <f aca="false">AL191+AJ191</f>
        <v>82.1</v>
      </c>
      <c r="AN191" s="16" t="n">
        <f aca="false">AL191+AK191</f>
        <v>83</v>
      </c>
      <c r="AO191" s="16" t="n">
        <v>79</v>
      </c>
      <c r="AP191" s="36" t="n">
        <f aca="false">(AO191*70)/100</f>
        <v>55.3</v>
      </c>
      <c r="AQ191" s="37" t="n">
        <f aca="false">ROUNDUP(AP191,0)</f>
        <v>56</v>
      </c>
      <c r="AR191" s="16" t="n">
        <v>25</v>
      </c>
      <c r="AS191" s="16" t="n">
        <f aca="false">AR191+AP191</f>
        <v>80.3</v>
      </c>
      <c r="AT191" s="16" t="n">
        <f aca="false">AR191+AQ191</f>
        <v>81</v>
      </c>
      <c r="AU191" s="16" t="n">
        <f aca="false">AO191+AF191+AI191+AH191+AG191</f>
        <v>408</v>
      </c>
      <c r="AV191" s="16" t="n">
        <f aca="false">(AO191+AF191+AI191+AH191+AG191)/5</f>
        <v>81.6</v>
      </c>
      <c r="AW191" s="36" t="n">
        <f aca="false">(AO191+AF191+AI191+AH191+AG191+X191+R191+Q191+K191+J191)</f>
        <v>800</v>
      </c>
      <c r="AX191" s="16" t="n">
        <f aca="false">AW191/10</f>
        <v>80</v>
      </c>
      <c r="AY191" s="16" t="n">
        <f aca="false">AS191+AF191+AM191+AH191+AG191+AB191+V191+Q191+O191+J191</f>
        <v>803.4</v>
      </c>
      <c r="AZ191" s="16" t="n">
        <f aca="false">AT191+AF191+AN191+AH191+AG191+AC191+W191+Q191+P191+J191</f>
        <v>806</v>
      </c>
      <c r="BA191" s="16" t="n">
        <f aca="false">AY191/10</f>
        <v>80.34</v>
      </c>
      <c r="BB191" s="16" t="n">
        <f aca="false">AZ191/10</f>
        <v>80.6</v>
      </c>
      <c r="BC191" s="16" t="n">
        <v>2335</v>
      </c>
      <c r="BD191" s="16" t="n">
        <f aca="false">RANK(AX191,$AX$2:$AX$881,0)</f>
        <v>265</v>
      </c>
      <c r="BE191" s="54" t="n">
        <f aca="false">((BC191*100)/2400)*0.4+(AX191*0.6)</f>
        <v>86.9166666666667</v>
      </c>
      <c r="BF191" s="16" t="n">
        <f aca="false">RANK(BE191,$BE$2:$BE$881,0)</f>
        <v>307</v>
      </c>
      <c r="BG191" s="39" t="n">
        <f aca="false">RANK(BB191,$BB$2:$BB$881,0)</f>
        <v>309</v>
      </c>
      <c r="BH191" s="39" t="n">
        <f aca="false">RANK(BC191,$BC$2:$BC$881,0)</f>
        <v>681</v>
      </c>
      <c r="BI191" s="22" t="s">
        <v>130</v>
      </c>
      <c r="BJ191" s="22" t="s">
        <v>129</v>
      </c>
      <c r="BK191" s="40" t="s">
        <v>131</v>
      </c>
      <c r="BL191" s="41" t="n">
        <v>21</v>
      </c>
      <c r="BM191" s="41" t="n">
        <v>57</v>
      </c>
      <c r="BN191" s="41" t="n">
        <v>78</v>
      </c>
      <c r="BO191" s="42" t="n">
        <v>26</v>
      </c>
      <c r="BP191" s="43" t="n">
        <v>57</v>
      </c>
      <c r="BQ191" s="44" t="n">
        <v>83</v>
      </c>
      <c r="BR191" s="42" t="n">
        <v>22</v>
      </c>
      <c r="BS191" s="45" t="n">
        <v>61</v>
      </c>
      <c r="BT191" s="45" t="n">
        <v>83</v>
      </c>
      <c r="BU191" s="46" t="n">
        <v>100</v>
      </c>
      <c r="BV191" s="47" t="n">
        <v>90</v>
      </c>
      <c r="BW191" s="42" t="n">
        <v>100</v>
      </c>
      <c r="BX191" s="48" t="n">
        <v>98</v>
      </c>
      <c r="BY191" s="32" t="n">
        <v>26</v>
      </c>
      <c r="BZ191" s="32" t="n">
        <v>63</v>
      </c>
      <c r="CA191" s="32" t="n">
        <v>89</v>
      </c>
      <c r="CB191" s="32" t="n">
        <v>20</v>
      </c>
      <c r="CC191" s="32" t="n">
        <v>46</v>
      </c>
      <c r="CD191" s="32" t="n">
        <v>66</v>
      </c>
      <c r="CE191" s="32" t="n">
        <v>22</v>
      </c>
      <c r="CF191" s="32" t="n">
        <v>59</v>
      </c>
      <c r="CG191" s="32" t="n">
        <v>81</v>
      </c>
      <c r="CH191" s="32" t="n">
        <v>99</v>
      </c>
      <c r="CI191" s="32" t="n">
        <v>99</v>
      </c>
      <c r="CJ191" s="49" t="n">
        <v>23</v>
      </c>
      <c r="CK191" s="49" t="n">
        <v>47</v>
      </c>
      <c r="CL191" s="49" t="n">
        <v>70</v>
      </c>
      <c r="CM191" s="49" t="n">
        <v>20</v>
      </c>
      <c r="CN191" s="49" t="n">
        <v>53</v>
      </c>
      <c r="CO191" s="49" t="n">
        <v>73</v>
      </c>
      <c r="CP191" s="25" t="n">
        <f aca="false">BX191+BW191+BV191+BU191+BT191+BQ191+BN191</f>
        <v>632</v>
      </c>
      <c r="CQ191" s="25" t="n">
        <f aca="false">CO191+CL191+CI191+CH191+CG191+CD191+CA191</f>
        <v>577</v>
      </c>
      <c r="CR191" s="26" t="n">
        <f aca="false">CP191/7</f>
        <v>90.2857142857143</v>
      </c>
      <c r="CS191" s="26" t="n">
        <f aca="false">CQ191/7</f>
        <v>82.4285714285714</v>
      </c>
      <c r="CT191" s="24" t="n">
        <f aca="false">RANK(CR191,$CR$2:$CR$881,0)</f>
        <v>160</v>
      </c>
      <c r="CU191" s="25" t="n">
        <f aca="false">RANK(CS191,$CS$2:$CS$881,0)</f>
        <v>179</v>
      </c>
      <c r="CV191" s="26" t="n">
        <f aca="false">(CS191+CR191)/2</f>
        <v>86.3571428571429</v>
      </c>
      <c r="CW191" s="25" t="n">
        <f aca="false">RANK(CV191,$CV$2:$CV$881,0)</f>
        <v>163</v>
      </c>
      <c r="CX191" s="50" t="n">
        <f aca="false">(CV191+BB191)/2</f>
        <v>83.4785714285714</v>
      </c>
      <c r="CY191" s="50" t="n">
        <v>194</v>
      </c>
      <c r="CZ191" s="27" t="s">
        <v>132</v>
      </c>
      <c r="DA191" s="27" t="s">
        <v>205</v>
      </c>
      <c r="DB191" s="27" t="s">
        <v>205</v>
      </c>
      <c r="DC191" s="27" t="s">
        <v>134</v>
      </c>
      <c r="DD191" s="27" t="s">
        <v>195</v>
      </c>
      <c r="DE191" s="27" t="s">
        <v>177</v>
      </c>
      <c r="DF191" s="27" t="s">
        <v>196</v>
      </c>
      <c r="DG191" s="27" t="s">
        <v>134</v>
      </c>
      <c r="DH191" s="27" t="s">
        <v>182</v>
      </c>
      <c r="DI191" s="27" t="s">
        <v>177</v>
      </c>
      <c r="DJ191" s="27" t="s">
        <v>209</v>
      </c>
      <c r="DK191" s="27" t="s">
        <v>134</v>
      </c>
      <c r="DL191" s="27" t="s">
        <v>137</v>
      </c>
      <c r="DM191" s="27" t="s">
        <v>304</v>
      </c>
      <c r="DN191" s="27" t="s">
        <v>219</v>
      </c>
      <c r="DO191" s="27" t="s">
        <v>134</v>
      </c>
      <c r="DP191" s="27" t="s">
        <v>386</v>
      </c>
      <c r="DQ191" s="27" t="s">
        <v>161</v>
      </c>
      <c r="DR191" s="27" t="s">
        <v>272</v>
      </c>
      <c r="DS191" s="27" t="s">
        <v>134</v>
      </c>
      <c r="DT191" s="27" t="s">
        <v>135</v>
      </c>
      <c r="DU191" s="27" t="s">
        <v>183</v>
      </c>
      <c r="DV191" s="27" t="s">
        <v>169</v>
      </c>
      <c r="DW191" s="27" t="s">
        <v>160</v>
      </c>
      <c r="DX191" s="27" t="s">
        <v>155</v>
      </c>
      <c r="DY191" s="27" t="s">
        <v>145</v>
      </c>
      <c r="DZ191" s="27" t="n">
        <f aca="false">DY191+DV191+DR191+DN191+DJ191+DF191+DB191</f>
        <v>587</v>
      </c>
      <c r="EA191" s="28" t="n">
        <f aca="false">DZ191/7</f>
        <v>83.8571428571429</v>
      </c>
      <c r="EB191" s="27" t="n">
        <f aca="false">RANK(EA191,$EA$2:$EA$881,0)</f>
        <v>230</v>
      </c>
      <c r="EC191" s="29" t="n">
        <f aca="false">DZ191+CQ191+CP191+AZ191</f>
        <v>2602</v>
      </c>
      <c r="ED191" s="30" t="n">
        <f aca="false">(EA191+CV191+BB191)/3</f>
        <v>83.6047619047619</v>
      </c>
      <c r="EE191" s="51" t="n">
        <f aca="false">ROUND(BE191,3)</f>
        <v>86.917</v>
      </c>
      <c r="EF191" s="51" t="n">
        <f aca="false">ROUND(CR191,3)</f>
        <v>90.286</v>
      </c>
      <c r="EG191" s="51" t="n">
        <f aca="false">ROUND(CS191,3)</f>
        <v>82.429</v>
      </c>
      <c r="EH191" s="51" t="n">
        <f aca="false">ROUND(EA191,3)</f>
        <v>83.857</v>
      </c>
      <c r="EI191" s="51" t="n">
        <f aca="false">ROUND(ED191,3)</f>
        <v>83.605</v>
      </c>
      <c r="EJ191" s="51" t="n">
        <f aca="false">ROUND(CV191,3)</f>
        <v>86.357</v>
      </c>
      <c r="EK191" s="0" t="n">
        <f aca="false">RANK(EI191,$EI$2:$EI$881,0)</f>
        <v>190</v>
      </c>
    </row>
    <row r="192" customFormat="false" ht="15" hidden="false" customHeight="false" outlineLevel="0" collapsed="false">
      <c r="A192" s="4" t="n">
        <v>2043</v>
      </c>
      <c r="B192" s="4" t="n">
        <v>626</v>
      </c>
      <c r="C192" s="27" t="s">
        <v>744</v>
      </c>
      <c r="D192" s="31" t="n">
        <v>634</v>
      </c>
      <c r="E192" s="16" t="n">
        <v>230134252</v>
      </c>
      <c r="F192" s="56" t="s">
        <v>745</v>
      </c>
      <c r="G192" s="22" t="s">
        <v>746</v>
      </c>
      <c r="H192" s="22" t="s">
        <v>326</v>
      </c>
      <c r="I192" s="57"/>
      <c r="J192" s="16" t="n">
        <v>76</v>
      </c>
      <c r="K192" s="16" t="n">
        <v>88</v>
      </c>
      <c r="L192" s="34" t="n">
        <f aca="false">(K192*70)/100</f>
        <v>61.6</v>
      </c>
      <c r="M192" s="34" t="n">
        <f aca="false">ROUNDUP(L192,0)</f>
        <v>62</v>
      </c>
      <c r="N192" s="16" t="n">
        <v>28</v>
      </c>
      <c r="O192" s="34" t="n">
        <f aca="false">N192+L192</f>
        <v>89.6</v>
      </c>
      <c r="P192" s="34" t="n">
        <f aca="false">N192+M192</f>
        <v>90</v>
      </c>
      <c r="Q192" s="16" t="n">
        <v>74</v>
      </c>
      <c r="R192" s="16" t="n">
        <v>66</v>
      </c>
      <c r="S192" s="34" t="n">
        <f aca="false">(R192*70)/100</f>
        <v>46.2</v>
      </c>
      <c r="T192" s="34" t="n">
        <f aca="false">ROUNDUP(S192,0)</f>
        <v>47</v>
      </c>
      <c r="U192" s="16" t="n">
        <v>26</v>
      </c>
      <c r="V192" s="34" t="n">
        <f aca="false">U192+S192</f>
        <v>72.2</v>
      </c>
      <c r="W192" s="34" t="n">
        <f aca="false">U192+T192</f>
        <v>73</v>
      </c>
      <c r="X192" s="16" t="n">
        <v>70</v>
      </c>
      <c r="Y192" s="34" t="n">
        <f aca="false">(X192*70)/100</f>
        <v>49</v>
      </c>
      <c r="Z192" s="34" t="n">
        <f aca="false">ROUNDUP(Y192,0)</f>
        <v>49</v>
      </c>
      <c r="AA192" s="16" t="n">
        <v>23</v>
      </c>
      <c r="AB192" s="34" t="n">
        <f aca="false">AA192+Y192</f>
        <v>72</v>
      </c>
      <c r="AC192" s="34" t="n">
        <f aca="false">AA192+Z192</f>
        <v>72</v>
      </c>
      <c r="AD192" s="32" t="n">
        <f aca="false">X192+R192+Q192+K192+J192</f>
        <v>374</v>
      </c>
      <c r="AE192" s="16" t="n">
        <f aca="false">AD192/5</f>
        <v>74.8</v>
      </c>
      <c r="AF192" s="16" t="n">
        <v>72</v>
      </c>
      <c r="AG192" s="16" t="n">
        <v>84</v>
      </c>
      <c r="AH192" s="16" t="n">
        <v>90</v>
      </c>
      <c r="AI192" s="16" t="n">
        <v>83</v>
      </c>
      <c r="AJ192" s="16" t="n">
        <f aca="false">(AI192*70)/100</f>
        <v>58.1</v>
      </c>
      <c r="AK192" s="35" t="n">
        <f aca="false">ROUNDUP(AJ192,0)</f>
        <v>59</v>
      </c>
      <c r="AL192" s="16" t="n">
        <v>26</v>
      </c>
      <c r="AM192" s="16" t="n">
        <f aca="false">AL192+AJ192</f>
        <v>84.1</v>
      </c>
      <c r="AN192" s="16" t="n">
        <f aca="false">AL192+AK192</f>
        <v>85</v>
      </c>
      <c r="AO192" s="16" t="n">
        <v>69</v>
      </c>
      <c r="AP192" s="36" t="n">
        <f aca="false">(AO192*70)/100</f>
        <v>48.3</v>
      </c>
      <c r="AQ192" s="37" t="n">
        <f aca="false">ROUNDUP(AP192,0)</f>
        <v>49</v>
      </c>
      <c r="AR192" s="16" t="n">
        <v>30</v>
      </c>
      <c r="AS192" s="16" t="n">
        <f aca="false">AR192+AP192</f>
        <v>78.3</v>
      </c>
      <c r="AT192" s="16" t="n">
        <f aca="false">AR192+AQ192</f>
        <v>79</v>
      </c>
      <c r="AU192" s="16" t="n">
        <f aca="false">AO192+AF192+AI192+AH192+AG192</f>
        <v>398</v>
      </c>
      <c r="AV192" s="16" t="n">
        <f aca="false">(AO192+AF192+AI192+AH192+AG192)/5</f>
        <v>79.6</v>
      </c>
      <c r="AW192" s="36" t="n">
        <f aca="false">(AO192+AF192+AI192+AH192+AG192+X192+R192+Q192+K192+J192)</f>
        <v>772</v>
      </c>
      <c r="AX192" s="16" t="n">
        <f aca="false">AW192/10</f>
        <v>77.2</v>
      </c>
      <c r="AY192" s="16" t="n">
        <f aca="false">AS192+AF192+AM192+AH192+AG192+AB192+V192+Q192+O192+J192</f>
        <v>792.2</v>
      </c>
      <c r="AZ192" s="16" t="n">
        <f aca="false">AT192+AF192+AN192+AH192+AG192+AC192+W192+Q192+P192+J192</f>
        <v>795</v>
      </c>
      <c r="BA192" s="16" t="n">
        <f aca="false">AY192/10</f>
        <v>79.22</v>
      </c>
      <c r="BB192" s="16" t="n">
        <f aca="false">AZ192/10</f>
        <v>79.5</v>
      </c>
      <c r="BC192" s="16" t="n">
        <v>2377</v>
      </c>
      <c r="BD192" s="16" t="n">
        <f aca="false">RANK(AX192,$AX$2:$AX$881,0)</f>
        <v>482</v>
      </c>
      <c r="BE192" s="54" t="n">
        <f aca="false">((BC192*100)/2400)*0.4+(AX192*0.6)</f>
        <v>85.9366666666667</v>
      </c>
      <c r="BF192" s="16" t="n">
        <f aca="false">RANK(BE192,$BE$2:$BE$881,0)</f>
        <v>443</v>
      </c>
      <c r="BG192" s="39" t="n">
        <f aca="false">RANK(BB192,$BB$2:$BB$881,0)</f>
        <v>407</v>
      </c>
      <c r="BH192" s="39" t="n">
        <f aca="false">RANK(BC192,$BC$2:$BC$881,0)</f>
        <v>189</v>
      </c>
      <c r="BI192" s="22" t="s">
        <v>130</v>
      </c>
      <c r="BJ192" s="22" t="s">
        <v>129</v>
      </c>
      <c r="BK192" s="40" t="s">
        <v>509</v>
      </c>
      <c r="BL192" s="41" t="n">
        <v>25</v>
      </c>
      <c r="BM192" s="41" t="n">
        <v>62</v>
      </c>
      <c r="BN192" s="41" t="n">
        <v>87</v>
      </c>
      <c r="BO192" s="42" t="n">
        <v>29</v>
      </c>
      <c r="BP192" s="43" t="n">
        <v>61</v>
      </c>
      <c r="BQ192" s="44" t="n">
        <v>90</v>
      </c>
      <c r="BR192" s="42" t="n">
        <v>26</v>
      </c>
      <c r="BS192" s="45" t="n">
        <v>64</v>
      </c>
      <c r="BT192" s="45" t="n">
        <v>90</v>
      </c>
      <c r="BU192" s="46" t="n">
        <v>100</v>
      </c>
      <c r="BV192" s="47" t="n">
        <v>86</v>
      </c>
      <c r="BW192" s="42" t="n">
        <v>99</v>
      </c>
      <c r="BX192" s="48" t="n">
        <v>96</v>
      </c>
      <c r="BY192" s="32" t="n">
        <v>29</v>
      </c>
      <c r="BZ192" s="32" t="n">
        <v>52</v>
      </c>
      <c r="CA192" s="32" t="n">
        <v>81</v>
      </c>
      <c r="CB192" s="32" t="n">
        <v>26</v>
      </c>
      <c r="CC192" s="32" t="n">
        <v>45</v>
      </c>
      <c r="CD192" s="32" t="n">
        <v>71</v>
      </c>
      <c r="CE192" s="32" t="n">
        <v>23</v>
      </c>
      <c r="CF192" s="32" t="n">
        <v>52</v>
      </c>
      <c r="CG192" s="32" t="n">
        <v>75</v>
      </c>
      <c r="CH192" s="32" t="n">
        <v>96</v>
      </c>
      <c r="CI192" s="32" t="n">
        <v>99</v>
      </c>
      <c r="CJ192" s="49" t="n">
        <v>24</v>
      </c>
      <c r="CK192" s="49" t="n">
        <v>55</v>
      </c>
      <c r="CL192" s="49" t="n">
        <v>79</v>
      </c>
      <c r="CM192" s="49" t="n">
        <v>27</v>
      </c>
      <c r="CN192" s="49" t="n">
        <v>54</v>
      </c>
      <c r="CO192" s="49" t="n">
        <v>81</v>
      </c>
      <c r="CP192" s="25" t="n">
        <f aca="false">BX192+BW192+BV192+BU192+BT192+BQ192+BN192</f>
        <v>648</v>
      </c>
      <c r="CQ192" s="25" t="n">
        <f aca="false">CO192+CL192+CI192+CH192+CG192+CD192+CA192</f>
        <v>582</v>
      </c>
      <c r="CR192" s="26" t="n">
        <f aca="false">CP192/7</f>
        <v>92.5714285714286</v>
      </c>
      <c r="CS192" s="26" t="n">
        <f aca="false">CQ192/7</f>
        <v>83.1428571428571</v>
      </c>
      <c r="CT192" s="24" t="n">
        <f aca="false">RANK(CR192,$CR$2:$CR$881,0)</f>
        <v>68</v>
      </c>
      <c r="CU192" s="25" t="n">
        <f aca="false">RANK(CS192,$CS$2:$CS$881,0)</f>
        <v>153</v>
      </c>
      <c r="CV192" s="26" t="n">
        <f aca="false">(CS192+CR192)/2</f>
        <v>87.8571428571429</v>
      </c>
      <c r="CW192" s="25" t="n">
        <f aca="false">RANK(CV192,$CV$2:$CV$881,0)</f>
        <v>96</v>
      </c>
      <c r="CX192" s="50" t="n">
        <f aca="false">(CV192+BB192)/2</f>
        <v>83.6785714285714</v>
      </c>
      <c r="CY192" s="50" t="n">
        <v>180</v>
      </c>
      <c r="CZ192" s="27" t="s">
        <v>132</v>
      </c>
      <c r="DA192" s="27" t="s">
        <v>175</v>
      </c>
      <c r="DB192" s="27" t="s">
        <v>175</v>
      </c>
      <c r="DC192" s="27" t="s">
        <v>134</v>
      </c>
      <c r="DD192" s="27" t="s">
        <v>137</v>
      </c>
      <c r="DE192" s="27" t="s">
        <v>204</v>
      </c>
      <c r="DF192" s="27" t="s">
        <v>175</v>
      </c>
      <c r="DG192" s="27" t="s">
        <v>134</v>
      </c>
      <c r="DH192" s="27" t="s">
        <v>160</v>
      </c>
      <c r="DI192" s="27" t="s">
        <v>218</v>
      </c>
      <c r="DJ192" s="27" t="s">
        <v>175</v>
      </c>
      <c r="DK192" s="27" t="s">
        <v>134</v>
      </c>
      <c r="DL192" s="27" t="s">
        <v>135</v>
      </c>
      <c r="DM192" s="27" t="s">
        <v>183</v>
      </c>
      <c r="DN192" s="27" t="s">
        <v>169</v>
      </c>
      <c r="DO192" s="27" t="s">
        <v>134</v>
      </c>
      <c r="DP192" s="27" t="s">
        <v>195</v>
      </c>
      <c r="DQ192" s="27" t="s">
        <v>399</v>
      </c>
      <c r="DR192" s="27" t="s">
        <v>138</v>
      </c>
      <c r="DS192" s="27" t="s">
        <v>134</v>
      </c>
      <c r="DT192" s="27" t="s">
        <v>140</v>
      </c>
      <c r="DU192" s="27" t="s">
        <v>313</v>
      </c>
      <c r="DV192" s="27" t="s">
        <v>196</v>
      </c>
      <c r="DW192" s="27" t="s">
        <v>137</v>
      </c>
      <c r="DX192" s="27" t="s">
        <v>155</v>
      </c>
      <c r="DY192" s="27" t="s">
        <v>142</v>
      </c>
      <c r="DZ192" s="27" t="n">
        <f aca="false">DY192+DV192+DR192+DN192+DJ192+DF192+DB192</f>
        <v>584</v>
      </c>
      <c r="EA192" s="28" t="n">
        <f aca="false">DZ192/7</f>
        <v>83.4285714285714</v>
      </c>
      <c r="EB192" s="27" t="n">
        <f aca="false">RANK(EA192,$EA$2:$EA$881,0)</f>
        <v>253</v>
      </c>
      <c r="EC192" s="29" t="n">
        <f aca="false">DZ192+CQ192+CP192+AZ192</f>
        <v>2609</v>
      </c>
      <c r="ED192" s="30" t="n">
        <f aca="false">(EA192+CV192+BB192)/3</f>
        <v>83.5952380952381</v>
      </c>
      <c r="EE192" s="51" t="n">
        <f aca="false">ROUND(BE192,3)</f>
        <v>85.937</v>
      </c>
      <c r="EF192" s="51" t="n">
        <f aca="false">ROUND(CR192,3)</f>
        <v>92.571</v>
      </c>
      <c r="EG192" s="51" t="n">
        <f aca="false">ROUND(CS192,3)</f>
        <v>83.143</v>
      </c>
      <c r="EH192" s="51" t="n">
        <f aca="false">ROUND(EA192,3)</f>
        <v>83.429</v>
      </c>
      <c r="EI192" s="51" t="n">
        <f aca="false">ROUND(ED192,3)</f>
        <v>83.595</v>
      </c>
      <c r="EJ192" s="51" t="n">
        <f aca="false">ROUND(CV192,3)</f>
        <v>87.857</v>
      </c>
      <c r="EK192" s="0" t="n">
        <f aca="false">RANK(EI192,$EI$2:$EI$881,0)</f>
        <v>191</v>
      </c>
    </row>
    <row r="193" customFormat="false" ht="15" hidden="false" customHeight="false" outlineLevel="0" collapsed="false">
      <c r="A193" s="4" t="n">
        <v>9056</v>
      </c>
      <c r="B193" s="4" t="n">
        <v>556</v>
      </c>
      <c r="C193" s="27" t="s">
        <v>747</v>
      </c>
      <c r="D193" s="31" t="n">
        <v>561</v>
      </c>
      <c r="E193" s="62" t="n">
        <v>230319762</v>
      </c>
      <c r="F193" s="8" t="s">
        <v>748</v>
      </c>
      <c r="G193" s="63" t="s">
        <v>749</v>
      </c>
      <c r="H193" s="22" t="s">
        <v>129</v>
      </c>
      <c r="I193" s="64" t="n">
        <v>2006</v>
      </c>
      <c r="J193" s="62" t="n">
        <v>84</v>
      </c>
      <c r="K193" s="62" t="n">
        <v>85</v>
      </c>
      <c r="L193" s="34" t="n">
        <f aca="false">(K193*70)/100</f>
        <v>59.5</v>
      </c>
      <c r="M193" s="34" t="n">
        <f aca="false">ROUNDUP(L193,0)</f>
        <v>60</v>
      </c>
      <c r="N193" s="62" t="n">
        <v>25</v>
      </c>
      <c r="O193" s="34" t="n">
        <f aca="false">N193+L193</f>
        <v>84.5</v>
      </c>
      <c r="P193" s="34" t="n">
        <f aca="false">N193+M193</f>
        <v>85</v>
      </c>
      <c r="Q193" s="62" t="n">
        <v>70</v>
      </c>
      <c r="R193" s="62" t="n">
        <v>84</v>
      </c>
      <c r="S193" s="34" t="n">
        <f aca="false">(R193*70)/100</f>
        <v>58.8</v>
      </c>
      <c r="T193" s="34" t="n">
        <f aca="false">ROUNDUP(S193,0)</f>
        <v>59</v>
      </c>
      <c r="U193" s="62" t="n">
        <v>19</v>
      </c>
      <c r="V193" s="34" t="n">
        <f aca="false">U193+S193</f>
        <v>77.8</v>
      </c>
      <c r="W193" s="34" t="n">
        <f aca="false">U193+T193</f>
        <v>78</v>
      </c>
      <c r="X193" s="62" t="n">
        <v>72</v>
      </c>
      <c r="Y193" s="34" t="n">
        <f aca="false">(X193*70)/100</f>
        <v>50.4</v>
      </c>
      <c r="Z193" s="34" t="n">
        <f aca="false">ROUNDUP(Y193,0)</f>
        <v>51</v>
      </c>
      <c r="AA193" s="62" t="n">
        <v>27</v>
      </c>
      <c r="AB193" s="34" t="n">
        <f aca="false">AA193+Y193</f>
        <v>77.4</v>
      </c>
      <c r="AC193" s="34" t="n">
        <f aca="false">AA193+Z193</f>
        <v>78</v>
      </c>
      <c r="AD193" s="32" t="n">
        <f aca="false">X193+R193+Q193+K193+J193</f>
        <v>395</v>
      </c>
      <c r="AE193" s="16" t="n">
        <f aca="false">AD193/5</f>
        <v>79</v>
      </c>
      <c r="AF193" s="65" t="n">
        <v>75</v>
      </c>
      <c r="AG193" s="65" t="n">
        <v>95</v>
      </c>
      <c r="AH193" s="65" t="n">
        <v>92</v>
      </c>
      <c r="AI193" s="65" t="n">
        <v>89</v>
      </c>
      <c r="AJ193" s="16" t="n">
        <f aca="false">(AI193*70)/100</f>
        <v>62.3</v>
      </c>
      <c r="AK193" s="35" t="n">
        <f aca="false">ROUNDUP(AJ193,0)</f>
        <v>63</v>
      </c>
      <c r="AL193" s="65" t="n">
        <v>27</v>
      </c>
      <c r="AM193" s="16" t="n">
        <f aca="false">AL193+AJ193</f>
        <v>89.3</v>
      </c>
      <c r="AN193" s="16" t="n">
        <f aca="false">AL193+AK193</f>
        <v>90</v>
      </c>
      <c r="AO193" s="65" t="n">
        <v>85</v>
      </c>
      <c r="AP193" s="36" t="n">
        <f aca="false">(AO193*70)/100</f>
        <v>59.5</v>
      </c>
      <c r="AQ193" s="37" t="n">
        <f aca="false">ROUNDUP(AP193,0)</f>
        <v>60</v>
      </c>
      <c r="AR193" s="65" t="n">
        <v>28</v>
      </c>
      <c r="AS193" s="16" t="n">
        <f aca="false">AR193+AP193</f>
        <v>87.5</v>
      </c>
      <c r="AT193" s="16" t="n">
        <f aca="false">AR193+AQ193</f>
        <v>88</v>
      </c>
      <c r="AU193" s="16" t="n">
        <f aca="false">AO193+AF193+AI193+AH193+AG193</f>
        <v>436</v>
      </c>
      <c r="AV193" s="16" t="n">
        <f aca="false">(AO193+AF193+AI193+AH193+AG193)/5</f>
        <v>87.2</v>
      </c>
      <c r="AW193" s="36" t="n">
        <f aca="false">(AO193+AF193+AI193+AH193+AG193+X193+R193+Q193+K193+J193)</f>
        <v>831</v>
      </c>
      <c r="AX193" s="16" t="n">
        <f aca="false">AW193/10</f>
        <v>83.1</v>
      </c>
      <c r="AY193" s="16" t="n">
        <f aca="false">AS193+AF193+AM193+AH193+AG193+AB193+V193+Q193+O193+J193</f>
        <v>832.5</v>
      </c>
      <c r="AZ193" s="16" t="n">
        <f aca="false">AT193+AF193+AN193+AH193+AG193+AC193+W193+Q193+P193+J193</f>
        <v>835</v>
      </c>
      <c r="BA193" s="16" t="n">
        <f aca="false">AY193/10</f>
        <v>83.25</v>
      </c>
      <c r="BB193" s="16" t="n">
        <f aca="false">AZ193/10</f>
        <v>83.5</v>
      </c>
      <c r="BC193" s="65" t="n">
        <v>2378</v>
      </c>
      <c r="BD193" s="16" t="n">
        <f aca="false">RANK(AX193,$AX$2:$AX$881,0)</f>
        <v>127</v>
      </c>
      <c r="BE193" s="54" t="n">
        <f aca="false">((BC193*100)/2400)*0.4+(AX193*0.6)</f>
        <v>89.4933333333333</v>
      </c>
      <c r="BF193" s="16" t="n">
        <f aca="false">RANK(BE193,$BE$2:$BE$881,0)</f>
        <v>121</v>
      </c>
      <c r="BG193" s="39" t="n">
        <f aca="false">RANK(BB193,$BB$2:$BB$881,0)</f>
        <v>141</v>
      </c>
      <c r="BH193" s="39" t="n">
        <f aca="false">RANK(BC193,$BC$2:$BC$881,0)</f>
        <v>173</v>
      </c>
      <c r="BI193" s="22" t="s">
        <v>130</v>
      </c>
      <c r="BJ193" s="22" t="s">
        <v>129</v>
      </c>
      <c r="BK193" s="40" t="s">
        <v>131</v>
      </c>
      <c r="BL193" s="41" t="n">
        <v>24</v>
      </c>
      <c r="BM193" s="41" t="n">
        <v>57</v>
      </c>
      <c r="BN193" s="41" t="n">
        <v>81</v>
      </c>
      <c r="BO193" s="42" t="n">
        <v>26</v>
      </c>
      <c r="BP193" s="43" t="n">
        <v>62</v>
      </c>
      <c r="BQ193" s="44" t="n">
        <v>88</v>
      </c>
      <c r="BR193" s="42" t="n">
        <v>25</v>
      </c>
      <c r="BS193" s="45" t="n">
        <v>55</v>
      </c>
      <c r="BT193" s="45" t="n">
        <v>80</v>
      </c>
      <c r="BU193" s="46" t="n">
        <v>99</v>
      </c>
      <c r="BV193" s="47" t="n">
        <v>92</v>
      </c>
      <c r="BW193" s="42" t="n">
        <v>99</v>
      </c>
      <c r="BX193" s="48" t="n">
        <v>92</v>
      </c>
      <c r="BY193" s="32" t="n">
        <v>24</v>
      </c>
      <c r="BZ193" s="32" t="n">
        <v>40</v>
      </c>
      <c r="CA193" s="32" t="n">
        <v>64</v>
      </c>
      <c r="CB193" s="32" t="n">
        <v>24</v>
      </c>
      <c r="CC193" s="32" t="n">
        <v>52</v>
      </c>
      <c r="CD193" s="32" t="n">
        <v>76</v>
      </c>
      <c r="CE193" s="32" t="n">
        <v>26</v>
      </c>
      <c r="CF193" s="32" t="n">
        <v>55</v>
      </c>
      <c r="CG193" s="32" t="n">
        <v>81</v>
      </c>
      <c r="CH193" s="32" t="n">
        <v>100</v>
      </c>
      <c r="CI193" s="32" t="n">
        <v>96</v>
      </c>
      <c r="CJ193" s="49" t="n">
        <v>21</v>
      </c>
      <c r="CK193" s="49" t="n">
        <v>48</v>
      </c>
      <c r="CL193" s="49" t="n">
        <v>69</v>
      </c>
      <c r="CM193" s="49" t="n">
        <v>21</v>
      </c>
      <c r="CN193" s="49" t="n">
        <v>51</v>
      </c>
      <c r="CO193" s="49" t="n">
        <v>72</v>
      </c>
      <c r="CP193" s="25" t="n">
        <f aca="false">BX193+BW193+BV193+BU193+BT193+BQ193+BN193</f>
        <v>631</v>
      </c>
      <c r="CQ193" s="25" t="n">
        <f aca="false">CO193+CL193+CI193+CH193+CG193+CD193+CA193</f>
        <v>558</v>
      </c>
      <c r="CR193" s="26" t="n">
        <f aca="false">CP193/7</f>
        <v>90.1428571428571</v>
      </c>
      <c r="CS193" s="26" t="n">
        <f aca="false">CQ193/7</f>
        <v>79.7142857142857</v>
      </c>
      <c r="CT193" s="24" t="n">
        <f aca="false">RANK(CR193,$CR$2:$CR$881,0)</f>
        <v>172</v>
      </c>
      <c r="CU193" s="25" t="n">
        <f aca="false">RANK(CS193,$CS$2:$CS$881,0)</f>
        <v>275</v>
      </c>
      <c r="CV193" s="26" t="n">
        <f aca="false">(CS193+CR193)/2</f>
        <v>84.9285714285714</v>
      </c>
      <c r="CW193" s="25" t="n">
        <f aca="false">RANK(CV193,$CV$2:$CV$881,0)</f>
        <v>218</v>
      </c>
      <c r="CX193" s="50" t="n">
        <f aca="false">(CV193+BB193)/2</f>
        <v>84.2142857142857</v>
      </c>
      <c r="CY193" s="50" t="n">
        <v>155</v>
      </c>
      <c r="CZ193" s="27" t="s">
        <v>132</v>
      </c>
      <c r="DA193" s="27" t="s">
        <v>133</v>
      </c>
      <c r="DB193" s="27" t="s">
        <v>133</v>
      </c>
      <c r="DC193" s="27" t="s">
        <v>134</v>
      </c>
      <c r="DD193" s="27" t="s">
        <v>154</v>
      </c>
      <c r="DE193" s="27" t="s">
        <v>183</v>
      </c>
      <c r="DF193" s="27" t="s">
        <v>196</v>
      </c>
      <c r="DG193" s="27" t="s">
        <v>134</v>
      </c>
      <c r="DH193" s="27" t="s">
        <v>135</v>
      </c>
      <c r="DI193" s="27" t="s">
        <v>203</v>
      </c>
      <c r="DJ193" s="27" t="s">
        <v>178</v>
      </c>
      <c r="DK193" s="27" t="s">
        <v>134</v>
      </c>
      <c r="DL193" s="27" t="s">
        <v>154</v>
      </c>
      <c r="DM193" s="27" t="s">
        <v>204</v>
      </c>
      <c r="DN193" s="27" t="s">
        <v>205</v>
      </c>
      <c r="DO193" s="27" t="s">
        <v>134</v>
      </c>
      <c r="DP193" s="27" t="s">
        <v>191</v>
      </c>
      <c r="DQ193" s="27" t="s">
        <v>304</v>
      </c>
      <c r="DR193" s="27" t="s">
        <v>372</v>
      </c>
      <c r="DS193" s="27" t="s">
        <v>134</v>
      </c>
      <c r="DT193" s="27" t="s">
        <v>164</v>
      </c>
      <c r="DU193" s="27" t="s">
        <v>681</v>
      </c>
      <c r="DV193" s="27" t="s">
        <v>486</v>
      </c>
      <c r="DW193" s="27" t="s">
        <v>174</v>
      </c>
      <c r="DX193" s="27" t="s">
        <v>138</v>
      </c>
      <c r="DY193" s="27" t="s">
        <v>170</v>
      </c>
      <c r="DZ193" s="27" t="n">
        <f aca="false">DY193+DV193+DR193+DN193+DJ193+DF193+DB193</f>
        <v>576</v>
      </c>
      <c r="EA193" s="28" t="n">
        <f aca="false">DZ193/7</f>
        <v>82.2857142857143</v>
      </c>
      <c r="EB193" s="27" t="n">
        <f aca="false">RANK(EA193,$EA$2:$EA$881,0)</f>
        <v>304</v>
      </c>
      <c r="EC193" s="29" t="n">
        <f aca="false">DZ193+CQ193+CP193+AZ193</f>
        <v>2600</v>
      </c>
      <c r="ED193" s="30" t="n">
        <f aca="false">(EA193+CV193+BB193)/3</f>
        <v>83.5714285714286</v>
      </c>
      <c r="EE193" s="51" t="n">
        <f aca="false">ROUND(BE193,3)</f>
        <v>89.493</v>
      </c>
      <c r="EF193" s="51" t="n">
        <f aca="false">ROUND(CR193,3)</f>
        <v>90.143</v>
      </c>
      <c r="EG193" s="51" t="n">
        <f aca="false">ROUND(CS193,3)</f>
        <v>79.714</v>
      </c>
      <c r="EH193" s="51" t="n">
        <f aca="false">ROUND(EA193,3)</f>
        <v>82.286</v>
      </c>
      <c r="EI193" s="51" t="n">
        <f aca="false">ROUND(ED193,3)</f>
        <v>83.571</v>
      </c>
      <c r="EJ193" s="51" t="n">
        <f aca="false">ROUND(CV193,3)</f>
        <v>84.929</v>
      </c>
      <c r="EK193" s="0" t="n">
        <f aca="false">RANK(EI193,$EI$2:$EI$881,0)</f>
        <v>192</v>
      </c>
    </row>
    <row r="194" customFormat="false" ht="15" hidden="false" customHeight="false" outlineLevel="0" collapsed="false">
      <c r="A194" s="4" t="n">
        <v>8907</v>
      </c>
      <c r="B194" s="4" t="n">
        <v>864</v>
      </c>
      <c r="C194" s="27" t="s">
        <v>750</v>
      </c>
      <c r="D194" s="31" t="n">
        <v>884</v>
      </c>
      <c r="E194" s="32" t="n">
        <v>230315713</v>
      </c>
      <c r="F194" s="8" t="s">
        <v>751</v>
      </c>
      <c r="G194" s="66" t="s">
        <v>395</v>
      </c>
      <c r="H194" s="22" t="s">
        <v>129</v>
      </c>
      <c r="I194" s="67" t="n">
        <v>2005</v>
      </c>
      <c r="J194" s="32" t="n">
        <v>79</v>
      </c>
      <c r="K194" s="32" t="n">
        <v>92</v>
      </c>
      <c r="L194" s="34" t="n">
        <f aca="false">(K194*70)/100</f>
        <v>64.4</v>
      </c>
      <c r="M194" s="34" t="n">
        <f aca="false">ROUNDUP(L194,0)</f>
        <v>65</v>
      </c>
      <c r="N194" s="32" t="n">
        <v>26</v>
      </c>
      <c r="O194" s="34" t="n">
        <f aca="false">N194+L194</f>
        <v>90.4</v>
      </c>
      <c r="P194" s="34" t="n">
        <f aca="false">N194+M194</f>
        <v>91</v>
      </c>
      <c r="Q194" s="32" t="n">
        <v>89</v>
      </c>
      <c r="R194" s="32" t="n">
        <v>87</v>
      </c>
      <c r="S194" s="34" t="n">
        <f aca="false">(R194*70)/100</f>
        <v>60.9</v>
      </c>
      <c r="T194" s="34" t="n">
        <f aca="false">ROUNDUP(S194,0)</f>
        <v>61</v>
      </c>
      <c r="U194" s="32" t="n">
        <v>26</v>
      </c>
      <c r="V194" s="34" t="n">
        <f aca="false">U194+S194</f>
        <v>86.9</v>
      </c>
      <c r="W194" s="34" t="n">
        <f aca="false">U194+T194</f>
        <v>87</v>
      </c>
      <c r="X194" s="32" t="n">
        <v>65</v>
      </c>
      <c r="Y194" s="34" t="n">
        <f aca="false">(X194*70)/100</f>
        <v>45.5</v>
      </c>
      <c r="Z194" s="34" t="n">
        <f aca="false">ROUNDUP(Y194,0)</f>
        <v>46</v>
      </c>
      <c r="AA194" s="32" t="n">
        <v>23</v>
      </c>
      <c r="AB194" s="34" t="n">
        <f aca="false">AA194+Y194</f>
        <v>68.5</v>
      </c>
      <c r="AC194" s="34" t="n">
        <f aca="false">AA194+Z194</f>
        <v>69</v>
      </c>
      <c r="AD194" s="32" t="n">
        <f aca="false">X194+R194+Q194+K194+J194</f>
        <v>412</v>
      </c>
      <c r="AE194" s="16" t="n">
        <f aca="false">AD194/5</f>
        <v>82.4</v>
      </c>
      <c r="AF194" s="16" t="n">
        <v>68</v>
      </c>
      <c r="AG194" s="16" t="n">
        <v>86</v>
      </c>
      <c r="AH194" s="16" t="n">
        <v>90</v>
      </c>
      <c r="AI194" s="16" t="n">
        <v>94</v>
      </c>
      <c r="AJ194" s="16" t="n">
        <f aca="false">(AI194*70)/100</f>
        <v>65.8</v>
      </c>
      <c r="AK194" s="35" t="n">
        <f aca="false">ROUNDUP(AJ194,0)</f>
        <v>66</v>
      </c>
      <c r="AL194" s="16" t="n">
        <v>26</v>
      </c>
      <c r="AM194" s="16" t="n">
        <f aca="false">AL194+AJ194</f>
        <v>91.8</v>
      </c>
      <c r="AN194" s="16" t="n">
        <f aca="false">AL194+AK194</f>
        <v>92</v>
      </c>
      <c r="AO194" s="16" t="n">
        <v>77</v>
      </c>
      <c r="AP194" s="36" t="n">
        <f aca="false">(AO194*70)/100</f>
        <v>53.9</v>
      </c>
      <c r="AQ194" s="37" t="n">
        <f aca="false">ROUNDUP(AP194,0)</f>
        <v>54</v>
      </c>
      <c r="AR194" s="16" t="n">
        <v>28</v>
      </c>
      <c r="AS194" s="16" t="n">
        <f aca="false">AR194+AP194</f>
        <v>81.9</v>
      </c>
      <c r="AT194" s="16" t="n">
        <f aca="false">AR194+AQ194</f>
        <v>82</v>
      </c>
      <c r="AU194" s="16" t="n">
        <f aca="false">AO194+AF194+AI194+AH194+AG194</f>
        <v>415</v>
      </c>
      <c r="AV194" s="16" t="n">
        <f aca="false">(AO194+AF194+AI194+AH194+AG194)/5</f>
        <v>83</v>
      </c>
      <c r="AW194" s="36" t="n">
        <f aca="false">(AO194+AF194+AI194+AH194+AG194+X194+R194+Q194+K194+J194)</f>
        <v>827</v>
      </c>
      <c r="AX194" s="16" t="n">
        <f aca="false">AW194/10</f>
        <v>82.7</v>
      </c>
      <c r="AY194" s="16" t="n">
        <f aca="false">AS194+AF194+AM194+AH194+AG194+AB194+V194+Q194+O194+J194</f>
        <v>831.5</v>
      </c>
      <c r="AZ194" s="16" t="n">
        <f aca="false">AT194+AF194+AN194+AH194+AG194+AC194+W194+Q194+P194+J194</f>
        <v>833</v>
      </c>
      <c r="BA194" s="16" t="n">
        <f aca="false">AY194/10</f>
        <v>83.15</v>
      </c>
      <c r="BB194" s="16" t="n">
        <f aca="false">AZ194/10</f>
        <v>83.3</v>
      </c>
      <c r="BC194" s="24" t="n">
        <v>2359</v>
      </c>
      <c r="BD194" s="16" t="n">
        <f aca="false">RANK(AX194,$AX$2:$AX$881,0)</f>
        <v>134</v>
      </c>
      <c r="BE194" s="54" t="n">
        <f aca="false">((BC194*100)/2400)*0.4+(AX194*0.6)</f>
        <v>88.9366666666667</v>
      </c>
      <c r="BF194" s="16" t="n">
        <f aca="false">RANK(BE194,$BE$2:$BE$881,0)</f>
        <v>139</v>
      </c>
      <c r="BG194" s="39" t="n">
        <f aca="false">RANK(BB194,$BB$2:$BB$881,0)</f>
        <v>150</v>
      </c>
      <c r="BH194" s="39" t="n">
        <f aca="false">RANK(BC194,$BC$2:$BC$881,0)</f>
        <v>414</v>
      </c>
      <c r="BI194" s="22" t="s">
        <v>130</v>
      </c>
      <c r="BJ194" s="22" t="s">
        <v>129</v>
      </c>
      <c r="BK194" s="40" t="s">
        <v>131</v>
      </c>
      <c r="BL194" s="41" t="n">
        <v>21</v>
      </c>
      <c r="BM194" s="41" t="n">
        <v>52</v>
      </c>
      <c r="BN194" s="41" t="n">
        <v>73</v>
      </c>
      <c r="BO194" s="42" t="n">
        <v>21</v>
      </c>
      <c r="BP194" s="43" t="n">
        <v>45</v>
      </c>
      <c r="BQ194" s="44" t="n">
        <v>66</v>
      </c>
      <c r="BR194" s="42" t="n">
        <v>21</v>
      </c>
      <c r="BS194" s="45" t="n">
        <v>56</v>
      </c>
      <c r="BT194" s="45" t="n">
        <v>77</v>
      </c>
      <c r="BU194" s="46" t="n">
        <v>100</v>
      </c>
      <c r="BV194" s="81" t="n">
        <v>62</v>
      </c>
      <c r="BW194" s="42" t="n">
        <v>90</v>
      </c>
      <c r="BX194" s="48" t="n">
        <v>92</v>
      </c>
      <c r="BY194" s="32" t="n">
        <v>27</v>
      </c>
      <c r="BZ194" s="32" t="n">
        <v>46</v>
      </c>
      <c r="CA194" s="32" t="n">
        <v>73</v>
      </c>
      <c r="CB194" s="32" t="n">
        <v>22</v>
      </c>
      <c r="CC194" s="32" t="n">
        <v>37</v>
      </c>
      <c r="CD194" s="69" t="n">
        <v>59</v>
      </c>
      <c r="CE194" s="32" t="n">
        <v>21</v>
      </c>
      <c r="CF194" s="32" t="n">
        <v>47</v>
      </c>
      <c r="CG194" s="32" t="n">
        <v>68</v>
      </c>
      <c r="CH194" s="32" t="n">
        <v>99</v>
      </c>
      <c r="CI194" s="25" t="n">
        <v>96</v>
      </c>
      <c r="CJ194" s="49" t="n">
        <v>21</v>
      </c>
      <c r="CK194" s="49" t="n">
        <v>46</v>
      </c>
      <c r="CL194" s="49" t="n">
        <v>67</v>
      </c>
      <c r="CM194" s="49" t="n">
        <v>22</v>
      </c>
      <c r="CN194" s="49" t="n">
        <v>54</v>
      </c>
      <c r="CO194" s="49" t="n">
        <v>76</v>
      </c>
      <c r="CP194" s="25" t="n">
        <f aca="false">BX194+BW194+BV194+BU194+BT194+BQ194+BN194</f>
        <v>560</v>
      </c>
      <c r="CQ194" s="25" t="n">
        <f aca="false">CO194+CL194+CI194+CH194+CG194+CD194+CA194</f>
        <v>538</v>
      </c>
      <c r="CR194" s="26" t="n">
        <f aca="false">CP194/7</f>
        <v>80</v>
      </c>
      <c r="CS194" s="26" t="n">
        <f aca="false">CQ194/7</f>
        <v>76.8571428571429</v>
      </c>
      <c r="CT194" s="24" t="n">
        <f aca="false">RANK(CR194,$CR$2:$CR$881,0)</f>
        <v>585</v>
      </c>
      <c r="CU194" s="25" t="n">
        <f aca="false">RANK(CS194,$CS$2:$CS$881,0)</f>
        <v>370</v>
      </c>
      <c r="CV194" s="26" t="n">
        <f aca="false">(CS194+CR194)/2</f>
        <v>78.4285714285714</v>
      </c>
      <c r="CW194" s="25" t="n">
        <f aca="false">RANK(CV194,$CV$2:$CV$881,0)</f>
        <v>482</v>
      </c>
      <c r="CX194" s="50" t="n">
        <f aca="false">(CV194+BB194)/2</f>
        <v>80.8642857142857</v>
      </c>
      <c r="CY194" s="50" t="n">
        <v>329</v>
      </c>
      <c r="CZ194" s="27" t="s">
        <v>132</v>
      </c>
      <c r="DA194" s="27" t="s">
        <v>133</v>
      </c>
      <c r="DB194" s="27" t="s">
        <v>133</v>
      </c>
      <c r="DC194" s="27" t="s">
        <v>134</v>
      </c>
      <c r="DD194" s="27" t="s">
        <v>164</v>
      </c>
      <c r="DE194" s="27" t="s">
        <v>136</v>
      </c>
      <c r="DF194" s="27" t="s">
        <v>153</v>
      </c>
      <c r="DG194" s="27" t="s">
        <v>134</v>
      </c>
      <c r="DH194" s="27" t="s">
        <v>137</v>
      </c>
      <c r="DI194" s="27" t="s">
        <v>138</v>
      </c>
      <c r="DJ194" s="27" t="s">
        <v>139</v>
      </c>
      <c r="DK194" s="27" t="s">
        <v>134</v>
      </c>
      <c r="DL194" s="27" t="s">
        <v>182</v>
      </c>
      <c r="DM194" s="27" t="s">
        <v>163</v>
      </c>
      <c r="DN194" s="27" t="s">
        <v>162</v>
      </c>
      <c r="DO194" s="27" t="s">
        <v>134</v>
      </c>
      <c r="DP194" s="27" t="s">
        <v>182</v>
      </c>
      <c r="DQ194" s="27" t="s">
        <v>220</v>
      </c>
      <c r="DR194" s="27" t="s">
        <v>219</v>
      </c>
      <c r="DS194" s="27" t="s">
        <v>134</v>
      </c>
      <c r="DT194" s="27" t="s">
        <v>160</v>
      </c>
      <c r="DU194" s="27" t="s">
        <v>177</v>
      </c>
      <c r="DV194" s="27" t="s">
        <v>133</v>
      </c>
      <c r="DW194" s="27" t="s">
        <v>135</v>
      </c>
      <c r="DX194" s="27" t="s">
        <v>141</v>
      </c>
      <c r="DY194" s="27" t="s">
        <v>176</v>
      </c>
      <c r="DZ194" s="27" t="n">
        <f aca="false">DY194+DV194+DR194+DN194+DJ194+DF194+DB194</f>
        <v>622</v>
      </c>
      <c r="EA194" s="28" t="n">
        <f aca="false">DZ194/7</f>
        <v>88.8571428571429</v>
      </c>
      <c r="EB194" s="27" t="n">
        <f aca="false">RANK(EA194,$EA$2:$EA$881,0)</f>
        <v>85</v>
      </c>
      <c r="EC194" s="29" t="n">
        <f aca="false">DZ194+CQ194+CP194+AZ194</f>
        <v>2553</v>
      </c>
      <c r="ED194" s="30" t="n">
        <f aca="false">(EA194+CV194+BB194)/3</f>
        <v>83.5285714285714</v>
      </c>
      <c r="EE194" s="51" t="n">
        <f aca="false">ROUND(BE194,3)</f>
        <v>88.937</v>
      </c>
      <c r="EF194" s="51" t="n">
        <f aca="false">ROUND(CR194,3)</f>
        <v>80</v>
      </c>
      <c r="EG194" s="51" t="n">
        <f aca="false">ROUND(CS194,3)</f>
        <v>76.857</v>
      </c>
      <c r="EH194" s="51" t="n">
        <f aca="false">ROUND(EA194,3)</f>
        <v>88.857</v>
      </c>
      <c r="EI194" s="51" t="n">
        <f aca="false">ROUND(ED194,3)</f>
        <v>83.529</v>
      </c>
      <c r="EJ194" s="51" t="n">
        <f aca="false">ROUND(CV194,3)</f>
        <v>78.429</v>
      </c>
      <c r="EK194" s="0" t="n">
        <f aca="false">RANK(EI194,$EI$2:$EI$881,0)</f>
        <v>193</v>
      </c>
    </row>
    <row r="195" customFormat="false" ht="15" hidden="false" customHeight="false" outlineLevel="0" collapsed="false">
      <c r="A195" s="4" t="n">
        <v>8988</v>
      </c>
      <c r="B195" s="4" t="n">
        <v>135</v>
      </c>
      <c r="C195" s="27" t="s">
        <v>752</v>
      </c>
      <c r="D195" s="31" t="n">
        <v>132</v>
      </c>
      <c r="E195" s="16" t="n">
        <v>230249942</v>
      </c>
      <c r="F195" s="56" t="s">
        <v>753</v>
      </c>
      <c r="G195" s="22" t="s">
        <v>754</v>
      </c>
      <c r="H195" s="22" t="s">
        <v>326</v>
      </c>
      <c r="I195" s="57"/>
      <c r="J195" s="16" t="n">
        <v>77</v>
      </c>
      <c r="K195" s="16" t="n">
        <v>83</v>
      </c>
      <c r="L195" s="34" t="n">
        <f aca="false">(K195*70)/100</f>
        <v>58.1</v>
      </c>
      <c r="M195" s="34" t="n">
        <f aca="false">ROUNDUP(L195,0)</f>
        <v>59</v>
      </c>
      <c r="N195" s="16" t="n">
        <v>26</v>
      </c>
      <c r="O195" s="34" t="n">
        <f aca="false">N195+L195</f>
        <v>84.1</v>
      </c>
      <c r="P195" s="34" t="n">
        <f aca="false">N195+M195</f>
        <v>85</v>
      </c>
      <c r="Q195" s="16" t="n">
        <v>80</v>
      </c>
      <c r="R195" s="16" t="n">
        <v>79</v>
      </c>
      <c r="S195" s="34" t="n">
        <f aca="false">(R195*70)/100</f>
        <v>55.3</v>
      </c>
      <c r="T195" s="34" t="n">
        <f aca="false">ROUNDUP(S195,0)</f>
        <v>56</v>
      </c>
      <c r="U195" s="16" t="n">
        <v>24</v>
      </c>
      <c r="V195" s="34" t="n">
        <f aca="false">U195+S195</f>
        <v>79.3</v>
      </c>
      <c r="W195" s="34" t="n">
        <f aca="false">U195+T195</f>
        <v>80</v>
      </c>
      <c r="X195" s="16" t="n">
        <v>69</v>
      </c>
      <c r="Y195" s="34" t="n">
        <f aca="false">(X195*70)/100</f>
        <v>48.3</v>
      </c>
      <c r="Z195" s="34" t="n">
        <f aca="false">ROUNDUP(Y195,0)</f>
        <v>49</v>
      </c>
      <c r="AA195" s="16" t="n">
        <v>28</v>
      </c>
      <c r="AB195" s="34" t="n">
        <f aca="false">AA195+Y195</f>
        <v>76.3</v>
      </c>
      <c r="AC195" s="34" t="n">
        <f aca="false">AA195+Z195</f>
        <v>77</v>
      </c>
      <c r="AD195" s="32" t="n">
        <f aca="false">X195+R195+Q195+K195+J195</f>
        <v>388</v>
      </c>
      <c r="AE195" s="16" t="n">
        <f aca="false">AD195/5</f>
        <v>77.6</v>
      </c>
      <c r="AF195" s="16" t="n">
        <v>82</v>
      </c>
      <c r="AG195" s="16" t="n">
        <v>87</v>
      </c>
      <c r="AH195" s="16" t="n">
        <v>96</v>
      </c>
      <c r="AI195" s="16" t="n">
        <v>92</v>
      </c>
      <c r="AJ195" s="16" t="n">
        <f aca="false">(AI195*70)/100</f>
        <v>64.4</v>
      </c>
      <c r="AK195" s="35" t="n">
        <f aca="false">ROUNDUP(AJ195,0)</f>
        <v>65</v>
      </c>
      <c r="AL195" s="16" t="n">
        <v>25</v>
      </c>
      <c r="AM195" s="16" t="n">
        <f aca="false">AL195+AJ195</f>
        <v>89.4</v>
      </c>
      <c r="AN195" s="16" t="n">
        <f aca="false">AL195+AK195</f>
        <v>90</v>
      </c>
      <c r="AO195" s="16" t="n">
        <v>81</v>
      </c>
      <c r="AP195" s="36" t="n">
        <f aca="false">(AO195*70)/100</f>
        <v>56.7</v>
      </c>
      <c r="AQ195" s="37" t="n">
        <f aca="false">ROUNDUP(AP195,0)</f>
        <v>57</v>
      </c>
      <c r="AR195" s="16" t="n">
        <v>29</v>
      </c>
      <c r="AS195" s="16" t="n">
        <f aca="false">AR195+AP195</f>
        <v>85.7</v>
      </c>
      <c r="AT195" s="16" t="n">
        <f aca="false">AR195+AQ195</f>
        <v>86</v>
      </c>
      <c r="AU195" s="16" t="n">
        <f aca="false">AO195+AF195+AI195+AH195+AG195</f>
        <v>438</v>
      </c>
      <c r="AV195" s="16" t="n">
        <f aca="false">(AO195+AF195+AI195+AH195+AG195)/5</f>
        <v>87.6</v>
      </c>
      <c r="AW195" s="36" t="n">
        <f aca="false">(AO195+AF195+AI195+AH195+AG195+X195+R195+Q195+K195+J195)</f>
        <v>826</v>
      </c>
      <c r="AX195" s="16" t="n">
        <f aca="false">AW195/10</f>
        <v>82.6</v>
      </c>
      <c r="AY195" s="16" t="n">
        <f aca="false">AS195+AF195+AM195+AH195+AG195+AB195+V195+Q195+O195+J195</f>
        <v>836.8</v>
      </c>
      <c r="AZ195" s="16" t="n">
        <f aca="false">AT195+AF195+AN195+AH195+AG195+AC195+W195+Q195+P195+J195</f>
        <v>840</v>
      </c>
      <c r="BA195" s="16" t="n">
        <f aca="false">AY195/10</f>
        <v>83.68</v>
      </c>
      <c r="BB195" s="16" t="n">
        <f aca="false">AZ195/10</f>
        <v>84</v>
      </c>
      <c r="BC195" s="16" t="n">
        <v>2333</v>
      </c>
      <c r="BD195" s="16" t="n">
        <f aca="false">RANK(AX195,$AX$2:$AX$881,0)</f>
        <v>137</v>
      </c>
      <c r="BE195" s="54" t="n">
        <f aca="false">((BC195*100)/2400)*0.4+(AX195*0.6)</f>
        <v>88.4433333333333</v>
      </c>
      <c r="BF195" s="16" t="n">
        <f aca="false">RANK(BE195,$BE$2:$BE$881,0)</f>
        <v>165</v>
      </c>
      <c r="BG195" s="39" t="n">
        <f aca="false">RANK(BB195,$BB$2:$BB$881,0)</f>
        <v>123</v>
      </c>
      <c r="BH195" s="39" t="n">
        <f aca="false">RANK(BC195,$BC$2:$BC$881,0)</f>
        <v>697</v>
      </c>
      <c r="BI195" s="22" t="s">
        <v>130</v>
      </c>
      <c r="BJ195" s="22" t="s">
        <v>129</v>
      </c>
      <c r="BK195" s="40" t="s">
        <v>131</v>
      </c>
      <c r="BL195" s="41" t="n">
        <v>24</v>
      </c>
      <c r="BM195" s="41" t="n">
        <v>60</v>
      </c>
      <c r="BN195" s="41" t="n">
        <v>84</v>
      </c>
      <c r="BO195" s="42" t="n">
        <v>28</v>
      </c>
      <c r="BP195" s="43" t="n">
        <v>57</v>
      </c>
      <c r="BQ195" s="44" t="n">
        <v>85</v>
      </c>
      <c r="BR195" s="42" t="n">
        <v>25</v>
      </c>
      <c r="BS195" s="45" t="n">
        <v>59</v>
      </c>
      <c r="BT195" s="45" t="n">
        <v>84</v>
      </c>
      <c r="BU195" s="46" t="n">
        <v>100</v>
      </c>
      <c r="BV195" s="47" t="n">
        <v>94</v>
      </c>
      <c r="BW195" s="42" t="n">
        <v>96</v>
      </c>
      <c r="BX195" s="48" t="n">
        <v>82</v>
      </c>
      <c r="BY195" s="32" t="n">
        <v>25</v>
      </c>
      <c r="BZ195" s="32" t="n">
        <v>61</v>
      </c>
      <c r="CA195" s="32" t="n">
        <v>86</v>
      </c>
      <c r="CB195" s="32" t="n">
        <v>20</v>
      </c>
      <c r="CC195" s="32" t="n">
        <v>39</v>
      </c>
      <c r="CD195" s="69" t="n">
        <v>59</v>
      </c>
      <c r="CE195" s="32" t="n">
        <v>22</v>
      </c>
      <c r="CF195" s="32" t="n">
        <v>49</v>
      </c>
      <c r="CG195" s="32" t="n">
        <v>71</v>
      </c>
      <c r="CH195" s="32" t="n">
        <v>99</v>
      </c>
      <c r="CI195" s="32" t="n">
        <v>98</v>
      </c>
      <c r="CJ195" s="49" t="n">
        <v>25</v>
      </c>
      <c r="CK195" s="49" t="n">
        <v>53</v>
      </c>
      <c r="CL195" s="49" t="n">
        <v>78</v>
      </c>
      <c r="CM195" s="49" t="n">
        <v>20</v>
      </c>
      <c r="CN195" s="49" t="n">
        <v>52</v>
      </c>
      <c r="CO195" s="49" t="n">
        <v>72</v>
      </c>
      <c r="CP195" s="25" t="n">
        <f aca="false">BX195+BW195+BV195+BU195+BT195+BQ195+BN195</f>
        <v>625</v>
      </c>
      <c r="CQ195" s="25" t="n">
        <f aca="false">CO195+CL195+CI195+CH195+CG195+CD195+CA195</f>
        <v>563</v>
      </c>
      <c r="CR195" s="26" t="n">
        <f aca="false">CP195/7</f>
        <v>89.2857142857143</v>
      </c>
      <c r="CS195" s="26" t="n">
        <f aca="false">CQ195/7</f>
        <v>80.4285714285714</v>
      </c>
      <c r="CT195" s="24" t="n">
        <f aca="false">RANK(CR195,$CR$2:$CR$881,0)</f>
        <v>228</v>
      </c>
      <c r="CU195" s="25" t="n">
        <f aca="false">RANK(CS195,$CS$2:$CS$881,0)</f>
        <v>245</v>
      </c>
      <c r="CV195" s="26" t="n">
        <f aca="false">(CS195+CR195)/2</f>
        <v>84.8571428571429</v>
      </c>
      <c r="CW195" s="25" t="n">
        <f aca="false">RANK(CV195,$CV$2:$CV$881,0)</f>
        <v>220</v>
      </c>
      <c r="CX195" s="50" t="n">
        <f aca="false">(CV195+BB195)/2</f>
        <v>84.4285714285714</v>
      </c>
      <c r="CY195" s="50" t="n">
        <v>147</v>
      </c>
      <c r="CZ195" s="27" t="s">
        <v>132</v>
      </c>
      <c r="DA195" s="27" t="s">
        <v>169</v>
      </c>
      <c r="DB195" s="27" t="s">
        <v>169</v>
      </c>
      <c r="DC195" s="27" t="s">
        <v>134</v>
      </c>
      <c r="DD195" s="27" t="s">
        <v>174</v>
      </c>
      <c r="DE195" s="27" t="s">
        <v>313</v>
      </c>
      <c r="DF195" s="27" t="s">
        <v>372</v>
      </c>
      <c r="DG195" s="27" t="s">
        <v>134</v>
      </c>
      <c r="DH195" s="27" t="s">
        <v>182</v>
      </c>
      <c r="DI195" s="27" t="s">
        <v>204</v>
      </c>
      <c r="DJ195" s="27" t="s">
        <v>169</v>
      </c>
      <c r="DK195" s="27" t="s">
        <v>134</v>
      </c>
      <c r="DL195" s="27" t="s">
        <v>137</v>
      </c>
      <c r="DM195" s="27" t="s">
        <v>306</v>
      </c>
      <c r="DN195" s="27" t="s">
        <v>196</v>
      </c>
      <c r="DO195" s="27" t="s">
        <v>134</v>
      </c>
      <c r="DP195" s="27" t="s">
        <v>264</v>
      </c>
      <c r="DQ195" s="27" t="s">
        <v>412</v>
      </c>
      <c r="DR195" s="27" t="s">
        <v>155</v>
      </c>
      <c r="DS195" s="27" t="s">
        <v>134</v>
      </c>
      <c r="DT195" s="27" t="s">
        <v>140</v>
      </c>
      <c r="DU195" s="27" t="s">
        <v>304</v>
      </c>
      <c r="DV195" s="27" t="s">
        <v>169</v>
      </c>
      <c r="DW195" s="27" t="s">
        <v>146</v>
      </c>
      <c r="DX195" s="27" t="s">
        <v>143</v>
      </c>
      <c r="DY195" s="27" t="s">
        <v>145</v>
      </c>
      <c r="DZ195" s="27" t="n">
        <f aca="false">DY195+DV195+DR195+DN195+DJ195+DF195+DB195</f>
        <v>572</v>
      </c>
      <c r="EA195" s="28" t="n">
        <f aca="false">DZ195/7</f>
        <v>81.7142857142857</v>
      </c>
      <c r="EB195" s="27" t="n">
        <f aca="false">RANK(EA195,$EA$2:$EA$881,0)</f>
        <v>322</v>
      </c>
      <c r="EC195" s="29" t="n">
        <f aca="false">DZ195+CQ195+CP195+AZ195</f>
        <v>2600</v>
      </c>
      <c r="ED195" s="30" t="n">
        <f aca="false">(EA195+CV195+BB195)/3</f>
        <v>83.5238095238095</v>
      </c>
      <c r="EE195" s="51" t="n">
        <f aca="false">ROUND(BE195,3)</f>
        <v>88.443</v>
      </c>
      <c r="EF195" s="51" t="n">
        <f aca="false">ROUND(CR195,3)</f>
        <v>89.286</v>
      </c>
      <c r="EG195" s="51" t="n">
        <f aca="false">ROUND(CS195,3)</f>
        <v>80.429</v>
      </c>
      <c r="EH195" s="51" t="n">
        <f aca="false">ROUND(EA195,3)</f>
        <v>81.714</v>
      </c>
      <c r="EI195" s="51" t="n">
        <f aca="false">ROUND(ED195,3)</f>
        <v>83.524</v>
      </c>
      <c r="EJ195" s="51" t="n">
        <f aca="false">ROUND(CV195,3)</f>
        <v>84.857</v>
      </c>
      <c r="EK195" s="0" t="n">
        <f aca="false">RANK(EI195,$EI$2:$EI$881,0)</f>
        <v>194</v>
      </c>
    </row>
    <row r="196" customFormat="false" ht="15" hidden="false" customHeight="false" outlineLevel="0" collapsed="false">
      <c r="A196" s="4" t="n">
        <v>8955</v>
      </c>
      <c r="B196" s="4" t="n">
        <v>750</v>
      </c>
      <c r="C196" s="27" t="s">
        <v>755</v>
      </c>
      <c r="D196" s="31" t="n">
        <v>765</v>
      </c>
      <c r="E196" s="62" t="n">
        <v>230319190</v>
      </c>
      <c r="F196" s="8" t="s">
        <v>756</v>
      </c>
      <c r="G196" s="63" t="s">
        <v>757</v>
      </c>
      <c r="H196" s="22" t="s">
        <v>129</v>
      </c>
      <c r="I196" s="64" t="n">
        <v>2005</v>
      </c>
      <c r="J196" s="62" t="n">
        <v>77</v>
      </c>
      <c r="K196" s="62" t="n">
        <v>89</v>
      </c>
      <c r="L196" s="34" t="n">
        <f aca="false">(K196*70)/100</f>
        <v>62.3</v>
      </c>
      <c r="M196" s="34" t="n">
        <f aca="false">ROUNDUP(L196,0)</f>
        <v>63</v>
      </c>
      <c r="N196" s="62" t="n">
        <v>29</v>
      </c>
      <c r="O196" s="34" t="n">
        <f aca="false">N196+L196</f>
        <v>91.3</v>
      </c>
      <c r="P196" s="34" t="n">
        <f aca="false">N196+M196</f>
        <v>92</v>
      </c>
      <c r="Q196" s="62" t="n">
        <v>84</v>
      </c>
      <c r="R196" s="62" t="n">
        <v>86</v>
      </c>
      <c r="S196" s="34" t="n">
        <f aca="false">(R196*70)/100</f>
        <v>60.2</v>
      </c>
      <c r="T196" s="34" t="n">
        <f aca="false">ROUNDUP(S196,0)</f>
        <v>61</v>
      </c>
      <c r="U196" s="62" t="n">
        <v>26</v>
      </c>
      <c r="V196" s="34" t="n">
        <f aca="false">U196+S196</f>
        <v>86.2</v>
      </c>
      <c r="W196" s="34" t="n">
        <f aca="false">U196+T196</f>
        <v>87</v>
      </c>
      <c r="X196" s="62" t="n">
        <v>77</v>
      </c>
      <c r="Y196" s="34" t="n">
        <f aca="false">(X196*70)/100</f>
        <v>53.9</v>
      </c>
      <c r="Z196" s="34" t="n">
        <f aca="false">ROUNDUP(Y196,0)</f>
        <v>54</v>
      </c>
      <c r="AA196" s="62" t="n">
        <v>24</v>
      </c>
      <c r="AB196" s="34" t="n">
        <f aca="false">AA196+Y196</f>
        <v>77.9</v>
      </c>
      <c r="AC196" s="34" t="n">
        <f aca="false">AA196+Z196</f>
        <v>78</v>
      </c>
      <c r="AD196" s="32" t="n">
        <f aca="false">X196+R196+Q196+K196+J196</f>
        <v>413</v>
      </c>
      <c r="AE196" s="16" t="n">
        <f aca="false">AD196/5</f>
        <v>82.6</v>
      </c>
      <c r="AF196" s="65" t="n">
        <v>70</v>
      </c>
      <c r="AG196" s="65" t="n">
        <v>80</v>
      </c>
      <c r="AH196" s="65" t="n">
        <v>94</v>
      </c>
      <c r="AI196" s="65" t="n">
        <v>94</v>
      </c>
      <c r="AJ196" s="16" t="n">
        <f aca="false">(AI196*70)/100</f>
        <v>65.8</v>
      </c>
      <c r="AK196" s="35" t="n">
        <f aca="false">ROUNDUP(AJ196,0)</f>
        <v>66</v>
      </c>
      <c r="AL196" s="65" t="n">
        <v>26</v>
      </c>
      <c r="AM196" s="16" t="n">
        <f aca="false">AL196+AJ196</f>
        <v>91.8</v>
      </c>
      <c r="AN196" s="16" t="n">
        <f aca="false">AL196+AK196</f>
        <v>92</v>
      </c>
      <c r="AO196" s="65" t="n">
        <v>81</v>
      </c>
      <c r="AP196" s="36" t="n">
        <f aca="false">(AO196*70)/100</f>
        <v>56.7</v>
      </c>
      <c r="AQ196" s="37" t="n">
        <f aca="false">ROUNDUP(AP196,0)</f>
        <v>57</v>
      </c>
      <c r="AR196" s="65" t="n">
        <v>29</v>
      </c>
      <c r="AS196" s="16" t="n">
        <f aca="false">AR196+AP196</f>
        <v>85.7</v>
      </c>
      <c r="AT196" s="16" t="n">
        <f aca="false">AR196+AQ196</f>
        <v>86</v>
      </c>
      <c r="AU196" s="16" t="n">
        <f aca="false">AO196+AF196+AI196+AH196+AG196</f>
        <v>419</v>
      </c>
      <c r="AV196" s="16" t="n">
        <f aca="false">(AO196+AF196+AI196+AH196+AG196)/5</f>
        <v>83.8</v>
      </c>
      <c r="AW196" s="36" t="n">
        <f aca="false">(AO196+AF196+AI196+AH196+AG196+X196+R196+Q196+K196+J196)</f>
        <v>832</v>
      </c>
      <c r="AX196" s="16" t="n">
        <f aca="false">AW196/10</f>
        <v>83.2</v>
      </c>
      <c r="AY196" s="16" t="n">
        <f aca="false">AS196+AF196+AM196+AH196+AG196+AB196+V196+Q196+O196+J196</f>
        <v>837.9</v>
      </c>
      <c r="AZ196" s="16" t="n">
        <f aca="false">AT196+AF196+AN196+AH196+AG196+AC196+W196+Q196+P196+J196</f>
        <v>840</v>
      </c>
      <c r="BA196" s="16" t="n">
        <f aca="false">AY196/10</f>
        <v>83.79</v>
      </c>
      <c r="BB196" s="16" t="n">
        <f aca="false">AZ196/10</f>
        <v>84</v>
      </c>
      <c r="BC196" s="65" t="n">
        <v>2358</v>
      </c>
      <c r="BD196" s="16" t="n">
        <f aca="false">RANK(AX196,$AX$2:$AX$881,0)</f>
        <v>124</v>
      </c>
      <c r="BE196" s="54" t="n">
        <f aca="false">((BC196*100)/2400)*0.4+(AX196*0.6)</f>
        <v>89.22</v>
      </c>
      <c r="BF196" s="16" t="n">
        <f aca="false">RANK(BE196,$BE$2:$BE$881,0)</f>
        <v>129</v>
      </c>
      <c r="BG196" s="39" t="n">
        <f aca="false">RANK(BB196,$BB$2:$BB$881,0)</f>
        <v>123</v>
      </c>
      <c r="BH196" s="39" t="n">
        <f aca="false">RANK(BC196,$BC$2:$BC$881,0)</f>
        <v>429</v>
      </c>
      <c r="BI196" s="22" t="s">
        <v>130</v>
      </c>
      <c r="BJ196" s="22" t="s">
        <v>129</v>
      </c>
      <c r="BK196" s="40" t="s">
        <v>131</v>
      </c>
      <c r="BL196" s="41" t="n">
        <v>22</v>
      </c>
      <c r="BM196" s="41" t="n">
        <v>59</v>
      </c>
      <c r="BN196" s="41" t="n">
        <v>81</v>
      </c>
      <c r="BO196" s="42" t="n">
        <v>27</v>
      </c>
      <c r="BP196" s="43" t="n">
        <v>64</v>
      </c>
      <c r="BQ196" s="44" t="n">
        <v>91</v>
      </c>
      <c r="BR196" s="42" t="n">
        <v>30</v>
      </c>
      <c r="BS196" s="45" t="n">
        <v>56</v>
      </c>
      <c r="BT196" s="45" t="n">
        <v>86</v>
      </c>
      <c r="BU196" s="46" t="n">
        <v>100</v>
      </c>
      <c r="BV196" s="47" t="n">
        <v>82</v>
      </c>
      <c r="BW196" s="42" t="n">
        <v>98</v>
      </c>
      <c r="BX196" s="48" t="n">
        <v>94</v>
      </c>
      <c r="BY196" s="32" t="n">
        <v>25</v>
      </c>
      <c r="BZ196" s="32" t="n">
        <v>54</v>
      </c>
      <c r="CA196" s="32" t="n">
        <v>79</v>
      </c>
      <c r="CB196" s="32" t="n">
        <v>24</v>
      </c>
      <c r="CC196" s="32" t="n">
        <v>45</v>
      </c>
      <c r="CD196" s="32" t="n">
        <v>69</v>
      </c>
      <c r="CE196" s="32" t="n">
        <v>22</v>
      </c>
      <c r="CF196" s="32" t="n">
        <v>52</v>
      </c>
      <c r="CG196" s="32" t="n">
        <v>74</v>
      </c>
      <c r="CH196" s="32" t="n">
        <v>99</v>
      </c>
      <c r="CI196" s="32" t="n">
        <v>98</v>
      </c>
      <c r="CJ196" s="49" t="n">
        <v>24</v>
      </c>
      <c r="CK196" s="49" t="n">
        <v>50</v>
      </c>
      <c r="CL196" s="49" t="n">
        <v>74</v>
      </c>
      <c r="CM196" s="49" t="n">
        <v>23</v>
      </c>
      <c r="CN196" s="49" t="n">
        <v>44</v>
      </c>
      <c r="CO196" s="49" t="n">
        <v>67</v>
      </c>
      <c r="CP196" s="25" t="n">
        <f aca="false">BX196+BW196+BV196+BU196+BT196+BQ196+BN196</f>
        <v>632</v>
      </c>
      <c r="CQ196" s="25" t="n">
        <f aca="false">CO196+CL196+CI196+CH196+CG196+CD196+CA196</f>
        <v>560</v>
      </c>
      <c r="CR196" s="26" t="n">
        <f aca="false">CP196/7</f>
        <v>90.2857142857143</v>
      </c>
      <c r="CS196" s="26" t="n">
        <f aca="false">CQ196/7</f>
        <v>80</v>
      </c>
      <c r="CT196" s="24" t="n">
        <f aca="false">RANK(CR196,$CR$2:$CR$881,0)</f>
        <v>160</v>
      </c>
      <c r="CU196" s="25" t="n">
        <f aca="false">RANK(CS196,$CS$2:$CS$881,0)</f>
        <v>264</v>
      </c>
      <c r="CV196" s="26" t="n">
        <f aca="false">(CS196+CR196)/2</f>
        <v>85.1428571428571</v>
      </c>
      <c r="CW196" s="25" t="n">
        <f aca="false">RANK(CV196,$CV$2:$CV$881,0)</f>
        <v>206</v>
      </c>
      <c r="CX196" s="50" t="n">
        <f aca="false">(CV196+BB196)/2</f>
        <v>84.5714285714286</v>
      </c>
      <c r="CY196" s="50" t="n">
        <v>142</v>
      </c>
      <c r="CZ196" s="27" t="s">
        <v>132</v>
      </c>
      <c r="DA196" s="27" t="s">
        <v>205</v>
      </c>
      <c r="DB196" s="27" t="s">
        <v>205</v>
      </c>
      <c r="DC196" s="27" t="s">
        <v>134</v>
      </c>
      <c r="DD196" s="27" t="s">
        <v>135</v>
      </c>
      <c r="DE196" s="27" t="s">
        <v>220</v>
      </c>
      <c r="DF196" s="27" t="s">
        <v>196</v>
      </c>
      <c r="DG196" s="27" t="s">
        <v>134</v>
      </c>
      <c r="DH196" s="27" t="s">
        <v>137</v>
      </c>
      <c r="DI196" s="27" t="s">
        <v>218</v>
      </c>
      <c r="DJ196" s="27" t="s">
        <v>169</v>
      </c>
      <c r="DK196" s="27" t="s">
        <v>134</v>
      </c>
      <c r="DL196" s="27" t="s">
        <v>137</v>
      </c>
      <c r="DM196" s="27" t="s">
        <v>220</v>
      </c>
      <c r="DN196" s="27" t="s">
        <v>205</v>
      </c>
      <c r="DO196" s="27" t="s">
        <v>134</v>
      </c>
      <c r="DP196" s="27" t="s">
        <v>264</v>
      </c>
      <c r="DQ196" s="27" t="s">
        <v>415</v>
      </c>
      <c r="DR196" s="27" t="s">
        <v>187</v>
      </c>
      <c r="DS196" s="27" t="s">
        <v>134</v>
      </c>
      <c r="DT196" s="27" t="s">
        <v>160</v>
      </c>
      <c r="DU196" s="27" t="s">
        <v>447</v>
      </c>
      <c r="DV196" s="27" t="s">
        <v>196</v>
      </c>
      <c r="DW196" s="27" t="s">
        <v>164</v>
      </c>
      <c r="DX196" s="27" t="s">
        <v>141</v>
      </c>
      <c r="DY196" s="27" t="s">
        <v>156</v>
      </c>
      <c r="DZ196" s="27" t="n">
        <f aca="false">DY196+DV196+DR196+DN196+DJ196+DF196+DB196</f>
        <v>569</v>
      </c>
      <c r="EA196" s="28" t="n">
        <f aca="false">DZ196/7</f>
        <v>81.2857142857143</v>
      </c>
      <c r="EB196" s="27" t="n">
        <f aca="false">RANK(EA196,$EA$2:$EA$881,0)</f>
        <v>335</v>
      </c>
      <c r="EC196" s="29" t="n">
        <f aca="false">DZ196+CQ196+CP196+AZ196</f>
        <v>2601</v>
      </c>
      <c r="ED196" s="30" t="n">
        <f aca="false">(EA196+CV196+BB196)/3</f>
        <v>83.4761904761905</v>
      </c>
      <c r="EE196" s="51" t="n">
        <f aca="false">ROUND(BE196,3)</f>
        <v>89.22</v>
      </c>
      <c r="EF196" s="51" t="n">
        <f aca="false">ROUND(CR196,3)</f>
        <v>90.286</v>
      </c>
      <c r="EG196" s="51" t="n">
        <f aca="false">ROUND(CS196,3)</f>
        <v>80</v>
      </c>
      <c r="EH196" s="51" t="n">
        <f aca="false">ROUND(EA196,3)</f>
        <v>81.286</v>
      </c>
      <c r="EI196" s="51" t="n">
        <f aca="false">ROUND(ED196,3)</f>
        <v>83.476</v>
      </c>
      <c r="EJ196" s="51" t="n">
        <f aca="false">ROUND(CV196,3)</f>
        <v>85.143</v>
      </c>
      <c r="EK196" s="0" t="n">
        <f aca="false">RANK(EI196,$EI$2:$EI$881,0)</f>
        <v>195</v>
      </c>
    </row>
    <row r="197" customFormat="false" ht="15" hidden="false" customHeight="false" outlineLevel="0" collapsed="false">
      <c r="A197" s="4" t="n">
        <v>1823</v>
      </c>
      <c r="B197" s="4" t="n">
        <v>423</v>
      </c>
      <c r="C197" s="27" t="s">
        <v>758</v>
      </c>
      <c r="D197" s="31" t="n">
        <v>428</v>
      </c>
      <c r="E197" s="16" t="n">
        <v>230418725</v>
      </c>
      <c r="F197" s="56" t="s">
        <v>759</v>
      </c>
      <c r="G197" s="22" t="s">
        <v>577</v>
      </c>
      <c r="H197" s="22" t="s">
        <v>271</v>
      </c>
      <c r="I197" s="57"/>
      <c r="J197" s="16" t="n">
        <v>82</v>
      </c>
      <c r="K197" s="16" t="n">
        <v>67</v>
      </c>
      <c r="L197" s="34" t="n">
        <f aca="false">(K197*70)/100</f>
        <v>46.9</v>
      </c>
      <c r="M197" s="34" t="n">
        <f aca="false">ROUNDUP(L197,0)</f>
        <v>47</v>
      </c>
      <c r="N197" s="16" t="n">
        <v>19</v>
      </c>
      <c r="O197" s="34" t="n">
        <f aca="false">N197+L197</f>
        <v>65.9</v>
      </c>
      <c r="P197" s="34" t="n">
        <f aca="false">N197+M197</f>
        <v>66</v>
      </c>
      <c r="Q197" s="16" t="n">
        <v>71</v>
      </c>
      <c r="R197" s="16" t="n">
        <v>56</v>
      </c>
      <c r="S197" s="34" t="n">
        <f aca="false">(R197*70)/100</f>
        <v>39.2</v>
      </c>
      <c r="T197" s="34" t="n">
        <f aca="false">ROUNDUP(S197,0)</f>
        <v>40</v>
      </c>
      <c r="U197" s="16" t="n">
        <v>27</v>
      </c>
      <c r="V197" s="34" t="n">
        <f aca="false">U197+S197</f>
        <v>66.2</v>
      </c>
      <c r="W197" s="34" t="n">
        <f aca="false">U197+T197</f>
        <v>67</v>
      </c>
      <c r="X197" s="16" t="n">
        <v>70</v>
      </c>
      <c r="Y197" s="34" t="n">
        <f aca="false">(X197*70)/100</f>
        <v>49</v>
      </c>
      <c r="Z197" s="34" t="n">
        <f aca="false">ROUNDUP(Y197,0)</f>
        <v>49</v>
      </c>
      <c r="AA197" s="16" t="n">
        <v>26</v>
      </c>
      <c r="AB197" s="34" t="n">
        <f aca="false">AA197+Y197</f>
        <v>75</v>
      </c>
      <c r="AC197" s="34" t="n">
        <f aca="false">AA197+Z197</f>
        <v>75</v>
      </c>
      <c r="AD197" s="32" t="n">
        <f aca="false">X197+R197+Q197+K197+J197</f>
        <v>346</v>
      </c>
      <c r="AE197" s="16" t="n">
        <f aca="false">AD197/5</f>
        <v>69.2</v>
      </c>
      <c r="AF197" s="16" t="n">
        <v>79</v>
      </c>
      <c r="AG197" s="16" t="n">
        <v>80</v>
      </c>
      <c r="AH197" s="16" t="n">
        <v>87</v>
      </c>
      <c r="AI197" s="16" t="n">
        <v>95</v>
      </c>
      <c r="AJ197" s="16" t="n">
        <f aca="false">(AI197*70)/100</f>
        <v>66.5</v>
      </c>
      <c r="AK197" s="35" t="n">
        <f aca="false">ROUNDUP(AJ197,0)</f>
        <v>67</v>
      </c>
      <c r="AL197" s="16" t="n">
        <v>19</v>
      </c>
      <c r="AM197" s="16" t="n">
        <f aca="false">AL197+AJ197</f>
        <v>85.5</v>
      </c>
      <c r="AN197" s="16" t="n">
        <f aca="false">AL197+AK197</f>
        <v>86</v>
      </c>
      <c r="AO197" s="16" t="n">
        <v>73</v>
      </c>
      <c r="AP197" s="36" t="n">
        <f aca="false">(AO197*70)/100</f>
        <v>51.1</v>
      </c>
      <c r="AQ197" s="37" t="n">
        <f aca="false">ROUNDUP(AP197,0)</f>
        <v>52</v>
      </c>
      <c r="AR197" s="16" t="n">
        <v>24</v>
      </c>
      <c r="AS197" s="16" t="n">
        <f aca="false">AR197+AP197</f>
        <v>75.1</v>
      </c>
      <c r="AT197" s="16" t="n">
        <f aca="false">AR197+AQ197</f>
        <v>76</v>
      </c>
      <c r="AU197" s="16" t="n">
        <f aca="false">AO197+AF197+AI197+AH197+AG197</f>
        <v>414</v>
      </c>
      <c r="AV197" s="16" t="n">
        <f aca="false">(AO197+AF197+AI197+AH197+AG197)/5</f>
        <v>82.8</v>
      </c>
      <c r="AW197" s="36" t="n">
        <f aca="false">(AO197+AF197+AI197+AH197+AG197+X197+R197+Q197+K197+J197)</f>
        <v>760</v>
      </c>
      <c r="AX197" s="16" t="n">
        <f aca="false">AW197/10</f>
        <v>76</v>
      </c>
      <c r="AY197" s="16" t="n">
        <f aca="false">AS197+AF197+AM197+AH197+AG197+AB197+V197+Q197+O197+J197</f>
        <v>766.7</v>
      </c>
      <c r="AZ197" s="16" t="n">
        <f aca="false">AT197+AF197+AN197+AH197+AG197+AC197+W197+Q197+P197+J197</f>
        <v>769</v>
      </c>
      <c r="BA197" s="16" t="n">
        <f aca="false">AY197/10</f>
        <v>76.67</v>
      </c>
      <c r="BB197" s="16" t="n">
        <f aca="false">AZ197/10</f>
        <v>76.9</v>
      </c>
      <c r="BC197" s="16" t="n">
        <v>2362</v>
      </c>
      <c r="BD197" s="16" t="n">
        <f aca="false">RANK(AX197,$AX$2:$AX$881,0)</f>
        <v>616</v>
      </c>
      <c r="BE197" s="73" t="n">
        <f aca="false">((BC197*100)/2400)*0.4+(AX197*0.6)</f>
        <v>84.9666666666667</v>
      </c>
      <c r="BF197" s="16" t="n">
        <f aca="false">RANK(BE197,$BE$2:$BE$881,0)</f>
        <v>620</v>
      </c>
      <c r="BG197" s="39" t="n">
        <f aca="false">RANK(BB197,$BB$2:$BB$881,0)</f>
        <v>648</v>
      </c>
      <c r="BH197" s="39" t="n">
        <f aca="false">RANK(BC197,$BC$2:$BC$881,0)</f>
        <v>367</v>
      </c>
      <c r="BI197" s="22" t="s">
        <v>130</v>
      </c>
      <c r="BJ197" s="22" t="s">
        <v>129</v>
      </c>
      <c r="BK197" s="22" t="s">
        <v>509</v>
      </c>
      <c r="BL197" s="41" t="n">
        <v>22</v>
      </c>
      <c r="BM197" s="41" t="n">
        <v>62</v>
      </c>
      <c r="BN197" s="41" t="n">
        <v>84</v>
      </c>
      <c r="BO197" s="42" t="n">
        <v>27</v>
      </c>
      <c r="BP197" s="43" t="n">
        <v>65</v>
      </c>
      <c r="BQ197" s="44" t="n">
        <v>92</v>
      </c>
      <c r="BR197" s="42" t="n">
        <v>25</v>
      </c>
      <c r="BS197" s="45" t="n">
        <v>61</v>
      </c>
      <c r="BT197" s="45" t="n">
        <v>86</v>
      </c>
      <c r="BU197" s="46" t="n">
        <v>100</v>
      </c>
      <c r="BV197" s="47" t="n">
        <v>90</v>
      </c>
      <c r="BW197" s="42" t="n">
        <v>98</v>
      </c>
      <c r="BX197" s="48" t="n">
        <v>94</v>
      </c>
      <c r="BY197" s="32" t="n">
        <v>24</v>
      </c>
      <c r="BZ197" s="32" t="n">
        <v>58</v>
      </c>
      <c r="CA197" s="32" t="n">
        <v>82</v>
      </c>
      <c r="CB197" s="32" t="n">
        <v>23</v>
      </c>
      <c r="CC197" s="32" t="n">
        <v>55</v>
      </c>
      <c r="CD197" s="32" t="n">
        <v>78</v>
      </c>
      <c r="CE197" s="32" t="n">
        <v>26</v>
      </c>
      <c r="CF197" s="32" t="n">
        <v>57</v>
      </c>
      <c r="CG197" s="32" t="n">
        <v>83</v>
      </c>
      <c r="CH197" s="32" t="n">
        <v>96</v>
      </c>
      <c r="CI197" s="32" t="n">
        <v>95</v>
      </c>
      <c r="CJ197" s="49" t="n">
        <v>24</v>
      </c>
      <c r="CK197" s="49" t="n">
        <v>46</v>
      </c>
      <c r="CL197" s="49" t="n">
        <v>70</v>
      </c>
      <c r="CM197" s="49" t="n">
        <v>24</v>
      </c>
      <c r="CN197" s="49" t="n">
        <v>55</v>
      </c>
      <c r="CO197" s="49" t="n">
        <v>79</v>
      </c>
      <c r="CP197" s="25" t="n">
        <f aca="false">BX197+BW197+BV197+BU197+BT197+BQ197+BN197</f>
        <v>644</v>
      </c>
      <c r="CQ197" s="25" t="n">
        <f aca="false">CO197+CL197+CI197+CH197+CG197+CD197+CA197</f>
        <v>583</v>
      </c>
      <c r="CR197" s="26" t="n">
        <f aca="false">CP197/7</f>
        <v>92</v>
      </c>
      <c r="CS197" s="26" t="n">
        <f aca="false">CQ197/7</f>
        <v>83.2857142857143</v>
      </c>
      <c r="CT197" s="24" t="n">
        <f aca="false">RANK(CR197,$CR$2:$CR$881,0)</f>
        <v>91</v>
      </c>
      <c r="CU197" s="25" t="n">
        <f aca="false">RANK(CS197,$CS$2:$CS$881,0)</f>
        <v>149</v>
      </c>
      <c r="CV197" s="26" t="n">
        <f aca="false">(CS197+CR197)/2</f>
        <v>87.6428571428571</v>
      </c>
      <c r="CW197" s="25" t="n">
        <f aca="false">RANK(CV197,$CV$2:$CV$881,0)</f>
        <v>110</v>
      </c>
      <c r="CX197" s="50" t="n">
        <f aca="false">(CV197+BB197)/2</f>
        <v>82.2714285714286</v>
      </c>
      <c r="CY197" s="50" t="n">
        <v>249</v>
      </c>
      <c r="CZ197" s="27" t="s">
        <v>132</v>
      </c>
      <c r="DA197" s="27" t="s">
        <v>202</v>
      </c>
      <c r="DB197" s="27" t="s">
        <v>202</v>
      </c>
      <c r="DC197" s="27" t="s">
        <v>134</v>
      </c>
      <c r="DD197" s="27" t="s">
        <v>154</v>
      </c>
      <c r="DE197" s="27" t="s">
        <v>177</v>
      </c>
      <c r="DF197" s="27" t="s">
        <v>169</v>
      </c>
      <c r="DG197" s="27" t="s">
        <v>134</v>
      </c>
      <c r="DH197" s="27" t="s">
        <v>164</v>
      </c>
      <c r="DI197" s="27" t="s">
        <v>306</v>
      </c>
      <c r="DJ197" s="27" t="s">
        <v>205</v>
      </c>
      <c r="DK197" s="27" t="s">
        <v>134</v>
      </c>
      <c r="DL197" s="27" t="s">
        <v>164</v>
      </c>
      <c r="DM197" s="27" t="s">
        <v>204</v>
      </c>
      <c r="DN197" s="27" t="s">
        <v>202</v>
      </c>
      <c r="DO197" s="27" t="s">
        <v>134</v>
      </c>
      <c r="DP197" s="27" t="s">
        <v>174</v>
      </c>
      <c r="DQ197" s="27" t="s">
        <v>204</v>
      </c>
      <c r="DR197" s="27" t="s">
        <v>196</v>
      </c>
      <c r="DS197" s="27" t="s">
        <v>134</v>
      </c>
      <c r="DT197" s="27" t="s">
        <v>164</v>
      </c>
      <c r="DU197" s="27" t="s">
        <v>218</v>
      </c>
      <c r="DV197" s="27" t="s">
        <v>209</v>
      </c>
      <c r="DW197" s="27" t="s">
        <v>140</v>
      </c>
      <c r="DX197" s="27" t="s">
        <v>155</v>
      </c>
      <c r="DY197" s="27" t="s">
        <v>147</v>
      </c>
      <c r="DZ197" s="27" t="n">
        <f aca="false">DY197+DV197+DR197+DN197+DJ197+DF197+DB197</f>
        <v>601</v>
      </c>
      <c r="EA197" s="28" t="n">
        <f aca="false">DZ197/7</f>
        <v>85.8571428571429</v>
      </c>
      <c r="EB197" s="27" t="n">
        <f aca="false">RANK(EA197,$EA$2:$EA$881,0)</f>
        <v>159</v>
      </c>
      <c r="EC197" s="29" t="n">
        <f aca="false">DZ197+CQ197+CP197+AZ197</f>
        <v>2597</v>
      </c>
      <c r="ED197" s="30" t="n">
        <f aca="false">(EA197+CV197+BB197)/3</f>
        <v>83.4666666666667</v>
      </c>
      <c r="EE197" s="51" t="n">
        <f aca="false">ROUND(BE197,3)</f>
        <v>84.967</v>
      </c>
      <c r="EF197" s="51" t="n">
        <f aca="false">ROUND(CR197,3)</f>
        <v>92</v>
      </c>
      <c r="EG197" s="51" t="n">
        <f aca="false">ROUND(CS197,3)</f>
        <v>83.286</v>
      </c>
      <c r="EH197" s="51" t="n">
        <f aca="false">ROUND(EA197,3)</f>
        <v>85.857</v>
      </c>
      <c r="EI197" s="51" t="n">
        <f aca="false">ROUND(ED197,3)</f>
        <v>83.467</v>
      </c>
      <c r="EJ197" s="51" t="n">
        <f aca="false">ROUND(CV197,3)</f>
        <v>87.643</v>
      </c>
      <c r="EK197" s="0" t="n">
        <f aca="false">RANK(EI197,$EI$2:$EI$881,0)</f>
        <v>196</v>
      </c>
    </row>
    <row r="198" customFormat="false" ht="17.45" hidden="false" customHeight="false" outlineLevel="0" collapsed="false">
      <c r="A198" s="4" t="n">
        <v>8595</v>
      </c>
      <c r="B198" s="4" t="n">
        <v>479</v>
      </c>
      <c r="C198" s="27" t="s">
        <v>760</v>
      </c>
      <c r="D198" s="31" t="n">
        <v>488</v>
      </c>
      <c r="E198" s="16" t="n">
        <v>230906231</v>
      </c>
      <c r="F198" s="56" t="s">
        <v>761</v>
      </c>
      <c r="G198" s="22" t="s">
        <v>762</v>
      </c>
      <c r="H198" s="22" t="s">
        <v>326</v>
      </c>
      <c r="I198" s="57"/>
      <c r="J198" s="16" t="n">
        <v>97</v>
      </c>
      <c r="K198" s="16" t="n">
        <v>69</v>
      </c>
      <c r="L198" s="34" t="n">
        <f aca="false">(K198*70)/100</f>
        <v>48.3</v>
      </c>
      <c r="M198" s="34" t="n">
        <f aca="false">ROUNDUP(L198,0)</f>
        <v>49</v>
      </c>
      <c r="N198" s="16" t="n">
        <v>17</v>
      </c>
      <c r="O198" s="34" t="n">
        <f aca="false">N198+L198</f>
        <v>65.3</v>
      </c>
      <c r="P198" s="34" t="n">
        <f aca="false">N198+M198</f>
        <v>66</v>
      </c>
      <c r="Q198" s="16" t="n">
        <v>76</v>
      </c>
      <c r="R198" s="16" t="n">
        <v>66</v>
      </c>
      <c r="S198" s="34" t="n">
        <f aca="false">(R198*70)/100</f>
        <v>46.2</v>
      </c>
      <c r="T198" s="34" t="n">
        <f aca="false">ROUNDUP(S198,0)</f>
        <v>47</v>
      </c>
      <c r="U198" s="16" t="n">
        <v>26</v>
      </c>
      <c r="V198" s="34" t="n">
        <f aca="false">U198+S198</f>
        <v>72.2</v>
      </c>
      <c r="W198" s="34" t="n">
        <f aca="false">U198+T198</f>
        <v>73</v>
      </c>
      <c r="X198" s="16" t="n">
        <v>74</v>
      </c>
      <c r="Y198" s="34" t="n">
        <f aca="false">(X198*70)/100</f>
        <v>51.8</v>
      </c>
      <c r="Z198" s="34" t="n">
        <f aca="false">ROUNDUP(Y198,0)</f>
        <v>52</v>
      </c>
      <c r="AA198" s="16" t="n">
        <v>25</v>
      </c>
      <c r="AB198" s="34" t="n">
        <f aca="false">AA198+Y198</f>
        <v>76.8</v>
      </c>
      <c r="AC198" s="34" t="n">
        <f aca="false">AA198+Z198</f>
        <v>77</v>
      </c>
      <c r="AD198" s="32" t="n">
        <f aca="false">X198+R198+Q198+K198+J198</f>
        <v>382</v>
      </c>
      <c r="AE198" s="16" t="n">
        <f aca="false">AD198/5</f>
        <v>76.4</v>
      </c>
      <c r="AF198" s="16" t="n">
        <v>80</v>
      </c>
      <c r="AG198" s="16" t="n">
        <v>94</v>
      </c>
      <c r="AH198" s="16" t="n">
        <v>94</v>
      </c>
      <c r="AI198" s="16" t="n">
        <v>88</v>
      </c>
      <c r="AJ198" s="16" t="n">
        <f aca="false">(AI198*70)/100</f>
        <v>61.6</v>
      </c>
      <c r="AK198" s="35" t="n">
        <f aca="false">ROUNDUP(AJ198,0)</f>
        <v>62</v>
      </c>
      <c r="AL198" s="16" t="n">
        <v>21</v>
      </c>
      <c r="AM198" s="16" t="n">
        <f aca="false">AL198+AJ198</f>
        <v>82.6</v>
      </c>
      <c r="AN198" s="16" t="n">
        <f aca="false">AL198+AK198</f>
        <v>83</v>
      </c>
      <c r="AO198" s="16" t="n">
        <v>83</v>
      </c>
      <c r="AP198" s="36" t="n">
        <f aca="false">(AO198*70)/100</f>
        <v>58.1</v>
      </c>
      <c r="AQ198" s="37" t="n">
        <f aca="false">ROUNDUP(AP198,0)</f>
        <v>59</v>
      </c>
      <c r="AR198" s="16" t="n">
        <v>29</v>
      </c>
      <c r="AS198" s="16" t="n">
        <f aca="false">AR198+AP198</f>
        <v>87.1</v>
      </c>
      <c r="AT198" s="16" t="n">
        <f aca="false">AR198+AQ198</f>
        <v>88</v>
      </c>
      <c r="AU198" s="16" t="n">
        <f aca="false">AO198+AF198+AI198+AH198+AG198</f>
        <v>439</v>
      </c>
      <c r="AV198" s="16" t="n">
        <f aca="false">(AO198+AF198+AI198+AH198+AG198)/5</f>
        <v>87.8</v>
      </c>
      <c r="AW198" s="36" t="n">
        <f aca="false">(AO198+AF198+AI198+AH198+AG198+X198+R198+Q198+K198+J198)</f>
        <v>821</v>
      </c>
      <c r="AX198" s="16" t="n">
        <f aca="false">AW198/10</f>
        <v>82.1</v>
      </c>
      <c r="AY198" s="16" t="n">
        <f aca="false">AS198+AF198+AM198+AH198+AG198+AB198+V198+Q198+O198+J198</f>
        <v>825</v>
      </c>
      <c r="AZ198" s="16" t="n">
        <f aca="false">AT198+AF198+AN198+AH198+AG198+AC198+W198+Q198+P198+J198</f>
        <v>828</v>
      </c>
      <c r="BA198" s="16" t="n">
        <f aca="false">AY198/10</f>
        <v>82.5</v>
      </c>
      <c r="BB198" s="16" t="n">
        <f aca="false">AZ198/10</f>
        <v>82.8</v>
      </c>
      <c r="BC198" s="16" t="n">
        <v>2336</v>
      </c>
      <c r="BD198" s="16" t="n">
        <f aca="false">RANK(AX198,$AX$2:$AX$881,0)</f>
        <v>161</v>
      </c>
      <c r="BE198" s="54" t="n">
        <f aca="false">((BC198*100)/2400)*0.4+(AX198*0.6)</f>
        <v>88.1933333333333</v>
      </c>
      <c r="BF198" s="16" t="n">
        <f aca="false">RANK(BE198,$BE$2:$BE$881,0)</f>
        <v>189</v>
      </c>
      <c r="BG198" s="39" t="n">
        <f aca="false">RANK(BB198,$BB$2:$BB$881,0)</f>
        <v>169</v>
      </c>
      <c r="BH198" s="39" t="n">
        <f aca="false">RANK(BC198,$BC$2:$BC$881,0)</f>
        <v>670</v>
      </c>
      <c r="BI198" s="22" t="s">
        <v>130</v>
      </c>
      <c r="BJ198" s="22" t="s">
        <v>129</v>
      </c>
      <c r="BK198" s="40" t="s">
        <v>131</v>
      </c>
      <c r="BL198" s="41" t="n">
        <v>20</v>
      </c>
      <c r="BM198" s="41" t="n">
        <v>61</v>
      </c>
      <c r="BN198" s="41" t="n">
        <v>81</v>
      </c>
      <c r="BO198" s="42" t="n">
        <v>23</v>
      </c>
      <c r="BP198" s="43" t="n">
        <v>65</v>
      </c>
      <c r="BQ198" s="44" t="n">
        <v>88</v>
      </c>
      <c r="BR198" s="42" t="n">
        <v>23</v>
      </c>
      <c r="BS198" s="45" t="n">
        <v>61</v>
      </c>
      <c r="BT198" s="45" t="n">
        <v>84</v>
      </c>
      <c r="BU198" s="46" t="n">
        <v>100</v>
      </c>
      <c r="BV198" s="47" t="n">
        <v>86</v>
      </c>
      <c r="BW198" s="42" t="n">
        <v>98</v>
      </c>
      <c r="BX198" s="48" t="n">
        <v>94</v>
      </c>
      <c r="BY198" s="32" t="n">
        <v>21</v>
      </c>
      <c r="BZ198" s="32" t="n">
        <v>44</v>
      </c>
      <c r="CA198" s="32" t="n">
        <v>65</v>
      </c>
      <c r="CB198" s="32" t="n">
        <v>16</v>
      </c>
      <c r="CC198" s="32" t="n">
        <v>32</v>
      </c>
      <c r="CD198" s="69" t="n">
        <v>48</v>
      </c>
      <c r="CE198" s="32" t="n">
        <v>26</v>
      </c>
      <c r="CF198" s="32" t="n">
        <v>50</v>
      </c>
      <c r="CG198" s="32" t="n">
        <v>76</v>
      </c>
      <c r="CH198" s="32" t="n">
        <v>95</v>
      </c>
      <c r="CI198" s="32" t="n">
        <v>99</v>
      </c>
      <c r="CJ198" s="49" t="n">
        <v>22</v>
      </c>
      <c r="CK198" s="49" t="n">
        <v>51</v>
      </c>
      <c r="CL198" s="49" t="n">
        <v>73</v>
      </c>
      <c r="CM198" s="49" t="n">
        <v>17</v>
      </c>
      <c r="CN198" s="49" t="n">
        <v>56</v>
      </c>
      <c r="CO198" s="49" t="n">
        <v>73</v>
      </c>
      <c r="CP198" s="25" t="n">
        <f aca="false">BX198+BW198+BV198+BU198+BT198+BQ198+BN198</f>
        <v>631</v>
      </c>
      <c r="CQ198" s="25" t="n">
        <f aca="false">CO198+CL198+CI198+CH198+CG198+CD198+CA198</f>
        <v>529</v>
      </c>
      <c r="CR198" s="26" t="n">
        <f aca="false">CP198/7</f>
        <v>90.1428571428571</v>
      </c>
      <c r="CS198" s="26" t="n">
        <f aca="false">CQ198/7</f>
        <v>75.5714285714286</v>
      </c>
      <c r="CT198" s="24" t="n">
        <f aca="false">RANK(CR198,$CR$2:$CR$881,0)</f>
        <v>172</v>
      </c>
      <c r="CU198" s="25" t="n">
        <f aca="false">RANK(CS198,$CS$2:$CS$881,0)</f>
        <v>412</v>
      </c>
      <c r="CV198" s="26" t="n">
        <f aca="false">(CS198+CR198)/2</f>
        <v>82.8571428571429</v>
      </c>
      <c r="CW198" s="25" t="n">
        <f aca="false">RANK(CV198,$CV$2:$CV$881,0)</f>
        <v>303</v>
      </c>
      <c r="CX198" s="50" t="n">
        <f aca="false">(CV198+BB198)/2</f>
        <v>82.8285714285714</v>
      </c>
      <c r="CY198" s="50" t="n">
        <v>217</v>
      </c>
      <c r="CZ198" s="27" t="s">
        <v>132</v>
      </c>
      <c r="DA198" s="27" t="s">
        <v>169</v>
      </c>
      <c r="DB198" s="27" t="s">
        <v>169</v>
      </c>
      <c r="DC198" s="27" t="s">
        <v>134</v>
      </c>
      <c r="DD198" s="27" t="s">
        <v>135</v>
      </c>
      <c r="DE198" s="27" t="s">
        <v>203</v>
      </c>
      <c r="DF198" s="27" t="s">
        <v>178</v>
      </c>
      <c r="DG198" s="27" t="s">
        <v>134</v>
      </c>
      <c r="DH198" s="27" t="s">
        <v>135</v>
      </c>
      <c r="DI198" s="27" t="s">
        <v>177</v>
      </c>
      <c r="DJ198" s="27" t="s">
        <v>175</v>
      </c>
      <c r="DK198" s="27" t="s">
        <v>134</v>
      </c>
      <c r="DL198" s="27" t="s">
        <v>164</v>
      </c>
      <c r="DM198" s="27" t="s">
        <v>183</v>
      </c>
      <c r="DN198" s="27" t="s">
        <v>175</v>
      </c>
      <c r="DO198" s="27" t="s">
        <v>134</v>
      </c>
      <c r="DP198" s="27" t="s">
        <v>191</v>
      </c>
      <c r="DQ198" s="27" t="s">
        <v>220</v>
      </c>
      <c r="DR198" s="27" t="s">
        <v>443</v>
      </c>
      <c r="DS198" s="27" t="s">
        <v>134</v>
      </c>
      <c r="DT198" s="27" t="s">
        <v>164</v>
      </c>
      <c r="DU198" s="27" t="s">
        <v>306</v>
      </c>
      <c r="DV198" s="27" t="s">
        <v>205</v>
      </c>
      <c r="DW198" s="27" t="s">
        <v>164</v>
      </c>
      <c r="DX198" s="27" t="s">
        <v>143</v>
      </c>
      <c r="DY198" s="27" t="s">
        <v>139</v>
      </c>
      <c r="DZ198" s="27" t="n">
        <f aca="false">DY198+DV198+DR198+DN198+DJ198+DF198+DB198</f>
        <v>593</v>
      </c>
      <c r="EA198" s="28" t="n">
        <f aca="false">DZ198/7</f>
        <v>84.7142857142857</v>
      </c>
      <c r="EB198" s="27" t="n">
        <f aca="false">RANK(EA198,$EA$2:$EA$881,0)</f>
        <v>195</v>
      </c>
      <c r="EC198" s="29" t="n">
        <f aca="false">DZ198+CQ198+CP198+AZ198</f>
        <v>2581</v>
      </c>
      <c r="ED198" s="30" t="n">
        <f aca="false">(EA198+CV198+BB198)/3</f>
        <v>83.4571428571429</v>
      </c>
      <c r="EE198" s="51" t="n">
        <f aca="false">ROUND(BE198,3)</f>
        <v>88.193</v>
      </c>
      <c r="EF198" s="51" t="n">
        <f aca="false">ROUND(CR198,3)</f>
        <v>90.143</v>
      </c>
      <c r="EG198" s="51" t="n">
        <f aca="false">ROUND(CS198,3)</f>
        <v>75.571</v>
      </c>
      <c r="EH198" s="51" t="n">
        <f aca="false">ROUND(EA198,3)</f>
        <v>84.714</v>
      </c>
      <c r="EI198" s="51" t="n">
        <f aca="false">ROUND(ED198,3)</f>
        <v>83.457</v>
      </c>
      <c r="EJ198" s="51" t="n">
        <f aca="false">ROUND(CV198,3)</f>
        <v>82.857</v>
      </c>
      <c r="EK198" s="0" t="n">
        <f aca="false">RANK(EI198,$EI$2:$EI$881,0)</f>
        <v>197</v>
      </c>
    </row>
    <row r="199" customFormat="false" ht="15" hidden="false" customHeight="false" outlineLevel="0" collapsed="false">
      <c r="A199" s="4" t="n">
        <v>9072</v>
      </c>
      <c r="B199" s="4" t="n">
        <v>72</v>
      </c>
      <c r="C199" s="27" t="s">
        <v>763</v>
      </c>
      <c r="D199" s="52" t="n">
        <v>74</v>
      </c>
      <c r="E199" s="16" t="n">
        <v>230243591</v>
      </c>
      <c r="F199" s="56" t="s">
        <v>764</v>
      </c>
      <c r="G199" s="22" t="s">
        <v>765</v>
      </c>
      <c r="H199" s="22" t="s">
        <v>326</v>
      </c>
      <c r="I199" s="57"/>
      <c r="J199" s="16" t="n">
        <v>84</v>
      </c>
      <c r="K199" s="16" t="n">
        <v>90</v>
      </c>
      <c r="L199" s="34" t="n">
        <f aca="false">(K199*70)/100</f>
        <v>63</v>
      </c>
      <c r="M199" s="34" t="n">
        <f aca="false">ROUNDUP(L199,0)</f>
        <v>63</v>
      </c>
      <c r="N199" s="16" t="n">
        <v>28</v>
      </c>
      <c r="O199" s="34" t="n">
        <f aca="false">N199+L199</f>
        <v>91</v>
      </c>
      <c r="P199" s="34" t="n">
        <f aca="false">N199+M199</f>
        <v>91</v>
      </c>
      <c r="Q199" s="16" t="n">
        <v>81</v>
      </c>
      <c r="R199" s="16" t="n">
        <v>72</v>
      </c>
      <c r="S199" s="34" t="n">
        <f aca="false">(R199*70)/100</f>
        <v>50.4</v>
      </c>
      <c r="T199" s="34" t="n">
        <f aca="false">ROUNDUP(S199,0)</f>
        <v>51</v>
      </c>
      <c r="U199" s="16" t="n">
        <v>24</v>
      </c>
      <c r="V199" s="34" t="n">
        <f aca="false">U199+S199</f>
        <v>74.4</v>
      </c>
      <c r="W199" s="34" t="n">
        <f aca="false">U199+T199</f>
        <v>75</v>
      </c>
      <c r="X199" s="16" t="n">
        <v>77</v>
      </c>
      <c r="Y199" s="34" t="n">
        <f aca="false">(X199*70)/100</f>
        <v>53.9</v>
      </c>
      <c r="Z199" s="34" t="n">
        <f aca="false">ROUNDUP(Y199,0)</f>
        <v>54</v>
      </c>
      <c r="AA199" s="16" t="n">
        <v>27</v>
      </c>
      <c r="AB199" s="34" t="n">
        <f aca="false">AA199+Y199</f>
        <v>80.9</v>
      </c>
      <c r="AC199" s="34" t="n">
        <f aca="false">AA199+Z199</f>
        <v>81</v>
      </c>
      <c r="AD199" s="32" t="n">
        <f aca="false">X199+R199+Q199+K199+J199</f>
        <v>404</v>
      </c>
      <c r="AE199" s="16" t="n">
        <f aca="false">AD199/5</f>
        <v>80.8</v>
      </c>
      <c r="AF199" s="16" t="n">
        <v>68</v>
      </c>
      <c r="AG199" s="16" t="n">
        <v>89</v>
      </c>
      <c r="AH199" s="16" t="n">
        <v>90</v>
      </c>
      <c r="AI199" s="16" t="n">
        <v>87</v>
      </c>
      <c r="AJ199" s="16" t="n">
        <f aca="false">(AI199*70)/100</f>
        <v>60.9</v>
      </c>
      <c r="AK199" s="35" t="n">
        <f aca="false">ROUNDUP(AJ199,0)</f>
        <v>61</v>
      </c>
      <c r="AL199" s="16" t="n">
        <v>21</v>
      </c>
      <c r="AM199" s="16" t="n">
        <f aca="false">AL199+AJ199</f>
        <v>81.9</v>
      </c>
      <c r="AN199" s="16" t="n">
        <f aca="false">AL199+AK199</f>
        <v>82</v>
      </c>
      <c r="AO199" s="16" t="n">
        <v>80</v>
      </c>
      <c r="AP199" s="36" t="n">
        <f aca="false">(AO199*70)/100</f>
        <v>56</v>
      </c>
      <c r="AQ199" s="37" t="n">
        <f aca="false">ROUNDUP(AP199,0)</f>
        <v>56</v>
      </c>
      <c r="AR199" s="16" t="n">
        <v>20</v>
      </c>
      <c r="AS199" s="16" t="n">
        <f aca="false">AR199+AP199</f>
        <v>76</v>
      </c>
      <c r="AT199" s="16" t="n">
        <f aca="false">AR199+AQ199</f>
        <v>76</v>
      </c>
      <c r="AU199" s="16" t="n">
        <f aca="false">AO199+AF199+AI199+AH199+AG199</f>
        <v>414</v>
      </c>
      <c r="AV199" s="16" t="n">
        <f aca="false">(AO199+AF199+AI199+AH199+AG199)/5</f>
        <v>82.8</v>
      </c>
      <c r="AW199" s="36" t="n">
        <f aca="false">(AO199+AF199+AI199+AH199+AG199+X199+R199+Q199+K199+J199)</f>
        <v>818</v>
      </c>
      <c r="AX199" s="16" t="n">
        <f aca="false">AW199/10</f>
        <v>81.8</v>
      </c>
      <c r="AY199" s="16" t="n">
        <f aca="false">AS199+AF199+AM199+AH199+AG199+AB199+V199+Q199+O199+J199</f>
        <v>816.2</v>
      </c>
      <c r="AZ199" s="16" t="n">
        <f aca="false">AT199+AF199+AN199+AH199+AG199+AC199+W199+Q199+P199+J199</f>
        <v>817</v>
      </c>
      <c r="BA199" s="16" t="n">
        <f aca="false">AY199/10</f>
        <v>81.62</v>
      </c>
      <c r="BB199" s="16" t="n">
        <f aca="false">AZ199/10</f>
        <v>81.7</v>
      </c>
      <c r="BC199" s="16" t="n">
        <v>2346</v>
      </c>
      <c r="BD199" s="16" t="n">
        <f aca="false">RANK(AX199,$AX$2:$AX$881,0)</f>
        <v>171</v>
      </c>
      <c r="BE199" s="54" t="n">
        <f aca="false">((BC199*100)/2400)*0.4+(AX199*0.6)</f>
        <v>88.18</v>
      </c>
      <c r="BF199" s="16" t="n">
        <f aca="false">RANK(BE199,$BE$2:$BE$881,0)</f>
        <v>191</v>
      </c>
      <c r="BG199" s="39" t="n">
        <f aca="false">RANK(BB199,$BB$2:$BB$881,0)</f>
        <v>229</v>
      </c>
      <c r="BH199" s="39" t="n">
        <f aca="false">RANK(BC199,$BC$2:$BC$881,0)</f>
        <v>571</v>
      </c>
      <c r="BI199" s="22" t="s">
        <v>130</v>
      </c>
      <c r="BJ199" s="22" t="s">
        <v>129</v>
      </c>
      <c r="BK199" s="40" t="s">
        <v>131</v>
      </c>
      <c r="BL199" s="41" t="n">
        <v>23</v>
      </c>
      <c r="BM199" s="41" t="n">
        <v>56</v>
      </c>
      <c r="BN199" s="41" t="n">
        <v>79</v>
      </c>
      <c r="BO199" s="42" t="n">
        <v>22</v>
      </c>
      <c r="BP199" s="43" t="n">
        <v>62</v>
      </c>
      <c r="BQ199" s="44" t="n">
        <v>84</v>
      </c>
      <c r="BR199" s="42" t="n">
        <v>25</v>
      </c>
      <c r="BS199" s="45" t="n">
        <v>62</v>
      </c>
      <c r="BT199" s="45" t="n">
        <v>87</v>
      </c>
      <c r="BU199" s="46" t="n">
        <v>100</v>
      </c>
      <c r="BV199" s="47" t="n">
        <v>88</v>
      </c>
      <c r="BW199" s="42" t="n">
        <v>98</v>
      </c>
      <c r="BX199" s="48" t="n">
        <v>94</v>
      </c>
      <c r="BY199" s="32" t="n">
        <v>27</v>
      </c>
      <c r="BZ199" s="32" t="n">
        <v>51</v>
      </c>
      <c r="CA199" s="32" t="n">
        <v>78</v>
      </c>
      <c r="CB199" s="32" t="n">
        <v>24</v>
      </c>
      <c r="CC199" s="32" t="n">
        <v>44</v>
      </c>
      <c r="CD199" s="32" t="n">
        <v>68</v>
      </c>
      <c r="CE199" s="32" t="n">
        <v>26</v>
      </c>
      <c r="CF199" s="32" t="n">
        <v>54</v>
      </c>
      <c r="CG199" s="32" t="n">
        <v>80</v>
      </c>
      <c r="CH199" s="32" t="n">
        <v>98</v>
      </c>
      <c r="CI199" s="32" t="n">
        <v>99</v>
      </c>
      <c r="CJ199" s="49" t="n">
        <v>23</v>
      </c>
      <c r="CK199" s="49" t="n">
        <v>48</v>
      </c>
      <c r="CL199" s="49" t="n">
        <v>71</v>
      </c>
      <c r="CM199" s="49" t="n">
        <v>27</v>
      </c>
      <c r="CN199" s="49" t="n">
        <v>44</v>
      </c>
      <c r="CO199" s="49" t="n">
        <v>71</v>
      </c>
      <c r="CP199" s="25" t="n">
        <f aca="false">BX199+BW199+BV199+BU199+BT199+BQ199+BN199</f>
        <v>630</v>
      </c>
      <c r="CQ199" s="25" t="n">
        <f aca="false">CO199+CL199+CI199+CH199+CG199+CD199+CA199</f>
        <v>565</v>
      </c>
      <c r="CR199" s="26" t="n">
        <f aca="false">CP199/7</f>
        <v>90</v>
      </c>
      <c r="CS199" s="26" t="n">
        <f aca="false">CQ199/7</f>
        <v>80.7142857142857</v>
      </c>
      <c r="CT199" s="24" t="n">
        <f aca="false">RANK(CR199,$CR$2:$CR$881,0)</f>
        <v>182</v>
      </c>
      <c r="CU199" s="25" t="n">
        <f aca="false">RANK(CS199,$CS$2:$CS$881,0)</f>
        <v>233</v>
      </c>
      <c r="CV199" s="26" t="n">
        <f aca="false">(CS199+CR199)/2</f>
        <v>85.3571428571429</v>
      </c>
      <c r="CW199" s="25" t="n">
        <f aca="false">RANK(CV199,$CV$2:$CV$881,0)</f>
        <v>194</v>
      </c>
      <c r="CX199" s="50" t="n">
        <f aca="false">(CV199+BB199)/2</f>
        <v>83.5285714285714</v>
      </c>
      <c r="CY199" s="50" t="n">
        <v>187</v>
      </c>
      <c r="CZ199" s="27" t="s">
        <v>132</v>
      </c>
      <c r="DA199" s="27" t="s">
        <v>133</v>
      </c>
      <c r="DB199" s="27" t="s">
        <v>133</v>
      </c>
      <c r="DC199" s="27" t="s">
        <v>134</v>
      </c>
      <c r="DD199" s="27" t="s">
        <v>135</v>
      </c>
      <c r="DE199" s="27" t="s">
        <v>306</v>
      </c>
      <c r="DF199" s="27" t="s">
        <v>219</v>
      </c>
      <c r="DG199" s="27" t="s">
        <v>134</v>
      </c>
      <c r="DH199" s="27" t="s">
        <v>140</v>
      </c>
      <c r="DI199" s="27" t="s">
        <v>203</v>
      </c>
      <c r="DJ199" s="27" t="s">
        <v>170</v>
      </c>
      <c r="DK199" s="27" t="s">
        <v>134</v>
      </c>
      <c r="DL199" s="27" t="s">
        <v>135</v>
      </c>
      <c r="DM199" s="27" t="s">
        <v>177</v>
      </c>
      <c r="DN199" s="27" t="s">
        <v>175</v>
      </c>
      <c r="DO199" s="27" t="s">
        <v>134</v>
      </c>
      <c r="DP199" s="27" t="s">
        <v>264</v>
      </c>
      <c r="DQ199" s="27" t="s">
        <v>204</v>
      </c>
      <c r="DR199" s="27" t="s">
        <v>305</v>
      </c>
      <c r="DS199" s="27" t="s">
        <v>134</v>
      </c>
      <c r="DT199" s="27" t="s">
        <v>164</v>
      </c>
      <c r="DU199" s="27" t="s">
        <v>399</v>
      </c>
      <c r="DV199" s="27" t="s">
        <v>441</v>
      </c>
      <c r="DW199" s="27" t="s">
        <v>264</v>
      </c>
      <c r="DX199" s="27" t="s">
        <v>141</v>
      </c>
      <c r="DY199" s="27" t="s">
        <v>202</v>
      </c>
      <c r="DZ199" s="27" t="n">
        <f aca="false">DY199+DV199+DR199+DN199+DJ199+DF199+DB199</f>
        <v>583</v>
      </c>
      <c r="EA199" s="28" t="n">
        <f aca="false">DZ199/7</f>
        <v>83.2857142857143</v>
      </c>
      <c r="EB199" s="27" t="n">
        <f aca="false">RANK(EA199,$EA$2:$EA$881,0)</f>
        <v>262</v>
      </c>
      <c r="EC199" s="29" t="n">
        <f aca="false">DZ199+CQ199+CP199+AZ199</f>
        <v>2595</v>
      </c>
      <c r="ED199" s="30" t="n">
        <f aca="false">(EA199+CV199+BB199)/3</f>
        <v>83.4476190476191</v>
      </c>
      <c r="EE199" s="51" t="n">
        <f aca="false">ROUND(BE199,3)</f>
        <v>88.18</v>
      </c>
      <c r="EF199" s="51" t="n">
        <f aca="false">ROUND(CR199,3)</f>
        <v>90</v>
      </c>
      <c r="EG199" s="51" t="n">
        <f aca="false">ROUND(CS199,3)</f>
        <v>80.714</v>
      </c>
      <c r="EH199" s="51" t="n">
        <f aca="false">ROUND(EA199,3)</f>
        <v>83.286</v>
      </c>
      <c r="EI199" s="51" t="n">
        <f aca="false">ROUND(ED199,3)</f>
        <v>83.448</v>
      </c>
      <c r="EJ199" s="51" t="n">
        <f aca="false">ROUND(CV199,3)</f>
        <v>85.357</v>
      </c>
      <c r="EK199" s="0" t="n">
        <f aca="false">RANK(EI199,$EI$2:$EI$881,0)</f>
        <v>198</v>
      </c>
    </row>
    <row r="200" customFormat="false" ht="15" hidden="false" customHeight="false" outlineLevel="0" collapsed="false">
      <c r="A200" s="4" t="n">
        <v>9042</v>
      </c>
      <c r="B200" s="4" t="n">
        <v>741</v>
      </c>
      <c r="C200" s="27" t="s">
        <v>766</v>
      </c>
      <c r="D200" s="31" t="n">
        <v>756</v>
      </c>
      <c r="E200" s="32" t="n">
        <v>230325005</v>
      </c>
      <c r="F200" s="8" t="s">
        <v>767</v>
      </c>
      <c r="G200" s="22" t="s">
        <v>322</v>
      </c>
      <c r="H200" s="22" t="s">
        <v>129</v>
      </c>
      <c r="I200" s="33" t="n">
        <v>2005</v>
      </c>
      <c r="J200" s="32" t="n">
        <v>67</v>
      </c>
      <c r="K200" s="32" t="n">
        <v>93</v>
      </c>
      <c r="L200" s="34" t="n">
        <f aca="false">(K200*70)/100</f>
        <v>65.1</v>
      </c>
      <c r="M200" s="34" t="n">
        <f aca="false">ROUNDUP(L200,0)</f>
        <v>66</v>
      </c>
      <c r="N200" s="32" t="n">
        <v>26</v>
      </c>
      <c r="O200" s="34" t="n">
        <f aca="false">N200+L200</f>
        <v>91.1</v>
      </c>
      <c r="P200" s="34" t="n">
        <f aca="false">N200+M200</f>
        <v>92</v>
      </c>
      <c r="Q200" s="32" t="n">
        <v>86</v>
      </c>
      <c r="R200" s="32" t="n">
        <v>80</v>
      </c>
      <c r="S200" s="34" t="n">
        <f aca="false">(R200*70)/100</f>
        <v>56</v>
      </c>
      <c r="T200" s="34" t="n">
        <f aca="false">ROUNDUP(S200,0)</f>
        <v>56</v>
      </c>
      <c r="U200" s="32" t="n">
        <v>23</v>
      </c>
      <c r="V200" s="34" t="n">
        <f aca="false">U200+S200</f>
        <v>79</v>
      </c>
      <c r="W200" s="34" t="n">
        <f aca="false">U200+T200</f>
        <v>79</v>
      </c>
      <c r="X200" s="32" t="n">
        <v>75</v>
      </c>
      <c r="Y200" s="34" t="n">
        <f aca="false">(X200*70)/100</f>
        <v>52.5</v>
      </c>
      <c r="Z200" s="34" t="n">
        <f aca="false">ROUNDUP(Y200,0)</f>
        <v>53</v>
      </c>
      <c r="AA200" s="32" t="n">
        <v>24</v>
      </c>
      <c r="AB200" s="34" t="n">
        <f aca="false">AA200+Y200</f>
        <v>76.5</v>
      </c>
      <c r="AC200" s="34" t="n">
        <f aca="false">AA200+Z200</f>
        <v>77</v>
      </c>
      <c r="AD200" s="32" t="n">
        <f aca="false">X200+R200+Q200+K200+J200</f>
        <v>401</v>
      </c>
      <c r="AE200" s="16" t="n">
        <f aca="false">AD200/5</f>
        <v>80.2</v>
      </c>
      <c r="AF200" s="16" t="n">
        <v>78</v>
      </c>
      <c r="AG200" s="16" t="n">
        <v>76</v>
      </c>
      <c r="AH200" s="16" t="n">
        <v>93</v>
      </c>
      <c r="AI200" s="16" t="n">
        <v>93</v>
      </c>
      <c r="AJ200" s="16" t="n">
        <f aca="false">(AI200*70)/100</f>
        <v>65.1</v>
      </c>
      <c r="AK200" s="35" t="n">
        <f aca="false">ROUNDUP(AJ200,0)</f>
        <v>66</v>
      </c>
      <c r="AL200" s="16" t="n">
        <v>25</v>
      </c>
      <c r="AM200" s="16" t="n">
        <f aca="false">AL200+AJ200</f>
        <v>90.1</v>
      </c>
      <c r="AN200" s="16" t="n">
        <f aca="false">AL200+AK200</f>
        <v>91</v>
      </c>
      <c r="AO200" s="16" t="n">
        <v>79</v>
      </c>
      <c r="AP200" s="36" t="n">
        <f aca="false">(AO200*70)/100</f>
        <v>55.3</v>
      </c>
      <c r="AQ200" s="37" t="n">
        <f aca="false">ROUNDUP(AP200,0)</f>
        <v>56</v>
      </c>
      <c r="AR200" s="16" t="n">
        <v>26</v>
      </c>
      <c r="AS200" s="16" t="n">
        <f aca="false">AR200+AP200</f>
        <v>81.3</v>
      </c>
      <c r="AT200" s="16" t="n">
        <f aca="false">AR200+AQ200</f>
        <v>82</v>
      </c>
      <c r="AU200" s="16" t="n">
        <f aca="false">AO200+AF200+AI200+AH200+AG200</f>
        <v>419</v>
      </c>
      <c r="AV200" s="16" t="n">
        <f aca="false">(AO200+AF200+AI200+AH200+AG200)/5</f>
        <v>83.8</v>
      </c>
      <c r="AW200" s="36" t="n">
        <f aca="false">(AO200+AF200+AI200+AH200+AG200+X200+R200+Q200+K200+J200)</f>
        <v>820</v>
      </c>
      <c r="AX200" s="16" t="n">
        <f aca="false">AW200/10</f>
        <v>82</v>
      </c>
      <c r="AY200" s="16" t="n">
        <f aca="false">AS200+AF200+AM200+AH200+AG200+AB200+V200+Q200+O200+J200</f>
        <v>818</v>
      </c>
      <c r="AZ200" s="16" t="n">
        <f aca="false">AT200+AF200+AN200+AH200+AG200+AC200+W200+Q200+P200+J200</f>
        <v>821</v>
      </c>
      <c r="BA200" s="16" t="n">
        <f aca="false">AY200/10</f>
        <v>81.8</v>
      </c>
      <c r="BB200" s="16" t="n">
        <f aca="false">AZ200/10</f>
        <v>82.1</v>
      </c>
      <c r="BC200" s="16" t="n">
        <v>2393</v>
      </c>
      <c r="BD200" s="16" t="n">
        <f aca="false">RANK(AX200,$AX$2:$AX$881,0)</f>
        <v>165</v>
      </c>
      <c r="BE200" s="54" t="n">
        <f aca="false">((BC200*100)/2400)*0.4+(AX200*0.6)</f>
        <v>89.0833333333333</v>
      </c>
      <c r="BF200" s="16" t="n">
        <f aca="false">RANK(BE200,$BE$2:$BE$881,0)</f>
        <v>135</v>
      </c>
      <c r="BG200" s="39" t="n">
        <f aca="false">RANK(BB200,$BB$2:$BB$881,0)</f>
        <v>206</v>
      </c>
      <c r="BH200" s="39" t="n">
        <f aca="false">RANK(BC200,$BC$2:$BC$881,0)</f>
        <v>21</v>
      </c>
      <c r="BI200" s="22" t="s">
        <v>130</v>
      </c>
      <c r="BJ200" s="22" t="s">
        <v>129</v>
      </c>
      <c r="BK200" s="40" t="s">
        <v>131</v>
      </c>
      <c r="BL200" s="41" t="n">
        <v>20</v>
      </c>
      <c r="BM200" s="41" t="n">
        <v>52</v>
      </c>
      <c r="BN200" s="41" t="n">
        <v>72</v>
      </c>
      <c r="BO200" s="42" t="n">
        <v>20</v>
      </c>
      <c r="BP200" s="43" t="n">
        <v>62</v>
      </c>
      <c r="BQ200" s="44" t="n">
        <v>82</v>
      </c>
      <c r="BR200" s="42" t="n">
        <v>22</v>
      </c>
      <c r="BS200" s="45" t="n">
        <v>59</v>
      </c>
      <c r="BT200" s="45" t="n">
        <v>81</v>
      </c>
      <c r="BU200" s="46" t="n">
        <v>100</v>
      </c>
      <c r="BV200" s="47" t="n">
        <v>82</v>
      </c>
      <c r="BW200" s="42" t="n">
        <v>96</v>
      </c>
      <c r="BX200" s="48" t="n">
        <v>92</v>
      </c>
      <c r="BY200" s="32" t="n">
        <v>27</v>
      </c>
      <c r="BZ200" s="32" t="n">
        <v>55</v>
      </c>
      <c r="CA200" s="32" t="n">
        <v>82</v>
      </c>
      <c r="CB200" s="32" t="n">
        <v>22</v>
      </c>
      <c r="CC200" s="32" t="n">
        <v>46</v>
      </c>
      <c r="CD200" s="32" t="n">
        <v>68</v>
      </c>
      <c r="CE200" s="32" t="n">
        <v>27</v>
      </c>
      <c r="CF200" s="32" t="n">
        <v>53</v>
      </c>
      <c r="CG200" s="32" t="n">
        <v>80</v>
      </c>
      <c r="CH200" s="32" t="n">
        <v>100</v>
      </c>
      <c r="CI200" s="32" t="n">
        <v>96</v>
      </c>
      <c r="CJ200" s="49" t="n">
        <v>23</v>
      </c>
      <c r="CK200" s="49" t="n">
        <v>58</v>
      </c>
      <c r="CL200" s="49" t="n">
        <v>81</v>
      </c>
      <c r="CM200" s="49" t="n">
        <v>20</v>
      </c>
      <c r="CN200" s="49" t="n">
        <v>57</v>
      </c>
      <c r="CO200" s="49" t="n">
        <v>77</v>
      </c>
      <c r="CP200" s="25" t="n">
        <f aca="false">BX200+BW200+BV200+BU200+BT200+BQ200+BN200</f>
        <v>605</v>
      </c>
      <c r="CQ200" s="25" t="n">
        <f aca="false">CO200+CL200+CI200+CH200+CG200+CD200+CA200</f>
        <v>584</v>
      </c>
      <c r="CR200" s="26" t="n">
        <f aca="false">CP200/7</f>
        <v>86.4285714285714</v>
      </c>
      <c r="CS200" s="26" t="n">
        <f aca="false">CQ200/7</f>
        <v>83.4285714285714</v>
      </c>
      <c r="CT200" s="24" t="n">
        <f aca="false">RANK(CR200,$CR$2:$CR$881,0)</f>
        <v>377</v>
      </c>
      <c r="CU200" s="25" t="n">
        <f aca="false">RANK(CS200,$CS$2:$CS$881,0)</f>
        <v>143</v>
      </c>
      <c r="CV200" s="26" t="n">
        <f aca="false">(CS200+CR200)/2</f>
        <v>84.9285714285714</v>
      </c>
      <c r="CW200" s="25" t="n">
        <f aca="false">RANK(CV200,$CV$2:$CV$881,0)</f>
        <v>216</v>
      </c>
      <c r="CX200" s="50" t="n">
        <f aca="false">(CV200+BB200)/2</f>
        <v>83.5142857142857</v>
      </c>
      <c r="CY200" s="50" t="n">
        <v>190</v>
      </c>
      <c r="CZ200" s="27" t="s">
        <v>132</v>
      </c>
      <c r="DA200" s="27" t="s">
        <v>162</v>
      </c>
      <c r="DB200" s="27" t="s">
        <v>162</v>
      </c>
      <c r="DC200" s="27" t="s">
        <v>134</v>
      </c>
      <c r="DD200" s="27" t="s">
        <v>182</v>
      </c>
      <c r="DE200" s="27" t="s">
        <v>204</v>
      </c>
      <c r="DF200" s="27" t="s">
        <v>169</v>
      </c>
      <c r="DG200" s="27" t="s">
        <v>134</v>
      </c>
      <c r="DH200" s="27" t="s">
        <v>135</v>
      </c>
      <c r="DI200" s="27" t="s">
        <v>203</v>
      </c>
      <c r="DJ200" s="27" t="s">
        <v>178</v>
      </c>
      <c r="DK200" s="27" t="s">
        <v>134</v>
      </c>
      <c r="DL200" s="27" t="s">
        <v>182</v>
      </c>
      <c r="DM200" s="27" t="s">
        <v>218</v>
      </c>
      <c r="DN200" s="27" t="s">
        <v>196</v>
      </c>
      <c r="DO200" s="27" t="s">
        <v>134</v>
      </c>
      <c r="DP200" s="27" t="s">
        <v>174</v>
      </c>
      <c r="DQ200" s="27" t="s">
        <v>220</v>
      </c>
      <c r="DR200" s="27" t="s">
        <v>305</v>
      </c>
      <c r="DS200" s="27" t="s">
        <v>134</v>
      </c>
      <c r="DT200" s="27" t="s">
        <v>135</v>
      </c>
      <c r="DU200" s="27" t="s">
        <v>442</v>
      </c>
      <c r="DV200" s="27" t="s">
        <v>372</v>
      </c>
      <c r="DW200" s="27" t="s">
        <v>135</v>
      </c>
      <c r="DX200" s="27" t="s">
        <v>187</v>
      </c>
      <c r="DY200" s="27" t="s">
        <v>170</v>
      </c>
      <c r="DZ200" s="27" t="n">
        <f aca="false">DY200+DV200+DR200+DN200+DJ200+DF200+DB200</f>
        <v>583</v>
      </c>
      <c r="EA200" s="28" t="n">
        <f aca="false">DZ200/7</f>
        <v>83.2857142857143</v>
      </c>
      <c r="EB200" s="27" t="n">
        <f aca="false">RANK(EA200,$EA$2:$EA$881,0)</f>
        <v>262</v>
      </c>
      <c r="EC200" s="29" t="n">
        <f aca="false">DZ200+CQ200+CP200+AZ200</f>
        <v>2593</v>
      </c>
      <c r="ED200" s="30" t="n">
        <f aca="false">(EA200+CV200+BB200)/3</f>
        <v>83.4380952380952</v>
      </c>
      <c r="EE200" s="51" t="n">
        <f aca="false">ROUND(BE200,3)</f>
        <v>89.083</v>
      </c>
      <c r="EF200" s="51" t="n">
        <f aca="false">ROUND(CR200,3)</f>
        <v>86.429</v>
      </c>
      <c r="EG200" s="51" t="n">
        <f aca="false">ROUND(CS200,3)</f>
        <v>83.429</v>
      </c>
      <c r="EH200" s="51" t="n">
        <f aca="false">ROUND(EA200,3)</f>
        <v>83.286</v>
      </c>
      <c r="EI200" s="51" t="n">
        <f aca="false">ROUND(ED200,3)</f>
        <v>83.438</v>
      </c>
      <c r="EJ200" s="51" t="n">
        <f aca="false">ROUND(CV200,3)</f>
        <v>84.929</v>
      </c>
      <c r="EK200" s="0" t="n">
        <f aca="false">RANK(EI200,$EI$2:$EI$881,0)</f>
        <v>199</v>
      </c>
    </row>
    <row r="201" customFormat="false" ht="15" hidden="false" customHeight="false" outlineLevel="0" collapsed="false">
      <c r="A201" s="4" t="n">
        <v>8796</v>
      </c>
      <c r="B201" s="4" t="n">
        <v>635</v>
      </c>
      <c r="C201" s="27" t="s">
        <v>768</v>
      </c>
      <c r="D201" s="31" t="n">
        <v>643</v>
      </c>
      <c r="E201" s="32" t="n">
        <v>230319176</v>
      </c>
      <c r="F201" s="55" t="s">
        <v>769</v>
      </c>
      <c r="G201" s="22" t="s">
        <v>770</v>
      </c>
      <c r="H201" s="22" t="s">
        <v>129</v>
      </c>
      <c r="I201" s="33" t="n">
        <v>2005</v>
      </c>
      <c r="J201" s="32" t="n">
        <v>84</v>
      </c>
      <c r="K201" s="32" t="n">
        <v>86</v>
      </c>
      <c r="L201" s="34" t="n">
        <f aca="false">(K201*70)/100</f>
        <v>60.2</v>
      </c>
      <c r="M201" s="34" t="n">
        <f aca="false">ROUNDUP(L201,0)</f>
        <v>61</v>
      </c>
      <c r="N201" s="32" t="n">
        <v>24</v>
      </c>
      <c r="O201" s="34" t="n">
        <f aca="false">N201+L201</f>
        <v>84.2</v>
      </c>
      <c r="P201" s="34" t="n">
        <f aca="false">N201+M201</f>
        <v>85</v>
      </c>
      <c r="Q201" s="32" t="n">
        <v>74</v>
      </c>
      <c r="R201" s="32" t="n">
        <v>76</v>
      </c>
      <c r="S201" s="34" t="n">
        <f aca="false">(R201*70)/100</f>
        <v>53.2</v>
      </c>
      <c r="T201" s="34" t="n">
        <f aca="false">ROUNDUP(S201,0)</f>
        <v>54</v>
      </c>
      <c r="U201" s="32" t="n">
        <v>21</v>
      </c>
      <c r="V201" s="34" t="n">
        <f aca="false">U201+S201</f>
        <v>74.2</v>
      </c>
      <c r="W201" s="34" t="n">
        <f aca="false">U201+T201</f>
        <v>75</v>
      </c>
      <c r="X201" s="32" t="n">
        <v>72</v>
      </c>
      <c r="Y201" s="34" t="n">
        <f aca="false">(X201*70)/100</f>
        <v>50.4</v>
      </c>
      <c r="Z201" s="34" t="n">
        <f aca="false">ROUNDUP(Y201,0)</f>
        <v>51</v>
      </c>
      <c r="AA201" s="32" t="n">
        <v>24</v>
      </c>
      <c r="AB201" s="34" t="n">
        <f aca="false">AA201+Y201</f>
        <v>74.4</v>
      </c>
      <c r="AC201" s="34" t="n">
        <f aca="false">AA201+Z201</f>
        <v>75</v>
      </c>
      <c r="AD201" s="32" t="n">
        <f aca="false">X201+R201+Q201+K201+J201</f>
        <v>392</v>
      </c>
      <c r="AE201" s="16" t="n">
        <f aca="false">AD201/5</f>
        <v>78.4</v>
      </c>
      <c r="AF201" s="16" t="n">
        <v>79</v>
      </c>
      <c r="AG201" s="16" t="n">
        <v>96</v>
      </c>
      <c r="AH201" s="16" t="n">
        <v>94</v>
      </c>
      <c r="AI201" s="16" t="n">
        <v>93</v>
      </c>
      <c r="AJ201" s="16" t="n">
        <f aca="false">(AI201*70)/100</f>
        <v>65.1</v>
      </c>
      <c r="AK201" s="35" t="n">
        <f aca="false">ROUNDUP(AJ201,0)</f>
        <v>66</v>
      </c>
      <c r="AL201" s="16" t="n">
        <v>21</v>
      </c>
      <c r="AM201" s="16" t="n">
        <f aca="false">AL201+AJ201</f>
        <v>86.1</v>
      </c>
      <c r="AN201" s="16" t="n">
        <f aca="false">AL201+AK201</f>
        <v>87</v>
      </c>
      <c r="AO201" s="16" t="n">
        <v>88</v>
      </c>
      <c r="AP201" s="36" t="n">
        <f aca="false">(AO201*70)/100</f>
        <v>61.6</v>
      </c>
      <c r="AQ201" s="37" t="n">
        <f aca="false">ROUNDUP(AP201,0)</f>
        <v>62</v>
      </c>
      <c r="AR201" s="16" t="n">
        <v>25</v>
      </c>
      <c r="AS201" s="16" t="n">
        <f aca="false">AR201+AP201</f>
        <v>86.6</v>
      </c>
      <c r="AT201" s="16" t="n">
        <f aca="false">AR201+AQ201</f>
        <v>87</v>
      </c>
      <c r="AU201" s="16" t="n">
        <f aca="false">AO201+AF201+AI201+AH201+AG201</f>
        <v>450</v>
      </c>
      <c r="AV201" s="16" t="n">
        <f aca="false">(AO201+AF201+AI201+AH201+AG201)/5</f>
        <v>90</v>
      </c>
      <c r="AW201" s="36" t="n">
        <f aca="false">(AO201+AF201+AI201+AH201+AG201+X201+R201+Q201+K201+J201)</f>
        <v>842</v>
      </c>
      <c r="AX201" s="16" t="n">
        <f aca="false">AW201/10</f>
        <v>84.2</v>
      </c>
      <c r="AY201" s="16" t="n">
        <f aca="false">AS201+AF201+AM201+AH201+AG201+AB201+V201+Q201+O201+J201</f>
        <v>832.5</v>
      </c>
      <c r="AZ201" s="16" t="n">
        <f aca="false">AT201+AF201+AN201+AH201+AG201+AC201+W201+Q201+P201+J201</f>
        <v>836</v>
      </c>
      <c r="BA201" s="16" t="n">
        <f aca="false">AY201/10</f>
        <v>83.25</v>
      </c>
      <c r="BB201" s="16" t="n">
        <f aca="false">AZ201/10</f>
        <v>83.6</v>
      </c>
      <c r="BC201" s="16" t="n">
        <v>2375</v>
      </c>
      <c r="BD201" s="16" t="n">
        <f aca="false">RANK(AX201,$AX$2:$AX$881,0)</f>
        <v>104</v>
      </c>
      <c r="BE201" s="38" t="n">
        <f aca="false">((BC201*100)/2400)*0.4+(AX201*0.6)</f>
        <v>90.1033333333333</v>
      </c>
      <c r="BF201" s="16" t="n">
        <f aca="false">RANK(BE201,$BE$2:$BE$881,0)</f>
        <v>98</v>
      </c>
      <c r="BG201" s="39" t="n">
        <f aca="false">RANK(BB201,$BB$2:$BB$881,0)</f>
        <v>138</v>
      </c>
      <c r="BH201" s="39" t="n">
        <f aca="false">RANK(BC201,$BC$2:$BC$881,0)</f>
        <v>211</v>
      </c>
      <c r="BI201" s="22" t="s">
        <v>130</v>
      </c>
      <c r="BJ201" s="22" t="s">
        <v>129</v>
      </c>
      <c r="BK201" s="40" t="s">
        <v>131</v>
      </c>
      <c r="BL201" s="41" t="n">
        <v>17</v>
      </c>
      <c r="BM201" s="41" t="n">
        <v>55</v>
      </c>
      <c r="BN201" s="41" t="n">
        <v>72</v>
      </c>
      <c r="BO201" s="42" t="n">
        <v>24</v>
      </c>
      <c r="BP201" s="43" t="n">
        <v>63</v>
      </c>
      <c r="BQ201" s="44" t="n">
        <v>87</v>
      </c>
      <c r="BR201" s="42" t="n">
        <v>27</v>
      </c>
      <c r="BS201" s="45" t="n">
        <v>61</v>
      </c>
      <c r="BT201" s="45" t="n">
        <v>88</v>
      </c>
      <c r="BU201" s="46" t="n">
        <v>100</v>
      </c>
      <c r="BV201" s="47" t="n">
        <v>78</v>
      </c>
      <c r="BW201" s="42" t="n">
        <v>99</v>
      </c>
      <c r="BX201" s="48" t="n">
        <v>88</v>
      </c>
      <c r="BY201" s="32" t="n">
        <v>24</v>
      </c>
      <c r="BZ201" s="32" t="n">
        <v>55</v>
      </c>
      <c r="CA201" s="32" t="n">
        <v>79</v>
      </c>
      <c r="CB201" s="32" t="n">
        <v>20</v>
      </c>
      <c r="CC201" s="32" t="n">
        <v>47</v>
      </c>
      <c r="CD201" s="32" t="n">
        <v>67</v>
      </c>
      <c r="CE201" s="32" t="n">
        <v>25</v>
      </c>
      <c r="CF201" s="32" t="n">
        <v>60</v>
      </c>
      <c r="CG201" s="32" t="n">
        <v>85</v>
      </c>
      <c r="CH201" s="32" t="n">
        <v>96</v>
      </c>
      <c r="CI201" s="32" t="n">
        <v>99</v>
      </c>
      <c r="CJ201" s="49" t="n">
        <v>12</v>
      </c>
      <c r="CK201" s="49" t="n">
        <v>47</v>
      </c>
      <c r="CL201" s="76" t="n">
        <v>59</v>
      </c>
      <c r="CM201" s="49" t="n">
        <v>17</v>
      </c>
      <c r="CN201" s="49" t="n">
        <v>56</v>
      </c>
      <c r="CO201" s="49" t="n">
        <v>73</v>
      </c>
      <c r="CP201" s="25" t="n">
        <f aca="false">BX201+BW201+BV201+BU201+BT201+BQ201+BN201</f>
        <v>612</v>
      </c>
      <c r="CQ201" s="25" t="n">
        <f aca="false">CO201+CL201+CI201+CH201+CG201+CD201+CA201</f>
        <v>558</v>
      </c>
      <c r="CR201" s="26" t="n">
        <f aca="false">CP201/7</f>
        <v>87.4285714285714</v>
      </c>
      <c r="CS201" s="26" t="n">
        <f aca="false">CQ201/7</f>
        <v>79.7142857142857</v>
      </c>
      <c r="CT201" s="24" t="n">
        <f aca="false">RANK(CR201,$CR$2:$CR$881,0)</f>
        <v>340</v>
      </c>
      <c r="CU201" s="25" t="n">
        <f aca="false">RANK(CS201,$CS$2:$CS$881,0)</f>
        <v>275</v>
      </c>
      <c r="CV201" s="26" t="n">
        <f aca="false">(CS201+CR201)/2</f>
        <v>83.5714285714286</v>
      </c>
      <c r="CW201" s="25" t="n">
        <f aca="false">RANK(CV201,$CV$2:$CV$881,0)</f>
        <v>274</v>
      </c>
      <c r="CX201" s="50" t="n">
        <f aca="false">(CV201+BB201)/2</f>
        <v>83.5857142857143</v>
      </c>
      <c r="CY201" s="50" t="n">
        <v>186</v>
      </c>
      <c r="CZ201" s="27" t="s">
        <v>132</v>
      </c>
      <c r="DA201" s="27" t="s">
        <v>205</v>
      </c>
      <c r="DB201" s="27" t="s">
        <v>205</v>
      </c>
      <c r="DC201" s="27" t="s">
        <v>134</v>
      </c>
      <c r="DD201" s="27" t="s">
        <v>154</v>
      </c>
      <c r="DE201" s="27" t="s">
        <v>218</v>
      </c>
      <c r="DF201" s="27" t="s">
        <v>219</v>
      </c>
      <c r="DG201" s="27" t="s">
        <v>134</v>
      </c>
      <c r="DH201" s="27" t="s">
        <v>135</v>
      </c>
      <c r="DI201" s="27" t="s">
        <v>136</v>
      </c>
      <c r="DJ201" s="27" t="s">
        <v>133</v>
      </c>
      <c r="DK201" s="27" t="s">
        <v>134</v>
      </c>
      <c r="DL201" s="27" t="s">
        <v>160</v>
      </c>
      <c r="DM201" s="27" t="s">
        <v>412</v>
      </c>
      <c r="DN201" s="27" t="s">
        <v>272</v>
      </c>
      <c r="DO201" s="27" t="s">
        <v>134</v>
      </c>
      <c r="DP201" s="27" t="s">
        <v>154</v>
      </c>
      <c r="DQ201" s="27" t="s">
        <v>204</v>
      </c>
      <c r="DR201" s="27" t="s">
        <v>205</v>
      </c>
      <c r="DS201" s="27" t="s">
        <v>134</v>
      </c>
      <c r="DT201" s="27" t="s">
        <v>160</v>
      </c>
      <c r="DU201" s="27" t="s">
        <v>412</v>
      </c>
      <c r="DV201" s="27" t="s">
        <v>272</v>
      </c>
      <c r="DW201" s="27" t="s">
        <v>154</v>
      </c>
      <c r="DX201" s="27" t="s">
        <v>141</v>
      </c>
      <c r="DY201" s="27" t="s">
        <v>153</v>
      </c>
      <c r="DZ201" s="27" t="n">
        <f aca="false">DY201+DV201+DR201+DN201+DJ201+DF201+DB201</f>
        <v>580</v>
      </c>
      <c r="EA201" s="28" t="n">
        <f aca="false">DZ201/7</f>
        <v>82.8571428571429</v>
      </c>
      <c r="EB201" s="27" t="n">
        <f aca="false">RANK(EA201,$EA$2:$EA$881,0)</f>
        <v>275</v>
      </c>
      <c r="EC201" s="29" t="n">
        <f aca="false">DZ201+CQ201+CP201+AZ201</f>
        <v>2586</v>
      </c>
      <c r="ED201" s="30" t="n">
        <f aca="false">(EA201+CV201+BB201)/3</f>
        <v>83.3428571428571</v>
      </c>
      <c r="EE201" s="51" t="n">
        <f aca="false">ROUND(BE201,3)</f>
        <v>90.103</v>
      </c>
      <c r="EF201" s="51" t="n">
        <f aca="false">ROUND(CR201,3)</f>
        <v>87.429</v>
      </c>
      <c r="EG201" s="51" t="n">
        <f aca="false">ROUND(CS201,3)</f>
        <v>79.714</v>
      </c>
      <c r="EH201" s="51" t="n">
        <f aca="false">ROUND(EA201,3)</f>
        <v>82.857</v>
      </c>
      <c r="EI201" s="51" t="n">
        <f aca="false">ROUND(ED201,3)</f>
        <v>83.343</v>
      </c>
      <c r="EJ201" s="51" t="n">
        <f aca="false">ROUND(CV201,3)</f>
        <v>83.571</v>
      </c>
      <c r="EK201" s="0" t="n">
        <f aca="false">RANK(EI201,$EI$2:$EI$881,0)</f>
        <v>200</v>
      </c>
    </row>
    <row r="202" customFormat="false" ht="15" hidden="false" customHeight="false" outlineLevel="0" collapsed="false">
      <c r="A202" s="4" t="n">
        <v>8987</v>
      </c>
      <c r="B202" s="4" t="n">
        <v>463</v>
      </c>
      <c r="C202" s="27" t="s">
        <v>771</v>
      </c>
      <c r="D202" s="31" t="n">
        <v>469</v>
      </c>
      <c r="E202" s="32" t="n">
        <v>230315214</v>
      </c>
      <c r="F202" s="8" t="s">
        <v>772</v>
      </c>
      <c r="G202" s="22" t="s">
        <v>773</v>
      </c>
      <c r="H202" s="22" t="s">
        <v>129</v>
      </c>
      <c r="I202" s="33" t="n">
        <v>2005</v>
      </c>
      <c r="J202" s="32" t="n">
        <v>76</v>
      </c>
      <c r="K202" s="32" t="n">
        <v>82</v>
      </c>
      <c r="L202" s="34" t="n">
        <f aca="false">(K202*70)/100</f>
        <v>57.4</v>
      </c>
      <c r="M202" s="34" t="n">
        <f aca="false">ROUNDUP(L202,0)</f>
        <v>58</v>
      </c>
      <c r="N202" s="32" t="n">
        <v>24</v>
      </c>
      <c r="O202" s="34" t="n">
        <f aca="false">N202+L202</f>
        <v>81.4</v>
      </c>
      <c r="P202" s="34" t="n">
        <f aca="false">N202+M202</f>
        <v>82</v>
      </c>
      <c r="Q202" s="32" t="n">
        <v>81</v>
      </c>
      <c r="R202" s="32" t="n">
        <v>82</v>
      </c>
      <c r="S202" s="34" t="n">
        <f aca="false">(R202*70)/100</f>
        <v>57.4</v>
      </c>
      <c r="T202" s="34" t="n">
        <f aca="false">ROUNDUP(S202,0)</f>
        <v>58</v>
      </c>
      <c r="U202" s="32" t="n">
        <v>18</v>
      </c>
      <c r="V202" s="34" t="n">
        <f aca="false">U202+S202</f>
        <v>75.4</v>
      </c>
      <c r="W202" s="34" t="n">
        <f aca="false">U202+T202</f>
        <v>76</v>
      </c>
      <c r="X202" s="32" t="n">
        <v>82</v>
      </c>
      <c r="Y202" s="34" t="n">
        <f aca="false">(X202*70)/100</f>
        <v>57.4</v>
      </c>
      <c r="Z202" s="34" t="n">
        <f aca="false">ROUNDUP(Y202,0)</f>
        <v>58</v>
      </c>
      <c r="AA202" s="32" t="n">
        <v>24</v>
      </c>
      <c r="AB202" s="34" t="n">
        <f aca="false">AA202+Y202</f>
        <v>81.4</v>
      </c>
      <c r="AC202" s="34" t="n">
        <f aca="false">AA202+Z202</f>
        <v>82</v>
      </c>
      <c r="AD202" s="32" t="n">
        <f aca="false">X202+R202+Q202+K202+J202</f>
        <v>403</v>
      </c>
      <c r="AE202" s="16" t="n">
        <f aca="false">AD202/5</f>
        <v>80.6</v>
      </c>
      <c r="AF202" s="16" t="n">
        <v>78</v>
      </c>
      <c r="AG202" s="16" t="n">
        <v>80</v>
      </c>
      <c r="AH202" s="16" t="n">
        <v>93</v>
      </c>
      <c r="AI202" s="16" t="n">
        <v>94</v>
      </c>
      <c r="AJ202" s="16" t="n">
        <f aca="false">(AI202*70)/100</f>
        <v>65.8</v>
      </c>
      <c r="AK202" s="35" t="n">
        <f aca="false">ROUNDUP(AJ202,0)</f>
        <v>66</v>
      </c>
      <c r="AL202" s="16" t="n">
        <v>27</v>
      </c>
      <c r="AM202" s="16" t="n">
        <f aca="false">AL202+AJ202</f>
        <v>92.8</v>
      </c>
      <c r="AN202" s="16" t="n">
        <f aca="false">AL202+AK202</f>
        <v>93</v>
      </c>
      <c r="AO202" s="16" t="n">
        <v>86</v>
      </c>
      <c r="AP202" s="36" t="n">
        <f aca="false">(AO202*70)/100</f>
        <v>60.2</v>
      </c>
      <c r="AQ202" s="37" t="n">
        <f aca="false">ROUNDUP(AP202,0)</f>
        <v>61</v>
      </c>
      <c r="AR202" s="16" t="n">
        <v>26</v>
      </c>
      <c r="AS202" s="16" t="n">
        <f aca="false">AR202+AP202</f>
        <v>86.2</v>
      </c>
      <c r="AT202" s="16" t="n">
        <f aca="false">AR202+AQ202</f>
        <v>87</v>
      </c>
      <c r="AU202" s="16" t="n">
        <f aca="false">AO202+AF202+AI202+AH202+AG202</f>
        <v>431</v>
      </c>
      <c r="AV202" s="16" t="n">
        <f aca="false">(AO202+AF202+AI202+AH202+AG202)/5</f>
        <v>86.2</v>
      </c>
      <c r="AW202" s="36" t="n">
        <f aca="false">(AO202+AF202+AI202+AH202+AG202+X202+R202+Q202+K202+J202)</f>
        <v>834</v>
      </c>
      <c r="AX202" s="16" t="n">
        <f aca="false">AW202/10</f>
        <v>83.4</v>
      </c>
      <c r="AY202" s="16" t="n">
        <f aca="false">AS202+AF202+AM202+AH202+AG202+AB202+V202+Q202+O202+J202</f>
        <v>825.2</v>
      </c>
      <c r="AZ202" s="16" t="n">
        <f aca="false">AT202+AF202+AN202+AH202+AG202+AC202+W202+Q202+P202+J202</f>
        <v>828</v>
      </c>
      <c r="BA202" s="16" t="n">
        <f aca="false">AY202/10</f>
        <v>82.52</v>
      </c>
      <c r="BB202" s="16" t="n">
        <f aca="false">AZ202/10</f>
        <v>82.8</v>
      </c>
      <c r="BC202" s="16" t="n">
        <v>2346</v>
      </c>
      <c r="BD202" s="16" t="n">
        <f aca="false">RANK(AX202,$AX$2:$AX$881,0)</f>
        <v>120</v>
      </c>
      <c r="BE202" s="54" t="n">
        <f aca="false">((BC202*100)/2400)*0.4+(AX202*0.6)</f>
        <v>89.14</v>
      </c>
      <c r="BF202" s="16" t="n">
        <f aca="false">RANK(BE202,$BE$2:$BE$881,0)</f>
        <v>131</v>
      </c>
      <c r="BG202" s="39" t="n">
        <f aca="false">RANK(BB202,$BB$2:$BB$881,0)</f>
        <v>169</v>
      </c>
      <c r="BH202" s="39" t="n">
        <f aca="false">RANK(BC202,$BC$2:$BC$881,0)</f>
        <v>571</v>
      </c>
      <c r="BI202" s="22" t="s">
        <v>130</v>
      </c>
      <c r="BJ202" s="22" t="s">
        <v>129</v>
      </c>
      <c r="BK202" s="40" t="s">
        <v>131</v>
      </c>
      <c r="BL202" s="41" t="n">
        <v>18</v>
      </c>
      <c r="BM202" s="41" t="n">
        <v>57</v>
      </c>
      <c r="BN202" s="41" t="n">
        <v>75</v>
      </c>
      <c r="BO202" s="42" t="n">
        <v>20</v>
      </c>
      <c r="BP202" s="43" t="n">
        <v>62</v>
      </c>
      <c r="BQ202" s="44" t="n">
        <v>82</v>
      </c>
      <c r="BR202" s="42" t="n">
        <v>24</v>
      </c>
      <c r="BS202" s="45" t="n">
        <v>58</v>
      </c>
      <c r="BT202" s="45" t="n">
        <v>82</v>
      </c>
      <c r="BU202" s="46" t="n">
        <v>99</v>
      </c>
      <c r="BV202" s="47" t="n">
        <v>70</v>
      </c>
      <c r="BW202" s="42" t="n">
        <v>93</v>
      </c>
      <c r="BX202" s="48" t="n">
        <v>90</v>
      </c>
      <c r="BY202" s="32" t="n">
        <v>22</v>
      </c>
      <c r="BZ202" s="32" t="n">
        <v>53</v>
      </c>
      <c r="CA202" s="32" t="n">
        <v>75</v>
      </c>
      <c r="CB202" s="32" t="n">
        <v>24</v>
      </c>
      <c r="CC202" s="32" t="n">
        <v>44</v>
      </c>
      <c r="CD202" s="32" t="n">
        <v>68</v>
      </c>
      <c r="CE202" s="25" t="n">
        <v>25</v>
      </c>
      <c r="CF202" s="25" t="n">
        <v>55</v>
      </c>
      <c r="CG202" s="25" t="n">
        <v>80</v>
      </c>
      <c r="CH202" s="32" t="n">
        <v>96</v>
      </c>
      <c r="CI202" s="32" t="n">
        <v>93</v>
      </c>
      <c r="CJ202" s="49" t="n">
        <v>22</v>
      </c>
      <c r="CK202" s="49" t="n">
        <v>52</v>
      </c>
      <c r="CL202" s="49" t="n">
        <v>74</v>
      </c>
      <c r="CM202" s="49" t="n">
        <v>22</v>
      </c>
      <c r="CN202" s="49" t="n">
        <v>58</v>
      </c>
      <c r="CO202" s="49" t="n">
        <v>80</v>
      </c>
      <c r="CP202" s="25" t="n">
        <f aca="false">BX202+BW202+BV202+BU202+BT202+BQ202+BN202</f>
        <v>591</v>
      </c>
      <c r="CQ202" s="25" t="n">
        <f aca="false">CO202+CL202+CI202+CH202+CG202+CD202+CA202</f>
        <v>566</v>
      </c>
      <c r="CR202" s="26" t="n">
        <f aca="false">CP202/7</f>
        <v>84.4285714285714</v>
      </c>
      <c r="CS202" s="26" t="n">
        <f aca="false">CQ202/7</f>
        <v>80.8571428571429</v>
      </c>
      <c r="CT202" s="24" t="n">
        <f aca="false">RANK(CR202,$CR$2:$CR$881,0)</f>
        <v>459</v>
      </c>
      <c r="CU202" s="25" t="n">
        <f aca="false">RANK(CS202,$CS$2:$CS$881,0)</f>
        <v>229</v>
      </c>
      <c r="CV202" s="26" t="n">
        <f aca="false">(CS202+CR202)/2</f>
        <v>82.6428571428571</v>
      </c>
      <c r="CW202" s="25" t="n">
        <f aca="false">RANK(CV202,$CV$2:$CV$881,0)</f>
        <v>311</v>
      </c>
      <c r="CX202" s="50" t="n">
        <f aca="false">(CV202+BB202)/2</f>
        <v>82.7214285714286</v>
      </c>
      <c r="CY202" s="50" t="n">
        <v>222</v>
      </c>
      <c r="CZ202" s="27" t="s">
        <v>132</v>
      </c>
      <c r="DA202" s="27" t="s">
        <v>219</v>
      </c>
      <c r="DB202" s="27" t="s">
        <v>219</v>
      </c>
      <c r="DC202" s="27" t="s">
        <v>134</v>
      </c>
      <c r="DD202" s="27" t="s">
        <v>174</v>
      </c>
      <c r="DE202" s="27" t="s">
        <v>187</v>
      </c>
      <c r="DF202" s="27" t="s">
        <v>133</v>
      </c>
      <c r="DG202" s="27" t="s">
        <v>134</v>
      </c>
      <c r="DH202" s="27" t="s">
        <v>135</v>
      </c>
      <c r="DI202" s="27" t="s">
        <v>203</v>
      </c>
      <c r="DJ202" s="27" t="s">
        <v>178</v>
      </c>
      <c r="DK202" s="27" t="s">
        <v>134</v>
      </c>
      <c r="DL202" s="27" t="s">
        <v>195</v>
      </c>
      <c r="DM202" s="27" t="s">
        <v>218</v>
      </c>
      <c r="DN202" s="27" t="s">
        <v>305</v>
      </c>
      <c r="DO202" s="27" t="s">
        <v>134</v>
      </c>
      <c r="DP202" s="27" t="s">
        <v>174</v>
      </c>
      <c r="DQ202" s="27" t="s">
        <v>218</v>
      </c>
      <c r="DR202" s="27" t="s">
        <v>272</v>
      </c>
      <c r="DS202" s="27" t="s">
        <v>134</v>
      </c>
      <c r="DT202" s="27" t="s">
        <v>135</v>
      </c>
      <c r="DU202" s="27" t="s">
        <v>218</v>
      </c>
      <c r="DV202" s="27" t="s">
        <v>205</v>
      </c>
      <c r="DW202" s="27" t="s">
        <v>160</v>
      </c>
      <c r="DX202" s="27" t="s">
        <v>138</v>
      </c>
      <c r="DY202" s="27" t="s">
        <v>144</v>
      </c>
      <c r="DZ202" s="27" t="n">
        <f aca="false">DY202+DV202+DR202+DN202+DJ202+DF202+DB202</f>
        <v>591</v>
      </c>
      <c r="EA202" s="28" t="n">
        <f aca="false">DZ202/7</f>
        <v>84.4285714285714</v>
      </c>
      <c r="EB202" s="27" t="n">
        <f aca="false">RANK(EA202,$EA$2:$EA$881,0)</f>
        <v>205</v>
      </c>
      <c r="EC202" s="29" t="n">
        <f aca="false">DZ202+CQ202+CP202+AZ202</f>
        <v>2576</v>
      </c>
      <c r="ED202" s="30" t="n">
        <f aca="false">(EA202+CV202+BB202)/3</f>
        <v>83.2904761904762</v>
      </c>
      <c r="EE202" s="51" t="n">
        <f aca="false">ROUND(BE202,3)</f>
        <v>89.14</v>
      </c>
      <c r="EF202" s="51" t="n">
        <f aca="false">ROUND(CR202,3)</f>
        <v>84.429</v>
      </c>
      <c r="EG202" s="51" t="n">
        <f aca="false">ROUND(CS202,3)</f>
        <v>80.857</v>
      </c>
      <c r="EH202" s="51" t="n">
        <f aca="false">ROUND(EA202,3)</f>
        <v>84.429</v>
      </c>
      <c r="EI202" s="51" t="n">
        <f aca="false">ROUND(ED202,3)</f>
        <v>83.29</v>
      </c>
      <c r="EJ202" s="51" t="n">
        <f aca="false">ROUND(CV202,3)</f>
        <v>82.643</v>
      </c>
      <c r="EK202" s="0" t="n">
        <f aca="false">RANK(EI202,$EI$2:$EI$881,0)</f>
        <v>201</v>
      </c>
    </row>
    <row r="203" customFormat="false" ht="15" hidden="false" customHeight="false" outlineLevel="0" collapsed="false">
      <c r="A203" s="4" t="n">
        <v>8610</v>
      </c>
      <c r="B203" s="4" t="n">
        <v>853</v>
      </c>
      <c r="C203" s="27" t="s">
        <v>774</v>
      </c>
      <c r="D203" s="31" t="n">
        <v>872</v>
      </c>
      <c r="E203" s="16" t="n">
        <v>230117528</v>
      </c>
      <c r="F203" s="56" t="s">
        <v>775</v>
      </c>
      <c r="G203" s="22" t="s">
        <v>573</v>
      </c>
      <c r="H203" s="22" t="s">
        <v>326</v>
      </c>
      <c r="I203" s="57"/>
      <c r="J203" s="16" t="n">
        <v>62</v>
      </c>
      <c r="K203" s="16" t="n">
        <v>76</v>
      </c>
      <c r="L203" s="34" t="n">
        <f aca="false">(K203*70)/100</f>
        <v>53.2</v>
      </c>
      <c r="M203" s="34" t="n">
        <f aca="false">ROUNDUP(L203,0)</f>
        <v>54</v>
      </c>
      <c r="N203" s="16" t="n">
        <v>27</v>
      </c>
      <c r="O203" s="34" t="n">
        <f aca="false">N203+L203</f>
        <v>80.2</v>
      </c>
      <c r="P203" s="34" t="n">
        <f aca="false">N203+M203</f>
        <v>81</v>
      </c>
      <c r="Q203" s="16" t="n">
        <v>85</v>
      </c>
      <c r="R203" s="16" t="n">
        <v>79</v>
      </c>
      <c r="S203" s="34" t="n">
        <f aca="false">(R203*70)/100</f>
        <v>55.3</v>
      </c>
      <c r="T203" s="34" t="n">
        <f aca="false">ROUNDUP(S203,0)</f>
        <v>56</v>
      </c>
      <c r="U203" s="16" t="n">
        <v>26</v>
      </c>
      <c r="V203" s="34" t="n">
        <f aca="false">U203+S203</f>
        <v>81.3</v>
      </c>
      <c r="W203" s="34" t="n">
        <f aca="false">U203+T203</f>
        <v>82</v>
      </c>
      <c r="X203" s="16" t="n">
        <v>77</v>
      </c>
      <c r="Y203" s="34" t="n">
        <f aca="false">(X203*70)/100</f>
        <v>53.9</v>
      </c>
      <c r="Z203" s="34" t="n">
        <f aca="false">ROUNDUP(Y203,0)</f>
        <v>54</v>
      </c>
      <c r="AA203" s="16" t="n">
        <v>25</v>
      </c>
      <c r="AB203" s="34" t="n">
        <f aca="false">AA203+Y203</f>
        <v>78.9</v>
      </c>
      <c r="AC203" s="34" t="n">
        <f aca="false">AA203+Z203</f>
        <v>79</v>
      </c>
      <c r="AD203" s="32" t="n">
        <f aca="false">X203+R203+Q203+K203+J203</f>
        <v>379</v>
      </c>
      <c r="AE203" s="16" t="n">
        <f aca="false">AD203/5</f>
        <v>75.8</v>
      </c>
      <c r="AF203" s="16" t="n">
        <v>78</v>
      </c>
      <c r="AG203" s="16" t="n">
        <v>75</v>
      </c>
      <c r="AH203" s="16" t="n">
        <v>97</v>
      </c>
      <c r="AI203" s="16" t="n">
        <v>95</v>
      </c>
      <c r="AJ203" s="16" t="n">
        <f aca="false">(AI203*70)/100</f>
        <v>66.5</v>
      </c>
      <c r="AK203" s="35" t="n">
        <f aca="false">ROUNDUP(AJ203,0)</f>
        <v>67</v>
      </c>
      <c r="AL203" s="16" t="n">
        <v>27</v>
      </c>
      <c r="AM203" s="16" t="n">
        <f aca="false">AL203+AJ203</f>
        <v>93.5</v>
      </c>
      <c r="AN203" s="16" t="n">
        <f aca="false">AL203+AK203</f>
        <v>94</v>
      </c>
      <c r="AO203" s="16" t="n">
        <v>64</v>
      </c>
      <c r="AP203" s="36" t="n">
        <f aca="false">(AO203*70)/100</f>
        <v>44.8</v>
      </c>
      <c r="AQ203" s="37" t="n">
        <f aca="false">ROUNDUP(AP203,0)</f>
        <v>45</v>
      </c>
      <c r="AR203" s="16" t="n">
        <v>26</v>
      </c>
      <c r="AS203" s="16" t="n">
        <f aca="false">AR203+AP203</f>
        <v>70.8</v>
      </c>
      <c r="AT203" s="16" t="n">
        <f aca="false">AR203+AQ203</f>
        <v>71</v>
      </c>
      <c r="AU203" s="16" t="n">
        <f aca="false">AO203+AF203+AI203+AH203+AG203</f>
        <v>409</v>
      </c>
      <c r="AV203" s="16" t="n">
        <f aca="false">(AO203+AF203+AI203+AH203+AG203)/5</f>
        <v>81.8</v>
      </c>
      <c r="AW203" s="36" t="n">
        <f aca="false">(AO203+AF203+AI203+AH203+AG203+X203+R203+Q203+K203+J203)</f>
        <v>788</v>
      </c>
      <c r="AX203" s="16" t="n">
        <f aca="false">AW203/10</f>
        <v>78.8</v>
      </c>
      <c r="AY203" s="16" t="n">
        <f aca="false">AS203+AF203+AM203+AH203+AG203+AB203+V203+Q203+O203+J203</f>
        <v>801.7</v>
      </c>
      <c r="AZ203" s="16" t="n">
        <f aca="false">AT203+AF203+AN203+AH203+AG203+AC203+W203+Q203+P203+J203</f>
        <v>804</v>
      </c>
      <c r="BA203" s="16" t="n">
        <f aca="false">AY203/10</f>
        <v>80.17</v>
      </c>
      <c r="BB203" s="16" t="n">
        <f aca="false">AZ203/10</f>
        <v>80.4</v>
      </c>
      <c r="BC203" s="16" t="n">
        <v>2333</v>
      </c>
      <c r="BD203" s="16" t="n">
        <f aca="false">RANK(AX203,$AX$2:$AX$881,0)</f>
        <v>351</v>
      </c>
      <c r="BE203" s="54" t="n">
        <f aca="false">((BC203*100)/2400)*0.4+(AX203*0.6)</f>
        <v>86.1633333333333</v>
      </c>
      <c r="BF203" s="16" t="n">
        <f aca="false">RANK(BE203,$BE$2:$BE$881,0)</f>
        <v>408</v>
      </c>
      <c r="BG203" s="39" t="n">
        <f aca="false">RANK(BB203,$BB$2:$BB$881,0)</f>
        <v>318</v>
      </c>
      <c r="BH203" s="39" t="n">
        <f aca="false">RANK(BC203,$BC$2:$BC$881,0)</f>
        <v>697</v>
      </c>
      <c r="BI203" s="22" t="s">
        <v>130</v>
      </c>
      <c r="BJ203" s="22" t="s">
        <v>129</v>
      </c>
      <c r="BK203" s="40" t="s">
        <v>131</v>
      </c>
      <c r="BL203" s="41" t="n">
        <v>21</v>
      </c>
      <c r="BM203" s="41" t="n">
        <v>54</v>
      </c>
      <c r="BN203" s="41" t="n">
        <v>75</v>
      </c>
      <c r="BO203" s="42" t="n">
        <v>27</v>
      </c>
      <c r="BP203" s="43" t="n">
        <v>65</v>
      </c>
      <c r="BQ203" s="44" t="n">
        <v>92</v>
      </c>
      <c r="BR203" s="42" t="n">
        <v>27</v>
      </c>
      <c r="BS203" s="45" t="n">
        <v>64</v>
      </c>
      <c r="BT203" s="45" t="n">
        <v>91</v>
      </c>
      <c r="BU203" s="46" t="n">
        <v>100</v>
      </c>
      <c r="BV203" s="47" t="n">
        <v>82</v>
      </c>
      <c r="BW203" s="42" t="n">
        <v>96</v>
      </c>
      <c r="BX203" s="48" t="n">
        <v>94</v>
      </c>
      <c r="BY203" s="32" t="n">
        <v>22</v>
      </c>
      <c r="BZ203" s="32" t="n">
        <v>58</v>
      </c>
      <c r="CA203" s="32" t="n">
        <v>80</v>
      </c>
      <c r="CB203" s="32" t="n">
        <v>24</v>
      </c>
      <c r="CC203" s="32" t="n">
        <v>42</v>
      </c>
      <c r="CD203" s="32" t="n">
        <v>66</v>
      </c>
      <c r="CE203" s="32" t="n">
        <v>16</v>
      </c>
      <c r="CF203" s="32" t="n">
        <v>60</v>
      </c>
      <c r="CG203" s="32" t="n">
        <v>76</v>
      </c>
      <c r="CH203" s="32" t="n">
        <v>93</v>
      </c>
      <c r="CI203" s="25" t="n">
        <v>95</v>
      </c>
      <c r="CJ203" s="49" t="n">
        <v>26</v>
      </c>
      <c r="CK203" s="49" t="n">
        <v>62</v>
      </c>
      <c r="CL203" s="49" t="n">
        <v>88</v>
      </c>
      <c r="CM203" s="49" t="n">
        <v>21</v>
      </c>
      <c r="CN203" s="49" t="n">
        <v>53</v>
      </c>
      <c r="CO203" s="49" t="n">
        <v>74</v>
      </c>
      <c r="CP203" s="25" t="n">
        <f aca="false">BX203+BW203+BV203+BU203+BT203+BQ203+BN203</f>
        <v>630</v>
      </c>
      <c r="CQ203" s="25" t="n">
        <f aca="false">CO203+CL203+CI203+CH203+CG203+CD203+CA203</f>
        <v>572</v>
      </c>
      <c r="CR203" s="26" t="n">
        <f aca="false">CP203/7</f>
        <v>90</v>
      </c>
      <c r="CS203" s="26" t="n">
        <f aca="false">CQ203/7</f>
        <v>81.7142857142857</v>
      </c>
      <c r="CT203" s="24" t="n">
        <f aca="false">RANK(CR203,$CR$2:$CR$881,0)</f>
        <v>182</v>
      </c>
      <c r="CU203" s="25" t="n">
        <f aca="false">RANK(CS203,$CS$2:$CS$881,0)</f>
        <v>204</v>
      </c>
      <c r="CV203" s="26" t="n">
        <f aca="false">(CS203+CR203)/2</f>
        <v>85.8571428571429</v>
      </c>
      <c r="CW203" s="25" t="n">
        <f aca="false">RANK(CV203,$CV$2:$CV$881,0)</f>
        <v>179</v>
      </c>
      <c r="CX203" s="50" t="n">
        <f aca="false">(CV203+BB203)/2</f>
        <v>83.1285714285714</v>
      </c>
      <c r="CY203" s="50" t="n">
        <v>208</v>
      </c>
      <c r="CZ203" s="27" t="s">
        <v>132</v>
      </c>
      <c r="DA203" s="27" t="s">
        <v>169</v>
      </c>
      <c r="DB203" s="27" t="s">
        <v>169</v>
      </c>
      <c r="DC203" s="27" t="s">
        <v>134</v>
      </c>
      <c r="DD203" s="27" t="s">
        <v>160</v>
      </c>
      <c r="DE203" s="27" t="s">
        <v>204</v>
      </c>
      <c r="DF203" s="27" t="s">
        <v>178</v>
      </c>
      <c r="DG203" s="27" t="s">
        <v>134</v>
      </c>
      <c r="DH203" s="27" t="s">
        <v>182</v>
      </c>
      <c r="DI203" s="27" t="s">
        <v>203</v>
      </c>
      <c r="DJ203" s="27" t="s">
        <v>202</v>
      </c>
      <c r="DK203" s="27" t="s">
        <v>134</v>
      </c>
      <c r="DL203" s="27" t="s">
        <v>154</v>
      </c>
      <c r="DM203" s="27" t="s">
        <v>161</v>
      </c>
      <c r="DN203" s="27" t="s">
        <v>209</v>
      </c>
      <c r="DO203" s="27" t="s">
        <v>134</v>
      </c>
      <c r="DP203" s="27" t="s">
        <v>191</v>
      </c>
      <c r="DQ203" s="27" t="s">
        <v>304</v>
      </c>
      <c r="DR203" s="27" t="s">
        <v>372</v>
      </c>
      <c r="DS203" s="27" t="s">
        <v>134</v>
      </c>
      <c r="DT203" s="27" t="s">
        <v>182</v>
      </c>
      <c r="DU203" s="27" t="s">
        <v>161</v>
      </c>
      <c r="DV203" s="27" t="s">
        <v>175</v>
      </c>
      <c r="DW203" s="27" t="s">
        <v>485</v>
      </c>
      <c r="DX203" s="27" t="s">
        <v>138</v>
      </c>
      <c r="DY203" s="27" t="s">
        <v>202</v>
      </c>
      <c r="DZ203" s="27" t="n">
        <f aca="false">DY203+DV203+DR203+DN203+DJ203+DF203+DB203</f>
        <v>585</v>
      </c>
      <c r="EA203" s="28" t="n">
        <f aca="false">DZ203/7</f>
        <v>83.5714285714286</v>
      </c>
      <c r="EB203" s="27" t="n">
        <f aca="false">RANK(EA203,$EA$2:$EA$881,0)</f>
        <v>249</v>
      </c>
      <c r="EC203" s="29" t="n">
        <f aca="false">DZ203+CQ203+CP203+AZ203</f>
        <v>2591</v>
      </c>
      <c r="ED203" s="30" t="n">
        <f aca="false">(EA203+CV203+BB203)/3</f>
        <v>83.2761904761905</v>
      </c>
      <c r="EE203" s="51" t="n">
        <f aca="false">ROUND(BE203,3)</f>
        <v>86.163</v>
      </c>
      <c r="EF203" s="51" t="n">
        <f aca="false">ROUND(CR203,3)</f>
        <v>90</v>
      </c>
      <c r="EG203" s="51" t="n">
        <f aca="false">ROUND(CS203,3)</f>
        <v>81.714</v>
      </c>
      <c r="EH203" s="51" t="n">
        <f aca="false">ROUND(EA203,3)</f>
        <v>83.571</v>
      </c>
      <c r="EI203" s="51" t="n">
        <f aca="false">ROUND(ED203,3)</f>
        <v>83.276</v>
      </c>
      <c r="EJ203" s="51" t="n">
        <f aca="false">ROUND(CV203,3)</f>
        <v>85.857</v>
      </c>
      <c r="EK203" s="0" t="n">
        <f aca="false">RANK(EI203,$EI$2:$EI$881,0)</f>
        <v>202</v>
      </c>
    </row>
    <row r="204" customFormat="false" ht="15" hidden="false" customHeight="false" outlineLevel="0" collapsed="false">
      <c r="A204" s="4" t="n">
        <v>8717</v>
      </c>
      <c r="B204" s="4" t="n">
        <v>354</v>
      </c>
      <c r="C204" s="27" t="s">
        <v>776</v>
      </c>
      <c r="D204" s="31" t="n">
        <v>359</v>
      </c>
      <c r="E204" s="32" t="n">
        <v>230322336</v>
      </c>
      <c r="F204" s="8" t="s">
        <v>777</v>
      </c>
      <c r="G204" s="22" t="s">
        <v>778</v>
      </c>
      <c r="H204" s="22" t="s">
        <v>129</v>
      </c>
      <c r="I204" s="33" t="n">
        <v>2006</v>
      </c>
      <c r="J204" s="32" t="n">
        <v>85</v>
      </c>
      <c r="K204" s="32" t="n">
        <v>87</v>
      </c>
      <c r="L204" s="34" t="n">
        <f aca="false">(K204*70)/100</f>
        <v>60.9</v>
      </c>
      <c r="M204" s="34" t="n">
        <f aca="false">ROUNDUP(L204,0)</f>
        <v>61</v>
      </c>
      <c r="N204" s="32" t="n">
        <v>28</v>
      </c>
      <c r="O204" s="34" t="n">
        <f aca="false">N204+L204</f>
        <v>88.9</v>
      </c>
      <c r="P204" s="34" t="n">
        <f aca="false">N204+M204</f>
        <v>89</v>
      </c>
      <c r="Q204" s="32" t="n">
        <v>87</v>
      </c>
      <c r="R204" s="32" t="n">
        <v>86</v>
      </c>
      <c r="S204" s="34" t="n">
        <f aca="false">(R204*70)/100</f>
        <v>60.2</v>
      </c>
      <c r="T204" s="34" t="n">
        <f aca="false">ROUNDUP(S204,0)</f>
        <v>61</v>
      </c>
      <c r="U204" s="32" t="n">
        <v>25</v>
      </c>
      <c r="V204" s="34" t="n">
        <f aca="false">U204+S204</f>
        <v>85.2</v>
      </c>
      <c r="W204" s="34" t="n">
        <f aca="false">U204+T204</f>
        <v>86</v>
      </c>
      <c r="X204" s="32" t="n">
        <v>77</v>
      </c>
      <c r="Y204" s="34" t="n">
        <f aca="false">(X204*70)/100</f>
        <v>53.9</v>
      </c>
      <c r="Z204" s="34" t="n">
        <f aca="false">ROUNDUP(Y204,0)</f>
        <v>54</v>
      </c>
      <c r="AA204" s="32" t="n">
        <v>27</v>
      </c>
      <c r="AB204" s="34" t="n">
        <f aca="false">AA204+Y204</f>
        <v>80.9</v>
      </c>
      <c r="AC204" s="34" t="n">
        <f aca="false">AA204+Z204</f>
        <v>81</v>
      </c>
      <c r="AD204" s="32" t="n">
        <f aca="false">X204+R204+Q204+K204+J204</f>
        <v>422</v>
      </c>
      <c r="AE204" s="16" t="n">
        <f aca="false">AD204/5</f>
        <v>84.4</v>
      </c>
      <c r="AF204" s="16" t="n">
        <v>87</v>
      </c>
      <c r="AG204" s="16" t="n">
        <v>88</v>
      </c>
      <c r="AH204" s="16" t="n">
        <v>98</v>
      </c>
      <c r="AI204" s="16" t="n">
        <v>97</v>
      </c>
      <c r="AJ204" s="16" t="n">
        <f aca="false">(AI204*70)/100</f>
        <v>67.9</v>
      </c>
      <c r="AK204" s="35" t="n">
        <f aca="false">ROUNDUP(AJ204,0)</f>
        <v>68</v>
      </c>
      <c r="AL204" s="16" t="n">
        <v>27</v>
      </c>
      <c r="AM204" s="16" t="n">
        <f aca="false">AL204+AJ204</f>
        <v>94.9</v>
      </c>
      <c r="AN204" s="16" t="n">
        <f aca="false">AL204+AK204</f>
        <v>95</v>
      </c>
      <c r="AO204" s="16" t="n">
        <v>86</v>
      </c>
      <c r="AP204" s="36" t="n">
        <f aca="false">(AO204*70)/100</f>
        <v>60.2</v>
      </c>
      <c r="AQ204" s="37" t="n">
        <f aca="false">ROUNDUP(AP204,0)</f>
        <v>61</v>
      </c>
      <c r="AR204" s="16" t="n">
        <v>30</v>
      </c>
      <c r="AS204" s="16" t="n">
        <f aca="false">AR204+AP204</f>
        <v>90.2</v>
      </c>
      <c r="AT204" s="16" t="n">
        <f aca="false">AR204+AQ204</f>
        <v>91</v>
      </c>
      <c r="AU204" s="16" t="n">
        <f aca="false">AO204+AF204+AI204+AH204+AG204</f>
        <v>456</v>
      </c>
      <c r="AV204" s="16" t="n">
        <f aca="false">(AO204+AF204+AI204+AH204+AG204)/5</f>
        <v>91.2</v>
      </c>
      <c r="AW204" s="36" t="n">
        <f aca="false">(AO204+AF204+AI204+AH204+AG204+X204+R204+Q204+K204+J204)</f>
        <v>878</v>
      </c>
      <c r="AX204" s="16" t="n">
        <f aca="false">AW204/10</f>
        <v>87.8</v>
      </c>
      <c r="AY204" s="16" t="n">
        <f aca="false">AS204+AF204+AM204+AH204+AG204+AB204+V204+Q204+O204+J204</f>
        <v>885.1</v>
      </c>
      <c r="AZ204" s="16" t="n">
        <f aca="false">AT204+AF204+AN204+AH204+AG204+AC204+W204+Q204+P204+J204</f>
        <v>887</v>
      </c>
      <c r="BA204" s="16" t="n">
        <f aca="false">AY204/10</f>
        <v>88.51</v>
      </c>
      <c r="BB204" s="16" t="n">
        <f aca="false">AZ204/10</f>
        <v>88.7</v>
      </c>
      <c r="BC204" s="16" t="n">
        <v>2390</v>
      </c>
      <c r="BD204" s="16" t="n">
        <f aca="false">RANK(AX204,$AX$2:$AX$881,0)</f>
        <v>37</v>
      </c>
      <c r="BE204" s="38" t="n">
        <f aca="false">((BC204*100)/2400)*0.4+(AX204*0.6)</f>
        <v>92.5133333333333</v>
      </c>
      <c r="BF204" s="16" t="n">
        <f aca="false">RANK(BE204,$BE$2:$BE$881,0)</f>
        <v>33</v>
      </c>
      <c r="BG204" s="39" t="n">
        <f aca="false">RANK(BB204,$BB$2:$BB$881,0)</f>
        <v>31</v>
      </c>
      <c r="BH204" s="39" t="n">
        <f aca="false">RANK(BC204,$BC$2:$BC$881,0)</f>
        <v>52</v>
      </c>
      <c r="BI204" s="22" t="s">
        <v>130</v>
      </c>
      <c r="BJ204" s="22" t="s">
        <v>129</v>
      </c>
      <c r="BK204" s="40" t="s">
        <v>131</v>
      </c>
      <c r="BL204" s="41" t="n">
        <v>19</v>
      </c>
      <c r="BM204" s="41" t="n">
        <v>59</v>
      </c>
      <c r="BN204" s="41" t="n">
        <v>78</v>
      </c>
      <c r="BO204" s="42" t="n">
        <v>29</v>
      </c>
      <c r="BP204" s="43" t="n">
        <v>59</v>
      </c>
      <c r="BQ204" s="44" t="n">
        <v>88</v>
      </c>
      <c r="BR204" s="42" t="n">
        <v>27</v>
      </c>
      <c r="BS204" s="45" t="n">
        <v>57</v>
      </c>
      <c r="BT204" s="45" t="n">
        <v>84</v>
      </c>
      <c r="BU204" s="46" t="n">
        <v>100</v>
      </c>
      <c r="BV204" s="47" t="n">
        <v>90</v>
      </c>
      <c r="BW204" s="42" t="n">
        <v>96</v>
      </c>
      <c r="BX204" s="48" t="n">
        <v>90</v>
      </c>
      <c r="BY204" s="32" t="n">
        <v>22</v>
      </c>
      <c r="BZ204" s="32" t="n">
        <v>50</v>
      </c>
      <c r="CA204" s="32" t="n">
        <v>72</v>
      </c>
      <c r="CB204" s="32" t="n">
        <v>23</v>
      </c>
      <c r="CC204" s="32" t="n">
        <v>43</v>
      </c>
      <c r="CD204" s="32" t="n">
        <v>66</v>
      </c>
      <c r="CE204" s="32" t="n">
        <v>25</v>
      </c>
      <c r="CF204" s="32" t="n">
        <v>52</v>
      </c>
      <c r="CG204" s="32" t="n">
        <v>77</v>
      </c>
      <c r="CH204" s="32" t="n">
        <v>98</v>
      </c>
      <c r="CI204" s="32" t="n">
        <v>96</v>
      </c>
      <c r="CJ204" s="60"/>
      <c r="CK204" s="60"/>
      <c r="CL204" s="61"/>
      <c r="CM204" s="49" t="n">
        <v>18</v>
      </c>
      <c r="CN204" s="49" t="n">
        <v>52</v>
      </c>
      <c r="CO204" s="49" t="n">
        <v>70</v>
      </c>
      <c r="CP204" s="25" t="n">
        <f aca="false">BX204+BW204+BV204+BU204+BT204+BQ204+BN204</f>
        <v>626</v>
      </c>
      <c r="CQ204" s="25" t="n">
        <f aca="false">CO204+CL204+CI204+CH204+CG204+CD204+CA204</f>
        <v>479</v>
      </c>
      <c r="CR204" s="26" t="n">
        <f aca="false">CP204/7</f>
        <v>89.4285714285714</v>
      </c>
      <c r="CS204" s="26" t="n">
        <f aca="false">CQ204/7</f>
        <v>68.4285714285714</v>
      </c>
      <c r="CT204" s="24" t="n">
        <f aca="false">RANK(CR204,$CR$2:$CR$881,0)</f>
        <v>217</v>
      </c>
      <c r="CU204" s="25" t="n">
        <f aca="false">RANK(CS204,$CS$2:$CS$881,0)</f>
        <v>581</v>
      </c>
      <c r="CV204" s="26" t="n">
        <f aca="false">(CS204+CR204)/2</f>
        <v>78.9285714285714</v>
      </c>
      <c r="CW204" s="25" t="n">
        <f aca="false">RANK(CV204,$CV$2:$CV$881,0)</f>
        <v>464</v>
      </c>
      <c r="CX204" s="50" t="n">
        <f aca="false">(CV204+BB204)/2</f>
        <v>83.8142857142857</v>
      </c>
      <c r="CY204" s="50" t="n">
        <v>170</v>
      </c>
      <c r="CZ204" s="27" t="s">
        <v>132</v>
      </c>
      <c r="DA204" s="27" t="s">
        <v>162</v>
      </c>
      <c r="DB204" s="27" t="s">
        <v>162</v>
      </c>
      <c r="DC204" s="27" t="s">
        <v>134</v>
      </c>
      <c r="DD204" s="27" t="s">
        <v>164</v>
      </c>
      <c r="DE204" s="27" t="s">
        <v>161</v>
      </c>
      <c r="DF204" s="27" t="s">
        <v>133</v>
      </c>
      <c r="DG204" s="27" t="s">
        <v>134</v>
      </c>
      <c r="DH204" s="27" t="s">
        <v>140</v>
      </c>
      <c r="DI204" s="27" t="s">
        <v>306</v>
      </c>
      <c r="DJ204" s="27" t="s">
        <v>209</v>
      </c>
      <c r="DK204" s="27" t="s">
        <v>134</v>
      </c>
      <c r="DL204" s="27" t="s">
        <v>182</v>
      </c>
      <c r="DM204" s="27" t="s">
        <v>412</v>
      </c>
      <c r="DN204" s="27" t="s">
        <v>441</v>
      </c>
      <c r="DO204" s="27" t="s">
        <v>134</v>
      </c>
      <c r="DP204" s="27" t="s">
        <v>182</v>
      </c>
      <c r="DQ204" s="27" t="s">
        <v>218</v>
      </c>
      <c r="DR204" s="27" t="s">
        <v>196</v>
      </c>
      <c r="DS204" s="27" t="s">
        <v>134</v>
      </c>
      <c r="DT204" s="27" t="s">
        <v>182</v>
      </c>
      <c r="DU204" s="27" t="s">
        <v>645</v>
      </c>
      <c r="DV204" s="27" t="s">
        <v>143</v>
      </c>
      <c r="DW204" s="27" t="s">
        <v>137</v>
      </c>
      <c r="DX204" s="27" t="s">
        <v>152</v>
      </c>
      <c r="DY204" s="27" t="s">
        <v>153</v>
      </c>
      <c r="DZ204" s="27" t="n">
        <f aca="false">DY204+DV204+DR204+DN204+DJ204+DF204+DB204</f>
        <v>575</v>
      </c>
      <c r="EA204" s="28" t="n">
        <f aca="false">DZ204/7</f>
        <v>82.1428571428571</v>
      </c>
      <c r="EB204" s="27" t="n">
        <f aca="false">RANK(EA204,$EA$2:$EA$881,0)</f>
        <v>308</v>
      </c>
      <c r="EC204" s="29" t="n">
        <f aca="false">DZ204+CQ204+CP204+AZ204</f>
        <v>2567</v>
      </c>
      <c r="ED204" s="30" t="n">
        <f aca="false">(EA204+CV204+BB204)/3</f>
        <v>83.2571428571429</v>
      </c>
      <c r="EE204" s="51" t="n">
        <f aca="false">ROUND(BE204,3)</f>
        <v>92.513</v>
      </c>
      <c r="EF204" s="51" t="n">
        <f aca="false">ROUND(CR204,3)</f>
        <v>89.429</v>
      </c>
      <c r="EG204" s="51" t="n">
        <f aca="false">ROUND(CS204,3)</f>
        <v>68.429</v>
      </c>
      <c r="EH204" s="51" t="n">
        <f aca="false">ROUND(EA204,3)</f>
        <v>82.143</v>
      </c>
      <c r="EI204" s="51" t="n">
        <f aca="false">ROUND(ED204,3)</f>
        <v>83.257</v>
      </c>
      <c r="EJ204" s="51" t="n">
        <f aca="false">ROUND(CV204,3)</f>
        <v>78.929</v>
      </c>
      <c r="EK204" s="0" t="n">
        <f aca="false">RANK(EI204,$EI$2:$EI$881,0)</f>
        <v>203</v>
      </c>
    </row>
    <row r="205" customFormat="false" ht="15" hidden="false" customHeight="false" outlineLevel="0" collapsed="false">
      <c r="A205" s="4" t="n">
        <v>8851</v>
      </c>
      <c r="B205" s="4" t="n">
        <v>639</v>
      </c>
      <c r="C205" s="27" t="s">
        <v>779</v>
      </c>
      <c r="D205" s="31" t="n">
        <v>648</v>
      </c>
      <c r="E205" s="32" t="n">
        <v>230314970</v>
      </c>
      <c r="F205" s="8" t="s">
        <v>780</v>
      </c>
      <c r="G205" s="22" t="s">
        <v>573</v>
      </c>
      <c r="H205" s="22" t="s">
        <v>129</v>
      </c>
      <c r="I205" s="33" t="n">
        <v>2005</v>
      </c>
      <c r="J205" s="32" t="n">
        <v>70</v>
      </c>
      <c r="K205" s="32" t="n">
        <v>86</v>
      </c>
      <c r="L205" s="34" t="n">
        <f aca="false">(K205*70)/100</f>
        <v>60.2</v>
      </c>
      <c r="M205" s="34" t="n">
        <f aca="false">ROUNDUP(L205,0)</f>
        <v>61</v>
      </c>
      <c r="N205" s="32" t="n">
        <v>22</v>
      </c>
      <c r="O205" s="34" t="n">
        <f aca="false">N205+L205</f>
        <v>82.2</v>
      </c>
      <c r="P205" s="34" t="n">
        <f aca="false">N205+M205</f>
        <v>83</v>
      </c>
      <c r="Q205" s="32" t="n">
        <v>84</v>
      </c>
      <c r="R205" s="32" t="n">
        <v>67</v>
      </c>
      <c r="S205" s="34" t="n">
        <f aca="false">(R205*70)/100</f>
        <v>46.9</v>
      </c>
      <c r="T205" s="34" t="n">
        <f aca="false">ROUNDUP(S205,0)</f>
        <v>47</v>
      </c>
      <c r="U205" s="32" t="n">
        <v>28</v>
      </c>
      <c r="V205" s="34" t="n">
        <f aca="false">U205+S205</f>
        <v>74.9</v>
      </c>
      <c r="W205" s="34" t="n">
        <f aca="false">U205+T205</f>
        <v>75</v>
      </c>
      <c r="X205" s="32" t="n">
        <v>71</v>
      </c>
      <c r="Y205" s="34" t="n">
        <f aca="false">(X205*70)/100</f>
        <v>49.7</v>
      </c>
      <c r="Z205" s="34" t="n">
        <f aca="false">ROUNDUP(Y205,0)</f>
        <v>50</v>
      </c>
      <c r="AA205" s="32" t="n">
        <v>25</v>
      </c>
      <c r="AB205" s="34" t="n">
        <f aca="false">AA205+Y205</f>
        <v>74.7</v>
      </c>
      <c r="AC205" s="34" t="n">
        <f aca="false">AA205+Z205</f>
        <v>75</v>
      </c>
      <c r="AD205" s="32" t="n">
        <f aca="false">X205+R205+Q205+K205+J205</f>
        <v>378</v>
      </c>
      <c r="AE205" s="16" t="n">
        <f aca="false">AD205/5</f>
        <v>75.6</v>
      </c>
      <c r="AF205" s="16" t="n">
        <v>77</v>
      </c>
      <c r="AG205" s="16" t="n">
        <v>89</v>
      </c>
      <c r="AH205" s="16" t="n">
        <v>90</v>
      </c>
      <c r="AI205" s="16" t="n">
        <v>90</v>
      </c>
      <c r="AJ205" s="16" t="n">
        <f aca="false">(AI205*70)/100</f>
        <v>63</v>
      </c>
      <c r="AK205" s="35" t="n">
        <f aca="false">ROUNDUP(AJ205,0)</f>
        <v>63</v>
      </c>
      <c r="AL205" s="16" t="n">
        <v>27</v>
      </c>
      <c r="AM205" s="16" t="n">
        <f aca="false">AL205+AJ205</f>
        <v>90</v>
      </c>
      <c r="AN205" s="16" t="n">
        <f aca="false">AL205+AK205</f>
        <v>90</v>
      </c>
      <c r="AO205" s="16" t="n">
        <v>83</v>
      </c>
      <c r="AP205" s="36" t="n">
        <f aca="false">(AO205*70)/100</f>
        <v>58.1</v>
      </c>
      <c r="AQ205" s="37" t="n">
        <f aca="false">ROUNDUP(AP205,0)</f>
        <v>59</v>
      </c>
      <c r="AR205" s="16" t="n">
        <v>27</v>
      </c>
      <c r="AS205" s="16" t="n">
        <f aca="false">AR205+AP205</f>
        <v>85.1</v>
      </c>
      <c r="AT205" s="16" t="n">
        <f aca="false">AR205+AQ205</f>
        <v>86</v>
      </c>
      <c r="AU205" s="16" t="n">
        <f aca="false">AO205+AF205+AI205+AH205+AG205</f>
        <v>429</v>
      </c>
      <c r="AV205" s="16" t="n">
        <f aca="false">(AO205+AF205+AI205+AH205+AG205)/5</f>
        <v>85.8</v>
      </c>
      <c r="AW205" s="36" t="n">
        <f aca="false">(AO205+AF205+AI205+AH205+AG205+X205+R205+Q205+K205+J205)</f>
        <v>807</v>
      </c>
      <c r="AX205" s="16" t="n">
        <f aca="false">AW205/10</f>
        <v>80.7</v>
      </c>
      <c r="AY205" s="16" t="n">
        <f aca="false">AS205+AF205+AM205+AH205+AG205+AB205+V205+Q205+O205+J205</f>
        <v>816.9</v>
      </c>
      <c r="AZ205" s="16" t="n">
        <f aca="false">AT205+AF205+AN205+AH205+AG205+AC205+W205+Q205+P205+J205</f>
        <v>819</v>
      </c>
      <c r="BA205" s="16" t="n">
        <f aca="false">AY205/10</f>
        <v>81.69</v>
      </c>
      <c r="BB205" s="16" t="n">
        <f aca="false">AZ205/10</f>
        <v>81.9</v>
      </c>
      <c r="BC205" s="16" t="n">
        <v>2351</v>
      </c>
      <c r="BD205" s="16" t="n">
        <f aca="false">RANK(AX205,$AX$2:$AX$881,0)</f>
        <v>223</v>
      </c>
      <c r="BE205" s="54" t="n">
        <f aca="false">((BC205*100)/2400)*0.4+(AX205*0.6)</f>
        <v>87.6033333333333</v>
      </c>
      <c r="BF205" s="16" t="n">
        <f aca="false">RANK(BE205,$BE$2:$BE$881,0)</f>
        <v>236</v>
      </c>
      <c r="BG205" s="39" t="n">
        <f aca="false">RANK(BB205,$BB$2:$BB$881,0)</f>
        <v>218</v>
      </c>
      <c r="BH205" s="39" t="n">
        <f aca="false">RANK(BC205,$BC$2:$BC$881,0)</f>
        <v>520</v>
      </c>
      <c r="BI205" s="22" t="s">
        <v>130</v>
      </c>
      <c r="BJ205" s="22" t="s">
        <v>129</v>
      </c>
      <c r="BK205" s="40" t="s">
        <v>131</v>
      </c>
      <c r="BL205" s="41" t="n">
        <v>20</v>
      </c>
      <c r="BM205" s="41" t="n">
        <v>59</v>
      </c>
      <c r="BN205" s="41" t="n">
        <v>79</v>
      </c>
      <c r="BO205" s="42" t="n">
        <v>27</v>
      </c>
      <c r="BP205" s="43" t="n">
        <v>61</v>
      </c>
      <c r="BQ205" s="44" t="n">
        <v>88</v>
      </c>
      <c r="BR205" s="42" t="n">
        <v>24</v>
      </c>
      <c r="BS205" s="45" t="n">
        <v>66</v>
      </c>
      <c r="BT205" s="45" t="n">
        <v>90</v>
      </c>
      <c r="BU205" s="46" t="n">
        <v>100</v>
      </c>
      <c r="BV205" s="47" t="n">
        <v>82</v>
      </c>
      <c r="BW205" s="42" t="n">
        <v>100</v>
      </c>
      <c r="BX205" s="48" t="n">
        <v>92</v>
      </c>
      <c r="BY205" s="32" t="n">
        <v>26</v>
      </c>
      <c r="BZ205" s="32" t="n">
        <v>61</v>
      </c>
      <c r="CA205" s="32" t="n">
        <v>87</v>
      </c>
      <c r="CB205" s="32" t="n">
        <v>23</v>
      </c>
      <c r="CC205" s="32" t="n">
        <v>40</v>
      </c>
      <c r="CD205" s="32" t="n">
        <v>63</v>
      </c>
      <c r="CE205" s="32" t="n">
        <v>22</v>
      </c>
      <c r="CF205" s="32" t="n">
        <v>49</v>
      </c>
      <c r="CG205" s="32" t="n">
        <v>71</v>
      </c>
      <c r="CH205" s="32" t="n">
        <v>98</v>
      </c>
      <c r="CI205" s="32" t="n">
        <v>96</v>
      </c>
      <c r="CJ205" s="49" t="n">
        <v>24</v>
      </c>
      <c r="CK205" s="49" t="n">
        <v>49</v>
      </c>
      <c r="CL205" s="49" t="n">
        <v>73</v>
      </c>
      <c r="CM205" s="49" t="n">
        <v>22</v>
      </c>
      <c r="CN205" s="49" t="n">
        <v>51</v>
      </c>
      <c r="CO205" s="49" t="n">
        <v>73</v>
      </c>
      <c r="CP205" s="25" t="n">
        <f aca="false">BX205+BW205+BV205+BU205+BT205+BQ205+BN205</f>
        <v>631</v>
      </c>
      <c r="CQ205" s="25" t="n">
        <f aca="false">CO205+CL205+CI205+CH205+CG205+CD205+CA205</f>
        <v>561</v>
      </c>
      <c r="CR205" s="26" t="n">
        <f aca="false">CP205/7</f>
        <v>90.1428571428571</v>
      </c>
      <c r="CS205" s="26" t="n">
        <f aca="false">CQ205/7</f>
        <v>80.1428571428571</v>
      </c>
      <c r="CT205" s="24" t="n">
        <f aca="false">RANK(CR205,$CR$2:$CR$881,0)</f>
        <v>172</v>
      </c>
      <c r="CU205" s="25" t="n">
        <f aca="false">RANK(CS205,$CS$2:$CS$881,0)</f>
        <v>258</v>
      </c>
      <c r="CV205" s="26" t="n">
        <f aca="false">(CS205+CR205)/2</f>
        <v>85.1428571428571</v>
      </c>
      <c r="CW205" s="25" t="n">
        <f aca="false">RANK(CV205,$CV$2:$CV$881,0)</f>
        <v>206</v>
      </c>
      <c r="CX205" s="50" t="n">
        <f aca="false">(CV205+BB205)/2</f>
        <v>83.5214285714286</v>
      </c>
      <c r="CY205" s="50" t="n">
        <v>188</v>
      </c>
      <c r="CZ205" s="27" t="s">
        <v>132</v>
      </c>
      <c r="DA205" s="27" t="s">
        <v>175</v>
      </c>
      <c r="DB205" s="27" t="s">
        <v>175</v>
      </c>
      <c r="DC205" s="27" t="s">
        <v>134</v>
      </c>
      <c r="DD205" s="27" t="s">
        <v>137</v>
      </c>
      <c r="DE205" s="27" t="s">
        <v>204</v>
      </c>
      <c r="DF205" s="27" t="s">
        <v>175</v>
      </c>
      <c r="DG205" s="27" t="s">
        <v>134</v>
      </c>
      <c r="DH205" s="27" t="s">
        <v>191</v>
      </c>
      <c r="DI205" s="27" t="s">
        <v>163</v>
      </c>
      <c r="DJ205" s="27" t="s">
        <v>175</v>
      </c>
      <c r="DK205" s="27" t="s">
        <v>134</v>
      </c>
      <c r="DL205" s="27" t="s">
        <v>135</v>
      </c>
      <c r="DM205" s="27" t="s">
        <v>306</v>
      </c>
      <c r="DN205" s="27" t="s">
        <v>219</v>
      </c>
      <c r="DO205" s="27" t="s">
        <v>134</v>
      </c>
      <c r="DP205" s="27" t="s">
        <v>386</v>
      </c>
      <c r="DQ205" s="27" t="s">
        <v>447</v>
      </c>
      <c r="DR205" s="27" t="s">
        <v>416</v>
      </c>
      <c r="DS205" s="27" t="s">
        <v>134</v>
      </c>
      <c r="DT205" s="27" t="s">
        <v>191</v>
      </c>
      <c r="DU205" s="27" t="s">
        <v>183</v>
      </c>
      <c r="DV205" s="27" t="s">
        <v>305</v>
      </c>
      <c r="DW205" s="27" t="s">
        <v>182</v>
      </c>
      <c r="DX205" s="27" t="s">
        <v>155</v>
      </c>
      <c r="DY205" s="27" t="s">
        <v>156</v>
      </c>
      <c r="DZ205" s="27" t="n">
        <f aca="false">DY205+DV205+DR205+DN205+DJ205+DF205+DB205</f>
        <v>578</v>
      </c>
      <c r="EA205" s="28" t="n">
        <f aca="false">DZ205/7</f>
        <v>82.5714285714286</v>
      </c>
      <c r="EB205" s="27" t="n">
        <f aca="false">RANK(EA205,$EA$2:$EA$881,0)</f>
        <v>289</v>
      </c>
      <c r="EC205" s="29" t="n">
        <f aca="false">DZ205+CQ205+CP205+AZ205</f>
        <v>2589</v>
      </c>
      <c r="ED205" s="30" t="n">
        <f aca="false">(EA205+CV205+BB205)/3</f>
        <v>83.2047619047619</v>
      </c>
      <c r="EE205" s="51" t="n">
        <f aca="false">ROUND(BE205,3)</f>
        <v>87.603</v>
      </c>
      <c r="EF205" s="51" t="n">
        <f aca="false">ROUND(CR205,3)</f>
        <v>90.143</v>
      </c>
      <c r="EG205" s="51" t="n">
        <f aca="false">ROUND(CS205,3)</f>
        <v>80.143</v>
      </c>
      <c r="EH205" s="51" t="n">
        <f aca="false">ROUND(EA205,3)</f>
        <v>82.571</v>
      </c>
      <c r="EI205" s="51" t="n">
        <f aca="false">ROUND(ED205,3)</f>
        <v>83.205</v>
      </c>
      <c r="EJ205" s="51" t="n">
        <f aca="false">ROUND(CV205,3)</f>
        <v>85.143</v>
      </c>
      <c r="EK205" s="0" t="n">
        <f aca="false">RANK(EI205,$EI$2:$EI$881,0)</f>
        <v>204</v>
      </c>
    </row>
    <row r="206" customFormat="false" ht="15" hidden="false" customHeight="false" outlineLevel="0" collapsed="false">
      <c r="A206" s="4" t="n">
        <v>8820</v>
      </c>
      <c r="B206" s="4" t="n">
        <v>155</v>
      </c>
      <c r="C206" s="27" t="s">
        <v>781</v>
      </c>
      <c r="D206" s="31" t="n">
        <v>155</v>
      </c>
      <c r="E206" s="32" t="n">
        <v>230312552</v>
      </c>
      <c r="F206" s="8" t="s">
        <v>782</v>
      </c>
      <c r="G206" s="22" t="s">
        <v>345</v>
      </c>
      <c r="H206" s="22" t="s">
        <v>129</v>
      </c>
      <c r="I206" s="33" t="n">
        <v>2005</v>
      </c>
      <c r="J206" s="32" t="n">
        <v>85</v>
      </c>
      <c r="K206" s="32" t="n">
        <v>74</v>
      </c>
      <c r="L206" s="34" t="n">
        <f aca="false">(K206*70)/100</f>
        <v>51.8</v>
      </c>
      <c r="M206" s="34" t="n">
        <f aca="false">ROUNDUP(L206,0)</f>
        <v>52</v>
      </c>
      <c r="N206" s="32" t="n">
        <v>25</v>
      </c>
      <c r="O206" s="34" t="n">
        <f aca="false">N206+L206</f>
        <v>76.8</v>
      </c>
      <c r="P206" s="34" t="n">
        <f aca="false">N206+M206</f>
        <v>77</v>
      </c>
      <c r="Q206" s="32" t="n">
        <v>82</v>
      </c>
      <c r="R206" s="32" t="n">
        <v>76</v>
      </c>
      <c r="S206" s="34" t="n">
        <f aca="false">(R206*70)/100</f>
        <v>53.2</v>
      </c>
      <c r="T206" s="34" t="n">
        <f aca="false">ROUNDUP(S206,0)</f>
        <v>54</v>
      </c>
      <c r="U206" s="32" t="n">
        <v>21</v>
      </c>
      <c r="V206" s="34" t="n">
        <f aca="false">U206+S206</f>
        <v>74.2</v>
      </c>
      <c r="W206" s="34" t="n">
        <f aca="false">U206+T206</f>
        <v>75</v>
      </c>
      <c r="X206" s="32" t="n">
        <v>59</v>
      </c>
      <c r="Y206" s="34" t="n">
        <f aca="false">(X206*70)/100</f>
        <v>41.3</v>
      </c>
      <c r="Z206" s="34" t="n">
        <f aca="false">ROUNDUP(Y206,0)</f>
        <v>42</v>
      </c>
      <c r="AA206" s="32" t="n">
        <v>25</v>
      </c>
      <c r="AB206" s="34" t="n">
        <f aca="false">AA206+Y206</f>
        <v>66.3</v>
      </c>
      <c r="AC206" s="34" t="n">
        <f aca="false">AA206+Z206</f>
        <v>67</v>
      </c>
      <c r="AD206" s="32" t="n">
        <f aca="false">X206+R206+Q206+K206+J206</f>
        <v>376</v>
      </c>
      <c r="AE206" s="16" t="n">
        <f aca="false">AD206/5</f>
        <v>75.2</v>
      </c>
      <c r="AF206" s="16" t="n">
        <v>81</v>
      </c>
      <c r="AG206" s="16" t="n">
        <v>99</v>
      </c>
      <c r="AH206" s="16" t="n">
        <v>93</v>
      </c>
      <c r="AI206" s="16" t="n">
        <v>81</v>
      </c>
      <c r="AJ206" s="16" t="n">
        <f aca="false">(AI206*70)/100</f>
        <v>56.7</v>
      </c>
      <c r="AK206" s="35" t="n">
        <f aca="false">ROUNDUP(AJ206,0)</f>
        <v>57</v>
      </c>
      <c r="AL206" s="16" t="n">
        <v>23</v>
      </c>
      <c r="AM206" s="16" t="n">
        <f aca="false">AL206+AJ206</f>
        <v>79.7</v>
      </c>
      <c r="AN206" s="16" t="n">
        <f aca="false">AL206+AK206</f>
        <v>80</v>
      </c>
      <c r="AO206" s="16" t="n">
        <v>84</v>
      </c>
      <c r="AP206" s="36" t="n">
        <f aca="false">(AO206*70)/100</f>
        <v>58.8</v>
      </c>
      <c r="AQ206" s="37" t="n">
        <f aca="false">ROUNDUP(AP206,0)</f>
        <v>59</v>
      </c>
      <c r="AR206" s="16" t="n">
        <v>28</v>
      </c>
      <c r="AS206" s="16" t="n">
        <f aca="false">AR206+AP206</f>
        <v>86.8</v>
      </c>
      <c r="AT206" s="16" t="n">
        <f aca="false">AR206+AQ206</f>
        <v>87</v>
      </c>
      <c r="AU206" s="16" t="n">
        <f aca="false">AO206+AF206+AI206+AH206+AG206</f>
        <v>438</v>
      </c>
      <c r="AV206" s="16" t="n">
        <f aca="false">(AO206+AF206+AI206+AH206+AG206)/5</f>
        <v>87.6</v>
      </c>
      <c r="AW206" s="36" t="n">
        <f aca="false">(AO206+AF206+AI206+AH206+AG206+X206+R206+Q206+K206+J206)</f>
        <v>814</v>
      </c>
      <c r="AX206" s="16" t="n">
        <f aca="false">AW206/10</f>
        <v>81.4</v>
      </c>
      <c r="AY206" s="16" t="n">
        <f aca="false">AS206+AF206+AM206+AH206+AG206+AB206+V206+Q206+O206+J206</f>
        <v>823.8</v>
      </c>
      <c r="AZ206" s="16" t="n">
        <f aca="false">AT206+AF206+AN206+AH206+AG206+AC206+W206+Q206+P206+J206</f>
        <v>826</v>
      </c>
      <c r="BA206" s="16" t="n">
        <f aca="false">AY206/10</f>
        <v>82.38</v>
      </c>
      <c r="BB206" s="16" t="n">
        <f aca="false">AZ206/10</f>
        <v>82.6</v>
      </c>
      <c r="BC206" s="16" t="n">
        <v>2381</v>
      </c>
      <c r="BD206" s="16" t="n">
        <f aca="false">RANK(AX206,$AX$2:$AX$881,0)</f>
        <v>194</v>
      </c>
      <c r="BE206" s="54" t="n">
        <f aca="false">((BC206*100)/2400)*0.4+(AX206*0.6)</f>
        <v>88.5233333333333</v>
      </c>
      <c r="BF206" s="16" t="n">
        <f aca="false">RANK(BE206,$BE$2:$BE$881,0)</f>
        <v>159</v>
      </c>
      <c r="BG206" s="39" t="n">
        <f aca="false">RANK(BB206,$BB$2:$BB$881,0)</f>
        <v>178</v>
      </c>
      <c r="BH206" s="39" t="n">
        <f aca="false">RANK(BC206,$BC$2:$BC$881,0)</f>
        <v>136</v>
      </c>
      <c r="BI206" s="22" t="s">
        <v>130</v>
      </c>
      <c r="BJ206" s="22" t="s">
        <v>129</v>
      </c>
      <c r="BK206" s="40" t="s">
        <v>131</v>
      </c>
      <c r="BL206" s="41" t="n">
        <v>26</v>
      </c>
      <c r="BM206" s="41" t="n">
        <v>58</v>
      </c>
      <c r="BN206" s="41" t="n">
        <v>84</v>
      </c>
      <c r="BO206" s="42" t="n">
        <v>24</v>
      </c>
      <c r="BP206" s="43" t="n">
        <v>64</v>
      </c>
      <c r="BQ206" s="44" t="n">
        <v>88</v>
      </c>
      <c r="BR206" s="42" t="n">
        <v>20</v>
      </c>
      <c r="BS206" s="45" t="n">
        <v>51</v>
      </c>
      <c r="BT206" s="45" t="n">
        <v>71</v>
      </c>
      <c r="BU206" s="46" t="n">
        <v>100</v>
      </c>
      <c r="BV206" s="47" t="n">
        <v>94</v>
      </c>
      <c r="BW206" s="42" t="n">
        <v>99</v>
      </c>
      <c r="BX206" s="48" t="n">
        <v>96</v>
      </c>
      <c r="BY206" s="32" t="n">
        <v>25</v>
      </c>
      <c r="BZ206" s="32" t="n">
        <v>57</v>
      </c>
      <c r="CA206" s="32" t="n">
        <v>82</v>
      </c>
      <c r="CB206" s="32" t="n">
        <v>24</v>
      </c>
      <c r="CC206" s="32" t="n">
        <v>44</v>
      </c>
      <c r="CD206" s="32" t="n">
        <v>68</v>
      </c>
      <c r="CE206" s="32" t="n">
        <v>27</v>
      </c>
      <c r="CF206" s="32" t="n">
        <v>60</v>
      </c>
      <c r="CG206" s="32" t="n">
        <v>87</v>
      </c>
      <c r="CH206" s="32" t="n">
        <v>99</v>
      </c>
      <c r="CI206" s="32" t="n">
        <v>100</v>
      </c>
      <c r="CJ206" s="49" t="n">
        <v>20</v>
      </c>
      <c r="CK206" s="49" t="n">
        <v>48</v>
      </c>
      <c r="CL206" s="49" t="n">
        <v>68</v>
      </c>
      <c r="CM206" s="49" t="n">
        <v>20</v>
      </c>
      <c r="CN206" s="49" t="n">
        <v>56</v>
      </c>
      <c r="CO206" s="49" t="n">
        <v>76</v>
      </c>
      <c r="CP206" s="25" t="n">
        <f aca="false">BX206+BW206+BV206+BU206+BT206+BQ206+BN206</f>
        <v>632</v>
      </c>
      <c r="CQ206" s="25" t="n">
        <f aca="false">CO206+CL206+CI206+CH206+CG206+CD206+CA206</f>
        <v>580</v>
      </c>
      <c r="CR206" s="26" t="n">
        <f aca="false">CP206/7</f>
        <v>90.2857142857143</v>
      </c>
      <c r="CS206" s="26" t="n">
        <f aca="false">CQ206/7</f>
        <v>82.8571428571429</v>
      </c>
      <c r="CT206" s="24" t="n">
        <f aca="false">RANK(CR206,$CR$2:$CR$881,0)</f>
        <v>160</v>
      </c>
      <c r="CU206" s="25" t="n">
        <f aca="false">RANK(CS206,$CS$2:$CS$881,0)</f>
        <v>161</v>
      </c>
      <c r="CV206" s="26" t="n">
        <f aca="false">(CS206+CR206)/2</f>
        <v>86.5714285714286</v>
      </c>
      <c r="CW206" s="25" t="n">
        <f aca="false">RANK(CV206,$CV$2:$CV$881,0)</f>
        <v>150</v>
      </c>
      <c r="CX206" s="50" t="n">
        <f aca="false">(CV206+BB206)/2</f>
        <v>84.5857142857143</v>
      </c>
      <c r="CY206" s="50" t="n">
        <v>141</v>
      </c>
      <c r="CZ206" s="27" t="s">
        <v>132</v>
      </c>
      <c r="DA206" s="27" t="s">
        <v>151</v>
      </c>
      <c r="DB206" s="27" t="s">
        <v>151</v>
      </c>
      <c r="DC206" s="27" t="s">
        <v>134</v>
      </c>
      <c r="DD206" s="27" t="s">
        <v>191</v>
      </c>
      <c r="DE206" s="27" t="s">
        <v>306</v>
      </c>
      <c r="DF206" s="27" t="s">
        <v>441</v>
      </c>
      <c r="DG206" s="27" t="s">
        <v>134</v>
      </c>
      <c r="DH206" s="27" t="s">
        <v>137</v>
      </c>
      <c r="DI206" s="27" t="s">
        <v>638</v>
      </c>
      <c r="DJ206" s="27" t="s">
        <v>416</v>
      </c>
      <c r="DK206" s="27" t="s">
        <v>134</v>
      </c>
      <c r="DL206" s="27" t="s">
        <v>135</v>
      </c>
      <c r="DM206" s="27" t="s">
        <v>183</v>
      </c>
      <c r="DN206" s="27" t="s">
        <v>169</v>
      </c>
      <c r="DO206" s="27" t="s">
        <v>134</v>
      </c>
      <c r="DP206" s="27" t="s">
        <v>604</v>
      </c>
      <c r="DQ206" s="27" t="s">
        <v>375</v>
      </c>
      <c r="DR206" s="27" t="s">
        <v>187</v>
      </c>
      <c r="DS206" s="27" t="s">
        <v>134</v>
      </c>
      <c r="DT206" s="27" t="s">
        <v>137</v>
      </c>
      <c r="DU206" s="27" t="s">
        <v>304</v>
      </c>
      <c r="DV206" s="27" t="s">
        <v>219</v>
      </c>
      <c r="DW206" s="27" t="s">
        <v>146</v>
      </c>
      <c r="DX206" s="27" t="s">
        <v>163</v>
      </c>
      <c r="DY206" s="27" t="s">
        <v>139</v>
      </c>
      <c r="DZ206" s="27" t="n">
        <f aca="false">DY206+DV206+DR206+DN206+DJ206+DF206+DB206</f>
        <v>563</v>
      </c>
      <c r="EA206" s="28" t="n">
        <f aca="false">DZ206/7</f>
        <v>80.4285714285714</v>
      </c>
      <c r="EB206" s="27" t="n">
        <f aca="false">RANK(EA206,$EA$2:$EA$881,0)</f>
        <v>373</v>
      </c>
      <c r="EC206" s="29" t="n">
        <f aca="false">DZ206+CQ206+CP206+AZ206</f>
        <v>2601</v>
      </c>
      <c r="ED206" s="30" t="n">
        <f aca="false">(EA206+CV206+BB206)/3</f>
        <v>83.2</v>
      </c>
      <c r="EE206" s="51" t="n">
        <f aca="false">ROUND(BE206,3)</f>
        <v>88.523</v>
      </c>
      <c r="EF206" s="51" t="n">
        <f aca="false">ROUND(CR206,3)</f>
        <v>90.286</v>
      </c>
      <c r="EG206" s="51" t="n">
        <f aca="false">ROUND(CS206,3)</f>
        <v>82.857</v>
      </c>
      <c r="EH206" s="51" t="n">
        <f aca="false">ROUND(EA206,3)</f>
        <v>80.429</v>
      </c>
      <c r="EI206" s="51" t="n">
        <f aca="false">ROUND(ED206,3)</f>
        <v>83.2</v>
      </c>
      <c r="EJ206" s="51" t="n">
        <f aca="false">ROUND(CV206,3)</f>
        <v>86.571</v>
      </c>
      <c r="EK206" s="0" t="n">
        <f aca="false">RANK(EI206,$EI$2:$EI$881,0)</f>
        <v>205</v>
      </c>
    </row>
    <row r="207" customFormat="false" ht="15" hidden="false" customHeight="false" outlineLevel="0" collapsed="false">
      <c r="A207" s="4" t="n">
        <v>8773</v>
      </c>
      <c r="B207" s="4" t="n">
        <v>250</v>
      </c>
      <c r="C207" s="27" t="s">
        <v>783</v>
      </c>
      <c r="D207" s="31" t="n">
        <v>252</v>
      </c>
      <c r="E207" s="32" t="n">
        <v>230312890</v>
      </c>
      <c r="F207" s="8" t="s">
        <v>784</v>
      </c>
      <c r="G207" s="22" t="s">
        <v>762</v>
      </c>
      <c r="H207" s="22" t="s">
        <v>129</v>
      </c>
      <c r="I207" s="33" t="n">
        <v>2005</v>
      </c>
      <c r="J207" s="32" t="n">
        <v>80</v>
      </c>
      <c r="K207" s="32" t="n">
        <v>67</v>
      </c>
      <c r="L207" s="34" t="n">
        <f aca="false">(K207*70)/100</f>
        <v>46.9</v>
      </c>
      <c r="M207" s="34" t="n">
        <f aca="false">ROUNDUP(L207,0)</f>
        <v>47</v>
      </c>
      <c r="N207" s="32" t="n">
        <v>28</v>
      </c>
      <c r="O207" s="34" t="n">
        <f aca="false">N207+L207</f>
        <v>74.9</v>
      </c>
      <c r="P207" s="34" t="n">
        <f aca="false">N207+M207</f>
        <v>75</v>
      </c>
      <c r="Q207" s="32" t="n">
        <v>69</v>
      </c>
      <c r="R207" s="32" t="n">
        <v>79</v>
      </c>
      <c r="S207" s="34" t="n">
        <f aca="false">(R207*70)/100</f>
        <v>55.3</v>
      </c>
      <c r="T207" s="34" t="n">
        <f aca="false">ROUNDUP(S207,0)</f>
        <v>56</v>
      </c>
      <c r="U207" s="32" t="n">
        <v>23</v>
      </c>
      <c r="V207" s="34" t="n">
        <f aca="false">U207+S207</f>
        <v>78.3</v>
      </c>
      <c r="W207" s="34" t="n">
        <f aca="false">U207+T207</f>
        <v>79</v>
      </c>
      <c r="X207" s="32" t="n">
        <v>76</v>
      </c>
      <c r="Y207" s="34" t="n">
        <f aca="false">(X207*70)/100</f>
        <v>53.2</v>
      </c>
      <c r="Z207" s="34" t="n">
        <f aca="false">ROUNDUP(Y207,0)</f>
        <v>54</v>
      </c>
      <c r="AA207" s="32" t="n">
        <v>23</v>
      </c>
      <c r="AB207" s="34" t="n">
        <f aca="false">AA207+Y207</f>
        <v>76.2</v>
      </c>
      <c r="AC207" s="34" t="n">
        <f aca="false">AA207+Z207</f>
        <v>77</v>
      </c>
      <c r="AD207" s="32" t="n">
        <f aca="false">X207+R207+Q207+K207+J207</f>
        <v>371</v>
      </c>
      <c r="AE207" s="16" t="n">
        <f aca="false">AD207/5</f>
        <v>74.2</v>
      </c>
      <c r="AF207" s="16" t="n">
        <v>79</v>
      </c>
      <c r="AG207" s="16" t="n">
        <v>79</v>
      </c>
      <c r="AH207" s="16" t="n">
        <v>95</v>
      </c>
      <c r="AI207" s="16" t="n">
        <v>97</v>
      </c>
      <c r="AJ207" s="16" t="n">
        <f aca="false">(AI207*70)/100</f>
        <v>67.9</v>
      </c>
      <c r="AK207" s="35" t="n">
        <f aca="false">ROUNDUP(AJ207,0)</f>
        <v>68</v>
      </c>
      <c r="AL207" s="16" t="n">
        <v>27</v>
      </c>
      <c r="AM207" s="16" t="n">
        <f aca="false">AL207+AJ207</f>
        <v>94.9</v>
      </c>
      <c r="AN207" s="16" t="n">
        <f aca="false">AL207+AK207</f>
        <v>95</v>
      </c>
      <c r="AO207" s="16" t="n">
        <v>78</v>
      </c>
      <c r="AP207" s="36" t="n">
        <f aca="false">(AO207*70)/100</f>
        <v>54.6</v>
      </c>
      <c r="AQ207" s="37" t="n">
        <f aca="false">ROUNDUP(AP207,0)</f>
        <v>55</v>
      </c>
      <c r="AR207" s="16" t="n">
        <v>30</v>
      </c>
      <c r="AS207" s="16" t="n">
        <f aca="false">AR207+AP207</f>
        <v>84.6</v>
      </c>
      <c r="AT207" s="16" t="n">
        <f aca="false">AR207+AQ207</f>
        <v>85</v>
      </c>
      <c r="AU207" s="16" t="n">
        <f aca="false">AO207+AF207+AI207+AH207+AG207</f>
        <v>428</v>
      </c>
      <c r="AV207" s="16" t="n">
        <f aca="false">(AO207+AF207+AI207+AH207+AG207)/5</f>
        <v>85.6</v>
      </c>
      <c r="AW207" s="36" t="n">
        <f aca="false">(AO207+AF207+AI207+AH207+AG207+X207+R207+Q207+K207+J207)</f>
        <v>799</v>
      </c>
      <c r="AX207" s="16" t="n">
        <f aca="false">AW207/10</f>
        <v>79.9</v>
      </c>
      <c r="AY207" s="16" t="n">
        <f aca="false">AS207+AF207+AM207+AH207+AG207+AB207+V207+Q207+O207+J207</f>
        <v>810.9</v>
      </c>
      <c r="AZ207" s="16" t="n">
        <f aca="false">AT207+AF207+AN207+AH207+AG207+AC207+W207+Q207+P207+J207</f>
        <v>813</v>
      </c>
      <c r="BA207" s="16" t="n">
        <f aca="false">AY207/10</f>
        <v>81.09</v>
      </c>
      <c r="BB207" s="16" t="n">
        <f aca="false">AZ207/10</f>
        <v>81.3</v>
      </c>
      <c r="BC207" s="16" t="n">
        <v>2337</v>
      </c>
      <c r="BD207" s="16" t="n">
        <f aca="false">RANK(AX207,$AX$2:$AX$881,0)</f>
        <v>272</v>
      </c>
      <c r="BE207" s="54" t="n">
        <f aca="false">((BC207*100)/2400)*0.4+(AX207*0.6)</f>
        <v>86.89</v>
      </c>
      <c r="BF207" s="16" t="n">
        <f aca="false">RANK(BE207,$BE$2:$BE$881,0)</f>
        <v>311</v>
      </c>
      <c r="BG207" s="39" t="n">
        <f aca="false">RANK(BB207,$BB$2:$BB$881,0)</f>
        <v>257</v>
      </c>
      <c r="BH207" s="39" t="n">
        <f aca="false">RANK(BC207,$BC$2:$BC$881,0)</f>
        <v>658</v>
      </c>
      <c r="BI207" s="22" t="s">
        <v>130</v>
      </c>
      <c r="BJ207" s="22" t="s">
        <v>129</v>
      </c>
      <c r="BK207" s="40" t="s">
        <v>131</v>
      </c>
      <c r="BL207" s="41" t="n">
        <v>25</v>
      </c>
      <c r="BM207" s="41" t="n">
        <v>50</v>
      </c>
      <c r="BN207" s="41" t="n">
        <v>75</v>
      </c>
      <c r="BO207" s="42" t="n">
        <v>25</v>
      </c>
      <c r="BP207" s="43" t="n">
        <v>61</v>
      </c>
      <c r="BQ207" s="44" t="n">
        <v>86</v>
      </c>
      <c r="BR207" s="42" t="n">
        <v>21</v>
      </c>
      <c r="BS207" s="45" t="n">
        <v>59</v>
      </c>
      <c r="BT207" s="45" t="n">
        <v>80</v>
      </c>
      <c r="BU207" s="46" t="n">
        <v>100</v>
      </c>
      <c r="BV207" s="47" t="n">
        <v>90</v>
      </c>
      <c r="BW207" s="42" t="n">
        <v>98</v>
      </c>
      <c r="BX207" s="48" t="n">
        <v>94</v>
      </c>
      <c r="BY207" s="32" t="n">
        <v>26</v>
      </c>
      <c r="BZ207" s="32" t="n">
        <v>58</v>
      </c>
      <c r="CA207" s="32" t="n">
        <v>84</v>
      </c>
      <c r="CB207" s="32" t="n">
        <v>22</v>
      </c>
      <c r="CC207" s="32" t="n">
        <v>51</v>
      </c>
      <c r="CD207" s="32" t="n">
        <v>73</v>
      </c>
      <c r="CE207" s="32" t="n">
        <v>26</v>
      </c>
      <c r="CF207" s="32" t="n">
        <v>57</v>
      </c>
      <c r="CG207" s="32" t="n">
        <v>83</v>
      </c>
      <c r="CH207" s="32" t="n">
        <v>90</v>
      </c>
      <c r="CI207" s="32" t="n">
        <v>88</v>
      </c>
      <c r="CJ207" s="49" t="n">
        <v>19</v>
      </c>
      <c r="CK207" s="49" t="n">
        <v>43</v>
      </c>
      <c r="CL207" s="49" t="n">
        <v>62</v>
      </c>
      <c r="CM207" s="49" t="n">
        <v>21</v>
      </c>
      <c r="CN207" s="49" t="n">
        <v>53</v>
      </c>
      <c r="CO207" s="49" t="n">
        <v>74</v>
      </c>
      <c r="CP207" s="25" t="n">
        <f aca="false">BX207+BW207+BV207+BU207+BT207+BQ207+BN207</f>
        <v>623</v>
      </c>
      <c r="CQ207" s="25" t="n">
        <f aca="false">CO207+CL207+CI207+CH207+CG207+CD207+CA207</f>
        <v>554</v>
      </c>
      <c r="CR207" s="26" t="n">
        <f aca="false">CP207/7</f>
        <v>89</v>
      </c>
      <c r="CS207" s="26" t="n">
        <f aca="false">CQ207/7</f>
        <v>79.1428571428571</v>
      </c>
      <c r="CT207" s="24" t="n">
        <f aca="false">RANK(CR207,$CR$2:$CR$881,0)</f>
        <v>244</v>
      </c>
      <c r="CU207" s="25" t="n">
        <f aca="false">RANK(CS207,$CS$2:$CS$881,0)</f>
        <v>296</v>
      </c>
      <c r="CV207" s="26" t="n">
        <f aca="false">(CS207+CR207)/2</f>
        <v>84.0714285714286</v>
      </c>
      <c r="CW207" s="25" t="n">
        <f aca="false">RANK(CV207,$CV$2:$CV$881,0)</f>
        <v>259</v>
      </c>
      <c r="CX207" s="50" t="n">
        <f aca="false">(CV207+BB207)/2</f>
        <v>82.6857142857143</v>
      </c>
      <c r="CY207" s="50" t="n">
        <v>223</v>
      </c>
      <c r="CZ207" s="27" t="s">
        <v>132</v>
      </c>
      <c r="DA207" s="27" t="s">
        <v>153</v>
      </c>
      <c r="DB207" s="27" t="s">
        <v>153</v>
      </c>
      <c r="DC207" s="27" t="s">
        <v>134</v>
      </c>
      <c r="DD207" s="27" t="s">
        <v>137</v>
      </c>
      <c r="DE207" s="27" t="s">
        <v>204</v>
      </c>
      <c r="DF207" s="27" t="s">
        <v>175</v>
      </c>
      <c r="DG207" s="27" t="s">
        <v>134</v>
      </c>
      <c r="DH207" s="27" t="s">
        <v>174</v>
      </c>
      <c r="DI207" s="27" t="s">
        <v>136</v>
      </c>
      <c r="DJ207" s="27" t="s">
        <v>175</v>
      </c>
      <c r="DK207" s="27" t="s">
        <v>134</v>
      </c>
      <c r="DL207" s="27" t="s">
        <v>174</v>
      </c>
      <c r="DM207" s="27" t="s">
        <v>306</v>
      </c>
      <c r="DN207" s="27" t="s">
        <v>382</v>
      </c>
      <c r="DO207" s="27" t="s">
        <v>134</v>
      </c>
      <c r="DP207" s="27" t="s">
        <v>135</v>
      </c>
      <c r="DQ207" s="27" t="s">
        <v>375</v>
      </c>
      <c r="DR207" s="27" t="s">
        <v>441</v>
      </c>
      <c r="DS207" s="27" t="s">
        <v>134</v>
      </c>
      <c r="DT207" s="27" t="s">
        <v>160</v>
      </c>
      <c r="DU207" s="27" t="s">
        <v>218</v>
      </c>
      <c r="DV207" s="27" t="s">
        <v>175</v>
      </c>
      <c r="DW207" s="27" t="s">
        <v>137</v>
      </c>
      <c r="DX207" s="27" t="s">
        <v>187</v>
      </c>
      <c r="DY207" s="27" t="s">
        <v>176</v>
      </c>
      <c r="DZ207" s="27" t="n">
        <f aca="false">DY207+DV207+DR207+DN207+DJ207+DF207+DB207</f>
        <v>589</v>
      </c>
      <c r="EA207" s="28" t="n">
        <f aca="false">DZ207/7</f>
        <v>84.1428571428571</v>
      </c>
      <c r="EB207" s="27" t="n">
        <f aca="false">RANK(EA207,$EA$2:$EA$881,0)</f>
        <v>218</v>
      </c>
      <c r="EC207" s="29" t="n">
        <f aca="false">DZ207+CQ207+CP207+AZ207</f>
        <v>2579</v>
      </c>
      <c r="ED207" s="30" t="n">
        <f aca="false">(EA207+CV207+BB207)/3</f>
        <v>83.1714285714286</v>
      </c>
      <c r="EE207" s="51" t="n">
        <f aca="false">ROUND(BE207,3)</f>
        <v>86.89</v>
      </c>
      <c r="EF207" s="51" t="n">
        <f aca="false">ROUND(CR207,3)</f>
        <v>89</v>
      </c>
      <c r="EG207" s="51" t="n">
        <f aca="false">ROUND(CS207,3)</f>
        <v>79.143</v>
      </c>
      <c r="EH207" s="51" t="n">
        <f aca="false">ROUND(EA207,3)</f>
        <v>84.143</v>
      </c>
      <c r="EI207" s="51" t="n">
        <f aca="false">ROUND(ED207,3)</f>
        <v>83.171</v>
      </c>
      <c r="EJ207" s="51" t="n">
        <f aca="false">ROUND(CV207,3)</f>
        <v>84.071</v>
      </c>
      <c r="EK207" s="0" t="n">
        <f aca="false">RANK(EI207,$EI$2:$EI$881,0)</f>
        <v>206</v>
      </c>
    </row>
    <row r="208" customFormat="false" ht="15" hidden="false" customHeight="false" outlineLevel="0" collapsed="false">
      <c r="A208" s="4" t="n">
        <v>8686</v>
      </c>
      <c r="B208" s="4" t="n">
        <v>598</v>
      </c>
      <c r="C208" s="27" t="s">
        <v>785</v>
      </c>
      <c r="D208" s="31" t="n">
        <v>606</v>
      </c>
      <c r="E208" s="32" t="n">
        <v>230321486</v>
      </c>
      <c r="F208" s="8" t="s">
        <v>786</v>
      </c>
      <c r="G208" s="22" t="s">
        <v>243</v>
      </c>
      <c r="H208" s="22" t="s">
        <v>129</v>
      </c>
      <c r="I208" s="33" t="n">
        <v>2006</v>
      </c>
      <c r="J208" s="32" t="n">
        <v>73</v>
      </c>
      <c r="K208" s="32" t="n">
        <v>85</v>
      </c>
      <c r="L208" s="34" t="n">
        <f aca="false">(K208*70)/100</f>
        <v>59.5</v>
      </c>
      <c r="M208" s="34" t="n">
        <f aca="false">ROUNDUP(L208,0)</f>
        <v>60</v>
      </c>
      <c r="N208" s="32" t="n">
        <v>28</v>
      </c>
      <c r="O208" s="34" t="n">
        <f aca="false">N208+L208</f>
        <v>87.5</v>
      </c>
      <c r="P208" s="34" t="n">
        <f aca="false">N208+M208</f>
        <v>88</v>
      </c>
      <c r="Q208" s="32" t="n">
        <v>67</v>
      </c>
      <c r="R208" s="32" t="n">
        <v>70</v>
      </c>
      <c r="S208" s="34" t="n">
        <f aca="false">(R208*70)/100</f>
        <v>49</v>
      </c>
      <c r="T208" s="34" t="n">
        <f aca="false">ROUNDUP(S208,0)</f>
        <v>49</v>
      </c>
      <c r="U208" s="32" t="n">
        <v>25</v>
      </c>
      <c r="V208" s="34" t="n">
        <f aca="false">U208+S208</f>
        <v>74</v>
      </c>
      <c r="W208" s="34" t="n">
        <f aca="false">U208+T208</f>
        <v>74</v>
      </c>
      <c r="X208" s="32" t="n">
        <v>75</v>
      </c>
      <c r="Y208" s="34" t="n">
        <f aca="false">(X208*70)/100</f>
        <v>52.5</v>
      </c>
      <c r="Z208" s="34" t="n">
        <f aca="false">ROUNDUP(Y208,0)</f>
        <v>53</v>
      </c>
      <c r="AA208" s="32" t="n">
        <v>25</v>
      </c>
      <c r="AB208" s="34" t="n">
        <f aca="false">AA208+Y208</f>
        <v>77.5</v>
      </c>
      <c r="AC208" s="34" t="n">
        <f aca="false">AA208+Z208</f>
        <v>78</v>
      </c>
      <c r="AD208" s="32" t="n">
        <f aca="false">X208+R208+Q208+K208+J208</f>
        <v>370</v>
      </c>
      <c r="AE208" s="16" t="n">
        <f aca="false">AD208/5</f>
        <v>74</v>
      </c>
      <c r="AF208" s="16" t="n">
        <v>83</v>
      </c>
      <c r="AG208" s="16" t="n">
        <v>79</v>
      </c>
      <c r="AH208" s="16" t="n">
        <v>91</v>
      </c>
      <c r="AI208" s="16" t="n">
        <v>88</v>
      </c>
      <c r="AJ208" s="16" t="n">
        <f aca="false">(AI208*70)/100</f>
        <v>61.6</v>
      </c>
      <c r="AK208" s="35" t="n">
        <f aca="false">ROUNDUP(AJ208,0)</f>
        <v>62</v>
      </c>
      <c r="AL208" s="16" t="n">
        <v>27</v>
      </c>
      <c r="AM208" s="16" t="n">
        <f aca="false">AL208+AJ208</f>
        <v>88.6</v>
      </c>
      <c r="AN208" s="16" t="n">
        <f aca="false">AL208+AK208</f>
        <v>89</v>
      </c>
      <c r="AO208" s="16" t="n">
        <v>78</v>
      </c>
      <c r="AP208" s="36" t="n">
        <f aca="false">(AO208*70)/100</f>
        <v>54.6</v>
      </c>
      <c r="AQ208" s="37" t="n">
        <f aca="false">ROUNDUP(AP208,0)</f>
        <v>55</v>
      </c>
      <c r="AR208" s="16" t="n">
        <v>26</v>
      </c>
      <c r="AS208" s="16" t="n">
        <f aca="false">AR208+AP208</f>
        <v>80.6</v>
      </c>
      <c r="AT208" s="16" t="n">
        <f aca="false">AR208+AQ208</f>
        <v>81</v>
      </c>
      <c r="AU208" s="16" t="n">
        <f aca="false">AO208+AF208+AI208+AH208+AG208</f>
        <v>419</v>
      </c>
      <c r="AV208" s="16" t="n">
        <f aca="false">(AO208+AF208+AI208+AH208+AG208)/5</f>
        <v>83.8</v>
      </c>
      <c r="AW208" s="36" t="n">
        <f aca="false">(AO208+AF208+AI208+AH208+AG208+X208+R208+Q208+K208+J208)</f>
        <v>789</v>
      </c>
      <c r="AX208" s="16" t="n">
        <f aca="false">AW208/10</f>
        <v>78.9</v>
      </c>
      <c r="AY208" s="16" t="n">
        <f aca="false">AS208+AF208+AM208+AH208+AG208+AB208+V208+Q208+O208+J208</f>
        <v>801.2</v>
      </c>
      <c r="AZ208" s="16" t="n">
        <f aca="false">AT208+AF208+AN208+AH208+AG208+AC208+W208+Q208+P208+J208</f>
        <v>803</v>
      </c>
      <c r="BA208" s="16" t="n">
        <f aca="false">AY208/10</f>
        <v>80.12</v>
      </c>
      <c r="BB208" s="16" t="n">
        <f aca="false">AZ208/10</f>
        <v>80.3</v>
      </c>
      <c r="BC208" s="16" t="n">
        <v>2367</v>
      </c>
      <c r="BD208" s="16" t="n">
        <f aca="false">RANK(AX208,$AX$2:$AX$881,0)</f>
        <v>339</v>
      </c>
      <c r="BE208" s="54" t="n">
        <f aca="false">((BC208*100)/2400)*0.4+(AX208*0.6)</f>
        <v>86.79</v>
      </c>
      <c r="BF208" s="16" t="n">
        <f aca="false">RANK(BE208,$BE$2:$BE$881,0)</f>
        <v>321</v>
      </c>
      <c r="BG208" s="39" t="n">
        <f aca="false">RANK(BB208,$BB$2:$BB$881,0)</f>
        <v>327</v>
      </c>
      <c r="BH208" s="39" t="n">
        <f aca="false">RANK(BC208,$BC$2:$BC$881,0)</f>
        <v>308</v>
      </c>
      <c r="BI208" s="22" t="s">
        <v>130</v>
      </c>
      <c r="BJ208" s="22" t="s">
        <v>129</v>
      </c>
      <c r="BK208" s="40" t="s">
        <v>131</v>
      </c>
      <c r="BL208" s="41" t="n">
        <v>25</v>
      </c>
      <c r="BM208" s="41" t="n">
        <v>55</v>
      </c>
      <c r="BN208" s="41" t="n">
        <v>80</v>
      </c>
      <c r="BO208" s="42" t="n">
        <v>27</v>
      </c>
      <c r="BP208" s="43" t="n">
        <v>65</v>
      </c>
      <c r="BQ208" s="44" t="n">
        <v>92</v>
      </c>
      <c r="BR208" s="42" t="n">
        <v>25</v>
      </c>
      <c r="BS208" s="45" t="n">
        <v>61</v>
      </c>
      <c r="BT208" s="45" t="n">
        <v>86</v>
      </c>
      <c r="BU208" s="46" t="n">
        <v>100</v>
      </c>
      <c r="BV208" s="47" t="n">
        <v>94</v>
      </c>
      <c r="BW208" s="42" t="n">
        <v>99</v>
      </c>
      <c r="BX208" s="48" t="n">
        <v>86</v>
      </c>
      <c r="BY208" s="32" t="n">
        <v>27</v>
      </c>
      <c r="BZ208" s="32" t="n">
        <v>52</v>
      </c>
      <c r="CA208" s="32" t="n">
        <v>79</v>
      </c>
      <c r="CB208" s="32" t="n">
        <v>27</v>
      </c>
      <c r="CC208" s="32" t="n">
        <v>41</v>
      </c>
      <c r="CD208" s="32" t="n">
        <v>68</v>
      </c>
      <c r="CE208" s="32" t="n">
        <v>27</v>
      </c>
      <c r="CF208" s="32" t="n">
        <v>57</v>
      </c>
      <c r="CG208" s="32" t="n">
        <v>84</v>
      </c>
      <c r="CH208" s="32" t="n">
        <v>95</v>
      </c>
      <c r="CI208" s="32" t="n">
        <v>96</v>
      </c>
      <c r="CJ208" s="49" t="n">
        <v>29</v>
      </c>
      <c r="CK208" s="49" t="n">
        <v>54</v>
      </c>
      <c r="CL208" s="49" t="n">
        <v>83</v>
      </c>
      <c r="CM208" s="49" t="n">
        <v>22</v>
      </c>
      <c r="CN208" s="49" t="n">
        <v>48</v>
      </c>
      <c r="CO208" s="49" t="n">
        <v>70</v>
      </c>
      <c r="CP208" s="25" t="n">
        <f aca="false">BX208+BW208+BV208+BU208+BT208+BQ208+BN208</f>
        <v>637</v>
      </c>
      <c r="CQ208" s="25" t="n">
        <f aca="false">CO208+CL208+CI208+CH208+CG208+CD208+CA208</f>
        <v>575</v>
      </c>
      <c r="CR208" s="26" t="n">
        <f aca="false">CP208/7</f>
        <v>91</v>
      </c>
      <c r="CS208" s="26" t="n">
        <f aca="false">CQ208/7</f>
        <v>82.1428571428571</v>
      </c>
      <c r="CT208" s="24" t="n">
        <f aca="false">RANK(CR208,$CR$2:$CR$881,0)</f>
        <v>130</v>
      </c>
      <c r="CU208" s="25" t="n">
        <f aca="false">RANK(CS208,$CS$2:$CS$881,0)</f>
        <v>188</v>
      </c>
      <c r="CV208" s="26" t="n">
        <f aca="false">(CS208+CR208)/2</f>
        <v>86.5714285714286</v>
      </c>
      <c r="CW208" s="25" t="n">
        <f aca="false">RANK(CV208,$CV$2:$CV$881,0)</f>
        <v>152</v>
      </c>
      <c r="CX208" s="50" t="n">
        <f aca="false">(CV208+BB208)/2</f>
        <v>83.4357142857143</v>
      </c>
      <c r="CY208" s="50" t="n">
        <v>196</v>
      </c>
      <c r="CZ208" s="27" t="s">
        <v>132</v>
      </c>
      <c r="DA208" s="27" t="s">
        <v>202</v>
      </c>
      <c r="DB208" s="27" t="s">
        <v>202</v>
      </c>
      <c r="DC208" s="27" t="s">
        <v>134</v>
      </c>
      <c r="DD208" s="27" t="s">
        <v>135</v>
      </c>
      <c r="DE208" s="27" t="s">
        <v>447</v>
      </c>
      <c r="DF208" s="27" t="s">
        <v>305</v>
      </c>
      <c r="DG208" s="27" t="s">
        <v>134</v>
      </c>
      <c r="DH208" s="27" t="s">
        <v>135</v>
      </c>
      <c r="DI208" s="27" t="s">
        <v>183</v>
      </c>
      <c r="DJ208" s="27" t="s">
        <v>169</v>
      </c>
      <c r="DK208" s="27" t="s">
        <v>134</v>
      </c>
      <c r="DL208" s="27" t="s">
        <v>135</v>
      </c>
      <c r="DM208" s="27" t="s">
        <v>204</v>
      </c>
      <c r="DN208" s="27" t="s">
        <v>209</v>
      </c>
      <c r="DO208" s="27" t="s">
        <v>134</v>
      </c>
      <c r="DP208" s="27" t="s">
        <v>195</v>
      </c>
      <c r="DQ208" s="27" t="s">
        <v>306</v>
      </c>
      <c r="DR208" s="27" t="s">
        <v>443</v>
      </c>
      <c r="DS208" s="27" t="s">
        <v>134</v>
      </c>
      <c r="DT208" s="27" t="s">
        <v>146</v>
      </c>
      <c r="DU208" s="27" t="s">
        <v>447</v>
      </c>
      <c r="DV208" s="27" t="s">
        <v>169</v>
      </c>
      <c r="DW208" s="27" t="s">
        <v>191</v>
      </c>
      <c r="DX208" s="27" t="s">
        <v>141</v>
      </c>
      <c r="DY208" s="27" t="s">
        <v>178</v>
      </c>
      <c r="DZ208" s="27" t="n">
        <f aca="false">DY208+DV208+DR208+DN208+DJ208+DF208+DB208</f>
        <v>577</v>
      </c>
      <c r="EA208" s="28" t="n">
        <f aca="false">DZ208/7</f>
        <v>82.4285714285714</v>
      </c>
      <c r="EB208" s="27" t="n">
        <f aca="false">RANK(EA208,$EA$2:$EA$881,0)</f>
        <v>295</v>
      </c>
      <c r="EC208" s="29" t="n">
        <f aca="false">DZ208+CQ208+CP208+AZ208</f>
        <v>2592</v>
      </c>
      <c r="ED208" s="30" t="n">
        <f aca="false">(EA208+CV208+BB208)/3</f>
        <v>83.1</v>
      </c>
      <c r="EE208" s="51" t="n">
        <f aca="false">ROUND(BE208,3)</f>
        <v>86.79</v>
      </c>
      <c r="EF208" s="51" t="n">
        <f aca="false">ROUND(CR208,3)</f>
        <v>91</v>
      </c>
      <c r="EG208" s="51" t="n">
        <f aca="false">ROUND(CS208,3)</f>
        <v>82.143</v>
      </c>
      <c r="EH208" s="51" t="n">
        <f aca="false">ROUND(EA208,3)</f>
        <v>82.429</v>
      </c>
      <c r="EI208" s="51" t="n">
        <f aca="false">ROUND(ED208,3)</f>
        <v>83.1</v>
      </c>
      <c r="EJ208" s="51" t="n">
        <f aca="false">ROUND(CV208,3)</f>
        <v>86.571</v>
      </c>
      <c r="EK208" s="0" t="n">
        <f aca="false">RANK(EI208,$EI$2:$EI$881,0)</f>
        <v>207</v>
      </c>
    </row>
    <row r="209" customFormat="false" ht="15" hidden="false" customHeight="false" outlineLevel="0" collapsed="false">
      <c r="A209" s="4" t="n">
        <v>8894</v>
      </c>
      <c r="B209" s="4" t="n">
        <v>126</v>
      </c>
      <c r="C209" s="27" t="s">
        <v>787</v>
      </c>
      <c r="D209" s="31" t="n">
        <v>124</v>
      </c>
      <c r="E209" s="16" t="n">
        <v>230243599</v>
      </c>
      <c r="F209" s="56" t="s">
        <v>788</v>
      </c>
      <c r="G209" s="22" t="s">
        <v>789</v>
      </c>
      <c r="H209" s="22" t="s">
        <v>326</v>
      </c>
      <c r="I209" s="57"/>
      <c r="J209" s="16" t="n">
        <v>66</v>
      </c>
      <c r="K209" s="16" t="n">
        <v>78</v>
      </c>
      <c r="L209" s="34" t="n">
        <f aca="false">(K209*70)/100</f>
        <v>54.6</v>
      </c>
      <c r="M209" s="34" t="n">
        <f aca="false">ROUNDUP(L209,0)</f>
        <v>55</v>
      </c>
      <c r="N209" s="16" t="n">
        <v>24</v>
      </c>
      <c r="O209" s="34" t="n">
        <f aca="false">N209+L209</f>
        <v>78.6</v>
      </c>
      <c r="P209" s="34" t="n">
        <f aca="false">N209+M209</f>
        <v>79</v>
      </c>
      <c r="Q209" s="16" t="n">
        <v>70</v>
      </c>
      <c r="R209" s="16" t="n">
        <v>80</v>
      </c>
      <c r="S209" s="34" t="n">
        <f aca="false">(R209*70)/100</f>
        <v>56</v>
      </c>
      <c r="T209" s="34" t="n">
        <f aca="false">ROUNDUP(S209,0)</f>
        <v>56</v>
      </c>
      <c r="U209" s="16" t="n">
        <v>26</v>
      </c>
      <c r="V209" s="34" t="n">
        <f aca="false">U209+S209</f>
        <v>82</v>
      </c>
      <c r="W209" s="34" t="n">
        <f aca="false">U209+T209</f>
        <v>82</v>
      </c>
      <c r="X209" s="16" t="n">
        <v>81</v>
      </c>
      <c r="Y209" s="34" t="n">
        <f aca="false">(X209*70)/100</f>
        <v>56.7</v>
      </c>
      <c r="Z209" s="34" t="n">
        <f aca="false">ROUNDUP(Y209,0)</f>
        <v>57</v>
      </c>
      <c r="AA209" s="16" t="n">
        <v>26</v>
      </c>
      <c r="AB209" s="34" t="n">
        <f aca="false">AA209+Y209</f>
        <v>82.7</v>
      </c>
      <c r="AC209" s="34" t="n">
        <f aca="false">AA209+Z209</f>
        <v>83</v>
      </c>
      <c r="AD209" s="32" t="n">
        <f aca="false">X209+R209+Q209+K209+J209</f>
        <v>375</v>
      </c>
      <c r="AE209" s="16" t="n">
        <f aca="false">AD209/5</f>
        <v>75</v>
      </c>
      <c r="AF209" s="16" t="n">
        <v>74</v>
      </c>
      <c r="AG209" s="16" t="n">
        <v>78</v>
      </c>
      <c r="AH209" s="16" t="n">
        <v>89</v>
      </c>
      <c r="AI209" s="16" t="n">
        <v>93</v>
      </c>
      <c r="AJ209" s="16" t="n">
        <f aca="false">(AI209*70)/100</f>
        <v>65.1</v>
      </c>
      <c r="AK209" s="35" t="n">
        <f aca="false">ROUNDUP(AJ209,0)</f>
        <v>66</v>
      </c>
      <c r="AL209" s="16" t="n">
        <v>24</v>
      </c>
      <c r="AM209" s="16" t="n">
        <f aca="false">AL209+AJ209</f>
        <v>89.1</v>
      </c>
      <c r="AN209" s="16" t="n">
        <f aca="false">AL209+AK209</f>
        <v>90</v>
      </c>
      <c r="AO209" s="16" t="n">
        <v>81</v>
      </c>
      <c r="AP209" s="36" t="n">
        <f aca="false">(AO209*70)/100</f>
        <v>56.7</v>
      </c>
      <c r="AQ209" s="37" t="n">
        <f aca="false">ROUNDUP(AP209,0)</f>
        <v>57</v>
      </c>
      <c r="AR209" s="16" t="n">
        <v>28</v>
      </c>
      <c r="AS209" s="16" t="n">
        <f aca="false">AR209+AP209</f>
        <v>84.7</v>
      </c>
      <c r="AT209" s="16" t="n">
        <f aca="false">AR209+AQ209</f>
        <v>85</v>
      </c>
      <c r="AU209" s="16" t="n">
        <f aca="false">AO209+AF209+AI209+AH209+AG209</f>
        <v>415</v>
      </c>
      <c r="AV209" s="16" t="n">
        <f aca="false">(AO209+AF209+AI209+AH209+AG209)/5</f>
        <v>83</v>
      </c>
      <c r="AW209" s="36" t="n">
        <f aca="false">(AO209+AF209+AI209+AH209+AG209+X209+R209+Q209+K209+J209)</f>
        <v>790</v>
      </c>
      <c r="AX209" s="16" t="n">
        <f aca="false">AW209/10</f>
        <v>79</v>
      </c>
      <c r="AY209" s="16" t="n">
        <f aca="false">AS209+AF209+AM209+AH209+AG209+AB209+V209+Q209+O209+J209</f>
        <v>794.1</v>
      </c>
      <c r="AZ209" s="16" t="n">
        <f aca="false">AT209+AF209+AN209+AH209+AG209+AC209+W209+Q209+P209+J209</f>
        <v>796</v>
      </c>
      <c r="BA209" s="16" t="n">
        <f aca="false">AY209/10</f>
        <v>79.41</v>
      </c>
      <c r="BB209" s="16" t="n">
        <f aca="false">AZ209/10</f>
        <v>79.6</v>
      </c>
      <c r="BC209" s="16" t="n">
        <v>2350</v>
      </c>
      <c r="BD209" s="16" t="n">
        <f aca="false">RANK(AX209,$AX$2:$AX$881,0)</f>
        <v>330</v>
      </c>
      <c r="BE209" s="54" t="n">
        <f aca="false">((BC209*100)/2400)*0.4+(AX209*0.6)</f>
        <v>86.5666666666667</v>
      </c>
      <c r="BF209" s="16" t="n">
        <f aca="false">RANK(BE209,$BE$2:$BE$881,0)</f>
        <v>344</v>
      </c>
      <c r="BG209" s="39" t="n">
        <f aca="false">RANK(BB209,$BB$2:$BB$881,0)</f>
        <v>392</v>
      </c>
      <c r="BH209" s="39" t="n">
        <f aca="false">RANK(BC209,$BC$2:$BC$881,0)</f>
        <v>532</v>
      </c>
      <c r="BI209" s="22" t="s">
        <v>130</v>
      </c>
      <c r="BJ209" s="22" t="s">
        <v>129</v>
      </c>
      <c r="BK209" s="40" t="s">
        <v>131</v>
      </c>
      <c r="BL209" s="41" t="n">
        <v>24</v>
      </c>
      <c r="BM209" s="41" t="n">
        <v>55</v>
      </c>
      <c r="BN209" s="41" t="n">
        <v>79</v>
      </c>
      <c r="BO209" s="42" t="n">
        <v>26</v>
      </c>
      <c r="BP209" s="43" t="n">
        <v>65</v>
      </c>
      <c r="BQ209" s="44" t="n">
        <v>91</v>
      </c>
      <c r="BR209" s="42" t="n">
        <v>28</v>
      </c>
      <c r="BS209" s="45" t="n">
        <v>53</v>
      </c>
      <c r="BT209" s="45" t="n">
        <v>81</v>
      </c>
      <c r="BU209" s="46" t="n">
        <v>100</v>
      </c>
      <c r="BV209" s="47" t="n">
        <v>78</v>
      </c>
      <c r="BW209" s="42" t="n">
        <v>100</v>
      </c>
      <c r="BX209" s="48" t="n">
        <v>90</v>
      </c>
      <c r="BY209" s="32" t="n">
        <v>27</v>
      </c>
      <c r="BZ209" s="32" t="n">
        <v>58</v>
      </c>
      <c r="CA209" s="32" t="n">
        <v>85</v>
      </c>
      <c r="CB209" s="32" t="n">
        <v>15</v>
      </c>
      <c r="CC209" s="32" t="n">
        <v>36</v>
      </c>
      <c r="CD209" s="69" t="n">
        <v>51</v>
      </c>
      <c r="CE209" s="32" t="n">
        <v>29</v>
      </c>
      <c r="CF209" s="32" t="n">
        <v>61</v>
      </c>
      <c r="CG209" s="32" t="n">
        <v>90</v>
      </c>
      <c r="CH209" s="32" t="n">
        <v>98</v>
      </c>
      <c r="CI209" s="32" t="n">
        <v>96</v>
      </c>
      <c r="CJ209" s="49" t="n">
        <v>23</v>
      </c>
      <c r="CK209" s="49" t="n">
        <v>50</v>
      </c>
      <c r="CL209" s="49" t="n">
        <v>73</v>
      </c>
      <c r="CM209" s="49" t="n">
        <v>25</v>
      </c>
      <c r="CN209" s="49" t="n">
        <v>51</v>
      </c>
      <c r="CO209" s="49" t="n">
        <v>76</v>
      </c>
      <c r="CP209" s="25" t="n">
        <f aca="false">BX209+BW209+BV209+BU209+BT209+BQ209+BN209</f>
        <v>619</v>
      </c>
      <c r="CQ209" s="25" t="n">
        <f aca="false">CO209+CL209+CI209+CH209+CG209+CD209+CA209</f>
        <v>569</v>
      </c>
      <c r="CR209" s="26" t="n">
        <f aca="false">CP209/7</f>
        <v>88.4285714285714</v>
      </c>
      <c r="CS209" s="26" t="n">
        <f aca="false">CQ209/7</f>
        <v>81.2857142857143</v>
      </c>
      <c r="CT209" s="24" t="n">
        <f aca="false">RANK(CR209,$CR$2:$CR$881,0)</f>
        <v>276</v>
      </c>
      <c r="CU209" s="25" t="n">
        <f aca="false">RANK(CS209,$CS$2:$CS$881,0)</f>
        <v>216</v>
      </c>
      <c r="CV209" s="26" t="n">
        <f aca="false">(CS209+CR209)/2</f>
        <v>84.8571428571429</v>
      </c>
      <c r="CW209" s="25" t="n">
        <f aca="false">RANK(CV209,$CV$2:$CV$881,0)</f>
        <v>220</v>
      </c>
      <c r="CX209" s="50" t="n">
        <f aca="false">(CV209+BB209)/2</f>
        <v>82.2285714285714</v>
      </c>
      <c r="CY209" s="50" t="n">
        <v>253</v>
      </c>
      <c r="CZ209" s="27" t="s">
        <v>132</v>
      </c>
      <c r="DA209" s="27" t="s">
        <v>205</v>
      </c>
      <c r="DB209" s="27" t="s">
        <v>205</v>
      </c>
      <c r="DC209" s="27" t="s">
        <v>134</v>
      </c>
      <c r="DD209" s="27" t="s">
        <v>135</v>
      </c>
      <c r="DE209" s="27" t="s">
        <v>306</v>
      </c>
      <c r="DF209" s="27" t="s">
        <v>219</v>
      </c>
      <c r="DG209" s="27" t="s">
        <v>134</v>
      </c>
      <c r="DH209" s="27" t="s">
        <v>160</v>
      </c>
      <c r="DI209" s="27" t="s">
        <v>163</v>
      </c>
      <c r="DJ209" s="27" t="s">
        <v>151</v>
      </c>
      <c r="DK209" s="27" t="s">
        <v>134</v>
      </c>
      <c r="DL209" s="27" t="s">
        <v>164</v>
      </c>
      <c r="DM209" s="27" t="s">
        <v>220</v>
      </c>
      <c r="DN209" s="27" t="s">
        <v>169</v>
      </c>
      <c r="DO209" s="27" t="s">
        <v>134</v>
      </c>
      <c r="DP209" s="27" t="s">
        <v>135</v>
      </c>
      <c r="DQ209" s="27" t="s">
        <v>183</v>
      </c>
      <c r="DR209" s="27" t="s">
        <v>169</v>
      </c>
      <c r="DS209" s="27" t="s">
        <v>134</v>
      </c>
      <c r="DT209" s="27" t="s">
        <v>160</v>
      </c>
      <c r="DU209" s="27" t="s">
        <v>306</v>
      </c>
      <c r="DV209" s="27" t="s">
        <v>169</v>
      </c>
      <c r="DW209" s="27" t="s">
        <v>182</v>
      </c>
      <c r="DX209" s="27" t="s">
        <v>163</v>
      </c>
      <c r="DY209" s="27" t="s">
        <v>162</v>
      </c>
      <c r="DZ209" s="27" t="n">
        <f aca="false">DY209+DV209+DR209+DN209+DJ209+DF209+DB209</f>
        <v>593</v>
      </c>
      <c r="EA209" s="28" t="n">
        <f aca="false">DZ209/7</f>
        <v>84.7142857142857</v>
      </c>
      <c r="EB209" s="27" t="n">
        <f aca="false">RANK(EA209,$EA$2:$EA$881,0)</f>
        <v>195</v>
      </c>
      <c r="EC209" s="29" t="n">
        <f aca="false">DZ209+CQ209+CP209+AZ209</f>
        <v>2577</v>
      </c>
      <c r="ED209" s="30" t="n">
        <f aca="false">(EA209+CV209+BB209)/3</f>
        <v>83.0571428571429</v>
      </c>
      <c r="EE209" s="51" t="n">
        <f aca="false">ROUND(BE209,3)</f>
        <v>86.567</v>
      </c>
      <c r="EF209" s="51" t="n">
        <f aca="false">ROUND(CR209,3)</f>
        <v>88.429</v>
      </c>
      <c r="EG209" s="51" t="n">
        <f aca="false">ROUND(CS209,3)</f>
        <v>81.286</v>
      </c>
      <c r="EH209" s="51" t="n">
        <f aca="false">ROUND(EA209,3)</f>
        <v>84.714</v>
      </c>
      <c r="EI209" s="51" t="n">
        <f aca="false">ROUND(ED209,3)</f>
        <v>83.057</v>
      </c>
      <c r="EJ209" s="51" t="n">
        <f aca="false">ROUND(CV209,3)</f>
        <v>84.857</v>
      </c>
      <c r="EK209" s="0" t="n">
        <f aca="false">RANK(EI209,$EI$2:$EI$881,0)</f>
        <v>208</v>
      </c>
    </row>
    <row r="210" customFormat="false" ht="15" hidden="false" customHeight="false" outlineLevel="0" collapsed="false">
      <c r="A210" s="4" t="n">
        <v>8880</v>
      </c>
      <c r="B210" s="4" t="n">
        <v>802</v>
      </c>
      <c r="C210" s="27" t="s">
        <v>790</v>
      </c>
      <c r="D210" s="31" t="n">
        <v>821</v>
      </c>
      <c r="E210" s="32" t="n">
        <v>230324888</v>
      </c>
      <c r="F210" s="8" t="s">
        <v>791</v>
      </c>
      <c r="G210" s="22" t="s">
        <v>792</v>
      </c>
      <c r="H210" s="22" t="s">
        <v>129</v>
      </c>
      <c r="I210" s="33" t="n">
        <v>2006</v>
      </c>
      <c r="J210" s="32" t="n">
        <v>67</v>
      </c>
      <c r="K210" s="32" t="n">
        <v>87</v>
      </c>
      <c r="L210" s="34" t="n">
        <f aca="false">(K210*70)/100</f>
        <v>60.9</v>
      </c>
      <c r="M210" s="34" t="n">
        <f aca="false">ROUNDUP(L210,0)</f>
        <v>61</v>
      </c>
      <c r="N210" s="32" t="n">
        <v>23</v>
      </c>
      <c r="O210" s="34" t="n">
        <f aca="false">N210+L210</f>
        <v>83.9</v>
      </c>
      <c r="P210" s="34" t="n">
        <f aca="false">N210+M210</f>
        <v>84</v>
      </c>
      <c r="Q210" s="32" t="n">
        <v>67</v>
      </c>
      <c r="R210" s="32" t="n">
        <v>80</v>
      </c>
      <c r="S210" s="34" t="n">
        <f aca="false">(R210*70)/100</f>
        <v>56</v>
      </c>
      <c r="T210" s="34" t="n">
        <f aca="false">ROUNDUP(S210,0)</f>
        <v>56</v>
      </c>
      <c r="U210" s="32" t="n">
        <v>18</v>
      </c>
      <c r="V210" s="34" t="n">
        <f aca="false">U210+S210</f>
        <v>74</v>
      </c>
      <c r="W210" s="34" t="n">
        <f aca="false">U210+T210</f>
        <v>74</v>
      </c>
      <c r="X210" s="32" t="n">
        <v>67</v>
      </c>
      <c r="Y210" s="34" t="n">
        <f aca="false">(X210*70)/100</f>
        <v>46.9</v>
      </c>
      <c r="Z210" s="34" t="n">
        <f aca="false">ROUNDUP(Y210,0)</f>
        <v>47</v>
      </c>
      <c r="AA210" s="32" t="n">
        <v>24</v>
      </c>
      <c r="AB210" s="34" t="n">
        <f aca="false">AA210+Y210</f>
        <v>70.9</v>
      </c>
      <c r="AC210" s="34" t="n">
        <f aca="false">AA210+Z210</f>
        <v>71</v>
      </c>
      <c r="AD210" s="32" t="n">
        <f aca="false">X210+R210+Q210+K210+J210</f>
        <v>368</v>
      </c>
      <c r="AE210" s="16" t="n">
        <f aca="false">AD210/5</f>
        <v>73.6</v>
      </c>
      <c r="AF210" s="16" t="n">
        <v>77</v>
      </c>
      <c r="AG210" s="16" t="n">
        <v>80</v>
      </c>
      <c r="AH210" s="16" t="n">
        <v>95</v>
      </c>
      <c r="AI210" s="16" t="n">
        <v>96</v>
      </c>
      <c r="AJ210" s="16" t="n">
        <f aca="false">(AI210*70)/100</f>
        <v>67.2</v>
      </c>
      <c r="AK210" s="35" t="n">
        <f aca="false">ROUNDUP(AJ210,0)</f>
        <v>68</v>
      </c>
      <c r="AL210" s="16" t="n">
        <v>24</v>
      </c>
      <c r="AM210" s="16" t="n">
        <f aca="false">AL210+AJ210</f>
        <v>91.2</v>
      </c>
      <c r="AN210" s="16" t="n">
        <f aca="false">AL210+AK210</f>
        <v>92</v>
      </c>
      <c r="AO210" s="16" t="n">
        <v>77</v>
      </c>
      <c r="AP210" s="36" t="n">
        <f aca="false">(AO210*70)/100</f>
        <v>53.9</v>
      </c>
      <c r="AQ210" s="37" t="n">
        <f aca="false">ROUNDUP(AP210,0)</f>
        <v>54</v>
      </c>
      <c r="AR210" s="16" t="n">
        <v>29</v>
      </c>
      <c r="AS210" s="16" t="n">
        <f aca="false">AR210+AP210</f>
        <v>82.9</v>
      </c>
      <c r="AT210" s="16" t="n">
        <f aca="false">AR210+AQ210</f>
        <v>83</v>
      </c>
      <c r="AU210" s="16" t="n">
        <f aca="false">AO210+AF210+AI210+AH210+AG210</f>
        <v>425</v>
      </c>
      <c r="AV210" s="16" t="n">
        <f aca="false">(AO210+AF210+AI210+AH210+AG210)/5</f>
        <v>85</v>
      </c>
      <c r="AW210" s="36" t="n">
        <f aca="false">(AO210+AF210+AI210+AH210+AG210+X210+R210+Q210+K210+J210)</f>
        <v>793</v>
      </c>
      <c r="AX210" s="16" t="n">
        <f aca="false">AW210/10</f>
        <v>79.3</v>
      </c>
      <c r="AY210" s="16" t="n">
        <f aca="false">AS210+AF210+AM210+AH210+AG210+AB210+V210+Q210+O210+J210</f>
        <v>788.9</v>
      </c>
      <c r="AZ210" s="16" t="n">
        <f aca="false">AT210+AF210+AN210+AH210+AG210+AC210+W210+Q210+P210+J210</f>
        <v>790</v>
      </c>
      <c r="BA210" s="16" t="n">
        <f aca="false">AY210/10</f>
        <v>78.89</v>
      </c>
      <c r="BB210" s="16" t="n">
        <f aca="false">AZ210/10</f>
        <v>79</v>
      </c>
      <c r="BC210" s="16" t="n">
        <v>2363</v>
      </c>
      <c r="BD210" s="16" t="n">
        <f aca="false">RANK(AX210,$AX$2:$AX$881,0)</f>
        <v>309</v>
      </c>
      <c r="BE210" s="54" t="n">
        <f aca="false">((BC210*100)/2400)*0.4+(AX210*0.6)</f>
        <v>86.9633333333333</v>
      </c>
      <c r="BF210" s="16" t="n">
        <f aca="false">RANK(BE210,$BE$2:$BE$881,0)</f>
        <v>299</v>
      </c>
      <c r="BG210" s="39" t="n">
        <f aca="false">RANK(BB210,$BB$2:$BB$881,0)</f>
        <v>457</v>
      </c>
      <c r="BH210" s="39" t="n">
        <f aca="false">RANK(BC210,$BC$2:$BC$881,0)</f>
        <v>356</v>
      </c>
      <c r="BI210" s="22" t="s">
        <v>130</v>
      </c>
      <c r="BJ210" s="22" t="s">
        <v>129</v>
      </c>
      <c r="BK210" s="40" t="s">
        <v>131</v>
      </c>
      <c r="BL210" s="41" t="n">
        <v>23</v>
      </c>
      <c r="BM210" s="41" t="n">
        <v>64</v>
      </c>
      <c r="BN210" s="41" t="n">
        <v>87</v>
      </c>
      <c r="BO210" s="42" t="n">
        <v>24</v>
      </c>
      <c r="BP210" s="43" t="n">
        <v>63</v>
      </c>
      <c r="BQ210" s="44" t="n">
        <v>87</v>
      </c>
      <c r="BR210" s="42" t="n">
        <v>23</v>
      </c>
      <c r="BS210" s="45" t="n">
        <v>63</v>
      </c>
      <c r="BT210" s="45" t="n">
        <v>86</v>
      </c>
      <c r="BU210" s="46" t="n">
        <v>100</v>
      </c>
      <c r="BV210" s="47" t="n">
        <v>82</v>
      </c>
      <c r="BW210" s="42" t="n">
        <v>98</v>
      </c>
      <c r="BX210" s="48" t="n">
        <v>88</v>
      </c>
      <c r="BY210" s="32" t="n">
        <v>28</v>
      </c>
      <c r="BZ210" s="32" t="n">
        <v>53</v>
      </c>
      <c r="CA210" s="32" t="n">
        <v>81</v>
      </c>
      <c r="CB210" s="32" t="n">
        <v>24</v>
      </c>
      <c r="CC210" s="32" t="n">
        <v>45</v>
      </c>
      <c r="CD210" s="32" t="n">
        <v>69</v>
      </c>
      <c r="CE210" s="32" t="n">
        <v>24</v>
      </c>
      <c r="CF210" s="32" t="n">
        <v>49</v>
      </c>
      <c r="CG210" s="32" t="n">
        <v>73</v>
      </c>
      <c r="CH210" s="32" t="n">
        <v>100</v>
      </c>
      <c r="CI210" s="32" t="n">
        <v>98</v>
      </c>
      <c r="CJ210" s="49" t="n">
        <v>26</v>
      </c>
      <c r="CK210" s="60"/>
      <c r="CL210" s="61"/>
      <c r="CM210" s="49" t="n">
        <v>20</v>
      </c>
      <c r="CN210" s="49" t="n">
        <v>57</v>
      </c>
      <c r="CO210" s="49" t="n">
        <v>77</v>
      </c>
      <c r="CP210" s="25" t="n">
        <f aca="false">BX210+BW210+BV210+BU210+BT210+BQ210+BN210</f>
        <v>628</v>
      </c>
      <c r="CQ210" s="25" t="n">
        <f aca="false">CO210+CL210+CI210+CH210+CG210+CD210+CA210</f>
        <v>498</v>
      </c>
      <c r="CR210" s="26" t="n">
        <f aca="false">CP210/7</f>
        <v>89.7142857142857</v>
      </c>
      <c r="CS210" s="26" t="n">
        <f aca="false">CQ210/7</f>
        <v>71.1428571428571</v>
      </c>
      <c r="CT210" s="24" t="n">
        <f aca="false">RANK(CR210,$CR$2:$CR$881,0)</f>
        <v>202</v>
      </c>
      <c r="CU210" s="25" t="n">
        <f aca="false">RANK(CS210,$CS$2:$CS$881,0)</f>
        <v>534</v>
      </c>
      <c r="CV210" s="26" t="n">
        <f aca="false">(CS210+CR210)/2</f>
        <v>80.4285714285714</v>
      </c>
      <c r="CW210" s="25" t="n">
        <f aca="false">RANK(CV210,$CV$2:$CV$881,0)</f>
        <v>413</v>
      </c>
      <c r="CX210" s="50" t="n">
        <f aca="false">(CV210+BB210)/2</f>
        <v>79.7142857142857</v>
      </c>
      <c r="CY210" s="50" t="n">
        <v>387</v>
      </c>
      <c r="CZ210" s="27" t="s">
        <v>132</v>
      </c>
      <c r="DA210" s="27" t="s">
        <v>202</v>
      </c>
      <c r="DB210" s="27" t="s">
        <v>202</v>
      </c>
      <c r="DC210" s="27" t="s">
        <v>134</v>
      </c>
      <c r="DD210" s="27" t="s">
        <v>135</v>
      </c>
      <c r="DE210" s="27" t="s">
        <v>136</v>
      </c>
      <c r="DF210" s="27" t="s">
        <v>133</v>
      </c>
      <c r="DG210" s="27" t="s">
        <v>134</v>
      </c>
      <c r="DH210" s="27" t="s">
        <v>135</v>
      </c>
      <c r="DI210" s="27" t="s">
        <v>163</v>
      </c>
      <c r="DJ210" s="27" t="s">
        <v>153</v>
      </c>
      <c r="DK210" s="27" t="s">
        <v>134</v>
      </c>
      <c r="DL210" s="27" t="s">
        <v>160</v>
      </c>
      <c r="DM210" s="27" t="s">
        <v>203</v>
      </c>
      <c r="DN210" s="27" t="s">
        <v>153</v>
      </c>
      <c r="DO210" s="27" t="s">
        <v>134</v>
      </c>
      <c r="DP210" s="27" t="s">
        <v>174</v>
      </c>
      <c r="DQ210" s="27" t="s">
        <v>161</v>
      </c>
      <c r="DR210" s="27" t="s">
        <v>169</v>
      </c>
      <c r="DS210" s="27" t="s">
        <v>134</v>
      </c>
      <c r="DT210" s="27" t="s">
        <v>146</v>
      </c>
      <c r="DU210" s="27" t="s">
        <v>203</v>
      </c>
      <c r="DV210" s="27" t="s">
        <v>176</v>
      </c>
      <c r="DW210" s="27" t="s">
        <v>140</v>
      </c>
      <c r="DX210" s="27" t="s">
        <v>155</v>
      </c>
      <c r="DY210" s="27" t="s">
        <v>147</v>
      </c>
      <c r="DZ210" s="27" t="n">
        <f aca="false">DY210+DV210+DR210+DN210+DJ210+DF210+DB210</f>
        <v>628</v>
      </c>
      <c r="EA210" s="28" t="n">
        <f aca="false">DZ210/7</f>
        <v>89.7142857142857</v>
      </c>
      <c r="EB210" s="27" t="n">
        <f aca="false">RANK(EA210,$EA$2:$EA$881,0)</f>
        <v>59</v>
      </c>
      <c r="EC210" s="29" t="n">
        <f aca="false">DZ210+CQ210+CP210+AZ210</f>
        <v>2544</v>
      </c>
      <c r="ED210" s="30" t="n">
        <f aca="false">(EA210+CV210+BB210)/3</f>
        <v>83.047619047619</v>
      </c>
      <c r="EE210" s="51" t="n">
        <f aca="false">ROUND(BE210,3)</f>
        <v>86.963</v>
      </c>
      <c r="EF210" s="51" t="n">
        <f aca="false">ROUND(CR210,3)</f>
        <v>89.714</v>
      </c>
      <c r="EG210" s="51" t="n">
        <f aca="false">ROUND(CS210,3)</f>
        <v>71.143</v>
      </c>
      <c r="EH210" s="51" t="n">
        <f aca="false">ROUND(EA210,3)</f>
        <v>89.714</v>
      </c>
      <c r="EI210" s="51" t="n">
        <f aca="false">ROUND(ED210,3)</f>
        <v>83.048</v>
      </c>
      <c r="EJ210" s="51" t="n">
        <f aca="false">ROUND(CV210,3)</f>
        <v>80.429</v>
      </c>
      <c r="EK210" s="0" t="n">
        <f aca="false">RANK(EI210,$EI$2:$EI$881,0)</f>
        <v>209</v>
      </c>
    </row>
    <row r="211" customFormat="false" ht="15" hidden="false" customHeight="false" outlineLevel="0" collapsed="false">
      <c r="A211" s="4" t="n">
        <v>8670</v>
      </c>
      <c r="B211" s="4" t="n">
        <v>237</v>
      </c>
      <c r="C211" s="27" t="s">
        <v>793</v>
      </c>
      <c r="D211" s="31" t="n">
        <v>238</v>
      </c>
      <c r="E211" s="16" t="n">
        <v>231305149</v>
      </c>
      <c r="F211" s="56" t="s">
        <v>794</v>
      </c>
      <c r="G211" s="66" t="s">
        <v>795</v>
      </c>
      <c r="H211" s="66" t="s">
        <v>326</v>
      </c>
      <c r="I211" s="57"/>
      <c r="J211" s="16" t="n">
        <v>68</v>
      </c>
      <c r="K211" s="16" t="n">
        <v>91</v>
      </c>
      <c r="L211" s="34" t="n">
        <f aca="false">(K211*70)/100</f>
        <v>63.7</v>
      </c>
      <c r="M211" s="34" t="n">
        <f aca="false">ROUNDUP(L211,0)</f>
        <v>64</v>
      </c>
      <c r="N211" s="16" t="n">
        <v>21</v>
      </c>
      <c r="O211" s="34" t="n">
        <f aca="false">N211+L211</f>
        <v>84.7</v>
      </c>
      <c r="P211" s="34" t="n">
        <f aca="false">N211+M211</f>
        <v>85</v>
      </c>
      <c r="Q211" s="16" t="n">
        <v>85</v>
      </c>
      <c r="R211" s="16" t="n">
        <v>69</v>
      </c>
      <c r="S211" s="34" t="n">
        <f aca="false">(R211*70)/100</f>
        <v>48.3</v>
      </c>
      <c r="T211" s="34" t="n">
        <f aca="false">ROUNDUP(S211,0)</f>
        <v>49</v>
      </c>
      <c r="U211" s="16" t="n">
        <v>25</v>
      </c>
      <c r="V211" s="34" t="n">
        <f aca="false">U211+S211</f>
        <v>73.3</v>
      </c>
      <c r="W211" s="34" t="n">
        <f aca="false">U211+T211</f>
        <v>74</v>
      </c>
      <c r="X211" s="16" t="n">
        <v>63</v>
      </c>
      <c r="Y211" s="34" t="n">
        <f aca="false">(X211*70)/100</f>
        <v>44.1</v>
      </c>
      <c r="Z211" s="34" t="n">
        <f aca="false">ROUNDUP(Y211,0)</f>
        <v>45</v>
      </c>
      <c r="AA211" s="16" t="n">
        <v>25</v>
      </c>
      <c r="AB211" s="34" t="n">
        <f aca="false">AA211+Y211</f>
        <v>69.1</v>
      </c>
      <c r="AC211" s="34" t="n">
        <f aca="false">AA211+Z211</f>
        <v>70</v>
      </c>
      <c r="AD211" s="32" t="n">
        <f aca="false">X211+R211+Q211+K211+J211</f>
        <v>376</v>
      </c>
      <c r="AE211" s="16" t="n">
        <f aca="false">AD211/5</f>
        <v>75.2</v>
      </c>
      <c r="AF211" s="16" t="n">
        <v>74</v>
      </c>
      <c r="AG211" s="16" t="n">
        <v>86</v>
      </c>
      <c r="AH211" s="16" t="n">
        <v>94</v>
      </c>
      <c r="AI211" s="16" t="n">
        <v>92</v>
      </c>
      <c r="AJ211" s="16" t="n">
        <f aca="false">(AI211*70)/100</f>
        <v>64.4</v>
      </c>
      <c r="AK211" s="35" t="n">
        <f aca="false">ROUNDUP(AJ211,0)</f>
        <v>65</v>
      </c>
      <c r="AL211" s="16" t="n">
        <v>22</v>
      </c>
      <c r="AM211" s="16" t="n">
        <f aca="false">AL211+AJ211</f>
        <v>86.4</v>
      </c>
      <c r="AN211" s="16" t="n">
        <f aca="false">AL211+AK211</f>
        <v>87</v>
      </c>
      <c r="AO211" s="16" t="n">
        <v>80</v>
      </c>
      <c r="AP211" s="36" t="n">
        <f aca="false">(AO211*70)/100</f>
        <v>56</v>
      </c>
      <c r="AQ211" s="37" t="n">
        <f aca="false">ROUNDUP(AP211,0)</f>
        <v>56</v>
      </c>
      <c r="AR211" s="16" t="n">
        <v>26</v>
      </c>
      <c r="AS211" s="16" t="n">
        <f aca="false">AR211+AP211</f>
        <v>82</v>
      </c>
      <c r="AT211" s="16" t="n">
        <f aca="false">AR211+AQ211</f>
        <v>82</v>
      </c>
      <c r="AU211" s="16" t="n">
        <f aca="false">AO211+AF211+AI211+AH211+AG211</f>
        <v>426</v>
      </c>
      <c r="AV211" s="16" t="n">
        <f aca="false">(AO211+AF211+AI211+AH211+AG211)/5</f>
        <v>85.2</v>
      </c>
      <c r="AW211" s="36" t="n">
        <f aca="false">(AO211+AF211+AI211+AH211+AG211+X211+R211+Q211+K211+J211)</f>
        <v>802</v>
      </c>
      <c r="AX211" s="16" t="n">
        <f aca="false">AW211/10</f>
        <v>80.2</v>
      </c>
      <c r="AY211" s="16" t="n">
        <f aca="false">AS211+AF211+AM211+AH211+AG211+AB211+V211+Q211+O211+J211</f>
        <v>802.5</v>
      </c>
      <c r="AZ211" s="16" t="n">
        <f aca="false">AT211+AF211+AN211+AH211+AG211+AC211+W211+Q211+P211+J211</f>
        <v>805</v>
      </c>
      <c r="BA211" s="16" t="n">
        <f aca="false">AY211/10</f>
        <v>80.25</v>
      </c>
      <c r="BB211" s="16" t="n">
        <f aca="false">AZ211/10</f>
        <v>80.5</v>
      </c>
      <c r="BC211" s="16" t="n">
        <v>2346</v>
      </c>
      <c r="BD211" s="16" t="n">
        <f aca="false">RANK(AX211,$AX$2:$AX$881,0)</f>
        <v>251</v>
      </c>
      <c r="BE211" s="54" t="n">
        <f aca="false">((BC211*100)/2400)*0.4+(AX211*0.6)</f>
        <v>87.22</v>
      </c>
      <c r="BF211" s="16" t="n">
        <f aca="false">RANK(BE211,$BE$2:$BE$881,0)</f>
        <v>280</v>
      </c>
      <c r="BG211" s="39" t="n">
        <f aca="false">RANK(BB211,$BB$2:$BB$881,0)</f>
        <v>312</v>
      </c>
      <c r="BH211" s="39" t="n">
        <f aca="false">RANK(BC211,$BC$2:$BC$881,0)</f>
        <v>571</v>
      </c>
      <c r="BI211" s="22" t="s">
        <v>130</v>
      </c>
      <c r="BJ211" s="22" t="s">
        <v>129</v>
      </c>
      <c r="BK211" s="40" t="s">
        <v>131</v>
      </c>
      <c r="BL211" s="41" t="n">
        <v>18</v>
      </c>
      <c r="BM211" s="41" t="n">
        <v>60</v>
      </c>
      <c r="BN211" s="41" t="n">
        <v>78</v>
      </c>
      <c r="BO211" s="42" t="n">
        <v>24</v>
      </c>
      <c r="BP211" s="43" t="n">
        <v>59</v>
      </c>
      <c r="BQ211" s="44" t="n">
        <v>83</v>
      </c>
      <c r="BR211" s="42" t="n">
        <v>21</v>
      </c>
      <c r="BS211" s="45" t="n">
        <v>59</v>
      </c>
      <c r="BT211" s="45" t="n">
        <v>80</v>
      </c>
      <c r="BU211" s="46" t="n">
        <v>99</v>
      </c>
      <c r="BV211" s="47" t="n">
        <v>80</v>
      </c>
      <c r="BW211" s="42" t="n">
        <v>98</v>
      </c>
      <c r="BX211" s="48" t="n">
        <v>86</v>
      </c>
      <c r="BY211" s="32" t="n">
        <v>22</v>
      </c>
      <c r="BZ211" s="32" t="n">
        <v>62</v>
      </c>
      <c r="CA211" s="32" t="n">
        <v>84</v>
      </c>
      <c r="CB211" s="32" t="n">
        <v>23</v>
      </c>
      <c r="CC211" s="32" t="n">
        <v>43</v>
      </c>
      <c r="CD211" s="32" t="n">
        <v>66</v>
      </c>
      <c r="CE211" s="32" t="n">
        <v>27</v>
      </c>
      <c r="CF211" s="32" t="n">
        <v>58</v>
      </c>
      <c r="CG211" s="32" t="n">
        <v>85</v>
      </c>
      <c r="CH211" s="32" t="n">
        <v>98</v>
      </c>
      <c r="CI211" s="32" t="n">
        <v>96</v>
      </c>
      <c r="CJ211" s="49" t="n">
        <v>22</v>
      </c>
      <c r="CK211" s="49" t="n">
        <v>52</v>
      </c>
      <c r="CL211" s="49" t="n">
        <v>74</v>
      </c>
      <c r="CM211" s="49" t="n">
        <v>24</v>
      </c>
      <c r="CN211" s="49" t="n">
        <v>53</v>
      </c>
      <c r="CO211" s="49" t="n">
        <v>77</v>
      </c>
      <c r="CP211" s="25" t="n">
        <f aca="false">BX211+BW211+BV211+BU211+BT211+BQ211+BN211</f>
        <v>604</v>
      </c>
      <c r="CQ211" s="25" t="n">
        <f aca="false">CO211+CL211+CI211+CH211+CG211+CD211+CA211</f>
        <v>580</v>
      </c>
      <c r="CR211" s="26" t="n">
        <f aca="false">CP211/7</f>
        <v>86.2857142857143</v>
      </c>
      <c r="CS211" s="26" t="n">
        <f aca="false">CQ211/7</f>
        <v>82.8571428571429</v>
      </c>
      <c r="CT211" s="24" t="n">
        <f aca="false">RANK(CR211,$CR$2:$CR$881,0)</f>
        <v>383</v>
      </c>
      <c r="CU211" s="25" t="n">
        <f aca="false">RANK(CS211,$CS$2:$CS$881,0)</f>
        <v>161</v>
      </c>
      <c r="CV211" s="26" t="n">
        <f aca="false">(CS211+CR211)/2</f>
        <v>84.5714285714286</v>
      </c>
      <c r="CW211" s="25" t="n">
        <f aca="false">RANK(CV211,$CV$2:$CV$881,0)</f>
        <v>236</v>
      </c>
      <c r="CX211" s="50" t="n">
        <f aca="false">(CV211+BB211)/2</f>
        <v>82.5357142857143</v>
      </c>
      <c r="CY211" s="50" t="n">
        <v>232</v>
      </c>
      <c r="CZ211" s="27" t="s">
        <v>132</v>
      </c>
      <c r="DA211" s="27" t="s">
        <v>202</v>
      </c>
      <c r="DB211" s="27" t="s">
        <v>202</v>
      </c>
      <c r="DC211" s="27" t="s">
        <v>134</v>
      </c>
      <c r="DD211" s="27" t="s">
        <v>195</v>
      </c>
      <c r="DE211" s="27" t="s">
        <v>220</v>
      </c>
      <c r="DF211" s="27" t="s">
        <v>382</v>
      </c>
      <c r="DG211" s="27" t="s">
        <v>134</v>
      </c>
      <c r="DH211" s="27" t="s">
        <v>137</v>
      </c>
      <c r="DI211" s="27" t="s">
        <v>177</v>
      </c>
      <c r="DJ211" s="27" t="s">
        <v>202</v>
      </c>
      <c r="DK211" s="27" t="s">
        <v>134</v>
      </c>
      <c r="DL211" s="27" t="s">
        <v>182</v>
      </c>
      <c r="DM211" s="27" t="s">
        <v>220</v>
      </c>
      <c r="DN211" s="27" t="s">
        <v>219</v>
      </c>
      <c r="DO211" s="27" t="s">
        <v>134</v>
      </c>
      <c r="DP211" s="27" t="s">
        <v>174</v>
      </c>
      <c r="DQ211" s="27" t="s">
        <v>218</v>
      </c>
      <c r="DR211" s="27" t="s">
        <v>272</v>
      </c>
      <c r="DS211" s="27" t="s">
        <v>134</v>
      </c>
      <c r="DT211" s="27" t="s">
        <v>135</v>
      </c>
      <c r="DU211" s="27" t="s">
        <v>183</v>
      </c>
      <c r="DV211" s="27" t="s">
        <v>169</v>
      </c>
      <c r="DW211" s="27" t="s">
        <v>140</v>
      </c>
      <c r="DX211" s="27" t="s">
        <v>143</v>
      </c>
      <c r="DY211" s="27" t="s">
        <v>144</v>
      </c>
      <c r="DZ211" s="27" t="n">
        <f aca="false">DY211+DV211+DR211+DN211+DJ211+DF211+DB211</f>
        <v>588</v>
      </c>
      <c r="EA211" s="28" t="n">
        <f aca="false">DZ211/7</f>
        <v>84</v>
      </c>
      <c r="EB211" s="27" t="n">
        <f aca="false">RANK(EA211,$EA$2:$EA$881,0)</f>
        <v>223</v>
      </c>
      <c r="EC211" s="29" t="n">
        <f aca="false">DZ211+CQ211+CP211+AZ211</f>
        <v>2577</v>
      </c>
      <c r="ED211" s="30" t="n">
        <f aca="false">(EA211+CV211+BB211)/3</f>
        <v>83.0238095238095</v>
      </c>
      <c r="EE211" s="51" t="n">
        <f aca="false">ROUND(BE211,3)</f>
        <v>87.22</v>
      </c>
      <c r="EF211" s="51" t="n">
        <f aca="false">ROUND(CR211,3)</f>
        <v>86.286</v>
      </c>
      <c r="EG211" s="51" t="n">
        <f aca="false">ROUND(CS211,3)</f>
        <v>82.857</v>
      </c>
      <c r="EH211" s="51" t="n">
        <f aca="false">ROUND(EA211,3)</f>
        <v>84</v>
      </c>
      <c r="EI211" s="51" t="n">
        <f aca="false">ROUND(ED211,3)</f>
        <v>83.024</v>
      </c>
      <c r="EJ211" s="51" t="n">
        <f aca="false">ROUND(CV211,3)</f>
        <v>84.571</v>
      </c>
      <c r="EK211" s="0" t="n">
        <f aca="false">RANK(EI211,$EI$2:$EI$881,0)</f>
        <v>210</v>
      </c>
    </row>
    <row r="212" customFormat="false" ht="15" hidden="false" customHeight="false" outlineLevel="0" collapsed="false">
      <c r="A212" s="4" t="n">
        <v>8607</v>
      </c>
      <c r="B212" s="4" t="n">
        <v>547</v>
      </c>
      <c r="C212" s="27" t="s">
        <v>796</v>
      </c>
      <c r="D212" s="31" t="n">
        <v>552</v>
      </c>
      <c r="E212" s="16" t="n">
        <v>230128713</v>
      </c>
      <c r="F212" s="56" t="s">
        <v>797</v>
      </c>
      <c r="G212" s="22" t="s">
        <v>798</v>
      </c>
      <c r="H212" s="22" t="s">
        <v>326</v>
      </c>
      <c r="I212" s="57"/>
      <c r="J212" s="16" t="n">
        <v>72</v>
      </c>
      <c r="K212" s="16" t="n">
        <v>77</v>
      </c>
      <c r="L212" s="34" t="n">
        <f aca="false">(K212*70)/100</f>
        <v>53.9</v>
      </c>
      <c r="M212" s="34" t="n">
        <f aca="false">ROUNDUP(L212,0)</f>
        <v>54</v>
      </c>
      <c r="N212" s="16" t="n">
        <v>27</v>
      </c>
      <c r="O212" s="34" t="n">
        <f aca="false">N212+L212</f>
        <v>80.9</v>
      </c>
      <c r="P212" s="34" t="n">
        <f aca="false">N212+M212</f>
        <v>81</v>
      </c>
      <c r="Q212" s="16" t="n">
        <v>82</v>
      </c>
      <c r="R212" s="16" t="n">
        <v>80</v>
      </c>
      <c r="S212" s="34" t="n">
        <f aca="false">(R212*70)/100</f>
        <v>56</v>
      </c>
      <c r="T212" s="34" t="n">
        <f aca="false">ROUNDUP(S212,0)</f>
        <v>56</v>
      </c>
      <c r="U212" s="16" t="n">
        <v>26</v>
      </c>
      <c r="V212" s="34" t="n">
        <f aca="false">U212+S212</f>
        <v>82</v>
      </c>
      <c r="W212" s="34" t="n">
        <f aca="false">U212+T212</f>
        <v>82</v>
      </c>
      <c r="X212" s="16" t="n">
        <v>75</v>
      </c>
      <c r="Y212" s="34" t="n">
        <f aca="false">(X212*70)/100</f>
        <v>52.5</v>
      </c>
      <c r="Z212" s="34" t="n">
        <f aca="false">ROUNDUP(Y212,0)</f>
        <v>53</v>
      </c>
      <c r="AA212" s="16" t="n">
        <v>26</v>
      </c>
      <c r="AB212" s="34" t="n">
        <f aca="false">AA212+Y212</f>
        <v>78.5</v>
      </c>
      <c r="AC212" s="34" t="n">
        <f aca="false">AA212+Z212</f>
        <v>79</v>
      </c>
      <c r="AD212" s="32" t="n">
        <f aca="false">X212+R212+Q212+K212+J212</f>
        <v>386</v>
      </c>
      <c r="AE212" s="16" t="n">
        <f aca="false">AD212/5</f>
        <v>77.2</v>
      </c>
      <c r="AF212" s="16" t="n">
        <v>77</v>
      </c>
      <c r="AG212" s="16" t="n">
        <v>82</v>
      </c>
      <c r="AH212" s="16" t="n">
        <v>96</v>
      </c>
      <c r="AI212" s="16" t="n">
        <v>96</v>
      </c>
      <c r="AJ212" s="16" t="n">
        <f aca="false">(AI212*70)/100</f>
        <v>67.2</v>
      </c>
      <c r="AK212" s="35" t="n">
        <f aca="false">ROUNDUP(AJ212,0)</f>
        <v>68</v>
      </c>
      <c r="AL212" s="16" t="n">
        <v>26</v>
      </c>
      <c r="AM212" s="16" t="n">
        <f aca="false">AL212+AJ212</f>
        <v>93.2</v>
      </c>
      <c r="AN212" s="16" t="n">
        <f aca="false">AL212+AK212</f>
        <v>94</v>
      </c>
      <c r="AO212" s="16" t="n">
        <v>86</v>
      </c>
      <c r="AP212" s="36" t="n">
        <f aca="false">(AO212*70)/100</f>
        <v>60.2</v>
      </c>
      <c r="AQ212" s="37" t="n">
        <f aca="false">ROUNDUP(AP212,0)</f>
        <v>61</v>
      </c>
      <c r="AR212" s="16" t="n">
        <v>27</v>
      </c>
      <c r="AS212" s="16" t="n">
        <f aca="false">AR212+AP212</f>
        <v>87.2</v>
      </c>
      <c r="AT212" s="16" t="n">
        <f aca="false">AR212+AQ212</f>
        <v>88</v>
      </c>
      <c r="AU212" s="16" t="n">
        <f aca="false">AO212+AF212+AI212+AH212+AG212</f>
        <v>437</v>
      </c>
      <c r="AV212" s="16" t="n">
        <f aca="false">(AO212+AF212+AI212+AH212+AG212)/5</f>
        <v>87.4</v>
      </c>
      <c r="AW212" s="36" t="n">
        <f aca="false">(AO212+AF212+AI212+AH212+AG212+X212+R212+Q212+K212+J212)</f>
        <v>823</v>
      </c>
      <c r="AX212" s="16" t="n">
        <f aca="false">AW212/10</f>
        <v>82.3</v>
      </c>
      <c r="AY212" s="16" t="n">
        <f aca="false">AS212+AF212+AM212+AH212+AG212+AB212+V212+Q212+O212+J212</f>
        <v>830.8</v>
      </c>
      <c r="AZ212" s="16" t="n">
        <f aca="false">AT212+AF212+AN212+AH212+AG212+AC212+W212+Q212+P212+J212</f>
        <v>833</v>
      </c>
      <c r="BA212" s="16" t="n">
        <f aca="false">AY212/10</f>
        <v>83.08</v>
      </c>
      <c r="BB212" s="16" t="n">
        <f aca="false">AZ212/10</f>
        <v>83.3</v>
      </c>
      <c r="BC212" s="16" t="n">
        <v>2332</v>
      </c>
      <c r="BD212" s="16" t="n">
        <f aca="false">RANK(AX212,$AX$2:$AX$881,0)</f>
        <v>151</v>
      </c>
      <c r="BE212" s="54" t="n">
        <f aca="false">((BC212*100)/2400)*0.4+(AX212*0.6)</f>
        <v>88.2466666666667</v>
      </c>
      <c r="BF212" s="16" t="n">
        <f aca="false">RANK(BE212,$BE$2:$BE$881,0)</f>
        <v>185</v>
      </c>
      <c r="BG212" s="39" t="n">
        <f aca="false">RANK(BB212,$BB$2:$BB$881,0)</f>
        <v>150</v>
      </c>
      <c r="BH212" s="39" t="n">
        <f aca="false">RANK(BC212,$BC$2:$BC$881,0)</f>
        <v>709</v>
      </c>
      <c r="BI212" s="22" t="s">
        <v>130</v>
      </c>
      <c r="BJ212" s="22" t="s">
        <v>129</v>
      </c>
      <c r="BK212" s="40" t="s">
        <v>131</v>
      </c>
      <c r="BL212" s="41" t="n">
        <v>17</v>
      </c>
      <c r="BM212" s="41" t="n">
        <v>58</v>
      </c>
      <c r="BN212" s="41" t="n">
        <v>75</v>
      </c>
      <c r="BO212" s="42" t="n">
        <v>17</v>
      </c>
      <c r="BP212" s="43" t="n">
        <v>55</v>
      </c>
      <c r="BQ212" s="44" t="n">
        <v>72</v>
      </c>
      <c r="BR212" s="42" t="n">
        <v>23</v>
      </c>
      <c r="BS212" s="45" t="n">
        <v>62</v>
      </c>
      <c r="BT212" s="45" t="n">
        <v>85</v>
      </c>
      <c r="BU212" s="46" t="n">
        <v>100</v>
      </c>
      <c r="BV212" s="79" t="n">
        <v>46</v>
      </c>
      <c r="BW212" s="42" t="n">
        <v>95</v>
      </c>
      <c r="BX212" s="48" t="n">
        <v>96</v>
      </c>
      <c r="BY212" s="32" t="n">
        <v>26</v>
      </c>
      <c r="BZ212" s="32" t="n">
        <v>55</v>
      </c>
      <c r="CA212" s="32" t="n">
        <v>81</v>
      </c>
      <c r="CB212" s="32" t="n">
        <v>23</v>
      </c>
      <c r="CC212" s="32" t="n">
        <v>37</v>
      </c>
      <c r="CD212" s="32" t="n">
        <v>60</v>
      </c>
      <c r="CE212" s="32" t="n">
        <v>25</v>
      </c>
      <c r="CF212" s="32" t="n">
        <v>51</v>
      </c>
      <c r="CG212" s="32" t="n">
        <v>76</v>
      </c>
      <c r="CH212" s="32" t="n">
        <v>100</v>
      </c>
      <c r="CI212" s="32" t="n">
        <v>98</v>
      </c>
      <c r="CJ212" s="49" t="n">
        <v>23</v>
      </c>
      <c r="CK212" s="49" t="n">
        <v>49</v>
      </c>
      <c r="CL212" s="49" t="n">
        <v>72</v>
      </c>
      <c r="CM212" s="49" t="n">
        <v>24</v>
      </c>
      <c r="CN212" s="49" t="n">
        <v>50</v>
      </c>
      <c r="CO212" s="49" t="n">
        <v>74</v>
      </c>
      <c r="CP212" s="25" t="n">
        <f aca="false">BX212+BW212+BV212+BU212+BT212+BQ212+BN212</f>
        <v>569</v>
      </c>
      <c r="CQ212" s="25" t="n">
        <f aca="false">CO212+CL212+CI212+CH212+CG212+CD212+CA212</f>
        <v>561</v>
      </c>
      <c r="CR212" s="26" t="n">
        <f aca="false">CP212/7</f>
        <v>81.2857142857143</v>
      </c>
      <c r="CS212" s="26" t="n">
        <f aca="false">CQ212/7</f>
        <v>80.1428571428571</v>
      </c>
      <c r="CT212" s="24" t="n">
        <f aca="false">RANK(CR212,$CR$2:$CR$881,0)</f>
        <v>560</v>
      </c>
      <c r="CU212" s="25" t="n">
        <f aca="false">RANK(CS212,$CS$2:$CS$881,0)</f>
        <v>258</v>
      </c>
      <c r="CV212" s="26" t="n">
        <f aca="false">(CS212+CR212)/2</f>
        <v>80.7142857142857</v>
      </c>
      <c r="CW212" s="25" t="n">
        <f aca="false">RANK(CV212,$CV$2:$CV$881,0)</f>
        <v>397</v>
      </c>
      <c r="CX212" s="50" t="n">
        <f aca="false">(CV212+BB212)/2</f>
        <v>82.0071428571429</v>
      </c>
      <c r="CY212" s="50" t="n">
        <v>266</v>
      </c>
      <c r="CZ212" s="27" t="s">
        <v>132</v>
      </c>
      <c r="DA212" s="27" t="s">
        <v>202</v>
      </c>
      <c r="DB212" s="27" t="s">
        <v>202</v>
      </c>
      <c r="DC212" s="27" t="s">
        <v>134</v>
      </c>
      <c r="DD212" s="27" t="s">
        <v>154</v>
      </c>
      <c r="DE212" s="27" t="s">
        <v>161</v>
      </c>
      <c r="DF212" s="27" t="s">
        <v>209</v>
      </c>
      <c r="DG212" s="27" t="s">
        <v>134</v>
      </c>
      <c r="DH212" s="27" t="s">
        <v>164</v>
      </c>
      <c r="DI212" s="27" t="s">
        <v>163</v>
      </c>
      <c r="DJ212" s="27" t="s">
        <v>176</v>
      </c>
      <c r="DK212" s="27" t="s">
        <v>134</v>
      </c>
      <c r="DL212" s="27" t="s">
        <v>154</v>
      </c>
      <c r="DM212" s="27" t="s">
        <v>161</v>
      </c>
      <c r="DN212" s="27" t="s">
        <v>209</v>
      </c>
      <c r="DO212" s="27" t="s">
        <v>134</v>
      </c>
      <c r="DP212" s="27" t="s">
        <v>485</v>
      </c>
      <c r="DQ212" s="27" t="s">
        <v>447</v>
      </c>
      <c r="DR212" s="27" t="s">
        <v>155</v>
      </c>
      <c r="DS212" s="27" t="s">
        <v>134</v>
      </c>
      <c r="DT212" s="27" t="s">
        <v>164</v>
      </c>
      <c r="DU212" s="27" t="s">
        <v>304</v>
      </c>
      <c r="DV212" s="27" t="s">
        <v>196</v>
      </c>
      <c r="DW212" s="27" t="s">
        <v>160</v>
      </c>
      <c r="DX212" s="27" t="s">
        <v>155</v>
      </c>
      <c r="DY212" s="27" t="s">
        <v>145</v>
      </c>
      <c r="DZ212" s="27" t="n">
        <f aca="false">DY212+DV212+DR212+DN212+DJ212+DF212+DB212</f>
        <v>595</v>
      </c>
      <c r="EA212" s="28" t="n">
        <f aca="false">DZ212/7</f>
        <v>85</v>
      </c>
      <c r="EB212" s="27" t="n">
        <f aca="false">RANK(EA212,$EA$2:$EA$881,0)</f>
        <v>186</v>
      </c>
      <c r="EC212" s="29" t="n">
        <f aca="false">DZ212+CQ212+CP212+AZ212</f>
        <v>2558</v>
      </c>
      <c r="ED212" s="30" t="n">
        <f aca="false">(EA212+CV212+BB212)/3</f>
        <v>83.0047619047619</v>
      </c>
      <c r="EE212" s="51" t="n">
        <f aca="false">ROUND(BE212,3)</f>
        <v>88.247</v>
      </c>
      <c r="EF212" s="51" t="n">
        <f aca="false">ROUND(CR212,3)</f>
        <v>81.286</v>
      </c>
      <c r="EG212" s="51" t="n">
        <f aca="false">ROUND(CS212,3)</f>
        <v>80.143</v>
      </c>
      <c r="EH212" s="51" t="n">
        <f aca="false">ROUND(EA212,3)</f>
        <v>85</v>
      </c>
      <c r="EI212" s="51" t="n">
        <f aca="false">ROUND(ED212,3)</f>
        <v>83.005</v>
      </c>
      <c r="EJ212" s="51" t="n">
        <f aca="false">ROUND(CV212,3)</f>
        <v>80.714</v>
      </c>
      <c r="EK212" s="0" t="n">
        <f aca="false">RANK(EI212,$EI$2:$EI$881,0)</f>
        <v>211</v>
      </c>
    </row>
    <row r="213" customFormat="false" ht="15" hidden="false" customHeight="false" outlineLevel="0" collapsed="false">
      <c r="A213" s="4" t="n">
        <v>8572</v>
      </c>
      <c r="B213" s="4" t="n">
        <v>764</v>
      </c>
      <c r="C213" s="27" t="s">
        <v>799</v>
      </c>
      <c r="D213" s="31" t="n">
        <v>782</v>
      </c>
      <c r="E213" s="62" t="n">
        <v>230320058</v>
      </c>
      <c r="F213" s="8" t="s">
        <v>800</v>
      </c>
      <c r="G213" s="63" t="s">
        <v>801</v>
      </c>
      <c r="H213" s="22" t="s">
        <v>129</v>
      </c>
      <c r="I213" s="64" t="n">
        <v>2005</v>
      </c>
      <c r="J213" s="62" t="n">
        <v>92</v>
      </c>
      <c r="K213" s="62" t="n">
        <v>81</v>
      </c>
      <c r="L213" s="34" t="n">
        <f aca="false">(K213*70)/100</f>
        <v>56.7</v>
      </c>
      <c r="M213" s="34" t="n">
        <f aca="false">ROUNDUP(L213,0)</f>
        <v>57</v>
      </c>
      <c r="N213" s="62" t="n">
        <v>28</v>
      </c>
      <c r="O213" s="34" t="n">
        <f aca="false">N213+L213</f>
        <v>84.7</v>
      </c>
      <c r="P213" s="34" t="n">
        <f aca="false">N213+M213</f>
        <v>85</v>
      </c>
      <c r="Q213" s="62" t="n">
        <v>74</v>
      </c>
      <c r="R213" s="62" t="n">
        <v>84</v>
      </c>
      <c r="S213" s="34" t="n">
        <f aca="false">(R213*70)/100</f>
        <v>58.8</v>
      </c>
      <c r="T213" s="34" t="n">
        <f aca="false">ROUNDUP(S213,0)</f>
        <v>59</v>
      </c>
      <c r="U213" s="62" t="n">
        <v>20</v>
      </c>
      <c r="V213" s="34" t="n">
        <f aca="false">U213+S213</f>
        <v>78.8</v>
      </c>
      <c r="W213" s="34" t="n">
        <f aca="false">U213+T213</f>
        <v>79</v>
      </c>
      <c r="X213" s="62" t="n">
        <v>75</v>
      </c>
      <c r="Y213" s="34" t="n">
        <f aca="false">(X213*70)/100</f>
        <v>52.5</v>
      </c>
      <c r="Z213" s="34" t="n">
        <f aca="false">ROUNDUP(Y213,0)</f>
        <v>53</v>
      </c>
      <c r="AA213" s="62" t="n">
        <v>27</v>
      </c>
      <c r="AB213" s="34" t="n">
        <f aca="false">AA213+Y213</f>
        <v>79.5</v>
      </c>
      <c r="AC213" s="34" t="n">
        <f aca="false">AA213+Z213</f>
        <v>80</v>
      </c>
      <c r="AD213" s="32" t="n">
        <f aca="false">X213+R213+Q213+K213+J213</f>
        <v>406</v>
      </c>
      <c r="AE213" s="16" t="n">
        <f aca="false">AD213/5</f>
        <v>81.2</v>
      </c>
      <c r="AF213" s="65" t="n">
        <v>78</v>
      </c>
      <c r="AG213" s="65" t="n">
        <v>92</v>
      </c>
      <c r="AH213" s="65" t="n">
        <v>90</v>
      </c>
      <c r="AI213" s="65" t="n">
        <v>89</v>
      </c>
      <c r="AJ213" s="16" t="n">
        <f aca="false">(AI213*70)/100</f>
        <v>62.3</v>
      </c>
      <c r="AK213" s="35" t="n">
        <f aca="false">ROUNDUP(AJ213,0)</f>
        <v>63</v>
      </c>
      <c r="AL213" s="65" t="n">
        <v>20</v>
      </c>
      <c r="AM213" s="16" t="n">
        <f aca="false">AL213+AJ213</f>
        <v>82.3</v>
      </c>
      <c r="AN213" s="16" t="n">
        <f aca="false">AL213+AK213</f>
        <v>83</v>
      </c>
      <c r="AO213" s="65" t="n">
        <v>82</v>
      </c>
      <c r="AP213" s="36" t="n">
        <f aca="false">(AO213*70)/100</f>
        <v>57.4</v>
      </c>
      <c r="AQ213" s="37" t="n">
        <f aca="false">ROUNDUP(AP213,0)</f>
        <v>58</v>
      </c>
      <c r="AR213" s="65" t="n">
        <v>27</v>
      </c>
      <c r="AS213" s="16" t="n">
        <f aca="false">AR213+AP213</f>
        <v>84.4</v>
      </c>
      <c r="AT213" s="16" t="n">
        <f aca="false">AR213+AQ213</f>
        <v>85</v>
      </c>
      <c r="AU213" s="16" t="n">
        <f aca="false">AO213+AF213+AI213+AH213+AG213</f>
        <v>431</v>
      </c>
      <c r="AV213" s="16" t="n">
        <f aca="false">(AO213+AF213+AI213+AH213+AG213)/5</f>
        <v>86.2</v>
      </c>
      <c r="AW213" s="36" t="n">
        <f aca="false">(AO213+AF213+AI213+AH213+AG213+X213+R213+Q213+K213+J213)</f>
        <v>837</v>
      </c>
      <c r="AX213" s="16" t="n">
        <f aca="false">AW213/10</f>
        <v>83.7</v>
      </c>
      <c r="AY213" s="16" t="n">
        <f aca="false">AS213+AF213+AM213+AH213+AG213+AB213+V213+Q213+O213+J213</f>
        <v>835.7</v>
      </c>
      <c r="AZ213" s="16" t="n">
        <f aca="false">AT213+AF213+AN213+AH213+AG213+AC213+W213+Q213+P213+J213</f>
        <v>838</v>
      </c>
      <c r="BA213" s="16" t="n">
        <f aca="false">AY213/10</f>
        <v>83.57</v>
      </c>
      <c r="BB213" s="16" t="n">
        <f aca="false">AZ213/10</f>
        <v>83.8</v>
      </c>
      <c r="BC213" s="65" t="n">
        <v>2381</v>
      </c>
      <c r="BD213" s="16" t="n">
        <f aca="false">RANK(AX213,$AX$2:$AX$881,0)</f>
        <v>115</v>
      </c>
      <c r="BE213" s="54" t="n">
        <f aca="false">((BC213*100)/2400)*0.4+(AX213*0.6)</f>
        <v>89.9033333333333</v>
      </c>
      <c r="BF213" s="16" t="n">
        <f aca="false">RANK(BE213,$BE$2:$BE$881,0)</f>
        <v>107</v>
      </c>
      <c r="BG213" s="39" t="n">
        <f aca="false">RANK(BB213,$BB$2:$BB$881,0)</f>
        <v>128</v>
      </c>
      <c r="BH213" s="39" t="n">
        <f aca="false">RANK(BC213,$BC$2:$BC$881,0)</f>
        <v>136</v>
      </c>
      <c r="BI213" s="22" t="s">
        <v>130</v>
      </c>
      <c r="BJ213" s="22" t="s">
        <v>129</v>
      </c>
      <c r="BK213" s="40" t="s">
        <v>131</v>
      </c>
      <c r="BL213" s="41" t="n">
        <v>19</v>
      </c>
      <c r="BM213" s="41" t="n">
        <v>55</v>
      </c>
      <c r="BN213" s="41" t="n">
        <v>74</v>
      </c>
      <c r="BO213" s="42" t="n">
        <v>26</v>
      </c>
      <c r="BP213" s="43" t="n">
        <v>59</v>
      </c>
      <c r="BQ213" s="44" t="n">
        <v>85</v>
      </c>
      <c r="BR213" s="42" t="n">
        <v>23</v>
      </c>
      <c r="BS213" s="45" t="n">
        <v>59</v>
      </c>
      <c r="BT213" s="45" t="n">
        <v>82</v>
      </c>
      <c r="BU213" s="46" t="n">
        <v>99</v>
      </c>
      <c r="BV213" s="47" t="n">
        <v>98</v>
      </c>
      <c r="BW213" s="42" t="n">
        <v>96</v>
      </c>
      <c r="BX213" s="48" t="n">
        <v>88</v>
      </c>
      <c r="BY213" s="32" t="n">
        <v>26</v>
      </c>
      <c r="BZ213" s="32" t="n">
        <v>49</v>
      </c>
      <c r="CA213" s="32" t="n">
        <v>75</v>
      </c>
      <c r="CB213" s="32" t="n">
        <v>21</v>
      </c>
      <c r="CC213" s="32" t="n">
        <v>48</v>
      </c>
      <c r="CD213" s="32" t="n">
        <v>69</v>
      </c>
      <c r="CE213" s="32" t="n">
        <v>22</v>
      </c>
      <c r="CF213" s="32" t="n">
        <v>53</v>
      </c>
      <c r="CG213" s="32" t="n">
        <v>75</v>
      </c>
      <c r="CH213" s="32" t="n">
        <v>95</v>
      </c>
      <c r="CI213" s="32" t="n">
        <v>95</v>
      </c>
      <c r="CJ213" s="49" t="n">
        <v>14</v>
      </c>
      <c r="CK213" s="49" t="n">
        <v>59</v>
      </c>
      <c r="CL213" s="49" t="n">
        <v>73</v>
      </c>
      <c r="CM213" s="49" t="n">
        <v>12</v>
      </c>
      <c r="CN213" s="49" t="n">
        <v>60</v>
      </c>
      <c r="CO213" s="49" t="n">
        <v>72</v>
      </c>
      <c r="CP213" s="25" t="n">
        <f aca="false">BX213+BW213+BV213+BU213+BT213+BQ213+BN213</f>
        <v>622</v>
      </c>
      <c r="CQ213" s="25" t="n">
        <f aca="false">CO213+CL213+CI213+CH213+CG213+CD213+CA213</f>
        <v>554</v>
      </c>
      <c r="CR213" s="26" t="n">
        <f aca="false">CP213/7</f>
        <v>88.8571428571429</v>
      </c>
      <c r="CS213" s="26" t="n">
        <f aca="false">CQ213/7</f>
        <v>79.1428571428571</v>
      </c>
      <c r="CT213" s="24" t="n">
        <f aca="false">RANK(CR213,$CR$2:$CR$881,0)</f>
        <v>254</v>
      </c>
      <c r="CU213" s="25" t="n">
        <f aca="false">RANK(CS213,$CS$2:$CS$881,0)</f>
        <v>296</v>
      </c>
      <c r="CV213" s="26" t="n">
        <f aca="false">(CS213+CR213)/2</f>
        <v>84</v>
      </c>
      <c r="CW213" s="25" t="n">
        <f aca="false">RANK(CV213,$CV$2:$CV$881,0)</f>
        <v>263</v>
      </c>
      <c r="CX213" s="50" t="n">
        <f aca="false">(CV213+BB213)/2</f>
        <v>83.9</v>
      </c>
      <c r="CY213" s="50" t="n">
        <v>166</v>
      </c>
      <c r="CZ213" s="27" t="s">
        <v>132</v>
      </c>
      <c r="DA213" s="27" t="s">
        <v>202</v>
      </c>
      <c r="DB213" s="27" t="s">
        <v>202</v>
      </c>
      <c r="DC213" s="27" t="s">
        <v>134</v>
      </c>
      <c r="DD213" s="27" t="s">
        <v>195</v>
      </c>
      <c r="DE213" s="27" t="s">
        <v>220</v>
      </c>
      <c r="DF213" s="27" t="s">
        <v>382</v>
      </c>
      <c r="DG213" s="27" t="s">
        <v>134</v>
      </c>
      <c r="DH213" s="27" t="s">
        <v>164</v>
      </c>
      <c r="DI213" s="27" t="s">
        <v>152</v>
      </c>
      <c r="DJ213" s="27" t="s">
        <v>170</v>
      </c>
      <c r="DK213" s="27" t="s">
        <v>134</v>
      </c>
      <c r="DL213" s="27" t="s">
        <v>174</v>
      </c>
      <c r="DM213" s="27" t="s">
        <v>177</v>
      </c>
      <c r="DN213" s="27" t="s">
        <v>205</v>
      </c>
      <c r="DO213" s="27" t="s">
        <v>134</v>
      </c>
      <c r="DP213" s="27" t="s">
        <v>191</v>
      </c>
      <c r="DQ213" s="27" t="s">
        <v>220</v>
      </c>
      <c r="DR213" s="27" t="s">
        <v>443</v>
      </c>
      <c r="DS213" s="27" t="s">
        <v>134</v>
      </c>
      <c r="DT213" s="27" t="s">
        <v>182</v>
      </c>
      <c r="DU213" s="27" t="s">
        <v>399</v>
      </c>
      <c r="DV213" s="27" t="s">
        <v>398</v>
      </c>
      <c r="DW213" s="27" t="s">
        <v>485</v>
      </c>
      <c r="DX213" s="27" t="s">
        <v>141</v>
      </c>
      <c r="DY213" s="27" t="s">
        <v>209</v>
      </c>
      <c r="DZ213" s="27" t="n">
        <f aca="false">DY213+DV213+DR213+DN213+DJ213+DF213+DB213</f>
        <v>568</v>
      </c>
      <c r="EA213" s="28" t="n">
        <f aca="false">DZ213/7</f>
        <v>81.1428571428571</v>
      </c>
      <c r="EB213" s="27" t="n">
        <f aca="false">RANK(EA213,$EA$2:$EA$881,0)</f>
        <v>342</v>
      </c>
      <c r="EC213" s="29" t="n">
        <f aca="false">DZ213+CQ213+CP213+AZ213</f>
        <v>2582</v>
      </c>
      <c r="ED213" s="30" t="n">
        <f aca="false">(EA213+CV213+BB213)/3</f>
        <v>82.9809523809524</v>
      </c>
      <c r="EE213" s="51" t="n">
        <f aca="false">ROUND(BE213,3)</f>
        <v>89.903</v>
      </c>
      <c r="EF213" s="51" t="n">
        <f aca="false">ROUND(CR213,3)</f>
        <v>88.857</v>
      </c>
      <c r="EG213" s="51" t="n">
        <f aca="false">ROUND(CS213,3)</f>
        <v>79.143</v>
      </c>
      <c r="EH213" s="51" t="n">
        <f aca="false">ROUND(EA213,3)</f>
        <v>81.143</v>
      </c>
      <c r="EI213" s="51" t="n">
        <f aca="false">ROUND(ED213,3)</f>
        <v>82.981</v>
      </c>
      <c r="EJ213" s="51" t="n">
        <f aca="false">ROUND(CV213,3)</f>
        <v>84</v>
      </c>
      <c r="EK213" s="0" t="n">
        <f aca="false">RANK(EI213,$EI$2:$EI$881,0)</f>
        <v>212</v>
      </c>
    </row>
    <row r="214" customFormat="false" ht="15" hidden="false" customHeight="false" outlineLevel="0" collapsed="false">
      <c r="A214" s="4" t="n">
        <v>8628</v>
      </c>
      <c r="B214" s="4" t="n">
        <v>657</v>
      </c>
      <c r="C214" s="27" t="s">
        <v>802</v>
      </c>
      <c r="D214" s="31" t="n">
        <v>670</v>
      </c>
      <c r="E214" s="32" t="n">
        <v>230313032</v>
      </c>
      <c r="F214" s="8" t="s">
        <v>803</v>
      </c>
      <c r="G214" s="22" t="s">
        <v>804</v>
      </c>
      <c r="H214" s="22" t="s">
        <v>129</v>
      </c>
      <c r="I214" s="33" t="n">
        <v>2005</v>
      </c>
      <c r="J214" s="32" t="n">
        <v>84</v>
      </c>
      <c r="K214" s="32" t="n">
        <v>85</v>
      </c>
      <c r="L214" s="34" t="n">
        <f aca="false">(K214*70)/100</f>
        <v>59.5</v>
      </c>
      <c r="M214" s="34" t="n">
        <f aca="false">ROUNDUP(L214,0)</f>
        <v>60</v>
      </c>
      <c r="N214" s="32" t="n">
        <v>16</v>
      </c>
      <c r="O214" s="34" t="n">
        <f aca="false">N214+L214</f>
        <v>75.5</v>
      </c>
      <c r="P214" s="34" t="n">
        <f aca="false">N214+M214</f>
        <v>76</v>
      </c>
      <c r="Q214" s="32" t="n">
        <v>80</v>
      </c>
      <c r="R214" s="32" t="n">
        <v>78</v>
      </c>
      <c r="S214" s="34" t="n">
        <f aca="false">(R214*70)/100</f>
        <v>54.6</v>
      </c>
      <c r="T214" s="34" t="n">
        <f aca="false">ROUNDUP(S214,0)</f>
        <v>55</v>
      </c>
      <c r="U214" s="32" t="n">
        <v>21</v>
      </c>
      <c r="V214" s="34" t="n">
        <f aca="false">U214+S214</f>
        <v>75.6</v>
      </c>
      <c r="W214" s="34" t="n">
        <f aca="false">U214+T214</f>
        <v>76</v>
      </c>
      <c r="X214" s="32" t="n">
        <v>76</v>
      </c>
      <c r="Y214" s="34" t="n">
        <f aca="false">(X214*70)/100</f>
        <v>53.2</v>
      </c>
      <c r="Z214" s="34" t="n">
        <f aca="false">ROUNDUP(Y214,0)</f>
        <v>54</v>
      </c>
      <c r="AA214" s="32" t="n">
        <v>24</v>
      </c>
      <c r="AB214" s="34" t="n">
        <f aca="false">AA214+Y214</f>
        <v>77.2</v>
      </c>
      <c r="AC214" s="34" t="n">
        <f aca="false">AA214+Z214</f>
        <v>78</v>
      </c>
      <c r="AD214" s="32" t="n">
        <f aca="false">X214+R214+Q214+K214+J214</f>
        <v>403</v>
      </c>
      <c r="AE214" s="16" t="n">
        <f aca="false">AD214/5</f>
        <v>80.6</v>
      </c>
      <c r="AF214" s="16" t="n">
        <v>68</v>
      </c>
      <c r="AG214" s="16" t="n">
        <v>74</v>
      </c>
      <c r="AH214" s="16" t="n">
        <v>78</v>
      </c>
      <c r="AI214" s="16" t="n">
        <v>85</v>
      </c>
      <c r="AJ214" s="16" t="n">
        <f aca="false">(AI214*70)/100</f>
        <v>59.5</v>
      </c>
      <c r="AK214" s="35" t="n">
        <f aca="false">ROUNDUP(AJ214,0)</f>
        <v>60</v>
      </c>
      <c r="AL214" s="16" t="n">
        <v>28</v>
      </c>
      <c r="AM214" s="16" t="n">
        <f aca="false">AL214+AJ214</f>
        <v>87.5</v>
      </c>
      <c r="AN214" s="16" t="n">
        <f aca="false">AL214+AK214</f>
        <v>88</v>
      </c>
      <c r="AO214" s="16" t="n">
        <v>71</v>
      </c>
      <c r="AP214" s="36" t="n">
        <f aca="false">(AO214*70)/100</f>
        <v>49.7</v>
      </c>
      <c r="AQ214" s="37" t="n">
        <f aca="false">ROUNDUP(AP214,0)</f>
        <v>50</v>
      </c>
      <c r="AR214" s="16" t="n">
        <v>28</v>
      </c>
      <c r="AS214" s="16" t="n">
        <f aca="false">AR214+AP214</f>
        <v>77.7</v>
      </c>
      <c r="AT214" s="16" t="n">
        <f aca="false">AR214+AQ214</f>
        <v>78</v>
      </c>
      <c r="AU214" s="16" t="n">
        <f aca="false">AO214+AF214+AI214+AH214+AG214</f>
        <v>376</v>
      </c>
      <c r="AV214" s="16" t="n">
        <f aca="false">(AO214+AF214+AI214+AH214+AG214)/5</f>
        <v>75.2</v>
      </c>
      <c r="AW214" s="36" t="n">
        <f aca="false">(AO214+AF214+AI214+AH214+AG214+X214+R214+Q214+K214+J214)</f>
        <v>779</v>
      </c>
      <c r="AX214" s="16" t="n">
        <f aca="false">AW214/10</f>
        <v>77.9</v>
      </c>
      <c r="AY214" s="16" t="n">
        <f aca="false">AS214+AF214+AM214+AH214+AG214+AB214+V214+Q214+O214+J214</f>
        <v>777.5</v>
      </c>
      <c r="AZ214" s="16" t="n">
        <f aca="false">AT214+AF214+AN214+AH214+AG214+AC214+W214+Q214+P214+J214</f>
        <v>780</v>
      </c>
      <c r="BA214" s="16" t="n">
        <f aca="false">AY214/10</f>
        <v>77.75</v>
      </c>
      <c r="BB214" s="16" t="n">
        <f aca="false">AZ214/10</f>
        <v>78</v>
      </c>
      <c r="BC214" s="16" t="n">
        <v>2350</v>
      </c>
      <c r="BD214" s="16" t="n">
        <f aca="false">RANK(AX214,$AX$2:$AX$881,0)</f>
        <v>414</v>
      </c>
      <c r="BE214" s="54" t="n">
        <f aca="false">((BC214*100)/2400)*0.4+(AX214*0.6)</f>
        <v>85.9066666666667</v>
      </c>
      <c r="BF214" s="16" t="n">
        <f aca="false">RANK(BE214,$BE$2:$BE$881,0)</f>
        <v>446</v>
      </c>
      <c r="BG214" s="39" t="n">
        <f aca="false">RANK(BB214,$BB$2:$BB$881,0)</f>
        <v>558</v>
      </c>
      <c r="BH214" s="39" t="n">
        <f aca="false">RANK(BC214,$BC$2:$BC$881,0)</f>
        <v>532</v>
      </c>
      <c r="BI214" s="22" t="s">
        <v>130</v>
      </c>
      <c r="BJ214" s="22" t="s">
        <v>129</v>
      </c>
      <c r="BK214" s="40" t="s">
        <v>509</v>
      </c>
      <c r="BL214" s="41" t="n">
        <v>22</v>
      </c>
      <c r="BM214" s="41" t="n">
        <v>60</v>
      </c>
      <c r="BN214" s="41" t="n">
        <v>82</v>
      </c>
      <c r="BO214" s="42" t="n">
        <v>26</v>
      </c>
      <c r="BP214" s="43" t="n">
        <v>64</v>
      </c>
      <c r="BQ214" s="44" t="n">
        <v>90</v>
      </c>
      <c r="BR214" s="42" t="n">
        <v>27</v>
      </c>
      <c r="BS214" s="45" t="n">
        <v>64</v>
      </c>
      <c r="BT214" s="45" t="n">
        <v>91</v>
      </c>
      <c r="BU214" s="46" t="n">
        <v>100</v>
      </c>
      <c r="BV214" s="47" t="n">
        <v>82</v>
      </c>
      <c r="BW214" s="42" t="n">
        <v>96</v>
      </c>
      <c r="BX214" s="48" t="n">
        <v>96</v>
      </c>
      <c r="BY214" s="32" t="n">
        <v>26</v>
      </c>
      <c r="BZ214" s="32" t="n">
        <v>63</v>
      </c>
      <c r="CA214" s="32" t="n">
        <v>89</v>
      </c>
      <c r="CB214" s="32" t="n">
        <v>27</v>
      </c>
      <c r="CC214" s="32" t="n">
        <v>53</v>
      </c>
      <c r="CD214" s="32" t="n">
        <v>80</v>
      </c>
      <c r="CE214" s="32" t="n">
        <v>23</v>
      </c>
      <c r="CF214" s="32" t="n">
        <v>58</v>
      </c>
      <c r="CG214" s="32" t="n">
        <v>81</v>
      </c>
      <c r="CH214" s="32" t="n">
        <v>99</v>
      </c>
      <c r="CI214" s="32" t="n">
        <v>100</v>
      </c>
      <c r="CJ214" s="49" t="n">
        <v>19</v>
      </c>
      <c r="CK214" s="49" t="n">
        <v>53</v>
      </c>
      <c r="CL214" s="49" t="n">
        <v>72</v>
      </c>
      <c r="CM214" s="49" t="n">
        <v>23</v>
      </c>
      <c r="CN214" s="49" t="n">
        <v>55</v>
      </c>
      <c r="CO214" s="49" t="n">
        <v>78</v>
      </c>
      <c r="CP214" s="25" t="n">
        <f aca="false">BX214+BW214+BV214+BU214+BT214+BQ214+BN214</f>
        <v>637</v>
      </c>
      <c r="CQ214" s="25" t="n">
        <f aca="false">CO214+CL214+CI214+CH214+CG214+CD214+CA214</f>
        <v>599</v>
      </c>
      <c r="CR214" s="26" t="n">
        <f aca="false">CP214/7</f>
        <v>91</v>
      </c>
      <c r="CS214" s="26" t="n">
        <f aca="false">CQ214/7</f>
        <v>85.5714285714286</v>
      </c>
      <c r="CT214" s="24" t="n">
        <f aca="false">RANK(CR214,$CR$2:$CR$881,0)</f>
        <v>130</v>
      </c>
      <c r="CU214" s="25" t="n">
        <f aca="false">RANK(CS214,$CS$2:$CS$881,0)</f>
        <v>91</v>
      </c>
      <c r="CV214" s="26" t="n">
        <f aca="false">(CS214+CR214)/2</f>
        <v>88.2857142857143</v>
      </c>
      <c r="CW214" s="25" t="n">
        <f aca="false">RANK(CV214,$CV$2:$CV$881,0)</f>
        <v>91</v>
      </c>
      <c r="CX214" s="50" t="n">
        <f aca="false">(CV214+BB214)/2</f>
        <v>83.1428571428571</v>
      </c>
      <c r="CY214" s="50" t="n">
        <v>207</v>
      </c>
      <c r="CZ214" s="27" t="s">
        <v>132</v>
      </c>
      <c r="DA214" s="27" t="s">
        <v>205</v>
      </c>
      <c r="DB214" s="27" t="s">
        <v>205</v>
      </c>
      <c r="DC214" s="27" t="s">
        <v>134</v>
      </c>
      <c r="DD214" s="27" t="s">
        <v>135</v>
      </c>
      <c r="DE214" s="27" t="s">
        <v>152</v>
      </c>
      <c r="DF214" s="27" t="s">
        <v>162</v>
      </c>
      <c r="DG214" s="27" t="s">
        <v>134</v>
      </c>
      <c r="DH214" s="27" t="s">
        <v>135</v>
      </c>
      <c r="DI214" s="27" t="s">
        <v>161</v>
      </c>
      <c r="DJ214" s="27" t="s">
        <v>202</v>
      </c>
      <c r="DK214" s="27" t="s">
        <v>134</v>
      </c>
      <c r="DL214" s="27" t="s">
        <v>135</v>
      </c>
      <c r="DM214" s="27" t="s">
        <v>306</v>
      </c>
      <c r="DN214" s="27" t="s">
        <v>219</v>
      </c>
      <c r="DO214" s="27" t="s">
        <v>134</v>
      </c>
      <c r="DP214" s="27" t="s">
        <v>154</v>
      </c>
      <c r="DQ214" s="27" t="s">
        <v>313</v>
      </c>
      <c r="DR214" s="27" t="s">
        <v>441</v>
      </c>
      <c r="DS214" s="27" t="s">
        <v>134</v>
      </c>
      <c r="DT214" s="27" t="s">
        <v>182</v>
      </c>
      <c r="DU214" s="27" t="s">
        <v>204</v>
      </c>
      <c r="DV214" s="27" t="s">
        <v>169</v>
      </c>
      <c r="DW214" s="27" t="s">
        <v>182</v>
      </c>
      <c r="DX214" s="27" t="s">
        <v>204</v>
      </c>
      <c r="DY214" s="27" t="s">
        <v>169</v>
      </c>
      <c r="DZ214" s="27" t="n">
        <f aca="false">DY214+DV214+DR214+DN214+DJ214+DF214+DB214</f>
        <v>578</v>
      </c>
      <c r="EA214" s="28" t="n">
        <f aca="false">DZ214/7</f>
        <v>82.5714285714286</v>
      </c>
      <c r="EB214" s="27" t="n">
        <f aca="false">RANK(EA214,$EA$2:$EA$881,0)</f>
        <v>289</v>
      </c>
      <c r="EC214" s="29" t="n">
        <f aca="false">DZ214+CQ214+CP214+AZ214</f>
        <v>2594</v>
      </c>
      <c r="ED214" s="30" t="n">
        <f aca="false">(EA214+CV214+BB214)/3</f>
        <v>82.952380952381</v>
      </c>
      <c r="EE214" s="51" t="n">
        <f aca="false">ROUND(BE214,3)</f>
        <v>85.907</v>
      </c>
      <c r="EF214" s="51" t="n">
        <f aca="false">ROUND(CR214,3)</f>
        <v>91</v>
      </c>
      <c r="EG214" s="51" t="n">
        <f aca="false">ROUND(CS214,3)</f>
        <v>85.571</v>
      </c>
      <c r="EH214" s="51" t="n">
        <f aca="false">ROUND(EA214,3)</f>
        <v>82.571</v>
      </c>
      <c r="EI214" s="51" t="n">
        <f aca="false">ROUND(ED214,3)</f>
        <v>82.952</v>
      </c>
      <c r="EJ214" s="51" t="n">
        <f aca="false">ROUND(CV214,3)</f>
        <v>88.286</v>
      </c>
      <c r="EK214" s="0" t="n">
        <f aca="false">RANK(EI214,$EI$2:$EI$881,0)</f>
        <v>213</v>
      </c>
    </row>
    <row r="215" customFormat="false" ht="15" hidden="false" customHeight="false" outlineLevel="0" collapsed="false">
      <c r="A215" s="4" t="n">
        <v>8822</v>
      </c>
      <c r="B215" s="4" t="n">
        <v>65</v>
      </c>
      <c r="C215" s="27" t="s">
        <v>805</v>
      </c>
      <c r="D215" s="52" t="n">
        <v>68</v>
      </c>
      <c r="E215" s="32" t="n">
        <v>230312119</v>
      </c>
      <c r="F215" s="8" t="s">
        <v>806</v>
      </c>
      <c r="G215" s="22" t="s">
        <v>807</v>
      </c>
      <c r="H215" s="22" t="s">
        <v>129</v>
      </c>
      <c r="I215" s="33" t="n">
        <v>2005</v>
      </c>
      <c r="J215" s="32" t="n">
        <v>86</v>
      </c>
      <c r="K215" s="32" t="n">
        <v>75</v>
      </c>
      <c r="L215" s="34" t="n">
        <f aca="false">(K215*70)/100</f>
        <v>52.5</v>
      </c>
      <c r="M215" s="34" t="n">
        <f aca="false">ROUNDUP(L215,0)</f>
        <v>53</v>
      </c>
      <c r="N215" s="32" t="n">
        <v>28</v>
      </c>
      <c r="O215" s="34" t="n">
        <f aca="false">N215+L215</f>
        <v>80.5</v>
      </c>
      <c r="P215" s="34" t="n">
        <f aca="false">N215+M215</f>
        <v>81</v>
      </c>
      <c r="Q215" s="32" t="n">
        <v>65</v>
      </c>
      <c r="R215" s="32" t="n">
        <v>76</v>
      </c>
      <c r="S215" s="34" t="n">
        <f aca="false">(R215*70)/100</f>
        <v>53.2</v>
      </c>
      <c r="T215" s="34" t="n">
        <f aca="false">ROUNDUP(S215,0)</f>
        <v>54</v>
      </c>
      <c r="U215" s="32" t="n">
        <v>20</v>
      </c>
      <c r="V215" s="34" t="n">
        <f aca="false">U215+S215</f>
        <v>73.2</v>
      </c>
      <c r="W215" s="34" t="n">
        <f aca="false">U215+T215</f>
        <v>74</v>
      </c>
      <c r="X215" s="32" t="n">
        <v>72</v>
      </c>
      <c r="Y215" s="34" t="n">
        <f aca="false">(X215*70)/100</f>
        <v>50.4</v>
      </c>
      <c r="Z215" s="34" t="n">
        <f aca="false">ROUNDUP(Y215,0)</f>
        <v>51</v>
      </c>
      <c r="AA215" s="32" t="n">
        <v>26</v>
      </c>
      <c r="AB215" s="34" t="n">
        <f aca="false">AA215+Y215</f>
        <v>76.4</v>
      </c>
      <c r="AC215" s="34" t="n">
        <f aca="false">AA215+Z215</f>
        <v>77</v>
      </c>
      <c r="AD215" s="32" t="n">
        <f aca="false">X215+R215+Q215+K215+J215</f>
        <v>374</v>
      </c>
      <c r="AE215" s="16" t="n">
        <f aca="false">AD215/5</f>
        <v>74.8</v>
      </c>
      <c r="AF215" s="16" t="n">
        <v>81</v>
      </c>
      <c r="AG215" s="16" t="n">
        <v>87</v>
      </c>
      <c r="AH215" s="16" t="n">
        <v>87</v>
      </c>
      <c r="AI215" s="16" t="n">
        <v>86</v>
      </c>
      <c r="AJ215" s="16" t="n">
        <f aca="false">(AI215*70)/100</f>
        <v>60.2</v>
      </c>
      <c r="AK215" s="35" t="n">
        <f aca="false">ROUNDUP(AJ215,0)</f>
        <v>61</v>
      </c>
      <c r="AL215" s="16" t="n">
        <v>23</v>
      </c>
      <c r="AM215" s="16" t="n">
        <f aca="false">AL215+AJ215</f>
        <v>83.2</v>
      </c>
      <c r="AN215" s="16" t="n">
        <f aca="false">AL215+AK215</f>
        <v>84</v>
      </c>
      <c r="AO215" s="16" t="n">
        <v>81</v>
      </c>
      <c r="AP215" s="36" t="n">
        <f aca="false">(AO215*70)/100</f>
        <v>56.7</v>
      </c>
      <c r="AQ215" s="37" t="n">
        <f aca="false">ROUNDUP(AP215,0)</f>
        <v>57</v>
      </c>
      <c r="AR215" s="16" t="n">
        <v>26</v>
      </c>
      <c r="AS215" s="16" t="n">
        <f aca="false">AR215+AP215</f>
        <v>82.7</v>
      </c>
      <c r="AT215" s="16" t="n">
        <f aca="false">AR215+AQ215</f>
        <v>83</v>
      </c>
      <c r="AU215" s="16" t="n">
        <f aca="false">AO215+AF215+AI215+AH215+AG215</f>
        <v>422</v>
      </c>
      <c r="AV215" s="16" t="n">
        <f aca="false">(AO215+AF215+AI215+AH215+AG215)/5</f>
        <v>84.4</v>
      </c>
      <c r="AW215" s="36" t="n">
        <f aca="false">(AO215+AF215+AI215+AH215+AG215+X215+R215+Q215+K215+J215)</f>
        <v>796</v>
      </c>
      <c r="AX215" s="16" t="n">
        <f aca="false">AW215/10</f>
        <v>79.6</v>
      </c>
      <c r="AY215" s="16" t="n">
        <f aca="false">AS215+AF215+AM215+AH215+AG215+AB215+V215+Q215+O215+J215</f>
        <v>802</v>
      </c>
      <c r="AZ215" s="16" t="n">
        <f aca="false">AT215+AF215+AN215+AH215+AG215+AC215+W215+Q215+P215+J215</f>
        <v>805</v>
      </c>
      <c r="BA215" s="16" t="n">
        <f aca="false">AY215/10</f>
        <v>80.2</v>
      </c>
      <c r="BB215" s="16" t="n">
        <f aca="false">AZ215/10</f>
        <v>80.5</v>
      </c>
      <c r="BC215" s="16" t="n">
        <v>2350</v>
      </c>
      <c r="BD215" s="16" t="n">
        <f aca="false">RANK(AX215,$AX$2:$AX$881,0)</f>
        <v>296</v>
      </c>
      <c r="BE215" s="54" t="n">
        <f aca="false">((BC215*100)/2400)*0.4+(AX215*0.6)</f>
        <v>86.9266666666667</v>
      </c>
      <c r="BF215" s="16" t="n">
        <f aca="false">RANK(BE215,$BE$2:$BE$881,0)</f>
        <v>304</v>
      </c>
      <c r="BG215" s="39" t="n">
        <f aca="false">RANK(BB215,$BB$2:$BB$881,0)</f>
        <v>312</v>
      </c>
      <c r="BH215" s="39" t="n">
        <f aca="false">RANK(BC215,$BC$2:$BC$881,0)</f>
        <v>532</v>
      </c>
      <c r="BI215" s="22" t="s">
        <v>130</v>
      </c>
      <c r="BJ215" s="22" t="s">
        <v>129</v>
      </c>
      <c r="BK215" s="40" t="s">
        <v>131</v>
      </c>
      <c r="BL215" s="41" t="n">
        <v>20</v>
      </c>
      <c r="BM215" s="41" t="n">
        <v>58</v>
      </c>
      <c r="BN215" s="41" t="n">
        <v>78</v>
      </c>
      <c r="BO215" s="42" t="n">
        <v>21</v>
      </c>
      <c r="BP215" s="43" t="n">
        <v>62</v>
      </c>
      <c r="BQ215" s="44" t="n">
        <v>83</v>
      </c>
      <c r="BR215" s="42" t="n">
        <v>24</v>
      </c>
      <c r="BS215" s="45" t="n">
        <v>59</v>
      </c>
      <c r="BT215" s="45" t="n">
        <v>83</v>
      </c>
      <c r="BU215" s="46" t="n">
        <v>100</v>
      </c>
      <c r="BV215" s="47" t="n">
        <v>88</v>
      </c>
      <c r="BW215" s="42" t="n">
        <v>96</v>
      </c>
      <c r="BX215" s="48" t="n">
        <v>92</v>
      </c>
      <c r="BY215" s="32" t="n">
        <v>25</v>
      </c>
      <c r="BZ215" s="32" t="n">
        <v>60</v>
      </c>
      <c r="CA215" s="32" t="n">
        <v>85</v>
      </c>
      <c r="CB215" s="32" t="n">
        <v>20</v>
      </c>
      <c r="CC215" s="32" t="n">
        <v>39</v>
      </c>
      <c r="CD215" s="69" t="n">
        <v>59</v>
      </c>
      <c r="CE215" s="32" t="n">
        <v>23</v>
      </c>
      <c r="CF215" s="32" t="n">
        <v>49</v>
      </c>
      <c r="CG215" s="32" t="n">
        <v>72</v>
      </c>
      <c r="CH215" s="32" t="n">
        <v>99</v>
      </c>
      <c r="CI215" s="32" t="n">
        <v>100</v>
      </c>
      <c r="CJ215" s="49" t="n">
        <v>25</v>
      </c>
      <c r="CK215" s="49" t="n">
        <v>42</v>
      </c>
      <c r="CL215" s="49" t="n">
        <v>67</v>
      </c>
      <c r="CM215" s="49" t="n">
        <v>24</v>
      </c>
      <c r="CN215" s="49" t="n">
        <v>46</v>
      </c>
      <c r="CO215" s="49" t="n">
        <v>70</v>
      </c>
      <c r="CP215" s="25" t="n">
        <f aca="false">BX215+BW215+BV215+BU215+BT215+BQ215+BN215</f>
        <v>620</v>
      </c>
      <c r="CQ215" s="25" t="n">
        <f aca="false">CO215+CL215+CI215+CH215+CG215+CD215+CA215</f>
        <v>552</v>
      </c>
      <c r="CR215" s="26" t="n">
        <f aca="false">CP215/7</f>
        <v>88.5714285714286</v>
      </c>
      <c r="CS215" s="26" t="n">
        <f aca="false">CQ215/7</f>
        <v>78.8571428571429</v>
      </c>
      <c r="CT215" s="24" t="n">
        <f aca="false">RANK(CR215,$CR$2:$CR$881,0)</f>
        <v>265</v>
      </c>
      <c r="CU215" s="25" t="n">
        <f aca="false">RANK(CS215,$CS$2:$CS$881,0)</f>
        <v>305</v>
      </c>
      <c r="CV215" s="26" t="n">
        <f aca="false">(CS215+CR215)/2</f>
        <v>83.7142857142857</v>
      </c>
      <c r="CW215" s="25" t="n">
        <f aca="false">RANK(CV215,$CV$2:$CV$881,0)</f>
        <v>269</v>
      </c>
      <c r="CX215" s="50" t="n">
        <f aca="false">(CV215+BB215)/2</f>
        <v>82.1071428571429</v>
      </c>
      <c r="CY215" s="50" t="n">
        <v>260</v>
      </c>
      <c r="CZ215" s="27" t="s">
        <v>132</v>
      </c>
      <c r="DA215" s="27" t="s">
        <v>205</v>
      </c>
      <c r="DB215" s="27" t="s">
        <v>205</v>
      </c>
      <c r="DC215" s="27" t="s">
        <v>134</v>
      </c>
      <c r="DD215" s="27" t="s">
        <v>135</v>
      </c>
      <c r="DE215" s="27" t="s">
        <v>204</v>
      </c>
      <c r="DF215" s="27" t="s">
        <v>209</v>
      </c>
      <c r="DG215" s="27" t="s">
        <v>134</v>
      </c>
      <c r="DH215" s="27" t="s">
        <v>140</v>
      </c>
      <c r="DI215" s="27" t="s">
        <v>177</v>
      </c>
      <c r="DJ215" s="27" t="s">
        <v>162</v>
      </c>
      <c r="DK215" s="27" t="s">
        <v>134</v>
      </c>
      <c r="DL215" s="27" t="s">
        <v>135</v>
      </c>
      <c r="DM215" s="27" t="s">
        <v>183</v>
      </c>
      <c r="DN215" s="27" t="s">
        <v>169</v>
      </c>
      <c r="DO215" s="27" t="s">
        <v>134</v>
      </c>
      <c r="DP215" s="27" t="s">
        <v>264</v>
      </c>
      <c r="DQ215" s="27" t="s">
        <v>313</v>
      </c>
      <c r="DR215" s="27" t="s">
        <v>416</v>
      </c>
      <c r="DS215" s="27" t="s">
        <v>134</v>
      </c>
      <c r="DT215" s="27" t="s">
        <v>140</v>
      </c>
      <c r="DU215" s="27" t="s">
        <v>204</v>
      </c>
      <c r="DV215" s="27" t="s">
        <v>133</v>
      </c>
      <c r="DW215" s="27" t="s">
        <v>140</v>
      </c>
      <c r="DX215" s="27" t="s">
        <v>187</v>
      </c>
      <c r="DY215" s="27" t="s">
        <v>139</v>
      </c>
      <c r="DZ215" s="27" t="n">
        <f aca="false">DY215+DV215+DR215+DN215+DJ215+DF215+DB215</f>
        <v>592</v>
      </c>
      <c r="EA215" s="28" t="n">
        <f aca="false">DZ215/7</f>
        <v>84.5714285714286</v>
      </c>
      <c r="EB215" s="27" t="n">
        <f aca="false">RANK(EA215,$EA$2:$EA$881,0)</f>
        <v>201</v>
      </c>
      <c r="EC215" s="29" t="n">
        <f aca="false">DZ215+CQ215+CP215+AZ215</f>
        <v>2569</v>
      </c>
      <c r="ED215" s="30" t="n">
        <f aca="false">(EA215+CV215+BB215)/3</f>
        <v>82.9285714285714</v>
      </c>
      <c r="EE215" s="51" t="n">
        <f aca="false">ROUND(BE215,3)</f>
        <v>86.927</v>
      </c>
      <c r="EF215" s="51" t="n">
        <f aca="false">ROUND(CR215,3)</f>
        <v>88.571</v>
      </c>
      <c r="EG215" s="51" t="n">
        <f aca="false">ROUND(CS215,3)</f>
        <v>78.857</v>
      </c>
      <c r="EH215" s="51" t="n">
        <f aca="false">ROUND(EA215,3)</f>
        <v>84.571</v>
      </c>
      <c r="EI215" s="51" t="n">
        <f aca="false">ROUND(ED215,3)</f>
        <v>82.929</v>
      </c>
      <c r="EJ215" s="51" t="n">
        <f aca="false">ROUND(CV215,3)</f>
        <v>83.714</v>
      </c>
      <c r="EK215" s="0" t="n">
        <f aca="false">RANK(EI215,$EI$2:$EI$881,0)</f>
        <v>214</v>
      </c>
    </row>
    <row r="216" customFormat="false" ht="15" hidden="false" customHeight="false" outlineLevel="0" collapsed="false">
      <c r="A216" s="4" t="n">
        <v>1869</v>
      </c>
      <c r="B216" s="4" t="n">
        <v>302</v>
      </c>
      <c r="C216" s="27" t="s">
        <v>808</v>
      </c>
      <c r="D216" s="31" t="n">
        <v>302</v>
      </c>
      <c r="E216" s="16" t="n">
        <v>230913145</v>
      </c>
      <c r="F216" s="56" t="s">
        <v>809</v>
      </c>
      <c r="G216" s="22" t="s">
        <v>334</v>
      </c>
      <c r="H216" s="22" t="s">
        <v>326</v>
      </c>
      <c r="I216" s="57"/>
      <c r="J216" s="16" t="n">
        <v>66</v>
      </c>
      <c r="K216" s="16" t="n">
        <v>75</v>
      </c>
      <c r="L216" s="34" t="n">
        <f aca="false">(K216*70)/100</f>
        <v>52.5</v>
      </c>
      <c r="M216" s="34" t="n">
        <f aca="false">ROUNDUP(L216,0)</f>
        <v>53</v>
      </c>
      <c r="N216" s="16" t="n">
        <v>23</v>
      </c>
      <c r="O216" s="34" t="n">
        <f aca="false">N216+L216</f>
        <v>75.5</v>
      </c>
      <c r="P216" s="34" t="n">
        <f aca="false">N216+M216</f>
        <v>76</v>
      </c>
      <c r="Q216" s="16" t="n">
        <v>76</v>
      </c>
      <c r="R216" s="16" t="n">
        <v>74</v>
      </c>
      <c r="S216" s="34" t="n">
        <f aca="false">(R216*70)/100</f>
        <v>51.8</v>
      </c>
      <c r="T216" s="34" t="n">
        <f aca="false">ROUNDUP(S216,0)</f>
        <v>52</v>
      </c>
      <c r="U216" s="16" t="n">
        <v>24</v>
      </c>
      <c r="V216" s="34" t="n">
        <f aca="false">U216+S216</f>
        <v>75.8</v>
      </c>
      <c r="W216" s="34" t="n">
        <f aca="false">U216+T216</f>
        <v>76</v>
      </c>
      <c r="X216" s="16" t="n">
        <v>68</v>
      </c>
      <c r="Y216" s="34" t="n">
        <f aca="false">(X216*70)/100</f>
        <v>47.6</v>
      </c>
      <c r="Z216" s="34" t="n">
        <f aca="false">ROUNDUP(Y216,0)</f>
        <v>48</v>
      </c>
      <c r="AA216" s="16" t="n">
        <v>28</v>
      </c>
      <c r="AB216" s="34" t="n">
        <f aca="false">AA216+Y216</f>
        <v>75.6</v>
      </c>
      <c r="AC216" s="34" t="n">
        <f aca="false">AA216+Z216</f>
        <v>76</v>
      </c>
      <c r="AD216" s="32" t="n">
        <f aca="false">X216+R216+Q216+K216+J216</f>
        <v>359</v>
      </c>
      <c r="AE216" s="16" t="n">
        <f aca="false">AD216/5</f>
        <v>71.8</v>
      </c>
      <c r="AF216" s="16" t="n">
        <v>80</v>
      </c>
      <c r="AG216" s="16" t="n">
        <v>78</v>
      </c>
      <c r="AH216" s="16" t="n">
        <v>88</v>
      </c>
      <c r="AI216" s="16" t="n">
        <v>90</v>
      </c>
      <c r="AJ216" s="16" t="n">
        <f aca="false">(AI216*70)/100</f>
        <v>63</v>
      </c>
      <c r="AK216" s="35" t="n">
        <f aca="false">ROUNDUP(AJ216,0)</f>
        <v>63</v>
      </c>
      <c r="AL216" s="16" t="n">
        <v>29</v>
      </c>
      <c r="AM216" s="16" t="n">
        <f aca="false">AL216+AJ216</f>
        <v>92</v>
      </c>
      <c r="AN216" s="16" t="n">
        <f aca="false">AL216+AK216</f>
        <v>92</v>
      </c>
      <c r="AO216" s="16" t="n">
        <v>77</v>
      </c>
      <c r="AP216" s="36" t="n">
        <f aca="false">(AO216*70)/100</f>
        <v>53.9</v>
      </c>
      <c r="AQ216" s="37" t="n">
        <f aca="false">ROUNDUP(AP216,0)</f>
        <v>54</v>
      </c>
      <c r="AR216" s="16" t="n">
        <v>25</v>
      </c>
      <c r="AS216" s="16" t="n">
        <f aca="false">AR216+AP216</f>
        <v>78.9</v>
      </c>
      <c r="AT216" s="16" t="n">
        <f aca="false">AR216+AQ216</f>
        <v>79</v>
      </c>
      <c r="AU216" s="16" t="n">
        <f aca="false">AO216+AF216+AI216+AH216+AG216</f>
        <v>413</v>
      </c>
      <c r="AV216" s="16" t="n">
        <f aca="false">(AO216+AF216+AI216+AH216+AG216)/5</f>
        <v>82.6</v>
      </c>
      <c r="AW216" s="36" t="n">
        <f aca="false">(AO216+AF216+AI216+AH216+AG216+X216+R216+Q216+K216+J216)</f>
        <v>772</v>
      </c>
      <c r="AX216" s="16" t="n">
        <f aca="false">AW216/10</f>
        <v>77.2</v>
      </c>
      <c r="AY216" s="16" t="n">
        <f aca="false">AS216+AF216+AM216+AH216+AG216+AB216+V216+Q216+O216+J216</f>
        <v>785.8</v>
      </c>
      <c r="AZ216" s="16" t="n">
        <f aca="false">AT216+AF216+AN216+AH216+AG216+AC216+W216+Q216+P216+J216</f>
        <v>787</v>
      </c>
      <c r="BA216" s="16" t="n">
        <f aca="false">AY216/10</f>
        <v>78.58</v>
      </c>
      <c r="BB216" s="16" t="n">
        <f aca="false">AZ216/10</f>
        <v>78.7</v>
      </c>
      <c r="BC216" s="16" t="n">
        <v>2332</v>
      </c>
      <c r="BD216" s="16" t="n">
        <f aca="false">RANK(AX216,$AX$2:$AX$881,0)</f>
        <v>482</v>
      </c>
      <c r="BE216" s="54" t="n">
        <f aca="false">((BC216*100)/2400)*0.4+(AX216*0.6)</f>
        <v>85.1866666666667</v>
      </c>
      <c r="BF216" s="16" t="n">
        <f aca="false">RANK(BE216,$BE$2:$BE$881,0)</f>
        <v>569</v>
      </c>
      <c r="BG216" s="39" t="n">
        <f aca="false">RANK(BB216,$BB$2:$BB$881,0)</f>
        <v>482</v>
      </c>
      <c r="BH216" s="39" t="n">
        <f aca="false">RANK(BC216,$BC$2:$BC$881,0)</f>
        <v>709</v>
      </c>
      <c r="BI216" s="22" t="s">
        <v>130</v>
      </c>
      <c r="BJ216" s="22" t="s">
        <v>129</v>
      </c>
      <c r="BK216" s="40" t="s">
        <v>509</v>
      </c>
      <c r="BL216" s="41" t="n">
        <v>22</v>
      </c>
      <c r="BM216" s="41" t="n">
        <v>54</v>
      </c>
      <c r="BN216" s="41" t="n">
        <v>76</v>
      </c>
      <c r="BO216" s="42" t="n">
        <v>23</v>
      </c>
      <c r="BP216" s="43" t="n">
        <v>65</v>
      </c>
      <c r="BQ216" s="44" t="n">
        <v>88</v>
      </c>
      <c r="BR216" s="42" t="n">
        <v>28</v>
      </c>
      <c r="BS216" s="45" t="n">
        <v>60</v>
      </c>
      <c r="BT216" s="45" t="n">
        <v>88</v>
      </c>
      <c r="BU216" s="46" t="n">
        <v>100</v>
      </c>
      <c r="BV216" s="47" t="n">
        <v>82</v>
      </c>
      <c r="BW216" s="42" t="n">
        <v>99</v>
      </c>
      <c r="BX216" s="48" t="n">
        <v>90</v>
      </c>
      <c r="BY216" s="32" t="n">
        <v>25</v>
      </c>
      <c r="BZ216" s="32" t="n">
        <v>67</v>
      </c>
      <c r="CA216" s="32" t="n">
        <v>92</v>
      </c>
      <c r="CB216" s="32" t="n">
        <v>25</v>
      </c>
      <c r="CC216" s="68" t="n">
        <v>0</v>
      </c>
      <c r="CD216" s="69" t="n">
        <v>25</v>
      </c>
      <c r="CE216" s="32" t="n">
        <v>28</v>
      </c>
      <c r="CF216" s="32" t="n">
        <v>57</v>
      </c>
      <c r="CG216" s="32" t="n">
        <v>85</v>
      </c>
      <c r="CH216" s="32" t="n">
        <v>96</v>
      </c>
      <c r="CI216" s="32" t="n">
        <v>95</v>
      </c>
      <c r="CJ216" s="49" t="n">
        <v>26</v>
      </c>
      <c r="CK216" s="49" t="n">
        <v>57</v>
      </c>
      <c r="CL216" s="49" t="n">
        <v>83</v>
      </c>
      <c r="CM216" s="49" t="n">
        <v>27</v>
      </c>
      <c r="CN216" s="49" t="n">
        <v>56</v>
      </c>
      <c r="CO216" s="49" t="n">
        <v>83</v>
      </c>
      <c r="CP216" s="25" t="n">
        <f aca="false">BX216+BW216+BV216+BU216+BT216+BQ216+BN216</f>
        <v>623</v>
      </c>
      <c r="CQ216" s="25" t="n">
        <f aca="false">CO216+CL216+CI216+CH216+CG216+CD216+CA216</f>
        <v>559</v>
      </c>
      <c r="CR216" s="26" t="n">
        <f aca="false">CP216/7</f>
        <v>89</v>
      </c>
      <c r="CS216" s="26" t="n">
        <f aca="false">CQ216/7</f>
        <v>79.8571428571429</v>
      </c>
      <c r="CT216" s="24" t="n">
        <f aca="false">RANK(CR216,$CR$2:$CR$881,0)</f>
        <v>244</v>
      </c>
      <c r="CU216" s="25" t="n">
        <f aca="false">RANK(CS216,$CS$2:$CS$881,0)</f>
        <v>270</v>
      </c>
      <c r="CV216" s="26" t="n">
        <f aca="false">(CS216+CR216)/2</f>
        <v>84.4285714285714</v>
      </c>
      <c r="CW216" s="25" t="n">
        <f aca="false">RANK(CV216,$CV$2:$CV$881,0)</f>
        <v>243</v>
      </c>
      <c r="CX216" s="50" t="n">
        <f aca="false">(CV216+BB216)/2</f>
        <v>81.5642857142857</v>
      </c>
      <c r="CY216" s="50" t="n">
        <v>289</v>
      </c>
      <c r="CZ216" s="27" t="s">
        <v>132</v>
      </c>
      <c r="DA216" s="27" t="s">
        <v>169</v>
      </c>
      <c r="DB216" s="27" t="s">
        <v>169</v>
      </c>
      <c r="DC216" s="27" t="s">
        <v>134</v>
      </c>
      <c r="DD216" s="27" t="s">
        <v>135</v>
      </c>
      <c r="DE216" s="27" t="s">
        <v>204</v>
      </c>
      <c r="DF216" s="27" t="s">
        <v>209</v>
      </c>
      <c r="DG216" s="27" t="s">
        <v>134</v>
      </c>
      <c r="DH216" s="27" t="s">
        <v>135</v>
      </c>
      <c r="DI216" s="27" t="s">
        <v>183</v>
      </c>
      <c r="DJ216" s="27" t="s">
        <v>169</v>
      </c>
      <c r="DK216" s="27" t="s">
        <v>134</v>
      </c>
      <c r="DL216" s="27" t="s">
        <v>164</v>
      </c>
      <c r="DM216" s="27" t="s">
        <v>152</v>
      </c>
      <c r="DN216" s="27" t="s">
        <v>170</v>
      </c>
      <c r="DO216" s="27" t="s">
        <v>134</v>
      </c>
      <c r="DP216" s="27" t="s">
        <v>191</v>
      </c>
      <c r="DQ216" s="27" t="s">
        <v>161</v>
      </c>
      <c r="DR216" s="27" t="s">
        <v>196</v>
      </c>
      <c r="DS216" s="27" t="s">
        <v>134</v>
      </c>
      <c r="DT216" s="27" t="s">
        <v>140</v>
      </c>
      <c r="DU216" s="27" t="s">
        <v>412</v>
      </c>
      <c r="DV216" s="27" t="s">
        <v>219</v>
      </c>
      <c r="DW216" s="27" t="s">
        <v>164</v>
      </c>
      <c r="DX216" s="27" t="s">
        <v>155</v>
      </c>
      <c r="DY216" s="27" t="s">
        <v>144</v>
      </c>
      <c r="DZ216" s="27" t="n">
        <f aca="false">DY216+DV216+DR216+DN216+DJ216+DF216+DB216</f>
        <v>599</v>
      </c>
      <c r="EA216" s="28" t="n">
        <f aca="false">DZ216/7</f>
        <v>85.5714285714286</v>
      </c>
      <c r="EB216" s="27" t="n">
        <f aca="false">RANK(EA216,$EA$2:$EA$881,0)</f>
        <v>166</v>
      </c>
      <c r="EC216" s="29" t="n">
        <f aca="false">DZ216+CQ216+CP216+AZ216</f>
        <v>2568</v>
      </c>
      <c r="ED216" s="30" t="n">
        <f aca="false">(EA216+CV216+BB216)/3</f>
        <v>82.9</v>
      </c>
      <c r="EE216" s="51" t="n">
        <f aca="false">ROUND(BE216,3)</f>
        <v>85.187</v>
      </c>
      <c r="EF216" s="51" t="n">
        <f aca="false">ROUND(CR216,3)</f>
        <v>89</v>
      </c>
      <c r="EG216" s="51" t="n">
        <f aca="false">ROUND(CS216,3)</f>
        <v>79.857</v>
      </c>
      <c r="EH216" s="51" t="n">
        <f aca="false">ROUND(EA216,3)</f>
        <v>85.571</v>
      </c>
      <c r="EI216" s="51" t="n">
        <f aca="false">ROUND(ED216,3)</f>
        <v>82.9</v>
      </c>
      <c r="EJ216" s="51" t="n">
        <f aca="false">ROUND(CV216,3)</f>
        <v>84.429</v>
      </c>
      <c r="EK216" s="0" t="n">
        <f aca="false">RANK(EI216,$EI$2:$EI$881,0)</f>
        <v>215</v>
      </c>
    </row>
    <row r="217" customFormat="false" ht="15" hidden="false" customHeight="false" outlineLevel="0" collapsed="false">
      <c r="A217" s="4" t="n">
        <v>9092</v>
      </c>
      <c r="B217" s="4" t="n">
        <v>542</v>
      </c>
      <c r="C217" s="27" t="s">
        <v>810</v>
      </c>
      <c r="D217" s="31" t="n">
        <v>547</v>
      </c>
      <c r="E217" s="32" t="n">
        <v>230314517</v>
      </c>
      <c r="F217" s="8" t="s">
        <v>811</v>
      </c>
      <c r="G217" s="22" t="s">
        <v>812</v>
      </c>
      <c r="H217" s="22" t="s">
        <v>129</v>
      </c>
      <c r="I217" s="33" t="n">
        <v>2006</v>
      </c>
      <c r="J217" s="32" t="n">
        <v>79</v>
      </c>
      <c r="K217" s="32" t="n">
        <v>90</v>
      </c>
      <c r="L217" s="34" t="n">
        <f aca="false">(K217*70)/100</f>
        <v>63</v>
      </c>
      <c r="M217" s="34" t="n">
        <f aca="false">ROUNDUP(L217,0)</f>
        <v>63</v>
      </c>
      <c r="N217" s="32" t="n">
        <v>24</v>
      </c>
      <c r="O217" s="34" t="n">
        <f aca="false">N217+L217</f>
        <v>87</v>
      </c>
      <c r="P217" s="34" t="n">
        <f aca="false">N217+M217</f>
        <v>87</v>
      </c>
      <c r="Q217" s="32" t="n">
        <v>71</v>
      </c>
      <c r="R217" s="32" t="n">
        <v>80</v>
      </c>
      <c r="S217" s="34" t="n">
        <f aca="false">(R217*70)/100</f>
        <v>56</v>
      </c>
      <c r="T217" s="34" t="n">
        <f aca="false">ROUNDUP(S217,0)</f>
        <v>56</v>
      </c>
      <c r="U217" s="32" t="n">
        <v>26</v>
      </c>
      <c r="V217" s="34" t="n">
        <f aca="false">U217+S217</f>
        <v>82</v>
      </c>
      <c r="W217" s="34" t="n">
        <f aca="false">U217+T217</f>
        <v>82</v>
      </c>
      <c r="X217" s="32" t="n">
        <v>71</v>
      </c>
      <c r="Y217" s="34" t="n">
        <f aca="false">(X217*70)/100</f>
        <v>49.7</v>
      </c>
      <c r="Z217" s="34" t="n">
        <f aca="false">ROUNDUP(Y217,0)</f>
        <v>50</v>
      </c>
      <c r="AA217" s="32" t="n">
        <v>25</v>
      </c>
      <c r="AB217" s="34" t="n">
        <f aca="false">AA217+Y217</f>
        <v>74.7</v>
      </c>
      <c r="AC217" s="34" t="n">
        <f aca="false">AA217+Z217</f>
        <v>75</v>
      </c>
      <c r="AD217" s="32" t="n">
        <f aca="false">X217+R217+Q217+K217+J217</f>
        <v>391</v>
      </c>
      <c r="AE217" s="16" t="n">
        <f aca="false">AD217/5</f>
        <v>78.2</v>
      </c>
      <c r="AF217" s="16" t="n">
        <v>76</v>
      </c>
      <c r="AG217" s="16" t="n">
        <v>74</v>
      </c>
      <c r="AH217" s="16" t="n">
        <v>89</v>
      </c>
      <c r="AI217" s="16" t="n">
        <v>92</v>
      </c>
      <c r="AJ217" s="16" t="n">
        <f aca="false">(AI217*70)/100</f>
        <v>64.4</v>
      </c>
      <c r="AK217" s="35" t="n">
        <f aca="false">ROUNDUP(AJ217,0)</f>
        <v>65</v>
      </c>
      <c r="AL217" s="16" t="n">
        <v>24</v>
      </c>
      <c r="AM217" s="16" t="n">
        <f aca="false">AL217+AJ217</f>
        <v>88.4</v>
      </c>
      <c r="AN217" s="16" t="n">
        <f aca="false">AL217+AK217</f>
        <v>89</v>
      </c>
      <c r="AO217" s="16" t="n">
        <v>76</v>
      </c>
      <c r="AP217" s="36" t="n">
        <f aca="false">(AO217*70)/100</f>
        <v>53.2</v>
      </c>
      <c r="AQ217" s="37" t="n">
        <f aca="false">ROUNDUP(AP217,0)</f>
        <v>54</v>
      </c>
      <c r="AR217" s="16" t="n">
        <v>28</v>
      </c>
      <c r="AS217" s="16" t="n">
        <f aca="false">AR217+AP217</f>
        <v>81.2</v>
      </c>
      <c r="AT217" s="16" t="n">
        <f aca="false">AR217+AQ217</f>
        <v>82</v>
      </c>
      <c r="AU217" s="16" t="n">
        <f aca="false">AO217+AF217+AI217+AH217+AG217</f>
        <v>407</v>
      </c>
      <c r="AV217" s="16" t="n">
        <f aca="false">(AO217+AF217+AI217+AH217+AG217)/5</f>
        <v>81.4</v>
      </c>
      <c r="AW217" s="36" t="n">
        <f aca="false">(AO217+AF217+AI217+AH217+AG217+X217+R217+Q217+K217+J217)</f>
        <v>798</v>
      </c>
      <c r="AX217" s="16" t="n">
        <f aca="false">AW217/10</f>
        <v>79.8</v>
      </c>
      <c r="AY217" s="16" t="n">
        <f aca="false">AS217+AF217+AM217+AH217+AG217+AB217+V217+Q217+O217+J217</f>
        <v>802.3</v>
      </c>
      <c r="AZ217" s="16" t="n">
        <f aca="false">AT217+AF217+AN217+AH217+AG217+AC217+W217+Q217+P217+J217</f>
        <v>804</v>
      </c>
      <c r="BA217" s="16" t="n">
        <f aca="false">AY217/10</f>
        <v>80.23</v>
      </c>
      <c r="BB217" s="16" t="n">
        <f aca="false">AZ217/10</f>
        <v>80.4</v>
      </c>
      <c r="BC217" s="16" t="n">
        <v>2368</v>
      </c>
      <c r="BD217" s="16" t="n">
        <f aca="false">RANK(AX217,$AX$2:$AX$881,0)</f>
        <v>281</v>
      </c>
      <c r="BE217" s="54" t="n">
        <f aca="false">((BC217*100)/2400)*0.4+(AX217*0.6)</f>
        <v>87.3466666666667</v>
      </c>
      <c r="BF217" s="16" t="n">
        <f aca="false">RANK(BE217,$BE$2:$BE$881,0)</f>
        <v>265</v>
      </c>
      <c r="BG217" s="39" t="n">
        <f aca="false">RANK(BB217,$BB$2:$BB$881,0)</f>
        <v>318</v>
      </c>
      <c r="BH217" s="39" t="n">
        <f aca="false">RANK(BC217,$BC$2:$BC$881,0)</f>
        <v>295</v>
      </c>
      <c r="BI217" s="22" t="s">
        <v>130</v>
      </c>
      <c r="BJ217" s="22" t="s">
        <v>129</v>
      </c>
      <c r="BK217" s="40" t="s">
        <v>131</v>
      </c>
      <c r="BL217" s="41" t="n">
        <v>19</v>
      </c>
      <c r="BM217" s="41" t="n">
        <v>55</v>
      </c>
      <c r="BN217" s="41" t="n">
        <v>74</v>
      </c>
      <c r="BO217" s="42" t="n">
        <v>21</v>
      </c>
      <c r="BP217" s="43" t="n">
        <v>56</v>
      </c>
      <c r="BQ217" s="44" t="n">
        <v>77</v>
      </c>
      <c r="BR217" s="42" t="n">
        <v>24</v>
      </c>
      <c r="BS217" s="45" t="n">
        <v>57</v>
      </c>
      <c r="BT217" s="45" t="n">
        <v>81</v>
      </c>
      <c r="BU217" s="46" t="n">
        <v>100</v>
      </c>
      <c r="BV217" s="47" t="n">
        <v>94</v>
      </c>
      <c r="BW217" s="42" t="n">
        <v>95</v>
      </c>
      <c r="BX217" s="48" t="n">
        <v>94</v>
      </c>
      <c r="BY217" s="32" t="n">
        <v>26</v>
      </c>
      <c r="BZ217" s="32" t="n">
        <v>54</v>
      </c>
      <c r="CA217" s="32" t="n">
        <v>80</v>
      </c>
      <c r="CB217" s="32" t="n">
        <v>22</v>
      </c>
      <c r="CC217" s="32" t="n">
        <v>34</v>
      </c>
      <c r="CD217" s="69" t="n">
        <v>56</v>
      </c>
      <c r="CE217" s="32" t="n">
        <v>23</v>
      </c>
      <c r="CF217" s="32" t="n">
        <v>53</v>
      </c>
      <c r="CG217" s="32" t="n">
        <v>76</v>
      </c>
      <c r="CH217" s="32" t="n">
        <v>99</v>
      </c>
      <c r="CI217" s="32" t="n">
        <v>93</v>
      </c>
      <c r="CJ217" s="49" t="n">
        <v>21</v>
      </c>
      <c r="CK217" s="49" t="n">
        <v>54</v>
      </c>
      <c r="CL217" s="49" t="n">
        <v>75</v>
      </c>
      <c r="CM217" s="49" t="n">
        <v>21</v>
      </c>
      <c r="CN217" s="49" t="n">
        <v>52</v>
      </c>
      <c r="CO217" s="49" t="n">
        <v>73</v>
      </c>
      <c r="CP217" s="25" t="n">
        <f aca="false">BX217+BW217+BV217+BU217+BT217+BQ217+BN217</f>
        <v>615</v>
      </c>
      <c r="CQ217" s="25" t="n">
        <f aca="false">CO217+CL217+CI217+CH217+CG217+CD217+CA217</f>
        <v>552</v>
      </c>
      <c r="CR217" s="26" t="n">
        <f aca="false">CP217/7</f>
        <v>87.8571428571429</v>
      </c>
      <c r="CS217" s="26" t="n">
        <f aca="false">CQ217/7</f>
        <v>78.8571428571429</v>
      </c>
      <c r="CT217" s="24" t="n">
        <f aca="false">RANK(CR217,$CR$2:$CR$881,0)</f>
        <v>315</v>
      </c>
      <c r="CU217" s="25" t="n">
        <f aca="false">RANK(CS217,$CS$2:$CS$881,0)</f>
        <v>305</v>
      </c>
      <c r="CV217" s="26" t="n">
        <f aca="false">(CS217+CR217)/2</f>
        <v>83.3571428571429</v>
      </c>
      <c r="CW217" s="25" t="n">
        <f aca="false">RANK(CV217,$CV$2:$CV$881,0)</f>
        <v>282</v>
      </c>
      <c r="CX217" s="50" t="n">
        <f aca="false">(CV217+BB217)/2</f>
        <v>81.8785714285714</v>
      </c>
      <c r="CY217" s="50" t="n">
        <v>275</v>
      </c>
      <c r="CZ217" s="27" t="s">
        <v>132</v>
      </c>
      <c r="DA217" s="27" t="s">
        <v>133</v>
      </c>
      <c r="DB217" s="27" t="s">
        <v>133</v>
      </c>
      <c r="DC217" s="27" t="s">
        <v>134</v>
      </c>
      <c r="DD217" s="27" t="s">
        <v>137</v>
      </c>
      <c r="DE217" s="27" t="s">
        <v>183</v>
      </c>
      <c r="DF217" s="27" t="s">
        <v>209</v>
      </c>
      <c r="DG217" s="27" t="s">
        <v>134</v>
      </c>
      <c r="DH217" s="27" t="s">
        <v>182</v>
      </c>
      <c r="DI217" s="27" t="s">
        <v>161</v>
      </c>
      <c r="DJ217" s="27" t="s">
        <v>175</v>
      </c>
      <c r="DK217" s="27" t="s">
        <v>134</v>
      </c>
      <c r="DL217" s="27" t="s">
        <v>182</v>
      </c>
      <c r="DM217" s="27" t="s">
        <v>161</v>
      </c>
      <c r="DN217" s="27" t="s">
        <v>175</v>
      </c>
      <c r="DO217" s="27" t="s">
        <v>134</v>
      </c>
      <c r="DP217" s="27" t="s">
        <v>386</v>
      </c>
      <c r="DQ217" s="27" t="s">
        <v>306</v>
      </c>
      <c r="DR217" s="27" t="s">
        <v>486</v>
      </c>
      <c r="DS217" s="27" t="s">
        <v>134</v>
      </c>
      <c r="DT217" s="27" t="s">
        <v>160</v>
      </c>
      <c r="DU217" s="27" t="s">
        <v>177</v>
      </c>
      <c r="DV217" s="27" t="s">
        <v>133</v>
      </c>
      <c r="DW217" s="27" t="s">
        <v>154</v>
      </c>
      <c r="DX217" s="27" t="s">
        <v>143</v>
      </c>
      <c r="DY217" s="27" t="s">
        <v>170</v>
      </c>
      <c r="DZ217" s="27" t="n">
        <f aca="false">DY217+DV217+DR217+DN217+DJ217+DF217+DB217</f>
        <v>594</v>
      </c>
      <c r="EA217" s="28" t="n">
        <f aca="false">DZ217/7</f>
        <v>84.8571428571429</v>
      </c>
      <c r="EB217" s="27" t="n">
        <f aca="false">RANK(EA217,$EA$2:$EA$881,0)</f>
        <v>188</v>
      </c>
      <c r="EC217" s="29" t="n">
        <f aca="false">DZ217+CQ217+CP217+AZ217</f>
        <v>2565</v>
      </c>
      <c r="ED217" s="30" t="n">
        <f aca="false">(EA217+CV217+BB217)/3</f>
        <v>82.8714285714286</v>
      </c>
      <c r="EE217" s="51" t="n">
        <f aca="false">ROUND(BE217,3)</f>
        <v>87.347</v>
      </c>
      <c r="EF217" s="51" t="n">
        <f aca="false">ROUND(CR217,3)</f>
        <v>87.857</v>
      </c>
      <c r="EG217" s="51" t="n">
        <f aca="false">ROUND(CS217,3)</f>
        <v>78.857</v>
      </c>
      <c r="EH217" s="51" t="n">
        <f aca="false">ROUND(EA217,3)</f>
        <v>84.857</v>
      </c>
      <c r="EI217" s="51" t="n">
        <f aca="false">ROUND(ED217,3)</f>
        <v>82.871</v>
      </c>
      <c r="EJ217" s="51" t="n">
        <f aca="false">ROUND(CV217,3)</f>
        <v>83.357</v>
      </c>
      <c r="EK217" s="0" t="n">
        <f aca="false">RANK(EI217,$EI$2:$EI$881,0)</f>
        <v>216</v>
      </c>
    </row>
    <row r="218" customFormat="false" ht="15" hidden="false" customHeight="false" outlineLevel="0" collapsed="false">
      <c r="A218" s="4" t="n">
        <v>8651</v>
      </c>
      <c r="B218" s="4" t="n">
        <v>646</v>
      </c>
      <c r="C218" s="27" t="s">
        <v>813</v>
      </c>
      <c r="D218" s="31" t="n">
        <v>655</v>
      </c>
      <c r="E218" s="16" t="n">
        <v>230138431</v>
      </c>
      <c r="F218" s="56" t="s">
        <v>814</v>
      </c>
      <c r="G218" s="22" t="s">
        <v>553</v>
      </c>
      <c r="H218" s="22" t="s">
        <v>326</v>
      </c>
      <c r="I218" s="57"/>
      <c r="J218" s="16" t="n">
        <v>85</v>
      </c>
      <c r="K218" s="16" t="n">
        <v>73</v>
      </c>
      <c r="L218" s="34" t="n">
        <f aca="false">(K218*70)/100</f>
        <v>51.1</v>
      </c>
      <c r="M218" s="34" t="n">
        <f aca="false">ROUNDUP(L218,0)</f>
        <v>52</v>
      </c>
      <c r="N218" s="16" t="n">
        <v>28</v>
      </c>
      <c r="O218" s="34" t="n">
        <f aca="false">N218+L218</f>
        <v>79.1</v>
      </c>
      <c r="P218" s="34" t="n">
        <f aca="false">N218+M218</f>
        <v>80</v>
      </c>
      <c r="Q218" s="16" t="n">
        <v>67</v>
      </c>
      <c r="R218" s="16" t="n">
        <v>75</v>
      </c>
      <c r="S218" s="34" t="n">
        <f aca="false">(R218*70)/100</f>
        <v>52.5</v>
      </c>
      <c r="T218" s="34" t="n">
        <f aca="false">ROUNDUP(S218,0)</f>
        <v>53</v>
      </c>
      <c r="U218" s="16" t="n">
        <v>25</v>
      </c>
      <c r="V218" s="34" t="n">
        <f aca="false">U218+S218</f>
        <v>77.5</v>
      </c>
      <c r="W218" s="34" t="n">
        <f aca="false">U218+T218</f>
        <v>78</v>
      </c>
      <c r="X218" s="16" t="n">
        <v>64</v>
      </c>
      <c r="Y218" s="34" t="n">
        <f aca="false">(X218*70)/100</f>
        <v>44.8</v>
      </c>
      <c r="Z218" s="34" t="n">
        <f aca="false">ROUNDUP(Y218,0)</f>
        <v>45</v>
      </c>
      <c r="AA218" s="16" t="n">
        <v>28</v>
      </c>
      <c r="AB218" s="34" t="n">
        <f aca="false">AA218+Y218</f>
        <v>72.8</v>
      </c>
      <c r="AC218" s="34" t="n">
        <f aca="false">AA218+Z218</f>
        <v>73</v>
      </c>
      <c r="AD218" s="32" t="n">
        <f aca="false">X218+R218+Q218+K218+J218</f>
        <v>364</v>
      </c>
      <c r="AE218" s="16" t="n">
        <f aca="false">AD218/5</f>
        <v>72.8</v>
      </c>
      <c r="AF218" s="16" t="n">
        <v>77</v>
      </c>
      <c r="AG218" s="16" t="n">
        <v>88</v>
      </c>
      <c r="AH218" s="16" t="n">
        <v>87</v>
      </c>
      <c r="AI218" s="16" t="n">
        <v>94</v>
      </c>
      <c r="AJ218" s="16" t="n">
        <f aca="false">(AI218*70)/100</f>
        <v>65.8</v>
      </c>
      <c r="AK218" s="35" t="n">
        <f aca="false">ROUNDUP(AJ218,0)</f>
        <v>66</v>
      </c>
      <c r="AL218" s="16" t="n">
        <v>25</v>
      </c>
      <c r="AM218" s="16" t="n">
        <f aca="false">AL218+AJ218</f>
        <v>90.8</v>
      </c>
      <c r="AN218" s="16" t="n">
        <f aca="false">AL218+AK218</f>
        <v>91</v>
      </c>
      <c r="AO218" s="16" t="n">
        <v>74</v>
      </c>
      <c r="AP218" s="36" t="n">
        <f aca="false">(AO218*70)/100</f>
        <v>51.8</v>
      </c>
      <c r="AQ218" s="37" t="n">
        <f aca="false">ROUNDUP(AP218,0)</f>
        <v>52</v>
      </c>
      <c r="AR218" s="16" t="n">
        <v>29</v>
      </c>
      <c r="AS218" s="16" t="n">
        <f aca="false">AR218+AP218</f>
        <v>80.8</v>
      </c>
      <c r="AT218" s="16" t="n">
        <f aca="false">AR218+AQ218</f>
        <v>81</v>
      </c>
      <c r="AU218" s="16" t="n">
        <f aca="false">AO218+AF218+AI218+AH218+AG218</f>
        <v>420</v>
      </c>
      <c r="AV218" s="16" t="n">
        <f aca="false">(AO218+AF218+AI218+AH218+AG218)/5</f>
        <v>84</v>
      </c>
      <c r="AW218" s="36" t="n">
        <f aca="false">(AO218+AF218+AI218+AH218+AG218+X218+R218+Q218+K218+J218)</f>
        <v>784</v>
      </c>
      <c r="AX218" s="16" t="n">
        <f aca="false">AW218/10</f>
        <v>78.4</v>
      </c>
      <c r="AY218" s="16" t="n">
        <f aca="false">AS218+AF218+AM218+AH218+AG218+AB218+V218+Q218+O218+J218</f>
        <v>805</v>
      </c>
      <c r="AZ218" s="16" t="n">
        <f aca="false">AT218+AF218+AN218+AH218+AG218+AC218+W218+Q218+P218+J218</f>
        <v>807</v>
      </c>
      <c r="BA218" s="16" t="n">
        <f aca="false">AY218/10</f>
        <v>80.5</v>
      </c>
      <c r="BB218" s="16" t="n">
        <f aca="false">AZ218/10</f>
        <v>80.7</v>
      </c>
      <c r="BC218" s="16" t="n">
        <v>2381</v>
      </c>
      <c r="BD218" s="16" t="n">
        <f aca="false">RANK(AX218,$AX$2:$AX$881,0)</f>
        <v>385</v>
      </c>
      <c r="BE218" s="54" t="n">
        <f aca="false">((BC218*100)/2400)*0.4+(AX218*0.6)</f>
        <v>86.7233333333333</v>
      </c>
      <c r="BF218" s="16" t="n">
        <f aca="false">RANK(BE218,$BE$2:$BE$881,0)</f>
        <v>330</v>
      </c>
      <c r="BG218" s="39" t="n">
        <f aca="false">RANK(BB218,$BB$2:$BB$881,0)</f>
        <v>298</v>
      </c>
      <c r="BH218" s="39" t="n">
        <f aca="false">RANK(BC218,$BC$2:$BC$881,0)</f>
        <v>136</v>
      </c>
      <c r="BI218" s="22" t="s">
        <v>130</v>
      </c>
      <c r="BJ218" s="22" t="s">
        <v>129</v>
      </c>
      <c r="BK218" s="40" t="s">
        <v>131</v>
      </c>
      <c r="BL218" s="41" t="n">
        <v>22</v>
      </c>
      <c r="BM218" s="41" t="n">
        <v>55</v>
      </c>
      <c r="BN218" s="41" t="n">
        <v>77</v>
      </c>
      <c r="BO218" s="42" t="n">
        <v>24</v>
      </c>
      <c r="BP218" s="43" t="n">
        <v>54</v>
      </c>
      <c r="BQ218" s="44" t="n">
        <v>78</v>
      </c>
      <c r="BR218" s="42" t="n">
        <v>27</v>
      </c>
      <c r="BS218" s="45" t="n">
        <v>61</v>
      </c>
      <c r="BT218" s="45" t="n">
        <v>88</v>
      </c>
      <c r="BU218" s="46" t="n">
        <v>100</v>
      </c>
      <c r="BV218" s="47" t="n">
        <v>94</v>
      </c>
      <c r="BW218" s="42" t="n">
        <v>99</v>
      </c>
      <c r="BX218" s="48" t="n">
        <v>92</v>
      </c>
      <c r="BY218" s="32" t="n">
        <v>26</v>
      </c>
      <c r="BZ218" s="32" t="n">
        <v>49</v>
      </c>
      <c r="CA218" s="32" t="n">
        <v>75</v>
      </c>
      <c r="CB218" s="32" t="n">
        <v>23</v>
      </c>
      <c r="CC218" s="32" t="n">
        <v>37</v>
      </c>
      <c r="CD218" s="32" t="n">
        <v>60</v>
      </c>
      <c r="CE218" s="32" t="n">
        <v>29</v>
      </c>
      <c r="CF218" s="32" t="n">
        <v>52</v>
      </c>
      <c r="CG218" s="32" t="n">
        <v>81</v>
      </c>
      <c r="CH218" s="32" t="n">
        <v>95</v>
      </c>
      <c r="CI218" s="32" t="n">
        <v>100</v>
      </c>
      <c r="CJ218" s="49" t="n">
        <v>25</v>
      </c>
      <c r="CK218" s="49" t="n">
        <v>54</v>
      </c>
      <c r="CL218" s="49" t="n">
        <v>79</v>
      </c>
      <c r="CM218" s="49" t="n">
        <v>23</v>
      </c>
      <c r="CN218" s="49" t="n">
        <v>54</v>
      </c>
      <c r="CO218" s="49" t="n">
        <v>77</v>
      </c>
      <c r="CP218" s="25" t="n">
        <f aca="false">BX218+BW218+BV218+BU218+BT218+BQ218+BN218</f>
        <v>628</v>
      </c>
      <c r="CQ218" s="25" t="n">
        <f aca="false">CO218+CL218+CI218+CH218+CG218+CD218+CA218</f>
        <v>567</v>
      </c>
      <c r="CR218" s="26" t="n">
        <f aca="false">CP218/7</f>
        <v>89.7142857142857</v>
      </c>
      <c r="CS218" s="26" t="n">
        <f aca="false">CQ218/7</f>
        <v>81</v>
      </c>
      <c r="CT218" s="24" t="n">
        <f aca="false">RANK(CR218,$CR$2:$CR$881,0)</f>
        <v>202</v>
      </c>
      <c r="CU218" s="25" t="n">
        <f aca="false">RANK(CS218,$CS$2:$CS$881,0)</f>
        <v>225</v>
      </c>
      <c r="CV218" s="26" t="n">
        <f aca="false">(CS218+CR218)/2</f>
        <v>85.3571428571429</v>
      </c>
      <c r="CW218" s="25" t="n">
        <f aca="false">RANK(CV218,$CV$2:$CV$881,0)</f>
        <v>194</v>
      </c>
      <c r="CX218" s="50" t="n">
        <f aca="false">(CV218+BB218)/2</f>
        <v>83.0285714285714</v>
      </c>
      <c r="CY218" s="50" t="n">
        <v>212</v>
      </c>
      <c r="CZ218" s="27" t="s">
        <v>132</v>
      </c>
      <c r="DA218" s="27" t="s">
        <v>169</v>
      </c>
      <c r="DB218" s="27" t="s">
        <v>169</v>
      </c>
      <c r="DC218" s="27" t="s">
        <v>134</v>
      </c>
      <c r="DD218" s="27" t="s">
        <v>154</v>
      </c>
      <c r="DE218" s="27" t="s">
        <v>203</v>
      </c>
      <c r="DF218" s="27" t="s">
        <v>175</v>
      </c>
      <c r="DG218" s="27" t="s">
        <v>134</v>
      </c>
      <c r="DH218" s="27" t="s">
        <v>164</v>
      </c>
      <c r="DI218" s="27" t="s">
        <v>306</v>
      </c>
      <c r="DJ218" s="27" t="s">
        <v>205</v>
      </c>
      <c r="DK218" s="27" t="s">
        <v>134</v>
      </c>
      <c r="DL218" s="27" t="s">
        <v>174</v>
      </c>
      <c r="DM218" s="27" t="s">
        <v>203</v>
      </c>
      <c r="DN218" s="27" t="s">
        <v>209</v>
      </c>
      <c r="DO218" s="27" t="s">
        <v>134</v>
      </c>
      <c r="DP218" s="27" t="s">
        <v>706</v>
      </c>
      <c r="DQ218" s="27" t="s">
        <v>442</v>
      </c>
      <c r="DR218" s="27" t="s">
        <v>152</v>
      </c>
      <c r="DS218" s="27" t="s">
        <v>134</v>
      </c>
      <c r="DT218" s="27" t="s">
        <v>135</v>
      </c>
      <c r="DU218" s="27" t="s">
        <v>204</v>
      </c>
      <c r="DV218" s="27" t="s">
        <v>209</v>
      </c>
      <c r="DW218" s="27" t="s">
        <v>135</v>
      </c>
      <c r="DX218" s="27" t="s">
        <v>155</v>
      </c>
      <c r="DY218" s="27" t="s">
        <v>139</v>
      </c>
      <c r="DZ218" s="27" t="n">
        <f aca="false">DY218+DV218+DR218+DN218+DJ218+DF218+DB218</f>
        <v>577</v>
      </c>
      <c r="EA218" s="28" t="n">
        <f aca="false">DZ218/7</f>
        <v>82.4285714285714</v>
      </c>
      <c r="EB218" s="27" t="n">
        <f aca="false">RANK(EA218,$EA$2:$EA$881,0)</f>
        <v>295</v>
      </c>
      <c r="EC218" s="29" t="n">
        <f aca="false">DZ218+CQ218+CP218+AZ218</f>
        <v>2579</v>
      </c>
      <c r="ED218" s="30" t="n">
        <f aca="false">(EA218+CV218+BB218)/3</f>
        <v>82.8285714285714</v>
      </c>
      <c r="EE218" s="51" t="n">
        <f aca="false">ROUND(BE218,3)</f>
        <v>86.723</v>
      </c>
      <c r="EF218" s="51" t="n">
        <f aca="false">ROUND(CR218,3)</f>
        <v>89.714</v>
      </c>
      <c r="EG218" s="51" t="n">
        <f aca="false">ROUND(CS218,3)</f>
        <v>81</v>
      </c>
      <c r="EH218" s="51" t="n">
        <f aca="false">ROUND(EA218,3)</f>
        <v>82.429</v>
      </c>
      <c r="EI218" s="51" t="n">
        <f aca="false">ROUND(ED218,3)</f>
        <v>82.829</v>
      </c>
      <c r="EJ218" s="51" t="n">
        <f aca="false">ROUND(CV218,3)</f>
        <v>85.357</v>
      </c>
      <c r="EK218" s="0" t="n">
        <f aca="false">RANK(EI218,$EI$2:$EI$881,0)</f>
        <v>217</v>
      </c>
    </row>
    <row r="219" customFormat="false" ht="15" hidden="false" customHeight="false" outlineLevel="0" collapsed="false">
      <c r="A219" s="4" t="n">
        <v>2053</v>
      </c>
      <c r="B219" s="4" t="n">
        <v>692</v>
      </c>
      <c r="C219" s="27" t="s">
        <v>815</v>
      </c>
      <c r="D219" s="31" t="n">
        <v>706</v>
      </c>
      <c r="E219" s="32" t="n">
        <v>230315899</v>
      </c>
      <c r="F219" s="8" t="s">
        <v>816</v>
      </c>
      <c r="G219" s="22" t="s">
        <v>378</v>
      </c>
      <c r="H219" s="22" t="s">
        <v>129</v>
      </c>
      <c r="I219" s="33" t="n">
        <v>2006</v>
      </c>
      <c r="J219" s="70" t="n">
        <v>58</v>
      </c>
      <c r="K219" s="32" t="n">
        <v>79</v>
      </c>
      <c r="L219" s="34" t="n">
        <f aca="false">(K219*70)/100</f>
        <v>55.3</v>
      </c>
      <c r="M219" s="34" t="n">
        <f aca="false">ROUNDUP(L219,0)</f>
        <v>56</v>
      </c>
      <c r="N219" s="32" t="n">
        <v>25</v>
      </c>
      <c r="O219" s="34" t="n">
        <f aca="false">N219+L219</f>
        <v>80.3</v>
      </c>
      <c r="P219" s="34" t="n">
        <f aca="false">N219+M219</f>
        <v>81</v>
      </c>
      <c r="Q219" s="32" t="n">
        <v>64</v>
      </c>
      <c r="R219" s="32" t="n">
        <v>71</v>
      </c>
      <c r="S219" s="34" t="n">
        <f aca="false">(R219*70)/100</f>
        <v>49.7</v>
      </c>
      <c r="T219" s="34" t="n">
        <f aca="false">ROUNDUP(S219,0)</f>
        <v>50</v>
      </c>
      <c r="U219" s="32" t="n">
        <v>23</v>
      </c>
      <c r="V219" s="34" t="n">
        <f aca="false">U219+S219</f>
        <v>72.7</v>
      </c>
      <c r="W219" s="34" t="n">
        <f aca="false">U219+T219</f>
        <v>73</v>
      </c>
      <c r="X219" s="32" t="n">
        <v>65</v>
      </c>
      <c r="Y219" s="34" t="n">
        <f aca="false">(X219*70)/100</f>
        <v>45.5</v>
      </c>
      <c r="Z219" s="34" t="n">
        <f aca="false">ROUNDUP(Y219,0)</f>
        <v>46</v>
      </c>
      <c r="AA219" s="32" t="n">
        <v>27</v>
      </c>
      <c r="AB219" s="34" t="n">
        <f aca="false">AA219+Y219</f>
        <v>72.5</v>
      </c>
      <c r="AC219" s="34" t="n">
        <f aca="false">AA219+Z219</f>
        <v>73</v>
      </c>
      <c r="AD219" s="32" t="n">
        <f aca="false">X219+R219+Q219+K219+J219</f>
        <v>337</v>
      </c>
      <c r="AE219" s="16" t="n">
        <f aca="false">AD219/5</f>
        <v>67.4</v>
      </c>
      <c r="AF219" s="16" t="n">
        <v>81</v>
      </c>
      <c r="AG219" s="16" t="n">
        <v>82</v>
      </c>
      <c r="AH219" s="16" t="n">
        <v>92</v>
      </c>
      <c r="AI219" s="16" t="n">
        <v>90</v>
      </c>
      <c r="AJ219" s="16" t="n">
        <f aca="false">(AI219*70)/100</f>
        <v>63</v>
      </c>
      <c r="AK219" s="35" t="n">
        <f aca="false">ROUNDUP(AJ219,0)</f>
        <v>63</v>
      </c>
      <c r="AL219" s="16" t="n">
        <v>25</v>
      </c>
      <c r="AM219" s="16" t="n">
        <f aca="false">AL219+AJ219</f>
        <v>88</v>
      </c>
      <c r="AN219" s="16" t="n">
        <f aca="false">AL219+AK219</f>
        <v>88</v>
      </c>
      <c r="AO219" s="16" t="n">
        <v>77</v>
      </c>
      <c r="AP219" s="36" t="n">
        <f aca="false">(AO219*70)/100</f>
        <v>53.9</v>
      </c>
      <c r="AQ219" s="37" t="n">
        <f aca="false">ROUNDUP(AP219,0)</f>
        <v>54</v>
      </c>
      <c r="AR219" s="16" t="n">
        <v>28</v>
      </c>
      <c r="AS219" s="16" t="n">
        <f aca="false">AR219+AP219</f>
        <v>81.9</v>
      </c>
      <c r="AT219" s="16" t="n">
        <f aca="false">AR219+AQ219</f>
        <v>82</v>
      </c>
      <c r="AU219" s="16" t="n">
        <f aca="false">AO219+AF219+AI219+AH219+AG219</f>
        <v>422</v>
      </c>
      <c r="AV219" s="16" t="n">
        <f aca="false">(AO219+AF219+AI219+AH219+AG219)/5</f>
        <v>84.4</v>
      </c>
      <c r="AW219" s="36" t="n">
        <f aca="false">(AO219+AF219+AI219+AH219+AG219+X219+R219+Q219+K219+J219)</f>
        <v>759</v>
      </c>
      <c r="AX219" s="16" t="n">
        <f aca="false">AW219/10</f>
        <v>75.9</v>
      </c>
      <c r="AY219" s="16" t="n">
        <f aca="false">AS219+AF219+AM219+AH219+AG219+AB219+V219+Q219+O219+J219</f>
        <v>772.4</v>
      </c>
      <c r="AZ219" s="16" t="n">
        <f aca="false">AT219+AF219+AN219+AH219+AG219+AC219+W219+Q219+P219+J219</f>
        <v>774</v>
      </c>
      <c r="BA219" s="16" t="n">
        <f aca="false">AY219/10</f>
        <v>77.24</v>
      </c>
      <c r="BB219" s="16" t="n">
        <f aca="false">AZ219/10</f>
        <v>77.4</v>
      </c>
      <c r="BC219" s="16" t="n">
        <v>2362</v>
      </c>
      <c r="BD219" s="16" t="n">
        <f aca="false">RANK(AX219,$AX$2:$AX$881,0)</f>
        <v>628</v>
      </c>
      <c r="BE219" s="73" t="n">
        <f aca="false">((BC219*100)/2400)*0.4+(AX219*0.6)</f>
        <v>84.9066666666667</v>
      </c>
      <c r="BF219" s="16" t="n">
        <f aca="false">RANK(BE219,$BE$2:$BE$881,0)</f>
        <v>634</v>
      </c>
      <c r="BG219" s="39" t="n">
        <f aca="false">RANK(BB219,$BB$2:$BB$881,0)</f>
        <v>613</v>
      </c>
      <c r="BH219" s="39" t="n">
        <f aca="false">RANK(BC219,$BC$2:$BC$881,0)</f>
        <v>367</v>
      </c>
      <c r="BI219" s="22" t="s">
        <v>130</v>
      </c>
      <c r="BJ219" s="22" t="s">
        <v>129</v>
      </c>
      <c r="BK219" s="22" t="s">
        <v>509</v>
      </c>
      <c r="BL219" s="41" t="n">
        <v>13</v>
      </c>
      <c r="BM219" s="41" t="n">
        <v>54</v>
      </c>
      <c r="BN219" s="41" t="n">
        <v>67</v>
      </c>
      <c r="BO219" s="42" t="n">
        <v>28</v>
      </c>
      <c r="BP219" s="43" t="n">
        <v>67</v>
      </c>
      <c r="BQ219" s="44" t="n">
        <v>95</v>
      </c>
      <c r="BR219" s="42" t="n">
        <v>24</v>
      </c>
      <c r="BS219" s="45" t="n">
        <v>64</v>
      </c>
      <c r="BT219" s="45" t="n">
        <v>88</v>
      </c>
      <c r="BU219" s="46" t="n">
        <v>99</v>
      </c>
      <c r="BV219" s="47" t="n">
        <v>88</v>
      </c>
      <c r="BW219" s="42" t="n">
        <v>100</v>
      </c>
      <c r="BX219" s="48" t="n">
        <v>86</v>
      </c>
      <c r="BY219" s="32" t="n">
        <v>28</v>
      </c>
      <c r="BZ219" s="32" t="n">
        <v>56</v>
      </c>
      <c r="CA219" s="32" t="n">
        <v>84</v>
      </c>
      <c r="CB219" s="32" t="n">
        <v>21</v>
      </c>
      <c r="CC219" s="32" t="n">
        <v>49</v>
      </c>
      <c r="CD219" s="32" t="n">
        <v>70</v>
      </c>
      <c r="CE219" s="32" t="n">
        <v>29</v>
      </c>
      <c r="CF219" s="32" t="n">
        <v>61</v>
      </c>
      <c r="CG219" s="32" t="n">
        <v>90</v>
      </c>
      <c r="CH219" s="32" t="n">
        <v>99</v>
      </c>
      <c r="CI219" s="32" t="n">
        <v>99</v>
      </c>
      <c r="CJ219" s="49" t="n">
        <v>25</v>
      </c>
      <c r="CK219" s="49" t="n">
        <v>53</v>
      </c>
      <c r="CL219" s="49" t="n">
        <v>78</v>
      </c>
      <c r="CM219" s="49" t="n">
        <v>21</v>
      </c>
      <c r="CN219" s="49" t="n">
        <v>49</v>
      </c>
      <c r="CO219" s="49" t="n">
        <v>70</v>
      </c>
      <c r="CP219" s="25" t="n">
        <f aca="false">BX219+BW219+BV219+BU219+BT219+BQ219+BN219</f>
        <v>623</v>
      </c>
      <c r="CQ219" s="25" t="n">
        <f aca="false">CO219+CL219+CI219+CH219+CG219+CD219+CA219</f>
        <v>590</v>
      </c>
      <c r="CR219" s="26" t="n">
        <f aca="false">CP219/7</f>
        <v>89</v>
      </c>
      <c r="CS219" s="26" t="n">
        <f aca="false">CQ219/7</f>
        <v>84.2857142857143</v>
      </c>
      <c r="CT219" s="24" t="n">
        <f aca="false">RANK(CR219,$CR$2:$CR$881,0)</f>
        <v>244</v>
      </c>
      <c r="CU219" s="25" t="n">
        <f aca="false">RANK(CS219,$CS$2:$CS$881,0)</f>
        <v>115</v>
      </c>
      <c r="CV219" s="26" t="n">
        <f aca="false">(CS219+CR219)/2</f>
        <v>86.6428571428571</v>
      </c>
      <c r="CW219" s="25" t="n">
        <f aca="false">RANK(CV219,$CV$2:$CV$881,0)</f>
        <v>147</v>
      </c>
      <c r="CX219" s="50" t="n">
        <f aca="false">(CV219+BB219)/2</f>
        <v>82.0214285714286</v>
      </c>
      <c r="CY219" s="50" t="n">
        <v>263</v>
      </c>
      <c r="CZ219" s="27" t="s">
        <v>132</v>
      </c>
      <c r="DA219" s="27" t="s">
        <v>175</v>
      </c>
      <c r="DB219" s="27" t="s">
        <v>175</v>
      </c>
      <c r="DC219" s="27" t="s">
        <v>134</v>
      </c>
      <c r="DD219" s="27" t="s">
        <v>174</v>
      </c>
      <c r="DE219" s="27" t="s">
        <v>204</v>
      </c>
      <c r="DF219" s="27" t="s">
        <v>196</v>
      </c>
      <c r="DG219" s="27" t="s">
        <v>134</v>
      </c>
      <c r="DH219" s="27" t="s">
        <v>154</v>
      </c>
      <c r="DI219" s="27" t="s">
        <v>161</v>
      </c>
      <c r="DJ219" s="27" t="s">
        <v>209</v>
      </c>
      <c r="DK219" s="27" t="s">
        <v>134</v>
      </c>
      <c r="DL219" s="27" t="s">
        <v>137</v>
      </c>
      <c r="DM219" s="27" t="s">
        <v>152</v>
      </c>
      <c r="DN219" s="27" t="s">
        <v>153</v>
      </c>
      <c r="DO219" s="27" t="s">
        <v>134</v>
      </c>
      <c r="DP219" s="27" t="s">
        <v>174</v>
      </c>
      <c r="DQ219" s="27" t="s">
        <v>220</v>
      </c>
      <c r="DR219" s="27" t="s">
        <v>305</v>
      </c>
      <c r="DS219" s="27" t="s">
        <v>134</v>
      </c>
      <c r="DT219" s="27" t="s">
        <v>182</v>
      </c>
      <c r="DU219" s="27" t="s">
        <v>183</v>
      </c>
      <c r="DV219" s="27" t="s">
        <v>205</v>
      </c>
      <c r="DW219" s="27" t="s">
        <v>174</v>
      </c>
      <c r="DX219" s="27" t="s">
        <v>138</v>
      </c>
      <c r="DY219" s="27" t="s">
        <v>170</v>
      </c>
      <c r="DZ219" s="27" t="n">
        <f aca="false">DY219+DV219+DR219+DN219+DJ219+DF219+DB219</f>
        <v>591</v>
      </c>
      <c r="EA219" s="28" t="n">
        <f aca="false">DZ219/7</f>
        <v>84.4285714285714</v>
      </c>
      <c r="EB219" s="27" t="n">
        <f aca="false">RANK(EA219,$EA$2:$EA$881,0)</f>
        <v>205</v>
      </c>
      <c r="EC219" s="29" t="n">
        <f aca="false">DZ219+CQ219+CP219+AZ219</f>
        <v>2578</v>
      </c>
      <c r="ED219" s="30" t="n">
        <f aca="false">(EA219+CV219+BB219)/3</f>
        <v>82.8238095238095</v>
      </c>
      <c r="EE219" s="51" t="n">
        <f aca="false">ROUND(BE219,3)</f>
        <v>84.907</v>
      </c>
      <c r="EF219" s="51" t="n">
        <f aca="false">ROUND(CR219,3)</f>
        <v>89</v>
      </c>
      <c r="EG219" s="51" t="n">
        <f aca="false">ROUND(CS219,3)</f>
        <v>84.286</v>
      </c>
      <c r="EH219" s="51" t="n">
        <f aca="false">ROUND(EA219,3)</f>
        <v>84.429</v>
      </c>
      <c r="EI219" s="51" t="n">
        <f aca="false">ROUND(ED219,3)</f>
        <v>82.824</v>
      </c>
      <c r="EJ219" s="51" t="n">
        <f aca="false">ROUND(CV219,3)</f>
        <v>86.643</v>
      </c>
      <c r="EK219" s="0" t="n">
        <f aca="false">RANK(EI219,$EI$2:$EI$881,0)</f>
        <v>218</v>
      </c>
    </row>
    <row r="220" customFormat="false" ht="15" hidden="false" customHeight="false" outlineLevel="0" collapsed="false">
      <c r="A220" s="4" t="n">
        <v>2100</v>
      </c>
      <c r="B220" s="4" t="n">
        <v>725</v>
      </c>
      <c r="C220" s="27" t="s">
        <v>817</v>
      </c>
      <c r="D220" s="31" t="n">
        <v>740</v>
      </c>
      <c r="E220" s="16" t="n">
        <v>234300256</v>
      </c>
      <c r="F220" s="56" t="s">
        <v>818</v>
      </c>
      <c r="G220" s="22" t="s">
        <v>819</v>
      </c>
      <c r="H220" s="22" t="s">
        <v>129</v>
      </c>
      <c r="I220" s="57"/>
      <c r="J220" s="16" t="n">
        <v>73</v>
      </c>
      <c r="K220" s="16" t="n">
        <v>60</v>
      </c>
      <c r="L220" s="34" t="n">
        <f aca="false">(K220*70)/100</f>
        <v>42</v>
      </c>
      <c r="M220" s="34" t="n">
        <f aca="false">ROUNDUP(L220,0)</f>
        <v>42</v>
      </c>
      <c r="N220" s="16" t="n">
        <v>20</v>
      </c>
      <c r="O220" s="34" t="n">
        <f aca="false">N220+L220</f>
        <v>62</v>
      </c>
      <c r="P220" s="34" t="n">
        <f aca="false">N220+M220</f>
        <v>62</v>
      </c>
      <c r="Q220" s="16" t="n">
        <v>72</v>
      </c>
      <c r="R220" s="16" t="n">
        <v>65</v>
      </c>
      <c r="S220" s="34" t="n">
        <f aca="false">(R220*70)/100</f>
        <v>45.5</v>
      </c>
      <c r="T220" s="34" t="n">
        <f aca="false">ROUNDUP(S220,0)</f>
        <v>46</v>
      </c>
      <c r="U220" s="16" t="n">
        <v>21</v>
      </c>
      <c r="V220" s="34" t="n">
        <f aca="false">U220+S220</f>
        <v>66.5</v>
      </c>
      <c r="W220" s="34" t="n">
        <f aca="false">U220+T220</f>
        <v>67</v>
      </c>
      <c r="X220" s="16" t="n">
        <v>56</v>
      </c>
      <c r="Y220" s="34" t="n">
        <f aca="false">(X220*70)/100</f>
        <v>39.2</v>
      </c>
      <c r="Z220" s="34" t="n">
        <f aca="false">ROUNDUP(Y220,0)</f>
        <v>40</v>
      </c>
      <c r="AA220" s="16" t="n">
        <v>24</v>
      </c>
      <c r="AB220" s="34" t="n">
        <f aca="false">AA220+Y220</f>
        <v>63.2</v>
      </c>
      <c r="AC220" s="34" t="n">
        <f aca="false">AA220+Z220</f>
        <v>64</v>
      </c>
      <c r="AD220" s="32" t="n">
        <f aca="false">X220+R220+Q220+K220+J220</f>
        <v>326</v>
      </c>
      <c r="AE220" s="16" t="n">
        <f aca="false">AD220/5</f>
        <v>65.2</v>
      </c>
      <c r="AF220" s="16" t="n">
        <v>64</v>
      </c>
      <c r="AG220" s="16" t="n">
        <v>88</v>
      </c>
      <c r="AH220" s="16" t="n">
        <v>79</v>
      </c>
      <c r="AI220" s="16" t="n">
        <v>89</v>
      </c>
      <c r="AJ220" s="16" t="n">
        <f aca="false">(AI220*70)/100</f>
        <v>62.3</v>
      </c>
      <c r="AK220" s="35" t="n">
        <f aca="false">ROUNDUP(AJ220,0)</f>
        <v>63</v>
      </c>
      <c r="AL220" s="16" t="n">
        <v>25</v>
      </c>
      <c r="AM220" s="16" t="n">
        <f aca="false">AL220+AJ220</f>
        <v>87.3</v>
      </c>
      <c r="AN220" s="16" t="n">
        <f aca="false">AL220+AK220</f>
        <v>88</v>
      </c>
      <c r="AO220" s="16" t="n">
        <v>76</v>
      </c>
      <c r="AP220" s="36" t="n">
        <f aca="false">(AO220*70)/100</f>
        <v>53.2</v>
      </c>
      <c r="AQ220" s="37" t="n">
        <f aca="false">ROUNDUP(AP220,0)</f>
        <v>54</v>
      </c>
      <c r="AR220" s="16" t="n">
        <v>22</v>
      </c>
      <c r="AS220" s="16" t="n">
        <f aca="false">AR220+AP220</f>
        <v>75.2</v>
      </c>
      <c r="AT220" s="16" t="n">
        <f aca="false">AR220+AQ220</f>
        <v>76</v>
      </c>
      <c r="AU220" s="16" t="n">
        <f aca="false">AO220+AF220+AI220+AH220+AG220</f>
        <v>396</v>
      </c>
      <c r="AV220" s="16" t="n">
        <f aca="false">(AO220+AF220+AI220+AH220+AG220)/5</f>
        <v>79.2</v>
      </c>
      <c r="AW220" s="36" t="n">
        <f aca="false">(AO220+AF220+AI220+AH220+AG220+X220+R220+Q220+K220+J220)</f>
        <v>722</v>
      </c>
      <c r="AX220" s="16" t="n">
        <f aca="false">AW220/10</f>
        <v>72.2</v>
      </c>
      <c r="AY220" s="16" t="n">
        <f aca="false">AS220+AF220+AM220+AH220+AG220+AB220+V220+Q220+O220+J220</f>
        <v>730.2</v>
      </c>
      <c r="AZ220" s="16" t="n">
        <f aca="false">AT220+AF220+AN220+AH220+AG220+AC220+W220+Q220+P220+J220</f>
        <v>733</v>
      </c>
      <c r="BA220" s="16" t="n">
        <f aca="false">AY220/10</f>
        <v>73.02</v>
      </c>
      <c r="BB220" s="16" t="n">
        <f aca="false">AZ220/10</f>
        <v>73.3</v>
      </c>
      <c r="BC220" s="72" t="n">
        <v>0</v>
      </c>
      <c r="BD220" s="16" t="n">
        <f aca="false">RANK(AX220,$AX$2:$AX$881,0)</f>
        <v>718</v>
      </c>
      <c r="BE220" s="78" t="n">
        <f aca="false">AX220</f>
        <v>72.2</v>
      </c>
      <c r="BF220" s="16" t="n">
        <f aca="false">RANK(BE220,$BE$2:$BE$881,0)</f>
        <v>783</v>
      </c>
      <c r="BG220" s="39" t="n">
        <f aca="false">RANK(BB220,$BB$2:$BB$881,0)</f>
        <v>715</v>
      </c>
      <c r="BH220" s="39" t="n">
        <f aca="false">RANK(BC220,$BC$2:$BC$881,0)</f>
        <v>780</v>
      </c>
      <c r="BI220" s="22" t="s">
        <v>130</v>
      </c>
      <c r="BJ220" s="22" t="s">
        <v>129</v>
      </c>
      <c r="BK220" s="22" t="s">
        <v>526</v>
      </c>
      <c r="BL220" s="41" t="n">
        <v>23</v>
      </c>
      <c r="BM220" s="41" t="n">
        <v>60</v>
      </c>
      <c r="BN220" s="41" t="n">
        <v>83</v>
      </c>
      <c r="BO220" s="42" t="n">
        <v>25</v>
      </c>
      <c r="BP220" s="43" t="n">
        <v>62</v>
      </c>
      <c r="BQ220" s="44" t="n">
        <v>87</v>
      </c>
      <c r="BR220" s="42" t="n">
        <v>26</v>
      </c>
      <c r="BS220" s="45" t="n">
        <v>59</v>
      </c>
      <c r="BT220" s="45" t="n">
        <v>85</v>
      </c>
      <c r="BU220" s="46" t="n">
        <v>100</v>
      </c>
      <c r="BV220" s="81" t="n">
        <v>86</v>
      </c>
      <c r="BW220" s="42" t="n">
        <v>99</v>
      </c>
      <c r="BX220" s="48" t="n">
        <v>90</v>
      </c>
      <c r="BY220" s="32" t="n">
        <v>25</v>
      </c>
      <c r="BZ220" s="32" t="n">
        <v>62</v>
      </c>
      <c r="CA220" s="32" t="n">
        <v>87</v>
      </c>
      <c r="CB220" s="32" t="n">
        <v>22</v>
      </c>
      <c r="CC220" s="32" t="n">
        <v>43</v>
      </c>
      <c r="CD220" s="32" t="n">
        <v>65</v>
      </c>
      <c r="CE220" s="32" t="n">
        <v>26</v>
      </c>
      <c r="CF220" s="32" t="n">
        <v>61</v>
      </c>
      <c r="CG220" s="32" t="n">
        <v>87</v>
      </c>
      <c r="CH220" s="32" t="n">
        <v>96</v>
      </c>
      <c r="CI220" s="32" t="n">
        <v>99</v>
      </c>
      <c r="CJ220" s="49" t="n">
        <v>25</v>
      </c>
      <c r="CK220" s="49" t="n">
        <v>57</v>
      </c>
      <c r="CL220" s="49" t="n">
        <v>82</v>
      </c>
      <c r="CM220" s="49" t="n">
        <v>27</v>
      </c>
      <c r="CN220" s="49" t="n">
        <v>52</v>
      </c>
      <c r="CO220" s="49" t="n">
        <v>79</v>
      </c>
      <c r="CP220" s="25" t="n">
        <f aca="false">BX220+BW220+BV220+BU220+BT220+BQ220+BN220</f>
        <v>630</v>
      </c>
      <c r="CQ220" s="25" t="n">
        <f aca="false">CO220+CL220+CI220+CH220+CG220+CD220+CA220</f>
        <v>595</v>
      </c>
      <c r="CR220" s="26" t="n">
        <f aca="false">CP220/7</f>
        <v>90</v>
      </c>
      <c r="CS220" s="26" t="n">
        <f aca="false">CQ220/7</f>
        <v>85</v>
      </c>
      <c r="CT220" s="24" t="n">
        <f aca="false">RANK(CR220,$CR$2:$CR$881,0)</f>
        <v>182</v>
      </c>
      <c r="CU220" s="25" t="n">
        <f aca="false">RANK(CS220,$CS$2:$CS$881,0)</f>
        <v>101</v>
      </c>
      <c r="CV220" s="26" t="n">
        <f aca="false">(CS220+CR220)/2</f>
        <v>87.5</v>
      </c>
      <c r="CW220" s="25" t="n">
        <f aca="false">RANK(CV220,$CV$2:$CV$881,0)</f>
        <v>117</v>
      </c>
      <c r="CX220" s="50" t="n">
        <f aca="false">(CV220+BB220)/2</f>
        <v>80.4</v>
      </c>
      <c r="CY220" s="50" t="n">
        <v>416</v>
      </c>
      <c r="CZ220" s="27" t="s">
        <v>132</v>
      </c>
      <c r="DA220" s="27" t="s">
        <v>176</v>
      </c>
      <c r="DB220" s="27" t="s">
        <v>176</v>
      </c>
      <c r="DC220" s="27" t="s">
        <v>134</v>
      </c>
      <c r="DD220" s="27" t="s">
        <v>135</v>
      </c>
      <c r="DE220" s="27" t="s">
        <v>204</v>
      </c>
      <c r="DF220" s="27" t="s">
        <v>209</v>
      </c>
      <c r="DG220" s="27" t="s">
        <v>134</v>
      </c>
      <c r="DH220" s="27" t="s">
        <v>154</v>
      </c>
      <c r="DI220" s="27" t="s">
        <v>136</v>
      </c>
      <c r="DJ220" s="27" t="s">
        <v>202</v>
      </c>
      <c r="DK220" s="27" t="s">
        <v>134</v>
      </c>
      <c r="DL220" s="27" t="s">
        <v>182</v>
      </c>
      <c r="DM220" s="27" t="s">
        <v>203</v>
      </c>
      <c r="DN220" s="27" t="s">
        <v>202</v>
      </c>
      <c r="DO220" s="27" t="s">
        <v>134</v>
      </c>
      <c r="DP220" s="27" t="s">
        <v>174</v>
      </c>
      <c r="DQ220" s="27" t="s">
        <v>204</v>
      </c>
      <c r="DR220" s="27" t="s">
        <v>196</v>
      </c>
      <c r="DS220" s="27" t="s">
        <v>134</v>
      </c>
      <c r="DT220" s="27" t="s">
        <v>182</v>
      </c>
      <c r="DU220" s="27" t="s">
        <v>203</v>
      </c>
      <c r="DV220" s="27" t="s">
        <v>202</v>
      </c>
      <c r="DW220" s="27" t="s">
        <v>140</v>
      </c>
      <c r="DX220" s="27" t="s">
        <v>138</v>
      </c>
      <c r="DY220" s="27" t="s">
        <v>145</v>
      </c>
      <c r="DZ220" s="27" t="n">
        <f aca="false">DY220+DV220+DR220+DN220+DJ220+DF220+DB220</f>
        <v>613</v>
      </c>
      <c r="EA220" s="28" t="n">
        <f aca="false">DZ220/7</f>
        <v>87.5714285714286</v>
      </c>
      <c r="EB220" s="27" t="n">
        <f aca="false">RANK(EA220,$EA$2:$EA$881,0)</f>
        <v>106</v>
      </c>
      <c r="EC220" s="29" t="n">
        <f aca="false">DZ220+CQ220+CP220+AZ220</f>
        <v>2571</v>
      </c>
      <c r="ED220" s="30" t="n">
        <f aca="false">(EA220+CV220+BB220)/3</f>
        <v>82.7904761904762</v>
      </c>
      <c r="EE220" s="51" t="n">
        <f aca="false">ROUND(BE220,3)</f>
        <v>72.2</v>
      </c>
      <c r="EF220" s="51" t="n">
        <f aca="false">ROUND(CR220,3)</f>
        <v>90</v>
      </c>
      <c r="EG220" s="51" t="n">
        <f aca="false">ROUND(CS220,3)</f>
        <v>85</v>
      </c>
      <c r="EH220" s="51" t="n">
        <f aca="false">ROUND(EA220,3)</f>
        <v>87.571</v>
      </c>
      <c r="EI220" s="51" t="n">
        <f aca="false">ROUND(ED220,3)</f>
        <v>82.79</v>
      </c>
      <c r="EJ220" s="51" t="n">
        <f aca="false">ROUND(CV220,3)</f>
        <v>87.5</v>
      </c>
      <c r="EK220" s="0" t="n">
        <f aca="false">RANK(EI220,$EI$2:$EI$881,0)</f>
        <v>219</v>
      </c>
    </row>
    <row r="221" customFormat="false" ht="15" hidden="false" customHeight="false" outlineLevel="0" collapsed="false">
      <c r="A221" s="4" t="n">
        <v>8639</v>
      </c>
      <c r="B221" s="4" t="n">
        <v>813</v>
      </c>
      <c r="C221" s="27" t="s">
        <v>820</v>
      </c>
      <c r="D221" s="31" t="n">
        <v>834</v>
      </c>
      <c r="E221" s="16" t="n">
        <v>230118448</v>
      </c>
      <c r="F221" s="56" t="s">
        <v>821</v>
      </c>
      <c r="G221" s="22" t="s">
        <v>822</v>
      </c>
      <c r="H221" s="22" t="s">
        <v>326</v>
      </c>
      <c r="I221" s="57"/>
      <c r="J221" s="16" t="n">
        <v>79</v>
      </c>
      <c r="K221" s="16" t="n">
        <v>74</v>
      </c>
      <c r="L221" s="34" t="n">
        <f aca="false">(K221*70)/100</f>
        <v>51.8</v>
      </c>
      <c r="M221" s="34" t="n">
        <f aca="false">ROUNDUP(L221,0)</f>
        <v>52</v>
      </c>
      <c r="N221" s="16" t="n">
        <v>29</v>
      </c>
      <c r="O221" s="34" t="n">
        <f aca="false">N221+L221</f>
        <v>80.8</v>
      </c>
      <c r="P221" s="34" t="n">
        <f aca="false">N221+M221</f>
        <v>81</v>
      </c>
      <c r="Q221" s="16" t="n">
        <v>79</v>
      </c>
      <c r="R221" s="16" t="n">
        <v>77</v>
      </c>
      <c r="S221" s="34" t="n">
        <f aca="false">(R221*70)/100</f>
        <v>53.9</v>
      </c>
      <c r="T221" s="34" t="n">
        <f aca="false">ROUNDUP(S221,0)</f>
        <v>54</v>
      </c>
      <c r="U221" s="16" t="n">
        <v>27</v>
      </c>
      <c r="V221" s="34" t="n">
        <f aca="false">U221+S221</f>
        <v>80.9</v>
      </c>
      <c r="W221" s="34" t="n">
        <f aca="false">U221+T221</f>
        <v>81</v>
      </c>
      <c r="X221" s="16" t="n">
        <v>66</v>
      </c>
      <c r="Y221" s="34" t="n">
        <f aca="false">(X221*70)/100</f>
        <v>46.2</v>
      </c>
      <c r="Z221" s="34" t="n">
        <f aca="false">ROUNDUP(Y221,0)</f>
        <v>47</v>
      </c>
      <c r="AA221" s="16" t="n">
        <v>28</v>
      </c>
      <c r="AB221" s="34" t="n">
        <f aca="false">AA221+Y221</f>
        <v>74.2</v>
      </c>
      <c r="AC221" s="34" t="n">
        <f aca="false">AA221+Z221</f>
        <v>75</v>
      </c>
      <c r="AD221" s="32" t="n">
        <f aca="false">X221+R221+Q221+K221+J221</f>
        <v>375</v>
      </c>
      <c r="AE221" s="16" t="n">
        <f aca="false">AD221/5</f>
        <v>75</v>
      </c>
      <c r="AF221" s="16" t="n">
        <v>75</v>
      </c>
      <c r="AG221" s="16" t="n">
        <v>88</v>
      </c>
      <c r="AH221" s="16" t="n">
        <v>96</v>
      </c>
      <c r="AI221" s="16" t="n">
        <v>96</v>
      </c>
      <c r="AJ221" s="16" t="n">
        <f aca="false">(AI221*70)/100</f>
        <v>67.2</v>
      </c>
      <c r="AK221" s="35" t="n">
        <f aca="false">ROUNDUP(AJ221,0)</f>
        <v>68</v>
      </c>
      <c r="AL221" s="16" t="n">
        <v>23</v>
      </c>
      <c r="AM221" s="16" t="n">
        <f aca="false">AL221+AJ221</f>
        <v>90.2</v>
      </c>
      <c r="AN221" s="16" t="n">
        <f aca="false">AL221+AK221</f>
        <v>91</v>
      </c>
      <c r="AO221" s="16" t="n">
        <v>85</v>
      </c>
      <c r="AP221" s="36" t="n">
        <f aca="false">(AO221*70)/100</f>
        <v>59.5</v>
      </c>
      <c r="AQ221" s="37" t="n">
        <f aca="false">ROUNDUP(AP221,0)</f>
        <v>60</v>
      </c>
      <c r="AR221" s="16" t="n">
        <v>27</v>
      </c>
      <c r="AS221" s="16" t="n">
        <f aca="false">AR221+AP221</f>
        <v>86.5</v>
      </c>
      <c r="AT221" s="16" t="n">
        <f aca="false">AR221+AQ221</f>
        <v>87</v>
      </c>
      <c r="AU221" s="16" t="n">
        <f aca="false">AO221+AF221+AI221+AH221+AG221</f>
        <v>440</v>
      </c>
      <c r="AV221" s="16" t="n">
        <f aca="false">(AO221+AF221+AI221+AH221+AG221)/5</f>
        <v>88</v>
      </c>
      <c r="AW221" s="36" t="n">
        <f aca="false">(AO221+AF221+AI221+AH221+AG221+X221+R221+Q221+K221+J221)</f>
        <v>815</v>
      </c>
      <c r="AX221" s="16" t="n">
        <f aca="false">AW221/10</f>
        <v>81.5</v>
      </c>
      <c r="AY221" s="16" t="n">
        <f aca="false">AS221+AF221+AM221+AH221+AG221+AB221+V221+Q221+O221+J221</f>
        <v>829.6</v>
      </c>
      <c r="AZ221" s="16" t="n">
        <f aca="false">AT221+AF221+AN221+AH221+AG221+AC221+W221+Q221+P221+J221</f>
        <v>832</v>
      </c>
      <c r="BA221" s="16" t="n">
        <f aca="false">AY221/10</f>
        <v>82.96</v>
      </c>
      <c r="BB221" s="16" t="n">
        <f aca="false">AZ221/10</f>
        <v>83.2</v>
      </c>
      <c r="BC221" s="16" t="n">
        <v>2372</v>
      </c>
      <c r="BD221" s="16" t="n">
        <f aca="false">RANK(AX221,$AX$2:$AX$881,0)</f>
        <v>188</v>
      </c>
      <c r="BE221" s="54" t="n">
        <f aca="false">((BC221*100)/2400)*0.4+(AX221*0.6)</f>
        <v>88.4333333333333</v>
      </c>
      <c r="BF221" s="16" t="n">
        <f aca="false">RANK(BE221,$BE$2:$BE$881,0)</f>
        <v>167</v>
      </c>
      <c r="BG221" s="39" t="n">
        <f aca="false">RANK(BB221,$BB$2:$BB$881,0)</f>
        <v>152</v>
      </c>
      <c r="BH221" s="39" t="n">
        <f aca="false">RANK(BC221,$BC$2:$BC$881,0)</f>
        <v>246</v>
      </c>
      <c r="BI221" s="22" t="s">
        <v>130</v>
      </c>
      <c r="BJ221" s="22" t="s">
        <v>129</v>
      </c>
      <c r="BK221" s="40" t="s">
        <v>131</v>
      </c>
      <c r="BL221" s="41" t="n">
        <v>25</v>
      </c>
      <c r="BM221" s="41" t="n">
        <v>61</v>
      </c>
      <c r="BN221" s="41" t="n">
        <v>86</v>
      </c>
      <c r="BO221" s="42" t="n">
        <v>27</v>
      </c>
      <c r="BP221" s="43" t="n">
        <v>65</v>
      </c>
      <c r="BQ221" s="44" t="n">
        <v>92</v>
      </c>
      <c r="BR221" s="42" t="n">
        <v>26</v>
      </c>
      <c r="BS221" s="45" t="n">
        <v>62</v>
      </c>
      <c r="BT221" s="45" t="n">
        <v>88</v>
      </c>
      <c r="BU221" s="46" t="n">
        <v>100</v>
      </c>
      <c r="BV221" s="47" t="n">
        <v>84</v>
      </c>
      <c r="BW221" s="42" t="n">
        <v>100</v>
      </c>
      <c r="BX221" s="48" t="n">
        <v>96</v>
      </c>
      <c r="BY221" s="32" t="n">
        <v>28</v>
      </c>
      <c r="BZ221" s="32" t="n">
        <v>64</v>
      </c>
      <c r="CA221" s="32" t="n">
        <v>92</v>
      </c>
      <c r="CB221" s="32" t="n">
        <v>24</v>
      </c>
      <c r="CC221" s="32" t="n">
        <v>39</v>
      </c>
      <c r="CD221" s="32" t="n">
        <v>63</v>
      </c>
      <c r="CE221" s="32" t="n">
        <v>27</v>
      </c>
      <c r="CF221" s="32" t="n">
        <v>60</v>
      </c>
      <c r="CG221" s="32" t="n">
        <v>87</v>
      </c>
      <c r="CH221" s="32" t="n">
        <v>98</v>
      </c>
      <c r="CI221" s="32" t="n">
        <v>98</v>
      </c>
      <c r="CJ221" s="49" t="n">
        <v>28</v>
      </c>
      <c r="CK221" s="49" t="n">
        <v>57</v>
      </c>
      <c r="CL221" s="49" t="n">
        <v>85</v>
      </c>
      <c r="CM221" s="49" t="n">
        <v>24</v>
      </c>
      <c r="CN221" s="49" t="n">
        <v>57</v>
      </c>
      <c r="CO221" s="49" t="n">
        <v>81</v>
      </c>
      <c r="CP221" s="25" t="n">
        <f aca="false">BX221+BW221+BV221+BU221+BT221+BQ221+BN221</f>
        <v>646</v>
      </c>
      <c r="CQ221" s="25" t="n">
        <f aca="false">CO221+CL221+CI221+CH221+CG221+CD221+CA221</f>
        <v>604</v>
      </c>
      <c r="CR221" s="26" t="n">
        <f aca="false">CP221/7</f>
        <v>92.2857142857143</v>
      </c>
      <c r="CS221" s="26" t="n">
        <f aca="false">CQ221/7</f>
        <v>86.2857142857143</v>
      </c>
      <c r="CT221" s="24" t="n">
        <f aca="false">RANK(CR221,$CR$2:$CR$881,0)</f>
        <v>80</v>
      </c>
      <c r="CU221" s="25" t="n">
        <f aca="false">RANK(CS221,$CS$2:$CS$881,0)</f>
        <v>70</v>
      </c>
      <c r="CV221" s="26" t="n">
        <f aca="false">(CS221+CR221)/2</f>
        <v>89.2857142857143</v>
      </c>
      <c r="CW221" s="25" t="n">
        <f aca="false">RANK(CV221,$CV$2:$CV$881,0)</f>
        <v>63</v>
      </c>
      <c r="CX221" s="50" t="n">
        <f aca="false">(CV221+BB221)/2</f>
        <v>86.2428571428572</v>
      </c>
      <c r="CY221" s="50" t="n">
        <v>93</v>
      </c>
      <c r="CZ221" s="27" t="s">
        <v>132</v>
      </c>
      <c r="DA221" s="27" t="s">
        <v>169</v>
      </c>
      <c r="DB221" s="27" t="s">
        <v>169</v>
      </c>
      <c r="DC221" s="27" t="s">
        <v>134</v>
      </c>
      <c r="DD221" s="27" t="s">
        <v>137</v>
      </c>
      <c r="DE221" s="27" t="s">
        <v>136</v>
      </c>
      <c r="DF221" s="27" t="s">
        <v>162</v>
      </c>
      <c r="DG221" s="27" t="s">
        <v>134</v>
      </c>
      <c r="DH221" s="27" t="s">
        <v>182</v>
      </c>
      <c r="DI221" s="27" t="s">
        <v>152</v>
      </c>
      <c r="DJ221" s="27" t="s">
        <v>133</v>
      </c>
      <c r="DK221" s="27" t="s">
        <v>134</v>
      </c>
      <c r="DL221" s="27" t="s">
        <v>164</v>
      </c>
      <c r="DM221" s="27" t="s">
        <v>136</v>
      </c>
      <c r="DN221" s="27" t="s">
        <v>153</v>
      </c>
      <c r="DO221" s="27" t="s">
        <v>134</v>
      </c>
      <c r="DP221" s="27"/>
      <c r="DQ221" s="27"/>
      <c r="DR221" s="27"/>
      <c r="DS221" s="27"/>
      <c r="DT221" s="27" t="s">
        <v>146</v>
      </c>
      <c r="DU221" s="27" t="s">
        <v>177</v>
      </c>
      <c r="DV221" s="27" t="s">
        <v>153</v>
      </c>
      <c r="DW221" s="27" t="s">
        <v>174</v>
      </c>
      <c r="DX221" s="27" t="s">
        <v>138</v>
      </c>
      <c r="DY221" s="27" t="s">
        <v>170</v>
      </c>
      <c r="DZ221" s="27" t="n">
        <f aca="false">DY221+DV221+DR221+DN221+DJ221+DF221+DB221</f>
        <v>531</v>
      </c>
      <c r="EA221" s="28" t="n">
        <f aca="false">DZ221/7</f>
        <v>75.8571428571429</v>
      </c>
      <c r="EB221" s="27" t="n">
        <f aca="false">RANK(EA221,$EA$2:$EA$881,0)</f>
        <v>524</v>
      </c>
      <c r="EC221" s="29" t="n">
        <f aca="false">DZ221+CQ221+CP221+AZ221</f>
        <v>2613</v>
      </c>
      <c r="ED221" s="30" t="n">
        <f aca="false">(EA221+CV221+BB221)/3</f>
        <v>82.7809523809524</v>
      </c>
      <c r="EE221" s="51" t="n">
        <f aca="false">ROUND(BE221,3)</f>
        <v>88.433</v>
      </c>
      <c r="EF221" s="51" t="n">
        <f aca="false">ROUND(CR221,3)</f>
        <v>92.286</v>
      </c>
      <c r="EG221" s="51" t="n">
        <f aca="false">ROUND(CS221,3)</f>
        <v>86.286</v>
      </c>
      <c r="EH221" s="51" t="n">
        <f aca="false">ROUND(EA221,3)</f>
        <v>75.857</v>
      </c>
      <c r="EI221" s="51" t="n">
        <f aca="false">ROUND(ED221,3)</f>
        <v>82.781</v>
      </c>
      <c r="EJ221" s="51" t="n">
        <f aca="false">ROUND(CV221,3)</f>
        <v>89.286</v>
      </c>
      <c r="EK221" s="0" t="n">
        <f aca="false">RANK(EI221,$EI$2:$EI$881,0)</f>
        <v>220</v>
      </c>
    </row>
    <row r="222" customFormat="false" ht="15" hidden="false" customHeight="false" outlineLevel="0" collapsed="false">
      <c r="A222" s="4" t="n">
        <v>8779</v>
      </c>
      <c r="B222" s="4" t="n">
        <v>384</v>
      </c>
      <c r="C222" s="27" t="s">
        <v>823</v>
      </c>
      <c r="D222" s="31" t="n">
        <v>388</v>
      </c>
      <c r="E222" s="16" t="n">
        <v>230132420</v>
      </c>
      <c r="F222" s="56" t="s">
        <v>824</v>
      </c>
      <c r="G222" s="22" t="s">
        <v>622</v>
      </c>
      <c r="H222" s="22" t="s">
        <v>326</v>
      </c>
      <c r="I222" s="57"/>
      <c r="J222" s="16" t="n">
        <v>93</v>
      </c>
      <c r="K222" s="16" t="n">
        <v>85</v>
      </c>
      <c r="L222" s="34" t="n">
        <f aca="false">(K222*70)/100</f>
        <v>59.5</v>
      </c>
      <c r="M222" s="34" t="n">
        <f aca="false">ROUNDUP(L222,0)</f>
        <v>60</v>
      </c>
      <c r="N222" s="16" t="n">
        <v>29</v>
      </c>
      <c r="O222" s="34" t="n">
        <f aca="false">N222+L222</f>
        <v>88.5</v>
      </c>
      <c r="P222" s="34" t="n">
        <f aca="false">N222+M222</f>
        <v>89</v>
      </c>
      <c r="Q222" s="16" t="n">
        <v>72</v>
      </c>
      <c r="R222" s="16" t="n">
        <v>72</v>
      </c>
      <c r="S222" s="34" t="n">
        <f aca="false">(R222*70)/100</f>
        <v>50.4</v>
      </c>
      <c r="T222" s="34" t="n">
        <f aca="false">ROUNDUP(S222,0)</f>
        <v>51</v>
      </c>
      <c r="U222" s="16" t="n">
        <v>26</v>
      </c>
      <c r="V222" s="34" t="n">
        <f aca="false">U222+S222</f>
        <v>76.4</v>
      </c>
      <c r="W222" s="34" t="n">
        <f aca="false">U222+T222</f>
        <v>77</v>
      </c>
      <c r="X222" s="16" t="n">
        <v>72</v>
      </c>
      <c r="Y222" s="34" t="n">
        <f aca="false">(X222*70)/100</f>
        <v>50.4</v>
      </c>
      <c r="Z222" s="34" t="n">
        <f aca="false">ROUNDUP(Y222,0)</f>
        <v>51</v>
      </c>
      <c r="AA222" s="16" t="n">
        <v>27</v>
      </c>
      <c r="AB222" s="34" t="n">
        <f aca="false">AA222+Y222</f>
        <v>77.4</v>
      </c>
      <c r="AC222" s="34" t="n">
        <f aca="false">AA222+Z222</f>
        <v>78</v>
      </c>
      <c r="AD222" s="32" t="n">
        <f aca="false">X222+R222+Q222+K222+J222</f>
        <v>394</v>
      </c>
      <c r="AE222" s="16" t="n">
        <f aca="false">AD222/5</f>
        <v>78.8</v>
      </c>
      <c r="AF222" s="16" t="n">
        <v>73</v>
      </c>
      <c r="AG222" s="16" t="n">
        <v>98</v>
      </c>
      <c r="AH222" s="16" t="n">
        <v>90</v>
      </c>
      <c r="AI222" s="16" t="n">
        <v>95</v>
      </c>
      <c r="AJ222" s="16" t="n">
        <f aca="false">(AI222*70)/100</f>
        <v>66.5</v>
      </c>
      <c r="AK222" s="35" t="n">
        <f aca="false">ROUNDUP(AJ222,0)</f>
        <v>67</v>
      </c>
      <c r="AL222" s="24"/>
      <c r="AM222" s="16" t="n">
        <f aca="false">AL222+AJ222</f>
        <v>66.5</v>
      </c>
      <c r="AN222" s="16" t="n">
        <f aca="false">AL222+AK222</f>
        <v>67</v>
      </c>
      <c r="AO222" s="16" t="n">
        <v>70</v>
      </c>
      <c r="AP222" s="36" t="n">
        <f aca="false">(AO222*70)/100</f>
        <v>49</v>
      </c>
      <c r="AQ222" s="37" t="n">
        <f aca="false">ROUNDUP(AP222,0)</f>
        <v>49</v>
      </c>
      <c r="AR222" s="16" t="n">
        <v>27</v>
      </c>
      <c r="AS222" s="16" t="n">
        <f aca="false">AR222+AP222</f>
        <v>76</v>
      </c>
      <c r="AT222" s="16" t="n">
        <f aca="false">AR222+AQ222</f>
        <v>76</v>
      </c>
      <c r="AU222" s="16" t="n">
        <f aca="false">AO222+AF222+AI222+AH222+AG222</f>
        <v>426</v>
      </c>
      <c r="AV222" s="16" t="n">
        <f aca="false">(AO222+AF222+AI222+AH222+AG222)/5</f>
        <v>85.2</v>
      </c>
      <c r="AW222" s="36" t="n">
        <f aca="false">(AO222+AF222+AI222+AH222+AG222+X222+R222+Q222+K222+J222)</f>
        <v>820</v>
      </c>
      <c r="AX222" s="16" t="n">
        <f aca="false">AW222/10</f>
        <v>82</v>
      </c>
      <c r="AY222" s="16" t="n">
        <f aca="false">AS222+AF222+AM222+AH222+AG222+AB222+V222+Q222+O222+J222</f>
        <v>810.8</v>
      </c>
      <c r="AZ222" s="16" t="n">
        <f aca="false">AT222+AF222+AN222+AH222+AG222+AC222+W222+Q222+P222+J222</f>
        <v>813</v>
      </c>
      <c r="BA222" s="16" t="n">
        <f aca="false">AY222/10</f>
        <v>81.08</v>
      </c>
      <c r="BB222" s="16" t="n">
        <f aca="false">AZ222/10</f>
        <v>81.3</v>
      </c>
      <c r="BC222" s="16" t="n">
        <v>2357</v>
      </c>
      <c r="BD222" s="16" t="n">
        <f aca="false">RANK(AX222,$AX$2:$AX$881,0)</f>
        <v>165</v>
      </c>
      <c r="BE222" s="54" t="n">
        <f aca="false">((BC222*100)/2400)*0.4+(AX222*0.6)</f>
        <v>88.4833333333333</v>
      </c>
      <c r="BF222" s="16" t="n">
        <f aca="false">RANK(BE222,$BE$2:$BE$881,0)</f>
        <v>162</v>
      </c>
      <c r="BG222" s="39" t="n">
        <f aca="false">RANK(BB222,$BB$2:$BB$881,0)</f>
        <v>257</v>
      </c>
      <c r="BH222" s="39" t="n">
        <f aca="false">RANK(BC222,$BC$2:$BC$881,0)</f>
        <v>444</v>
      </c>
      <c r="BI222" s="22" t="s">
        <v>130</v>
      </c>
      <c r="BJ222" s="22" t="s">
        <v>129</v>
      </c>
      <c r="BK222" s="40" t="s">
        <v>131</v>
      </c>
      <c r="BL222" s="41" t="n">
        <v>20</v>
      </c>
      <c r="BM222" s="41" t="n">
        <v>57</v>
      </c>
      <c r="BN222" s="41" t="n">
        <v>77</v>
      </c>
      <c r="BO222" s="42" t="n">
        <v>25</v>
      </c>
      <c r="BP222" s="43" t="n">
        <v>45</v>
      </c>
      <c r="BQ222" s="44" t="n">
        <v>70</v>
      </c>
      <c r="BR222" s="42" t="n">
        <v>25</v>
      </c>
      <c r="BS222" s="45" t="n">
        <v>55</v>
      </c>
      <c r="BT222" s="45" t="n">
        <v>80</v>
      </c>
      <c r="BU222" s="77" t="n">
        <v>100</v>
      </c>
      <c r="BV222" s="47" t="n">
        <v>92</v>
      </c>
      <c r="BW222" s="43" t="n">
        <v>100</v>
      </c>
      <c r="BX222" s="48" t="n">
        <v>96</v>
      </c>
      <c r="BY222" s="32" t="n">
        <v>26</v>
      </c>
      <c r="BZ222" s="32" t="n">
        <v>48</v>
      </c>
      <c r="CA222" s="32" t="n">
        <v>74</v>
      </c>
      <c r="CB222" s="32" t="n">
        <v>25</v>
      </c>
      <c r="CC222" s="32" t="n">
        <v>37</v>
      </c>
      <c r="CD222" s="32" t="n">
        <v>62</v>
      </c>
      <c r="CE222" s="32" t="n">
        <v>28</v>
      </c>
      <c r="CF222" s="32" t="n">
        <v>52</v>
      </c>
      <c r="CG222" s="32" t="n">
        <v>80</v>
      </c>
      <c r="CH222" s="32" t="n">
        <v>99</v>
      </c>
      <c r="CI222" s="32" t="n">
        <v>100</v>
      </c>
      <c r="CJ222" s="49" t="n">
        <v>20</v>
      </c>
      <c r="CK222" s="49" t="n">
        <v>44</v>
      </c>
      <c r="CL222" s="49" t="n">
        <v>64</v>
      </c>
      <c r="CM222" s="49" t="n">
        <v>21</v>
      </c>
      <c r="CN222" s="49" t="n">
        <v>49</v>
      </c>
      <c r="CO222" s="49" t="n">
        <v>70</v>
      </c>
      <c r="CP222" s="25" t="n">
        <f aca="false">BX222+BW222+BV222+BU222+BT222+BQ222+BN222</f>
        <v>615</v>
      </c>
      <c r="CQ222" s="25" t="n">
        <f aca="false">CO222+CL222+CI222+CH222+CG222+CD222+CA222</f>
        <v>549</v>
      </c>
      <c r="CR222" s="26" t="n">
        <f aca="false">CP222/7</f>
        <v>87.8571428571429</v>
      </c>
      <c r="CS222" s="26" t="n">
        <f aca="false">CQ222/7</f>
        <v>78.4285714285714</v>
      </c>
      <c r="CT222" s="24" t="n">
        <f aca="false">RANK(CR222,$CR$2:$CR$881,0)</f>
        <v>315</v>
      </c>
      <c r="CU222" s="25" t="n">
        <f aca="false">RANK(CS222,$CS$2:$CS$881,0)</f>
        <v>321</v>
      </c>
      <c r="CV222" s="26" t="n">
        <f aca="false">(CS222+CR222)/2</f>
        <v>83.1428571428571</v>
      </c>
      <c r="CW222" s="25" t="n">
        <f aca="false">RANK(CV222,$CV$2:$CV$881,0)</f>
        <v>289</v>
      </c>
      <c r="CX222" s="50" t="n">
        <f aca="false">(CV222+BB222)/2</f>
        <v>82.2214285714286</v>
      </c>
      <c r="CY222" s="50" t="n">
        <v>255</v>
      </c>
      <c r="CZ222" s="27" t="s">
        <v>132</v>
      </c>
      <c r="DA222" s="27" t="s">
        <v>162</v>
      </c>
      <c r="DB222" s="27" t="s">
        <v>162</v>
      </c>
      <c r="DC222" s="27" t="s">
        <v>134</v>
      </c>
      <c r="DD222" s="27" t="s">
        <v>182</v>
      </c>
      <c r="DE222" s="27" t="s">
        <v>183</v>
      </c>
      <c r="DF222" s="27" t="s">
        <v>205</v>
      </c>
      <c r="DG222" s="27" t="s">
        <v>134</v>
      </c>
      <c r="DH222" s="27" t="s">
        <v>160</v>
      </c>
      <c r="DI222" s="27" t="s">
        <v>306</v>
      </c>
      <c r="DJ222" s="27" t="s">
        <v>169</v>
      </c>
      <c r="DK222" s="27" t="s">
        <v>134</v>
      </c>
      <c r="DL222" s="27" t="s">
        <v>164</v>
      </c>
      <c r="DM222" s="27" t="s">
        <v>136</v>
      </c>
      <c r="DN222" s="27" t="s">
        <v>153</v>
      </c>
      <c r="DO222" s="27" t="s">
        <v>134</v>
      </c>
      <c r="DP222" s="27" t="s">
        <v>825</v>
      </c>
      <c r="DQ222" s="27" t="s">
        <v>399</v>
      </c>
      <c r="DR222" s="27" t="s">
        <v>161</v>
      </c>
      <c r="DS222" s="27" t="s">
        <v>134</v>
      </c>
      <c r="DT222" s="27" t="s">
        <v>146</v>
      </c>
      <c r="DU222" s="27" t="s">
        <v>447</v>
      </c>
      <c r="DV222" s="27" t="s">
        <v>169</v>
      </c>
      <c r="DW222" s="27" t="s">
        <v>140</v>
      </c>
      <c r="DX222" s="27" t="s">
        <v>155</v>
      </c>
      <c r="DY222" s="27" t="s">
        <v>147</v>
      </c>
      <c r="DZ222" s="27" t="n">
        <f aca="false">DY222+DV222+DR222+DN222+DJ222+DF222+DB222</f>
        <v>587</v>
      </c>
      <c r="EA222" s="28" t="n">
        <f aca="false">DZ222/7</f>
        <v>83.8571428571429</v>
      </c>
      <c r="EB222" s="27" t="n">
        <f aca="false">RANK(EA222,$EA$2:$EA$881,0)</f>
        <v>230</v>
      </c>
      <c r="EC222" s="29" t="n">
        <f aca="false">DZ222+CQ222+CP222+AZ222</f>
        <v>2564</v>
      </c>
      <c r="ED222" s="30" t="n">
        <f aca="false">(EA222+CV222+BB222)/3</f>
        <v>82.7666666666667</v>
      </c>
      <c r="EE222" s="51" t="n">
        <f aca="false">ROUND(BE222,3)</f>
        <v>88.483</v>
      </c>
      <c r="EF222" s="51" t="n">
        <f aca="false">ROUND(CR222,3)</f>
        <v>87.857</v>
      </c>
      <c r="EG222" s="51" t="n">
        <f aca="false">ROUND(CS222,3)</f>
        <v>78.429</v>
      </c>
      <c r="EH222" s="51" t="n">
        <f aca="false">ROUND(EA222,3)</f>
        <v>83.857</v>
      </c>
      <c r="EI222" s="51" t="n">
        <f aca="false">ROUND(ED222,3)</f>
        <v>82.767</v>
      </c>
      <c r="EJ222" s="51" t="n">
        <f aca="false">ROUND(CV222,3)</f>
        <v>83.143</v>
      </c>
      <c r="EK222" s="0" t="n">
        <f aca="false">RANK(EI222,$EI$2:$EI$881,0)</f>
        <v>221</v>
      </c>
    </row>
    <row r="223" customFormat="false" ht="15" hidden="false" customHeight="false" outlineLevel="0" collapsed="false">
      <c r="A223" s="4" t="n">
        <v>9054</v>
      </c>
      <c r="B223" s="4" t="n">
        <v>487</v>
      </c>
      <c r="C223" s="27" t="s">
        <v>826</v>
      </c>
      <c r="D223" s="31" t="n">
        <v>496</v>
      </c>
      <c r="E223" s="32" t="n">
        <v>230313636</v>
      </c>
      <c r="F223" s="8" t="s">
        <v>827</v>
      </c>
      <c r="G223" s="22" t="s">
        <v>828</v>
      </c>
      <c r="H223" s="22" t="s">
        <v>129</v>
      </c>
      <c r="I223" s="33" t="n">
        <v>2005</v>
      </c>
      <c r="J223" s="32" t="n">
        <v>76</v>
      </c>
      <c r="K223" s="32" t="n">
        <v>94</v>
      </c>
      <c r="L223" s="34" t="n">
        <f aca="false">(K223*70)/100</f>
        <v>65.8</v>
      </c>
      <c r="M223" s="34" t="n">
        <f aca="false">ROUNDUP(L223,0)</f>
        <v>66</v>
      </c>
      <c r="N223" s="32" t="n">
        <v>25</v>
      </c>
      <c r="O223" s="34" t="n">
        <f aca="false">N223+L223</f>
        <v>90.8</v>
      </c>
      <c r="P223" s="34" t="n">
        <f aca="false">N223+M223</f>
        <v>91</v>
      </c>
      <c r="Q223" s="32" t="n">
        <v>86</v>
      </c>
      <c r="R223" s="32" t="n">
        <v>87</v>
      </c>
      <c r="S223" s="34" t="n">
        <f aca="false">(R223*70)/100</f>
        <v>60.9</v>
      </c>
      <c r="T223" s="34" t="n">
        <f aca="false">ROUNDUP(S223,0)</f>
        <v>61</v>
      </c>
      <c r="U223" s="32" t="n">
        <v>25</v>
      </c>
      <c r="V223" s="34" t="n">
        <f aca="false">U223+S223</f>
        <v>85.9</v>
      </c>
      <c r="W223" s="34" t="n">
        <f aca="false">U223+T223</f>
        <v>86</v>
      </c>
      <c r="X223" s="32" t="n">
        <v>83</v>
      </c>
      <c r="Y223" s="34" t="n">
        <f aca="false">(X223*70)/100</f>
        <v>58.1</v>
      </c>
      <c r="Z223" s="34" t="n">
        <f aca="false">ROUNDUP(Y223,0)</f>
        <v>59</v>
      </c>
      <c r="AA223" s="32" t="n">
        <v>25</v>
      </c>
      <c r="AB223" s="34" t="n">
        <f aca="false">AA223+Y223</f>
        <v>83.1</v>
      </c>
      <c r="AC223" s="34" t="n">
        <f aca="false">AA223+Z223</f>
        <v>84</v>
      </c>
      <c r="AD223" s="32" t="n">
        <f aca="false">X223+R223+Q223+K223+J223</f>
        <v>426</v>
      </c>
      <c r="AE223" s="16" t="n">
        <f aca="false">AD223/5</f>
        <v>85.2</v>
      </c>
      <c r="AF223" s="16" t="n">
        <v>78</v>
      </c>
      <c r="AG223" s="16" t="n">
        <v>82</v>
      </c>
      <c r="AH223" s="16" t="n">
        <v>95</v>
      </c>
      <c r="AI223" s="16" t="n">
        <v>93</v>
      </c>
      <c r="AJ223" s="16" t="n">
        <f aca="false">(AI223*70)/100</f>
        <v>65.1</v>
      </c>
      <c r="AK223" s="35" t="n">
        <f aca="false">ROUNDUP(AJ223,0)</f>
        <v>66</v>
      </c>
      <c r="AL223" s="16" t="n">
        <v>26</v>
      </c>
      <c r="AM223" s="16" t="n">
        <f aca="false">AL223+AJ223</f>
        <v>91.1</v>
      </c>
      <c r="AN223" s="16" t="n">
        <f aca="false">AL223+AK223</f>
        <v>92</v>
      </c>
      <c r="AO223" s="16" t="n">
        <v>86</v>
      </c>
      <c r="AP223" s="36" t="n">
        <f aca="false">(AO223*70)/100</f>
        <v>60.2</v>
      </c>
      <c r="AQ223" s="37" t="n">
        <f aca="false">ROUNDUP(AP223,0)</f>
        <v>61</v>
      </c>
      <c r="AR223" s="16" t="n">
        <v>28</v>
      </c>
      <c r="AS223" s="16" t="n">
        <f aca="false">AR223+AP223</f>
        <v>88.2</v>
      </c>
      <c r="AT223" s="16" t="n">
        <f aca="false">AR223+AQ223</f>
        <v>89</v>
      </c>
      <c r="AU223" s="16" t="n">
        <f aca="false">AO223+AF223+AI223+AH223+AG223</f>
        <v>434</v>
      </c>
      <c r="AV223" s="16" t="n">
        <f aca="false">(AO223+AF223+AI223+AH223+AG223)/5</f>
        <v>86.8</v>
      </c>
      <c r="AW223" s="36" t="n">
        <f aca="false">(AO223+AF223+AI223+AH223+AG223+X223+R223+Q223+K223+J223)</f>
        <v>860</v>
      </c>
      <c r="AX223" s="16" t="n">
        <f aca="false">AW223/10</f>
        <v>86</v>
      </c>
      <c r="AY223" s="16" t="n">
        <f aca="false">AS223+AF223+AM223+AH223+AG223+AB223+V223+Q223+O223+J223</f>
        <v>856.1</v>
      </c>
      <c r="AZ223" s="16" t="n">
        <f aca="false">AT223+AF223+AN223+AH223+AG223+AC223+W223+Q223+P223+J223</f>
        <v>859</v>
      </c>
      <c r="BA223" s="16" t="n">
        <f aca="false">AY223/10</f>
        <v>85.61</v>
      </c>
      <c r="BB223" s="16" t="n">
        <f aca="false">AZ223/10</f>
        <v>85.9</v>
      </c>
      <c r="BC223" s="16" t="n">
        <v>2368</v>
      </c>
      <c r="BD223" s="16" t="n">
        <f aca="false">RANK(AX223,$AX$2:$AX$881,0)</f>
        <v>73</v>
      </c>
      <c r="BE223" s="38" t="n">
        <f aca="false">((BC223*100)/2400)*0.4+(AX223*0.6)</f>
        <v>91.0666666666667</v>
      </c>
      <c r="BF223" s="16" t="n">
        <f aca="false">RANK(BE223,$BE$2:$BE$881,0)</f>
        <v>75</v>
      </c>
      <c r="BG223" s="39" t="n">
        <f aca="false">RANK(BB223,$BB$2:$BB$881,0)</f>
        <v>85</v>
      </c>
      <c r="BH223" s="39" t="n">
        <f aca="false">RANK(BC223,$BC$2:$BC$881,0)</f>
        <v>295</v>
      </c>
      <c r="BI223" s="22" t="s">
        <v>130</v>
      </c>
      <c r="BJ223" s="22" t="s">
        <v>129</v>
      </c>
      <c r="BK223" s="40" t="s">
        <v>131</v>
      </c>
      <c r="BL223" s="41" t="n">
        <v>20</v>
      </c>
      <c r="BM223" s="41" t="n">
        <v>44</v>
      </c>
      <c r="BN223" s="41" t="n">
        <v>64</v>
      </c>
      <c r="BO223" s="42" t="n">
        <v>26</v>
      </c>
      <c r="BP223" s="43" t="n">
        <v>47</v>
      </c>
      <c r="BQ223" s="44" t="n">
        <v>73</v>
      </c>
      <c r="BR223" s="42" t="n">
        <v>25</v>
      </c>
      <c r="BS223" s="45" t="n">
        <v>49</v>
      </c>
      <c r="BT223" s="45" t="n">
        <v>74</v>
      </c>
      <c r="BU223" s="46" t="n">
        <v>100</v>
      </c>
      <c r="BV223" s="47" t="n">
        <v>76</v>
      </c>
      <c r="BW223" s="42" t="n">
        <v>93</v>
      </c>
      <c r="BX223" s="48" t="n">
        <v>94</v>
      </c>
      <c r="BY223" s="32" t="n">
        <v>24</v>
      </c>
      <c r="BZ223" s="32" t="n">
        <v>43</v>
      </c>
      <c r="CA223" s="32" t="n">
        <v>67</v>
      </c>
      <c r="CB223" s="32" t="n">
        <v>24</v>
      </c>
      <c r="CC223" s="32" t="n">
        <v>43</v>
      </c>
      <c r="CD223" s="32" t="n">
        <v>67</v>
      </c>
      <c r="CE223" s="32" t="n">
        <v>24</v>
      </c>
      <c r="CF223" s="32" t="n">
        <v>62</v>
      </c>
      <c r="CG223" s="32" t="n">
        <v>86</v>
      </c>
      <c r="CH223" s="32" t="n">
        <v>99</v>
      </c>
      <c r="CI223" s="32" t="n">
        <v>99</v>
      </c>
      <c r="CJ223" s="49" t="n">
        <v>22</v>
      </c>
      <c r="CK223" s="60"/>
      <c r="CL223" s="61"/>
      <c r="CM223" s="49" t="n">
        <v>21</v>
      </c>
      <c r="CN223" s="49" t="n">
        <v>52</v>
      </c>
      <c r="CO223" s="49" t="n">
        <v>73</v>
      </c>
      <c r="CP223" s="25" t="n">
        <f aca="false">BX223+BW223+BV223+BU223+BT223+BQ223+BN223</f>
        <v>574</v>
      </c>
      <c r="CQ223" s="25" t="n">
        <f aca="false">CO223+CL223+CI223+CH223+CG223+CD223+CA223</f>
        <v>491</v>
      </c>
      <c r="CR223" s="26" t="n">
        <f aca="false">CP223/7</f>
        <v>82</v>
      </c>
      <c r="CS223" s="26" t="n">
        <f aca="false">CQ223/7</f>
        <v>70.1428571428571</v>
      </c>
      <c r="CT223" s="24" t="n">
        <f aca="false">RANK(CR223,$CR$2:$CR$881,0)</f>
        <v>542</v>
      </c>
      <c r="CU223" s="25" t="n">
        <f aca="false">RANK(CS223,$CS$2:$CS$881,0)</f>
        <v>552</v>
      </c>
      <c r="CV223" s="26" t="n">
        <f aca="false">(CS223+CR223)/2</f>
        <v>76.0714285714286</v>
      </c>
      <c r="CW223" s="25" t="n">
        <f aca="false">RANK(CV223,$CV$2:$CV$881,0)</f>
        <v>538</v>
      </c>
      <c r="CX223" s="50" t="n">
        <f aca="false">(CV223+BB223)/2</f>
        <v>80.9857142857143</v>
      </c>
      <c r="CY223" s="50" t="n">
        <v>318</v>
      </c>
      <c r="CZ223" s="27" t="s">
        <v>132</v>
      </c>
      <c r="DA223" s="27" t="s">
        <v>133</v>
      </c>
      <c r="DB223" s="27" t="s">
        <v>133</v>
      </c>
      <c r="DC223" s="27" t="s">
        <v>134</v>
      </c>
      <c r="DD223" s="27" t="s">
        <v>154</v>
      </c>
      <c r="DE223" s="27" t="s">
        <v>183</v>
      </c>
      <c r="DF223" s="27" t="s">
        <v>196</v>
      </c>
      <c r="DG223" s="27" t="s">
        <v>134</v>
      </c>
      <c r="DH223" s="27" t="s">
        <v>135</v>
      </c>
      <c r="DI223" s="27" t="s">
        <v>163</v>
      </c>
      <c r="DJ223" s="27" t="s">
        <v>153</v>
      </c>
      <c r="DK223" s="27" t="s">
        <v>134</v>
      </c>
      <c r="DL223" s="27" t="s">
        <v>137</v>
      </c>
      <c r="DM223" s="27" t="s">
        <v>220</v>
      </c>
      <c r="DN223" s="27" t="s">
        <v>205</v>
      </c>
      <c r="DO223" s="27" t="s">
        <v>134</v>
      </c>
      <c r="DP223" s="27" t="s">
        <v>164</v>
      </c>
      <c r="DQ223" s="27" t="s">
        <v>203</v>
      </c>
      <c r="DR223" s="27" t="s">
        <v>162</v>
      </c>
      <c r="DS223" s="27" t="s">
        <v>134</v>
      </c>
      <c r="DT223" s="27" t="s">
        <v>164</v>
      </c>
      <c r="DU223" s="27" t="s">
        <v>304</v>
      </c>
      <c r="DV223" s="27" t="s">
        <v>196</v>
      </c>
      <c r="DW223" s="27" t="s">
        <v>135</v>
      </c>
      <c r="DX223" s="27" t="s">
        <v>143</v>
      </c>
      <c r="DY223" s="27" t="s">
        <v>151</v>
      </c>
      <c r="DZ223" s="27" t="n">
        <f aca="false">DY223+DV223+DR223+DN223+DJ223+DF223+DB223</f>
        <v>604</v>
      </c>
      <c r="EA223" s="28" t="n">
        <f aca="false">DZ223/7</f>
        <v>86.2857142857143</v>
      </c>
      <c r="EB223" s="27" t="n">
        <f aca="false">RANK(EA223,$EA$2:$EA$881,0)</f>
        <v>148</v>
      </c>
      <c r="EC223" s="29" t="n">
        <f aca="false">DZ223+CQ223+CP223+AZ223</f>
        <v>2528</v>
      </c>
      <c r="ED223" s="30" t="n">
        <f aca="false">(EA223+CV223+BB223)/3</f>
        <v>82.752380952381</v>
      </c>
      <c r="EE223" s="51" t="n">
        <f aca="false">ROUND(BE223,3)</f>
        <v>91.067</v>
      </c>
      <c r="EF223" s="51" t="n">
        <f aca="false">ROUND(CR223,3)</f>
        <v>82</v>
      </c>
      <c r="EG223" s="51" t="n">
        <f aca="false">ROUND(CS223,3)</f>
        <v>70.143</v>
      </c>
      <c r="EH223" s="51" t="n">
        <f aca="false">ROUND(EA223,3)</f>
        <v>86.286</v>
      </c>
      <c r="EI223" s="51" t="n">
        <f aca="false">ROUND(ED223,3)</f>
        <v>82.752</v>
      </c>
      <c r="EJ223" s="51" t="n">
        <f aca="false">ROUND(CV223,3)</f>
        <v>76.071</v>
      </c>
      <c r="EK223" s="0" t="n">
        <f aca="false">RANK(EI223,$EI$2:$EI$881,0)</f>
        <v>222</v>
      </c>
    </row>
    <row r="224" customFormat="false" ht="15" hidden="false" customHeight="false" outlineLevel="0" collapsed="false">
      <c r="A224" s="4" t="n">
        <v>1886</v>
      </c>
      <c r="B224" s="4" t="n">
        <v>363</v>
      </c>
      <c r="C224" s="27" t="s">
        <v>829</v>
      </c>
      <c r="D224" s="31" t="n">
        <v>368</v>
      </c>
      <c r="E224" s="32" t="n">
        <v>230325054</v>
      </c>
      <c r="F224" s="8" t="s">
        <v>830</v>
      </c>
      <c r="G224" s="22" t="s">
        <v>831</v>
      </c>
      <c r="H224" s="22" t="s">
        <v>129</v>
      </c>
      <c r="I224" s="33" t="n">
        <v>2006</v>
      </c>
      <c r="J224" s="32" t="n">
        <v>69</v>
      </c>
      <c r="K224" s="32" t="n">
        <v>87</v>
      </c>
      <c r="L224" s="34" t="n">
        <f aca="false">(K224*70)/100</f>
        <v>60.9</v>
      </c>
      <c r="M224" s="34" t="n">
        <f aca="false">ROUNDUP(L224,0)</f>
        <v>61</v>
      </c>
      <c r="N224" s="32" t="n">
        <v>30</v>
      </c>
      <c r="O224" s="34" t="n">
        <f aca="false">N224+L224</f>
        <v>90.9</v>
      </c>
      <c r="P224" s="34" t="n">
        <f aca="false">N224+M224</f>
        <v>91</v>
      </c>
      <c r="Q224" s="32" t="n">
        <v>82</v>
      </c>
      <c r="R224" s="32" t="n">
        <v>76</v>
      </c>
      <c r="S224" s="34" t="n">
        <f aca="false">(R224*70)/100</f>
        <v>53.2</v>
      </c>
      <c r="T224" s="34" t="n">
        <f aca="false">ROUNDUP(S224,0)</f>
        <v>54</v>
      </c>
      <c r="U224" s="32" t="n">
        <v>24</v>
      </c>
      <c r="V224" s="34" t="n">
        <f aca="false">U224+S224</f>
        <v>77.2</v>
      </c>
      <c r="W224" s="34" t="n">
        <f aca="false">U224+T224</f>
        <v>78</v>
      </c>
      <c r="X224" s="32" t="n">
        <v>73</v>
      </c>
      <c r="Y224" s="34" t="n">
        <f aca="false">(X224*70)/100</f>
        <v>51.1</v>
      </c>
      <c r="Z224" s="34" t="n">
        <f aca="false">ROUNDUP(Y224,0)</f>
        <v>52</v>
      </c>
      <c r="AA224" s="32" t="n">
        <v>24</v>
      </c>
      <c r="AB224" s="34" t="n">
        <f aca="false">AA224+Y224</f>
        <v>75.1</v>
      </c>
      <c r="AC224" s="34" t="n">
        <f aca="false">AA224+Z224</f>
        <v>76</v>
      </c>
      <c r="AD224" s="32" t="n">
        <f aca="false">X224+R224+Q224+K224+J224</f>
        <v>387</v>
      </c>
      <c r="AE224" s="16" t="n">
        <f aca="false">AD224/5</f>
        <v>77.4</v>
      </c>
      <c r="AF224" s="16" t="n">
        <v>78</v>
      </c>
      <c r="AG224" s="16" t="n">
        <v>73</v>
      </c>
      <c r="AH224" s="16" t="n">
        <v>92</v>
      </c>
      <c r="AI224" s="16" t="n">
        <v>78</v>
      </c>
      <c r="AJ224" s="16" t="n">
        <f aca="false">(AI224*70)/100</f>
        <v>54.6</v>
      </c>
      <c r="AK224" s="35" t="n">
        <f aca="false">ROUNDUP(AJ224,0)</f>
        <v>55</v>
      </c>
      <c r="AL224" s="16" t="n">
        <v>24</v>
      </c>
      <c r="AM224" s="16" t="n">
        <f aca="false">AL224+AJ224</f>
        <v>78.6</v>
      </c>
      <c r="AN224" s="16" t="n">
        <f aca="false">AL224+AK224</f>
        <v>79</v>
      </c>
      <c r="AO224" s="16" t="n">
        <v>67</v>
      </c>
      <c r="AP224" s="36" t="n">
        <f aca="false">(AO224*70)/100</f>
        <v>46.9</v>
      </c>
      <c r="AQ224" s="37" t="n">
        <f aca="false">ROUNDUP(AP224,0)</f>
        <v>47</v>
      </c>
      <c r="AR224" s="16" t="n">
        <v>29</v>
      </c>
      <c r="AS224" s="16" t="n">
        <f aca="false">AR224+AP224</f>
        <v>75.9</v>
      </c>
      <c r="AT224" s="16" t="n">
        <f aca="false">AR224+AQ224</f>
        <v>76</v>
      </c>
      <c r="AU224" s="16" t="n">
        <f aca="false">AO224+AF224+AI224+AH224+AG224</f>
        <v>388</v>
      </c>
      <c r="AV224" s="16" t="n">
        <f aca="false">(AO224+AF224+AI224+AH224+AG224)/5</f>
        <v>77.6</v>
      </c>
      <c r="AW224" s="36" t="n">
        <f aca="false">(AO224+AF224+AI224+AH224+AG224+X224+R224+Q224+K224+J224)</f>
        <v>775</v>
      </c>
      <c r="AX224" s="16" t="n">
        <f aca="false">AW224/10</f>
        <v>77.5</v>
      </c>
      <c r="AY224" s="16" t="n">
        <f aca="false">AS224+AF224+AM224+AH224+AG224+AB224+V224+Q224+O224+J224</f>
        <v>791.7</v>
      </c>
      <c r="AZ224" s="16" t="n">
        <f aca="false">AT224+AF224+AN224+AH224+AG224+AC224+W224+Q224+P224+J224</f>
        <v>794</v>
      </c>
      <c r="BA224" s="16" t="n">
        <f aca="false">AY224/10</f>
        <v>79.17</v>
      </c>
      <c r="BB224" s="16" t="n">
        <f aca="false">AZ224/10</f>
        <v>79.4</v>
      </c>
      <c r="BC224" s="16" t="n">
        <v>2356</v>
      </c>
      <c r="BD224" s="16" t="n">
        <f aca="false">RANK(AX224,$AX$2:$AX$881,0)</f>
        <v>455</v>
      </c>
      <c r="BE224" s="54" t="n">
        <f aca="false">((BC224*100)/2400)*0.4+(AX224*0.6)</f>
        <v>85.7666666666667</v>
      </c>
      <c r="BF224" s="16" t="n">
        <f aca="false">RANK(BE224,$BE$2:$BE$881,0)</f>
        <v>471</v>
      </c>
      <c r="BG224" s="39" t="n">
        <f aca="false">RANK(BB224,$BB$2:$BB$881,0)</f>
        <v>414</v>
      </c>
      <c r="BH224" s="39" t="n">
        <f aca="false">RANK(BC224,$BC$2:$BC$881,0)</f>
        <v>462</v>
      </c>
      <c r="BI224" s="22" t="s">
        <v>130</v>
      </c>
      <c r="BJ224" s="22" t="s">
        <v>129</v>
      </c>
      <c r="BK224" s="40" t="s">
        <v>509</v>
      </c>
      <c r="BL224" s="41" t="n">
        <v>19</v>
      </c>
      <c r="BM224" s="41" t="n">
        <v>53</v>
      </c>
      <c r="BN224" s="41" t="n">
        <v>72</v>
      </c>
      <c r="BO224" s="42" t="n">
        <v>22</v>
      </c>
      <c r="BP224" s="43" t="n">
        <v>62</v>
      </c>
      <c r="BQ224" s="44" t="n">
        <v>84</v>
      </c>
      <c r="BR224" s="42" t="n">
        <v>19</v>
      </c>
      <c r="BS224" s="45" t="n">
        <v>59</v>
      </c>
      <c r="BT224" s="45" t="n">
        <v>78</v>
      </c>
      <c r="BU224" s="46" t="n">
        <v>99</v>
      </c>
      <c r="BV224" s="47" t="n">
        <v>90</v>
      </c>
      <c r="BW224" s="42" t="n">
        <v>99</v>
      </c>
      <c r="BX224" s="48" t="n">
        <v>94</v>
      </c>
      <c r="BY224" s="32" t="n">
        <v>26</v>
      </c>
      <c r="BZ224" s="32" t="n">
        <v>63</v>
      </c>
      <c r="CA224" s="32" t="n">
        <v>89</v>
      </c>
      <c r="CB224" s="32" t="n">
        <v>24</v>
      </c>
      <c r="CC224" s="32" t="n">
        <v>41</v>
      </c>
      <c r="CD224" s="32" t="n">
        <v>65</v>
      </c>
      <c r="CE224" s="32" t="n">
        <v>21</v>
      </c>
      <c r="CF224" s="32" t="n">
        <v>53</v>
      </c>
      <c r="CG224" s="32" t="n">
        <v>74</v>
      </c>
      <c r="CH224" s="32" t="n">
        <v>98</v>
      </c>
      <c r="CI224" s="32" t="n">
        <v>98</v>
      </c>
      <c r="CJ224" s="49" t="n">
        <v>26</v>
      </c>
      <c r="CK224" s="49" t="n">
        <v>51</v>
      </c>
      <c r="CL224" s="49" t="n">
        <v>77</v>
      </c>
      <c r="CM224" s="49" t="n">
        <v>22</v>
      </c>
      <c r="CN224" s="49" t="n">
        <v>53</v>
      </c>
      <c r="CO224" s="49" t="n">
        <v>75</v>
      </c>
      <c r="CP224" s="25" t="n">
        <f aca="false">BX224+BW224+BV224+BU224+BT224+BQ224+BN224</f>
        <v>616</v>
      </c>
      <c r="CQ224" s="25" t="n">
        <f aca="false">CO224+CL224+CI224+CH224+CG224+CD224+CA224</f>
        <v>576</v>
      </c>
      <c r="CR224" s="26" t="n">
        <f aca="false">CP224/7</f>
        <v>88</v>
      </c>
      <c r="CS224" s="26" t="n">
        <f aca="false">CQ224/7</f>
        <v>82.2857142857143</v>
      </c>
      <c r="CT224" s="24" t="n">
        <f aca="false">RANK(CR224,$CR$2:$CR$881,0)</f>
        <v>304</v>
      </c>
      <c r="CU224" s="25" t="n">
        <f aca="false">RANK(CS224,$CS$2:$CS$881,0)</f>
        <v>185</v>
      </c>
      <c r="CV224" s="26" t="n">
        <f aca="false">(CS224+CR224)/2</f>
        <v>85.1428571428571</v>
      </c>
      <c r="CW224" s="25" t="n">
        <f aca="false">RANK(CV224,$CV$2:$CV$881,0)</f>
        <v>206</v>
      </c>
      <c r="CX224" s="50" t="n">
        <f aca="false">(CV224+BB224)/2</f>
        <v>82.2714285714286</v>
      </c>
      <c r="CY224" s="50" t="n">
        <v>250</v>
      </c>
      <c r="CZ224" s="27" t="s">
        <v>132</v>
      </c>
      <c r="DA224" s="27" t="s">
        <v>133</v>
      </c>
      <c r="DB224" s="27" t="s">
        <v>133</v>
      </c>
      <c r="DC224" s="27" t="s">
        <v>134</v>
      </c>
      <c r="DD224" s="27" t="s">
        <v>164</v>
      </c>
      <c r="DE224" s="27" t="s">
        <v>306</v>
      </c>
      <c r="DF224" s="27" t="s">
        <v>205</v>
      </c>
      <c r="DG224" s="27" t="s">
        <v>134</v>
      </c>
      <c r="DH224" s="27" t="s">
        <v>195</v>
      </c>
      <c r="DI224" s="27" t="s">
        <v>203</v>
      </c>
      <c r="DJ224" s="27" t="s">
        <v>169</v>
      </c>
      <c r="DK224" s="27" t="s">
        <v>134</v>
      </c>
      <c r="DL224" s="27" t="s">
        <v>137</v>
      </c>
      <c r="DM224" s="27" t="s">
        <v>304</v>
      </c>
      <c r="DN224" s="27" t="s">
        <v>219</v>
      </c>
      <c r="DO224" s="27" t="s">
        <v>134</v>
      </c>
      <c r="DP224" s="27" t="s">
        <v>135</v>
      </c>
      <c r="DQ224" s="27" t="s">
        <v>412</v>
      </c>
      <c r="DR224" s="27" t="s">
        <v>443</v>
      </c>
      <c r="DS224" s="27" t="s">
        <v>134</v>
      </c>
      <c r="DT224" s="27" t="s">
        <v>137</v>
      </c>
      <c r="DU224" s="27" t="s">
        <v>306</v>
      </c>
      <c r="DV224" s="27" t="s">
        <v>196</v>
      </c>
      <c r="DW224" s="27" t="s">
        <v>137</v>
      </c>
      <c r="DX224" s="27" t="s">
        <v>155</v>
      </c>
      <c r="DY224" s="27" t="s">
        <v>142</v>
      </c>
      <c r="DZ224" s="27" t="n">
        <f aca="false">DY224+DV224+DR224+DN224+DJ224+DF224+DB224</f>
        <v>586</v>
      </c>
      <c r="EA224" s="28" t="n">
        <f aca="false">DZ224/7</f>
        <v>83.7142857142857</v>
      </c>
      <c r="EB224" s="27" t="n">
        <f aca="false">RANK(EA224,$EA$2:$EA$881,0)</f>
        <v>237</v>
      </c>
      <c r="EC224" s="29" t="n">
        <f aca="false">DZ224+CQ224+CP224+AZ224</f>
        <v>2572</v>
      </c>
      <c r="ED224" s="30" t="n">
        <f aca="false">(EA224+CV224+BB224)/3</f>
        <v>82.752380952381</v>
      </c>
      <c r="EE224" s="51" t="n">
        <f aca="false">ROUND(BE224,3)</f>
        <v>85.767</v>
      </c>
      <c r="EF224" s="51" t="n">
        <f aca="false">ROUND(CR224,3)</f>
        <v>88</v>
      </c>
      <c r="EG224" s="51" t="n">
        <f aca="false">ROUND(CS224,3)</f>
        <v>82.286</v>
      </c>
      <c r="EH224" s="51" t="n">
        <f aca="false">ROUND(EA224,3)</f>
        <v>83.714</v>
      </c>
      <c r="EI224" s="51" t="n">
        <f aca="false">ROUND(ED224,3)</f>
        <v>82.752</v>
      </c>
      <c r="EJ224" s="51" t="n">
        <f aca="false">ROUND(CV224,3)</f>
        <v>85.143</v>
      </c>
      <c r="EK224" s="0" t="n">
        <f aca="false">RANK(EI224,$EI$2:$EI$881,0)</f>
        <v>222</v>
      </c>
    </row>
    <row r="225" customFormat="false" ht="15" hidden="false" customHeight="false" outlineLevel="0" collapsed="false">
      <c r="A225" s="4" t="n">
        <v>8606</v>
      </c>
      <c r="B225" s="4" t="n">
        <v>452</v>
      </c>
      <c r="C225" s="27" t="s">
        <v>832</v>
      </c>
      <c r="D225" s="31" t="n">
        <v>457</v>
      </c>
      <c r="E225" s="32" t="n">
        <v>230321777</v>
      </c>
      <c r="F225" s="8" t="s">
        <v>833</v>
      </c>
      <c r="G225" s="22" t="s">
        <v>553</v>
      </c>
      <c r="H225" s="22" t="s">
        <v>129</v>
      </c>
      <c r="I225" s="33" t="n">
        <v>2005</v>
      </c>
      <c r="J225" s="32" t="n">
        <v>82</v>
      </c>
      <c r="K225" s="32" t="n">
        <v>73</v>
      </c>
      <c r="L225" s="34" t="n">
        <f aca="false">(K225*70)/100</f>
        <v>51.1</v>
      </c>
      <c r="M225" s="34" t="n">
        <f aca="false">ROUNDUP(L225,0)</f>
        <v>52</v>
      </c>
      <c r="N225" s="32" t="n">
        <v>28</v>
      </c>
      <c r="O225" s="34" t="n">
        <f aca="false">N225+L225</f>
        <v>79.1</v>
      </c>
      <c r="P225" s="34" t="n">
        <f aca="false">N225+M225</f>
        <v>80</v>
      </c>
      <c r="Q225" s="32" t="n">
        <v>67</v>
      </c>
      <c r="R225" s="32" t="n">
        <v>74</v>
      </c>
      <c r="S225" s="34" t="n">
        <f aca="false">(R225*70)/100</f>
        <v>51.8</v>
      </c>
      <c r="T225" s="34" t="n">
        <f aca="false">ROUNDUP(S225,0)</f>
        <v>52</v>
      </c>
      <c r="U225" s="32" t="n">
        <v>22</v>
      </c>
      <c r="V225" s="34" t="n">
        <f aca="false">U225+S225</f>
        <v>73.8</v>
      </c>
      <c r="W225" s="34" t="n">
        <f aca="false">U225+T225</f>
        <v>74</v>
      </c>
      <c r="X225" s="32" t="n">
        <v>70</v>
      </c>
      <c r="Y225" s="34" t="n">
        <f aca="false">(X225*70)/100</f>
        <v>49</v>
      </c>
      <c r="Z225" s="34" t="n">
        <f aca="false">ROUNDUP(Y225,0)</f>
        <v>49</v>
      </c>
      <c r="AA225" s="32" t="n">
        <v>25</v>
      </c>
      <c r="AB225" s="34" t="n">
        <f aca="false">AA225+Y225</f>
        <v>74</v>
      </c>
      <c r="AC225" s="34" t="n">
        <f aca="false">AA225+Z225</f>
        <v>74</v>
      </c>
      <c r="AD225" s="32" t="n">
        <f aca="false">X225+R225+Q225+K225+J225</f>
        <v>366</v>
      </c>
      <c r="AE225" s="16" t="n">
        <f aca="false">AD225/5</f>
        <v>73.2</v>
      </c>
      <c r="AF225" s="16" t="n">
        <v>74</v>
      </c>
      <c r="AG225" s="16" t="n">
        <v>92</v>
      </c>
      <c r="AH225" s="16" t="n">
        <v>94</v>
      </c>
      <c r="AI225" s="16" t="n">
        <v>88</v>
      </c>
      <c r="AJ225" s="16" t="n">
        <f aca="false">(AI225*70)/100</f>
        <v>61.6</v>
      </c>
      <c r="AK225" s="35" t="n">
        <f aca="false">ROUNDUP(AJ225,0)</f>
        <v>62</v>
      </c>
      <c r="AL225" s="16" t="n">
        <v>24</v>
      </c>
      <c r="AM225" s="16" t="n">
        <f aca="false">AL225+AJ225</f>
        <v>85.6</v>
      </c>
      <c r="AN225" s="16" t="n">
        <f aca="false">AL225+AK225</f>
        <v>86</v>
      </c>
      <c r="AO225" s="16" t="n">
        <v>73</v>
      </c>
      <c r="AP225" s="36" t="n">
        <f aca="false">(AO225*70)/100</f>
        <v>51.1</v>
      </c>
      <c r="AQ225" s="37" t="n">
        <f aca="false">ROUNDUP(AP225,0)</f>
        <v>52</v>
      </c>
      <c r="AR225" s="16" t="n">
        <v>28</v>
      </c>
      <c r="AS225" s="16" t="n">
        <f aca="false">AR225+AP225</f>
        <v>79.1</v>
      </c>
      <c r="AT225" s="16" t="n">
        <f aca="false">AR225+AQ225</f>
        <v>80</v>
      </c>
      <c r="AU225" s="16" t="n">
        <f aca="false">AO225+AF225+AI225+AH225+AG225</f>
        <v>421</v>
      </c>
      <c r="AV225" s="16" t="n">
        <f aca="false">(AO225+AF225+AI225+AH225+AG225)/5</f>
        <v>84.2</v>
      </c>
      <c r="AW225" s="36" t="n">
        <f aca="false">(AO225+AF225+AI225+AH225+AG225+X225+R225+Q225+K225+J225)</f>
        <v>787</v>
      </c>
      <c r="AX225" s="16" t="n">
        <f aca="false">AW225/10</f>
        <v>78.7</v>
      </c>
      <c r="AY225" s="16" t="n">
        <f aca="false">AS225+AF225+AM225+AH225+AG225+AB225+V225+Q225+O225+J225</f>
        <v>800.6</v>
      </c>
      <c r="AZ225" s="16" t="n">
        <f aca="false">AT225+AF225+AN225+AH225+AG225+AC225+W225+Q225+P225+J225</f>
        <v>803</v>
      </c>
      <c r="BA225" s="16" t="n">
        <f aca="false">AY225/10</f>
        <v>80.06</v>
      </c>
      <c r="BB225" s="16" t="n">
        <f aca="false">AZ225/10</f>
        <v>80.3</v>
      </c>
      <c r="BC225" s="16" t="n">
        <v>2375</v>
      </c>
      <c r="BD225" s="16" t="n">
        <f aca="false">RANK(AX225,$AX$2:$AX$881,0)</f>
        <v>358</v>
      </c>
      <c r="BE225" s="54" t="n">
        <f aca="false">((BC225*100)/2400)*0.4+(AX225*0.6)</f>
        <v>86.8033333333333</v>
      </c>
      <c r="BF225" s="16" t="n">
        <f aca="false">RANK(BE225,$BE$2:$BE$881,0)</f>
        <v>319</v>
      </c>
      <c r="BG225" s="39" t="n">
        <f aca="false">RANK(BB225,$BB$2:$BB$881,0)</f>
        <v>327</v>
      </c>
      <c r="BH225" s="39" t="n">
        <f aca="false">RANK(BC225,$BC$2:$BC$881,0)</f>
        <v>211</v>
      </c>
      <c r="BI225" s="22" t="s">
        <v>130</v>
      </c>
      <c r="BJ225" s="22" t="s">
        <v>129</v>
      </c>
      <c r="BK225" s="40" t="s">
        <v>131</v>
      </c>
      <c r="BL225" s="41" t="n">
        <v>22</v>
      </c>
      <c r="BM225" s="41" t="n">
        <v>56</v>
      </c>
      <c r="BN225" s="41" t="n">
        <v>78</v>
      </c>
      <c r="BO225" s="42" t="n">
        <v>23</v>
      </c>
      <c r="BP225" s="43" t="n">
        <v>62</v>
      </c>
      <c r="BQ225" s="44" t="n">
        <v>85</v>
      </c>
      <c r="BR225" s="42" t="n">
        <v>24</v>
      </c>
      <c r="BS225" s="45" t="n">
        <v>54</v>
      </c>
      <c r="BT225" s="45" t="n">
        <v>78</v>
      </c>
      <c r="BU225" s="46" t="n">
        <v>100</v>
      </c>
      <c r="BV225" s="47" t="n">
        <v>88</v>
      </c>
      <c r="BW225" s="42" t="n">
        <v>95</v>
      </c>
      <c r="BX225" s="48" t="n">
        <v>94</v>
      </c>
      <c r="BY225" s="25" t="n">
        <v>24</v>
      </c>
      <c r="BZ225" s="25" t="n">
        <v>53</v>
      </c>
      <c r="CA225" s="25" t="n">
        <v>77</v>
      </c>
      <c r="CB225" s="32" t="n">
        <v>20</v>
      </c>
      <c r="CC225" s="68" t="n">
        <v>0</v>
      </c>
      <c r="CD225" s="69" t="n">
        <v>20</v>
      </c>
      <c r="CE225" s="32" t="n">
        <v>24</v>
      </c>
      <c r="CF225" s="32" t="n">
        <v>57</v>
      </c>
      <c r="CG225" s="32" t="n">
        <v>81</v>
      </c>
      <c r="CH225" s="32" t="n">
        <v>95</v>
      </c>
      <c r="CI225" s="32" t="n">
        <v>99</v>
      </c>
      <c r="CJ225" s="49" t="n">
        <v>19</v>
      </c>
      <c r="CK225" s="49" t="n">
        <v>51</v>
      </c>
      <c r="CL225" s="49" t="n">
        <v>70</v>
      </c>
      <c r="CM225" s="49" t="n">
        <v>23</v>
      </c>
      <c r="CN225" s="49" t="n">
        <v>51</v>
      </c>
      <c r="CO225" s="49" t="n">
        <v>74</v>
      </c>
      <c r="CP225" s="25" t="n">
        <f aca="false">BX225+BW225+BV225+BU225+BT225+BQ225+BN225</f>
        <v>618</v>
      </c>
      <c r="CQ225" s="25" t="n">
        <f aca="false">CO225+CL225+CI225+CH225+CG225+CD225+CA225</f>
        <v>516</v>
      </c>
      <c r="CR225" s="26" t="n">
        <f aca="false">CP225/7</f>
        <v>88.2857142857143</v>
      </c>
      <c r="CS225" s="26" t="n">
        <f aca="false">CQ225/7</f>
        <v>73.7142857142857</v>
      </c>
      <c r="CT225" s="24" t="n">
        <f aca="false">RANK(CR225,$CR$2:$CR$881,0)</f>
        <v>287</v>
      </c>
      <c r="CU225" s="25" t="n">
        <f aca="false">RANK(CS225,$CS$2:$CS$881,0)</f>
        <v>465</v>
      </c>
      <c r="CV225" s="26" t="n">
        <f aca="false">(CS225+CR225)/2</f>
        <v>81</v>
      </c>
      <c r="CW225" s="25" t="n">
        <f aca="false">RANK(CV225,$CV$2:$CV$881,0)</f>
        <v>381</v>
      </c>
      <c r="CX225" s="50" t="n">
        <f aca="false">(CV225+BB225)/2</f>
        <v>80.65</v>
      </c>
      <c r="CY225" s="50" t="n">
        <v>342</v>
      </c>
      <c r="CZ225" s="27" t="s">
        <v>132</v>
      </c>
      <c r="DA225" s="27" t="s">
        <v>202</v>
      </c>
      <c r="DB225" s="27" t="s">
        <v>202</v>
      </c>
      <c r="DC225" s="27" t="s">
        <v>134</v>
      </c>
      <c r="DD225" s="27" t="s">
        <v>154</v>
      </c>
      <c r="DE225" s="27" t="s">
        <v>220</v>
      </c>
      <c r="DF225" s="27" t="s">
        <v>272</v>
      </c>
      <c r="DG225" s="27" t="s">
        <v>134</v>
      </c>
      <c r="DH225" s="27" t="s">
        <v>135</v>
      </c>
      <c r="DI225" s="27" t="s">
        <v>203</v>
      </c>
      <c r="DJ225" s="27" t="s">
        <v>178</v>
      </c>
      <c r="DK225" s="27" t="s">
        <v>134</v>
      </c>
      <c r="DL225" s="27" t="s">
        <v>164</v>
      </c>
      <c r="DM225" s="27" t="s">
        <v>204</v>
      </c>
      <c r="DN225" s="27" t="s">
        <v>202</v>
      </c>
      <c r="DO225" s="27" t="s">
        <v>134</v>
      </c>
      <c r="DP225" s="27" t="s">
        <v>137</v>
      </c>
      <c r="DQ225" s="27" t="s">
        <v>203</v>
      </c>
      <c r="DR225" s="27" t="s">
        <v>133</v>
      </c>
      <c r="DS225" s="27" t="s">
        <v>134</v>
      </c>
      <c r="DT225" s="27" t="s">
        <v>140</v>
      </c>
      <c r="DU225" s="27" t="s">
        <v>218</v>
      </c>
      <c r="DV225" s="27" t="s">
        <v>202</v>
      </c>
      <c r="DW225" s="27" t="s">
        <v>160</v>
      </c>
      <c r="DX225" s="27" t="s">
        <v>143</v>
      </c>
      <c r="DY225" s="27" t="s">
        <v>142</v>
      </c>
      <c r="DZ225" s="27" t="n">
        <f aca="false">DY225+DV225+DR225+DN225+DJ225+DF225+DB225</f>
        <v>608</v>
      </c>
      <c r="EA225" s="28" t="n">
        <f aca="false">DZ225/7</f>
        <v>86.8571428571429</v>
      </c>
      <c r="EB225" s="27" t="n">
        <f aca="false">RANK(EA225,$EA$2:$EA$881,0)</f>
        <v>131</v>
      </c>
      <c r="EC225" s="29" t="n">
        <f aca="false">DZ225+CQ225+CP225+AZ225</f>
        <v>2545</v>
      </c>
      <c r="ED225" s="30" t="n">
        <f aca="false">(EA225+CV225+BB225)/3</f>
        <v>82.7190476190476</v>
      </c>
      <c r="EE225" s="51" t="n">
        <f aca="false">ROUND(BE225,3)</f>
        <v>86.803</v>
      </c>
      <c r="EF225" s="51" t="n">
        <f aca="false">ROUND(CR225,3)</f>
        <v>88.286</v>
      </c>
      <c r="EG225" s="51" t="n">
        <f aca="false">ROUND(CS225,3)</f>
        <v>73.714</v>
      </c>
      <c r="EH225" s="51" t="n">
        <f aca="false">ROUND(EA225,3)</f>
        <v>86.857</v>
      </c>
      <c r="EI225" s="51" t="n">
        <f aca="false">ROUND(ED225,3)</f>
        <v>82.719</v>
      </c>
      <c r="EJ225" s="51" t="n">
        <f aca="false">ROUND(CV225,3)</f>
        <v>81</v>
      </c>
      <c r="EK225" s="0" t="n">
        <f aca="false">RANK(EI225,$EI$2:$EI$881,0)</f>
        <v>224</v>
      </c>
    </row>
    <row r="226" customFormat="false" ht="15" hidden="false" customHeight="false" outlineLevel="0" collapsed="false">
      <c r="A226" s="4" t="n">
        <v>8970</v>
      </c>
      <c r="B226" s="4" t="n">
        <v>711</v>
      </c>
      <c r="C226" s="27" t="s">
        <v>834</v>
      </c>
      <c r="D226" s="31" t="n">
        <v>726</v>
      </c>
      <c r="E226" s="16" t="n">
        <v>230231410</v>
      </c>
      <c r="F226" s="56" t="s">
        <v>835</v>
      </c>
      <c r="G226" s="22" t="s">
        <v>586</v>
      </c>
      <c r="H226" s="22" t="s">
        <v>326</v>
      </c>
      <c r="I226" s="57"/>
      <c r="J226" s="16" t="n">
        <v>76</v>
      </c>
      <c r="K226" s="16" t="n">
        <v>86</v>
      </c>
      <c r="L226" s="34" t="n">
        <f aca="false">(K226*70)/100</f>
        <v>60.2</v>
      </c>
      <c r="M226" s="34" t="n">
        <f aca="false">ROUNDUP(L226,0)</f>
        <v>61</v>
      </c>
      <c r="N226" s="16" t="n">
        <v>25</v>
      </c>
      <c r="O226" s="34" t="n">
        <f aca="false">N226+L226</f>
        <v>85.2</v>
      </c>
      <c r="P226" s="34" t="n">
        <f aca="false">N226+M226</f>
        <v>86</v>
      </c>
      <c r="Q226" s="16" t="n">
        <v>73</v>
      </c>
      <c r="R226" s="16" t="n">
        <v>81</v>
      </c>
      <c r="S226" s="34" t="n">
        <f aca="false">(R226*70)/100</f>
        <v>56.7</v>
      </c>
      <c r="T226" s="34" t="n">
        <f aca="false">ROUNDUP(S226,0)</f>
        <v>57</v>
      </c>
      <c r="U226" s="16" t="n">
        <v>26</v>
      </c>
      <c r="V226" s="34" t="n">
        <f aca="false">U226+S226</f>
        <v>82.7</v>
      </c>
      <c r="W226" s="34" t="n">
        <f aca="false">U226+T226</f>
        <v>83</v>
      </c>
      <c r="X226" s="16" t="n">
        <v>72</v>
      </c>
      <c r="Y226" s="34" t="n">
        <f aca="false">(X226*70)/100</f>
        <v>50.4</v>
      </c>
      <c r="Z226" s="34" t="n">
        <f aca="false">ROUNDUP(Y226,0)</f>
        <v>51</v>
      </c>
      <c r="AA226" s="16" t="n">
        <v>26</v>
      </c>
      <c r="AB226" s="34" t="n">
        <f aca="false">AA226+Y226</f>
        <v>76.4</v>
      </c>
      <c r="AC226" s="34" t="n">
        <f aca="false">AA226+Z226</f>
        <v>77</v>
      </c>
      <c r="AD226" s="32" t="n">
        <f aca="false">X226+R226+Q226+K226+J226</f>
        <v>388</v>
      </c>
      <c r="AE226" s="16" t="n">
        <f aca="false">AD226/5</f>
        <v>77.6</v>
      </c>
      <c r="AF226" s="16" t="n">
        <v>84</v>
      </c>
      <c r="AG226" s="16" t="n">
        <v>78</v>
      </c>
      <c r="AH226" s="16" t="n">
        <v>88</v>
      </c>
      <c r="AI226" s="16" t="n">
        <v>91</v>
      </c>
      <c r="AJ226" s="16" t="n">
        <f aca="false">(AI226*70)/100</f>
        <v>63.7</v>
      </c>
      <c r="AK226" s="35" t="n">
        <f aca="false">ROUNDUP(AJ226,0)</f>
        <v>64</v>
      </c>
      <c r="AL226" s="16" t="n">
        <v>30</v>
      </c>
      <c r="AM226" s="16" t="n">
        <f aca="false">AL226+AJ226</f>
        <v>93.7</v>
      </c>
      <c r="AN226" s="16" t="n">
        <f aca="false">AL226+AK226</f>
        <v>94</v>
      </c>
      <c r="AO226" s="16" t="n">
        <v>78</v>
      </c>
      <c r="AP226" s="36" t="n">
        <f aca="false">(AO226*70)/100</f>
        <v>54.6</v>
      </c>
      <c r="AQ226" s="37" t="n">
        <f aca="false">ROUNDUP(AP226,0)</f>
        <v>55</v>
      </c>
      <c r="AR226" s="16" t="n">
        <v>28</v>
      </c>
      <c r="AS226" s="16" t="n">
        <f aca="false">AR226+AP226</f>
        <v>82.6</v>
      </c>
      <c r="AT226" s="16" t="n">
        <f aca="false">AR226+AQ226</f>
        <v>83</v>
      </c>
      <c r="AU226" s="16" t="n">
        <f aca="false">AO226+AF226+AI226+AH226+AG226</f>
        <v>419</v>
      </c>
      <c r="AV226" s="16" t="n">
        <f aca="false">(AO226+AF226+AI226+AH226+AG226)/5</f>
        <v>83.8</v>
      </c>
      <c r="AW226" s="36" t="n">
        <f aca="false">(AO226+AF226+AI226+AH226+AG226+X226+R226+Q226+K226+J226)</f>
        <v>807</v>
      </c>
      <c r="AX226" s="16" t="n">
        <f aca="false">AW226/10</f>
        <v>80.7</v>
      </c>
      <c r="AY226" s="16" t="n">
        <f aca="false">AS226+AF226+AM226+AH226+AG226+AB226+V226+Q226+O226+J226</f>
        <v>819.6</v>
      </c>
      <c r="AZ226" s="16" t="n">
        <f aca="false">AT226+AF226+AN226+AH226+AG226+AC226+W226+Q226+P226+J226</f>
        <v>822</v>
      </c>
      <c r="BA226" s="16" t="n">
        <f aca="false">AY226/10</f>
        <v>81.96</v>
      </c>
      <c r="BB226" s="16" t="n">
        <f aca="false">AZ226/10</f>
        <v>82.2</v>
      </c>
      <c r="BC226" s="16" t="n">
        <v>2339</v>
      </c>
      <c r="BD226" s="16" t="n">
        <f aca="false">RANK(AX226,$AX$2:$AX$881,0)</f>
        <v>223</v>
      </c>
      <c r="BE226" s="54" t="n">
        <f aca="false">((BC226*100)/2400)*0.4+(AX226*0.6)</f>
        <v>87.4033333333333</v>
      </c>
      <c r="BF226" s="16" t="n">
        <f aca="false">RANK(BE226,$BE$2:$BE$881,0)</f>
        <v>261</v>
      </c>
      <c r="BG226" s="39" t="n">
        <f aca="false">RANK(BB226,$BB$2:$BB$881,0)</f>
        <v>202</v>
      </c>
      <c r="BH226" s="39" t="n">
        <f aca="false">RANK(BC226,$BC$2:$BC$881,0)</f>
        <v>640</v>
      </c>
      <c r="BI226" s="22" t="s">
        <v>130</v>
      </c>
      <c r="BJ226" s="22" t="s">
        <v>129</v>
      </c>
      <c r="BK226" s="40" t="s">
        <v>131</v>
      </c>
      <c r="BL226" s="41" t="n">
        <v>24</v>
      </c>
      <c r="BM226" s="41" t="n">
        <v>57</v>
      </c>
      <c r="BN226" s="41" t="n">
        <v>81</v>
      </c>
      <c r="BO226" s="42" t="n">
        <v>24</v>
      </c>
      <c r="BP226" s="43" t="n">
        <v>52</v>
      </c>
      <c r="BQ226" s="44" t="n">
        <v>76</v>
      </c>
      <c r="BR226" s="42" t="n">
        <v>26</v>
      </c>
      <c r="BS226" s="45" t="n">
        <v>66</v>
      </c>
      <c r="BT226" s="45" t="n">
        <v>92</v>
      </c>
      <c r="BU226" s="46" t="n">
        <v>99</v>
      </c>
      <c r="BV226" s="47" t="n">
        <v>80</v>
      </c>
      <c r="BW226" s="42" t="n">
        <v>100</v>
      </c>
      <c r="BX226" s="48" t="n">
        <v>90</v>
      </c>
      <c r="BY226" s="32" t="n">
        <v>24</v>
      </c>
      <c r="BZ226" s="32" t="n">
        <v>55</v>
      </c>
      <c r="CA226" s="32" t="n">
        <v>79</v>
      </c>
      <c r="CB226" s="32" t="n">
        <v>25</v>
      </c>
      <c r="CC226" s="32" t="n">
        <v>39</v>
      </c>
      <c r="CD226" s="32" t="n">
        <v>64</v>
      </c>
      <c r="CE226" s="32" t="n">
        <v>27</v>
      </c>
      <c r="CF226" s="32" t="n">
        <v>57</v>
      </c>
      <c r="CG226" s="32" t="n">
        <v>84</v>
      </c>
      <c r="CH226" s="32" t="n">
        <v>99</v>
      </c>
      <c r="CI226" s="32" t="n">
        <v>99</v>
      </c>
      <c r="CJ226" s="49" t="n">
        <v>23</v>
      </c>
      <c r="CK226" s="49" t="n">
        <v>54</v>
      </c>
      <c r="CL226" s="49" t="n">
        <v>77</v>
      </c>
      <c r="CM226" s="49" t="n">
        <v>16</v>
      </c>
      <c r="CN226" s="49" t="n">
        <v>58</v>
      </c>
      <c r="CO226" s="49" t="n">
        <v>74</v>
      </c>
      <c r="CP226" s="25" t="n">
        <f aca="false">BX226+BW226+BV226+BU226+BT226+BQ226+BN226</f>
        <v>618</v>
      </c>
      <c r="CQ226" s="25" t="n">
        <f aca="false">CO226+CL226+CI226+CH226+CG226+CD226+CA226</f>
        <v>576</v>
      </c>
      <c r="CR226" s="26" t="n">
        <f aca="false">CP226/7</f>
        <v>88.2857142857143</v>
      </c>
      <c r="CS226" s="26" t="n">
        <f aca="false">CQ226/7</f>
        <v>82.2857142857143</v>
      </c>
      <c r="CT226" s="24" t="n">
        <f aca="false">RANK(CR226,$CR$2:$CR$881,0)</f>
        <v>287</v>
      </c>
      <c r="CU226" s="25" t="n">
        <f aca="false">RANK(CS226,$CS$2:$CS$881,0)</f>
        <v>185</v>
      </c>
      <c r="CV226" s="26" t="n">
        <f aca="false">(CS226+CR226)/2</f>
        <v>85.2857142857143</v>
      </c>
      <c r="CW226" s="25" t="n">
        <f aca="false">RANK(CV226,$CV$2:$CV$881,0)</f>
        <v>198</v>
      </c>
      <c r="CX226" s="50" t="n">
        <f aca="false">(CV226+BB226)/2</f>
        <v>83.7428571428572</v>
      </c>
      <c r="CY226" s="50" t="n">
        <v>172</v>
      </c>
      <c r="CZ226" s="27" t="s">
        <v>132</v>
      </c>
      <c r="DA226" s="27" t="s">
        <v>169</v>
      </c>
      <c r="DB226" s="27" t="s">
        <v>169</v>
      </c>
      <c r="DC226" s="27" t="s">
        <v>134</v>
      </c>
      <c r="DD226" s="27" t="s">
        <v>154</v>
      </c>
      <c r="DE226" s="27" t="s">
        <v>447</v>
      </c>
      <c r="DF226" s="27" t="s">
        <v>443</v>
      </c>
      <c r="DG226" s="27" t="s">
        <v>134</v>
      </c>
      <c r="DH226" s="27" t="s">
        <v>174</v>
      </c>
      <c r="DI226" s="27" t="s">
        <v>161</v>
      </c>
      <c r="DJ226" s="27" t="s">
        <v>169</v>
      </c>
      <c r="DK226" s="27" t="s">
        <v>134</v>
      </c>
      <c r="DL226" s="27" t="s">
        <v>137</v>
      </c>
      <c r="DM226" s="27" t="s">
        <v>313</v>
      </c>
      <c r="DN226" s="27" t="s">
        <v>305</v>
      </c>
      <c r="DO226" s="27" t="s">
        <v>134</v>
      </c>
      <c r="DP226" s="27" t="s">
        <v>485</v>
      </c>
      <c r="DQ226" s="27" t="s">
        <v>306</v>
      </c>
      <c r="DR226" s="27" t="s">
        <v>398</v>
      </c>
      <c r="DS226" s="27" t="s">
        <v>134</v>
      </c>
      <c r="DT226" s="27" t="s">
        <v>137</v>
      </c>
      <c r="DU226" s="27" t="s">
        <v>447</v>
      </c>
      <c r="DV226" s="27" t="s">
        <v>272</v>
      </c>
      <c r="DW226" s="27" t="s">
        <v>135</v>
      </c>
      <c r="DX226" s="27" t="s">
        <v>143</v>
      </c>
      <c r="DY226" s="27" t="s">
        <v>151</v>
      </c>
      <c r="DZ226" s="27" t="n">
        <f aca="false">DY226+DV226+DR226+DN226+DJ226+DF226+DB226</f>
        <v>564</v>
      </c>
      <c r="EA226" s="28" t="n">
        <f aca="false">DZ226/7</f>
        <v>80.5714285714286</v>
      </c>
      <c r="EB226" s="27" t="n">
        <f aca="false">RANK(EA226,$EA$2:$EA$881,0)</f>
        <v>368</v>
      </c>
      <c r="EC226" s="29" t="n">
        <f aca="false">DZ226+CQ226+CP226+AZ226</f>
        <v>2580</v>
      </c>
      <c r="ED226" s="30" t="n">
        <f aca="false">(EA226+CV226+BB226)/3</f>
        <v>82.6857142857143</v>
      </c>
      <c r="EE226" s="51" t="n">
        <f aca="false">ROUND(BE226,3)</f>
        <v>87.403</v>
      </c>
      <c r="EF226" s="51" t="n">
        <f aca="false">ROUND(CR226,3)</f>
        <v>88.286</v>
      </c>
      <c r="EG226" s="51" t="n">
        <f aca="false">ROUND(CS226,3)</f>
        <v>82.286</v>
      </c>
      <c r="EH226" s="51" t="n">
        <f aca="false">ROUND(EA226,3)</f>
        <v>80.571</v>
      </c>
      <c r="EI226" s="51" t="n">
        <f aca="false">ROUND(ED226,3)</f>
        <v>82.686</v>
      </c>
      <c r="EJ226" s="51" t="n">
        <f aca="false">ROUND(CV226,3)</f>
        <v>85.286</v>
      </c>
      <c r="EK226" s="0" t="n">
        <f aca="false">RANK(EI226,$EI$2:$EI$881,0)</f>
        <v>225</v>
      </c>
    </row>
    <row r="227" customFormat="false" ht="15" hidden="false" customHeight="false" outlineLevel="0" collapsed="false">
      <c r="A227" s="4" t="n">
        <v>1807</v>
      </c>
      <c r="B227" s="4" t="n">
        <v>289</v>
      </c>
      <c r="C227" s="27" t="s">
        <v>836</v>
      </c>
      <c r="D227" s="31" t="n">
        <v>287</v>
      </c>
      <c r="E227" s="16" t="n">
        <v>230238699</v>
      </c>
      <c r="F227" s="56" t="s">
        <v>837</v>
      </c>
      <c r="G227" s="22" t="s">
        <v>422</v>
      </c>
      <c r="H227" s="22" t="s">
        <v>326</v>
      </c>
      <c r="I227" s="57"/>
      <c r="J227" s="16" t="n">
        <v>75</v>
      </c>
      <c r="K227" s="16" t="n">
        <v>74</v>
      </c>
      <c r="L227" s="34" t="n">
        <f aca="false">(K227*70)/100</f>
        <v>51.8</v>
      </c>
      <c r="M227" s="34" t="n">
        <f aca="false">ROUNDUP(L227,0)</f>
        <v>52</v>
      </c>
      <c r="N227" s="16" t="n">
        <v>27</v>
      </c>
      <c r="O227" s="34" t="n">
        <f aca="false">N227+L227</f>
        <v>78.8</v>
      </c>
      <c r="P227" s="34" t="n">
        <f aca="false">N227+M227</f>
        <v>79</v>
      </c>
      <c r="Q227" s="16" t="n">
        <v>79</v>
      </c>
      <c r="R227" s="16" t="n">
        <v>76</v>
      </c>
      <c r="S227" s="34" t="n">
        <f aca="false">(R227*70)/100</f>
        <v>53.2</v>
      </c>
      <c r="T227" s="34" t="n">
        <f aca="false">ROUNDUP(S227,0)</f>
        <v>54</v>
      </c>
      <c r="U227" s="16" t="n">
        <v>26</v>
      </c>
      <c r="V227" s="34" t="n">
        <f aca="false">U227+S227</f>
        <v>79.2</v>
      </c>
      <c r="W227" s="34" t="n">
        <f aca="false">U227+T227</f>
        <v>80</v>
      </c>
      <c r="X227" s="16" t="n">
        <v>72</v>
      </c>
      <c r="Y227" s="34" t="n">
        <f aca="false">(X227*70)/100</f>
        <v>50.4</v>
      </c>
      <c r="Z227" s="34" t="n">
        <f aca="false">ROUNDUP(Y227,0)</f>
        <v>51</v>
      </c>
      <c r="AA227" s="16" t="n">
        <v>28</v>
      </c>
      <c r="AB227" s="34" t="n">
        <f aca="false">AA227+Y227</f>
        <v>78.4</v>
      </c>
      <c r="AC227" s="34" t="n">
        <f aca="false">AA227+Z227</f>
        <v>79</v>
      </c>
      <c r="AD227" s="32" t="n">
        <f aca="false">X227+R227+Q227+K227+J227</f>
        <v>376</v>
      </c>
      <c r="AE227" s="16" t="n">
        <f aca="false">AD227/5</f>
        <v>75.2</v>
      </c>
      <c r="AF227" s="16" t="n">
        <v>75</v>
      </c>
      <c r="AG227" s="16" t="n">
        <v>94</v>
      </c>
      <c r="AH227" s="16" t="n">
        <v>77</v>
      </c>
      <c r="AI227" s="16" t="n">
        <v>83</v>
      </c>
      <c r="AJ227" s="16" t="n">
        <f aca="false">(AI227*70)/100</f>
        <v>58.1</v>
      </c>
      <c r="AK227" s="35" t="n">
        <f aca="false">ROUNDUP(AJ227,0)</f>
        <v>59</v>
      </c>
      <c r="AL227" s="16" t="n">
        <v>25</v>
      </c>
      <c r="AM227" s="16" t="n">
        <f aca="false">AL227+AJ227</f>
        <v>83.1</v>
      </c>
      <c r="AN227" s="16" t="n">
        <f aca="false">AL227+AK227</f>
        <v>84</v>
      </c>
      <c r="AO227" s="16" t="n">
        <v>67</v>
      </c>
      <c r="AP227" s="36" t="n">
        <f aca="false">(AO227*70)/100</f>
        <v>46.9</v>
      </c>
      <c r="AQ227" s="37" t="n">
        <f aca="false">ROUNDUP(AP227,0)</f>
        <v>47</v>
      </c>
      <c r="AR227" s="16" t="n">
        <v>27</v>
      </c>
      <c r="AS227" s="16" t="n">
        <f aca="false">AR227+AP227</f>
        <v>73.9</v>
      </c>
      <c r="AT227" s="16" t="n">
        <f aca="false">AR227+AQ227</f>
        <v>74</v>
      </c>
      <c r="AU227" s="16" t="n">
        <f aca="false">AO227+AF227+AI227+AH227+AG227</f>
        <v>396</v>
      </c>
      <c r="AV227" s="16" t="n">
        <f aca="false">(AO227+AF227+AI227+AH227+AG227)/5</f>
        <v>79.2</v>
      </c>
      <c r="AW227" s="36" t="n">
        <f aca="false">(AO227+AF227+AI227+AH227+AG227+X227+R227+Q227+K227+J227)</f>
        <v>772</v>
      </c>
      <c r="AX227" s="16" t="n">
        <f aca="false">AW227/10</f>
        <v>77.2</v>
      </c>
      <c r="AY227" s="16" t="n">
        <f aca="false">AS227+AF227+AM227+AH227+AG227+AB227+V227+Q227+O227+J227</f>
        <v>793.4</v>
      </c>
      <c r="AZ227" s="16" t="n">
        <f aca="false">AT227+AF227+AN227+AH227+AG227+AC227+W227+Q227+P227+J227</f>
        <v>796</v>
      </c>
      <c r="BA227" s="16" t="n">
        <f aca="false">AY227/10</f>
        <v>79.34</v>
      </c>
      <c r="BB227" s="16" t="n">
        <f aca="false">AZ227/10</f>
        <v>79.6</v>
      </c>
      <c r="BC227" s="16" t="n">
        <v>2383</v>
      </c>
      <c r="BD227" s="16" t="n">
        <f aca="false">RANK(AX227,$AX$2:$AX$881,0)</f>
        <v>482</v>
      </c>
      <c r="BE227" s="54" t="n">
        <f aca="false">((BC227*100)/2400)*0.4+(AX227*0.6)</f>
        <v>86.0366666666667</v>
      </c>
      <c r="BF227" s="16" t="n">
        <f aca="false">RANK(BE227,$BE$2:$BE$881,0)</f>
        <v>430</v>
      </c>
      <c r="BG227" s="39" t="n">
        <f aca="false">RANK(BB227,$BB$2:$BB$881,0)</f>
        <v>392</v>
      </c>
      <c r="BH227" s="39" t="n">
        <f aca="false">RANK(BC227,$BC$2:$BC$881,0)</f>
        <v>114</v>
      </c>
      <c r="BI227" s="22" t="s">
        <v>130</v>
      </c>
      <c r="BJ227" s="22" t="s">
        <v>129</v>
      </c>
      <c r="BK227" s="40" t="s">
        <v>509</v>
      </c>
      <c r="BL227" s="41" t="n">
        <v>28</v>
      </c>
      <c r="BM227" s="41" t="n">
        <v>61</v>
      </c>
      <c r="BN227" s="41" t="n">
        <v>89</v>
      </c>
      <c r="BO227" s="42" t="n">
        <v>29</v>
      </c>
      <c r="BP227" s="43" t="n">
        <v>44</v>
      </c>
      <c r="BQ227" s="44" t="n">
        <v>73</v>
      </c>
      <c r="BR227" s="42" t="n">
        <v>26</v>
      </c>
      <c r="BS227" s="45" t="n">
        <v>54</v>
      </c>
      <c r="BT227" s="45" t="n">
        <v>80</v>
      </c>
      <c r="BU227" s="77" t="n">
        <v>100</v>
      </c>
      <c r="BV227" s="47" t="n">
        <v>94</v>
      </c>
      <c r="BW227" s="43" t="n">
        <v>99</v>
      </c>
      <c r="BX227" s="48" t="n">
        <v>92</v>
      </c>
      <c r="BY227" s="32" t="n">
        <v>21</v>
      </c>
      <c r="BZ227" s="32" t="n">
        <v>41</v>
      </c>
      <c r="CA227" s="32" t="n">
        <v>62</v>
      </c>
      <c r="CB227" s="32" t="n">
        <v>20</v>
      </c>
      <c r="CC227" s="32" t="n">
        <v>33</v>
      </c>
      <c r="CD227" s="69" t="n">
        <v>53</v>
      </c>
      <c r="CE227" s="32" t="n">
        <v>28</v>
      </c>
      <c r="CF227" s="32" t="n">
        <v>54</v>
      </c>
      <c r="CG227" s="32" t="n">
        <v>82</v>
      </c>
      <c r="CH227" s="32" t="n">
        <v>96</v>
      </c>
      <c r="CI227" s="32" t="n">
        <v>99</v>
      </c>
      <c r="CJ227" s="49" t="n">
        <v>21</v>
      </c>
      <c r="CK227" s="49" t="n">
        <v>51</v>
      </c>
      <c r="CL227" s="49" t="n">
        <v>72</v>
      </c>
      <c r="CM227" s="49" t="n">
        <v>23</v>
      </c>
      <c r="CN227" s="49" t="n">
        <v>49</v>
      </c>
      <c r="CO227" s="49" t="n">
        <v>72</v>
      </c>
      <c r="CP227" s="25" t="n">
        <f aca="false">BX227+BW227+BV227+BU227+BT227+BQ227+BN227</f>
        <v>627</v>
      </c>
      <c r="CQ227" s="25" t="n">
        <f aca="false">CO227+CL227+CI227+CH227+CG227+CD227+CA227</f>
        <v>536</v>
      </c>
      <c r="CR227" s="26" t="n">
        <f aca="false">CP227/7</f>
        <v>89.5714285714286</v>
      </c>
      <c r="CS227" s="26" t="n">
        <f aca="false">CQ227/7</f>
        <v>76.5714285714286</v>
      </c>
      <c r="CT227" s="24" t="n">
        <f aca="false">RANK(CR227,$CR$2:$CR$881,0)</f>
        <v>209</v>
      </c>
      <c r="CU227" s="25" t="n">
        <f aca="false">RANK(CS227,$CS$2:$CS$881,0)</f>
        <v>382</v>
      </c>
      <c r="CV227" s="26" t="n">
        <f aca="false">(CS227+CR227)/2</f>
        <v>83.0714285714286</v>
      </c>
      <c r="CW227" s="25" t="n">
        <f aca="false">RANK(CV227,$CV$2:$CV$881,0)</f>
        <v>293</v>
      </c>
      <c r="CX227" s="50" t="n">
        <f aca="false">(CV227+BB227)/2</f>
        <v>81.3357142857143</v>
      </c>
      <c r="CY227" s="50" t="n">
        <v>302</v>
      </c>
      <c r="CZ227" s="27" t="s">
        <v>132</v>
      </c>
      <c r="DA227" s="27" t="s">
        <v>133</v>
      </c>
      <c r="DB227" s="27" t="s">
        <v>133</v>
      </c>
      <c r="DC227" s="27" t="s">
        <v>134</v>
      </c>
      <c r="DD227" s="27" t="s">
        <v>182</v>
      </c>
      <c r="DE227" s="27" t="s">
        <v>163</v>
      </c>
      <c r="DF227" s="27" t="s">
        <v>162</v>
      </c>
      <c r="DG227" s="27" t="s">
        <v>134</v>
      </c>
      <c r="DH227" s="27" t="s">
        <v>164</v>
      </c>
      <c r="DI227" s="27" t="s">
        <v>136</v>
      </c>
      <c r="DJ227" s="27" t="s">
        <v>153</v>
      </c>
      <c r="DK227" s="27" t="s">
        <v>134</v>
      </c>
      <c r="DL227" s="27" t="s">
        <v>135</v>
      </c>
      <c r="DM227" s="27" t="s">
        <v>415</v>
      </c>
      <c r="DN227" s="27" t="s">
        <v>398</v>
      </c>
      <c r="DO227" s="27" t="s">
        <v>134</v>
      </c>
      <c r="DP227" s="27" t="s">
        <v>154</v>
      </c>
      <c r="DQ227" s="27" t="s">
        <v>313</v>
      </c>
      <c r="DR227" s="27" t="s">
        <v>441</v>
      </c>
      <c r="DS227" s="27" t="s">
        <v>134</v>
      </c>
      <c r="DT227" s="27" t="s">
        <v>140</v>
      </c>
      <c r="DU227" s="27" t="s">
        <v>306</v>
      </c>
      <c r="DV227" s="27" t="s">
        <v>209</v>
      </c>
      <c r="DW227" s="27" t="s">
        <v>140</v>
      </c>
      <c r="DX227" s="27" t="s">
        <v>155</v>
      </c>
      <c r="DY227" s="27" t="s">
        <v>147</v>
      </c>
      <c r="DZ227" s="27" t="n">
        <f aca="false">DY227+DV227+DR227+DN227+DJ227+DF227+DB227</f>
        <v>597</v>
      </c>
      <c r="EA227" s="28" t="n">
        <f aca="false">DZ227/7</f>
        <v>85.2857142857143</v>
      </c>
      <c r="EB227" s="27" t="n">
        <f aca="false">RANK(EA227,$EA$2:$EA$881,0)</f>
        <v>176</v>
      </c>
      <c r="EC227" s="29" t="n">
        <f aca="false">DZ227+CQ227+CP227+AZ227</f>
        <v>2556</v>
      </c>
      <c r="ED227" s="30" t="n">
        <f aca="false">(EA227+CV227+BB227)/3</f>
        <v>82.652380952381</v>
      </c>
      <c r="EE227" s="51" t="n">
        <f aca="false">ROUND(BE227,3)</f>
        <v>86.037</v>
      </c>
      <c r="EF227" s="51" t="n">
        <f aca="false">ROUND(CR227,3)</f>
        <v>89.571</v>
      </c>
      <c r="EG227" s="51" t="n">
        <f aca="false">ROUND(CS227,3)</f>
        <v>76.571</v>
      </c>
      <c r="EH227" s="51" t="n">
        <f aca="false">ROUND(EA227,3)</f>
        <v>85.286</v>
      </c>
      <c r="EI227" s="51" t="n">
        <f aca="false">ROUND(ED227,3)</f>
        <v>82.652</v>
      </c>
      <c r="EJ227" s="51" t="n">
        <f aca="false">ROUND(CV227,3)</f>
        <v>83.071</v>
      </c>
      <c r="EK227" s="0" t="n">
        <f aca="false">RANK(EI227,$EI$2:$EI$881,0)</f>
        <v>226</v>
      </c>
    </row>
    <row r="228" customFormat="false" ht="15" hidden="false" customHeight="false" outlineLevel="0" collapsed="false">
      <c r="A228" s="4" t="n">
        <v>8921</v>
      </c>
      <c r="B228" s="4" t="n">
        <v>628</v>
      </c>
      <c r="C228" s="27" t="s">
        <v>838</v>
      </c>
      <c r="D228" s="31" t="n">
        <v>636</v>
      </c>
      <c r="E228" s="32" t="n">
        <v>230320374</v>
      </c>
      <c r="F228" s="8" t="s">
        <v>839</v>
      </c>
      <c r="G228" s="22" t="s">
        <v>840</v>
      </c>
      <c r="H228" s="22" t="s">
        <v>129</v>
      </c>
      <c r="I228" s="33" t="n">
        <v>2005</v>
      </c>
      <c r="J228" s="32" t="n">
        <v>76</v>
      </c>
      <c r="K228" s="32" t="n">
        <v>83</v>
      </c>
      <c r="L228" s="34" t="n">
        <f aca="false">(K228*70)/100</f>
        <v>58.1</v>
      </c>
      <c r="M228" s="34" t="n">
        <f aca="false">ROUNDUP(L228,0)</f>
        <v>59</v>
      </c>
      <c r="N228" s="32" t="n">
        <v>27</v>
      </c>
      <c r="O228" s="34" t="n">
        <f aca="false">N228+L228</f>
        <v>85.1</v>
      </c>
      <c r="P228" s="34" t="n">
        <f aca="false">N228+M228</f>
        <v>86</v>
      </c>
      <c r="Q228" s="32" t="n">
        <v>84</v>
      </c>
      <c r="R228" s="32" t="n">
        <v>83</v>
      </c>
      <c r="S228" s="34" t="n">
        <f aca="false">(R228*70)/100</f>
        <v>58.1</v>
      </c>
      <c r="T228" s="34" t="n">
        <f aca="false">ROUNDUP(S228,0)</f>
        <v>59</v>
      </c>
      <c r="U228" s="32" t="n">
        <v>23</v>
      </c>
      <c r="V228" s="34" t="n">
        <f aca="false">U228+S228</f>
        <v>81.1</v>
      </c>
      <c r="W228" s="34" t="n">
        <f aca="false">U228+T228</f>
        <v>82</v>
      </c>
      <c r="X228" s="32" t="n">
        <v>73</v>
      </c>
      <c r="Y228" s="34" t="n">
        <f aca="false">(X228*70)/100</f>
        <v>51.1</v>
      </c>
      <c r="Z228" s="34" t="n">
        <f aca="false">ROUNDUP(Y228,0)</f>
        <v>52</v>
      </c>
      <c r="AA228" s="32" t="n">
        <v>25</v>
      </c>
      <c r="AB228" s="34" t="n">
        <f aca="false">AA228+Y228</f>
        <v>76.1</v>
      </c>
      <c r="AC228" s="34" t="n">
        <f aca="false">AA228+Z228</f>
        <v>77</v>
      </c>
      <c r="AD228" s="32" t="n">
        <f aca="false">X228+R228+Q228+K228+J228</f>
        <v>399</v>
      </c>
      <c r="AE228" s="16" t="n">
        <f aca="false">AD228/5</f>
        <v>79.8</v>
      </c>
      <c r="AF228" s="16" t="n">
        <v>69</v>
      </c>
      <c r="AG228" s="16" t="n">
        <v>82</v>
      </c>
      <c r="AH228" s="16" t="n">
        <v>87</v>
      </c>
      <c r="AI228" s="16" t="n">
        <v>95</v>
      </c>
      <c r="AJ228" s="16" t="n">
        <f aca="false">(AI228*70)/100</f>
        <v>66.5</v>
      </c>
      <c r="AK228" s="35" t="n">
        <f aca="false">ROUNDUP(AJ228,0)</f>
        <v>67</v>
      </c>
      <c r="AL228" s="16" t="n">
        <v>24</v>
      </c>
      <c r="AM228" s="16" t="n">
        <f aca="false">AL228+AJ228</f>
        <v>90.5</v>
      </c>
      <c r="AN228" s="16" t="n">
        <f aca="false">AL228+AK228</f>
        <v>91</v>
      </c>
      <c r="AO228" s="16" t="n">
        <v>86</v>
      </c>
      <c r="AP228" s="36" t="n">
        <f aca="false">(AO228*70)/100</f>
        <v>60.2</v>
      </c>
      <c r="AQ228" s="37" t="n">
        <f aca="false">ROUNDUP(AP228,0)</f>
        <v>61</v>
      </c>
      <c r="AR228" s="16" t="n">
        <v>28</v>
      </c>
      <c r="AS228" s="16" t="n">
        <f aca="false">AR228+AP228</f>
        <v>88.2</v>
      </c>
      <c r="AT228" s="16" t="n">
        <f aca="false">AR228+AQ228</f>
        <v>89</v>
      </c>
      <c r="AU228" s="16" t="n">
        <f aca="false">AO228+AF228+AI228+AH228+AG228</f>
        <v>419</v>
      </c>
      <c r="AV228" s="16" t="n">
        <f aca="false">(AO228+AF228+AI228+AH228+AG228)/5</f>
        <v>83.8</v>
      </c>
      <c r="AW228" s="36" t="n">
        <f aca="false">(AO228+AF228+AI228+AH228+AG228+X228+R228+Q228+K228+J228)</f>
        <v>818</v>
      </c>
      <c r="AX228" s="16" t="n">
        <f aca="false">AW228/10</f>
        <v>81.8</v>
      </c>
      <c r="AY228" s="16" t="n">
        <f aca="false">AS228+AF228+AM228+AH228+AG228+AB228+V228+Q228+O228+J228</f>
        <v>819</v>
      </c>
      <c r="AZ228" s="16" t="n">
        <f aca="false">AT228+AF228+AN228+AH228+AG228+AC228+W228+Q228+P228+J228</f>
        <v>823</v>
      </c>
      <c r="BA228" s="16" t="n">
        <f aca="false">AY228/10</f>
        <v>81.9</v>
      </c>
      <c r="BB228" s="16" t="n">
        <f aca="false">AZ228/10</f>
        <v>82.3</v>
      </c>
      <c r="BC228" s="16" t="n">
        <v>2357</v>
      </c>
      <c r="BD228" s="16" t="n">
        <f aca="false">RANK(AX228,$AX$2:$AX$881,0)</f>
        <v>171</v>
      </c>
      <c r="BE228" s="54" t="n">
        <f aca="false">((BC228*100)/2400)*0.4+(AX228*0.6)</f>
        <v>88.3633333333333</v>
      </c>
      <c r="BF228" s="16" t="n">
        <f aca="false">RANK(BE228,$BE$2:$BE$881,0)</f>
        <v>177</v>
      </c>
      <c r="BG228" s="39" t="n">
        <f aca="false">RANK(BB228,$BB$2:$BB$881,0)</f>
        <v>193</v>
      </c>
      <c r="BH228" s="39" t="n">
        <f aca="false">RANK(BC228,$BC$2:$BC$881,0)</f>
        <v>444</v>
      </c>
      <c r="BI228" s="22" t="s">
        <v>130</v>
      </c>
      <c r="BJ228" s="22" t="s">
        <v>129</v>
      </c>
      <c r="BK228" s="40" t="s">
        <v>131</v>
      </c>
      <c r="BL228" s="41" t="n">
        <v>20</v>
      </c>
      <c r="BM228" s="41" t="n">
        <v>47</v>
      </c>
      <c r="BN228" s="41" t="n">
        <v>67</v>
      </c>
      <c r="BO228" s="42" t="n">
        <v>25</v>
      </c>
      <c r="BP228" s="43" t="n">
        <v>67</v>
      </c>
      <c r="BQ228" s="44" t="n">
        <v>92</v>
      </c>
      <c r="BR228" s="42" t="n">
        <v>25</v>
      </c>
      <c r="BS228" s="45" t="n">
        <v>59</v>
      </c>
      <c r="BT228" s="45" t="n">
        <v>84</v>
      </c>
      <c r="BU228" s="46" t="n">
        <v>100</v>
      </c>
      <c r="BV228" s="47" t="n">
        <v>94</v>
      </c>
      <c r="BW228" s="42" t="n">
        <v>98</v>
      </c>
      <c r="BX228" s="48" t="n">
        <v>94</v>
      </c>
      <c r="BY228" s="32" t="n">
        <v>26</v>
      </c>
      <c r="BZ228" s="32" t="n">
        <v>44</v>
      </c>
      <c r="CA228" s="32" t="n">
        <v>70</v>
      </c>
      <c r="CB228" s="32" t="n">
        <v>27</v>
      </c>
      <c r="CC228" s="32" t="n">
        <v>41</v>
      </c>
      <c r="CD228" s="32" t="n">
        <v>68</v>
      </c>
      <c r="CE228" s="32" t="n">
        <v>26</v>
      </c>
      <c r="CF228" s="32" t="n">
        <v>49</v>
      </c>
      <c r="CG228" s="32" t="n">
        <v>75</v>
      </c>
      <c r="CH228" s="32" t="n">
        <v>98</v>
      </c>
      <c r="CI228" s="32" t="n">
        <v>98</v>
      </c>
      <c r="CJ228" s="49" t="n">
        <v>27</v>
      </c>
      <c r="CK228" s="49" t="n">
        <v>42</v>
      </c>
      <c r="CL228" s="49" t="n">
        <v>69</v>
      </c>
      <c r="CM228" s="49" t="n">
        <v>24</v>
      </c>
      <c r="CN228" s="49" t="n">
        <v>53</v>
      </c>
      <c r="CO228" s="49" t="n">
        <v>77</v>
      </c>
      <c r="CP228" s="25" t="n">
        <f aca="false">BX228+BW228+BV228+BU228+BT228+BQ228+BN228</f>
        <v>629</v>
      </c>
      <c r="CQ228" s="25" t="n">
        <f aca="false">CO228+CL228+CI228+CH228+CG228+CD228+CA228</f>
        <v>555</v>
      </c>
      <c r="CR228" s="26" t="n">
        <f aca="false">CP228/7</f>
        <v>89.8571428571429</v>
      </c>
      <c r="CS228" s="26" t="n">
        <f aca="false">CQ228/7</f>
        <v>79.2857142857143</v>
      </c>
      <c r="CT228" s="24" t="n">
        <f aca="false">RANK(CR228,$CR$2:$CR$881,0)</f>
        <v>193</v>
      </c>
      <c r="CU228" s="25" t="n">
        <f aca="false">RANK(CS228,$CS$2:$CS$881,0)</f>
        <v>292</v>
      </c>
      <c r="CV228" s="26" t="n">
        <f aca="false">(CS228+CR228)/2</f>
        <v>84.5714285714286</v>
      </c>
      <c r="CW228" s="25" t="n">
        <f aca="false">RANK(CV228,$CV$2:$CV$881,0)</f>
        <v>236</v>
      </c>
      <c r="CX228" s="50" t="n">
        <f aca="false">(CV228+BB228)/2</f>
        <v>83.4357142857143</v>
      </c>
      <c r="CY228" s="50" t="n">
        <v>197</v>
      </c>
      <c r="CZ228" s="27" t="s">
        <v>132</v>
      </c>
      <c r="DA228" s="27" t="s">
        <v>202</v>
      </c>
      <c r="DB228" s="27" t="s">
        <v>202</v>
      </c>
      <c r="DC228" s="27" t="s">
        <v>134</v>
      </c>
      <c r="DD228" s="27" t="s">
        <v>182</v>
      </c>
      <c r="DE228" s="27" t="s">
        <v>218</v>
      </c>
      <c r="DF228" s="27" t="s">
        <v>196</v>
      </c>
      <c r="DG228" s="27" t="s">
        <v>134</v>
      </c>
      <c r="DH228" s="27" t="s">
        <v>135</v>
      </c>
      <c r="DI228" s="27" t="s">
        <v>399</v>
      </c>
      <c r="DJ228" s="27" t="s">
        <v>486</v>
      </c>
      <c r="DK228" s="27" t="s">
        <v>134</v>
      </c>
      <c r="DL228" s="27" t="s">
        <v>137</v>
      </c>
      <c r="DM228" s="27" t="s">
        <v>183</v>
      </c>
      <c r="DN228" s="27" t="s">
        <v>209</v>
      </c>
      <c r="DO228" s="27" t="s">
        <v>134</v>
      </c>
      <c r="DP228" s="27" t="s">
        <v>264</v>
      </c>
      <c r="DQ228" s="27" t="s">
        <v>313</v>
      </c>
      <c r="DR228" s="27" t="s">
        <v>416</v>
      </c>
      <c r="DS228" s="27" t="s">
        <v>134</v>
      </c>
      <c r="DT228" s="27" t="s">
        <v>140</v>
      </c>
      <c r="DU228" s="27" t="s">
        <v>412</v>
      </c>
      <c r="DV228" s="27" t="s">
        <v>219</v>
      </c>
      <c r="DW228" s="27" t="s">
        <v>154</v>
      </c>
      <c r="DX228" s="27" t="s">
        <v>138</v>
      </c>
      <c r="DY228" s="27" t="s">
        <v>176</v>
      </c>
      <c r="DZ228" s="27" t="n">
        <f aca="false">DY228+DV228+DR228+DN228+DJ228+DF228+DB228</f>
        <v>567</v>
      </c>
      <c r="EA228" s="28" t="n">
        <f aca="false">DZ228/7</f>
        <v>81</v>
      </c>
      <c r="EB228" s="27" t="n">
        <f aca="false">RANK(EA228,$EA$2:$EA$881,0)</f>
        <v>350</v>
      </c>
      <c r="EC228" s="29" t="n">
        <f aca="false">DZ228+CQ228+CP228+AZ228</f>
        <v>2574</v>
      </c>
      <c r="ED228" s="30" t="n">
        <f aca="false">(EA228+CV228+BB228)/3</f>
        <v>82.6238095238095</v>
      </c>
      <c r="EE228" s="51" t="n">
        <f aca="false">ROUND(BE228,3)</f>
        <v>88.363</v>
      </c>
      <c r="EF228" s="51" t="n">
        <f aca="false">ROUND(CR228,3)</f>
        <v>89.857</v>
      </c>
      <c r="EG228" s="51" t="n">
        <f aca="false">ROUND(CS228,3)</f>
        <v>79.286</v>
      </c>
      <c r="EH228" s="51" t="n">
        <f aca="false">ROUND(EA228,3)</f>
        <v>81</v>
      </c>
      <c r="EI228" s="51" t="n">
        <f aca="false">ROUND(ED228,3)</f>
        <v>82.624</v>
      </c>
      <c r="EJ228" s="51" t="n">
        <f aca="false">ROUND(CV228,3)</f>
        <v>84.571</v>
      </c>
      <c r="EK228" s="0" t="n">
        <f aca="false">RANK(EI228,$EI$2:$EI$881,0)</f>
        <v>227</v>
      </c>
    </row>
    <row r="229" customFormat="false" ht="15" hidden="false" customHeight="false" outlineLevel="0" collapsed="false">
      <c r="A229" s="4" t="n">
        <v>1894</v>
      </c>
      <c r="B229" s="4" t="n">
        <v>74</v>
      </c>
      <c r="C229" s="27" t="s">
        <v>841</v>
      </c>
      <c r="D229" s="52" t="n">
        <v>76</v>
      </c>
      <c r="E229" s="32" t="n">
        <v>230319727</v>
      </c>
      <c r="F229" s="8" t="s">
        <v>842</v>
      </c>
      <c r="G229" s="22" t="s">
        <v>843</v>
      </c>
      <c r="H229" s="22" t="s">
        <v>129</v>
      </c>
      <c r="I229" s="33" t="n">
        <v>2005</v>
      </c>
      <c r="J229" s="32" t="n">
        <v>80</v>
      </c>
      <c r="K229" s="32" t="n">
        <v>68</v>
      </c>
      <c r="L229" s="34" t="n">
        <f aca="false">(K229*70)/100</f>
        <v>47.6</v>
      </c>
      <c r="M229" s="34" t="n">
        <f aca="false">ROUNDUP(L229,0)</f>
        <v>48</v>
      </c>
      <c r="N229" s="32" t="n">
        <v>25</v>
      </c>
      <c r="O229" s="34" t="n">
        <f aca="false">N229+L229</f>
        <v>72.6</v>
      </c>
      <c r="P229" s="34" t="n">
        <f aca="false">N229+M229</f>
        <v>73</v>
      </c>
      <c r="Q229" s="32" t="n">
        <v>69</v>
      </c>
      <c r="R229" s="32" t="n">
        <v>76</v>
      </c>
      <c r="S229" s="34" t="n">
        <f aca="false">(R229*70)/100</f>
        <v>53.2</v>
      </c>
      <c r="T229" s="34" t="n">
        <f aca="false">ROUNDUP(S229,0)</f>
        <v>54</v>
      </c>
      <c r="U229" s="32" t="n">
        <v>26</v>
      </c>
      <c r="V229" s="34" t="n">
        <f aca="false">U229+S229</f>
        <v>79.2</v>
      </c>
      <c r="W229" s="34" t="n">
        <f aca="false">U229+T229</f>
        <v>80</v>
      </c>
      <c r="X229" s="32" t="n">
        <v>75</v>
      </c>
      <c r="Y229" s="34" t="n">
        <f aca="false">(X229*70)/100</f>
        <v>52.5</v>
      </c>
      <c r="Z229" s="34" t="n">
        <f aca="false">ROUNDUP(Y229,0)</f>
        <v>53</v>
      </c>
      <c r="AA229" s="32" t="n">
        <v>26</v>
      </c>
      <c r="AB229" s="34" t="n">
        <f aca="false">AA229+Y229</f>
        <v>78.5</v>
      </c>
      <c r="AC229" s="34" t="n">
        <f aca="false">AA229+Z229</f>
        <v>79</v>
      </c>
      <c r="AD229" s="32" t="n">
        <f aca="false">X229+R229+Q229+K229+J229</f>
        <v>368</v>
      </c>
      <c r="AE229" s="16" t="n">
        <f aca="false">AD229/5</f>
        <v>73.6</v>
      </c>
      <c r="AF229" s="16" t="n">
        <v>61</v>
      </c>
      <c r="AG229" s="16" t="n">
        <v>86</v>
      </c>
      <c r="AH229" s="16" t="n">
        <v>97</v>
      </c>
      <c r="AI229" s="16" t="n">
        <v>73</v>
      </c>
      <c r="AJ229" s="16" t="n">
        <f aca="false">(AI229*70)/100</f>
        <v>51.1</v>
      </c>
      <c r="AK229" s="35" t="n">
        <f aca="false">ROUNDUP(AJ229,0)</f>
        <v>52</v>
      </c>
      <c r="AL229" s="16" t="n">
        <v>26</v>
      </c>
      <c r="AM229" s="16" t="n">
        <f aca="false">AL229+AJ229</f>
        <v>77.1</v>
      </c>
      <c r="AN229" s="16" t="n">
        <f aca="false">AL229+AK229</f>
        <v>78</v>
      </c>
      <c r="AO229" s="16" t="n">
        <v>64</v>
      </c>
      <c r="AP229" s="36" t="n">
        <f aca="false">(AO229*70)/100</f>
        <v>44.8</v>
      </c>
      <c r="AQ229" s="37" t="n">
        <f aca="false">ROUNDUP(AP229,0)</f>
        <v>45</v>
      </c>
      <c r="AR229" s="16" t="n">
        <v>30</v>
      </c>
      <c r="AS229" s="16" t="n">
        <f aca="false">AR229+AP229</f>
        <v>74.8</v>
      </c>
      <c r="AT229" s="16" t="n">
        <f aca="false">AR229+AQ229</f>
        <v>75</v>
      </c>
      <c r="AU229" s="16" t="n">
        <f aca="false">AO229+AF229+AI229+AH229+AG229</f>
        <v>381</v>
      </c>
      <c r="AV229" s="16" t="n">
        <f aca="false">(AO229+AF229+AI229+AH229+AG229)/5</f>
        <v>76.2</v>
      </c>
      <c r="AW229" s="36" t="n">
        <f aca="false">(AO229+AF229+AI229+AH229+AG229+X229+R229+Q229+K229+J229)</f>
        <v>749</v>
      </c>
      <c r="AX229" s="16" t="n">
        <f aca="false">AW229/10</f>
        <v>74.9</v>
      </c>
      <c r="AY229" s="16" t="n">
        <f aca="false">AS229+AF229+AM229+AH229+AG229+AB229+V229+Q229+O229+J229</f>
        <v>775.2</v>
      </c>
      <c r="AZ229" s="16" t="n">
        <f aca="false">AT229+AF229+AN229+AH229+AG229+AC229+W229+Q229+P229+J229</f>
        <v>778</v>
      </c>
      <c r="BA229" s="16" t="n">
        <f aca="false">AY229/10</f>
        <v>77.52</v>
      </c>
      <c r="BB229" s="16" t="n">
        <f aca="false">AZ229/10</f>
        <v>77.8</v>
      </c>
      <c r="BC229" s="16" t="n">
        <v>2391</v>
      </c>
      <c r="BD229" s="16" t="n">
        <f aca="false">RANK(AX229,$AX$2:$AX$881,0)</f>
        <v>688</v>
      </c>
      <c r="BE229" s="73" t="n">
        <f aca="false">((BC229*100)/2400)*0.4+(AX229*0.6)</f>
        <v>84.79</v>
      </c>
      <c r="BF229" s="16" t="n">
        <f aca="false">RANK(BE229,$BE$2:$BE$881,0)</f>
        <v>662</v>
      </c>
      <c r="BG229" s="39" t="n">
        <f aca="false">RANK(BB229,$BB$2:$BB$881,0)</f>
        <v>577</v>
      </c>
      <c r="BH229" s="39" t="n">
        <f aca="false">RANK(BC229,$BC$2:$BC$881,0)</f>
        <v>37</v>
      </c>
      <c r="BI229" s="22" t="s">
        <v>130</v>
      </c>
      <c r="BJ229" s="22" t="s">
        <v>129</v>
      </c>
      <c r="BK229" s="22" t="s">
        <v>509</v>
      </c>
      <c r="BL229" s="41" t="n">
        <v>25</v>
      </c>
      <c r="BM229" s="41" t="n">
        <v>52</v>
      </c>
      <c r="BN229" s="41" t="n">
        <v>77</v>
      </c>
      <c r="BO229" s="42" t="n">
        <v>23</v>
      </c>
      <c r="BP229" s="42" t="n">
        <v>65</v>
      </c>
      <c r="BQ229" s="42" t="n">
        <v>88</v>
      </c>
      <c r="BR229" s="42" t="n">
        <v>25</v>
      </c>
      <c r="BS229" s="45" t="n">
        <v>55</v>
      </c>
      <c r="BT229" s="45" t="n">
        <v>80</v>
      </c>
      <c r="BU229" s="46" t="n">
        <v>100</v>
      </c>
      <c r="BV229" s="47" t="n">
        <v>94</v>
      </c>
      <c r="BW229" s="42" t="n">
        <v>95</v>
      </c>
      <c r="BX229" s="48" t="n">
        <v>92</v>
      </c>
      <c r="BY229" s="32" t="n">
        <v>27</v>
      </c>
      <c r="BZ229" s="32" t="n">
        <v>45</v>
      </c>
      <c r="CA229" s="32" t="n">
        <v>72</v>
      </c>
      <c r="CB229" s="32" t="n">
        <v>19</v>
      </c>
      <c r="CC229" s="32" t="n">
        <v>35</v>
      </c>
      <c r="CD229" s="69" t="n">
        <v>54</v>
      </c>
      <c r="CE229" s="32" t="n">
        <v>22</v>
      </c>
      <c r="CF229" s="32" t="n">
        <v>48</v>
      </c>
      <c r="CG229" s="32" t="n">
        <v>70</v>
      </c>
      <c r="CH229" s="32" t="n">
        <v>100</v>
      </c>
      <c r="CI229" s="32" t="n">
        <v>99</v>
      </c>
      <c r="CJ229" s="49" t="n">
        <v>25</v>
      </c>
      <c r="CK229" s="49" t="n">
        <v>55</v>
      </c>
      <c r="CL229" s="49" t="n">
        <v>80</v>
      </c>
      <c r="CM229" s="49" t="n">
        <v>26</v>
      </c>
      <c r="CN229" s="49" t="n">
        <v>56</v>
      </c>
      <c r="CO229" s="49" t="n">
        <v>82</v>
      </c>
      <c r="CP229" s="25" t="n">
        <f aca="false">BX229+BW229+BV229+BU229+BT229+BQ229+BN229</f>
        <v>626</v>
      </c>
      <c r="CQ229" s="25" t="n">
        <f aca="false">CO229+CL229+CI229+CH229+CG229+CD229+CA229</f>
        <v>557</v>
      </c>
      <c r="CR229" s="26" t="n">
        <f aca="false">CP229/7</f>
        <v>89.4285714285714</v>
      </c>
      <c r="CS229" s="26" t="n">
        <f aca="false">CQ229/7</f>
        <v>79.5714285714286</v>
      </c>
      <c r="CT229" s="24" t="n">
        <f aca="false">RANK(CR229,$CR$2:$CR$881,0)</f>
        <v>217</v>
      </c>
      <c r="CU229" s="25" t="n">
        <f aca="false">RANK(CS229,$CS$2:$CS$881,0)</f>
        <v>286</v>
      </c>
      <c r="CV229" s="26" t="n">
        <f aca="false">(CS229+CR229)/2</f>
        <v>84.5</v>
      </c>
      <c r="CW229" s="25" t="n">
        <f aca="false">RANK(CV229,$CV$2:$CV$881,0)</f>
        <v>239</v>
      </c>
      <c r="CX229" s="50" t="n">
        <f aca="false">(CV229+BB229)/2</f>
        <v>81.15</v>
      </c>
      <c r="CY229" s="50" t="n">
        <v>309</v>
      </c>
      <c r="CZ229" s="27" t="s">
        <v>132</v>
      </c>
      <c r="DA229" s="27" t="s">
        <v>133</v>
      </c>
      <c r="DB229" s="27" t="s">
        <v>133</v>
      </c>
      <c r="DC229" s="27" t="s">
        <v>134</v>
      </c>
      <c r="DD229" s="27" t="s">
        <v>160</v>
      </c>
      <c r="DE229" s="27" t="s">
        <v>163</v>
      </c>
      <c r="DF229" s="27" t="s">
        <v>151</v>
      </c>
      <c r="DG229" s="27" t="s">
        <v>134</v>
      </c>
      <c r="DH229" s="27" t="s">
        <v>164</v>
      </c>
      <c r="DI229" s="27" t="s">
        <v>204</v>
      </c>
      <c r="DJ229" s="27" t="s">
        <v>202</v>
      </c>
      <c r="DK229" s="27" t="s">
        <v>134</v>
      </c>
      <c r="DL229" s="27" t="s">
        <v>140</v>
      </c>
      <c r="DM229" s="27" t="s">
        <v>177</v>
      </c>
      <c r="DN229" s="27" t="s">
        <v>162</v>
      </c>
      <c r="DO229" s="27" t="s">
        <v>134</v>
      </c>
      <c r="DP229" s="27" t="s">
        <v>154</v>
      </c>
      <c r="DQ229" s="27" t="s">
        <v>220</v>
      </c>
      <c r="DR229" s="27" t="s">
        <v>272</v>
      </c>
      <c r="DS229" s="27" t="s">
        <v>134</v>
      </c>
      <c r="DT229" s="27" t="s">
        <v>154</v>
      </c>
      <c r="DU229" s="27" t="s">
        <v>203</v>
      </c>
      <c r="DV229" s="27" t="s">
        <v>175</v>
      </c>
      <c r="DW229" s="27" t="s">
        <v>154</v>
      </c>
      <c r="DX229" s="27" t="s">
        <v>220</v>
      </c>
      <c r="DY229" s="27" t="s">
        <v>272</v>
      </c>
      <c r="DZ229" s="27" t="n">
        <f aca="false">DY229+DV229+DR229+DN229+DJ229+DF229+DB229</f>
        <v>599</v>
      </c>
      <c r="EA229" s="28" t="n">
        <f aca="false">DZ229/7</f>
        <v>85.5714285714286</v>
      </c>
      <c r="EB229" s="27" t="n">
        <f aca="false">RANK(EA229,$EA$2:$EA$881,0)</f>
        <v>166</v>
      </c>
      <c r="EC229" s="29" t="n">
        <f aca="false">DZ229+CQ229+CP229+AZ229</f>
        <v>2560</v>
      </c>
      <c r="ED229" s="30" t="n">
        <f aca="false">(EA229+CV229+BB229)/3</f>
        <v>82.6238095238095</v>
      </c>
      <c r="EE229" s="51" t="n">
        <f aca="false">ROUND(BE229,3)</f>
        <v>84.79</v>
      </c>
      <c r="EF229" s="51" t="n">
        <f aca="false">ROUND(CR229,3)</f>
        <v>89.429</v>
      </c>
      <c r="EG229" s="51" t="n">
        <f aca="false">ROUND(CS229,3)</f>
        <v>79.571</v>
      </c>
      <c r="EH229" s="51" t="n">
        <f aca="false">ROUND(EA229,3)</f>
        <v>85.571</v>
      </c>
      <c r="EI229" s="51" t="n">
        <f aca="false">ROUND(ED229,3)</f>
        <v>82.624</v>
      </c>
      <c r="EJ229" s="51" t="n">
        <f aca="false">ROUND(CV229,3)</f>
        <v>84.5</v>
      </c>
      <c r="EK229" s="0" t="n">
        <f aca="false">RANK(EI229,$EI$2:$EI$881,0)</f>
        <v>227</v>
      </c>
    </row>
    <row r="230" customFormat="false" ht="15" hidden="false" customHeight="false" outlineLevel="0" collapsed="false">
      <c r="A230" s="4" t="n">
        <v>8971</v>
      </c>
      <c r="B230" s="4" t="n">
        <v>190</v>
      </c>
      <c r="C230" s="27" t="s">
        <v>844</v>
      </c>
      <c r="D230" s="31" t="n">
        <v>191</v>
      </c>
      <c r="E230" s="32" t="n">
        <v>230320514</v>
      </c>
      <c r="F230" s="8" t="s">
        <v>845</v>
      </c>
      <c r="G230" s="22" t="s">
        <v>846</v>
      </c>
      <c r="H230" s="22" t="s">
        <v>129</v>
      </c>
      <c r="I230" s="33" t="n">
        <v>2005</v>
      </c>
      <c r="J230" s="32" t="n">
        <v>80</v>
      </c>
      <c r="K230" s="32" t="n">
        <v>83</v>
      </c>
      <c r="L230" s="34" t="n">
        <f aca="false">(K230*70)/100</f>
        <v>58.1</v>
      </c>
      <c r="M230" s="34" t="n">
        <f aca="false">ROUNDUP(L230,0)</f>
        <v>59</v>
      </c>
      <c r="N230" s="32" t="n">
        <v>24</v>
      </c>
      <c r="O230" s="34" t="n">
        <f aca="false">N230+L230</f>
        <v>82.1</v>
      </c>
      <c r="P230" s="34" t="n">
        <f aca="false">N230+M230</f>
        <v>83</v>
      </c>
      <c r="Q230" s="32" t="n">
        <v>62</v>
      </c>
      <c r="R230" s="32" t="n">
        <v>79</v>
      </c>
      <c r="S230" s="34" t="n">
        <f aca="false">(R230*70)/100</f>
        <v>55.3</v>
      </c>
      <c r="T230" s="34" t="n">
        <f aca="false">ROUNDUP(S230,0)</f>
        <v>56</v>
      </c>
      <c r="U230" s="32" t="n">
        <v>22</v>
      </c>
      <c r="V230" s="34" t="n">
        <f aca="false">U230+S230</f>
        <v>77.3</v>
      </c>
      <c r="W230" s="34" t="n">
        <f aca="false">U230+T230</f>
        <v>78</v>
      </c>
      <c r="X230" s="32" t="n">
        <v>66</v>
      </c>
      <c r="Y230" s="34" t="n">
        <f aca="false">(X230*70)/100</f>
        <v>46.2</v>
      </c>
      <c r="Z230" s="34" t="n">
        <f aca="false">ROUNDUP(Y230,0)</f>
        <v>47</v>
      </c>
      <c r="AA230" s="32" t="n">
        <v>23</v>
      </c>
      <c r="AB230" s="34" t="n">
        <f aca="false">AA230+Y230</f>
        <v>69.2</v>
      </c>
      <c r="AC230" s="34" t="n">
        <f aca="false">AA230+Z230</f>
        <v>70</v>
      </c>
      <c r="AD230" s="32" t="n">
        <f aca="false">X230+R230+Q230+K230+J230</f>
        <v>370</v>
      </c>
      <c r="AE230" s="16" t="n">
        <f aca="false">AD230/5</f>
        <v>74</v>
      </c>
      <c r="AF230" s="16" t="n">
        <v>75</v>
      </c>
      <c r="AG230" s="16" t="n">
        <v>83</v>
      </c>
      <c r="AH230" s="16" t="n">
        <v>84</v>
      </c>
      <c r="AI230" s="16" t="n">
        <v>90</v>
      </c>
      <c r="AJ230" s="16" t="n">
        <f aca="false">(AI230*70)/100</f>
        <v>63</v>
      </c>
      <c r="AK230" s="35" t="n">
        <f aca="false">ROUNDUP(AJ230,0)</f>
        <v>63</v>
      </c>
      <c r="AL230" s="16" t="n">
        <v>27</v>
      </c>
      <c r="AM230" s="16" t="n">
        <f aca="false">AL230+AJ230</f>
        <v>90</v>
      </c>
      <c r="AN230" s="16" t="n">
        <f aca="false">AL230+AK230</f>
        <v>90</v>
      </c>
      <c r="AO230" s="16" t="n">
        <v>85</v>
      </c>
      <c r="AP230" s="36" t="n">
        <f aca="false">(AO230*70)/100</f>
        <v>59.5</v>
      </c>
      <c r="AQ230" s="37" t="n">
        <f aca="false">ROUNDUP(AP230,0)</f>
        <v>60</v>
      </c>
      <c r="AR230" s="16" t="n">
        <v>27</v>
      </c>
      <c r="AS230" s="16" t="n">
        <f aca="false">AR230+AP230</f>
        <v>86.5</v>
      </c>
      <c r="AT230" s="16" t="n">
        <f aca="false">AR230+AQ230</f>
        <v>87</v>
      </c>
      <c r="AU230" s="16" t="n">
        <f aca="false">AO230+AF230+AI230+AH230+AG230</f>
        <v>417</v>
      </c>
      <c r="AV230" s="16" t="n">
        <f aca="false">(AO230+AF230+AI230+AH230+AG230)/5</f>
        <v>83.4</v>
      </c>
      <c r="AW230" s="36" t="n">
        <f aca="false">(AO230+AF230+AI230+AH230+AG230+X230+R230+Q230+K230+J230)</f>
        <v>787</v>
      </c>
      <c r="AX230" s="16" t="n">
        <f aca="false">AW230/10</f>
        <v>78.7</v>
      </c>
      <c r="AY230" s="16" t="n">
        <f aca="false">AS230+AF230+AM230+AH230+AG230+AB230+V230+Q230+O230+J230</f>
        <v>789.1</v>
      </c>
      <c r="AZ230" s="16" t="n">
        <f aca="false">AT230+AF230+AN230+AH230+AG230+AC230+W230+Q230+P230+J230</f>
        <v>792</v>
      </c>
      <c r="BA230" s="16" t="n">
        <f aca="false">AY230/10</f>
        <v>78.91</v>
      </c>
      <c r="BB230" s="16" t="n">
        <f aca="false">AZ230/10</f>
        <v>79.2</v>
      </c>
      <c r="BC230" s="16" t="n">
        <v>2374</v>
      </c>
      <c r="BD230" s="16" t="n">
        <f aca="false">RANK(AX230,$AX$2:$AX$881,0)</f>
        <v>358</v>
      </c>
      <c r="BE230" s="54" t="n">
        <f aca="false">((BC230*100)/2400)*0.4+(AX230*0.6)</f>
        <v>86.7866666666667</v>
      </c>
      <c r="BF230" s="16" t="n">
        <f aca="false">RANK(BE230,$BE$2:$BE$881,0)</f>
        <v>323</v>
      </c>
      <c r="BG230" s="39" t="n">
        <f aca="false">RANK(BB230,$BB$2:$BB$881,0)</f>
        <v>434</v>
      </c>
      <c r="BH230" s="39" t="n">
        <f aca="false">RANK(BC230,$BC$2:$BC$881,0)</f>
        <v>222</v>
      </c>
      <c r="BI230" s="22" t="s">
        <v>130</v>
      </c>
      <c r="BJ230" s="22" t="s">
        <v>129</v>
      </c>
      <c r="BK230" s="40" t="s">
        <v>131</v>
      </c>
      <c r="BL230" s="41" t="n">
        <v>23</v>
      </c>
      <c r="BM230" s="41" t="n">
        <v>61</v>
      </c>
      <c r="BN230" s="41" t="n">
        <v>84</v>
      </c>
      <c r="BO230" s="42" t="n">
        <v>25</v>
      </c>
      <c r="BP230" s="43" t="n">
        <v>63</v>
      </c>
      <c r="BQ230" s="44" t="n">
        <v>88</v>
      </c>
      <c r="BR230" s="42" t="n">
        <v>21</v>
      </c>
      <c r="BS230" s="45" t="n">
        <v>58</v>
      </c>
      <c r="BT230" s="45" t="n">
        <v>79</v>
      </c>
      <c r="BU230" s="46" t="n">
        <v>100</v>
      </c>
      <c r="BV230" s="47" t="n">
        <v>84</v>
      </c>
      <c r="BW230" s="42" t="n">
        <v>95</v>
      </c>
      <c r="BX230" s="48" t="n">
        <v>88</v>
      </c>
      <c r="BY230" s="25" t="n">
        <v>23</v>
      </c>
      <c r="BZ230" s="25" t="n">
        <v>56</v>
      </c>
      <c r="CA230" s="25" t="n">
        <v>79</v>
      </c>
      <c r="CB230" s="25" t="n">
        <v>20</v>
      </c>
      <c r="CC230" s="25" t="n">
        <v>41</v>
      </c>
      <c r="CD230" s="25" t="n">
        <v>61</v>
      </c>
      <c r="CE230" s="32" t="n">
        <v>26</v>
      </c>
      <c r="CF230" s="32" t="n">
        <v>57</v>
      </c>
      <c r="CG230" s="32" t="n">
        <v>83</v>
      </c>
      <c r="CH230" s="32" t="n">
        <v>99</v>
      </c>
      <c r="CI230" s="32" t="n">
        <v>98</v>
      </c>
      <c r="CJ230" s="49" t="n">
        <v>29</v>
      </c>
      <c r="CK230" s="49" t="n">
        <v>55</v>
      </c>
      <c r="CL230" s="49" t="n">
        <v>84</v>
      </c>
      <c r="CM230" s="49" t="n">
        <v>23</v>
      </c>
      <c r="CN230" s="49" t="n">
        <v>58</v>
      </c>
      <c r="CO230" s="49" t="n">
        <v>81</v>
      </c>
      <c r="CP230" s="25" t="n">
        <f aca="false">BX230+BW230+BV230+BU230+BT230+BQ230+BN230</f>
        <v>618</v>
      </c>
      <c r="CQ230" s="25" t="n">
        <f aca="false">CO230+CL230+CI230+CH230+CG230+CD230+CA230</f>
        <v>585</v>
      </c>
      <c r="CR230" s="26" t="n">
        <f aca="false">CP230/7</f>
        <v>88.2857142857143</v>
      </c>
      <c r="CS230" s="26" t="n">
        <f aca="false">CQ230/7</f>
        <v>83.5714285714286</v>
      </c>
      <c r="CT230" s="24" t="n">
        <f aca="false">RANK(CR230,$CR$2:$CR$881,0)</f>
        <v>287</v>
      </c>
      <c r="CU230" s="25" t="n">
        <f aca="false">RANK(CS230,$CS$2:$CS$881,0)</f>
        <v>135</v>
      </c>
      <c r="CV230" s="26" t="n">
        <f aca="false">(CS230+CR230)/2</f>
        <v>85.9285714285714</v>
      </c>
      <c r="CW230" s="25" t="n">
        <f aca="false">RANK(CV230,$CV$2:$CV$881,0)</f>
        <v>176</v>
      </c>
      <c r="CX230" s="50" t="n">
        <f aca="false">(CV230+BB230)/2</f>
        <v>82.5642857142857</v>
      </c>
      <c r="CY230" s="50" t="n">
        <v>230</v>
      </c>
      <c r="CZ230" s="27" t="s">
        <v>132</v>
      </c>
      <c r="DA230" s="27" t="s">
        <v>133</v>
      </c>
      <c r="DB230" s="27" t="s">
        <v>133</v>
      </c>
      <c r="DC230" s="27" t="s">
        <v>134</v>
      </c>
      <c r="DD230" s="27" t="s">
        <v>182</v>
      </c>
      <c r="DE230" s="27" t="s">
        <v>183</v>
      </c>
      <c r="DF230" s="27" t="s">
        <v>205</v>
      </c>
      <c r="DG230" s="27" t="s">
        <v>134</v>
      </c>
      <c r="DH230" s="27" t="s">
        <v>137</v>
      </c>
      <c r="DI230" s="27" t="s">
        <v>177</v>
      </c>
      <c r="DJ230" s="27" t="s">
        <v>202</v>
      </c>
      <c r="DK230" s="27" t="s">
        <v>134</v>
      </c>
      <c r="DL230" s="27" t="s">
        <v>182</v>
      </c>
      <c r="DM230" s="27" t="s">
        <v>218</v>
      </c>
      <c r="DN230" s="27" t="s">
        <v>196</v>
      </c>
      <c r="DO230" s="27" t="s">
        <v>134</v>
      </c>
      <c r="DP230" s="27" t="s">
        <v>195</v>
      </c>
      <c r="DQ230" s="27" t="s">
        <v>306</v>
      </c>
      <c r="DR230" s="27" t="s">
        <v>443</v>
      </c>
      <c r="DS230" s="27" t="s">
        <v>134</v>
      </c>
      <c r="DT230" s="27" t="s">
        <v>135</v>
      </c>
      <c r="DU230" s="27" t="s">
        <v>442</v>
      </c>
      <c r="DV230" s="27" t="s">
        <v>372</v>
      </c>
      <c r="DW230" s="27" t="s">
        <v>137</v>
      </c>
      <c r="DX230" s="27" t="s">
        <v>187</v>
      </c>
      <c r="DY230" s="27" t="s">
        <v>176</v>
      </c>
      <c r="DZ230" s="27" t="n">
        <f aca="false">DY230+DV230+DR230+DN230+DJ230+DF230+DB230</f>
        <v>579</v>
      </c>
      <c r="EA230" s="28" t="n">
        <f aca="false">DZ230/7</f>
        <v>82.7142857142857</v>
      </c>
      <c r="EB230" s="27" t="n">
        <f aca="false">RANK(EA230,$EA$2:$EA$881,0)</f>
        <v>282</v>
      </c>
      <c r="EC230" s="29" t="n">
        <f aca="false">DZ230+CQ230+CP230+AZ230</f>
        <v>2574</v>
      </c>
      <c r="ED230" s="30" t="n">
        <f aca="false">(EA230+CV230+BB230)/3</f>
        <v>82.6142857142857</v>
      </c>
      <c r="EE230" s="51" t="n">
        <f aca="false">ROUND(BE230,3)</f>
        <v>86.787</v>
      </c>
      <c r="EF230" s="51" t="n">
        <f aca="false">ROUND(CR230,3)</f>
        <v>88.286</v>
      </c>
      <c r="EG230" s="51" t="n">
        <f aca="false">ROUND(CS230,3)</f>
        <v>83.571</v>
      </c>
      <c r="EH230" s="51" t="n">
        <f aca="false">ROUND(EA230,3)</f>
        <v>82.714</v>
      </c>
      <c r="EI230" s="51" t="n">
        <f aca="false">ROUND(ED230,3)</f>
        <v>82.614</v>
      </c>
      <c r="EJ230" s="51" t="n">
        <f aca="false">ROUND(CV230,3)</f>
        <v>85.929</v>
      </c>
      <c r="EK230" s="0" t="n">
        <f aca="false">RANK(EI230,$EI$2:$EI$881,0)</f>
        <v>229</v>
      </c>
    </row>
    <row r="231" customFormat="false" ht="15" hidden="false" customHeight="false" outlineLevel="0" collapsed="false">
      <c r="A231" s="4" t="n">
        <v>2019</v>
      </c>
      <c r="B231" s="4" t="n">
        <v>548</v>
      </c>
      <c r="C231" s="27" t="s">
        <v>847</v>
      </c>
      <c r="D231" s="31" t="n">
        <v>553</v>
      </c>
      <c r="E231" s="16" t="n">
        <v>230134178</v>
      </c>
      <c r="F231" s="56" t="s">
        <v>848</v>
      </c>
      <c r="G231" s="22" t="s">
        <v>849</v>
      </c>
      <c r="H231" s="22" t="s">
        <v>326</v>
      </c>
      <c r="I231" s="57"/>
      <c r="J231" s="16" t="n">
        <v>94</v>
      </c>
      <c r="K231" s="16" t="n">
        <v>72</v>
      </c>
      <c r="L231" s="34" t="n">
        <f aca="false">(K231*70)/100</f>
        <v>50.4</v>
      </c>
      <c r="M231" s="34" t="n">
        <f aca="false">ROUNDUP(L231,0)</f>
        <v>51</v>
      </c>
      <c r="N231" s="16" t="n">
        <v>27</v>
      </c>
      <c r="O231" s="34" t="n">
        <f aca="false">N231+L231</f>
        <v>77.4</v>
      </c>
      <c r="P231" s="34" t="n">
        <f aca="false">N231+M231</f>
        <v>78</v>
      </c>
      <c r="Q231" s="16" t="n">
        <v>80</v>
      </c>
      <c r="R231" s="16" t="n">
        <v>72</v>
      </c>
      <c r="S231" s="34" t="n">
        <f aca="false">(R231*70)/100</f>
        <v>50.4</v>
      </c>
      <c r="T231" s="34" t="n">
        <f aca="false">ROUNDUP(S231,0)</f>
        <v>51</v>
      </c>
      <c r="U231" s="16" t="n">
        <v>24</v>
      </c>
      <c r="V231" s="34" t="n">
        <f aca="false">U231+S231</f>
        <v>74.4</v>
      </c>
      <c r="W231" s="34" t="n">
        <f aca="false">U231+T231</f>
        <v>75</v>
      </c>
      <c r="X231" s="16" t="n">
        <v>62</v>
      </c>
      <c r="Y231" s="34" t="n">
        <f aca="false">(X231*70)/100</f>
        <v>43.4</v>
      </c>
      <c r="Z231" s="34" t="n">
        <f aca="false">ROUNDUP(Y231,0)</f>
        <v>44</v>
      </c>
      <c r="AA231" s="16" t="n">
        <v>27</v>
      </c>
      <c r="AB231" s="34" t="n">
        <f aca="false">AA231+Y231</f>
        <v>70.4</v>
      </c>
      <c r="AC231" s="34" t="n">
        <f aca="false">AA231+Z231</f>
        <v>71</v>
      </c>
      <c r="AD231" s="32" t="n">
        <f aca="false">X231+R231+Q231+K231+J231</f>
        <v>380</v>
      </c>
      <c r="AE231" s="16" t="n">
        <f aca="false">AD231/5</f>
        <v>76</v>
      </c>
      <c r="AF231" s="16" t="n">
        <v>73</v>
      </c>
      <c r="AG231" s="16" t="n">
        <v>88</v>
      </c>
      <c r="AH231" s="16" t="n">
        <v>89</v>
      </c>
      <c r="AI231" s="16" t="n">
        <v>81</v>
      </c>
      <c r="AJ231" s="16" t="n">
        <f aca="false">(AI231*70)/100</f>
        <v>56.7</v>
      </c>
      <c r="AK231" s="35" t="n">
        <f aca="false">ROUNDUP(AJ231,0)</f>
        <v>57</v>
      </c>
      <c r="AL231" s="16" t="n">
        <v>25</v>
      </c>
      <c r="AM231" s="16" t="n">
        <f aca="false">AL231+AJ231</f>
        <v>81.7</v>
      </c>
      <c r="AN231" s="16" t="n">
        <f aca="false">AL231+AK231</f>
        <v>82</v>
      </c>
      <c r="AO231" s="16" t="n">
        <v>56</v>
      </c>
      <c r="AP231" s="36" t="n">
        <f aca="false">(AO231*70)/100</f>
        <v>39.2</v>
      </c>
      <c r="AQ231" s="37" t="n">
        <f aca="false">ROUNDUP(AP231,0)</f>
        <v>40</v>
      </c>
      <c r="AR231" s="16" t="n">
        <v>28</v>
      </c>
      <c r="AS231" s="16" t="n">
        <f aca="false">AR231+AP231</f>
        <v>67.2</v>
      </c>
      <c r="AT231" s="16" t="n">
        <f aca="false">AR231+AQ231</f>
        <v>68</v>
      </c>
      <c r="AU231" s="16" t="n">
        <f aca="false">AO231+AF231+AI231+AH231+AG231</f>
        <v>387</v>
      </c>
      <c r="AV231" s="16" t="n">
        <f aca="false">(AO231+AF231+AI231+AH231+AG231)/5</f>
        <v>77.4</v>
      </c>
      <c r="AW231" s="36" t="n">
        <f aca="false">(AO231+AF231+AI231+AH231+AG231+X231+R231+Q231+K231+J231)</f>
        <v>767</v>
      </c>
      <c r="AX231" s="16" t="n">
        <f aca="false">AW231/10</f>
        <v>76.7</v>
      </c>
      <c r="AY231" s="16" t="n">
        <f aca="false">AS231+AF231+AM231+AH231+AG231+AB231+V231+Q231+O231+J231</f>
        <v>795.1</v>
      </c>
      <c r="AZ231" s="16" t="n">
        <f aca="false">AT231+AF231+AN231+AH231+AG231+AC231+W231+Q231+P231+J231</f>
        <v>798</v>
      </c>
      <c r="BA231" s="16" t="n">
        <f aca="false">AY231/10</f>
        <v>79.51</v>
      </c>
      <c r="BB231" s="16" t="n">
        <f aca="false">AZ231/10</f>
        <v>79.8</v>
      </c>
      <c r="BC231" s="16" t="n">
        <v>2351</v>
      </c>
      <c r="BD231" s="16" t="n">
        <f aca="false">RANK(AX231,$AX$2:$AX$881,0)</f>
        <v>536</v>
      </c>
      <c r="BE231" s="54" t="n">
        <f aca="false">((BC231*100)/2400)*0.4+(AX231*0.6)</f>
        <v>85.2033333333334</v>
      </c>
      <c r="BF231" s="16" t="n">
        <f aca="false">RANK(BE231,$BE$2:$BE$881,0)</f>
        <v>565</v>
      </c>
      <c r="BG231" s="39" t="n">
        <f aca="false">RANK(BB231,$BB$2:$BB$881,0)</f>
        <v>369</v>
      </c>
      <c r="BH231" s="39" t="n">
        <f aca="false">RANK(BC231,$BC$2:$BC$881,0)</f>
        <v>520</v>
      </c>
      <c r="BI231" s="22" t="s">
        <v>130</v>
      </c>
      <c r="BJ231" s="22" t="s">
        <v>129</v>
      </c>
      <c r="BK231" s="40" t="s">
        <v>509</v>
      </c>
      <c r="BL231" s="41" t="n">
        <v>20</v>
      </c>
      <c r="BM231" s="41" t="n">
        <v>61</v>
      </c>
      <c r="BN231" s="41" t="n">
        <v>81</v>
      </c>
      <c r="BO231" s="42" t="n">
        <v>24</v>
      </c>
      <c r="BP231" s="43" t="n">
        <v>62</v>
      </c>
      <c r="BQ231" s="44" t="n">
        <v>86</v>
      </c>
      <c r="BR231" s="42" t="n">
        <v>26</v>
      </c>
      <c r="BS231" s="45" t="n">
        <v>52</v>
      </c>
      <c r="BT231" s="45" t="n">
        <v>78</v>
      </c>
      <c r="BU231" s="77" t="n">
        <v>100</v>
      </c>
      <c r="BV231" s="47" t="n">
        <v>92</v>
      </c>
      <c r="BW231" s="43" t="n">
        <v>100</v>
      </c>
      <c r="BX231" s="48" t="n">
        <v>92</v>
      </c>
      <c r="BY231" s="32" t="n">
        <v>24</v>
      </c>
      <c r="BZ231" s="32" t="n">
        <v>61</v>
      </c>
      <c r="CA231" s="32" t="n">
        <v>85</v>
      </c>
      <c r="CB231" s="32" t="n">
        <v>22</v>
      </c>
      <c r="CC231" s="32" t="n">
        <v>41</v>
      </c>
      <c r="CD231" s="32" t="n">
        <v>63</v>
      </c>
      <c r="CE231" s="32" t="n">
        <v>28</v>
      </c>
      <c r="CF231" s="32" t="n">
        <v>48</v>
      </c>
      <c r="CG231" s="32" t="n">
        <v>76</v>
      </c>
      <c r="CH231" s="32" t="n">
        <v>99</v>
      </c>
      <c r="CI231" s="32" t="n">
        <v>99</v>
      </c>
      <c r="CJ231" s="49" t="n">
        <v>18</v>
      </c>
      <c r="CK231" s="49" t="n">
        <v>49</v>
      </c>
      <c r="CL231" s="49" t="n">
        <v>67</v>
      </c>
      <c r="CM231" s="49" t="n">
        <v>19</v>
      </c>
      <c r="CN231" s="49" t="n">
        <v>48</v>
      </c>
      <c r="CO231" s="49" t="n">
        <v>67</v>
      </c>
      <c r="CP231" s="25" t="n">
        <f aca="false">BX231+BW231+BV231+BU231+BT231+BQ231+BN231</f>
        <v>629</v>
      </c>
      <c r="CQ231" s="25" t="n">
        <f aca="false">CO231+CL231+CI231+CH231+CG231+CD231+CA231</f>
        <v>556</v>
      </c>
      <c r="CR231" s="26" t="n">
        <f aca="false">CP231/7</f>
        <v>89.8571428571429</v>
      </c>
      <c r="CS231" s="26" t="n">
        <f aca="false">CQ231/7</f>
        <v>79.4285714285714</v>
      </c>
      <c r="CT231" s="24" t="n">
        <f aca="false">RANK(CR231,$CR$2:$CR$881,0)</f>
        <v>193</v>
      </c>
      <c r="CU231" s="25" t="n">
        <f aca="false">RANK(CS231,$CS$2:$CS$881,0)</f>
        <v>287</v>
      </c>
      <c r="CV231" s="26" t="n">
        <f aca="false">(CS231+CR231)/2</f>
        <v>84.6428571428571</v>
      </c>
      <c r="CW231" s="25" t="n">
        <f aca="false">RANK(CV231,$CV$2:$CV$881,0)</f>
        <v>235</v>
      </c>
      <c r="CX231" s="50" t="n">
        <f aca="false">(CV231+BB231)/2</f>
        <v>82.2214285714286</v>
      </c>
      <c r="CY231" s="50" t="n">
        <v>254</v>
      </c>
      <c r="CZ231" s="27" t="s">
        <v>132</v>
      </c>
      <c r="DA231" s="27" t="s">
        <v>205</v>
      </c>
      <c r="DB231" s="27" t="s">
        <v>205</v>
      </c>
      <c r="DC231" s="27" t="s">
        <v>134</v>
      </c>
      <c r="DD231" s="27" t="s">
        <v>154</v>
      </c>
      <c r="DE231" s="27" t="s">
        <v>161</v>
      </c>
      <c r="DF231" s="27" t="s">
        <v>209</v>
      </c>
      <c r="DG231" s="27" t="s">
        <v>134</v>
      </c>
      <c r="DH231" s="27" t="s">
        <v>164</v>
      </c>
      <c r="DI231" s="27" t="s">
        <v>203</v>
      </c>
      <c r="DJ231" s="27" t="s">
        <v>162</v>
      </c>
      <c r="DK231" s="27" t="s">
        <v>134</v>
      </c>
      <c r="DL231" s="27" t="s">
        <v>191</v>
      </c>
      <c r="DM231" s="27" t="s">
        <v>177</v>
      </c>
      <c r="DN231" s="27" t="s">
        <v>219</v>
      </c>
      <c r="DO231" s="27" t="s">
        <v>134</v>
      </c>
      <c r="DP231" s="27" t="s">
        <v>718</v>
      </c>
      <c r="DQ231" s="27" t="s">
        <v>306</v>
      </c>
      <c r="DR231" s="27" t="s">
        <v>141</v>
      </c>
      <c r="DS231" s="27" t="s">
        <v>134</v>
      </c>
      <c r="DT231" s="27" t="s">
        <v>160</v>
      </c>
      <c r="DU231" s="27" t="s">
        <v>177</v>
      </c>
      <c r="DV231" s="27" t="s">
        <v>133</v>
      </c>
      <c r="DW231" s="27" t="s">
        <v>154</v>
      </c>
      <c r="DX231" s="27" t="s">
        <v>155</v>
      </c>
      <c r="DY231" s="27" t="s">
        <v>151</v>
      </c>
      <c r="DZ231" s="27" t="n">
        <f aca="false">DY231+DV231+DR231+DN231+DJ231+DF231+DB231</f>
        <v>583</v>
      </c>
      <c r="EA231" s="28" t="n">
        <f aca="false">DZ231/7</f>
        <v>83.2857142857143</v>
      </c>
      <c r="EB231" s="27" t="n">
        <f aca="false">RANK(EA231,$EA$2:$EA$881,0)</f>
        <v>262</v>
      </c>
      <c r="EC231" s="29" t="n">
        <f aca="false">DZ231+CQ231+CP231+AZ231</f>
        <v>2566</v>
      </c>
      <c r="ED231" s="30" t="n">
        <f aca="false">(EA231+CV231+BB231)/3</f>
        <v>82.5761904761905</v>
      </c>
      <c r="EE231" s="51" t="n">
        <f aca="false">ROUND(BE231,3)</f>
        <v>85.203</v>
      </c>
      <c r="EF231" s="51" t="n">
        <f aca="false">ROUND(CR231,3)</f>
        <v>89.857</v>
      </c>
      <c r="EG231" s="51" t="n">
        <f aca="false">ROUND(CS231,3)</f>
        <v>79.429</v>
      </c>
      <c r="EH231" s="51" t="n">
        <f aca="false">ROUND(EA231,3)</f>
        <v>83.286</v>
      </c>
      <c r="EI231" s="51" t="n">
        <f aca="false">ROUND(ED231,3)</f>
        <v>82.576</v>
      </c>
      <c r="EJ231" s="51" t="n">
        <f aca="false">ROUND(CV231,3)</f>
        <v>84.643</v>
      </c>
      <c r="EK231" s="0" t="n">
        <f aca="false">RANK(EI231,$EI$2:$EI$881,0)</f>
        <v>230</v>
      </c>
    </row>
    <row r="232" customFormat="false" ht="15" hidden="false" customHeight="false" outlineLevel="0" collapsed="false">
      <c r="A232" s="4" t="n">
        <v>1994</v>
      </c>
      <c r="B232" s="4" t="n">
        <v>483</v>
      </c>
      <c r="C232" s="27" t="s">
        <v>850</v>
      </c>
      <c r="D232" s="31" t="n">
        <v>492</v>
      </c>
      <c r="E232" s="16" t="n">
        <v>230506064</v>
      </c>
      <c r="F232" s="56" t="s">
        <v>851</v>
      </c>
      <c r="G232" s="22" t="s">
        <v>532</v>
      </c>
      <c r="H232" s="22" t="s">
        <v>465</v>
      </c>
      <c r="I232" s="57"/>
      <c r="J232" s="16" t="n">
        <v>76</v>
      </c>
      <c r="K232" s="16" t="n">
        <v>81</v>
      </c>
      <c r="L232" s="34" t="n">
        <f aca="false">(K232*70)/100</f>
        <v>56.7</v>
      </c>
      <c r="M232" s="34" t="n">
        <f aca="false">ROUNDUP(L232,0)</f>
        <v>57</v>
      </c>
      <c r="N232" s="16" t="n">
        <v>27</v>
      </c>
      <c r="O232" s="34" t="n">
        <f aca="false">N232+L232</f>
        <v>83.7</v>
      </c>
      <c r="P232" s="34" t="n">
        <f aca="false">N232+M232</f>
        <v>84</v>
      </c>
      <c r="Q232" s="16" t="n">
        <v>74</v>
      </c>
      <c r="R232" s="16" t="n">
        <v>67</v>
      </c>
      <c r="S232" s="34" t="n">
        <f aca="false">(R232*70)/100</f>
        <v>46.9</v>
      </c>
      <c r="T232" s="34" t="n">
        <f aca="false">ROUNDUP(S232,0)</f>
        <v>47</v>
      </c>
      <c r="U232" s="16" t="n">
        <v>26</v>
      </c>
      <c r="V232" s="34" t="n">
        <f aca="false">U232+S232</f>
        <v>72.9</v>
      </c>
      <c r="W232" s="34" t="n">
        <f aca="false">U232+T232</f>
        <v>73</v>
      </c>
      <c r="X232" s="16" t="n">
        <v>73</v>
      </c>
      <c r="Y232" s="34" t="n">
        <f aca="false">(X232*70)/100</f>
        <v>51.1</v>
      </c>
      <c r="Z232" s="34" t="n">
        <f aca="false">ROUNDUP(Y232,0)</f>
        <v>52</v>
      </c>
      <c r="AA232" s="16" t="n">
        <v>27</v>
      </c>
      <c r="AB232" s="34" t="n">
        <f aca="false">AA232+Y232</f>
        <v>78.1</v>
      </c>
      <c r="AC232" s="34" t="n">
        <f aca="false">AA232+Z232</f>
        <v>79</v>
      </c>
      <c r="AD232" s="32" t="n">
        <f aca="false">X232+R232+Q232+K232+J232</f>
        <v>371</v>
      </c>
      <c r="AE232" s="16" t="n">
        <f aca="false">AD232/5</f>
        <v>74.2</v>
      </c>
      <c r="AF232" s="16" t="n">
        <v>83</v>
      </c>
      <c r="AG232" s="16" t="n">
        <v>85</v>
      </c>
      <c r="AH232" s="16" t="n">
        <v>83</v>
      </c>
      <c r="AI232" s="16" t="n">
        <v>77</v>
      </c>
      <c r="AJ232" s="16" t="n">
        <f aca="false">(AI232*70)/100</f>
        <v>53.9</v>
      </c>
      <c r="AK232" s="35" t="n">
        <f aca="false">ROUNDUP(AJ232,0)</f>
        <v>54</v>
      </c>
      <c r="AL232" s="16" t="n">
        <v>26</v>
      </c>
      <c r="AM232" s="16" t="n">
        <f aca="false">AL232+AJ232</f>
        <v>79.9</v>
      </c>
      <c r="AN232" s="16" t="n">
        <f aca="false">AL232+AK232</f>
        <v>80</v>
      </c>
      <c r="AO232" s="16" t="n">
        <v>54</v>
      </c>
      <c r="AP232" s="36" t="n">
        <f aca="false">(AO232*70)/100</f>
        <v>37.8</v>
      </c>
      <c r="AQ232" s="37" t="n">
        <f aca="false">ROUNDUP(AP232,0)</f>
        <v>38</v>
      </c>
      <c r="AR232" s="16" t="n">
        <v>25</v>
      </c>
      <c r="AS232" s="16" t="n">
        <f aca="false">AR232+AP232</f>
        <v>62.8</v>
      </c>
      <c r="AT232" s="16" t="n">
        <f aca="false">AR232+AQ232</f>
        <v>63</v>
      </c>
      <c r="AU232" s="16" t="n">
        <f aca="false">AO232+AF232+AI232+AH232+AG232</f>
        <v>382</v>
      </c>
      <c r="AV232" s="16" t="n">
        <f aca="false">(AO232+AF232+AI232+AH232+AG232)/5</f>
        <v>76.4</v>
      </c>
      <c r="AW232" s="36" t="n">
        <f aca="false">(AO232+AF232+AI232+AH232+AG232+X232+R232+Q232+K232+J232)</f>
        <v>753</v>
      </c>
      <c r="AX232" s="16" t="n">
        <f aca="false">AW232/10</f>
        <v>75.3</v>
      </c>
      <c r="AY232" s="16" t="n">
        <f aca="false">AS232+AF232+AM232+AH232+AG232+AB232+V232+Q232+O232+J232</f>
        <v>778.4</v>
      </c>
      <c r="AZ232" s="16" t="n">
        <f aca="false">AT232+AF232+AN232+AH232+AG232+AC232+W232+Q232+P232+J232</f>
        <v>780</v>
      </c>
      <c r="BA232" s="16" t="n">
        <f aca="false">AY232/10</f>
        <v>77.84</v>
      </c>
      <c r="BB232" s="16" t="n">
        <f aca="false">AZ232/10</f>
        <v>78</v>
      </c>
      <c r="BC232" s="16" t="n">
        <v>2391</v>
      </c>
      <c r="BD232" s="16" t="n">
        <f aca="false">RANK(AX232,$AX$2:$AX$881,0)</f>
        <v>671</v>
      </c>
      <c r="BE232" s="54" t="n">
        <f aca="false">((BC232*100)/2400)*0.4+(AX232*0.6)</f>
        <v>85.03</v>
      </c>
      <c r="BF232" s="16" t="n">
        <f aca="false">RANK(BE232,$BE$2:$BE$881,0)</f>
        <v>610</v>
      </c>
      <c r="BG232" s="39" t="n">
        <f aca="false">RANK(BB232,$BB$2:$BB$881,0)</f>
        <v>558</v>
      </c>
      <c r="BH232" s="39" t="n">
        <f aca="false">RANK(BC232,$BC$2:$BC$881,0)</f>
        <v>37</v>
      </c>
      <c r="BI232" s="22" t="s">
        <v>130</v>
      </c>
      <c r="BJ232" s="22" t="s">
        <v>129</v>
      </c>
      <c r="BK232" s="22" t="s">
        <v>509</v>
      </c>
      <c r="BL232" s="41" t="n">
        <v>21</v>
      </c>
      <c r="BM232" s="41" t="n">
        <v>53</v>
      </c>
      <c r="BN232" s="41" t="n">
        <v>74</v>
      </c>
      <c r="BO232" s="42" t="n">
        <v>26</v>
      </c>
      <c r="BP232" s="43" t="n">
        <v>59</v>
      </c>
      <c r="BQ232" s="44" t="n">
        <v>85</v>
      </c>
      <c r="BR232" s="42" t="n">
        <v>22</v>
      </c>
      <c r="BS232" s="45" t="n">
        <v>50</v>
      </c>
      <c r="BT232" s="45" t="n">
        <v>72</v>
      </c>
      <c r="BU232" s="46" t="n">
        <v>100</v>
      </c>
      <c r="BV232" s="47" t="n">
        <v>92</v>
      </c>
      <c r="BW232" s="42" t="n">
        <v>100</v>
      </c>
      <c r="BX232" s="48" t="n">
        <v>96</v>
      </c>
      <c r="BY232" s="32" t="n">
        <v>25</v>
      </c>
      <c r="BZ232" s="32" t="n">
        <v>64</v>
      </c>
      <c r="CA232" s="32" t="n">
        <v>89</v>
      </c>
      <c r="CB232" s="32" t="n">
        <v>16</v>
      </c>
      <c r="CC232" s="32" t="n">
        <v>37</v>
      </c>
      <c r="CD232" s="69" t="n">
        <v>53</v>
      </c>
      <c r="CE232" s="32" t="n">
        <v>24</v>
      </c>
      <c r="CF232" s="32" t="n">
        <v>55</v>
      </c>
      <c r="CG232" s="32" t="n">
        <v>79</v>
      </c>
      <c r="CH232" s="32" t="n">
        <v>99</v>
      </c>
      <c r="CI232" s="32" t="n">
        <v>96</v>
      </c>
      <c r="CJ232" s="49" t="n">
        <v>24</v>
      </c>
      <c r="CK232" s="49" t="n">
        <v>51</v>
      </c>
      <c r="CL232" s="49" t="n">
        <v>75</v>
      </c>
      <c r="CM232" s="49" t="n">
        <v>23</v>
      </c>
      <c r="CN232" s="49" t="n">
        <v>55</v>
      </c>
      <c r="CO232" s="49" t="n">
        <v>78</v>
      </c>
      <c r="CP232" s="25" t="n">
        <f aca="false">BX232+BW232+BV232+BU232+BT232+BQ232+BN232</f>
        <v>619</v>
      </c>
      <c r="CQ232" s="25" t="n">
        <f aca="false">CO232+CL232+CI232+CH232+CG232+CD232+CA232</f>
        <v>569</v>
      </c>
      <c r="CR232" s="26" t="n">
        <f aca="false">CP232/7</f>
        <v>88.4285714285714</v>
      </c>
      <c r="CS232" s="26" t="n">
        <f aca="false">CQ232/7</f>
        <v>81.2857142857143</v>
      </c>
      <c r="CT232" s="24" t="n">
        <f aca="false">RANK(CR232,$CR$2:$CR$881,0)</f>
        <v>276</v>
      </c>
      <c r="CU232" s="25" t="n">
        <f aca="false">RANK(CS232,$CS$2:$CS$881,0)</f>
        <v>216</v>
      </c>
      <c r="CV232" s="26" t="n">
        <f aca="false">(CS232+CR232)/2</f>
        <v>84.8571428571429</v>
      </c>
      <c r="CW232" s="25" t="n">
        <f aca="false">RANK(CV232,$CV$2:$CV$881,0)</f>
        <v>220</v>
      </c>
      <c r="CX232" s="50" t="n">
        <f aca="false">(CV232+BB232)/2</f>
        <v>81.4285714285714</v>
      </c>
      <c r="CY232" s="50" t="n">
        <v>295</v>
      </c>
      <c r="CZ232" s="27" t="s">
        <v>132</v>
      </c>
      <c r="DA232" s="27" t="s">
        <v>175</v>
      </c>
      <c r="DB232" s="27" t="s">
        <v>175</v>
      </c>
      <c r="DC232" s="27" t="s">
        <v>134</v>
      </c>
      <c r="DD232" s="27" t="s">
        <v>135</v>
      </c>
      <c r="DE232" s="27" t="s">
        <v>183</v>
      </c>
      <c r="DF232" s="27" t="s">
        <v>169</v>
      </c>
      <c r="DG232" s="27" t="s">
        <v>134</v>
      </c>
      <c r="DH232" s="27" t="s">
        <v>154</v>
      </c>
      <c r="DI232" s="27" t="s">
        <v>304</v>
      </c>
      <c r="DJ232" s="27" t="s">
        <v>382</v>
      </c>
      <c r="DK232" s="27" t="s">
        <v>134</v>
      </c>
      <c r="DL232" s="27" t="s">
        <v>140</v>
      </c>
      <c r="DM232" s="27" t="s">
        <v>177</v>
      </c>
      <c r="DN232" s="27" t="s">
        <v>162</v>
      </c>
      <c r="DO232" s="27" t="s">
        <v>134</v>
      </c>
      <c r="DP232" s="27" t="s">
        <v>174</v>
      </c>
      <c r="DQ232" s="27" t="s">
        <v>220</v>
      </c>
      <c r="DR232" s="27" t="s">
        <v>305</v>
      </c>
      <c r="DS232" s="27" t="s">
        <v>134</v>
      </c>
      <c r="DT232" s="27" t="s">
        <v>160</v>
      </c>
      <c r="DU232" s="27" t="s">
        <v>306</v>
      </c>
      <c r="DV232" s="27" t="s">
        <v>169</v>
      </c>
      <c r="DW232" s="27" t="s">
        <v>140</v>
      </c>
      <c r="DX232" s="27" t="s">
        <v>155</v>
      </c>
      <c r="DY232" s="27" t="s">
        <v>147</v>
      </c>
      <c r="DZ232" s="27" t="n">
        <f aca="false">DY232+DV232+DR232+DN232+DJ232+DF232+DB232</f>
        <v>594</v>
      </c>
      <c r="EA232" s="28" t="n">
        <f aca="false">DZ232/7</f>
        <v>84.8571428571429</v>
      </c>
      <c r="EB232" s="27" t="n">
        <f aca="false">RANK(EA232,$EA$2:$EA$881,0)</f>
        <v>188</v>
      </c>
      <c r="EC232" s="29" t="n">
        <f aca="false">DZ232+CQ232+CP232+AZ232</f>
        <v>2562</v>
      </c>
      <c r="ED232" s="30" t="n">
        <f aca="false">(EA232+CV232+BB232)/3</f>
        <v>82.5714285714286</v>
      </c>
      <c r="EE232" s="51" t="n">
        <f aca="false">ROUND(BE232,3)</f>
        <v>85.03</v>
      </c>
      <c r="EF232" s="51" t="n">
        <f aca="false">ROUND(CR232,3)</f>
        <v>88.429</v>
      </c>
      <c r="EG232" s="51" t="n">
        <f aca="false">ROUND(CS232,3)</f>
        <v>81.286</v>
      </c>
      <c r="EH232" s="51" t="n">
        <f aca="false">ROUND(EA232,3)</f>
        <v>84.857</v>
      </c>
      <c r="EI232" s="51" t="n">
        <f aca="false">ROUND(ED232,3)</f>
        <v>82.571</v>
      </c>
      <c r="EJ232" s="51" t="n">
        <f aca="false">ROUND(CV232,3)</f>
        <v>84.857</v>
      </c>
      <c r="EK232" s="0" t="n">
        <f aca="false">RANK(EI232,$EI$2:$EI$881,0)</f>
        <v>231</v>
      </c>
    </row>
    <row r="233" customFormat="false" ht="15" hidden="false" customHeight="false" outlineLevel="0" collapsed="false">
      <c r="A233" s="4" t="n">
        <v>8962</v>
      </c>
      <c r="B233" s="4" t="n">
        <v>41</v>
      </c>
      <c r="C233" s="27" t="s">
        <v>852</v>
      </c>
      <c r="D233" s="52" t="n">
        <v>44</v>
      </c>
      <c r="E233" s="16" t="n">
        <v>230912839</v>
      </c>
      <c r="F233" s="56" t="s">
        <v>853</v>
      </c>
      <c r="G233" s="22" t="s">
        <v>854</v>
      </c>
      <c r="H233" s="22" t="s">
        <v>326</v>
      </c>
      <c r="I233" s="57"/>
      <c r="J233" s="16" t="n">
        <v>86</v>
      </c>
      <c r="K233" s="16" t="n">
        <v>74</v>
      </c>
      <c r="L233" s="34" t="n">
        <f aca="false">(K233*70)/100</f>
        <v>51.8</v>
      </c>
      <c r="M233" s="34" t="n">
        <f aca="false">ROUNDUP(L233,0)</f>
        <v>52</v>
      </c>
      <c r="N233" s="16" t="n">
        <v>17</v>
      </c>
      <c r="O233" s="34" t="n">
        <f aca="false">N233+L233</f>
        <v>68.8</v>
      </c>
      <c r="P233" s="34" t="n">
        <f aca="false">N233+M233</f>
        <v>69</v>
      </c>
      <c r="Q233" s="16" t="n">
        <v>80</v>
      </c>
      <c r="R233" s="16" t="n">
        <v>84</v>
      </c>
      <c r="S233" s="34" t="n">
        <f aca="false">(R233*70)/100</f>
        <v>58.8</v>
      </c>
      <c r="T233" s="34" t="n">
        <f aca="false">ROUNDUP(S233,0)</f>
        <v>59</v>
      </c>
      <c r="U233" s="16" t="n">
        <v>26</v>
      </c>
      <c r="V233" s="34" t="n">
        <f aca="false">U233+S233</f>
        <v>84.8</v>
      </c>
      <c r="W233" s="34" t="n">
        <f aca="false">U233+T233</f>
        <v>85</v>
      </c>
      <c r="X233" s="16" t="n">
        <v>67</v>
      </c>
      <c r="Y233" s="34" t="n">
        <f aca="false">(X233*70)/100</f>
        <v>46.9</v>
      </c>
      <c r="Z233" s="34" t="n">
        <f aca="false">ROUNDUP(Y233,0)</f>
        <v>47</v>
      </c>
      <c r="AA233" s="16" t="n">
        <v>26</v>
      </c>
      <c r="AB233" s="34" t="n">
        <f aca="false">AA233+Y233</f>
        <v>72.9</v>
      </c>
      <c r="AC233" s="34" t="n">
        <f aca="false">AA233+Z233</f>
        <v>73</v>
      </c>
      <c r="AD233" s="32" t="n">
        <f aca="false">X233+R233+Q233+K233+J233</f>
        <v>391</v>
      </c>
      <c r="AE233" s="16" t="n">
        <f aca="false">AD233/5</f>
        <v>78.2</v>
      </c>
      <c r="AF233" s="16" t="n">
        <v>73</v>
      </c>
      <c r="AG233" s="16" t="n">
        <v>92</v>
      </c>
      <c r="AH233" s="16" t="n">
        <v>84</v>
      </c>
      <c r="AI233" s="16" t="n">
        <v>89</v>
      </c>
      <c r="AJ233" s="16" t="n">
        <f aca="false">(AI233*70)/100</f>
        <v>62.3</v>
      </c>
      <c r="AK233" s="35" t="n">
        <f aca="false">ROUNDUP(AJ233,0)</f>
        <v>63</v>
      </c>
      <c r="AL233" s="16" t="n">
        <v>23</v>
      </c>
      <c r="AM233" s="16" t="n">
        <f aca="false">AL233+AJ233</f>
        <v>85.3</v>
      </c>
      <c r="AN233" s="16" t="n">
        <f aca="false">AL233+AK233</f>
        <v>86</v>
      </c>
      <c r="AO233" s="16" t="n">
        <v>76</v>
      </c>
      <c r="AP233" s="36" t="n">
        <f aca="false">(AO233*70)/100</f>
        <v>53.2</v>
      </c>
      <c r="AQ233" s="37" t="n">
        <f aca="false">ROUNDUP(AP233,0)</f>
        <v>54</v>
      </c>
      <c r="AR233" s="16" t="n">
        <v>26</v>
      </c>
      <c r="AS233" s="16" t="n">
        <f aca="false">AR233+AP233</f>
        <v>79.2</v>
      </c>
      <c r="AT233" s="16" t="n">
        <f aca="false">AR233+AQ233</f>
        <v>80</v>
      </c>
      <c r="AU233" s="16" t="n">
        <f aca="false">AO233+AF233+AI233+AH233+AG233</f>
        <v>414</v>
      </c>
      <c r="AV233" s="16" t="n">
        <f aca="false">(AO233+AF233+AI233+AH233+AG233)/5</f>
        <v>82.8</v>
      </c>
      <c r="AW233" s="36" t="n">
        <f aca="false">(AO233+AF233+AI233+AH233+AG233+X233+R233+Q233+K233+J233)</f>
        <v>805</v>
      </c>
      <c r="AX233" s="16" t="n">
        <f aca="false">AW233/10</f>
        <v>80.5</v>
      </c>
      <c r="AY233" s="16" t="n">
        <f aca="false">AS233+AF233+AM233+AH233+AG233+AB233+V233+Q233+O233+J233</f>
        <v>806</v>
      </c>
      <c r="AZ233" s="16" t="n">
        <f aca="false">AT233+AF233+AN233+AH233+AG233+AC233+W233+Q233+P233+J233</f>
        <v>808</v>
      </c>
      <c r="BA233" s="16" t="n">
        <f aca="false">AY233/10</f>
        <v>80.6</v>
      </c>
      <c r="BB233" s="16" t="n">
        <f aca="false">AZ233/10</f>
        <v>80.8</v>
      </c>
      <c r="BC233" s="16" t="n">
        <v>2370</v>
      </c>
      <c r="BD233" s="16" t="n">
        <f aca="false">RANK(AX233,$AX$2:$AX$881,0)</f>
        <v>234</v>
      </c>
      <c r="BE233" s="54" t="n">
        <f aca="false">((BC233*100)/2400)*0.4+(AX233*0.6)</f>
        <v>87.8</v>
      </c>
      <c r="BF233" s="16" t="n">
        <f aca="false">RANK(BE233,$BE$2:$BE$881,0)</f>
        <v>220</v>
      </c>
      <c r="BG233" s="39" t="n">
        <f aca="false">RANK(BB233,$BB$2:$BB$881,0)</f>
        <v>290</v>
      </c>
      <c r="BH233" s="39" t="n">
        <f aca="false">RANK(BC233,$BC$2:$BC$881,0)</f>
        <v>268</v>
      </c>
      <c r="BI233" s="22" t="s">
        <v>130</v>
      </c>
      <c r="BJ233" s="22" t="s">
        <v>129</v>
      </c>
      <c r="BK233" s="40" t="s">
        <v>131</v>
      </c>
      <c r="BL233" s="41" t="n">
        <v>19</v>
      </c>
      <c r="BM233" s="41" t="n">
        <v>56</v>
      </c>
      <c r="BN233" s="41" t="n">
        <v>75</v>
      </c>
      <c r="BO233" s="42" t="n">
        <v>23</v>
      </c>
      <c r="BP233" s="43" t="n">
        <v>63</v>
      </c>
      <c r="BQ233" s="44" t="n">
        <v>86</v>
      </c>
      <c r="BR233" s="42" t="n">
        <v>20</v>
      </c>
      <c r="BS233" s="45" t="n">
        <v>57</v>
      </c>
      <c r="BT233" s="45" t="n">
        <v>77</v>
      </c>
      <c r="BU233" s="46" t="n">
        <v>100</v>
      </c>
      <c r="BV233" s="47" t="n">
        <v>92</v>
      </c>
      <c r="BW233" s="42" t="n">
        <v>100</v>
      </c>
      <c r="BX233" s="48" t="n">
        <v>94</v>
      </c>
      <c r="BY233" s="32" t="n">
        <v>29</v>
      </c>
      <c r="BZ233" s="32" t="n">
        <v>50</v>
      </c>
      <c r="CA233" s="32" t="n">
        <v>79</v>
      </c>
      <c r="CB233" s="32" t="n">
        <v>16</v>
      </c>
      <c r="CC233" s="32" t="n">
        <v>35</v>
      </c>
      <c r="CD233" s="69" t="n">
        <v>51</v>
      </c>
      <c r="CE233" s="32" t="n">
        <v>27</v>
      </c>
      <c r="CF233" s="32" t="n">
        <v>47</v>
      </c>
      <c r="CG233" s="32" t="n">
        <v>74</v>
      </c>
      <c r="CH233" s="32" t="n">
        <v>98</v>
      </c>
      <c r="CI233" s="32" t="n">
        <v>98</v>
      </c>
      <c r="CJ233" s="49" t="n">
        <v>23</v>
      </c>
      <c r="CK233" s="49" t="n">
        <v>50</v>
      </c>
      <c r="CL233" s="49" t="n">
        <v>73</v>
      </c>
      <c r="CM233" s="49" t="n">
        <v>26</v>
      </c>
      <c r="CN233" s="49" t="n">
        <v>53</v>
      </c>
      <c r="CO233" s="49" t="n">
        <v>79</v>
      </c>
      <c r="CP233" s="25" t="n">
        <f aca="false">BX233+BW233+BV233+BU233+BT233+BQ233+BN233</f>
        <v>624</v>
      </c>
      <c r="CQ233" s="25" t="n">
        <f aca="false">CO233+CL233+CI233+CH233+CG233+CD233+CA233</f>
        <v>552</v>
      </c>
      <c r="CR233" s="26" t="n">
        <f aca="false">CP233/7</f>
        <v>89.1428571428571</v>
      </c>
      <c r="CS233" s="26" t="n">
        <f aca="false">CQ233/7</f>
        <v>78.8571428571429</v>
      </c>
      <c r="CT233" s="24" t="n">
        <f aca="false">RANK(CR233,$CR$2:$CR$881,0)</f>
        <v>235</v>
      </c>
      <c r="CU233" s="25" t="n">
        <f aca="false">RANK(CS233,$CS$2:$CS$881,0)</f>
        <v>305</v>
      </c>
      <c r="CV233" s="26" t="n">
        <f aca="false">(CS233+CR233)/2</f>
        <v>84</v>
      </c>
      <c r="CW233" s="25" t="n">
        <f aca="false">RANK(CV233,$CV$2:$CV$881,0)</f>
        <v>263</v>
      </c>
      <c r="CX233" s="50" t="n">
        <f aca="false">(CV233+BB233)/2</f>
        <v>82.4</v>
      </c>
      <c r="CY233" s="50" t="n">
        <v>241</v>
      </c>
      <c r="CZ233" s="27" t="s">
        <v>132</v>
      </c>
      <c r="DA233" s="27" t="s">
        <v>175</v>
      </c>
      <c r="DB233" s="27" t="s">
        <v>175</v>
      </c>
      <c r="DC233" s="27" t="s">
        <v>134</v>
      </c>
      <c r="DD233" s="27" t="s">
        <v>182</v>
      </c>
      <c r="DE233" s="27" t="s">
        <v>306</v>
      </c>
      <c r="DF233" s="27" t="s">
        <v>272</v>
      </c>
      <c r="DG233" s="27" t="s">
        <v>134</v>
      </c>
      <c r="DH233" s="27" t="s">
        <v>182</v>
      </c>
      <c r="DI233" s="27" t="s">
        <v>204</v>
      </c>
      <c r="DJ233" s="27" t="s">
        <v>169</v>
      </c>
      <c r="DK233" s="27" t="s">
        <v>134</v>
      </c>
      <c r="DL233" s="27" t="s">
        <v>160</v>
      </c>
      <c r="DM233" s="27" t="s">
        <v>306</v>
      </c>
      <c r="DN233" s="27" t="s">
        <v>169</v>
      </c>
      <c r="DO233" s="27" t="s">
        <v>134</v>
      </c>
      <c r="DP233" s="27" t="s">
        <v>264</v>
      </c>
      <c r="DQ233" s="27" t="s">
        <v>313</v>
      </c>
      <c r="DR233" s="27" t="s">
        <v>416</v>
      </c>
      <c r="DS233" s="27" t="s">
        <v>134</v>
      </c>
      <c r="DT233" s="27" t="s">
        <v>146</v>
      </c>
      <c r="DU233" s="27" t="s">
        <v>313</v>
      </c>
      <c r="DV233" s="27" t="s">
        <v>205</v>
      </c>
      <c r="DW233" s="27" t="s">
        <v>164</v>
      </c>
      <c r="DX233" s="27" t="s">
        <v>155</v>
      </c>
      <c r="DY233" s="27" t="s">
        <v>144</v>
      </c>
      <c r="DZ233" s="27" t="n">
        <f aca="false">DY233+DV233+DR233+DN233+DJ233+DF233+DB233</f>
        <v>580</v>
      </c>
      <c r="EA233" s="28" t="n">
        <f aca="false">DZ233/7</f>
        <v>82.8571428571429</v>
      </c>
      <c r="EB233" s="27" t="n">
        <f aca="false">RANK(EA233,$EA$2:$EA$881,0)</f>
        <v>275</v>
      </c>
      <c r="EC233" s="29" t="n">
        <f aca="false">DZ233+CQ233+CP233+AZ233</f>
        <v>2564</v>
      </c>
      <c r="ED233" s="30" t="n">
        <f aca="false">(EA233+CV233+BB233)/3</f>
        <v>82.5523809523809</v>
      </c>
      <c r="EE233" s="51" t="n">
        <f aca="false">ROUND(BE233,3)</f>
        <v>87.8</v>
      </c>
      <c r="EF233" s="51" t="n">
        <f aca="false">ROUND(CR233,3)</f>
        <v>89.143</v>
      </c>
      <c r="EG233" s="51" t="n">
        <f aca="false">ROUND(CS233,3)</f>
        <v>78.857</v>
      </c>
      <c r="EH233" s="51" t="n">
        <f aca="false">ROUND(EA233,3)</f>
        <v>82.857</v>
      </c>
      <c r="EI233" s="51" t="n">
        <f aca="false">ROUND(ED233,3)</f>
        <v>82.552</v>
      </c>
      <c r="EJ233" s="51" t="n">
        <f aca="false">ROUND(CV233,3)</f>
        <v>84</v>
      </c>
      <c r="EK233" s="0" t="n">
        <f aca="false">RANK(EI233,$EI$2:$EI$881,0)</f>
        <v>232</v>
      </c>
    </row>
    <row r="234" customFormat="false" ht="15" hidden="false" customHeight="false" outlineLevel="0" collapsed="false">
      <c r="A234" s="4" t="n">
        <v>1824</v>
      </c>
      <c r="B234" s="4" t="n">
        <v>417</v>
      </c>
      <c r="C234" s="27" t="s">
        <v>855</v>
      </c>
      <c r="D234" s="31" t="n">
        <v>421</v>
      </c>
      <c r="E234" s="32" t="n">
        <v>230321031</v>
      </c>
      <c r="F234" s="8" t="s">
        <v>856</v>
      </c>
      <c r="G234" s="22" t="s">
        <v>368</v>
      </c>
      <c r="H234" s="22" t="s">
        <v>129</v>
      </c>
      <c r="I234" s="33" t="n">
        <v>2006</v>
      </c>
      <c r="J234" s="32" t="n">
        <v>65</v>
      </c>
      <c r="K234" s="32" t="n">
        <v>85</v>
      </c>
      <c r="L234" s="34" t="n">
        <f aca="false">(K234*70)/100</f>
        <v>59.5</v>
      </c>
      <c r="M234" s="34" t="n">
        <f aca="false">ROUNDUP(L234,0)</f>
        <v>60</v>
      </c>
      <c r="N234" s="32" t="n">
        <v>26</v>
      </c>
      <c r="O234" s="34" t="n">
        <f aca="false">N234+L234</f>
        <v>85.5</v>
      </c>
      <c r="P234" s="34" t="n">
        <f aca="false">N234+M234</f>
        <v>86</v>
      </c>
      <c r="Q234" s="32" t="n">
        <v>81</v>
      </c>
      <c r="R234" s="32" t="n">
        <v>78</v>
      </c>
      <c r="S234" s="34" t="n">
        <f aca="false">(R234*70)/100</f>
        <v>54.6</v>
      </c>
      <c r="T234" s="34" t="n">
        <f aca="false">ROUNDUP(S234,0)</f>
        <v>55</v>
      </c>
      <c r="U234" s="32" t="n">
        <v>22</v>
      </c>
      <c r="V234" s="34" t="n">
        <f aca="false">U234+S234</f>
        <v>76.6</v>
      </c>
      <c r="W234" s="34" t="n">
        <f aca="false">U234+T234</f>
        <v>77</v>
      </c>
      <c r="X234" s="32" t="n">
        <v>74</v>
      </c>
      <c r="Y234" s="34" t="n">
        <f aca="false">(X234*70)/100</f>
        <v>51.8</v>
      </c>
      <c r="Z234" s="34" t="n">
        <f aca="false">ROUNDUP(Y234,0)</f>
        <v>52</v>
      </c>
      <c r="AA234" s="32" t="n">
        <v>19</v>
      </c>
      <c r="AB234" s="34" t="n">
        <f aca="false">AA234+Y234</f>
        <v>70.8</v>
      </c>
      <c r="AC234" s="34" t="n">
        <f aca="false">AA234+Z234</f>
        <v>71</v>
      </c>
      <c r="AD234" s="32" t="n">
        <f aca="false">X234+R234+Q234+K234+J234</f>
        <v>383</v>
      </c>
      <c r="AE234" s="16" t="n">
        <f aca="false">AD234/5</f>
        <v>76.6</v>
      </c>
      <c r="AF234" s="16" t="n">
        <v>68</v>
      </c>
      <c r="AG234" s="16" t="n">
        <v>69</v>
      </c>
      <c r="AH234" s="16" t="n">
        <v>89</v>
      </c>
      <c r="AI234" s="16" t="n">
        <v>86</v>
      </c>
      <c r="AJ234" s="16" t="n">
        <f aca="false">(AI234*70)/100</f>
        <v>60.2</v>
      </c>
      <c r="AK234" s="35" t="n">
        <f aca="false">ROUNDUP(AJ234,0)</f>
        <v>61</v>
      </c>
      <c r="AL234" s="16" t="n">
        <v>20</v>
      </c>
      <c r="AM234" s="16" t="n">
        <f aca="false">AL234+AJ234</f>
        <v>80.2</v>
      </c>
      <c r="AN234" s="16" t="n">
        <f aca="false">AL234+AK234</f>
        <v>81</v>
      </c>
      <c r="AO234" s="16" t="n">
        <v>75</v>
      </c>
      <c r="AP234" s="36" t="n">
        <f aca="false">(AO234*70)/100</f>
        <v>52.5</v>
      </c>
      <c r="AQ234" s="37" t="n">
        <f aca="false">ROUNDUP(AP234,0)</f>
        <v>53</v>
      </c>
      <c r="AR234" s="16" t="n">
        <v>27</v>
      </c>
      <c r="AS234" s="16" t="n">
        <f aca="false">AR234+AP234</f>
        <v>79.5</v>
      </c>
      <c r="AT234" s="16" t="n">
        <f aca="false">AR234+AQ234</f>
        <v>80</v>
      </c>
      <c r="AU234" s="16" t="n">
        <f aca="false">AO234+AF234+AI234+AH234+AG234</f>
        <v>387</v>
      </c>
      <c r="AV234" s="16" t="n">
        <f aca="false">(AO234+AF234+AI234+AH234+AG234)/5</f>
        <v>77.4</v>
      </c>
      <c r="AW234" s="36" t="n">
        <f aca="false">(AO234+AF234+AI234+AH234+AG234+X234+R234+Q234+K234+J234)</f>
        <v>770</v>
      </c>
      <c r="AX234" s="16" t="n">
        <f aca="false">AW234/10</f>
        <v>77</v>
      </c>
      <c r="AY234" s="16" t="n">
        <f aca="false">AS234+AF234+AM234+AH234+AG234+AB234+V234+Q234+O234+J234</f>
        <v>764.6</v>
      </c>
      <c r="AZ234" s="16" t="n">
        <f aca="false">AT234+AF234+AN234+AH234+AG234+AC234+W234+Q234+P234+J234</f>
        <v>767</v>
      </c>
      <c r="BA234" s="16" t="n">
        <f aca="false">AY234/10</f>
        <v>76.46</v>
      </c>
      <c r="BB234" s="16" t="n">
        <f aca="false">AZ234/10</f>
        <v>76.7</v>
      </c>
      <c r="BC234" s="16" t="n">
        <v>2354</v>
      </c>
      <c r="BD234" s="16" t="n">
        <f aca="false">RANK(AX234,$AX$2:$AX$881,0)</f>
        <v>508</v>
      </c>
      <c r="BE234" s="54" t="n">
        <f aca="false">((BC234*100)/2400)*0.4+(AX234*0.6)</f>
        <v>85.4333333333333</v>
      </c>
      <c r="BF234" s="16" t="n">
        <f aca="false">RANK(BE234,$BE$2:$BE$881,0)</f>
        <v>523</v>
      </c>
      <c r="BG234" s="39" t="n">
        <f aca="false">RANK(BB234,$BB$2:$BB$881,0)</f>
        <v>658</v>
      </c>
      <c r="BH234" s="39" t="n">
        <f aca="false">RANK(BC234,$BC$2:$BC$881,0)</f>
        <v>490</v>
      </c>
      <c r="BI234" s="22" t="s">
        <v>130</v>
      </c>
      <c r="BJ234" s="22" t="s">
        <v>129</v>
      </c>
      <c r="BK234" s="40" t="s">
        <v>509</v>
      </c>
      <c r="BL234" s="41" t="n">
        <v>20</v>
      </c>
      <c r="BM234" s="41" t="n">
        <v>59</v>
      </c>
      <c r="BN234" s="41" t="n">
        <v>79</v>
      </c>
      <c r="BO234" s="42" t="n">
        <v>23</v>
      </c>
      <c r="BP234" s="43" t="n">
        <v>64</v>
      </c>
      <c r="BQ234" s="44" t="n">
        <v>87</v>
      </c>
      <c r="BR234" s="42" t="n">
        <v>22</v>
      </c>
      <c r="BS234" s="45" t="n">
        <v>58</v>
      </c>
      <c r="BT234" s="45" t="n">
        <v>80</v>
      </c>
      <c r="BU234" s="82" t="n">
        <v>100</v>
      </c>
      <c r="BV234" s="47" t="n">
        <v>82</v>
      </c>
      <c r="BW234" s="42" t="n">
        <v>99</v>
      </c>
      <c r="BX234" s="48" t="n">
        <v>96</v>
      </c>
      <c r="BY234" s="32" t="n">
        <v>26</v>
      </c>
      <c r="BZ234" s="32" t="n">
        <v>67</v>
      </c>
      <c r="CA234" s="32" t="n">
        <v>93</v>
      </c>
      <c r="CB234" s="32" t="n">
        <v>22</v>
      </c>
      <c r="CC234" s="32" t="n">
        <v>39</v>
      </c>
      <c r="CD234" s="32" t="n">
        <v>61</v>
      </c>
      <c r="CE234" s="32" t="n">
        <v>25</v>
      </c>
      <c r="CF234" s="32" t="n">
        <v>55</v>
      </c>
      <c r="CG234" s="32" t="n">
        <v>80</v>
      </c>
      <c r="CH234" s="32" t="n">
        <v>93</v>
      </c>
      <c r="CI234" s="32" t="n">
        <v>89</v>
      </c>
      <c r="CJ234" s="49" t="n">
        <v>29</v>
      </c>
      <c r="CK234" s="58" t="n">
        <v>49</v>
      </c>
      <c r="CL234" s="59" t="n">
        <v>78</v>
      </c>
      <c r="CM234" s="49" t="n">
        <v>23</v>
      </c>
      <c r="CN234" s="49" t="n">
        <v>53</v>
      </c>
      <c r="CO234" s="49" t="n">
        <v>76</v>
      </c>
      <c r="CP234" s="25" t="n">
        <f aca="false">BX234+BW234+BV234+BU234+BT234+BQ234+BN234</f>
        <v>623</v>
      </c>
      <c r="CQ234" s="25" t="n">
        <f aca="false">CO234+CL234+CI234+CH234+CG234+CD234+CA234</f>
        <v>570</v>
      </c>
      <c r="CR234" s="26" t="n">
        <f aca="false">CP234/7</f>
        <v>89</v>
      </c>
      <c r="CS234" s="26" t="n">
        <f aca="false">CQ234/7</f>
        <v>81.4285714285714</v>
      </c>
      <c r="CT234" s="24" t="n">
        <f aca="false">RANK(CR234,$CR$2:$CR$881,0)</f>
        <v>244</v>
      </c>
      <c r="CU234" s="25" t="n">
        <f aca="false">RANK(CS234,$CS$2:$CS$881,0)</f>
        <v>211</v>
      </c>
      <c r="CV234" s="26" t="n">
        <f aca="false">(CS234+CR234)/2</f>
        <v>85.2142857142857</v>
      </c>
      <c r="CW234" s="25" t="n">
        <f aca="false">RANK(CV234,$CV$2:$CV$881,0)</f>
        <v>204</v>
      </c>
      <c r="CX234" s="50" t="n">
        <f aca="false">(CV234+BB234)/2</f>
        <v>80.9571428571429</v>
      </c>
      <c r="CY234" s="50" t="n">
        <v>461</v>
      </c>
      <c r="CZ234" s="27" t="s">
        <v>132</v>
      </c>
      <c r="DA234" s="27" t="s">
        <v>153</v>
      </c>
      <c r="DB234" s="27" t="s">
        <v>153</v>
      </c>
      <c r="DC234" s="27" t="s">
        <v>134</v>
      </c>
      <c r="DD234" s="27" t="s">
        <v>135</v>
      </c>
      <c r="DE234" s="27" t="s">
        <v>218</v>
      </c>
      <c r="DF234" s="27" t="s">
        <v>205</v>
      </c>
      <c r="DG234" s="27" t="s">
        <v>134</v>
      </c>
      <c r="DH234" s="27" t="s">
        <v>191</v>
      </c>
      <c r="DI234" s="27" t="s">
        <v>204</v>
      </c>
      <c r="DJ234" s="27" t="s">
        <v>272</v>
      </c>
      <c r="DK234" s="27" t="s">
        <v>134</v>
      </c>
      <c r="DL234" s="27" t="s">
        <v>137</v>
      </c>
      <c r="DM234" s="27" t="s">
        <v>161</v>
      </c>
      <c r="DN234" s="27" t="s">
        <v>178</v>
      </c>
      <c r="DO234" s="27" t="s">
        <v>134</v>
      </c>
      <c r="DP234" s="27" t="s">
        <v>182</v>
      </c>
      <c r="DQ234" s="27" t="s">
        <v>304</v>
      </c>
      <c r="DR234" s="27" t="s">
        <v>305</v>
      </c>
      <c r="DS234" s="27" t="s">
        <v>134</v>
      </c>
      <c r="DT234" s="27" t="s">
        <v>140</v>
      </c>
      <c r="DU234" s="27" t="s">
        <v>183</v>
      </c>
      <c r="DV234" s="27" t="s">
        <v>178</v>
      </c>
      <c r="DW234" s="27" t="s">
        <v>164</v>
      </c>
      <c r="DX234" s="27" t="s">
        <v>155</v>
      </c>
      <c r="DY234" s="27" t="s">
        <v>144</v>
      </c>
      <c r="DZ234" s="27" t="n">
        <f aca="false">DY234+DV234+DR234+DN234+DJ234+DF234+DB234</f>
        <v>600</v>
      </c>
      <c r="EA234" s="28" t="n">
        <f aca="false">DZ234/7</f>
        <v>85.7142857142857</v>
      </c>
      <c r="EB234" s="27" t="n">
        <f aca="false">RANK(EA234,$EA$2:$EA$881,0)</f>
        <v>163</v>
      </c>
      <c r="EC234" s="29" t="n">
        <f aca="false">DZ234+CQ234+CP234+AZ234</f>
        <v>2560</v>
      </c>
      <c r="ED234" s="30" t="n">
        <f aca="false">(EA234+CV234+BB234)/3</f>
        <v>82.5428571428571</v>
      </c>
      <c r="EE234" s="51" t="n">
        <f aca="false">ROUND(BE234,3)</f>
        <v>85.433</v>
      </c>
      <c r="EF234" s="51" t="n">
        <f aca="false">ROUND(CR234,3)</f>
        <v>89</v>
      </c>
      <c r="EG234" s="51" t="n">
        <f aca="false">ROUND(CS234,3)</f>
        <v>81.429</v>
      </c>
      <c r="EH234" s="51" t="n">
        <f aca="false">ROUND(EA234,3)</f>
        <v>85.714</v>
      </c>
      <c r="EI234" s="51" t="n">
        <f aca="false">ROUND(ED234,3)</f>
        <v>82.543</v>
      </c>
      <c r="EJ234" s="51" t="n">
        <f aca="false">ROUND(CV234,3)</f>
        <v>85.214</v>
      </c>
      <c r="EK234" s="0" t="n">
        <f aca="false">RANK(EI234,$EI$2:$EI$881,0)</f>
        <v>233</v>
      </c>
    </row>
    <row r="235" customFormat="false" ht="15" hidden="false" customHeight="false" outlineLevel="0" collapsed="false">
      <c r="A235" s="4" t="n">
        <v>8602</v>
      </c>
      <c r="B235" s="4" t="n">
        <v>134</v>
      </c>
      <c r="C235" s="27" t="s">
        <v>857</v>
      </c>
      <c r="D235" s="31" t="n">
        <v>131</v>
      </c>
      <c r="E235" s="32" t="n">
        <v>230313904</v>
      </c>
      <c r="F235" s="8" t="s">
        <v>858</v>
      </c>
      <c r="G235" s="22" t="s">
        <v>435</v>
      </c>
      <c r="H235" s="22" t="s">
        <v>129</v>
      </c>
      <c r="I235" s="33" t="n">
        <v>2005</v>
      </c>
      <c r="J235" s="32" t="n">
        <v>86</v>
      </c>
      <c r="K235" s="32" t="n">
        <v>95</v>
      </c>
      <c r="L235" s="34" t="n">
        <f aca="false">(K235*70)/100</f>
        <v>66.5</v>
      </c>
      <c r="M235" s="34" t="n">
        <f aca="false">ROUNDUP(L235,0)</f>
        <v>67</v>
      </c>
      <c r="N235" s="32" t="n">
        <v>28</v>
      </c>
      <c r="O235" s="34" t="n">
        <f aca="false">N235+L235</f>
        <v>94.5</v>
      </c>
      <c r="P235" s="34" t="n">
        <f aca="false">N235+M235</f>
        <v>95</v>
      </c>
      <c r="Q235" s="32" t="n">
        <v>80</v>
      </c>
      <c r="R235" s="32" t="n">
        <v>94</v>
      </c>
      <c r="S235" s="34" t="n">
        <f aca="false">(R235*70)/100</f>
        <v>65.8</v>
      </c>
      <c r="T235" s="34" t="n">
        <f aca="false">ROUNDUP(S235,0)</f>
        <v>66</v>
      </c>
      <c r="U235" s="32" t="n">
        <v>27</v>
      </c>
      <c r="V235" s="34" t="n">
        <f aca="false">U235+S235</f>
        <v>92.8</v>
      </c>
      <c r="W235" s="34" t="n">
        <f aca="false">U235+T235</f>
        <v>93</v>
      </c>
      <c r="X235" s="32" t="n">
        <v>92</v>
      </c>
      <c r="Y235" s="34" t="n">
        <f aca="false">(X235*70)/100</f>
        <v>64.4</v>
      </c>
      <c r="Z235" s="34" t="n">
        <f aca="false">ROUNDUP(Y235,0)</f>
        <v>65</v>
      </c>
      <c r="AA235" s="32" t="n">
        <v>28</v>
      </c>
      <c r="AB235" s="34" t="n">
        <f aca="false">AA235+Y235</f>
        <v>92.4</v>
      </c>
      <c r="AC235" s="34" t="n">
        <f aca="false">AA235+Z235</f>
        <v>93</v>
      </c>
      <c r="AD235" s="32" t="n">
        <f aca="false">X235+R235+Q235+K235+J235</f>
        <v>447</v>
      </c>
      <c r="AE235" s="16" t="n">
        <f aca="false">AD235/5</f>
        <v>89.4</v>
      </c>
      <c r="AF235" s="16" t="n">
        <v>88</v>
      </c>
      <c r="AG235" s="16" t="n">
        <v>82</v>
      </c>
      <c r="AH235" s="16" t="n">
        <v>94</v>
      </c>
      <c r="AI235" s="16" t="n">
        <v>94</v>
      </c>
      <c r="AJ235" s="16" t="n">
        <f aca="false">(AI235*70)/100</f>
        <v>65.8</v>
      </c>
      <c r="AK235" s="35" t="n">
        <f aca="false">ROUNDUP(AJ235,0)</f>
        <v>66</v>
      </c>
      <c r="AL235" s="16" t="n">
        <v>29</v>
      </c>
      <c r="AM235" s="16" t="n">
        <f aca="false">AL235+AJ235</f>
        <v>94.8</v>
      </c>
      <c r="AN235" s="16" t="n">
        <f aca="false">AL235+AK235</f>
        <v>95</v>
      </c>
      <c r="AO235" s="16" t="n">
        <v>77</v>
      </c>
      <c r="AP235" s="36" t="n">
        <f aca="false">(AO235*70)/100</f>
        <v>53.9</v>
      </c>
      <c r="AQ235" s="37" t="n">
        <f aca="false">ROUNDUP(AP235,0)</f>
        <v>54</v>
      </c>
      <c r="AR235" s="16" t="n">
        <v>29</v>
      </c>
      <c r="AS235" s="16" t="n">
        <f aca="false">AR235+AP235</f>
        <v>82.9</v>
      </c>
      <c r="AT235" s="16" t="n">
        <f aca="false">AR235+AQ235</f>
        <v>83</v>
      </c>
      <c r="AU235" s="16" t="n">
        <f aca="false">AO235+AF235+AI235+AH235+AG235</f>
        <v>435</v>
      </c>
      <c r="AV235" s="16" t="n">
        <f aca="false">(AO235+AF235+AI235+AH235+AG235)/5</f>
        <v>87</v>
      </c>
      <c r="AW235" s="36" t="n">
        <f aca="false">(AO235+AF235+AI235+AH235+AG235+X235+R235+Q235+K235+J235)</f>
        <v>882</v>
      </c>
      <c r="AX235" s="16" t="n">
        <f aca="false">AW235/10</f>
        <v>88.2</v>
      </c>
      <c r="AY235" s="16" t="n">
        <f aca="false">AS235+AF235+AM235+AH235+AG235+AB235+V235+Q235+O235+J235</f>
        <v>887.4</v>
      </c>
      <c r="AZ235" s="16" t="n">
        <f aca="false">AT235+AF235+AN235+AH235+AG235+AC235+W235+Q235+P235+J235</f>
        <v>889</v>
      </c>
      <c r="BA235" s="16" t="n">
        <f aca="false">AY235/10</f>
        <v>88.74</v>
      </c>
      <c r="BB235" s="16" t="n">
        <f aca="false">AZ235/10</f>
        <v>88.9</v>
      </c>
      <c r="BC235" s="16" t="n">
        <v>2369</v>
      </c>
      <c r="BD235" s="16" t="n">
        <f aca="false">RANK(AX235,$AX$2:$AX$881,0)</f>
        <v>33</v>
      </c>
      <c r="BE235" s="38" t="n">
        <f aca="false">((BC235*100)/2400)*0.4+(AX235*0.6)</f>
        <v>92.4033333333333</v>
      </c>
      <c r="BF235" s="16" t="n">
        <f aca="false">RANK(BE235,$BE$2:$BE$881,0)</f>
        <v>35</v>
      </c>
      <c r="BG235" s="39" t="n">
        <f aca="false">RANK(BB235,$BB$2:$BB$881,0)</f>
        <v>28</v>
      </c>
      <c r="BH235" s="39" t="n">
        <f aca="false">RANK(BC235,$BC$2:$BC$881,0)</f>
        <v>283</v>
      </c>
      <c r="BI235" s="22" t="s">
        <v>130</v>
      </c>
      <c r="BJ235" s="22" t="s">
        <v>129</v>
      </c>
      <c r="BK235" s="40" t="s">
        <v>131</v>
      </c>
      <c r="BL235" s="41" t="n">
        <v>25</v>
      </c>
      <c r="BM235" s="41" t="n">
        <v>57</v>
      </c>
      <c r="BN235" s="41" t="n">
        <v>82</v>
      </c>
      <c r="BO235" s="42" t="n">
        <v>29</v>
      </c>
      <c r="BP235" s="43" t="n">
        <v>63</v>
      </c>
      <c r="BQ235" s="44" t="n">
        <v>92</v>
      </c>
      <c r="BR235" s="42" t="n">
        <v>26</v>
      </c>
      <c r="BS235" s="45" t="n">
        <v>61</v>
      </c>
      <c r="BT235" s="45" t="n">
        <v>87</v>
      </c>
      <c r="BU235" s="46" t="n">
        <v>100</v>
      </c>
      <c r="BV235" s="47" t="n">
        <v>90</v>
      </c>
      <c r="BW235" s="42" t="n">
        <v>93</v>
      </c>
      <c r="BX235" s="48" t="n">
        <v>94</v>
      </c>
      <c r="BY235" s="32" t="n">
        <v>24</v>
      </c>
      <c r="BZ235" s="32" t="n">
        <v>48</v>
      </c>
      <c r="CA235" s="32" t="n">
        <v>72</v>
      </c>
      <c r="CB235" s="32" t="n">
        <v>28</v>
      </c>
      <c r="CC235" s="32" t="n">
        <v>38</v>
      </c>
      <c r="CD235" s="32" t="n">
        <v>66</v>
      </c>
      <c r="CE235" s="32" t="n">
        <v>25</v>
      </c>
      <c r="CF235" s="32" t="n">
        <v>59</v>
      </c>
      <c r="CG235" s="32" t="n">
        <v>84</v>
      </c>
      <c r="CH235" s="32" t="n">
        <v>99</v>
      </c>
      <c r="CI235" s="32" t="n">
        <v>98</v>
      </c>
      <c r="CJ235" s="49" t="n">
        <v>24</v>
      </c>
      <c r="CK235" s="49" t="n">
        <v>62</v>
      </c>
      <c r="CL235" s="49" t="n">
        <v>86</v>
      </c>
      <c r="CM235" s="49" t="n">
        <v>20</v>
      </c>
      <c r="CN235" s="49" t="n">
        <v>55</v>
      </c>
      <c r="CO235" s="49" t="n">
        <v>75</v>
      </c>
      <c r="CP235" s="25" t="n">
        <f aca="false">BX235+BW235+BV235+BU235+BT235+BQ235+BN235</f>
        <v>638</v>
      </c>
      <c r="CQ235" s="25" t="n">
        <f aca="false">CO235+CL235+CI235+CH235+CG235+CD235+CA235</f>
        <v>580</v>
      </c>
      <c r="CR235" s="26" t="n">
        <f aca="false">CP235/7</f>
        <v>91.1428571428571</v>
      </c>
      <c r="CS235" s="26" t="n">
        <f aca="false">CQ235/7</f>
        <v>82.8571428571429</v>
      </c>
      <c r="CT235" s="24" t="n">
        <f aca="false">RANK(CR235,$CR$2:$CR$881,0)</f>
        <v>124</v>
      </c>
      <c r="CU235" s="25" t="n">
        <f aca="false">RANK(CS235,$CS$2:$CS$881,0)</f>
        <v>161</v>
      </c>
      <c r="CV235" s="26" t="n">
        <f aca="false">(CS235+CR235)/2</f>
        <v>87</v>
      </c>
      <c r="CW235" s="25" t="n">
        <f aca="false">RANK(CV235,$CV$2:$CV$881,0)</f>
        <v>137</v>
      </c>
      <c r="CX235" s="50" t="n">
        <f aca="false">(CV235+BB235)/2</f>
        <v>87.95</v>
      </c>
      <c r="CY235" s="50" t="n">
        <v>49</v>
      </c>
      <c r="CZ235" s="27" t="s">
        <v>132</v>
      </c>
      <c r="DA235" s="27" t="s">
        <v>202</v>
      </c>
      <c r="DB235" s="27" t="s">
        <v>202</v>
      </c>
      <c r="DC235" s="27" t="s">
        <v>134</v>
      </c>
      <c r="DD235" s="27" t="s">
        <v>182</v>
      </c>
      <c r="DE235" s="27" t="s">
        <v>304</v>
      </c>
      <c r="DF235" s="27" t="s">
        <v>305</v>
      </c>
      <c r="DG235" s="27" t="s">
        <v>134</v>
      </c>
      <c r="DH235" s="27" t="s">
        <v>191</v>
      </c>
      <c r="DI235" s="27" t="s">
        <v>183</v>
      </c>
      <c r="DJ235" s="27" t="s">
        <v>305</v>
      </c>
      <c r="DK235" s="27" t="s">
        <v>134</v>
      </c>
      <c r="DL235" s="27" t="s">
        <v>164</v>
      </c>
      <c r="DM235" s="27" t="s">
        <v>220</v>
      </c>
      <c r="DN235" s="27" t="s">
        <v>169</v>
      </c>
      <c r="DO235" s="27" t="s">
        <v>134</v>
      </c>
      <c r="DP235" s="27"/>
      <c r="DQ235" s="27"/>
      <c r="DR235" s="27"/>
      <c r="DS235" s="27"/>
      <c r="DT235" s="27" t="s">
        <v>160</v>
      </c>
      <c r="DU235" s="27" t="s">
        <v>220</v>
      </c>
      <c r="DV235" s="27" t="s">
        <v>209</v>
      </c>
      <c r="DW235" s="27" t="s">
        <v>137</v>
      </c>
      <c r="DX235" s="27" t="s">
        <v>141</v>
      </c>
      <c r="DY235" s="27" t="s">
        <v>151</v>
      </c>
      <c r="DZ235" s="27" t="n">
        <f aca="false">DY235+DV235+DR235+DN235+DJ235+DF235+DB235</f>
        <v>502</v>
      </c>
      <c r="EA235" s="28" t="n">
        <f aca="false">DZ235/7</f>
        <v>71.7142857142857</v>
      </c>
      <c r="EB235" s="27" t="n">
        <f aca="false">RANK(EA235,$EA$2:$EA$881,0)</f>
        <v>617</v>
      </c>
      <c r="EC235" s="29" t="n">
        <f aca="false">DZ235+CQ235+CP235+AZ235</f>
        <v>2609</v>
      </c>
      <c r="ED235" s="30" t="n">
        <f aca="false">(EA235+CV235+BB235)/3</f>
        <v>82.5380952380952</v>
      </c>
      <c r="EE235" s="51" t="n">
        <f aca="false">ROUND(BE235,3)</f>
        <v>92.403</v>
      </c>
      <c r="EF235" s="51" t="n">
        <f aca="false">ROUND(CR235,3)</f>
        <v>91.143</v>
      </c>
      <c r="EG235" s="51" t="n">
        <f aca="false">ROUND(CS235,3)</f>
        <v>82.857</v>
      </c>
      <c r="EH235" s="51" t="n">
        <f aca="false">ROUND(EA235,3)</f>
        <v>71.714</v>
      </c>
      <c r="EI235" s="51" t="n">
        <f aca="false">ROUND(ED235,3)</f>
        <v>82.538</v>
      </c>
      <c r="EJ235" s="51" t="n">
        <f aca="false">ROUND(CV235,3)</f>
        <v>87</v>
      </c>
      <c r="EK235" s="0" t="n">
        <f aca="false">RANK(EI235,$EI$2:$EI$881,0)</f>
        <v>234</v>
      </c>
    </row>
    <row r="236" customFormat="false" ht="15" hidden="false" customHeight="false" outlineLevel="0" collapsed="false">
      <c r="A236" s="4" t="n">
        <v>2029</v>
      </c>
      <c r="B236" s="4" t="n">
        <v>615</v>
      </c>
      <c r="C236" s="27" t="s">
        <v>859</v>
      </c>
      <c r="D236" s="31" t="n">
        <v>623</v>
      </c>
      <c r="E236" s="62" t="n">
        <v>230322563</v>
      </c>
      <c r="F236" s="8" t="s">
        <v>860</v>
      </c>
      <c r="G236" s="63" t="s">
        <v>861</v>
      </c>
      <c r="H236" s="22" t="s">
        <v>129</v>
      </c>
      <c r="I236" s="64" t="n">
        <v>2005</v>
      </c>
      <c r="J236" s="62" t="n">
        <v>75</v>
      </c>
      <c r="K236" s="62" t="n">
        <v>84</v>
      </c>
      <c r="L236" s="34" t="n">
        <f aca="false">(K236*70)/100</f>
        <v>58.8</v>
      </c>
      <c r="M236" s="34" t="n">
        <f aca="false">ROUNDUP(L236,0)</f>
        <v>59</v>
      </c>
      <c r="N236" s="62" t="n">
        <v>26</v>
      </c>
      <c r="O236" s="34" t="n">
        <f aca="false">N236+L236</f>
        <v>84.8</v>
      </c>
      <c r="P236" s="34" t="n">
        <f aca="false">N236+M236</f>
        <v>85</v>
      </c>
      <c r="Q236" s="62" t="n">
        <v>65</v>
      </c>
      <c r="R236" s="62" t="n">
        <v>70</v>
      </c>
      <c r="S236" s="34" t="n">
        <f aca="false">(R236*70)/100</f>
        <v>49</v>
      </c>
      <c r="T236" s="34" t="n">
        <f aca="false">ROUNDUP(S236,0)</f>
        <v>49</v>
      </c>
      <c r="U236" s="62" t="n">
        <v>22</v>
      </c>
      <c r="V236" s="34" t="n">
        <f aca="false">U236+S236</f>
        <v>71</v>
      </c>
      <c r="W236" s="34" t="n">
        <f aca="false">U236+T236</f>
        <v>71</v>
      </c>
      <c r="X236" s="62" t="n">
        <v>76</v>
      </c>
      <c r="Y236" s="34" t="n">
        <f aca="false">(X236*70)/100</f>
        <v>53.2</v>
      </c>
      <c r="Z236" s="34" t="n">
        <f aca="false">ROUNDUP(Y236,0)</f>
        <v>54</v>
      </c>
      <c r="AA236" s="62" t="n">
        <v>25</v>
      </c>
      <c r="AB236" s="34" t="n">
        <f aca="false">AA236+Y236</f>
        <v>78.2</v>
      </c>
      <c r="AC236" s="34" t="n">
        <f aca="false">AA236+Z236</f>
        <v>79</v>
      </c>
      <c r="AD236" s="32" t="n">
        <f aca="false">X236+R236+Q236+K236+J236</f>
        <v>370</v>
      </c>
      <c r="AE236" s="16" t="n">
        <f aca="false">AD236/5</f>
        <v>74</v>
      </c>
      <c r="AF236" s="65" t="n">
        <v>62</v>
      </c>
      <c r="AG236" s="65" t="n">
        <v>84</v>
      </c>
      <c r="AH236" s="65" t="n">
        <v>88</v>
      </c>
      <c r="AI236" s="65" t="n">
        <v>86</v>
      </c>
      <c r="AJ236" s="16" t="n">
        <f aca="false">(AI236*70)/100</f>
        <v>60.2</v>
      </c>
      <c r="AK236" s="35" t="n">
        <f aca="false">ROUNDUP(AJ236,0)</f>
        <v>61</v>
      </c>
      <c r="AL236" s="65" t="n">
        <v>27</v>
      </c>
      <c r="AM236" s="16" t="n">
        <f aca="false">AL236+AJ236</f>
        <v>87.2</v>
      </c>
      <c r="AN236" s="16" t="n">
        <f aca="false">AL236+AK236</f>
        <v>88</v>
      </c>
      <c r="AO236" s="65" t="n">
        <v>69</v>
      </c>
      <c r="AP236" s="36" t="n">
        <f aca="false">(AO236*70)/100</f>
        <v>48.3</v>
      </c>
      <c r="AQ236" s="37" t="n">
        <f aca="false">ROUNDUP(AP236,0)</f>
        <v>49</v>
      </c>
      <c r="AR236" s="65" t="n">
        <v>28</v>
      </c>
      <c r="AS236" s="16" t="n">
        <f aca="false">AR236+AP236</f>
        <v>76.3</v>
      </c>
      <c r="AT236" s="16" t="n">
        <f aca="false">AR236+AQ236</f>
        <v>77</v>
      </c>
      <c r="AU236" s="16" t="n">
        <f aca="false">AO236+AF236+AI236+AH236+AG236</f>
        <v>389</v>
      </c>
      <c r="AV236" s="16" t="n">
        <f aca="false">(AO236+AF236+AI236+AH236+AG236)/5</f>
        <v>77.8</v>
      </c>
      <c r="AW236" s="36" t="n">
        <f aca="false">(AO236+AF236+AI236+AH236+AG236+X236+R236+Q236+K236+J236)</f>
        <v>759</v>
      </c>
      <c r="AX236" s="16" t="n">
        <f aca="false">AW236/10</f>
        <v>75.9</v>
      </c>
      <c r="AY236" s="16" t="n">
        <f aca="false">AS236+AF236+AM236+AH236+AG236+AB236+V236+Q236+O236+J236</f>
        <v>771.5</v>
      </c>
      <c r="AZ236" s="16" t="n">
        <f aca="false">AT236+AF236+AN236+AH236+AG236+AC236+W236+Q236+P236+J236</f>
        <v>774</v>
      </c>
      <c r="BA236" s="16" t="n">
        <f aca="false">AY236/10</f>
        <v>77.15</v>
      </c>
      <c r="BB236" s="16" t="n">
        <f aca="false">AZ236/10</f>
        <v>77.4</v>
      </c>
      <c r="BC236" s="65" t="n">
        <v>2368</v>
      </c>
      <c r="BD236" s="16" t="n">
        <f aca="false">RANK(AX236,$AX$2:$AX$881,0)</f>
        <v>628</v>
      </c>
      <c r="BE236" s="54" t="n">
        <f aca="false">((BC236*100)/2400)*0.4+(AX236*0.6)</f>
        <v>85.0066666666667</v>
      </c>
      <c r="BF236" s="16" t="n">
        <f aca="false">RANK(BE236,$BE$2:$BE$881,0)</f>
        <v>613</v>
      </c>
      <c r="BG236" s="39" t="n">
        <f aca="false">RANK(BB236,$BB$2:$BB$881,0)</f>
        <v>613</v>
      </c>
      <c r="BH236" s="39" t="n">
        <f aca="false">RANK(BC236,$BC$2:$BC$881,0)</f>
        <v>295</v>
      </c>
      <c r="BI236" s="22" t="s">
        <v>130</v>
      </c>
      <c r="BJ236" s="22" t="s">
        <v>129</v>
      </c>
      <c r="BK236" s="22" t="s">
        <v>509</v>
      </c>
      <c r="BL236" s="41" t="n">
        <v>23</v>
      </c>
      <c r="BM236" s="41" t="n">
        <v>57</v>
      </c>
      <c r="BN236" s="41" t="n">
        <v>80</v>
      </c>
      <c r="BO236" s="42" t="n">
        <v>23</v>
      </c>
      <c r="BP236" s="43" t="n">
        <v>66</v>
      </c>
      <c r="BQ236" s="44" t="n">
        <v>89</v>
      </c>
      <c r="BR236" s="42" t="n">
        <v>24</v>
      </c>
      <c r="BS236" s="45" t="n">
        <v>58</v>
      </c>
      <c r="BT236" s="45" t="n">
        <v>82</v>
      </c>
      <c r="BU236" s="46" t="n">
        <v>100</v>
      </c>
      <c r="BV236" s="47" t="n">
        <v>86</v>
      </c>
      <c r="BW236" s="42" t="n">
        <v>100</v>
      </c>
      <c r="BX236" s="48" t="n">
        <v>90</v>
      </c>
      <c r="BY236" s="32" t="n">
        <v>26</v>
      </c>
      <c r="BZ236" s="32" t="n">
        <v>53</v>
      </c>
      <c r="CA236" s="32" t="n">
        <v>79</v>
      </c>
      <c r="CB236" s="32" t="n">
        <v>24</v>
      </c>
      <c r="CC236" s="32" t="n">
        <v>43</v>
      </c>
      <c r="CD236" s="32" t="n">
        <v>67</v>
      </c>
      <c r="CE236" s="32" t="n">
        <v>23</v>
      </c>
      <c r="CF236" s="32" t="n">
        <v>54</v>
      </c>
      <c r="CG236" s="32" t="n">
        <v>77</v>
      </c>
      <c r="CH236" s="32" t="n">
        <v>93</v>
      </c>
      <c r="CI236" s="32" t="n">
        <v>96</v>
      </c>
      <c r="CJ236" s="49" t="n">
        <v>29</v>
      </c>
      <c r="CK236" s="49" t="n">
        <v>51</v>
      </c>
      <c r="CL236" s="49" t="n">
        <v>80</v>
      </c>
      <c r="CM236" s="49" t="n">
        <v>23</v>
      </c>
      <c r="CN236" s="49" t="n">
        <v>58</v>
      </c>
      <c r="CO236" s="49" t="n">
        <v>81</v>
      </c>
      <c r="CP236" s="25" t="n">
        <f aca="false">BX236+BW236+BV236+BU236+BT236+BQ236+BN236</f>
        <v>627</v>
      </c>
      <c r="CQ236" s="25" t="n">
        <f aca="false">CO236+CL236+CI236+CH236+CG236+CD236+CA236</f>
        <v>573</v>
      </c>
      <c r="CR236" s="26" t="n">
        <f aca="false">CP236/7</f>
        <v>89.5714285714286</v>
      </c>
      <c r="CS236" s="26" t="n">
        <f aca="false">CQ236/7</f>
        <v>81.8571428571429</v>
      </c>
      <c r="CT236" s="24" t="n">
        <f aca="false">RANK(CR236,$CR$2:$CR$881,0)</f>
        <v>209</v>
      </c>
      <c r="CU236" s="25" t="n">
        <f aca="false">RANK(CS236,$CS$2:$CS$881,0)</f>
        <v>197</v>
      </c>
      <c r="CV236" s="26" t="n">
        <f aca="false">(CS236+CR236)/2</f>
        <v>85.7142857142857</v>
      </c>
      <c r="CW236" s="25" t="n">
        <f aca="false">RANK(CV236,$CV$2:$CV$881,0)</f>
        <v>184</v>
      </c>
      <c r="CX236" s="50" t="n">
        <f aca="false">(CV236+BB236)/2</f>
        <v>81.5571428571429</v>
      </c>
      <c r="CY236" s="50" t="n">
        <v>290</v>
      </c>
      <c r="CZ236" s="27" t="s">
        <v>132</v>
      </c>
      <c r="DA236" s="27" t="s">
        <v>169</v>
      </c>
      <c r="DB236" s="27" t="s">
        <v>169</v>
      </c>
      <c r="DC236" s="27" t="s">
        <v>134</v>
      </c>
      <c r="DD236" s="27" t="s">
        <v>140</v>
      </c>
      <c r="DE236" s="27" t="s">
        <v>136</v>
      </c>
      <c r="DF236" s="27" t="s">
        <v>176</v>
      </c>
      <c r="DG236" s="27" t="s">
        <v>134</v>
      </c>
      <c r="DH236" s="27" t="s">
        <v>135</v>
      </c>
      <c r="DI236" s="27" t="s">
        <v>161</v>
      </c>
      <c r="DJ236" s="27" t="s">
        <v>202</v>
      </c>
      <c r="DK236" s="27" t="s">
        <v>134</v>
      </c>
      <c r="DL236" s="27" t="s">
        <v>182</v>
      </c>
      <c r="DM236" s="27" t="s">
        <v>218</v>
      </c>
      <c r="DN236" s="27" t="s">
        <v>196</v>
      </c>
      <c r="DO236" s="27" t="s">
        <v>134</v>
      </c>
      <c r="DP236" s="27" t="s">
        <v>485</v>
      </c>
      <c r="DQ236" s="27" t="s">
        <v>203</v>
      </c>
      <c r="DR236" s="27" t="s">
        <v>272</v>
      </c>
      <c r="DS236" s="27" t="s">
        <v>134</v>
      </c>
      <c r="DT236" s="27" t="s">
        <v>182</v>
      </c>
      <c r="DU236" s="27" t="s">
        <v>313</v>
      </c>
      <c r="DV236" s="27" t="s">
        <v>443</v>
      </c>
      <c r="DW236" s="27" t="s">
        <v>182</v>
      </c>
      <c r="DX236" s="27" t="s">
        <v>155</v>
      </c>
      <c r="DY236" s="27" t="s">
        <v>156</v>
      </c>
      <c r="DZ236" s="27" t="n">
        <f aca="false">DY236+DV236+DR236+DN236+DJ236+DF236+DB236</f>
        <v>591</v>
      </c>
      <c r="EA236" s="28" t="n">
        <f aca="false">DZ236/7</f>
        <v>84.4285714285714</v>
      </c>
      <c r="EB236" s="27" t="n">
        <f aca="false">RANK(EA236,$EA$2:$EA$881,0)</f>
        <v>205</v>
      </c>
      <c r="EC236" s="29" t="n">
        <f aca="false">DZ236+CQ236+CP236+AZ236</f>
        <v>2565</v>
      </c>
      <c r="ED236" s="30" t="n">
        <f aca="false">(EA236+CV236+BB236)/3</f>
        <v>82.5142857142857</v>
      </c>
      <c r="EE236" s="51" t="n">
        <f aca="false">ROUND(BE236,3)</f>
        <v>85.007</v>
      </c>
      <c r="EF236" s="51" t="n">
        <f aca="false">ROUND(CR236,3)</f>
        <v>89.571</v>
      </c>
      <c r="EG236" s="51" t="n">
        <f aca="false">ROUND(CS236,3)</f>
        <v>81.857</v>
      </c>
      <c r="EH236" s="51" t="n">
        <f aca="false">ROUND(EA236,3)</f>
        <v>84.429</v>
      </c>
      <c r="EI236" s="51" t="n">
        <f aca="false">ROUND(ED236,3)</f>
        <v>82.514</v>
      </c>
      <c r="EJ236" s="51" t="n">
        <f aca="false">ROUND(CV236,3)</f>
        <v>85.714</v>
      </c>
      <c r="EK236" s="0" t="n">
        <f aca="false">RANK(EI236,$EI$2:$EI$881,0)</f>
        <v>235</v>
      </c>
    </row>
    <row r="237" customFormat="false" ht="15" hidden="false" customHeight="false" outlineLevel="0" collapsed="false">
      <c r="A237" s="4" t="n">
        <v>8604</v>
      </c>
      <c r="B237" s="4" t="n">
        <v>125</v>
      </c>
      <c r="C237" s="27" t="s">
        <v>862</v>
      </c>
      <c r="D237" s="31" t="n">
        <v>123</v>
      </c>
      <c r="E237" s="16" t="n">
        <v>230239701</v>
      </c>
      <c r="F237" s="56" t="s">
        <v>863</v>
      </c>
      <c r="G237" s="22" t="s">
        <v>422</v>
      </c>
      <c r="H237" s="22" t="s">
        <v>326</v>
      </c>
      <c r="I237" s="57"/>
      <c r="J237" s="16" t="n">
        <v>67</v>
      </c>
      <c r="K237" s="16" t="n">
        <v>74</v>
      </c>
      <c r="L237" s="34" t="n">
        <f aca="false">(K237*70)/100</f>
        <v>51.8</v>
      </c>
      <c r="M237" s="34" t="n">
        <f aca="false">ROUNDUP(L237,0)</f>
        <v>52</v>
      </c>
      <c r="N237" s="16" t="n">
        <v>26</v>
      </c>
      <c r="O237" s="34" t="n">
        <f aca="false">N237+L237</f>
        <v>77.8</v>
      </c>
      <c r="P237" s="34" t="n">
        <f aca="false">N237+M237</f>
        <v>78</v>
      </c>
      <c r="Q237" s="16" t="n">
        <v>79</v>
      </c>
      <c r="R237" s="16" t="n">
        <v>76</v>
      </c>
      <c r="S237" s="34" t="n">
        <f aca="false">(R237*70)/100</f>
        <v>53.2</v>
      </c>
      <c r="T237" s="34" t="n">
        <f aca="false">ROUNDUP(S237,0)</f>
        <v>54</v>
      </c>
      <c r="U237" s="16" t="n">
        <v>26</v>
      </c>
      <c r="V237" s="34" t="n">
        <f aca="false">U237+S237</f>
        <v>79.2</v>
      </c>
      <c r="W237" s="34" t="n">
        <f aca="false">U237+T237</f>
        <v>80</v>
      </c>
      <c r="X237" s="16" t="n">
        <v>61</v>
      </c>
      <c r="Y237" s="34" t="n">
        <f aca="false">(X237*70)/100</f>
        <v>42.7</v>
      </c>
      <c r="Z237" s="34" t="n">
        <f aca="false">ROUNDUP(Y237,0)</f>
        <v>43</v>
      </c>
      <c r="AA237" s="16" t="n">
        <v>28</v>
      </c>
      <c r="AB237" s="34" t="n">
        <f aca="false">AA237+Y237</f>
        <v>70.7</v>
      </c>
      <c r="AC237" s="34" t="n">
        <f aca="false">AA237+Z237</f>
        <v>71</v>
      </c>
      <c r="AD237" s="32" t="n">
        <f aca="false">X237+R237+Q237+K237+J237</f>
        <v>357</v>
      </c>
      <c r="AE237" s="16" t="n">
        <f aca="false">AD237/5</f>
        <v>71.4</v>
      </c>
      <c r="AF237" s="16" t="n">
        <v>73</v>
      </c>
      <c r="AG237" s="16" t="n">
        <v>89</v>
      </c>
      <c r="AH237" s="16" t="n">
        <v>91</v>
      </c>
      <c r="AI237" s="16" t="n">
        <v>94</v>
      </c>
      <c r="AJ237" s="16" t="n">
        <f aca="false">(AI237*70)/100</f>
        <v>65.8</v>
      </c>
      <c r="AK237" s="35" t="n">
        <f aca="false">ROUNDUP(AJ237,0)</f>
        <v>66</v>
      </c>
      <c r="AL237" s="16" t="n">
        <v>25</v>
      </c>
      <c r="AM237" s="16" t="n">
        <f aca="false">AL237+AJ237</f>
        <v>90.8</v>
      </c>
      <c r="AN237" s="16" t="n">
        <f aca="false">AL237+AK237</f>
        <v>91</v>
      </c>
      <c r="AO237" s="16" t="n">
        <v>72</v>
      </c>
      <c r="AP237" s="36" t="n">
        <f aca="false">(AO237*70)/100</f>
        <v>50.4</v>
      </c>
      <c r="AQ237" s="37" t="n">
        <f aca="false">ROUNDUP(AP237,0)</f>
        <v>51</v>
      </c>
      <c r="AR237" s="16" t="n">
        <v>28</v>
      </c>
      <c r="AS237" s="16" t="n">
        <f aca="false">AR237+AP237</f>
        <v>78.4</v>
      </c>
      <c r="AT237" s="16" t="n">
        <f aca="false">AR237+AQ237</f>
        <v>79</v>
      </c>
      <c r="AU237" s="16" t="n">
        <f aca="false">AO237+AF237+AI237+AH237+AG237</f>
        <v>419</v>
      </c>
      <c r="AV237" s="16" t="n">
        <f aca="false">(AO237+AF237+AI237+AH237+AG237)/5</f>
        <v>83.8</v>
      </c>
      <c r="AW237" s="36" t="n">
        <f aca="false">(AO237+AF237+AI237+AH237+AG237+X237+R237+Q237+K237+J237)</f>
        <v>776</v>
      </c>
      <c r="AX237" s="16" t="n">
        <f aca="false">AW237/10</f>
        <v>77.6</v>
      </c>
      <c r="AY237" s="16" t="n">
        <f aca="false">AS237+AF237+AM237+AH237+AG237+AB237+V237+Q237+O237+J237</f>
        <v>795.9</v>
      </c>
      <c r="AZ237" s="16" t="n">
        <f aca="false">AT237+AF237+AN237+AH237+AG237+AC237+W237+Q237+P237+J237</f>
        <v>798</v>
      </c>
      <c r="BA237" s="16" t="n">
        <f aca="false">AY237/10</f>
        <v>79.59</v>
      </c>
      <c r="BB237" s="16" t="n">
        <f aca="false">AZ237/10</f>
        <v>79.8</v>
      </c>
      <c r="BC237" s="16" t="n">
        <v>2389</v>
      </c>
      <c r="BD237" s="16" t="n">
        <f aca="false">RANK(AX237,$AX$2:$AX$881,0)</f>
        <v>444</v>
      </c>
      <c r="BE237" s="54" t="n">
        <f aca="false">((BC237*100)/2400)*0.4+(AX237*0.6)</f>
        <v>86.3766666666667</v>
      </c>
      <c r="BF237" s="16" t="n">
        <f aca="false">RANK(BE237,$BE$2:$BE$881,0)</f>
        <v>367</v>
      </c>
      <c r="BG237" s="39" t="n">
        <f aca="false">RANK(BB237,$BB$2:$BB$881,0)</f>
        <v>369</v>
      </c>
      <c r="BH237" s="39" t="n">
        <f aca="false">RANK(BC237,$BC$2:$BC$881,0)</f>
        <v>59</v>
      </c>
      <c r="BI237" s="22" t="s">
        <v>130</v>
      </c>
      <c r="BJ237" s="22" t="s">
        <v>129</v>
      </c>
      <c r="BK237" s="40" t="s">
        <v>131</v>
      </c>
      <c r="BL237" s="41" t="n">
        <v>21</v>
      </c>
      <c r="BM237" s="41" t="n">
        <v>53</v>
      </c>
      <c r="BN237" s="41" t="n">
        <v>74</v>
      </c>
      <c r="BO237" s="42" t="n">
        <v>23</v>
      </c>
      <c r="BP237" s="43" t="n">
        <v>57</v>
      </c>
      <c r="BQ237" s="44" t="n">
        <v>80</v>
      </c>
      <c r="BR237" s="42" t="n">
        <v>22</v>
      </c>
      <c r="BS237" s="45" t="n">
        <v>64</v>
      </c>
      <c r="BT237" s="45" t="n">
        <v>86</v>
      </c>
      <c r="BU237" s="46" t="n">
        <v>100</v>
      </c>
      <c r="BV237" s="47" t="n">
        <v>86</v>
      </c>
      <c r="BW237" s="42" t="n">
        <v>96</v>
      </c>
      <c r="BX237" s="48" t="n">
        <v>96</v>
      </c>
      <c r="BY237" s="32" t="n">
        <v>26</v>
      </c>
      <c r="BZ237" s="32" t="n">
        <v>59</v>
      </c>
      <c r="CA237" s="32" t="n">
        <v>85</v>
      </c>
      <c r="CB237" s="32" t="n">
        <v>24</v>
      </c>
      <c r="CC237" s="60"/>
      <c r="CD237" s="60"/>
      <c r="CE237" s="32" t="n">
        <v>27</v>
      </c>
      <c r="CF237" s="32" t="n">
        <v>49</v>
      </c>
      <c r="CG237" s="32" t="n">
        <v>76</v>
      </c>
      <c r="CH237" s="32" t="n">
        <v>98</v>
      </c>
      <c r="CI237" s="32" t="n">
        <v>98</v>
      </c>
      <c r="CJ237" s="49" t="n">
        <v>20</v>
      </c>
      <c r="CK237" s="49" t="n">
        <v>52</v>
      </c>
      <c r="CL237" s="49" t="n">
        <v>72</v>
      </c>
      <c r="CM237" s="49" t="n">
        <v>25</v>
      </c>
      <c r="CN237" s="49" t="n">
        <v>56</v>
      </c>
      <c r="CO237" s="49" t="n">
        <v>81</v>
      </c>
      <c r="CP237" s="25" t="n">
        <f aca="false">BX237+BW237+BV237+BU237+BT237+BQ237+BN237</f>
        <v>618</v>
      </c>
      <c r="CQ237" s="25" t="n">
        <f aca="false">CO237+CL237+CI237+CH237+CG237+CD237+CA237</f>
        <v>510</v>
      </c>
      <c r="CR237" s="26" t="n">
        <f aca="false">CP237/7</f>
        <v>88.2857142857143</v>
      </c>
      <c r="CS237" s="26" t="n">
        <f aca="false">CQ237/7</f>
        <v>72.8571428571429</v>
      </c>
      <c r="CT237" s="24" t="n">
        <f aca="false">RANK(CR237,$CR$2:$CR$881,0)</f>
        <v>287</v>
      </c>
      <c r="CU237" s="25" t="n">
        <f aca="false">RANK(CS237,$CS$2:$CS$881,0)</f>
        <v>486</v>
      </c>
      <c r="CV237" s="26" t="n">
        <f aca="false">(CS237+CR237)/2</f>
        <v>80.5714285714286</v>
      </c>
      <c r="CW237" s="25" t="n">
        <f aca="false">RANK(CV237,$CV$2:$CV$881,0)</f>
        <v>406</v>
      </c>
      <c r="CX237" s="50" t="n">
        <f aca="false">(CV237+BB237)/2</f>
        <v>80.1857142857143</v>
      </c>
      <c r="CY237" s="50" t="n">
        <v>367</v>
      </c>
      <c r="CZ237" s="27" t="s">
        <v>132</v>
      </c>
      <c r="DA237" s="27" t="s">
        <v>219</v>
      </c>
      <c r="DB237" s="27" t="s">
        <v>219</v>
      </c>
      <c r="DC237" s="27" t="s">
        <v>134</v>
      </c>
      <c r="DD237" s="27" t="s">
        <v>182</v>
      </c>
      <c r="DE237" s="27" t="s">
        <v>136</v>
      </c>
      <c r="DF237" s="27" t="s">
        <v>178</v>
      </c>
      <c r="DG237" s="27" t="s">
        <v>134</v>
      </c>
      <c r="DH237" s="27" t="s">
        <v>160</v>
      </c>
      <c r="DI237" s="27" t="s">
        <v>136</v>
      </c>
      <c r="DJ237" s="27" t="s">
        <v>170</v>
      </c>
      <c r="DK237" s="27" t="s">
        <v>134</v>
      </c>
      <c r="DL237" s="27" t="s">
        <v>140</v>
      </c>
      <c r="DM237" s="27" t="s">
        <v>218</v>
      </c>
      <c r="DN237" s="27" t="s">
        <v>202</v>
      </c>
      <c r="DO237" s="27" t="s">
        <v>134</v>
      </c>
      <c r="DP237" s="27" t="s">
        <v>264</v>
      </c>
      <c r="DQ237" s="27" t="s">
        <v>203</v>
      </c>
      <c r="DR237" s="27" t="s">
        <v>196</v>
      </c>
      <c r="DS237" s="27" t="s">
        <v>134</v>
      </c>
      <c r="DT237" s="27" t="s">
        <v>160</v>
      </c>
      <c r="DU237" s="27" t="s">
        <v>204</v>
      </c>
      <c r="DV237" s="27" t="s">
        <v>178</v>
      </c>
      <c r="DW237" s="27" t="s">
        <v>160</v>
      </c>
      <c r="DX237" s="27" t="s">
        <v>155</v>
      </c>
      <c r="DY237" s="27" t="s">
        <v>145</v>
      </c>
      <c r="DZ237" s="27" t="n">
        <f aca="false">DY237+DV237+DR237+DN237+DJ237+DF237+DB237</f>
        <v>610</v>
      </c>
      <c r="EA237" s="28" t="n">
        <f aca="false">DZ237/7</f>
        <v>87.1428571428571</v>
      </c>
      <c r="EB237" s="27" t="n">
        <f aca="false">RANK(EA237,$EA$2:$EA$881,0)</f>
        <v>119</v>
      </c>
      <c r="EC237" s="29" t="n">
        <f aca="false">DZ237+CQ237+CP237+AZ237</f>
        <v>2536</v>
      </c>
      <c r="ED237" s="30" t="n">
        <f aca="false">(EA237+CV237+BB237)/3</f>
        <v>82.5047619047619</v>
      </c>
      <c r="EE237" s="51" t="n">
        <f aca="false">ROUND(BE237,3)</f>
        <v>86.377</v>
      </c>
      <c r="EF237" s="51" t="n">
        <f aca="false">ROUND(CR237,3)</f>
        <v>88.286</v>
      </c>
      <c r="EG237" s="51" t="n">
        <f aca="false">ROUND(CS237,3)</f>
        <v>72.857</v>
      </c>
      <c r="EH237" s="51" t="n">
        <f aca="false">ROUND(EA237,3)</f>
        <v>87.143</v>
      </c>
      <c r="EI237" s="51" t="n">
        <f aca="false">ROUND(ED237,3)</f>
        <v>82.505</v>
      </c>
      <c r="EJ237" s="51" t="n">
        <f aca="false">ROUND(CV237,3)</f>
        <v>80.571</v>
      </c>
      <c r="EK237" s="0" t="n">
        <f aca="false">RANK(EI237,$EI$2:$EI$881,0)</f>
        <v>236</v>
      </c>
    </row>
    <row r="238" customFormat="false" ht="15" hidden="false" customHeight="false" outlineLevel="0" collapsed="false">
      <c r="A238" s="4" t="n">
        <v>1990</v>
      </c>
      <c r="B238" s="4" t="n">
        <v>300</v>
      </c>
      <c r="C238" s="27" t="s">
        <v>864</v>
      </c>
      <c r="D238" s="31" t="n">
        <v>300</v>
      </c>
      <c r="E238" s="32" t="n">
        <v>230320914</v>
      </c>
      <c r="F238" s="8" t="s">
        <v>865</v>
      </c>
      <c r="G238" s="22" t="s">
        <v>866</v>
      </c>
      <c r="H238" s="22" t="s">
        <v>129</v>
      </c>
      <c r="I238" s="33" t="n">
        <v>2005</v>
      </c>
      <c r="J238" s="32" t="n">
        <v>80</v>
      </c>
      <c r="K238" s="32" t="n">
        <v>68</v>
      </c>
      <c r="L238" s="34" t="n">
        <f aca="false">(K238*70)/100</f>
        <v>47.6</v>
      </c>
      <c r="M238" s="34" t="n">
        <f aca="false">ROUNDUP(L238,0)</f>
        <v>48</v>
      </c>
      <c r="N238" s="32" t="n">
        <v>29</v>
      </c>
      <c r="O238" s="34" t="n">
        <f aca="false">N238+L238</f>
        <v>76.6</v>
      </c>
      <c r="P238" s="34" t="n">
        <f aca="false">N238+M238</f>
        <v>77</v>
      </c>
      <c r="Q238" s="32" t="n">
        <v>77</v>
      </c>
      <c r="R238" s="32" t="n">
        <v>67</v>
      </c>
      <c r="S238" s="34" t="n">
        <f aca="false">(R238*70)/100</f>
        <v>46.9</v>
      </c>
      <c r="T238" s="34" t="n">
        <f aca="false">ROUNDUP(S238,0)</f>
        <v>47</v>
      </c>
      <c r="U238" s="32" t="n">
        <v>28</v>
      </c>
      <c r="V238" s="34" t="n">
        <f aca="false">U238+S238</f>
        <v>74.9</v>
      </c>
      <c r="W238" s="34" t="n">
        <f aca="false">U238+T238</f>
        <v>75</v>
      </c>
      <c r="X238" s="32" t="n">
        <v>65</v>
      </c>
      <c r="Y238" s="34" t="n">
        <f aca="false">(X238*70)/100</f>
        <v>45.5</v>
      </c>
      <c r="Z238" s="34" t="n">
        <f aca="false">ROUNDUP(Y238,0)</f>
        <v>46</v>
      </c>
      <c r="AA238" s="32" t="n">
        <v>25</v>
      </c>
      <c r="AB238" s="34" t="n">
        <f aca="false">AA238+Y238</f>
        <v>70.5</v>
      </c>
      <c r="AC238" s="34" t="n">
        <f aca="false">AA238+Z238</f>
        <v>71</v>
      </c>
      <c r="AD238" s="32" t="n">
        <f aca="false">X238+R238+Q238+K238+J238</f>
        <v>357</v>
      </c>
      <c r="AE238" s="16" t="n">
        <f aca="false">AD238/5</f>
        <v>71.4</v>
      </c>
      <c r="AF238" s="16" t="n">
        <v>73</v>
      </c>
      <c r="AG238" s="16" t="n">
        <v>87</v>
      </c>
      <c r="AH238" s="16" t="n">
        <v>87</v>
      </c>
      <c r="AI238" s="16" t="n">
        <v>85</v>
      </c>
      <c r="AJ238" s="16" t="n">
        <f aca="false">(AI238*70)/100</f>
        <v>59.5</v>
      </c>
      <c r="AK238" s="35" t="n">
        <f aca="false">ROUNDUP(AJ238,0)</f>
        <v>60</v>
      </c>
      <c r="AL238" s="16" t="n">
        <v>27</v>
      </c>
      <c r="AM238" s="16" t="n">
        <f aca="false">AL238+AJ238</f>
        <v>86.5</v>
      </c>
      <c r="AN238" s="16" t="n">
        <f aca="false">AL238+AK238</f>
        <v>87</v>
      </c>
      <c r="AO238" s="16" t="n">
        <v>73</v>
      </c>
      <c r="AP238" s="36" t="n">
        <f aca="false">(AO238*70)/100</f>
        <v>51.1</v>
      </c>
      <c r="AQ238" s="37" t="n">
        <f aca="false">ROUNDUP(AP238,0)</f>
        <v>52</v>
      </c>
      <c r="AR238" s="16" t="n">
        <v>29</v>
      </c>
      <c r="AS238" s="16" t="n">
        <f aca="false">AR238+AP238</f>
        <v>80.1</v>
      </c>
      <c r="AT238" s="16" t="n">
        <f aca="false">AR238+AQ238</f>
        <v>81</v>
      </c>
      <c r="AU238" s="16" t="n">
        <f aca="false">AO238+AF238+AI238+AH238+AG238</f>
        <v>405</v>
      </c>
      <c r="AV238" s="16" t="n">
        <f aca="false">(AO238+AF238+AI238+AH238+AG238)/5</f>
        <v>81</v>
      </c>
      <c r="AW238" s="36" t="n">
        <f aca="false">(AO238+AF238+AI238+AH238+AG238+X238+R238+Q238+K238+J238)</f>
        <v>762</v>
      </c>
      <c r="AX238" s="16" t="n">
        <f aca="false">AW238/10</f>
        <v>76.2</v>
      </c>
      <c r="AY238" s="16" t="n">
        <f aca="false">AS238+AF238+AM238+AH238+AG238+AB238+V238+Q238+O238+J238</f>
        <v>792.6</v>
      </c>
      <c r="AZ238" s="16" t="n">
        <f aca="false">AT238+AF238+AN238+AH238+AG238+AC238+W238+Q238+P238+J238</f>
        <v>795</v>
      </c>
      <c r="BA238" s="16" t="n">
        <f aca="false">AY238/10</f>
        <v>79.26</v>
      </c>
      <c r="BB238" s="16" t="n">
        <f aca="false">AZ238/10</f>
        <v>79.5</v>
      </c>
      <c r="BC238" s="16" t="n">
        <v>2365</v>
      </c>
      <c r="BD238" s="16" t="n">
        <f aca="false">RANK(AX238,$AX$2:$AX$881,0)</f>
        <v>600</v>
      </c>
      <c r="BE238" s="54" t="n">
        <f aca="false">((BC238*100)/2400)*0.4+(AX238*0.6)</f>
        <v>85.1366666666667</v>
      </c>
      <c r="BF238" s="16" t="n">
        <f aca="false">RANK(BE238,$BE$2:$BE$881,0)</f>
        <v>581</v>
      </c>
      <c r="BG238" s="39" t="n">
        <f aca="false">RANK(BB238,$BB$2:$BB$881,0)</f>
        <v>407</v>
      </c>
      <c r="BH238" s="39" t="n">
        <f aca="false">RANK(BC238,$BC$2:$BC$881,0)</f>
        <v>333</v>
      </c>
      <c r="BI238" s="22" t="s">
        <v>130</v>
      </c>
      <c r="BJ238" s="22" t="s">
        <v>129</v>
      </c>
      <c r="BK238" s="40" t="s">
        <v>509</v>
      </c>
      <c r="BL238" s="41" t="n">
        <v>23</v>
      </c>
      <c r="BM238" s="41" t="n">
        <v>50</v>
      </c>
      <c r="BN238" s="41" t="n">
        <v>73</v>
      </c>
      <c r="BO238" s="42" t="n">
        <v>22</v>
      </c>
      <c r="BP238" s="43" t="n">
        <v>56</v>
      </c>
      <c r="BQ238" s="44" t="n">
        <v>78</v>
      </c>
      <c r="BR238" s="42" t="n">
        <v>25</v>
      </c>
      <c r="BS238" s="45" t="n">
        <v>56</v>
      </c>
      <c r="BT238" s="45" t="n">
        <v>81</v>
      </c>
      <c r="BU238" s="46" t="n">
        <v>98</v>
      </c>
      <c r="BV238" s="47" t="n">
        <v>86</v>
      </c>
      <c r="BW238" s="42" t="n">
        <v>96</v>
      </c>
      <c r="BX238" s="48" t="n">
        <v>96</v>
      </c>
      <c r="BY238" s="32" t="n">
        <v>26</v>
      </c>
      <c r="BZ238" s="32" t="n">
        <v>63</v>
      </c>
      <c r="CA238" s="32" t="n">
        <v>89</v>
      </c>
      <c r="CB238" s="32" t="n">
        <v>22</v>
      </c>
      <c r="CC238" s="32" t="n">
        <v>47</v>
      </c>
      <c r="CD238" s="32" t="n">
        <v>69</v>
      </c>
      <c r="CE238" s="32" t="n">
        <v>25</v>
      </c>
      <c r="CF238" s="32" t="n">
        <v>61</v>
      </c>
      <c r="CG238" s="32" t="n">
        <v>86</v>
      </c>
      <c r="CH238" s="32" t="n">
        <v>96</v>
      </c>
      <c r="CI238" s="32" t="n">
        <v>100</v>
      </c>
      <c r="CJ238" s="49" t="n">
        <v>19</v>
      </c>
      <c r="CK238" s="49" t="n">
        <v>44</v>
      </c>
      <c r="CL238" s="49" t="n">
        <v>63</v>
      </c>
      <c r="CM238" s="49" t="n">
        <v>21</v>
      </c>
      <c r="CN238" s="49" t="n">
        <v>51</v>
      </c>
      <c r="CO238" s="49" t="n">
        <v>72</v>
      </c>
      <c r="CP238" s="25" t="n">
        <f aca="false">BX238+BW238+BV238+BU238+BT238+BQ238+BN238</f>
        <v>608</v>
      </c>
      <c r="CQ238" s="25" t="n">
        <f aca="false">CO238+CL238+CI238+CH238+CG238+CD238+CA238</f>
        <v>575</v>
      </c>
      <c r="CR238" s="26" t="n">
        <f aca="false">CP238/7</f>
        <v>86.8571428571429</v>
      </c>
      <c r="CS238" s="26" t="n">
        <f aca="false">CQ238/7</f>
        <v>82.1428571428571</v>
      </c>
      <c r="CT238" s="24" t="n">
        <f aca="false">RANK(CR238,$CR$2:$CR$881,0)</f>
        <v>359</v>
      </c>
      <c r="CU238" s="25" t="n">
        <f aca="false">RANK(CS238,$CS$2:$CS$881,0)</f>
        <v>188</v>
      </c>
      <c r="CV238" s="26" t="n">
        <f aca="false">(CS238+CR238)/2</f>
        <v>84.5</v>
      </c>
      <c r="CW238" s="25" t="n">
        <f aca="false">RANK(CV238,$CV$2:$CV$881,0)</f>
        <v>239</v>
      </c>
      <c r="CX238" s="50" t="n">
        <f aca="false">(CV238+BB238)/2</f>
        <v>82</v>
      </c>
      <c r="CY238" s="50" t="n">
        <v>267</v>
      </c>
      <c r="CZ238" s="27" t="s">
        <v>132</v>
      </c>
      <c r="DA238" s="27" t="s">
        <v>205</v>
      </c>
      <c r="DB238" s="27" t="s">
        <v>205</v>
      </c>
      <c r="DC238" s="27" t="s">
        <v>134</v>
      </c>
      <c r="DD238" s="27" t="s">
        <v>164</v>
      </c>
      <c r="DE238" s="27" t="s">
        <v>204</v>
      </c>
      <c r="DF238" s="27" t="s">
        <v>202</v>
      </c>
      <c r="DG238" s="27" t="s">
        <v>134</v>
      </c>
      <c r="DH238" s="27" t="s">
        <v>137</v>
      </c>
      <c r="DI238" s="27" t="s">
        <v>183</v>
      </c>
      <c r="DJ238" s="27" t="s">
        <v>209</v>
      </c>
      <c r="DK238" s="27" t="s">
        <v>134</v>
      </c>
      <c r="DL238" s="27" t="s">
        <v>182</v>
      </c>
      <c r="DM238" s="27" t="s">
        <v>375</v>
      </c>
      <c r="DN238" s="27" t="s">
        <v>372</v>
      </c>
      <c r="DO238" s="27" t="s">
        <v>134</v>
      </c>
      <c r="DP238" s="27" t="s">
        <v>135</v>
      </c>
      <c r="DQ238" s="27" t="s">
        <v>218</v>
      </c>
      <c r="DR238" s="27" t="s">
        <v>205</v>
      </c>
      <c r="DS238" s="27" t="s">
        <v>134</v>
      </c>
      <c r="DT238" s="27" t="s">
        <v>160</v>
      </c>
      <c r="DU238" s="27" t="s">
        <v>447</v>
      </c>
      <c r="DV238" s="27" t="s">
        <v>196</v>
      </c>
      <c r="DW238" s="27" t="s">
        <v>164</v>
      </c>
      <c r="DX238" s="27" t="s">
        <v>143</v>
      </c>
      <c r="DY238" s="27" t="s">
        <v>139</v>
      </c>
      <c r="DZ238" s="27" t="n">
        <f aca="false">DY238+DV238+DR238+DN238+DJ238+DF238+DB238</f>
        <v>584</v>
      </c>
      <c r="EA238" s="28" t="n">
        <f aca="false">DZ238/7</f>
        <v>83.4285714285714</v>
      </c>
      <c r="EB238" s="27" t="n">
        <f aca="false">RANK(EA238,$EA$2:$EA$881,0)</f>
        <v>253</v>
      </c>
      <c r="EC238" s="29" t="n">
        <f aca="false">DZ238+CQ238+CP238+AZ238</f>
        <v>2562</v>
      </c>
      <c r="ED238" s="30" t="n">
        <f aca="false">(EA238+CV238+BB238)/3</f>
        <v>82.4761904761905</v>
      </c>
      <c r="EE238" s="51" t="n">
        <f aca="false">ROUND(BE238,3)</f>
        <v>85.137</v>
      </c>
      <c r="EF238" s="51" t="n">
        <f aca="false">ROUND(CR238,3)</f>
        <v>86.857</v>
      </c>
      <c r="EG238" s="51" t="n">
        <f aca="false">ROUND(CS238,3)</f>
        <v>82.143</v>
      </c>
      <c r="EH238" s="51" t="n">
        <f aca="false">ROUND(EA238,3)</f>
        <v>83.429</v>
      </c>
      <c r="EI238" s="51" t="n">
        <f aca="false">ROUND(ED238,3)</f>
        <v>82.476</v>
      </c>
      <c r="EJ238" s="51" t="n">
        <f aca="false">ROUND(CV238,3)</f>
        <v>84.5</v>
      </c>
      <c r="EK238" s="0" t="n">
        <f aca="false">RANK(EI238,$EI$2:$EI$881,0)</f>
        <v>237</v>
      </c>
    </row>
    <row r="239" customFormat="false" ht="15" hidden="false" customHeight="false" outlineLevel="0" collapsed="false">
      <c r="A239" s="4" t="n">
        <v>8634</v>
      </c>
      <c r="B239" s="4" t="n">
        <v>24</v>
      </c>
      <c r="C239" s="27" t="s">
        <v>867</v>
      </c>
      <c r="D239" s="52" t="n">
        <v>25</v>
      </c>
      <c r="E239" s="16" t="n">
        <v>230220968</v>
      </c>
      <c r="F239" s="56" t="s">
        <v>868</v>
      </c>
      <c r="G239" s="22" t="s">
        <v>869</v>
      </c>
      <c r="H239" s="22" t="s">
        <v>326</v>
      </c>
      <c r="I239" s="57"/>
      <c r="J239" s="16" t="n">
        <v>68</v>
      </c>
      <c r="K239" s="16" t="n">
        <v>89</v>
      </c>
      <c r="L239" s="34" t="n">
        <f aca="false">(K239*70)/100</f>
        <v>62.3</v>
      </c>
      <c r="M239" s="34" t="n">
        <f aca="false">ROUNDUP(L239,0)</f>
        <v>63</v>
      </c>
      <c r="N239" s="16" t="n">
        <v>28</v>
      </c>
      <c r="O239" s="34" t="n">
        <f aca="false">N239+L239</f>
        <v>90.3</v>
      </c>
      <c r="P239" s="34" t="n">
        <f aca="false">N239+M239</f>
        <v>91</v>
      </c>
      <c r="Q239" s="16" t="n">
        <v>85</v>
      </c>
      <c r="R239" s="16" t="n">
        <v>73</v>
      </c>
      <c r="S239" s="34" t="n">
        <f aca="false">(R239*70)/100</f>
        <v>51.1</v>
      </c>
      <c r="T239" s="34" t="n">
        <f aca="false">ROUNDUP(S239,0)</f>
        <v>52</v>
      </c>
      <c r="U239" s="16" t="n">
        <v>26</v>
      </c>
      <c r="V239" s="34" t="n">
        <f aca="false">U239+S239</f>
        <v>77.1</v>
      </c>
      <c r="W239" s="34" t="n">
        <f aca="false">U239+T239</f>
        <v>78</v>
      </c>
      <c r="X239" s="16" t="n">
        <v>72</v>
      </c>
      <c r="Y239" s="34" t="n">
        <f aca="false">(X239*70)/100</f>
        <v>50.4</v>
      </c>
      <c r="Z239" s="34" t="n">
        <f aca="false">ROUNDUP(Y239,0)</f>
        <v>51</v>
      </c>
      <c r="AA239" s="16" t="n">
        <v>25</v>
      </c>
      <c r="AB239" s="34" t="n">
        <f aca="false">AA239+Y239</f>
        <v>75.4</v>
      </c>
      <c r="AC239" s="34" t="n">
        <f aca="false">AA239+Z239</f>
        <v>76</v>
      </c>
      <c r="AD239" s="32" t="n">
        <f aca="false">X239+R239+Q239+K239+J239</f>
        <v>387</v>
      </c>
      <c r="AE239" s="16" t="n">
        <f aca="false">AD239/5</f>
        <v>77.4</v>
      </c>
      <c r="AF239" s="16" t="n">
        <v>74</v>
      </c>
      <c r="AG239" s="16" t="n">
        <v>74</v>
      </c>
      <c r="AH239" s="16" t="n">
        <v>94</v>
      </c>
      <c r="AI239" s="16" t="n">
        <v>93</v>
      </c>
      <c r="AJ239" s="16" t="n">
        <f aca="false">(AI239*70)/100</f>
        <v>65.1</v>
      </c>
      <c r="AK239" s="35" t="n">
        <f aca="false">ROUNDUP(AJ239,0)</f>
        <v>66</v>
      </c>
      <c r="AL239" s="16" t="n">
        <v>22</v>
      </c>
      <c r="AM239" s="16" t="n">
        <f aca="false">AL239+AJ239</f>
        <v>87.1</v>
      </c>
      <c r="AN239" s="16" t="n">
        <f aca="false">AL239+AK239</f>
        <v>88</v>
      </c>
      <c r="AO239" s="16" t="n">
        <v>84</v>
      </c>
      <c r="AP239" s="36" t="n">
        <f aca="false">(AO239*70)/100</f>
        <v>58.8</v>
      </c>
      <c r="AQ239" s="37" t="n">
        <f aca="false">ROUNDUP(AP239,0)</f>
        <v>59</v>
      </c>
      <c r="AR239" s="16" t="n">
        <v>28</v>
      </c>
      <c r="AS239" s="16" t="n">
        <f aca="false">AR239+AP239</f>
        <v>86.8</v>
      </c>
      <c r="AT239" s="16" t="n">
        <f aca="false">AR239+AQ239</f>
        <v>87</v>
      </c>
      <c r="AU239" s="16" t="n">
        <f aca="false">AO239+AF239+AI239+AH239+AG239</f>
        <v>419</v>
      </c>
      <c r="AV239" s="16" t="n">
        <f aca="false">(AO239+AF239+AI239+AH239+AG239)/5</f>
        <v>83.8</v>
      </c>
      <c r="AW239" s="36" t="n">
        <f aca="false">(AO239+AF239+AI239+AH239+AG239+X239+R239+Q239+K239+J239)</f>
        <v>806</v>
      </c>
      <c r="AX239" s="16" t="n">
        <f aca="false">AW239/10</f>
        <v>80.6</v>
      </c>
      <c r="AY239" s="16" t="n">
        <f aca="false">AS239+AF239+AM239+AH239+AG239+AB239+V239+Q239+O239+J239</f>
        <v>811.7</v>
      </c>
      <c r="AZ239" s="16" t="n">
        <f aca="false">AT239+AF239+AN239+AH239+AG239+AC239+W239+Q239+P239+J239</f>
        <v>815</v>
      </c>
      <c r="BA239" s="16" t="n">
        <f aca="false">AY239/10</f>
        <v>81.17</v>
      </c>
      <c r="BB239" s="16" t="n">
        <f aca="false">AZ239/10</f>
        <v>81.5</v>
      </c>
      <c r="BC239" s="16" t="n">
        <v>2348</v>
      </c>
      <c r="BD239" s="16" t="n">
        <f aca="false">RANK(AX239,$AX$2:$AX$881,0)</f>
        <v>228</v>
      </c>
      <c r="BE239" s="54" t="n">
        <f aca="false">((BC239*100)/2400)*0.4+(AX239*0.6)</f>
        <v>87.4933333333333</v>
      </c>
      <c r="BF239" s="16" t="n">
        <f aca="false">RANK(BE239,$BE$2:$BE$881,0)</f>
        <v>248</v>
      </c>
      <c r="BG239" s="39" t="n">
        <f aca="false">RANK(BB239,$BB$2:$BB$881,0)</f>
        <v>246</v>
      </c>
      <c r="BH239" s="39" t="n">
        <f aca="false">RANK(BC239,$BC$2:$BC$881,0)</f>
        <v>551</v>
      </c>
      <c r="BI239" s="22" t="s">
        <v>130</v>
      </c>
      <c r="BJ239" s="22" t="s">
        <v>129</v>
      </c>
      <c r="BK239" s="40" t="s">
        <v>131</v>
      </c>
      <c r="BL239" s="41" t="n">
        <v>23</v>
      </c>
      <c r="BM239" s="41" t="n">
        <v>59</v>
      </c>
      <c r="BN239" s="41" t="n">
        <v>82</v>
      </c>
      <c r="BO239" s="42" t="n">
        <v>26</v>
      </c>
      <c r="BP239" s="43" t="n">
        <v>63</v>
      </c>
      <c r="BQ239" s="44" t="n">
        <v>89</v>
      </c>
      <c r="BR239" s="42" t="n">
        <v>26</v>
      </c>
      <c r="BS239" s="45" t="n">
        <v>57</v>
      </c>
      <c r="BT239" s="45" t="n">
        <v>83</v>
      </c>
      <c r="BU239" s="46" t="n">
        <v>96</v>
      </c>
      <c r="BV239" s="47" t="n">
        <v>80</v>
      </c>
      <c r="BW239" s="42" t="n">
        <v>99</v>
      </c>
      <c r="BX239" s="48" t="n">
        <v>96</v>
      </c>
      <c r="BY239" s="32" t="n">
        <v>25</v>
      </c>
      <c r="BZ239" s="32" t="n">
        <v>52</v>
      </c>
      <c r="CA239" s="32" t="n">
        <v>77</v>
      </c>
      <c r="CB239" s="32" t="n">
        <v>22</v>
      </c>
      <c r="CC239" s="32" t="n">
        <v>46</v>
      </c>
      <c r="CD239" s="32" t="n">
        <v>68</v>
      </c>
      <c r="CE239" s="32" t="n">
        <v>27</v>
      </c>
      <c r="CF239" s="32" t="n">
        <v>52</v>
      </c>
      <c r="CG239" s="32" t="n">
        <v>79</v>
      </c>
      <c r="CH239" s="32" t="n">
        <v>95</v>
      </c>
      <c r="CI239" s="32" t="n">
        <v>88</v>
      </c>
      <c r="CJ239" s="49" t="n">
        <v>26</v>
      </c>
      <c r="CK239" s="49" t="n">
        <v>54</v>
      </c>
      <c r="CL239" s="49" t="n">
        <v>80</v>
      </c>
      <c r="CM239" s="49" t="n">
        <v>23</v>
      </c>
      <c r="CN239" s="49" t="n">
        <v>58</v>
      </c>
      <c r="CO239" s="49" t="n">
        <v>81</v>
      </c>
      <c r="CP239" s="25" t="n">
        <f aca="false">BX239+BW239+BV239+BU239+BT239+BQ239+BN239</f>
        <v>625</v>
      </c>
      <c r="CQ239" s="25" t="n">
        <f aca="false">CO239+CL239+CI239+CH239+CG239+CD239+CA239</f>
        <v>568</v>
      </c>
      <c r="CR239" s="26" t="n">
        <f aca="false">CP239/7</f>
        <v>89.2857142857143</v>
      </c>
      <c r="CS239" s="26" t="n">
        <f aca="false">CQ239/7</f>
        <v>81.1428571428571</v>
      </c>
      <c r="CT239" s="24" t="n">
        <f aca="false">RANK(CR239,$CR$2:$CR$881,0)</f>
        <v>228</v>
      </c>
      <c r="CU239" s="25" t="n">
        <f aca="false">RANK(CS239,$CS$2:$CS$881,0)</f>
        <v>222</v>
      </c>
      <c r="CV239" s="26" t="n">
        <f aca="false">(CS239+CR239)/2</f>
        <v>85.2142857142857</v>
      </c>
      <c r="CW239" s="25" t="n">
        <f aca="false">RANK(CV239,$CV$2:$CV$881,0)</f>
        <v>204</v>
      </c>
      <c r="CX239" s="50" t="n">
        <f aca="false">(CV239+BB239)/2</f>
        <v>83.3571428571429</v>
      </c>
      <c r="CY239" s="50" t="n">
        <v>200</v>
      </c>
      <c r="CZ239" s="27" t="s">
        <v>132</v>
      </c>
      <c r="DA239" s="27" t="s">
        <v>175</v>
      </c>
      <c r="DB239" s="27" t="s">
        <v>175</v>
      </c>
      <c r="DC239" s="27" t="s">
        <v>134</v>
      </c>
      <c r="DD239" s="27" t="s">
        <v>135</v>
      </c>
      <c r="DE239" s="27" t="s">
        <v>218</v>
      </c>
      <c r="DF239" s="27" t="s">
        <v>205</v>
      </c>
      <c r="DG239" s="27" t="s">
        <v>134</v>
      </c>
      <c r="DH239" s="27" t="s">
        <v>137</v>
      </c>
      <c r="DI239" s="27" t="s">
        <v>177</v>
      </c>
      <c r="DJ239" s="27" t="s">
        <v>202</v>
      </c>
      <c r="DK239" s="27" t="s">
        <v>134</v>
      </c>
      <c r="DL239" s="27" t="s">
        <v>154</v>
      </c>
      <c r="DM239" s="27" t="s">
        <v>204</v>
      </c>
      <c r="DN239" s="27" t="s">
        <v>205</v>
      </c>
      <c r="DO239" s="27" t="s">
        <v>134</v>
      </c>
      <c r="DP239" s="27" t="s">
        <v>485</v>
      </c>
      <c r="DQ239" s="27" t="s">
        <v>304</v>
      </c>
      <c r="DR239" s="27" t="s">
        <v>416</v>
      </c>
      <c r="DS239" s="27" t="s">
        <v>134</v>
      </c>
      <c r="DT239" s="27" t="s">
        <v>264</v>
      </c>
      <c r="DU239" s="27" t="s">
        <v>681</v>
      </c>
      <c r="DV239" s="27" t="s">
        <v>163</v>
      </c>
      <c r="DW239" s="27" t="s">
        <v>182</v>
      </c>
      <c r="DX239" s="27" t="s">
        <v>155</v>
      </c>
      <c r="DY239" s="27" t="s">
        <v>156</v>
      </c>
      <c r="DZ239" s="27" t="n">
        <f aca="false">DY239+DV239+DR239+DN239+DJ239+DF239+DB239</f>
        <v>565</v>
      </c>
      <c r="EA239" s="28" t="n">
        <f aca="false">DZ239/7</f>
        <v>80.7142857142857</v>
      </c>
      <c r="EB239" s="27" t="n">
        <f aca="false">RANK(EA239,$EA$2:$EA$881,0)</f>
        <v>361</v>
      </c>
      <c r="EC239" s="29" t="n">
        <f aca="false">DZ239+CQ239+CP239+AZ239</f>
        <v>2573</v>
      </c>
      <c r="ED239" s="30" t="n">
        <f aca="false">(EA239+CV239+BB239)/3</f>
        <v>82.4761904761905</v>
      </c>
      <c r="EE239" s="51" t="n">
        <f aca="false">ROUND(BE239,3)</f>
        <v>87.493</v>
      </c>
      <c r="EF239" s="51" t="n">
        <f aca="false">ROUND(CR239,3)</f>
        <v>89.286</v>
      </c>
      <c r="EG239" s="51" t="n">
        <f aca="false">ROUND(CS239,3)</f>
        <v>81.143</v>
      </c>
      <c r="EH239" s="51" t="n">
        <f aca="false">ROUND(EA239,3)</f>
        <v>80.714</v>
      </c>
      <c r="EI239" s="51" t="n">
        <f aca="false">ROUND(ED239,3)</f>
        <v>82.476</v>
      </c>
      <c r="EJ239" s="51" t="n">
        <f aca="false">ROUND(CV239,3)</f>
        <v>85.214</v>
      </c>
      <c r="EK239" s="0" t="n">
        <f aca="false">RANK(EI239,$EI$2:$EI$881,0)</f>
        <v>237</v>
      </c>
    </row>
    <row r="240" customFormat="false" ht="15" hidden="false" customHeight="false" outlineLevel="0" collapsed="false">
      <c r="A240" s="4" t="n">
        <v>8730</v>
      </c>
      <c r="B240" s="4" t="n">
        <v>217</v>
      </c>
      <c r="C240" s="27" t="s">
        <v>870</v>
      </c>
      <c r="D240" s="31" t="n">
        <v>218</v>
      </c>
      <c r="E240" s="62" t="n">
        <v>230311547</v>
      </c>
      <c r="F240" s="8" t="s">
        <v>871</v>
      </c>
      <c r="G240" s="63" t="s">
        <v>872</v>
      </c>
      <c r="H240" s="22" t="s">
        <v>129</v>
      </c>
      <c r="I240" s="64" t="n">
        <v>2005</v>
      </c>
      <c r="J240" s="62" t="n">
        <v>83</v>
      </c>
      <c r="K240" s="62" t="n">
        <v>75</v>
      </c>
      <c r="L240" s="34" t="n">
        <f aca="false">(K240*70)/100</f>
        <v>52.5</v>
      </c>
      <c r="M240" s="34" t="n">
        <f aca="false">ROUNDUP(L240,0)</f>
        <v>53</v>
      </c>
      <c r="N240" s="62" t="n">
        <v>27</v>
      </c>
      <c r="O240" s="34" t="n">
        <f aca="false">N240+L240</f>
        <v>79.5</v>
      </c>
      <c r="P240" s="34" t="n">
        <f aca="false">N240+M240</f>
        <v>80</v>
      </c>
      <c r="Q240" s="62" t="n">
        <v>88</v>
      </c>
      <c r="R240" s="62" t="n">
        <v>78</v>
      </c>
      <c r="S240" s="34" t="n">
        <f aca="false">(R240*70)/100</f>
        <v>54.6</v>
      </c>
      <c r="T240" s="34" t="n">
        <f aca="false">ROUNDUP(S240,0)</f>
        <v>55</v>
      </c>
      <c r="U240" s="62" t="n">
        <v>27</v>
      </c>
      <c r="V240" s="34" t="n">
        <f aca="false">U240+S240</f>
        <v>81.6</v>
      </c>
      <c r="W240" s="34" t="n">
        <f aca="false">U240+T240</f>
        <v>82</v>
      </c>
      <c r="X240" s="62" t="n">
        <v>73</v>
      </c>
      <c r="Y240" s="34" t="n">
        <f aca="false">(X240*70)/100</f>
        <v>51.1</v>
      </c>
      <c r="Z240" s="34" t="n">
        <f aca="false">ROUNDUP(Y240,0)</f>
        <v>52</v>
      </c>
      <c r="AA240" s="62" t="n">
        <v>27</v>
      </c>
      <c r="AB240" s="34" t="n">
        <f aca="false">AA240+Y240</f>
        <v>78.1</v>
      </c>
      <c r="AC240" s="34" t="n">
        <f aca="false">AA240+Z240</f>
        <v>79</v>
      </c>
      <c r="AD240" s="32" t="n">
        <f aca="false">X240+R240+Q240+K240+J240</f>
        <v>397</v>
      </c>
      <c r="AE240" s="16" t="n">
        <f aca="false">AD240/5</f>
        <v>79.4</v>
      </c>
      <c r="AF240" s="65" t="n">
        <v>77</v>
      </c>
      <c r="AG240" s="65" t="n">
        <v>78</v>
      </c>
      <c r="AH240" s="65" t="n">
        <v>87</v>
      </c>
      <c r="AI240" s="65" t="n">
        <v>85</v>
      </c>
      <c r="AJ240" s="16" t="n">
        <f aca="false">(AI240*70)/100</f>
        <v>59.5</v>
      </c>
      <c r="AK240" s="35" t="n">
        <f aca="false">ROUNDUP(AJ240,0)</f>
        <v>60</v>
      </c>
      <c r="AL240" s="65" t="n">
        <v>22</v>
      </c>
      <c r="AM240" s="16" t="n">
        <f aca="false">AL240+AJ240</f>
        <v>81.5</v>
      </c>
      <c r="AN240" s="16" t="n">
        <f aca="false">AL240+AK240</f>
        <v>82</v>
      </c>
      <c r="AO240" s="65" t="n">
        <v>69</v>
      </c>
      <c r="AP240" s="36" t="n">
        <f aca="false">(AO240*70)/100</f>
        <v>48.3</v>
      </c>
      <c r="AQ240" s="37" t="n">
        <f aca="false">ROUNDUP(AP240,0)</f>
        <v>49</v>
      </c>
      <c r="AR240" s="65" t="n">
        <v>25</v>
      </c>
      <c r="AS240" s="16" t="n">
        <f aca="false">AR240+AP240</f>
        <v>73.3</v>
      </c>
      <c r="AT240" s="16" t="n">
        <f aca="false">AR240+AQ240</f>
        <v>74</v>
      </c>
      <c r="AU240" s="16" t="n">
        <f aca="false">AO240+AF240+AI240+AH240+AG240</f>
        <v>396</v>
      </c>
      <c r="AV240" s="16" t="n">
        <f aca="false">(AO240+AF240+AI240+AH240+AG240)/5</f>
        <v>79.2</v>
      </c>
      <c r="AW240" s="36" t="n">
        <f aca="false">(AO240+AF240+AI240+AH240+AG240+X240+R240+Q240+K240+J240)</f>
        <v>793</v>
      </c>
      <c r="AX240" s="16" t="n">
        <f aca="false">AW240/10</f>
        <v>79.3</v>
      </c>
      <c r="AY240" s="16" t="n">
        <f aca="false">AS240+AF240+AM240+AH240+AG240+AB240+V240+Q240+O240+J240</f>
        <v>807</v>
      </c>
      <c r="AZ240" s="16" t="n">
        <f aca="false">AT240+AF240+AN240+AH240+AG240+AC240+W240+Q240+P240+J240</f>
        <v>810</v>
      </c>
      <c r="BA240" s="16" t="n">
        <f aca="false">AY240/10</f>
        <v>80.7</v>
      </c>
      <c r="BB240" s="16" t="n">
        <f aca="false">AZ240/10</f>
        <v>81</v>
      </c>
      <c r="BC240" s="65" t="n">
        <v>2331</v>
      </c>
      <c r="BD240" s="16" t="n">
        <f aca="false">RANK(AX240,$AX$2:$AX$881,0)</f>
        <v>309</v>
      </c>
      <c r="BE240" s="54" t="n">
        <f aca="false">((BC240*100)/2400)*0.4+(AX240*0.6)</f>
        <v>86.43</v>
      </c>
      <c r="BF240" s="16" t="n">
        <f aca="false">RANK(BE240,$BE$2:$BE$881,0)</f>
        <v>359</v>
      </c>
      <c r="BG240" s="39" t="n">
        <f aca="false">RANK(BB240,$BB$2:$BB$881,0)</f>
        <v>277</v>
      </c>
      <c r="BH240" s="39" t="n">
        <f aca="false">RANK(BC240,$BC$2:$BC$881,0)</f>
        <v>716</v>
      </c>
      <c r="BI240" s="22" t="s">
        <v>130</v>
      </c>
      <c r="BJ240" s="22" t="s">
        <v>129</v>
      </c>
      <c r="BK240" s="40" t="s">
        <v>131</v>
      </c>
      <c r="BL240" s="41" t="n">
        <v>17</v>
      </c>
      <c r="BM240" s="41" t="n">
        <v>51</v>
      </c>
      <c r="BN240" s="41" t="n">
        <v>68</v>
      </c>
      <c r="BO240" s="42" t="n">
        <v>24</v>
      </c>
      <c r="BP240" s="43" t="n">
        <v>60</v>
      </c>
      <c r="BQ240" s="44" t="n">
        <v>84</v>
      </c>
      <c r="BR240" s="42" t="n">
        <v>24</v>
      </c>
      <c r="BS240" s="45" t="n">
        <v>54</v>
      </c>
      <c r="BT240" s="45" t="n">
        <v>78</v>
      </c>
      <c r="BU240" s="46" t="n">
        <v>100</v>
      </c>
      <c r="BV240" s="47" t="n">
        <v>76</v>
      </c>
      <c r="BW240" s="42" t="n">
        <v>100</v>
      </c>
      <c r="BX240" s="48" t="n">
        <v>98</v>
      </c>
      <c r="BY240" s="32" t="n">
        <v>24</v>
      </c>
      <c r="BZ240" s="32" t="n">
        <v>58</v>
      </c>
      <c r="CA240" s="32" t="n">
        <v>82</v>
      </c>
      <c r="CB240" s="32" t="n">
        <v>18</v>
      </c>
      <c r="CC240" s="32" t="n">
        <v>32</v>
      </c>
      <c r="CD240" s="69" t="n">
        <v>50</v>
      </c>
      <c r="CE240" s="32" t="n">
        <v>24</v>
      </c>
      <c r="CF240" s="32" t="n">
        <v>51</v>
      </c>
      <c r="CG240" s="32" t="n">
        <v>75</v>
      </c>
      <c r="CH240" s="32" t="n">
        <v>96</v>
      </c>
      <c r="CI240" s="32" t="n">
        <v>98</v>
      </c>
      <c r="CJ240" s="49" t="n">
        <v>25</v>
      </c>
      <c r="CK240" s="49" t="n">
        <v>49</v>
      </c>
      <c r="CL240" s="49" t="n">
        <v>74</v>
      </c>
      <c r="CM240" s="49" t="n">
        <v>23</v>
      </c>
      <c r="CN240" s="49" t="n">
        <v>49</v>
      </c>
      <c r="CO240" s="49" t="n">
        <v>72</v>
      </c>
      <c r="CP240" s="25" t="n">
        <f aca="false">BX240+BW240+BV240+BU240+BT240+BQ240+BN240</f>
        <v>604</v>
      </c>
      <c r="CQ240" s="25" t="n">
        <f aca="false">CO240+CL240+CI240+CH240+CG240+CD240+CA240</f>
        <v>547</v>
      </c>
      <c r="CR240" s="26" t="n">
        <f aca="false">CP240/7</f>
        <v>86.2857142857143</v>
      </c>
      <c r="CS240" s="26" t="n">
        <f aca="false">CQ240/7</f>
        <v>78.1428571428571</v>
      </c>
      <c r="CT240" s="24" t="n">
        <f aca="false">RANK(CR240,$CR$2:$CR$881,0)</f>
        <v>383</v>
      </c>
      <c r="CU240" s="25" t="n">
        <f aca="false">RANK(CS240,$CS$2:$CS$881,0)</f>
        <v>327</v>
      </c>
      <c r="CV240" s="26" t="n">
        <f aca="false">(CS240+CR240)/2</f>
        <v>82.2142857142857</v>
      </c>
      <c r="CW240" s="25" t="n">
        <f aca="false">RANK(CV240,$CV$2:$CV$881,0)</f>
        <v>328</v>
      </c>
      <c r="CX240" s="50" t="n">
        <f aca="false">(CV240+BB240)/2</f>
        <v>81.6071428571429</v>
      </c>
      <c r="CY240" s="50" t="n">
        <v>287</v>
      </c>
      <c r="CZ240" s="27" t="s">
        <v>132</v>
      </c>
      <c r="DA240" s="27" t="s">
        <v>162</v>
      </c>
      <c r="DB240" s="27" t="s">
        <v>162</v>
      </c>
      <c r="DC240" s="27" t="s">
        <v>134</v>
      </c>
      <c r="DD240" s="27" t="s">
        <v>154</v>
      </c>
      <c r="DE240" s="27" t="s">
        <v>177</v>
      </c>
      <c r="DF240" s="27" t="s">
        <v>169</v>
      </c>
      <c r="DG240" s="27" t="s">
        <v>134</v>
      </c>
      <c r="DH240" s="27" t="s">
        <v>135</v>
      </c>
      <c r="DI240" s="27" t="s">
        <v>447</v>
      </c>
      <c r="DJ240" s="27" t="s">
        <v>305</v>
      </c>
      <c r="DK240" s="27" t="s">
        <v>134</v>
      </c>
      <c r="DL240" s="27" t="s">
        <v>137</v>
      </c>
      <c r="DM240" s="27" t="s">
        <v>220</v>
      </c>
      <c r="DN240" s="27" t="s">
        <v>205</v>
      </c>
      <c r="DO240" s="27" t="s">
        <v>134</v>
      </c>
      <c r="DP240" s="27" t="s">
        <v>174</v>
      </c>
      <c r="DQ240" s="27" t="s">
        <v>412</v>
      </c>
      <c r="DR240" s="27" t="s">
        <v>486</v>
      </c>
      <c r="DS240" s="27" t="s">
        <v>134</v>
      </c>
      <c r="DT240" s="27" t="s">
        <v>164</v>
      </c>
      <c r="DU240" s="27" t="s">
        <v>183</v>
      </c>
      <c r="DV240" s="27" t="s">
        <v>175</v>
      </c>
      <c r="DW240" s="27" t="s">
        <v>160</v>
      </c>
      <c r="DX240" s="27" t="s">
        <v>155</v>
      </c>
      <c r="DY240" s="27" t="s">
        <v>145</v>
      </c>
      <c r="DZ240" s="27" t="n">
        <f aca="false">DY240+DV240+DR240+DN240+DJ240+DF240+DB240</f>
        <v>588</v>
      </c>
      <c r="EA240" s="28" t="n">
        <f aca="false">DZ240/7</f>
        <v>84</v>
      </c>
      <c r="EB240" s="27" t="n">
        <f aca="false">RANK(EA240,$EA$2:$EA$881,0)</f>
        <v>223</v>
      </c>
      <c r="EC240" s="29" t="n">
        <f aca="false">DZ240+CQ240+CP240+AZ240</f>
        <v>2549</v>
      </c>
      <c r="ED240" s="30" t="n">
        <f aca="false">(EA240+CV240+BB240)/3</f>
        <v>82.4047619047619</v>
      </c>
      <c r="EE240" s="51" t="n">
        <f aca="false">ROUND(BE240,3)</f>
        <v>86.43</v>
      </c>
      <c r="EF240" s="51" t="n">
        <f aca="false">ROUND(CR240,3)</f>
        <v>86.286</v>
      </c>
      <c r="EG240" s="51" t="n">
        <f aca="false">ROUND(CS240,3)</f>
        <v>78.143</v>
      </c>
      <c r="EH240" s="51" t="n">
        <f aca="false">ROUND(EA240,3)</f>
        <v>84</v>
      </c>
      <c r="EI240" s="51" t="n">
        <f aca="false">ROUND(ED240,3)</f>
        <v>82.405</v>
      </c>
      <c r="EJ240" s="51" t="n">
        <f aca="false">ROUND(CV240,3)</f>
        <v>82.214</v>
      </c>
      <c r="EK240" s="0" t="n">
        <f aca="false">RANK(EI240,$EI$2:$EI$881,0)</f>
        <v>239</v>
      </c>
    </row>
    <row r="241" customFormat="false" ht="15" hidden="false" customHeight="false" outlineLevel="0" collapsed="false">
      <c r="A241" s="4" t="n">
        <v>9024</v>
      </c>
      <c r="B241" s="4" t="n">
        <v>849</v>
      </c>
      <c r="C241" s="27" t="s">
        <v>873</v>
      </c>
      <c r="D241" s="31" t="n">
        <v>867</v>
      </c>
      <c r="E241" s="16" t="n">
        <v>230118457</v>
      </c>
      <c r="F241" s="56" t="s">
        <v>874</v>
      </c>
      <c r="G241" s="22" t="s">
        <v>577</v>
      </c>
      <c r="H241" s="22" t="s">
        <v>326</v>
      </c>
      <c r="I241" s="57"/>
      <c r="J241" s="16" t="n">
        <v>65</v>
      </c>
      <c r="K241" s="16" t="n">
        <v>62</v>
      </c>
      <c r="L241" s="34" t="n">
        <f aca="false">(K241*70)/100</f>
        <v>43.4</v>
      </c>
      <c r="M241" s="34" t="n">
        <f aca="false">ROUNDUP(L241,0)</f>
        <v>44</v>
      </c>
      <c r="N241" s="16" t="n">
        <v>26</v>
      </c>
      <c r="O241" s="34" t="n">
        <f aca="false">N241+L241</f>
        <v>69.4</v>
      </c>
      <c r="P241" s="34" t="n">
        <f aca="false">N241+M241</f>
        <v>70</v>
      </c>
      <c r="Q241" s="16" t="n">
        <v>77</v>
      </c>
      <c r="R241" s="16" t="n">
        <v>76</v>
      </c>
      <c r="S241" s="34" t="n">
        <f aca="false">(R241*70)/100</f>
        <v>53.2</v>
      </c>
      <c r="T241" s="34" t="n">
        <f aca="false">ROUNDUP(S241,0)</f>
        <v>54</v>
      </c>
      <c r="U241" s="16" t="n">
        <v>27</v>
      </c>
      <c r="V241" s="34" t="n">
        <f aca="false">U241+S241</f>
        <v>80.2</v>
      </c>
      <c r="W241" s="34" t="n">
        <f aca="false">U241+T241</f>
        <v>81</v>
      </c>
      <c r="X241" s="16" t="n">
        <v>75</v>
      </c>
      <c r="Y241" s="34" t="n">
        <f aca="false">(X241*70)/100</f>
        <v>52.5</v>
      </c>
      <c r="Z241" s="34" t="n">
        <f aca="false">ROUNDUP(Y241,0)</f>
        <v>53</v>
      </c>
      <c r="AA241" s="16" t="n">
        <v>25</v>
      </c>
      <c r="AB241" s="34" t="n">
        <f aca="false">AA241+Y241</f>
        <v>77.5</v>
      </c>
      <c r="AC241" s="34" t="n">
        <f aca="false">AA241+Z241</f>
        <v>78</v>
      </c>
      <c r="AD241" s="32" t="n">
        <f aca="false">X241+R241+Q241+K241+J241</f>
        <v>355</v>
      </c>
      <c r="AE241" s="16" t="n">
        <f aca="false">AD241/5</f>
        <v>71</v>
      </c>
      <c r="AF241" s="16" t="n">
        <v>81</v>
      </c>
      <c r="AG241" s="16" t="n">
        <v>74</v>
      </c>
      <c r="AH241" s="16" t="n">
        <v>94</v>
      </c>
      <c r="AI241" s="16" t="n">
        <v>93</v>
      </c>
      <c r="AJ241" s="16" t="n">
        <f aca="false">(AI241*70)/100</f>
        <v>65.1</v>
      </c>
      <c r="AK241" s="35" t="n">
        <f aca="false">ROUNDUP(AJ241,0)</f>
        <v>66</v>
      </c>
      <c r="AL241" s="16" t="n">
        <v>22</v>
      </c>
      <c r="AM241" s="16" t="n">
        <f aca="false">AL241+AJ241</f>
        <v>87.1</v>
      </c>
      <c r="AN241" s="16" t="n">
        <f aca="false">AL241+AK241</f>
        <v>88</v>
      </c>
      <c r="AO241" s="16" t="n">
        <v>79</v>
      </c>
      <c r="AP241" s="36" t="n">
        <f aca="false">(AO241*70)/100</f>
        <v>55.3</v>
      </c>
      <c r="AQ241" s="37" t="n">
        <f aca="false">ROUNDUP(AP241,0)</f>
        <v>56</v>
      </c>
      <c r="AR241" s="16" t="n">
        <v>27</v>
      </c>
      <c r="AS241" s="16" t="n">
        <f aca="false">AR241+AP241</f>
        <v>82.3</v>
      </c>
      <c r="AT241" s="16" t="n">
        <f aca="false">AR241+AQ241</f>
        <v>83</v>
      </c>
      <c r="AU241" s="16" t="n">
        <f aca="false">AO241+AF241+AI241+AH241+AG241</f>
        <v>421</v>
      </c>
      <c r="AV241" s="16" t="n">
        <f aca="false">(AO241+AF241+AI241+AH241+AG241)/5</f>
        <v>84.2</v>
      </c>
      <c r="AW241" s="36" t="n">
        <f aca="false">(AO241+AF241+AI241+AH241+AG241+X241+R241+Q241+K241+J241)</f>
        <v>776</v>
      </c>
      <c r="AX241" s="16" t="n">
        <f aca="false">AW241/10</f>
        <v>77.6</v>
      </c>
      <c r="AY241" s="16" t="n">
        <f aca="false">AS241+AF241+AM241+AH241+AG241+AB241+V241+Q241+O241+J241</f>
        <v>787.5</v>
      </c>
      <c r="AZ241" s="16" t="n">
        <f aca="false">AT241+AF241+AN241+AH241+AG241+AC241+W241+Q241+P241+J241</f>
        <v>791</v>
      </c>
      <c r="BA241" s="16" t="n">
        <f aca="false">AY241/10</f>
        <v>78.75</v>
      </c>
      <c r="BB241" s="16" t="n">
        <f aca="false">AZ241/10</f>
        <v>79.1</v>
      </c>
      <c r="BC241" s="16" t="n">
        <v>2394</v>
      </c>
      <c r="BD241" s="16" t="n">
        <f aca="false">RANK(AX241,$AX$2:$AX$881,0)</f>
        <v>444</v>
      </c>
      <c r="BE241" s="54" t="n">
        <f aca="false">((BC241*100)/2400)*0.4+(AX241*0.6)</f>
        <v>86.46</v>
      </c>
      <c r="BF241" s="16" t="n">
        <f aca="false">RANK(BE241,$BE$2:$BE$881,0)</f>
        <v>357</v>
      </c>
      <c r="BG241" s="39" t="n">
        <f aca="false">RANK(BB241,$BB$2:$BB$881,0)</f>
        <v>449</v>
      </c>
      <c r="BH241" s="39" t="n">
        <f aca="false">RANK(BC241,$BC$2:$BC$881,0)</f>
        <v>17</v>
      </c>
      <c r="BI241" s="22" t="s">
        <v>130</v>
      </c>
      <c r="BJ241" s="22" t="s">
        <v>129</v>
      </c>
      <c r="BK241" s="40" t="s">
        <v>131</v>
      </c>
      <c r="BL241" s="41" t="n">
        <v>20</v>
      </c>
      <c r="BM241" s="41" t="n">
        <v>57</v>
      </c>
      <c r="BN241" s="41" t="n">
        <v>77</v>
      </c>
      <c r="BO241" s="42" t="n">
        <v>27</v>
      </c>
      <c r="BP241" s="43" t="n">
        <v>64</v>
      </c>
      <c r="BQ241" s="44" t="n">
        <v>91</v>
      </c>
      <c r="BR241" s="42" t="n">
        <v>17</v>
      </c>
      <c r="BS241" s="45" t="n">
        <v>60</v>
      </c>
      <c r="BT241" s="45" t="n">
        <v>77</v>
      </c>
      <c r="BU241" s="46" t="n">
        <v>100</v>
      </c>
      <c r="BV241" s="47" t="n">
        <v>94</v>
      </c>
      <c r="BW241" s="42" t="n">
        <v>98</v>
      </c>
      <c r="BX241" s="48" t="n">
        <v>98</v>
      </c>
      <c r="BY241" s="32" t="n">
        <v>27</v>
      </c>
      <c r="BZ241" s="32" t="n">
        <v>61</v>
      </c>
      <c r="CA241" s="32" t="n">
        <v>88</v>
      </c>
      <c r="CB241" s="32" t="n">
        <v>20</v>
      </c>
      <c r="CC241" s="32" t="n">
        <v>46</v>
      </c>
      <c r="CD241" s="32" t="n">
        <v>66</v>
      </c>
      <c r="CE241" s="32" t="n">
        <v>24</v>
      </c>
      <c r="CF241" s="32" t="n">
        <v>60</v>
      </c>
      <c r="CG241" s="32" t="n">
        <v>84</v>
      </c>
      <c r="CH241" s="32" t="n">
        <v>99</v>
      </c>
      <c r="CI241" s="25" t="n">
        <v>100</v>
      </c>
      <c r="CJ241" s="49" t="n">
        <v>26</v>
      </c>
      <c r="CK241" s="49" t="n">
        <v>63</v>
      </c>
      <c r="CL241" s="49" t="n">
        <v>89</v>
      </c>
      <c r="CM241" s="49" t="n">
        <v>24</v>
      </c>
      <c r="CN241" s="49" t="n">
        <v>58</v>
      </c>
      <c r="CO241" s="49" t="n">
        <v>82</v>
      </c>
      <c r="CP241" s="25" t="n">
        <f aca="false">BX241+BW241+BV241+BU241+BT241+BQ241+BN241</f>
        <v>635</v>
      </c>
      <c r="CQ241" s="25" t="n">
        <f aca="false">CO241+CL241+CI241+CH241+CG241+CD241+CA241</f>
        <v>608</v>
      </c>
      <c r="CR241" s="26" t="n">
        <f aca="false">CP241/7</f>
        <v>90.7142857142857</v>
      </c>
      <c r="CS241" s="26" t="n">
        <f aca="false">CQ241/7</f>
        <v>86.8571428571429</v>
      </c>
      <c r="CT241" s="24" t="n">
        <f aca="false">RANK(CR241,$CR$2:$CR$881,0)</f>
        <v>140</v>
      </c>
      <c r="CU241" s="25" t="n">
        <f aca="false">RANK(CS241,$CS$2:$CS$881,0)</f>
        <v>61</v>
      </c>
      <c r="CV241" s="26" t="n">
        <f aca="false">(CS241+CR241)/2</f>
        <v>88.7857142857143</v>
      </c>
      <c r="CW241" s="25" t="n">
        <f aca="false">RANK(CV241,$CV$2:$CV$881,0)</f>
        <v>75</v>
      </c>
      <c r="CX241" s="50" t="n">
        <f aca="false">(CV241+BB241)/2</f>
        <v>83.9428571428571</v>
      </c>
      <c r="CY241" s="50" t="n">
        <v>163</v>
      </c>
      <c r="CZ241" s="27" t="s">
        <v>132</v>
      </c>
      <c r="DA241" s="27" t="s">
        <v>176</v>
      </c>
      <c r="DB241" s="27" t="s">
        <v>176</v>
      </c>
      <c r="DC241" s="27" t="s">
        <v>134</v>
      </c>
      <c r="DD241" s="27" t="s">
        <v>164</v>
      </c>
      <c r="DE241" s="27" t="s">
        <v>203</v>
      </c>
      <c r="DF241" s="27" t="s">
        <v>162</v>
      </c>
      <c r="DG241" s="27" t="s">
        <v>134</v>
      </c>
      <c r="DH241" s="27" t="s">
        <v>182</v>
      </c>
      <c r="DI241" s="27" t="s">
        <v>143</v>
      </c>
      <c r="DJ241" s="27" t="s">
        <v>176</v>
      </c>
      <c r="DK241" s="27" t="s">
        <v>134</v>
      </c>
      <c r="DL241" s="27" t="s">
        <v>182</v>
      </c>
      <c r="DM241" s="27" t="s">
        <v>163</v>
      </c>
      <c r="DN241" s="27" t="s">
        <v>162</v>
      </c>
      <c r="DO241" s="27" t="s">
        <v>134</v>
      </c>
      <c r="DP241" s="27"/>
      <c r="DQ241" s="27"/>
      <c r="DR241" s="27"/>
      <c r="DS241" s="27"/>
      <c r="DT241" s="27" t="s">
        <v>140</v>
      </c>
      <c r="DU241" s="27" t="s">
        <v>187</v>
      </c>
      <c r="DV241" s="27" t="s">
        <v>139</v>
      </c>
      <c r="DW241" s="27" t="s">
        <v>160</v>
      </c>
      <c r="DX241" s="27" t="s">
        <v>155</v>
      </c>
      <c r="DY241" s="27" t="s">
        <v>145</v>
      </c>
      <c r="DZ241" s="27" t="n">
        <f aca="false">DY241+DV241+DR241+DN241+DJ241+DF241+DB241</f>
        <v>555</v>
      </c>
      <c r="EA241" s="28" t="n">
        <f aca="false">DZ241/7</f>
        <v>79.2857142857143</v>
      </c>
      <c r="EB241" s="27" t="n">
        <f aca="false">RANK(EA241,$EA$2:$EA$881,0)</f>
        <v>421</v>
      </c>
      <c r="EC241" s="29" t="n">
        <f aca="false">DZ241+CQ241+CP241+AZ241</f>
        <v>2589</v>
      </c>
      <c r="ED241" s="30" t="n">
        <f aca="false">(EA241+CV241+BB241)/3</f>
        <v>82.3904761904762</v>
      </c>
      <c r="EE241" s="51" t="n">
        <f aca="false">ROUND(BE241,3)</f>
        <v>86.46</v>
      </c>
      <c r="EF241" s="51" t="n">
        <f aca="false">ROUND(CR241,3)</f>
        <v>90.714</v>
      </c>
      <c r="EG241" s="51" t="n">
        <f aca="false">ROUND(CS241,3)</f>
        <v>86.857</v>
      </c>
      <c r="EH241" s="51" t="n">
        <f aca="false">ROUND(EA241,3)</f>
        <v>79.286</v>
      </c>
      <c r="EI241" s="51" t="n">
        <f aca="false">ROUND(ED241,3)</f>
        <v>82.39</v>
      </c>
      <c r="EJ241" s="51" t="n">
        <f aca="false">ROUND(CV241,3)</f>
        <v>88.786</v>
      </c>
      <c r="EK241" s="0" t="n">
        <f aca="false">RANK(EI241,$EI$2:$EI$881,0)</f>
        <v>240</v>
      </c>
    </row>
    <row r="242" customFormat="false" ht="15" hidden="false" customHeight="false" outlineLevel="0" collapsed="false">
      <c r="A242" s="4" t="n">
        <v>8753</v>
      </c>
      <c r="B242" s="4" t="n">
        <v>795</v>
      </c>
      <c r="C242" s="27" t="s">
        <v>875</v>
      </c>
      <c r="D242" s="31" t="n">
        <v>814</v>
      </c>
      <c r="E242" s="32" t="n">
        <v>230312063</v>
      </c>
      <c r="F242" s="8" t="s">
        <v>876</v>
      </c>
      <c r="G242" s="22" t="s">
        <v>877</v>
      </c>
      <c r="H242" s="22" t="s">
        <v>129</v>
      </c>
      <c r="I242" s="33" t="n">
        <v>2006</v>
      </c>
      <c r="J242" s="32" t="n">
        <v>99</v>
      </c>
      <c r="K242" s="32" t="n">
        <v>79</v>
      </c>
      <c r="L242" s="34" t="n">
        <f aca="false">(K242*70)/100</f>
        <v>55.3</v>
      </c>
      <c r="M242" s="34" t="n">
        <f aca="false">ROUNDUP(L242,0)</f>
        <v>56</v>
      </c>
      <c r="N242" s="32" t="n">
        <v>29</v>
      </c>
      <c r="O242" s="34" t="n">
        <f aca="false">N242+L242</f>
        <v>84.3</v>
      </c>
      <c r="P242" s="34" t="n">
        <f aca="false">N242+M242</f>
        <v>85</v>
      </c>
      <c r="Q242" s="32" t="n">
        <v>71</v>
      </c>
      <c r="R242" s="32" t="n">
        <v>80</v>
      </c>
      <c r="S242" s="34" t="n">
        <f aca="false">(R242*70)/100</f>
        <v>56</v>
      </c>
      <c r="T242" s="34" t="n">
        <f aca="false">ROUNDUP(S242,0)</f>
        <v>56</v>
      </c>
      <c r="U242" s="32" t="n">
        <v>26</v>
      </c>
      <c r="V242" s="34" t="n">
        <f aca="false">U242+S242</f>
        <v>82</v>
      </c>
      <c r="W242" s="34" t="n">
        <f aca="false">U242+T242</f>
        <v>82</v>
      </c>
      <c r="X242" s="32" t="n">
        <v>73</v>
      </c>
      <c r="Y242" s="34" t="n">
        <f aca="false">(X242*70)/100</f>
        <v>51.1</v>
      </c>
      <c r="Z242" s="34" t="n">
        <f aca="false">ROUNDUP(Y242,0)</f>
        <v>52</v>
      </c>
      <c r="AA242" s="32" t="n">
        <v>26</v>
      </c>
      <c r="AB242" s="34" t="n">
        <f aca="false">AA242+Y242</f>
        <v>77.1</v>
      </c>
      <c r="AC242" s="34" t="n">
        <f aca="false">AA242+Z242</f>
        <v>78</v>
      </c>
      <c r="AD242" s="32" t="n">
        <f aca="false">X242+R242+Q242+K242+J242</f>
        <v>402</v>
      </c>
      <c r="AE242" s="16" t="n">
        <f aca="false">AD242/5</f>
        <v>80.4</v>
      </c>
      <c r="AF242" s="16" t="n">
        <v>77</v>
      </c>
      <c r="AG242" s="16" t="n">
        <v>98</v>
      </c>
      <c r="AH242" s="16" t="n">
        <v>90</v>
      </c>
      <c r="AI242" s="16" t="n">
        <v>75</v>
      </c>
      <c r="AJ242" s="16" t="n">
        <f aca="false">(AI242*70)/100</f>
        <v>52.5</v>
      </c>
      <c r="AK242" s="35" t="n">
        <f aca="false">ROUNDUP(AJ242,0)</f>
        <v>53</v>
      </c>
      <c r="AL242" s="16" t="n">
        <v>22</v>
      </c>
      <c r="AM242" s="16" t="n">
        <f aca="false">AL242+AJ242</f>
        <v>74.5</v>
      </c>
      <c r="AN242" s="16" t="n">
        <f aca="false">AL242+AK242</f>
        <v>75</v>
      </c>
      <c r="AO242" s="16" t="n">
        <v>82</v>
      </c>
      <c r="AP242" s="36" t="n">
        <f aca="false">(AO242*70)/100</f>
        <v>57.4</v>
      </c>
      <c r="AQ242" s="37" t="n">
        <f aca="false">ROUNDUP(AP242,0)</f>
        <v>58</v>
      </c>
      <c r="AR242" s="16" t="n">
        <v>21</v>
      </c>
      <c r="AS242" s="16" t="n">
        <f aca="false">AR242+AP242</f>
        <v>78.4</v>
      </c>
      <c r="AT242" s="16" t="n">
        <f aca="false">AR242+AQ242</f>
        <v>79</v>
      </c>
      <c r="AU242" s="16" t="n">
        <f aca="false">AO242+AF242+AI242+AH242+AG242</f>
        <v>422</v>
      </c>
      <c r="AV242" s="16" t="n">
        <f aca="false">(AO242+AF242+AI242+AH242+AG242)/5</f>
        <v>84.4</v>
      </c>
      <c r="AW242" s="36" t="n">
        <f aca="false">(AO242+AF242+AI242+AH242+AG242+X242+R242+Q242+K242+J242)</f>
        <v>824</v>
      </c>
      <c r="AX242" s="16" t="n">
        <f aca="false">AW242/10</f>
        <v>82.4</v>
      </c>
      <c r="AY242" s="16" t="n">
        <f aca="false">AS242+AF242+AM242+AH242+AG242+AB242+V242+Q242+O242+J242</f>
        <v>831.3</v>
      </c>
      <c r="AZ242" s="16" t="n">
        <f aca="false">AT242+AF242+AN242+AH242+AG242+AC242+W242+Q242+P242+J242</f>
        <v>834</v>
      </c>
      <c r="BA242" s="16" t="n">
        <f aca="false">AY242/10</f>
        <v>83.13</v>
      </c>
      <c r="BB242" s="16" t="n">
        <f aca="false">AZ242/10</f>
        <v>83.4</v>
      </c>
      <c r="BC242" s="16" t="n">
        <v>2330</v>
      </c>
      <c r="BD242" s="16" t="n">
        <f aca="false">RANK(AX242,$AX$2:$AX$881,0)</f>
        <v>143</v>
      </c>
      <c r="BE242" s="54" t="n">
        <f aca="false">((BC242*100)/2400)*0.4+(AX242*0.6)</f>
        <v>88.2733333333333</v>
      </c>
      <c r="BF242" s="16" t="n">
        <f aca="false">RANK(BE242,$BE$2:$BE$881,0)</f>
        <v>184</v>
      </c>
      <c r="BG242" s="39" t="n">
        <f aca="false">RANK(BB242,$BB$2:$BB$881,0)</f>
        <v>146</v>
      </c>
      <c r="BH242" s="39" t="n">
        <f aca="false">RANK(BC242,$BC$2:$BC$881,0)</f>
        <v>729</v>
      </c>
      <c r="BI242" s="22" t="s">
        <v>130</v>
      </c>
      <c r="BJ242" s="22" t="s">
        <v>129</v>
      </c>
      <c r="BK242" s="40" t="s">
        <v>131</v>
      </c>
      <c r="BL242" s="41" t="n">
        <v>17</v>
      </c>
      <c r="BM242" s="41" t="n">
        <v>51</v>
      </c>
      <c r="BN242" s="41" t="n">
        <v>68</v>
      </c>
      <c r="BO242" s="42" t="n">
        <v>26</v>
      </c>
      <c r="BP242" s="43" t="n">
        <v>55</v>
      </c>
      <c r="BQ242" s="44" t="n">
        <v>81</v>
      </c>
      <c r="BR242" s="42" t="n">
        <v>21</v>
      </c>
      <c r="BS242" s="77" t="n">
        <v>46</v>
      </c>
      <c r="BT242" s="77" t="n">
        <v>67</v>
      </c>
      <c r="BU242" s="46" t="n">
        <v>100</v>
      </c>
      <c r="BV242" s="47" t="n">
        <v>78</v>
      </c>
      <c r="BW242" s="42" t="n">
        <v>95</v>
      </c>
      <c r="BX242" s="48" t="n">
        <v>92</v>
      </c>
      <c r="BY242" s="32" t="n">
        <v>25</v>
      </c>
      <c r="BZ242" s="32" t="n">
        <v>52</v>
      </c>
      <c r="CA242" s="32" t="n">
        <v>77</v>
      </c>
      <c r="CB242" s="32" t="n">
        <v>21</v>
      </c>
      <c r="CC242" s="32" t="n">
        <v>31</v>
      </c>
      <c r="CD242" s="69" t="n">
        <v>52</v>
      </c>
      <c r="CE242" s="32" t="n">
        <v>20</v>
      </c>
      <c r="CF242" s="32" t="n">
        <v>59</v>
      </c>
      <c r="CG242" s="32" t="n">
        <v>79</v>
      </c>
      <c r="CH242" s="48" t="n">
        <v>100</v>
      </c>
      <c r="CI242" s="32" t="n">
        <v>100</v>
      </c>
      <c r="CJ242" s="49" t="n">
        <v>22</v>
      </c>
      <c r="CK242" s="49" t="n">
        <v>46</v>
      </c>
      <c r="CL242" s="49" t="n">
        <v>68</v>
      </c>
      <c r="CM242" s="49" t="n">
        <v>19</v>
      </c>
      <c r="CN242" s="49" t="n">
        <v>54</v>
      </c>
      <c r="CO242" s="49" t="n">
        <v>73</v>
      </c>
      <c r="CP242" s="25" t="n">
        <f aca="false">BX242+BW242+BV242+BU242+BT242+BQ242+BN242</f>
        <v>581</v>
      </c>
      <c r="CQ242" s="25" t="n">
        <f aca="false">CO242+CL242+CI242+CH242+CG242+CD242+CA242</f>
        <v>549</v>
      </c>
      <c r="CR242" s="26" t="n">
        <f aca="false">CP242/7</f>
        <v>83</v>
      </c>
      <c r="CS242" s="26" t="n">
        <f aca="false">CQ242/7</f>
        <v>78.4285714285714</v>
      </c>
      <c r="CT242" s="24" t="n">
        <f aca="false">RANK(CR242,$CR$2:$CR$881,0)</f>
        <v>520</v>
      </c>
      <c r="CU242" s="25" t="n">
        <f aca="false">RANK(CS242,$CS$2:$CS$881,0)</f>
        <v>321</v>
      </c>
      <c r="CV242" s="26" t="n">
        <f aca="false">(CS242+CR242)/2</f>
        <v>80.7142857142857</v>
      </c>
      <c r="CW242" s="25" t="n">
        <f aca="false">RANK(CV242,$CV$2:$CV$881,0)</f>
        <v>397</v>
      </c>
      <c r="CX242" s="50" t="n">
        <f aca="false">(CV242+BB242)/2</f>
        <v>82.0571428571429</v>
      </c>
      <c r="CY242" s="50" t="n">
        <v>410</v>
      </c>
      <c r="CZ242" s="27" t="s">
        <v>132</v>
      </c>
      <c r="DA242" s="27" t="s">
        <v>133</v>
      </c>
      <c r="DB242" s="27" t="s">
        <v>133</v>
      </c>
      <c r="DC242" s="27" t="s">
        <v>134</v>
      </c>
      <c r="DD242" s="27" t="s">
        <v>154</v>
      </c>
      <c r="DE242" s="27" t="s">
        <v>399</v>
      </c>
      <c r="DF242" s="27" t="s">
        <v>416</v>
      </c>
      <c r="DG242" s="27" t="s">
        <v>134</v>
      </c>
      <c r="DH242" s="27" t="s">
        <v>135</v>
      </c>
      <c r="DI242" s="27" t="s">
        <v>161</v>
      </c>
      <c r="DJ242" s="27" t="s">
        <v>202</v>
      </c>
      <c r="DK242" s="27" t="s">
        <v>134</v>
      </c>
      <c r="DL242" s="27" t="s">
        <v>160</v>
      </c>
      <c r="DM242" s="27" t="s">
        <v>306</v>
      </c>
      <c r="DN242" s="27" t="s">
        <v>169</v>
      </c>
      <c r="DO242" s="27" t="s">
        <v>134</v>
      </c>
      <c r="DP242" s="27" t="s">
        <v>604</v>
      </c>
      <c r="DQ242" s="27" t="s">
        <v>304</v>
      </c>
      <c r="DR242" s="27" t="s">
        <v>155</v>
      </c>
      <c r="DS242" s="27" t="s">
        <v>134</v>
      </c>
      <c r="DT242" s="27" t="s">
        <v>160</v>
      </c>
      <c r="DU242" s="27" t="s">
        <v>183</v>
      </c>
      <c r="DV242" s="27" t="s">
        <v>202</v>
      </c>
      <c r="DW242" s="27" t="s">
        <v>140</v>
      </c>
      <c r="DX242" s="27" t="s">
        <v>143</v>
      </c>
      <c r="DY242" s="27" t="s">
        <v>144</v>
      </c>
      <c r="DZ242" s="27" t="n">
        <f aca="false">DY242+DV242+DR242+DN242+DJ242+DF242+DB242</f>
        <v>581</v>
      </c>
      <c r="EA242" s="28" t="n">
        <f aca="false">DZ242/7</f>
        <v>83</v>
      </c>
      <c r="EB242" s="27" t="n">
        <f aca="false">RANK(EA242,$EA$2:$EA$881,0)</f>
        <v>271</v>
      </c>
      <c r="EC242" s="29" t="n">
        <f aca="false">DZ242+CQ242+CP242+AZ242</f>
        <v>2545</v>
      </c>
      <c r="ED242" s="30" t="n">
        <f aca="false">(EA242+CV242+BB242)/3</f>
        <v>82.3714285714286</v>
      </c>
      <c r="EE242" s="51" t="n">
        <f aca="false">ROUND(BE242,3)</f>
        <v>88.273</v>
      </c>
      <c r="EF242" s="51" t="n">
        <f aca="false">ROUND(CR242,3)</f>
        <v>83</v>
      </c>
      <c r="EG242" s="51" t="n">
        <f aca="false">ROUND(CS242,3)</f>
        <v>78.429</v>
      </c>
      <c r="EH242" s="51" t="n">
        <f aca="false">ROUND(EA242,3)</f>
        <v>83</v>
      </c>
      <c r="EI242" s="51" t="n">
        <f aca="false">ROUND(ED242,3)</f>
        <v>82.371</v>
      </c>
      <c r="EJ242" s="51" t="n">
        <f aca="false">ROUND(CV242,3)</f>
        <v>80.714</v>
      </c>
      <c r="EK242" s="0" t="n">
        <f aca="false">RANK(EI242,$EI$2:$EI$881,0)</f>
        <v>241</v>
      </c>
    </row>
    <row r="243" customFormat="false" ht="15" hidden="false" customHeight="false" outlineLevel="0" collapsed="false">
      <c r="A243" s="4" t="n">
        <v>1877</v>
      </c>
      <c r="B243" s="4" t="n">
        <v>814</v>
      </c>
      <c r="C243" s="27" t="s">
        <v>878</v>
      </c>
      <c r="D243" s="31" t="n">
        <v>835</v>
      </c>
      <c r="E243" s="32" t="n">
        <v>230323794</v>
      </c>
      <c r="F243" s="8" t="s">
        <v>879</v>
      </c>
      <c r="G243" s="22" t="s">
        <v>880</v>
      </c>
      <c r="H243" s="22" t="s">
        <v>129</v>
      </c>
      <c r="I243" s="33" t="n">
        <v>2005</v>
      </c>
      <c r="J243" s="32" t="n">
        <v>72</v>
      </c>
      <c r="K243" s="32" t="n">
        <v>69</v>
      </c>
      <c r="L243" s="34" t="n">
        <f aca="false">(K243*70)/100</f>
        <v>48.3</v>
      </c>
      <c r="M243" s="34" t="n">
        <f aca="false">ROUNDUP(L243,0)</f>
        <v>49</v>
      </c>
      <c r="N243" s="32" t="n">
        <v>19</v>
      </c>
      <c r="O243" s="34" t="n">
        <f aca="false">N243+L243</f>
        <v>67.3</v>
      </c>
      <c r="P243" s="34" t="n">
        <f aca="false">N243+M243</f>
        <v>68</v>
      </c>
      <c r="Q243" s="32" t="n">
        <v>82</v>
      </c>
      <c r="R243" s="32" t="n">
        <v>77</v>
      </c>
      <c r="S243" s="34" t="n">
        <f aca="false">(R243*70)/100</f>
        <v>53.9</v>
      </c>
      <c r="T243" s="34" t="n">
        <f aca="false">ROUNDUP(S243,0)</f>
        <v>54</v>
      </c>
      <c r="U243" s="32" t="n">
        <v>21</v>
      </c>
      <c r="V243" s="34" t="n">
        <f aca="false">U243+S243</f>
        <v>74.9</v>
      </c>
      <c r="W243" s="34" t="n">
        <f aca="false">U243+T243</f>
        <v>75</v>
      </c>
      <c r="X243" s="32" t="n">
        <v>64</v>
      </c>
      <c r="Y243" s="34" t="n">
        <f aca="false">(X243*70)/100</f>
        <v>44.8</v>
      </c>
      <c r="Z243" s="34" t="n">
        <f aca="false">ROUNDUP(Y243,0)</f>
        <v>45</v>
      </c>
      <c r="AA243" s="32" t="n">
        <v>22</v>
      </c>
      <c r="AB243" s="34" t="n">
        <f aca="false">AA243+Y243</f>
        <v>66.8</v>
      </c>
      <c r="AC243" s="34" t="n">
        <f aca="false">AA243+Z243</f>
        <v>67</v>
      </c>
      <c r="AD243" s="32" t="n">
        <f aca="false">X243+R243+Q243+K243+J243</f>
        <v>364</v>
      </c>
      <c r="AE243" s="16" t="n">
        <f aca="false">AD243/5</f>
        <v>72.8</v>
      </c>
      <c r="AF243" s="16" t="n">
        <v>74</v>
      </c>
      <c r="AG243" s="16" t="n">
        <v>78</v>
      </c>
      <c r="AH243" s="16" t="n">
        <v>85</v>
      </c>
      <c r="AI243" s="16" t="n">
        <v>94</v>
      </c>
      <c r="AJ243" s="16" t="n">
        <f aca="false">(AI243*70)/100</f>
        <v>65.8</v>
      </c>
      <c r="AK243" s="35" t="n">
        <f aca="false">ROUNDUP(AJ243,0)</f>
        <v>66</v>
      </c>
      <c r="AL243" s="16" t="n">
        <v>23</v>
      </c>
      <c r="AM243" s="16" t="n">
        <f aca="false">AL243+AJ243</f>
        <v>88.8</v>
      </c>
      <c r="AN243" s="16" t="n">
        <f aca="false">AL243+AK243</f>
        <v>89</v>
      </c>
      <c r="AO243" s="16" t="n">
        <v>71</v>
      </c>
      <c r="AP243" s="36" t="n">
        <f aca="false">(AO243*70)/100</f>
        <v>49.7</v>
      </c>
      <c r="AQ243" s="37" t="n">
        <f aca="false">ROUNDUP(AP243,0)</f>
        <v>50</v>
      </c>
      <c r="AR243" s="16" t="n">
        <v>24</v>
      </c>
      <c r="AS243" s="16" t="n">
        <f aca="false">AR243+AP243</f>
        <v>73.7</v>
      </c>
      <c r="AT243" s="16" t="n">
        <f aca="false">AR243+AQ243</f>
        <v>74</v>
      </c>
      <c r="AU243" s="16" t="n">
        <f aca="false">AO243+AF243+AI243+AH243+AG243</f>
        <v>402</v>
      </c>
      <c r="AV243" s="16" t="n">
        <f aca="false">(AO243+AF243+AI243+AH243+AG243)/5</f>
        <v>80.4</v>
      </c>
      <c r="AW243" s="36" t="n">
        <f aca="false">(AO243+AF243+AI243+AH243+AG243+X243+R243+Q243+K243+J243)</f>
        <v>766</v>
      </c>
      <c r="AX243" s="16" t="n">
        <f aca="false">AW243/10</f>
        <v>76.6</v>
      </c>
      <c r="AY243" s="16" t="n">
        <f aca="false">AS243+AF243+AM243+AH243+AG243+AB243+V243+Q243+O243+J243</f>
        <v>762.5</v>
      </c>
      <c r="AZ243" s="16" t="n">
        <f aca="false">AT243+AF243+AN243+AH243+AG243+AC243+W243+Q243+P243+J243</f>
        <v>764</v>
      </c>
      <c r="BA243" s="16" t="n">
        <f aca="false">AY243/10</f>
        <v>76.25</v>
      </c>
      <c r="BB243" s="16" t="n">
        <f aca="false">AZ243/10</f>
        <v>76.4</v>
      </c>
      <c r="BC243" s="16" t="n">
        <v>2371</v>
      </c>
      <c r="BD243" s="16" t="n">
        <f aca="false">RANK(AX243,$AX$2:$AX$881,0)</f>
        <v>547</v>
      </c>
      <c r="BE243" s="54" t="n">
        <f aca="false">((BC243*100)/2400)*0.4+(AX243*0.6)</f>
        <v>85.4766666666667</v>
      </c>
      <c r="BF243" s="16" t="n">
        <f aca="false">RANK(BE243,$BE$2:$BE$881,0)</f>
        <v>511</v>
      </c>
      <c r="BG243" s="39" t="n">
        <f aca="false">RANK(BB243,$BB$2:$BB$881,0)</f>
        <v>666</v>
      </c>
      <c r="BH243" s="39" t="n">
        <f aca="false">RANK(BC243,$BC$2:$BC$881,0)</f>
        <v>257</v>
      </c>
      <c r="BI243" s="22" t="s">
        <v>130</v>
      </c>
      <c r="BJ243" s="22" t="s">
        <v>129</v>
      </c>
      <c r="BK243" s="40" t="s">
        <v>509</v>
      </c>
      <c r="BL243" s="41" t="n">
        <v>22</v>
      </c>
      <c r="BM243" s="41" t="n">
        <v>57</v>
      </c>
      <c r="BN243" s="41" t="n">
        <v>79</v>
      </c>
      <c r="BO243" s="42" t="n">
        <v>28</v>
      </c>
      <c r="BP243" s="43" t="n">
        <v>64</v>
      </c>
      <c r="BQ243" s="44" t="n">
        <v>92</v>
      </c>
      <c r="BR243" s="42" t="n">
        <v>26</v>
      </c>
      <c r="BS243" s="45" t="n">
        <v>66</v>
      </c>
      <c r="BT243" s="45" t="n">
        <v>92</v>
      </c>
      <c r="BU243" s="46" t="n">
        <v>100</v>
      </c>
      <c r="BV243" s="47" t="n">
        <v>94</v>
      </c>
      <c r="BW243" s="42" t="n">
        <v>98</v>
      </c>
      <c r="BX243" s="48" t="n">
        <v>94</v>
      </c>
      <c r="BY243" s="32" t="n">
        <v>27</v>
      </c>
      <c r="BZ243" s="32" t="n">
        <v>58</v>
      </c>
      <c r="CA243" s="32" t="n">
        <v>85</v>
      </c>
      <c r="CB243" s="32" t="n">
        <v>25</v>
      </c>
      <c r="CC243" s="32" t="n">
        <v>50</v>
      </c>
      <c r="CD243" s="32" t="n">
        <v>75</v>
      </c>
      <c r="CE243" s="32" t="n">
        <v>23</v>
      </c>
      <c r="CF243" s="32" t="n">
        <v>54</v>
      </c>
      <c r="CG243" s="32" t="n">
        <v>77</v>
      </c>
      <c r="CH243" s="32" t="n">
        <v>93</v>
      </c>
      <c r="CI243" s="32" t="n">
        <v>96</v>
      </c>
      <c r="CJ243" s="49" t="n">
        <v>25</v>
      </c>
      <c r="CK243" s="49" t="n">
        <v>49</v>
      </c>
      <c r="CL243" s="49" t="n">
        <v>74</v>
      </c>
      <c r="CM243" s="49" t="n">
        <v>26</v>
      </c>
      <c r="CN243" s="49" t="n">
        <v>55</v>
      </c>
      <c r="CO243" s="49" t="n">
        <v>81</v>
      </c>
      <c r="CP243" s="25" t="n">
        <f aca="false">BX243+BW243+BV243+BU243+BT243+BQ243+BN243</f>
        <v>649</v>
      </c>
      <c r="CQ243" s="25" t="n">
        <f aca="false">CO243+CL243+CI243+CH243+CG243+CD243+CA243</f>
        <v>581</v>
      </c>
      <c r="CR243" s="26" t="n">
        <f aca="false">CP243/7</f>
        <v>92.7142857142857</v>
      </c>
      <c r="CS243" s="26" t="n">
        <f aca="false">CQ243/7</f>
        <v>83</v>
      </c>
      <c r="CT243" s="24" t="n">
        <f aca="false">RANK(CR243,$CR$2:$CR$881,0)</f>
        <v>58</v>
      </c>
      <c r="CU243" s="25" t="n">
        <f aca="false">RANK(CS243,$CS$2:$CS$881,0)</f>
        <v>160</v>
      </c>
      <c r="CV243" s="26" t="n">
        <f aca="false">(CS243+CR243)/2</f>
        <v>87.8571428571429</v>
      </c>
      <c r="CW243" s="25" t="n">
        <f aca="false">RANK(CV243,$CV$2:$CV$881,0)</f>
        <v>96</v>
      </c>
      <c r="CX243" s="50" t="n">
        <f aca="false">(CV243+BB243)/2</f>
        <v>82.1285714285714</v>
      </c>
      <c r="CY243" s="50" t="n">
        <v>257</v>
      </c>
      <c r="CZ243" s="27" t="s">
        <v>132</v>
      </c>
      <c r="DA243" s="27" t="s">
        <v>153</v>
      </c>
      <c r="DB243" s="27" t="s">
        <v>153</v>
      </c>
      <c r="DC243" s="27" t="s">
        <v>134</v>
      </c>
      <c r="DD243" s="27" t="s">
        <v>140</v>
      </c>
      <c r="DE243" s="27" t="s">
        <v>218</v>
      </c>
      <c r="DF243" s="27" t="s">
        <v>202</v>
      </c>
      <c r="DG243" s="27" t="s">
        <v>134</v>
      </c>
      <c r="DH243" s="27" t="s">
        <v>264</v>
      </c>
      <c r="DI243" s="27" t="s">
        <v>204</v>
      </c>
      <c r="DJ243" s="27" t="s">
        <v>305</v>
      </c>
      <c r="DK243" s="27" t="s">
        <v>134</v>
      </c>
      <c r="DL243" s="27" t="s">
        <v>135</v>
      </c>
      <c r="DM243" s="27" t="s">
        <v>218</v>
      </c>
      <c r="DN243" s="27" t="s">
        <v>205</v>
      </c>
      <c r="DO243" s="27" t="s">
        <v>134</v>
      </c>
      <c r="DP243" s="27" t="s">
        <v>191</v>
      </c>
      <c r="DQ243" s="27" t="s">
        <v>447</v>
      </c>
      <c r="DR243" s="27" t="s">
        <v>486</v>
      </c>
      <c r="DS243" s="27" t="s">
        <v>134</v>
      </c>
      <c r="DT243" s="27" t="s">
        <v>160</v>
      </c>
      <c r="DU243" s="27" t="s">
        <v>415</v>
      </c>
      <c r="DV243" s="27" t="s">
        <v>441</v>
      </c>
      <c r="DW243" s="27" t="s">
        <v>137</v>
      </c>
      <c r="DX243" s="27" t="s">
        <v>155</v>
      </c>
      <c r="DY243" s="27" t="s">
        <v>142</v>
      </c>
      <c r="DZ243" s="27" t="n">
        <f aca="false">DY243+DV243+DR243+DN243+DJ243+DF243+DB243</f>
        <v>580</v>
      </c>
      <c r="EA243" s="28" t="n">
        <f aca="false">DZ243/7</f>
        <v>82.8571428571429</v>
      </c>
      <c r="EB243" s="27" t="n">
        <f aca="false">RANK(EA243,$EA$2:$EA$881,0)</f>
        <v>275</v>
      </c>
      <c r="EC243" s="29" t="n">
        <f aca="false">DZ243+CQ243+CP243+AZ243</f>
        <v>2574</v>
      </c>
      <c r="ED243" s="30" t="n">
        <f aca="false">(EA243+CV243+BB243)/3</f>
        <v>82.3714285714286</v>
      </c>
      <c r="EE243" s="51" t="n">
        <f aca="false">ROUND(BE243,3)</f>
        <v>85.477</v>
      </c>
      <c r="EF243" s="51" t="n">
        <f aca="false">ROUND(CR243,3)</f>
        <v>92.714</v>
      </c>
      <c r="EG243" s="51" t="n">
        <f aca="false">ROUND(CS243,3)</f>
        <v>83</v>
      </c>
      <c r="EH243" s="51" t="n">
        <f aca="false">ROUND(EA243,3)</f>
        <v>82.857</v>
      </c>
      <c r="EI243" s="51" t="n">
        <f aca="false">ROUND(ED243,3)</f>
        <v>82.371</v>
      </c>
      <c r="EJ243" s="51" t="n">
        <f aca="false">ROUND(CV243,3)</f>
        <v>87.857</v>
      </c>
      <c r="EK243" s="0" t="n">
        <f aca="false">RANK(EI243,$EI$2:$EI$881,0)</f>
        <v>241</v>
      </c>
    </row>
    <row r="244" customFormat="false" ht="15" hidden="false" customHeight="false" outlineLevel="0" collapsed="false">
      <c r="A244" s="4" t="n">
        <v>8706</v>
      </c>
      <c r="B244" s="4" t="n">
        <v>200</v>
      </c>
      <c r="C244" s="27" t="s">
        <v>881</v>
      </c>
      <c r="D244" s="31" t="n">
        <v>202</v>
      </c>
      <c r="E244" s="32" t="n">
        <v>230314700</v>
      </c>
      <c r="F244" s="8" t="s">
        <v>882</v>
      </c>
      <c r="G244" s="22" t="s">
        <v>762</v>
      </c>
      <c r="H244" s="22" t="s">
        <v>129</v>
      </c>
      <c r="I244" s="33" t="n">
        <v>2005</v>
      </c>
      <c r="J244" s="32" t="n">
        <v>75</v>
      </c>
      <c r="K244" s="32" t="n">
        <v>83</v>
      </c>
      <c r="L244" s="34" t="n">
        <f aca="false">(K244*70)/100</f>
        <v>58.1</v>
      </c>
      <c r="M244" s="34" t="n">
        <f aca="false">ROUNDUP(L244,0)</f>
        <v>59</v>
      </c>
      <c r="N244" s="32" t="n">
        <v>29</v>
      </c>
      <c r="O244" s="34" t="n">
        <f aca="false">N244+L244</f>
        <v>87.1</v>
      </c>
      <c r="P244" s="34" t="n">
        <f aca="false">N244+M244</f>
        <v>88</v>
      </c>
      <c r="Q244" s="32" t="n">
        <v>73</v>
      </c>
      <c r="R244" s="32" t="n">
        <v>81</v>
      </c>
      <c r="S244" s="34" t="n">
        <f aca="false">(R244*70)/100</f>
        <v>56.7</v>
      </c>
      <c r="T244" s="34" t="n">
        <f aca="false">ROUNDUP(S244,0)</f>
        <v>57</v>
      </c>
      <c r="U244" s="32" t="n">
        <v>30</v>
      </c>
      <c r="V244" s="34" t="n">
        <f aca="false">U244+S244</f>
        <v>86.7</v>
      </c>
      <c r="W244" s="34" t="n">
        <f aca="false">U244+T244</f>
        <v>87</v>
      </c>
      <c r="X244" s="32" t="n">
        <v>57</v>
      </c>
      <c r="Y244" s="34" t="n">
        <f aca="false">(X244*70)/100</f>
        <v>39.9</v>
      </c>
      <c r="Z244" s="34" t="n">
        <f aca="false">ROUNDUP(Y244,0)</f>
        <v>40</v>
      </c>
      <c r="AA244" s="32" t="n">
        <v>26</v>
      </c>
      <c r="AB244" s="34" t="n">
        <f aca="false">AA244+Y244</f>
        <v>65.9</v>
      </c>
      <c r="AC244" s="34" t="n">
        <f aca="false">AA244+Z244</f>
        <v>66</v>
      </c>
      <c r="AD244" s="32" t="n">
        <f aca="false">X244+R244+Q244+K244+J244</f>
        <v>369</v>
      </c>
      <c r="AE244" s="16" t="n">
        <f aca="false">AD244/5</f>
        <v>73.8</v>
      </c>
      <c r="AF244" s="16" t="n">
        <v>79</v>
      </c>
      <c r="AG244" s="16" t="n">
        <v>93</v>
      </c>
      <c r="AH244" s="16" t="n">
        <v>84</v>
      </c>
      <c r="AI244" s="16" t="n">
        <v>85</v>
      </c>
      <c r="AJ244" s="16" t="n">
        <f aca="false">(AI244*70)/100</f>
        <v>59.5</v>
      </c>
      <c r="AK244" s="35" t="n">
        <f aca="false">ROUNDUP(AJ244,0)</f>
        <v>60</v>
      </c>
      <c r="AL244" s="16" t="n">
        <v>26</v>
      </c>
      <c r="AM244" s="16" t="n">
        <f aca="false">AL244+AJ244</f>
        <v>85.5</v>
      </c>
      <c r="AN244" s="16" t="n">
        <f aca="false">AL244+AK244</f>
        <v>86</v>
      </c>
      <c r="AO244" s="16" t="n">
        <v>78</v>
      </c>
      <c r="AP244" s="36" t="n">
        <f aca="false">(AO244*70)/100</f>
        <v>54.6</v>
      </c>
      <c r="AQ244" s="37" t="n">
        <f aca="false">ROUNDUP(AP244,0)</f>
        <v>55</v>
      </c>
      <c r="AR244" s="16" t="n">
        <v>29</v>
      </c>
      <c r="AS244" s="16" t="n">
        <f aca="false">AR244+AP244</f>
        <v>83.6</v>
      </c>
      <c r="AT244" s="16" t="n">
        <f aca="false">AR244+AQ244</f>
        <v>84</v>
      </c>
      <c r="AU244" s="16" t="n">
        <f aca="false">AO244+AF244+AI244+AH244+AG244</f>
        <v>419</v>
      </c>
      <c r="AV244" s="16" t="n">
        <f aca="false">(AO244+AF244+AI244+AH244+AG244)/5</f>
        <v>83.8</v>
      </c>
      <c r="AW244" s="36" t="n">
        <f aca="false">(AO244+AF244+AI244+AH244+AG244+X244+R244+Q244+K244+J244)</f>
        <v>788</v>
      </c>
      <c r="AX244" s="16" t="n">
        <f aca="false">AW244/10</f>
        <v>78.8</v>
      </c>
      <c r="AY244" s="16" t="n">
        <f aca="false">AS244+AF244+AM244+AH244+AG244+AB244+V244+Q244+O244+J244</f>
        <v>812.8</v>
      </c>
      <c r="AZ244" s="16" t="n">
        <f aca="false">AT244+AF244+AN244+AH244+AG244+AC244+W244+Q244+P244+J244</f>
        <v>815</v>
      </c>
      <c r="BA244" s="16" t="n">
        <f aca="false">AY244/10</f>
        <v>81.28</v>
      </c>
      <c r="BB244" s="16" t="n">
        <f aca="false">AZ244/10</f>
        <v>81.5</v>
      </c>
      <c r="BC244" s="16" t="n">
        <v>2348</v>
      </c>
      <c r="BD244" s="16" t="n">
        <f aca="false">RANK(AX244,$AX$2:$AX$881,0)</f>
        <v>351</v>
      </c>
      <c r="BE244" s="54" t="n">
        <f aca="false">((BC244*100)/2400)*0.4+(AX244*0.6)</f>
        <v>86.4133333333333</v>
      </c>
      <c r="BF244" s="16" t="n">
        <f aca="false">RANK(BE244,$BE$2:$BE$881,0)</f>
        <v>361</v>
      </c>
      <c r="BG244" s="39" t="n">
        <f aca="false">RANK(BB244,$BB$2:$BB$881,0)</f>
        <v>246</v>
      </c>
      <c r="BH244" s="39" t="n">
        <f aca="false">RANK(BC244,$BC$2:$BC$881,0)</f>
        <v>551</v>
      </c>
      <c r="BI244" s="22" t="s">
        <v>130</v>
      </c>
      <c r="BJ244" s="22" t="s">
        <v>129</v>
      </c>
      <c r="BK244" s="40" t="s">
        <v>131</v>
      </c>
      <c r="BL244" s="41" t="n">
        <v>18</v>
      </c>
      <c r="BM244" s="41" t="n">
        <v>63</v>
      </c>
      <c r="BN244" s="41" t="n">
        <v>81</v>
      </c>
      <c r="BO244" s="42" t="n">
        <v>28</v>
      </c>
      <c r="BP244" s="43" t="n">
        <v>47</v>
      </c>
      <c r="BQ244" s="44" t="n">
        <v>75</v>
      </c>
      <c r="BR244" s="74" t="n">
        <v>9</v>
      </c>
      <c r="BS244" s="80"/>
      <c r="BT244" s="80"/>
      <c r="BU244" s="46" t="n">
        <v>100</v>
      </c>
      <c r="BV244" s="47" t="n">
        <v>90</v>
      </c>
      <c r="BW244" s="42" t="n">
        <v>100</v>
      </c>
      <c r="BX244" s="48" t="n">
        <v>98</v>
      </c>
      <c r="BY244" s="32" t="n">
        <v>26</v>
      </c>
      <c r="BZ244" s="32" t="n">
        <v>51</v>
      </c>
      <c r="CA244" s="32" t="n">
        <v>77</v>
      </c>
      <c r="CB244" s="32" t="n">
        <v>20</v>
      </c>
      <c r="CC244" s="32" t="n">
        <v>42</v>
      </c>
      <c r="CD244" s="32" t="n">
        <v>62</v>
      </c>
      <c r="CE244" s="32" t="n">
        <v>26</v>
      </c>
      <c r="CF244" s="32" t="n">
        <v>59</v>
      </c>
      <c r="CG244" s="32" t="n">
        <v>85</v>
      </c>
      <c r="CH244" s="32" t="n">
        <v>100</v>
      </c>
      <c r="CI244" s="32" t="n">
        <v>99</v>
      </c>
      <c r="CJ244" s="49" t="n">
        <v>24</v>
      </c>
      <c r="CK244" s="49" t="n">
        <v>57</v>
      </c>
      <c r="CL244" s="49" t="n">
        <v>81</v>
      </c>
      <c r="CM244" s="49" t="n">
        <v>21</v>
      </c>
      <c r="CN244" s="49" t="n">
        <v>52</v>
      </c>
      <c r="CO244" s="49" t="n">
        <v>73</v>
      </c>
      <c r="CP244" s="25" t="n">
        <f aca="false">BX244+BW244+BV244+BU244+BT244+BQ244+BN244</f>
        <v>544</v>
      </c>
      <c r="CQ244" s="25" t="n">
        <f aca="false">CO244+CL244+CI244+CH244+CG244+CD244+CA244</f>
        <v>577</v>
      </c>
      <c r="CR244" s="26" t="n">
        <f aca="false">CP244/7</f>
        <v>77.7142857142857</v>
      </c>
      <c r="CS244" s="26" t="n">
        <f aca="false">CQ244/7</f>
        <v>82.4285714285714</v>
      </c>
      <c r="CT244" s="24" t="n">
        <f aca="false">RANK(CR244,$CR$2:$CR$881,0)</f>
        <v>616</v>
      </c>
      <c r="CU244" s="25" t="n">
        <f aca="false">RANK(CS244,$CS$2:$CS$881,0)</f>
        <v>179</v>
      </c>
      <c r="CV244" s="26" t="n">
        <f aca="false">(CS244+CR244)/2</f>
        <v>80.0714285714286</v>
      </c>
      <c r="CW244" s="25" t="n">
        <f aca="false">RANK(CV244,$CV$2:$CV$881,0)</f>
        <v>422</v>
      </c>
      <c r="CX244" s="50" t="n">
        <f aca="false">(CV244+BB244)/2</f>
        <v>80.7857142857143</v>
      </c>
      <c r="CY244" s="50" t="n">
        <v>333</v>
      </c>
      <c r="CZ244" s="27" t="s">
        <v>132</v>
      </c>
      <c r="DA244" s="27" t="s">
        <v>176</v>
      </c>
      <c r="DB244" s="27" t="s">
        <v>176</v>
      </c>
      <c r="DC244" s="27" t="s">
        <v>134</v>
      </c>
      <c r="DD244" s="27" t="s">
        <v>182</v>
      </c>
      <c r="DE244" s="27" t="s">
        <v>177</v>
      </c>
      <c r="DF244" s="27" t="s">
        <v>209</v>
      </c>
      <c r="DG244" s="27" t="s">
        <v>134</v>
      </c>
      <c r="DH244" s="27" t="s">
        <v>154</v>
      </c>
      <c r="DI244" s="27" t="s">
        <v>177</v>
      </c>
      <c r="DJ244" s="27" t="s">
        <v>169</v>
      </c>
      <c r="DK244" s="27" t="s">
        <v>134</v>
      </c>
      <c r="DL244" s="27" t="s">
        <v>137</v>
      </c>
      <c r="DM244" s="27" t="s">
        <v>177</v>
      </c>
      <c r="DN244" s="27" t="s">
        <v>202</v>
      </c>
      <c r="DO244" s="27" t="s">
        <v>134</v>
      </c>
      <c r="DP244" s="27" t="s">
        <v>154</v>
      </c>
      <c r="DQ244" s="27" t="s">
        <v>183</v>
      </c>
      <c r="DR244" s="27" t="s">
        <v>196</v>
      </c>
      <c r="DS244" s="27" t="s">
        <v>134</v>
      </c>
      <c r="DT244" s="27" t="s">
        <v>137</v>
      </c>
      <c r="DU244" s="27" t="s">
        <v>412</v>
      </c>
      <c r="DV244" s="27" t="s">
        <v>382</v>
      </c>
      <c r="DW244" s="27" t="s">
        <v>137</v>
      </c>
      <c r="DX244" s="27" t="s">
        <v>138</v>
      </c>
      <c r="DY244" s="27" t="s">
        <v>139</v>
      </c>
      <c r="DZ244" s="27" t="n">
        <f aca="false">DY244+DV244+DR244+DN244+DJ244+DF244+DB244</f>
        <v>598</v>
      </c>
      <c r="EA244" s="28" t="n">
        <f aca="false">DZ244/7</f>
        <v>85.4285714285714</v>
      </c>
      <c r="EB244" s="27" t="n">
        <f aca="false">RANK(EA244,$EA$2:$EA$881,0)</f>
        <v>175</v>
      </c>
      <c r="EC244" s="29" t="n">
        <f aca="false">DZ244+CQ244+CP244+AZ244</f>
        <v>2534</v>
      </c>
      <c r="ED244" s="30" t="n">
        <f aca="false">(EA244+CV244+BB244)/3</f>
        <v>82.3333333333333</v>
      </c>
      <c r="EE244" s="51" t="n">
        <f aca="false">ROUND(BE244,3)</f>
        <v>86.413</v>
      </c>
      <c r="EF244" s="51" t="n">
        <f aca="false">ROUND(CR244,3)</f>
        <v>77.714</v>
      </c>
      <c r="EG244" s="51" t="n">
        <f aca="false">ROUND(CS244,3)</f>
        <v>82.429</v>
      </c>
      <c r="EH244" s="51" t="n">
        <f aca="false">ROUND(EA244,3)</f>
        <v>85.429</v>
      </c>
      <c r="EI244" s="51" t="n">
        <f aca="false">ROUND(ED244,3)</f>
        <v>82.333</v>
      </c>
      <c r="EJ244" s="51" t="n">
        <f aca="false">ROUND(CV244,3)</f>
        <v>80.071</v>
      </c>
      <c r="EK244" s="0" t="n">
        <f aca="false">RANK(EI244,$EI$2:$EI$881,0)</f>
        <v>243</v>
      </c>
    </row>
    <row r="245" customFormat="false" ht="15" hidden="false" customHeight="false" outlineLevel="0" collapsed="false">
      <c r="A245" s="4" t="n">
        <v>8830</v>
      </c>
      <c r="B245" s="4" t="n">
        <v>406</v>
      </c>
      <c r="C245" s="27" t="s">
        <v>883</v>
      </c>
      <c r="D245" s="31" t="n">
        <v>411</v>
      </c>
      <c r="E245" s="32" t="n">
        <v>230319755</v>
      </c>
      <c r="F245" s="8" t="s">
        <v>884</v>
      </c>
      <c r="G245" s="22" t="s">
        <v>885</v>
      </c>
      <c r="H245" s="22" t="s">
        <v>129</v>
      </c>
      <c r="I245" s="33" t="n">
        <v>2005</v>
      </c>
      <c r="J245" s="32" t="n">
        <v>86</v>
      </c>
      <c r="K245" s="32" t="n">
        <v>87</v>
      </c>
      <c r="L245" s="34" t="n">
        <f aca="false">(K245*70)/100</f>
        <v>60.9</v>
      </c>
      <c r="M245" s="34" t="n">
        <f aca="false">ROUNDUP(L245,0)</f>
        <v>61</v>
      </c>
      <c r="N245" s="32" t="n">
        <v>27</v>
      </c>
      <c r="O245" s="34" t="n">
        <f aca="false">N245+L245</f>
        <v>87.9</v>
      </c>
      <c r="P245" s="34" t="n">
        <f aca="false">N245+M245</f>
        <v>88</v>
      </c>
      <c r="Q245" s="32" t="n">
        <v>77</v>
      </c>
      <c r="R245" s="32" t="n">
        <v>66</v>
      </c>
      <c r="S245" s="34" t="n">
        <f aca="false">(R245*70)/100</f>
        <v>46.2</v>
      </c>
      <c r="T245" s="34" t="n">
        <f aca="false">ROUNDUP(S245,0)</f>
        <v>47</v>
      </c>
      <c r="U245" s="32" t="n">
        <v>19</v>
      </c>
      <c r="V245" s="34" t="n">
        <f aca="false">U245+S245</f>
        <v>65.2</v>
      </c>
      <c r="W245" s="34" t="n">
        <f aca="false">U245+T245</f>
        <v>66</v>
      </c>
      <c r="X245" s="32" t="n">
        <v>64</v>
      </c>
      <c r="Y245" s="34" t="n">
        <f aca="false">(X245*70)/100</f>
        <v>44.8</v>
      </c>
      <c r="Z245" s="34" t="n">
        <f aca="false">ROUNDUP(Y245,0)</f>
        <v>45</v>
      </c>
      <c r="AA245" s="32" t="n">
        <v>25</v>
      </c>
      <c r="AB245" s="34" t="n">
        <f aca="false">AA245+Y245</f>
        <v>69.8</v>
      </c>
      <c r="AC245" s="34" t="n">
        <f aca="false">AA245+Z245</f>
        <v>70</v>
      </c>
      <c r="AD245" s="32" t="n">
        <f aca="false">X245+R245+Q245+K245+J245</f>
        <v>380</v>
      </c>
      <c r="AE245" s="16" t="n">
        <f aca="false">AD245/5</f>
        <v>76</v>
      </c>
      <c r="AF245" s="16" t="n">
        <v>77</v>
      </c>
      <c r="AG245" s="16" t="n">
        <v>88</v>
      </c>
      <c r="AH245" s="16" t="n">
        <v>87</v>
      </c>
      <c r="AI245" s="16" t="n">
        <v>79</v>
      </c>
      <c r="AJ245" s="16" t="n">
        <f aca="false">(AI245*70)/100</f>
        <v>55.3</v>
      </c>
      <c r="AK245" s="35" t="n">
        <f aca="false">ROUNDUP(AJ245,0)</f>
        <v>56</v>
      </c>
      <c r="AL245" s="16" t="n">
        <v>28</v>
      </c>
      <c r="AM245" s="16" t="n">
        <f aca="false">AL245+AJ245</f>
        <v>83.3</v>
      </c>
      <c r="AN245" s="16" t="n">
        <f aca="false">AL245+AK245</f>
        <v>84</v>
      </c>
      <c r="AO245" s="16" t="n">
        <v>69</v>
      </c>
      <c r="AP245" s="36" t="n">
        <f aca="false">(AO245*70)/100</f>
        <v>48.3</v>
      </c>
      <c r="AQ245" s="37" t="n">
        <f aca="false">ROUNDUP(AP245,0)</f>
        <v>49</v>
      </c>
      <c r="AR245" s="16" t="n">
        <v>30</v>
      </c>
      <c r="AS245" s="16" t="n">
        <f aca="false">AR245+AP245</f>
        <v>78.3</v>
      </c>
      <c r="AT245" s="16" t="n">
        <f aca="false">AR245+AQ245</f>
        <v>79</v>
      </c>
      <c r="AU245" s="16" t="n">
        <f aca="false">AO245+AF245+AI245+AH245+AG245</f>
        <v>400</v>
      </c>
      <c r="AV245" s="16" t="n">
        <f aca="false">(AO245+AF245+AI245+AH245+AG245)/5</f>
        <v>80</v>
      </c>
      <c r="AW245" s="36" t="n">
        <f aca="false">(AO245+AF245+AI245+AH245+AG245+X245+R245+Q245+K245+J245)</f>
        <v>780</v>
      </c>
      <c r="AX245" s="16" t="n">
        <f aca="false">AW245/10</f>
        <v>78</v>
      </c>
      <c r="AY245" s="16" t="n">
        <f aca="false">AS245+AF245+AM245+AH245+AG245+AB245+V245+Q245+O245+J245</f>
        <v>799.5</v>
      </c>
      <c r="AZ245" s="16" t="n">
        <f aca="false">AT245+AF245+AN245+AH245+AG245+AC245+W245+Q245+P245+J245</f>
        <v>802</v>
      </c>
      <c r="BA245" s="16" t="n">
        <f aca="false">AY245/10</f>
        <v>79.95</v>
      </c>
      <c r="BB245" s="16" t="n">
        <f aca="false">AZ245/10</f>
        <v>80.2</v>
      </c>
      <c r="BC245" s="16" t="n">
        <v>2392</v>
      </c>
      <c r="BD245" s="16" t="n">
        <f aca="false">RANK(AX245,$AX$2:$AX$881,0)</f>
        <v>408</v>
      </c>
      <c r="BE245" s="54" t="n">
        <f aca="false">((BC245*100)/2400)*0.4+(AX245*0.6)</f>
        <v>86.6666666666667</v>
      </c>
      <c r="BF245" s="16" t="n">
        <f aca="false">RANK(BE245,$BE$2:$BE$881,0)</f>
        <v>334</v>
      </c>
      <c r="BG245" s="39" t="n">
        <f aca="false">RANK(BB245,$BB$2:$BB$881,0)</f>
        <v>338</v>
      </c>
      <c r="BH245" s="39" t="n">
        <f aca="false">RANK(BC245,$BC$2:$BC$881,0)</f>
        <v>28</v>
      </c>
      <c r="BI245" s="22" t="s">
        <v>130</v>
      </c>
      <c r="BJ245" s="22" t="s">
        <v>129</v>
      </c>
      <c r="BK245" s="40" t="s">
        <v>131</v>
      </c>
      <c r="BL245" s="41" t="n">
        <v>25</v>
      </c>
      <c r="BM245" s="41" t="n">
        <v>57</v>
      </c>
      <c r="BN245" s="41" t="n">
        <v>82</v>
      </c>
      <c r="BO245" s="42" t="n">
        <v>28</v>
      </c>
      <c r="BP245" s="43" t="n">
        <v>57</v>
      </c>
      <c r="BQ245" s="44" t="n">
        <v>85</v>
      </c>
      <c r="BR245" s="42" t="n">
        <v>20</v>
      </c>
      <c r="BS245" s="45" t="n">
        <v>59</v>
      </c>
      <c r="BT245" s="45" t="n">
        <v>79</v>
      </c>
      <c r="BU245" s="46" t="n">
        <v>100</v>
      </c>
      <c r="BV245" s="47" t="n">
        <v>94</v>
      </c>
      <c r="BW245" s="42" t="n">
        <v>98</v>
      </c>
      <c r="BX245" s="48" t="n">
        <v>96</v>
      </c>
      <c r="BY245" s="32" t="n">
        <v>25</v>
      </c>
      <c r="BZ245" s="32" t="n">
        <v>59</v>
      </c>
      <c r="CA245" s="32" t="n">
        <v>84</v>
      </c>
      <c r="CB245" s="32" t="n">
        <v>18</v>
      </c>
      <c r="CC245" s="32" t="n">
        <v>33</v>
      </c>
      <c r="CD245" s="69" t="n">
        <v>51</v>
      </c>
      <c r="CE245" s="32" t="n">
        <v>24</v>
      </c>
      <c r="CF245" s="32" t="n">
        <v>54</v>
      </c>
      <c r="CG245" s="32" t="n">
        <v>78</v>
      </c>
      <c r="CH245" s="32" t="n">
        <v>99</v>
      </c>
      <c r="CI245" s="32" t="n">
        <v>100</v>
      </c>
      <c r="CJ245" s="49" t="n">
        <v>26</v>
      </c>
      <c r="CK245" s="49" t="n">
        <v>46</v>
      </c>
      <c r="CL245" s="49" t="n">
        <v>72</v>
      </c>
      <c r="CM245" s="49" t="n">
        <v>25</v>
      </c>
      <c r="CN245" s="49" t="n">
        <v>56</v>
      </c>
      <c r="CO245" s="49" t="n">
        <v>81</v>
      </c>
      <c r="CP245" s="25" t="n">
        <f aca="false">BX245+BW245+BV245+BU245+BT245+BQ245+BN245</f>
        <v>634</v>
      </c>
      <c r="CQ245" s="25" t="n">
        <f aca="false">CO245+CL245+CI245+CH245+CG245+CD245+CA245</f>
        <v>565</v>
      </c>
      <c r="CR245" s="26" t="n">
        <f aca="false">CP245/7</f>
        <v>90.5714285714286</v>
      </c>
      <c r="CS245" s="26" t="n">
        <f aca="false">CQ245/7</f>
        <v>80.7142857142857</v>
      </c>
      <c r="CT245" s="24" t="n">
        <f aca="false">RANK(CR245,$CR$2:$CR$881,0)</f>
        <v>147</v>
      </c>
      <c r="CU245" s="25" t="n">
        <f aca="false">RANK(CS245,$CS$2:$CS$881,0)</f>
        <v>233</v>
      </c>
      <c r="CV245" s="26" t="n">
        <f aca="false">(CS245+CR245)/2</f>
        <v>85.6428571428571</v>
      </c>
      <c r="CW245" s="25" t="n">
        <f aca="false">RANK(CV245,$CV$2:$CV$881,0)</f>
        <v>186</v>
      </c>
      <c r="CX245" s="50" t="n">
        <f aca="false">(CV245+BB245)/2</f>
        <v>82.9214285714286</v>
      </c>
      <c r="CY245" s="50" t="n">
        <v>214</v>
      </c>
      <c r="CZ245" s="27" t="s">
        <v>132</v>
      </c>
      <c r="DA245" s="27" t="s">
        <v>205</v>
      </c>
      <c r="DB245" s="27" t="s">
        <v>205</v>
      </c>
      <c r="DC245" s="27" t="s">
        <v>134</v>
      </c>
      <c r="DD245" s="27" t="s">
        <v>135</v>
      </c>
      <c r="DE245" s="27" t="s">
        <v>203</v>
      </c>
      <c r="DF245" s="27" t="s">
        <v>178</v>
      </c>
      <c r="DG245" s="27" t="s">
        <v>134</v>
      </c>
      <c r="DH245" s="27" t="s">
        <v>137</v>
      </c>
      <c r="DI245" s="27" t="s">
        <v>218</v>
      </c>
      <c r="DJ245" s="27" t="s">
        <v>169</v>
      </c>
      <c r="DK245" s="27" t="s">
        <v>134</v>
      </c>
      <c r="DL245" s="27" t="s">
        <v>135</v>
      </c>
      <c r="DM245" s="27" t="s">
        <v>447</v>
      </c>
      <c r="DN245" s="27" t="s">
        <v>305</v>
      </c>
      <c r="DO245" s="27" t="s">
        <v>134</v>
      </c>
      <c r="DP245" s="27" t="s">
        <v>485</v>
      </c>
      <c r="DQ245" s="27" t="s">
        <v>313</v>
      </c>
      <c r="DR245" s="27" t="s">
        <v>138</v>
      </c>
      <c r="DS245" s="27" t="s">
        <v>134</v>
      </c>
      <c r="DT245" s="27" t="s">
        <v>135</v>
      </c>
      <c r="DU245" s="27" t="s">
        <v>412</v>
      </c>
      <c r="DV245" s="27" t="s">
        <v>443</v>
      </c>
      <c r="DW245" s="27" t="s">
        <v>182</v>
      </c>
      <c r="DX245" s="27" t="s">
        <v>138</v>
      </c>
      <c r="DY245" s="27" t="s">
        <v>151</v>
      </c>
      <c r="DZ245" s="27" t="n">
        <f aca="false">DY245+DV245+DR245+DN245+DJ245+DF245+DB245</f>
        <v>568</v>
      </c>
      <c r="EA245" s="28" t="n">
        <f aca="false">DZ245/7</f>
        <v>81.1428571428571</v>
      </c>
      <c r="EB245" s="27" t="n">
        <f aca="false">RANK(EA245,$EA$2:$EA$881,0)</f>
        <v>342</v>
      </c>
      <c r="EC245" s="29" t="n">
        <f aca="false">DZ245+CQ245+CP245+AZ245</f>
        <v>2569</v>
      </c>
      <c r="ED245" s="30" t="n">
        <f aca="false">(EA245+CV245+BB245)/3</f>
        <v>82.3285714285714</v>
      </c>
      <c r="EE245" s="51" t="n">
        <f aca="false">ROUND(BE245,3)</f>
        <v>86.667</v>
      </c>
      <c r="EF245" s="51" t="n">
        <f aca="false">ROUND(CR245,3)</f>
        <v>90.571</v>
      </c>
      <c r="EG245" s="51" t="n">
        <f aca="false">ROUND(CS245,3)</f>
        <v>80.714</v>
      </c>
      <c r="EH245" s="51" t="n">
        <f aca="false">ROUND(EA245,3)</f>
        <v>81.143</v>
      </c>
      <c r="EI245" s="51" t="n">
        <f aca="false">ROUND(ED245,3)</f>
        <v>82.329</v>
      </c>
      <c r="EJ245" s="51" t="n">
        <f aca="false">ROUND(CV245,3)</f>
        <v>85.643</v>
      </c>
      <c r="EK245" s="0" t="n">
        <f aca="false">RANK(EI245,$EI$2:$EI$881,0)</f>
        <v>244</v>
      </c>
    </row>
    <row r="246" customFormat="false" ht="15" hidden="false" customHeight="false" outlineLevel="0" collapsed="false">
      <c r="A246" s="4" t="n">
        <v>2055</v>
      </c>
      <c r="B246" s="4" t="n">
        <v>321</v>
      </c>
      <c r="C246" s="27" t="s">
        <v>886</v>
      </c>
      <c r="D246" s="31" t="n">
        <v>322</v>
      </c>
      <c r="E246" s="32" t="n">
        <v>230319742</v>
      </c>
      <c r="F246" s="8" t="s">
        <v>887</v>
      </c>
      <c r="G246" s="22" t="s">
        <v>888</v>
      </c>
      <c r="H246" s="22" t="s">
        <v>129</v>
      </c>
      <c r="I246" s="33" t="n">
        <v>2006</v>
      </c>
      <c r="J246" s="32" t="n">
        <v>88</v>
      </c>
      <c r="K246" s="32" t="n">
        <v>73</v>
      </c>
      <c r="L246" s="34" t="n">
        <f aca="false">(K246*70)/100</f>
        <v>51.1</v>
      </c>
      <c r="M246" s="34" t="n">
        <f aca="false">ROUNDUP(L246,0)</f>
        <v>52</v>
      </c>
      <c r="N246" s="32" t="n">
        <v>27</v>
      </c>
      <c r="O246" s="34" t="n">
        <f aca="false">N246+L246</f>
        <v>78.1</v>
      </c>
      <c r="P246" s="34" t="n">
        <f aca="false">N246+M246</f>
        <v>79</v>
      </c>
      <c r="Q246" s="32" t="n">
        <v>84</v>
      </c>
      <c r="R246" s="32" t="n">
        <v>72</v>
      </c>
      <c r="S246" s="34" t="n">
        <f aca="false">(R246*70)/100</f>
        <v>50.4</v>
      </c>
      <c r="T246" s="34" t="n">
        <f aca="false">ROUNDUP(S246,0)</f>
        <v>51</v>
      </c>
      <c r="U246" s="32" t="n">
        <v>25</v>
      </c>
      <c r="V246" s="34" t="n">
        <f aca="false">U246+S246</f>
        <v>75.4</v>
      </c>
      <c r="W246" s="34" t="n">
        <f aca="false">U246+T246</f>
        <v>76</v>
      </c>
      <c r="X246" s="32" t="n">
        <v>76</v>
      </c>
      <c r="Y246" s="34" t="n">
        <f aca="false">(X246*70)/100</f>
        <v>53.2</v>
      </c>
      <c r="Z246" s="34" t="n">
        <f aca="false">ROUNDUP(Y246,0)</f>
        <v>54</v>
      </c>
      <c r="AA246" s="32" t="n">
        <v>28</v>
      </c>
      <c r="AB246" s="34" t="n">
        <f aca="false">AA246+Y246</f>
        <v>81.2</v>
      </c>
      <c r="AC246" s="34" t="n">
        <f aca="false">AA246+Z246</f>
        <v>82</v>
      </c>
      <c r="AD246" s="32" t="n">
        <f aca="false">X246+R246+Q246+K246+J246</f>
        <v>393</v>
      </c>
      <c r="AE246" s="16" t="n">
        <f aca="false">AD246/5</f>
        <v>78.6</v>
      </c>
      <c r="AF246" s="16" t="n">
        <v>66</v>
      </c>
      <c r="AG246" s="16" t="n">
        <v>93</v>
      </c>
      <c r="AH246" s="16" t="n">
        <v>84</v>
      </c>
      <c r="AI246" s="16" t="n">
        <v>65</v>
      </c>
      <c r="AJ246" s="16" t="n">
        <f aca="false">(AI246*70)/100</f>
        <v>45.5</v>
      </c>
      <c r="AK246" s="35" t="n">
        <f aca="false">ROUNDUP(AJ246,0)</f>
        <v>46</v>
      </c>
      <c r="AL246" s="16" t="n">
        <v>27</v>
      </c>
      <c r="AM246" s="16" t="n">
        <f aca="false">AL246+AJ246</f>
        <v>72.5</v>
      </c>
      <c r="AN246" s="16" t="n">
        <f aca="false">AL246+AK246</f>
        <v>73</v>
      </c>
      <c r="AO246" s="16" t="n">
        <v>72</v>
      </c>
      <c r="AP246" s="36" t="n">
        <f aca="false">(AO246*70)/100</f>
        <v>50.4</v>
      </c>
      <c r="AQ246" s="37" t="n">
        <f aca="false">ROUNDUP(AP246,0)</f>
        <v>51</v>
      </c>
      <c r="AR246" s="16" t="n">
        <v>25</v>
      </c>
      <c r="AS246" s="16" t="n">
        <f aca="false">AR246+AP246</f>
        <v>75.4</v>
      </c>
      <c r="AT246" s="16" t="n">
        <f aca="false">AR246+AQ246</f>
        <v>76</v>
      </c>
      <c r="AU246" s="16" t="n">
        <f aca="false">AO246+AF246+AI246+AH246+AG246</f>
        <v>380</v>
      </c>
      <c r="AV246" s="16" t="n">
        <f aca="false">(AO246+AF246+AI246+AH246+AG246)/5</f>
        <v>76</v>
      </c>
      <c r="AW246" s="36" t="n">
        <f aca="false">(AO246+AF246+AI246+AH246+AG246+X246+R246+Q246+K246+J246)</f>
        <v>773</v>
      </c>
      <c r="AX246" s="16" t="n">
        <f aca="false">AW246/10</f>
        <v>77.3</v>
      </c>
      <c r="AY246" s="16" t="n">
        <f aca="false">AS246+AF246+AM246+AH246+AG246+AB246+V246+Q246+O246+J246</f>
        <v>797.6</v>
      </c>
      <c r="AZ246" s="16" t="n">
        <f aca="false">AT246+AF246+AN246+AH246+AG246+AC246+W246+Q246+P246+J246</f>
        <v>801</v>
      </c>
      <c r="BA246" s="16" t="n">
        <f aca="false">AY246/10</f>
        <v>79.76</v>
      </c>
      <c r="BB246" s="16" t="n">
        <f aca="false">AZ246/10</f>
        <v>80.1</v>
      </c>
      <c r="BC246" s="16" t="n">
        <v>2378</v>
      </c>
      <c r="BD246" s="16" t="n">
        <f aca="false">RANK(AX246,$AX$2:$AX$881,0)</f>
        <v>472</v>
      </c>
      <c r="BE246" s="54" t="n">
        <f aca="false">((BC246*100)/2400)*0.4+(AX246*0.6)</f>
        <v>86.0133333333333</v>
      </c>
      <c r="BF246" s="16" t="n">
        <f aca="false">RANK(BE246,$BE$2:$BE$881,0)</f>
        <v>431</v>
      </c>
      <c r="BG246" s="39" t="n">
        <f aca="false">RANK(BB246,$BB$2:$BB$881,0)</f>
        <v>346</v>
      </c>
      <c r="BH246" s="39" t="n">
        <f aca="false">RANK(BC246,$BC$2:$BC$881,0)</f>
        <v>173</v>
      </c>
      <c r="BI246" s="22" t="s">
        <v>130</v>
      </c>
      <c r="BJ246" s="22" t="s">
        <v>129</v>
      </c>
      <c r="BK246" s="40" t="s">
        <v>509</v>
      </c>
      <c r="BL246" s="41" t="n">
        <v>20</v>
      </c>
      <c r="BM246" s="41" t="n">
        <v>53</v>
      </c>
      <c r="BN246" s="41" t="n">
        <v>73</v>
      </c>
      <c r="BO246" s="42" t="n">
        <v>21</v>
      </c>
      <c r="BP246" s="43" t="n">
        <v>67</v>
      </c>
      <c r="BQ246" s="44" t="n">
        <v>88</v>
      </c>
      <c r="BR246" s="42" t="n">
        <v>16</v>
      </c>
      <c r="BS246" s="45" t="n">
        <v>48</v>
      </c>
      <c r="BT246" s="45" t="n">
        <v>64</v>
      </c>
      <c r="BU246" s="46" t="n">
        <v>100</v>
      </c>
      <c r="BV246" s="47" t="n">
        <v>96</v>
      </c>
      <c r="BW246" s="42" t="n">
        <v>95</v>
      </c>
      <c r="BX246" s="48" t="n">
        <v>100</v>
      </c>
      <c r="BY246" s="32" t="n">
        <v>23</v>
      </c>
      <c r="BZ246" s="32" t="n">
        <v>58</v>
      </c>
      <c r="CA246" s="48" t="n">
        <v>81</v>
      </c>
      <c r="CB246" s="32" t="n">
        <v>20</v>
      </c>
      <c r="CC246" s="32" t="n">
        <v>29</v>
      </c>
      <c r="CD246" s="69" t="n">
        <v>49</v>
      </c>
      <c r="CE246" s="32" t="n">
        <v>29</v>
      </c>
      <c r="CF246" s="32" t="n">
        <v>55</v>
      </c>
      <c r="CG246" s="32" t="n">
        <v>84</v>
      </c>
      <c r="CH246" s="32" t="n">
        <v>99</v>
      </c>
      <c r="CI246" s="32" t="n">
        <v>98</v>
      </c>
      <c r="CJ246" s="49" t="n">
        <v>25</v>
      </c>
      <c r="CK246" s="49" t="n">
        <v>46</v>
      </c>
      <c r="CL246" s="49" t="n">
        <v>71</v>
      </c>
      <c r="CM246" s="49" t="n">
        <v>21</v>
      </c>
      <c r="CN246" s="49" t="n">
        <v>57</v>
      </c>
      <c r="CO246" s="49" t="n">
        <v>78</v>
      </c>
      <c r="CP246" s="25" t="n">
        <f aca="false">BX246+BW246+BV246+BU246+BT246+BQ246+BN246</f>
        <v>616</v>
      </c>
      <c r="CQ246" s="25" t="n">
        <f aca="false">CO246+CL246+CI246+CH246+CG246+CD246+CA246</f>
        <v>560</v>
      </c>
      <c r="CR246" s="26" t="n">
        <f aca="false">CP246/7</f>
        <v>88</v>
      </c>
      <c r="CS246" s="26" t="n">
        <f aca="false">CQ246/7</f>
        <v>80</v>
      </c>
      <c r="CT246" s="24" t="n">
        <f aca="false">RANK(CR246,$CR$2:$CR$881,0)</f>
        <v>304</v>
      </c>
      <c r="CU246" s="25" t="n">
        <f aca="false">RANK(CS246,$CS$2:$CS$881,0)</f>
        <v>264</v>
      </c>
      <c r="CV246" s="26" t="n">
        <f aca="false">(CS246+CR246)/2</f>
        <v>84</v>
      </c>
      <c r="CW246" s="25" t="n">
        <f aca="false">RANK(CV246,$CV$2:$CV$881,0)</f>
        <v>263</v>
      </c>
      <c r="CX246" s="50" t="n">
        <f aca="false">(CV246+BB246)/2</f>
        <v>82.05</v>
      </c>
      <c r="CY246" s="50" t="n">
        <v>308</v>
      </c>
      <c r="CZ246" s="27" t="s">
        <v>132</v>
      </c>
      <c r="DA246" s="27" t="s">
        <v>162</v>
      </c>
      <c r="DB246" s="27" t="s">
        <v>162</v>
      </c>
      <c r="DC246" s="27" t="s">
        <v>134</v>
      </c>
      <c r="DD246" s="27" t="s">
        <v>174</v>
      </c>
      <c r="DE246" s="27" t="s">
        <v>306</v>
      </c>
      <c r="DF246" s="27" t="s">
        <v>382</v>
      </c>
      <c r="DG246" s="27" t="s">
        <v>134</v>
      </c>
      <c r="DH246" s="27" t="s">
        <v>135</v>
      </c>
      <c r="DI246" s="27" t="s">
        <v>218</v>
      </c>
      <c r="DJ246" s="27" t="s">
        <v>205</v>
      </c>
      <c r="DK246" s="27" t="s">
        <v>134</v>
      </c>
      <c r="DL246" s="27" t="s">
        <v>182</v>
      </c>
      <c r="DM246" s="27" t="s">
        <v>375</v>
      </c>
      <c r="DN246" s="27" t="s">
        <v>372</v>
      </c>
      <c r="DO246" s="27" t="s">
        <v>134</v>
      </c>
      <c r="DP246" s="27" t="s">
        <v>386</v>
      </c>
      <c r="DQ246" s="27" t="s">
        <v>161</v>
      </c>
      <c r="DR246" s="27" t="s">
        <v>272</v>
      </c>
      <c r="DS246" s="27" t="s">
        <v>134</v>
      </c>
      <c r="DT246" s="27" t="s">
        <v>182</v>
      </c>
      <c r="DU246" s="27" t="s">
        <v>304</v>
      </c>
      <c r="DV246" s="27" t="s">
        <v>305</v>
      </c>
      <c r="DW246" s="27" t="s">
        <v>146</v>
      </c>
      <c r="DX246" s="27" t="s">
        <v>155</v>
      </c>
      <c r="DY246" s="27" t="s">
        <v>165</v>
      </c>
      <c r="DZ246" s="27" t="n">
        <f aca="false">DY246+DV246+DR246+DN246+DJ246+DF246+DB246</f>
        <v>579</v>
      </c>
      <c r="EA246" s="28" t="n">
        <f aca="false">DZ246/7</f>
        <v>82.7142857142857</v>
      </c>
      <c r="EB246" s="27" t="n">
        <f aca="false">RANK(EA246,$EA$2:$EA$881,0)</f>
        <v>282</v>
      </c>
      <c r="EC246" s="29" t="n">
        <f aca="false">DZ246+CQ246+CP246+AZ246</f>
        <v>2556</v>
      </c>
      <c r="ED246" s="30" t="n">
        <f aca="false">(EA246+CV246+BB246)/3</f>
        <v>82.2714285714286</v>
      </c>
      <c r="EE246" s="51" t="n">
        <f aca="false">ROUND(BE246,3)</f>
        <v>86.013</v>
      </c>
      <c r="EF246" s="51" t="n">
        <f aca="false">ROUND(CR246,3)</f>
        <v>88</v>
      </c>
      <c r="EG246" s="51" t="n">
        <f aca="false">ROUND(CS246,3)</f>
        <v>80</v>
      </c>
      <c r="EH246" s="51" t="n">
        <f aca="false">ROUND(EA246,3)</f>
        <v>82.714</v>
      </c>
      <c r="EI246" s="51" t="n">
        <f aca="false">ROUND(ED246,3)</f>
        <v>82.271</v>
      </c>
      <c r="EJ246" s="51" t="n">
        <f aca="false">ROUND(CV246,3)</f>
        <v>84</v>
      </c>
      <c r="EK246" s="0" t="n">
        <f aca="false">RANK(EI246,$EI$2:$EI$881,0)</f>
        <v>245</v>
      </c>
    </row>
    <row r="247" customFormat="false" ht="15" hidden="false" customHeight="false" outlineLevel="0" collapsed="false">
      <c r="A247" s="4" t="n">
        <v>8623</v>
      </c>
      <c r="B247" s="4" t="n">
        <v>131</v>
      </c>
      <c r="C247" s="27" t="s">
        <v>889</v>
      </c>
      <c r="D247" s="31" t="n">
        <v>129</v>
      </c>
      <c r="E247" s="32" t="n">
        <v>230322022</v>
      </c>
      <c r="F247" s="8" t="s">
        <v>890</v>
      </c>
      <c r="G247" s="22" t="s">
        <v>891</v>
      </c>
      <c r="H247" s="22" t="s">
        <v>129</v>
      </c>
      <c r="I247" s="33" t="n">
        <v>2005</v>
      </c>
      <c r="J247" s="32" t="n">
        <v>75</v>
      </c>
      <c r="K247" s="32" t="n">
        <v>97</v>
      </c>
      <c r="L247" s="34" t="n">
        <f aca="false">(K247*70)/100</f>
        <v>67.9</v>
      </c>
      <c r="M247" s="34" t="n">
        <f aca="false">ROUNDUP(L247,0)</f>
        <v>68</v>
      </c>
      <c r="N247" s="32" t="n">
        <v>26</v>
      </c>
      <c r="O247" s="34" t="n">
        <f aca="false">N247+L247</f>
        <v>93.9</v>
      </c>
      <c r="P247" s="34" t="n">
        <f aca="false">N247+M247</f>
        <v>94</v>
      </c>
      <c r="Q247" s="32" t="n">
        <v>84</v>
      </c>
      <c r="R247" s="32" t="n">
        <v>85</v>
      </c>
      <c r="S247" s="34" t="n">
        <f aca="false">(R247*70)/100</f>
        <v>59.5</v>
      </c>
      <c r="T247" s="34" t="n">
        <f aca="false">ROUNDUP(S247,0)</f>
        <v>60</v>
      </c>
      <c r="U247" s="32" t="n">
        <v>24</v>
      </c>
      <c r="V247" s="34" t="n">
        <f aca="false">U247+S247</f>
        <v>83.5</v>
      </c>
      <c r="W247" s="34" t="n">
        <f aca="false">U247+T247</f>
        <v>84</v>
      </c>
      <c r="X247" s="32" t="n">
        <v>77</v>
      </c>
      <c r="Y247" s="34" t="n">
        <f aca="false">(X247*70)/100</f>
        <v>53.9</v>
      </c>
      <c r="Z247" s="34" t="n">
        <f aca="false">ROUNDUP(Y247,0)</f>
        <v>54</v>
      </c>
      <c r="AA247" s="32" t="n">
        <v>26</v>
      </c>
      <c r="AB247" s="34" t="n">
        <f aca="false">AA247+Y247</f>
        <v>79.9</v>
      </c>
      <c r="AC247" s="34" t="n">
        <f aca="false">AA247+Z247</f>
        <v>80</v>
      </c>
      <c r="AD247" s="32" t="n">
        <f aca="false">X247+R247+Q247+K247+J247</f>
        <v>418</v>
      </c>
      <c r="AE247" s="16" t="n">
        <f aca="false">AD247/5</f>
        <v>83.6</v>
      </c>
      <c r="AF247" s="16" t="n">
        <v>65</v>
      </c>
      <c r="AG247" s="16" t="n">
        <v>83</v>
      </c>
      <c r="AH247" s="16" t="n">
        <v>90</v>
      </c>
      <c r="AI247" s="16" t="n">
        <v>91</v>
      </c>
      <c r="AJ247" s="16" t="n">
        <f aca="false">(AI247*70)/100</f>
        <v>63.7</v>
      </c>
      <c r="AK247" s="35" t="n">
        <f aca="false">ROUNDUP(AJ247,0)</f>
        <v>64</v>
      </c>
      <c r="AL247" s="16" t="n">
        <v>23</v>
      </c>
      <c r="AM247" s="16" t="n">
        <f aca="false">AL247+AJ247</f>
        <v>86.7</v>
      </c>
      <c r="AN247" s="16" t="n">
        <f aca="false">AL247+AK247</f>
        <v>87</v>
      </c>
      <c r="AO247" s="16" t="n">
        <v>81</v>
      </c>
      <c r="AP247" s="36" t="n">
        <f aca="false">(AO247*70)/100</f>
        <v>56.7</v>
      </c>
      <c r="AQ247" s="37" t="n">
        <f aca="false">ROUNDUP(AP247,0)</f>
        <v>57</v>
      </c>
      <c r="AR247" s="16" t="n">
        <v>29</v>
      </c>
      <c r="AS247" s="16" t="n">
        <f aca="false">AR247+AP247</f>
        <v>85.7</v>
      </c>
      <c r="AT247" s="16" t="n">
        <f aca="false">AR247+AQ247</f>
        <v>86</v>
      </c>
      <c r="AU247" s="16" t="n">
        <f aca="false">AO247+AF247+AI247+AH247+AG247</f>
        <v>410</v>
      </c>
      <c r="AV247" s="16" t="n">
        <f aca="false">(AO247+AF247+AI247+AH247+AG247)/5</f>
        <v>82</v>
      </c>
      <c r="AW247" s="36" t="n">
        <f aca="false">(AO247+AF247+AI247+AH247+AG247+X247+R247+Q247+K247+J247)</f>
        <v>828</v>
      </c>
      <c r="AX247" s="16" t="n">
        <f aca="false">AW247/10</f>
        <v>82.8</v>
      </c>
      <c r="AY247" s="16" t="n">
        <f aca="false">AS247+AF247+AM247+AH247+AG247+AB247+V247+Q247+O247+J247</f>
        <v>826.7</v>
      </c>
      <c r="AZ247" s="16" t="n">
        <f aca="false">AT247+AF247+AN247+AH247+AG247+AC247+W247+Q247+P247+J247</f>
        <v>828</v>
      </c>
      <c r="BA247" s="16" t="n">
        <f aca="false">AY247/10</f>
        <v>82.67</v>
      </c>
      <c r="BB247" s="16" t="n">
        <f aca="false">AZ247/10</f>
        <v>82.8</v>
      </c>
      <c r="BC247" s="16" t="n">
        <v>2331</v>
      </c>
      <c r="BD247" s="16" t="n">
        <f aca="false">RANK(AX247,$AX$2:$AX$881,0)</f>
        <v>133</v>
      </c>
      <c r="BE247" s="54" t="n">
        <f aca="false">((BC247*100)/2400)*0.4+(AX247*0.6)</f>
        <v>88.53</v>
      </c>
      <c r="BF247" s="16" t="n">
        <f aca="false">RANK(BE247,$BE$2:$BE$881,0)</f>
        <v>158</v>
      </c>
      <c r="BG247" s="39" t="n">
        <f aca="false">RANK(BB247,$BB$2:$BB$881,0)</f>
        <v>169</v>
      </c>
      <c r="BH247" s="39" t="n">
        <f aca="false">RANK(BC247,$BC$2:$BC$881,0)</f>
        <v>716</v>
      </c>
      <c r="BI247" s="22" t="s">
        <v>130</v>
      </c>
      <c r="BJ247" s="22" t="s">
        <v>129</v>
      </c>
      <c r="BK247" s="40" t="s">
        <v>131</v>
      </c>
      <c r="BL247" s="41" t="n">
        <v>28</v>
      </c>
      <c r="BM247" s="41" t="n">
        <v>58</v>
      </c>
      <c r="BN247" s="41" t="n">
        <v>86</v>
      </c>
      <c r="BO247" s="42" t="n">
        <v>23</v>
      </c>
      <c r="BP247" s="43" t="n">
        <v>63</v>
      </c>
      <c r="BQ247" s="44" t="n">
        <v>86</v>
      </c>
      <c r="BR247" s="42" t="n">
        <v>23</v>
      </c>
      <c r="BS247" s="45" t="n">
        <v>61</v>
      </c>
      <c r="BT247" s="45" t="n">
        <v>84</v>
      </c>
      <c r="BU247" s="46" t="n">
        <v>100</v>
      </c>
      <c r="BV247" s="47" t="n">
        <v>92</v>
      </c>
      <c r="BW247" s="42" t="n">
        <v>98</v>
      </c>
      <c r="BX247" s="48" t="n">
        <v>86</v>
      </c>
      <c r="BY247" s="32" t="n">
        <v>24</v>
      </c>
      <c r="BZ247" s="32" t="n">
        <v>41</v>
      </c>
      <c r="CA247" s="32" t="n">
        <v>65</v>
      </c>
      <c r="CB247" s="32" t="n">
        <v>23</v>
      </c>
      <c r="CC247" s="32" t="n">
        <v>31</v>
      </c>
      <c r="CD247" s="69" t="n">
        <v>54</v>
      </c>
      <c r="CE247" s="32" t="n">
        <v>28</v>
      </c>
      <c r="CF247" s="32" t="n">
        <v>53</v>
      </c>
      <c r="CG247" s="32" t="n">
        <v>81</v>
      </c>
      <c r="CH247" s="32" t="n">
        <v>95</v>
      </c>
      <c r="CI247" s="32" t="n">
        <v>96</v>
      </c>
      <c r="CJ247" s="49" t="n">
        <v>21</v>
      </c>
      <c r="CK247" s="49" t="n">
        <v>49</v>
      </c>
      <c r="CL247" s="49" t="n">
        <v>70</v>
      </c>
      <c r="CM247" s="49" t="n">
        <v>23</v>
      </c>
      <c r="CN247" s="49" t="n">
        <v>46</v>
      </c>
      <c r="CO247" s="49" t="n">
        <v>69</v>
      </c>
      <c r="CP247" s="25" t="n">
        <f aca="false">BX247+BW247+BV247+BU247+BT247+BQ247+BN247</f>
        <v>632</v>
      </c>
      <c r="CQ247" s="25" t="n">
        <f aca="false">CO247+CL247+CI247+CH247+CG247+CD247+CA247</f>
        <v>530</v>
      </c>
      <c r="CR247" s="26" t="n">
        <f aca="false">CP247/7</f>
        <v>90.2857142857143</v>
      </c>
      <c r="CS247" s="26" t="n">
        <f aca="false">CQ247/7</f>
        <v>75.7142857142857</v>
      </c>
      <c r="CT247" s="24" t="n">
        <f aca="false">RANK(CR247,$CR$2:$CR$881,0)</f>
        <v>160</v>
      </c>
      <c r="CU247" s="25" t="n">
        <f aca="false">RANK(CS247,$CS$2:$CS$881,0)</f>
        <v>404</v>
      </c>
      <c r="CV247" s="26" t="n">
        <f aca="false">(CS247+CR247)/2</f>
        <v>83</v>
      </c>
      <c r="CW247" s="25" t="n">
        <f aca="false">RANK(CV247,$CV$2:$CV$881,0)</f>
        <v>297</v>
      </c>
      <c r="CX247" s="50" t="n">
        <f aca="false">(CV247+BB247)/2</f>
        <v>82.9</v>
      </c>
      <c r="CY247" s="50" t="n">
        <v>215</v>
      </c>
      <c r="CZ247" s="27" t="s">
        <v>132</v>
      </c>
      <c r="DA247" s="27" t="s">
        <v>169</v>
      </c>
      <c r="DB247" s="27" t="s">
        <v>169</v>
      </c>
      <c r="DC247" s="27" t="s">
        <v>134</v>
      </c>
      <c r="DD247" s="27" t="s">
        <v>182</v>
      </c>
      <c r="DE247" s="27" t="s">
        <v>220</v>
      </c>
      <c r="DF247" s="27" t="s">
        <v>219</v>
      </c>
      <c r="DG247" s="27" t="s">
        <v>134</v>
      </c>
      <c r="DH247" s="27" t="s">
        <v>160</v>
      </c>
      <c r="DI247" s="27" t="s">
        <v>183</v>
      </c>
      <c r="DJ247" s="27" t="s">
        <v>202</v>
      </c>
      <c r="DK247" s="27" t="s">
        <v>134</v>
      </c>
      <c r="DL247" s="27" t="s">
        <v>135</v>
      </c>
      <c r="DM247" s="27" t="s">
        <v>399</v>
      </c>
      <c r="DN247" s="27" t="s">
        <v>486</v>
      </c>
      <c r="DO247" s="27" t="s">
        <v>134</v>
      </c>
      <c r="DP247" s="27" t="s">
        <v>264</v>
      </c>
      <c r="DQ247" s="27" t="s">
        <v>399</v>
      </c>
      <c r="DR247" s="27" t="s">
        <v>141</v>
      </c>
      <c r="DS247" s="27" t="s">
        <v>134</v>
      </c>
      <c r="DT247" s="27" t="s">
        <v>160</v>
      </c>
      <c r="DU247" s="27" t="s">
        <v>447</v>
      </c>
      <c r="DV247" s="27" t="s">
        <v>196</v>
      </c>
      <c r="DW247" s="27" t="s">
        <v>160</v>
      </c>
      <c r="DX247" s="27" t="s">
        <v>138</v>
      </c>
      <c r="DY247" s="27" t="s">
        <v>144</v>
      </c>
      <c r="DZ247" s="27" t="n">
        <f aca="false">DY247+DV247+DR247+DN247+DJ247+DF247+DB247</f>
        <v>567</v>
      </c>
      <c r="EA247" s="28" t="n">
        <f aca="false">DZ247/7</f>
        <v>81</v>
      </c>
      <c r="EB247" s="27" t="n">
        <f aca="false">RANK(EA247,$EA$2:$EA$881,0)</f>
        <v>350</v>
      </c>
      <c r="EC247" s="29" t="n">
        <f aca="false">DZ247+CQ247+CP247+AZ247</f>
        <v>2557</v>
      </c>
      <c r="ED247" s="30" t="n">
        <f aca="false">(EA247+CV247+BB247)/3</f>
        <v>82.2666666666667</v>
      </c>
      <c r="EE247" s="51" t="n">
        <f aca="false">ROUND(BE247,3)</f>
        <v>88.53</v>
      </c>
      <c r="EF247" s="51" t="n">
        <f aca="false">ROUND(CR247,3)</f>
        <v>90.286</v>
      </c>
      <c r="EG247" s="51" t="n">
        <f aca="false">ROUND(CS247,3)</f>
        <v>75.714</v>
      </c>
      <c r="EH247" s="51" t="n">
        <f aca="false">ROUND(EA247,3)</f>
        <v>81</v>
      </c>
      <c r="EI247" s="51" t="n">
        <f aca="false">ROUND(ED247,3)</f>
        <v>82.267</v>
      </c>
      <c r="EJ247" s="51" t="n">
        <f aca="false">ROUND(CV247,3)</f>
        <v>83</v>
      </c>
      <c r="EK247" s="0" t="n">
        <f aca="false">RANK(EI247,$EI$2:$EI$881,0)</f>
        <v>246</v>
      </c>
    </row>
    <row r="248" customFormat="false" ht="15" hidden="false" customHeight="false" outlineLevel="0" collapsed="false">
      <c r="A248" s="4" t="n">
        <v>9041</v>
      </c>
      <c r="B248" s="4" t="n">
        <v>822</v>
      </c>
      <c r="C248" s="27" t="s">
        <v>892</v>
      </c>
      <c r="D248" s="31" t="n">
        <v>844</v>
      </c>
      <c r="E248" s="16" t="n">
        <v>230226072</v>
      </c>
      <c r="F248" s="56" t="s">
        <v>893</v>
      </c>
      <c r="G248" s="22" t="s">
        <v>894</v>
      </c>
      <c r="H248" s="22" t="s">
        <v>326</v>
      </c>
      <c r="I248" s="57"/>
      <c r="J248" s="16" t="n">
        <v>82</v>
      </c>
      <c r="K248" s="16" t="n">
        <v>87</v>
      </c>
      <c r="L248" s="34" t="n">
        <f aca="false">(K248*70)/100</f>
        <v>60.9</v>
      </c>
      <c r="M248" s="34" t="n">
        <f aca="false">ROUNDUP(L248,0)</f>
        <v>61</v>
      </c>
      <c r="N248" s="16" t="n">
        <v>26</v>
      </c>
      <c r="O248" s="34" t="n">
        <f aca="false">N248+L248</f>
        <v>86.9</v>
      </c>
      <c r="P248" s="34" t="n">
        <f aca="false">N248+M248</f>
        <v>87</v>
      </c>
      <c r="Q248" s="16" t="n">
        <v>79</v>
      </c>
      <c r="R248" s="16" t="n">
        <v>81</v>
      </c>
      <c r="S248" s="34" t="n">
        <f aca="false">(R248*70)/100</f>
        <v>56.7</v>
      </c>
      <c r="T248" s="34" t="n">
        <f aca="false">ROUNDUP(S248,0)</f>
        <v>57</v>
      </c>
      <c r="U248" s="16" t="n">
        <v>26</v>
      </c>
      <c r="V248" s="34" t="n">
        <f aca="false">U248+S248</f>
        <v>82.7</v>
      </c>
      <c r="W248" s="34" t="n">
        <f aca="false">U248+T248</f>
        <v>83</v>
      </c>
      <c r="X248" s="16" t="n">
        <v>80</v>
      </c>
      <c r="Y248" s="34" t="n">
        <f aca="false">(X248*70)/100</f>
        <v>56</v>
      </c>
      <c r="Z248" s="34" t="n">
        <f aca="false">ROUNDUP(Y248,0)</f>
        <v>56</v>
      </c>
      <c r="AA248" s="16" t="n">
        <v>27</v>
      </c>
      <c r="AB248" s="34" t="n">
        <f aca="false">AA248+Y248</f>
        <v>83</v>
      </c>
      <c r="AC248" s="34" t="n">
        <f aca="false">AA248+Z248</f>
        <v>83</v>
      </c>
      <c r="AD248" s="32" t="n">
        <f aca="false">X248+R248+Q248+K248+J248</f>
        <v>409</v>
      </c>
      <c r="AE248" s="16" t="n">
        <f aca="false">AD248/5</f>
        <v>81.8</v>
      </c>
      <c r="AF248" s="16" t="n">
        <v>66</v>
      </c>
      <c r="AG248" s="16" t="n">
        <v>84</v>
      </c>
      <c r="AH248" s="16" t="n">
        <v>82</v>
      </c>
      <c r="AI248" s="16" t="n">
        <v>78</v>
      </c>
      <c r="AJ248" s="16" t="n">
        <f aca="false">(AI248*70)/100</f>
        <v>54.6</v>
      </c>
      <c r="AK248" s="35" t="n">
        <f aca="false">ROUNDUP(AJ248,0)</f>
        <v>55</v>
      </c>
      <c r="AL248" s="16" t="n">
        <v>27</v>
      </c>
      <c r="AM248" s="16" t="n">
        <f aca="false">AL248+AJ248</f>
        <v>81.6</v>
      </c>
      <c r="AN248" s="16" t="n">
        <f aca="false">AL248+AK248</f>
        <v>82</v>
      </c>
      <c r="AO248" s="16" t="n">
        <v>61</v>
      </c>
      <c r="AP248" s="36" t="n">
        <f aca="false">(AO248*70)/100</f>
        <v>42.7</v>
      </c>
      <c r="AQ248" s="37" t="n">
        <f aca="false">ROUNDUP(AP248,0)</f>
        <v>43</v>
      </c>
      <c r="AR248" s="16" t="n">
        <v>27</v>
      </c>
      <c r="AS248" s="16" t="n">
        <f aca="false">AR248+AP248</f>
        <v>69.7</v>
      </c>
      <c r="AT248" s="16" t="n">
        <f aca="false">AR248+AQ248</f>
        <v>70</v>
      </c>
      <c r="AU248" s="16" t="n">
        <f aca="false">AO248+AF248+AI248+AH248+AG248</f>
        <v>371</v>
      </c>
      <c r="AV248" s="16" t="n">
        <f aca="false">(AO248+AF248+AI248+AH248+AG248)/5</f>
        <v>74.2</v>
      </c>
      <c r="AW248" s="36" t="n">
        <f aca="false">(AO248+AF248+AI248+AH248+AG248+X248+R248+Q248+K248+J248)</f>
        <v>780</v>
      </c>
      <c r="AX248" s="16" t="n">
        <f aca="false">AW248/10</f>
        <v>78</v>
      </c>
      <c r="AY248" s="16" t="n">
        <f aca="false">AS248+AF248+AM248+AH248+AG248+AB248+V248+Q248+O248+J248</f>
        <v>796.9</v>
      </c>
      <c r="AZ248" s="16" t="n">
        <f aca="false">AT248+AF248+AN248+AH248+AG248+AC248+W248+Q248+P248+J248</f>
        <v>798</v>
      </c>
      <c r="BA248" s="16" t="n">
        <f aca="false">AY248/10</f>
        <v>79.69</v>
      </c>
      <c r="BB248" s="16" t="n">
        <f aca="false">AZ248/10</f>
        <v>79.8</v>
      </c>
      <c r="BC248" s="16" t="n">
        <v>2370</v>
      </c>
      <c r="BD248" s="16" t="n">
        <f aca="false">RANK(AX248,$AX$2:$AX$881,0)</f>
        <v>408</v>
      </c>
      <c r="BE248" s="54" t="n">
        <f aca="false">((BC248*100)/2400)*0.4+(AX248*0.6)</f>
        <v>86.3</v>
      </c>
      <c r="BF248" s="16" t="n">
        <f aca="false">RANK(BE248,$BE$2:$BE$881,0)</f>
        <v>384</v>
      </c>
      <c r="BG248" s="39" t="n">
        <f aca="false">RANK(BB248,$BB$2:$BB$881,0)</f>
        <v>369</v>
      </c>
      <c r="BH248" s="39" t="n">
        <f aca="false">RANK(BC248,$BC$2:$BC$881,0)</f>
        <v>268</v>
      </c>
      <c r="BI248" s="22" t="s">
        <v>130</v>
      </c>
      <c r="BJ248" s="22" t="s">
        <v>129</v>
      </c>
      <c r="BK248" s="40" t="s">
        <v>131</v>
      </c>
      <c r="BL248" s="41" t="n">
        <v>19</v>
      </c>
      <c r="BM248" s="41" t="n">
        <v>64</v>
      </c>
      <c r="BN248" s="41" t="n">
        <v>83</v>
      </c>
      <c r="BO248" s="42" t="n">
        <v>20</v>
      </c>
      <c r="BP248" s="43" t="n">
        <v>64</v>
      </c>
      <c r="BQ248" s="44" t="n">
        <v>84</v>
      </c>
      <c r="BR248" s="42" t="n">
        <v>27</v>
      </c>
      <c r="BS248" s="45" t="n">
        <v>60</v>
      </c>
      <c r="BT248" s="45" t="n">
        <v>87</v>
      </c>
      <c r="BU248" s="46" t="n">
        <v>100</v>
      </c>
      <c r="BV248" s="47" t="n">
        <v>88</v>
      </c>
      <c r="BW248" s="42" t="n">
        <v>98</v>
      </c>
      <c r="BX248" s="48" t="n">
        <v>84</v>
      </c>
      <c r="BY248" s="32" t="n">
        <v>28</v>
      </c>
      <c r="BZ248" s="32" t="n">
        <v>52</v>
      </c>
      <c r="CA248" s="32" t="n">
        <v>80</v>
      </c>
      <c r="CB248" s="32" t="n">
        <v>20</v>
      </c>
      <c r="CC248" s="32" t="n">
        <v>36</v>
      </c>
      <c r="CD248" s="69" t="n">
        <v>56</v>
      </c>
      <c r="CE248" s="32" t="n">
        <v>26</v>
      </c>
      <c r="CF248" s="32" t="n">
        <v>55</v>
      </c>
      <c r="CG248" s="32" t="n">
        <v>81</v>
      </c>
      <c r="CH248" s="32" t="n">
        <v>98</v>
      </c>
      <c r="CI248" s="32" t="n">
        <v>96</v>
      </c>
      <c r="CJ248" s="49" t="n">
        <v>19</v>
      </c>
      <c r="CK248" s="49" t="n">
        <v>52</v>
      </c>
      <c r="CL248" s="49" t="n">
        <v>71</v>
      </c>
      <c r="CM248" s="49" t="n">
        <v>19</v>
      </c>
      <c r="CN248" s="49" t="n">
        <v>57</v>
      </c>
      <c r="CO248" s="49" t="n">
        <v>76</v>
      </c>
      <c r="CP248" s="25" t="n">
        <f aca="false">BX248+BW248+BV248+BU248+BT248+BQ248+BN248</f>
        <v>624</v>
      </c>
      <c r="CQ248" s="25" t="n">
        <f aca="false">CO248+CL248+CI248+CH248+CG248+CD248+CA248</f>
        <v>558</v>
      </c>
      <c r="CR248" s="26" t="n">
        <f aca="false">CP248/7</f>
        <v>89.1428571428571</v>
      </c>
      <c r="CS248" s="26" t="n">
        <f aca="false">CQ248/7</f>
        <v>79.7142857142857</v>
      </c>
      <c r="CT248" s="24" t="n">
        <f aca="false">RANK(CR248,$CR$2:$CR$881,0)</f>
        <v>235</v>
      </c>
      <c r="CU248" s="25" t="n">
        <f aca="false">RANK(CS248,$CS$2:$CS$881,0)</f>
        <v>275</v>
      </c>
      <c r="CV248" s="26" t="n">
        <f aca="false">(CS248+CR248)/2</f>
        <v>84.4285714285714</v>
      </c>
      <c r="CW248" s="25" t="n">
        <f aca="false">RANK(CV248,$CV$2:$CV$881,0)</f>
        <v>248</v>
      </c>
      <c r="CX248" s="50" t="n">
        <f aca="false">(CV248+BB248)/2</f>
        <v>82.1142857142857</v>
      </c>
      <c r="CY248" s="50" t="n">
        <v>259</v>
      </c>
      <c r="CZ248" s="27" t="s">
        <v>132</v>
      </c>
      <c r="DA248" s="27" t="s">
        <v>169</v>
      </c>
      <c r="DB248" s="27" t="s">
        <v>169</v>
      </c>
      <c r="DC248" s="27" t="s">
        <v>134</v>
      </c>
      <c r="DD248" s="27" t="s">
        <v>137</v>
      </c>
      <c r="DE248" s="27" t="s">
        <v>177</v>
      </c>
      <c r="DF248" s="27" t="s">
        <v>202</v>
      </c>
      <c r="DG248" s="27" t="s">
        <v>134</v>
      </c>
      <c r="DH248" s="27" t="s">
        <v>137</v>
      </c>
      <c r="DI248" s="27" t="s">
        <v>161</v>
      </c>
      <c r="DJ248" s="27" t="s">
        <v>178</v>
      </c>
      <c r="DK248" s="27" t="s">
        <v>134</v>
      </c>
      <c r="DL248" s="27" t="s">
        <v>135</v>
      </c>
      <c r="DM248" s="27" t="s">
        <v>220</v>
      </c>
      <c r="DN248" s="27" t="s">
        <v>196</v>
      </c>
      <c r="DO248" s="27" t="s">
        <v>134</v>
      </c>
      <c r="DP248" s="27" t="s">
        <v>191</v>
      </c>
      <c r="DQ248" s="27" t="s">
        <v>442</v>
      </c>
      <c r="DR248" s="27" t="s">
        <v>138</v>
      </c>
      <c r="DS248" s="27" t="s">
        <v>134</v>
      </c>
      <c r="DT248" s="27" t="s">
        <v>137</v>
      </c>
      <c r="DU248" s="27" t="s">
        <v>681</v>
      </c>
      <c r="DV248" s="27" t="s">
        <v>398</v>
      </c>
      <c r="DW248" s="27" t="s">
        <v>140</v>
      </c>
      <c r="DX248" s="27" t="s">
        <v>155</v>
      </c>
      <c r="DY248" s="27" t="s">
        <v>147</v>
      </c>
      <c r="DZ248" s="27" t="n">
        <f aca="false">DY248+DV248+DR248+DN248+DJ248+DF248+DB248</f>
        <v>577</v>
      </c>
      <c r="EA248" s="28" t="n">
        <f aca="false">DZ248/7</f>
        <v>82.4285714285714</v>
      </c>
      <c r="EB248" s="27" t="n">
        <f aca="false">RANK(EA248,$EA$2:$EA$881,0)</f>
        <v>295</v>
      </c>
      <c r="EC248" s="29" t="n">
        <f aca="false">DZ248+CQ248+CP248+AZ248</f>
        <v>2557</v>
      </c>
      <c r="ED248" s="30" t="n">
        <f aca="false">(EA248+CV248+BB248)/3</f>
        <v>82.2190476190476</v>
      </c>
      <c r="EE248" s="51" t="n">
        <f aca="false">ROUND(BE248,3)</f>
        <v>86.3</v>
      </c>
      <c r="EF248" s="51" t="n">
        <f aca="false">ROUND(CR248,3)</f>
        <v>89.143</v>
      </c>
      <c r="EG248" s="51" t="n">
        <f aca="false">ROUND(CS248,3)</f>
        <v>79.714</v>
      </c>
      <c r="EH248" s="51" t="n">
        <f aca="false">ROUND(EA248,3)</f>
        <v>82.429</v>
      </c>
      <c r="EI248" s="51" t="n">
        <f aca="false">ROUND(ED248,3)</f>
        <v>82.219</v>
      </c>
      <c r="EJ248" s="51" t="n">
        <f aca="false">ROUND(CV248,3)</f>
        <v>84.429</v>
      </c>
      <c r="EK248" s="0" t="n">
        <f aca="false">RANK(EI248,$EI$2:$EI$881,0)</f>
        <v>247</v>
      </c>
    </row>
    <row r="249" customFormat="false" ht="15" hidden="false" customHeight="false" outlineLevel="0" collapsed="false">
      <c r="A249" s="4" t="n">
        <v>8889</v>
      </c>
      <c r="B249" s="4" t="n">
        <v>544</v>
      </c>
      <c r="C249" s="27" t="s">
        <v>895</v>
      </c>
      <c r="D249" s="31" t="n">
        <v>549</v>
      </c>
      <c r="E249" s="32" t="n">
        <v>230313886</v>
      </c>
      <c r="F249" s="8" t="s">
        <v>896</v>
      </c>
      <c r="G249" s="22" t="s">
        <v>316</v>
      </c>
      <c r="H249" s="22" t="s">
        <v>129</v>
      </c>
      <c r="I249" s="33" t="n">
        <v>2005</v>
      </c>
      <c r="J249" s="32" t="n">
        <v>82</v>
      </c>
      <c r="K249" s="32" t="n">
        <v>75</v>
      </c>
      <c r="L249" s="34" t="n">
        <f aca="false">(K249*70)/100</f>
        <v>52.5</v>
      </c>
      <c r="M249" s="34" t="n">
        <f aca="false">ROUNDUP(L249,0)</f>
        <v>53</v>
      </c>
      <c r="N249" s="32" t="n">
        <v>24</v>
      </c>
      <c r="O249" s="34" t="n">
        <f aca="false">N249+L249</f>
        <v>76.5</v>
      </c>
      <c r="P249" s="34" t="n">
        <f aca="false">N249+M249</f>
        <v>77</v>
      </c>
      <c r="Q249" s="32" t="n">
        <v>82</v>
      </c>
      <c r="R249" s="32" t="n">
        <v>73</v>
      </c>
      <c r="S249" s="34" t="n">
        <f aca="false">(R249*70)/100</f>
        <v>51.1</v>
      </c>
      <c r="T249" s="34" t="n">
        <f aca="false">ROUNDUP(S249,0)</f>
        <v>52</v>
      </c>
      <c r="U249" s="32" t="n">
        <v>20</v>
      </c>
      <c r="V249" s="34" t="n">
        <f aca="false">U249+S249</f>
        <v>71.1</v>
      </c>
      <c r="W249" s="34" t="n">
        <f aca="false">U249+T249</f>
        <v>72</v>
      </c>
      <c r="X249" s="32" t="n">
        <v>83</v>
      </c>
      <c r="Y249" s="34" t="n">
        <f aca="false">(X249*70)/100</f>
        <v>58.1</v>
      </c>
      <c r="Z249" s="34" t="n">
        <f aca="false">ROUNDUP(Y249,0)</f>
        <v>59</v>
      </c>
      <c r="AA249" s="32" t="n">
        <v>25</v>
      </c>
      <c r="AB249" s="34" t="n">
        <f aca="false">AA249+Y249</f>
        <v>83.1</v>
      </c>
      <c r="AC249" s="34" t="n">
        <f aca="false">AA249+Z249</f>
        <v>84</v>
      </c>
      <c r="AD249" s="32" t="n">
        <f aca="false">X249+R249+Q249+K249+J249</f>
        <v>395</v>
      </c>
      <c r="AE249" s="16" t="n">
        <f aca="false">AD249/5</f>
        <v>79</v>
      </c>
      <c r="AF249" s="16" t="n">
        <v>88</v>
      </c>
      <c r="AG249" s="16" t="n">
        <v>87</v>
      </c>
      <c r="AH249" s="16" t="n">
        <v>91</v>
      </c>
      <c r="AI249" s="16" t="n">
        <v>87</v>
      </c>
      <c r="AJ249" s="16" t="n">
        <f aca="false">(AI249*70)/100</f>
        <v>60.9</v>
      </c>
      <c r="AK249" s="35" t="n">
        <f aca="false">ROUNDUP(AJ249,0)</f>
        <v>61</v>
      </c>
      <c r="AL249" s="16" t="n">
        <v>27</v>
      </c>
      <c r="AM249" s="16" t="n">
        <f aca="false">AL249+AJ249</f>
        <v>87.9</v>
      </c>
      <c r="AN249" s="16" t="n">
        <f aca="false">AL249+AK249</f>
        <v>88</v>
      </c>
      <c r="AO249" s="16" t="n">
        <v>73</v>
      </c>
      <c r="AP249" s="36" t="n">
        <f aca="false">(AO249*70)/100</f>
        <v>51.1</v>
      </c>
      <c r="AQ249" s="37" t="n">
        <f aca="false">ROUNDUP(AP249,0)</f>
        <v>52</v>
      </c>
      <c r="AR249" s="16" t="n">
        <v>27</v>
      </c>
      <c r="AS249" s="16" t="n">
        <f aca="false">AR249+AP249</f>
        <v>78.1</v>
      </c>
      <c r="AT249" s="16" t="n">
        <f aca="false">AR249+AQ249</f>
        <v>79</v>
      </c>
      <c r="AU249" s="16" t="n">
        <f aca="false">AO249+AF249+AI249+AH249+AG249</f>
        <v>426</v>
      </c>
      <c r="AV249" s="16" t="n">
        <f aca="false">(AO249+AF249+AI249+AH249+AG249)/5</f>
        <v>85.2</v>
      </c>
      <c r="AW249" s="36" t="n">
        <f aca="false">(AO249+AF249+AI249+AH249+AG249+X249+R249+Q249+K249+J249)</f>
        <v>821</v>
      </c>
      <c r="AX249" s="16" t="n">
        <f aca="false">AW249/10</f>
        <v>82.1</v>
      </c>
      <c r="AY249" s="16" t="n">
        <f aca="false">AS249+AF249+AM249+AH249+AG249+AB249+V249+Q249+O249+J249</f>
        <v>826.7</v>
      </c>
      <c r="AZ249" s="16" t="n">
        <f aca="false">AT249+AF249+AN249+AH249+AG249+AC249+W249+Q249+P249+J249</f>
        <v>830</v>
      </c>
      <c r="BA249" s="16" t="n">
        <f aca="false">AY249/10</f>
        <v>82.67</v>
      </c>
      <c r="BB249" s="16" t="n">
        <f aca="false">AZ249/10</f>
        <v>83</v>
      </c>
      <c r="BC249" s="16" t="n">
        <v>2376</v>
      </c>
      <c r="BD249" s="16" t="n">
        <f aca="false">RANK(AX249,$AX$2:$AX$881,0)</f>
        <v>161</v>
      </c>
      <c r="BE249" s="54" t="n">
        <f aca="false">((BC249*100)/2400)*0.4+(AX249*0.6)</f>
        <v>88.86</v>
      </c>
      <c r="BF249" s="16" t="n">
        <f aca="false">RANK(BE249,$BE$2:$BE$881,0)</f>
        <v>141</v>
      </c>
      <c r="BG249" s="39" t="n">
        <f aca="false">RANK(BB249,$BB$2:$BB$881,0)</f>
        <v>158</v>
      </c>
      <c r="BH249" s="39" t="n">
        <f aca="false">RANK(BC249,$BC$2:$BC$881,0)</f>
        <v>203</v>
      </c>
      <c r="BI249" s="22" t="s">
        <v>130</v>
      </c>
      <c r="BJ249" s="22" t="s">
        <v>129</v>
      </c>
      <c r="BK249" s="40" t="s">
        <v>131</v>
      </c>
      <c r="BL249" s="41" t="n">
        <v>20</v>
      </c>
      <c r="BM249" s="41" t="n">
        <v>60</v>
      </c>
      <c r="BN249" s="41" t="n">
        <v>80</v>
      </c>
      <c r="BO249" s="42" t="n">
        <v>27</v>
      </c>
      <c r="BP249" s="43" t="n">
        <v>60</v>
      </c>
      <c r="BQ249" s="44" t="n">
        <v>87</v>
      </c>
      <c r="BR249" s="42" t="n">
        <v>21</v>
      </c>
      <c r="BS249" s="45" t="n">
        <v>54</v>
      </c>
      <c r="BT249" s="45" t="n">
        <v>75</v>
      </c>
      <c r="BU249" s="46" t="n">
        <v>99</v>
      </c>
      <c r="BV249" s="47" t="n">
        <v>90</v>
      </c>
      <c r="BW249" s="42" t="n">
        <v>98</v>
      </c>
      <c r="BX249" s="48" t="n">
        <v>90</v>
      </c>
      <c r="BY249" s="32" t="n">
        <v>23</v>
      </c>
      <c r="BZ249" s="32" t="n">
        <v>56</v>
      </c>
      <c r="CA249" s="32" t="n">
        <v>79</v>
      </c>
      <c r="CB249" s="32" t="n">
        <v>22</v>
      </c>
      <c r="CC249" s="32" t="n">
        <v>30</v>
      </c>
      <c r="CD249" s="69" t="n">
        <v>52</v>
      </c>
      <c r="CE249" s="32" t="n">
        <v>25</v>
      </c>
      <c r="CF249" s="32" t="n">
        <v>47</v>
      </c>
      <c r="CG249" s="32" t="n">
        <v>72</v>
      </c>
      <c r="CH249" s="32" t="n">
        <v>89</v>
      </c>
      <c r="CI249" s="32" t="n">
        <v>98</v>
      </c>
      <c r="CJ249" s="49" t="n">
        <v>24</v>
      </c>
      <c r="CK249" s="49" t="n">
        <v>50</v>
      </c>
      <c r="CL249" s="49" t="n">
        <v>74</v>
      </c>
      <c r="CM249" s="49" t="n">
        <v>23</v>
      </c>
      <c r="CN249" s="49" t="n">
        <v>49</v>
      </c>
      <c r="CO249" s="49" t="n">
        <v>72</v>
      </c>
      <c r="CP249" s="25" t="n">
        <f aca="false">BX249+BW249+BV249+BU249+BT249+BQ249+BN249</f>
        <v>619</v>
      </c>
      <c r="CQ249" s="25" t="n">
        <f aca="false">CO249+CL249+CI249+CH249+CG249+CD249+CA249</f>
        <v>536</v>
      </c>
      <c r="CR249" s="26" t="n">
        <f aca="false">CP249/7</f>
        <v>88.4285714285714</v>
      </c>
      <c r="CS249" s="26" t="n">
        <f aca="false">CQ249/7</f>
        <v>76.5714285714286</v>
      </c>
      <c r="CT249" s="24" t="n">
        <f aca="false">RANK(CR249,$CR$2:$CR$881,0)</f>
        <v>276</v>
      </c>
      <c r="CU249" s="25" t="n">
        <f aca="false">RANK(CS249,$CS$2:$CS$881,0)</f>
        <v>382</v>
      </c>
      <c r="CV249" s="26" t="n">
        <f aca="false">(CS249+CR249)/2</f>
        <v>82.5</v>
      </c>
      <c r="CW249" s="25" t="n">
        <f aca="false">RANK(CV249,$CV$2:$CV$881,0)</f>
        <v>317</v>
      </c>
      <c r="CX249" s="50" t="n">
        <f aca="false">(CV249+BB249)/2</f>
        <v>82.75</v>
      </c>
      <c r="CY249" s="50" t="n">
        <v>221</v>
      </c>
      <c r="CZ249" s="27" t="s">
        <v>132</v>
      </c>
      <c r="DA249" s="27" t="s">
        <v>169</v>
      </c>
      <c r="DB249" s="27" t="s">
        <v>169</v>
      </c>
      <c r="DC249" s="27" t="s">
        <v>134</v>
      </c>
      <c r="DD249" s="27" t="s">
        <v>135</v>
      </c>
      <c r="DE249" s="27" t="s">
        <v>218</v>
      </c>
      <c r="DF249" s="27" t="s">
        <v>205</v>
      </c>
      <c r="DG249" s="27" t="s">
        <v>134</v>
      </c>
      <c r="DH249" s="27" t="s">
        <v>135</v>
      </c>
      <c r="DI249" s="27" t="s">
        <v>136</v>
      </c>
      <c r="DJ249" s="27" t="s">
        <v>133</v>
      </c>
      <c r="DK249" s="27" t="s">
        <v>134</v>
      </c>
      <c r="DL249" s="27" t="s">
        <v>195</v>
      </c>
      <c r="DM249" s="27" t="s">
        <v>220</v>
      </c>
      <c r="DN249" s="27" t="s">
        <v>382</v>
      </c>
      <c r="DO249" s="27" t="s">
        <v>134</v>
      </c>
      <c r="DP249" s="27" t="s">
        <v>174</v>
      </c>
      <c r="DQ249" s="27" t="s">
        <v>897</v>
      </c>
      <c r="DR249" s="27" t="s">
        <v>163</v>
      </c>
      <c r="DS249" s="27" t="s">
        <v>134</v>
      </c>
      <c r="DT249" s="27" t="s">
        <v>135</v>
      </c>
      <c r="DU249" s="27" t="s">
        <v>399</v>
      </c>
      <c r="DV249" s="27" t="s">
        <v>486</v>
      </c>
      <c r="DW249" s="27" t="s">
        <v>146</v>
      </c>
      <c r="DX249" s="27" t="s">
        <v>155</v>
      </c>
      <c r="DY249" s="27" t="s">
        <v>165</v>
      </c>
      <c r="DZ249" s="27" t="n">
        <f aca="false">DY249+DV249+DR249+DN249+DJ249+DF249+DB249</f>
        <v>568</v>
      </c>
      <c r="EA249" s="28" t="n">
        <f aca="false">DZ249/7</f>
        <v>81.1428571428571</v>
      </c>
      <c r="EB249" s="27" t="n">
        <f aca="false">RANK(EA249,$EA$2:$EA$881,0)</f>
        <v>342</v>
      </c>
      <c r="EC249" s="29" t="n">
        <f aca="false">DZ249+CQ249+CP249+AZ249</f>
        <v>2553</v>
      </c>
      <c r="ED249" s="30" t="n">
        <f aca="false">(EA249+CV249+BB249)/3</f>
        <v>82.2142857142857</v>
      </c>
      <c r="EE249" s="51" t="n">
        <f aca="false">ROUND(BE249,3)</f>
        <v>88.86</v>
      </c>
      <c r="EF249" s="51" t="n">
        <f aca="false">ROUND(CR249,3)</f>
        <v>88.429</v>
      </c>
      <c r="EG249" s="51" t="n">
        <f aca="false">ROUND(CS249,3)</f>
        <v>76.571</v>
      </c>
      <c r="EH249" s="51" t="n">
        <f aca="false">ROUND(EA249,3)</f>
        <v>81.143</v>
      </c>
      <c r="EI249" s="51" t="n">
        <f aca="false">ROUND(ED249,3)</f>
        <v>82.214</v>
      </c>
      <c r="EJ249" s="51" t="n">
        <f aca="false">ROUND(CV249,3)</f>
        <v>82.5</v>
      </c>
      <c r="EK249" s="0" t="n">
        <f aca="false">RANK(EI249,$EI$2:$EI$881,0)</f>
        <v>248</v>
      </c>
    </row>
    <row r="250" customFormat="false" ht="15" hidden="false" customHeight="false" outlineLevel="0" collapsed="false">
      <c r="A250" s="4" t="n">
        <v>8848</v>
      </c>
      <c r="B250" s="4" t="n">
        <v>474</v>
      </c>
      <c r="C250" s="27" t="s">
        <v>898</v>
      </c>
      <c r="D250" s="31" t="n">
        <v>482</v>
      </c>
      <c r="E250" s="32" t="n">
        <v>230311318</v>
      </c>
      <c r="F250" s="8" t="s">
        <v>899</v>
      </c>
      <c r="G250" s="22" t="s">
        <v>900</v>
      </c>
      <c r="H250" s="22" t="s">
        <v>129</v>
      </c>
      <c r="I250" s="33" t="n">
        <v>2006</v>
      </c>
      <c r="J250" s="32" t="n">
        <v>74</v>
      </c>
      <c r="K250" s="32" t="n">
        <v>91</v>
      </c>
      <c r="L250" s="34" t="n">
        <f aca="false">(K250*70)/100</f>
        <v>63.7</v>
      </c>
      <c r="M250" s="34" t="n">
        <f aca="false">ROUNDUP(L250,0)</f>
        <v>64</v>
      </c>
      <c r="N250" s="32" t="n">
        <v>27</v>
      </c>
      <c r="O250" s="34" t="n">
        <f aca="false">N250+L250</f>
        <v>90.7</v>
      </c>
      <c r="P250" s="34" t="n">
        <f aca="false">N250+M250</f>
        <v>91</v>
      </c>
      <c r="Q250" s="32" t="n">
        <v>70</v>
      </c>
      <c r="R250" s="32" t="n">
        <v>82</v>
      </c>
      <c r="S250" s="34" t="n">
        <f aca="false">(R250*70)/100</f>
        <v>57.4</v>
      </c>
      <c r="T250" s="34" t="n">
        <f aca="false">ROUNDUP(S250,0)</f>
        <v>58</v>
      </c>
      <c r="U250" s="32" t="n">
        <v>19</v>
      </c>
      <c r="V250" s="34" t="n">
        <f aca="false">U250+S250</f>
        <v>76.4</v>
      </c>
      <c r="W250" s="34" t="n">
        <f aca="false">U250+T250</f>
        <v>77</v>
      </c>
      <c r="X250" s="32" t="n">
        <v>78</v>
      </c>
      <c r="Y250" s="34" t="n">
        <f aca="false">(X250*70)/100</f>
        <v>54.6</v>
      </c>
      <c r="Z250" s="34" t="n">
        <f aca="false">ROUNDUP(Y250,0)</f>
        <v>55</v>
      </c>
      <c r="AA250" s="32" t="n">
        <v>25</v>
      </c>
      <c r="AB250" s="34" t="n">
        <f aca="false">AA250+Y250</f>
        <v>79.6</v>
      </c>
      <c r="AC250" s="34" t="n">
        <f aca="false">AA250+Z250</f>
        <v>80</v>
      </c>
      <c r="AD250" s="32" t="n">
        <f aca="false">X250+R250+Q250+K250+J250</f>
        <v>395</v>
      </c>
      <c r="AE250" s="16" t="n">
        <f aca="false">AD250/5</f>
        <v>79</v>
      </c>
      <c r="AF250" s="16" t="n">
        <v>81</v>
      </c>
      <c r="AG250" s="16" t="n">
        <v>82</v>
      </c>
      <c r="AH250" s="16" t="n">
        <v>95</v>
      </c>
      <c r="AI250" s="16" t="n">
        <v>87</v>
      </c>
      <c r="AJ250" s="16" t="n">
        <f aca="false">(AI250*70)/100</f>
        <v>60.9</v>
      </c>
      <c r="AK250" s="35" t="n">
        <f aca="false">ROUNDUP(AJ250,0)</f>
        <v>61</v>
      </c>
      <c r="AL250" s="16" t="n">
        <v>23</v>
      </c>
      <c r="AM250" s="16" t="n">
        <f aca="false">AL250+AJ250</f>
        <v>83.9</v>
      </c>
      <c r="AN250" s="16" t="n">
        <f aca="false">AL250+AK250</f>
        <v>84</v>
      </c>
      <c r="AO250" s="16" t="n">
        <v>75</v>
      </c>
      <c r="AP250" s="36" t="n">
        <f aca="false">(AO250*70)/100</f>
        <v>52.5</v>
      </c>
      <c r="AQ250" s="37" t="n">
        <f aca="false">ROUNDUP(AP250,0)</f>
        <v>53</v>
      </c>
      <c r="AR250" s="16" t="n">
        <v>29</v>
      </c>
      <c r="AS250" s="16" t="n">
        <f aca="false">AR250+AP250</f>
        <v>81.5</v>
      </c>
      <c r="AT250" s="16" t="n">
        <f aca="false">AR250+AQ250</f>
        <v>82</v>
      </c>
      <c r="AU250" s="16" t="n">
        <f aca="false">AO250+AF250+AI250+AH250+AG250</f>
        <v>420</v>
      </c>
      <c r="AV250" s="16" t="n">
        <f aca="false">(AO250+AF250+AI250+AH250+AG250)/5</f>
        <v>84</v>
      </c>
      <c r="AW250" s="36" t="n">
        <f aca="false">(AO250+AF250+AI250+AH250+AG250+X250+R250+Q250+K250+J250)</f>
        <v>815</v>
      </c>
      <c r="AX250" s="16" t="n">
        <f aca="false">AW250/10</f>
        <v>81.5</v>
      </c>
      <c r="AY250" s="16" t="n">
        <f aca="false">AS250+AF250+AM250+AH250+AG250+AB250+V250+Q250+O250+J250</f>
        <v>814.1</v>
      </c>
      <c r="AZ250" s="16" t="n">
        <f aca="false">AT250+AF250+AN250+AH250+AG250+AC250+W250+Q250+P250+J250</f>
        <v>816</v>
      </c>
      <c r="BA250" s="16" t="n">
        <f aca="false">AY250/10</f>
        <v>81.41</v>
      </c>
      <c r="BB250" s="16" t="n">
        <f aca="false">AZ250/10</f>
        <v>81.6</v>
      </c>
      <c r="BC250" s="16" t="n">
        <v>2353</v>
      </c>
      <c r="BD250" s="16" t="n">
        <f aca="false">RANK(AX250,$AX$2:$AX$881,0)</f>
        <v>188</v>
      </c>
      <c r="BE250" s="54" t="n">
        <f aca="false">((BC250*100)/2400)*0.4+(AX250*0.6)</f>
        <v>88.1166666666667</v>
      </c>
      <c r="BF250" s="16" t="n">
        <f aca="false">RANK(BE250,$BE$2:$BE$881,0)</f>
        <v>199</v>
      </c>
      <c r="BG250" s="39" t="n">
        <f aca="false">RANK(BB250,$BB$2:$BB$881,0)</f>
        <v>240</v>
      </c>
      <c r="BH250" s="39" t="n">
        <f aca="false">RANK(BC250,$BC$2:$BC$881,0)</f>
        <v>507</v>
      </c>
      <c r="BI250" s="22" t="s">
        <v>130</v>
      </c>
      <c r="BJ250" s="22" t="s">
        <v>129</v>
      </c>
      <c r="BK250" s="40" t="s">
        <v>131</v>
      </c>
      <c r="BL250" s="41" t="n">
        <v>24</v>
      </c>
      <c r="BM250" s="41" t="n">
        <v>49</v>
      </c>
      <c r="BN250" s="41" t="n">
        <v>73</v>
      </c>
      <c r="BO250" s="42" t="n">
        <v>22</v>
      </c>
      <c r="BP250" s="43" t="n">
        <v>53</v>
      </c>
      <c r="BQ250" s="44" t="n">
        <v>75</v>
      </c>
      <c r="BR250" s="42" t="n">
        <v>19</v>
      </c>
      <c r="BS250" s="45" t="n">
        <v>58</v>
      </c>
      <c r="BT250" s="45" t="n">
        <v>77</v>
      </c>
      <c r="BU250" s="46" t="n">
        <v>99</v>
      </c>
      <c r="BV250" s="47" t="n">
        <v>74</v>
      </c>
      <c r="BW250" s="42" t="n">
        <v>100</v>
      </c>
      <c r="BX250" s="24" t="n">
        <v>96</v>
      </c>
      <c r="BY250" s="32" t="n">
        <v>24</v>
      </c>
      <c r="BZ250" s="32" t="n">
        <v>58</v>
      </c>
      <c r="CA250" s="32" t="n">
        <v>82</v>
      </c>
      <c r="CB250" s="32" t="n">
        <v>26</v>
      </c>
      <c r="CC250" s="32" t="n">
        <v>38</v>
      </c>
      <c r="CD250" s="32" t="n">
        <v>64</v>
      </c>
      <c r="CE250" s="32" t="n">
        <v>26</v>
      </c>
      <c r="CF250" s="32" t="n">
        <v>49</v>
      </c>
      <c r="CG250" s="32" t="n">
        <v>75</v>
      </c>
      <c r="CH250" s="32" t="n">
        <v>98</v>
      </c>
      <c r="CI250" s="32" t="n">
        <v>96</v>
      </c>
      <c r="CJ250" s="25" t="n">
        <v>20</v>
      </c>
      <c r="CK250" s="25" t="n">
        <v>49</v>
      </c>
      <c r="CL250" s="25" t="n">
        <v>69</v>
      </c>
      <c r="CM250" s="49" t="n">
        <v>21</v>
      </c>
      <c r="CN250" s="49" t="n">
        <v>53</v>
      </c>
      <c r="CO250" s="49" t="n">
        <v>74</v>
      </c>
      <c r="CP250" s="25" t="n">
        <f aca="false">BX250+BW250+BV250+BU250+BT250+BQ250+BN250</f>
        <v>594</v>
      </c>
      <c r="CQ250" s="25" t="n">
        <f aca="false">CO250+CL250+CI250+CH250+CG250+CD250+CA250</f>
        <v>558</v>
      </c>
      <c r="CR250" s="26" t="n">
        <f aca="false">CP250/7</f>
        <v>84.8571428571429</v>
      </c>
      <c r="CS250" s="26" t="n">
        <f aca="false">CQ250/7</f>
        <v>79.7142857142857</v>
      </c>
      <c r="CT250" s="24" t="n">
        <f aca="false">RANK(CR250,$CR$2:$CR$881,0)</f>
        <v>443</v>
      </c>
      <c r="CU250" s="25" t="n">
        <f aca="false">RANK(CS250,$CS$2:$CS$881,0)</f>
        <v>275</v>
      </c>
      <c r="CV250" s="26" t="n">
        <f aca="false">(CS250+CR250)/2</f>
        <v>82.2857142857143</v>
      </c>
      <c r="CW250" s="25" t="n">
        <f aca="false">RANK(CV250,$CV$2:$CV$881,0)</f>
        <v>324</v>
      </c>
      <c r="CX250" s="50" t="n">
        <f aca="false">(CV250+BB250)/2</f>
        <v>81.9428571428571</v>
      </c>
      <c r="CY250" s="50" t="n">
        <v>271</v>
      </c>
      <c r="CZ250" s="27" t="s">
        <v>132</v>
      </c>
      <c r="DA250" s="27" t="s">
        <v>202</v>
      </c>
      <c r="DB250" s="27" t="s">
        <v>202</v>
      </c>
      <c r="DC250" s="27" t="s">
        <v>134</v>
      </c>
      <c r="DD250" s="27" t="s">
        <v>174</v>
      </c>
      <c r="DE250" s="27" t="s">
        <v>412</v>
      </c>
      <c r="DF250" s="27" t="s">
        <v>486</v>
      </c>
      <c r="DG250" s="27" t="s">
        <v>134</v>
      </c>
      <c r="DH250" s="27" t="s">
        <v>182</v>
      </c>
      <c r="DI250" s="27" t="s">
        <v>203</v>
      </c>
      <c r="DJ250" s="27" t="s">
        <v>202</v>
      </c>
      <c r="DK250" s="27" t="s">
        <v>134</v>
      </c>
      <c r="DL250" s="27" t="s">
        <v>137</v>
      </c>
      <c r="DM250" s="27" t="s">
        <v>183</v>
      </c>
      <c r="DN250" s="27" t="s">
        <v>209</v>
      </c>
      <c r="DO250" s="27" t="s">
        <v>134</v>
      </c>
      <c r="DP250" s="27" t="s">
        <v>191</v>
      </c>
      <c r="DQ250" s="27" t="s">
        <v>306</v>
      </c>
      <c r="DR250" s="27" t="s">
        <v>441</v>
      </c>
      <c r="DS250" s="27" t="s">
        <v>134</v>
      </c>
      <c r="DT250" s="27" t="s">
        <v>137</v>
      </c>
      <c r="DU250" s="27" t="s">
        <v>218</v>
      </c>
      <c r="DV250" s="27" t="s">
        <v>169</v>
      </c>
      <c r="DW250" s="27" t="s">
        <v>160</v>
      </c>
      <c r="DX250" s="27" t="s">
        <v>152</v>
      </c>
      <c r="DY250" s="27" t="s">
        <v>176</v>
      </c>
      <c r="DZ250" s="27" t="n">
        <f aca="false">DY250+DV250+DR250+DN250+DJ250+DF250+DB250</f>
        <v>579</v>
      </c>
      <c r="EA250" s="28" t="n">
        <f aca="false">DZ250/7</f>
        <v>82.7142857142857</v>
      </c>
      <c r="EB250" s="27" t="n">
        <f aca="false">RANK(EA250,$EA$2:$EA$881,0)</f>
        <v>282</v>
      </c>
      <c r="EC250" s="29" t="n">
        <f aca="false">DZ250+CQ250+CP250+AZ250</f>
        <v>2547</v>
      </c>
      <c r="ED250" s="30" t="n">
        <f aca="false">(EA250+CV250+BB250)/3</f>
        <v>82.2</v>
      </c>
      <c r="EE250" s="51" t="n">
        <f aca="false">ROUND(BE250,3)</f>
        <v>88.117</v>
      </c>
      <c r="EF250" s="51" t="n">
        <f aca="false">ROUND(CR250,3)</f>
        <v>84.857</v>
      </c>
      <c r="EG250" s="51" t="n">
        <f aca="false">ROUND(CS250,3)</f>
        <v>79.714</v>
      </c>
      <c r="EH250" s="51" t="n">
        <f aca="false">ROUND(EA250,3)</f>
        <v>82.714</v>
      </c>
      <c r="EI250" s="51" t="n">
        <f aca="false">ROUND(ED250,3)</f>
        <v>82.2</v>
      </c>
      <c r="EJ250" s="51" t="n">
        <f aca="false">ROUND(CV250,3)</f>
        <v>82.286</v>
      </c>
      <c r="EK250" s="0" t="n">
        <f aca="false">RANK(EI250,$EI$2:$EI$881,0)</f>
        <v>249</v>
      </c>
    </row>
    <row r="251" customFormat="false" ht="15" hidden="false" customHeight="false" outlineLevel="0" collapsed="false">
      <c r="A251" s="4" t="n">
        <v>8922</v>
      </c>
      <c r="B251" s="4" t="n">
        <v>538</v>
      </c>
      <c r="C251" s="27" t="s">
        <v>901</v>
      </c>
      <c r="D251" s="31" t="n">
        <v>544</v>
      </c>
      <c r="E251" s="32" t="n">
        <v>230411054</v>
      </c>
      <c r="F251" s="8" t="s">
        <v>902</v>
      </c>
      <c r="G251" s="66" t="s">
        <v>303</v>
      </c>
      <c r="H251" s="66" t="s">
        <v>129</v>
      </c>
      <c r="I251" s="67" t="s">
        <v>903</v>
      </c>
      <c r="J251" s="32" t="n">
        <v>69</v>
      </c>
      <c r="K251" s="32" t="n">
        <v>90</v>
      </c>
      <c r="L251" s="34" t="n">
        <f aca="false">(K251*70)/100</f>
        <v>63</v>
      </c>
      <c r="M251" s="34" t="n">
        <f aca="false">ROUNDUP(L251,0)</f>
        <v>63</v>
      </c>
      <c r="N251" s="32" t="n">
        <v>19</v>
      </c>
      <c r="O251" s="34" t="n">
        <f aca="false">N251+L251</f>
        <v>82</v>
      </c>
      <c r="P251" s="34" t="n">
        <f aca="false">N251+M251</f>
        <v>82</v>
      </c>
      <c r="Q251" s="32" t="n">
        <v>68</v>
      </c>
      <c r="R251" s="32" t="n">
        <v>77</v>
      </c>
      <c r="S251" s="34" t="n">
        <f aca="false">(R251*70)/100</f>
        <v>53.9</v>
      </c>
      <c r="T251" s="34" t="n">
        <f aca="false">ROUNDUP(S251,0)</f>
        <v>54</v>
      </c>
      <c r="U251" s="32" t="n">
        <v>19</v>
      </c>
      <c r="V251" s="34" t="n">
        <f aca="false">U251+S251</f>
        <v>72.9</v>
      </c>
      <c r="W251" s="34" t="n">
        <f aca="false">U251+T251</f>
        <v>73</v>
      </c>
      <c r="X251" s="32" t="n">
        <v>65</v>
      </c>
      <c r="Y251" s="34" t="n">
        <f aca="false">(X251*70)/100</f>
        <v>45.5</v>
      </c>
      <c r="Z251" s="34" t="n">
        <f aca="false">ROUNDUP(Y251,0)</f>
        <v>46</v>
      </c>
      <c r="AA251" s="32" t="n">
        <v>20</v>
      </c>
      <c r="AB251" s="34" t="n">
        <f aca="false">AA251+Y251</f>
        <v>65.5</v>
      </c>
      <c r="AC251" s="34" t="n">
        <f aca="false">AA251+Z251</f>
        <v>66</v>
      </c>
      <c r="AD251" s="32" t="n">
        <f aca="false">X251+R251+Q251+K251+J251</f>
        <v>369</v>
      </c>
      <c r="AE251" s="16" t="n">
        <f aca="false">AD251/5</f>
        <v>73.8</v>
      </c>
      <c r="AF251" s="16" t="n">
        <v>80</v>
      </c>
      <c r="AG251" s="16" t="n">
        <v>76</v>
      </c>
      <c r="AH251" s="16" t="n">
        <v>92</v>
      </c>
      <c r="AI251" s="16" t="n">
        <v>87</v>
      </c>
      <c r="AJ251" s="16" t="n">
        <f aca="false">(AI251*70)/100</f>
        <v>60.9</v>
      </c>
      <c r="AK251" s="35" t="n">
        <f aca="false">ROUNDUP(AJ251,0)</f>
        <v>61</v>
      </c>
      <c r="AL251" s="16" t="n">
        <v>23</v>
      </c>
      <c r="AM251" s="16" t="n">
        <f aca="false">AL251+AJ251</f>
        <v>83.9</v>
      </c>
      <c r="AN251" s="16" t="n">
        <f aca="false">AL251+AK251</f>
        <v>84</v>
      </c>
      <c r="AO251" s="16" t="n">
        <v>81</v>
      </c>
      <c r="AP251" s="36" t="n">
        <f aca="false">(AO251*70)/100</f>
        <v>56.7</v>
      </c>
      <c r="AQ251" s="37" t="n">
        <f aca="false">ROUNDUP(AP251,0)</f>
        <v>57</v>
      </c>
      <c r="AR251" s="16" t="n">
        <v>26</v>
      </c>
      <c r="AS251" s="16" t="n">
        <f aca="false">AR251+AP251</f>
        <v>82.7</v>
      </c>
      <c r="AT251" s="16" t="n">
        <f aca="false">AR251+AQ251</f>
        <v>83</v>
      </c>
      <c r="AU251" s="16" t="n">
        <f aca="false">AO251+AF251+AI251+AH251+AG251</f>
        <v>416</v>
      </c>
      <c r="AV251" s="16" t="n">
        <f aca="false">(AO251+AF251+AI251+AH251+AG251)/5</f>
        <v>83.2</v>
      </c>
      <c r="AW251" s="36" t="n">
        <f aca="false">(AO251+AF251+AI251+AH251+AG251+X251+R251+Q251+K251+J251)</f>
        <v>785</v>
      </c>
      <c r="AX251" s="16" t="n">
        <f aca="false">AW251/10</f>
        <v>78.5</v>
      </c>
      <c r="AY251" s="16" t="n">
        <f aca="false">AS251+AF251+AM251+AH251+AG251+AB251+V251+Q251+O251+J251</f>
        <v>772</v>
      </c>
      <c r="AZ251" s="16" t="n">
        <f aca="false">AT251+AF251+AN251+AH251+AG251+AC251+W251+Q251+P251+J251</f>
        <v>773</v>
      </c>
      <c r="BA251" s="16" t="n">
        <f aca="false">AY251/10</f>
        <v>77.2</v>
      </c>
      <c r="BB251" s="16" t="n">
        <f aca="false">AZ251/10</f>
        <v>77.3</v>
      </c>
      <c r="BC251" s="24" t="n">
        <v>2345</v>
      </c>
      <c r="BD251" s="16" t="n">
        <f aca="false">RANK(AX251,$AX$2:$AX$881,0)</f>
        <v>375</v>
      </c>
      <c r="BE251" s="54" t="n">
        <f aca="false">((BC251*100)/2400)*0.4+(AX251*0.6)</f>
        <v>86.1833333333333</v>
      </c>
      <c r="BF251" s="16" t="n">
        <f aca="false">RANK(BE251,$BE$2:$BE$881,0)</f>
        <v>406</v>
      </c>
      <c r="BG251" s="39" t="n">
        <f aca="false">RANK(BB251,$BB$2:$BB$881,0)</f>
        <v>620</v>
      </c>
      <c r="BH251" s="39" t="n">
        <f aca="false">RANK(BC251,$BC$2:$BC$881,0)</f>
        <v>585</v>
      </c>
      <c r="BI251" s="22" t="s">
        <v>130</v>
      </c>
      <c r="BJ251" s="22" t="s">
        <v>129</v>
      </c>
      <c r="BK251" s="40" t="s">
        <v>131</v>
      </c>
      <c r="BL251" s="41" t="n">
        <v>24</v>
      </c>
      <c r="BM251" s="41" t="n">
        <v>48</v>
      </c>
      <c r="BN251" s="41" t="n">
        <v>72</v>
      </c>
      <c r="BO251" s="42" t="n">
        <v>22</v>
      </c>
      <c r="BP251" s="43" t="n">
        <v>61</v>
      </c>
      <c r="BQ251" s="44" t="n">
        <v>83</v>
      </c>
      <c r="BR251" s="42" t="n">
        <v>26</v>
      </c>
      <c r="BS251" s="45" t="n">
        <v>53</v>
      </c>
      <c r="BT251" s="45" t="n">
        <v>79</v>
      </c>
      <c r="BU251" s="46" t="n">
        <v>100</v>
      </c>
      <c r="BV251" s="47" t="n">
        <v>96</v>
      </c>
      <c r="BW251" s="42" t="n">
        <v>99</v>
      </c>
      <c r="BX251" s="48" t="n">
        <v>90</v>
      </c>
      <c r="BY251" s="32" t="n">
        <v>23</v>
      </c>
      <c r="BZ251" s="32" t="n">
        <v>59</v>
      </c>
      <c r="CA251" s="32" t="n">
        <v>82</v>
      </c>
      <c r="CB251" s="32" t="n">
        <v>22</v>
      </c>
      <c r="CC251" s="32" t="n">
        <v>53</v>
      </c>
      <c r="CD251" s="32" t="n">
        <v>75</v>
      </c>
      <c r="CE251" s="32" t="n">
        <v>25</v>
      </c>
      <c r="CF251" s="32" t="n">
        <v>63</v>
      </c>
      <c r="CG251" s="32" t="n">
        <v>88</v>
      </c>
      <c r="CH251" s="32" t="n">
        <v>99</v>
      </c>
      <c r="CI251" s="32" t="n">
        <v>95</v>
      </c>
      <c r="CJ251" s="49" t="n">
        <v>19</v>
      </c>
      <c r="CK251" s="49" t="n">
        <v>50</v>
      </c>
      <c r="CL251" s="49" t="n">
        <v>69</v>
      </c>
      <c r="CM251" s="49" t="n">
        <v>23</v>
      </c>
      <c r="CN251" s="49" t="n">
        <v>54</v>
      </c>
      <c r="CO251" s="49" t="n">
        <v>77</v>
      </c>
      <c r="CP251" s="25" t="n">
        <f aca="false">BX251+BW251+BV251+BU251+BT251+BQ251+BN251</f>
        <v>619</v>
      </c>
      <c r="CQ251" s="25" t="n">
        <f aca="false">CO251+CL251+CI251+CH251+CG251+CD251+CA251</f>
        <v>585</v>
      </c>
      <c r="CR251" s="26" t="n">
        <f aca="false">CP251/7</f>
        <v>88.4285714285714</v>
      </c>
      <c r="CS251" s="26" t="n">
        <f aca="false">CQ251/7</f>
        <v>83.5714285714286</v>
      </c>
      <c r="CT251" s="24" t="n">
        <f aca="false">RANK(CR251,$CR$2:$CR$881,0)</f>
        <v>276</v>
      </c>
      <c r="CU251" s="25" t="n">
        <f aca="false">RANK(CS251,$CS$2:$CS$881,0)</f>
        <v>135</v>
      </c>
      <c r="CV251" s="26" t="n">
        <f aca="false">(CS251+CR251)/2</f>
        <v>86</v>
      </c>
      <c r="CW251" s="25" t="n">
        <f aca="false">RANK(CV251,$CV$2:$CV$881,0)</f>
        <v>172</v>
      </c>
      <c r="CX251" s="50" t="n">
        <f aca="false">(CV251+BB251)/2</f>
        <v>81.65</v>
      </c>
      <c r="CY251" s="50" t="n">
        <v>285</v>
      </c>
      <c r="CZ251" s="27" t="s">
        <v>132</v>
      </c>
      <c r="DA251" s="27" t="s">
        <v>175</v>
      </c>
      <c r="DB251" s="27" t="s">
        <v>175</v>
      </c>
      <c r="DC251" s="27" t="s">
        <v>134</v>
      </c>
      <c r="DD251" s="27" t="s">
        <v>135</v>
      </c>
      <c r="DE251" s="27" t="s">
        <v>306</v>
      </c>
      <c r="DF251" s="27" t="s">
        <v>219</v>
      </c>
      <c r="DG251" s="27" t="s">
        <v>134</v>
      </c>
      <c r="DH251" s="27" t="s">
        <v>135</v>
      </c>
      <c r="DI251" s="27" t="s">
        <v>218</v>
      </c>
      <c r="DJ251" s="27" t="s">
        <v>205</v>
      </c>
      <c r="DK251" s="27" t="s">
        <v>134</v>
      </c>
      <c r="DL251" s="27" t="s">
        <v>137</v>
      </c>
      <c r="DM251" s="27" t="s">
        <v>183</v>
      </c>
      <c r="DN251" s="27" t="s">
        <v>209</v>
      </c>
      <c r="DO251" s="27" t="s">
        <v>134</v>
      </c>
      <c r="DP251" s="27" t="s">
        <v>182</v>
      </c>
      <c r="DQ251" s="27" t="s">
        <v>183</v>
      </c>
      <c r="DR251" s="27" t="s">
        <v>205</v>
      </c>
      <c r="DS251" s="27" t="s">
        <v>134</v>
      </c>
      <c r="DT251" s="27" t="s">
        <v>160</v>
      </c>
      <c r="DU251" s="27" t="s">
        <v>415</v>
      </c>
      <c r="DV251" s="27" t="s">
        <v>441</v>
      </c>
      <c r="DW251" s="27" t="s">
        <v>160</v>
      </c>
      <c r="DX251" s="27" t="s">
        <v>141</v>
      </c>
      <c r="DY251" s="27" t="s">
        <v>139</v>
      </c>
      <c r="DZ251" s="27" t="n">
        <f aca="false">DY251+DV251+DR251+DN251+DJ251+DF251+DB251</f>
        <v>583</v>
      </c>
      <c r="EA251" s="28" t="n">
        <f aca="false">DZ251/7</f>
        <v>83.2857142857143</v>
      </c>
      <c r="EB251" s="27" t="n">
        <f aca="false">RANK(EA251,$EA$2:$EA$881,0)</f>
        <v>262</v>
      </c>
      <c r="EC251" s="29" t="n">
        <f aca="false">DZ251+CQ251+CP251+AZ251</f>
        <v>2560</v>
      </c>
      <c r="ED251" s="30" t="n">
        <f aca="false">(EA251+CV251+BB251)/3</f>
        <v>82.1952380952381</v>
      </c>
      <c r="EE251" s="51" t="n">
        <f aca="false">ROUND(BE251,3)</f>
        <v>86.183</v>
      </c>
      <c r="EF251" s="51" t="n">
        <f aca="false">ROUND(CR251,3)</f>
        <v>88.429</v>
      </c>
      <c r="EG251" s="51" t="n">
        <f aca="false">ROUND(CS251,3)</f>
        <v>83.571</v>
      </c>
      <c r="EH251" s="51" t="n">
        <f aca="false">ROUND(EA251,3)</f>
        <v>83.286</v>
      </c>
      <c r="EI251" s="51" t="n">
        <f aca="false">ROUND(ED251,3)</f>
        <v>82.195</v>
      </c>
      <c r="EJ251" s="51" t="n">
        <f aca="false">ROUND(CV251,3)</f>
        <v>86</v>
      </c>
      <c r="EK251" s="0" t="n">
        <f aca="false">RANK(EI251,$EI$2:$EI$881,0)</f>
        <v>250</v>
      </c>
    </row>
    <row r="252" customFormat="false" ht="15" hidden="false" customHeight="false" outlineLevel="0" collapsed="false">
      <c r="A252" s="4" t="n">
        <v>9100</v>
      </c>
      <c r="B252" s="4" t="n">
        <v>612</v>
      </c>
      <c r="C252" s="27" t="s">
        <v>904</v>
      </c>
      <c r="D252" s="31" t="n">
        <v>619</v>
      </c>
      <c r="E252" s="32" t="n">
        <v>230321038</v>
      </c>
      <c r="F252" s="8" t="s">
        <v>905</v>
      </c>
      <c r="G252" s="22" t="s">
        <v>243</v>
      </c>
      <c r="H252" s="22" t="s">
        <v>129</v>
      </c>
      <c r="I252" s="33" t="n">
        <v>2005</v>
      </c>
      <c r="J252" s="32" t="n">
        <v>73</v>
      </c>
      <c r="K252" s="32" t="n">
        <v>91</v>
      </c>
      <c r="L252" s="34" t="n">
        <f aca="false">(K252*70)/100</f>
        <v>63.7</v>
      </c>
      <c r="M252" s="34" t="n">
        <f aca="false">ROUNDUP(L252,0)</f>
        <v>64</v>
      </c>
      <c r="N252" s="32" t="n">
        <v>26</v>
      </c>
      <c r="O252" s="34" t="n">
        <f aca="false">N252+L252</f>
        <v>89.7</v>
      </c>
      <c r="P252" s="34" t="n">
        <f aca="false">N252+M252</f>
        <v>90</v>
      </c>
      <c r="Q252" s="32" t="n">
        <v>73</v>
      </c>
      <c r="R252" s="32" t="n">
        <v>83</v>
      </c>
      <c r="S252" s="34" t="n">
        <f aca="false">(R252*70)/100</f>
        <v>58.1</v>
      </c>
      <c r="T252" s="34" t="n">
        <f aca="false">ROUNDUP(S252,0)</f>
        <v>59</v>
      </c>
      <c r="U252" s="32" t="n">
        <v>22</v>
      </c>
      <c r="V252" s="34" t="n">
        <f aca="false">U252+S252</f>
        <v>80.1</v>
      </c>
      <c r="W252" s="34" t="n">
        <f aca="false">U252+T252</f>
        <v>81</v>
      </c>
      <c r="X252" s="32" t="n">
        <v>70</v>
      </c>
      <c r="Y252" s="34" t="n">
        <f aca="false">(X252*70)/100</f>
        <v>49</v>
      </c>
      <c r="Z252" s="34" t="n">
        <f aca="false">ROUNDUP(Y252,0)</f>
        <v>49</v>
      </c>
      <c r="AA252" s="32" t="n">
        <v>26</v>
      </c>
      <c r="AB252" s="34" t="n">
        <f aca="false">AA252+Y252</f>
        <v>75</v>
      </c>
      <c r="AC252" s="34" t="n">
        <f aca="false">AA252+Z252</f>
        <v>75</v>
      </c>
      <c r="AD252" s="32" t="n">
        <f aca="false">X252+R252+Q252+K252+J252</f>
        <v>390</v>
      </c>
      <c r="AE252" s="16" t="n">
        <f aca="false">AD252/5</f>
        <v>78</v>
      </c>
      <c r="AF252" s="16" t="n">
        <v>75</v>
      </c>
      <c r="AG252" s="16" t="n">
        <v>87</v>
      </c>
      <c r="AH252" s="16" t="n">
        <v>91</v>
      </c>
      <c r="AI252" s="16" t="n">
        <v>95</v>
      </c>
      <c r="AJ252" s="16" t="n">
        <f aca="false">(AI252*70)/100</f>
        <v>66.5</v>
      </c>
      <c r="AK252" s="35" t="n">
        <f aca="false">ROUNDUP(AJ252,0)</f>
        <v>67</v>
      </c>
      <c r="AL252" s="16" t="n">
        <v>24</v>
      </c>
      <c r="AM252" s="16" t="n">
        <f aca="false">AL252+AJ252</f>
        <v>90.5</v>
      </c>
      <c r="AN252" s="16" t="n">
        <f aca="false">AL252+AK252</f>
        <v>91</v>
      </c>
      <c r="AO252" s="16" t="n">
        <v>79</v>
      </c>
      <c r="AP252" s="36" t="n">
        <f aca="false">(AO252*70)/100</f>
        <v>55.3</v>
      </c>
      <c r="AQ252" s="37" t="n">
        <f aca="false">ROUNDUP(AP252,0)</f>
        <v>56</v>
      </c>
      <c r="AR252" s="16" t="n">
        <v>25</v>
      </c>
      <c r="AS252" s="16" t="n">
        <f aca="false">AR252+AP252</f>
        <v>80.3</v>
      </c>
      <c r="AT252" s="16" t="n">
        <f aca="false">AR252+AQ252</f>
        <v>81</v>
      </c>
      <c r="AU252" s="16" t="n">
        <f aca="false">AO252+AF252+AI252+AH252+AG252</f>
        <v>427</v>
      </c>
      <c r="AV252" s="16" t="n">
        <f aca="false">(AO252+AF252+AI252+AH252+AG252)/5</f>
        <v>85.4</v>
      </c>
      <c r="AW252" s="36" t="n">
        <f aca="false">(AO252+AF252+AI252+AH252+AG252+X252+R252+Q252+K252+J252)</f>
        <v>817</v>
      </c>
      <c r="AX252" s="16" t="n">
        <f aca="false">AW252/10</f>
        <v>81.7</v>
      </c>
      <c r="AY252" s="16" t="n">
        <f aca="false">AS252+AF252+AM252+AH252+AG252+AB252+V252+Q252+O252+J252</f>
        <v>814.6</v>
      </c>
      <c r="AZ252" s="16" t="n">
        <f aca="false">AT252+AF252+AN252+AH252+AG252+AC252+W252+Q252+P252+J252</f>
        <v>817</v>
      </c>
      <c r="BA252" s="16" t="n">
        <f aca="false">AY252/10</f>
        <v>81.46</v>
      </c>
      <c r="BB252" s="16" t="n">
        <f aca="false">AZ252/10</f>
        <v>81.7</v>
      </c>
      <c r="BC252" s="16" t="n">
        <v>2367</v>
      </c>
      <c r="BD252" s="16" t="n">
        <f aca="false">RANK(AX252,$AX$2:$AX$881,0)</f>
        <v>179</v>
      </c>
      <c r="BE252" s="54" t="n">
        <f aca="false">((BC252*100)/2400)*0.4+(AX252*0.6)</f>
        <v>88.47</v>
      </c>
      <c r="BF252" s="16" t="n">
        <f aca="false">RANK(BE252,$BE$2:$BE$881,0)</f>
        <v>163</v>
      </c>
      <c r="BG252" s="39" t="n">
        <f aca="false">RANK(BB252,$BB$2:$BB$881,0)</f>
        <v>229</v>
      </c>
      <c r="BH252" s="39" t="n">
        <f aca="false">RANK(BC252,$BC$2:$BC$881,0)</f>
        <v>308</v>
      </c>
      <c r="BI252" s="22" t="s">
        <v>130</v>
      </c>
      <c r="BJ252" s="22" t="s">
        <v>129</v>
      </c>
      <c r="BK252" s="40" t="s">
        <v>131</v>
      </c>
      <c r="BL252" s="41" t="n">
        <v>25</v>
      </c>
      <c r="BM252" s="41" t="n">
        <v>59</v>
      </c>
      <c r="BN252" s="41" t="n">
        <v>84</v>
      </c>
      <c r="BO252" s="42" t="n">
        <v>27</v>
      </c>
      <c r="BP252" s="43" t="n">
        <v>60</v>
      </c>
      <c r="BQ252" s="44" t="n">
        <v>87</v>
      </c>
      <c r="BR252" s="42" t="n">
        <v>28</v>
      </c>
      <c r="BS252" s="45" t="n">
        <v>56</v>
      </c>
      <c r="BT252" s="45" t="n">
        <v>84</v>
      </c>
      <c r="BU252" s="46" t="n">
        <v>100</v>
      </c>
      <c r="BV252" s="47" t="n">
        <v>82</v>
      </c>
      <c r="BW252" s="42" t="n">
        <v>95</v>
      </c>
      <c r="BX252" s="48" t="n">
        <v>90</v>
      </c>
      <c r="BY252" s="32" t="n">
        <v>26</v>
      </c>
      <c r="BZ252" s="32" t="n">
        <v>61</v>
      </c>
      <c r="CA252" s="32" t="n">
        <v>87</v>
      </c>
      <c r="CB252" s="32" t="n">
        <v>21</v>
      </c>
      <c r="CC252" s="32" t="n">
        <v>51</v>
      </c>
      <c r="CD252" s="32" t="n">
        <v>72</v>
      </c>
      <c r="CE252" s="32" t="n">
        <v>24</v>
      </c>
      <c r="CF252" s="32" t="n">
        <v>52</v>
      </c>
      <c r="CG252" s="32" t="n">
        <v>76</v>
      </c>
      <c r="CH252" s="32" t="n">
        <v>95</v>
      </c>
      <c r="CI252" s="32" t="n">
        <v>99</v>
      </c>
      <c r="CJ252" s="49" t="n">
        <v>25</v>
      </c>
      <c r="CK252" s="49" t="n">
        <v>44</v>
      </c>
      <c r="CL252" s="49" t="n">
        <v>69</v>
      </c>
      <c r="CM252" s="49" t="n">
        <v>20</v>
      </c>
      <c r="CN252" s="49" t="n">
        <v>54</v>
      </c>
      <c r="CO252" s="49" t="n">
        <v>74</v>
      </c>
      <c r="CP252" s="25" t="n">
        <f aca="false">BX252+BW252+BV252+BU252+BT252+BQ252+BN252</f>
        <v>622</v>
      </c>
      <c r="CQ252" s="25" t="n">
        <f aca="false">CO252+CL252+CI252+CH252+CG252+CD252+CA252</f>
        <v>572</v>
      </c>
      <c r="CR252" s="26" t="n">
        <f aca="false">CP252/7</f>
        <v>88.8571428571429</v>
      </c>
      <c r="CS252" s="26" t="n">
        <f aca="false">CQ252/7</f>
        <v>81.7142857142857</v>
      </c>
      <c r="CT252" s="24" t="n">
        <f aca="false">RANK(CR252,$CR$2:$CR$881,0)</f>
        <v>254</v>
      </c>
      <c r="CU252" s="25" t="n">
        <f aca="false">RANK(CS252,$CS$2:$CS$881,0)</f>
        <v>204</v>
      </c>
      <c r="CV252" s="26" t="n">
        <f aca="false">(CS252+CR252)/2</f>
        <v>85.2857142857143</v>
      </c>
      <c r="CW252" s="25" t="n">
        <f aca="false">RANK(CV252,$CV$2:$CV$881,0)</f>
        <v>200</v>
      </c>
      <c r="CX252" s="50" t="n">
        <f aca="false">(CV252+BB252)/2</f>
        <v>83.4928571428571</v>
      </c>
      <c r="CY252" s="50" t="n">
        <v>193</v>
      </c>
      <c r="CZ252" s="27" t="s">
        <v>132</v>
      </c>
      <c r="DA252" s="27" t="s">
        <v>219</v>
      </c>
      <c r="DB252" s="27" t="s">
        <v>219</v>
      </c>
      <c r="DC252" s="27" t="s">
        <v>134</v>
      </c>
      <c r="DD252" s="27" t="s">
        <v>182</v>
      </c>
      <c r="DE252" s="27" t="s">
        <v>203</v>
      </c>
      <c r="DF252" s="27" t="s">
        <v>202</v>
      </c>
      <c r="DG252" s="27" t="s">
        <v>134</v>
      </c>
      <c r="DH252" s="27" t="s">
        <v>182</v>
      </c>
      <c r="DI252" s="27" t="s">
        <v>313</v>
      </c>
      <c r="DJ252" s="27" t="s">
        <v>443</v>
      </c>
      <c r="DK252" s="27" t="s">
        <v>134</v>
      </c>
      <c r="DL252" s="27" t="s">
        <v>160</v>
      </c>
      <c r="DM252" s="27" t="s">
        <v>447</v>
      </c>
      <c r="DN252" s="27" t="s">
        <v>196</v>
      </c>
      <c r="DO252" s="27" t="s">
        <v>134</v>
      </c>
      <c r="DP252" s="27" t="s">
        <v>174</v>
      </c>
      <c r="DQ252" s="27" t="s">
        <v>304</v>
      </c>
      <c r="DR252" s="27" t="s">
        <v>443</v>
      </c>
      <c r="DS252" s="27" t="s">
        <v>134</v>
      </c>
      <c r="DT252" s="27" t="s">
        <v>160</v>
      </c>
      <c r="DU252" s="27" t="s">
        <v>906</v>
      </c>
      <c r="DV252" s="27" t="s">
        <v>187</v>
      </c>
      <c r="DW252" s="27" t="s">
        <v>182</v>
      </c>
      <c r="DX252" s="27" t="s">
        <v>143</v>
      </c>
      <c r="DY252" s="27" t="s">
        <v>176</v>
      </c>
      <c r="DZ252" s="27" t="n">
        <f aca="false">DY252+DV252+DR252+DN252+DJ252+DF252+DB252</f>
        <v>557</v>
      </c>
      <c r="EA252" s="28" t="n">
        <f aca="false">DZ252/7</f>
        <v>79.5714285714286</v>
      </c>
      <c r="EB252" s="27" t="n">
        <f aca="false">RANK(EA252,$EA$2:$EA$881,0)</f>
        <v>410</v>
      </c>
      <c r="EC252" s="29" t="n">
        <f aca="false">DZ252+CQ252+CP252+AZ252</f>
        <v>2568</v>
      </c>
      <c r="ED252" s="30" t="n">
        <f aca="false">(EA252+CV252+BB252)/3</f>
        <v>82.1857142857143</v>
      </c>
      <c r="EE252" s="51" t="n">
        <f aca="false">ROUND(BE252,3)</f>
        <v>88.47</v>
      </c>
      <c r="EF252" s="51" t="n">
        <f aca="false">ROUND(CR252,3)</f>
        <v>88.857</v>
      </c>
      <c r="EG252" s="51" t="n">
        <f aca="false">ROUND(CS252,3)</f>
        <v>81.714</v>
      </c>
      <c r="EH252" s="51" t="n">
        <f aca="false">ROUND(EA252,3)</f>
        <v>79.571</v>
      </c>
      <c r="EI252" s="51" t="n">
        <f aca="false">ROUND(ED252,3)</f>
        <v>82.186</v>
      </c>
      <c r="EJ252" s="51" t="n">
        <f aca="false">ROUND(CV252,3)</f>
        <v>85.286</v>
      </c>
      <c r="EK252" s="0" t="n">
        <f aca="false">RANK(EI252,$EI$2:$EI$881,0)</f>
        <v>251</v>
      </c>
    </row>
    <row r="253" customFormat="false" ht="15" hidden="false" customHeight="false" outlineLevel="0" collapsed="false">
      <c r="A253" s="4" t="n">
        <v>8697</v>
      </c>
      <c r="B253" s="4" t="n">
        <v>157</v>
      </c>
      <c r="C253" s="27" t="s">
        <v>907</v>
      </c>
      <c r="D253" s="31" t="n">
        <v>156</v>
      </c>
      <c r="E253" s="32" t="n">
        <v>230311302</v>
      </c>
      <c r="F253" s="8" t="s">
        <v>908</v>
      </c>
      <c r="G253" s="22" t="s">
        <v>880</v>
      </c>
      <c r="H253" s="22" t="s">
        <v>129</v>
      </c>
      <c r="I253" s="33" t="n">
        <v>2005</v>
      </c>
      <c r="J253" s="32" t="n">
        <v>86</v>
      </c>
      <c r="K253" s="32" t="n">
        <v>97</v>
      </c>
      <c r="L253" s="34" t="n">
        <f aca="false">(K253*70)/100</f>
        <v>67.9</v>
      </c>
      <c r="M253" s="34" t="n">
        <f aca="false">ROUNDUP(L253,0)</f>
        <v>68</v>
      </c>
      <c r="N253" s="32" t="n">
        <v>25</v>
      </c>
      <c r="O253" s="34" t="n">
        <f aca="false">N253+L253</f>
        <v>92.9</v>
      </c>
      <c r="P253" s="34" t="n">
        <f aca="false">N253+M253</f>
        <v>93</v>
      </c>
      <c r="Q253" s="32" t="n">
        <v>74</v>
      </c>
      <c r="R253" s="32" t="n">
        <v>91</v>
      </c>
      <c r="S253" s="34" t="n">
        <f aca="false">(R253*70)/100</f>
        <v>63.7</v>
      </c>
      <c r="T253" s="34" t="n">
        <f aca="false">ROUNDUP(S253,0)</f>
        <v>64</v>
      </c>
      <c r="U253" s="32" t="n">
        <v>23</v>
      </c>
      <c r="V253" s="34" t="n">
        <f aca="false">U253+S253</f>
        <v>86.7</v>
      </c>
      <c r="W253" s="34" t="n">
        <f aca="false">U253+T253</f>
        <v>87</v>
      </c>
      <c r="X253" s="32" t="n">
        <v>84</v>
      </c>
      <c r="Y253" s="34" t="n">
        <f aca="false">(X253*70)/100</f>
        <v>58.8</v>
      </c>
      <c r="Z253" s="34" t="n">
        <f aca="false">ROUNDUP(Y253,0)</f>
        <v>59</v>
      </c>
      <c r="AA253" s="32" t="n">
        <v>27</v>
      </c>
      <c r="AB253" s="34" t="n">
        <f aca="false">AA253+Y253</f>
        <v>85.8</v>
      </c>
      <c r="AC253" s="34" t="n">
        <f aca="false">AA253+Z253</f>
        <v>86</v>
      </c>
      <c r="AD253" s="32" t="n">
        <f aca="false">X253+R253+Q253+K253+J253</f>
        <v>432</v>
      </c>
      <c r="AE253" s="16" t="n">
        <f aca="false">AD253/5</f>
        <v>86.4</v>
      </c>
      <c r="AF253" s="16" t="n">
        <v>88</v>
      </c>
      <c r="AG253" s="16" t="n">
        <v>93</v>
      </c>
      <c r="AH253" s="16" t="n">
        <v>97</v>
      </c>
      <c r="AI253" s="16" t="n">
        <v>96</v>
      </c>
      <c r="AJ253" s="16" t="n">
        <f aca="false">(AI253*70)/100</f>
        <v>67.2</v>
      </c>
      <c r="AK253" s="35" t="n">
        <f aca="false">ROUNDUP(AJ253,0)</f>
        <v>68</v>
      </c>
      <c r="AL253" s="16" t="n">
        <v>29</v>
      </c>
      <c r="AM253" s="16" t="n">
        <f aca="false">AL253+AJ253</f>
        <v>96.2</v>
      </c>
      <c r="AN253" s="16" t="n">
        <f aca="false">AL253+AK253</f>
        <v>97</v>
      </c>
      <c r="AO253" s="16" t="n">
        <v>90</v>
      </c>
      <c r="AP253" s="36" t="n">
        <f aca="false">(AO253*70)/100</f>
        <v>63</v>
      </c>
      <c r="AQ253" s="37" t="n">
        <f aca="false">ROUNDUP(AP253,0)</f>
        <v>63</v>
      </c>
      <c r="AR253" s="16" t="n">
        <v>29</v>
      </c>
      <c r="AS253" s="16" t="n">
        <f aca="false">AR253+AP253</f>
        <v>92</v>
      </c>
      <c r="AT253" s="16" t="n">
        <f aca="false">AR253+AQ253</f>
        <v>92</v>
      </c>
      <c r="AU253" s="16" t="n">
        <f aca="false">AO253+AF253+AI253+AH253+AG253</f>
        <v>464</v>
      </c>
      <c r="AV253" s="16" t="n">
        <f aca="false">(AO253+AF253+AI253+AH253+AG253)/5</f>
        <v>92.8</v>
      </c>
      <c r="AW253" s="36" t="n">
        <f aca="false">(AO253+AF253+AI253+AH253+AG253+X253+R253+Q253+K253+J253)</f>
        <v>896</v>
      </c>
      <c r="AX253" s="16" t="n">
        <f aca="false">AW253/10</f>
        <v>89.6</v>
      </c>
      <c r="AY253" s="16" t="n">
        <f aca="false">AS253+AF253+AM253+AH253+AG253+AB253+V253+Q253+O253+J253</f>
        <v>891.6</v>
      </c>
      <c r="AZ253" s="16" t="n">
        <f aca="false">AT253+AF253+AN253+AH253+AG253+AC253+W253+Q253+P253+J253</f>
        <v>893</v>
      </c>
      <c r="BA253" s="16" t="n">
        <f aca="false">AY253/10</f>
        <v>89.16</v>
      </c>
      <c r="BB253" s="16" t="n">
        <f aca="false">AZ253/10</f>
        <v>89.3</v>
      </c>
      <c r="BC253" s="16" t="n">
        <v>2398</v>
      </c>
      <c r="BD253" s="16" t="n">
        <f aca="false">RANK(AX253,$AX$2:$AX$881,0)</f>
        <v>26</v>
      </c>
      <c r="BE253" s="38" t="n">
        <f aca="false">((BC253*100)/2400)*0.4+(AX253*0.6)</f>
        <v>93.7266666666667</v>
      </c>
      <c r="BF253" s="16" t="n">
        <f aca="false">RANK(BE253,$BE$2:$BE$881,0)</f>
        <v>23</v>
      </c>
      <c r="BG253" s="39" t="n">
        <f aca="false">RANK(BB253,$BB$2:$BB$881,0)</f>
        <v>26</v>
      </c>
      <c r="BH253" s="39" t="n">
        <f aca="false">RANK(BC253,$BC$2:$BC$881,0)</f>
        <v>8</v>
      </c>
      <c r="BI253" s="22" t="s">
        <v>130</v>
      </c>
      <c r="BJ253" s="22" t="s">
        <v>129</v>
      </c>
      <c r="BK253" s="40" t="s">
        <v>131</v>
      </c>
      <c r="BL253" s="41" t="n">
        <v>24</v>
      </c>
      <c r="BM253" s="41" t="n">
        <v>62</v>
      </c>
      <c r="BN253" s="41" t="n">
        <v>86</v>
      </c>
      <c r="BO253" s="42" t="n">
        <v>24</v>
      </c>
      <c r="BP253" s="43" t="n">
        <v>67</v>
      </c>
      <c r="BQ253" s="44" t="n">
        <v>91</v>
      </c>
      <c r="BR253" s="42" t="n">
        <v>28</v>
      </c>
      <c r="BS253" s="77" t="n">
        <v>60</v>
      </c>
      <c r="BT253" s="77" t="n">
        <v>88</v>
      </c>
      <c r="BU253" s="46" t="n">
        <v>100</v>
      </c>
      <c r="BV253" s="47" t="n">
        <v>94</v>
      </c>
      <c r="BW253" s="42" t="n">
        <v>99</v>
      </c>
      <c r="BX253" s="48" t="n">
        <v>92</v>
      </c>
      <c r="BY253" s="32" t="n">
        <v>25</v>
      </c>
      <c r="BZ253" s="32" t="n">
        <v>62</v>
      </c>
      <c r="CA253" s="32" t="n">
        <v>87</v>
      </c>
      <c r="CB253" s="32" t="n">
        <v>28</v>
      </c>
      <c r="CC253" s="32" t="n">
        <v>48</v>
      </c>
      <c r="CD253" s="32" t="n">
        <v>76</v>
      </c>
      <c r="CE253" s="32" t="n">
        <v>26</v>
      </c>
      <c r="CF253" s="32" t="n">
        <v>58</v>
      </c>
      <c r="CG253" s="32" t="n">
        <v>84</v>
      </c>
      <c r="CH253" s="32" t="n">
        <v>99</v>
      </c>
      <c r="CI253" s="32" t="n">
        <v>99</v>
      </c>
      <c r="CJ253" s="49" t="n">
        <v>24</v>
      </c>
      <c r="CK253" s="49" t="n">
        <v>49</v>
      </c>
      <c r="CL253" s="49" t="n">
        <v>73</v>
      </c>
      <c r="CM253" s="49" t="n">
        <v>23</v>
      </c>
      <c r="CN253" s="60"/>
      <c r="CO253" s="60"/>
      <c r="CP253" s="25" t="n">
        <f aca="false">BX253+BW253+BV253+BU253+BT253+BQ253+BN253</f>
        <v>650</v>
      </c>
      <c r="CQ253" s="25" t="n">
        <f aca="false">CO253+CL253+CI253+CH253+CG253+CD253+CA253</f>
        <v>518</v>
      </c>
      <c r="CR253" s="26" t="n">
        <f aca="false">CP253/7</f>
        <v>92.8571428571429</v>
      </c>
      <c r="CS253" s="26" t="n">
        <f aca="false">CQ253/7</f>
        <v>74</v>
      </c>
      <c r="CT253" s="24" t="n">
        <f aca="false">RANK(CR253,$CR$2:$CR$881,0)</f>
        <v>52</v>
      </c>
      <c r="CU253" s="25" t="n">
        <f aca="false">RANK(CS253,$CS$2:$CS$881,0)</f>
        <v>459</v>
      </c>
      <c r="CV253" s="26" t="n">
        <f aca="false">(CS253+CR253)/2</f>
        <v>83.4285714285714</v>
      </c>
      <c r="CW253" s="25" t="n">
        <f aca="false">RANK(CV253,$CV$2:$CV$881,0)</f>
        <v>279</v>
      </c>
      <c r="CX253" s="50" t="n">
        <f aca="false">(CV253+BB253)/2</f>
        <v>86.3642857142857</v>
      </c>
      <c r="CY253" s="50" t="n">
        <v>91</v>
      </c>
      <c r="CZ253" s="27" t="s">
        <v>132</v>
      </c>
      <c r="DA253" s="27" t="s">
        <v>169</v>
      </c>
      <c r="DB253" s="27" t="s">
        <v>169</v>
      </c>
      <c r="DC253" s="27" t="s">
        <v>134</v>
      </c>
      <c r="DD253" s="27" t="s">
        <v>137</v>
      </c>
      <c r="DE253" s="27" t="s">
        <v>183</v>
      </c>
      <c r="DF253" s="27" t="s">
        <v>209</v>
      </c>
      <c r="DG253" s="27" t="s">
        <v>134</v>
      </c>
      <c r="DH253" s="27" t="s">
        <v>191</v>
      </c>
      <c r="DI253" s="27" t="s">
        <v>163</v>
      </c>
      <c r="DJ253" s="27" t="s">
        <v>175</v>
      </c>
      <c r="DK253" s="27" t="s">
        <v>134</v>
      </c>
      <c r="DL253" s="27" t="s">
        <v>164</v>
      </c>
      <c r="DM253" s="27" t="s">
        <v>161</v>
      </c>
      <c r="DN253" s="27" t="s">
        <v>133</v>
      </c>
      <c r="DO253" s="27" t="s">
        <v>134</v>
      </c>
      <c r="DP253" s="27" t="s">
        <v>154</v>
      </c>
      <c r="DQ253" s="27" t="s">
        <v>203</v>
      </c>
      <c r="DR253" s="27" t="s">
        <v>175</v>
      </c>
      <c r="DS253" s="27" t="s">
        <v>134</v>
      </c>
      <c r="DT253" s="27" t="s">
        <v>140</v>
      </c>
      <c r="DU253" s="27" t="s">
        <v>177</v>
      </c>
      <c r="DV253" s="27" t="s">
        <v>162</v>
      </c>
      <c r="DW253" s="27"/>
      <c r="DX253" s="27"/>
      <c r="DY253" s="27"/>
      <c r="DZ253" s="27" t="n">
        <f aca="false">DY253+DV253+DR253+DN253+DJ253+DF253+DB253</f>
        <v>514</v>
      </c>
      <c r="EA253" s="28" t="n">
        <f aca="false">DZ253/7</f>
        <v>73.4285714285714</v>
      </c>
      <c r="EB253" s="27" t="n">
        <f aca="false">RANK(EA253,$EA$2:$EA$881,0)</f>
        <v>586</v>
      </c>
      <c r="EC253" s="29" t="n">
        <f aca="false">DZ253+CQ253+CP253+AZ253</f>
        <v>2575</v>
      </c>
      <c r="ED253" s="30" t="n">
        <f aca="false">(EA253+CV253+BB253)/3</f>
        <v>82.0523809523809</v>
      </c>
      <c r="EE253" s="51" t="n">
        <f aca="false">ROUND(BE253,3)</f>
        <v>93.727</v>
      </c>
      <c r="EF253" s="51" t="n">
        <f aca="false">ROUND(CR253,3)</f>
        <v>92.857</v>
      </c>
      <c r="EG253" s="51" t="n">
        <f aca="false">ROUND(CS253,3)</f>
        <v>74</v>
      </c>
      <c r="EH253" s="51" t="n">
        <f aca="false">ROUND(EA253,3)</f>
        <v>73.429</v>
      </c>
      <c r="EI253" s="51" t="n">
        <f aca="false">ROUND(ED253,3)</f>
        <v>82.052</v>
      </c>
      <c r="EJ253" s="51" t="n">
        <f aca="false">ROUND(CV253,3)</f>
        <v>83.429</v>
      </c>
      <c r="EK253" s="0" t="n">
        <f aca="false">RANK(EI253,$EI$2:$EI$881,0)</f>
        <v>252</v>
      </c>
    </row>
    <row r="254" customFormat="false" ht="15" hidden="false" customHeight="false" outlineLevel="0" collapsed="false">
      <c r="A254" s="4" t="n">
        <v>1819</v>
      </c>
      <c r="B254" s="4" t="n">
        <v>552</v>
      </c>
      <c r="C254" s="27" t="s">
        <v>909</v>
      </c>
      <c r="D254" s="31" t="n">
        <v>557</v>
      </c>
      <c r="E254" s="32" t="n">
        <v>230320663</v>
      </c>
      <c r="F254" s="8" t="s">
        <v>910</v>
      </c>
      <c r="G254" s="22" t="s">
        <v>553</v>
      </c>
      <c r="H254" s="22" t="s">
        <v>129</v>
      </c>
      <c r="I254" s="33" t="n">
        <v>2005</v>
      </c>
      <c r="J254" s="32" t="n">
        <v>95</v>
      </c>
      <c r="K254" s="32" t="n">
        <v>75</v>
      </c>
      <c r="L254" s="34" t="n">
        <f aca="false">(K254*70)/100</f>
        <v>52.5</v>
      </c>
      <c r="M254" s="34" t="n">
        <f aca="false">ROUNDUP(L254,0)</f>
        <v>53</v>
      </c>
      <c r="N254" s="32" t="n">
        <v>25</v>
      </c>
      <c r="O254" s="34" t="n">
        <f aca="false">N254+L254</f>
        <v>77.5</v>
      </c>
      <c r="P254" s="34" t="n">
        <f aca="false">N254+M254</f>
        <v>78</v>
      </c>
      <c r="Q254" s="32" t="n">
        <v>60</v>
      </c>
      <c r="R254" s="32" t="n">
        <v>71</v>
      </c>
      <c r="S254" s="34" t="n">
        <f aca="false">(R254*70)/100</f>
        <v>49.7</v>
      </c>
      <c r="T254" s="34" t="n">
        <f aca="false">ROUNDUP(S254,0)</f>
        <v>50</v>
      </c>
      <c r="U254" s="32" t="n">
        <v>25</v>
      </c>
      <c r="V254" s="34" t="n">
        <f aca="false">U254+S254</f>
        <v>74.7</v>
      </c>
      <c r="W254" s="34" t="n">
        <f aca="false">U254+T254</f>
        <v>75</v>
      </c>
      <c r="X254" s="32" t="n">
        <v>69</v>
      </c>
      <c r="Y254" s="34" t="n">
        <f aca="false">(X254*70)/100</f>
        <v>48.3</v>
      </c>
      <c r="Z254" s="34" t="n">
        <f aca="false">ROUNDUP(Y254,0)</f>
        <v>49</v>
      </c>
      <c r="AA254" s="32" t="n">
        <v>26</v>
      </c>
      <c r="AB254" s="34" t="n">
        <f aca="false">AA254+Y254</f>
        <v>74.3</v>
      </c>
      <c r="AC254" s="34" t="n">
        <f aca="false">AA254+Z254</f>
        <v>75</v>
      </c>
      <c r="AD254" s="32" t="n">
        <f aca="false">X254+R254+Q254+K254+J254</f>
        <v>370</v>
      </c>
      <c r="AE254" s="16" t="n">
        <f aca="false">AD254/5</f>
        <v>74</v>
      </c>
      <c r="AF254" s="16" t="n">
        <v>85</v>
      </c>
      <c r="AG254" s="16" t="n">
        <v>96</v>
      </c>
      <c r="AH254" s="16" t="n">
        <v>87</v>
      </c>
      <c r="AI254" s="16" t="n">
        <v>65</v>
      </c>
      <c r="AJ254" s="16" t="n">
        <f aca="false">(AI254*70)/100</f>
        <v>45.5</v>
      </c>
      <c r="AK254" s="35" t="n">
        <f aca="false">ROUNDUP(AJ254,0)</f>
        <v>46</v>
      </c>
      <c r="AL254" s="16" t="n">
        <v>25</v>
      </c>
      <c r="AM254" s="16" t="n">
        <f aca="false">AL254+AJ254</f>
        <v>70.5</v>
      </c>
      <c r="AN254" s="16" t="n">
        <f aca="false">AL254+AK254</f>
        <v>71</v>
      </c>
      <c r="AO254" s="16" t="n">
        <v>68</v>
      </c>
      <c r="AP254" s="36" t="n">
        <f aca="false">(AO254*70)/100</f>
        <v>47.6</v>
      </c>
      <c r="AQ254" s="37" t="n">
        <f aca="false">ROUNDUP(AP254,0)</f>
        <v>48</v>
      </c>
      <c r="AR254" s="16" t="n">
        <v>29</v>
      </c>
      <c r="AS254" s="16" t="n">
        <f aca="false">AR254+AP254</f>
        <v>76.6</v>
      </c>
      <c r="AT254" s="16" t="n">
        <f aca="false">AR254+AQ254</f>
        <v>77</v>
      </c>
      <c r="AU254" s="16" t="n">
        <f aca="false">AO254+AF254+AI254+AH254+AG254</f>
        <v>401</v>
      </c>
      <c r="AV254" s="16" t="n">
        <f aca="false">(AO254+AF254+AI254+AH254+AG254)/5</f>
        <v>80.2</v>
      </c>
      <c r="AW254" s="36" t="n">
        <f aca="false">(AO254+AF254+AI254+AH254+AG254+X254+R254+Q254+K254+J254)</f>
        <v>771</v>
      </c>
      <c r="AX254" s="16" t="n">
        <f aca="false">AW254/10</f>
        <v>77.1</v>
      </c>
      <c r="AY254" s="16" t="n">
        <f aca="false">AS254+AF254+AM254+AH254+AG254+AB254+V254+Q254+O254+J254</f>
        <v>796.6</v>
      </c>
      <c r="AZ254" s="16" t="n">
        <f aca="false">AT254+AF254+AN254+AH254+AG254+AC254+W254+Q254+P254+J254</f>
        <v>799</v>
      </c>
      <c r="BA254" s="16" t="n">
        <f aca="false">AY254/10</f>
        <v>79.66</v>
      </c>
      <c r="BB254" s="16" t="n">
        <f aca="false">AZ254/10</f>
        <v>79.9</v>
      </c>
      <c r="BC254" s="16" t="n">
        <v>2347</v>
      </c>
      <c r="BD254" s="16" t="n">
        <f aca="false">RANK(AX254,$AX$2:$AX$881,0)</f>
        <v>496</v>
      </c>
      <c r="BE254" s="54" t="n">
        <f aca="false">((BC254*100)/2400)*0.4+(AX254*0.6)</f>
        <v>85.3766666666667</v>
      </c>
      <c r="BF254" s="16" t="n">
        <f aca="false">RANK(BE254,$BE$2:$BE$881,0)</f>
        <v>532</v>
      </c>
      <c r="BG254" s="39" t="n">
        <f aca="false">RANK(BB254,$BB$2:$BB$881,0)</f>
        <v>356</v>
      </c>
      <c r="BH254" s="39" t="n">
        <f aca="false">RANK(BC254,$BC$2:$BC$881,0)</f>
        <v>562</v>
      </c>
      <c r="BI254" s="22" t="s">
        <v>130</v>
      </c>
      <c r="BJ254" s="22" t="s">
        <v>129</v>
      </c>
      <c r="BK254" s="40" t="s">
        <v>509</v>
      </c>
      <c r="BL254" s="41" t="n">
        <v>20</v>
      </c>
      <c r="BM254" s="41" t="n">
        <v>59</v>
      </c>
      <c r="BN254" s="41" t="n">
        <v>79</v>
      </c>
      <c r="BO254" s="42" t="n">
        <v>22</v>
      </c>
      <c r="BP254" s="43" t="n">
        <v>49</v>
      </c>
      <c r="BQ254" s="44" t="n">
        <v>71</v>
      </c>
      <c r="BR254" s="42" t="n">
        <v>22</v>
      </c>
      <c r="BS254" s="45" t="n">
        <v>58</v>
      </c>
      <c r="BT254" s="45" t="n">
        <v>80</v>
      </c>
      <c r="BU254" s="46" t="n">
        <v>99</v>
      </c>
      <c r="BV254" s="47" t="n">
        <v>96</v>
      </c>
      <c r="BW254" s="42" t="n">
        <v>96</v>
      </c>
      <c r="BX254" s="48" t="n">
        <v>98</v>
      </c>
      <c r="BY254" s="32" t="n">
        <v>26</v>
      </c>
      <c r="BZ254" s="32" t="n">
        <v>55</v>
      </c>
      <c r="CA254" s="32" t="n">
        <v>81</v>
      </c>
      <c r="CB254" s="32" t="n">
        <v>29</v>
      </c>
      <c r="CC254" s="32" t="n">
        <v>39</v>
      </c>
      <c r="CD254" s="32" t="n">
        <v>68</v>
      </c>
      <c r="CE254" s="32" t="n">
        <v>24</v>
      </c>
      <c r="CF254" s="32" t="n">
        <v>53</v>
      </c>
      <c r="CG254" s="32" t="n">
        <v>77</v>
      </c>
      <c r="CH254" s="32" t="n">
        <v>100</v>
      </c>
      <c r="CI254" s="32" t="n">
        <v>98</v>
      </c>
      <c r="CJ254" s="49" t="n">
        <v>26</v>
      </c>
      <c r="CK254" s="49" t="n">
        <v>40</v>
      </c>
      <c r="CL254" s="49" t="n">
        <v>66</v>
      </c>
      <c r="CM254" s="49" t="n">
        <v>23</v>
      </c>
      <c r="CN254" s="49" t="n">
        <v>49</v>
      </c>
      <c r="CO254" s="49" t="n">
        <v>72</v>
      </c>
      <c r="CP254" s="25" t="n">
        <f aca="false">BX254+BW254+BV254+BU254+BT254+BQ254+BN254</f>
        <v>619</v>
      </c>
      <c r="CQ254" s="25" t="n">
        <f aca="false">CO254+CL254+CI254+CH254+CG254+CD254+CA254</f>
        <v>562</v>
      </c>
      <c r="CR254" s="26" t="n">
        <f aca="false">CP254/7</f>
        <v>88.4285714285714</v>
      </c>
      <c r="CS254" s="26" t="n">
        <f aca="false">CQ254/7</f>
        <v>80.2857142857143</v>
      </c>
      <c r="CT254" s="24" t="n">
        <f aca="false">RANK(CR254,$CR$2:$CR$881,0)</f>
        <v>276</v>
      </c>
      <c r="CU254" s="25" t="n">
        <f aca="false">RANK(CS254,$CS$2:$CS$881,0)</f>
        <v>253</v>
      </c>
      <c r="CV254" s="26" t="n">
        <f aca="false">(CS254+CR254)/2</f>
        <v>84.3571428571429</v>
      </c>
      <c r="CW254" s="25" t="n">
        <f aca="false">RANK(CV254,$CV$2:$CV$881,0)</f>
        <v>249</v>
      </c>
      <c r="CX254" s="50" t="n">
        <f aca="false">(CV254+BB254)/2</f>
        <v>82.1285714285714</v>
      </c>
      <c r="CY254" s="50" t="n">
        <v>258</v>
      </c>
      <c r="CZ254" s="27" t="s">
        <v>132</v>
      </c>
      <c r="DA254" s="27" t="s">
        <v>162</v>
      </c>
      <c r="DB254" s="27" t="s">
        <v>162</v>
      </c>
      <c r="DC254" s="27" t="s">
        <v>134</v>
      </c>
      <c r="DD254" s="27" t="s">
        <v>174</v>
      </c>
      <c r="DE254" s="27" t="s">
        <v>306</v>
      </c>
      <c r="DF254" s="27" t="s">
        <v>382</v>
      </c>
      <c r="DG254" s="27" t="s">
        <v>134</v>
      </c>
      <c r="DH254" s="27" t="s">
        <v>182</v>
      </c>
      <c r="DI254" s="27" t="s">
        <v>304</v>
      </c>
      <c r="DJ254" s="27" t="s">
        <v>305</v>
      </c>
      <c r="DK254" s="27" t="s">
        <v>134</v>
      </c>
      <c r="DL254" s="27" t="s">
        <v>137</v>
      </c>
      <c r="DM254" s="27" t="s">
        <v>177</v>
      </c>
      <c r="DN254" s="27" t="s">
        <v>202</v>
      </c>
      <c r="DO254" s="27" t="s">
        <v>134</v>
      </c>
      <c r="DP254" s="27" t="s">
        <v>154</v>
      </c>
      <c r="DQ254" s="27" t="s">
        <v>204</v>
      </c>
      <c r="DR254" s="27" t="s">
        <v>205</v>
      </c>
      <c r="DS254" s="27" t="s">
        <v>134</v>
      </c>
      <c r="DT254" s="27" t="s">
        <v>164</v>
      </c>
      <c r="DU254" s="27" t="s">
        <v>645</v>
      </c>
      <c r="DV254" s="27" t="s">
        <v>416</v>
      </c>
      <c r="DW254" s="27" t="s">
        <v>182</v>
      </c>
      <c r="DX254" s="27" t="s">
        <v>187</v>
      </c>
      <c r="DY254" s="27" t="s">
        <v>153</v>
      </c>
      <c r="DZ254" s="27" t="n">
        <f aca="false">DY254+DV254+DR254+DN254+DJ254+DF254+DB254</f>
        <v>573</v>
      </c>
      <c r="EA254" s="28" t="n">
        <f aca="false">DZ254/7</f>
        <v>81.8571428571429</v>
      </c>
      <c r="EB254" s="27" t="n">
        <f aca="false">RANK(EA254,$EA$2:$EA$881,0)</f>
        <v>316</v>
      </c>
      <c r="EC254" s="29" t="n">
        <f aca="false">DZ254+CQ254+CP254+AZ254</f>
        <v>2553</v>
      </c>
      <c r="ED254" s="30" t="n">
        <f aca="false">(EA254+CV254+BB254)/3</f>
        <v>82.0380952380952</v>
      </c>
      <c r="EE254" s="51" t="n">
        <f aca="false">ROUND(BE254,3)</f>
        <v>85.377</v>
      </c>
      <c r="EF254" s="51" t="n">
        <f aca="false">ROUND(CR254,3)</f>
        <v>88.429</v>
      </c>
      <c r="EG254" s="51" t="n">
        <f aca="false">ROUND(CS254,3)</f>
        <v>80.286</v>
      </c>
      <c r="EH254" s="51" t="n">
        <f aca="false">ROUND(EA254,3)</f>
        <v>81.857</v>
      </c>
      <c r="EI254" s="51" t="n">
        <f aca="false">ROUND(ED254,3)</f>
        <v>82.038</v>
      </c>
      <c r="EJ254" s="51" t="n">
        <f aca="false">ROUND(CV254,3)</f>
        <v>84.357</v>
      </c>
      <c r="EK254" s="0" t="n">
        <f aca="false">RANK(EI254,$EI$2:$EI$881,0)</f>
        <v>253</v>
      </c>
    </row>
    <row r="255" customFormat="false" ht="15" hidden="false" customHeight="false" outlineLevel="0" collapsed="false">
      <c r="A255" s="4" t="n">
        <v>1891</v>
      </c>
      <c r="B255" s="4" t="n">
        <v>393</v>
      </c>
      <c r="C255" s="27" t="s">
        <v>911</v>
      </c>
      <c r="D255" s="31" t="n">
        <v>398</v>
      </c>
      <c r="E255" s="32" t="n">
        <v>230322813</v>
      </c>
      <c r="F255" s="8" t="s">
        <v>912</v>
      </c>
      <c r="G255" s="22" t="s">
        <v>913</v>
      </c>
      <c r="H255" s="22" t="s">
        <v>129</v>
      </c>
      <c r="I255" s="33" t="n">
        <v>2005</v>
      </c>
      <c r="J255" s="32" t="n">
        <v>72</v>
      </c>
      <c r="K255" s="32" t="n">
        <v>77</v>
      </c>
      <c r="L255" s="34" t="n">
        <f aca="false">(K255*70)/100</f>
        <v>53.9</v>
      </c>
      <c r="M255" s="34" t="n">
        <f aca="false">ROUNDUP(L255,0)</f>
        <v>54</v>
      </c>
      <c r="N255" s="32" t="n">
        <v>27</v>
      </c>
      <c r="O255" s="34" t="n">
        <f aca="false">N255+L255</f>
        <v>80.9</v>
      </c>
      <c r="P255" s="34" t="n">
        <f aca="false">N255+M255</f>
        <v>81</v>
      </c>
      <c r="Q255" s="32" t="n">
        <v>74</v>
      </c>
      <c r="R255" s="32" t="n">
        <v>74</v>
      </c>
      <c r="S255" s="34" t="n">
        <f aca="false">(R255*70)/100</f>
        <v>51.8</v>
      </c>
      <c r="T255" s="34" t="n">
        <f aca="false">ROUNDUP(S255,0)</f>
        <v>52</v>
      </c>
      <c r="U255" s="32" t="n">
        <v>21</v>
      </c>
      <c r="V255" s="34" t="n">
        <f aca="false">U255+S255</f>
        <v>72.8</v>
      </c>
      <c r="W255" s="34" t="n">
        <f aca="false">U255+T255</f>
        <v>73</v>
      </c>
      <c r="X255" s="32" t="n">
        <v>73</v>
      </c>
      <c r="Y255" s="34" t="n">
        <f aca="false">(X255*70)/100</f>
        <v>51.1</v>
      </c>
      <c r="Z255" s="34" t="n">
        <f aca="false">ROUNDUP(Y255,0)</f>
        <v>52</v>
      </c>
      <c r="AA255" s="32" t="n">
        <v>23</v>
      </c>
      <c r="AB255" s="34" t="n">
        <f aca="false">AA255+Y255</f>
        <v>74.1</v>
      </c>
      <c r="AC255" s="34" t="n">
        <f aca="false">AA255+Z255</f>
        <v>75</v>
      </c>
      <c r="AD255" s="32" t="n">
        <f aca="false">X255+R255+Q255+K255+J255</f>
        <v>370</v>
      </c>
      <c r="AE255" s="16" t="n">
        <f aca="false">AD255/5</f>
        <v>74</v>
      </c>
      <c r="AF255" s="16" t="n">
        <v>77</v>
      </c>
      <c r="AG255" s="16" t="n">
        <v>70</v>
      </c>
      <c r="AH255" s="16" t="n">
        <v>96</v>
      </c>
      <c r="AI255" s="16" t="n">
        <v>94</v>
      </c>
      <c r="AJ255" s="16" t="n">
        <f aca="false">(AI255*70)/100</f>
        <v>65.8</v>
      </c>
      <c r="AK255" s="35" t="n">
        <f aca="false">ROUNDUP(AJ255,0)</f>
        <v>66</v>
      </c>
      <c r="AL255" s="16" t="n">
        <v>19</v>
      </c>
      <c r="AM255" s="16" t="n">
        <f aca="false">AL255+AJ255</f>
        <v>84.8</v>
      </c>
      <c r="AN255" s="16" t="n">
        <f aca="false">AL255+AK255</f>
        <v>85</v>
      </c>
      <c r="AO255" s="16" t="n">
        <v>67</v>
      </c>
      <c r="AP255" s="36" t="n">
        <f aca="false">(AO255*70)/100</f>
        <v>46.9</v>
      </c>
      <c r="AQ255" s="37" t="n">
        <f aca="false">ROUNDUP(AP255,0)</f>
        <v>47</v>
      </c>
      <c r="AR255" s="16" t="n">
        <v>26</v>
      </c>
      <c r="AS255" s="16" t="n">
        <f aca="false">AR255+AP255</f>
        <v>72.9</v>
      </c>
      <c r="AT255" s="16" t="n">
        <f aca="false">AR255+AQ255</f>
        <v>73</v>
      </c>
      <c r="AU255" s="16" t="n">
        <f aca="false">AO255+AF255+AI255+AH255+AG255</f>
        <v>404</v>
      </c>
      <c r="AV255" s="16" t="n">
        <f aca="false">(AO255+AF255+AI255+AH255+AG255)/5</f>
        <v>80.8</v>
      </c>
      <c r="AW255" s="36" t="n">
        <f aca="false">(AO255+AF255+AI255+AH255+AG255+X255+R255+Q255+K255+J255)</f>
        <v>774</v>
      </c>
      <c r="AX255" s="16" t="n">
        <f aca="false">AW255/10</f>
        <v>77.4</v>
      </c>
      <c r="AY255" s="16" t="n">
        <f aca="false">AS255+AF255+AM255+AH255+AG255+AB255+V255+Q255+O255+J255</f>
        <v>774.5</v>
      </c>
      <c r="AZ255" s="16" t="n">
        <f aca="false">AT255+AF255+AN255+AH255+AG255+AC255+W255+Q255+P255+J255</f>
        <v>776</v>
      </c>
      <c r="BA255" s="16" t="n">
        <f aca="false">AY255/10</f>
        <v>77.45</v>
      </c>
      <c r="BB255" s="16" t="n">
        <f aca="false">AZ255/10</f>
        <v>77.6</v>
      </c>
      <c r="BC255" s="16" t="n">
        <v>2328</v>
      </c>
      <c r="BD255" s="16" t="n">
        <f aca="false">RANK(AX255,$AX$2:$AX$881,0)</f>
        <v>461</v>
      </c>
      <c r="BE255" s="54" t="n">
        <f aca="false">((BC255*100)/2400)*0.4+(AX255*0.6)</f>
        <v>85.24</v>
      </c>
      <c r="BF255" s="16" t="n">
        <f aca="false">RANK(BE255,$BE$2:$BE$881,0)</f>
        <v>554</v>
      </c>
      <c r="BG255" s="39" t="n">
        <f aca="false">RANK(BB255,$BB$2:$BB$881,0)</f>
        <v>596</v>
      </c>
      <c r="BH255" s="39" t="n">
        <f aca="false">RANK(BC255,$BC$2:$BC$881,0)</f>
        <v>745</v>
      </c>
      <c r="BI255" s="22" t="s">
        <v>130</v>
      </c>
      <c r="BJ255" s="22" t="s">
        <v>129</v>
      </c>
      <c r="BK255" s="40" t="s">
        <v>509</v>
      </c>
      <c r="BL255" s="41" t="n">
        <v>28</v>
      </c>
      <c r="BM255" s="41" t="n">
        <v>49</v>
      </c>
      <c r="BN255" s="41" t="n">
        <v>77</v>
      </c>
      <c r="BO255" s="42" t="n">
        <v>20</v>
      </c>
      <c r="BP255" s="43" t="n">
        <v>49</v>
      </c>
      <c r="BQ255" s="44" t="n">
        <v>69</v>
      </c>
      <c r="BR255" s="42" t="n">
        <v>27</v>
      </c>
      <c r="BS255" s="45" t="n">
        <v>47</v>
      </c>
      <c r="BT255" s="45" t="n">
        <v>74</v>
      </c>
      <c r="BU255" s="46" t="n">
        <v>100</v>
      </c>
      <c r="BV255" s="47" t="n">
        <v>84</v>
      </c>
      <c r="BW255" s="43" t="n">
        <v>99</v>
      </c>
      <c r="BX255" s="48" t="n">
        <v>100</v>
      </c>
      <c r="BY255" s="32" t="n">
        <v>26</v>
      </c>
      <c r="BZ255" s="32" t="n">
        <v>51</v>
      </c>
      <c r="CA255" s="32" t="n">
        <v>77</v>
      </c>
      <c r="CB255" s="32" t="n">
        <v>20</v>
      </c>
      <c r="CC255" s="32" t="n">
        <v>39</v>
      </c>
      <c r="CD255" s="69" t="n">
        <v>59</v>
      </c>
      <c r="CE255" s="32" t="n">
        <v>25</v>
      </c>
      <c r="CF255" s="32" t="n">
        <v>50</v>
      </c>
      <c r="CG255" s="32" t="n">
        <v>75</v>
      </c>
      <c r="CH255" s="32" t="n">
        <v>98</v>
      </c>
      <c r="CI255" s="32" t="n">
        <v>95</v>
      </c>
      <c r="CJ255" s="49" t="n">
        <v>22</v>
      </c>
      <c r="CK255" s="49" t="n">
        <v>54</v>
      </c>
      <c r="CL255" s="49" t="n">
        <v>76</v>
      </c>
      <c r="CM255" s="49" t="n">
        <v>20</v>
      </c>
      <c r="CN255" s="49" t="n">
        <v>52</v>
      </c>
      <c r="CO255" s="49" t="n">
        <v>72</v>
      </c>
      <c r="CP255" s="25" t="n">
        <f aca="false">BX255+BW255+BV255+BU255+BT255+BQ255+BN255</f>
        <v>603</v>
      </c>
      <c r="CQ255" s="25" t="n">
        <f aca="false">CO255+CL255+CI255+CH255+CG255+CD255+CA255</f>
        <v>552</v>
      </c>
      <c r="CR255" s="26" t="n">
        <f aca="false">CP255/7</f>
        <v>86.1428571428571</v>
      </c>
      <c r="CS255" s="26" t="n">
        <f aca="false">CQ255/7</f>
        <v>78.8571428571429</v>
      </c>
      <c r="CT255" s="24" t="n">
        <f aca="false">RANK(CR255,$CR$2:$CR$881,0)</f>
        <v>396</v>
      </c>
      <c r="CU255" s="25" t="n">
        <f aca="false">RANK(CS255,$CS$2:$CS$881,0)</f>
        <v>305</v>
      </c>
      <c r="CV255" s="26" t="n">
        <f aca="false">(CS255+CR255)/2</f>
        <v>82.5</v>
      </c>
      <c r="CW255" s="25" t="n">
        <f aca="false">RANK(CV255,$CV$2:$CV$881,0)</f>
        <v>317</v>
      </c>
      <c r="CX255" s="50" t="n">
        <f aca="false">(CV255+BB255)/2</f>
        <v>80.05</v>
      </c>
      <c r="CY255" s="50" t="n">
        <v>374</v>
      </c>
      <c r="CZ255" s="27" t="s">
        <v>132</v>
      </c>
      <c r="DA255" s="27" t="s">
        <v>205</v>
      </c>
      <c r="DB255" s="27" t="s">
        <v>205</v>
      </c>
      <c r="DC255" s="27" t="s">
        <v>134</v>
      </c>
      <c r="DD255" s="27" t="s">
        <v>140</v>
      </c>
      <c r="DE255" s="27" t="s">
        <v>183</v>
      </c>
      <c r="DF255" s="27" t="s">
        <v>178</v>
      </c>
      <c r="DG255" s="27" t="s">
        <v>134</v>
      </c>
      <c r="DH255" s="27" t="s">
        <v>164</v>
      </c>
      <c r="DI255" s="27" t="s">
        <v>313</v>
      </c>
      <c r="DJ255" s="27" t="s">
        <v>272</v>
      </c>
      <c r="DK255" s="27" t="s">
        <v>134</v>
      </c>
      <c r="DL255" s="27" t="s">
        <v>137</v>
      </c>
      <c r="DM255" s="27" t="s">
        <v>177</v>
      </c>
      <c r="DN255" s="27" t="s">
        <v>202</v>
      </c>
      <c r="DO255" s="27" t="s">
        <v>134</v>
      </c>
      <c r="DP255" s="27" t="s">
        <v>182</v>
      </c>
      <c r="DQ255" s="27" t="s">
        <v>177</v>
      </c>
      <c r="DR255" s="27" t="s">
        <v>209</v>
      </c>
      <c r="DS255" s="27" t="s">
        <v>134</v>
      </c>
      <c r="DT255" s="27" t="s">
        <v>164</v>
      </c>
      <c r="DU255" s="27" t="s">
        <v>204</v>
      </c>
      <c r="DV255" s="27" t="s">
        <v>202</v>
      </c>
      <c r="DW255" s="27" t="s">
        <v>140</v>
      </c>
      <c r="DX255" s="27" t="s">
        <v>138</v>
      </c>
      <c r="DY255" s="27" t="s">
        <v>145</v>
      </c>
      <c r="DZ255" s="27" t="n">
        <f aca="false">DY255+DV255+DR255+DN255+DJ255+DF255+DB255</f>
        <v>602</v>
      </c>
      <c r="EA255" s="28" t="n">
        <f aca="false">DZ255/7</f>
        <v>86</v>
      </c>
      <c r="EB255" s="27" t="n">
        <f aca="false">RANK(EA255,$EA$2:$EA$881,0)</f>
        <v>155</v>
      </c>
      <c r="EC255" s="29" t="n">
        <f aca="false">DZ255+CQ255+CP255+AZ255</f>
        <v>2533</v>
      </c>
      <c r="ED255" s="30" t="n">
        <f aca="false">(EA255+CV255+BB255)/3</f>
        <v>82.0333333333333</v>
      </c>
      <c r="EE255" s="51" t="n">
        <f aca="false">ROUND(BE255,3)</f>
        <v>85.24</v>
      </c>
      <c r="EF255" s="51" t="n">
        <f aca="false">ROUND(CR255,3)</f>
        <v>86.143</v>
      </c>
      <c r="EG255" s="51" t="n">
        <f aca="false">ROUND(CS255,3)</f>
        <v>78.857</v>
      </c>
      <c r="EH255" s="51" t="n">
        <f aca="false">ROUND(EA255,3)</f>
        <v>86</v>
      </c>
      <c r="EI255" s="51" t="n">
        <f aca="false">ROUND(ED255,3)</f>
        <v>82.033</v>
      </c>
      <c r="EJ255" s="51" t="n">
        <f aca="false">ROUND(CV255,3)</f>
        <v>82.5</v>
      </c>
      <c r="EK255" s="0" t="n">
        <f aca="false">RANK(EI255,$EI$2:$EI$881,0)</f>
        <v>254</v>
      </c>
    </row>
    <row r="256" customFormat="false" ht="15" hidden="false" customHeight="false" outlineLevel="0" collapsed="false">
      <c r="A256" s="4" t="n">
        <v>8831</v>
      </c>
      <c r="B256" s="4" t="n">
        <v>791</v>
      </c>
      <c r="C256" s="27" t="s">
        <v>914</v>
      </c>
      <c r="D256" s="31" t="n">
        <v>810</v>
      </c>
      <c r="E256" s="32" t="n">
        <v>230312325</v>
      </c>
      <c r="F256" s="8" t="s">
        <v>915</v>
      </c>
      <c r="G256" s="22" t="s">
        <v>916</v>
      </c>
      <c r="H256" s="22" t="s">
        <v>129</v>
      </c>
      <c r="I256" s="33" t="n">
        <v>2006</v>
      </c>
      <c r="J256" s="32" t="n">
        <v>80</v>
      </c>
      <c r="K256" s="32" t="n">
        <v>87</v>
      </c>
      <c r="L256" s="34" t="n">
        <f aca="false">(K256*70)/100</f>
        <v>60.9</v>
      </c>
      <c r="M256" s="34" t="n">
        <f aca="false">ROUNDUP(L256,0)</f>
        <v>61</v>
      </c>
      <c r="N256" s="32" t="n">
        <v>22</v>
      </c>
      <c r="O256" s="34" t="n">
        <f aca="false">N256+L256</f>
        <v>82.9</v>
      </c>
      <c r="P256" s="34" t="n">
        <f aca="false">N256+M256</f>
        <v>83</v>
      </c>
      <c r="Q256" s="32" t="n">
        <v>76</v>
      </c>
      <c r="R256" s="32" t="n">
        <v>77</v>
      </c>
      <c r="S256" s="34" t="n">
        <f aca="false">(R256*70)/100</f>
        <v>53.9</v>
      </c>
      <c r="T256" s="34" t="n">
        <f aca="false">ROUNDUP(S256,0)</f>
        <v>54</v>
      </c>
      <c r="U256" s="32" t="n">
        <v>20</v>
      </c>
      <c r="V256" s="34" t="n">
        <f aca="false">U256+S256</f>
        <v>73.9</v>
      </c>
      <c r="W256" s="34" t="n">
        <f aca="false">U256+T256</f>
        <v>74</v>
      </c>
      <c r="X256" s="32" t="n">
        <v>74</v>
      </c>
      <c r="Y256" s="34" t="n">
        <f aca="false">(X256*70)/100</f>
        <v>51.8</v>
      </c>
      <c r="Z256" s="34" t="n">
        <f aca="false">ROUNDUP(Y256,0)</f>
        <v>52</v>
      </c>
      <c r="AA256" s="32" t="n">
        <v>23</v>
      </c>
      <c r="AB256" s="34" t="n">
        <f aca="false">AA256+Y256</f>
        <v>74.8</v>
      </c>
      <c r="AC256" s="34" t="n">
        <f aca="false">AA256+Z256</f>
        <v>75</v>
      </c>
      <c r="AD256" s="32" t="n">
        <f aca="false">X256+R256+Q256+K256+J256</f>
        <v>394</v>
      </c>
      <c r="AE256" s="16" t="n">
        <f aca="false">AD256/5</f>
        <v>78.8</v>
      </c>
      <c r="AF256" s="16" t="n">
        <v>76</v>
      </c>
      <c r="AG256" s="16" t="n">
        <v>89</v>
      </c>
      <c r="AH256" s="16" t="n">
        <v>96</v>
      </c>
      <c r="AI256" s="16" t="n">
        <v>90</v>
      </c>
      <c r="AJ256" s="16" t="n">
        <f aca="false">(AI256*70)/100</f>
        <v>63</v>
      </c>
      <c r="AK256" s="35" t="n">
        <f aca="false">ROUNDUP(AJ256,0)</f>
        <v>63</v>
      </c>
      <c r="AL256" s="16" t="n">
        <v>23</v>
      </c>
      <c r="AM256" s="16" t="n">
        <f aca="false">AL256+AJ256</f>
        <v>86</v>
      </c>
      <c r="AN256" s="16" t="n">
        <f aca="false">AL256+AK256</f>
        <v>86</v>
      </c>
      <c r="AO256" s="16" t="n">
        <v>79</v>
      </c>
      <c r="AP256" s="36" t="n">
        <f aca="false">(AO256*70)/100</f>
        <v>55.3</v>
      </c>
      <c r="AQ256" s="37" t="n">
        <f aca="false">ROUNDUP(AP256,0)</f>
        <v>56</v>
      </c>
      <c r="AR256" s="16" t="n">
        <v>22</v>
      </c>
      <c r="AS256" s="16" t="n">
        <f aca="false">AR256+AP256</f>
        <v>77.3</v>
      </c>
      <c r="AT256" s="16" t="n">
        <f aca="false">AR256+AQ256</f>
        <v>78</v>
      </c>
      <c r="AU256" s="16" t="n">
        <f aca="false">AO256+AF256+AI256+AH256+AG256</f>
        <v>430</v>
      </c>
      <c r="AV256" s="16" t="n">
        <f aca="false">(AO256+AF256+AI256+AH256+AG256)/5</f>
        <v>86</v>
      </c>
      <c r="AW256" s="36" t="n">
        <f aca="false">(AO256+AF256+AI256+AH256+AG256+X256+R256+Q256+K256+J256)</f>
        <v>824</v>
      </c>
      <c r="AX256" s="16" t="n">
        <f aca="false">AW256/10</f>
        <v>82.4</v>
      </c>
      <c r="AY256" s="16" t="n">
        <f aca="false">AS256+AF256+AM256+AH256+AG256+AB256+V256+Q256+O256+J256</f>
        <v>811.9</v>
      </c>
      <c r="AZ256" s="16" t="n">
        <f aca="false">AT256+AF256+AN256+AH256+AG256+AC256+W256+Q256+P256+J256</f>
        <v>813</v>
      </c>
      <c r="BA256" s="16" t="n">
        <f aca="false">AY256/10</f>
        <v>81.19</v>
      </c>
      <c r="BB256" s="16" t="n">
        <f aca="false">AZ256/10</f>
        <v>81.3</v>
      </c>
      <c r="BC256" s="16" t="n">
        <v>2363</v>
      </c>
      <c r="BD256" s="16" t="n">
        <f aca="false">RANK(AX256,$AX$2:$AX$881,0)</f>
        <v>143</v>
      </c>
      <c r="BE256" s="54" t="n">
        <f aca="false">((BC256*100)/2400)*0.4+(AX256*0.6)</f>
        <v>88.8233333333333</v>
      </c>
      <c r="BF256" s="16" t="n">
        <f aca="false">RANK(BE256,$BE$2:$BE$881,0)</f>
        <v>143</v>
      </c>
      <c r="BG256" s="39" t="n">
        <f aca="false">RANK(BB256,$BB$2:$BB$881,0)</f>
        <v>257</v>
      </c>
      <c r="BH256" s="39" t="n">
        <f aca="false">RANK(BC256,$BC$2:$BC$881,0)</f>
        <v>356</v>
      </c>
      <c r="BI256" s="22" t="s">
        <v>130</v>
      </c>
      <c r="BJ256" s="22" t="s">
        <v>129</v>
      </c>
      <c r="BK256" s="40" t="s">
        <v>131</v>
      </c>
      <c r="BL256" s="41" t="n">
        <v>19</v>
      </c>
      <c r="BM256" s="41" t="n">
        <v>62</v>
      </c>
      <c r="BN256" s="41" t="n">
        <v>81</v>
      </c>
      <c r="BO256" s="42" t="n">
        <v>27</v>
      </c>
      <c r="BP256" s="43" t="n">
        <v>60</v>
      </c>
      <c r="BQ256" s="44" t="n">
        <v>87</v>
      </c>
      <c r="BR256" s="42" t="n">
        <v>26</v>
      </c>
      <c r="BS256" s="45" t="n">
        <v>49</v>
      </c>
      <c r="BT256" s="45" t="n">
        <v>75</v>
      </c>
      <c r="BU256" s="46" t="n">
        <v>100</v>
      </c>
      <c r="BV256" s="47" t="n">
        <v>68</v>
      </c>
      <c r="BW256" s="42" t="n">
        <v>95</v>
      </c>
      <c r="BX256" s="48" t="n">
        <v>88</v>
      </c>
      <c r="BY256" s="32" t="n">
        <v>25</v>
      </c>
      <c r="BZ256" s="32" t="n">
        <v>54</v>
      </c>
      <c r="CA256" s="32" t="n">
        <v>79</v>
      </c>
      <c r="CB256" s="32" t="n">
        <v>20</v>
      </c>
      <c r="CC256" s="32" t="n">
        <v>42</v>
      </c>
      <c r="CD256" s="32" t="n">
        <v>62</v>
      </c>
      <c r="CE256" s="32" t="n">
        <v>24</v>
      </c>
      <c r="CF256" s="32" t="n">
        <v>50</v>
      </c>
      <c r="CG256" s="32" t="n">
        <v>74</v>
      </c>
      <c r="CH256" s="32" t="n">
        <v>95</v>
      </c>
      <c r="CI256" s="32" t="n">
        <v>96</v>
      </c>
      <c r="CJ256" s="49" t="n">
        <v>26</v>
      </c>
      <c r="CK256" s="49" t="n">
        <v>51</v>
      </c>
      <c r="CL256" s="49" t="n">
        <v>77</v>
      </c>
      <c r="CM256" s="49" t="n">
        <v>22</v>
      </c>
      <c r="CN256" s="49" t="n">
        <v>48</v>
      </c>
      <c r="CO256" s="49" t="n">
        <v>70</v>
      </c>
      <c r="CP256" s="25" t="n">
        <f aca="false">BX256+BW256+BV256+BU256+BT256+BQ256+BN256</f>
        <v>594</v>
      </c>
      <c r="CQ256" s="25" t="n">
        <f aca="false">CO256+CL256+CI256+CH256+CG256+CD256+CA256</f>
        <v>553</v>
      </c>
      <c r="CR256" s="26" t="n">
        <f aca="false">CP256/7</f>
        <v>84.8571428571429</v>
      </c>
      <c r="CS256" s="26" t="n">
        <f aca="false">CQ256/7</f>
        <v>79</v>
      </c>
      <c r="CT256" s="24" t="n">
        <f aca="false">RANK(CR256,$CR$2:$CR$881,0)</f>
        <v>443</v>
      </c>
      <c r="CU256" s="25" t="n">
        <f aca="false">RANK(CS256,$CS$2:$CS$881,0)</f>
        <v>300</v>
      </c>
      <c r="CV256" s="26" t="n">
        <f aca="false">(CS256+CR256)/2</f>
        <v>81.9285714285714</v>
      </c>
      <c r="CW256" s="25" t="n">
        <f aca="false">RANK(CV256,$CV$2:$CV$881,0)</f>
        <v>346</v>
      </c>
      <c r="CX256" s="50" t="n">
        <f aca="false">(CV256+BB256)/2</f>
        <v>81.6142857142857</v>
      </c>
      <c r="CY256" s="50" t="n">
        <v>286</v>
      </c>
      <c r="CZ256" s="27" t="s">
        <v>132</v>
      </c>
      <c r="DA256" s="27" t="s">
        <v>205</v>
      </c>
      <c r="DB256" s="27" t="s">
        <v>205</v>
      </c>
      <c r="DC256" s="27" t="s">
        <v>134</v>
      </c>
      <c r="DD256" s="27" t="s">
        <v>154</v>
      </c>
      <c r="DE256" s="27" t="s">
        <v>306</v>
      </c>
      <c r="DF256" s="27" t="s">
        <v>305</v>
      </c>
      <c r="DG256" s="27" t="s">
        <v>134</v>
      </c>
      <c r="DH256" s="27" t="s">
        <v>135</v>
      </c>
      <c r="DI256" s="27" t="s">
        <v>177</v>
      </c>
      <c r="DJ256" s="27" t="s">
        <v>175</v>
      </c>
      <c r="DK256" s="27" t="s">
        <v>134</v>
      </c>
      <c r="DL256" s="27" t="s">
        <v>160</v>
      </c>
      <c r="DM256" s="27" t="s">
        <v>183</v>
      </c>
      <c r="DN256" s="27" t="s">
        <v>202</v>
      </c>
      <c r="DO256" s="27" t="s">
        <v>134</v>
      </c>
      <c r="DP256" s="27" t="s">
        <v>191</v>
      </c>
      <c r="DQ256" s="27" t="s">
        <v>204</v>
      </c>
      <c r="DR256" s="27" t="s">
        <v>272</v>
      </c>
      <c r="DS256" s="27" t="s">
        <v>134</v>
      </c>
      <c r="DT256" s="27" t="s">
        <v>174</v>
      </c>
      <c r="DU256" s="27" t="s">
        <v>177</v>
      </c>
      <c r="DV256" s="27" t="s">
        <v>205</v>
      </c>
      <c r="DW256" s="27" t="s">
        <v>154</v>
      </c>
      <c r="DX256" s="27" t="s">
        <v>163</v>
      </c>
      <c r="DY256" s="27" t="s">
        <v>133</v>
      </c>
      <c r="DZ256" s="27" t="n">
        <f aca="false">DY256+DV256+DR256+DN256+DJ256+DF256+DB256</f>
        <v>580</v>
      </c>
      <c r="EA256" s="28" t="n">
        <f aca="false">DZ256/7</f>
        <v>82.8571428571429</v>
      </c>
      <c r="EB256" s="27" t="n">
        <f aca="false">RANK(EA256,$EA$2:$EA$881,0)</f>
        <v>275</v>
      </c>
      <c r="EC256" s="29" t="n">
        <f aca="false">DZ256+CQ256+CP256+AZ256</f>
        <v>2540</v>
      </c>
      <c r="ED256" s="30" t="n">
        <f aca="false">(EA256+CV256+BB256)/3</f>
        <v>82.0285714285714</v>
      </c>
      <c r="EE256" s="51" t="n">
        <f aca="false">ROUND(BE256,3)</f>
        <v>88.823</v>
      </c>
      <c r="EF256" s="51" t="n">
        <f aca="false">ROUND(CR256,3)</f>
        <v>84.857</v>
      </c>
      <c r="EG256" s="51" t="n">
        <f aca="false">ROUND(CS256,3)</f>
        <v>79</v>
      </c>
      <c r="EH256" s="51" t="n">
        <f aca="false">ROUND(EA256,3)</f>
        <v>82.857</v>
      </c>
      <c r="EI256" s="51" t="n">
        <f aca="false">ROUND(ED256,3)</f>
        <v>82.029</v>
      </c>
      <c r="EJ256" s="51" t="n">
        <f aca="false">ROUND(CV256,3)</f>
        <v>81.929</v>
      </c>
      <c r="EK256" s="0" t="n">
        <f aca="false">RANK(EI256,$EI$2:$EI$881,0)</f>
        <v>255</v>
      </c>
    </row>
    <row r="257" customFormat="false" ht="15" hidden="false" customHeight="false" outlineLevel="0" collapsed="false">
      <c r="A257" s="4" t="n">
        <v>8872</v>
      </c>
      <c r="B257" s="4" t="n">
        <v>803</v>
      </c>
      <c r="C257" s="27" t="s">
        <v>917</v>
      </c>
      <c r="D257" s="31" t="n">
        <v>822</v>
      </c>
      <c r="E257" s="32" t="n">
        <v>230320971</v>
      </c>
      <c r="F257" s="8" t="s">
        <v>918</v>
      </c>
      <c r="G257" s="22" t="s">
        <v>493</v>
      </c>
      <c r="H257" s="22" t="s">
        <v>129</v>
      </c>
      <c r="I257" s="33" t="n">
        <v>2005</v>
      </c>
      <c r="J257" s="32" t="n">
        <v>90</v>
      </c>
      <c r="K257" s="32" t="n">
        <v>48</v>
      </c>
      <c r="L257" s="34" t="n">
        <f aca="false">(K257*70)/100</f>
        <v>33.6</v>
      </c>
      <c r="M257" s="34" t="n">
        <f aca="false">ROUNDUP(L257,0)</f>
        <v>34</v>
      </c>
      <c r="N257" s="32" t="n">
        <v>27</v>
      </c>
      <c r="O257" s="34" t="n">
        <f aca="false">N257+L257</f>
        <v>60.6</v>
      </c>
      <c r="P257" s="34" t="n">
        <f aca="false">N257+M257</f>
        <v>61</v>
      </c>
      <c r="Q257" s="32" t="n">
        <v>73</v>
      </c>
      <c r="R257" s="32" t="n">
        <v>58</v>
      </c>
      <c r="S257" s="34" t="n">
        <f aca="false">(R257*70)/100</f>
        <v>40.6</v>
      </c>
      <c r="T257" s="34" t="n">
        <f aca="false">ROUNDUP(S257,0)</f>
        <v>41</v>
      </c>
      <c r="U257" s="32" t="n">
        <v>24</v>
      </c>
      <c r="V257" s="34" t="n">
        <f aca="false">U257+S257</f>
        <v>64.6</v>
      </c>
      <c r="W257" s="34" t="n">
        <f aca="false">U257+T257</f>
        <v>65</v>
      </c>
      <c r="X257" s="32" t="n">
        <v>63</v>
      </c>
      <c r="Y257" s="34" t="n">
        <f aca="false">(X257*70)/100</f>
        <v>44.1</v>
      </c>
      <c r="Z257" s="34" t="n">
        <f aca="false">ROUNDUP(Y257,0)</f>
        <v>45</v>
      </c>
      <c r="AA257" s="32" t="n">
        <v>24</v>
      </c>
      <c r="AB257" s="34" t="n">
        <f aca="false">AA257+Y257</f>
        <v>68.1</v>
      </c>
      <c r="AC257" s="34" t="n">
        <f aca="false">AA257+Z257</f>
        <v>69</v>
      </c>
      <c r="AD257" s="32" t="n">
        <f aca="false">X257+R257+Q257+K257+J257</f>
        <v>332</v>
      </c>
      <c r="AE257" s="16" t="n">
        <f aca="false">AD257/5</f>
        <v>66.4</v>
      </c>
      <c r="AF257" s="16" t="n">
        <v>70</v>
      </c>
      <c r="AG257" s="16" t="n">
        <v>95</v>
      </c>
      <c r="AH257" s="16" t="n">
        <v>86</v>
      </c>
      <c r="AI257" s="16" t="n">
        <v>85</v>
      </c>
      <c r="AJ257" s="16" t="n">
        <f aca="false">(AI257*70)/100</f>
        <v>59.5</v>
      </c>
      <c r="AK257" s="35" t="n">
        <f aca="false">ROUNDUP(AJ257,0)</f>
        <v>60</v>
      </c>
      <c r="AL257" s="16" t="n">
        <v>21</v>
      </c>
      <c r="AM257" s="16" t="n">
        <f aca="false">AL257+AJ257</f>
        <v>80.5</v>
      </c>
      <c r="AN257" s="16" t="n">
        <f aca="false">AL257+AK257</f>
        <v>81</v>
      </c>
      <c r="AO257" s="16" t="n">
        <v>59</v>
      </c>
      <c r="AP257" s="36" t="n">
        <f aca="false">(AO257*70)/100</f>
        <v>41.3</v>
      </c>
      <c r="AQ257" s="37" t="n">
        <f aca="false">ROUNDUP(AP257,0)</f>
        <v>42</v>
      </c>
      <c r="AR257" s="16" t="n">
        <v>25</v>
      </c>
      <c r="AS257" s="16" t="n">
        <f aca="false">AR257+AP257</f>
        <v>66.3</v>
      </c>
      <c r="AT257" s="16" t="n">
        <f aca="false">AR257+AQ257</f>
        <v>67</v>
      </c>
      <c r="AU257" s="16" t="n">
        <f aca="false">AO257+AF257+AI257+AH257+AG257</f>
        <v>395</v>
      </c>
      <c r="AV257" s="16" t="n">
        <f aca="false">(AO257+AF257+AI257+AH257+AG257)/5</f>
        <v>79</v>
      </c>
      <c r="AW257" s="36" t="n">
        <f aca="false">(AO257+AF257+AI257+AH257+AG257+X257+R257+Q257+K257+J257)</f>
        <v>727</v>
      </c>
      <c r="AX257" s="16" t="n">
        <f aca="false">AW257/10</f>
        <v>72.7</v>
      </c>
      <c r="AY257" s="16" t="n">
        <f aca="false">AS257+AF257+AM257+AH257+AG257+AB257+V257+Q257+O257+J257</f>
        <v>754.1</v>
      </c>
      <c r="AZ257" s="16" t="n">
        <f aca="false">AT257+AF257+AN257+AH257+AG257+AC257+W257+Q257+P257+J257</f>
        <v>757</v>
      </c>
      <c r="BA257" s="16" t="n">
        <f aca="false">AY257/10</f>
        <v>75.41</v>
      </c>
      <c r="BB257" s="16" t="n">
        <f aca="false">AZ257/10</f>
        <v>75.7</v>
      </c>
      <c r="BC257" s="16" t="n">
        <v>2360</v>
      </c>
      <c r="BD257" s="16" t="n">
        <f aca="false">RANK(AX257,$AX$2:$AX$881,0)</f>
        <v>714</v>
      </c>
      <c r="BE257" s="73" t="n">
        <f aca="false">((BC257*100)/2400)*0.4+(AX257*0.6)</f>
        <v>82.9533333333333</v>
      </c>
      <c r="BF257" s="16" t="n">
        <f aca="false">RANK(BE257,$BE$2:$BE$881,0)</f>
        <v>698</v>
      </c>
      <c r="BG257" s="39" t="n">
        <f aca="false">RANK(BB257,$BB$2:$BB$881,0)</f>
        <v>684</v>
      </c>
      <c r="BH257" s="39" t="n">
        <f aca="false">RANK(BC257,$BC$2:$BC$881,0)</f>
        <v>402</v>
      </c>
      <c r="BI257" s="22" t="s">
        <v>130</v>
      </c>
      <c r="BJ257" s="22" t="s">
        <v>129</v>
      </c>
      <c r="BK257" s="40" t="s">
        <v>702</v>
      </c>
      <c r="BL257" s="41" t="n">
        <v>24</v>
      </c>
      <c r="BM257" s="41" t="n">
        <v>55</v>
      </c>
      <c r="BN257" s="41" t="n">
        <v>79</v>
      </c>
      <c r="BO257" s="42" t="n">
        <v>22</v>
      </c>
      <c r="BP257" s="43" t="n">
        <v>60</v>
      </c>
      <c r="BQ257" s="44" t="n">
        <v>82</v>
      </c>
      <c r="BR257" s="42" t="n">
        <v>22</v>
      </c>
      <c r="BS257" s="45" t="n">
        <v>59</v>
      </c>
      <c r="BT257" s="45" t="n">
        <v>81</v>
      </c>
      <c r="BU257" s="46" t="n">
        <v>100</v>
      </c>
      <c r="BV257" s="47" t="n">
        <v>78</v>
      </c>
      <c r="BW257" s="42" t="n">
        <v>99</v>
      </c>
      <c r="BX257" s="48" t="n">
        <v>94</v>
      </c>
      <c r="BY257" s="32" t="n">
        <v>27</v>
      </c>
      <c r="BZ257" s="32" t="n">
        <v>53</v>
      </c>
      <c r="CA257" s="32" t="n">
        <v>80</v>
      </c>
      <c r="CB257" s="32" t="n">
        <v>20</v>
      </c>
      <c r="CC257" s="32" t="n">
        <v>51</v>
      </c>
      <c r="CD257" s="32" t="n">
        <v>71</v>
      </c>
      <c r="CE257" s="32" t="n">
        <v>22</v>
      </c>
      <c r="CF257" s="32" t="n">
        <v>56</v>
      </c>
      <c r="CG257" s="32" t="n">
        <v>78</v>
      </c>
      <c r="CH257" s="32" t="n">
        <v>99</v>
      </c>
      <c r="CI257" s="32" t="n">
        <v>99</v>
      </c>
      <c r="CJ257" s="49" t="n">
        <v>28</v>
      </c>
      <c r="CK257" s="49" t="n">
        <v>57</v>
      </c>
      <c r="CL257" s="49" t="n">
        <v>85</v>
      </c>
      <c r="CM257" s="49" t="n">
        <v>24</v>
      </c>
      <c r="CN257" s="49" t="n">
        <v>50</v>
      </c>
      <c r="CO257" s="49" t="n">
        <v>74</v>
      </c>
      <c r="CP257" s="25" t="n">
        <f aca="false">BX257+BW257+BV257+BU257+BT257+BQ257+BN257</f>
        <v>613</v>
      </c>
      <c r="CQ257" s="25" t="n">
        <f aca="false">CO257+CL257+CI257+CH257+CG257+CD257+CA257</f>
        <v>586</v>
      </c>
      <c r="CR257" s="26" t="n">
        <f aca="false">CP257/7</f>
        <v>87.5714285714286</v>
      </c>
      <c r="CS257" s="26" t="n">
        <f aca="false">CQ257/7</f>
        <v>83.7142857142857</v>
      </c>
      <c r="CT257" s="24" t="n">
        <f aca="false">RANK(CR257,$CR$2:$CR$881,0)</f>
        <v>329</v>
      </c>
      <c r="CU257" s="25" t="n">
        <f aca="false">RANK(CS257,$CS$2:$CS$881,0)</f>
        <v>131</v>
      </c>
      <c r="CV257" s="26" t="n">
        <f aca="false">(CS257+CR257)/2</f>
        <v>85.6428571428571</v>
      </c>
      <c r="CW257" s="25" t="n">
        <f aca="false">RANK(CV257,$CV$2:$CV$881,0)</f>
        <v>186</v>
      </c>
      <c r="CX257" s="50" t="n">
        <f aca="false">(CV257+BB257)/2</f>
        <v>80.6714285714286</v>
      </c>
      <c r="CY257" s="50" t="n">
        <v>341</v>
      </c>
      <c r="CZ257" s="27" t="s">
        <v>132</v>
      </c>
      <c r="DA257" s="27" t="s">
        <v>162</v>
      </c>
      <c r="DB257" s="27" t="s">
        <v>162</v>
      </c>
      <c r="DC257" s="27" t="s">
        <v>134</v>
      </c>
      <c r="DD257" s="27" t="s">
        <v>195</v>
      </c>
      <c r="DE257" s="27" t="s">
        <v>187</v>
      </c>
      <c r="DF257" s="27" t="s">
        <v>178</v>
      </c>
      <c r="DG257" s="27" t="s">
        <v>134</v>
      </c>
      <c r="DH257" s="27" t="s">
        <v>182</v>
      </c>
      <c r="DI257" s="27" t="s">
        <v>306</v>
      </c>
      <c r="DJ257" s="27" t="s">
        <v>272</v>
      </c>
      <c r="DK257" s="27" t="s">
        <v>134</v>
      </c>
      <c r="DL257" s="27" t="s">
        <v>154</v>
      </c>
      <c r="DM257" s="27" t="s">
        <v>183</v>
      </c>
      <c r="DN257" s="27" t="s">
        <v>196</v>
      </c>
      <c r="DO257" s="27" t="s">
        <v>134</v>
      </c>
      <c r="DP257" s="27" t="s">
        <v>264</v>
      </c>
      <c r="DQ257" s="27" t="s">
        <v>177</v>
      </c>
      <c r="DR257" s="27" t="s">
        <v>272</v>
      </c>
      <c r="DS257" s="27" t="s">
        <v>134</v>
      </c>
      <c r="DT257" s="27" t="s">
        <v>160</v>
      </c>
      <c r="DU257" s="27" t="s">
        <v>204</v>
      </c>
      <c r="DV257" s="27" t="s">
        <v>178</v>
      </c>
      <c r="DW257" s="27" t="s">
        <v>195</v>
      </c>
      <c r="DX257" s="27" t="s">
        <v>155</v>
      </c>
      <c r="DY257" s="27" t="s">
        <v>170</v>
      </c>
      <c r="DZ257" s="27" t="n">
        <f aca="false">DY257+DV257+DR257+DN257+DJ257+DF257+DB257</f>
        <v>593</v>
      </c>
      <c r="EA257" s="28" t="n">
        <f aca="false">DZ257/7</f>
        <v>84.7142857142857</v>
      </c>
      <c r="EB257" s="27" t="n">
        <f aca="false">RANK(EA257,$EA$2:$EA$881,0)</f>
        <v>195</v>
      </c>
      <c r="EC257" s="29" t="n">
        <f aca="false">DZ257+CQ257+CP257+AZ257</f>
        <v>2549</v>
      </c>
      <c r="ED257" s="30" t="n">
        <f aca="false">(EA257+CV257+BB257)/3</f>
        <v>82.0190476190476</v>
      </c>
      <c r="EE257" s="51" t="n">
        <f aca="false">ROUND(BE257,3)</f>
        <v>82.953</v>
      </c>
      <c r="EF257" s="51" t="n">
        <f aca="false">ROUND(CR257,3)</f>
        <v>87.571</v>
      </c>
      <c r="EG257" s="51" t="n">
        <f aca="false">ROUND(CS257,3)</f>
        <v>83.714</v>
      </c>
      <c r="EH257" s="51" t="n">
        <f aca="false">ROUND(EA257,3)</f>
        <v>84.714</v>
      </c>
      <c r="EI257" s="51" t="n">
        <f aca="false">ROUND(ED257,3)</f>
        <v>82.019</v>
      </c>
      <c r="EJ257" s="51" t="n">
        <f aca="false">ROUND(CV257,3)</f>
        <v>85.643</v>
      </c>
      <c r="EK257" s="0" t="n">
        <f aca="false">RANK(EI257,$EI$2:$EI$881,0)</f>
        <v>256</v>
      </c>
    </row>
    <row r="258" customFormat="false" ht="33.7" hidden="false" customHeight="false" outlineLevel="0" collapsed="false">
      <c r="A258" s="4" t="n">
        <v>8811</v>
      </c>
      <c r="B258" s="4" t="n">
        <v>719</v>
      </c>
      <c r="C258" s="27" t="s">
        <v>919</v>
      </c>
      <c r="D258" s="31" t="n">
        <v>734</v>
      </c>
      <c r="E258" s="16" t="n">
        <v>230119934</v>
      </c>
      <c r="F258" s="56" t="s">
        <v>920</v>
      </c>
      <c r="G258" s="22" t="s">
        <v>921</v>
      </c>
      <c r="H258" s="22" t="s">
        <v>326</v>
      </c>
      <c r="I258" s="57"/>
      <c r="J258" s="16" t="n">
        <v>76</v>
      </c>
      <c r="K258" s="16" t="n">
        <v>77</v>
      </c>
      <c r="L258" s="34" t="n">
        <f aca="false">(K258*70)/100</f>
        <v>53.9</v>
      </c>
      <c r="M258" s="34" t="n">
        <f aca="false">ROUNDUP(L258,0)</f>
        <v>54</v>
      </c>
      <c r="N258" s="16" t="n">
        <v>25</v>
      </c>
      <c r="O258" s="34" t="n">
        <f aca="false">N258+L258</f>
        <v>78.9</v>
      </c>
      <c r="P258" s="34" t="n">
        <f aca="false">N258+M258</f>
        <v>79</v>
      </c>
      <c r="Q258" s="16" t="n">
        <v>67</v>
      </c>
      <c r="R258" s="16" t="n">
        <v>76</v>
      </c>
      <c r="S258" s="34" t="n">
        <f aca="false">(R258*70)/100</f>
        <v>53.2</v>
      </c>
      <c r="T258" s="34" t="n">
        <f aca="false">ROUNDUP(S258,0)</f>
        <v>54</v>
      </c>
      <c r="U258" s="16" t="n">
        <v>23</v>
      </c>
      <c r="V258" s="34" t="n">
        <f aca="false">U258+S258</f>
        <v>76.2</v>
      </c>
      <c r="W258" s="34" t="n">
        <f aca="false">U258+T258</f>
        <v>77</v>
      </c>
      <c r="X258" s="16" t="n">
        <v>68</v>
      </c>
      <c r="Y258" s="34" t="n">
        <f aca="false">(X258*70)/100</f>
        <v>47.6</v>
      </c>
      <c r="Z258" s="34" t="n">
        <f aca="false">ROUNDUP(Y258,0)</f>
        <v>48</v>
      </c>
      <c r="AA258" s="16" t="n">
        <v>26</v>
      </c>
      <c r="AB258" s="34" t="n">
        <f aca="false">AA258+Y258</f>
        <v>73.6</v>
      </c>
      <c r="AC258" s="34" t="n">
        <f aca="false">AA258+Z258</f>
        <v>74</v>
      </c>
      <c r="AD258" s="32" t="n">
        <f aca="false">X258+R258+Q258+K258+J258</f>
        <v>364</v>
      </c>
      <c r="AE258" s="16" t="n">
        <f aca="false">AD258/5</f>
        <v>72.8</v>
      </c>
      <c r="AF258" s="16" t="n">
        <v>84</v>
      </c>
      <c r="AG258" s="16" t="n">
        <v>85</v>
      </c>
      <c r="AH258" s="16" t="n">
        <v>95</v>
      </c>
      <c r="AI258" s="16" t="n">
        <v>89</v>
      </c>
      <c r="AJ258" s="16" t="n">
        <f aca="false">(AI258*70)/100</f>
        <v>62.3</v>
      </c>
      <c r="AK258" s="35" t="n">
        <f aca="false">ROUNDUP(AJ258,0)</f>
        <v>63</v>
      </c>
      <c r="AL258" s="16" t="n">
        <v>26</v>
      </c>
      <c r="AM258" s="16" t="n">
        <f aca="false">AL258+AJ258</f>
        <v>88.3</v>
      </c>
      <c r="AN258" s="16" t="n">
        <f aca="false">AL258+AK258</f>
        <v>89</v>
      </c>
      <c r="AO258" s="16" t="n">
        <v>88</v>
      </c>
      <c r="AP258" s="36" t="n">
        <f aca="false">(AO258*70)/100</f>
        <v>61.6</v>
      </c>
      <c r="AQ258" s="37" t="n">
        <f aca="false">ROUNDUP(AP258,0)</f>
        <v>62</v>
      </c>
      <c r="AR258" s="16" t="n">
        <v>27</v>
      </c>
      <c r="AS258" s="16" t="n">
        <f aca="false">AR258+AP258</f>
        <v>88.6</v>
      </c>
      <c r="AT258" s="16" t="n">
        <f aca="false">AR258+AQ258</f>
        <v>89</v>
      </c>
      <c r="AU258" s="16" t="n">
        <f aca="false">AO258+AF258+AI258+AH258+AG258</f>
        <v>441</v>
      </c>
      <c r="AV258" s="16" t="n">
        <f aca="false">(AO258+AF258+AI258+AH258+AG258)/5</f>
        <v>88.2</v>
      </c>
      <c r="AW258" s="36" t="n">
        <f aca="false">(AO258+AF258+AI258+AH258+AG258+X258+R258+Q258+K258+J258)</f>
        <v>805</v>
      </c>
      <c r="AX258" s="16" t="n">
        <f aca="false">AW258/10</f>
        <v>80.5</v>
      </c>
      <c r="AY258" s="16" t="n">
        <f aca="false">AS258+AF258+AM258+AH258+AG258+AB258+V258+Q258+O258+J258</f>
        <v>812.6</v>
      </c>
      <c r="AZ258" s="16" t="n">
        <f aca="false">AT258+AF258+AN258+AH258+AG258+AC258+W258+Q258+P258+J258</f>
        <v>815</v>
      </c>
      <c r="BA258" s="16" t="n">
        <f aca="false">AY258/10</f>
        <v>81.26</v>
      </c>
      <c r="BB258" s="16" t="n">
        <f aca="false">AZ258/10</f>
        <v>81.5</v>
      </c>
      <c r="BC258" s="16" t="n">
        <v>2380</v>
      </c>
      <c r="BD258" s="16" t="n">
        <f aca="false">RANK(AX258,$AX$2:$AX$881,0)</f>
        <v>234</v>
      </c>
      <c r="BE258" s="54" t="n">
        <f aca="false">((BC258*100)/2400)*0.4+(AX258*0.6)</f>
        <v>87.9666666666667</v>
      </c>
      <c r="BF258" s="16" t="n">
        <f aca="false">RANK(BE258,$BE$2:$BE$881,0)</f>
        <v>207</v>
      </c>
      <c r="BG258" s="39" t="n">
        <f aca="false">RANK(BB258,$BB$2:$BB$881,0)</f>
        <v>246</v>
      </c>
      <c r="BH258" s="39" t="n">
        <f aca="false">RANK(BC258,$BC$2:$BC$881,0)</f>
        <v>148</v>
      </c>
      <c r="BI258" s="22" t="s">
        <v>130</v>
      </c>
      <c r="BJ258" s="22" t="s">
        <v>129</v>
      </c>
      <c r="BK258" s="40" t="s">
        <v>131</v>
      </c>
      <c r="BL258" s="41" t="n">
        <v>14</v>
      </c>
      <c r="BM258" s="41" t="n">
        <v>58</v>
      </c>
      <c r="BN258" s="41" t="n">
        <v>72</v>
      </c>
      <c r="BO258" s="42" t="n">
        <v>21</v>
      </c>
      <c r="BP258" s="43" t="n">
        <v>62</v>
      </c>
      <c r="BQ258" s="44" t="n">
        <v>83</v>
      </c>
      <c r="BR258" s="42" t="n">
        <v>21</v>
      </c>
      <c r="BS258" s="45" t="n">
        <v>61</v>
      </c>
      <c r="BT258" s="45" t="n">
        <v>82</v>
      </c>
      <c r="BU258" s="46" t="n">
        <v>100</v>
      </c>
      <c r="BV258" s="47" t="n">
        <v>86</v>
      </c>
      <c r="BW258" s="42" t="n">
        <v>98</v>
      </c>
      <c r="BX258" s="48" t="n">
        <v>94</v>
      </c>
      <c r="BY258" s="32" t="n">
        <v>22</v>
      </c>
      <c r="BZ258" s="32" t="n">
        <v>56</v>
      </c>
      <c r="CA258" s="32" t="n">
        <v>78</v>
      </c>
      <c r="CB258" s="32" t="n">
        <v>20</v>
      </c>
      <c r="CC258" s="32" t="n">
        <v>43</v>
      </c>
      <c r="CD258" s="32" t="n">
        <v>63</v>
      </c>
      <c r="CE258" s="32" t="n">
        <v>25</v>
      </c>
      <c r="CF258" s="32" t="n">
        <v>61</v>
      </c>
      <c r="CG258" s="32" t="n">
        <v>86</v>
      </c>
      <c r="CH258" s="32" t="n">
        <v>99</v>
      </c>
      <c r="CI258" s="32" t="n">
        <v>98</v>
      </c>
      <c r="CJ258" s="83" t="n">
        <v>9</v>
      </c>
      <c r="CK258" s="60"/>
      <c r="CL258" s="61"/>
      <c r="CM258" s="49" t="n">
        <v>20</v>
      </c>
      <c r="CN258" s="49" t="n">
        <v>56</v>
      </c>
      <c r="CO258" s="49" t="n">
        <v>76</v>
      </c>
      <c r="CP258" s="25" t="n">
        <f aca="false">BX258+BW258+BV258+BU258+BT258+BQ258+BN258</f>
        <v>615</v>
      </c>
      <c r="CQ258" s="25" t="n">
        <f aca="false">CO258+CL258+CI258+CH258+CG258+CD258+CA258</f>
        <v>500</v>
      </c>
      <c r="CR258" s="26" t="n">
        <f aca="false">CP258/7</f>
        <v>87.8571428571429</v>
      </c>
      <c r="CS258" s="26" t="n">
        <f aca="false">CQ258/7</f>
        <v>71.4285714285714</v>
      </c>
      <c r="CT258" s="24" t="n">
        <f aca="false">RANK(CR258,$CR$2:$CR$881,0)</f>
        <v>315</v>
      </c>
      <c r="CU258" s="25" t="n">
        <f aca="false">RANK(CS258,$CS$2:$CS$881,0)</f>
        <v>528</v>
      </c>
      <c r="CV258" s="26" t="n">
        <f aca="false">(CS258+CR258)/2</f>
        <v>79.6428571428571</v>
      </c>
      <c r="CW258" s="25" t="n">
        <f aca="false">RANK(CV258,$CV$2:$CV$881,0)</f>
        <v>443</v>
      </c>
      <c r="CX258" s="50" t="n">
        <f aca="false">(CV258+BB258)/2</f>
        <v>80.5714285714286</v>
      </c>
      <c r="CY258" s="50" t="n">
        <v>343</v>
      </c>
      <c r="CZ258" s="27" t="s">
        <v>132</v>
      </c>
      <c r="DA258" s="27" t="s">
        <v>175</v>
      </c>
      <c r="DB258" s="27" t="s">
        <v>175</v>
      </c>
      <c r="DC258" s="27" t="s">
        <v>134</v>
      </c>
      <c r="DD258" s="27" t="s">
        <v>191</v>
      </c>
      <c r="DE258" s="27" t="s">
        <v>136</v>
      </c>
      <c r="DF258" s="27" t="s">
        <v>169</v>
      </c>
      <c r="DG258" s="27" t="s">
        <v>134</v>
      </c>
      <c r="DH258" s="27" t="s">
        <v>137</v>
      </c>
      <c r="DI258" s="27" t="s">
        <v>141</v>
      </c>
      <c r="DJ258" s="27" t="s">
        <v>151</v>
      </c>
      <c r="DK258" s="27" t="s">
        <v>134</v>
      </c>
      <c r="DL258" s="27" t="s">
        <v>137</v>
      </c>
      <c r="DM258" s="27" t="s">
        <v>220</v>
      </c>
      <c r="DN258" s="27" t="s">
        <v>205</v>
      </c>
      <c r="DO258" s="27" t="s">
        <v>134</v>
      </c>
      <c r="DP258" s="27" t="s">
        <v>825</v>
      </c>
      <c r="DQ258" s="27" t="s">
        <v>220</v>
      </c>
      <c r="DR258" s="27" t="s">
        <v>138</v>
      </c>
      <c r="DS258" s="27" t="s">
        <v>134</v>
      </c>
      <c r="DT258" s="27" t="s">
        <v>137</v>
      </c>
      <c r="DU258" s="27" t="s">
        <v>204</v>
      </c>
      <c r="DV258" s="27" t="s">
        <v>175</v>
      </c>
      <c r="DW258" s="27" t="s">
        <v>164</v>
      </c>
      <c r="DX258" s="27" t="s">
        <v>155</v>
      </c>
      <c r="DY258" s="27" t="s">
        <v>144</v>
      </c>
      <c r="DZ258" s="27" t="n">
        <f aca="false">DY258+DV258+DR258+DN258+DJ258+DF258+DB258</f>
        <v>594</v>
      </c>
      <c r="EA258" s="28" t="n">
        <f aca="false">DZ258/7</f>
        <v>84.8571428571429</v>
      </c>
      <c r="EB258" s="27" t="n">
        <f aca="false">RANK(EA258,$EA$2:$EA$881,0)</f>
        <v>188</v>
      </c>
      <c r="EC258" s="29" t="n">
        <f aca="false">DZ258+CQ258+CP258+AZ258</f>
        <v>2524</v>
      </c>
      <c r="ED258" s="30" t="n">
        <f aca="false">(EA258+CV258+BB258)/3</f>
        <v>82</v>
      </c>
      <c r="EE258" s="51" t="n">
        <f aca="false">ROUND(BE258,3)</f>
        <v>87.967</v>
      </c>
      <c r="EF258" s="51" t="n">
        <f aca="false">ROUND(CR258,3)</f>
        <v>87.857</v>
      </c>
      <c r="EG258" s="51" t="n">
        <f aca="false">ROUND(CS258,3)</f>
        <v>71.429</v>
      </c>
      <c r="EH258" s="51" t="n">
        <f aca="false">ROUND(EA258,3)</f>
        <v>84.857</v>
      </c>
      <c r="EI258" s="51" t="n">
        <f aca="false">ROUND(ED258,3)</f>
        <v>82</v>
      </c>
      <c r="EJ258" s="51" t="n">
        <f aca="false">ROUND(CV258,3)</f>
        <v>79.643</v>
      </c>
      <c r="EK258" s="0" t="n">
        <f aca="false">RANK(EI258,$EI$2:$EI$881,0)</f>
        <v>257</v>
      </c>
    </row>
    <row r="259" customFormat="false" ht="15" hidden="false" customHeight="false" outlineLevel="0" collapsed="false">
      <c r="A259" s="4" t="n">
        <v>1837</v>
      </c>
      <c r="B259" s="4" t="n">
        <v>351</v>
      </c>
      <c r="C259" s="27" t="s">
        <v>922</v>
      </c>
      <c r="D259" s="31" t="n">
        <v>356</v>
      </c>
      <c r="E259" s="16" t="n">
        <v>230252566</v>
      </c>
      <c r="F259" s="56" t="s">
        <v>923</v>
      </c>
      <c r="G259" s="22" t="s">
        <v>924</v>
      </c>
      <c r="H259" s="22" t="s">
        <v>326</v>
      </c>
      <c r="I259" s="57"/>
      <c r="J259" s="16" t="n">
        <v>77</v>
      </c>
      <c r="K259" s="16" t="n">
        <v>83</v>
      </c>
      <c r="L259" s="34" t="n">
        <f aca="false">(K259*70)/100</f>
        <v>58.1</v>
      </c>
      <c r="M259" s="34" t="n">
        <f aca="false">ROUNDUP(L259,0)</f>
        <v>59</v>
      </c>
      <c r="N259" s="16" t="n">
        <v>25</v>
      </c>
      <c r="O259" s="34" t="n">
        <f aca="false">N259+L259</f>
        <v>83.1</v>
      </c>
      <c r="P259" s="34" t="n">
        <f aca="false">N259+M259</f>
        <v>84</v>
      </c>
      <c r="Q259" s="16" t="n">
        <v>78</v>
      </c>
      <c r="R259" s="16" t="n">
        <v>86</v>
      </c>
      <c r="S259" s="34" t="n">
        <f aca="false">(R259*70)/100</f>
        <v>60.2</v>
      </c>
      <c r="T259" s="34" t="n">
        <f aca="false">ROUNDUP(S259,0)</f>
        <v>61</v>
      </c>
      <c r="U259" s="16" t="n">
        <v>22</v>
      </c>
      <c r="V259" s="34" t="n">
        <f aca="false">U259+S259</f>
        <v>82.2</v>
      </c>
      <c r="W259" s="34" t="n">
        <f aca="false">U259+T259</f>
        <v>83</v>
      </c>
      <c r="X259" s="16" t="n">
        <v>59</v>
      </c>
      <c r="Y259" s="34" t="n">
        <f aca="false">(X259*70)/100</f>
        <v>41.3</v>
      </c>
      <c r="Z259" s="34" t="n">
        <f aca="false">ROUNDUP(Y259,0)</f>
        <v>42</v>
      </c>
      <c r="AA259" s="16" t="n">
        <v>26</v>
      </c>
      <c r="AB259" s="34" t="n">
        <f aca="false">AA259+Y259</f>
        <v>67.3</v>
      </c>
      <c r="AC259" s="34" t="n">
        <f aca="false">AA259+Z259</f>
        <v>68</v>
      </c>
      <c r="AD259" s="32" t="n">
        <f aca="false">X259+R259+Q259+K259+J259</f>
        <v>383</v>
      </c>
      <c r="AE259" s="16" t="n">
        <f aca="false">AD259/5</f>
        <v>76.6</v>
      </c>
      <c r="AF259" s="16" t="n">
        <v>65</v>
      </c>
      <c r="AG259" s="16" t="n">
        <v>77</v>
      </c>
      <c r="AH259" s="16" t="n">
        <v>77</v>
      </c>
      <c r="AI259" s="16" t="n">
        <v>90</v>
      </c>
      <c r="AJ259" s="16" t="n">
        <f aca="false">(AI259*70)/100</f>
        <v>63</v>
      </c>
      <c r="AK259" s="35" t="n">
        <f aca="false">ROUNDUP(AJ259,0)</f>
        <v>63</v>
      </c>
      <c r="AL259" s="16" t="n">
        <v>24</v>
      </c>
      <c r="AM259" s="16" t="n">
        <f aca="false">AL259+AJ259</f>
        <v>87</v>
      </c>
      <c r="AN259" s="16" t="n">
        <f aca="false">AL259+AK259</f>
        <v>87</v>
      </c>
      <c r="AO259" s="16" t="n">
        <v>71</v>
      </c>
      <c r="AP259" s="36" t="n">
        <f aca="false">(AO259*70)/100</f>
        <v>49.7</v>
      </c>
      <c r="AQ259" s="37" t="n">
        <f aca="false">ROUNDUP(AP259,0)</f>
        <v>50</v>
      </c>
      <c r="AR259" s="16" t="n">
        <v>25</v>
      </c>
      <c r="AS259" s="16" t="n">
        <f aca="false">AR259+AP259</f>
        <v>74.7</v>
      </c>
      <c r="AT259" s="16" t="n">
        <f aca="false">AR259+AQ259</f>
        <v>75</v>
      </c>
      <c r="AU259" s="16" t="n">
        <f aca="false">AO259+AF259+AI259+AH259+AG259</f>
        <v>380</v>
      </c>
      <c r="AV259" s="16" t="n">
        <f aca="false">(AO259+AF259+AI259+AH259+AG259)/5</f>
        <v>76</v>
      </c>
      <c r="AW259" s="36" t="n">
        <f aca="false">(AO259+AF259+AI259+AH259+AG259+X259+R259+Q259+K259+J259)</f>
        <v>763</v>
      </c>
      <c r="AX259" s="16" t="n">
        <f aca="false">AW259/10</f>
        <v>76.3</v>
      </c>
      <c r="AY259" s="16" t="n">
        <f aca="false">AS259+AF259+AM259+AH259+AG259+AB259+V259+Q259+O259+J259</f>
        <v>768.3</v>
      </c>
      <c r="AZ259" s="16" t="n">
        <f aca="false">AT259+AF259+AN259+AH259+AG259+AC259+W259+Q259+P259+J259</f>
        <v>771</v>
      </c>
      <c r="BA259" s="16" t="n">
        <f aca="false">AY259/10</f>
        <v>76.83</v>
      </c>
      <c r="BB259" s="16" t="n">
        <f aca="false">AZ259/10</f>
        <v>77.1</v>
      </c>
      <c r="BC259" s="16" t="n">
        <v>2359</v>
      </c>
      <c r="BD259" s="16" t="n">
        <f aca="false">RANK(AX259,$AX$2:$AX$881,0)</f>
        <v>593</v>
      </c>
      <c r="BE259" s="54" t="n">
        <f aca="false">((BC259*100)/2400)*0.4+(AX259*0.6)</f>
        <v>85.0966666666667</v>
      </c>
      <c r="BF259" s="16" t="n">
        <f aca="false">RANK(BE259,$BE$2:$BE$881,0)</f>
        <v>587</v>
      </c>
      <c r="BG259" s="39" t="n">
        <f aca="false">RANK(BB259,$BB$2:$BB$881,0)</f>
        <v>632</v>
      </c>
      <c r="BH259" s="39" t="n">
        <f aca="false">RANK(BC259,$BC$2:$BC$881,0)</f>
        <v>414</v>
      </c>
      <c r="BI259" s="22" t="s">
        <v>130</v>
      </c>
      <c r="BJ259" s="22" t="s">
        <v>129</v>
      </c>
      <c r="BK259" s="22" t="s">
        <v>509</v>
      </c>
      <c r="BL259" s="41" t="n">
        <v>26</v>
      </c>
      <c r="BM259" s="41" t="n">
        <v>58</v>
      </c>
      <c r="BN259" s="41" t="n">
        <v>84</v>
      </c>
      <c r="BO259" s="42" t="n">
        <v>27</v>
      </c>
      <c r="BP259" s="43" t="n">
        <v>55</v>
      </c>
      <c r="BQ259" s="44" t="n">
        <v>82</v>
      </c>
      <c r="BR259" s="42" t="n">
        <v>27</v>
      </c>
      <c r="BS259" s="45" t="n">
        <v>53</v>
      </c>
      <c r="BT259" s="45" t="n">
        <v>80</v>
      </c>
      <c r="BU259" s="46" t="n">
        <v>100</v>
      </c>
      <c r="BV259" s="47" t="n">
        <v>90</v>
      </c>
      <c r="BW259" s="42" t="n">
        <v>98</v>
      </c>
      <c r="BX259" s="48" t="n">
        <v>96</v>
      </c>
      <c r="BY259" s="32" t="n">
        <v>25</v>
      </c>
      <c r="BZ259" s="32" t="n">
        <v>53</v>
      </c>
      <c r="CA259" s="32" t="n">
        <v>78</v>
      </c>
      <c r="CB259" s="32" t="n">
        <v>25</v>
      </c>
      <c r="CC259" s="32" t="n">
        <v>56</v>
      </c>
      <c r="CD259" s="32" t="n">
        <v>81</v>
      </c>
      <c r="CE259" s="32" t="n">
        <v>26</v>
      </c>
      <c r="CF259" s="32" t="n">
        <v>52</v>
      </c>
      <c r="CG259" s="32" t="n">
        <v>78</v>
      </c>
      <c r="CH259" s="32" t="n">
        <v>95</v>
      </c>
      <c r="CI259" s="32" t="n">
        <v>96</v>
      </c>
      <c r="CJ259" s="49" t="n">
        <v>26</v>
      </c>
      <c r="CK259" s="49" t="n">
        <v>53</v>
      </c>
      <c r="CL259" s="49" t="n">
        <v>79</v>
      </c>
      <c r="CM259" s="49" t="n">
        <v>23</v>
      </c>
      <c r="CN259" s="49" t="n">
        <v>50</v>
      </c>
      <c r="CO259" s="49" t="n">
        <v>73</v>
      </c>
      <c r="CP259" s="25" t="n">
        <f aca="false">BX259+BW259+BV259+BU259+BT259+BQ259+BN259</f>
        <v>630</v>
      </c>
      <c r="CQ259" s="25" t="n">
        <f aca="false">CO259+CL259+CI259+CH259+CG259+CD259+CA259</f>
        <v>580</v>
      </c>
      <c r="CR259" s="26" t="n">
        <f aca="false">CP259/7</f>
        <v>90</v>
      </c>
      <c r="CS259" s="26" t="n">
        <f aca="false">CQ259/7</f>
        <v>82.8571428571429</v>
      </c>
      <c r="CT259" s="24" t="n">
        <f aca="false">RANK(CR259,$CR$2:$CR$881,0)</f>
        <v>182</v>
      </c>
      <c r="CU259" s="25" t="n">
        <f aca="false">RANK(CS259,$CS$2:$CS$881,0)</f>
        <v>161</v>
      </c>
      <c r="CV259" s="26" t="n">
        <f aca="false">(CS259+CR259)/2</f>
        <v>86.4285714285714</v>
      </c>
      <c r="CW259" s="25" t="n">
        <f aca="false">RANK(CV259,$CV$2:$CV$881,0)</f>
        <v>159</v>
      </c>
      <c r="CX259" s="50" t="n">
        <f aca="false">(CV259+BB259)/2</f>
        <v>81.7642857142857</v>
      </c>
      <c r="CY259" s="50" t="n">
        <v>283</v>
      </c>
      <c r="CZ259" s="27" t="s">
        <v>132</v>
      </c>
      <c r="DA259" s="27" t="s">
        <v>133</v>
      </c>
      <c r="DB259" s="27" t="s">
        <v>133</v>
      </c>
      <c r="DC259" s="27" t="s">
        <v>134</v>
      </c>
      <c r="DD259" s="27" t="s">
        <v>154</v>
      </c>
      <c r="DE259" s="27" t="s">
        <v>203</v>
      </c>
      <c r="DF259" s="27" t="s">
        <v>175</v>
      </c>
      <c r="DG259" s="27" t="s">
        <v>134</v>
      </c>
      <c r="DH259" s="27" t="s">
        <v>137</v>
      </c>
      <c r="DI259" s="27" t="s">
        <v>203</v>
      </c>
      <c r="DJ259" s="27" t="s">
        <v>133</v>
      </c>
      <c r="DK259" s="27" t="s">
        <v>134</v>
      </c>
      <c r="DL259" s="27" t="s">
        <v>164</v>
      </c>
      <c r="DM259" s="27" t="s">
        <v>204</v>
      </c>
      <c r="DN259" s="27" t="s">
        <v>202</v>
      </c>
      <c r="DO259" s="27" t="s">
        <v>134</v>
      </c>
      <c r="DP259" s="27" t="s">
        <v>191</v>
      </c>
      <c r="DQ259" s="27" t="s">
        <v>412</v>
      </c>
      <c r="DR259" s="27" t="s">
        <v>416</v>
      </c>
      <c r="DS259" s="27" t="s">
        <v>134</v>
      </c>
      <c r="DT259" s="27" t="s">
        <v>164</v>
      </c>
      <c r="DU259" s="27" t="s">
        <v>479</v>
      </c>
      <c r="DV259" s="27" t="s">
        <v>187</v>
      </c>
      <c r="DW259" s="27" t="s">
        <v>164</v>
      </c>
      <c r="DX259" s="27" t="s">
        <v>187</v>
      </c>
      <c r="DY259" s="27" t="s">
        <v>151</v>
      </c>
      <c r="DZ259" s="27" t="n">
        <f aca="false">DY259+DV259+DR259+DN259+DJ259+DF259+DB259</f>
        <v>577</v>
      </c>
      <c r="EA259" s="28" t="n">
        <f aca="false">DZ259/7</f>
        <v>82.4285714285714</v>
      </c>
      <c r="EB259" s="27" t="n">
        <f aca="false">RANK(EA259,$EA$2:$EA$881,0)</f>
        <v>295</v>
      </c>
      <c r="EC259" s="29" t="n">
        <f aca="false">DZ259+CQ259+CP259+AZ259</f>
        <v>2558</v>
      </c>
      <c r="ED259" s="30" t="n">
        <f aca="false">(EA259+CV259+BB259)/3</f>
        <v>81.9857142857143</v>
      </c>
      <c r="EE259" s="51" t="n">
        <f aca="false">ROUND(BE259,3)</f>
        <v>85.097</v>
      </c>
      <c r="EF259" s="51" t="n">
        <f aca="false">ROUND(CR259,3)</f>
        <v>90</v>
      </c>
      <c r="EG259" s="51" t="n">
        <f aca="false">ROUND(CS259,3)</f>
        <v>82.857</v>
      </c>
      <c r="EH259" s="51" t="n">
        <f aca="false">ROUND(EA259,3)</f>
        <v>82.429</v>
      </c>
      <c r="EI259" s="51" t="n">
        <f aca="false">ROUND(ED259,3)</f>
        <v>81.986</v>
      </c>
      <c r="EJ259" s="51" t="n">
        <f aca="false">ROUND(CV259,3)</f>
        <v>86.429</v>
      </c>
      <c r="EK259" s="0" t="n">
        <f aca="false">RANK(EI259,$EI$2:$EI$881,0)</f>
        <v>258</v>
      </c>
    </row>
    <row r="260" customFormat="false" ht="33.7" hidden="false" customHeight="false" outlineLevel="0" collapsed="false">
      <c r="A260" s="4" t="n">
        <v>8797</v>
      </c>
      <c r="B260" s="4" t="n">
        <v>713</v>
      </c>
      <c r="C260" s="27" t="s">
        <v>925</v>
      </c>
      <c r="D260" s="31" t="n">
        <v>728</v>
      </c>
      <c r="E260" s="32" t="n">
        <v>230311271</v>
      </c>
      <c r="F260" s="8" t="s">
        <v>926</v>
      </c>
      <c r="G260" s="22" t="s">
        <v>927</v>
      </c>
      <c r="H260" s="22" t="s">
        <v>129</v>
      </c>
      <c r="I260" s="33" t="n">
        <v>2005</v>
      </c>
      <c r="J260" s="32" t="n">
        <v>88</v>
      </c>
      <c r="K260" s="32" t="n">
        <v>91</v>
      </c>
      <c r="L260" s="34" t="n">
        <f aca="false">(K260*70)/100</f>
        <v>63.7</v>
      </c>
      <c r="M260" s="34" t="n">
        <f aca="false">ROUNDUP(L260,0)</f>
        <v>64</v>
      </c>
      <c r="N260" s="32" t="n">
        <v>23</v>
      </c>
      <c r="O260" s="34" t="n">
        <f aca="false">N260+L260</f>
        <v>86.7</v>
      </c>
      <c r="P260" s="34" t="n">
        <f aca="false">N260+M260</f>
        <v>87</v>
      </c>
      <c r="Q260" s="32" t="n">
        <v>93</v>
      </c>
      <c r="R260" s="32" t="n">
        <v>84</v>
      </c>
      <c r="S260" s="34" t="n">
        <f aca="false">(R260*70)/100</f>
        <v>58.8</v>
      </c>
      <c r="T260" s="34" t="n">
        <f aca="false">ROUNDUP(S260,0)</f>
        <v>59</v>
      </c>
      <c r="U260" s="32" t="n">
        <v>25</v>
      </c>
      <c r="V260" s="34" t="n">
        <f aca="false">U260+S260</f>
        <v>83.8</v>
      </c>
      <c r="W260" s="34" t="n">
        <f aca="false">U260+T260</f>
        <v>84</v>
      </c>
      <c r="X260" s="32" t="n">
        <v>75</v>
      </c>
      <c r="Y260" s="34" t="n">
        <f aca="false">(X260*70)/100</f>
        <v>52.5</v>
      </c>
      <c r="Z260" s="34" t="n">
        <f aca="false">ROUNDUP(Y260,0)</f>
        <v>53</v>
      </c>
      <c r="AA260" s="32" t="n">
        <v>24</v>
      </c>
      <c r="AB260" s="34" t="n">
        <f aca="false">AA260+Y260</f>
        <v>76.5</v>
      </c>
      <c r="AC260" s="34" t="n">
        <f aca="false">AA260+Z260</f>
        <v>77</v>
      </c>
      <c r="AD260" s="32" t="n">
        <f aca="false">X260+R260+Q260+K260+J260</f>
        <v>431</v>
      </c>
      <c r="AE260" s="16" t="n">
        <f aca="false">AD260/5</f>
        <v>86.2</v>
      </c>
      <c r="AF260" s="16" t="n">
        <v>78</v>
      </c>
      <c r="AG260" s="16" t="n">
        <v>85</v>
      </c>
      <c r="AH260" s="16" t="n">
        <v>94</v>
      </c>
      <c r="AI260" s="16" t="n">
        <v>92</v>
      </c>
      <c r="AJ260" s="16" t="n">
        <f aca="false">(AI260*70)/100</f>
        <v>64.4</v>
      </c>
      <c r="AK260" s="35" t="n">
        <f aca="false">ROUNDUP(AJ260,0)</f>
        <v>65</v>
      </c>
      <c r="AL260" s="16" t="n">
        <v>24</v>
      </c>
      <c r="AM260" s="16" t="n">
        <f aca="false">AL260+AJ260</f>
        <v>88.4</v>
      </c>
      <c r="AN260" s="16" t="n">
        <f aca="false">AL260+AK260</f>
        <v>89</v>
      </c>
      <c r="AO260" s="16" t="n">
        <v>77</v>
      </c>
      <c r="AP260" s="36" t="n">
        <f aca="false">(AO260*70)/100</f>
        <v>53.9</v>
      </c>
      <c r="AQ260" s="37" t="n">
        <f aca="false">ROUNDUP(AP260,0)</f>
        <v>54</v>
      </c>
      <c r="AR260" s="16" t="n">
        <v>26</v>
      </c>
      <c r="AS260" s="16" t="n">
        <f aca="false">AR260+AP260</f>
        <v>79.9</v>
      </c>
      <c r="AT260" s="16" t="n">
        <f aca="false">AR260+AQ260</f>
        <v>80</v>
      </c>
      <c r="AU260" s="16" t="n">
        <f aca="false">AO260+AF260+AI260+AH260+AG260</f>
        <v>426</v>
      </c>
      <c r="AV260" s="16" t="n">
        <f aca="false">(AO260+AF260+AI260+AH260+AG260)/5</f>
        <v>85.2</v>
      </c>
      <c r="AW260" s="36" t="n">
        <f aca="false">(AO260+AF260+AI260+AH260+AG260+X260+R260+Q260+K260+J260)</f>
        <v>857</v>
      </c>
      <c r="AX260" s="16" t="n">
        <f aca="false">AW260/10</f>
        <v>85.7</v>
      </c>
      <c r="AY260" s="16" t="n">
        <f aca="false">AS260+AF260+AM260+AH260+AG260+AB260+V260+Q260+O260+J260</f>
        <v>853.3</v>
      </c>
      <c r="AZ260" s="16" t="n">
        <f aca="false">AT260+AF260+AN260+AH260+AG260+AC260+W260+Q260+P260+J260</f>
        <v>855</v>
      </c>
      <c r="BA260" s="16" t="n">
        <f aca="false">AY260/10</f>
        <v>85.33</v>
      </c>
      <c r="BB260" s="16" t="n">
        <f aca="false">AZ260/10</f>
        <v>85.5</v>
      </c>
      <c r="BC260" s="16" t="n">
        <v>2369</v>
      </c>
      <c r="BD260" s="16" t="n">
        <f aca="false">RANK(AX260,$AX$2:$AX$881,0)</f>
        <v>77</v>
      </c>
      <c r="BE260" s="38" t="n">
        <f aca="false">((BC260*100)/2400)*0.4+(AX260*0.6)</f>
        <v>90.9033333333333</v>
      </c>
      <c r="BF260" s="16" t="n">
        <f aca="false">RANK(BE260,$BE$2:$BE$881,0)</f>
        <v>80</v>
      </c>
      <c r="BG260" s="39" t="n">
        <f aca="false">RANK(BB260,$BB$2:$BB$881,0)</f>
        <v>94</v>
      </c>
      <c r="BH260" s="39" t="n">
        <f aca="false">RANK(BC260,$BC$2:$BC$881,0)</f>
        <v>283</v>
      </c>
      <c r="BI260" s="22" t="s">
        <v>130</v>
      </c>
      <c r="BJ260" s="22" t="s">
        <v>129</v>
      </c>
      <c r="BK260" s="40" t="s">
        <v>131</v>
      </c>
      <c r="BL260" s="41" t="n">
        <v>15</v>
      </c>
      <c r="BM260" s="41" t="n">
        <v>59</v>
      </c>
      <c r="BN260" s="41" t="n">
        <v>74</v>
      </c>
      <c r="BO260" s="42" t="n">
        <v>25</v>
      </c>
      <c r="BP260" s="43" t="n">
        <v>60</v>
      </c>
      <c r="BQ260" s="44" t="n">
        <v>85</v>
      </c>
      <c r="BR260" s="42" t="n">
        <v>26</v>
      </c>
      <c r="BS260" s="45" t="n">
        <v>58</v>
      </c>
      <c r="BT260" s="45" t="n">
        <v>84</v>
      </c>
      <c r="BU260" s="46" t="n">
        <v>100</v>
      </c>
      <c r="BV260" s="47" t="n">
        <v>84</v>
      </c>
      <c r="BW260" s="42" t="n">
        <v>96</v>
      </c>
      <c r="BX260" s="48" t="n">
        <v>90</v>
      </c>
      <c r="BY260" s="32" t="n">
        <v>26</v>
      </c>
      <c r="BZ260" s="32" t="n">
        <v>51</v>
      </c>
      <c r="CA260" s="32" t="n">
        <v>77</v>
      </c>
      <c r="CB260" s="32" t="n">
        <v>22</v>
      </c>
      <c r="CC260" s="32" t="n">
        <v>37</v>
      </c>
      <c r="CD260" s="69" t="n">
        <v>59</v>
      </c>
      <c r="CE260" s="32" t="n">
        <v>22</v>
      </c>
      <c r="CF260" s="32" t="n">
        <v>55</v>
      </c>
      <c r="CG260" s="32" t="n">
        <v>77</v>
      </c>
      <c r="CH260" s="32" t="n">
        <v>95</v>
      </c>
      <c r="CI260" s="32" t="n">
        <v>99</v>
      </c>
      <c r="CJ260" s="83" t="n">
        <v>10</v>
      </c>
      <c r="CK260" s="60"/>
      <c r="CL260" s="61"/>
      <c r="CM260" s="49" t="n">
        <v>20</v>
      </c>
      <c r="CN260" s="49" t="n">
        <v>56</v>
      </c>
      <c r="CO260" s="49" t="n">
        <v>76</v>
      </c>
      <c r="CP260" s="25" t="n">
        <f aca="false">BX260+BW260+BV260+BU260+BT260+BQ260+BN260</f>
        <v>613</v>
      </c>
      <c r="CQ260" s="25" t="n">
        <f aca="false">CO260+CL260+CI260+CH260+CG260+CD260+CA260</f>
        <v>483</v>
      </c>
      <c r="CR260" s="26" t="n">
        <f aca="false">CP260/7</f>
        <v>87.5714285714286</v>
      </c>
      <c r="CS260" s="26" t="n">
        <f aca="false">CQ260/7</f>
        <v>69</v>
      </c>
      <c r="CT260" s="24" t="n">
        <f aca="false">RANK(CR260,$CR$2:$CR$881,0)</f>
        <v>329</v>
      </c>
      <c r="CU260" s="25" t="n">
        <f aca="false">RANK(CS260,$CS$2:$CS$881,0)</f>
        <v>570</v>
      </c>
      <c r="CV260" s="26" t="n">
        <f aca="false">(CS260+CR260)/2</f>
        <v>78.2857142857143</v>
      </c>
      <c r="CW260" s="25" t="n">
        <f aca="false">RANK(CV260,$CV$2:$CV$881,0)</f>
        <v>484</v>
      </c>
      <c r="CX260" s="50" t="n">
        <f aca="false">(CV260+BB260)/2</f>
        <v>81.8928571428571</v>
      </c>
      <c r="CY260" s="50" t="n">
        <v>273</v>
      </c>
      <c r="CZ260" s="27" t="s">
        <v>132</v>
      </c>
      <c r="DA260" s="27" t="s">
        <v>443</v>
      </c>
      <c r="DB260" s="27" t="s">
        <v>443</v>
      </c>
      <c r="DC260" s="27" t="s">
        <v>134</v>
      </c>
      <c r="DD260" s="27" t="s">
        <v>174</v>
      </c>
      <c r="DE260" s="27" t="s">
        <v>218</v>
      </c>
      <c r="DF260" s="27" t="s">
        <v>272</v>
      </c>
      <c r="DG260" s="27" t="s">
        <v>134</v>
      </c>
      <c r="DH260" s="27" t="s">
        <v>135</v>
      </c>
      <c r="DI260" s="27" t="s">
        <v>177</v>
      </c>
      <c r="DJ260" s="27" t="s">
        <v>175</v>
      </c>
      <c r="DK260" s="27" t="s">
        <v>134</v>
      </c>
      <c r="DL260" s="27" t="s">
        <v>164</v>
      </c>
      <c r="DM260" s="27" t="s">
        <v>204</v>
      </c>
      <c r="DN260" s="27" t="s">
        <v>202</v>
      </c>
      <c r="DO260" s="27" t="s">
        <v>134</v>
      </c>
      <c r="DP260" s="27" t="s">
        <v>174</v>
      </c>
      <c r="DQ260" s="27" t="s">
        <v>220</v>
      </c>
      <c r="DR260" s="27" t="s">
        <v>305</v>
      </c>
      <c r="DS260" s="27" t="s">
        <v>134</v>
      </c>
      <c r="DT260" s="27" t="s">
        <v>137</v>
      </c>
      <c r="DU260" s="27" t="s">
        <v>306</v>
      </c>
      <c r="DV260" s="27" t="s">
        <v>196</v>
      </c>
      <c r="DW260" s="27" t="s">
        <v>154</v>
      </c>
      <c r="DX260" s="27" t="s">
        <v>163</v>
      </c>
      <c r="DY260" s="27" t="s">
        <v>133</v>
      </c>
      <c r="DZ260" s="27" t="n">
        <f aca="false">DY260+DV260+DR260+DN260+DJ260+DF260+DB260</f>
        <v>573</v>
      </c>
      <c r="EA260" s="28" t="n">
        <f aca="false">DZ260/7</f>
        <v>81.8571428571429</v>
      </c>
      <c r="EB260" s="27" t="n">
        <f aca="false">RANK(EA260,$EA$2:$EA$881,0)</f>
        <v>316</v>
      </c>
      <c r="EC260" s="29" t="n">
        <f aca="false">DZ260+CQ260+CP260+AZ260</f>
        <v>2524</v>
      </c>
      <c r="ED260" s="30" t="n">
        <f aca="false">(EA260+CV260+BB260)/3</f>
        <v>81.8809523809524</v>
      </c>
      <c r="EE260" s="51" t="n">
        <f aca="false">ROUND(BE260,3)</f>
        <v>90.903</v>
      </c>
      <c r="EF260" s="51" t="n">
        <f aca="false">ROUND(CR260,3)</f>
        <v>87.571</v>
      </c>
      <c r="EG260" s="51" t="n">
        <f aca="false">ROUND(CS260,3)</f>
        <v>69</v>
      </c>
      <c r="EH260" s="51" t="n">
        <f aca="false">ROUND(EA260,3)</f>
        <v>81.857</v>
      </c>
      <c r="EI260" s="51" t="n">
        <f aca="false">ROUND(ED260,3)</f>
        <v>81.881</v>
      </c>
      <c r="EJ260" s="51" t="n">
        <f aca="false">ROUND(CV260,3)</f>
        <v>78.286</v>
      </c>
      <c r="EK260" s="0" t="n">
        <f aca="false">RANK(EI260,$EI$2:$EI$881,0)</f>
        <v>259</v>
      </c>
    </row>
    <row r="261" customFormat="false" ht="15" hidden="false" customHeight="false" outlineLevel="0" collapsed="false">
      <c r="A261" s="4" t="n">
        <v>1930</v>
      </c>
      <c r="B261" s="4" t="n">
        <v>553</v>
      </c>
      <c r="C261" s="27" t="s">
        <v>928</v>
      </c>
      <c r="D261" s="31" t="n">
        <v>558</v>
      </c>
      <c r="E261" s="16" t="n">
        <v>230907620</v>
      </c>
      <c r="F261" s="56" t="s">
        <v>929</v>
      </c>
      <c r="G261" s="22" t="s">
        <v>243</v>
      </c>
      <c r="H261" s="22" t="s">
        <v>326</v>
      </c>
      <c r="I261" s="57"/>
      <c r="J261" s="16" t="n">
        <v>86</v>
      </c>
      <c r="K261" s="16" t="n">
        <v>64</v>
      </c>
      <c r="L261" s="34" t="n">
        <f aca="false">(K261*70)/100</f>
        <v>44.8</v>
      </c>
      <c r="M261" s="34" t="n">
        <f aca="false">ROUNDUP(L261,0)</f>
        <v>45</v>
      </c>
      <c r="N261" s="16" t="n">
        <v>29</v>
      </c>
      <c r="O261" s="34" t="n">
        <f aca="false">N261+L261</f>
        <v>73.8</v>
      </c>
      <c r="P261" s="34" t="n">
        <f aca="false">N261+M261</f>
        <v>74</v>
      </c>
      <c r="Q261" s="16" t="n">
        <v>69</v>
      </c>
      <c r="R261" s="16" t="n">
        <v>77</v>
      </c>
      <c r="S261" s="34" t="n">
        <f aca="false">(R261*70)/100</f>
        <v>53.9</v>
      </c>
      <c r="T261" s="34" t="n">
        <f aca="false">ROUNDUP(S261,0)</f>
        <v>54</v>
      </c>
      <c r="U261" s="16" t="n">
        <v>26</v>
      </c>
      <c r="V261" s="34" t="n">
        <f aca="false">U261+S261</f>
        <v>79.9</v>
      </c>
      <c r="W261" s="34" t="n">
        <f aca="false">U261+T261</f>
        <v>80</v>
      </c>
      <c r="X261" s="16" t="n">
        <v>63</v>
      </c>
      <c r="Y261" s="34" t="n">
        <f aca="false">(X261*70)/100</f>
        <v>44.1</v>
      </c>
      <c r="Z261" s="34" t="n">
        <f aca="false">ROUNDUP(Y261,0)</f>
        <v>45</v>
      </c>
      <c r="AA261" s="16" t="n">
        <v>27</v>
      </c>
      <c r="AB261" s="34" t="n">
        <f aca="false">AA261+Y261</f>
        <v>71.1</v>
      </c>
      <c r="AC261" s="34" t="n">
        <f aca="false">AA261+Z261</f>
        <v>72</v>
      </c>
      <c r="AD261" s="32" t="n">
        <f aca="false">X261+R261+Q261+K261+J261</f>
        <v>359</v>
      </c>
      <c r="AE261" s="16" t="n">
        <f aca="false">AD261/5</f>
        <v>71.8</v>
      </c>
      <c r="AF261" s="16" t="n">
        <v>71</v>
      </c>
      <c r="AG261" s="16" t="n">
        <v>93</v>
      </c>
      <c r="AH261" s="16" t="n">
        <v>79</v>
      </c>
      <c r="AI261" s="16" t="n">
        <v>95</v>
      </c>
      <c r="AJ261" s="16" t="n">
        <f aca="false">(AI261*70)/100</f>
        <v>66.5</v>
      </c>
      <c r="AK261" s="35" t="n">
        <f aca="false">ROUNDUP(AJ261,0)</f>
        <v>67</v>
      </c>
      <c r="AL261" s="16" t="n">
        <v>21</v>
      </c>
      <c r="AM261" s="16" t="n">
        <f aca="false">AL261+AJ261</f>
        <v>87.5</v>
      </c>
      <c r="AN261" s="16" t="n">
        <f aca="false">AL261+AK261</f>
        <v>88</v>
      </c>
      <c r="AO261" s="16" t="n">
        <v>68</v>
      </c>
      <c r="AP261" s="36" t="n">
        <f aca="false">(AO261*70)/100</f>
        <v>47.6</v>
      </c>
      <c r="AQ261" s="37" t="n">
        <f aca="false">ROUNDUP(AP261,0)</f>
        <v>48</v>
      </c>
      <c r="AR261" s="16" t="n">
        <v>25</v>
      </c>
      <c r="AS261" s="16" t="n">
        <f aca="false">AR261+AP261</f>
        <v>72.6</v>
      </c>
      <c r="AT261" s="16" t="n">
        <f aca="false">AR261+AQ261</f>
        <v>73</v>
      </c>
      <c r="AU261" s="16" t="n">
        <f aca="false">AO261+AF261+AI261+AH261+AG261</f>
        <v>406</v>
      </c>
      <c r="AV261" s="16" t="n">
        <f aca="false">(AO261+AF261+AI261+AH261+AG261)/5</f>
        <v>81.2</v>
      </c>
      <c r="AW261" s="36" t="n">
        <f aca="false">(AO261+AF261+AI261+AH261+AG261+X261+R261+Q261+K261+J261)</f>
        <v>765</v>
      </c>
      <c r="AX261" s="16" t="n">
        <f aca="false">AW261/10</f>
        <v>76.5</v>
      </c>
      <c r="AY261" s="16" t="n">
        <f aca="false">AS261+AF261+AM261+AH261+AG261+AB261+V261+Q261+O261+J261</f>
        <v>782.9</v>
      </c>
      <c r="AZ261" s="16" t="n">
        <f aca="false">AT261+AF261+AN261+AH261+AG261+AC261+W261+Q261+P261+J261</f>
        <v>785</v>
      </c>
      <c r="BA261" s="16" t="n">
        <f aca="false">AY261/10</f>
        <v>78.29</v>
      </c>
      <c r="BB261" s="16" t="n">
        <f aca="false">AZ261/10</f>
        <v>78.5</v>
      </c>
      <c r="BC261" s="16" t="n">
        <v>2374</v>
      </c>
      <c r="BD261" s="16" t="n">
        <f aca="false">RANK(AX261,$AX$2:$AX$881,0)</f>
        <v>562</v>
      </c>
      <c r="BE261" s="54" t="n">
        <f aca="false">((BC261*100)/2400)*0.4+(AX261*0.6)</f>
        <v>85.4666666666667</v>
      </c>
      <c r="BF261" s="16" t="n">
        <f aca="false">RANK(BE261,$BE$2:$BE$881,0)</f>
        <v>514</v>
      </c>
      <c r="BG261" s="39" t="n">
        <f aca="false">RANK(BB261,$BB$2:$BB$881,0)</f>
        <v>505</v>
      </c>
      <c r="BH261" s="39" t="n">
        <f aca="false">RANK(BC261,$BC$2:$BC$881,0)</f>
        <v>222</v>
      </c>
      <c r="BI261" s="22" t="s">
        <v>130</v>
      </c>
      <c r="BJ261" s="22" t="s">
        <v>129</v>
      </c>
      <c r="BK261" s="40" t="s">
        <v>509</v>
      </c>
      <c r="BL261" s="41" t="n">
        <v>24</v>
      </c>
      <c r="BM261" s="41" t="n">
        <v>66</v>
      </c>
      <c r="BN261" s="41" t="n">
        <v>90</v>
      </c>
      <c r="BO261" s="42" t="n">
        <v>21</v>
      </c>
      <c r="BP261" s="43" t="n">
        <v>41</v>
      </c>
      <c r="BQ261" s="44" t="n">
        <v>62</v>
      </c>
      <c r="BR261" s="42" t="n">
        <v>23</v>
      </c>
      <c r="BS261" s="45" t="n">
        <v>59</v>
      </c>
      <c r="BT261" s="45" t="n">
        <v>82</v>
      </c>
      <c r="BU261" s="46" t="n">
        <v>100</v>
      </c>
      <c r="BV261" s="47" t="n">
        <v>86</v>
      </c>
      <c r="BW261" s="42" t="n">
        <v>98</v>
      </c>
      <c r="BX261" s="48" t="n">
        <v>98</v>
      </c>
      <c r="BY261" s="32" t="n">
        <v>26</v>
      </c>
      <c r="BZ261" s="32" t="n">
        <v>56</v>
      </c>
      <c r="CA261" s="48" t="n">
        <v>82</v>
      </c>
      <c r="CB261" s="32" t="n">
        <v>25</v>
      </c>
      <c r="CC261" s="32" t="n">
        <v>40</v>
      </c>
      <c r="CD261" s="32" t="n">
        <v>65</v>
      </c>
      <c r="CE261" s="32" t="n">
        <v>28</v>
      </c>
      <c r="CF261" s="32" t="n">
        <v>46</v>
      </c>
      <c r="CG261" s="32" t="n">
        <v>74</v>
      </c>
      <c r="CH261" s="32" t="n">
        <v>96</v>
      </c>
      <c r="CI261" s="32" t="n">
        <v>100</v>
      </c>
      <c r="CJ261" s="49" t="n">
        <v>23</v>
      </c>
      <c r="CK261" s="49" t="n">
        <v>55</v>
      </c>
      <c r="CL261" s="49" t="n">
        <v>78</v>
      </c>
      <c r="CM261" s="49" t="n">
        <v>19</v>
      </c>
      <c r="CN261" s="49" t="n">
        <v>56</v>
      </c>
      <c r="CO261" s="49" t="n">
        <v>75</v>
      </c>
      <c r="CP261" s="25" t="n">
        <f aca="false">BX261+BW261+BV261+BU261+BT261+BQ261+BN261</f>
        <v>616</v>
      </c>
      <c r="CQ261" s="25" t="n">
        <f aca="false">CO261+CL261+CI261+CH261+CG261+CD261+CA261</f>
        <v>570</v>
      </c>
      <c r="CR261" s="26" t="n">
        <f aca="false">CP261/7</f>
        <v>88</v>
      </c>
      <c r="CS261" s="26" t="n">
        <f aca="false">CQ261/7</f>
        <v>81.4285714285714</v>
      </c>
      <c r="CT261" s="24" t="n">
        <f aca="false">RANK(CR261,$CR$2:$CR$881,0)</f>
        <v>304</v>
      </c>
      <c r="CU261" s="25" t="n">
        <f aca="false">RANK(CS261,$CS$2:$CS$881,0)</f>
        <v>211</v>
      </c>
      <c r="CV261" s="26" t="n">
        <f aca="false">(CS261+CR261)/2</f>
        <v>84.7142857142857</v>
      </c>
      <c r="CW261" s="25" t="n">
        <f aca="false">RANK(CV261,$CV$2:$CV$881,0)</f>
        <v>228</v>
      </c>
      <c r="CX261" s="50" t="n">
        <f aca="false">(CV261+BB261)/2</f>
        <v>81.6071428571429</v>
      </c>
      <c r="CY261" s="50" t="n">
        <v>352</v>
      </c>
      <c r="CZ261" s="27" t="s">
        <v>132</v>
      </c>
      <c r="DA261" s="27" t="s">
        <v>153</v>
      </c>
      <c r="DB261" s="27" t="s">
        <v>153</v>
      </c>
      <c r="DC261" s="27" t="s">
        <v>134</v>
      </c>
      <c r="DD261" s="27" t="s">
        <v>182</v>
      </c>
      <c r="DE261" s="27" t="s">
        <v>204</v>
      </c>
      <c r="DF261" s="27" t="s">
        <v>169</v>
      </c>
      <c r="DG261" s="27" t="s">
        <v>134</v>
      </c>
      <c r="DH261" s="27" t="s">
        <v>160</v>
      </c>
      <c r="DI261" s="27" t="s">
        <v>220</v>
      </c>
      <c r="DJ261" s="27" t="s">
        <v>209</v>
      </c>
      <c r="DK261" s="27" t="s">
        <v>134</v>
      </c>
      <c r="DL261" s="27" t="s">
        <v>154</v>
      </c>
      <c r="DM261" s="27" t="s">
        <v>304</v>
      </c>
      <c r="DN261" s="27" t="s">
        <v>382</v>
      </c>
      <c r="DO261" s="27" t="s">
        <v>134</v>
      </c>
      <c r="DP261" s="27" t="s">
        <v>191</v>
      </c>
      <c r="DQ261" s="27" t="s">
        <v>218</v>
      </c>
      <c r="DR261" s="27" t="s">
        <v>382</v>
      </c>
      <c r="DS261" s="27" t="s">
        <v>134</v>
      </c>
      <c r="DT261" s="27" t="s">
        <v>182</v>
      </c>
      <c r="DU261" s="27" t="s">
        <v>306</v>
      </c>
      <c r="DV261" s="27" t="s">
        <v>272</v>
      </c>
      <c r="DW261" s="27" t="s">
        <v>174</v>
      </c>
      <c r="DX261" s="27" t="s">
        <v>163</v>
      </c>
      <c r="DY261" s="27" t="s">
        <v>178</v>
      </c>
      <c r="DZ261" s="27" t="n">
        <f aca="false">DY261+DV261+DR261+DN261+DJ261+DF261+DB261</f>
        <v>577</v>
      </c>
      <c r="EA261" s="28" t="n">
        <f aca="false">DZ261/7</f>
        <v>82.4285714285714</v>
      </c>
      <c r="EB261" s="27" t="n">
        <f aca="false">RANK(EA261,$EA$2:$EA$881,0)</f>
        <v>295</v>
      </c>
      <c r="EC261" s="29" t="n">
        <f aca="false">DZ261+CQ261+CP261+AZ261</f>
        <v>2548</v>
      </c>
      <c r="ED261" s="30" t="n">
        <f aca="false">(EA261+CV261+BB261)/3</f>
        <v>81.8809523809524</v>
      </c>
      <c r="EE261" s="51" t="n">
        <f aca="false">ROUND(BE261,3)</f>
        <v>85.467</v>
      </c>
      <c r="EF261" s="51" t="n">
        <f aca="false">ROUND(CR261,3)</f>
        <v>88</v>
      </c>
      <c r="EG261" s="51" t="n">
        <f aca="false">ROUND(CS261,3)</f>
        <v>81.429</v>
      </c>
      <c r="EH261" s="51" t="n">
        <f aca="false">ROUND(EA261,3)</f>
        <v>82.429</v>
      </c>
      <c r="EI261" s="51" t="n">
        <f aca="false">ROUND(ED261,3)</f>
        <v>81.881</v>
      </c>
      <c r="EJ261" s="51" t="n">
        <f aca="false">ROUND(CV261,3)</f>
        <v>84.714</v>
      </c>
      <c r="EK261" s="0" t="n">
        <f aca="false">RANK(EI261,$EI$2:$EI$881,0)</f>
        <v>259</v>
      </c>
    </row>
    <row r="262" customFormat="false" ht="15" hidden="false" customHeight="false" outlineLevel="0" collapsed="false">
      <c r="A262" s="4" t="n">
        <v>8760</v>
      </c>
      <c r="B262" s="4" t="n">
        <v>736</v>
      </c>
      <c r="C262" s="27" t="s">
        <v>930</v>
      </c>
      <c r="D262" s="31" t="n">
        <v>751</v>
      </c>
      <c r="E262" s="32" t="n">
        <v>230322059</v>
      </c>
      <c r="F262" s="55" t="s">
        <v>931</v>
      </c>
      <c r="G262" s="22" t="s">
        <v>749</v>
      </c>
      <c r="H262" s="22" t="s">
        <v>129</v>
      </c>
      <c r="I262" s="33" t="n">
        <v>2005</v>
      </c>
      <c r="J262" s="32" t="n">
        <v>69</v>
      </c>
      <c r="K262" s="32" t="n">
        <v>89</v>
      </c>
      <c r="L262" s="34" t="n">
        <f aca="false">(K262*70)/100</f>
        <v>62.3</v>
      </c>
      <c r="M262" s="34" t="n">
        <f aca="false">ROUNDUP(L262,0)</f>
        <v>63</v>
      </c>
      <c r="N262" s="32" t="n">
        <v>27</v>
      </c>
      <c r="O262" s="34" t="n">
        <f aca="false">N262+L262</f>
        <v>89.3</v>
      </c>
      <c r="P262" s="34" t="n">
        <f aca="false">N262+M262</f>
        <v>90</v>
      </c>
      <c r="Q262" s="32" t="n">
        <v>84</v>
      </c>
      <c r="R262" s="32" t="n">
        <v>80</v>
      </c>
      <c r="S262" s="34" t="n">
        <f aca="false">(R262*70)/100</f>
        <v>56</v>
      </c>
      <c r="T262" s="34" t="n">
        <f aca="false">ROUNDUP(S262,0)</f>
        <v>56</v>
      </c>
      <c r="U262" s="32" t="n">
        <v>26</v>
      </c>
      <c r="V262" s="34" t="n">
        <f aca="false">U262+S262</f>
        <v>82</v>
      </c>
      <c r="W262" s="34" t="n">
        <f aca="false">U262+T262</f>
        <v>82</v>
      </c>
      <c r="X262" s="32" t="n">
        <v>74</v>
      </c>
      <c r="Y262" s="34" t="n">
        <f aca="false">(X262*70)/100</f>
        <v>51.8</v>
      </c>
      <c r="Z262" s="34" t="n">
        <f aca="false">ROUNDUP(Y262,0)</f>
        <v>52</v>
      </c>
      <c r="AA262" s="32" t="n">
        <v>25</v>
      </c>
      <c r="AB262" s="34" t="n">
        <f aca="false">AA262+Y262</f>
        <v>76.8</v>
      </c>
      <c r="AC262" s="34" t="n">
        <f aca="false">AA262+Z262</f>
        <v>77</v>
      </c>
      <c r="AD262" s="32" t="n">
        <f aca="false">X262+R262+Q262+K262+J262</f>
        <v>396</v>
      </c>
      <c r="AE262" s="16" t="n">
        <f aca="false">AD262/5</f>
        <v>79.2</v>
      </c>
      <c r="AF262" s="16" t="n">
        <v>78</v>
      </c>
      <c r="AG262" s="16" t="n">
        <v>80</v>
      </c>
      <c r="AH262" s="16" t="n">
        <v>86</v>
      </c>
      <c r="AI262" s="16" t="n">
        <v>91</v>
      </c>
      <c r="AJ262" s="16" t="n">
        <f aca="false">(AI262*70)/100</f>
        <v>63.7</v>
      </c>
      <c r="AK262" s="35" t="n">
        <f aca="false">ROUNDUP(AJ262,0)</f>
        <v>64</v>
      </c>
      <c r="AL262" s="16" t="n">
        <v>26</v>
      </c>
      <c r="AM262" s="16" t="n">
        <f aca="false">AL262+AJ262</f>
        <v>89.7</v>
      </c>
      <c r="AN262" s="16" t="n">
        <f aca="false">AL262+AK262</f>
        <v>90</v>
      </c>
      <c r="AO262" s="16" t="n">
        <v>73</v>
      </c>
      <c r="AP262" s="36" t="n">
        <f aca="false">(AO262*70)/100</f>
        <v>51.1</v>
      </c>
      <c r="AQ262" s="37" t="n">
        <f aca="false">ROUNDUP(AP262,0)</f>
        <v>52</v>
      </c>
      <c r="AR262" s="16" t="n">
        <v>27</v>
      </c>
      <c r="AS262" s="16" t="n">
        <f aca="false">AR262+AP262</f>
        <v>78.1</v>
      </c>
      <c r="AT262" s="16" t="n">
        <f aca="false">AR262+AQ262</f>
        <v>79</v>
      </c>
      <c r="AU262" s="16" t="n">
        <f aca="false">AO262+AF262+AI262+AH262+AG262</f>
        <v>408</v>
      </c>
      <c r="AV262" s="16" t="n">
        <f aca="false">(AO262+AF262+AI262+AH262+AG262)/5</f>
        <v>81.6</v>
      </c>
      <c r="AW262" s="36" t="n">
        <f aca="false">(AO262+AF262+AI262+AH262+AG262+X262+R262+Q262+K262+J262)</f>
        <v>804</v>
      </c>
      <c r="AX262" s="16" t="n">
        <f aca="false">AW262/10</f>
        <v>80.4</v>
      </c>
      <c r="AY262" s="16" t="n">
        <f aca="false">AS262+AF262+AM262+AH262+AG262+AB262+V262+Q262+O262+J262</f>
        <v>812.9</v>
      </c>
      <c r="AZ262" s="16" t="n">
        <f aca="false">AT262+AF262+AN262+AH262+AG262+AC262+W262+Q262+P262+J262</f>
        <v>815</v>
      </c>
      <c r="BA262" s="16" t="n">
        <f aca="false">AY262/10</f>
        <v>81.29</v>
      </c>
      <c r="BB262" s="16" t="n">
        <f aca="false">AZ262/10</f>
        <v>81.5</v>
      </c>
      <c r="BC262" s="16" t="n">
        <v>2347</v>
      </c>
      <c r="BD262" s="16" t="n">
        <f aca="false">RANK(AX262,$AX$2:$AX$881,0)</f>
        <v>238</v>
      </c>
      <c r="BE262" s="54" t="n">
        <f aca="false">((BC262*100)/2400)*0.4+(AX262*0.6)</f>
        <v>87.3566666666667</v>
      </c>
      <c r="BF262" s="16" t="n">
        <f aca="false">RANK(BE262,$BE$2:$BE$881,0)</f>
        <v>264</v>
      </c>
      <c r="BG262" s="39" t="n">
        <f aca="false">RANK(BB262,$BB$2:$BB$881,0)</f>
        <v>246</v>
      </c>
      <c r="BH262" s="39" t="n">
        <f aca="false">RANK(BC262,$BC$2:$BC$881,0)</f>
        <v>562</v>
      </c>
      <c r="BI262" s="22" t="s">
        <v>130</v>
      </c>
      <c r="BJ262" s="22" t="s">
        <v>129</v>
      </c>
      <c r="BK262" s="40" t="s">
        <v>131</v>
      </c>
      <c r="BL262" s="41" t="n">
        <v>21</v>
      </c>
      <c r="BM262" s="41" t="n">
        <v>54</v>
      </c>
      <c r="BN262" s="41" t="n">
        <v>75</v>
      </c>
      <c r="BO262" s="42" t="n">
        <v>26</v>
      </c>
      <c r="BP262" s="43" t="n">
        <v>61</v>
      </c>
      <c r="BQ262" s="44" t="n">
        <v>87</v>
      </c>
      <c r="BR262" s="42" t="n">
        <v>25</v>
      </c>
      <c r="BS262" s="45" t="n">
        <v>59</v>
      </c>
      <c r="BT262" s="45" t="n">
        <v>84</v>
      </c>
      <c r="BU262" s="46" t="n">
        <v>100</v>
      </c>
      <c r="BV262" s="47" t="n">
        <v>86</v>
      </c>
      <c r="BW262" s="42" t="n">
        <v>96</v>
      </c>
      <c r="BX262" s="48" t="n">
        <v>92</v>
      </c>
      <c r="BY262" s="32" t="n">
        <v>21</v>
      </c>
      <c r="BZ262" s="32" t="n">
        <v>53</v>
      </c>
      <c r="CA262" s="32" t="n">
        <v>74</v>
      </c>
      <c r="CB262" s="32" t="n">
        <v>20</v>
      </c>
      <c r="CC262" s="32" t="n">
        <v>38</v>
      </c>
      <c r="CD262" s="69" t="n">
        <v>58</v>
      </c>
      <c r="CE262" s="32" t="n">
        <v>24</v>
      </c>
      <c r="CF262" s="32" t="n">
        <v>48</v>
      </c>
      <c r="CG262" s="32" t="n">
        <v>72</v>
      </c>
      <c r="CH262" s="32" t="n">
        <v>93</v>
      </c>
      <c r="CI262" s="32" t="n">
        <v>89</v>
      </c>
      <c r="CJ262" s="49" t="n">
        <v>19</v>
      </c>
      <c r="CK262" s="49" t="n">
        <v>51</v>
      </c>
      <c r="CL262" s="49" t="n">
        <v>70</v>
      </c>
      <c r="CM262" s="49" t="n">
        <v>25</v>
      </c>
      <c r="CN262" s="49" t="n">
        <v>49</v>
      </c>
      <c r="CO262" s="49" t="n">
        <v>74</v>
      </c>
      <c r="CP262" s="25" t="n">
        <f aca="false">BX262+BW262+BV262+BU262+BT262+BQ262+BN262</f>
        <v>620</v>
      </c>
      <c r="CQ262" s="25" t="n">
        <f aca="false">CO262+CL262+CI262+CH262+CG262+CD262+CA262</f>
        <v>530</v>
      </c>
      <c r="CR262" s="26" t="n">
        <f aca="false">CP262/7</f>
        <v>88.5714285714286</v>
      </c>
      <c r="CS262" s="26" t="n">
        <f aca="false">CQ262/7</f>
        <v>75.7142857142857</v>
      </c>
      <c r="CT262" s="24" t="n">
        <f aca="false">RANK(CR262,$CR$2:$CR$881,0)</f>
        <v>265</v>
      </c>
      <c r="CU262" s="25" t="n">
        <f aca="false">RANK(CS262,$CS$2:$CS$881,0)</f>
        <v>404</v>
      </c>
      <c r="CV262" s="26" t="n">
        <f aca="false">(CS262+CR262)/2</f>
        <v>82.1428571428571</v>
      </c>
      <c r="CW262" s="25" t="n">
        <f aca="false">RANK(CV262,$CV$2:$CV$881,0)</f>
        <v>333</v>
      </c>
      <c r="CX262" s="50" t="n">
        <f aca="false">(CV262+BB262)/2</f>
        <v>81.8214285714286</v>
      </c>
      <c r="CY262" s="50" t="n">
        <v>278</v>
      </c>
      <c r="CZ262" s="27" t="s">
        <v>132</v>
      </c>
      <c r="DA262" s="27" t="s">
        <v>133</v>
      </c>
      <c r="DB262" s="27" t="s">
        <v>133</v>
      </c>
      <c r="DC262" s="27" t="s">
        <v>134</v>
      </c>
      <c r="DD262" s="27" t="s">
        <v>174</v>
      </c>
      <c r="DE262" s="27" t="s">
        <v>375</v>
      </c>
      <c r="DF262" s="27" t="s">
        <v>398</v>
      </c>
      <c r="DG262" s="27" t="s">
        <v>134</v>
      </c>
      <c r="DH262" s="27" t="s">
        <v>137</v>
      </c>
      <c r="DI262" s="27" t="s">
        <v>204</v>
      </c>
      <c r="DJ262" s="27" t="s">
        <v>175</v>
      </c>
      <c r="DK262" s="27" t="s">
        <v>134</v>
      </c>
      <c r="DL262" s="27" t="s">
        <v>160</v>
      </c>
      <c r="DM262" s="27" t="s">
        <v>183</v>
      </c>
      <c r="DN262" s="27" t="s">
        <v>202</v>
      </c>
      <c r="DO262" s="27" t="s">
        <v>134</v>
      </c>
      <c r="DP262" s="27" t="s">
        <v>135</v>
      </c>
      <c r="DQ262" s="27" t="s">
        <v>412</v>
      </c>
      <c r="DR262" s="27" t="s">
        <v>443</v>
      </c>
      <c r="DS262" s="27" t="s">
        <v>134</v>
      </c>
      <c r="DT262" s="27" t="s">
        <v>137</v>
      </c>
      <c r="DU262" s="27" t="s">
        <v>220</v>
      </c>
      <c r="DV262" s="27" t="s">
        <v>205</v>
      </c>
      <c r="DW262" s="27" t="s">
        <v>386</v>
      </c>
      <c r="DX262" s="27" t="s">
        <v>141</v>
      </c>
      <c r="DY262" s="27" t="s">
        <v>175</v>
      </c>
      <c r="DZ262" s="27" t="n">
        <f aca="false">DY262+DV262+DR262+DN262+DJ262+DF262+DB262</f>
        <v>574</v>
      </c>
      <c r="EA262" s="28" t="n">
        <f aca="false">DZ262/7</f>
        <v>82</v>
      </c>
      <c r="EB262" s="27" t="n">
        <f aca="false">RANK(EA262,$EA$2:$EA$881,0)</f>
        <v>311</v>
      </c>
      <c r="EC262" s="29" t="n">
        <f aca="false">DZ262+CQ262+CP262+AZ262</f>
        <v>2539</v>
      </c>
      <c r="ED262" s="30" t="n">
        <f aca="false">(EA262+CV262+BB262)/3</f>
        <v>81.8809523809524</v>
      </c>
      <c r="EE262" s="51" t="n">
        <f aca="false">ROUND(BE262,3)</f>
        <v>87.357</v>
      </c>
      <c r="EF262" s="51" t="n">
        <f aca="false">ROUND(CR262,3)</f>
        <v>88.571</v>
      </c>
      <c r="EG262" s="51" t="n">
        <f aca="false">ROUND(CS262,3)</f>
        <v>75.714</v>
      </c>
      <c r="EH262" s="51" t="n">
        <f aca="false">ROUND(EA262,3)</f>
        <v>82</v>
      </c>
      <c r="EI262" s="51" t="n">
        <f aca="false">ROUND(ED262,3)</f>
        <v>81.881</v>
      </c>
      <c r="EJ262" s="51" t="n">
        <f aca="false">ROUND(CV262,3)</f>
        <v>82.143</v>
      </c>
      <c r="EK262" s="0" t="n">
        <f aca="false">RANK(EI262,$EI$2:$EI$881,0)</f>
        <v>259</v>
      </c>
    </row>
    <row r="263" customFormat="false" ht="15" hidden="false" customHeight="false" outlineLevel="0" collapsed="false">
      <c r="A263" s="4" t="n">
        <v>8751</v>
      </c>
      <c r="B263" s="4" t="n">
        <v>860</v>
      </c>
      <c r="C263" s="27" t="s">
        <v>932</v>
      </c>
      <c r="D263" s="31" t="n">
        <v>880</v>
      </c>
      <c r="E263" s="32" t="n">
        <v>230315711</v>
      </c>
      <c r="F263" s="8" t="s">
        <v>933</v>
      </c>
      <c r="G263" s="22" t="s">
        <v>368</v>
      </c>
      <c r="H263" s="22" t="s">
        <v>129</v>
      </c>
      <c r="I263" s="33" t="n">
        <v>2006</v>
      </c>
      <c r="J263" s="32" t="n">
        <v>77</v>
      </c>
      <c r="K263" s="32" t="n">
        <v>79</v>
      </c>
      <c r="L263" s="34" t="n">
        <f aca="false">(K263*70)/100</f>
        <v>55.3</v>
      </c>
      <c r="M263" s="34" t="n">
        <f aca="false">ROUNDUP(L263,0)</f>
        <v>56</v>
      </c>
      <c r="N263" s="32" t="n">
        <v>19</v>
      </c>
      <c r="O263" s="34" t="n">
        <f aca="false">N263+L263</f>
        <v>74.3</v>
      </c>
      <c r="P263" s="34" t="n">
        <f aca="false">N263+M263</f>
        <v>75</v>
      </c>
      <c r="Q263" s="32" t="n">
        <v>85</v>
      </c>
      <c r="R263" s="32" t="n">
        <v>77</v>
      </c>
      <c r="S263" s="34" t="n">
        <f aca="false">(R263*70)/100</f>
        <v>53.9</v>
      </c>
      <c r="T263" s="34" t="n">
        <f aca="false">ROUNDUP(S263,0)</f>
        <v>54</v>
      </c>
      <c r="U263" s="32" t="n">
        <v>18</v>
      </c>
      <c r="V263" s="34" t="n">
        <f aca="false">U263+S263</f>
        <v>71.9</v>
      </c>
      <c r="W263" s="34" t="n">
        <f aca="false">U263+T263</f>
        <v>72</v>
      </c>
      <c r="X263" s="32" t="n">
        <v>75</v>
      </c>
      <c r="Y263" s="34" t="n">
        <f aca="false">(X263*70)/100</f>
        <v>52.5</v>
      </c>
      <c r="Z263" s="34" t="n">
        <f aca="false">ROUNDUP(Y263,0)</f>
        <v>53</v>
      </c>
      <c r="AA263" s="32" t="n">
        <v>25</v>
      </c>
      <c r="AB263" s="34" t="n">
        <f aca="false">AA263+Y263</f>
        <v>77.5</v>
      </c>
      <c r="AC263" s="34" t="n">
        <f aca="false">AA263+Z263</f>
        <v>78</v>
      </c>
      <c r="AD263" s="32" t="n">
        <f aca="false">X263+R263+Q263+K263+J263</f>
        <v>393</v>
      </c>
      <c r="AE263" s="16" t="n">
        <f aca="false">AD263/5</f>
        <v>78.6</v>
      </c>
      <c r="AF263" s="16" t="n">
        <v>79</v>
      </c>
      <c r="AG263" s="16" t="n">
        <v>77</v>
      </c>
      <c r="AH263" s="16" t="n">
        <v>92</v>
      </c>
      <c r="AI263" s="16" t="n">
        <v>96</v>
      </c>
      <c r="AJ263" s="16" t="n">
        <f aca="false">(AI263*70)/100</f>
        <v>67.2</v>
      </c>
      <c r="AK263" s="35" t="n">
        <f aca="false">ROUNDUP(AJ263,0)</f>
        <v>68</v>
      </c>
      <c r="AL263" s="16" t="n">
        <v>22</v>
      </c>
      <c r="AM263" s="16" t="n">
        <f aca="false">AL263+AJ263</f>
        <v>89.2</v>
      </c>
      <c r="AN263" s="16" t="n">
        <f aca="false">AL263+AK263</f>
        <v>90</v>
      </c>
      <c r="AO263" s="16" t="n">
        <v>81</v>
      </c>
      <c r="AP263" s="36" t="n">
        <f aca="false">(AO263*70)/100</f>
        <v>56.7</v>
      </c>
      <c r="AQ263" s="37" t="n">
        <f aca="false">ROUNDUP(AP263,0)</f>
        <v>57</v>
      </c>
      <c r="AR263" s="16" t="n">
        <v>25</v>
      </c>
      <c r="AS263" s="16" t="n">
        <f aca="false">AR263+AP263</f>
        <v>81.7</v>
      </c>
      <c r="AT263" s="16" t="n">
        <f aca="false">AR263+AQ263</f>
        <v>82</v>
      </c>
      <c r="AU263" s="16" t="n">
        <f aca="false">AO263+AF263+AI263+AH263+AG263</f>
        <v>425</v>
      </c>
      <c r="AV263" s="16" t="n">
        <f aca="false">(AO263+AF263+AI263+AH263+AG263)/5</f>
        <v>85</v>
      </c>
      <c r="AW263" s="36" t="n">
        <f aca="false">(AO263+AF263+AI263+AH263+AG263+X263+R263+Q263+K263+J263)</f>
        <v>818</v>
      </c>
      <c r="AX263" s="16" t="n">
        <f aca="false">AW263/10</f>
        <v>81.8</v>
      </c>
      <c r="AY263" s="16" t="n">
        <f aca="false">AS263+AF263+AM263+AH263+AG263+AB263+V263+Q263+O263+J263</f>
        <v>804.6</v>
      </c>
      <c r="AZ263" s="16" t="n">
        <f aca="false">AT263+AF263+AN263+AH263+AG263+AC263+W263+Q263+P263+J263</f>
        <v>807</v>
      </c>
      <c r="BA263" s="16" t="n">
        <f aca="false">AY263/10</f>
        <v>80.46</v>
      </c>
      <c r="BB263" s="16" t="n">
        <f aca="false">AZ263/10</f>
        <v>80.7</v>
      </c>
      <c r="BC263" s="16" t="n">
        <v>2385</v>
      </c>
      <c r="BD263" s="16" t="n">
        <f aca="false">RANK(AX263,$AX$2:$AX$881,0)</f>
        <v>171</v>
      </c>
      <c r="BE263" s="54" t="n">
        <f aca="false">((BC263*100)/2400)*0.4+(AX263*0.6)</f>
        <v>88.83</v>
      </c>
      <c r="BF263" s="16" t="n">
        <f aca="false">RANK(BE263,$BE$2:$BE$881,0)</f>
        <v>142</v>
      </c>
      <c r="BG263" s="39" t="n">
        <f aca="false">RANK(BB263,$BB$2:$BB$881,0)</f>
        <v>298</v>
      </c>
      <c r="BH263" s="39" t="n">
        <f aca="false">RANK(BC263,$BC$2:$BC$881,0)</f>
        <v>93</v>
      </c>
      <c r="BI263" s="22" t="s">
        <v>130</v>
      </c>
      <c r="BJ263" s="22" t="s">
        <v>129</v>
      </c>
      <c r="BK263" s="40" t="s">
        <v>131</v>
      </c>
      <c r="BL263" s="41" t="n">
        <v>22</v>
      </c>
      <c r="BM263" s="41" t="n">
        <v>47</v>
      </c>
      <c r="BN263" s="41" t="n">
        <v>69</v>
      </c>
      <c r="BO263" s="42" t="n">
        <v>28</v>
      </c>
      <c r="BP263" s="43" t="n">
        <v>65</v>
      </c>
      <c r="BQ263" s="44" t="n">
        <v>93</v>
      </c>
      <c r="BR263" s="42" t="n">
        <v>23</v>
      </c>
      <c r="BS263" s="45" t="n">
        <v>56</v>
      </c>
      <c r="BT263" s="45" t="n">
        <v>79</v>
      </c>
      <c r="BU263" s="46" t="n">
        <v>100</v>
      </c>
      <c r="BV263" s="47" t="n">
        <v>92</v>
      </c>
      <c r="BW263" s="42" t="n">
        <v>96</v>
      </c>
      <c r="BX263" s="48" t="n">
        <v>92</v>
      </c>
      <c r="BY263" s="32" t="n">
        <v>27</v>
      </c>
      <c r="BZ263" s="32" t="n">
        <v>46</v>
      </c>
      <c r="CA263" s="32" t="n">
        <v>73</v>
      </c>
      <c r="CB263" s="32" t="n">
        <v>22</v>
      </c>
      <c r="CC263" s="32" t="n">
        <v>32</v>
      </c>
      <c r="CD263" s="69" t="n">
        <v>54</v>
      </c>
      <c r="CE263" s="32" t="n">
        <v>21</v>
      </c>
      <c r="CF263" s="32" t="n">
        <v>44</v>
      </c>
      <c r="CG263" s="32" t="n">
        <v>65</v>
      </c>
      <c r="CH263" s="32" t="n">
        <v>93</v>
      </c>
      <c r="CI263" s="25" t="n">
        <v>95</v>
      </c>
      <c r="CJ263" s="49" t="n">
        <v>23</v>
      </c>
      <c r="CK263" s="49" t="n">
        <v>46</v>
      </c>
      <c r="CL263" s="49" t="n">
        <v>69</v>
      </c>
      <c r="CM263" s="49" t="n">
        <v>17</v>
      </c>
      <c r="CN263" s="49" t="n">
        <v>50</v>
      </c>
      <c r="CO263" s="49" t="n">
        <v>67</v>
      </c>
      <c r="CP263" s="25" t="n">
        <f aca="false">BX263+BW263+BV263+BU263+BT263+BQ263+BN263</f>
        <v>621</v>
      </c>
      <c r="CQ263" s="25" t="n">
        <f aca="false">CO263+CL263+CI263+CH263+CG263+CD263+CA263</f>
        <v>516</v>
      </c>
      <c r="CR263" s="26" t="n">
        <f aca="false">CP263/7</f>
        <v>88.7142857142857</v>
      </c>
      <c r="CS263" s="26" t="n">
        <f aca="false">CQ263/7</f>
        <v>73.7142857142857</v>
      </c>
      <c r="CT263" s="24" t="n">
        <f aca="false">RANK(CR263,$CR$2:$CR$881,0)</f>
        <v>262</v>
      </c>
      <c r="CU263" s="25" t="n">
        <f aca="false">RANK(CS263,$CS$2:$CS$881,0)</f>
        <v>465</v>
      </c>
      <c r="CV263" s="26" t="n">
        <f aca="false">(CS263+CR263)/2</f>
        <v>81.2142857142857</v>
      </c>
      <c r="CW263" s="25" t="n">
        <f aca="false">RANK(CV263,$CV$2:$CV$881,0)</f>
        <v>373</v>
      </c>
      <c r="CX263" s="50" t="n">
        <f aca="false">(CV263+BB263)/2</f>
        <v>80.9571428571429</v>
      </c>
      <c r="CY263" s="50" t="n">
        <v>319</v>
      </c>
      <c r="CZ263" s="27" t="s">
        <v>132</v>
      </c>
      <c r="DA263" s="27" t="s">
        <v>162</v>
      </c>
      <c r="DB263" s="27" t="s">
        <v>162</v>
      </c>
      <c r="DC263" s="27" t="s">
        <v>134</v>
      </c>
      <c r="DD263" s="27" t="s">
        <v>154</v>
      </c>
      <c r="DE263" s="27" t="s">
        <v>183</v>
      </c>
      <c r="DF263" s="27" t="s">
        <v>196</v>
      </c>
      <c r="DG263" s="27" t="s">
        <v>134</v>
      </c>
      <c r="DH263" s="27" t="s">
        <v>160</v>
      </c>
      <c r="DI263" s="27" t="s">
        <v>183</v>
      </c>
      <c r="DJ263" s="27" t="s">
        <v>202</v>
      </c>
      <c r="DK263" s="27" t="s">
        <v>134</v>
      </c>
      <c r="DL263" s="27" t="s">
        <v>182</v>
      </c>
      <c r="DM263" s="27" t="s">
        <v>218</v>
      </c>
      <c r="DN263" s="27" t="s">
        <v>196</v>
      </c>
      <c r="DO263" s="27" t="s">
        <v>134</v>
      </c>
      <c r="DP263" s="27" t="s">
        <v>386</v>
      </c>
      <c r="DQ263" s="27" t="s">
        <v>204</v>
      </c>
      <c r="DR263" s="27" t="s">
        <v>382</v>
      </c>
      <c r="DS263" s="27" t="s">
        <v>134</v>
      </c>
      <c r="DT263" s="27" t="s">
        <v>154</v>
      </c>
      <c r="DU263" s="27" t="s">
        <v>306</v>
      </c>
      <c r="DV263" s="27" t="s">
        <v>305</v>
      </c>
      <c r="DW263" s="27" t="s">
        <v>160</v>
      </c>
      <c r="DX263" s="27" t="s">
        <v>187</v>
      </c>
      <c r="DY263" s="27" t="s">
        <v>156</v>
      </c>
      <c r="DZ263" s="27" t="n">
        <f aca="false">DY263+DV263+DR263+DN263+DJ263+DF263+DB263</f>
        <v>586</v>
      </c>
      <c r="EA263" s="28" t="n">
        <f aca="false">DZ263/7</f>
        <v>83.7142857142857</v>
      </c>
      <c r="EB263" s="27" t="n">
        <f aca="false">RANK(EA263,$EA$2:$EA$881,0)</f>
        <v>237</v>
      </c>
      <c r="EC263" s="29" t="n">
        <f aca="false">DZ263+CQ263+CP263+AZ263</f>
        <v>2530</v>
      </c>
      <c r="ED263" s="30" t="n">
        <f aca="false">(EA263+CV263+BB263)/3</f>
        <v>81.8761904761905</v>
      </c>
      <c r="EE263" s="51" t="n">
        <f aca="false">ROUND(BE263,3)</f>
        <v>88.83</v>
      </c>
      <c r="EF263" s="51" t="n">
        <f aca="false">ROUND(CR263,3)</f>
        <v>88.714</v>
      </c>
      <c r="EG263" s="51" t="n">
        <f aca="false">ROUND(CS263,3)</f>
        <v>73.714</v>
      </c>
      <c r="EH263" s="51" t="n">
        <f aca="false">ROUND(EA263,3)</f>
        <v>83.714</v>
      </c>
      <c r="EI263" s="51" t="n">
        <f aca="false">ROUND(ED263,3)</f>
        <v>81.876</v>
      </c>
      <c r="EJ263" s="51" t="n">
        <f aca="false">ROUND(CV263,3)</f>
        <v>81.214</v>
      </c>
      <c r="EK263" s="0" t="n">
        <f aca="false">RANK(EI263,$EI$2:$EI$881,0)</f>
        <v>262</v>
      </c>
    </row>
    <row r="264" customFormat="false" ht="15" hidden="false" customHeight="false" outlineLevel="0" collapsed="false">
      <c r="A264" s="4" t="n">
        <v>1922</v>
      </c>
      <c r="B264" s="4" t="n">
        <v>320</v>
      </c>
      <c r="C264" s="27" t="s">
        <v>934</v>
      </c>
      <c r="D264" s="31" t="n">
        <v>321</v>
      </c>
      <c r="E264" s="32" t="n">
        <v>230323032</v>
      </c>
      <c r="F264" s="8" t="s">
        <v>935</v>
      </c>
      <c r="G264" s="22" t="s">
        <v>368</v>
      </c>
      <c r="H264" s="22" t="s">
        <v>129</v>
      </c>
      <c r="I264" s="33" t="n">
        <v>2004</v>
      </c>
      <c r="J264" s="32" t="n">
        <v>70</v>
      </c>
      <c r="K264" s="32" t="n">
        <v>88</v>
      </c>
      <c r="L264" s="34" t="n">
        <f aca="false">(K264*70)/100</f>
        <v>61.6</v>
      </c>
      <c r="M264" s="34" t="n">
        <f aca="false">ROUNDUP(L264,0)</f>
        <v>62</v>
      </c>
      <c r="N264" s="32" t="n">
        <v>28</v>
      </c>
      <c r="O264" s="34" t="n">
        <f aca="false">N264+L264</f>
        <v>89.6</v>
      </c>
      <c r="P264" s="34" t="n">
        <f aca="false">N264+M264</f>
        <v>90</v>
      </c>
      <c r="Q264" s="32" t="n">
        <v>78</v>
      </c>
      <c r="R264" s="32" t="n">
        <v>81</v>
      </c>
      <c r="S264" s="34" t="n">
        <f aca="false">(R264*70)/100</f>
        <v>56.7</v>
      </c>
      <c r="T264" s="34" t="n">
        <f aca="false">ROUNDUP(S264,0)</f>
        <v>57</v>
      </c>
      <c r="U264" s="32" t="n">
        <v>23</v>
      </c>
      <c r="V264" s="34" t="n">
        <f aca="false">U264+S264</f>
        <v>79.7</v>
      </c>
      <c r="W264" s="34" t="n">
        <f aca="false">U264+T264</f>
        <v>80</v>
      </c>
      <c r="X264" s="32" t="n">
        <v>69</v>
      </c>
      <c r="Y264" s="34" t="n">
        <f aca="false">(X264*70)/100</f>
        <v>48.3</v>
      </c>
      <c r="Z264" s="34" t="n">
        <f aca="false">ROUNDUP(Y264,0)</f>
        <v>49</v>
      </c>
      <c r="AA264" s="32" t="n">
        <v>25</v>
      </c>
      <c r="AB264" s="34" t="n">
        <f aca="false">AA264+Y264</f>
        <v>73.3</v>
      </c>
      <c r="AC264" s="34" t="n">
        <f aca="false">AA264+Z264</f>
        <v>74</v>
      </c>
      <c r="AD264" s="32" t="n">
        <f aca="false">X264+R264+Q264+K264+J264</f>
        <v>386</v>
      </c>
      <c r="AE264" s="16" t="n">
        <f aca="false">AD264/5</f>
        <v>77.2</v>
      </c>
      <c r="AF264" s="16" t="n">
        <v>64</v>
      </c>
      <c r="AG264" s="16" t="n">
        <v>76</v>
      </c>
      <c r="AH264" s="16" t="n">
        <v>87</v>
      </c>
      <c r="AI264" s="16" t="n">
        <v>91</v>
      </c>
      <c r="AJ264" s="16" t="n">
        <f aca="false">(AI264*70)/100</f>
        <v>63.7</v>
      </c>
      <c r="AK264" s="35" t="n">
        <f aca="false">ROUNDUP(AJ264,0)</f>
        <v>64</v>
      </c>
      <c r="AL264" s="16" t="n">
        <v>27</v>
      </c>
      <c r="AM264" s="16" t="n">
        <f aca="false">AL264+AJ264</f>
        <v>90.7</v>
      </c>
      <c r="AN264" s="16" t="n">
        <f aca="false">AL264+AK264</f>
        <v>91</v>
      </c>
      <c r="AO264" s="16" t="n">
        <v>83</v>
      </c>
      <c r="AP264" s="36" t="n">
        <f aca="false">(AO264*70)/100</f>
        <v>58.1</v>
      </c>
      <c r="AQ264" s="37" t="n">
        <f aca="false">ROUNDUP(AP264,0)</f>
        <v>59</v>
      </c>
      <c r="AR264" s="16" t="n">
        <v>28</v>
      </c>
      <c r="AS264" s="16" t="n">
        <f aca="false">AR264+AP264</f>
        <v>86.1</v>
      </c>
      <c r="AT264" s="16" t="n">
        <f aca="false">AR264+AQ264</f>
        <v>87</v>
      </c>
      <c r="AU264" s="16" t="n">
        <f aca="false">AO264+AF264+AI264+AH264+AG264</f>
        <v>401</v>
      </c>
      <c r="AV264" s="16" t="n">
        <f aca="false">(AO264+AF264+AI264+AH264+AG264)/5</f>
        <v>80.2</v>
      </c>
      <c r="AW264" s="36" t="n">
        <f aca="false">(AO264+AF264+AI264+AH264+AG264+X264+R264+Q264+K264+J264)</f>
        <v>787</v>
      </c>
      <c r="AX264" s="16" t="n">
        <f aca="false">AW264/10</f>
        <v>78.7</v>
      </c>
      <c r="AY264" s="16" t="n">
        <f aca="false">AS264+AF264+AM264+AH264+AG264+AB264+V264+Q264+O264+J264</f>
        <v>794.4</v>
      </c>
      <c r="AZ264" s="16" t="n">
        <f aca="false">AT264+AF264+AN264+AH264+AG264+AC264+W264+Q264+P264+J264</f>
        <v>797</v>
      </c>
      <c r="BA264" s="16" t="n">
        <f aca="false">AY264/10</f>
        <v>79.44</v>
      </c>
      <c r="BB264" s="16" t="n">
        <f aca="false">AZ264/10</f>
        <v>79.7</v>
      </c>
      <c r="BC264" s="16" t="n">
        <v>2326</v>
      </c>
      <c r="BD264" s="16" t="n">
        <f aca="false">RANK(AX264,$AX$2:$AX$881,0)</f>
        <v>358</v>
      </c>
      <c r="BE264" s="54" t="n">
        <f aca="false">((BC264*100)/2400)*0.4+(AX264*0.6)</f>
        <v>85.9866666666667</v>
      </c>
      <c r="BF264" s="16" t="n">
        <f aca="false">RANK(BE264,$BE$2:$BE$881,0)</f>
        <v>435</v>
      </c>
      <c r="BG264" s="39" t="n">
        <f aca="false">RANK(BB264,$BB$2:$BB$881,0)</f>
        <v>381</v>
      </c>
      <c r="BH264" s="39" t="n">
        <f aca="false">RANK(BC264,$BC$2:$BC$881,0)</f>
        <v>755</v>
      </c>
      <c r="BI264" s="22" t="s">
        <v>130</v>
      </c>
      <c r="BJ264" s="22" t="s">
        <v>129</v>
      </c>
      <c r="BK264" s="40" t="s">
        <v>509</v>
      </c>
      <c r="BL264" s="41" t="n">
        <v>25</v>
      </c>
      <c r="BM264" s="41" t="n">
        <v>57</v>
      </c>
      <c r="BN264" s="41" t="n">
        <v>82</v>
      </c>
      <c r="BO264" s="42" t="n">
        <v>24</v>
      </c>
      <c r="BP264" s="43" t="n">
        <v>53</v>
      </c>
      <c r="BQ264" s="44" t="n">
        <v>77</v>
      </c>
      <c r="BR264" s="42" t="n">
        <v>26</v>
      </c>
      <c r="BS264" s="45" t="n">
        <v>57</v>
      </c>
      <c r="BT264" s="45" t="n">
        <v>83</v>
      </c>
      <c r="BU264" s="46" t="n">
        <v>99</v>
      </c>
      <c r="BV264" s="47" t="n">
        <v>90</v>
      </c>
      <c r="BW264" s="42" t="n">
        <v>90</v>
      </c>
      <c r="BX264" s="48" t="n">
        <v>94</v>
      </c>
      <c r="BY264" s="32" t="n">
        <v>25</v>
      </c>
      <c r="BZ264" s="32" t="n">
        <v>45</v>
      </c>
      <c r="CA264" s="32" t="n">
        <v>70</v>
      </c>
      <c r="CB264" s="32" t="n">
        <v>20</v>
      </c>
      <c r="CC264" s="32" t="n">
        <v>48</v>
      </c>
      <c r="CD264" s="32" t="n">
        <v>68</v>
      </c>
      <c r="CE264" s="32" t="n">
        <v>24</v>
      </c>
      <c r="CF264" s="32" t="n">
        <v>65</v>
      </c>
      <c r="CG264" s="32" t="n">
        <v>89</v>
      </c>
      <c r="CH264" s="32" t="n">
        <v>98</v>
      </c>
      <c r="CI264" s="32" t="n">
        <v>96</v>
      </c>
      <c r="CJ264" s="49" t="n">
        <v>23</v>
      </c>
      <c r="CK264" s="49" t="n">
        <v>54</v>
      </c>
      <c r="CL264" s="49" t="n">
        <v>77</v>
      </c>
      <c r="CM264" s="49" t="n">
        <v>23</v>
      </c>
      <c r="CN264" s="49" t="n">
        <v>44</v>
      </c>
      <c r="CO264" s="49" t="n">
        <v>67</v>
      </c>
      <c r="CP264" s="25" t="n">
        <f aca="false">BX264+BW264+BV264+BU264+BT264+BQ264+BN264</f>
        <v>615</v>
      </c>
      <c r="CQ264" s="25" t="n">
        <f aca="false">CO264+CL264+CI264+CH264+CG264+CD264+CA264</f>
        <v>565</v>
      </c>
      <c r="CR264" s="26" t="n">
        <f aca="false">CP264/7</f>
        <v>87.8571428571429</v>
      </c>
      <c r="CS264" s="26" t="n">
        <f aca="false">CQ264/7</f>
        <v>80.7142857142857</v>
      </c>
      <c r="CT264" s="24" t="n">
        <f aca="false">RANK(CR264,$CR$2:$CR$881,0)</f>
        <v>315</v>
      </c>
      <c r="CU264" s="25" t="n">
        <f aca="false">RANK(CS264,$CS$2:$CS$881,0)</f>
        <v>233</v>
      </c>
      <c r="CV264" s="26" t="n">
        <f aca="false">(CS264+CR264)/2</f>
        <v>84.2857142857143</v>
      </c>
      <c r="CW264" s="25" t="n">
        <f aca="false">RANK(CV264,$CV$2:$CV$881,0)</f>
        <v>253</v>
      </c>
      <c r="CX264" s="50" t="n">
        <f aca="false">(CV264+BB264)/2</f>
        <v>81.9928571428571</v>
      </c>
      <c r="CY264" s="50" t="n">
        <v>268</v>
      </c>
      <c r="CZ264" s="27" t="s">
        <v>132</v>
      </c>
      <c r="DA264" s="27" t="s">
        <v>133</v>
      </c>
      <c r="DB264" s="27" t="s">
        <v>133</v>
      </c>
      <c r="DC264" s="27" t="s">
        <v>134</v>
      </c>
      <c r="DD264" s="27" t="s">
        <v>174</v>
      </c>
      <c r="DE264" s="27" t="s">
        <v>177</v>
      </c>
      <c r="DF264" s="27" t="s">
        <v>205</v>
      </c>
      <c r="DG264" s="27" t="s">
        <v>134</v>
      </c>
      <c r="DH264" s="27" t="s">
        <v>174</v>
      </c>
      <c r="DI264" s="27" t="s">
        <v>203</v>
      </c>
      <c r="DJ264" s="27" t="s">
        <v>209</v>
      </c>
      <c r="DK264" s="27" t="s">
        <v>134</v>
      </c>
      <c r="DL264" s="27" t="s">
        <v>137</v>
      </c>
      <c r="DM264" s="27" t="s">
        <v>399</v>
      </c>
      <c r="DN264" s="27" t="s">
        <v>372</v>
      </c>
      <c r="DO264" s="27" t="s">
        <v>134</v>
      </c>
      <c r="DP264" s="27" t="s">
        <v>264</v>
      </c>
      <c r="DQ264" s="27" t="s">
        <v>304</v>
      </c>
      <c r="DR264" s="27" t="s">
        <v>486</v>
      </c>
      <c r="DS264" s="27" t="s">
        <v>134</v>
      </c>
      <c r="DT264" s="27" t="s">
        <v>137</v>
      </c>
      <c r="DU264" s="27" t="s">
        <v>220</v>
      </c>
      <c r="DV264" s="27" t="s">
        <v>205</v>
      </c>
      <c r="DW264" s="27" t="s">
        <v>135</v>
      </c>
      <c r="DX264" s="27" t="s">
        <v>203</v>
      </c>
      <c r="DY264" s="27" t="s">
        <v>178</v>
      </c>
      <c r="DZ264" s="27" t="n">
        <f aca="false">DY264+DV264+DR264+DN264+DJ264+DF264+DB264</f>
        <v>570</v>
      </c>
      <c r="EA264" s="28" t="n">
        <f aca="false">DZ264/7</f>
        <v>81.4285714285714</v>
      </c>
      <c r="EB264" s="27" t="n">
        <f aca="false">RANK(EA264,$EA$2:$EA$881,0)</f>
        <v>327</v>
      </c>
      <c r="EC264" s="29" t="n">
        <f aca="false">DZ264+CQ264+CP264+AZ264</f>
        <v>2547</v>
      </c>
      <c r="ED264" s="30" t="n">
        <f aca="false">(EA264+CV264+BB264)/3</f>
        <v>81.8047619047619</v>
      </c>
      <c r="EE264" s="51" t="n">
        <f aca="false">ROUND(BE264,3)</f>
        <v>85.987</v>
      </c>
      <c r="EF264" s="51" t="n">
        <f aca="false">ROUND(CR264,3)</f>
        <v>87.857</v>
      </c>
      <c r="EG264" s="51" t="n">
        <f aca="false">ROUND(CS264,3)</f>
        <v>80.714</v>
      </c>
      <c r="EH264" s="51" t="n">
        <f aca="false">ROUND(EA264,3)</f>
        <v>81.429</v>
      </c>
      <c r="EI264" s="51" t="n">
        <f aca="false">ROUND(ED264,3)</f>
        <v>81.805</v>
      </c>
      <c r="EJ264" s="51" t="n">
        <f aca="false">ROUND(CV264,3)</f>
        <v>84.286</v>
      </c>
      <c r="EK264" s="0" t="n">
        <f aca="false">RANK(EI264,$EI$2:$EI$881,0)</f>
        <v>263</v>
      </c>
    </row>
    <row r="265" customFormat="false" ht="15" hidden="false" customHeight="false" outlineLevel="0" collapsed="false">
      <c r="A265" s="4" t="n">
        <v>1835</v>
      </c>
      <c r="B265" s="4" t="n">
        <v>256</v>
      </c>
      <c r="C265" s="27" t="s">
        <v>936</v>
      </c>
      <c r="D265" s="31" t="n">
        <v>258</v>
      </c>
      <c r="E265" s="16" t="n">
        <v>230912857</v>
      </c>
      <c r="F265" s="56" t="s">
        <v>937</v>
      </c>
      <c r="G265" s="22" t="s">
        <v>464</v>
      </c>
      <c r="H265" s="22" t="s">
        <v>326</v>
      </c>
      <c r="I265" s="57"/>
      <c r="J265" s="16" t="n">
        <v>84</v>
      </c>
      <c r="K265" s="16" t="n">
        <v>78</v>
      </c>
      <c r="L265" s="34" t="n">
        <f aca="false">(K265*70)/100</f>
        <v>54.6</v>
      </c>
      <c r="M265" s="34" t="n">
        <f aca="false">ROUNDUP(L265,0)</f>
        <v>55</v>
      </c>
      <c r="N265" s="16" t="n">
        <v>22</v>
      </c>
      <c r="O265" s="34" t="n">
        <f aca="false">N265+L265</f>
        <v>76.6</v>
      </c>
      <c r="P265" s="34" t="n">
        <f aca="false">N265+M265</f>
        <v>77</v>
      </c>
      <c r="Q265" s="16" t="n">
        <v>72</v>
      </c>
      <c r="R265" s="16" t="n">
        <v>59</v>
      </c>
      <c r="S265" s="34" t="n">
        <f aca="false">(R265*70)/100</f>
        <v>41.3</v>
      </c>
      <c r="T265" s="34" t="n">
        <f aca="false">ROUNDUP(S265,0)</f>
        <v>42</v>
      </c>
      <c r="U265" s="16" t="n">
        <v>26</v>
      </c>
      <c r="V265" s="34" t="n">
        <f aca="false">U265+S265</f>
        <v>67.3</v>
      </c>
      <c r="W265" s="34" t="n">
        <f aca="false">U265+T265</f>
        <v>68</v>
      </c>
      <c r="X265" s="16" t="n">
        <v>62</v>
      </c>
      <c r="Y265" s="34" t="n">
        <f aca="false">(X265*70)/100</f>
        <v>43.4</v>
      </c>
      <c r="Z265" s="34" t="n">
        <f aca="false">ROUNDUP(Y265,0)</f>
        <v>44</v>
      </c>
      <c r="AA265" s="16" t="n">
        <v>28</v>
      </c>
      <c r="AB265" s="34" t="n">
        <f aca="false">AA265+Y265</f>
        <v>71.4</v>
      </c>
      <c r="AC265" s="34" t="n">
        <f aca="false">AA265+Z265</f>
        <v>72</v>
      </c>
      <c r="AD265" s="32" t="n">
        <f aca="false">X265+R265+Q265+K265+J265</f>
        <v>355</v>
      </c>
      <c r="AE265" s="16" t="n">
        <f aca="false">AD265/5</f>
        <v>71</v>
      </c>
      <c r="AF265" s="16" t="n">
        <v>68</v>
      </c>
      <c r="AG265" s="16" t="n">
        <v>88</v>
      </c>
      <c r="AH265" s="16" t="n">
        <v>77</v>
      </c>
      <c r="AI265" s="16" t="n">
        <v>83</v>
      </c>
      <c r="AJ265" s="16" t="n">
        <f aca="false">(AI265*70)/100</f>
        <v>58.1</v>
      </c>
      <c r="AK265" s="35" t="n">
        <f aca="false">ROUNDUP(AJ265,0)</f>
        <v>59</v>
      </c>
      <c r="AL265" s="16" t="n">
        <v>25</v>
      </c>
      <c r="AM265" s="16" t="n">
        <f aca="false">AL265+AJ265</f>
        <v>83.1</v>
      </c>
      <c r="AN265" s="16" t="n">
        <f aca="false">AL265+AK265</f>
        <v>84</v>
      </c>
      <c r="AO265" s="16" t="n">
        <v>78</v>
      </c>
      <c r="AP265" s="36" t="n">
        <f aca="false">(AO265*70)/100</f>
        <v>54.6</v>
      </c>
      <c r="AQ265" s="37" t="n">
        <f aca="false">ROUNDUP(AP265,0)</f>
        <v>55</v>
      </c>
      <c r="AR265" s="16" t="n">
        <v>30</v>
      </c>
      <c r="AS265" s="16" t="n">
        <f aca="false">AR265+AP265</f>
        <v>84.6</v>
      </c>
      <c r="AT265" s="16" t="n">
        <f aca="false">AR265+AQ265</f>
        <v>85</v>
      </c>
      <c r="AU265" s="16" t="n">
        <f aca="false">AO265+AF265+AI265+AH265+AG265</f>
        <v>394</v>
      </c>
      <c r="AV265" s="16" t="n">
        <f aca="false">(AO265+AF265+AI265+AH265+AG265)/5</f>
        <v>78.8</v>
      </c>
      <c r="AW265" s="36" t="n">
        <f aca="false">(AO265+AF265+AI265+AH265+AG265+X265+R265+Q265+K265+J265)</f>
        <v>749</v>
      </c>
      <c r="AX265" s="16" t="n">
        <f aca="false">AW265/10</f>
        <v>74.9</v>
      </c>
      <c r="AY265" s="16" t="n">
        <f aca="false">AS265+AF265+AM265+AH265+AG265+AB265+V265+Q265+O265+J265</f>
        <v>772</v>
      </c>
      <c r="AZ265" s="16" t="n">
        <f aca="false">AT265+AF265+AN265+AH265+AG265+AC265+W265+Q265+P265+J265</f>
        <v>775</v>
      </c>
      <c r="BA265" s="16" t="n">
        <f aca="false">AY265/10</f>
        <v>77.2</v>
      </c>
      <c r="BB265" s="16" t="n">
        <f aca="false">AZ265/10</f>
        <v>77.5</v>
      </c>
      <c r="BC265" s="16" t="n">
        <v>2394</v>
      </c>
      <c r="BD265" s="16" t="n">
        <f aca="false">RANK(AX265,$AX$2:$AX$881,0)</f>
        <v>688</v>
      </c>
      <c r="BE265" s="73" t="n">
        <f aca="false">((BC265*100)/2400)*0.4+(AX265*0.6)</f>
        <v>84.84</v>
      </c>
      <c r="BF265" s="16" t="n">
        <f aca="false">RANK(BE265,$BE$2:$BE$881,0)</f>
        <v>646</v>
      </c>
      <c r="BG265" s="39" t="n">
        <f aca="false">RANK(BB265,$BB$2:$BB$881,0)</f>
        <v>603</v>
      </c>
      <c r="BH265" s="39" t="n">
        <f aca="false">RANK(BC265,$BC$2:$BC$881,0)</f>
        <v>17</v>
      </c>
      <c r="BI265" s="22" t="s">
        <v>130</v>
      </c>
      <c r="BJ265" s="22" t="s">
        <v>129</v>
      </c>
      <c r="BK265" s="22" t="s">
        <v>509</v>
      </c>
      <c r="BL265" s="41" t="n">
        <v>20</v>
      </c>
      <c r="BM265" s="41" t="n">
        <v>60</v>
      </c>
      <c r="BN265" s="41" t="n">
        <v>80</v>
      </c>
      <c r="BO265" s="42" t="n">
        <v>25</v>
      </c>
      <c r="BP265" s="43" t="n">
        <v>59</v>
      </c>
      <c r="BQ265" s="44" t="n">
        <v>84</v>
      </c>
      <c r="BR265" s="42" t="n">
        <v>25</v>
      </c>
      <c r="BS265" s="45" t="n">
        <v>54</v>
      </c>
      <c r="BT265" s="45" t="n">
        <v>79</v>
      </c>
      <c r="BU265" s="46" t="n">
        <v>100</v>
      </c>
      <c r="BV265" s="47" t="n">
        <v>94</v>
      </c>
      <c r="BW265" s="42" t="n">
        <v>100</v>
      </c>
      <c r="BX265" s="48" t="n">
        <v>98</v>
      </c>
      <c r="BY265" s="32" t="n">
        <v>27</v>
      </c>
      <c r="BZ265" s="32" t="n">
        <v>45</v>
      </c>
      <c r="CA265" s="32" t="n">
        <v>72</v>
      </c>
      <c r="CB265" s="32" t="n">
        <v>18</v>
      </c>
      <c r="CC265" s="32" t="n">
        <v>29</v>
      </c>
      <c r="CD265" s="69" t="n">
        <v>47</v>
      </c>
      <c r="CE265" s="32" t="n">
        <v>26</v>
      </c>
      <c r="CF265" s="32" t="n">
        <v>50</v>
      </c>
      <c r="CG265" s="32" t="n">
        <v>76</v>
      </c>
      <c r="CH265" s="32" t="n">
        <v>98</v>
      </c>
      <c r="CI265" s="32" t="n">
        <v>96</v>
      </c>
      <c r="CJ265" s="49" t="n">
        <v>19</v>
      </c>
      <c r="CK265" s="49" t="n">
        <v>53</v>
      </c>
      <c r="CL265" s="84" t="n">
        <v>72</v>
      </c>
      <c r="CM265" s="49" t="n">
        <v>21</v>
      </c>
      <c r="CN265" s="49" t="n">
        <v>46</v>
      </c>
      <c r="CO265" s="49" t="n">
        <v>67</v>
      </c>
      <c r="CP265" s="25" t="n">
        <f aca="false">BX265+BW265+BV265+BU265+BT265+BQ265+BN265</f>
        <v>635</v>
      </c>
      <c r="CQ265" s="25" t="n">
        <f aca="false">CO265+CL265+CI265+CH265+CG265+CD265+CA265</f>
        <v>528</v>
      </c>
      <c r="CR265" s="26" t="n">
        <f aca="false">CP265/7</f>
        <v>90.7142857142857</v>
      </c>
      <c r="CS265" s="26" t="n">
        <f aca="false">CQ265/7</f>
        <v>75.4285714285714</v>
      </c>
      <c r="CT265" s="24" t="n">
        <f aca="false">RANK(CR265,$CR$2:$CR$881,0)</f>
        <v>140</v>
      </c>
      <c r="CU265" s="25" t="n">
        <f aca="false">RANK(CS265,$CS$2:$CS$881,0)</f>
        <v>417</v>
      </c>
      <c r="CV265" s="26" t="n">
        <f aca="false">(CS265+CR265)/2</f>
        <v>83.0714285714286</v>
      </c>
      <c r="CW265" s="25" t="n">
        <f aca="false">RANK(CV265,$CV$2:$CV$881,0)</f>
        <v>293</v>
      </c>
      <c r="CX265" s="50" t="n">
        <f aca="false">(CV265+BB265)/2</f>
        <v>80.2857142857143</v>
      </c>
      <c r="CY265" s="50" t="n">
        <v>379</v>
      </c>
      <c r="CZ265" s="27" t="s">
        <v>132</v>
      </c>
      <c r="DA265" s="27" t="s">
        <v>151</v>
      </c>
      <c r="DB265" s="27" t="s">
        <v>151</v>
      </c>
      <c r="DC265" s="27" t="s">
        <v>134</v>
      </c>
      <c r="DD265" s="27" t="s">
        <v>191</v>
      </c>
      <c r="DE265" s="27" t="s">
        <v>183</v>
      </c>
      <c r="DF265" s="27" t="s">
        <v>305</v>
      </c>
      <c r="DG265" s="27" t="s">
        <v>134</v>
      </c>
      <c r="DH265" s="27" t="s">
        <v>140</v>
      </c>
      <c r="DI265" s="27" t="s">
        <v>161</v>
      </c>
      <c r="DJ265" s="27" t="s">
        <v>153</v>
      </c>
      <c r="DK265" s="27" t="s">
        <v>134</v>
      </c>
      <c r="DL265" s="27" t="s">
        <v>137</v>
      </c>
      <c r="DM265" s="27" t="s">
        <v>220</v>
      </c>
      <c r="DN265" s="27" t="s">
        <v>205</v>
      </c>
      <c r="DO265" s="27" t="s">
        <v>134</v>
      </c>
      <c r="DP265" s="27" t="s">
        <v>191</v>
      </c>
      <c r="DQ265" s="27" t="s">
        <v>415</v>
      </c>
      <c r="DR265" s="27" t="s">
        <v>141</v>
      </c>
      <c r="DS265" s="27" t="s">
        <v>134</v>
      </c>
      <c r="DT265" s="27" t="s">
        <v>137</v>
      </c>
      <c r="DU265" s="27" t="s">
        <v>183</v>
      </c>
      <c r="DV265" s="27" t="s">
        <v>209</v>
      </c>
      <c r="DW265" s="27" t="s">
        <v>140</v>
      </c>
      <c r="DX265" s="27" t="s">
        <v>155</v>
      </c>
      <c r="DY265" s="27" t="s">
        <v>147</v>
      </c>
      <c r="DZ265" s="27" t="n">
        <f aca="false">DY265+DV265+DR265+DN265+DJ265+DF265+DB265</f>
        <v>593</v>
      </c>
      <c r="EA265" s="28" t="n">
        <f aca="false">DZ265/7</f>
        <v>84.7142857142857</v>
      </c>
      <c r="EB265" s="27" t="n">
        <f aca="false">RANK(EA265,$EA$2:$EA$881,0)</f>
        <v>195</v>
      </c>
      <c r="EC265" s="29" t="n">
        <f aca="false">DZ265+CQ265+CP265+AZ265</f>
        <v>2531</v>
      </c>
      <c r="ED265" s="30" t="n">
        <f aca="false">(EA265+CV265+BB265)/3</f>
        <v>81.7619047619048</v>
      </c>
      <c r="EE265" s="51" t="n">
        <f aca="false">ROUND(BE265,3)</f>
        <v>84.84</v>
      </c>
      <c r="EF265" s="51" t="n">
        <f aca="false">ROUND(CR265,3)</f>
        <v>90.714</v>
      </c>
      <c r="EG265" s="51" t="n">
        <f aca="false">ROUND(CS265,3)</f>
        <v>75.429</v>
      </c>
      <c r="EH265" s="51" t="n">
        <f aca="false">ROUND(EA265,3)</f>
        <v>84.714</v>
      </c>
      <c r="EI265" s="51" t="n">
        <f aca="false">ROUND(ED265,3)</f>
        <v>81.762</v>
      </c>
      <c r="EJ265" s="51" t="n">
        <f aca="false">ROUND(CV265,3)</f>
        <v>83.071</v>
      </c>
      <c r="EK265" s="0" t="n">
        <f aca="false">RANK(EI265,$EI$2:$EI$881,0)</f>
        <v>264</v>
      </c>
    </row>
    <row r="266" customFormat="false" ht="16.85" hidden="false" customHeight="false" outlineLevel="0" collapsed="false">
      <c r="A266" s="4" t="n">
        <v>2061</v>
      </c>
      <c r="B266" s="4" t="n">
        <v>561</v>
      </c>
      <c r="C266" s="27" t="s">
        <v>938</v>
      </c>
      <c r="D266" s="31" t="n">
        <v>565</v>
      </c>
      <c r="E266" s="32" t="n">
        <v>230314524</v>
      </c>
      <c r="F266" s="8" t="s">
        <v>939</v>
      </c>
      <c r="G266" s="22" t="s">
        <v>940</v>
      </c>
      <c r="H266" s="22" t="s">
        <v>129</v>
      </c>
      <c r="I266" s="33" t="n">
        <v>2005</v>
      </c>
      <c r="J266" s="32" t="n">
        <v>67</v>
      </c>
      <c r="K266" s="32" t="n">
        <v>64</v>
      </c>
      <c r="L266" s="34" t="n">
        <f aca="false">(K266*70)/100</f>
        <v>44.8</v>
      </c>
      <c r="M266" s="34" t="n">
        <f aca="false">ROUNDUP(L266,0)</f>
        <v>45</v>
      </c>
      <c r="N266" s="32" t="n">
        <v>22</v>
      </c>
      <c r="O266" s="34" t="n">
        <f aca="false">N266+L266</f>
        <v>66.8</v>
      </c>
      <c r="P266" s="34" t="n">
        <f aca="false">N266+M266</f>
        <v>67</v>
      </c>
      <c r="Q266" s="32" t="n">
        <v>75</v>
      </c>
      <c r="R266" s="32" t="n">
        <v>70</v>
      </c>
      <c r="S266" s="34" t="n">
        <f aca="false">(R266*70)/100</f>
        <v>49</v>
      </c>
      <c r="T266" s="34" t="n">
        <f aca="false">ROUNDUP(S266,0)</f>
        <v>49</v>
      </c>
      <c r="U266" s="32" t="n">
        <v>13</v>
      </c>
      <c r="V266" s="34" t="n">
        <f aca="false">U266+S266</f>
        <v>62</v>
      </c>
      <c r="W266" s="34" t="n">
        <f aca="false">U266+T266</f>
        <v>62</v>
      </c>
      <c r="X266" s="32" t="n">
        <v>71</v>
      </c>
      <c r="Y266" s="34" t="n">
        <f aca="false">(X266*70)/100</f>
        <v>49.7</v>
      </c>
      <c r="Z266" s="34" t="n">
        <f aca="false">ROUNDUP(Y266,0)</f>
        <v>50</v>
      </c>
      <c r="AA266" s="32" t="n">
        <v>22</v>
      </c>
      <c r="AB266" s="34" t="n">
        <f aca="false">AA266+Y266</f>
        <v>71.7</v>
      </c>
      <c r="AC266" s="34" t="n">
        <f aca="false">AA266+Z266</f>
        <v>72</v>
      </c>
      <c r="AD266" s="32" t="n">
        <f aca="false">X266+R266+Q266+K266+J266</f>
        <v>347</v>
      </c>
      <c r="AE266" s="16" t="n">
        <f aca="false">AD266/5</f>
        <v>69.4</v>
      </c>
      <c r="AF266" s="16" t="n">
        <v>86</v>
      </c>
      <c r="AG266" s="16" t="n">
        <v>82</v>
      </c>
      <c r="AH266" s="16" t="n">
        <v>88</v>
      </c>
      <c r="AI266" s="16" t="n">
        <v>94</v>
      </c>
      <c r="AJ266" s="16" t="n">
        <f aca="false">(AI266*70)/100</f>
        <v>65.8</v>
      </c>
      <c r="AK266" s="35" t="n">
        <f aca="false">ROUNDUP(AJ266,0)</f>
        <v>66</v>
      </c>
      <c r="AL266" s="16" t="n">
        <v>21</v>
      </c>
      <c r="AM266" s="16" t="n">
        <f aca="false">AL266+AJ266</f>
        <v>86.8</v>
      </c>
      <c r="AN266" s="16" t="n">
        <f aca="false">AL266+AK266</f>
        <v>87</v>
      </c>
      <c r="AO266" s="16" t="n">
        <v>74</v>
      </c>
      <c r="AP266" s="36" t="n">
        <f aca="false">(AO266*70)/100</f>
        <v>51.8</v>
      </c>
      <c r="AQ266" s="37" t="n">
        <f aca="false">ROUNDUP(AP266,0)</f>
        <v>52</v>
      </c>
      <c r="AR266" s="16" t="n">
        <v>28</v>
      </c>
      <c r="AS266" s="16" t="n">
        <f aca="false">AR266+AP266</f>
        <v>79.8</v>
      </c>
      <c r="AT266" s="16" t="n">
        <f aca="false">AR266+AQ266</f>
        <v>80</v>
      </c>
      <c r="AU266" s="16" t="n">
        <f aca="false">AO266+AF266+AI266+AH266+AG266</f>
        <v>424</v>
      </c>
      <c r="AV266" s="16" t="n">
        <f aca="false">(AO266+AF266+AI266+AH266+AG266)/5</f>
        <v>84.8</v>
      </c>
      <c r="AW266" s="36" t="n">
        <f aca="false">(AO266+AF266+AI266+AH266+AG266+X266+R266+Q266+K266+J266)</f>
        <v>771</v>
      </c>
      <c r="AX266" s="16" t="n">
        <f aca="false">AW266/10</f>
        <v>77.1</v>
      </c>
      <c r="AY266" s="16" t="n">
        <f aca="false">AS266+AF266+AM266+AH266+AG266+AB266+V266+Q266+O266+J266</f>
        <v>765.1</v>
      </c>
      <c r="AZ266" s="16" t="n">
        <f aca="false">AT266+AF266+AN266+AH266+AG266+AC266+W266+Q266+P266+J266</f>
        <v>766</v>
      </c>
      <c r="BA266" s="16" t="n">
        <f aca="false">AY266/10</f>
        <v>76.51</v>
      </c>
      <c r="BB266" s="16" t="n">
        <f aca="false">AZ266/10</f>
        <v>76.6</v>
      </c>
      <c r="BC266" s="16" t="n">
        <v>2378</v>
      </c>
      <c r="BD266" s="16" t="n">
        <f aca="false">RANK(AX266,$AX$2:$AX$881,0)</f>
        <v>496</v>
      </c>
      <c r="BE266" s="54" t="n">
        <f aca="false">((BC266*100)/2400)*0.4+(AX266*0.6)</f>
        <v>85.8933333333333</v>
      </c>
      <c r="BF266" s="16" t="n">
        <f aca="false">RANK(BE266,$BE$2:$BE$881,0)</f>
        <v>448</v>
      </c>
      <c r="BG266" s="39" t="n">
        <f aca="false">RANK(BB266,$BB$2:$BB$881,0)</f>
        <v>661</v>
      </c>
      <c r="BH266" s="39" t="n">
        <f aca="false">RANK(BC266,$BC$2:$BC$881,0)</f>
        <v>173</v>
      </c>
      <c r="BI266" s="22" t="s">
        <v>130</v>
      </c>
      <c r="BJ266" s="22" t="s">
        <v>129</v>
      </c>
      <c r="BK266" s="40" t="s">
        <v>509</v>
      </c>
      <c r="BL266" s="41" t="n">
        <v>17</v>
      </c>
      <c r="BM266" s="41" t="n">
        <v>52</v>
      </c>
      <c r="BN266" s="41" t="n">
        <v>69</v>
      </c>
      <c r="BO266" s="42" t="n">
        <v>27</v>
      </c>
      <c r="BP266" s="43" t="n">
        <v>54</v>
      </c>
      <c r="BQ266" s="44" t="n">
        <v>81</v>
      </c>
      <c r="BR266" s="42" t="n">
        <v>23</v>
      </c>
      <c r="BS266" s="45" t="n">
        <v>56</v>
      </c>
      <c r="BT266" s="45" t="n">
        <v>79</v>
      </c>
      <c r="BU266" s="46" t="n">
        <v>100</v>
      </c>
      <c r="BV266" s="47" t="n">
        <v>84</v>
      </c>
      <c r="BW266" s="42" t="n">
        <v>99</v>
      </c>
      <c r="BX266" s="48" t="n">
        <v>96</v>
      </c>
      <c r="BY266" s="32" t="n">
        <v>26</v>
      </c>
      <c r="BZ266" s="32" t="n">
        <v>52</v>
      </c>
      <c r="CA266" s="32" t="n">
        <v>78</v>
      </c>
      <c r="CB266" s="32" t="n">
        <v>20</v>
      </c>
      <c r="CC266" s="32" t="n">
        <v>33</v>
      </c>
      <c r="CD266" s="69" t="n">
        <v>53</v>
      </c>
      <c r="CE266" s="32" t="n">
        <v>21</v>
      </c>
      <c r="CF266" s="32" t="n">
        <v>50</v>
      </c>
      <c r="CG266" s="32" t="n">
        <v>71</v>
      </c>
      <c r="CH266" s="32" t="n">
        <v>96</v>
      </c>
      <c r="CI266" s="32" t="n">
        <v>100</v>
      </c>
      <c r="CJ266" s="49" t="n">
        <v>19</v>
      </c>
      <c r="CK266" s="49" t="n">
        <v>60</v>
      </c>
      <c r="CL266" s="84" t="n">
        <v>79</v>
      </c>
      <c r="CM266" s="49" t="n">
        <v>21</v>
      </c>
      <c r="CN266" s="49" t="n">
        <v>56</v>
      </c>
      <c r="CO266" s="49" t="n">
        <v>77</v>
      </c>
      <c r="CP266" s="25" t="n">
        <f aca="false">BX266+BW266+BV266+BU266+BT266+BQ266+BN266</f>
        <v>608</v>
      </c>
      <c r="CQ266" s="25" t="n">
        <f aca="false">CO266+CL266+CI266+CH266+CG266+CD266+CA266</f>
        <v>554</v>
      </c>
      <c r="CR266" s="26" t="n">
        <f aca="false">CP266/7</f>
        <v>86.8571428571429</v>
      </c>
      <c r="CS266" s="26" t="n">
        <f aca="false">CQ266/7</f>
        <v>79.1428571428571</v>
      </c>
      <c r="CT266" s="24" t="n">
        <f aca="false">RANK(CR266,$CR$2:$CR$881,0)</f>
        <v>359</v>
      </c>
      <c r="CU266" s="25" t="n">
        <f aca="false">RANK(CS266,$CS$2:$CS$881,0)</f>
        <v>296</v>
      </c>
      <c r="CV266" s="26" t="n">
        <f aca="false">(CS266+CR266)/2</f>
        <v>83</v>
      </c>
      <c r="CW266" s="25" t="n">
        <f aca="false">RANK(CV266,$CV$2:$CV$881,0)</f>
        <v>297</v>
      </c>
      <c r="CX266" s="50" t="n">
        <f aca="false">(CV266+BB266)/2</f>
        <v>79.8</v>
      </c>
      <c r="CY266" s="50" t="n">
        <v>426</v>
      </c>
      <c r="CZ266" s="27" t="s">
        <v>132</v>
      </c>
      <c r="DA266" s="27" t="s">
        <v>133</v>
      </c>
      <c r="DB266" s="27" t="s">
        <v>133</v>
      </c>
      <c r="DC266" s="27" t="s">
        <v>134</v>
      </c>
      <c r="DD266" s="27" t="s">
        <v>160</v>
      </c>
      <c r="DE266" s="27" t="s">
        <v>204</v>
      </c>
      <c r="DF266" s="27" t="s">
        <v>178</v>
      </c>
      <c r="DG266" s="27" t="s">
        <v>134</v>
      </c>
      <c r="DH266" s="27" t="s">
        <v>174</v>
      </c>
      <c r="DI266" s="27" t="s">
        <v>141</v>
      </c>
      <c r="DJ266" s="27" t="s">
        <v>162</v>
      </c>
      <c r="DK266" s="27" t="s">
        <v>134</v>
      </c>
      <c r="DL266" s="27" t="s">
        <v>135</v>
      </c>
      <c r="DM266" s="27" t="s">
        <v>375</v>
      </c>
      <c r="DN266" s="27" t="s">
        <v>441</v>
      </c>
      <c r="DO266" s="27" t="s">
        <v>134</v>
      </c>
      <c r="DP266" s="27" t="s">
        <v>164</v>
      </c>
      <c r="DQ266" s="27" t="s">
        <v>203</v>
      </c>
      <c r="DR266" s="27" t="s">
        <v>162</v>
      </c>
      <c r="DS266" s="27" t="s">
        <v>134</v>
      </c>
      <c r="DT266" s="27" t="s">
        <v>140</v>
      </c>
      <c r="DU266" s="27" t="s">
        <v>447</v>
      </c>
      <c r="DV266" s="27" t="s">
        <v>205</v>
      </c>
      <c r="DW266" s="27" t="s">
        <v>264</v>
      </c>
      <c r="DX266" s="27" t="s">
        <v>155</v>
      </c>
      <c r="DY266" s="27" t="s">
        <v>162</v>
      </c>
      <c r="DZ266" s="27" t="n">
        <f aca="false">DY266+DV266+DR266+DN266+DJ266+DF266+DB266</f>
        <v>599</v>
      </c>
      <c r="EA266" s="28" t="n">
        <f aca="false">DZ266/7</f>
        <v>85.5714285714286</v>
      </c>
      <c r="EB266" s="27" t="n">
        <f aca="false">RANK(EA266,$EA$2:$EA$881,0)</f>
        <v>166</v>
      </c>
      <c r="EC266" s="29" t="n">
        <f aca="false">DZ266+CQ266+CP266+AZ266</f>
        <v>2527</v>
      </c>
      <c r="ED266" s="30" t="n">
        <f aca="false">(EA266+CV266+BB266)/3</f>
        <v>81.7238095238095</v>
      </c>
      <c r="EE266" s="51" t="n">
        <f aca="false">ROUND(BE266,3)</f>
        <v>85.893</v>
      </c>
      <c r="EF266" s="51" t="n">
        <f aca="false">ROUND(CR266,3)</f>
        <v>86.857</v>
      </c>
      <c r="EG266" s="51" t="n">
        <f aca="false">ROUND(CS266,3)</f>
        <v>79.143</v>
      </c>
      <c r="EH266" s="51" t="n">
        <f aca="false">ROUND(EA266,3)</f>
        <v>85.571</v>
      </c>
      <c r="EI266" s="51" t="n">
        <f aca="false">ROUND(ED266,3)</f>
        <v>81.724</v>
      </c>
      <c r="EJ266" s="51" t="n">
        <f aca="false">ROUND(CV266,3)</f>
        <v>83</v>
      </c>
      <c r="EK266" s="0" t="n">
        <f aca="false">RANK(EI266,$EI$2:$EI$881,0)</f>
        <v>265</v>
      </c>
    </row>
    <row r="267" customFormat="false" ht="15" hidden="false" customHeight="false" outlineLevel="0" collapsed="false">
      <c r="A267" s="4" t="n">
        <v>2016</v>
      </c>
      <c r="B267" s="4" t="n">
        <v>555</v>
      </c>
      <c r="C267" s="27" t="s">
        <v>941</v>
      </c>
      <c r="D267" s="31" t="n">
        <v>560</v>
      </c>
      <c r="E267" s="16" t="n">
        <v>230247205</v>
      </c>
      <c r="F267" s="56" t="s">
        <v>942</v>
      </c>
      <c r="G267" s="22" t="s">
        <v>342</v>
      </c>
      <c r="H267" s="22" t="s">
        <v>326</v>
      </c>
      <c r="I267" s="57"/>
      <c r="J267" s="16" t="n">
        <v>82</v>
      </c>
      <c r="K267" s="16" t="n">
        <v>59</v>
      </c>
      <c r="L267" s="34" t="n">
        <f aca="false">(K267*70)/100</f>
        <v>41.3</v>
      </c>
      <c r="M267" s="34" t="n">
        <f aca="false">ROUNDUP(L267,0)</f>
        <v>42</v>
      </c>
      <c r="N267" s="16" t="n">
        <v>26</v>
      </c>
      <c r="O267" s="34" t="n">
        <f aca="false">N267+L267</f>
        <v>67.3</v>
      </c>
      <c r="P267" s="34" t="n">
        <f aca="false">N267+M267</f>
        <v>68</v>
      </c>
      <c r="Q267" s="16" t="n">
        <v>64</v>
      </c>
      <c r="R267" s="16" t="n">
        <v>59</v>
      </c>
      <c r="S267" s="34" t="n">
        <f aca="false">(R267*70)/100</f>
        <v>41.3</v>
      </c>
      <c r="T267" s="34" t="n">
        <f aca="false">ROUNDUP(S267,0)</f>
        <v>42</v>
      </c>
      <c r="U267" s="16" t="n">
        <v>25</v>
      </c>
      <c r="V267" s="34" t="n">
        <f aca="false">U267+S267</f>
        <v>66.3</v>
      </c>
      <c r="W267" s="34" t="n">
        <f aca="false">U267+T267</f>
        <v>67</v>
      </c>
      <c r="X267" s="16" t="n">
        <v>65</v>
      </c>
      <c r="Y267" s="34" t="n">
        <f aca="false">(X267*70)/100</f>
        <v>45.5</v>
      </c>
      <c r="Z267" s="34" t="n">
        <f aca="false">ROUNDUP(Y267,0)</f>
        <v>46</v>
      </c>
      <c r="AA267" s="16" t="n">
        <v>25</v>
      </c>
      <c r="AB267" s="34" t="n">
        <f aca="false">AA267+Y267</f>
        <v>70.5</v>
      </c>
      <c r="AC267" s="34" t="n">
        <f aca="false">AA267+Z267</f>
        <v>71</v>
      </c>
      <c r="AD267" s="32" t="n">
        <f aca="false">X267+R267+Q267+K267+J267</f>
        <v>329</v>
      </c>
      <c r="AE267" s="16" t="n">
        <f aca="false">AD267/5</f>
        <v>65.8</v>
      </c>
      <c r="AF267" s="16" t="n">
        <v>74</v>
      </c>
      <c r="AG267" s="16" t="n">
        <v>88</v>
      </c>
      <c r="AH267" s="16" t="n">
        <v>93</v>
      </c>
      <c r="AI267" s="16" t="n">
        <v>98</v>
      </c>
      <c r="AJ267" s="16" t="n">
        <f aca="false">(AI267*70)/100</f>
        <v>68.6</v>
      </c>
      <c r="AK267" s="35" t="n">
        <f aca="false">ROUNDUP(AJ267,0)</f>
        <v>69</v>
      </c>
      <c r="AL267" s="16" t="n">
        <v>29</v>
      </c>
      <c r="AM267" s="16" t="n">
        <f aca="false">AL267+AJ267</f>
        <v>97.6</v>
      </c>
      <c r="AN267" s="16" t="n">
        <f aca="false">AL267+AK267</f>
        <v>98</v>
      </c>
      <c r="AO267" s="16" t="n">
        <v>82</v>
      </c>
      <c r="AP267" s="36" t="n">
        <f aca="false">(AO267*70)/100</f>
        <v>57.4</v>
      </c>
      <c r="AQ267" s="37" t="n">
        <f aca="false">ROUNDUP(AP267,0)</f>
        <v>58</v>
      </c>
      <c r="AR267" s="16" t="n">
        <v>30</v>
      </c>
      <c r="AS267" s="16" t="n">
        <f aca="false">AR267+AP267</f>
        <v>87.4</v>
      </c>
      <c r="AT267" s="16" t="n">
        <f aca="false">AR267+AQ267</f>
        <v>88</v>
      </c>
      <c r="AU267" s="16" t="n">
        <f aca="false">AO267+AF267+AI267+AH267+AG267</f>
        <v>435</v>
      </c>
      <c r="AV267" s="16" t="n">
        <f aca="false">(AO267+AF267+AI267+AH267+AG267)/5</f>
        <v>87</v>
      </c>
      <c r="AW267" s="36" t="n">
        <f aca="false">(AO267+AF267+AI267+AH267+AG267+X267+R267+Q267+K267+J267)</f>
        <v>764</v>
      </c>
      <c r="AX267" s="16" t="n">
        <f aca="false">AW267/10</f>
        <v>76.4</v>
      </c>
      <c r="AY267" s="16" t="n">
        <f aca="false">AS267+AF267+AM267+AH267+AG267+AB267+V267+Q267+O267+J267</f>
        <v>790.1</v>
      </c>
      <c r="AZ267" s="16" t="n">
        <f aca="false">AT267+AF267+AN267+AH267+AG267+AC267+W267+Q267+P267+J267</f>
        <v>793</v>
      </c>
      <c r="BA267" s="16" t="n">
        <f aca="false">AY267/10</f>
        <v>79.01</v>
      </c>
      <c r="BB267" s="16" t="n">
        <f aca="false">AZ267/10</f>
        <v>79.3</v>
      </c>
      <c r="BC267" s="16" t="n">
        <v>2390</v>
      </c>
      <c r="BD267" s="16" t="n">
        <f aca="false">RANK(AX267,$AX$2:$AX$881,0)</f>
        <v>577</v>
      </c>
      <c r="BE267" s="54" t="n">
        <f aca="false">((BC267*100)/2400)*0.4+(AX267*0.6)</f>
        <v>85.6733333333334</v>
      </c>
      <c r="BF267" s="16" t="n">
        <f aca="false">RANK(BE267,$BE$2:$BE$881,0)</f>
        <v>482</v>
      </c>
      <c r="BG267" s="39" t="n">
        <f aca="false">RANK(BB267,$BB$2:$BB$881,0)</f>
        <v>424</v>
      </c>
      <c r="BH267" s="39" t="n">
        <f aca="false">RANK(BC267,$BC$2:$BC$881,0)</f>
        <v>52</v>
      </c>
      <c r="BI267" s="22" t="s">
        <v>130</v>
      </c>
      <c r="BJ267" s="22" t="s">
        <v>129</v>
      </c>
      <c r="BK267" s="40" t="s">
        <v>509</v>
      </c>
      <c r="BL267" s="41" t="n">
        <v>23</v>
      </c>
      <c r="BM267" s="41" t="n">
        <v>60</v>
      </c>
      <c r="BN267" s="41" t="n">
        <v>83</v>
      </c>
      <c r="BO267" s="42" t="n">
        <v>25</v>
      </c>
      <c r="BP267" s="43" t="n">
        <v>65</v>
      </c>
      <c r="BQ267" s="44" t="n">
        <v>90</v>
      </c>
      <c r="BR267" s="42" t="n">
        <v>23</v>
      </c>
      <c r="BS267" s="45" t="n">
        <v>56</v>
      </c>
      <c r="BT267" s="45" t="n">
        <v>79</v>
      </c>
      <c r="BU267" s="46" t="n">
        <v>100</v>
      </c>
      <c r="BV267" s="47" t="n">
        <v>96</v>
      </c>
      <c r="BW267" s="42" t="n">
        <v>98</v>
      </c>
      <c r="BX267" s="48" t="n">
        <v>94</v>
      </c>
      <c r="BY267" s="32" t="n">
        <v>28</v>
      </c>
      <c r="BZ267" s="32" t="n">
        <v>56</v>
      </c>
      <c r="CA267" s="32" t="n">
        <v>84</v>
      </c>
      <c r="CB267" s="32" t="n">
        <v>21</v>
      </c>
      <c r="CC267" s="32" t="n">
        <v>46</v>
      </c>
      <c r="CD267" s="32" t="n">
        <v>67</v>
      </c>
      <c r="CE267" s="32" t="n">
        <v>26</v>
      </c>
      <c r="CF267" s="32" t="n">
        <v>62</v>
      </c>
      <c r="CG267" s="32" t="n">
        <v>88</v>
      </c>
      <c r="CH267" s="32" t="n">
        <v>100</v>
      </c>
      <c r="CI267" s="32" t="n">
        <v>100</v>
      </c>
      <c r="CJ267" s="49" t="n">
        <v>23</v>
      </c>
      <c r="CK267" s="49" t="n">
        <v>53</v>
      </c>
      <c r="CL267" s="49" t="n">
        <v>76</v>
      </c>
      <c r="CM267" s="49" t="n">
        <v>22</v>
      </c>
      <c r="CN267" s="49" t="n">
        <v>49</v>
      </c>
      <c r="CO267" s="49" t="n">
        <v>71</v>
      </c>
      <c r="CP267" s="25" t="n">
        <f aca="false">BX267+BW267+BV267+BU267+BT267+BQ267+BN267</f>
        <v>640</v>
      </c>
      <c r="CQ267" s="25" t="n">
        <f aca="false">CO267+CL267+CI267+CH267+CG267+CD267+CA267</f>
        <v>586</v>
      </c>
      <c r="CR267" s="26" t="n">
        <f aca="false">CP267/7</f>
        <v>91.4285714285714</v>
      </c>
      <c r="CS267" s="26" t="n">
        <f aca="false">CQ267/7</f>
        <v>83.7142857142857</v>
      </c>
      <c r="CT267" s="24" t="n">
        <f aca="false">RANK(CR267,$CR$2:$CR$881,0)</f>
        <v>106</v>
      </c>
      <c r="CU267" s="25" t="n">
        <f aca="false">RANK(CS267,$CS$2:$CS$881,0)</f>
        <v>131</v>
      </c>
      <c r="CV267" s="26" t="n">
        <f aca="false">(CS267+CR267)/2</f>
        <v>87.5714285714286</v>
      </c>
      <c r="CW267" s="25" t="n">
        <f aca="false">RANK(CV267,$CV$2:$CV$881,0)</f>
        <v>114</v>
      </c>
      <c r="CX267" s="50" t="n">
        <f aca="false">(CV267+BB267)/2</f>
        <v>83.4357142857143</v>
      </c>
      <c r="CY267" s="50" t="n">
        <v>195</v>
      </c>
      <c r="CZ267" s="27" t="s">
        <v>132</v>
      </c>
      <c r="DA267" s="27" t="s">
        <v>162</v>
      </c>
      <c r="DB267" s="27" t="s">
        <v>162</v>
      </c>
      <c r="DC267" s="27" t="s">
        <v>134</v>
      </c>
      <c r="DD267" s="27" t="s">
        <v>182</v>
      </c>
      <c r="DE267" s="27" t="s">
        <v>136</v>
      </c>
      <c r="DF267" s="27" t="s">
        <v>178</v>
      </c>
      <c r="DG267" s="27" t="s">
        <v>134</v>
      </c>
      <c r="DH267" s="27" t="s">
        <v>140</v>
      </c>
      <c r="DI267" s="27" t="s">
        <v>203</v>
      </c>
      <c r="DJ267" s="27" t="s">
        <v>170</v>
      </c>
      <c r="DK267" s="27" t="s">
        <v>134</v>
      </c>
      <c r="DL267" s="27" t="s">
        <v>140</v>
      </c>
      <c r="DM267" s="27" t="s">
        <v>161</v>
      </c>
      <c r="DN267" s="27" t="s">
        <v>153</v>
      </c>
      <c r="DO267" s="27" t="s">
        <v>134</v>
      </c>
      <c r="DP267" s="27"/>
      <c r="DQ267" s="27"/>
      <c r="DR267" s="27"/>
      <c r="DS267" s="27"/>
      <c r="DT267" s="27" t="s">
        <v>146</v>
      </c>
      <c r="DU267" s="27" t="s">
        <v>203</v>
      </c>
      <c r="DV267" s="27" t="s">
        <v>176</v>
      </c>
      <c r="DW267" s="27" t="s">
        <v>140</v>
      </c>
      <c r="DX267" s="27" t="s">
        <v>155</v>
      </c>
      <c r="DY267" s="27" t="s">
        <v>147</v>
      </c>
      <c r="DZ267" s="27" t="n">
        <f aca="false">DY267+DV267+DR267+DN267+DJ267+DF267+DB267</f>
        <v>548</v>
      </c>
      <c r="EA267" s="28" t="n">
        <f aca="false">DZ267/7</f>
        <v>78.2857142857143</v>
      </c>
      <c r="EB267" s="27" t="n">
        <f aca="false">RANK(EA267,$EA$2:$EA$881,0)</f>
        <v>449</v>
      </c>
      <c r="EC267" s="29" t="n">
        <f aca="false">DZ267+CQ267+CP267+AZ267</f>
        <v>2567</v>
      </c>
      <c r="ED267" s="30" t="n">
        <f aca="false">(EA267+CV267+BB267)/3</f>
        <v>81.7190476190476</v>
      </c>
      <c r="EE267" s="51" t="n">
        <f aca="false">ROUND(BE267,3)</f>
        <v>85.673</v>
      </c>
      <c r="EF267" s="51" t="n">
        <f aca="false">ROUND(CR267,3)</f>
        <v>91.429</v>
      </c>
      <c r="EG267" s="51" t="n">
        <f aca="false">ROUND(CS267,3)</f>
        <v>83.714</v>
      </c>
      <c r="EH267" s="51" t="n">
        <f aca="false">ROUND(EA267,3)</f>
        <v>78.286</v>
      </c>
      <c r="EI267" s="51" t="n">
        <f aca="false">ROUND(ED267,3)</f>
        <v>81.719</v>
      </c>
      <c r="EJ267" s="51" t="n">
        <f aca="false">ROUND(CV267,3)</f>
        <v>87.571</v>
      </c>
      <c r="EK267" s="0" t="n">
        <f aca="false">RANK(EI267,$EI$2:$EI$881,0)</f>
        <v>266</v>
      </c>
    </row>
    <row r="268" customFormat="false" ht="15" hidden="false" customHeight="false" outlineLevel="0" collapsed="false">
      <c r="A268" s="4" t="n">
        <v>8748</v>
      </c>
      <c r="B268" s="4" t="n">
        <v>107</v>
      </c>
      <c r="C268" s="27" t="s">
        <v>943</v>
      </c>
      <c r="D268" s="52" t="n">
        <v>107</v>
      </c>
      <c r="E268" s="16" t="n">
        <v>230132928</v>
      </c>
      <c r="F268" s="56" t="s">
        <v>944</v>
      </c>
      <c r="G268" s="22" t="s">
        <v>493</v>
      </c>
      <c r="H268" s="22" t="s">
        <v>326</v>
      </c>
      <c r="I268" s="57"/>
      <c r="J268" s="16" t="n">
        <v>72</v>
      </c>
      <c r="K268" s="16" t="n">
        <v>81</v>
      </c>
      <c r="L268" s="34" t="n">
        <f aca="false">(K268*70)/100</f>
        <v>56.7</v>
      </c>
      <c r="M268" s="34" t="n">
        <f aca="false">ROUNDUP(L268,0)</f>
        <v>57</v>
      </c>
      <c r="N268" s="16" t="n">
        <v>23</v>
      </c>
      <c r="O268" s="34" t="n">
        <f aca="false">N268+L268</f>
        <v>79.7</v>
      </c>
      <c r="P268" s="34" t="n">
        <f aca="false">N268+M268</f>
        <v>80</v>
      </c>
      <c r="Q268" s="16" t="n">
        <v>83</v>
      </c>
      <c r="R268" s="16" t="n">
        <v>78</v>
      </c>
      <c r="S268" s="34" t="n">
        <f aca="false">(R268*70)/100</f>
        <v>54.6</v>
      </c>
      <c r="T268" s="34" t="n">
        <f aca="false">ROUNDUP(S268,0)</f>
        <v>55</v>
      </c>
      <c r="U268" s="16" t="n">
        <v>25</v>
      </c>
      <c r="V268" s="34" t="n">
        <f aca="false">U268+S268</f>
        <v>79.6</v>
      </c>
      <c r="W268" s="34" t="n">
        <f aca="false">U268+T268</f>
        <v>80</v>
      </c>
      <c r="X268" s="16" t="n">
        <v>71</v>
      </c>
      <c r="Y268" s="34" t="n">
        <f aca="false">(X268*70)/100</f>
        <v>49.7</v>
      </c>
      <c r="Z268" s="34" t="n">
        <f aca="false">ROUNDUP(Y268,0)</f>
        <v>50</v>
      </c>
      <c r="AA268" s="16" t="n">
        <v>27</v>
      </c>
      <c r="AB268" s="34" t="n">
        <f aca="false">AA268+Y268</f>
        <v>76.7</v>
      </c>
      <c r="AC268" s="34" t="n">
        <f aca="false">AA268+Z268</f>
        <v>77</v>
      </c>
      <c r="AD268" s="32" t="n">
        <f aca="false">X268+R268+Q268+K268+J268</f>
        <v>385</v>
      </c>
      <c r="AE268" s="16" t="n">
        <f aca="false">AD268/5</f>
        <v>77</v>
      </c>
      <c r="AF268" s="16" t="n">
        <v>79</v>
      </c>
      <c r="AG268" s="16" t="n">
        <v>82</v>
      </c>
      <c r="AH268" s="16" t="n">
        <v>91</v>
      </c>
      <c r="AI268" s="16" t="n">
        <v>88</v>
      </c>
      <c r="AJ268" s="16" t="n">
        <f aca="false">(AI268*70)/100</f>
        <v>61.6</v>
      </c>
      <c r="AK268" s="35" t="n">
        <f aca="false">ROUNDUP(AJ268,0)</f>
        <v>62</v>
      </c>
      <c r="AL268" s="16" t="n">
        <v>28</v>
      </c>
      <c r="AM268" s="16" t="n">
        <f aca="false">AL268+AJ268</f>
        <v>89.6</v>
      </c>
      <c r="AN268" s="16" t="n">
        <f aca="false">AL268+AK268</f>
        <v>90</v>
      </c>
      <c r="AO268" s="16" t="n">
        <v>81</v>
      </c>
      <c r="AP268" s="36" t="n">
        <f aca="false">(AO268*70)/100</f>
        <v>56.7</v>
      </c>
      <c r="AQ268" s="37" t="n">
        <f aca="false">ROUNDUP(AP268,0)</f>
        <v>57</v>
      </c>
      <c r="AR268" s="16" t="n">
        <v>27</v>
      </c>
      <c r="AS268" s="16" t="n">
        <f aca="false">AR268+AP268</f>
        <v>83.7</v>
      </c>
      <c r="AT268" s="16" t="n">
        <f aca="false">AR268+AQ268</f>
        <v>84</v>
      </c>
      <c r="AU268" s="16" t="n">
        <f aca="false">AO268+AF268+AI268+AH268+AG268</f>
        <v>421</v>
      </c>
      <c r="AV268" s="16" t="n">
        <f aca="false">(AO268+AF268+AI268+AH268+AG268)/5</f>
        <v>84.2</v>
      </c>
      <c r="AW268" s="36" t="n">
        <f aca="false">(AO268+AF268+AI268+AH268+AG268+X268+R268+Q268+K268+J268)</f>
        <v>806</v>
      </c>
      <c r="AX268" s="16" t="n">
        <f aca="false">AW268/10</f>
        <v>80.6</v>
      </c>
      <c r="AY268" s="16" t="n">
        <f aca="false">AS268+AF268+AM268+AH268+AG268+AB268+V268+Q268+O268+J268</f>
        <v>816.3</v>
      </c>
      <c r="AZ268" s="16" t="n">
        <f aca="false">AT268+AF268+AN268+AH268+AG268+AC268+W268+Q268+P268+J268</f>
        <v>818</v>
      </c>
      <c r="BA268" s="16" t="n">
        <f aca="false">AY268/10</f>
        <v>81.63</v>
      </c>
      <c r="BB268" s="16" t="n">
        <f aca="false">AZ268/10</f>
        <v>81.8</v>
      </c>
      <c r="BC268" s="16" t="n">
        <v>2345</v>
      </c>
      <c r="BD268" s="16" t="n">
        <f aca="false">RANK(AX268,$AX$2:$AX$881,0)</f>
        <v>228</v>
      </c>
      <c r="BE268" s="54" t="n">
        <f aca="false">((BC268*100)/2400)*0.4+(AX268*0.6)</f>
        <v>87.4433333333333</v>
      </c>
      <c r="BF268" s="16" t="n">
        <f aca="false">RANK(BE268,$BE$2:$BE$881,0)</f>
        <v>254</v>
      </c>
      <c r="BG268" s="39" t="n">
        <f aca="false">RANK(BB268,$BB$2:$BB$881,0)</f>
        <v>222</v>
      </c>
      <c r="BH268" s="39" t="n">
        <f aca="false">RANK(BC268,$BC$2:$BC$881,0)</f>
        <v>585</v>
      </c>
      <c r="BI268" s="22" t="s">
        <v>130</v>
      </c>
      <c r="BJ268" s="22" t="s">
        <v>129</v>
      </c>
      <c r="BK268" s="40" t="s">
        <v>131</v>
      </c>
      <c r="BL268" s="41" t="n">
        <v>20</v>
      </c>
      <c r="BM268" s="41" t="n">
        <v>59</v>
      </c>
      <c r="BN268" s="41" t="n">
        <v>79</v>
      </c>
      <c r="BO268" s="42" t="n">
        <v>26</v>
      </c>
      <c r="BP268" s="43" t="n">
        <v>50</v>
      </c>
      <c r="BQ268" s="44" t="n">
        <v>76</v>
      </c>
      <c r="BR268" s="42" t="n">
        <v>24</v>
      </c>
      <c r="BS268" s="45" t="n">
        <v>56</v>
      </c>
      <c r="BT268" s="45" t="n">
        <v>80</v>
      </c>
      <c r="BU268" s="46" t="n">
        <v>99</v>
      </c>
      <c r="BV268" s="47" t="n">
        <v>88</v>
      </c>
      <c r="BW268" s="42" t="n">
        <v>100</v>
      </c>
      <c r="BX268" s="48" t="n">
        <v>86</v>
      </c>
      <c r="BY268" s="32" t="n">
        <v>25</v>
      </c>
      <c r="BZ268" s="32" t="n">
        <v>41</v>
      </c>
      <c r="CA268" s="32" t="n">
        <v>66</v>
      </c>
      <c r="CB268" s="32" t="n">
        <v>23</v>
      </c>
      <c r="CC268" s="32" t="n">
        <v>42</v>
      </c>
      <c r="CD268" s="32" t="n">
        <v>65</v>
      </c>
      <c r="CE268" s="32" t="n">
        <v>28</v>
      </c>
      <c r="CF268" s="32" t="n">
        <v>52</v>
      </c>
      <c r="CG268" s="32" t="n">
        <v>80</v>
      </c>
      <c r="CH268" s="32" t="n">
        <v>92</v>
      </c>
      <c r="CI268" s="32" t="n">
        <v>92</v>
      </c>
      <c r="CJ268" s="49" t="n">
        <v>21</v>
      </c>
      <c r="CK268" s="49" t="n">
        <v>46</v>
      </c>
      <c r="CL268" s="49" t="n">
        <v>67</v>
      </c>
      <c r="CM268" s="49" t="n">
        <v>21</v>
      </c>
      <c r="CN268" s="49" t="n">
        <v>56</v>
      </c>
      <c r="CO268" s="49" t="n">
        <v>77</v>
      </c>
      <c r="CP268" s="25" t="n">
        <f aca="false">BX268+BW268+BV268+BU268+BT268+BQ268+BN268</f>
        <v>608</v>
      </c>
      <c r="CQ268" s="25" t="n">
        <f aca="false">CO268+CL268+CI268+CH268+CG268+CD268+CA268</f>
        <v>539</v>
      </c>
      <c r="CR268" s="26" t="n">
        <f aca="false">CP268/7</f>
        <v>86.8571428571429</v>
      </c>
      <c r="CS268" s="26" t="n">
        <f aca="false">CQ268/7</f>
        <v>77</v>
      </c>
      <c r="CT268" s="24" t="n">
        <f aca="false">RANK(CR268,$CR$2:$CR$881,0)</f>
        <v>359</v>
      </c>
      <c r="CU268" s="25" t="n">
        <f aca="false">RANK(CS268,$CS$2:$CS$881,0)</f>
        <v>363</v>
      </c>
      <c r="CV268" s="26" t="n">
        <f aca="false">(CS268+CR268)/2</f>
        <v>81.9285714285714</v>
      </c>
      <c r="CW268" s="25" t="n">
        <f aca="false">RANK(CV268,$CV$2:$CV$881,0)</f>
        <v>346</v>
      </c>
      <c r="CX268" s="50" t="n">
        <f aca="false">(CV268+BB268)/2</f>
        <v>81.8642857142857</v>
      </c>
      <c r="CY268" s="50" t="n">
        <v>277</v>
      </c>
      <c r="CZ268" s="27" t="s">
        <v>132</v>
      </c>
      <c r="DA268" s="27" t="s">
        <v>176</v>
      </c>
      <c r="DB268" s="27" t="s">
        <v>176</v>
      </c>
      <c r="DC268" s="27" t="s">
        <v>134</v>
      </c>
      <c r="DD268" s="27" t="s">
        <v>182</v>
      </c>
      <c r="DE268" s="27" t="s">
        <v>204</v>
      </c>
      <c r="DF268" s="27" t="s">
        <v>169</v>
      </c>
      <c r="DG268" s="27" t="s">
        <v>134</v>
      </c>
      <c r="DH268" s="27" t="s">
        <v>135</v>
      </c>
      <c r="DI268" s="27" t="s">
        <v>218</v>
      </c>
      <c r="DJ268" s="27" t="s">
        <v>205</v>
      </c>
      <c r="DK268" s="27" t="s">
        <v>134</v>
      </c>
      <c r="DL268" s="27" t="s">
        <v>174</v>
      </c>
      <c r="DM268" s="27" t="s">
        <v>306</v>
      </c>
      <c r="DN268" s="27" t="s">
        <v>382</v>
      </c>
      <c r="DO268" s="27" t="s">
        <v>134</v>
      </c>
      <c r="DP268" s="27" t="s">
        <v>386</v>
      </c>
      <c r="DQ268" s="27" t="s">
        <v>447</v>
      </c>
      <c r="DR268" s="27" t="s">
        <v>416</v>
      </c>
      <c r="DS268" s="27" t="s">
        <v>134</v>
      </c>
      <c r="DT268" s="27" t="s">
        <v>137</v>
      </c>
      <c r="DU268" s="27" t="s">
        <v>447</v>
      </c>
      <c r="DV268" s="27" t="s">
        <v>272</v>
      </c>
      <c r="DW268" s="27" t="s">
        <v>154</v>
      </c>
      <c r="DX268" s="27" t="s">
        <v>136</v>
      </c>
      <c r="DY268" s="27" t="s">
        <v>202</v>
      </c>
      <c r="DZ268" s="27" t="n">
        <f aca="false">DY268+DV268+DR268+DN268+DJ268+DF268+DB268</f>
        <v>570</v>
      </c>
      <c r="EA268" s="28" t="n">
        <f aca="false">DZ268/7</f>
        <v>81.4285714285714</v>
      </c>
      <c r="EB268" s="27" t="n">
        <f aca="false">RANK(EA268,$EA$2:$EA$881,0)</f>
        <v>327</v>
      </c>
      <c r="EC268" s="29" t="n">
        <f aca="false">DZ268+CQ268+CP268+AZ268</f>
        <v>2535</v>
      </c>
      <c r="ED268" s="30" t="n">
        <f aca="false">(EA268+CV268+BB268)/3</f>
        <v>81.7190476190476</v>
      </c>
      <c r="EE268" s="51" t="n">
        <f aca="false">ROUND(BE268,3)</f>
        <v>87.443</v>
      </c>
      <c r="EF268" s="51" t="n">
        <f aca="false">ROUND(CR268,3)</f>
        <v>86.857</v>
      </c>
      <c r="EG268" s="51" t="n">
        <f aca="false">ROUND(CS268,3)</f>
        <v>77</v>
      </c>
      <c r="EH268" s="51" t="n">
        <f aca="false">ROUND(EA268,3)</f>
        <v>81.429</v>
      </c>
      <c r="EI268" s="51" t="n">
        <f aca="false">ROUND(ED268,3)</f>
        <v>81.719</v>
      </c>
      <c r="EJ268" s="51" t="n">
        <f aca="false">ROUND(CV268,3)</f>
        <v>81.929</v>
      </c>
      <c r="EK268" s="0" t="n">
        <f aca="false">RANK(EI268,$EI$2:$EI$881,0)</f>
        <v>266</v>
      </c>
    </row>
    <row r="269" customFormat="false" ht="15" hidden="false" customHeight="false" outlineLevel="0" collapsed="false">
      <c r="A269" s="4" t="n">
        <v>1992</v>
      </c>
      <c r="B269" s="4" t="n">
        <v>172</v>
      </c>
      <c r="C269" s="27" t="s">
        <v>945</v>
      </c>
      <c r="D269" s="31" t="n">
        <v>173</v>
      </c>
      <c r="E269" s="16" t="n">
        <v>230617123</v>
      </c>
      <c r="F269" s="56" t="s">
        <v>946</v>
      </c>
      <c r="G269" s="22" t="s">
        <v>573</v>
      </c>
      <c r="H269" s="22" t="s">
        <v>558</v>
      </c>
      <c r="I269" s="57"/>
      <c r="J269" s="16" t="n">
        <v>65</v>
      </c>
      <c r="K269" s="16" t="n">
        <v>78</v>
      </c>
      <c r="L269" s="34" t="n">
        <f aca="false">(K269*70)/100</f>
        <v>54.6</v>
      </c>
      <c r="M269" s="34" t="n">
        <f aca="false">ROUNDUP(L269,0)</f>
        <v>55</v>
      </c>
      <c r="N269" s="16" t="n">
        <v>25</v>
      </c>
      <c r="O269" s="34" t="n">
        <f aca="false">N269+L269</f>
        <v>79.6</v>
      </c>
      <c r="P269" s="34" t="n">
        <f aca="false">N269+M269</f>
        <v>80</v>
      </c>
      <c r="Q269" s="16" t="n">
        <v>79</v>
      </c>
      <c r="R269" s="16" t="n">
        <v>74</v>
      </c>
      <c r="S269" s="34" t="n">
        <f aca="false">(R269*70)/100</f>
        <v>51.8</v>
      </c>
      <c r="T269" s="34" t="n">
        <f aca="false">ROUNDUP(S269,0)</f>
        <v>52</v>
      </c>
      <c r="U269" s="16" t="n">
        <v>25</v>
      </c>
      <c r="V269" s="34" t="n">
        <f aca="false">U269+S269</f>
        <v>76.8</v>
      </c>
      <c r="W269" s="34" t="n">
        <f aca="false">U269+T269</f>
        <v>77</v>
      </c>
      <c r="X269" s="16" t="n">
        <v>76</v>
      </c>
      <c r="Y269" s="34" t="n">
        <f aca="false">(X269*70)/100</f>
        <v>53.2</v>
      </c>
      <c r="Z269" s="34" t="n">
        <f aca="false">ROUNDUP(Y269,0)</f>
        <v>54</v>
      </c>
      <c r="AA269" s="16" t="n">
        <v>21</v>
      </c>
      <c r="AB269" s="34" t="n">
        <f aca="false">AA269+Y269</f>
        <v>74.2</v>
      </c>
      <c r="AC269" s="34" t="n">
        <f aca="false">AA269+Z269</f>
        <v>75</v>
      </c>
      <c r="AD269" s="32" t="n">
        <f aca="false">X269+R269+Q269+K269+J269</f>
        <v>372</v>
      </c>
      <c r="AE269" s="16" t="n">
        <f aca="false">AD269/5</f>
        <v>74.4</v>
      </c>
      <c r="AF269" s="16" t="n">
        <v>62</v>
      </c>
      <c r="AG269" s="16" t="n">
        <v>75</v>
      </c>
      <c r="AH269" s="16" t="n">
        <v>89</v>
      </c>
      <c r="AI269" s="16" t="n">
        <v>90</v>
      </c>
      <c r="AJ269" s="16" t="n">
        <f aca="false">(AI269*70)/100</f>
        <v>63</v>
      </c>
      <c r="AK269" s="35" t="n">
        <f aca="false">ROUNDUP(AJ269,0)</f>
        <v>63</v>
      </c>
      <c r="AL269" s="16" t="n">
        <v>23</v>
      </c>
      <c r="AM269" s="16" t="n">
        <f aca="false">AL269+AJ269</f>
        <v>86</v>
      </c>
      <c r="AN269" s="16" t="n">
        <f aca="false">AL269+AK269</f>
        <v>86</v>
      </c>
      <c r="AO269" s="16" t="n">
        <v>75</v>
      </c>
      <c r="AP269" s="36" t="n">
        <f aca="false">(AO269*70)/100</f>
        <v>52.5</v>
      </c>
      <c r="AQ269" s="37" t="n">
        <f aca="false">ROUNDUP(AP269,0)</f>
        <v>53</v>
      </c>
      <c r="AR269" s="16" t="n">
        <v>28</v>
      </c>
      <c r="AS269" s="16" t="n">
        <f aca="false">AR269+AP269</f>
        <v>80.5</v>
      </c>
      <c r="AT269" s="16" t="n">
        <f aca="false">AR269+AQ269</f>
        <v>81</v>
      </c>
      <c r="AU269" s="16" t="n">
        <f aca="false">AO269+AF269+AI269+AH269+AG269</f>
        <v>391</v>
      </c>
      <c r="AV269" s="16" t="n">
        <f aca="false">(AO269+AF269+AI269+AH269+AG269)/5</f>
        <v>78.2</v>
      </c>
      <c r="AW269" s="36" t="n">
        <f aca="false">(AO269+AF269+AI269+AH269+AG269+X269+R269+Q269+K269+J269)</f>
        <v>763</v>
      </c>
      <c r="AX269" s="16" t="n">
        <f aca="false">AW269/10</f>
        <v>76.3</v>
      </c>
      <c r="AY269" s="16" t="n">
        <f aca="false">AS269+AF269+AM269+AH269+AG269+AB269+V269+Q269+O269+J269</f>
        <v>767.1</v>
      </c>
      <c r="AZ269" s="16" t="n">
        <f aca="false">AT269+AF269+AN269+AH269+AG269+AC269+W269+Q269+P269+J269</f>
        <v>769</v>
      </c>
      <c r="BA269" s="16" t="n">
        <f aca="false">AY269/10</f>
        <v>76.71</v>
      </c>
      <c r="BB269" s="16" t="n">
        <f aca="false">AZ269/10</f>
        <v>76.9</v>
      </c>
      <c r="BC269" s="16" t="n">
        <v>2359</v>
      </c>
      <c r="BD269" s="16" t="n">
        <f aca="false">RANK(AX269,$AX$2:$AX$881,0)</f>
        <v>593</v>
      </c>
      <c r="BE269" s="54" t="n">
        <f aca="false">((BC269*100)/2400)*0.4+(AX269*0.6)</f>
        <v>85.0966666666667</v>
      </c>
      <c r="BF269" s="16" t="n">
        <f aca="false">RANK(BE269,$BE$2:$BE$881,0)</f>
        <v>587</v>
      </c>
      <c r="BG269" s="39" t="n">
        <f aca="false">RANK(BB269,$BB$2:$BB$881,0)</f>
        <v>648</v>
      </c>
      <c r="BH269" s="39" t="n">
        <f aca="false">RANK(BC269,$BC$2:$BC$881,0)</f>
        <v>414</v>
      </c>
      <c r="BI269" s="22" t="s">
        <v>130</v>
      </c>
      <c r="BJ269" s="22" t="s">
        <v>129</v>
      </c>
      <c r="BK269" s="22" t="s">
        <v>509</v>
      </c>
      <c r="BL269" s="41" t="n">
        <v>17</v>
      </c>
      <c r="BM269" s="41" t="n">
        <v>53</v>
      </c>
      <c r="BN269" s="41" t="n">
        <v>70</v>
      </c>
      <c r="BO269" s="42" t="n">
        <v>25</v>
      </c>
      <c r="BP269" s="43" t="n">
        <v>55</v>
      </c>
      <c r="BQ269" s="44" t="n">
        <v>80</v>
      </c>
      <c r="BR269" s="42" t="n">
        <v>22</v>
      </c>
      <c r="BS269" s="45" t="n">
        <v>49</v>
      </c>
      <c r="BT269" s="45" t="n">
        <v>71</v>
      </c>
      <c r="BU269" s="46" t="n">
        <v>100</v>
      </c>
      <c r="BV269" s="47" t="n">
        <v>90</v>
      </c>
      <c r="BW269" s="42" t="n">
        <v>100</v>
      </c>
      <c r="BX269" s="62" t="n">
        <v>92</v>
      </c>
      <c r="BY269" s="62" t="n">
        <v>24</v>
      </c>
      <c r="BZ269" s="62" t="n">
        <v>53</v>
      </c>
      <c r="CA269" s="62" t="n">
        <v>77</v>
      </c>
      <c r="CB269" s="62" t="n">
        <v>22</v>
      </c>
      <c r="CC269" s="62" t="n">
        <v>43</v>
      </c>
      <c r="CD269" s="62" t="n">
        <v>65</v>
      </c>
      <c r="CE269" s="62" t="n">
        <v>29</v>
      </c>
      <c r="CF269" s="62" t="n">
        <v>54</v>
      </c>
      <c r="CG269" s="62" t="n">
        <v>83</v>
      </c>
      <c r="CH269" s="62" t="n">
        <v>98</v>
      </c>
      <c r="CI269" s="62" t="n">
        <v>90</v>
      </c>
      <c r="CJ269" s="75" t="n">
        <v>25</v>
      </c>
      <c r="CK269" s="75" t="n">
        <v>45</v>
      </c>
      <c r="CL269" s="75" t="n">
        <v>70</v>
      </c>
      <c r="CM269" s="49" t="n">
        <v>22</v>
      </c>
      <c r="CN269" s="49" t="n">
        <v>46</v>
      </c>
      <c r="CO269" s="49" t="n">
        <v>68</v>
      </c>
      <c r="CP269" s="25" t="n">
        <f aca="false">BX269+BW269+BV269+BU269+BT269+BQ269+BN269</f>
        <v>603</v>
      </c>
      <c r="CQ269" s="25" t="n">
        <f aca="false">CO269+CL269+CI269+CH269+CG269+CD269+CA269</f>
        <v>551</v>
      </c>
      <c r="CR269" s="26" t="n">
        <f aca="false">CP269/7</f>
        <v>86.1428571428571</v>
      </c>
      <c r="CS269" s="26" t="n">
        <f aca="false">CQ269/7</f>
        <v>78.7142857142857</v>
      </c>
      <c r="CT269" s="24" t="n">
        <f aca="false">RANK(CR269,$CR$2:$CR$881,0)</f>
        <v>396</v>
      </c>
      <c r="CU269" s="25" t="n">
        <f aca="false">RANK(CS269,$CS$2:$CS$881,0)</f>
        <v>313</v>
      </c>
      <c r="CV269" s="26" t="n">
        <f aca="false">(CS269+CR269)/2</f>
        <v>82.4285714285714</v>
      </c>
      <c r="CW269" s="25" t="n">
        <f aca="false">RANK(CV269,$CV$2:$CV$881,0)</f>
        <v>320</v>
      </c>
      <c r="CX269" s="50" t="n">
        <f aca="false">(CV269+BB269)/2</f>
        <v>79.6642857142857</v>
      </c>
      <c r="CY269" s="50" t="n">
        <v>388</v>
      </c>
      <c r="CZ269" s="27" t="s">
        <v>132</v>
      </c>
      <c r="DA269" s="27" t="s">
        <v>133</v>
      </c>
      <c r="DB269" s="27" t="s">
        <v>133</v>
      </c>
      <c r="DC269" s="27" t="s">
        <v>134</v>
      </c>
      <c r="DD269" s="27" t="s">
        <v>191</v>
      </c>
      <c r="DE269" s="27" t="s">
        <v>177</v>
      </c>
      <c r="DF269" s="27" t="s">
        <v>219</v>
      </c>
      <c r="DG269" s="27" t="s">
        <v>134</v>
      </c>
      <c r="DH269" s="27" t="s">
        <v>146</v>
      </c>
      <c r="DI269" s="27" t="s">
        <v>161</v>
      </c>
      <c r="DJ269" s="27" t="s">
        <v>170</v>
      </c>
      <c r="DK269" s="27" t="s">
        <v>134</v>
      </c>
      <c r="DL269" s="27" t="s">
        <v>164</v>
      </c>
      <c r="DM269" s="27" t="s">
        <v>161</v>
      </c>
      <c r="DN269" s="27" t="s">
        <v>133</v>
      </c>
      <c r="DO269" s="27" t="s">
        <v>134</v>
      </c>
      <c r="DP269" s="27" t="s">
        <v>174</v>
      </c>
      <c r="DQ269" s="27" t="s">
        <v>375</v>
      </c>
      <c r="DR269" s="27" t="s">
        <v>398</v>
      </c>
      <c r="DS269" s="27" t="s">
        <v>134</v>
      </c>
      <c r="DT269" s="27" t="s">
        <v>140</v>
      </c>
      <c r="DU269" s="27" t="s">
        <v>183</v>
      </c>
      <c r="DV269" s="27" t="s">
        <v>178</v>
      </c>
      <c r="DW269" s="27" t="s">
        <v>182</v>
      </c>
      <c r="DX269" s="27" t="s">
        <v>155</v>
      </c>
      <c r="DY269" s="27" t="s">
        <v>156</v>
      </c>
      <c r="DZ269" s="27" t="n">
        <f aca="false">DY269+DV269+DR269+DN269+DJ269+DF269+DB269</f>
        <v>600</v>
      </c>
      <c r="EA269" s="28" t="n">
        <f aca="false">DZ269/7</f>
        <v>85.7142857142857</v>
      </c>
      <c r="EB269" s="27" t="n">
        <f aca="false">RANK(EA269,$EA$2:$EA$881,0)</f>
        <v>163</v>
      </c>
      <c r="EC269" s="29" t="n">
        <f aca="false">DZ269+CQ269+CP269+AZ269</f>
        <v>2523</v>
      </c>
      <c r="ED269" s="30" t="n">
        <f aca="false">(EA269+CV269+BB269)/3</f>
        <v>81.6809523809524</v>
      </c>
      <c r="EE269" s="51" t="n">
        <f aca="false">ROUND(BE269,3)</f>
        <v>85.097</v>
      </c>
      <c r="EF269" s="51" t="n">
        <f aca="false">ROUND(CR269,3)</f>
        <v>86.143</v>
      </c>
      <c r="EG269" s="51" t="n">
        <f aca="false">ROUND(CS269,3)</f>
        <v>78.714</v>
      </c>
      <c r="EH269" s="51" t="n">
        <f aca="false">ROUND(EA269,3)</f>
        <v>85.714</v>
      </c>
      <c r="EI269" s="51" t="n">
        <f aca="false">ROUND(ED269,3)</f>
        <v>81.681</v>
      </c>
      <c r="EJ269" s="51" t="n">
        <f aca="false">ROUND(CV269,3)</f>
        <v>82.429</v>
      </c>
      <c r="EK269" s="0" t="n">
        <f aca="false">RANK(EI269,$EI$2:$EI$881,0)</f>
        <v>268</v>
      </c>
    </row>
    <row r="270" customFormat="false" ht="15" hidden="false" customHeight="false" outlineLevel="0" collapsed="false">
      <c r="A270" s="4" t="n">
        <v>9104</v>
      </c>
      <c r="B270" s="4" t="n">
        <v>75</v>
      </c>
      <c r="C270" s="27" t="s">
        <v>947</v>
      </c>
      <c r="D270" s="52" t="n">
        <v>77</v>
      </c>
      <c r="E270" s="32" t="n">
        <v>230311849</v>
      </c>
      <c r="F270" s="8" t="s">
        <v>948</v>
      </c>
      <c r="G270" s="22" t="s">
        <v>949</v>
      </c>
      <c r="H270" s="22" t="s">
        <v>129</v>
      </c>
      <c r="I270" s="33" t="n">
        <v>2005</v>
      </c>
      <c r="J270" s="32" t="n">
        <v>76</v>
      </c>
      <c r="K270" s="32" t="n">
        <v>88</v>
      </c>
      <c r="L270" s="34" t="n">
        <f aca="false">(K270*70)/100</f>
        <v>61.6</v>
      </c>
      <c r="M270" s="34" t="n">
        <f aca="false">ROUNDUP(L270,0)</f>
        <v>62</v>
      </c>
      <c r="N270" s="32" t="n">
        <v>27</v>
      </c>
      <c r="O270" s="34" t="n">
        <f aca="false">N270+L270</f>
        <v>88.6</v>
      </c>
      <c r="P270" s="34" t="n">
        <f aca="false">N270+M270</f>
        <v>89</v>
      </c>
      <c r="Q270" s="32" t="n">
        <v>81</v>
      </c>
      <c r="R270" s="32" t="n">
        <v>75</v>
      </c>
      <c r="S270" s="34" t="n">
        <f aca="false">(R270*70)/100</f>
        <v>52.5</v>
      </c>
      <c r="T270" s="34" t="n">
        <f aca="false">ROUNDUP(S270,0)</f>
        <v>53</v>
      </c>
      <c r="U270" s="32" t="n">
        <v>17</v>
      </c>
      <c r="V270" s="34" t="n">
        <f aca="false">U270+S270</f>
        <v>69.5</v>
      </c>
      <c r="W270" s="34" t="n">
        <f aca="false">U270+T270</f>
        <v>70</v>
      </c>
      <c r="X270" s="32" t="n">
        <v>74</v>
      </c>
      <c r="Y270" s="34" t="n">
        <f aca="false">(X270*70)/100</f>
        <v>51.8</v>
      </c>
      <c r="Z270" s="34" t="n">
        <f aca="false">ROUNDUP(Y270,0)</f>
        <v>52</v>
      </c>
      <c r="AA270" s="32" t="n">
        <v>26</v>
      </c>
      <c r="AB270" s="34" t="n">
        <f aca="false">AA270+Y270</f>
        <v>77.8</v>
      </c>
      <c r="AC270" s="34" t="n">
        <f aca="false">AA270+Z270</f>
        <v>78</v>
      </c>
      <c r="AD270" s="32" t="n">
        <f aca="false">X270+R270+Q270+K270+J270</f>
        <v>394</v>
      </c>
      <c r="AE270" s="16" t="n">
        <f aca="false">AD270/5</f>
        <v>78.8</v>
      </c>
      <c r="AF270" s="16" t="n">
        <v>78</v>
      </c>
      <c r="AG270" s="16" t="n">
        <v>77</v>
      </c>
      <c r="AH270" s="16" t="n">
        <v>93</v>
      </c>
      <c r="AI270" s="16" t="n">
        <v>92</v>
      </c>
      <c r="AJ270" s="16" t="n">
        <f aca="false">(AI270*70)/100</f>
        <v>64.4</v>
      </c>
      <c r="AK270" s="35" t="n">
        <f aca="false">ROUNDUP(AJ270,0)</f>
        <v>65</v>
      </c>
      <c r="AL270" s="16" t="n">
        <v>27</v>
      </c>
      <c r="AM270" s="16" t="n">
        <f aca="false">AL270+AJ270</f>
        <v>91.4</v>
      </c>
      <c r="AN270" s="16" t="n">
        <f aca="false">AL270+AK270</f>
        <v>92</v>
      </c>
      <c r="AO270" s="16" t="n">
        <v>89</v>
      </c>
      <c r="AP270" s="36" t="n">
        <f aca="false">(AO270*70)/100</f>
        <v>62.3</v>
      </c>
      <c r="AQ270" s="37" t="n">
        <f aca="false">ROUNDUP(AP270,0)</f>
        <v>63</v>
      </c>
      <c r="AR270" s="16" t="n">
        <v>29</v>
      </c>
      <c r="AS270" s="16" t="n">
        <f aca="false">AR270+AP270</f>
        <v>91.3</v>
      </c>
      <c r="AT270" s="16" t="n">
        <f aca="false">AR270+AQ270</f>
        <v>92</v>
      </c>
      <c r="AU270" s="16" t="n">
        <f aca="false">AO270+AF270+AI270+AH270+AG270</f>
        <v>429</v>
      </c>
      <c r="AV270" s="16" t="n">
        <f aca="false">(AO270+AF270+AI270+AH270+AG270)/5</f>
        <v>85.8</v>
      </c>
      <c r="AW270" s="36" t="n">
        <f aca="false">(AO270+AF270+AI270+AH270+AG270+X270+R270+Q270+K270+J270)</f>
        <v>823</v>
      </c>
      <c r="AX270" s="16" t="n">
        <f aca="false">AW270/10</f>
        <v>82.3</v>
      </c>
      <c r="AY270" s="16" t="n">
        <f aca="false">AS270+AF270+AM270+AH270+AG270+AB270+V270+Q270+O270+J270</f>
        <v>823.6</v>
      </c>
      <c r="AZ270" s="16" t="n">
        <f aca="false">AT270+AF270+AN270+AH270+AG270+AC270+W270+Q270+P270+J270</f>
        <v>826</v>
      </c>
      <c r="BA270" s="16" t="n">
        <f aca="false">AY270/10</f>
        <v>82.36</v>
      </c>
      <c r="BB270" s="16" t="n">
        <f aca="false">AZ270/10</f>
        <v>82.6</v>
      </c>
      <c r="BC270" s="16" t="n">
        <v>2361</v>
      </c>
      <c r="BD270" s="16" t="n">
        <f aca="false">RANK(AX270,$AX$2:$AX$881,0)</f>
        <v>151</v>
      </c>
      <c r="BE270" s="54" t="n">
        <f aca="false">((BC270*100)/2400)*0.4+(AX270*0.6)</f>
        <v>88.73</v>
      </c>
      <c r="BF270" s="16" t="n">
        <f aca="false">RANK(BE270,$BE$2:$BE$881,0)</f>
        <v>146</v>
      </c>
      <c r="BG270" s="39" t="n">
        <f aca="false">RANK(BB270,$BB$2:$BB$881,0)</f>
        <v>178</v>
      </c>
      <c r="BH270" s="39" t="n">
        <f aca="false">RANK(BC270,$BC$2:$BC$881,0)</f>
        <v>382</v>
      </c>
      <c r="BI270" s="22" t="s">
        <v>130</v>
      </c>
      <c r="BJ270" s="22" t="s">
        <v>129</v>
      </c>
      <c r="BK270" s="40" t="s">
        <v>131</v>
      </c>
      <c r="BL270" s="41" t="n">
        <v>20</v>
      </c>
      <c r="BM270" s="41" t="n">
        <v>48</v>
      </c>
      <c r="BN270" s="41" t="n">
        <v>68</v>
      </c>
      <c r="BO270" s="42" t="n">
        <v>27</v>
      </c>
      <c r="BP270" s="43" t="n">
        <v>50</v>
      </c>
      <c r="BQ270" s="44" t="n">
        <v>77</v>
      </c>
      <c r="BR270" s="42" t="n">
        <v>24</v>
      </c>
      <c r="BS270" s="45" t="n">
        <v>58</v>
      </c>
      <c r="BT270" s="45" t="n">
        <v>82</v>
      </c>
      <c r="BU270" s="46" t="n">
        <v>100</v>
      </c>
      <c r="BV270" s="47" t="n">
        <v>82</v>
      </c>
      <c r="BW270" s="42" t="n">
        <v>98</v>
      </c>
      <c r="BX270" s="48" t="n">
        <v>90</v>
      </c>
      <c r="BY270" s="25" t="n">
        <v>26</v>
      </c>
      <c r="BZ270" s="25" t="n">
        <v>51</v>
      </c>
      <c r="CA270" s="25" t="n">
        <v>77</v>
      </c>
      <c r="CB270" s="25" t="n">
        <v>20</v>
      </c>
      <c r="CC270" s="25" t="n">
        <v>34</v>
      </c>
      <c r="CD270" s="85" t="n">
        <v>54</v>
      </c>
      <c r="CE270" s="32" t="n">
        <v>28</v>
      </c>
      <c r="CF270" s="32" t="n">
        <v>51</v>
      </c>
      <c r="CG270" s="32" t="n">
        <v>79</v>
      </c>
      <c r="CH270" s="32" t="n">
        <v>93</v>
      </c>
      <c r="CI270" s="32" t="n">
        <v>95</v>
      </c>
      <c r="CJ270" s="49" t="n">
        <v>20</v>
      </c>
      <c r="CK270" s="49" t="n">
        <v>55</v>
      </c>
      <c r="CL270" s="49" t="n">
        <v>75</v>
      </c>
      <c r="CM270" s="49" t="n">
        <v>24</v>
      </c>
      <c r="CN270" s="49" t="n">
        <v>46</v>
      </c>
      <c r="CO270" s="49" t="n">
        <v>70</v>
      </c>
      <c r="CP270" s="25" t="n">
        <f aca="false">BX270+BW270+BV270+BU270+BT270+BQ270+BN270</f>
        <v>597</v>
      </c>
      <c r="CQ270" s="25" t="n">
        <f aca="false">CO270+CL270+CI270+CH270+CG270+CD270+CA270</f>
        <v>543</v>
      </c>
      <c r="CR270" s="26" t="n">
        <f aca="false">CP270/7</f>
        <v>85.2857142857143</v>
      </c>
      <c r="CS270" s="26" t="n">
        <f aca="false">CQ270/7</f>
        <v>77.5714285714286</v>
      </c>
      <c r="CT270" s="24" t="n">
        <f aca="false">RANK(CR270,$CR$2:$CR$881,0)</f>
        <v>425</v>
      </c>
      <c r="CU270" s="25" t="n">
        <f aca="false">RANK(CS270,$CS$2:$CS$881,0)</f>
        <v>350</v>
      </c>
      <c r="CV270" s="26" t="n">
        <f aca="false">(CS270+CR270)/2</f>
        <v>81.4285714285714</v>
      </c>
      <c r="CW270" s="25" t="n">
        <f aca="false">RANK(CV270,$CV$2:$CV$881,0)</f>
        <v>367</v>
      </c>
      <c r="CX270" s="50" t="n">
        <f aca="false">(CV270+BB270)/2</f>
        <v>82.0142857142857</v>
      </c>
      <c r="CY270" s="50" t="n">
        <v>265</v>
      </c>
      <c r="CZ270" s="27" t="s">
        <v>132</v>
      </c>
      <c r="DA270" s="27" t="s">
        <v>169</v>
      </c>
      <c r="DB270" s="27" t="s">
        <v>169</v>
      </c>
      <c r="DC270" s="27" t="s">
        <v>134</v>
      </c>
      <c r="DD270" s="27" t="s">
        <v>137</v>
      </c>
      <c r="DE270" s="27" t="s">
        <v>313</v>
      </c>
      <c r="DF270" s="27" t="s">
        <v>305</v>
      </c>
      <c r="DG270" s="27" t="s">
        <v>134</v>
      </c>
      <c r="DH270" s="27" t="s">
        <v>140</v>
      </c>
      <c r="DI270" s="27" t="s">
        <v>161</v>
      </c>
      <c r="DJ270" s="27" t="s">
        <v>153</v>
      </c>
      <c r="DK270" s="27" t="s">
        <v>134</v>
      </c>
      <c r="DL270" s="27" t="s">
        <v>137</v>
      </c>
      <c r="DM270" s="27" t="s">
        <v>442</v>
      </c>
      <c r="DN270" s="27" t="s">
        <v>441</v>
      </c>
      <c r="DO270" s="27" t="s">
        <v>134</v>
      </c>
      <c r="DP270" s="27" t="s">
        <v>154</v>
      </c>
      <c r="DQ270" s="27" t="s">
        <v>415</v>
      </c>
      <c r="DR270" s="27" t="s">
        <v>155</v>
      </c>
      <c r="DS270" s="27" t="s">
        <v>134</v>
      </c>
      <c r="DT270" s="27" t="s">
        <v>135</v>
      </c>
      <c r="DU270" s="27" t="s">
        <v>412</v>
      </c>
      <c r="DV270" s="27" t="s">
        <v>443</v>
      </c>
      <c r="DW270" s="27" t="s">
        <v>160</v>
      </c>
      <c r="DX270" s="27" t="s">
        <v>141</v>
      </c>
      <c r="DY270" s="27" t="s">
        <v>139</v>
      </c>
      <c r="DZ270" s="27" t="n">
        <f aca="false">DY270+DV270+DR270+DN270+DJ270+DF270+DB270</f>
        <v>567</v>
      </c>
      <c r="EA270" s="28" t="n">
        <f aca="false">DZ270/7</f>
        <v>81</v>
      </c>
      <c r="EB270" s="27" t="n">
        <f aca="false">RANK(EA270,$EA$2:$EA$881,0)</f>
        <v>350</v>
      </c>
      <c r="EC270" s="29" t="n">
        <f aca="false">DZ270+CQ270+CP270+AZ270</f>
        <v>2533</v>
      </c>
      <c r="ED270" s="30" t="n">
        <f aca="false">(EA270+CV270+BB270)/3</f>
        <v>81.6761904761905</v>
      </c>
      <c r="EE270" s="51" t="n">
        <f aca="false">ROUND(BE270,3)</f>
        <v>88.73</v>
      </c>
      <c r="EF270" s="51" t="n">
        <f aca="false">ROUND(CR270,3)</f>
        <v>85.286</v>
      </c>
      <c r="EG270" s="51" t="n">
        <f aca="false">ROUND(CS270,3)</f>
        <v>77.571</v>
      </c>
      <c r="EH270" s="51" t="n">
        <f aca="false">ROUND(EA270,3)</f>
        <v>81</v>
      </c>
      <c r="EI270" s="51" t="n">
        <f aca="false">ROUND(ED270,3)</f>
        <v>81.676</v>
      </c>
      <c r="EJ270" s="51" t="n">
        <f aca="false">ROUND(CV270,3)</f>
        <v>81.429</v>
      </c>
      <c r="EK270" s="0" t="n">
        <f aca="false">RANK(EI270,$EI$2:$EI$881,0)</f>
        <v>269</v>
      </c>
    </row>
    <row r="271" customFormat="false" ht="15" hidden="false" customHeight="false" outlineLevel="0" collapsed="false">
      <c r="A271" s="4" t="n">
        <v>1973</v>
      </c>
      <c r="B271" s="4" t="n">
        <v>341</v>
      </c>
      <c r="C271" s="27" t="s">
        <v>950</v>
      </c>
      <c r="D271" s="31" t="n">
        <v>343</v>
      </c>
      <c r="E271" s="32" t="n">
        <v>230411087</v>
      </c>
      <c r="F271" s="8" t="s">
        <v>951</v>
      </c>
      <c r="G271" s="66" t="s">
        <v>952</v>
      </c>
      <c r="H271" s="66" t="s">
        <v>129</v>
      </c>
      <c r="I271" s="67" t="s">
        <v>408</v>
      </c>
      <c r="J271" s="32" t="n">
        <v>67</v>
      </c>
      <c r="K271" s="32" t="n">
        <v>73</v>
      </c>
      <c r="L271" s="34" t="n">
        <f aca="false">(K271*70)/100</f>
        <v>51.1</v>
      </c>
      <c r="M271" s="34" t="n">
        <f aca="false">ROUNDUP(L271,0)</f>
        <v>52</v>
      </c>
      <c r="N271" s="32" t="n">
        <v>27</v>
      </c>
      <c r="O271" s="34" t="n">
        <f aca="false">N271+L271</f>
        <v>78.1</v>
      </c>
      <c r="P271" s="34" t="n">
        <f aca="false">N271+M271</f>
        <v>79</v>
      </c>
      <c r="Q271" s="32" t="n">
        <v>79</v>
      </c>
      <c r="R271" s="32" t="n">
        <v>76</v>
      </c>
      <c r="S271" s="34" t="n">
        <f aca="false">(R271*70)/100</f>
        <v>53.2</v>
      </c>
      <c r="T271" s="34" t="n">
        <f aca="false">ROUNDUP(S271,0)</f>
        <v>54</v>
      </c>
      <c r="U271" s="32" t="n">
        <v>23</v>
      </c>
      <c r="V271" s="34" t="n">
        <f aca="false">U271+S271</f>
        <v>76.2</v>
      </c>
      <c r="W271" s="34" t="n">
        <f aca="false">U271+T271</f>
        <v>77</v>
      </c>
      <c r="X271" s="32" t="n">
        <v>72</v>
      </c>
      <c r="Y271" s="34" t="n">
        <f aca="false">(X271*70)/100</f>
        <v>50.4</v>
      </c>
      <c r="Z271" s="34" t="n">
        <f aca="false">ROUNDUP(Y271,0)</f>
        <v>51</v>
      </c>
      <c r="AA271" s="32" t="n">
        <v>25</v>
      </c>
      <c r="AB271" s="34" t="n">
        <f aca="false">AA271+Y271</f>
        <v>75.4</v>
      </c>
      <c r="AC271" s="34" t="n">
        <f aca="false">AA271+Z271</f>
        <v>76</v>
      </c>
      <c r="AD271" s="32" t="n">
        <f aca="false">X271+R271+Q271+K271+J271</f>
        <v>367</v>
      </c>
      <c r="AE271" s="16" t="n">
        <f aca="false">AD271/5</f>
        <v>73.4</v>
      </c>
      <c r="AF271" s="16" t="n">
        <v>71</v>
      </c>
      <c r="AG271" s="16" t="n">
        <v>83</v>
      </c>
      <c r="AH271" s="16" t="n">
        <v>90</v>
      </c>
      <c r="AI271" s="16" t="n">
        <v>89</v>
      </c>
      <c r="AJ271" s="16" t="n">
        <f aca="false">(AI271*70)/100</f>
        <v>62.3</v>
      </c>
      <c r="AK271" s="35" t="n">
        <f aca="false">ROUNDUP(AJ271,0)</f>
        <v>63</v>
      </c>
      <c r="AL271" s="16" t="n">
        <v>26</v>
      </c>
      <c r="AM271" s="16" t="n">
        <f aca="false">AL271+AJ271</f>
        <v>88.3</v>
      </c>
      <c r="AN271" s="16" t="n">
        <f aca="false">AL271+AK271</f>
        <v>89</v>
      </c>
      <c r="AO271" s="16" t="n">
        <v>82</v>
      </c>
      <c r="AP271" s="36" t="n">
        <f aca="false">(AO271*70)/100</f>
        <v>57.4</v>
      </c>
      <c r="AQ271" s="37" t="n">
        <f aca="false">ROUNDUP(AP271,0)</f>
        <v>58</v>
      </c>
      <c r="AR271" s="16" t="n">
        <v>27</v>
      </c>
      <c r="AS271" s="16" t="n">
        <f aca="false">AR271+AP271</f>
        <v>84.4</v>
      </c>
      <c r="AT271" s="16" t="n">
        <f aca="false">AR271+AQ271</f>
        <v>85</v>
      </c>
      <c r="AU271" s="16" t="n">
        <f aca="false">AO271+AF271+AI271+AH271+AG271</f>
        <v>415</v>
      </c>
      <c r="AV271" s="16" t="n">
        <f aca="false">(AO271+AF271+AI271+AH271+AG271)/5</f>
        <v>83</v>
      </c>
      <c r="AW271" s="36" t="n">
        <f aca="false">(AO271+AF271+AI271+AH271+AG271+X271+R271+Q271+K271+J271)</f>
        <v>782</v>
      </c>
      <c r="AX271" s="16" t="n">
        <f aca="false">AW271/10</f>
        <v>78.2</v>
      </c>
      <c r="AY271" s="16" t="n">
        <f aca="false">AS271+AF271+AM271+AH271+AG271+AB271+V271+Q271+O271+J271</f>
        <v>792.4</v>
      </c>
      <c r="AZ271" s="16" t="n">
        <f aca="false">AT271+AF271+AN271+AH271+AG271+AC271+W271+Q271+P271+J271</f>
        <v>796</v>
      </c>
      <c r="BA271" s="16" t="n">
        <f aca="false">AY271/10</f>
        <v>79.24</v>
      </c>
      <c r="BB271" s="16" t="n">
        <f aca="false">AZ271/10</f>
        <v>79.6</v>
      </c>
      <c r="BC271" s="24" t="n">
        <v>2331</v>
      </c>
      <c r="BD271" s="16" t="n">
        <f aca="false">RANK(AX271,$AX$2:$AX$881,0)</f>
        <v>396</v>
      </c>
      <c r="BE271" s="54" t="n">
        <f aca="false">((BC271*100)/2400)*0.4+(AX271*0.6)</f>
        <v>85.77</v>
      </c>
      <c r="BF271" s="16" t="n">
        <f aca="false">RANK(BE271,$BE$2:$BE$881,0)</f>
        <v>468</v>
      </c>
      <c r="BG271" s="39" t="n">
        <f aca="false">RANK(BB271,$BB$2:$BB$881,0)</f>
        <v>392</v>
      </c>
      <c r="BH271" s="39" t="n">
        <f aca="false">RANK(BC271,$BC$2:$BC$881,0)</f>
        <v>716</v>
      </c>
      <c r="BI271" s="22" t="s">
        <v>130</v>
      </c>
      <c r="BJ271" s="22" t="s">
        <v>129</v>
      </c>
      <c r="BK271" s="40" t="s">
        <v>509</v>
      </c>
      <c r="BL271" s="41" t="n">
        <v>15</v>
      </c>
      <c r="BM271" s="41" t="n">
        <v>55</v>
      </c>
      <c r="BN271" s="41" t="n">
        <v>70</v>
      </c>
      <c r="BO271" s="42" t="n">
        <v>16</v>
      </c>
      <c r="BP271" s="43" t="n">
        <v>59</v>
      </c>
      <c r="BQ271" s="44" t="n">
        <v>75</v>
      </c>
      <c r="BR271" s="42" t="n">
        <v>20</v>
      </c>
      <c r="BS271" s="45" t="n">
        <v>57</v>
      </c>
      <c r="BT271" s="45" t="n">
        <v>77</v>
      </c>
      <c r="BU271" s="46" t="n">
        <v>100</v>
      </c>
      <c r="BV271" s="47" t="n">
        <v>90</v>
      </c>
      <c r="BW271" s="42" t="n">
        <v>99</v>
      </c>
      <c r="BX271" s="48" t="n">
        <v>92</v>
      </c>
      <c r="BY271" s="25" t="n">
        <v>25</v>
      </c>
      <c r="BZ271" s="25" t="n">
        <v>60</v>
      </c>
      <c r="CA271" s="25" t="n">
        <v>85</v>
      </c>
      <c r="CB271" s="25" t="n">
        <v>22</v>
      </c>
      <c r="CC271" s="25" t="n">
        <v>50</v>
      </c>
      <c r="CD271" s="25" t="n">
        <v>72</v>
      </c>
      <c r="CE271" s="32" t="n">
        <v>23</v>
      </c>
      <c r="CF271" s="32" t="n">
        <v>50</v>
      </c>
      <c r="CG271" s="32" t="n">
        <v>73</v>
      </c>
      <c r="CH271" s="32" t="n">
        <v>99</v>
      </c>
      <c r="CI271" s="32" t="n">
        <v>95</v>
      </c>
      <c r="CJ271" s="49" t="n">
        <v>17</v>
      </c>
      <c r="CK271" s="49" t="n">
        <v>54</v>
      </c>
      <c r="CL271" s="49" t="n">
        <v>71</v>
      </c>
      <c r="CM271" s="49" t="n">
        <v>24</v>
      </c>
      <c r="CN271" s="49" t="n">
        <v>48</v>
      </c>
      <c r="CO271" s="49" t="n">
        <v>72</v>
      </c>
      <c r="CP271" s="25" t="n">
        <f aca="false">BX271+BW271+BV271+BU271+BT271+BQ271+BN271</f>
        <v>603</v>
      </c>
      <c r="CQ271" s="25" t="n">
        <f aca="false">CO271+CL271+CI271+CH271+CG271+CD271+CA271</f>
        <v>567</v>
      </c>
      <c r="CR271" s="26" t="n">
        <f aca="false">CP271/7</f>
        <v>86.1428571428571</v>
      </c>
      <c r="CS271" s="26" t="n">
        <f aca="false">CQ271/7</f>
        <v>81</v>
      </c>
      <c r="CT271" s="24" t="n">
        <f aca="false">RANK(CR271,$CR$2:$CR$881,0)</f>
        <v>396</v>
      </c>
      <c r="CU271" s="25" t="n">
        <f aca="false">RANK(CS271,$CS$2:$CS$881,0)</f>
        <v>225</v>
      </c>
      <c r="CV271" s="26" t="n">
        <f aca="false">(CS271+CR271)/2</f>
        <v>83.5714285714286</v>
      </c>
      <c r="CW271" s="25" t="n">
        <f aca="false">RANK(CV271,$CV$2:$CV$881,0)</f>
        <v>274</v>
      </c>
      <c r="CX271" s="50" t="n">
        <f aca="false">(CV271+BB271)/2</f>
        <v>81.5857142857143</v>
      </c>
      <c r="CY271" s="50" t="n">
        <v>288</v>
      </c>
      <c r="CZ271" s="27" t="s">
        <v>132</v>
      </c>
      <c r="DA271" s="27" t="s">
        <v>202</v>
      </c>
      <c r="DB271" s="27" t="s">
        <v>202</v>
      </c>
      <c r="DC271" s="27" t="s">
        <v>134</v>
      </c>
      <c r="DD271" s="27" t="s">
        <v>164</v>
      </c>
      <c r="DE271" s="27" t="s">
        <v>442</v>
      </c>
      <c r="DF271" s="27" t="s">
        <v>443</v>
      </c>
      <c r="DG271" s="27" t="s">
        <v>134</v>
      </c>
      <c r="DH271" s="27" t="s">
        <v>137</v>
      </c>
      <c r="DI271" s="27" t="s">
        <v>220</v>
      </c>
      <c r="DJ271" s="27" t="s">
        <v>205</v>
      </c>
      <c r="DK271" s="27" t="s">
        <v>134</v>
      </c>
      <c r="DL271" s="27" t="s">
        <v>160</v>
      </c>
      <c r="DM271" s="27" t="s">
        <v>442</v>
      </c>
      <c r="DN271" s="27" t="s">
        <v>382</v>
      </c>
      <c r="DO271" s="27" t="s">
        <v>134</v>
      </c>
      <c r="DP271" s="27" t="s">
        <v>264</v>
      </c>
      <c r="DQ271" s="27" t="s">
        <v>313</v>
      </c>
      <c r="DR271" s="27" t="s">
        <v>416</v>
      </c>
      <c r="DS271" s="27" t="s">
        <v>134</v>
      </c>
      <c r="DT271" s="27" t="s">
        <v>164</v>
      </c>
      <c r="DU271" s="27" t="s">
        <v>220</v>
      </c>
      <c r="DV271" s="27" t="s">
        <v>169</v>
      </c>
      <c r="DW271" s="27" t="s">
        <v>160</v>
      </c>
      <c r="DX271" s="27" t="s">
        <v>155</v>
      </c>
      <c r="DY271" s="27" t="s">
        <v>145</v>
      </c>
      <c r="DZ271" s="27" t="n">
        <f aca="false">DY271+DV271+DR271+DN271+DJ271+DF271+DB271</f>
        <v>573</v>
      </c>
      <c r="EA271" s="28" t="n">
        <f aca="false">DZ271/7</f>
        <v>81.8571428571429</v>
      </c>
      <c r="EB271" s="27" t="n">
        <f aca="false">RANK(EA271,$EA$2:$EA$881,0)</f>
        <v>316</v>
      </c>
      <c r="EC271" s="29" t="n">
        <f aca="false">DZ271+CQ271+CP271+AZ271</f>
        <v>2539</v>
      </c>
      <c r="ED271" s="30" t="n">
        <f aca="false">(EA271+CV271+BB271)/3</f>
        <v>81.6761904761905</v>
      </c>
      <c r="EE271" s="51" t="n">
        <f aca="false">ROUND(BE271,3)</f>
        <v>85.77</v>
      </c>
      <c r="EF271" s="51" t="n">
        <f aca="false">ROUND(CR271,3)</f>
        <v>86.143</v>
      </c>
      <c r="EG271" s="51" t="n">
        <f aca="false">ROUND(CS271,3)</f>
        <v>81</v>
      </c>
      <c r="EH271" s="51" t="n">
        <f aca="false">ROUND(EA271,3)</f>
        <v>81.857</v>
      </c>
      <c r="EI271" s="51" t="n">
        <f aca="false">ROUND(ED271,3)</f>
        <v>81.676</v>
      </c>
      <c r="EJ271" s="51" t="n">
        <f aca="false">ROUND(CV271,3)</f>
        <v>83.571</v>
      </c>
      <c r="EK271" s="0" t="n">
        <f aca="false">RANK(EI271,$EI$2:$EI$881,0)</f>
        <v>269</v>
      </c>
    </row>
    <row r="272" customFormat="false" ht="15" hidden="false" customHeight="false" outlineLevel="0" collapsed="false">
      <c r="A272" s="4" t="n">
        <v>1956</v>
      </c>
      <c r="B272" s="4" t="n">
        <v>830</v>
      </c>
      <c r="C272" s="27" t="s">
        <v>953</v>
      </c>
      <c r="D272" s="31" t="n">
        <v>852</v>
      </c>
      <c r="E272" s="16" t="n">
        <v>230120011</v>
      </c>
      <c r="F272" s="56" t="s">
        <v>954</v>
      </c>
      <c r="G272" s="22" t="s">
        <v>955</v>
      </c>
      <c r="H272" s="22" t="s">
        <v>326</v>
      </c>
      <c r="I272" s="57"/>
      <c r="J272" s="16" t="n">
        <v>63</v>
      </c>
      <c r="K272" s="16" t="n">
        <v>70</v>
      </c>
      <c r="L272" s="34" t="n">
        <f aca="false">(K272*70)/100</f>
        <v>49</v>
      </c>
      <c r="M272" s="34" t="n">
        <f aca="false">ROUNDUP(L272,0)</f>
        <v>49</v>
      </c>
      <c r="N272" s="16" t="n">
        <v>25</v>
      </c>
      <c r="O272" s="34" t="n">
        <f aca="false">N272+L272</f>
        <v>74</v>
      </c>
      <c r="P272" s="34" t="n">
        <f aca="false">N272+M272</f>
        <v>74</v>
      </c>
      <c r="Q272" s="16" t="n">
        <v>77</v>
      </c>
      <c r="R272" s="16" t="n">
        <v>73</v>
      </c>
      <c r="S272" s="34" t="n">
        <f aca="false">(R272*70)/100</f>
        <v>51.1</v>
      </c>
      <c r="T272" s="34" t="n">
        <f aca="false">ROUNDUP(S272,0)</f>
        <v>52</v>
      </c>
      <c r="U272" s="16" t="n">
        <v>23</v>
      </c>
      <c r="V272" s="34" t="n">
        <f aca="false">U272+S272</f>
        <v>74.1</v>
      </c>
      <c r="W272" s="34" t="n">
        <f aca="false">U272+T272</f>
        <v>75</v>
      </c>
      <c r="X272" s="16" t="n">
        <v>72</v>
      </c>
      <c r="Y272" s="34" t="n">
        <f aca="false">(X272*70)/100</f>
        <v>50.4</v>
      </c>
      <c r="Z272" s="34" t="n">
        <f aca="false">ROUNDUP(Y272,0)</f>
        <v>51</v>
      </c>
      <c r="AA272" s="16" t="n">
        <v>26</v>
      </c>
      <c r="AB272" s="34" t="n">
        <f aca="false">AA272+Y272</f>
        <v>76.4</v>
      </c>
      <c r="AC272" s="34" t="n">
        <f aca="false">AA272+Z272</f>
        <v>77</v>
      </c>
      <c r="AD272" s="32" t="n">
        <f aca="false">X272+R272+Q272+K272+J272</f>
        <v>355</v>
      </c>
      <c r="AE272" s="16" t="n">
        <f aca="false">AD272/5</f>
        <v>71</v>
      </c>
      <c r="AF272" s="16" t="n">
        <v>64</v>
      </c>
      <c r="AG272" s="16" t="n">
        <v>82</v>
      </c>
      <c r="AH272" s="16" t="n">
        <v>89</v>
      </c>
      <c r="AI272" s="16" t="n">
        <v>87</v>
      </c>
      <c r="AJ272" s="16" t="n">
        <f aca="false">(AI272*70)/100</f>
        <v>60.9</v>
      </c>
      <c r="AK272" s="35" t="n">
        <f aca="false">ROUNDUP(AJ272,0)</f>
        <v>61</v>
      </c>
      <c r="AL272" s="16" t="n">
        <v>29</v>
      </c>
      <c r="AM272" s="16" t="n">
        <f aca="false">AL272+AJ272</f>
        <v>89.9</v>
      </c>
      <c r="AN272" s="16" t="n">
        <f aca="false">AL272+AK272</f>
        <v>90</v>
      </c>
      <c r="AO272" s="16" t="n">
        <v>85</v>
      </c>
      <c r="AP272" s="36" t="n">
        <f aca="false">(AO272*70)/100</f>
        <v>59.5</v>
      </c>
      <c r="AQ272" s="37" t="n">
        <f aca="false">ROUNDUP(AP272,0)</f>
        <v>60</v>
      </c>
      <c r="AR272" s="16" t="n">
        <v>27</v>
      </c>
      <c r="AS272" s="16" t="n">
        <f aca="false">AR272+AP272</f>
        <v>86.5</v>
      </c>
      <c r="AT272" s="16" t="n">
        <f aca="false">AR272+AQ272</f>
        <v>87</v>
      </c>
      <c r="AU272" s="16" t="n">
        <f aca="false">AO272+AF272+AI272+AH272+AG272</f>
        <v>407</v>
      </c>
      <c r="AV272" s="16" t="n">
        <f aca="false">(AO272+AF272+AI272+AH272+AG272)/5</f>
        <v>81.4</v>
      </c>
      <c r="AW272" s="36" t="n">
        <f aca="false">(AO272+AF272+AI272+AH272+AG272+X272+R272+Q272+K272+J272)</f>
        <v>762</v>
      </c>
      <c r="AX272" s="16" t="n">
        <f aca="false">AW272/10</f>
        <v>76.2</v>
      </c>
      <c r="AY272" s="16" t="n">
        <f aca="false">AS272+AF272+AM272+AH272+AG272+AB272+V272+Q272+O272+J272</f>
        <v>775.9</v>
      </c>
      <c r="AZ272" s="16" t="n">
        <f aca="false">AT272+AF272+AN272+AH272+AG272+AC272+W272+Q272+P272+J272</f>
        <v>778</v>
      </c>
      <c r="BA272" s="16" t="n">
        <f aca="false">AY272/10</f>
        <v>77.59</v>
      </c>
      <c r="BB272" s="16" t="n">
        <f aca="false">AZ272/10</f>
        <v>77.8</v>
      </c>
      <c r="BC272" s="16" t="n">
        <v>2355</v>
      </c>
      <c r="BD272" s="16" t="n">
        <f aca="false">RANK(AX272,$AX$2:$AX$881,0)</f>
        <v>600</v>
      </c>
      <c r="BE272" s="73" t="n">
        <f aca="false">((BC272*100)/2400)*0.4+(AX272*0.6)</f>
        <v>84.97</v>
      </c>
      <c r="BF272" s="16" t="n">
        <f aca="false">RANK(BE272,$BE$2:$BE$881,0)</f>
        <v>619</v>
      </c>
      <c r="BG272" s="39" t="n">
        <f aca="false">RANK(BB272,$BB$2:$BB$881,0)</f>
        <v>577</v>
      </c>
      <c r="BH272" s="39" t="n">
        <f aca="false">RANK(BC272,$BC$2:$BC$881,0)</f>
        <v>476</v>
      </c>
      <c r="BI272" s="22" t="s">
        <v>130</v>
      </c>
      <c r="BJ272" s="22" t="s">
        <v>129</v>
      </c>
      <c r="BK272" s="22" t="s">
        <v>509</v>
      </c>
      <c r="BL272" s="41" t="n">
        <v>16</v>
      </c>
      <c r="BM272" s="41" t="n">
        <v>54</v>
      </c>
      <c r="BN272" s="41" t="n">
        <v>70</v>
      </c>
      <c r="BO272" s="42" t="n">
        <v>23</v>
      </c>
      <c r="BP272" s="43" t="n">
        <v>58</v>
      </c>
      <c r="BQ272" s="44" t="n">
        <v>81</v>
      </c>
      <c r="BR272" s="42" t="n">
        <v>21</v>
      </c>
      <c r="BS272" s="45" t="n">
        <v>61</v>
      </c>
      <c r="BT272" s="45" t="n">
        <v>82</v>
      </c>
      <c r="BU272" s="46" t="n">
        <v>100</v>
      </c>
      <c r="BV272" s="47" t="n">
        <v>92</v>
      </c>
      <c r="BW272" s="42" t="n">
        <v>99</v>
      </c>
      <c r="BX272" s="24" t="n">
        <v>96</v>
      </c>
      <c r="BY272" s="32" t="n">
        <v>25</v>
      </c>
      <c r="BZ272" s="32" t="n">
        <v>59</v>
      </c>
      <c r="CA272" s="32" t="n">
        <v>84</v>
      </c>
      <c r="CB272" s="32" t="n">
        <v>23</v>
      </c>
      <c r="CC272" s="32" t="n">
        <v>38</v>
      </c>
      <c r="CD272" s="32" t="n">
        <v>61</v>
      </c>
      <c r="CE272" s="32" t="n">
        <v>25</v>
      </c>
      <c r="CF272" s="32" t="n">
        <v>59</v>
      </c>
      <c r="CG272" s="32" t="n">
        <v>84</v>
      </c>
      <c r="CH272" s="32" t="n">
        <v>96</v>
      </c>
      <c r="CI272" s="32" t="n">
        <v>93</v>
      </c>
      <c r="CJ272" s="25" t="n">
        <v>20</v>
      </c>
      <c r="CK272" s="25" t="n">
        <v>57</v>
      </c>
      <c r="CL272" s="25" t="n">
        <v>77</v>
      </c>
      <c r="CM272" s="49" t="n">
        <v>17</v>
      </c>
      <c r="CN272" s="49" t="n">
        <v>50</v>
      </c>
      <c r="CO272" s="49" t="n">
        <v>67</v>
      </c>
      <c r="CP272" s="25" t="n">
        <f aca="false">BX272+BW272+BV272+BU272+BT272+BQ272+BN272</f>
        <v>620</v>
      </c>
      <c r="CQ272" s="25" t="n">
        <f aca="false">CO272+CL272+CI272+CH272+CG272+CD272+CA272</f>
        <v>562</v>
      </c>
      <c r="CR272" s="26" t="n">
        <f aca="false">CP272/7</f>
        <v>88.5714285714286</v>
      </c>
      <c r="CS272" s="26" t="n">
        <f aca="false">CQ272/7</f>
        <v>80.2857142857143</v>
      </c>
      <c r="CT272" s="24" t="n">
        <f aca="false">RANK(CR272,$CR$2:$CR$881,0)</f>
        <v>265</v>
      </c>
      <c r="CU272" s="25" t="n">
        <f aca="false">RANK(CS272,$CS$2:$CS$881,0)</f>
        <v>253</v>
      </c>
      <c r="CV272" s="26" t="n">
        <f aca="false">(CS272+CR272)/2</f>
        <v>84.4285714285714</v>
      </c>
      <c r="CW272" s="25" t="n">
        <f aca="false">RANK(CV272,$CV$2:$CV$881,0)</f>
        <v>243</v>
      </c>
      <c r="CX272" s="50" t="n">
        <f aca="false">(CV272+BB272)/2</f>
        <v>81.1142857142857</v>
      </c>
      <c r="CY272" s="50" t="n">
        <v>314</v>
      </c>
      <c r="CZ272" s="27" t="s">
        <v>132</v>
      </c>
      <c r="DA272" s="27" t="s">
        <v>205</v>
      </c>
      <c r="DB272" s="27" t="s">
        <v>205</v>
      </c>
      <c r="DC272" s="27" t="s">
        <v>134</v>
      </c>
      <c r="DD272" s="27" t="s">
        <v>174</v>
      </c>
      <c r="DE272" s="27" t="s">
        <v>218</v>
      </c>
      <c r="DF272" s="27" t="s">
        <v>272</v>
      </c>
      <c r="DG272" s="27" t="s">
        <v>134</v>
      </c>
      <c r="DH272" s="27" t="s">
        <v>137</v>
      </c>
      <c r="DI272" s="27" t="s">
        <v>187</v>
      </c>
      <c r="DJ272" s="27" t="s">
        <v>176</v>
      </c>
      <c r="DK272" s="27" t="s">
        <v>134</v>
      </c>
      <c r="DL272" s="27" t="s">
        <v>264</v>
      </c>
      <c r="DM272" s="27" t="s">
        <v>218</v>
      </c>
      <c r="DN272" s="27" t="s">
        <v>443</v>
      </c>
      <c r="DO272" s="27" t="s">
        <v>134</v>
      </c>
      <c r="DP272" s="27" t="s">
        <v>264</v>
      </c>
      <c r="DQ272" s="27" t="s">
        <v>218</v>
      </c>
      <c r="DR272" s="27" t="s">
        <v>443</v>
      </c>
      <c r="DS272" s="27" t="s">
        <v>134</v>
      </c>
      <c r="DT272" s="27" t="s">
        <v>137</v>
      </c>
      <c r="DU272" s="27" t="s">
        <v>304</v>
      </c>
      <c r="DV272" s="27" t="s">
        <v>219</v>
      </c>
      <c r="DW272" s="27" t="s">
        <v>135</v>
      </c>
      <c r="DX272" s="27" t="s">
        <v>143</v>
      </c>
      <c r="DY272" s="27" t="s">
        <v>151</v>
      </c>
      <c r="DZ272" s="27" t="n">
        <f aca="false">DY272+DV272+DR272+DN272+DJ272+DF272+DB272</f>
        <v>578</v>
      </c>
      <c r="EA272" s="28" t="n">
        <f aca="false">DZ272/7</f>
        <v>82.5714285714286</v>
      </c>
      <c r="EB272" s="27" t="n">
        <f aca="false">RANK(EA272,$EA$2:$EA$881,0)</f>
        <v>289</v>
      </c>
      <c r="EC272" s="29" t="n">
        <f aca="false">DZ272+CQ272+CP272+AZ272</f>
        <v>2538</v>
      </c>
      <c r="ED272" s="30" t="n">
        <f aca="false">(EA272+CV272+BB272)/3</f>
        <v>81.6</v>
      </c>
      <c r="EE272" s="51" t="n">
        <f aca="false">ROUND(BE272,3)</f>
        <v>84.97</v>
      </c>
      <c r="EF272" s="51" t="n">
        <f aca="false">ROUND(CR272,3)</f>
        <v>88.571</v>
      </c>
      <c r="EG272" s="51" t="n">
        <f aca="false">ROUND(CS272,3)</f>
        <v>80.286</v>
      </c>
      <c r="EH272" s="51" t="n">
        <f aca="false">ROUND(EA272,3)</f>
        <v>82.571</v>
      </c>
      <c r="EI272" s="51" t="n">
        <f aca="false">ROUND(ED272,3)</f>
        <v>81.6</v>
      </c>
      <c r="EJ272" s="51" t="n">
        <f aca="false">ROUND(CV272,3)</f>
        <v>84.429</v>
      </c>
      <c r="EK272" s="0" t="n">
        <f aca="false">RANK(EI272,$EI$2:$EI$881,0)</f>
        <v>271</v>
      </c>
    </row>
    <row r="273" customFormat="false" ht="33.7" hidden="false" customHeight="false" outlineLevel="0" collapsed="false">
      <c r="A273" s="4" t="n">
        <v>8886</v>
      </c>
      <c r="B273" s="4" t="n">
        <v>89</v>
      </c>
      <c r="C273" s="27" t="s">
        <v>956</v>
      </c>
      <c r="D273" s="52" t="n">
        <v>90</v>
      </c>
      <c r="E273" s="16" t="n">
        <v>230119403</v>
      </c>
      <c r="F273" s="56" t="s">
        <v>957</v>
      </c>
      <c r="G273" s="22" t="s">
        <v>958</v>
      </c>
      <c r="H273" s="22" t="s">
        <v>326</v>
      </c>
      <c r="I273" s="57"/>
      <c r="J273" s="16" t="n">
        <v>84</v>
      </c>
      <c r="K273" s="16" t="n">
        <v>81</v>
      </c>
      <c r="L273" s="34" t="n">
        <f aca="false">(K273*70)/100</f>
        <v>56.7</v>
      </c>
      <c r="M273" s="34" t="n">
        <f aca="false">ROUNDUP(L273,0)</f>
        <v>57</v>
      </c>
      <c r="N273" s="16" t="n">
        <v>29</v>
      </c>
      <c r="O273" s="34" t="n">
        <f aca="false">N273+L273</f>
        <v>85.7</v>
      </c>
      <c r="P273" s="34" t="n">
        <f aca="false">N273+M273</f>
        <v>86</v>
      </c>
      <c r="Q273" s="16" t="n">
        <v>71</v>
      </c>
      <c r="R273" s="16" t="n">
        <v>66</v>
      </c>
      <c r="S273" s="34" t="n">
        <f aca="false">(R273*70)/100</f>
        <v>46.2</v>
      </c>
      <c r="T273" s="34" t="n">
        <f aca="false">ROUNDUP(S273,0)</f>
        <v>47</v>
      </c>
      <c r="U273" s="16" t="n">
        <v>25</v>
      </c>
      <c r="V273" s="34" t="n">
        <f aca="false">U273+S273</f>
        <v>71.2</v>
      </c>
      <c r="W273" s="34" t="n">
        <f aca="false">U273+T273</f>
        <v>72</v>
      </c>
      <c r="X273" s="16" t="n">
        <v>71</v>
      </c>
      <c r="Y273" s="34" t="n">
        <f aca="false">(X273*70)/100</f>
        <v>49.7</v>
      </c>
      <c r="Z273" s="34" t="n">
        <f aca="false">ROUNDUP(Y273,0)</f>
        <v>50</v>
      </c>
      <c r="AA273" s="16" t="n">
        <v>28</v>
      </c>
      <c r="AB273" s="34" t="n">
        <f aca="false">AA273+Y273</f>
        <v>77.7</v>
      </c>
      <c r="AC273" s="34" t="n">
        <f aca="false">AA273+Z273</f>
        <v>78</v>
      </c>
      <c r="AD273" s="32" t="n">
        <f aca="false">X273+R273+Q273+K273+J273</f>
        <v>373</v>
      </c>
      <c r="AE273" s="16" t="n">
        <f aca="false">AD273/5</f>
        <v>74.6</v>
      </c>
      <c r="AF273" s="16" t="n">
        <v>75</v>
      </c>
      <c r="AG273" s="16" t="n">
        <v>79</v>
      </c>
      <c r="AH273" s="16" t="n">
        <v>92</v>
      </c>
      <c r="AI273" s="16" t="n">
        <v>92</v>
      </c>
      <c r="AJ273" s="16" t="n">
        <f aca="false">(AI273*70)/100</f>
        <v>64.4</v>
      </c>
      <c r="AK273" s="35" t="n">
        <f aca="false">ROUNDUP(AJ273,0)</f>
        <v>65</v>
      </c>
      <c r="AL273" s="16" t="n">
        <v>25</v>
      </c>
      <c r="AM273" s="16" t="n">
        <f aca="false">AL273+AJ273</f>
        <v>89.4</v>
      </c>
      <c r="AN273" s="16" t="n">
        <f aca="false">AL273+AK273</f>
        <v>90</v>
      </c>
      <c r="AO273" s="16" t="n">
        <v>87</v>
      </c>
      <c r="AP273" s="36" t="n">
        <f aca="false">(AO273*70)/100</f>
        <v>60.9</v>
      </c>
      <c r="AQ273" s="37" t="n">
        <f aca="false">ROUNDUP(AP273,0)</f>
        <v>61</v>
      </c>
      <c r="AR273" s="16" t="n">
        <v>26</v>
      </c>
      <c r="AS273" s="16" t="n">
        <f aca="false">AR273+AP273</f>
        <v>86.9</v>
      </c>
      <c r="AT273" s="16" t="n">
        <f aca="false">AR273+AQ273</f>
        <v>87</v>
      </c>
      <c r="AU273" s="16" t="n">
        <f aca="false">AO273+AF273+AI273+AH273+AG273</f>
        <v>425</v>
      </c>
      <c r="AV273" s="16" t="n">
        <f aca="false">(AO273+AF273+AI273+AH273+AG273)/5</f>
        <v>85</v>
      </c>
      <c r="AW273" s="36" t="n">
        <f aca="false">(AO273+AF273+AI273+AH273+AG273+X273+R273+Q273+K273+J273)</f>
        <v>798</v>
      </c>
      <c r="AX273" s="16" t="n">
        <f aca="false">AW273/10</f>
        <v>79.8</v>
      </c>
      <c r="AY273" s="16" t="n">
        <f aca="false">AS273+AF273+AM273+AH273+AG273+AB273+V273+Q273+O273+J273</f>
        <v>811.9</v>
      </c>
      <c r="AZ273" s="16" t="n">
        <f aca="false">AT273+AF273+AN273+AH273+AG273+AC273+W273+Q273+P273+J273</f>
        <v>814</v>
      </c>
      <c r="BA273" s="16" t="n">
        <f aca="false">AY273/10</f>
        <v>81.19</v>
      </c>
      <c r="BB273" s="16" t="n">
        <f aca="false">AZ273/10</f>
        <v>81.4</v>
      </c>
      <c r="BC273" s="16" t="n">
        <v>2365</v>
      </c>
      <c r="BD273" s="16" t="n">
        <f aca="false">RANK(AX273,$AX$2:$AX$881,0)</f>
        <v>281</v>
      </c>
      <c r="BE273" s="54" t="n">
        <f aca="false">((BC273*100)/2400)*0.4+(AX273*0.6)</f>
        <v>87.2966666666667</v>
      </c>
      <c r="BF273" s="16" t="n">
        <f aca="false">RANK(BE273,$BE$2:$BE$881,0)</f>
        <v>270</v>
      </c>
      <c r="BG273" s="39" t="n">
        <f aca="false">RANK(BB273,$BB$2:$BB$881,0)</f>
        <v>252</v>
      </c>
      <c r="BH273" s="39" t="n">
        <f aca="false">RANK(BC273,$BC$2:$BC$881,0)</f>
        <v>333</v>
      </c>
      <c r="BI273" s="22" t="s">
        <v>130</v>
      </c>
      <c r="BJ273" s="22" t="s">
        <v>129</v>
      </c>
      <c r="BK273" s="40" t="s">
        <v>131</v>
      </c>
      <c r="BL273" s="41" t="n">
        <v>20</v>
      </c>
      <c r="BM273" s="41" t="n">
        <v>51</v>
      </c>
      <c r="BN273" s="41" t="n">
        <v>71</v>
      </c>
      <c r="BO273" s="42" t="n">
        <v>18</v>
      </c>
      <c r="BP273" s="43" t="n">
        <v>47</v>
      </c>
      <c r="BQ273" s="44" t="n">
        <v>65</v>
      </c>
      <c r="BR273" s="42" t="n">
        <v>26</v>
      </c>
      <c r="BS273" s="45" t="n">
        <v>59</v>
      </c>
      <c r="BT273" s="45" t="n">
        <v>85</v>
      </c>
      <c r="BU273" s="46" t="n">
        <v>99</v>
      </c>
      <c r="BV273" s="47" t="n">
        <v>86</v>
      </c>
      <c r="BW273" s="42" t="n">
        <v>92</v>
      </c>
      <c r="BX273" s="48" t="n">
        <v>92</v>
      </c>
      <c r="BY273" s="32" t="n">
        <v>25</v>
      </c>
      <c r="BZ273" s="32" t="n">
        <v>50</v>
      </c>
      <c r="CA273" s="32" t="n">
        <v>75</v>
      </c>
      <c r="CB273" s="32" t="n">
        <v>25</v>
      </c>
      <c r="CC273" s="32" t="n">
        <v>33</v>
      </c>
      <c r="CD273" s="69" t="n">
        <v>58</v>
      </c>
      <c r="CE273" s="32" t="n">
        <v>23</v>
      </c>
      <c r="CF273" s="32" t="n">
        <v>51</v>
      </c>
      <c r="CG273" s="32" t="n">
        <v>74</v>
      </c>
      <c r="CH273" s="32" t="n">
        <v>95</v>
      </c>
      <c r="CI273" s="32" t="n">
        <v>96</v>
      </c>
      <c r="CJ273" s="49" t="n">
        <v>24</v>
      </c>
      <c r="CK273" s="49" t="n">
        <v>50</v>
      </c>
      <c r="CL273" s="49" t="n">
        <v>74</v>
      </c>
      <c r="CM273" s="49" t="n">
        <v>24</v>
      </c>
      <c r="CN273" s="49" t="n">
        <v>52</v>
      </c>
      <c r="CO273" s="49" t="n">
        <v>76</v>
      </c>
      <c r="CP273" s="25" t="n">
        <f aca="false">BX273+BW273+BV273+BU273+BT273+BQ273+BN273</f>
        <v>590</v>
      </c>
      <c r="CQ273" s="25" t="n">
        <f aca="false">CO273+CL273+CI273+CH273+CG273+CD273+CA273</f>
        <v>548</v>
      </c>
      <c r="CR273" s="26" t="n">
        <f aca="false">CP273/7</f>
        <v>84.2857142857143</v>
      </c>
      <c r="CS273" s="26" t="n">
        <f aca="false">CQ273/7</f>
        <v>78.2857142857143</v>
      </c>
      <c r="CT273" s="24" t="n">
        <f aca="false">RANK(CR273,$CR$2:$CR$881,0)</f>
        <v>467</v>
      </c>
      <c r="CU273" s="25" t="n">
        <f aca="false">RANK(CS273,$CS$2:$CS$881,0)</f>
        <v>325</v>
      </c>
      <c r="CV273" s="26" t="n">
        <f aca="false">(CS273+CR273)/2</f>
        <v>81.2857142857143</v>
      </c>
      <c r="CW273" s="25" t="n">
        <f aca="false">RANK(CV273,$CV$2:$CV$881,0)</f>
        <v>368</v>
      </c>
      <c r="CX273" s="50" t="n">
        <f aca="false">(CV273+BB273)/2</f>
        <v>81.3428571428572</v>
      </c>
      <c r="CY273" s="50" t="n">
        <v>301</v>
      </c>
      <c r="CZ273" s="27" t="s">
        <v>132</v>
      </c>
      <c r="DA273" s="27" t="s">
        <v>133</v>
      </c>
      <c r="DB273" s="27" t="s">
        <v>133</v>
      </c>
      <c r="DC273" s="27" t="s">
        <v>134</v>
      </c>
      <c r="DD273" s="27" t="s">
        <v>174</v>
      </c>
      <c r="DE273" s="27" t="s">
        <v>313</v>
      </c>
      <c r="DF273" s="27" t="s">
        <v>372</v>
      </c>
      <c r="DG273" s="27" t="s">
        <v>134</v>
      </c>
      <c r="DH273" s="27" t="s">
        <v>182</v>
      </c>
      <c r="DI273" s="27" t="s">
        <v>218</v>
      </c>
      <c r="DJ273" s="27" t="s">
        <v>196</v>
      </c>
      <c r="DK273" s="27" t="s">
        <v>134</v>
      </c>
      <c r="DL273" s="27" t="s">
        <v>182</v>
      </c>
      <c r="DM273" s="27" t="s">
        <v>306</v>
      </c>
      <c r="DN273" s="27" t="s">
        <v>272</v>
      </c>
      <c r="DO273" s="27" t="s">
        <v>134</v>
      </c>
      <c r="DP273" s="27" t="s">
        <v>191</v>
      </c>
      <c r="DQ273" s="27" t="s">
        <v>183</v>
      </c>
      <c r="DR273" s="27" t="s">
        <v>305</v>
      </c>
      <c r="DS273" s="27" t="s">
        <v>134</v>
      </c>
      <c r="DT273" s="27" t="s">
        <v>174</v>
      </c>
      <c r="DU273" s="27" t="s">
        <v>218</v>
      </c>
      <c r="DV273" s="27" t="s">
        <v>272</v>
      </c>
      <c r="DW273" s="27" t="s">
        <v>160</v>
      </c>
      <c r="DX273" s="27" t="s">
        <v>141</v>
      </c>
      <c r="DY273" s="27" t="s">
        <v>139</v>
      </c>
      <c r="DZ273" s="27" t="n">
        <f aca="false">DY273+DV273+DR273+DN273+DJ273+DF273+DB273</f>
        <v>574</v>
      </c>
      <c r="EA273" s="28" t="n">
        <f aca="false">DZ273/7</f>
        <v>82</v>
      </c>
      <c r="EB273" s="27" t="n">
        <f aca="false">RANK(EA273,$EA$2:$EA$881,0)</f>
        <v>311</v>
      </c>
      <c r="EC273" s="29" t="n">
        <f aca="false">DZ273+CQ273+CP273+AZ273</f>
        <v>2526</v>
      </c>
      <c r="ED273" s="30" t="n">
        <f aca="false">(EA273+CV273+BB273)/3</f>
        <v>81.5619047619048</v>
      </c>
      <c r="EE273" s="51" t="n">
        <f aca="false">ROUND(BE273,3)</f>
        <v>87.297</v>
      </c>
      <c r="EF273" s="51" t="n">
        <f aca="false">ROUND(CR273,3)</f>
        <v>84.286</v>
      </c>
      <c r="EG273" s="51" t="n">
        <f aca="false">ROUND(CS273,3)</f>
        <v>78.286</v>
      </c>
      <c r="EH273" s="51" t="n">
        <f aca="false">ROUND(EA273,3)</f>
        <v>82</v>
      </c>
      <c r="EI273" s="51" t="n">
        <f aca="false">ROUND(ED273,3)</f>
        <v>81.562</v>
      </c>
      <c r="EJ273" s="51" t="n">
        <f aca="false">ROUND(CV273,3)</f>
        <v>81.286</v>
      </c>
      <c r="EK273" s="0" t="n">
        <f aca="false">RANK(EI273,$EI$2:$EI$881,0)</f>
        <v>272</v>
      </c>
    </row>
    <row r="274" customFormat="false" ht="15" hidden="false" customHeight="false" outlineLevel="0" collapsed="false">
      <c r="A274" s="4" t="n">
        <v>1871</v>
      </c>
      <c r="B274" s="4" t="n">
        <v>537</v>
      </c>
      <c r="C274" s="27" t="s">
        <v>959</v>
      </c>
      <c r="D274" s="31" t="n">
        <v>543</v>
      </c>
      <c r="E274" s="32" t="n">
        <v>230311119</v>
      </c>
      <c r="F274" s="8" t="s">
        <v>960</v>
      </c>
      <c r="G274" s="22" t="s">
        <v>389</v>
      </c>
      <c r="H274" s="22" t="s">
        <v>129</v>
      </c>
      <c r="I274" s="33" t="n">
        <v>2006</v>
      </c>
      <c r="J274" s="32" t="n">
        <v>67</v>
      </c>
      <c r="K274" s="32" t="n">
        <v>82</v>
      </c>
      <c r="L274" s="34" t="n">
        <f aca="false">(K274*70)/100</f>
        <v>57.4</v>
      </c>
      <c r="M274" s="34" t="n">
        <f aca="false">ROUNDUP(L274,0)</f>
        <v>58</v>
      </c>
      <c r="N274" s="32" t="n">
        <v>24</v>
      </c>
      <c r="O274" s="34" t="n">
        <f aca="false">N274+L274</f>
        <v>81.4</v>
      </c>
      <c r="P274" s="34" t="n">
        <f aca="false">N274+M274</f>
        <v>82</v>
      </c>
      <c r="Q274" s="32" t="n">
        <v>82</v>
      </c>
      <c r="R274" s="32" t="n">
        <v>73</v>
      </c>
      <c r="S274" s="34" t="n">
        <f aca="false">(R274*70)/100</f>
        <v>51.1</v>
      </c>
      <c r="T274" s="34" t="n">
        <f aca="false">ROUNDUP(S274,0)</f>
        <v>52</v>
      </c>
      <c r="U274" s="32" t="n">
        <v>23</v>
      </c>
      <c r="V274" s="34" t="n">
        <f aca="false">U274+S274</f>
        <v>74.1</v>
      </c>
      <c r="W274" s="34" t="n">
        <f aca="false">U274+T274</f>
        <v>75</v>
      </c>
      <c r="X274" s="32" t="n">
        <v>72</v>
      </c>
      <c r="Y274" s="34" t="n">
        <f aca="false">(X274*70)/100</f>
        <v>50.4</v>
      </c>
      <c r="Z274" s="34" t="n">
        <f aca="false">ROUNDUP(Y274,0)</f>
        <v>51</v>
      </c>
      <c r="AA274" s="32" t="n">
        <v>23</v>
      </c>
      <c r="AB274" s="34" t="n">
        <f aca="false">AA274+Y274</f>
        <v>73.4</v>
      </c>
      <c r="AC274" s="34" t="n">
        <f aca="false">AA274+Z274</f>
        <v>74</v>
      </c>
      <c r="AD274" s="32" t="n">
        <f aca="false">X274+R274+Q274+K274+J274</f>
        <v>376</v>
      </c>
      <c r="AE274" s="16" t="n">
        <f aca="false">AD274/5</f>
        <v>75.2</v>
      </c>
      <c r="AF274" s="16" t="n">
        <v>74</v>
      </c>
      <c r="AG274" s="16" t="n">
        <v>73</v>
      </c>
      <c r="AH274" s="16" t="n">
        <v>87</v>
      </c>
      <c r="AI274" s="16" t="n">
        <v>93</v>
      </c>
      <c r="AJ274" s="16" t="n">
        <f aca="false">(AI274*70)/100</f>
        <v>65.1</v>
      </c>
      <c r="AK274" s="35" t="n">
        <f aca="false">ROUNDUP(AJ274,0)</f>
        <v>66</v>
      </c>
      <c r="AL274" s="16" t="n">
        <v>27</v>
      </c>
      <c r="AM274" s="16" t="n">
        <f aca="false">AL274+AJ274</f>
        <v>92.1</v>
      </c>
      <c r="AN274" s="16" t="n">
        <f aca="false">AL274+AK274</f>
        <v>93</v>
      </c>
      <c r="AO274" s="16" t="n">
        <v>74</v>
      </c>
      <c r="AP274" s="36" t="n">
        <f aca="false">(AO274*70)/100</f>
        <v>51.8</v>
      </c>
      <c r="AQ274" s="37" t="n">
        <f aca="false">ROUNDUP(AP274,0)</f>
        <v>52</v>
      </c>
      <c r="AR274" s="16" t="n">
        <v>25</v>
      </c>
      <c r="AS274" s="16" t="n">
        <f aca="false">AR274+AP274</f>
        <v>76.8</v>
      </c>
      <c r="AT274" s="16" t="n">
        <f aca="false">AR274+AQ274</f>
        <v>77</v>
      </c>
      <c r="AU274" s="16" t="n">
        <f aca="false">AO274+AF274+AI274+AH274+AG274</f>
        <v>401</v>
      </c>
      <c r="AV274" s="16" t="n">
        <f aca="false">(AO274+AF274+AI274+AH274+AG274)/5</f>
        <v>80.2</v>
      </c>
      <c r="AW274" s="36" t="n">
        <f aca="false">(AO274+AF274+AI274+AH274+AG274+X274+R274+Q274+K274+J274)</f>
        <v>777</v>
      </c>
      <c r="AX274" s="16" t="n">
        <f aca="false">AW274/10</f>
        <v>77.7</v>
      </c>
      <c r="AY274" s="16" t="n">
        <f aca="false">AS274+AF274+AM274+AH274+AG274+AB274+V274+Q274+O274+J274</f>
        <v>780.8</v>
      </c>
      <c r="AZ274" s="16" t="n">
        <f aca="false">AT274+AF274+AN274+AH274+AG274+AC274+W274+Q274+P274+J274</f>
        <v>784</v>
      </c>
      <c r="BA274" s="16" t="n">
        <f aca="false">AY274/10</f>
        <v>78.08</v>
      </c>
      <c r="BB274" s="16" t="n">
        <f aca="false">AZ274/10</f>
        <v>78.4</v>
      </c>
      <c r="BC274" s="16" t="n">
        <v>2350</v>
      </c>
      <c r="BD274" s="16" t="n">
        <f aca="false">RANK(AX274,$AX$2:$AX$881,0)</f>
        <v>433</v>
      </c>
      <c r="BE274" s="54" t="n">
        <f aca="false">((BC274*100)/2400)*0.4+(AX274*0.6)</f>
        <v>85.7866666666667</v>
      </c>
      <c r="BF274" s="16" t="n">
        <f aca="false">RANK(BE274,$BE$2:$BE$881,0)</f>
        <v>464</v>
      </c>
      <c r="BG274" s="39" t="n">
        <f aca="false">RANK(BB274,$BB$2:$BB$881,0)</f>
        <v>520</v>
      </c>
      <c r="BH274" s="39" t="n">
        <f aca="false">RANK(BC274,$BC$2:$BC$881,0)</f>
        <v>532</v>
      </c>
      <c r="BI274" s="22" t="s">
        <v>130</v>
      </c>
      <c r="BJ274" s="22" t="s">
        <v>129</v>
      </c>
      <c r="BK274" s="40" t="s">
        <v>509</v>
      </c>
      <c r="BL274" s="41" t="n">
        <v>17</v>
      </c>
      <c r="BM274" s="41" t="n">
        <v>52</v>
      </c>
      <c r="BN274" s="41" t="n">
        <v>69</v>
      </c>
      <c r="BO274" s="42" t="n">
        <v>20</v>
      </c>
      <c r="BP274" s="43" t="n">
        <v>58</v>
      </c>
      <c r="BQ274" s="44" t="n">
        <v>78</v>
      </c>
      <c r="BR274" s="42" t="n">
        <v>24</v>
      </c>
      <c r="BS274" s="45" t="n">
        <v>57</v>
      </c>
      <c r="BT274" s="45" t="n">
        <v>81</v>
      </c>
      <c r="BU274" s="46" t="n">
        <v>100</v>
      </c>
      <c r="BV274" s="47" t="n">
        <v>76</v>
      </c>
      <c r="BW274" s="42" t="n">
        <v>95</v>
      </c>
      <c r="BX274" s="48" t="n">
        <v>94</v>
      </c>
      <c r="BY274" s="32" t="n">
        <v>25</v>
      </c>
      <c r="BZ274" s="32" t="n">
        <v>52</v>
      </c>
      <c r="CA274" s="32" t="n">
        <v>77</v>
      </c>
      <c r="CB274" s="32" t="n">
        <v>23</v>
      </c>
      <c r="CC274" s="32" t="n">
        <v>40</v>
      </c>
      <c r="CD274" s="32" t="n">
        <v>63</v>
      </c>
      <c r="CE274" s="32" t="n">
        <v>28</v>
      </c>
      <c r="CF274" s="32" t="n">
        <v>48</v>
      </c>
      <c r="CG274" s="32" t="n">
        <v>76</v>
      </c>
      <c r="CH274" s="32" t="n">
        <v>93</v>
      </c>
      <c r="CI274" s="32" t="n">
        <v>99</v>
      </c>
      <c r="CJ274" s="49" t="n">
        <v>25</v>
      </c>
      <c r="CK274" s="49" t="n">
        <v>52</v>
      </c>
      <c r="CL274" s="49" t="n">
        <v>77</v>
      </c>
      <c r="CM274" s="49" t="n">
        <v>22</v>
      </c>
      <c r="CN274" s="49" t="n">
        <v>51</v>
      </c>
      <c r="CO274" s="49" t="n">
        <v>73</v>
      </c>
      <c r="CP274" s="25" t="n">
        <f aca="false">BX274+BW274+BV274+BU274+BT274+BQ274+BN274</f>
        <v>593</v>
      </c>
      <c r="CQ274" s="25" t="n">
        <f aca="false">CO274+CL274+CI274+CH274+CG274+CD274+CA274</f>
        <v>558</v>
      </c>
      <c r="CR274" s="26" t="n">
        <f aca="false">CP274/7</f>
        <v>84.7142857142857</v>
      </c>
      <c r="CS274" s="26" t="n">
        <f aca="false">CQ274/7</f>
        <v>79.7142857142857</v>
      </c>
      <c r="CT274" s="24" t="n">
        <f aca="false">RANK(CR274,$CR$2:$CR$881,0)</f>
        <v>447</v>
      </c>
      <c r="CU274" s="25" t="n">
        <f aca="false">RANK(CS274,$CS$2:$CS$881,0)</f>
        <v>275</v>
      </c>
      <c r="CV274" s="26" t="n">
        <f aca="false">(CS274+CR274)/2</f>
        <v>82.2142857142857</v>
      </c>
      <c r="CW274" s="25" t="n">
        <f aca="false">RANK(CV274,$CV$2:$CV$881,0)</f>
        <v>332</v>
      </c>
      <c r="CX274" s="50" t="n">
        <f aca="false">(CV274+BB274)/2</f>
        <v>80.3071428571429</v>
      </c>
      <c r="CY274" s="50" t="n">
        <v>358</v>
      </c>
      <c r="CZ274" s="27" t="s">
        <v>132</v>
      </c>
      <c r="DA274" s="27" t="s">
        <v>133</v>
      </c>
      <c r="DB274" s="27" t="s">
        <v>133</v>
      </c>
      <c r="DC274" s="27" t="s">
        <v>134</v>
      </c>
      <c r="DD274" s="27" t="s">
        <v>182</v>
      </c>
      <c r="DE274" s="27" t="s">
        <v>161</v>
      </c>
      <c r="DF274" s="27" t="s">
        <v>175</v>
      </c>
      <c r="DG274" s="27" t="s">
        <v>134</v>
      </c>
      <c r="DH274" s="27" t="s">
        <v>182</v>
      </c>
      <c r="DI274" s="27" t="s">
        <v>203</v>
      </c>
      <c r="DJ274" s="27" t="s">
        <v>202</v>
      </c>
      <c r="DK274" s="27" t="s">
        <v>134</v>
      </c>
      <c r="DL274" s="27" t="s">
        <v>174</v>
      </c>
      <c r="DM274" s="27" t="s">
        <v>306</v>
      </c>
      <c r="DN274" s="27" t="s">
        <v>382</v>
      </c>
      <c r="DO274" s="27" t="s">
        <v>134</v>
      </c>
      <c r="DP274" s="27" t="s">
        <v>195</v>
      </c>
      <c r="DQ274" s="27" t="s">
        <v>313</v>
      </c>
      <c r="DR274" s="27" t="s">
        <v>486</v>
      </c>
      <c r="DS274" s="27" t="s">
        <v>134</v>
      </c>
      <c r="DT274" s="27" t="s">
        <v>160</v>
      </c>
      <c r="DU274" s="27" t="s">
        <v>203</v>
      </c>
      <c r="DV274" s="27" t="s">
        <v>153</v>
      </c>
      <c r="DW274" s="27" t="s">
        <v>195</v>
      </c>
      <c r="DX274" s="27" t="s">
        <v>143</v>
      </c>
      <c r="DY274" s="27" t="s">
        <v>162</v>
      </c>
      <c r="DZ274" s="27" t="n">
        <f aca="false">DY274+DV274+DR274+DN274+DJ274+DF274+DB274</f>
        <v>588</v>
      </c>
      <c r="EA274" s="28" t="n">
        <f aca="false">DZ274/7</f>
        <v>84</v>
      </c>
      <c r="EB274" s="27" t="n">
        <f aca="false">RANK(EA274,$EA$2:$EA$881,0)</f>
        <v>223</v>
      </c>
      <c r="EC274" s="29" t="n">
        <f aca="false">DZ274+CQ274+CP274+AZ274</f>
        <v>2523</v>
      </c>
      <c r="ED274" s="30" t="n">
        <f aca="false">(EA274+CV274+BB274)/3</f>
        <v>81.5380952380952</v>
      </c>
      <c r="EE274" s="51" t="n">
        <f aca="false">ROUND(BE274,3)</f>
        <v>85.787</v>
      </c>
      <c r="EF274" s="51" t="n">
        <f aca="false">ROUND(CR274,3)</f>
        <v>84.714</v>
      </c>
      <c r="EG274" s="51" t="n">
        <f aca="false">ROUND(CS274,3)</f>
        <v>79.714</v>
      </c>
      <c r="EH274" s="51" t="n">
        <f aca="false">ROUND(EA274,3)</f>
        <v>84</v>
      </c>
      <c r="EI274" s="51" t="n">
        <f aca="false">ROUND(ED274,3)</f>
        <v>81.538</v>
      </c>
      <c r="EJ274" s="51" t="n">
        <f aca="false">ROUND(CV274,3)</f>
        <v>82.214</v>
      </c>
      <c r="EK274" s="0" t="n">
        <f aca="false">RANK(EI274,$EI$2:$EI$881,0)</f>
        <v>273</v>
      </c>
    </row>
    <row r="275" customFormat="false" ht="17.45" hidden="false" customHeight="false" outlineLevel="0" collapsed="false">
      <c r="A275" s="4" t="n">
        <v>9065</v>
      </c>
      <c r="B275" s="4" t="n">
        <v>704</v>
      </c>
      <c r="C275" s="27" t="s">
        <v>961</v>
      </c>
      <c r="D275" s="31" t="n">
        <v>718</v>
      </c>
      <c r="E275" s="32" t="n">
        <v>230311475</v>
      </c>
      <c r="F275" s="55" t="s">
        <v>962</v>
      </c>
      <c r="G275" s="22" t="s">
        <v>345</v>
      </c>
      <c r="H275" s="22" t="s">
        <v>129</v>
      </c>
      <c r="I275" s="33" t="n">
        <v>2005</v>
      </c>
      <c r="J275" s="32" t="n">
        <v>95</v>
      </c>
      <c r="K275" s="32" t="n">
        <v>95</v>
      </c>
      <c r="L275" s="34" t="n">
        <f aca="false">(K275*70)/100</f>
        <v>66.5</v>
      </c>
      <c r="M275" s="34" t="n">
        <f aca="false">ROUNDUP(L275,0)</f>
        <v>67</v>
      </c>
      <c r="N275" s="32" t="n">
        <v>27</v>
      </c>
      <c r="O275" s="34" t="n">
        <f aca="false">N275+L275</f>
        <v>93.5</v>
      </c>
      <c r="P275" s="34" t="n">
        <f aca="false">N275+M275</f>
        <v>94</v>
      </c>
      <c r="Q275" s="32" t="n">
        <v>66</v>
      </c>
      <c r="R275" s="32" t="n">
        <v>83</v>
      </c>
      <c r="S275" s="34" t="n">
        <f aca="false">(R275*70)/100</f>
        <v>58.1</v>
      </c>
      <c r="T275" s="34" t="n">
        <f aca="false">ROUNDUP(S275,0)</f>
        <v>59</v>
      </c>
      <c r="U275" s="32" t="n">
        <v>27</v>
      </c>
      <c r="V275" s="34" t="n">
        <f aca="false">U275+S275</f>
        <v>85.1</v>
      </c>
      <c r="W275" s="34" t="n">
        <f aca="false">U275+T275</f>
        <v>86</v>
      </c>
      <c r="X275" s="32" t="n">
        <v>67</v>
      </c>
      <c r="Y275" s="34" t="n">
        <f aca="false">(X275*70)/100</f>
        <v>46.9</v>
      </c>
      <c r="Z275" s="34" t="n">
        <f aca="false">ROUNDUP(Y275,0)</f>
        <v>47</v>
      </c>
      <c r="AA275" s="32" t="n">
        <v>25</v>
      </c>
      <c r="AB275" s="34" t="n">
        <f aca="false">AA275+Y275</f>
        <v>71.9</v>
      </c>
      <c r="AC275" s="34" t="n">
        <f aca="false">AA275+Z275</f>
        <v>72</v>
      </c>
      <c r="AD275" s="32" t="n">
        <f aca="false">X275+R275+Q275+K275+J275</f>
        <v>406</v>
      </c>
      <c r="AE275" s="16" t="n">
        <f aca="false">AD275/5</f>
        <v>81.2</v>
      </c>
      <c r="AF275" s="16" t="n">
        <v>84</v>
      </c>
      <c r="AG275" s="16" t="n">
        <v>93</v>
      </c>
      <c r="AH275" s="16" t="n">
        <v>93</v>
      </c>
      <c r="AI275" s="16" t="n">
        <v>87</v>
      </c>
      <c r="AJ275" s="16" t="n">
        <f aca="false">(AI275*70)/100</f>
        <v>60.9</v>
      </c>
      <c r="AK275" s="35" t="n">
        <f aca="false">ROUNDUP(AJ275,0)</f>
        <v>61</v>
      </c>
      <c r="AL275" s="16" t="n">
        <v>26</v>
      </c>
      <c r="AM275" s="16" t="n">
        <f aca="false">AL275+AJ275</f>
        <v>86.9</v>
      </c>
      <c r="AN275" s="16" t="n">
        <f aca="false">AL275+AK275</f>
        <v>87</v>
      </c>
      <c r="AO275" s="16" t="n">
        <v>82</v>
      </c>
      <c r="AP275" s="36" t="n">
        <f aca="false">(AO275*70)/100</f>
        <v>57.4</v>
      </c>
      <c r="AQ275" s="37" t="n">
        <f aca="false">ROUNDUP(AP275,0)</f>
        <v>58</v>
      </c>
      <c r="AR275" s="16" t="n">
        <v>26</v>
      </c>
      <c r="AS275" s="16" t="n">
        <f aca="false">AR275+AP275</f>
        <v>83.4</v>
      </c>
      <c r="AT275" s="16" t="n">
        <f aca="false">AR275+AQ275</f>
        <v>84</v>
      </c>
      <c r="AU275" s="16" t="n">
        <f aca="false">AO275+AF275+AI275+AH275+AG275</f>
        <v>439</v>
      </c>
      <c r="AV275" s="16" t="n">
        <f aca="false">(AO275+AF275+AI275+AH275+AG275)/5</f>
        <v>87.8</v>
      </c>
      <c r="AW275" s="36" t="n">
        <f aca="false">(AO275+AF275+AI275+AH275+AG275+X275+R275+Q275+K275+J275)</f>
        <v>845</v>
      </c>
      <c r="AX275" s="16" t="n">
        <f aca="false">AW275/10</f>
        <v>84.5</v>
      </c>
      <c r="AY275" s="16" t="n">
        <f aca="false">AS275+AF275+AM275+AH275+AG275+AB275+V275+Q275+O275+J275</f>
        <v>851.8</v>
      </c>
      <c r="AZ275" s="16" t="n">
        <f aca="false">AT275+AF275+AN275+AH275+AG275+AC275+W275+Q275+P275+J275</f>
        <v>854</v>
      </c>
      <c r="BA275" s="16" t="n">
        <f aca="false">AY275/10</f>
        <v>85.18</v>
      </c>
      <c r="BB275" s="16" t="n">
        <f aca="false">AZ275/10</f>
        <v>85.4</v>
      </c>
      <c r="BC275" s="16" t="n">
        <v>2400</v>
      </c>
      <c r="BD275" s="16" t="n">
        <f aca="false">RANK(AX275,$AX$2:$AX$881,0)</f>
        <v>99</v>
      </c>
      <c r="BE275" s="38" t="n">
        <f aca="false">((BC275*100)/2400)*0.4+(AX275*0.6)</f>
        <v>90.7</v>
      </c>
      <c r="BF275" s="16" t="n">
        <f aca="false">RANK(BE275,$BE$2:$BE$881,0)</f>
        <v>83</v>
      </c>
      <c r="BG275" s="39" t="n">
        <f aca="false">RANK(BB275,$BB$2:$BB$881,0)</f>
        <v>97</v>
      </c>
      <c r="BH275" s="39" t="n">
        <f aca="false">RANK(BC275,$BC$2:$BC$881,0)</f>
        <v>1</v>
      </c>
      <c r="BI275" s="22" t="s">
        <v>130</v>
      </c>
      <c r="BJ275" s="22" t="s">
        <v>129</v>
      </c>
      <c r="BK275" s="40" t="s">
        <v>131</v>
      </c>
      <c r="BL275" s="41" t="n">
        <v>18</v>
      </c>
      <c r="BM275" s="41" t="n">
        <v>58</v>
      </c>
      <c r="BN275" s="41" t="n">
        <v>76</v>
      </c>
      <c r="BO275" s="42" t="n">
        <v>25</v>
      </c>
      <c r="BP275" s="43" t="n">
        <v>65</v>
      </c>
      <c r="BQ275" s="44" t="n">
        <v>90</v>
      </c>
      <c r="BR275" s="42" t="n">
        <v>27</v>
      </c>
      <c r="BS275" s="45" t="n">
        <v>60</v>
      </c>
      <c r="BT275" s="45" t="n">
        <v>87</v>
      </c>
      <c r="BU275" s="46" t="n">
        <v>99</v>
      </c>
      <c r="BV275" s="47" t="n">
        <v>94</v>
      </c>
      <c r="BW275" s="42" t="n">
        <v>100</v>
      </c>
      <c r="BX275" s="48" t="n">
        <v>94</v>
      </c>
      <c r="BY275" s="32" t="n">
        <v>26</v>
      </c>
      <c r="BZ275" s="32" t="n">
        <v>58</v>
      </c>
      <c r="CA275" s="32" t="n">
        <v>84</v>
      </c>
      <c r="CB275" s="32" t="n">
        <v>18</v>
      </c>
      <c r="CC275" s="32" t="n">
        <v>40</v>
      </c>
      <c r="CD275" s="69" t="n">
        <v>58</v>
      </c>
      <c r="CE275" s="32" t="n">
        <v>21</v>
      </c>
      <c r="CF275" s="32" t="n">
        <v>53</v>
      </c>
      <c r="CG275" s="32" t="n">
        <v>74</v>
      </c>
      <c r="CH275" s="32" t="n">
        <v>98</v>
      </c>
      <c r="CI275" s="32" t="n">
        <v>98</v>
      </c>
      <c r="CJ275" s="49" t="n">
        <v>18</v>
      </c>
      <c r="CK275" s="49" t="n">
        <v>56</v>
      </c>
      <c r="CL275" s="49" t="n">
        <v>74</v>
      </c>
      <c r="CM275" s="49" t="n">
        <v>22</v>
      </c>
      <c r="CN275" s="49" t="n">
        <v>55</v>
      </c>
      <c r="CO275" s="49" t="n">
        <v>77</v>
      </c>
      <c r="CP275" s="25" t="n">
        <f aca="false">BX275+BW275+BV275+BU275+BT275+BQ275+BN275</f>
        <v>640</v>
      </c>
      <c r="CQ275" s="25" t="n">
        <f aca="false">CO275+CL275+CI275+CH275+CG275+CD275+CA275</f>
        <v>563</v>
      </c>
      <c r="CR275" s="26" t="n">
        <f aca="false">CP275/7</f>
        <v>91.4285714285714</v>
      </c>
      <c r="CS275" s="26" t="n">
        <f aca="false">CQ275/7</f>
        <v>80.4285714285714</v>
      </c>
      <c r="CT275" s="24" t="n">
        <f aca="false">RANK(CR275,$CR$2:$CR$881,0)</f>
        <v>106</v>
      </c>
      <c r="CU275" s="25" t="n">
        <f aca="false">RANK(CS275,$CS$2:$CS$881,0)</f>
        <v>245</v>
      </c>
      <c r="CV275" s="26" t="n">
        <f aca="false">(CS275+CR275)/2</f>
        <v>85.9285714285714</v>
      </c>
      <c r="CW275" s="25" t="n">
        <f aca="false">RANK(CV275,$CV$2:$CV$881,0)</f>
        <v>176</v>
      </c>
      <c r="CX275" s="50" t="n">
        <f aca="false">(CV275+BB275)/2</f>
        <v>85.6642857142857</v>
      </c>
      <c r="CY275" s="50" t="n">
        <v>102</v>
      </c>
      <c r="CZ275" s="27" t="s">
        <v>132</v>
      </c>
      <c r="DA275" s="27" t="s">
        <v>202</v>
      </c>
      <c r="DB275" s="27" t="s">
        <v>202</v>
      </c>
      <c r="DC275" s="27" t="s">
        <v>134</v>
      </c>
      <c r="DD275" s="27"/>
      <c r="DE275" s="27"/>
      <c r="DF275" s="27"/>
      <c r="DG275" s="27"/>
      <c r="DH275" s="27" t="s">
        <v>154</v>
      </c>
      <c r="DI275" s="27" t="s">
        <v>187</v>
      </c>
      <c r="DJ275" s="27" t="s">
        <v>162</v>
      </c>
      <c r="DK275" s="27" t="s">
        <v>134</v>
      </c>
      <c r="DL275" s="27" t="s">
        <v>182</v>
      </c>
      <c r="DM275" s="27" t="s">
        <v>136</v>
      </c>
      <c r="DN275" s="27" t="s">
        <v>178</v>
      </c>
      <c r="DO275" s="27" t="s">
        <v>134</v>
      </c>
      <c r="DP275" s="27" t="s">
        <v>195</v>
      </c>
      <c r="DQ275" s="27" t="s">
        <v>412</v>
      </c>
      <c r="DR275" s="27" t="s">
        <v>398</v>
      </c>
      <c r="DS275" s="27" t="s">
        <v>134</v>
      </c>
      <c r="DT275" s="27" t="s">
        <v>160</v>
      </c>
      <c r="DU275" s="27" t="s">
        <v>306</v>
      </c>
      <c r="DV275" s="27" t="s">
        <v>169</v>
      </c>
      <c r="DW275" s="27" t="s">
        <v>164</v>
      </c>
      <c r="DX275" s="27" t="s">
        <v>138</v>
      </c>
      <c r="DY275" s="27" t="s">
        <v>142</v>
      </c>
      <c r="DZ275" s="27" t="n">
        <f aca="false">DY275+DV275+DR275+DN275+DJ275+DF275+DB275</f>
        <v>513</v>
      </c>
      <c r="EA275" s="28" t="n">
        <f aca="false">DZ275/7</f>
        <v>73.2857142857143</v>
      </c>
      <c r="EB275" s="27" t="n">
        <f aca="false">RANK(EA275,$EA$2:$EA$881,0)</f>
        <v>590</v>
      </c>
      <c r="EC275" s="29" t="n">
        <f aca="false">DZ275+CQ275+CP275+AZ275</f>
        <v>2570</v>
      </c>
      <c r="ED275" s="30" t="n">
        <f aca="false">(EA275+CV275+BB275)/3</f>
        <v>81.5380952380952</v>
      </c>
      <c r="EE275" s="51" t="n">
        <f aca="false">ROUND(BE275,3)</f>
        <v>90.7</v>
      </c>
      <c r="EF275" s="51" t="n">
        <f aca="false">ROUND(CR275,3)</f>
        <v>91.429</v>
      </c>
      <c r="EG275" s="51" t="n">
        <f aca="false">ROUND(CS275,3)</f>
        <v>80.429</v>
      </c>
      <c r="EH275" s="51" t="n">
        <f aca="false">ROUND(EA275,3)</f>
        <v>73.286</v>
      </c>
      <c r="EI275" s="51" t="n">
        <f aca="false">ROUND(ED275,3)</f>
        <v>81.538</v>
      </c>
      <c r="EJ275" s="51" t="n">
        <f aca="false">ROUND(CV275,3)</f>
        <v>85.929</v>
      </c>
      <c r="EK275" s="0" t="n">
        <f aca="false">RANK(EI275,$EI$2:$EI$881,0)</f>
        <v>273</v>
      </c>
    </row>
    <row r="276" customFormat="false" ht="15" hidden="false" customHeight="false" outlineLevel="0" collapsed="false">
      <c r="A276" s="4" t="n">
        <v>1849</v>
      </c>
      <c r="B276" s="4" t="n">
        <v>309</v>
      </c>
      <c r="C276" s="27" t="s">
        <v>963</v>
      </c>
      <c r="D276" s="31" t="n">
        <v>308</v>
      </c>
      <c r="E276" s="16" t="n">
        <v>230135790</v>
      </c>
      <c r="F276" s="56" t="s">
        <v>964</v>
      </c>
      <c r="G276" s="22" t="s">
        <v>965</v>
      </c>
      <c r="H276" s="22" t="s">
        <v>558</v>
      </c>
      <c r="I276" s="57"/>
      <c r="J276" s="16" t="n">
        <v>75</v>
      </c>
      <c r="K276" s="16" t="n">
        <v>75</v>
      </c>
      <c r="L276" s="34" t="n">
        <f aca="false">(K276*70)/100</f>
        <v>52.5</v>
      </c>
      <c r="M276" s="34" t="n">
        <f aca="false">ROUNDUP(L276,0)</f>
        <v>53</v>
      </c>
      <c r="N276" s="16" t="n">
        <v>23</v>
      </c>
      <c r="O276" s="34" t="n">
        <f aca="false">N276+L276</f>
        <v>75.5</v>
      </c>
      <c r="P276" s="34" t="n">
        <f aca="false">N276+M276</f>
        <v>76</v>
      </c>
      <c r="Q276" s="16" t="n">
        <v>84</v>
      </c>
      <c r="R276" s="16" t="n">
        <v>74</v>
      </c>
      <c r="S276" s="34" t="n">
        <f aca="false">(R276*70)/100</f>
        <v>51.8</v>
      </c>
      <c r="T276" s="34" t="n">
        <f aca="false">ROUNDUP(S276,0)</f>
        <v>52</v>
      </c>
      <c r="U276" s="16" t="n">
        <v>26</v>
      </c>
      <c r="V276" s="34" t="n">
        <f aca="false">U276+S276</f>
        <v>77.8</v>
      </c>
      <c r="W276" s="34" t="n">
        <f aca="false">U276+T276</f>
        <v>78</v>
      </c>
      <c r="X276" s="16" t="n">
        <v>74</v>
      </c>
      <c r="Y276" s="34" t="n">
        <f aca="false">(X276*70)/100</f>
        <v>51.8</v>
      </c>
      <c r="Z276" s="34" t="n">
        <f aca="false">ROUNDUP(Y276,0)</f>
        <v>52</v>
      </c>
      <c r="AA276" s="16" t="n">
        <v>25</v>
      </c>
      <c r="AB276" s="34" t="n">
        <f aca="false">AA276+Y276</f>
        <v>76.8</v>
      </c>
      <c r="AC276" s="34" t="n">
        <f aca="false">AA276+Z276</f>
        <v>77</v>
      </c>
      <c r="AD276" s="32" t="n">
        <f aca="false">X276+R276+Q276+K276+J276</f>
        <v>382</v>
      </c>
      <c r="AE276" s="16" t="n">
        <f aca="false">AD276/5</f>
        <v>76.4</v>
      </c>
      <c r="AF276" s="16" t="n">
        <v>71</v>
      </c>
      <c r="AG276" s="16" t="n">
        <v>83</v>
      </c>
      <c r="AH276" s="16" t="n">
        <v>76</v>
      </c>
      <c r="AI276" s="16" t="n">
        <v>88</v>
      </c>
      <c r="AJ276" s="16" t="n">
        <f aca="false">(AI276*70)/100</f>
        <v>61.6</v>
      </c>
      <c r="AK276" s="35" t="n">
        <f aca="false">ROUNDUP(AJ276,0)</f>
        <v>62</v>
      </c>
      <c r="AL276" s="16" t="n">
        <v>27</v>
      </c>
      <c r="AM276" s="16" t="n">
        <f aca="false">AL276+AJ276</f>
        <v>88.6</v>
      </c>
      <c r="AN276" s="16" t="n">
        <f aca="false">AL276+AK276</f>
        <v>89</v>
      </c>
      <c r="AO276" s="16" t="n">
        <v>71</v>
      </c>
      <c r="AP276" s="36" t="n">
        <f aca="false">(AO276*70)/100</f>
        <v>49.7</v>
      </c>
      <c r="AQ276" s="37" t="n">
        <f aca="false">ROUNDUP(AP276,0)</f>
        <v>50</v>
      </c>
      <c r="AR276" s="16" t="n">
        <v>27</v>
      </c>
      <c r="AS276" s="16" t="n">
        <f aca="false">AR276+AP276</f>
        <v>76.7</v>
      </c>
      <c r="AT276" s="16" t="n">
        <f aca="false">AR276+AQ276</f>
        <v>77</v>
      </c>
      <c r="AU276" s="16" t="n">
        <f aca="false">AO276+AF276+AI276+AH276+AG276</f>
        <v>389</v>
      </c>
      <c r="AV276" s="16" t="n">
        <f aca="false">(AO276+AF276+AI276+AH276+AG276)/5</f>
        <v>77.8</v>
      </c>
      <c r="AW276" s="36" t="n">
        <f aca="false">(AO276+AF276+AI276+AH276+AG276+X276+R276+Q276+K276+J276)</f>
        <v>771</v>
      </c>
      <c r="AX276" s="16" t="n">
        <f aca="false">AW276/10</f>
        <v>77.1</v>
      </c>
      <c r="AY276" s="16" t="n">
        <f aca="false">AS276+AF276+AM276+AH276+AG276+AB276+V276+Q276+O276+J276</f>
        <v>784.4</v>
      </c>
      <c r="AZ276" s="16" t="n">
        <f aca="false">AT276+AF276+AN276+AH276+AG276+AC276+W276+Q276+P276+J276</f>
        <v>786</v>
      </c>
      <c r="BA276" s="16" t="n">
        <f aca="false">AY276/10</f>
        <v>78.44</v>
      </c>
      <c r="BB276" s="16" t="n">
        <f aca="false">AZ276/10</f>
        <v>78.6</v>
      </c>
      <c r="BC276" s="16" t="n">
        <v>2382</v>
      </c>
      <c r="BD276" s="16" t="n">
        <f aca="false">RANK(AX276,$AX$2:$AX$881,0)</f>
        <v>496</v>
      </c>
      <c r="BE276" s="54" t="n">
        <f aca="false">((BC276*100)/2400)*0.4+(AX276*0.6)</f>
        <v>85.96</v>
      </c>
      <c r="BF276" s="16" t="n">
        <f aca="false">RANK(BE276,$BE$2:$BE$881,0)</f>
        <v>440</v>
      </c>
      <c r="BG276" s="39" t="n">
        <f aca="false">RANK(BB276,$BB$2:$BB$881,0)</f>
        <v>494</v>
      </c>
      <c r="BH276" s="39" t="n">
        <f aca="false">RANK(BC276,$BC$2:$BC$881,0)</f>
        <v>124</v>
      </c>
      <c r="BI276" s="22" t="s">
        <v>130</v>
      </c>
      <c r="BJ276" s="22" t="s">
        <v>129</v>
      </c>
      <c r="BK276" s="40" t="s">
        <v>509</v>
      </c>
      <c r="BL276" s="86" t="n">
        <v>27</v>
      </c>
      <c r="BM276" s="86" t="n">
        <v>60</v>
      </c>
      <c r="BN276" s="86" t="n">
        <v>87</v>
      </c>
      <c r="BO276" s="87" t="n">
        <v>28</v>
      </c>
      <c r="BP276" s="82" t="n">
        <v>54</v>
      </c>
      <c r="BQ276" s="46" t="n">
        <v>82</v>
      </c>
      <c r="BR276" s="87" t="n">
        <v>27</v>
      </c>
      <c r="BS276" s="45" t="n">
        <v>55</v>
      </c>
      <c r="BT276" s="45" t="n">
        <v>82</v>
      </c>
      <c r="BU276" s="46" t="n">
        <v>100</v>
      </c>
      <c r="BV276" s="45" t="n">
        <v>96</v>
      </c>
      <c r="BW276" s="87" t="n">
        <v>100</v>
      </c>
      <c r="BX276" s="88" t="n">
        <v>92</v>
      </c>
      <c r="BY276" s="65" t="n">
        <v>30</v>
      </c>
      <c r="BZ276" s="58" t="n">
        <v>44</v>
      </c>
      <c r="CA276" s="58" t="n">
        <v>74</v>
      </c>
      <c r="CB276" s="59" t="n">
        <v>17</v>
      </c>
      <c r="CC276" s="58" t="n">
        <v>60</v>
      </c>
      <c r="CD276" s="58" t="n">
        <v>77</v>
      </c>
      <c r="CE276" s="58" t="n">
        <v>19</v>
      </c>
      <c r="CF276" s="58" t="n">
        <v>45</v>
      </c>
      <c r="CG276" s="58" t="n">
        <v>64</v>
      </c>
      <c r="CH276" s="58" t="n">
        <v>91</v>
      </c>
      <c r="CI276" s="58" t="n">
        <v>77</v>
      </c>
      <c r="CJ276" s="58" t="n">
        <v>25</v>
      </c>
      <c r="CK276" s="58" t="n">
        <v>65</v>
      </c>
      <c r="CL276" s="59" t="n">
        <v>90</v>
      </c>
      <c r="CM276" s="60"/>
      <c r="CN276" s="60"/>
      <c r="CO276" s="60"/>
      <c r="CP276" s="25" t="n">
        <f aca="false">BX276+BW276+BV276+BU276+BT276+BQ276+BN276</f>
        <v>639</v>
      </c>
      <c r="CQ276" s="25" t="n">
        <f aca="false">CO276+CL276+CI276+CH276+CG276+CD276+CA276</f>
        <v>473</v>
      </c>
      <c r="CR276" s="26" t="n">
        <f aca="false">CP276/7</f>
        <v>91.2857142857143</v>
      </c>
      <c r="CS276" s="26" t="n">
        <f aca="false">CQ276/7</f>
        <v>67.5714285714286</v>
      </c>
      <c r="CT276" s="24" t="n">
        <f aca="false">RANK(CR276,$CR$2:$CR$881,0)</f>
        <v>114</v>
      </c>
      <c r="CU276" s="25" t="n">
        <f aca="false">RANK(CS276,$CS$2:$CS$881,0)</f>
        <v>594</v>
      </c>
      <c r="CV276" s="26" t="n">
        <f aca="false">(CS276+CR276)/2</f>
        <v>79.4285714285714</v>
      </c>
      <c r="CW276" s="25" t="n">
        <f aca="false">RANK(CV276,$CV$2:$CV$881,0)</f>
        <v>451</v>
      </c>
      <c r="CX276" s="50" t="n">
        <f aca="false">(CV276+BB276)/2</f>
        <v>79.0142857142857</v>
      </c>
      <c r="CY276" s="50" t="n">
        <v>647</v>
      </c>
      <c r="CZ276" s="27" t="s">
        <v>132</v>
      </c>
      <c r="DA276" s="27" t="s">
        <v>153</v>
      </c>
      <c r="DB276" s="27" t="s">
        <v>153</v>
      </c>
      <c r="DC276" s="27" t="s">
        <v>134</v>
      </c>
      <c r="DD276" s="27" t="s">
        <v>160</v>
      </c>
      <c r="DE276" s="27" t="s">
        <v>177</v>
      </c>
      <c r="DF276" s="27" t="s">
        <v>133</v>
      </c>
      <c r="DG276" s="27" t="s">
        <v>134</v>
      </c>
      <c r="DH276" s="27" t="s">
        <v>164</v>
      </c>
      <c r="DI276" s="27" t="s">
        <v>152</v>
      </c>
      <c r="DJ276" s="27" t="s">
        <v>170</v>
      </c>
      <c r="DK276" s="27" t="s">
        <v>134</v>
      </c>
      <c r="DL276" s="27" t="s">
        <v>135</v>
      </c>
      <c r="DM276" s="27" t="s">
        <v>304</v>
      </c>
      <c r="DN276" s="27" t="s">
        <v>272</v>
      </c>
      <c r="DO276" s="27" t="s">
        <v>134</v>
      </c>
      <c r="DP276" s="27" t="s">
        <v>174</v>
      </c>
      <c r="DQ276" s="27" t="s">
        <v>220</v>
      </c>
      <c r="DR276" s="27" t="s">
        <v>305</v>
      </c>
      <c r="DS276" s="27" t="s">
        <v>134</v>
      </c>
      <c r="DT276" s="27" t="s">
        <v>146</v>
      </c>
      <c r="DU276" s="27" t="s">
        <v>313</v>
      </c>
      <c r="DV276" s="27" t="s">
        <v>205</v>
      </c>
      <c r="DW276" s="27" t="s">
        <v>160</v>
      </c>
      <c r="DX276" s="27" t="s">
        <v>155</v>
      </c>
      <c r="DY276" s="27" t="s">
        <v>145</v>
      </c>
      <c r="DZ276" s="27" t="n">
        <f aca="false">DY276+DV276+DR276+DN276+DJ276+DF276+DB276</f>
        <v>606</v>
      </c>
      <c r="EA276" s="28" t="n">
        <f aca="false">DZ276/7</f>
        <v>86.5714285714286</v>
      </c>
      <c r="EB276" s="27" t="n">
        <f aca="false">RANK(EA276,$EA$2:$EA$881,0)</f>
        <v>140</v>
      </c>
      <c r="EC276" s="29" t="n">
        <f aca="false">DZ276+CQ276+CP276+AZ276</f>
        <v>2504</v>
      </c>
      <c r="ED276" s="30" t="n">
        <f aca="false">(EA276+CV276+BB276)/3</f>
        <v>81.5333333333333</v>
      </c>
      <c r="EE276" s="51" t="n">
        <f aca="false">ROUND(BE276,3)</f>
        <v>85.96</v>
      </c>
      <c r="EF276" s="51" t="n">
        <f aca="false">ROUND(CR276,3)</f>
        <v>91.286</v>
      </c>
      <c r="EG276" s="51" t="n">
        <f aca="false">ROUND(CS276,3)</f>
        <v>67.571</v>
      </c>
      <c r="EH276" s="51" t="n">
        <f aca="false">ROUND(EA276,3)</f>
        <v>86.571</v>
      </c>
      <c r="EI276" s="51" t="n">
        <f aca="false">ROUND(ED276,3)</f>
        <v>81.533</v>
      </c>
      <c r="EJ276" s="51" t="n">
        <f aca="false">ROUND(CV276,3)</f>
        <v>79.429</v>
      </c>
      <c r="EK276" s="0" t="n">
        <f aca="false">RANK(EI276,$EI$2:$EI$881,0)</f>
        <v>275</v>
      </c>
    </row>
    <row r="277" customFormat="false" ht="15" hidden="false" customHeight="false" outlineLevel="0" collapsed="false">
      <c r="A277" s="4" t="n">
        <v>8818</v>
      </c>
      <c r="B277" s="4" t="n">
        <v>182</v>
      </c>
      <c r="C277" s="27" t="s">
        <v>966</v>
      </c>
      <c r="D277" s="31" t="n">
        <v>183</v>
      </c>
      <c r="E277" s="32" t="n">
        <v>230312554</v>
      </c>
      <c r="F277" s="8" t="s">
        <v>967</v>
      </c>
      <c r="G277" s="22" t="s">
        <v>181</v>
      </c>
      <c r="H277" s="22" t="s">
        <v>129</v>
      </c>
      <c r="I277" s="33" t="n">
        <v>2005</v>
      </c>
      <c r="J277" s="32" t="n">
        <v>77</v>
      </c>
      <c r="K277" s="32" t="n">
        <v>76</v>
      </c>
      <c r="L277" s="34" t="n">
        <f aca="false">(K277*70)/100</f>
        <v>53.2</v>
      </c>
      <c r="M277" s="34" t="n">
        <f aca="false">ROUNDUP(L277,0)</f>
        <v>54</v>
      </c>
      <c r="N277" s="32" t="n">
        <v>24</v>
      </c>
      <c r="O277" s="34" t="n">
        <f aca="false">N277+L277</f>
        <v>77.2</v>
      </c>
      <c r="P277" s="34" t="n">
        <f aca="false">N277+M277</f>
        <v>78</v>
      </c>
      <c r="Q277" s="68" t="n">
        <v>59</v>
      </c>
      <c r="R277" s="32" t="n">
        <v>62</v>
      </c>
      <c r="S277" s="34" t="n">
        <f aca="false">(R277*70)/100</f>
        <v>43.4</v>
      </c>
      <c r="T277" s="34" t="n">
        <f aca="false">ROUNDUP(S277,0)</f>
        <v>44</v>
      </c>
      <c r="U277" s="32" t="n">
        <v>24</v>
      </c>
      <c r="V277" s="34" t="n">
        <f aca="false">U277+S277</f>
        <v>67.4</v>
      </c>
      <c r="W277" s="34" t="n">
        <f aca="false">U277+T277</f>
        <v>68</v>
      </c>
      <c r="X277" s="32" t="n">
        <v>72</v>
      </c>
      <c r="Y277" s="34" t="n">
        <f aca="false">(X277*70)/100</f>
        <v>50.4</v>
      </c>
      <c r="Z277" s="34" t="n">
        <f aca="false">ROUNDUP(Y277,0)</f>
        <v>51</v>
      </c>
      <c r="AA277" s="32" t="n">
        <v>27</v>
      </c>
      <c r="AB277" s="34" t="n">
        <f aca="false">AA277+Y277</f>
        <v>77.4</v>
      </c>
      <c r="AC277" s="34" t="n">
        <f aca="false">AA277+Z277</f>
        <v>78</v>
      </c>
      <c r="AD277" s="32" t="n">
        <f aca="false">X277+R277+Q277+K277+J277</f>
        <v>346</v>
      </c>
      <c r="AE277" s="16" t="n">
        <f aca="false">AD277/5</f>
        <v>69.2</v>
      </c>
      <c r="AF277" s="16" t="n">
        <v>80</v>
      </c>
      <c r="AG277" s="16" t="n">
        <v>62</v>
      </c>
      <c r="AH277" s="16" t="n">
        <v>88</v>
      </c>
      <c r="AI277" s="16" t="n">
        <v>76</v>
      </c>
      <c r="AJ277" s="16" t="n">
        <f aca="false">(AI277*70)/100</f>
        <v>53.2</v>
      </c>
      <c r="AK277" s="35" t="n">
        <f aca="false">ROUNDUP(AJ277,0)</f>
        <v>54</v>
      </c>
      <c r="AL277" s="16" t="n">
        <v>26</v>
      </c>
      <c r="AM277" s="16" t="n">
        <f aca="false">AL277+AJ277</f>
        <v>79.2</v>
      </c>
      <c r="AN277" s="16" t="n">
        <f aca="false">AL277+AK277</f>
        <v>80</v>
      </c>
      <c r="AO277" s="16" t="n">
        <v>74</v>
      </c>
      <c r="AP277" s="36" t="n">
        <f aca="false">(AO277*70)/100</f>
        <v>51.8</v>
      </c>
      <c r="AQ277" s="37" t="n">
        <f aca="false">ROUNDUP(AP277,0)</f>
        <v>52</v>
      </c>
      <c r="AR277" s="16" t="n">
        <v>27</v>
      </c>
      <c r="AS277" s="16" t="n">
        <f aca="false">AR277+AP277</f>
        <v>78.8</v>
      </c>
      <c r="AT277" s="16" t="n">
        <f aca="false">AR277+AQ277</f>
        <v>79</v>
      </c>
      <c r="AU277" s="16" t="n">
        <f aca="false">AO277+AF277+AI277+AH277+AG277</f>
        <v>380</v>
      </c>
      <c r="AV277" s="16" t="n">
        <f aca="false">(AO277+AF277+AI277+AH277+AG277)/5</f>
        <v>76</v>
      </c>
      <c r="AW277" s="36" t="n">
        <f aca="false">(AO277+AF277+AI277+AH277+AG277+X277+R277+Q277+K277+J277)</f>
        <v>726</v>
      </c>
      <c r="AX277" s="16" t="n">
        <f aca="false">AW277/10</f>
        <v>72.6</v>
      </c>
      <c r="AY277" s="16" t="n">
        <f aca="false">AS277+AF277+AM277+AH277+AG277+AB277+V277+Q277+O277+J277</f>
        <v>746</v>
      </c>
      <c r="AZ277" s="16" t="n">
        <f aca="false">AT277+AF277+AN277+AH277+AG277+AC277+W277+Q277+P277+J277</f>
        <v>749</v>
      </c>
      <c r="BA277" s="16" t="n">
        <f aca="false">AY277/10</f>
        <v>74.6</v>
      </c>
      <c r="BB277" s="16" t="n">
        <f aca="false">AZ277/10</f>
        <v>74.9</v>
      </c>
      <c r="BC277" s="16" t="n">
        <v>2329</v>
      </c>
      <c r="BD277" s="16" t="n">
        <f aca="false">RANK(AX277,$AX$2:$AX$881,0)</f>
        <v>715</v>
      </c>
      <c r="BE277" s="73" t="n">
        <f aca="false">((BC277*100)/2400)*0.4+(AX277*0.6)</f>
        <v>82.3766666666667</v>
      </c>
      <c r="BF277" s="16" t="n">
        <f aca="false">RANK(BE277,$BE$2:$BE$881,0)</f>
        <v>709</v>
      </c>
      <c r="BG277" s="39" t="n">
        <f aca="false">RANK(BB277,$BB$2:$BB$881,0)</f>
        <v>698</v>
      </c>
      <c r="BH277" s="39" t="n">
        <f aca="false">RANK(BC277,$BC$2:$BC$881,0)</f>
        <v>737</v>
      </c>
      <c r="BI277" s="22" t="s">
        <v>130</v>
      </c>
      <c r="BJ277" s="22" t="s">
        <v>129</v>
      </c>
      <c r="BK277" s="22" t="s">
        <v>968</v>
      </c>
      <c r="BL277" s="41" t="n">
        <v>17</v>
      </c>
      <c r="BM277" s="41" t="n">
        <v>57</v>
      </c>
      <c r="BN277" s="41" t="n">
        <v>74</v>
      </c>
      <c r="BO277" s="42" t="n">
        <v>26</v>
      </c>
      <c r="BP277" s="43" t="n">
        <v>62</v>
      </c>
      <c r="BQ277" s="44" t="n">
        <v>88</v>
      </c>
      <c r="BR277" s="42" t="n">
        <v>22</v>
      </c>
      <c r="BS277" s="45" t="n">
        <v>54</v>
      </c>
      <c r="BT277" s="45" t="n">
        <v>76</v>
      </c>
      <c r="BU277" s="46" t="n">
        <v>100</v>
      </c>
      <c r="BV277" s="47" t="n">
        <v>72</v>
      </c>
      <c r="BW277" s="42" t="n">
        <v>96</v>
      </c>
      <c r="BX277" s="48" t="n">
        <v>98</v>
      </c>
      <c r="BY277" s="32" t="n">
        <v>25</v>
      </c>
      <c r="BZ277" s="32" t="n">
        <v>64</v>
      </c>
      <c r="CA277" s="32" t="n">
        <v>89</v>
      </c>
      <c r="CB277" s="32" t="n">
        <v>20</v>
      </c>
      <c r="CC277" s="32" t="n">
        <v>41</v>
      </c>
      <c r="CD277" s="32" t="n">
        <v>61</v>
      </c>
      <c r="CE277" s="32" t="n">
        <v>28</v>
      </c>
      <c r="CF277" s="32" t="n">
        <v>54</v>
      </c>
      <c r="CG277" s="32" t="n">
        <v>82</v>
      </c>
      <c r="CH277" s="32" t="n">
        <v>96</v>
      </c>
      <c r="CI277" s="32" t="n">
        <v>100</v>
      </c>
      <c r="CJ277" s="49" t="n">
        <v>15</v>
      </c>
      <c r="CK277" s="49" t="n">
        <v>53</v>
      </c>
      <c r="CL277" s="49" t="n">
        <v>68</v>
      </c>
      <c r="CM277" s="49" t="n">
        <v>25</v>
      </c>
      <c r="CN277" s="49" t="n">
        <v>56</v>
      </c>
      <c r="CO277" s="49" t="n">
        <v>81</v>
      </c>
      <c r="CP277" s="25" t="n">
        <f aca="false">BX277+BW277+BV277+BU277+BT277+BQ277+BN277</f>
        <v>604</v>
      </c>
      <c r="CQ277" s="25" t="n">
        <f aca="false">CO277+CL277+CI277+CH277+CG277+CD277+CA277</f>
        <v>577</v>
      </c>
      <c r="CR277" s="26" t="n">
        <f aca="false">CP277/7</f>
        <v>86.2857142857143</v>
      </c>
      <c r="CS277" s="26" t="n">
        <f aca="false">CQ277/7</f>
        <v>82.4285714285714</v>
      </c>
      <c r="CT277" s="24" t="n">
        <f aca="false">RANK(CR277,$CR$2:$CR$881,0)</f>
        <v>383</v>
      </c>
      <c r="CU277" s="25" t="n">
        <f aca="false">RANK(CS277,$CS$2:$CS$881,0)</f>
        <v>179</v>
      </c>
      <c r="CV277" s="26" t="n">
        <f aca="false">(CS277+CR277)/2</f>
        <v>84.3571428571429</v>
      </c>
      <c r="CW277" s="25" t="n">
        <f aca="false">RANK(CV277,$CV$2:$CV$881,0)</f>
        <v>249</v>
      </c>
      <c r="CX277" s="50" t="n">
        <f aca="false">(CV277+BB277)/2</f>
        <v>79.6285714285714</v>
      </c>
      <c r="CY277" s="50" t="n">
        <v>389</v>
      </c>
      <c r="CZ277" s="27" t="s">
        <v>132</v>
      </c>
      <c r="DA277" s="27" t="s">
        <v>175</v>
      </c>
      <c r="DB277" s="27" t="s">
        <v>175</v>
      </c>
      <c r="DC277" s="27" t="s">
        <v>134</v>
      </c>
      <c r="DD277" s="27" t="s">
        <v>154</v>
      </c>
      <c r="DE277" s="27" t="s">
        <v>177</v>
      </c>
      <c r="DF277" s="27" t="s">
        <v>169</v>
      </c>
      <c r="DG277" s="27" t="s">
        <v>134</v>
      </c>
      <c r="DH277" s="27" t="s">
        <v>135</v>
      </c>
      <c r="DI277" s="27" t="s">
        <v>204</v>
      </c>
      <c r="DJ277" s="27" t="s">
        <v>209</v>
      </c>
      <c r="DK277" s="27" t="s">
        <v>134</v>
      </c>
      <c r="DL277" s="27" t="s">
        <v>137</v>
      </c>
      <c r="DM277" s="27" t="s">
        <v>136</v>
      </c>
      <c r="DN277" s="27" t="s">
        <v>162</v>
      </c>
      <c r="DO277" s="27" t="s">
        <v>134</v>
      </c>
      <c r="DP277" s="27" t="s">
        <v>195</v>
      </c>
      <c r="DQ277" s="27" t="s">
        <v>375</v>
      </c>
      <c r="DR277" s="27" t="s">
        <v>416</v>
      </c>
      <c r="DS277" s="27" t="s">
        <v>134</v>
      </c>
      <c r="DT277" s="27" t="s">
        <v>160</v>
      </c>
      <c r="DU277" s="27" t="s">
        <v>136</v>
      </c>
      <c r="DV277" s="27" t="s">
        <v>170</v>
      </c>
      <c r="DW277" s="27" t="s">
        <v>164</v>
      </c>
      <c r="DX277" s="27" t="s">
        <v>141</v>
      </c>
      <c r="DY277" s="27" t="s">
        <v>156</v>
      </c>
      <c r="DZ277" s="27" t="n">
        <f aca="false">DY277+DV277+DR277+DN277+DJ277+DF277+DB277</f>
        <v>597</v>
      </c>
      <c r="EA277" s="28" t="n">
        <f aca="false">DZ277/7</f>
        <v>85.2857142857143</v>
      </c>
      <c r="EB277" s="27" t="n">
        <f aca="false">RANK(EA277,$EA$2:$EA$881,0)</f>
        <v>176</v>
      </c>
      <c r="EC277" s="29" t="n">
        <f aca="false">DZ277+CQ277+CP277+AZ277</f>
        <v>2527</v>
      </c>
      <c r="ED277" s="30" t="n">
        <f aca="false">(EA277+CV277+BB277)/3</f>
        <v>81.5142857142857</v>
      </c>
      <c r="EE277" s="51" t="n">
        <f aca="false">ROUND(BE277,3)</f>
        <v>82.377</v>
      </c>
      <c r="EF277" s="51" t="n">
        <f aca="false">ROUND(CR277,3)</f>
        <v>86.286</v>
      </c>
      <c r="EG277" s="51" t="n">
        <f aca="false">ROUND(CS277,3)</f>
        <v>82.429</v>
      </c>
      <c r="EH277" s="51" t="n">
        <f aca="false">ROUND(EA277,3)</f>
        <v>85.286</v>
      </c>
      <c r="EI277" s="51" t="n">
        <f aca="false">ROUND(ED277,3)</f>
        <v>81.514</v>
      </c>
      <c r="EJ277" s="51" t="n">
        <f aca="false">ROUND(CV277,3)</f>
        <v>84.357</v>
      </c>
      <c r="EK277" s="0" t="n">
        <f aca="false">RANK(EI277,$EI$2:$EI$881,0)</f>
        <v>276</v>
      </c>
    </row>
    <row r="278" customFormat="false" ht="15" hidden="false" customHeight="false" outlineLevel="0" collapsed="false">
      <c r="A278" s="4" t="n">
        <v>9082</v>
      </c>
      <c r="B278" s="4" t="n">
        <v>239</v>
      </c>
      <c r="C278" s="27" t="s">
        <v>793</v>
      </c>
      <c r="D278" s="31" t="n">
        <v>240</v>
      </c>
      <c r="E278" s="32" t="n">
        <v>230315132</v>
      </c>
      <c r="F278" s="8" t="s">
        <v>969</v>
      </c>
      <c r="G278" s="22" t="s">
        <v>970</v>
      </c>
      <c r="H278" s="22" t="s">
        <v>129</v>
      </c>
      <c r="I278" s="33" t="n">
        <v>2005</v>
      </c>
      <c r="J278" s="32" t="n">
        <v>72</v>
      </c>
      <c r="K278" s="32" t="n">
        <v>94</v>
      </c>
      <c r="L278" s="34" t="n">
        <f aca="false">(K278*70)/100</f>
        <v>65.8</v>
      </c>
      <c r="M278" s="34" t="n">
        <f aca="false">ROUNDUP(L278,0)</f>
        <v>66</v>
      </c>
      <c r="N278" s="32" t="n">
        <v>25</v>
      </c>
      <c r="O278" s="34" t="n">
        <f aca="false">N278+L278</f>
        <v>90.8</v>
      </c>
      <c r="P278" s="34" t="n">
        <f aca="false">N278+M278</f>
        <v>91</v>
      </c>
      <c r="Q278" s="32" t="n">
        <v>85</v>
      </c>
      <c r="R278" s="32" t="n">
        <v>72</v>
      </c>
      <c r="S278" s="34" t="n">
        <f aca="false">(R278*70)/100</f>
        <v>50.4</v>
      </c>
      <c r="T278" s="34" t="n">
        <f aca="false">ROUNDUP(S278,0)</f>
        <v>51</v>
      </c>
      <c r="U278" s="32" t="n">
        <v>21</v>
      </c>
      <c r="V278" s="34" t="n">
        <f aca="false">U278+S278</f>
        <v>71.4</v>
      </c>
      <c r="W278" s="34" t="n">
        <f aca="false">U278+T278</f>
        <v>72</v>
      </c>
      <c r="X278" s="32" t="n">
        <v>76</v>
      </c>
      <c r="Y278" s="34" t="n">
        <f aca="false">(X278*70)/100</f>
        <v>53.2</v>
      </c>
      <c r="Z278" s="34" t="n">
        <f aca="false">ROUNDUP(Y278,0)</f>
        <v>54</v>
      </c>
      <c r="AA278" s="32" t="n">
        <v>23</v>
      </c>
      <c r="AB278" s="34" t="n">
        <f aca="false">AA278+Y278</f>
        <v>76.2</v>
      </c>
      <c r="AC278" s="34" t="n">
        <f aca="false">AA278+Z278</f>
        <v>77</v>
      </c>
      <c r="AD278" s="32" t="n">
        <f aca="false">X278+R278+Q278+K278+J278</f>
        <v>399</v>
      </c>
      <c r="AE278" s="16" t="n">
        <f aca="false">AD278/5</f>
        <v>79.8</v>
      </c>
      <c r="AF278" s="16" t="n">
        <v>86</v>
      </c>
      <c r="AG278" s="16" t="n">
        <v>76</v>
      </c>
      <c r="AH278" s="16" t="n">
        <v>93</v>
      </c>
      <c r="AI278" s="16" t="n">
        <v>92</v>
      </c>
      <c r="AJ278" s="16" t="n">
        <f aca="false">(AI278*70)/100</f>
        <v>64.4</v>
      </c>
      <c r="AK278" s="35" t="n">
        <f aca="false">ROUNDUP(AJ278,0)</f>
        <v>65</v>
      </c>
      <c r="AL278" s="16" t="n">
        <v>25</v>
      </c>
      <c r="AM278" s="16" t="n">
        <f aca="false">AL278+AJ278</f>
        <v>89.4</v>
      </c>
      <c r="AN278" s="16" t="n">
        <f aca="false">AL278+AK278</f>
        <v>90</v>
      </c>
      <c r="AO278" s="16" t="n">
        <v>76</v>
      </c>
      <c r="AP278" s="36" t="n">
        <f aca="false">(AO278*70)/100</f>
        <v>53.2</v>
      </c>
      <c r="AQ278" s="37" t="n">
        <f aca="false">ROUNDUP(AP278,0)</f>
        <v>54</v>
      </c>
      <c r="AR278" s="16" t="n">
        <v>27</v>
      </c>
      <c r="AS278" s="16" t="n">
        <f aca="false">AR278+AP278</f>
        <v>80.2</v>
      </c>
      <c r="AT278" s="16" t="n">
        <f aca="false">AR278+AQ278</f>
        <v>81</v>
      </c>
      <c r="AU278" s="16" t="n">
        <f aca="false">AO278+AF278+AI278+AH278+AG278</f>
        <v>423</v>
      </c>
      <c r="AV278" s="16" t="n">
        <f aca="false">(AO278+AF278+AI278+AH278+AG278)/5</f>
        <v>84.6</v>
      </c>
      <c r="AW278" s="36" t="n">
        <f aca="false">(AO278+AF278+AI278+AH278+AG278+X278+R278+Q278+K278+J278)</f>
        <v>822</v>
      </c>
      <c r="AX278" s="16" t="n">
        <f aca="false">AW278/10</f>
        <v>82.2</v>
      </c>
      <c r="AY278" s="16" t="n">
        <f aca="false">AS278+AF278+AM278+AH278+AG278+AB278+V278+Q278+O278+J278</f>
        <v>820</v>
      </c>
      <c r="AZ278" s="16" t="n">
        <f aca="false">AT278+AF278+AN278+AH278+AG278+AC278+W278+Q278+P278+J278</f>
        <v>823</v>
      </c>
      <c r="BA278" s="16" t="n">
        <f aca="false">AY278/10</f>
        <v>82</v>
      </c>
      <c r="BB278" s="16" t="n">
        <f aca="false">AZ278/10</f>
        <v>82.3</v>
      </c>
      <c r="BC278" s="16" t="n">
        <v>2356</v>
      </c>
      <c r="BD278" s="16" t="n">
        <f aca="false">RANK(AX278,$AX$2:$AX$881,0)</f>
        <v>156</v>
      </c>
      <c r="BE278" s="54" t="n">
        <f aca="false">((BC278*100)/2400)*0.4+(AX278*0.6)</f>
        <v>88.5866666666667</v>
      </c>
      <c r="BF278" s="16" t="n">
        <f aca="false">RANK(BE278,$BE$2:$BE$881,0)</f>
        <v>153</v>
      </c>
      <c r="BG278" s="39" t="n">
        <f aca="false">RANK(BB278,$BB$2:$BB$881,0)</f>
        <v>193</v>
      </c>
      <c r="BH278" s="39" t="n">
        <f aca="false">RANK(BC278,$BC$2:$BC$881,0)</f>
        <v>462</v>
      </c>
      <c r="BI278" s="22" t="s">
        <v>130</v>
      </c>
      <c r="BJ278" s="22" t="s">
        <v>129</v>
      </c>
      <c r="BK278" s="40" t="s">
        <v>131</v>
      </c>
      <c r="BL278" s="41" t="n">
        <v>19</v>
      </c>
      <c r="BM278" s="41" t="n">
        <v>55</v>
      </c>
      <c r="BN278" s="41" t="n">
        <v>74</v>
      </c>
      <c r="BO278" s="42" t="n">
        <v>21</v>
      </c>
      <c r="BP278" s="43" t="n">
        <v>48</v>
      </c>
      <c r="BQ278" s="44" t="n">
        <v>69</v>
      </c>
      <c r="BR278" s="42" t="n">
        <v>21</v>
      </c>
      <c r="BS278" s="77" t="n">
        <v>53</v>
      </c>
      <c r="BT278" s="77" t="n">
        <v>74</v>
      </c>
      <c r="BU278" s="77" t="n">
        <v>100</v>
      </c>
      <c r="BV278" s="47" t="n">
        <v>80</v>
      </c>
      <c r="BW278" s="43" t="n">
        <v>98</v>
      </c>
      <c r="BX278" s="48" t="n">
        <v>94</v>
      </c>
      <c r="BY278" s="32" t="n">
        <v>18</v>
      </c>
      <c r="BZ278" s="32" t="n">
        <v>60</v>
      </c>
      <c r="CA278" s="32" t="n">
        <v>78</v>
      </c>
      <c r="CB278" s="32" t="n">
        <v>27</v>
      </c>
      <c r="CC278" s="32" t="n">
        <v>39</v>
      </c>
      <c r="CD278" s="32" t="n">
        <v>66</v>
      </c>
      <c r="CE278" s="32" t="n">
        <v>26</v>
      </c>
      <c r="CF278" s="32" t="n">
        <v>46</v>
      </c>
      <c r="CG278" s="32" t="n">
        <v>72</v>
      </c>
      <c r="CH278" s="32" t="n">
        <v>99</v>
      </c>
      <c r="CI278" s="32" t="n">
        <v>92</v>
      </c>
      <c r="CJ278" s="49" t="n">
        <v>16</v>
      </c>
      <c r="CK278" s="58" t="n">
        <v>58</v>
      </c>
      <c r="CL278" s="59" t="n">
        <v>74</v>
      </c>
      <c r="CM278" s="49" t="n">
        <v>24</v>
      </c>
      <c r="CN278" s="58" t="n">
        <v>57</v>
      </c>
      <c r="CO278" s="58" t="n">
        <v>81</v>
      </c>
      <c r="CP278" s="25" t="n">
        <f aca="false">BX278+BW278+BV278+BU278+BT278+BQ278+BN278</f>
        <v>589</v>
      </c>
      <c r="CQ278" s="25" t="n">
        <f aca="false">CO278+CL278+CI278+CH278+CG278+CD278+CA278</f>
        <v>562</v>
      </c>
      <c r="CR278" s="26" t="n">
        <f aca="false">CP278/7</f>
        <v>84.1428571428571</v>
      </c>
      <c r="CS278" s="26" t="n">
        <f aca="false">CQ278/7</f>
        <v>80.2857142857143</v>
      </c>
      <c r="CT278" s="24" t="n">
        <f aca="false">RANK(CR278,$CR$2:$CR$881,0)</f>
        <v>474</v>
      </c>
      <c r="CU278" s="25" t="n">
        <f aca="false">RANK(CS278,$CS$2:$CS$881,0)</f>
        <v>253</v>
      </c>
      <c r="CV278" s="26" t="n">
        <f aca="false">(CS278+CR278)/2</f>
        <v>82.2142857142857</v>
      </c>
      <c r="CW278" s="25" t="n">
        <f aca="false">RANK(CV278,$CV$2:$CV$881,0)</f>
        <v>328</v>
      </c>
      <c r="CX278" s="50" t="n">
        <f aca="false">(CV278+BB278)/2</f>
        <v>82.2571428571429</v>
      </c>
      <c r="CY278" s="50" t="n">
        <v>513</v>
      </c>
      <c r="CZ278" s="27" t="s">
        <v>132</v>
      </c>
      <c r="DA278" s="27" t="s">
        <v>169</v>
      </c>
      <c r="DB278" s="27" t="s">
        <v>169</v>
      </c>
      <c r="DC278" s="27" t="s">
        <v>134</v>
      </c>
      <c r="DD278" s="27" t="s">
        <v>135</v>
      </c>
      <c r="DE278" s="27" t="s">
        <v>161</v>
      </c>
      <c r="DF278" s="27" t="s">
        <v>202</v>
      </c>
      <c r="DG278" s="27" t="s">
        <v>134</v>
      </c>
      <c r="DH278" s="27" t="s">
        <v>182</v>
      </c>
      <c r="DI278" s="27" t="s">
        <v>136</v>
      </c>
      <c r="DJ278" s="27" t="s">
        <v>178</v>
      </c>
      <c r="DK278" s="27" t="s">
        <v>134</v>
      </c>
      <c r="DL278" s="27" t="s">
        <v>154</v>
      </c>
      <c r="DM278" s="27" t="s">
        <v>204</v>
      </c>
      <c r="DN278" s="27" t="s">
        <v>205</v>
      </c>
      <c r="DO278" s="27" t="s">
        <v>134</v>
      </c>
      <c r="DP278" s="27" t="s">
        <v>825</v>
      </c>
      <c r="DQ278" s="27" t="s">
        <v>479</v>
      </c>
      <c r="DR278" s="27" t="s">
        <v>313</v>
      </c>
      <c r="DS278" s="27" t="s">
        <v>480</v>
      </c>
      <c r="DT278" s="27" t="s">
        <v>264</v>
      </c>
      <c r="DU278" s="27" t="s">
        <v>447</v>
      </c>
      <c r="DV278" s="27" t="s">
        <v>398</v>
      </c>
      <c r="DW278" s="27" t="s">
        <v>146</v>
      </c>
      <c r="DX278" s="27" t="s">
        <v>141</v>
      </c>
      <c r="DY278" s="27" t="s">
        <v>144</v>
      </c>
      <c r="DZ278" s="27" t="n">
        <f aca="false">DY278+DV278+DR278+DN278+DJ278+DF278+DB278</f>
        <v>559</v>
      </c>
      <c r="EA278" s="28" t="n">
        <f aca="false">DZ278/7</f>
        <v>79.8571428571429</v>
      </c>
      <c r="EB278" s="27" t="n">
        <f aca="false">RANK(EA278,$EA$2:$EA$881,0)</f>
        <v>399</v>
      </c>
      <c r="EC278" s="29" t="n">
        <f aca="false">DZ278+CQ278+CP278+AZ278</f>
        <v>2533</v>
      </c>
      <c r="ED278" s="30" t="n">
        <f aca="false">(EA278+CV278+BB278)/3</f>
        <v>81.4571428571429</v>
      </c>
      <c r="EE278" s="51" t="n">
        <f aca="false">ROUND(BE278,3)</f>
        <v>88.587</v>
      </c>
      <c r="EF278" s="51" t="n">
        <f aca="false">ROUND(CR278,3)</f>
        <v>84.143</v>
      </c>
      <c r="EG278" s="51" t="n">
        <f aca="false">ROUND(CS278,3)</f>
        <v>80.286</v>
      </c>
      <c r="EH278" s="51" t="n">
        <f aca="false">ROUND(EA278,3)</f>
        <v>79.857</v>
      </c>
      <c r="EI278" s="51" t="n">
        <f aca="false">ROUND(ED278,3)</f>
        <v>81.457</v>
      </c>
      <c r="EJ278" s="51" t="n">
        <f aca="false">ROUND(CV278,3)</f>
        <v>82.214</v>
      </c>
      <c r="EK278" s="0" t="n">
        <f aca="false">RANK(EI278,$EI$2:$EI$881,0)</f>
        <v>277</v>
      </c>
    </row>
    <row r="279" customFormat="false" ht="15" hidden="false" customHeight="false" outlineLevel="0" collapsed="false">
      <c r="A279" s="4" t="n">
        <v>1816</v>
      </c>
      <c r="B279" s="4" t="n">
        <v>287</v>
      </c>
      <c r="C279" s="27" t="s">
        <v>971</v>
      </c>
      <c r="D279" s="31" t="n">
        <v>285</v>
      </c>
      <c r="E279" s="16" t="n">
        <v>230620372</v>
      </c>
      <c r="F279" s="56" t="s">
        <v>972</v>
      </c>
      <c r="G279" s="22" t="s">
        <v>973</v>
      </c>
      <c r="H279" s="22" t="s">
        <v>558</v>
      </c>
      <c r="I279" s="57"/>
      <c r="J279" s="16" t="n">
        <v>68</v>
      </c>
      <c r="K279" s="16" t="n">
        <v>90</v>
      </c>
      <c r="L279" s="34" t="n">
        <f aca="false">(K279*70)/100</f>
        <v>63</v>
      </c>
      <c r="M279" s="34" t="n">
        <f aca="false">ROUNDUP(L279,0)</f>
        <v>63</v>
      </c>
      <c r="N279" s="16" t="n">
        <v>24</v>
      </c>
      <c r="O279" s="34" t="n">
        <f aca="false">N279+L279</f>
        <v>87</v>
      </c>
      <c r="P279" s="34" t="n">
        <f aca="false">N279+M279</f>
        <v>87</v>
      </c>
      <c r="Q279" s="16" t="n">
        <v>71</v>
      </c>
      <c r="R279" s="16" t="n">
        <v>79</v>
      </c>
      <c r="S279" s="34" t="n">
        <f aca="false">(R279*70)/100</f>
        <v>55.3</v>
      </c>
      <c r="T279" s="34" t="n">
        <f aca="false">ROUNDUP(S279,0)</f>
        <v>56</v>
      </c>
      <c r="U279" s="16" t="n">
        <v>28</v>
      </c>
      <c r="V279" s="34" t="n">
        <f aca="false">U279+S279</f>
        <v>83.3</v>
      </c>
      <c r="W279" s="34" t="n">
        <f aca="false">U279+T279</f>
        <v>84</v>
      </c>
      <c r="X279" s="16" t="n">
        <v>75</v>
      </c>
      <c r="Y279" s="34" t="n">
        <f aca="false">(X279*70)/100</f>
        <v>52.5</v>
      </c>
      <c r="Z279" s="34" t="n">
        <f aca="false">ROUNDUP(Y279,0)</f>
        <v>53</v>
      </c>
      <c r="AA279" s="16" t="n">
        <v>26</v>
      </c>
      <c r="AB279" s="34" t="n">
        <f aca="false">AA279+Y279</f>
        <v>78.5</v>
      </c>
      <c r="AC279" s="34" t="n">
        <f aca="false">AA279+Z279</f>
        <v>79</v>
      </c>
      <c r="AD279" s="32" t="n">
        <f aca="false">X279+R279+Q279+K279+J279</f>
        <v>383</v>
      </c>
      <c r="AE279" s="16" t="n">
        <f aca="false">AD279/5</f>
        <v>76.6</v>
      </c>
      <c r="AF279" s="71" t="n">
        <v>59</v>
      </c>
      <c r="AG279" s="16" t="n">
        <v>69</v>
      </c>
      <c r="AH279" s="16" t="n">
        <v>90</v>
      </c>
      <c r="AI279" s="16" t="n">
        <v>91</v>
      </c>
      <c r="AJ279" s="16" t="n">
        <f aca="false">(AI279*70)/100</f>
        <v>63.7</v>
      </c>
      <c r="AK279" s="35" t="n">
        <f aca="false">ROUNDUP(AJ279,0)</f>
        <v>64</v>
      </c>
      <c r="AL279" s="16" t="n">
        <v>26</v>
      </c>
      <c r="AM279" s="16" t="n">
        <f aca="false">AL279+AJ279</f>
        <v>89.7</v>
      </c>
      <c r="AN279" s="16" t="n">
        <f aca="false">AL279+AK279</f>
        <v>90</v>
      </c>
      <c r="AO279" s="16" t="n">
        <v>85</v>
      </c>
      <c r="AP279" s="36" t="n">
        <f aca="false">(AO279*70)/100</f>
        <v>59.5</v>
      </c>
      <c r="AQ279" s="37" t="n">
        <f aca="false">ROUNDUP(AP279,0)</f>
        <v>60</v>
      </c>
      <c r="AR279" s="16" t="n">
        <v>27</v>
      </c>
      <c r="AS279" s="16" t="n">
        <f aca="false">AR279+AP279</f>
        <v>86.5</v>
      </c>
      <c r="AT279" s="16" t="n">
        <f aca="false">AR279+AQ279</f>
        <v>87</v>
      </c>
      <c r="AU279" s="16" t="n">
        <f aca="false">AO279+AF279+AI279+AH279+AG279</f>
        <v>394</v>
      </c>
      <c r="AV279" s="16" t="n">
        <f aca="false">(AO279+AF279+AI279+AH279+AG279)/5</f>
        <v>78.8</v>
      </c>
      <c r="AW279" s="36" t="n">
        <f aca="false">(AO279+AF279+AI279+AH279+AG279+X279+R279+Q279+K279+J279)</f>
        <v>777</v>
      </c>
      <c r="AX279" s="16" t="n">
        <f aca="false">AW279/10</f>
        <v>77.7</v>
      </c>
      <c r="AY279" s="16" t="n">
        <f aca="false">AS279+AF279+AM279+AH279+AG279+AB279+V279+Q279+O279+J279</f>
        <v>782</v>
      </c>
      <c r="AZ279" s="16" t="n">
        <f aca="false">AT279+AF279+AN279+AH279+AG279+AC279+W279+Q279+P279+J279</f>
        <v>784</v>
      </c>
      <c r="BA279" s="16" t="n">
        <f aca="false">AY279/10</f>
        <v>78.2</v>
      </c>
      <c r="BB279" s="16" t="n">
        <f aca="false">AZ279/10</f>
        <v>78.4</v>
      </c>
      <c r="BC279" s="16" t="n">
        <v>2360</v>
      </c>
      <c r="BD279" s="16" t="n">
        <f aca="false">RANK(AX279,$AX$2:$AX$881,0)</f>
        <v>433</v>
      </c>
      <c r="BE279" s="54" t="n">
        <f aca="false">((BC279*100)/2400)*0.4+(AX279*0.6)</f>
        <v>85.9533333333333</v>
      </c>
      <c r="BF279" s="16" t="n">
        <f aca="false">RANK(BE279,$BE$2:$BE$881,0)</f>
        <v>441</v>
      </c>
      <c r="BG279" s="39" t="n">
        <f aca="false">RANK(BB279,$BB$2:$BB$881,0)</f>
        <v>520</v>
      </c>
      <c r="BH279" s="39" t="n">
        <f aca="false">RANK(BC279,$BC$2:$BC$881,0)</f>
        <v>402</v>
      </c>
      <c r="BI279" s="22" t="s">
        <v>130</v>
      </c>
      <c r="BJ279" s="22" t="s">
        <v>129</v>
      </c>
      <c r="BK279" s="40" t="s">
        <v>509</v>
      </c>
      <c r="BL279" s="41" t="n">
        <v>20</v>
      </c>
      <c r="BM279" s="41" t="n">
        <v>62</v>
      </c>
      <c r="BN279" s="41" t="n">
        <v>82</v>
      </c>
      <c r="BO279" s="42" t="n">
        <v>24</v>
      </c>
      <c r="BP279" s="43" t="n">
        <v>66</v>
      </c>
      <c r="BQ279" s="44" t="n">
        <v>90</v>
      </c>
      <c r="BR279" s="42" t="n">
        <v>24</v>
      </c>
      <c r="BS279" s="45" t="n">
        <v>60</v>
      </c>
      <c r="BT279" s="45" t="n">
        <v>84</v>
      </c>
      <c r="BU279" s="46" t="n">
        <v>99</v>
      </c>
      <c r="BV279" s="47" t="n">
        <v>82</v>
      </c>
      <c r="BW279" s="42" t="n">
        <v>98</v>
      </c>
      <c r="BX279" s="88" t="n">
        <v>90</v>
      </c>
      <c r="BY279" s="65" t="n">
        <v>30</v>
      </c>
      <c r="BZ279" s="58" t="n">
        <v>56</v>
      </c>
      <c r="CA279" s="58" t="n">
        <v>86</v>
      </c>
      <c r="CB279" s="59" t="n">
        <v>25</v>
      </c>
      <c r="CC279" s="58" t="n">
        <v>66</v>
      </c>
      <c r="CD279" s="58" t="n">
        <v>91</v>
      </c>
      <c r="CE279" s="58" t="n">
        <v>23</v>
      </c>
      <c r="CF279" s="58" t="n">
        <v>52</v>
      </c>
      <c r="CG279" s="58" t="n">
        <v>75</v>
      </c>
      <c r="CH279" s="58" t="n">
        <v>86</v>
      </c>
      <c r="CI279" s="58" t="n">
        <v>83</v>
      </c>
      <c r="CJ279" s="58" t="n">
        <v>21</v>
      </c>
      <c r="CK279" s="58" t="n">
        <v>62</v>
      </c>
      <c r="CL279" s="59" t="n">
        <v>83</v>
      </c>
      <c r="CM279" s="60"/>
      <c r="CN279" s="60"/>
      <c r="CO279" s="60"/>
      <c r="CP279" s="25" t="n">
        <f aca="false">BX279+BW279+BV279+BU279+BT279+BQ279+BN279</f>
        <v>625</v>
      </c>
      <c r="CQ279" s="25" t="n">
        <f aca="false">CO279+CL279+CI279+CH279+CG279+CD279+CA279</f>
        <v>504</v>
      </c>
      <c r="CR279" s="26" t="n">
        <f aca="false">CP279/7</f>
        <v>89.2857142857143</v>
      </c>
      <c r="CS279" s="26" t="n">
        <f aca="false">CQ279/7</f>
        <v>72</v>
      </c>
      <c r="CT279" s="24" t="n">
        <f aca="false">RANK(CR279,$CR$2:$CR$881,0)</f>
        <v>228</v>
      </c>
      <c r="CU279" s="25" t="n">
        <f aca="false">RANK(CS279,$CS$2:$CS$881,0)</f>
        <v>509</v>
      </c>
      <c r="CV279" s="26" t="n">
        <f aca="false">(CS279+CR279)/2</f>
        <v>80.6428571428571</v>
      </c>
      <c r="CW279" s="25" t="n">
        <f aca="false">RANK(CV279,$CV$2:$CV$881,0)</f>
        <v>402</v>
      </c>
      <c r="CX279" s="50" t="n">
        <f aca="false">(CV279+BB279)/2</f>
        <v>79.5214285714286</v>
      </c>
      <c r="CY279" s="50" t="n">
        <v>653</v>
      </c>
      <c r="CZ279" s="27" t="s">
        <v>132</v>
      </c>
      <c r="DA279" s="27" t="s">
        <v>205</v>
      </c>
      <c r="DB279" s="27" t="s">
        <v>205</v>
      </c>
      <c r="DC279" s="27" t="s">
        <v>134</v>
      </c>
      <c r="DD279" s="27" t="s">
        <v>154</v>
      </c>
      <c r="DE279" s="27" t="s">
        <v>161</v>
      </c>
      <c r="DF279" s="27" t="s">
        <v>209</v>
      </c>
      <c r="DG279" s="27" t="s">
        <v>134</v>
      </c>
      <c r="DH279" s="27" t="s">
        <v>164</v>
      </c>
      <c r="DI279" s="27" t="s">
        <v>183</v>
      </c>
      <c r="DJ279" s="27" t="s">
        <v>175</v>
      </c>
      <c r="DK279" s="27" t="s">
        <v>134</v>
      </c>
      <c r="DL279" s="27" t="s">
        <v>135</v>
      </c>
      <c r="DM279" s="27" t="s">
        <v>177</v>
      </c>
      <c r="DN279" s="27" t="s">
        <v>175</v>
      </c>
      <c r="DO279" s="27" t="s">
        <v>134</v>
      </c>
      <c r="DP279" s="27" t="s">
        <v>195</v>
      </c>
      <c r="DQ279" s="27" t="s">
        <v>204</v>
      </c>
      <c r="DR279" s="27" t="s">
        <v>219</v>
      </c>
      <c r="DS279" s="27" t="s">
        <v>134</v>
      </c>
      <c r="DT279" s="27" t="s">
        <v>140</v>
      </c>
      <c r="DU279" s="27" t="s">
        <v>304</v>
      </c>
      <c r="DV279" s="27" t="s">
        <v>169</v>
      </c>
      <c r="DW279" s="27" t="s">
        <v>160</v>
      </c>
      <c r="DX279" s="27" t="s">
        <v>155</v>
      </c>
      <c r="DY279" s="27" t="s">
        <v>145</v>
      </c>
      <c r="DZ279" s="27" t="n">
        <f aca="false">DY279+DV279+DR279+DN279+DJ279+DF279+DB279</f>
        <v>597</v>
      </c>
      <c r="EA279" s="28" t="n">
        <f aca="false">DZ279/7</f>
        <v>85.2857142857143</v>
      </c>
      <c r="EB279" s="27" t="n">
        <f aca="false">RANK(EA279,$EA$2:$EA$881,0)</f>
        <v>176</v>
      </c>
      <c r="EC279" s="29" t="n">
        <f aca="false">DZ279+CQ279+CP279+AZ279</f>
        <v>2510</v>
      </c>
      <c r="ED279" s="30" t="n">
        <f aca="false">(EA279+CV279+BB279)/3</f>
        <v>81.4428571428572</v>
      </c>
      <c r="EE279" s="51" t="n">
        <f aca="false">ROUND(BE279,3)</f>
        <v>85.953</v>
      </c>
      <c r="EF279" s="51" t="n">
        <f aca="false">ROUND(CR279,3)</f>
        <v>89.286</v>
      </c>
      <c r="EG279" s="51" t="n">
        <f aca="false">ROUND(CS279,3)</f>
        <v>72</v>
      </c>
      <c r="EH279" s="51" t="n">
        <f aca="false">ROUND(EA279,3)</f>
        <v>85.286</v>
      </c>
      <c r="EI279" s="51" t="n">
        <f aca="false">ROUND(ED279,3)</f>
        <v>81.443</v>
      </c>
      <c r="EJ279" s="51" t="n">
        <f aca="false">ROUND(CV279,3)</f>
        <v>80.643</v>
      </c>
      <c r="EK279" s="0" t="n">
        <f aca="false">RANK(EI279,$EI$2:$EI$881,0)</f>
        <v>278</v>
      </c>
    </row>
    <row r="280" customFormat="false" ht="15" hidden="false" customHeight="false" outlineLevel="0" collapsed="false">
      <c r="A280" s="4" t="n">
        <v>1924</v>
      </c>
      <c r="B280" s="4" t="n">
        <v>772</v>
      </c>
      <c r="C280" s="27" t="s">
        <v>974</v>
      </c>
      <c r="D280" s="31" t="n">
        <v>790</v>
      </c>
      <c r="E280" s="32" t="n">
        <v>230319192</v>
      </c>
      <c r="F280" s="55" t="s">
        <v>975</v>
      </c>
      <c r="G280" s="22" t="s">
        <v>553</v>
      </c>
      <c r="H280" s="22" t="s">
        <v>129</v>
      </c>
      <c r="I280" s="33" t="n">
        <v>2005</v>
      </c>
      <c r="J280" s="32" t="n">
        <v>70</v>
      </c>
      <c r="K280" s="32" t="n">
        <v>81</v>
      </c>
      <c r="L280" s="34" t="n">
        <f aca="false">(K280*70)/100</f>
        <v>56.7</v>
      </c>
      <c r="M280" s="34" t="n">
        <f aca="false">ROUNDUP(L280,0)</f>
        <v>57</v>
      </c>
      <c r="N280" s="32" t="n">
        <v>25</v>
      </c>
      <c r="O280" s="34" t="n">
        <f aca="false">N280+L280</f>
        <v>81.7</v>
      </c>
      <c r="P280" s="34" t="n">
        <f aca="false">N280+M280</f>
        <v>82</v>
      </c>
      <c r="Q280" s="32" t="n">
        <v>78</v>
      </c>
      <c r="R280" s="32" t="n">
        <v>73</v>
      </c>
      <c r="S280" s="34" t="n">
        <f aca="false">(R280*70)/100</f>
        <v>51.1</v>
      </c>
      <c r="T280" s="34" t="n">
        <f aca="false">ROUNDUP(S280,0)</f>
        <v>52</v>
      </c>
      <c r="U280" s="32" t="n">
        <v>27</v>
      </c>
      <c r="V280" s="34" t="n">
        <f aca="false">U280+S280</f>
        <v>78.1</v>
      </c>
      <c r="W280" s="34" t="n">
        <f aca="false">U280+T280</f>
        <v>79</v>
      </c>
      <c r="X280" s="32" t="n">
        <v>68</v>
      </c>
      <c r="Y280" s="34" t="n">
        <f aca="false">(X280*70)/100</f>
        <v>47.6</v>
      </c>
      <c r="Z280" s="34" t="n">
        <f aca="false">ROUNDUP(Y280,0)</f>
        <v>48</v>
      </c>
      <c r="AA280" s="32" t="n">
        <v>25</v>
      </c>
      <c r="AB280" s="34" t="n">
        <f aca="false">AA280+Y280</f>
        <v>72.6</v>
      </c>
      <c r="AC280" s="34" t="n">
        <f aca="false">AA280+Z280</f>
        <v>73</v>
      </c>
      <c r="AD280" s="32" t="n">
        <f aca="false">X280+R280+Q280+K280+J280</f>
        <v>370</v>
      </c>
      <c r="AE280" s="16" t="n">
        <f aca="false">AD280/5</f>
        <v>74</v>
      </c>
      <c r="AF280" s="16" t="n">
        <v>74</v>
      </c>
      <c r="AG280" s="16" t="n">
        <v>87</v>
      </c>
      <c r="AH280" s="16" t="n">
        <v>86</v>
      </c>
      <c r="AI280" s="16" t="n">
        <v>94</v>
      </c>
      <c r="AJ280" s="16" t="n">
        <f aca="false">(AI280*70)/100</f>
        <v>65.8</v>
      </c>
      <c r="AK280" s="35" t="n">
        <f aca="false">ROUNDUP(AJ280,0)</f>
        <v>66</v>
      </c>
      <c r="AL280" s="16" t="n">
        <v>25</v>
      </c>
      <c r="AM280" s="16" t="n">
        <f aca="false">AL280+AJ280</f>
        <v>90.8</v>
      </c>
      <c r="AN280" s="16" t="n">
        <f aca="false">AL280+AK280</f>
        <v>91</v>
      </c>
      <c r="AO280" s="16" t="n">
        <v>63</v>
      </c>
      <c r="AP280" s="36" t="n">
        <f aca="false">(AO280*70)/100</f>
        <v>44.1</v>
      </c>
      <c r="AQ280" s="37" t="n">
        <f aca="false">ROUNDUP(AP280,0)</f>
        <v>45</v>
      </c>
      <c r="AR280" s="16" t="n">
        <v>24</v>
      </c>
      <c r="AS280" s="16" t="n">
        <f aca="false">AR280+AP280</f>
        <v>68.1</v>
      </c>
      <c r="AT280" s="16" t="n">
        <f aca="false">AR280+AQ280</f>
        <v>69</v>
      </c>
      <c r="AU280" s="16" t="n">
        <f aca="false">AO280+AF280+AI280+AH280+AG280</f>
        <v>404</v>
      </c>
      <c r="AV280" s="16" t="n">
        <f aca="false">(AO280+AF280+AI280+AH280+AG280)/5</f>
        <v>80.8</v>
      </c>
      <c r="AW280" s="36" t="n">
        <f aca="false">(AO280+AF280+AI280+AH280+AG280+X280+R280+Q280+K280+J280)</f>
        <v>774</v>
      </c>
      <c r="AX280" s="16" t="n">
        <f aca="false">AW280/10</f>
        <v>77.4</v>
      </c>
      <c r="AY280" s="16" t="n">
        <f aca="false">AS280+AF280+AM280+AH280+AG280+AB280+V280+Q280+O280+J280</f>
        <v>786.3</v>
      </c>
      <c r="AZ280" s="16" t="n">
        <f aca="false">AT280+AF280+AN280+AH280+AG280+AC280+W280+Q280+P280+J280</f>
        <v>789</v>
      </c>
      <c r="BA280" s="16" t="n">
        <f aca="false">AY280/10</f>
        <v>78.63</v>
      </c>
      <c r="BB280" s="16" t="n">
        <f aca="false">AZ280/10</f>
        <v>78.9</v>
      </c>
      <c r="BC280" s="16" t="n">
        <v>2370</v>
      </c>
      <c r="BD280" s="16" t="n">
        <f aca="false">RANK(AX280,$AX$2:$AX$881,0)</f>
        <v>461</v>
      </c>
      <c r="BE280" s="54" t="n">
        <f aca="false">((BC280*100)/2400)*0.4+(AX280*0.6)</f>
        <v>85.94</v>
      </c>
      <c r="BF280" s="16" t="n">
        <f aca="false">RANK(BE280,$BE$2:$BE$881,0)</f>
        <v>442</v>
      </c>
      <c r="BG280" s="39" t="n">
        <f aca="false">RANK(BB280,$BB$2:$BB$881,0)</f>
        <v>463</v>
      </c>
      <c r="BH280" s="39" t="n">
        <f aca="false">RANK(BC280,$BC$2:$BC$881,0)</f>
        <v>268</v>
      </c>
      <c r="BI280" s="22" t="s">
        <v>130</v>
      </c>
      <c r="BJ280" s="22" t="s">
        <v>129</v>
      </c>
      <c r="BK280" s="40" t="s">
        <v>509</v>
      </c>
      <c r="BL280" s="41" t="n">
        <v>19</v>
      </c>
      <c r="BM280" s="41" t="n">
        <v>61</v>
      </c>
      <c r="BN280" s="41" t="n">
        <v>80</v>
      </c>
      <c r="BO280" s="42" t="n">
        <v>19</v>
      </c>
      <c r="BP280" s="43" t="n">
        <v>64</v>
      </c>
      <c r="BQ280" s="44" t="n">
        <v>83</v>
      </c>
      <c r="BR280" s="42" t="n">
        <v>21</v>
      </c>
      <c r="BS280" s="45" t="n">
        <v>60</v>
      </c>
      <c r="BT280" s="45" t="n">
        <v>81</v>
      </c>
      <c r="BU280" s="46" t="n">
        <v>99</v>
      </c>
      <c r="BV280" s="47" t="n">
        <v>86</v>
      </c>
      <c r="BW280" s="42" t="n">
        <v>99</v>
      </c>
      <c r="BX280" s="48" t="n">
        <v>88</v>
      </c>
      <c r="BY280" s="32" t="n">
        <v>26</v>
      </c>
      <c r="BZ280" s="32" t="n">
        <v>57</v>
      </c>
      <c r="CA280" s="32" t="n">
        <v>83</v>
      </c>
      <c r="CB280" s="32" t="n">
        <v>22</v>
      </c>
      <c r="CC280" s="32" t="n">
        <v>39</v>
      </c>
      <c r="CD280" s="32" t="n">
        <v>61</v>
      </c>
      <c r="CE280" s="32" t="n">
        <v>17</v>
      </c>
      <c r="CF280" s="32" t="n">
        <v>49</v>
      </c>
      <c r="CG280" s="32" t="n">
        <v>66</v>
      </c>
      <c r="CH280" s="32" t="n">
        <v>96</v>
      </c>
      <c r="CI280" s="32" t="n">
        <v>99</v>
      </c>
      <c r="CJ280" s="49" t="n">
        <v>24</v>
      </c>
      <c r="CK280" s="49" t="n">
        <v>55</v>
      </c>
      <c r="CL280" s="49" t="n">
        <v>79</v>
      </c>
      <c r="CM280" s="49" t="n">
        <v>23</v>
      </c>
      <c r="CN280" s="49" t="n">
        <v>53</v>
      </c>
      <c r="CO280" s="49" t="n">
        <v>76</v>
      </c>
      <c r="CP280" s="25" t="n">
        <f aca="false">BX280+BW280+BV280+BU280+BT280+BQ280+BN280</f>
        <v>616</v>
      </c>
      <c r="CQ280" s="25" t="n">
        <f aca="false">CO280+CL280+CI280+CH280+CG280+CD280+CA280</f>
        <v>560</v>
      </c>
      <c r="CR280" s="26" t="n">
        <f aca="false">CP280/7</f>
        <v>88</v>
      </c>
      <c r="CS280" s="26" t="n">
        <f aca="false">CQ280/7</f>
        <v>80</v>
      </c>
      <c r="CT280" s="24" t="n">
        <f aca="false">RANK(CR280,$CR$2:$CR$881,0)</f>
        <v>304</v>
      </c>
      <c r="CU280" s="25" t="n">
        <f aca="false">RANK(CS280,$CS$2:$CS$881,0)</f>
        <v>264</v>
      </c>
      <c r="CV280" s="26" t="n">
        <f aca="false">(CS280+CR280)/2</f>
        <v>84</v>
      </c>
      <c r="CW280" s="25" t="n">
        <f aca="false">RANK(CV280,$CV$2:$CV$881,0)</f>
        <v>263</v>
      </c>
      <c r="CX280" s="50" t="n">
        <f aca="false">(CV280+BB280)/2</f>
        <v>81.45</v>
      </c>
      <c r="CY280" s="50" t="n">
        <v>294</v>
      </c>
      <c r="CZ280" s="27" t="s">
        <v>132</v>
      </c>
      <c r="DA280" s="27" t="s">
        <v>151</v>
      </c>
      <c r="DB280" s="27" t="s">
        <v>151</v>
      </c>
      <c r="DC280" s="27" t="s">
        <v>134</v>
      </c>
      <c r="DD280" s="27" t="s">
        <v>135</v>
      </c>
      <c r="DE280" s="27" t="s">
        <v>313</v>
      </c>
      <c r="DF280" s="27" t="s">
        <v>382</v>
      </c>
      <c r="DG280" s="27" t="s">
        <v>134</v>
      </c>
      <c r="DH280" s="27" t="s">
        <v>182</v>
      </c>
      <c r="DI280" s="27" t="s">
        <v>304</v>
      </c>
      <c r="DJ280" s="27" t="s">
        <v>305</v>
      </c>
      <c r="DK280" s="27" t="s">
        <v>134</v>
      </c>
      <c r="DL280" s="27" t="s">
        <v>164</v>
      </c>
      <c r="DM280" s="27" t="s">
        <v>220</v>
      </c>
      <c r="DN280" s="27" t="s">
        <v>169</v>
      </c>
      <c r="DO280" s="27" t="s">
        <v>134</v>
      </c>
      <c r="DP280" s="27" t="s">
        <v>825</v>
      </c>
      <c r="DQ280" s="27" t="s">
        <v>442</v>
      </c>
      <c r="DR280" s="27" t="s">
        <v>203</v>
      </c>
      <c r="DS280" s="27" t="s">
        <v>134</v>
      </c>
      <c r="DT280" s="27" t="s">
        <v>160</v>
      </c>
      <c r="DU280" s="27" t="s">
        <v>412</v>
      </c>
      <c r="DV280" s="27" t="s">
        <v>272</v>
      </c>
      <c r="DW280" s="27" t="s">
        <v>160</v>
      </c>
      <c r="DX280" s="27" t="s">
        <v>155</v>
      </c>
      <c r="DY280" s="27" t="s">
        <v>145</v>
      </c>
      <c r="DZ280" s="27" t="n">
        <f aca="false">DY280+DV280+DR280+DN280+DJ280+DF280+DB280</f>
        <v>570</v>
      </c>
      <c r="EA280" s="28" t="n">
        <f aca="false">DZ280/7</f>
        <v>81.4285714285714</v>
      </c>
      <c r="EB280" s="27" t="n">
        <f aca="false">RANK(EA280,$EA$2:$EA$881,0)</f>
        <v>327</v>
      </c>
      <c r="EC280" s="29" t="n">
        <f aca="false">DZ280+CQ280+CP280+AZ280</f>
        <v>2535</v>
      </c>
      <c r="ED280" s="30" t="n">
        <f aca="false">(EA280+CV280+BB280)/3</f>
        <v>81.4428571428572</v>
      </c>
      <c r="EE280" s="51" t="n">
        <f aca="false">ROUND(BE280,3)</f>
        <v>85.94</v>
      </c>
      <c r="EF280" s="51" t="n">
        <f aca="false">ROUND(CR280,3)</f>
        <v>88</v>
      </c>
      <c r="EG280" s="51" t="n">
        <f aca="false">ROUND(CS280,3)</f>
        <v>80</v>
      </c>
      <c r="EH280" s="51" t="n">
        <f aca="false">ROUND(EA280,3)</f>
        <v>81.429</v>
      </c>
      <c r="EI280" s="51" t="n">
        <f aca="false">ROUND(ED280,3)</f>
        <v>81.443</v>
      </c>
      <c r="EJ280" s="51" t="n">
        <f aca="false">ROUND(CV280,3)</f>
        <v>84</v>
      </c>
      <c r="EK280" s="0" t="n">
        <f aca="false">RANK(EI280,$EI$2:$EI$881,0)</f>
        <v>278</v>
      </c>
    </row>
    <row r="281" customFormat="false" ht="15" hidden="false" customHeight="false" outlineLevel="0" collapsed="false">
      <c r="A281" s="4" t="n">
        <v>1928</v>
      </c>
      <c r="B281" s="4" t="n">
        <v>273</v>
      </c>
      <c r="C281" s="27" t="s">
        <v>976</v>
      </c>
      <c r="D281" s="31" t="n">
        <v>271</v>
      </c>
      <c r="E281" s="32" t="n">
        <v>230319697</v>
      </c>
      <c r="F281" s="8" t="s">
        <v>977</v>
      </c>
      <c r="G281" s="22" t="s">
        <v>648</v>
      </c>
      <c r="H281" s="22" t="s">
        <v>129</v>
      </c>
      <c r="I281" s="33" t="n">
        <v>2005</v>
      </c>
      <c r="J281" s="32" t="n">
        <v>75</v>
      </c>
      <c r="K281" s="32" t="n">
        <v>79</v>
      </c>
      <c r="L281" s="34" t="n">
        <f aca="false">(K281*70)/100</f>
        <v>55.3</v>
      </c>
      <c r="M281" s="34" t="n">
        <f aca="false">ROUNDUP(L281,0)</f>
        <v>56</v>
      </c>
      <c r="N281" s="32" t="n">
        <v>26</v>
      </c>
      <c r="O281" s="34" t="n">
        <f aca="false">N281+L281</f>
        <v>81.3</v>
      </c>
      <c r="P281" s="34" t="n">
        <f aca="false">N281+M281</f>
        <v>82</v>
      </c>
      <c r="Q281" s="32" t="n">
        <v>74</v>
      </c>
      <c r="R281" s="32" t="n">
        <v>72</v>
      </c>
      <c r="S281" s="34" t="n">
        <f aca="false">(R281*70)/100</f>
        <v>50.4</v>
      </c>
      <c r="T281" s="34" t="n">
        <f aca="false">ROUNDUP(S281,0)</f>
        <v>51</v>
      </c>
      <c r="U281" s="32" t="n">
        <v>19</v>
      </c>
      <c r="V281" s="34" t="n">
        <f aca="false">U281+S281</f>
        <v>69.4</v>
      </c>
      <c r="W281" s="34" t="n">
        <f aca="false">U281+T281</f>
        <v>70</v>
      </c>
      <c r="X281" s="32" t="n">
        <v>74</v>
      </c>
      <c r="Y281" s="34" t="n">
        <f aca="false">(X281*70)/100</f>
        <v>51.8</v>
      </c>
      <c r="Z281" s="34" t="n">
        <f aca="false">ROUNDUP(Y281,0)</f>
        <v>52</v>
      </c>
      <c r="AA281" s="32" t="n">
        <v>26</v>
      </c>
      <c r="AB281" s="34" t="n">
        <f aca="false">AA281+Y281</f>
        <v>77.8</v>
      </c>
      <c r="AC281" s="34" t="n">
        <f aca="false">AA281+Z281</f>
        <v>78</v>
      </c>
      <c r="AD281" s="32" t="n">
        <f aca="false">X281+R281+Q281+K281+J281</f>
        <v>374</v>
      </c>
      <c r="AE281" s="16" t="n">
        <f aca="false">AD281/5</f>
        <v>74.8</v>
      </c>
      <c r="AF281" s="16" t="n">
        <v>79</v>
      </c>
      <c r="AG281" s="16" t="n">
        <v>86</v>
      </c>
      <c r="AH281" s="16" t="n">
        <v>85</v>
      </c>
      <c r="AI281" s="16" t="n">
        <v>82</v>
      </c>
      <c r="AJ281" s="16" t="n">
        <f aca="false">(AI281*70)/100</f>
        <v>57.4</v>
      </c>
      <c r="AK281" s="35" t="n">
        <f aca="false">ROUNDUP(AJ281,0)</f>
        <v>58</v>
      </c>
      <c r="AL281" s="16" t="n">
        <v>28</v>
      </c>
      <c r="AM281" s="16" t="n">
        <f aca="false">AL281+AJ281</f>
        <v>85.4</v>
      </c>
      <c r="AN281" s="16" t="n">
        <f aca="false">AL281+AK281</f>
        <v>86</v>
      </c>
      <c r="AO281" s="16" t="n">
        <v>68</v>
      </c>
      <c r="AP281" s="36" t="n">
        <f aca="false">(AO281*70)/100</f>
        <v>47.6</v>
      </c>
      <c r="AQ281" s="37" t="n">
        <f aca="false">ROUNDUP(AP281,0)</f>
        <v>48</v>
      </c>
      <c r="AR281" s="16" t="n">
        <v>29</v>
      </c>
      <c r="AS281" s="16" t="n">
        <f aca="false">AR281+AP281</f>
        <v>76.6</v>
      </c>
      <c r="AT281" s="16" t="n">
        <f aca="false">AR281+AQ281</f>
        <v>77</v>
      </c>
      <c r="AU281" s="16" t="n">
        <f aca="false">AO281+AF281+AI281+AH281+AG281</f>
        <v>400</v>
      </c>
      <c r="AV281" s="16" t="n">
        <f aca="false">(AO281+AF281+AI281+AH281+AG281)/5</f>
        <v>80</v>
      </c>
      <c r="AW281" s="36" t="n">
        <f aca="false">(AO281+AF281+AI281+AH281+AG281+X281+R281+Q281+K281+J281)</f>
        <v>774</v>
      </c>
      <c r="AX281" s="16" t="n">
        <f aca="false">AW281/10</f>
        <v>77.4</v>
      </c>
      <c r="AY281" s="16" t="n">
        <f aca="false">AS281+AF281+AM281+AH281+AG281+AB281+V281+Q281+O281+J281</f>
        <v>789.5</v>
      </c>
      <c r="AZ281" s="16" t="n">
        <f aca="false">AT281+AF281+AN281+AH281+AG281+AC281+W281+Q281+P281+J281</f>
        <v>792</v>
      </c>
      <c r="BA281" s="16" t="n">
        <f aca="false">AY281/10</f>
        <v>78.95</v>
      </c>
      <c r="BB281" s="16" t="n">
        <f aca="false">AZ281/10</f>
        <v>79.2</v>
      </c>
      <c r="BC281" s="16" t="n">
        <v>2340</v>
      </c>
      <c r="BD281" s="16" t="n">
        <f aca="false">RANK(AX281,$AX$2:$AX$881,0)</f>
        <v>461</v>
      </c>
      <c r="BE281" s="54" t="n">
        <f aca="false">((BC281*100)/2400)*0.4+(AX281*0.6)</f>
        <v>85.44</v>
      </c>
      <c r="BF281" s="16" t="n">
        <f aca="false">RANK(BE281,$BE$2:$BE$881,0)</f>
        <v>521</v>
      </c>
      <c r="BG281" s="39" t="n">
        <f aca="false">RANK(BB281,$BB$2:$BB$881,0)</f>
        <v>434</v>
      </c>
      <c r="BH281" s="39" t="n">
        <f aca="false">RANK(BC281,$BC$2:$BC$881,0)</f>
        <v>636</v>
      </c>
      <c r="BI281" s="22" t="s">
        <v>130</v>
      </c>
      <c r="BJ281" s="22" t="s">
        <v>129</v>
      </c>
      <c r="BK281" s="40" t="s">
        <v>509</v>
      </c>
      <c r="BL281" s="41" t="n">
        <v>27</v>
      </c>
      <c r="BM281" s="41" t="n">
        <v>58</v>
      </c>
      <c r="BN281" s="41" t="n">
        <v>85</v>
      </c>
      <c r="BO281" s="42" t="n">
        <v>26</v>
      </c>
      <c r="BP281" s="43" t="n">
        <v>61</v>
      </c>
      <c r="BQ281" s="44" t="n">
        <v>87</v>
      </c>
      <c r="BR281" s="42" t="n">
        <v>25</v>
      </c>
      <c r="BS281" s="45" t="n">
        <v>59</v>
      </c>
      <c r="BT281" s="45" t="n">
        <v>84</v>
      </c>
      <c r="BU281" s="46" t="n">
        <v>100</v>
      </c>
      <c r="BV281" s="47" t="n">
        <v>86</v>
      </c>
      <c r="BW281" s="42" t="n">
        <v>99</v>
      </c>
      <c r="BX281" s="48" t="n">
        <v>92</v>
      </c>
      <c r="BY281" s="32" t="n">
        <v>27</v>
      </c>
      <c r="BZ281" s="32" t="n">
        <v>52</v>
      </c>
      <c r="CA281" s="32" t="n">
        <v>79</v>
      </c>
      <c r="CB281" s="32" t="n">
        <v>25</v>
      </c>
      <c r="CC281" s="32" t="n">
        <v>37</v>
      </c>
      <c r="CD281" s="32" t="n">
        <v>62</v>
      </c>
      <c r="CE281" s="32" t="n">
        <v>29</v>
      </c>
      <c r="CF281" s="32" t="n">
        <v>45</v>
      </c>
      <c r="CG281" s="32" t="n">
        <v>74</v>
      </c>
      <c r="CH281" s="32" t="n">
        <v>92</v>
      </c>
      <c r="CI281" s="32" t="n">
        <v>100</v>
      </c>
      <c r="CJ281" s="49" t="n">
        <v>22</v>
      </c>
      <c r="CK281" s="49" t="n">
        <v>53</v>
      </c>
      <c r="CL281" s="49" t="n">
        <v>75</v>
      </c>
      <c r="CM281" s="49" t="n">
        <v>23</v>
      </c>
      <c r="CN281" s="49" t="n">
        <v>50</v>
      </c>
      <c r="CO281" s="49" t="n">
        <v>73</v>
      </c>
      <c r="CP281" s="25" t="n">
        <f aca="false">BX281+BW281+BV281+BU281+BT281+BQ281+BN281</f>
        <v>633</v>
      </c>
      <c r="CQ281" s="25" t="n">
        <f aca="false">CO281+CL281+CI281+CH281+CG281+CD281+CA281</f>
        <v>555</v>
      </c>
      <c r="CR281" s="26" t="n">
        <f aca="false">CP281/7</f>
        <v>90.4285714285714</v>
      </c>
      <c r="CS281" s="26" t="n">
        <f aca="false">CQ281/7</f>
        <v>79.2857142857143</v>
      </c>
      <c r="CT281" s="24" t="n">
        <f aca="false">RANK(CR281,$CR$2:$CR$881,0)</f>
        <v>155</v>
      </c>
      <c r="CU281" s="25" t="n">
        <f aca="false">RANK(CS281,$CS$2:$CS$881,0)</f>
        <v>292</v>
      </c>
      <c r="CV281" s="26" t="n">
        <f aca="false">(CS281+CR281)/2</f>
        <v>84.8571428571429</v>
      </c>
      <c r="CW281" s="25" t="n">
        <f aca="false">RANK(CV281,$CV$2:$CV$881,0)</f>
        <v>220</v>
      </c>
      <c r="CX281" s="50" t="n">
        <f aca="false">(CV281+BB281)/2</f>
        <v>82.0285714285714</v>
      </c>
      <c r="CY281" s="50" t="n">
        <v>262</v>
      </c>
      <c r="CZ281" s="27" t="s">
        <v>132</v>
      </c>
      <c r="DA281" s="27" t="s">
        <v>133</v>
      </c>
      <c r="DB281" s="27" t="s">
        <v>133</v>
      </c>
      <c r="DC281" s="27" t="s">
        <v>134</v>
      </c>
      <c r="DD281" s="27" t="s">
        <v>135</v>
      </c>
      <c r="DE281" s="27" t="s">
        <v>313</v>
      </c>
      <c r="DF281" s="27" t="s">
        <v>382</v>
      </c>
      <c r="DG281" s="27" t="s">
        <v>134</v>
      </c>
      <c r="DH281" s="27" t="s">
        <v>154</v>
      </c>
      <c r="DI281" s="27" t="s">
        <v>306</v>
      </c>
      <c r="DJ281" s="27" t="s">
        <v>305</v>
      </c>
      <c r="DK281" s="27" t="s">
        <v>134</v>
      </c>
      <c r="DL281" s="27" t="s">
        <v>154</v>
      </c>
      <c r="DM281" s="27" t="s">
        <v>218</v>
      </c>
      <c r="DN281" s="27" t="s">
        <v>219</v>
      </c>
      <c r="DO281" s="27" t="s">
        <v>134</v>
      </c>
      <c r="DP281" s="27" t="s">
        <v>182</v>
      </c>
      <c r="DQ281" s="27" t="s">
        <v>673</v>
      </c>
      <c r="DR281" s="27" t="s">
        <v>163</v>
      </c>
      <c r="DS281" s="27" t="s">
        <v>134</v>
      </c>
      <c r="DT281" s="27" t="s">
        <v>160</v>
      </c>
      <c r="DU281" s="27" t="s">
        <v>412</v>
      </c>
      <c r="DV281" s="27" t="s">
        <v>272</v>
      </c>
      <c r="DW281" s="27" t="s">
        <v>135</v>
      </c>
      <c r="DX281" s="27" t="s">
        <v>138</v>
      </c>
      <c r="DY281" s="27" t="s">
        <v>156</v>
      </c>
      <c r="DZ281" s="27" t="n">
        <f aca="false">DY281+DV281+DR281+DN281+DJ281+DF281+DB281</f>
        <v>561</v>
      </c>
      <c r="EA281" s="28" t="n">
        <f aca="false">DZ281/7</f>
        <v>80.1428571428571</v>
      </c>
      <c r="EB281" s="27" t="n">
        <f aca="false">RANK(EA281,$EA$2:$EA$881,0)</f>
        <v>386</v>
      </c>
      <c r="EC281" s="29" t="n">
        <f aca="false">DZ281+CQ281+CP281+AZ281</f>
        <v>2541</v>
      </c>
      <c r="ED281" s="30" t="n">
        <f aca="false">(EA281+CV281+BB281)/3</f>
        <v>81.4</v>
      </c>
      <c r="EE281" s="51" t="n">
        <f aca="false">ROUND(BE281,3)</f>
        <v>85.44</v>
      </c>
      <c r="EF281" s="51" t="n">
        <f aca="false">ROUND(CR281,3)</f>
        <v>90.429</v>
      </c>
      <c r="EG281" s="51" t="n">
        <f aca="false">ROUND(CS281,3)</f>
        <v>79.286</v>
      </c>
      <c r="EH281" s="51" t="n">
        <f aca="false">ROUND(EA281,3)</f>
        <v>80.143</v>
      </c>
      <c r="EI281" s="51" t="n">
        <f aca="false">ROUND(ED281,3)</f>
        <v>81.4</v>
      </c>
      <c r="EJ281" s="51" t="n">
        <f aca="false">ROUND(CV281,3)</f>
        <v>84.857</v>
      </c>
      <c r="EK281" s="0" t="n">
        <f aca="false">RANK(EI281,$EI$2:$EI$881,0)</f>
        <v>280</v>
      </c>
    </row>
    <row r="282" customFormat="false" ht="15" hidden="false" customHeight="false" outlineLevel="0" collapsed="false">
      <c r="A282" s="4" t="n">
        <v>8620</v>
      </c>
      <c r="B282" s="4" t="n">
        <v>858</v>
      </c>
      <c r="C282" s="27" t="s">
        <v>978</v>
      </c>
      <c r="D282" s="31" t="n">
        <v>878</v>
      </c>
      <c r="E282" s="32" t="n">
        <v>230319665</v>
      </c>
      <c r="F282" s="8" t="s">
        <v>979</v>
      </c>
      <c r="G282" s="22" t="s">
        <v>980</v>
      </c>
      <c r="H282" s="22" t="s">
        <v>129</v>
      </c>
      <c r="I282" s="33" t="n">
        <v>2005</v>
      </c>
      <c r="J282" s="32" t="n">
        <v>84</v>
      </c>
      <c r="K282" s="32" t="n">
        <v>78</v>
      </c>
      <c r="L282" s="34" t="n">
        <f aca="false">(K282*70)/100</f>
        <v>54.6</v>
      </c>
      <c r="M282" s="34" t="n">
        <f aca="false">ROUNDUP(L282,0)</f>
        <v>55</v>
      </c>
      <c r="N282" s="32" t="n">
        <v>28</v>
      </c>
      <c r="O282" s="34" t="n">
        <f aca="false">N282+L282</f>
        <v>82.6</v>
      </c>
      <c r="P282" s="34" t="n">
        <f aca="false">N282+M282</f>
        <v>83</v>
      </c>
      <c r="Q282" s="32" t="n">
        <v>83</v>
      </c>
      <c r="R282" s="32" t="n">
        <v>64</v>
      </c>
      <c r="S282" s="34" t="n">
        <f aca="false">(R282*70)/100</f>
        <v>44.8</v>
      </c>
      <c r="T282" s="34" t="n">
        <f aca="false">ROUNDUP(S282,0)</f>
        <v>45</v>
      </c>
      <c r="U282" s="32" t="n">
        <v>22</v>
      </c>
      <c r="V282" s="34" t="n">
        <f aca="false">U282+S282</f>
        <v>66.8</v>
      </c>
      <c r="W282" s="34" t="n">
        <f aca="false">U282+T282</f>
        <v>67</v>
      </c>
      <c r="X282" s="32" t="n">
        <v>80</v>
      </c>
      <c r="Y282" s="34" t="n">
        <f aca="false">(X282*70)/100</f>
        <v>56</v>
      </c>
      <c r="Z282" s="34" t="n">
        <f aca="false">ROUNDUP(Y282,0)</f>
        <v>56</v>
      </c>
      <c r="AA282" s="32" t="n">
        <v>24</v>
      </c>
      <c r="AB282" s="34" t="n">
        <f aca="false">AA282+Y282</f>
        <v>80</v>
      </c>
      <c r="AC282" s="34" t="n">
        <f aca="false">AA282+Z282</f>
        <v>80</v>
      </c>
      <c r="AD282" s="32" t="n">
        <f aca="false">X282+R282+Q282+K282+J282</f>
        <v>389</v>
      </c>
      <c r="AE282" s="16" t="n">
        <f aca="false">AD282/5</f>
        <v>77.8</v>
      </c>
      <c r="AF282" s="16" t="n">
        <v>65</v>
      </c>
      <c r="AG282" s="16" t="n">
        <v>82</v>
      </c>
      <c r="AH282" s="16" t="n">
        <v>88</v>
      </c>
      <c r="AI282" s="16" t="n">
        <v>91</v>
      </c>
      <c r="AJ282" s="16" t="n">
        <f aca="false">(AI282*70)/100</f>
        <v>63.7</v>
      </c>
      <c r="AK282" s="35" t="n">
        <f aca="false">ROUNDUP(AJ282,0)</f>
        <v>64</v>
      </c>
      <c r="AL282" s="16" t="n">
        <v>26</v>
      </c>
      <c r="AM282" s="16" t="n">
        <f aca="false">AL282+AJ282</f>
        <v>89.7</v>
      </c>
      <c r="AN282" s="16" t="n">
        <f aca="false">AL282+AK282</f>
        <v>90</v>
      </c>
      <c r="AO282" s="16" t="n">
        <v>72</v>
      </c>
      <c r="AP282" s="36" t="n">
        <f aca="false">(AO282*70)/100</f>
        <v>50.4</v>
      </c>
      <c r="AQ282" s="37" t="n">
        <f aca="false">ROUNDUP(AP282,0)</f>
        <v>51</v>
      </c>
      <c r="AR282" s="16" t="n">
        <v>24</v>
      </c>
      <c r="AS282" s="16" t="n">
        <f aca="false">AR282+AP282</f>
        <v>74.4</v>
      </c>
      <c r="AT282" s="16" t="n">
        <f aca="false">AR282+AQ282</f>
        <v>75</v>
      </c>
      <c r="AU282" s="16" t="n">
        <f aca="false">AO282+AF282+AI282+AH282+AG282</f>
        <v>398</v>
      </c>
      <c r="AV282" s="16" t="n">
        <f aca="false">(AO282+AF282+AI282+AH282+AG282)/5</f>
        <v>79.6</v>
      </c>
      <c r="AW282" s="36" t="n">
        <f aca="false">(AO282+AF282+AI282+AH282+AG282+X282+R282+Q282+K282+J282)</f>
        <v>787</v>
      </c>
      <c r="AX282" s="16" t="n">
        <f aca="false">AW282/10</f>
        <v>78.7</v>
      </c>
      <c r="AY282" s="16" t="n">
        <f aca="false">AS282+AF282+AM282+AH282+AG282+AB282+V282+Q282+O282+J282</f>
        <v>795.5</v>
      </c>
      <c r="AZ282" s="16" t="n">
        <f aca="false">AT282+AF282+AN282+AH282+AG282+AC282+W282+Q282+P282+J282</f>
        <v>797</v>
      </c>
      <c r="BA282" s="16" t="n">
        <f aca="false">AY282/10</f>
        <v>79.55</v>
      </c>
      <c r="BB282" s="16" t="n">
        <f aca="false">AZ282/10</f>
        <v>79.7</v>
      </c>
      <c r="BC282" s="16" t="n">
        <v>2375</v>
      </c>
      <c r="BD282" s="16" t="n">
        <f aca="false">RANK(AX282,$AX$2:$AX$881,0)</f>
        <v>358</v>
      </c>
      <c r="BE282" s="54" t="n">
        <f aca="false">((BC282*100)/2400)*0.4+(AX282*0.6)</f>
        <v>86.8033333333333</v>
      </c>
      <c r="BF282" s="16" t="n">
        <f aca="false">RANK(BE282,$BE$2:$BE$881,0)</f>
        <v>319</v>
      </c>
      <c r="BG282" s="39" t="n">
        <f aca="false">RANK(BB282,$BB$2:$BB$881,0)</f>
        <v>381</v>
      </c>
      <c r="BH282" s="39" t="n">
        <f aca="false">RANK(BC282,$BC$2:$BC$881,0)</f>
        <v>211</v>
      </c>
      <c r="BI282" s="22" t="s">
        <v>130</v>
      </c>
      <c r="BJ282" s="22" t="s">
        <v>129</v>
      </c>
      <c r="BK282" s="40" t="s">
        <v>131</v>
      </c>
      <c r="BL282" s="41" t="n">
        <v>22</v>
      </c>
      <c r="BM282" s="41" t="n">
        <v>55</v>
      </c>
      <c r="BN282" s="41" t="n">
        <v>77</v>
      </c>
      <c r="BO282" s="42" t="n">
        <v>28</v>
      </c>
      <c r="BP282" s="43" t="n">
        <v>59</v>
      </c>
      <c r="BQ282" s="44" t="n">
        <v>87</v>
      </c>
      <c r="BR282" s="42" t="n">
        <v>25</v>
      </c>
      <c r="BS282" s="45" t="n">
        <v>52</v>
      </c>
      <c r="BT282" s="45" t="n">
        <v>77</v>
      </c>
      <c r="BU282" s="46" t="n">
        <v>100</v>
      </c>
      <c r="BV282" s="47" t="n">
        <v>86</v>
      </c>
      <c r="BW282" s="42" t="n">
        <v>99</v>
      </c>
      <c r="BX282" s="48" t="n">
        <v>100</v>
      </c>
      <c r="BY282" s="32" t="n">
        <v>26</v>
      </c>
      <c r="BZ282" s="32" t="n">
        <v>53</v>
      </c>
      <c r="CA282" s="32" t="n">
        <v>79</v>
      </c>
      <c r="CB282" s="32" t="n">
        <v>20</v>
      </c>
      <c r="CC282" s="32" t="n">
        <v>48</v>
      </c>
      <c r="CD282" s="32" t="n">
        <v>68</v>
      </c>
      <c r="CE282" s="32" t="n">
        <v>25</v>
      </c>
      <c r="CF282" s="32" t="n">
        <v>44</v>
      </c>
      <c r="CG282" s="32" t="n">
        <v>69</v>
      </c>
      <c r="CH282" s="32" t="n">
        <v>96</v>
      </c>
      <c r="CI282" s="25" t="n">
        <v>95</v>
      </c>
      <c r="CJ282" s="49" t="n">
        <v>23</v>
      </c>
      <c r="CK282" s="49" t="n">
        <v>49</v>
      </c>
      <c r="CL282" s="49" t="n">
        <v>72</v>
      </c>
      <c r="CM282" s="49" t="n">
        <v>22</v>
      </c>
      <c r="CN282" s="49" t="n">
        <v>50</v>
      </c>
      <c r="CO282" s="49" t="n">
        <v>72</v>
      </c>
      <c r="CP282" s="25" t="n">
        <f aca="false">BX282+BW282+BV282+BU282+BT282+BQ282+BN282</f>
        <v>626</v>
      </c>
      <c r="CQ282" s="25" t="n">
        <f aca="false">CO282+CL282+CI282+CH282+CG282+CD282+CA282</f>
        <v>551</v>
      </c>
      <c r="CR282" s="26" t="n">
        <f aca="false">CP282/7</f>
        <v>89.4285714285714</v>
      </c>
      <c r="CS282" s="26" t="n">
        <f aca="false">CQ282/7</f>
        <v>78.7142857142857</v>
      </c>
      <c r="CT282" s="24" t="n">
        <f aca="false">RANK(CR282,$CR$2:$CR$881,0)</f>
        <v>217</v>
      </c>
      <c r="CU282" s="25" t="n">
        <f aca="false">RANK(CS282,$CS$2:$CS$881,0)</f>
        <v>313</v>
      </c>
      <c r="CV282" s="26" t="n">
        <f aca="false">(CS282+CR282)/2</f>
        <v>84.0714285714286</v>
      </c>
      <c r="CW282" s="25" t="n">
        <f aca="false">RANK(CV282,$CV$2:$CV$881,0)</f>
        <v>259</v>
      </c>
      <c r="CX282" s="50" t="n">
        <f aca="false">(CV282+BB282)/2</f>
        <v>81.8857142857143</v>
      </c>
      <c r="CY282" s="50" t="n">
        <v>274</v>
      </c>
      <c r="CZ282" s="27" t="s">
        <v>132</v>
      </c>
      <c r="DA282" s="27" t="s">
        <v>133</v>
      </c>
      <c r="DB282" s="27" t="s">
        <v>133</v>
      </c>
      <c r="DC282" s="27" t="s">
        <v>134</v>
      </c>
      <c r="DD282" s="27" t="s">
        <v>182</v>
      </c>
      <c r="DE282" s="27" t="s">
        <v>447</v>
      </c>
      <c r="DF282" s="27" t="s">
        <v>382</v>
      </c>
      <c r="DG282" s="27" t="s">
        <v>134</v>
      </c>
      <c r="DH282" s="27" t="s">
        <v>164</v>
      </c>
      <c r="DI282" s="27" t="s">
        <v>304</v>
      </c>
      <c r="DJ282" s="27" t="s">
        <v>196</v>
      </c>
      <c r="DK282" s="27" t="s">
        <v>134</v>
      </c>
      <c r="DL282" s="27" t="s">
        <v>135</v>
      </c>
      <c r="DM282" s="27" t="s">
        <v>375</v>
      </c>
      <c r="DN282" s="27" t="s">
        <v>441</v>
      </c>
      <c r="DO282" s="27" t="s">
        <v>134</v>
      </c>
      <c r="DP282" s="27" t="s">
        <v>264</v>
      </c>
      <c r="DQ282" s="27" t="s">
        <v>375</v>
      </c>
      <c r="DR282" s="27" t="s">
        <v>138</v>
      </c>
      <c r="DS282" s="27" t="s">
        <v>134</v>
      </c>
      <c r="DT282" s="27" t="s">
        <v>164</v>
      </c>
      <c r="DU282" s="27" t="s">
        <v>681</v>
      </c>
      <c r="DV282" s="27" t="s">
        <v>486</v>
      </c>
      <c r="DW282" s="27" t="s">
        <v>140</v>
      </c>
      <c r="DX282" s="27" t="s">
        <v>155</v>
      </c>
      <c r="DY282" s="27" t="s">
        <v>147</v>
      </c>
      <c r="DZ282" s="27" t="n">
        <f aca="false">DY282+DV282+DR282+DN282+DJ282+DF282+DB282</f>
        <v>562</v>
      </c>
      <c r="EA282" s="28" t="n">
        <f aca="false">DZ282/7</f>
        <v>80.2857142857143</v>
      </c>
      <c r="EB282" s="27" t="n">
        <f aca="false">RANK(EA282,$EA$2:$EA$881,0)</f>
        <v>380</v>
      </c>
      <c r="EC282" s="29" t="n">
        <f aca="false">DZ282+CQ282+CP282+AZ282</f>
        <v>2536</v>
      </c>
      <c r="ED282" s="30" t="n">
        <f aca="false">(EA282+CV282+BB282)/3</f>
        <v>81.352380952381</v>
      </c>
      <c r="EE282" s="51" t="n">
        <f aca="false">ROUND(BE282,3)</f>
        <v>86.803</v>
      </c>
      <c r="EF282" s="51" t="n">
        <f aca="false">ROUND(CR282,3)</f>
        <v>89.429</v>
      </c>
      <c r="EG282" s="51" t="n">
        <f aca="false">ROUND(CS282,3)</f>
        <v>78.714</v>
      </c>
      <c r="EH282" s="51" t="n">
        <f aca="false">ROUND(EA282,3)</f>
        <v>80.286</v>
      </c>
      <c r="EI282" s="51" t="n">
        <f aca="false">ROUND(ED282,3)</f>
        <v>81.352</v>
      </c>
      <c r="EJ282" s="51" t="n">
        <f aca="false">ROUND(CV282,3)</f>
        <v>84.071</v>
      </c>
      <c r="EK282" s="0" t="n">
        <f aca="false">RANK(EI282,$EI$2:$EI$881,0)</f>
        <v>281</v>
      </c>
    </row>
    <row r="283" customFormat="false" ht="15" hidden="false" customHeight="false" outlineLevel="0" collapsed="false">
      <c r="A283" s="4" t="n">
        <v>2026</v>
      </c>
      <c r="B283" s="4" t="n">
        <v>389</v>
      </c>
      <c r="C283" s="27" t="s">
        <v>981</v>
      </c>
      <c r="D283" s="31" t="n">
        <v>393</v>
      </c>
      <c r="E283" s="16" t="n">
        <v>230912029</v>
      </c>
      <c r="F283" s="56" t="s">
        <v>982</v>
      </c>
      <c r="G283" s="22" t="s">
        <v>435</v>
      </c>
      <c r="H283" s="22" t="s">
        <v>326</v>
      </c>
      <c r="I283" s="57"/>
      <c r="J283" s="16" t="n">
        <v>82</v>
      </c>
      <c r="K283" s="16" t="n">
        <v>64</v>
      </c>
      <c r="L283" s="34" t="n">
        <f aca="false">(K283*70)/100</f>
        <v>44.8</v>
      </c>
      <c r="M283" s="34" t="n">
        <f aca="false">ROUNDUP(L283,0)</f>
        <v>45</v>
      </c>
      <c r="N283" s="16" t="n">
        <v>26</v>
      </c>
      <c r="O283" s="34" t="n">
        <f aca="false">N283+L283</f>
        <v>70.8</v>
      </c>
      <c r="P283" s="34" t="n">
        <f aca="false">N283+M283</f>
        <v>71</v>
      </c>
      <c r="Q283" s="16" t="n">
        <v>76</v>
      </c>
      <c r="R283" s="16" t="n">
        <v>71</v>
      </c>
      <c r="S283" s="34" t="n">
        <f aca="false">(R283*70)/100</f>
        <v>49.7</v>
      </c>
      <c r="T283" s="34" t="n">
        <f aca="false">ROUNDUP(S283,0)</f>
        <v>50</v>
      </c>
      <c r="U283" s="16" t="n">
        <v>26</v>
      </c>
      <c r="V283" s="34" t="n">
        <f aca="false">U283+S283</f>
        <v>75.7</v>
      </c>
      <c r="W283" s="34" t="n">
        <f aca="false">U283+T283</f>
        <v>76</v>
      </c>
      <c r="X283" s="16" t="n">
        <v>73</v>
      </c>
      <c r="Y283" s="34" t="n">
        <f aca="false">(X283*70)/100</f>
        <v>51.1</v>
      </c>
      <c r="Z283" s="34" t="n">
        <f aca="false">ROUNDUP(Y283,0)</f>
        <v>52</v>
      </c>
      <c r="AA283" s="16" t="n">
        <v>28</v>
      </c>
      <c r="AB283" s="34" t="n">
        <f aca="false">AA283+Y283</f>
        <v>79.1</v>
      </c>
      <c r="AC283" s="34" t="n">
        <f aca="false">AA283+Z283</f>
        <v>80</v>
      </c>
      <c r="AD283" s="32" t="n">
        <f aca="false">X283+R283+Q283+K283+J283</f>
        <v>366</v>
      </c>
      <c r="AE283" s="16" t="n">
        <f aca="false">AD283/5</f>
        <v>73.2</v>
      </c>
      <c r="AF283" s="16" t="n">
        <v>79</v>
      </c>
      <c r="AG283" s="16" t="n">
        <v>80</v>
      </c>
      <c r="AH283" s="16" t="n">
        <v>82</v>
      </c>
      <c r="AI283" s="16" t="n">
        <v>83</v>
      </c>
      <c r="AJ283" s="16" t="n">
        <f aca="false">(AI283*70)/100</f>
        <v>58.1</v>
      </c>
      <c r="AK283" s="35" t="n">
        <f aca="false">ROUNDUP(AJ283,0)</f>
        <v>59</v>
      </c>
      <c r="AL283" s="16" t="n">
        <v>26</v>
      </c>
      <c r="AM283" s="16" t="n">
        <f aca="false">AL283+AJ283</f>
        <v>84.1</v>
      </c>
      <c r="AN283" s="16" t="n">
        <f aca="false">AL283+AK283</f>
        <v>85</v>
      </c>
      <c r="AO283" s="16" t="n">
        <v>71</v>
      </c>
      <c r="AP283" s="36" t="n">
        <f aca="false">(AO283*70)/100</f>
        <v>49.7</v>
      </c>
      <c r="AQ283" s="37" t="n">
        <f aca="false">ROUNDUP(AP283,0)</f>
        <v>50</v>
      </c>
      <c r="AR283" s="16" t="n">
        <v>26</v>
      </c>
      <c r="AS283" s="16" t="n">
        <f aca="false">AR283+AP283</f>
        <v>75.7</v>
      </c>
      <c r="AT283" s="16" t="n">
        <f aca="false">AR283+AQ283</f>
        <v>76</v>
      </c>
      <c r="AU283" s="16" t="n">
        <f aca="false">AO283+AF283+AI283+AH283+AG283</f>
        <v>395</v>
      </c>
      <c r="AV283" s="16" t="n">
        <f aca="false">(AO283+AF283+AI283+AH283+AG283)/5</f>
        <v>79</v>
      </c>
      <c r="AW283" s="36" t="n">
        <f aca="false">(AO283+AF283+AI283+AH283+AG283+X283+R283+Q283+K283+J283)</f>
        <v>761</v>
      </c>
      <c r="AX283" s="16" t="n">
        <f aca="false">AW283/10</f>
        <v>76.1</v>
      </c>
      <c r="AY283" s="16" t="n">
        <f aca="false">AS283+AF283+AM283+AH283+AG283+AB283+V283+Q283+O283+J283</f>
        <v>784.4</v>
      </c>
      <c r="AZ283" s="16" t="n">
        <f aca="false">AT283+AF283+AN283+AH283+AG283+AC283+W283+Q283+P283+J283</f>
        <v>787</v>
      </c>
      <c r="BA283" s="16" t="n">
        <f aca="false">AY283/10</f>
        <v>78.44</v>
      </c>
      <c r="BB283" s="16" t="n">
        <f aca="false">AZ283/10</f>
        <v>78.7</v>
      </c>
      <c r="BC283" s="16" t="n">
        <v>2377</v>
      </c>
      <c r="BD283" s="16" t="n">
        <f aca="false">RANK(AX283,$AX$2:$AX$881,0)</f>
        <v>609</v>
      </c>
      <c r="BE283" s="54" t="n">
        <f aca="false">((BC283*100)/2400)*0.4+(AX283*0.6)</f>
        <v>85.2766666666667</v>
      </c>
      <c r="BF283" s="16" t="n">
        <f aca="false">RANK(BE283,$BE$2:$BE$881,0)</f>
        <v>547</v>
      </c>
      <c r="BG283" s="39" t="n">
        <f aca="false">RANK(BB283,$BB$2:$BB$881,0)</f>
        <v>482</v>
      </c>
      <c r="BH283" s="39" t="n">
        <f aca="false">RANK(BC283,$BC$2:$BC$881,0)</f>
        <v>189</v>
      </c>
      <c r="BI283" s="22" t="s">
        <v>130</v>
      </c>
      <c r="BJ283" s="22" t="s">
        <v>129</v>
      </c>
      <c r="BK283" s="40" t="s">
        <v>509</v>
      </c>
      <c r="BL283" s="41" t="n">
        <v>17</v>
      </c>
      <c r="BM283" s="41" t="n">
        <v>56</v>
      </c>
      <c r="BN283" s="41" t="n">
        <v>73</v>
      </c>
      <c r="BO283" s="42" t="n">
        <v>27</v>
      </c>
      <c r="BP283" s="43" t="n">
        <v>56</v>
      </c>
      <c r="BQ283" s="44" t="n">
        <v>83</v>
      </c>
      <c r="BR283" s="42" t="n">
        <v>21</v>
      </c>
      <c r="BS283" s="45" t="n">
        <v>52</v>
      </c>
      <c r="BT283" s="45" t="n">
        <v>73</v>
      </c>
      <c r="BU283" s="46" t="n">
        <v>100</v>
      </c>
      <c r="BV283" s="47" t="n">
        <v>92</v>
      </c>
      <c r="BW283" s="42" t="n">
        <v>100</v>
      </c>
      <c r="BX283" s="48" t="n">
        <v>90</v>
      </c>
      <c r="BY283" s="32" t="n">
        <v>26</v>
      </c>
      <c r="BZ283" s="58" t="n">
        <v>53</v>
      </c>
      <c r="CA283" s="58" t="n">
        <v>79</v>
      </c>
      <c r="CB283" s="32" t="n">
        <v>24</v>
      </c>
      <c r="CC283" s="32" t="n">
        <v>34</v>
      </c>
      <c r="CD283" s="69" t="n">
        <v>58</v>
      </c>
      <c r="CE283" s="32" t="n">
        <v>27</v>
      </c>
      <c r="CF283" s="32" t="n">
        <v>55</v>
      </c>
      <c r="CG283" s="32" t="n">
        <v>82</v>
      </c>
      <c r="CH283" s="32" t="n">
        <v>96</v>
      </c>
      <c r="CI283" s="32" t="n">
        <v>98</v>
      </c>
      <c r="CJ283" s="49" t="n">
        <v>27</v>
      </c>
      <c r="CK283" s="49" t="n">
        <v>49</v>
      </c>
      <c r="CL283" s="49" t="n">
        <v>76</v>
      </c>
      <c r="CM283" s="49" t="n">
        <v>23</v>
      </c>
      <c r="CN283" s="49" t="n">
        <v>56</v>
      </c>
      <c r="CO283" s="49" t="n">
        <v>79</v>
      </c>
      <c r="CP283" s="25" t="n">
        <f aca="false">BX283+BW283+BV283+BU283+BT283+BQ283+BN283</f>
        <v>611</v>
      </c>
      <c r="CQ283" s="25" t="n">
        <f aca="false">CO283+CL283+CI283+CH283+CG283+CD283+CA283</f>
        <v>568</v>
      </c>
      <c r="CR283" s="26" t="n">
        <f aca="false">CP283/7</f>
        <v>87.2857142857143</v>
      </c>
      <c r="CS283" s="26" t="n">
        <f aca="false">CQ283/7</f>
        <v>81.1428571428571</v>
      </c>
      <c r="CT283" s="24" t="n">
        <f aca="false">RANK(CR283,$CR$2:$CR$881,0)</f>
        <v>346</v>
      </c>
      <c r="CU283" s="25" t="n">
        <f aca="false">RANK(CS283,$CS$2:$CS$881,0)</f>
        <v>222</v>
      </c>
      <c r="CV283" s="26" t="n">
        <f aca="false">(CS283+CR283)/2</f>
        <v>84.2142857142857</v>
      </c>
      <c r="CW283" s="25" t="n">
        <f aca="false">RANK(CV283,$CV$2:$CV$881,0)</f>
        <v>256</v>
      </c>
      <c r="CX283" s="50" t="n">
        <f aca="false">(CV283+BB283)/2</f>
        <v>81.4571428571429</v>
      </c>
      <c r="CY283" s="50" t="n">
        <v>438</v>
      </c>
      <c r="CZ283" s="27" t="s">
        <v>132</v>
      </c>
      <c r="DA283" s="27" t="s">
        <v>443</v>
      </c>
      <c r="DB283" s="27" t="s">
        <v>443</v>
      </c>
      <c r="DC283" s="27" t="s">
        <v>134</v>
      </c>
      <c r="DD283" s="27" t="s">
        <v>195</v>
      </c>
      <c r="DE283" s="27" t="s">
        <v>218</v>
      </c>
      <c r="DF283" s="27" t="s">
        <v>305</v>
      </c>
      <c r="DG283" s="27" t="s">
        <v>134</v>
      </c>
      <c r="DH283" s="27" t="s">
        <v>160</v>
      </c>
      <c r="DI283" s="27" t="s">
        <v>183</v>
      </c>
      <c r="DJ283" s="27" t="s">
        <v>202</v>
      </c>
      <c r="DK283" s="27" t="s">
        <v>134</v>
      </c>
      <c r="DL283" s="27" t="s">
        <v>137</v>
      </c>
      <c r="DM283" s="27" t="s">
        <v>447</v>
      </c>
      <c r="DN283" s="27" t="s">
        <v>272</v>
      </c>
      <c r="DO283" s="27" t="s">
        <v>134</v>
      </c>
      <c r="DP283" s="27" t="s">
        <v>195</v>
      </c>
      <c r="DQ283" s="27" t="s">
        <v>447</v>
      </c>
      <c r="DR283" s="27" t="s">
        <v>372</v>
      </c>
      <c r="DS283" s="27" t="s">
        <v>134</v>
      </c>
      <c r="DT283" s="27" t="s">
        <v>146</v>
      </c>
      <c r="DU283" s="27" t="s">
        <v>442</v>
      </c>
      <c r="DV283" s="27" t="s">
        <v>272</v>
      </c>
      <c r="DW283" s="27" t="s">
        <v>160</v>
      </c>
      <c r="DX283" s="27" t="s">
        <v>141</v>
      </c>
      <c r="DY283" s="27" t="s">
        <v>139</v>
      </c>
      <c r="DZ283" s="27" t="n">
        <f aca="false">DY283+DV283+DR283+DN283+DJ283+DF283+DB283</f>
        <v>567</v>
      </c>
      <c r="EA283" s="28" t="n">
        <f aca="false">DZ283/7</f>
        <v>81</v>
      </c>
      <c r="EB283" s="27" t="n">
        <f aca="false">RANK(EA283,$EA$2:$EA$881,0)</f>
        <v>350</v>
      </c>
      <c r="EC283" s="29" t="n">
        <f aca="false">DZ283+CQ283+CP283+AZ283</f>
        <v>2533</v>
      </c>
      <c r="ED283" s="30" t="n">
        <f aca="false">(EA283+CV283+BB283)/3</f>
        <v>81.3047619047619</v>
      </c>
      <c r="EE283" s="51" t="n">
        <f aca="false">ROUND(BE283,3)</f>
        <v>85.277</v>
      </c>
      <c r="EF283" s="51" t="n">
        <f aca="false">ROUND(CR283,3)</f>
        <v>87.286</v>
      </c>
      <c r="EG283" s="51" t="n">
        <f aca="false">ROUND(CS283,3)</f>
        <v>81.143</v>
      </c>
      <c r="EH283" s="51" t="n">
        <f aca="false">ROUND(EA283,3)</f>
        <v>81</v>
      </c>
      <c r="EI283" s="51" t="n">
        <f aca="false">ROUND(ED283,3)</f>
        <v>81.305</v>
      </c>
      <c r="EJ283" s="51" t="n">
        <f aca="false">ROUND(CV283,3)</f>
        <v>84.214</v>
      </c>
      <c r="EK283" s="0" t="n">
        <f aca="false">RANK(EI283,$EI$2:$EI$881,0)</f>
        <v>282</v>
      </c>
    </row>
    <row r="284" customFormat="false" ht="15" hidden="false" customHeight="false" outlineLevel="0" collapsed="false">
      <c r="A284" s="4" t="n">
        <v>8688</v>
      </c>
      <c r="B284" s="4" t="n">
        <v>769</v>
      </c>
      <c r="C284" s="27" t="s">
        <v>983</v>
      </c>
      <c r="D284" s="31" t="n">
        <v>787</v>
      </c>
      <c r="E284" s="62" t="n">
        <v>230321309</v>
      </c>
      <c r="F284" s="8" t="s">
        <v>984</v>
      </c>
      <c r="G284" s="63" t="s">
        <v>985</v>
      </c>
      <c r="H284" s="22" t="s">
        <v>129</v>
      </c>
      <c r="I284" s="64" t="n">
        <v>2005</v>
      </c>
      <c r="J284" s="62" t="n">
        <v>74</v>
      </c>
      <c r="K284" s="62" t="n">
        <v>82</v>
      </c>
      <c r="L284" s="34" t="n">
        <f aca="false">(K284*70)/100</f>
        <v>57.4</v>
      </c>
      <c r="M284" s="34" t="n">
        <f aca="false">ROUNDUP(L284,0)</f>
        <v>58</v>
      </c>
      <c r="N284" s="62" t="n">
        <v>15</v>
      </c>
      <c r="O284" s="34" t="n">
        <f aca="false">N284+L284</f>
        <v>72.4</v>
      </c>
      <c r="P284" s="34" t="n">
        <f aca="false">N284+M284</f>
        <v>73</v>
      </c>
      <c r="Q284" s="62" t="n">
        <v>87</v>
      </c>
      <c r="R284" s="62" t="n">
        <v>84</v>
      </c>
      <c r="S284" s="34" t="n">
        <f aca="false">(R284*70)/100</f>
        <v>58.8</v>
      </c>
      <c r="T284" s="34" t="n">
        <f aca="false">ROUNDUP(S284,0)</f>
        <v>59</v>
      </c>
      <c r="U284" s="62" t="n">
        <v>21</v>
      </c>
      <c r="V284" s="34" t="n">
        <f aca="false">U284+S284</f>
        <v>79.8</v>
      </c>
      <c r="W284" s="34" t="n">
        <f aca="false">U284+T284</f>
        <v>80</v>
      </c>
      <c r="X284" s="62" t="n">
        <v>78</v>
      </c>
      <c r="Y284" s="34" t="n">
        <f aca="false">(X284*70)/100</f>
        <v>54.6</v>
      </c>
      <c r="Z284" s="34" t="n">
        <f aca="false">ROUNDUP(Y284,0)</f>
        <v>55</v>
      </c>
      <c r="AA284" s="62" t="n">
        <v>17</v>
      </c>
      <c r="AB284" s="34" t="n">
        <f aca="false">AA284+Y284</f>
        <v>71.6</v>
      </c>
      <c r="AC284" s="34" t="n">
        <f aca="false">AA284+Z284</f>
        <v>72</v>
      </c>
      <c r="AD284" s="32" t="n">
        <f aca="false">X284+R284+Q284+K284+J284</f>
        <v>405</v>
      </c>
      <c r="AE284" s="16" t="n">
        <f aca="false">AD284/5</f>
        <v>81</v>
      </c>
      <c r="AF284" s="65" t="n">
        <v>75</v>
      </c>
      <c r="AG284" s="65" t="n">
        <v>82</v>
      </c>
      <c r="AH284" s="65" t="n">
        <v>92</v>
      </c>
      <c r="AI284" s="65" t="n">
        <v>90</v>
      </c>
      <c r="AJ284" s="16" t="n">
        <f aca="false">(AI284*70)/100</f>
        <v>63</v>
      </c>
      <c r="AK284" s="35" t="n">
        <f aca="false">ROUNDUP(AJ284,0)</f>
        <v>63</v>
      </c>
      <c r="AL284" s="65" t="n">
        <v>22</v>
      </c>
      <c r="AM284" s="16" t="n">
        <f aca="false">AL284+AJ284</f>
        <v>85</v>
      </c>
      <c r="AN284" s="16" t="n">
        <f aca="false">AL284+AK284</f>
        <v>85</v>
      </c>
      <c r="AO284" s="65" t="n">
        <v>79</v>
      </c>
      <c r="AP284" s="36" t="n">
        <f aca="false">(AO284*70)/100</f>
        <v>55.3</v>
      </c>
      <c r="AQ284" s="37" t="n">
        <f aca="false">ROUNDUP(AP284,0)</f>
        <v>56</v>
      </c>
      <c r="AR284" s="65" t="n">
        <v>19</v>
      </c>
      <c r="AS284" s="16" t="n">
        <f aca="false">AR284+AP284</f>
        <v>74.3</v>
      </c>
      <c r="AT284" s="16" t="n">
        <f aca="false">AR284+AQ284</f>
        <v>75</v>
      </c>
      <c r="AU284" s="16" t="n">
        <f aca="false">AO284+AF284+AI284+AH284+AG284</f>
        <v>418</v>
      </c>
      <c r="AV284" s="16" t="n">
        <f aca="false">(AO284+AF284+AI284+AH284+AG284)/5</f>
        <v>83.6</v>
      </c>
      <c r="AW284" s="36" t="n">
        <f aca="false">(AO284+AF284+AI284+AH284+AG284+X284+R284+Q284+K284+J284)</f>
        <v>823</v>
      </c>
      <c r="AX284" s="16" t="n">
        <f aca="false">AW284/10</f>
        <v>82.3</v>
      </c>
      <c r="AY284" s="16" t="n">
        <f aca="false">AS284+AF284+AM284+AH284+AG284+AB284+V284+Q284+O284+J284</f>
        <v>793.1</v>
      </c>
      <c r="AZ284" s="16" t="n">
        <f aca="false">AT284+AF284+AN284+AH284+AG284+AC284+W284+Q284+P284+J284</f>
        <v>795</v>
      </c>
      <c r="BA284" s="16" t="n">
        <f aca="false">AY284/10</f>
        <v>79.31</v>
      </c>
      <c r="BB284" s="16" t="n">
        <f aca="false">AZ284/10</f>
        <v>79.5</v>
      </c>
      <c r="BC284" s="65" t="n">
        <v>2338</v>
      </c>
      <c r="BD284" s="16" t="n">
        <f aca="false">RANK(AX284,$AX$2:$AX$881,0)</f>
        <v>151</v>
      </c>
      <c r="BE284" s="54" t="n">
        <f aca="false">((BC284*100)/2400)*0.4+(AX284*0.6)</f>
        <v>88.3466666666667</v>
      </c>
      <c r="BF284" s="16" t="n">
        <f aca="false">RANK(BE284,$BE$2:$BE$881,0)</f>
        <v>179</v>
      </c>
      <c r="BG284" s="39" t="n">
        <f aca="false">RANK(BB284,$BB$2:$BB$881,0)</f>
        <v>407</v>
      </c>
      <c r="BH284" s="39" t="n">
        <f aca="false">RANK(BC284,$BC$2:$BC$881,0)</f>
        <v>649</v>
      </c>
      <c r="BI284" s="22" t="s">
        <v>130</v>
      </c>
      <c r="BJ284" s="22" t="s">
        <v>129</v>
      </c>
      <c r="BK284" s="40" t="s">
        <v>131</v>
      </c>
      <c r="BL284" s="41" t="n">
        <v>17</v>
      </c>
      <c r="BM284" s="41" t="n">
        <v>59</v>
      </c>
      <c r="BN284" s="41" t="n">
        <v>76</v>
      </c>
      <c r="BO284" s="42" t="n">
        <v>24</v>
      </c>
      <c r="BP284" s="43" t="n">
        <v>62</v>
      </c>
      <c r="BQ284" s="44" t="n">
        <v>86</v>
      </c>
      <c r="BR284" s="42" t="n">
        <v>21</v>
      </c>
      <c r="BS284" s="45" t="n">
        <v>50</v>
      </c>
      <c r="BT284" s="45" t="n">
        <v>71</v>
      </c>
      <c r="BU284" s="46" t="n">
        <v>100</v>
      </c>
      <c r="BV284" s="47" t="n">
        <v>88</v>
      </c>
      <c r="BW284" s="42" t="n">
        <v>100</v>
      </c>
      <c r="BX284" s="48" t="n">
        <v>94</v>
      </c>
      <c r="BY284" s="32" t="n">
        <v>23</v>
      </c>
      <c r="BZ284" s="32" t="n">
        <v>46</v>
      </c>
      <c r="CA284" s="32" t="n">
        <v>69</v>
      </c>
      <c r="CB284" s="32" t="n">
        <v>20</v>
      </c>
      <c r="CC284" s="32" t="n">
        <v>39</v>
      </c>
      <c r="CD284" s="69" t="n">
        <v>59</v>
      </c>
      <c r="CE284" s="32" t="n">
        <v>18</v>
      </c>
      <c r="CF284" s="32" t="n">
        <v>51</v>
      </c>
      <c r="CG284" s="32" t="n">
        <v>69</v>
      </c>
      <c r="CH284" s="32" t="n">
        <v>95</v>
      </c>
      <c r="CI284" s="32" t="n">
        <v>90</v>
      </c>
      <c r="CJ284" s="49" t="n">
        <v>26</v>
      </c>
      <c r="CK284" s="49" t="n">
        <v>59</v>
      </c>
      <c r="CL284" s="49" t="n">
        <v>85</v>
      </c>
      <c r="CM284" s="49" t="n">
        <v>20</v>
      </c>
      <c r="CN284" s="49" t="n">
        <v>51</v>
      </c>
      <c r="CO284" s="49" t="n">
        <v>71</v>
      </c>
      <c r="CP284" s="25" t="n">
        <f aca="false">BX284+BW284+BV284+BU284+BT284+BQ284+BN284</f>
        <v>615</v>
      </c>
      <c r="CQ284" s="25" t="n">
        <f aca="false">CO284+CL284+CI284+CH284+CG284+CD284+CA284</f>
        <v>538</v>
      </c>
      <c r="CR284" s="26" t="n">
        <f aca="false">CP284/7</f>
        <v>87.8571428571429</v>
      </c>
      <c r="CS284" s="26" t="n">
        <f aca="false">CQ284/7</f>
        <v>76.8571428571429</v>
      </c>
      <c r="CT284" s="24" t="n">
        <f aca="false">RANK(CR284,$CR$2:$CR$881,0)</f>
        <v>315</v>
      </c>
      <c r="CU284" s="25" t="n">
        <f aca="false">RANK(CS284,$CS$2:$CS$881,0)</f>
        <v>370</v>
      </c>
      <c r="CV284" s="26" t="n">
        <f aca="false">(CS284+CR284)/2</f>
        <v>82.3571428571429</v>
      </c>
      <c r="CW284" s="25" t="n">
        <f aca="false">RANK(CV284,$CV$2:$CV$881,0)</f>
        <v>322</v>
      </c>
      <c r="CX284" s="50" t="n">
        <f aca="false">(CV284+BB284)/2</f>
        <v>80.9285714285714</v>
      </c>
      <c r="CY284" s="50" t="n">
        <v>322</v>
      </c>
      <c r="CZ284" s="27" t="s">
        <v>132</v>
      </c>
      <c r="DA284" s="27" t="s">
        <v>219</v>
      </c>
      <c r="DB284" s="27" t="s">
        <v>219</v>
      </c>
      <c r="DC284" s="27" t="s">
        <v>134</v>
      </c>
      <c r="DD284" s="27" t="s">
        <v>191</v>
      </c>
      <c r="DE284" s="27" t="s">
        <v>204</v>
      </c>
      <c r="DF284" s="27" t="s">
        <v>272</v>
      </c>
      <c r="DG284" s="27" t="s">
        <v>134</v>
      </c>
      <c r="DH284" s="27" t="s">
        <v>137</v>
      </c>
      <c r="DI284" s="27" t="s">
        <v>306</v>
      </c>
      <c r="DJ284" s="27" t="s">
        <v>196</v>
      </c>
      <c r="DK284" s="27" t="s">
        <v>134</v>
      </c>
      <c r="DL284" s="27" t="s">
        <v>182</v>
      </c>
      <c r="DM284" s="27" t="s">
        <v>161</v>
      </c>
      <c r="DN284" s="27" t="s">
        <v>175</v>
      </c>
      <c r="DO284" s="27" t="s">
        <v>134</v>
      </c>
      <c r="DP284" s="27" t="s">
        <v>386</v>
      </c>
      <c r="DQ284" s="27" t="s">
        <v>447</v>
      </c>
      <c r="DR284" s="27" t="s">
        <v>416</v>
      </c>
      <c r="DS284" s="27" t="s">
        <v>134</v>
      </c>
      <c r="DT284" s="27" t="s">
        <v>182</v>
      </c>
      <c r="DU284" s="27" t="s">
        <v>204</v>
      </c>
      <c r="DV284" s="27" t="s">
        <v>169</v>
      </c>
      <c r="DW284" s="27" t="s">
        <v>135</v>
      </c>
      <c r="DX284" s="27" t="s">
        <v>155</v>
      </c>
      <c r="DY284" s="27" t="s">
        <v>139</v>
      </c>
      <c r="DZ284" s="27" t="n">
        <f aca="false">DY284+DV284+DR284+DN284+DJ284+DF284+DB284</f>
        <v>574</v>
      </c>
      <c r="EA284" s="28" t="n">
        <f aca="false">DZ284/7</f>
        <v>82</v>
      </c>
      <c r="EB284" s="27" t="n">
        <f aca="false">RANK(EA284,$EA$2:$EA$881,0)</f>
        <v>311</v>
      </c>
      <c r="EC284" s="29" t="n">
        <f aca="false">DZ284+CQ284+CP284+AZ284</f>
        <v>2522</v>
      </c>
      <c r="ED284" s="30" t="n">
        <f aca="false">(EA284+CV284+BB284)/3</f>
        <v>81.2857142857143</v>
      </c>
      <c r="EE284" s="51" t="n">
        <f aca="false">ROUND(BE284,3)</f>
        <v>88.347</v>
      </c>
      <c r="EF284" s="51" t="n">
        <f aca="false">ROUND(CR284,3)</f>
        <v>87.857</v>
      </c>
      <c r="EG284" s="51" t="n">
        <f aca="false">ROUND(CS284,3)</f>
        <v>76.857</v>
      </c>
      <c r="EH284" s="51" t="n">
        <f aca="false">ROUND(EA284,3)</f>
        <v>82</v>
      </c>
      <c r="EI284" s="51" t="n">
        <f aca="false">ROUND(ED284,3)</f>
        <v>81.286</v>
      </c>
      <c r="EJ284" s="51" t="n">
        <f aca="false">ROUND(CV284,3)</f>
        <v>82.357</v>
      </c>
      <c r="EK284" s="0" t="n">
        <f aca="false">RANK(EI284,$EI$2:$EI$881,0)</f>
        <v>283</v>
      </c>
    </row>
    <row r="285" customFormat="false" ht="15" hidden="false" customHeight="false" outlineLevel="0" collapsed="false">
      <c r="A285" s="4" t="n">
        <v>8945</v>
      </c>
      <c r="B285" s="4" t="n">
        <v>425</v>
      </c>
      <c r="C285" s="27" t="s">
        <v>986</v>
      </c>
      <c r="D285" s="31" t="n">
        <v>430</v>
      </c>
      <c r="E285" s="32" t="n">
        <v>230323167</v>
      </c>
      <c r="F285" s="8" t="s">
        <v>987</v>
      </c>
      <c r="G285" s="22" t="s">
        <v>988</v>
      </c>
      <c r="H285" s="22" t="s">
        <v>129</v>
      </c>
      <c r="I285" s="33" t="n">
        <v>2005</v>
      </c>
      <c r="J285" s="32" t="n">
        <v>76</v>
      </c>
      <c r="K285" s="32" t="n">
        <v>72</v>
      </c>
      <c r="L285" s="34" t="n">
        <f aca="false">(K285*70)/100</f>
        <v>50.4</v>
      </c>
      <c r="M285" s="34" t="n">
        <f aca="false">ROUNDUP(L285,0)</f>
        <v>51</v>
      </c>
      <c r="N285" s="32" t="n">
        <v>27</v>
      </c>
      <c r="O285" s="34" t="n">
        <f aca="false">N285+L285</f>
        <v>77.4</v>
      </c>
      <c r="P285" s="34" t="n">
        <f aca="false">N285+M285</f>
        <v>78</v>
      </c>
      <c r="Q285" s="32" t="n">
        <v>82</v>
      </c>
      <c r="R285" s="32" t="n">
        <v>65</v>
      </c>
      <c r="S285" s="34" t="n">
        <f aca="false">(R285*70)/100</f>
        <v>45.5</v>
      </c>
      <c r="T285" s="34" t="n">
        <f aca="false">ROUNDUP(S285,0)</f>
        <v>46</v>
      </c>
      <c r="U285" s="32" t="n">
        <v>24</v>
      </c>
      <c r="V285" s="34" t="n">
        <f aca="false">U285+S285</f>
        <v>69.5</v>
      </c>
      <c r="W285" s="34" t="n">
        <f aca="false">U285+T285</f>
        <v>70</v>
      </c>
      <c r="X285" s="32" t="n">
        <v>71</v>
      </c>
      <c r="Y285" s="34" t="n">
        <f aca="false">(X285*70)/100</f>
        <v>49.7</v>
      </c>
      <c r="Z285" s="34" t="n">
        <f aca="false">ROUNDUP(Y285,0)</f>
        <v>50</v>
      </c>
      <c r="AA285" s="32" t="n">
        <v>23</v>
      </c>
      <c r="AB285" s="34" t="n">
        <f aca="false">AA285+Y285</f>
        <v>72.7</v>
      </c>
      <c r="AC285" s="34" t="n">
        <f aca="false">AA285+Z285</f>
        <v>73</v>
      </c>
      <c r="AD285" s="32" t="n">
        <f aca="false">X285+R285+Q285+K285+J285</f>
        <v>366</v>
      </c>
      <c r="AE285" s="16" t="n">
        <f aca="false">AD285/5</f>
        <v>73.2</v>
      </c>
      <c r="AF285" s="16" t="n">
        <v>79</v>
      </c>
      <c r="AG285" s="16" t="n">
        <v>89</v>
      </c>
      <c r="AH285" s="16" t="n">
        <v>91</v>
      </c>
      <c r="AI285" s="16" t="n">
        <v>86</v>
      </c>
      <c r="AJ285" s="16" t="n">
        <f aca="false">(AI285*70)/100</f>
        <v>60.2</v>
      </c>
      <c r="AK285" s="35" t="n">
        <f aca="false">ROUNDUP(AJ285,0)</f>
        <v>61</v>
      </c>
      <c r="AL285" s="16" t="n">
        <v>25</v>
      </c>
      <c r="AM285" s="16" t="n">
        <f aca="false">AL285+AJ285</f>
        <v>85.2</v>
      </c>
      <c r="AN285" s="16" t="n">
        <f aca="false">AL285+AK285</f>
        <v>86</v>
      </c>
      <c r="AO285" s="16" t="n">
        <v>68</v>
      </c>
      <c r="AP285" s="36" t="n">
        <f aca="false">(AO285*70)/100</f>
        <v>47.6</v>
      </c>
      <c r="AQ285" s="37" t="n">
        <f aca="false">ROUNDUP(AP285,0)</f>
        <v>48</v>
      </c>
      <c r="AR285" s="16" t="n">
        <v>24</v>
      </c>
      <c r="AS285" s="16" t="n">
        <f aca="false">AR285+AP285</f>
        <v>71.6</v>
      </c>
      <c r="AT285" s="16" t="n">
        <f aca="false">AR285+AQ285</f>
        <v>72</v>
      </c>
      <c r="AU285" s="16" t="n">
        <f aca="false">AO285+AF285+AI285+AH285+AG285</f>
        <v>413</v>
      </c>
      <c r="AV285" s="16" t="n">
        <f aca="false">(AO285+AF285+AI285+AH285+AG285)/5</f>
        <v>82.6</v>
      </c>
      <c r="AW285" s="36" t="n">
        <f aca="false">(AO285+AF285+AI285+AH285+AG285+X285+R285+Q285+K285+J285)</f>
        <v>779</v>
      </c>
      <c r="AX285" s="16" t="n">
        <f aca="false">AW285/10</f>
        <v>77.9</v>
      </c>
      <c r="AY285" s="16" t="n">
        <f aca="false">AS285+AF285+AM285+AH285+AG285+AB285+V285+Q285+O285+J285</f>
        <v>793.4</v>
      </c>
      <c r="AZ285" s="16" t="n">
        <f aca="false">AT285+AF285+AN285+AH285+AG285+AC285+W285+Q285+P285+J285</f>
        <v>796</v>
      </c>
      <c r="BA285" s="16" t="n">
        <f aca="false">AY285/10</f>
        <v>79.34</v>
      </c>
      <c r="BB285" s="16" t="n">
        <f aca="false">AZ285/10</f>
        <v>79.6</v>
      </c>
      <c r="BC285" s="16" t="n">
        <v>2360</v>
      </c>
      <c r="BD285" s="16" t="n">
        <f aca="false">RANK(AX285,$AX$2:$AX$881,0)</f>
        <v>414</v>
      </c>
      <c r="BE285" s="54" t="n">
        <f aca="false">((BC285*100)/2400)*0.4+(AX285*0.6)</f>
        <v>86.0733333333333</v>
      </c>
      <c r="BF285" s="16" t="n">
        <f aca="false">RANK(BE285,$BE$2:$BE$881,0)</f>
        <v>426</v>
      </c>
      <c r="BG285" s="39" t="n">
        <f aca="false">RANK(BB285,$BB$2:$BB$881,0)</f>
        <v>392</v>
      </c>
      <c r="BH285" s="39" t="n">
        <f aca="false">RANK(BC285,$BC$2:$BC$881,0)</f>
        <v>402</v>
      </c>
      <c r="BI285" s="22" t="s">
        <v>130</v>
      </c>
      <c r="BJ285" s="22" t="s">
        <v>129</v>
      </c>
      <c r="BK285" s="40" t="s">
        <v>509</v>
      </c>
      <c r="BL285" s="41" t="n">
        <v>19</v>
      </c>
      <c r="BM285" s="41" t="n">
        <v>54</v>
      </c>
      <c r="BN285" s="41" t="n">
        <v>73</v>
      </c>
      <c r="BO285" s="42" t="n">
        <v>24</v>
      </c>
      <c r="BP285" s="43" t="n">
        <v>67</v>
      </c>
      <c r="BQ285" s="44" t="n">
        <v>91</v>
      </c>
      <c r="BR285" s="42" t="n">
        <v>21</v>
      </c>
      <c r="BS285" s="45" t="n">
        <v>55</v>
      </c>
      <c r="BT285" s="45" t="n">
        <v>76</v>
      </c>
      <c r="BU285" s="46" t="n">
        <v>99</v>
      </c>
      <c r="BV285" s="47" t="n">
        <v>92</v>
      </c>
      <c r="BW285" s="42" t="n">
        <v>100</v>
      </c>
      <c r="BX285" s="48" t="n">
        <v>96</v>
      </c>
      <c r="BY285" s="32" t="n">
        <v>26</v>
      </c>
      <c r="BZ285" s="32" t="n">
        <v>58</v>
      </c>
      <c r="CA285" s="32" t="n">
        <v>84</v>
      </c>
      <c r="CB285" s="32" t="n">
        <v>21</v>
      </c>
      <c r="CC285" s="32" t="n">
        <v>40</v>
      </c>
      <c r="CD285" s="32" t="n">
        <v>61</v>
      </c>
      <c r="CE285" s="32" t="n">
        <v>27</v>
      </c>
      <c r="CF285" s="32" t="n">
        <v>52</v>
      </c>
      <c r="CG285" s="32" t="n">
        <v>79</v>
      </c>
      <c r="CH285" s="32" t="n">
        <v>99</v>
      </c>
      <c r="CI285" s="32" t="n">
        <v>98</v>
      </c>
      <c r="CJ285" s="49" t="n">
        <v>25</v>
      </c>
      <c r="CK285" s="49" t="n">
        <v>48</v>
      </c>
      <c r="CL285" s="49" t="n">
        <v>73</v>
      </c>
      <c r="CM285" s="49" t="n">
        <v>23</v>
      </c>
      <c r="CN285" s="49" t="n">
        <v>52</v>
      </c>
      <c r="CO285" s="49" t="n">
        <v>75</v>
      </c>
      <c r="CP285" s="25" t="n">
        <f aca="false">BX285+BW285+BV285+BU285+BT285+BQ285+BN285</f>
        <v>627</v>
      </c>
      <c r="CQ285" s="25" t="n">
        <f aca="false">CO285+CL285+CI285+CH285+CG285+CD285+CA285</f>
        <v>569</v>
      </c>
      <c r="CR285" s="26" t="n">
        <f aca="false">CP285/7</f>
        <v>89.5714285714286</v>
      </c>
      <c r="CS285" s="26" t="n">
        <f aca="false">CQ285/7</f>
        <v>81.2857142857143</v>
      </c>
      <c r="CT285" s="24" t="n">
        <f aca="false">RANK(CR285,$CR$2:$CR$881,0)</f>
        <v>209</v>
      </c>
      <c r="CU285" s="25" t="n">
        <f aca="false">RANK(CS285,$CS$2:$CS$881,0)</f>
        <v>216</v>
      </c>
      <c r="CV285" s="26" t="n">
        <f aca="false">(CS285+CR285)/2</f>
        <v>85.4285714285714</v>
      </c>
      <c r="CW285" s="25" t="n">
        <f aca="false">RANK(CV285,$CV$2:$CV$881,0)</f>
        <v>191</v>
      </c>
      <c r="CX285" s="50" t="n">
        <f aca="false">(CV285+BB285)/2</f>
        <v>82.5142857142857</v>
      </c>
      <c r="CY285" s="50" t="n">
        <v>234</v>
      </c>
      <c r="CZ285" s="27" t="s">
        <v>132</v>
      </c>
      <c r="DA285" s="27" t="s">
        <v>153</v>
      </c>
      <c r="DB285" s="27" t="s">
        <v>153</v>
      </c>
      <c r="DC285" s="27" t="s">
        <v>134</v>
      </c>
      <c r="DD285" s="27" t="s">
        <v>137</v>
      </c>
      <c r="DE285" s="27" t="s">
        <v>447</v>
      </c>
      <c r="DF285" s="27" t="s">
        <v>272</v>
      </c>
      <c r="DG285" s="27" t="s">
        <v>134</v>
      </c>
      <c r="DH285" s="27" t="s">
        <v>191</v>
      </c>
      <c r="DI285" s="27" t="s">
        <v>375</v>
      </c>
      <c r="DJ285" s="27" t="s">
        <v>155</v>
      </c>
      <c r="DK285" s="27" t="s">
        <v>134</v>
      </c>
      <c r="DL285" s="27" t="s">
        <v>137</v>
      </c>
      <c r="DM285" s="27" t="s">
        <v>313</v>
      </c>
      <c r="DN285" s="27" t="s">
        <v>305</v>
      </c>
      <c r="DO285" s="27" t="s">
        <v>134</v>
      </c>
      <c r="DP285" s="27" t="s">
        <v>174</v>
      </c>
      <c r="DQ285" s="27" t="s">
        <v>442</v>
      </c>
      <c r="DR285" s="27" t="s">
        <v>416</v>
      </c>
      <c r="DS285" s="27" t="s">
        <v>134</v>
      </c>
      <c r="DT285" s="27" t="s">
        <v>135</v>
      </c>
      <c r="DU285" s="27" t="s">
        <v>989</v>
      </c>
      <c r="DV285" s="27" t="s">
        <v>141</v>
      </c>
      <c r="DW285" s="27" t="s">
        <v>164</v>
      </c>
      <c r="DX285" s="27" t="s">
        <v>143</v>
      </c>
      <c r="DY285" s="27" t="s">
        <v>139</v>
      </c>
      <c r="DZ285" s="27" t="n">
        <f aca="false">DY285+DV285+DR285+DN285+DJ285+DF285+DB285</f>
        <v>550</v>
      </c>
      <c r="EA285" s="28" t="n">
        <f aca="false">DZ285/7</f>
        <v>78.5714285714286</v>
      </c>
      <c r="EB285" s="27" t="n">
        <f aca="false">RANK(EA285,$EA$2:$EA$881,0)</f>
        <v>436</v>
      </c>
      <c r="EC285" s="29" t="n">
        <f aca="false">DZ285+CQ285+CP285+AZ285</f>
        <v>2542</v>
      </c>
      <c r="ED285" s="30" t="n">
        <f aca="false">(EA285+CV285+BB285)/3</f>
        <v>81.2</v>
      </c>
      <c r="EE285" s="51" t="n">
        <f aca="false">ROUND(BE285,3)</f>
        <v>86.073</v>
      </c>
      <c r="EF285" s="51" t="n">
        <f aca="false">ROUND(CR285,3)</f>
        <v>89.571</v>
      </c>
      <c r="EG285" s="51" t="n">
        <f aca="false">ROUND(CS285,3)</f>
        <v>81.286</v>
      </c>
      <c r="EH285" s="51" t="n">
        <f aca="false">ROUND(EA285,3)</f>
        <v>78.571</v>
      </c>
      <c r="EI285" s="51" t="n">
        <f aca="false">ROUND(ED285,3)</f>
        <v>81.2</v>
      </c>
      <c r="EJ285" s="51" t="n">
        <f aca="false">ROUND(CV285,3)</f>
        <v>85.429</v>
      </c>
      <c r="EK285" s="0" t="n">
        <f aca="false">RANK(EI285,$EI$2:$EI$881,0)</f>
        <v>284</v>
      </c>
    </row>
    <row r="286" customFormat="false" ht="15" hidden="false" customHeight="false" outlineLevel="0" collapsed="false">
      <c r="A286" s="4" t="n">
        <v>8750</v>
      </c>
      <c r="B286" s="4" t="n">
        <v>801</v>
      </c>
      <c r="C286" s="27" t="s">
        <v>990</v>
      </c>
      <c r="D286" s="31" t="n">
        <v>820</v>
      </c>
      <c r="E286" s="32" t="n">
        <v>230419639</v>
      </c>
      <c r="F286" s="8" t="s">
        <v>991</v>
      </c>
      <c r="G286" s="66" t="s">
        <v>601</v>
      </c>
      <c r="H286" s="22" t="s">
        <v>129</v>
      </c>
      <c r="I286" s="67" t="s">
        <v>408</v>
      </c>
      <c r="J286" s="32" t="n">
        <v>80</v>
      </c>
      <c r="K286" s="32" t="n">
        <v>75</v>
      </c>
      <c r="L286" s="34" t="n">
        <f aca="false">(K286*70)/100</f>
        <v>52.5</v>
      </c>
      <c r="M286" s="34" t="n">
        <f aca="false">ROUNDUP(L286,0)</f>
        <v>53</v>
      </c>
      <c r="N286" s="32" t="n">
        <v>25</v>
      </c>
      <c r="O286" s="34" t="n">
        <f aca="false">N286+L286</f>
        <v>77.5</v>
      </c>
      <c r="P286" s="34" t="n">
        <f aca="false">N286+M286</f>
        <v>78</v>
      </c>
      <c r="Q286" s="68" t="n">
        <v>59</v>
      </c>
      <c r="R286" s="32" t="n">
        <v>72</v>
      </c>
      <c r="S286" s="34" t="n">
        <f aca="false">(R286*70)/100</f>
        <v>50.4</v>
      </c>
      <c r="T286" s="34" t="n">
        <f aca="false">ROUNDUP(S286,0)</f>
        <v>51</v>
      </c>
      <c r="U286" s="32" t="n">
        <v>20</v>
      </c>
      <c r="V286" s="34" t="n">
        <f aca="false">U286+S286</f>
        <v>70.4</v>
      </c>
      <c r="W286" s="34" t="n">
        <f aca="false">U286+T286</f>
        <v>71</v>
      </c>
      <c r="X286" s="32" t="n">
        <v>64</v>
      </c>
      <c r="Y286" s="34" t="n">
        <f aca="false">(X286*70)/100</f>
        <v>44.8</v>
      </c>
      <c r="Z286" s="34" t="n">
        <f aca="false">ROUNDUP(Y286,0)</f>
        <v>45</v>
      </c>
      <c r="AA286" s="32" t="n">
        <v>23</v>
      </c>
      <c r="AB286" s="34" t="n">
        <f aca="false">AA286+Y286</f>
        <v>67.8</v>
      </c>
      <c r="AC286" s="34" t="n">
        <f aca="false">AA286+Z286</f>
        <v>68</v>
      </c>
      <c r="AD286" s="32" t="n">
        <f aca="false">X286+R286+Q286+K286+J286</f>
        <v>350</v>
      </c>
      <c r="AE286" s="16" t="n">
        <f aca="false">AD286/5</f>
        <v>70</v>
      </c>
      <c r="AF286" s="16" t="n">
        <v>74</v>
      </c>
      <c r="AG286" s="16" t="n">
        <v>92</v>
      </c>
      <c r="AH286" s="16" t="n">
        <v>93</v>
      </c>
      <c r="AI286" s="16" t="n">
        <v>93</v>
      </c>
      <c r="AJ286" s="16" t="n">
        <f aca="false">(AI286*70)/100</f>
        <v>65.1</v>
      </c>
      <c r="AK286" s="35" t="n">
        <f aca="false">ROUNDUP(AJ286,0)</f>
        <v>66</v>
      </c>
      <c r="AL286" s="16" t="n">
        <v>25</v>
      </c>
      <c r="AM286" s="16" t="n">
        <f aca="false">AL286+AJ286</f>
        <v>90.1</v>
      </c>
      <c r="AN286" s="16" t="n">
        <f aca="false">AL286+AK286</f>
        <v>91</v>
      </c>
      <c r="AO286" s="16" t="n">
        <v>69</v>
      </c>
      <c r="AP286" s="36" t="n">
        <f aca="false">(AO286*70)/100</f>
        <v>48.3</v>
      </c>
      <c r="AQ286" s="37" t="n">
        <f aca="false">ROUNDUP(AP286,0)</f>
        <v>49</v>
      </c>
      <c r="AR286" s="16" t="n">
        <v>29</v>
      </c>
      <c r="AS286" s="16" t="n">
        <f aca="false">AR286+AP286</f>
        <v>77.3</v>
      </c>
      <c r="AT286" s="16" t="n">
        <f aca="false">AR286+AQ286</f>
        <v>78</v>
      </c>
      <c r="AU286" s="16" t="n">
        <f aca="false">AO286+AF286+AI286+AH286+AG286</f>
        <v>421</v>
      </c>
      <c r="AV286" s="16" t="n">
        <f aca="false">(AO286+AF286+AI286+AH286+AG286)/5</f>
        <v>84.2</v>
      </c>
      <c r="AW286" s="36" t="n">
        <f aca="false">(AO286+AF286+AI286+AH286+AG286+X286+R286+Q286+K286+J286)</f>
        <v>771</v>
      </c>
      <c r="AX286" s="16" t="n">
        <f aca="false">AW286/10</f>
        <v>77.1</v>
      </c>
      <c r="AY286" s="16" t="n">
        <f aca="false">AS286+AF286+AM286+AH286+AG286+AB286+V286+Q286+O286+J286</f>
        <v>781.1</v>
      </c>
      <c r="AZ286" s="16" t="n">
        <f aca="false">AT286+AF286+AN286+AH286+AG286+AC286+W286+Q286+P286+J286</f>
        <v>784</v>
      </c>
      <c r="BA286" s="16" t="n">
        <f aca="false">AY286/10</f>
        <v>78.11</v>
      </c>
      <c r="BB286" s="16" t="n">
        <f aca="false">AZ286/10</f>
        <v>78.4</v>
      </c>
      <c r="BC286" s="24" t="n">
        <v>2393</v>
      </c>
      <c r="BD286" s="16" t="n">
        <f aca="false">RANK(AX286,$AX$2:$AX$881,0)</f>
        <v>496</v>
      </c>
      <c r="BE286" s="54" t="n">
        <f aca="false">((BC286*100)/2400)*0.4+(AX286*0.6)</f>
        <v>86.1433333333333</v>
      </c>
      <c r="BF286" s="16" t="n">
        <f aca="false">RANK(BE286,$BE$2:$BE$881,0)</f>
        <v>413</v>
      </c>
      <c r="BG286" s="39" t="n">
        <f aca="false">RANK(BB286,$BB$2:$BB$881,0)</f>
        <v>520</v>
      </c>
      <c r="BH286" s="39" t="n">
        <f aca="false">RANK(BC286,$BC$2:$BC$881,0)</f>
        <v>21</v>
      </c>
      <c r="BI286" s="22" t="s">
        <v>130</v>
      </c>
      <c r="BJ286" s="22" t="s">
        <v>129</v>
      </c>
      <c r="BK286" s="40" t="s">
        <v>131</v>
      </c>
      <c r="BL286" s="41" t="n">
        <v>14</v>
      </c>
      <c r="BM286" s="41" t="n">
        <v>47</v>
      </c>
      <c r="BN286" s="41" t="n">
        <v>61</v>
      </c>
      <c r="BO286" s="42" t="n">
        <v>22</v>
      </c>
      <c r="BP286" s="43" t="n">
        <v>61</v>
      </c>
      <c r="BQ286" s="44" t="n">
        <v>83</v>
      </c>
      <c r="BR286" s="42" t="n">
        <v>18</v>
      </c>
      <c r="BS286" s="45" t="n">
        <v>48</v>
      </c>
      <c r="BT286" s="45" t="n">
        <v>66</v>
      </c>
      <c r="BU286" s="46" t="n">
        <v>100</v>
      </c>
      <c r="BV286" s="47" t="n">
        <v>96</v>
      </c>
      <c r="BW286" s="42" t="n">
        <v>98</v>
      </c>
      <c r="BX286" s="48" t="n">
        <v>98</v>
      </c>
      <c r="BY286" s="32" t="n">
        <v>27</v>
      </c>
      <c r="BZ286" s="32" t="n">
        <v>59</v>
      </c>
      <c r="CA286" s="32" t="n">
        <v>86</v>
      </c>
      <c r="CB286" s="32" t="n">
        <v>20</v>
      </c>
      <c r="CC286" s="32" t="n">
        <v>31</v>
      </c>
      <c r="CD286" s="69" t="n">
        <v>51</v>
      </c>
      <c r="CE286" s="32" t="n">
        <v>23</v>
      </c>
      <c r="CF286" s="32" t="n">
        <v>58</v>
      </c>
      <c r="CG286" s="32" t="n">
        <v>81</v>
      </c>
      <c r="CH286" s="32" t="n">
        <v>95</v>
      </c>
      <c r="CI286" s="32" t="n">
        <v>98</v>
      </c>
      <c r="CJ286" s="49" t="n">
        <v>23</v>
      </c>
      <c r="CK286" s="49" t="n">
        <v>52</v>
      </c>
      <c r="CL286" s="49" t="n">
        <v>75</v>
      </c>
      <c r="CM286" s="49" t="n">
        <v>25</v>
      </c>
      <c r="CN286" s="49" t="n">
        <v>54</v>
      </c>
      <c r="CO286" s="49" t="n">
        <v>79</v>
      </c>
      <c r="CP286" s="25" t="n">
        <f aca="false">BX286+BW286+BV286+BU286+BT286+BQ286+BN286</f>
        <v>602</v>
      </c>
      <c r="CQ286" s="25" t="n">
        <f aca="false">CO286+CL286+CI286+CH286+CG286+CD286+CA286</f>
        <v>565</v>
      </c>
      <c r="CR286" s="26" t="n">
        <f aca="false">CP286/7</f>
        <v>86</v>
      </c>
      <c r="CS286" s="26" t="n">
        <f aca="false">CQ286/7</f>
        <v>80.7142857142857</v>
      </c>
      <c r="CT286" s="24" t="n">
        <f aca="false">RANK(CR286,$CR$2:$CR$881,0)</f>
        <v>403</v>
      </c>
      <c r="CU286" s="25" t="n">
        <f aca="false">RANK(CS286,$CS$2:$CS$881,0)</f>
        <v>233</v>
      </c>
      <c r="CV286" s="26" t="n">
        <f aca="false">(CS286+CR286)/2</f>
        <v>83.3571428571429</v>
      </c>
      <c r="CW286" s="25" t="n">
        <f aca="false">RANK(CV286,$CV$2:$CV$881,0)</f>
        <v>282</v>
      </c>
      <c r="CX286" s="50" t="n">
        <f aca="false">(CV286+BB286)/2</f>
        <v>80.8785714285714</v>
      </c>
      <c r="CY286" s="50" t="n">
        <v>328</v>
      </c>
      <c r="CZ286" s="27" t="s">
        <v>132</v>
      </c>
      <c r="DA286" s="27" t="s">
        <v>219</v>
      </c>
      <c r="DB286" s="27" t="s">
        <v>219</v>
      </c>
      <c r="DC286" s="27" t="s">
        <v>134</v>
      </c>
      <c r="DD286" s="27" t="s">
        <v>164</v>
      </c>
      <c r="DE286" s="27" t="s">
        <v>304</v>
      </c>
      <c r="DF286" s="27" t="s">
        <v>196</v>
      </c>
      <c r="DG286" s="27" t="s">
        <v>134</v>
      </c>
      <c r="DH286" s="27" t="s">
        <v>182</v>
      </c>
      <c r="DI286" s="27" t="s">
        <v>447</v>
      </c>
      <c r="DJ286" s="27" t="s">
        <v>382</v>
      </c>
      <c r="DK286" s="27" t="s">
        <v>134</v>
      </c>
      <c r="DL286" s="27" t="s">
        <v>160</v>
      </c>
      <c r="DM286" s="27" t="s">
        <v>447</v>
      </c>
      <c r="DN286" s="27" t="s">
        <v>196</v>
      </c>
      <c r="DO286" s="27" t="s">
        <v>134</v>
      </c>
      <c r="DP286" s="27" t="s">
        <v>191</v>
      </c>
      <c r="DQ286" s="27" t="s">
        <v>203</v>
      </c>
      <c r="DR286" s="27" t="s">
        <v>205</v>
      </c>
      <c r="DS286" s="27" t="s">
        <v>134</v>
      </c>
      <c r="DT286" s="27" t="s">
        <v>160</v>
      </c>
      <c r="DU286" s="27" t="s">
        <v>306</v>
      </c>
      <c r="DV286" s="27" t="s">
        <v>169</v>
      </c>
      <c r="DW286" s="27" t="s">
        <v>182</v>
      </c>
      <c r="DX286" s="27" t="s">
        <v>152</v>
      </c>
      <c r="DY286" s="27" t="s">
        <v>133</v>
      </c>
      <c r="DZ286" s="27" t="n">
        <f aca="false">DY286+DV286+DR286+DN286+DJ286+DF286+DB286</f>
        <v>572</v>
      </c>
      <c r="EA286" s="28" t="n">
        <f aca="false">DZ286/7</f>
        <v>81.7142857142857</v>
      </c>
      <c r="EB286" s="27" t="n">
        <f aca="false">RANK(EA286,$EA$2:$EA$881,0)</f>
        <v>322</v>
      </c>
      <c r="EC286" s="29" t="n">
        <f aca="false">DZ286+CQ286+CP286+AZ286</f>
        <v>2523</v>
      </c>
      <c r="ED286" s="30" t="n">
        <f aca="false">(EA286+CV286+BB286)/3</f>
        <v>81.1571428571429</v>
      </c>
      <c r="EE286" s="51" t="n">
        <f aca="false">ROUND(BE286,3)</f>
        <v>86.143</v>
      </c>
      <c r="EF286" s="51" t="n">
        <f aca="false">ROUND(CR286,3)</f>
        <v>86</v>
      </c>
      <c r="EG286" s="51" t="n">
        <f aca="false">ROUND(CS286,3)</f>
        <v>80.714</v>
      </c>
      <c r="EH286" s="51" t="n">
        <f aca="false">ROUND(EA286,3)</f>
        <v>81.714</v>
      </c>
      <c r="EI286" s="51" t="n">
        <f aca="false">ROUND(ED286,3)</f>
        <v>81.157</v>
      </c>
      <c r="EJ286" s="51" t="n">
        <f aca="false">ROUND(CV286,3)</f>
        <v>83.357</v>
      </c>
      <c r="EK286" s="0" t="n">
        <f aca="false">RANK(EI286,$EI$2:$EI$881,0)</f>
        <v>285</v>
      </c>
    </row>
    <row r="287" customFormat="false" ht="15" hidden="false" customHeight="false" outlineLevel="0" collapsed="false">
      <c r="A287" s="4" t="n">
        <v>9003</v>
      </c>
      <c r="B287" s="4" t="n">
        <v>525</v>
      </c>
      <c r="C287" s="27" t="s">
        <v>992</v>
      </c>
      <c r="D287" s="31" t="n">
        <v>531</v>
      </c>
      <c r="E287" s="32" t="n">
        <v>230411751</v>
      </c>
      <c r="F287" s="8" t="s">
        <v>993</v>
      </c>
      <c r="G287" s="66" t="s">
        <v>994</v>
      </c>
      <c r="H287" s="66" t="s">
        <v>129</v>
      </c>
      <c r="I287" s="67" t="s">
        <v>408</v>
      </c>
      <c r="J287" s="32" t="n">
        <v>67</v>
      </c>
      <c r="K287" s="32" t="n">
        <v>87</v>
      </c>
      <c r="L287" s="34" t="n">
        <f aca="false">(K287*70)/100</f>
        <v>60.9</v>
      </c>
      <c r="M287" s="34" t="n">
        <f aca="false">ROUNDUP(L287,0)</f>
        <v>61</v>
      </c>
      <c r="N287" s="32" t="n">
        <v>27</v>
      </c>
      <c r="O287" s="34" t="n">
        <f aca="false">N287+L287</f>
        <v>87.9</v>
      </c>
      <c r="P287" s="34" t="n">
        <f aca="false">N287+M287</f>
        <v>88</v>
      </c>
      <c r="Q287" s="32" t="n">
        <v>80</v>
      </c>
      <c r="R287" s="32" t="n">
        <v>74</v>
      </c>
      <c r="S287" s="34" t="n">
        <f aca="false">(R287*70)/100</f>
        <v>51.8</v>
      </c>
      <c r="T287" s="34" t="n">
        <f aca="false">ROUNDUP(S287,0)</f>
        <v>52</v>
      </c>
      <c r="U287" s="32" t="n">
        <v>25</v>
      </c>
      <c r="V287" s="34" t="n">
        <f aca="false">U287+S287</f>
        <v>76.8</v>
      </c>
      <c r="W287" s="34" t="n">
        <f aca="false">U287+T287</f>
        <v>77</v>
      </c>
      <c r="X287" s="32" t="n">
        <v>76</v>
      </c>
      <c r="Y287" s="34" t="n">
        <f aca="false">(X287*70)/100</f>
        <v>53.2</v>
      </c>
      <c r="Z287" s="34" t="n">
        <f aca="false">ROUNDUP(Y287,0)</f>
        <v>54</v>
      </c>
      <c r="AA287" s="32" t="n">
        <v>24</v>
      </c>
      <c r="AB287" s="34" t="n">
        <f aca="false">AA287+Y287</f>
        <v>77.2</v>
      </c>
      <c r="AC287" s="34" t="n">
        <f aca="false">AA287+Z287</f>
        <v>78</v>
      </c>
      <c r="AD287" s="32" t="n">
        <f aca="false">X287+R287+Q287+K287+J287</f>
        <v>384</v>
      </c>
      <c r="AE287" s="16" t="n">
        <f aca="false">AD287/5</f>
        <v>76.8</v>
      </c>
      <c r="AF287" s="16" t="n">
        <v>79</v>
      </c>
      <c r="AG287" s="16" t="n">
        <v>74</v>
      </c>
      <c r="AH287" s="16" t="n">
        <v>93</v>
      </c>
      <c r="AI287" s="16" t="n">
        <v>86</v>
      </c>
      <c r="AJ287" s="16" t="n">
        <f aca="false">(AI287*70)/100</f>
        <v>60.2</v>
      </c>
      <c r="AK287" s="35" t="n">
        <f aca="false">ROUNDUP(AJ287,0)</f>
        <v>61</v>
      </c>
      <c r="AL287" s="16" t="n">
        <v>26</v>
      </c>
      <c r="AM287" s="16" t="n">
        <f aca="false">AL287+AJ287</f>
        <v>86.2</v>
      </c>
      <c r="AN287" s="16" t="n">
        <f aca="false">AL287+AK287</f>
        <v>87</v>
      </c>
      <c r="AO287" s="16" t="n">
        <v>74</v>
      </c>
      <c r="AP287" s="36" t="n">
        <f aca="false">(AO287*70)/100</f>
        <v>51.8</v>
      </c>
      <c r="AQ287" s="37" t="n">
        <f aca="false">ROUNDUP(AP287,0)</f>
        <v>52</v>
      </c>
      <c r="AR287" s="16" t="n">
        <v>28</v>
      </c>
      <c r="AS287" s="16" t="n">
        <f aca="false">AR287+AP287</f>
        <v>79.8</v>
      </c>
      <c r="AT287" s="16" t="n">
        <f aca="false">AR287+AQ287</f>
        <v>80</v>
      </c>
      <c r="AU287" s="16" t="n">
        <f aca="false">AO287+AF287+AI287+AH287+AG287</f>
        <v>406</v>
      </c>
      <c r="AV287" s="16" t="n">
        <f aca="false">(AO287+AF287+AI287+AH287+AG287)/5</f>
        <v>81.2</v>
      </c>
      <c r="AW287" s="36" t="n">
        <f aca="false">(AO287+AF287+AI287+AH287+AG287+X287+R287+Q287+K287+J287)</f>
        <v>790</v>
      </c>
      <c r="AX287" s="16" t="n">
        <f aca="false">AW287/10</f>
        <v>79</v>
      </c>
      <c r="AY287" s="16" t="n">
        <f aca="false">AS287+AF287+AM287+AH287+AG287+AB287+V287+Q287+O287+J287</f>
        <v>800.9</v>
      </c>
      <c r="AZ287" s="16" t="n">
        <f aca="false">AT287+AF287+AN287+AH287+AG287+AC287+W287+Q287+P287+J287</f>
        <v>803</v>
      </c>
      <c r="BA287" s="16" t="n">
        <f aca="false">AY287/10</f>
        <v>80.09</v>
      </c>
      <c r="BB287" s="16" t="n">
        <f aca="false">AZ287/10</f>
        <v>80.3</v>
      </c>
      <c r="BC287" s="24" t="n">
        <v>2337</v>
      </c>
      <c r="BD287" s="16" t="n">
        <f aca="false">RANK(AX287,$AX$2:$AX$881,0)</f>
        <v>330</v>
      </c>
      <c r="BE287" s="54" t="n">
        <f aca="false">((BC287*100)/2400)*0.4+(AX287*0.6)</f>
        <v>86.35</v>
      </c>
      <c r="BF287" s="16" t="n">
        <f aca="false">RANK(BE287,$BE$2:$BE$881,0)</f>
        <v>370</v>
      </c>
      <c r="BG287" s="39" t="n">
        <f aca="false">RANK(BB287,$BB$2:$BB$881,0)</f>
        <v>327</v>
      </c>
      <c r="BH287" s="39" t="n">
        <f aca="false">RANK(BC287,$BC$2:$BC$881,0)</f>
        <v>658</v>
      </c>
      <c r="BI287" s="22" t="s">
        <v>130</v>
      </c>
      <c r="BJ287" s="22" t="s">
        <v>129</v>
      </c>
      <c r="BK287" s="40" t="s">
        <v>131</v>
      </c>
      <c r="BL287" s="41" t="n">
        <v>21</v>
      </c>
      <c r="BM287" s="41" t="n">
        <v>50</v>
      </c>
      <c r="BN287" s="41" t="n">
        <v>71</v>
      </c>
      <c r="BO287" s="42" t="n">
        <v>22</v>
      </c>
      <c r="BP287" s="43" t="n">
        <v>58</v>
      </c>
      <c r="BQ287" s="44" t="n">
        <v>80</v>
      </c>
      <c r="BR287" s="42" t="n">
        <v>23</v>
      </c>
      <c r="BS287" s="45" t="n">
        <v>54</v>
      </c>
      <c r="BT287" s="45" t="n">
        <v>77</v>
      </c>
      <c r="BU287" s="46" t="n">
        <v>100</v>
      </c>
      <c r="BV287" s="47" t="n">
        <v>74</v>
      </c>
      <c r="BW287" s="42" t="n">
        <v>96</v>
      </c>
      <c r="BX287" s="48" t="n">
        <v>80</v>
      </c>
      <c r="BY287" s="32" t="n">
        <v>24</v>
      </c>
      <c r="BZ287" s="32" t="n">
        <v>46</v>
      </c>
      <c r="CA287" s="32" t="n">
        <v>70</v>
      </c>
      <c r="CB287" s="32" t="n">
        <v>21</v>
      </c>
      <c r="CC287" s="32" t="n">
        <v>40</v>
      </c>
      <c r="CD287" s="32" t="n">
        <v>61</v>
      </c>
      <c r="CE287" s="32" t="n">
        <v>26</v>
      </c>
      <c r="CF287" s="32" t="n">
        <v>52</v>
      </c>
      <c r="CG287" s="32" t="n">
        <v>78</v>
      </c>
      <c r="CH287" s="32" t="n">
        <v>95</v>
      </c>
      <c r="CI287" s="32" t="n">
        <v>92</v>
      </c>
      <c r="CJ287" s="49" t="n">
        <v>19</v>
      </c>
      <c r="CK287" s="49" t="n">
        <v>51</v>
      </c>
      <c r="CL287" s="49" t="n">
        <v>70</v>
      </c>
      <c r="CM287" s="49" t="n">
        <v>22</v>
      </c>
      <c r="CN287" s="49" t="n">
        <v>58</v>
      </c>
      <c r="CO287" s="49" t="n">
        <v>80</v>
      </c>
      <c r="CP287" s="25" t="n">
        <f aca="false">BX287+BW287+BV287+BU287+BT287+BQ287+BN287</f>
        <v>578</v>
      </c>
      <c r="CQ287" s="25" t="n">
        <f aca="false">CO287+CL287+CI287+CH287+CG287+CD287+CA287</f>
        <v>546</v>
      </c>
      <c r="CR287" s="26" t="n">
        <f aca="false">CP287/7</f>
        <v>82.5714285714286</v>
      </c>
      <c r="CS287" s="26" t="n">
        <f aca="false">CQ287/7</f>
        <v>78</v>
      </c>
      <c r="CT287" s="24" t="n">
        <f aca="false">RANK(CR287,$CR$2:$CR$881,0)</f>
        <v>528</v>
      </c>
      <c r="CU287" s="25" t="n">
        <f aca="false">RANK(CS287,$CS$2:$CS$881,0)</f>
        <v>333</v>
      </c>
      <c r="CV287" s="26" t="n">
        <f aca="false">(CS287+CR287)/2</f>
        <v>80.2857142857143</v>
      </c>
      <c r="CW287" s="25" t="n">
        <f aca="false">RANK(CV287,$CV$2:$CV$881,0)</f>
        <v>415</v>
      </c>
      <c r="CX287" s="50" t="n">
        <f aca="false">(CV287+BB287)/2</f>
        <v>80.2928571428571</v>
      </c>
      <c r="CY287" s="50" t="n">
        <v>359</v>
      </c>
      <c r="CZ287" s="27" t="s">
        <v>132</v>
      </c>
      <c r="DA287" s="27" t="s">
        <v>272</v>
      </c>
      <c r="DB287" s="27" t="s">
        <v>272</v>
      </c>
      <c r="DC287" s="27" t="s">
        <v>134</v>
      </c>
      <c r="DD287" s="27" t="s">
        <v>195</v>
      </c>
      <c r="DE287" s="27" t="s">
        <v>177</v>
      </c>
      <c r="DF287" s="27" t="s">
        <v>196</v>
      </c>
      <c r="DG287" s="27" t="s">
        <v>134</v>
      </c>
      <c r="DH287" s="27" t="s">
        <v>137</v>
      </c>
      <c r="DI287" s="27" t="s">
        <v>177</v>
      </c>
      <c r="DJ287" s="27" t="s">
        <v>202</v>
      </c>
      <c r="DK287" s="27" t="s">
        <v>134</v>
      </c>
      <c r="DL287" s="27" t="s">
        <v>195</v>
      </c>
      <c r="DM287" s="27" t="s">
        <v>204</v>
      </c>
      <c r="DN287" s="27" t="s">
        <v>219</v>
      </c>
      <c r="DO287" s="27" t="s">
        <v>134</v>
      </c>
      <c r="DP287" s="27" t="s">
        <v>191</v>
      </c>
      <c r="DQ287" s="27" t="s">
        <v>183</v>
      </c>
      <c r="DR287" s="27" t="s">
        <v>305</v>
      </c>
      <c r="DS287" s="27" t="s">
        <v>134</v>
      </c>
      <c r="DT287" s="27" t="s">
        <v>140</v>
      </c>
      <c r="DU287" s="27" t="s">
        <v>313</v>
      </c>
      <c r="DV287" s="27" t="s">
        <v>196</v>
      </c>
      <c r="DW287" s="27" t="s">
        <v>135</v>
      </c>
      <c r="DX287" s="27" t="s">
        <v>155</v>
      </c>
      <c r="DY287" s="27" t="s">
        <v>139</v>
      </c>
      <c r="DZ287" s="27" t="n">
        <f aca="false">DY287+DV287+DR287+DN287+DJ287+DF287+DB287</f>
        <v>580</v>
      </c>
      <c r="EA287" s="28" t="n">
        <f aca="false">DZ287/7</f>
        <v>82.8571428571429</v>
      </c>
      <c r="EB287" s="27" t="n">
        <f aca="false">RANK(EA287,$EA$2:$EA$881,0)</f>
        <v>275</v>
      </c>
      <c r="EC287" s="29" t="n">
        <f aca="false">DZ287+CQ287+CP287+AZ287</f>
        <v>2507</v>
      </c>
      <c r="ED287" s="30" t="n">
        <f aca="false">(EA287+CV287+BB287)/3</f>
        <v>81.1476190476191</v>
      </c>
      <c r="EE287" s="51" t="n">
        <f aca="false">ROUND(BE287,3)</f>
        <v>86.35</v>
      </c>
      <c r="EF287" s="51" t="n">
        <f aca="false">ROUND(CR287,3)</f>
        <v>82.571</v>
      </c>
      <c r="EG287" s="51" t="n">
        <f aca="false">ROUND(CS287,3)</f>
        <v>78</v>
      </c>
      <c r="EH287" s="51" t="n">
        <f aca="false">ROUND(EA287,3)</f>
        <v>82.857</v>
      </c>
      <c r="EI287" s="51" t="n">
        <f aca="false">ROUND(ED287,3)</f>
        <v>81.148</v>
      </c>
      <c r="EJ287" s="51" t="n">
        <f aca="false">ROUND(CV287,3)</f>
        <v>80.286</v>
      </c>
      <c r="EK287" s="0" t="n">
        <f aca="false">RANK(EI287,$EI$2:$EI$881,0)</f>
        <v>286</v>
      </c>
    </row>
    <row r="288" customFormat="false" ht="15" hidden="false" customHeight="false" outlineLevel="0" collapsed="false">
      <c r="A288" s="4" t="n">
        <v>9085</v>
      </c>
      <c r="B288" s="4" t="n">
        <v>163</v>
      </c>
      <c r="C288" s="27" t="s">
        <v>995</v>
      </c>
      <c r="D288" s="31" t="n">
        <v>163</v>
      </c>
      <c r="E288" s="16" t="n">
        <v>230418562</v>
      </c>
      <c r="F288" s="56" t="s">
        <v>996</v>
      </c>
      <c r="G288" s="22" t="s">
        <v>997</v>
      </c>
      <c r="H288" s="22" t="s">
        <v>271</v>
      </c>
      <c r="I288" s="57"/>
      <c r="J288" s="16" t="n">
        <v>74</v>
      </c>
      <c r="K288" s="16" t="n">
        <v>78</v>
      </c>
      <c r="L288" s="34" t="n">
        <f aca="false">(K288*70)/100</f>
        <v>54.6</v>
      </c>
      <c r="M288" s="34" t="n">
        <f aca="false">ROUNDUP(L288,0)</f>
        <v>55</v>
      </c>
      <c r="N288" s="16" t="n">
        <v>20</v>
      </c>
      <c r="O288" s="34" t="n">
        <f aca="false">N288+L288</f>
        <v>74.6</v>
      </c>
      <c r="P288" s="34" t="n">
        <f aca="false">N288+M288</f>
        <v>75</v>
      </c>
      <c r="Q288" s="16" t="n">
        <v>82</v>
      </c>
      <c r="R288" s="16" t="n">
        <v>73</v>
      </c>
      <c r="S288" s="34" t="n">
        <f aca="false">(R288*70)/100</f>
        <v>51.1</v>
      </c>
      <c r="T288" s="34" t="n">
        <f aca="false">ROUNDUP(S288,0)</f>
        <v>52</v>
      </c>
      <c r="U288" s="16" t="n">
        <v>27</v>
      </c>
      <c r="V288" s="34" t="n">
        <f aca="false">U288+S288</f>
        <v>78.1</v>
      </c>
      <c r="W288" s="34" t="n">
        <f aca="false">U288+T288</f>
        <v>79</v>
      </c>
      <c r="X288" s="16" t="n">
        <v>66</v>
      </c>
      <c r="Y288" s="34" t="n">
        <f aca="false">(X288*70)/100</f>
        <v>46.2</v>
      </c>
      <c r="Z288" s="34" t="n">
        <f aca="false">ROUNDUP(Y288,0)</f>
        <v>47</v>
      </c>
      <c r="AA288" s="16" t="n">
        <v>28</v>
      </c>
      <c r="AB288" s="34" t="n">
        <f aca="false">AA288+Y288</f>
        <v>74.2</v>
      </c>
      <c r="AC288" s="34" t="n">
        <f aca="false">AA288+Z288</f>
        <v>75</v>
      </c>
      <c r="AD288" s="32" t="n">
        <f aca="false">X288+R288+Q288+K288+J288</f>
        <v>373</v>
      </c>
      <c r="AE288" s="16" t="n">
        <f aca="false">AD288/5</f>
        <v>74.6</v>
      </c>
      <c r="AF288" s="16" t="n">
        <v>73</v>
      </c>
      <c r="AG288" s="16" t="n">
        <v>82</v>
      </c>
      <c r="AH288" s="16" t="n">
        <v>89</v>
      </c>
      <c r="AI288" s="16" t="n">
        <v>93</v>
      </c>
      <c r="AJ288" s="16" t="n">
        <f aca="false">(AI288*70)/100</f>
        <v>65.1</v>
      </c>
      <c r="AK288" s="35" t="n">
        <f aca="false">ROUNDUP(AJ288,0)</f>
        <v>66</v>
      </c>
      <c r="AL288" s="16" t="n">
        <v>20</v>
      </c>
      <c r="AM288" s="16" t="n">
        <f aca="false">AL288+AJ288</f>
        <v>85.1</v>
      </c>
      <c r="AN288" s="16" t="n">
        <f aca="false">AL288+AK288</f>
        <v>86</v>
      </c>
      <c r="AO288" s="16" t="n">
        <v>67</v>
      </c>
      <c r="AP288" s="36" t="n">
        <f aca="false">(AO288*70)/100</f>
        <v>46.9</v>
      </c>
      <c r="AQ288" s="37" t="n">
        <f aca="false">ROUNDUP(AP288,0)</f>
        <v>47</v>
      </c>
      <c r="AR288" s="16" t="n">
        <v>16</v>
      </c>
      <c r="AS288" s="16" t="n">
        <f aca="false">AR288+AP288</f>
        <v>62.9</v>
      </c>
      <c r="AT288" s="16" t="n">
        <f aca="false">AR288+AQ288</f>
        <v>63</v>
      </c>
      <c r="AU288" s="16" t="n">
        <f aca="false">AO288+AF288+AI288+AH288+AG288</f>
        <v>404</v>
      </c>
      <c r="AV288" s="16" t="n">
        <f aca="false">(AO288+AF288+AI288+AH288+AG288)/5</f>
        <v>80.8</v>
      </c>
      <c r="AW288" s="36" t="n">
        <f aca="false">(AO288+AF288+AI288+AH288+AG288+X288+R288+Q288+K288+J288)</f>
        <v>777</v>
      </c>
      <c r="AX288" s="16" t="n">
        <f aca="false">AW288/10</f>
        <v>77.7</v>
      </c>
      <c r="AY288" s="16" t="n">
        <f aca="false">AS288+AF288+AM288+AH288+AG288+AB288+V288+Q288+O288+J288</f>
        <v>774.9</v>
      </c>
      <c r="AZ288" s="16" t="n">
        <f aca="false">AT288+AF288+AN288+AH288+AG288+AC288+W288+Q288+P288+J288</f>
        <v>778</v>
      </c>
      <c r="BA288" s="16" t="n">
        <f aca="false">AY288/10</f>
        <v>77.49</v>
      </c>
      <c r="BB288" s="16" t="n">
        <f aca="false">AZ288/10</f>
        <v>77.8</v>
      </c>
      <c r="BC288" s="16" t="n">
        <v>2372</v>
      </c>
      <c r="BD288" s="16" t="n">
        <f aca="false">RANK(AX288,$AX$2:$AX$881,0)</f>
        <v>433</v>
      </c>
      <c r="BE288" s="54" t="n">
        <f aca="false">((BC288*100)/2400)*0.4+(AX288*0.6)</f>
        <v>86.1533333333333</v>
      </c>
      <c r="BF288" s="16" t="n">
        <f aca="false">RANK(BE288,$BE$2:$BE$881,0)</f>
        <v>411</v>
      </c>
      <c r="BG288" s="39" t="n">
        <f aca="false">RANK(BB288,$BB$2:$BB$881,0)</f>
        <v>577</v>
      </c>
      <c r="BH288" s="39" t="n">
        <f aca="false">RANK(BC288,$BC$2:$BC$881,0)</f>
        <v>246</v>
      </c>
      <c r="BI288" s="22" t="s">
        <v>130</v>
      </c>
      <c r="BJ288" s="22" t="s">
        <v>129</v>
      </c>
      <c r="BK288" s="40" t="s">
        <v>131</v>
      </c>
      <c r="BL288" s="41" t="n">
        <v>12</v>
      </c>
      <c r="BM288" s="41" t="n">
        <v>58</v>
      </c>
      <c r="BN288" s="41" t="n">
        <v>70</v>
      </c>
      <c r="BO288" s="42" t="n">
        <v>27</v>
      </c>
      <c r="BP288" s="43" t="n">
        <v>65</v>
      </c>
      <c r="BQ288" s="44" t="n">
        <v>92</v>
      </c>
      <c r="BR288" s="42" t="n">
        <v>25</v>
      </c>
      <c r="BS288" s="45" t="n">
        <v>60</v>
      </c>
      <c r="BT288" s="45" t="n">
        <v>85</v>
      </c>
      <c r="BU288" s="46" t="n">
        <v>98</v>
      </c>
      <c r="BV288" s="47" t="n">
        <v>98</v>
      </c>
      <c r="BW288" s="42" t="n">
        <v>95</v>
      </c>
      <c r="BX288" s="48" t="n">
        <v>92</v>
      </c>
      <c r="BY288" s="32" t="n">
        <v>26</v>
      </c>
      <c r="BZ288" s="32" t="n">
        <v>53</v>
      </c>
      <c r="CA288" s="32" t="n">
        <v>79</v>
      </c>
      <c r="CB288" s="32" t="n">
        <v>23</v>
      </c>
      <c r="CC288" s="32" t="n">
        <v>35</v>
      </c>
      <c r="CD288" s="69" t="n">
        <v>58</v>
      </c>
      <c r="CE288" s="32" t="n">
        <v>23</v>
      </c>
      <c r="CF288" s="32" t="n">
        <v>39</v>
      </c>
      <c r="CG288" s="32" t="n">
        <v>62</v>
      </c>
      <c r="CH288" s="32" t="n">
        <v>96</v>
      </c>
      <c r="CI288" s="32" t="n">
        <v>95</v>
      </c>
      <c r="CJ288" s="49" t="n">
        <v>22</v>
      </c>
      <c r="CK288" s="49" t="n">
        <v>54</v>
      </c>
      <c r="CL288" s="49" t="n">
        <v>76</v>
      </c>
      <c r="CM288" s="49" t="n">
        <v>21</v>
      </c>
      <c r="CN288" s="49" t="n">
        <v>40</v>
      </c>
      <c r="CO288" s="49" t="n">
        <v>61</v>
      </c>
      <c r="CP288" s="25" t="n">
        <f aca="false">BX288+BW288+BV288+BU288+BT288+BQ288+BN288</f>
        <v>630</v>
      </c>
      <c r="CQ288" s="25" t="n">
        <f aca="false">CO288+CL288+CI288+CH288+CG288+CD288+CA288</f>
        <v>527</v>
      </c>
      <c r="CR288" s="26" t="n">
        <f aca="false">CP288/7</f>
        <v>90</v>
      </c>
      <c r="CS288" s="26" t="n">
        <f aca="false">CQ288/7</f>
        <v>75.2857142857143</v>
      </c>
      <c r="CT288" s="24" t="n">
        <f aca="false">RANK(CR288,$CR$2:$CR$881,0)</f>
        <v>182</v>
      </c>
      <c r="CU288" s="25" t="n">
        <f aca="false">RANK(CS288,$CS$2:$CS$881,0)</f>
        <v>423</v>
      </c>
      <c r="CV288" s="26" t="n">
        <f aca="false">(CS288+CR288)/2</f>
        <v>82.6428571428571</v>
      </c>
      <c r="CW288" s="25" t="n">
        <f aca="false">RANK(CV288,$CV$2:$CV$881,0)</f>
        <v>311</v>
      </c>
      <c r="CX288" s="50" t="n">
        <f aca="false">(CV288+BB288)/2</f>
        <v>80.2214285714286</v>
      </c>
      <c r="CY288" s="50" t="n">
        <v>362</v>
      </c>
      <c r="CZ288" s="27" t="s">
        <v>132</v>
      </c>
      <c r="DA288" s="27" t="s">
        <v>205</v>
      </c>
      <c r="DB288" s="27" t="s">
        <v>205</v>
      </c>
      <c r="DC288" s="27" t="s">
        <v>134</v>
      </c>
      <c r="DD288" s="27" t="s">
        <v>174</v>
      </c>
      <c r="DE288" s="27" t="s">
        <v>204</v>
      </c>
      <c r="DF288" s="27" t="s">
        <v>196</v>
      </c>
      <c r="DG288" s="27" t="s">
        <v>134</v>
      </c>
      <c r="DH288" s="27" t="s">
        <v>137</v>
      </c>
      <c r="DI288" s="27" t="s">
        <v>447</v>
      </c>
      <c r="DJ288" s="27" t="s">
        <v>272</v>
      </c>
      <c r="DK288" s="27" t="s">
        <v>134</v>
      </c>
      <c r="DL288" s="27" t="s">
        <v>137</v>
      </c>
      <c r="DM288" s="27" t="s">
        <v>447</v>
      </c>
      <c r="DN288" s="27" t="s">
        <v>272</v>
      </c>
      <c r="DO288" s="27" t="s">
        <v>134</v>
      </c>
      <c r="DP288" s="27" t="s">
        <v>174</v>
      </c>
      <c r="DQ288" s="27" t="s">
        <v>220</v>
      </c>
      <c r="DR288" s="27" t="s">
        <v>305</v>
      </c>
      <c r="DS288" s="27" t="s">
        <v>134</v>
      </c>
      <c r="DT288" s="27" t="s">
        <v>174</v>
      </c>
      <c r="DU288" s="27" t="s">
        <v>203</v>
      </c>
      <c r="DV288" s="27" t="s">
        <v>209</v>
      </c>
      <c r="DW288" s="27" t="s">
        <v>160</v>
      </c>
      <c r="DX288" s="27" t="s">
        <v>155</v>
      </c>
      <c r="DY288" s="27" t="s">
        <v>145</v>
      </c>
      <c r="DZ288" s="27" t="n">
        <f aca="false">DY288+DV288+DR288+DN288+DJ288+DF288+DB288</f>
        <v>581</v>
      </c>
      <c r="EA288" s="28" t="n">
        <f aca="false">DZ288/7</f>
        <v>83</v>
      </c>
      <c r="EB288" s="27" t="n">
        <f aca="false">RANK(EA288,$EA$2:$EA$881,0)</f>
        <v>271</v>
      </c>
      <c r="EC288" s="29" t="n">
        <f aca="false">DZ288+CQ288+CP288+AZ288</f>
        <v>2516</v>
      </c>
      <c r="ED288" s="30" t="n">
        <f aca="false">(EA288+CV288+BB288)/3</f>
        <v>81.1476190476191</v>
      </c>
      <c r="EE288" s="51" t="n">
        <f aca="false">ROUND(BE288,3)</f>
        <v>86.153</v>
      </c>
      <c r="EF288" s="51" t="n">
        <f aca="false">ROUND(CR288,3)</f>
        <v>90</v>
      </c>
      <c r="EG288" s="51" t="n">
        <f aca="false">ROUND(CS288,3)</f>
        <v>75.286</v>
      </c>
      <c r="EH288" s="51" t="n">
        <f aca="false">ROUND(EA288,3)</f>
        <v>83</v>
      </c>
      <c r="EI288" s="51" t="n">
        <f aca="false">ROUND(ED288,3)</f>
        <v>81.148</v>
      </c>
      <c r="EJ288" s="51" t="n">
        <f aca="false">ROUND(CV288,3)</f>
        <v>82.643</v>
      </c>
      <c r="EK288" s="0" t="n">
        <f aca="false">RANK(EI288,$EI$2:$EI$881,0)</f>
        <v>286</v>
      </c>
    </row>
    <row r="289" customFormat="false" ht="15" hidden="false" customHeight="false" outlineLevel="0" collapsed="false">
      <c r="A289" s="4" t="n">
        <v>9013</v>
      </c>
      <c r="B289" s="4" t="n">
        <v>330</v>
      </c>
      <c r="C289" s="27" t="s">
        <v>998</v>
      </c>
      <c r="D289" s="31" t="n">
        <v>332</v>
      </c>
      <c r="E289" s="16" t="n">
        <v>230236712</v>
      </c>
      <c r="F289" s="56" t="s">
        <v>999</v>
      </c>
      <c r="G289" s="22" t="s">
        <v>345</v>
      </c>
      <c r="H289" s="22" t="s">
        <v>326</v>
      </c>
      <c r="I289" s="57"/>
      <c r="J289" s="16" t="n">
        <v>86</v>
      </c>
      <c r="K289" s="16" t="n">
        <v>76</v>
      </c>
      <c r="L289" s="34" t="n">
        <f aca="false">(K289*70)/100</f>
        <v>53.2</v>
      </c>
      <c r="M289" s="34" t="n">
        <f aca="false">ROUNDUP(L289,0)</f>
        <v>54</v>
      </c>
      <c r="N289" s="16" t="n">
        <v>20</v>
      </c>
      <c r="O289" s="34" t="n">
        <f aca="false">N289+L289</f>
        <v>73.2</v>
      </c>
      <c r="P289" s="34" t="n">
        <f aca="false">N289+M289</f>
        <v>74</v>
      </c>
      <c r="Q289" s="16" t="n">
        <v>72</v>
      </c>
      <c r="R289" s="16" t="n">
        <v>74</v>
      </c>
      <c r="S289" s="34" t="n">
        <f aca="false">(R289*70)/100</f>
        <v>51.8</v>
      </c>
      <c r="T289" s="34" t="n">
        <f aca="false">ROUNDUP(S289,0)</f>
        <v>52</v>
      </c>
      <c r="U289" s="16" t="n">
        <v>22</v>
      </c>
      <c r="V289" s="34" t="n">
        <f aca="false">U289+S289</f>
        <v>73.8</v>
      </c>
      <c r="W289" s="34" t="n">
        <f aca="false">U289+T289</f>
        <v>74</v>
      </c>
      <c r="X289" s="16" t="n">
        <v>62</v>
      </c>
      <c r="Y289" s="34" t="n">
        <f aca="false">(X289*70)/100</f>
        <v>43.4</v>
      </c>
      <c r="Z289" s="34" t="n">
        <f aca="false">ROUNDUP(Y289,0)</f>
        <v>44</v>
      </c>
      <c r="AA289" s="16" t="n">
        <v>28</v>
      </c>
      <c r="AB289" s="34" t="n">
        <f aca="false">AA289+Y289</f>
        <v>71.4</v>
      </c>
      <c r="AC289" s="34" t="n">
        <f aca="false">AA289+Z289</f>
        <v>72</v>
      </c>
      <c r="AD289" s="32" t="n">
        <f aca="false">X289+R289+Q289+K289+J289</f>
        <v>370</v>
      </c>
      <c r="AE289" s="16" t="n">
        <f aca="false">AD289/5</f>
        <v>74</v>
      </c>
      <c r="AF289" s="16" t="n">
        <v>74</v>
      </c>
      <c r="AG289" s="16" t="n">
        <v>95</v>
      </c>
      <c r="AH289" s="16" t="n">
        <v>92</v>
      </c>
      <c r="AI289" s="16" t="n">
        <v>90</v>
      </c>
      <c r="AJ289" s="16" t="n">
        <f aca="false">(AI289*70)/100</f>
        <v>63</v>
      </c>
      <c r="AK289" s="35" t="n">
        <f aca="false">ROUNDUP(AJ289,0)</f>
        <v>63</v>
      </c>
      <c r="AL289" s="16" t="n">
        <v>17</v>
      </c>
      <c r="AM289" s="16" t="n">
        <f aca="false">AL289+AJ289</f>
        <v>80</v>
      </c>
      <c r="AN289" s="16" t="n">
        <f aca="false">AL289+AK289</f>
        <v>80</v>
      </c>
      <c r="AO289" s="16" t="n">
        <v>65</v>
      </c>
      <c r="AP289" s="36" t="n">
        <f aca="false">(AO289*70)/100</f>
        <v>45.5</v>
      </c>
      <c r="AQ289" s="37" t="n">
        <f aca="false">ROUNDUP(AP289,0)</f>
        <v>46</v>
      </c>
      <c r="AR289" s="16" t="n">
        <v>26</v>
      </c>
      <c r="AS289" s="16" t="n">
        <f aca="false">AR289+AP289</f>
        <v>71.5</v>
      </c>
      <c r="AT289" s="16" t="n">
        <f aca="false">AR289+AQ289</f>
        <v>72</v>
      </c>
      <c r="AU289" s="16" t="n">
        <f aca="false">AO289+AF289+AI289+AH289+AG289</f>
        <v>416</v>
      </c>
      <c r="AV289" s="16" t="n">
        <f aca="false">(AO289+AF289+AI289+AH289+AG289)/5</f>
        <v>83.2</v>
      </c>
      <c r="AW289" s="36" t="n">
        <f aca="false">(AO289+AF289+AI289+AH289+AG289+X289+R289+Q289+K289+J289)</f>
        <v>786</v>
      </c>
      <c r="AX289" s="16" t="n">
        <f aca="false">AW289/10</f>
        <v>78.6</v>
      </c>
      <c r="AY289" s="16" t="n">
        <f aca="false">AS289+AF289+AM289+AH289+AG289+AB289+V289+Q289+O289+J289</f>
        <v>788.9</v>
      </c>
      <c r="AZ289" s="16" t="n">
        <f aca="false">AT289+AF289+AN289+AH289+AG289+AC289+W289+Q289+P289+J289</f>
        <v>791</v>
      </c>
      <c r="BA289" s="16" t="n">
        <f aca="false">AY289/10</f>
        <v>78.89</v>
      </c>
      <c r="BB289" s="16" t="n">
        <f aca="false">AZ289/10</f>
        <v>79.1</v>
      </c>
      <c r="BC289" s="16" t="n">
        <v>2365</v>
      </c>
      <c r="BD289" s="16" t="n">
        <f aca="false">RANK(AX289,$AX$2:$AX$881,0)</f>
        <v>370</v>
      </c>
      <c r="BE289" s="54" t="n">
        <f aca="false">((BC289*100)/2400)*0.4+(AX289*0.6)</f>
        <v>86.5766666666667</v>
      </c>
      <c r="BF289" s="16" t="n">
        <f aca="false">RANK(BE289,$BE$2:$BE$881,0)</f>
        <v>342</v>
      </c>
      <c r="BG289" s="39" t="n">
        <f aca="false">RANK(BB289,$BB$2:$BB$881,0)</f>
        <v>449</v>
      </c>
      <c r="BH289" s="39" t="n">
        <f aca="false">RANK(BC289,$BC$2:$BC$881,0)</f>
        <v>333</v>
      </c>
      <c r="BI289" s="22" t="s">
        <v>130</v>
      </c>
      <c r="BJ289" s="22" t="s">
        <v>129</v>
      </c>
      <c r="BK289" s="40" t="s">
        <v>131</v>
      </c>
      <c r="BL289" s="41" t="n">
        <v>27</v>
      </c>
      <c r="BM289" s="41" t="n">
        <v>56</v>
      </c>
      <c r="BN289" s="41" t="n">
        <v>83</v>
      </c>
      <c r="BO289" s="42" t="n">
        <v>26</v>
      </c>
      <c r="BP289" s="43" t="n">
        <v>53</v>
      </c>
      <c r="BQ289" s="44" t="n">
        <v>79</v>
      </c>
      <c r="BR289" s="42" t="n">
        <v>27</v>
      </c>
      <c r="BS289" s="45" t="n">
        <v>52</v>
      </c>
      <c r="BT289" s="45" t="n">
        <v>79</v>
      </c>
      <c r="BU289" s="77" t="n">
        <v>100</v>
      </c>
      <c r="BV289" s="47" t="n">
        <v>80</v>
      </c>
      <c r="BW289" s="43" t="n">
        <v>99</v>
      </c>
      <c r="BX289" s="48" t="n">
        <v>96</v>
      </c>
      <c r="BY289" s="32" t="n">
        <v>24</v>
      </c>
      <c r="BZ289" s="32" t="n">
        <v>47</v>
      </c>
      <c r="CA289" s="32" t="n">
        <v>71</v>
      </c>
      <c r="CB289" s="32" t="n">
        <v>22</v>
      </c>
      <c r="CC289" s="32" t="n">
        <v>36</v>
      </c>
      <c r="CD289" s="69" t="n">
        <v>58</v>
      </c>
      <c r="CE289" s="32" t="n">
        <v>28</v>
      </c>
      <c r="CF289" s="32" t="n">
        <v>43</v>
      </c>
      <c r="CG289" s="32" t="n">
        <v>71</v>
      </c>
      <c r="CH289" s="32" t="n">
        <v>96</v>
      </c>
      <c r="CI289" s="32" t="n">
        <v>99</v>
      </c>
      <c r="CJ289" s="49" t="n">
        <v>15</v>
      </c>
      <c r="CK289" s="49" t="n">
        <v>47</v>
      </c>
      <c r="CL289" s="49" t="n">
        <v>62</v>
      </c>
      <c r="CM289" s="49" t="n">
        <v>21</v>
      </c>
      <c r="CN289" s="49" t="n">
        <v>52</v>
      </c>
      <c r="CO289" s="49" t="n">
        <v>73</v>
      </c>
      <c r="CP289" s="25" t="n">
        <f aca="false">BX289+BW289+BV289+BU289+BT289+BQ289+BN289</f>
        <v>616</v>
      </c>
      <c r="CQ289" s="25" t="n">
        <f aca="false">CO289+CL289+CI289+CH289+CG289+CD289+CA289</f>
        <v>530</v>
      </c>
      <c r="CR289" s="26" t="n">
        <f aca="false">CP289/7</f>
        <v>88</v>
      </c>
      <c r="CS289" s="26" t="n">
        <f aca="false">CQ289/7</f>
        <v>75.7142857142857</v>
      </c>
      <c r="CT289" s="24" t="n">
        <f aca="false">RANK(CR289,$CR$2:$CR$881,0)</f>
        <v>304</v>
      </c>
      <c r="CU289" s="25" t="n">
        <f aca="false">RANK(CS289,$CS$2:$CS$881,0)</f>
        <v>404</v>
      </c>
      <c r="CV289" s="26" t="n">
        <f aca="false">(CS289+CR289)/2</f>
        <v>81.8571428571429</v>
      </c>
      <c r="CW289" s="25" t="n">
        <f aca="false">RANK(CV289,$CV$2:$CV$881,0)</f>
        <v>352</v>
      </c>
      <c r="CX289" s="50" t="n">
        <f aca="false">(CV289+BB289)/2</f>
        <v>80.4785714285714</v>
      </c>
      <c r="CY289" s="50" t="n">
        <v>346</v>
      </c>
      <c r="CZ289" s="27" t="s">
        <v>132</v>
      </c>
      <c r="DA289" s="27" t="s">
        <v>205</v>
      </c>
      <c r="DB289" s="27" t="s">
        <v>205</v>
      </c>
      <c r="DC289" s="27" t="s">
        <v>134</v>
      </c>
      <c r="DD289" s="27" t="s">
        <v>154</v>
      </c>
      <c r="DE289" s="27" t="s">
        <v>218</v>
      </c>
      <c r="DF289" s="27" t="s">
        <v>219</v>
      </c>
      <c r="DG289" s="27" t="s">
        <v>134</v>
      </c>
      <c r="DH289" s="27" t="s">
        <v>137</v>
      </c>
      <c r="DI289" s="27" t="s">
        <v>161</v>
      </c>
      <c r="DJ289" s="27" t="s">
        <v>178</v>
      </c>
      <c r="DK289" s="27" t="s">
        <v>134</v>
      </c>
      <c r="DL289" s="27" t="s">
        <v>182</v>
      </c>
      <c r="DM289" s="27" t="s">
        <v>204</v>
      </c>
      <c r="DN289" s="27" t="s">
        <v>169</v>
      </c>
      <c r="DO289" s="27" t="s">
        <v>134</v>
      </c>
      <c r="DP289" s="27" t="s">
        <v>1000</v>
      </c>
      <c r="DQ289" s="27" t="s">
        <v>304</v>
      </c>
      <c r="DR289" s="27" t="s">
        <v>143</v>
      </c>
      <c r="DS289" s="27" t="s">
        <v>134</v>
      </c>
      <c r="DT289" s="27" t="s">
        <v>137</v>
      </c>
      <c r="DU289" s="27" t="s">
        <v>304</v>
      </c>
      <c r="DV289" s="27" t="s">
        <v>219</v>
      </c>
      <c r="DW289" s="27" t="s">
        <v>164</v>
      </c>
      <c r="DX289" s="27" t="s">
        <v>155</v>
      </c>
      <c r="DY289" s="27" t="s">
        <v>144</v>
      </c>
      <c r="DZ289" s="27" t="n">
        <f aca="false">DY289+DV289+DR289+DN289+DJ289+DF289+DB289</f>
        <v>577</v>
      </c>
      <c r="EA289" s="28" t="n">
        <f aca="false">DZ289/7</f>
        <v>82.4285714285714</v>
      </c>
      <c r="EB289" s="27" t="n">
        <f aca="false">RANK(EA289,$EA$2:$EA$881,0)</f>
        <v>295</v>
      </c>
      <c r="EC289" s="29" t="n">
        <f aca="false">DZ289+CQ289+CP289+AZ289</f>
        <v>2514</v>
      </c>
      <c r="ED289" s="30" t="n">
        <f aca="false">(EA289+CV289+BB289)/3</f>
        <v>81.1285714285714</v>
      </c>
      <c r="EE289" s="51" t="n">
        <f aca="false">ROUND(BE289,3)</f>
        <v>86.577</v>
      </c>
      <c r="EF289" s="51" t="n">
        <f aca="false">ROUND(CR289,3)</f>
        <v>88</v>
      </c>
      <c r="EG289" s="51" t="n">
        <f aca="false">ROUND(CS289,3)</f>
        <v>75.714</v>
      </c>
      <c r="EH289" s="51" t="n">
        <f aca="false">ROUND(EA289,3)</f>
        <v>82.429</v>
      </c>
      <c r="EI289" s="51" t="n">
        <f aca="false">ROUND(ED289,3)</f>
        <v>81.129</v>
      </c>
      <c r="EJ289" s="51" t="n">
        <f aca="false">ROUND(CV289,3)</f>
        <v>81.857</v>
      </c>
      <c r="EK289" s="0" t="n">
        <f aca="false">RANK(EI289,$EI$2:$EI$881,0)</f>
        <v>288</v>
      </c>
    </row>
    <row r="290" customFormat="false" ht="15" hidden="false" customHeight="false" outlineLevel="0" collapsed="false">
      <c r="A290" s="4" t="n">
        <v>8897</v>
      </c>
      <c r="B290" s="4" t="n">
        <v>197</v>
      </c>
      <c r="C290" s="27" t="s">
        <v>1001</v>
      </c>
      <c r="D290" s="31" t="n">
        <v>199</v>
      </c>
      <c r="E290" s="16" t="n">
        <v>230612626</v>
      </c>
      <c r="F290" s="56" t="s">
        <v>1002</v>
      </c>
      <c r="G290" s="22" t="s">
        <v>186</v>
      </c>
      <c r="H290" s="22" t="s">
        <v>558</v>
      </c>
      <c r="I290" s="57"/>
      <c r="J290" s="16" t="n">
        <v>65</v>
      </c>
      <c r="K290" s="16" t="n">
        <v>86</v>
      </c>
      <c r="L290" s="34" t="n">
        <f aca="false">(K290*70)/100</f>
        <v>60.2</v>
      </c>
      <c r="M290" s="34" t="n">
        <f aca="false">ROUNDUP(L290,0)</f>
        <v>61</v>
      </c>
      <c r="N290" s="16" t="n">
        <v>28</v>
      </c>
      <c r="O290" s="34" t="n">
        <f aca="false">N290+L290</f>
        <v>88.2</v>
      </c>
      <c r="P290" s="34" t="n">
        <f aca="false">N290+M290</f>
        <v>89</v>
      </c>
      <c r="Q290" s="16" t="n">
        <v>93</v>
      </c>
      <c r="R290" s="16" t="n">
        <v>74</v>
      </c>
      <c r="S290" s="34" t="n">
        <f aca="false">(R290*70)/100</f>
        <v>51.8</v>
      </c>
      <c r="T290" s="34" t="n">
        <f aca="false">ROUNDUP(S290,0)</f>
        <v>52</v>
      </c>
      <c r="U290" s="16" t="n">
        <v>23</v>
      </c>
      <c r="V290" s="34" t="n">
        <f aca="false">U290+S290</f>
        <v>74.8</v>
      </c>
      <c r="W290" s="34" t="n">
        <f aca="false">U290+T290</f>
        <v>75</v>
      </c>
      <c r="X290" s="16" t="n">
        <v>62</v>
      </c>
      <c r="Y290" s="34" t="n">
        <f aca="false">(X290*70)/100</f>
        <v>43.4</v>
      </c>
      <c r="Z290" s="34" t="n">
        <f aca="false">ROUNDUP(Y290,0)</f>
        <v>44</v>
      </c>
      <c r="AA290" s="16" t="n">
        <v>23</v>
      </c>
      <c r="AB290" s="34" t="n">
        <f aca="false">AA290+Y290</f>
        <v>66.4</v>
      </c>
      <c r="AC290" s="34" t="n">
        <f aca="false">AA290+Z290</f>
        <v>67</v>
      </c>
      <c r="AD290" s="32" t="n">
        <f aca="false">X290+R290+Q290+K290+J290</f>
        <v>380</v>
      </c>
      <c r="AE290" s="16" t="n">
        <f aca="false">AD290/5</f>
        <v>76</v>
      </c>
      <c r="AF290" s="16" t="n">
        <v>70</v>
      </c>
      <c r="AG290" s="16" t="n">
        <v>74</v>
      </c>
      <c r="AH290" s="16" t="n">
        <v>88</v>
      </c>
      <c r="AI290" s="16" t="n">
        <v>93</v>
      </c>
      <c r="AJ290" s="16" t="n">
        <f aca="false">(AI290*70)/100</f>
        <v>65.1</v>
      </c>
      <c r="AK290" s="35" t="n">
        <f aca="false">ROUNDUP(AJ290,0)</f>
        <v>66</v>
      </c>
      <c r="AL290" s="16" t="n">
        <v>24</v>
      </c>
      <c r="AM290" s="16" t="n">
        <f aca="false">AL290+AJ290</f>
        <v>89.1</v>
      </c>
      <c r="AN290" s="16" t="n">
        <f aca="false">AL290+AK290</f>
        <v>90</v>
      </c>
      <c r="AO290" s="16" t="n">
        <v>71</v>
      </c>
      <c r="AP290" s="36" t="n">
        <f aca="false">(AO290*70)/100</f>
        <v>49.7</v>
      </c>
      <c r="AQ290" s="37" t="n">
        <f aca="false">ROUNDUP(AP290,0)</f>
        <v>50</v>
      </c>
      <c r="AR290" s="16" t="n">
        <v>27</v>
      </c>
      <c r="AS290" s="16" t="n">
        <f aca="false">AR290+AP290</f>
        <v>76.7</v>
      </c>
      <c r="AT290" s="16" t="n">
        <f aca="false">AR290+AQ290</f>
        <v>77</v>
      </c>
      <c r="AU290" s="16" t="n">
        <f aca="false">AO290+AF290+AI290+AH290+AG290</f>
        <v>396</v>
      </c>
      <c r="AV290" s="16" t="n">
        <f aca="false">(AO290+AF290+AI290+AH290+AG290)/5</f>
        <v>79.2</v>
      </c>
      <c r="AW290" s="36" t="n">
        <f aca="false">(AO290+AF290+AI290+AH290+AG290+X290+R290+Q290+K290+J290)</f>
        <v>776</v>
      </c>
      <c r="AX290" s="16" t="n">
        <f aca="false">AW290/10</f>
        <v>77.6</v>
      </c>
      <c r="AY290" s="16" t="n">
        <f aca="false">AS290+AF290+AM290+AH290+AG290+AB290+V290+Q290+O290+J290</f>
        <v>785.2</v>
      </c>
      <c r="AZ290" s="16" t="n">
        <f aca="false">AT290+AF290+AN290+AH290+AG290+AC290+W290+Q290+P290+J290</f>
        <v>788</v>
      </c>
      <c r="BA290" s="16" t="n">
        <f aca="false">AY290/10</f>
        <v>78.52</v>
      </c>
      <c r="BB290" s="16" t="n">
        <f aca="false">AZ290/10</f>
        <v>78.8</v>
      </c>
      <c r="BC290" s="16" t="n">
        <v>2385</v>
      </c>
      <c r="BD290" s="16" t="n">
        <f aca="false">RANK(AX290,$AX$2:$AX$881,0)</f>
        <v>444</v>
      </c>
      <c r="BE290" s="54" t="n">
        <f aca="false">((BC290*100)/2400)*0.4+(AX290*0.6)</f>
        <v>86.31</v>
      </c>
      <c r="BF290" s="16" t="n">
        <f aca="false">RANK(BE290,$BE$2:$BE$881,0)</f>
        <v>379</v>
      </c>
      <c r="BG290" s="39" t="n">
        <f aca="false">RANK(BB290,$BB$2:$BB$881,0)</f>
        <v>472</v>
      </c>
      <c r="BH290" s="39" t="n">
        <f aca="false">RANK(BC290,$BC$2:$BC$881,0)</f>
        <v>93</v>
      </c>
      <c r="BI290" s="22" t="s">
        <v>130</v>
      </c>
      <c r="BJ290" s="22" t="s">
        <v>129</v>
      </c>
      <c r="BK290" s="40" t="s">
        <v>131</v>
      </c>
      <c r="BL290" s="41" t="n">
        <v>23</v>
      </c>
      <c r="BM290" s="41" t="n">
        <v>59</v>
      </c>
      <c r="BN290" s="41" t="n">
        <v>82</v>
      </c>
      <c r="BO290" s="42" t="n">
        <v>18</v>
      </c>
      <c r="BP290" s="43" t="n">
        <v>53</v>
      </c>
      <c r="BQ290" s="44" t="n">
        <v>71</v>
      </c>
      <c r="BR290" s="42" t="n">
        <v>22</v>
      </c>
      <c r="BS290" s="45" t="n">
        <v>52</v>
      </c>
      <c r="BT290" s="45" t="n">
        <v>74</v>
      </c>
      <c r="BU290" s="46" t="n">
        <v>99</v>
      </c>
      <c r="BV290" s="47" t="n">
        <v>68</v>
      </c>
      <c r="BW290" s="42" t="n">
        <v>99</v>
      </c>
      <c r="BX290" s="62" t="n">
        <v>98</v>
      </c>
      <c r="BY290" s="62" t="n">
        <v>26</v>
      </c>
      <c r="BZ290" s="62" t="n">
        <v>54</v>
      </c>
      <c r="CA290" s="62" t="n">
        <v>80</v>
      </c>
      <c r="CB290" s="62" t="n">
        <v>25</v>
      </c>
      <c r="CC290" s="62" t="n">
        <v>28</v>
      </c>
      <c r="CD290" s="89" t="n">
        <v>53</v>
      </c>
      <c r="CE290" s="62" t="n">
        <v>23</v>
      </c>
      <c r="CF290" s="62" t="n">
        <v>47</v>
      </c>
      <c r="CG290" s="62" t="n">
        <v>70</v>
      </c>
      <c r="CH290" s="62" t="n">
        <v>93</v>
      </c>
      <c r="CI290" s="62" t="n">
        <v>96</v>
      </c>
      <c r="CJ290" s="75" t="n">
        <v>24</v>
      </c>
      <c r="CK290" s="75" t="n">
        <v>49</v>
      </c>
      <c r="CL290" s="75" t="n">
        <v>73</v>
      </c>
      <c r="CM290" s="49" t="n">
        <v>21</v>
      </c>
      <c r="CN290" s="49" t="n">
        <v>39</v>
      </c>
      <c r="CO290" s="49" t="n">
        <v>60</v>
      </c>
      <c r="CP290" s="25" t="n">
        <f aca="false">BX290+BW290+BV290+BU290+BT290+BQ290+BN290</f>
        <v>591</v>
      </c>
      <c r="CQ290" s="25" t="n">
        <f aca="false">CO290+CL290+CI290+CH290+CG290+CD290+CA290</f>
        <v>525</v>
      </c>
      <c r="CR290" s="26" t="n">
        <f aca="false">CP290/7</f>
        <v>84.4285714285714</v>
      </c>
      <c r="CS290" s="26" t="n">
        <f aca="false">CQ290/7</f>
        <v>75</v>
      </c>
      <c r="CT290" s="24" t="n">
        <f aca="false">RANK(CR290,$CR$2:$CR$881,0)</f>
        <v>459</v>
      </c>
      <c r="CU290" s="25" t="n">
        <f aca="false">RANK(CS290,$CS$2:$CS$881,0)</f>
        <v>431</v>
      </c>
      <c r="CV290" s="26" t="n">
        <f aca="false">(CS290+CR290)/2</f>
        <v>79.7142857142857</v>
      </c>
      <c r="CW290" s="25" t="n">
        <f aca="false">RANK(CV290,$CV$2:$CV$881,0)</f>
        <v>440</v>
      </c>
      <c r="CX290" s="50" t="n">
        <f aca="false">(CV290+BB290)/2</f>
        <v>79.2571428571429</v>
      </c>
      <c r="CY290" s="50" t="n">
        <v>411</v>
      </c>
      <c r="CZ290" s="27" t="s">
        <v>132</v>
      </c>
      <c r="DA290" s="27" t="s">
        <v>175</v>
      </c>
      <c r="DB290" s="27" t="s">
        <v>175</v>
      </c>
      <c r="DC290" s="27" t="s">
        <v>134</v>
      </c>
      <c r="DD290" s="27" t="s">
        <v>182</v>
      </c>
      <c r="DE290" s="27" t="s">
        <v>306</v>
      </c>
      <c r="DF290" s="27" t="s">
        <v>272</v>
      </c>
      <c r="DG290" s="27" t="s">
        <v>134</v>
      </c>
      <c r="DH290" s="27" t="s">
        <v>164</v>
      </c>
      <c r="DI290" s="27" t="s">
        <v>204</v>
      </c>
      <c r="DJ290" s="27" t="s">
        <v>202</v>
      </c>
      <c r="DK290" s="27" t="s">
        <v>134</v>
      </c>
      <c r="DL290" s="27" t="s">
        <v>154</v>
      </c>
      <c r="DM290" s="27" t="s">
        <v>304</v>
      </c>
      <c r="DN290" s="27" t="s">
        <v>382</v>
      </c>
      <c r="DO290" s="27" t="s">
        <v>134</v>
      </c>
      <c r="DP290" s="27" t="s">
        <v>174</v>
      </c>
      <c r="DQ290" s="27" t="s">
        <v>136</v>
      </c>
      <c r="DR290" s="27" t="s">
        <v>175</v>
      </c>
      <c r="DS290" s="27" t="s">
        <v>134</v>
      </c>
      <c r="DT290" s="27" t="s">
        <v>137</v>
      </c>
      <c r="DU290" s="27" t="s">
        <v>177</v>
      </c>
      <c r="DV290" s="27" t="s">
        <v>202</v>
      </c>
      <c r="DW290" s="27" t="s">
        <v>137</v>
      </c>
      <c r="DX290" s="27" t="s">
        <v>155</v>
      </c>
      <c r="DY290" s="27" t="s">
        <v>142</v>
      </c>
      <c r="DZ290" s="27" t="n">
        <f aca="false">DY290+DV290+DR290+DN290+DJ290+DF290+DB290</f>
        <v>594</v>
      </c>
      <c r="EA290" s="28" t="n">
        <f aca="false">DZ290/7</f>
        <v>84.8571428571429</v>
      </c>
      <c r="EB290" s="27" t="n">
        <f aca="false">RANK(EA290,$EA$2:$EA$881,0)</f>
        <v>188</v>
      </c>
      <c r="EC290" s="29" t="n">
        <f aca="false">DZ290+CQ290+CP290+AZ290</f>
        <v>2498</v>
      </c>
      <c r="ED290" s="30" t="n">
        <f aca="false">(EA290+CV290+BB290)/3</f>
        <v>81.1238095238095</v>
      </c>
      <c r="EE290" s="51" t="n">
        <f aca="false">ROUND(BE290,3)</f>
        <v>86.31</v>
      </c>
      <c r="EF290" s="51" t="n">
        <f aca="false">ROUND(CR290,3)</f>
        <v>84.429</v>
      </c>
      <c r="EG290" s="51" t="n">
        <f aca="false">ROUND(CS290,3)</f>
        <v>75</v>
      </c>
      <c r="EH290" s="51" t="n">
        <f aca="false">ROUND(EA290,3)</f>
        <v>84.857</v>
      </c>
      <c r="EI290" s="51" t="n">
        <f aca="false">ROUND(ED290,3)</f>
        <v>81.124</v>
      </c>
      <c r="EJ290" s="51" t="n">
        <f aca="false">ROUND(CV290,3)</f>
        <v>79.714</v>
      </c>
      <c r="EK290" s="0" t="n">
        <f aca="false">RANK(EI290,$EI$2:$EI$881,0)</f>
        <v>289</v>
      </c>
    </row>
    <row r="291" customFormat="false" ht="15" hidden="false" customHeight="false" outlineLevel="0" collapsed="false">
      <c r="A291" s="4" t="n">
        <v>8998</v>
      </c>
      <c r="B291" s="4" t="n">
        <v>288</v>
      </c>
      <c r="C291" s="27" t="s">
        <v>1003</v>
      </c>
      <c r="D291" s="31" t="n">
        <v>286</v>
      </c>
      <c r="E291" s="16" t="n">
        <v>230620902</v>
      </c>
      <c r="F291" s="56" t="s">
        <v>1004</v>
      </c>
      <c r="G291" s="22" t="s">
        <v>368</v>
      </c>
      <c r="H291" s="22" t="s">
        <v>558</v>
      </c>
      <c r="I291" s="57"/>
      <c r="J291" s="16" t="n">
        <v>77</v>
      </c>
      <c r="K291" s="16" t="n">
        <v>86</v>
      </c>
      <c r="L291" s="34" t="n">
        <f aca="false">(K291*70)/100</f>
        <v>60.2</v>
      </c>
      <c r="M291" s="34" t="n">
        <f aca="false">ROUNDUP(L291,0)</f>
        <v>61</v>
      </c>
      <c r="N291" s="16" t="n">
        <v>25</v>
      </c>
      <c r="O291" s="34" t="n">
        <f aca="false">N291+L291</f>
        <v>85.2</v>
      </c>
      <c r="P291" s="34" t="n">
        <f aca="false">N291+M291</f>
        <v>86</v>
      </c>
      <c r="Q291" s="16" t="n">
        <v>74</v>
      </c>
      <c r="R291" s="16" t="n">
        <v>64</v>
      </c>
      <c r="S291" s="34" t="n">
        <f aca="false">(R291*70)/100</f>
        <v>44.8</v>
      </c>
      <c r="T291" s="34" t="n">
        <f aca="false">ROUNDUP(S291,0)</f>
        <v>45</v>
      </c>
      <c r="U291" s="16" t="n">
        <v>29</v>
      </c>
      <c r="V291" s="34" t="n">
        <f aca="false">U291+S291</f>
        <v>73.8</v>
      </c>
      <c r="W291" s="34" t="n">
        <f aca="false">U291+T291</f>
        <v>74</v>
      </c>
      <c r="X291" s="16" t="n">
        <v>63</v>
      </c>
      <c r="Y291" s="34" t="n">
        <f aca="false">(X291*70)/100</f>
        <v>44.1</v>
      </c>
      <c r="Z291" s="34" t="n">
        <f aca="false">ROUNDUP(Y291,0)</f>
        <v>45</v>
      </c>
      <c r="AA291" s="16" t="n">
        <v>25</v>
      </c>
      <c r="AB291" s="34" t="n">
        <f aca="false">AA291+Y291</f>
        <v>69.1</v>
      </c>
      <c r="AC291" s="34" t="n">
        <f aca="false">AA291+Z291</f>
        <v>70</v>
      </c>
      <c r="AD291" s="32" t="n">
        <f aca="false">X291+R291+Q291+K291+J291</f>
        <v>364</v>
      </c>
      <c r="AE291" s="16" t="n">
        <f aca="false">AD291/5</f>
        <v>72.8</v>
      </c>
      <c r="AF291" s="16" t="n">
        <v>80</v>
      </c>
      <c r="AG291" s="16" t="n">
        <v>84</v>
      </c>
      <c r="AH291" s="16" t="n">
        <v>87</v>
      </c>
      <c r="AI291" s="16" t="n">
        <v>91</v>
      </c>
      <c r="AJ291" s="16" t="n">
        <f aca="false">(AI291*70)/100</f>
        <v>63.7</v>
      </c>
      <c r="AK291" s="35" t="n">
        <f aca="false">ROUNDUP(AJ291,0)</f>
        <v>64</v>
      </c>
      <c r="AL291" s="16" t="n">
        <v>26</v>
      </c>
      <c r="AM291" s="16" t="n">
        <f aca="false">AL291+AJ291</f>
        <v>89.7</v>
      </c>
      <c r="AN291" s="16" t="n">
        <f aca="false">AL291+AK291</f>
        <v>90</v>
      </c>
      <c r="AO291" s="16" t="n">
        <v>79</v>
      </c>
      <c r="AP291" s="36" t="n">
        <f aca="false">(AO291*70)/100</f>
        <v>55.3</v>
      </c>
      <c r="AQ291" s="37" t="n">
        <f aca="false">ROUNDUP(AP291,0)</f>
        <v>56</v>
      </c>
      <c r="AR291" s="16" t="n">
        <v>30</v>
      </c>
      <c r="AS291" s="16" t="n">
        <f aca="false">AR291+AP291</f>
        <v>85.3</v>
      </c>
      <c r="AT291" s="16" t="n">
        <f aca="false">AR291+AQ291</f>
        <v>86</v>
      </c>
      <c r="AU291" s="16" t="n">
        <f aca="false">AO291+AF291+AI291+AH291+AG291</f>
        <v>421</v>
      </c>
      <c r="AV291" s="16" t="n">
        <f aca="false">(AO291+AF291+AI291+AH291+AG291)/5</f>
        <v>84.2</v>
      </c>
      <c r="AW291" s="36" t="n">
        <f aca="false">(AO291+AF291+AI291+AH291+AG291+X291+R291+Q291+K291+J291)</f>
        <v>785</v>
      </c>
      <c r="AX291" s="16" t="n">
        <f aca="false">AW291/10</f>
        <v>78.5</v>
      </c>
      <c r="AY291" s="16" t="n">
        <f aca="false">AS291+AF291+AM291+AH291+AG291+AB291+V291+Q291+O291+J291</f>
        <v>805.1</v>
      </c>
      <c r="AZ291" s="16" t="n">
        <f aca="false">AT291+AF291+AN291+AH291+AG291+AC291+W291+Q291+P291+J291</f>
        <v>808</v>
      </c>
      <c r="BA291" s="16" t="n">
        <f aca="false">AY291/10</f>
        <v>80.51</v>
      </c>
      <c r="BB291" s="16" t="n">
        <f aca="false">AZ291/10</f>
        <v>80.8</v>
      </c>
      <c r="BC291" s="16" t="n">
        <v>2347</v>
      </c>
      <c r="BD291" s="16" t="n">
        <f aca="false">RANK(AX291,$AX$2:$AX$881,0)</f>
        <v>375</v>
      </c>
      <c r="BE291" s="54" t="n">
        <f aca="false">((BC291*100)/2400)*0.4+(AX291*0.6)</f>
        <v>86.2166666666667</v>
      </c>
      <c r="BF291" s="16" t="n">
        <f aca="false">RANK(BE291,$BE$2:$BE$881,0)</f>
        <v>398</v>
      </c>
      <c r="BG291" s="39" t="n">
        <f aca="false">RANK(BB291,$BB$2:$BB$881,0)</f>
        <v>290</v>
      </c>
      <c r="BH291" s="39" t="n">
        <f aca="false">RANK(BC291,$BC$2:$BC$881,0)</f>
        <v>562</v>
      </c>
      <c r="BI291" s="22" t="s">
        <v>130</v>
      </c>
      <c r="BJ291" s="22" t="s">
        <v>129</v>
      </c>
      <c r="BK291" s="40" t="s">
        <v>131</v>
      </c>
      <c r="BL291" s="41" t="n">
        <v>24</v>
      </c>
      <c r="BM291" s="41" t="n">
        <v>62</v>
      </c>
      <c r="BN291" s="41" t="n">
        <v>86</v>
      </c>
      <c r="BO291" s="42" t="n">
        <v>26</v>
      </c>
      <c r="BP291" s="43" t="n">
        <v>65</v>
      </c>
      <c r="BQ291" s="44" t="n">
        <v>91</v>
      </c>
      <c r="BR291" s="42" t="n">
        <v>28</v>
      </c>
      <c r="BS291" s="45" t="n">
        <v>60</v>
      </c>
      <c r="BT291" s="45" t="n">
        <v>88</v>
      </c>
      <c r="BU291" s="46" t="n">
        <v>100</v>
      </c>
      <c r="BV291" s="47" t="n">
        <v>86</v>
      </c>
      <c r="BW291" s="42" t="n">
        <v>100</v>
      </c>
      <c r="BX291" s="88" t="n">
        <v>90</v>
      </c>
      <c r="BY291" s="65" t="n">
        <v>30</v>
      </c>
      <c r="BZ291" s="58" t="n">
        <v>43</v>
      </c>
      <c r="CA291" s="58" t="n">
        <v>73</v>
      </c>
      <c r="CB291" s="59" t="n">
        <v>20</v>
      </c>
      <c r="CC291" s="58" t="n">
        <v>61</v>
      </c>
      <c r="CD291" s="58" t="n">
        <v>81</v>
      </c>
      <c r="CE291" s="58" t="n">
        <v>21</v>
      </c>
      <c r="CF291" s="58" t="n">
        <v>37</v>
      </c>
      <c r="CG291" s="90" t="n">
        <v>58</v>
      </c>
      <c r="CH291" s="58" t="n">
        <v>88</v>
      </c>
      <c r="CI291" s="58" t="n">
        <v>70</v>
      </c>
      <c r="CJ291" s="58" t="n">
        <v>24</v>
      </c>
      <c r="CK291" s="58" t="n">
        <v>61</v>
      </c>
      <c r="CL291" s="59" t="n">
        <v>85</v>
      </c>
      <c r="CM291" s="60"/>
      <c r="CN291" s="60"/>
      <c r="CO291" s="60"/>
      <c r="CP291" s="25" t="n">
        <f aca="false">BX291+BW291+BV291+BU291+BT291+BQ291+BN291</f>
        <v>641</v>
      </c>
      <c r="CQ291" s="25" t="n">
        <f aca="false">CO291+CL291+CI291+CH291+CG291+CD291+CA291</f>
        <v>455</v>
      </c>
      <c r="CR291" s="26" t="n">
        <f aca="false">CP291/7</f>
        <v>91.5714285714286</v>
      </c>
      <c r="CS291" s="26" t="n">
        <f aca="false">CQ291/7</f>
        <v>65</v>
      </c>
      <c r="CT291" s="24" t="n">
        <f aca="false">RANK(CR291,$CR$2:$CR$881,0)</f>
        <v>100</v>
      </c>
      <c r="CU291" s="25" t="n">
        <f aca="false">RANK(CS291,$CS$2:$CS$881,0)</f>
        <v>625</v>
      </c>
      <c r="CV291" s="26" t="n">
        <f aca="false">(CS291+CR291)/2</f>
        <v>78.2857142857143</v>
      </c>
      <c r="CW291" s="25" t="n">
        <f aca="false">RANK(CV291,$CV$2:$CV$881,0)</f>
        <v>484</v>
      </c>
      <c r="CX291" s="50" t="n">
        <f aca="false">(CV291+BB291)/2</f>
        <v>79.5428571428571</v>
      </c>
      <c r="CY291" s="50" t="n">
        <v>643</v>
      </c>
      <c r="CZ291" s="27" t="s">
        <v>132</v>
      </c>
      <c r="DA291" s="27" t="s">
        <v>205</v>
      </c>
      <c r="DB291" s="27" t="s">
        <v>205</v>
      </c>
      <c r="DC291" s="27" t="s">
        <v>134</v>
      </c>
      <c r="DD291" s="27" t="s">
        <v>154</v>
      </c>
      <c r="DE291" s="27" t="s">
        <v>136</v>
      </c>
      <c r="DF291" s="27" t="s">
        <v>202</v>
      </c>
      <c r="DG291" s="27" t="s">
        <v>134</v>
      </c>
      <c r="DH291" s="27" t="s">
        <v>135</v>
      </c>
      <c r="DI291" s="27" t="s">
        <v>183</v>
      </c>
      <c r="DJ291" s="27" t="s">
        <v>169</v>
      </c>
      <c r="DK291" s="27" t="s">
        <v>134</v>
      </c>
      <c r="DL291" s="27" t="s">
        <v>137</v>
      </c>
      <c r="DM291" s="27" t="s">
        <v>183</v>
      </c>
      <c r="DN291" s="27" t="s">
        <v>209</v>
      </c>
      <c r="DO291" s="27" t="s">
        <v>134</v>
      </c>
      <c r="DP291" s="27" t="s">
        <v>191</v>
      </c>
      <c r="DQ291" s="27" t="s">
        <v>447</v>
      </c>
      <c r="DR291" s="27" t="s">
        <v>486</v>
      </c>
      <c r="DS291" s="27" t="s">
        <v>134</v>
      </c>
      <c r="DT291" s="27" t="s">
        <v>164</v>
      </c>
      <c r="DU291" s="27" t="s">
        <v>183</v>
      </c>
      <c r="DV291" s="27" t="s">
        <v>175</v>
      </c>
      <c r="DW291" s="27" t="s">
        <v>160</v>
      </c>
      <c r="DX291" s="27" t="s">
        <v>138</v>
      </c>
      <c r="DY291" s="27" t="s">
        <v>144</v>
      </c>
      <c r="DZ291" s="27" t="n">
        <f aca="false">DY291+DV291+DR291+DN291+DJ291+DF291+DB291</f>
        <v>590</v>
      </c>
      <c r="EA291" s="28" t="n">
        <f aca="false">DZ291/7</f>
        <v>84.2857142857143</v>
      </c>
      <c r="EB291" s="27" t="n">
        <f aca="false">RANK(EA291,$EA$2:$EA$881,0)</f>
        <v>210</v>
      </c>
      <c r="EC291" s="29" t="n">
        <f aca="false">DZ291+CQ291+CP291+AZ291</f>
        <v>2494</v>
      </c>
      <c r="ED291" s="30" t="n">
        <f aca="false">(EA291+CV291+BB291)/3</f>
        <v>81.1238095238095</v>
      </c>
      <c r="EE291" s="51" t="n">
        <f aca="false">ROUND(BE291,3)</f>
        <v>86.217</v>
      </c>
      <c r="EF291" s="51" t="n">
        <f aca="false">ROUND(CR291,3)</f>
        <v>91.571</v>
      </c>
      <c r="EG291" s="51" t="n">
        <f aca="false">ROUND(CS291,3)</f>
        <v>65</v>
      </c>
      <c r="EH291" s="51" t="n">
        <f aca="false">ROUND(EA291,3)</f>
        <v>84.286</v>
      </c>
      <c r="EI291" s="51" t="n">
        <f aca="false">ROUND(ED291,3)</f>
        <v>81.124</v>
      </c>
      <c r="EJ291" s="51" t="n">
        <f aca="false">ROUND(CV291,3)</f>
        <v>78.286</v>
      </c>
      <c r="EK291" s="0" t="n">
        <f aca="false">RANK(EI291,$EI$2:$EI$881,0)</f>
        <v>289</v>
      </c>
    </row>
    <row r="292" customFormat="false" ht="15" hidden="false" customHeight="false" outlineLevel="0" collapsed="false">
      <c r="A292" s="4" t="n">
        <v>8941</v>
      </c>
      <c r="B292" s="4" t="n">
        <v>165</v>
      </c>
      <c r="C292" s="27" t="s">
        <v>1005</v>
      </c>
      <c r="D292" s="31" t="n">
        <v>165</v>
      </c>
      <c r="E292" s="32" t="n">
        <v>230312553</v>
      </c>
      <c r="F292" s="8" t="s">
        <v>1006</v>
      </c>
      <c r="G292" s="22" t="s">
        <v>243</v>
      </c>
      <c r="H292" s="22" t="s">
        <v>129</v>
      </c>
      <c r="I292" s="33" t="n">
        <v>2006</v>
      </c>
      <c r="J292" s="32" t="n">
        <v>80</v>
      </c>
      <c r="K292" s="32" t="n">
        <v>90</v>
      </c>
      <c r="L292" s="34" t="n">
        <f aca="false">(K292*70)/100</f>
        <v>63</v>
      </c>
      <c r="M292" s="34" t="n">
        <f aca="false">ROUNDUP(L292,0)</f>
        <v>63</v>
      </c>
      <c r="N292" s="32" t="n">
        <v>21</v>
      </c>
      <c r="O292" s="34" t="n">
        <f aca="false">N292+L292</f>
        <v>84</v>
      </c>
      <c r="P292" s="34" t="n">
        <f aca="false">N292+M292</f>
        <v>84</v>
      </c>
      <c r="Q292" s="32" t="n">
        <v>89</v>
      </c>
      <c r="R292" s="32" t="n">
        <v>73</v>
      </c>
      <c r="S292" s="34" t="n">
        <f aca="false">(R292*70)/100</f>
        <v>51.1</v>
      </c>
      <c r="T292" s="34" t="n">
        <f aca="false">ROUNDUP(S292,0)</f>
        <v>52</v>
      </c>
      <c r="U292" s="32" t="n">
        <v>22</v>
      </c>
      <c r="V292" s="34" t="n">
        <f aca="false">U292+S292</f>
        <v>73.1</v>
      </c>
      <c r="W292" s="34" t="n">
        <f aca="false">U292+T292</f>
        <v>74</v>
      </c>
      <c r="X292" s="32" t="n">
        <v>81</v>
      </c>
      <c r="Y292" s="34" t="n">
        <f aca="false">(X292*70)/100</f>
        <v>56.7</v>
      </c>
      <c r="Z292" s="34" t="n">
        <f aca="false">ROUNDUP(Y292,0)</f>
        <v>57</v>
      </c>
      <c r="AA292" s="32" t="n">
        <v>25</v>
      </c>
      <c r="AB292" s="34" t="n">
        <f aca="false">AA292+Y292</f>
        <v>81.7</v>
      </c>
      <c r="AC292" s="34" t="n">
        <f aca="false">AA292+Z292</f>
        <v>82</v>
      </c>
      <c r="AD292" s="32" t="n">
        <f aca="false">X292+R292+Q292+K292+J292</f>
        <v>413</v>
      </c>
      <c r="AE292" s="16" t="n">
        <f aca="false">AD292/5</f>
        <v>82.6</v>
      </c>
      <c r="AF292" s="16" t="n">
        <v>68</v>
      </c>
      <c r="AG292" s="16" t="n">
        <v>79</v>
      </c>
      <c r="AH292" s="16" t="n">
        <v>91</v>
      </c>
      <c r="AI292" s="16" t="n">
        <v>78</v>
      </c>
      <c r="AJ292" s="16" t="n">
        <f aca="false">(AI292*70)/100</f>
        <v>54.6</v>
      </c>
      <c r="AK292" s="35" t="n">
        <f aca="false">ROUNDUP(AJ292,0)</f>
        <v>55</v>
      </c>
      <c r="AL292" s="16" t="n">
        <v>24</v>
      </c>
      <c r="AM292" s="16" t="n">
        <f aca="false">AL292+AJ292</f>
        <v>78.6</v>
      </c>
      <c r="AN292" s="16" t="n">
        <f aca="false">AL292+AK292</f>
        <v>79</v>
      </c>
      <c r="AO292" s="16" t="n">
        <v>70</v>
      </c>
      <c r="AP292" s="36" t="n">
        <f aca="false">(AO292*70)/100</f>
        <v>49</v>
      </c>
      <c r="AQ292" s="37" t="n">
        <f aca="false">ROUNDUP(AP292,0)</f>
        <v>49</v>
      </c>
      <c r="AR292" s="16" t="n">
        <v>24</v>
      </c>
      <c r="AS292" s="16" t="n">
        <f aca="false">AR292+AP292</f>
        <v>73</v>
      </c>
      <c r="AT292" s="16" t="n">
        <f aca="false">AR292+AQ292</f>
        <v>73</v>
      </c>
      <c r="AU292" s="16" t="n">
        <f aca="false">AO292+AF292+AI292+AH292+AG292</f>
        <v>386</v>
      </c>
      <c r="AV292" s="16" t="n">
        <f aca="false">(AO292+AF292+AI292+AH292+AG292)/5</f>
        <v>77.2</v>
      </c>
      <c r="AW292" s="36" t="n">
        <f aca="false">(AO292+AF292+AI292+AH292+AG292+X292+R292+Q292+K292+J292)</f>
        <v>799</v>
      </c>
      <c r="AX292" s="16" t="n">
        <f aca="false">AW292/10</f>
        <v>79.9</v>
      </c>
      <c r="AY292" s="16" t="n">
        <f aca="false">AS292+AF292+AM292+AH292+AG292+AB292+V292+Q292+O292+J292</f>
        <v>797.4</v>
      </c>
      <c r="AZ292" s="16" t="n">
        <f aca="false">AT292+AF292+AN292+AH292+AG292+AC292+W292+Q292+P292+J292</f>
        <v>799</v>
      </c>
      <c r="BA292" s="16" t="n">
        <f aca="false">AY292/10</f>
        <v>79.74</v>
      </c>
      <c r="BB292" s="16" t="n">
        <f aca="false">AZ292/10</f>
        <v>79.9</v>
      </c>
      <c r="BC292" s="16" t="n">
        <v>2377</v>
      </c>
      <c r="BD292" s="16" t="n">
        <f aca="false">RANK(AX292,$AX$2:$AX$881,0)</f>
        <v>272</v>
      </c>
      <c r="BE292" s="54" t="n">
        <f aca="false">((BC292*100)/2400)*0.4+(AX292*0.6)</f>
        <v>87.5566666666667</v>
      </c>
      <c r="BF292" s="16" t="n">
        <f aca="false">RANK(BE292,$BE$2:$BE$881,0)</f>
        <v>242</v>
      </c>
      <c r="BG292" s="39" t="n">
        <f aca="false">RANK(BB292,$BB$2:$BB$881,0)</f>
        <v>356</v>
      </c>
      <c r="BH292" s="39" t="n">
        <f aca="false">RANK(BC292,$BC$2:$BC$881,0)</f>
        <v>189</v>
      </c>
      <c r="BI292" s="22" t="s">
        <v>130</v>
      </c>
      <c r="BJ292" s="22" t="s">
        <v>129</v>
      </c>
      <c r="BK292" s="40" t="s">
        <v>131</v>
      </c>
      <c r="BL292" s="41" t="n">
        <v>18</v>
      </c>
      <c r="BM292" s="41" t="n">
        <v>60</v>
      </c>
      <c r="BN292" s="41" t="n">
        <v>78</v>
      </c>
      <c r="BO292" s="42" t="n">
        <v>22</v>
      </c>
      <c r="BP292" s="43" t="n">
        <v>56</v>
      </c>
      <c r="BQ292" s="44" t="n">
        <v>78</v>
      </c>
      <c r="BR292" s="42" t="n">
        <v>24</v>
      </c>
      <c r="BS292" s="45" t="n">
        <v>57</v>
      </c>
      <c r="BT292" s="45" t="n">
        <v>81</v>
      </c>
      <c r="BU292" s="46" t="n">
        <v>99</v>
      </c>
      <c r="BV292" s="47" t="n">
        <v>80</v>
      </c>
      <c r="BW292" s="42" t="n">
        <v>96</v>
      </c>
      <c r="BX292" s="48" t="n">
        <v>94</v>
      </c>
      <c r="BY292" s="32" t="n">
        <v>26</v>
      </c>
      <c r="BZ292" s="32" t="n">
        <v>49</v>
      </c>
      <c r="CA292" s="32" t="n">
        <v>75</v>
      </c>
      <c r="CB292" s="32" t="n">
        <v>25</v>
      </c>
      <c r="CC292" s="32" t="n">
        <v>35</v>
      </c>
      <c r="CD292" s="32" t="n">
        <v>60</v>
      </c>
      <c r="CE292" s="32" t="n">
        <v>26</v>
      </c>
      <c r="CF292" s="32" t="n">
        <v>60</v>
      </c>
      <c r="CG292" s="32" t="n">
        <v>86</v>
      </c>
      <c r="CH292" s="32" t="n">
        <v>95</v>
      </c>
      <c r="CI292" s="32" t="n">
        <v>93</v>
      </c>
      <c r="CJ292" s="49" t="n">
        <v>15</v>
      </c>
      <c r="CK292" s="49" t="n">
        <v>50</v>
      </c>
      <c r="CL292" s="49" t="n">
        <v>65</v>
      </c>
      <c r="CM292" s="49" t="n">
        <v>25</v>
      </c>
      <c r="CN292" s="49" t="n">
        <v>53</v>
      </c>
      <c r="CO292" s="49" t="n">
        <v>78</v>
      </c>
      <c r="CP292" s="25" t="n">
        <f aca="false">BX292+BW292+BV292+BU292+BT292+BQ292+BN292</f>
        <v>606</v>
      </c>
      <c r="CQ292" s="25" t="n">
        <f aca="false">CO292+CL292+CI292+CH292+CG292+CD292+CA292</f>
        <v>552</v>
      </c>
      <c r="CR292" s="26" t="n">
        <f aca="false">CP292/7</f>
        <v>86.5714285714286</v>
      </c>
      <c r="CS292" s="26" t="n">
        <f aca="false">CQ292/7</f>
        <v>78.8571428571429</v>
      </c>
      <c r="CT292" s="24" t="n">
        <f aca="false">RANK(CR292,$CR$2:$CR$881,0)</f>
        <v>372</v>
      </c>
      <c r="CU292" s="25" t="n">
        <f aca="false">RANK(CS292,$CS$2:$CS$881,0)</f>
        <v>305</v>
      </c>
      <c r="CV292" s="26" t="n">
        <f aca="false">(CS292+CR292)/2</f>
        <v>82.7142857142857</v>
      </c>
      <c r="CW292" s="25" t="n">
        <f aca="false">RANK(CV292,$CV$2:$CV$881,0)</f>
        <v>309</v>
      </c>
      <c r="CX292" s="50" t="n">
        <f aca="false">(CV292+BB292)/2</f>
        <v>81.3071428571429</v>
      </c>
      <c r="CY292" s="50" t="n">
        <v>306</v>
      </c>
      <c r="CZ292" s="27" t="s">
        <v>132</v>
      </c>
      <c r="DA292" s="27" t="s">
        <v>202</v>
      </c>
      <c r="DB292" s="27" t="s">
        <v>202</v>
      </c>
      <c r="DC292" s="27" t="s">
        <v>134</v>
      </c>
      <c r="DD292" s="27" t="s">
        <v>174</v>
      </c>
      <c r="DE292" s="27" t="s">
        <v>218</v>
      </c>
      <c r="DF292" s="27" t="s">
        <v>272</v>
      </c>
      <c r="DG292" s="27" t="s">
        <v>134</v>
      </c>
      <c r="DH292" s="27" t="s">
        <v>195</v>
      </c>
      <c r="DI292" s="27" t="s">
        <v>136</v>
      </c>
      <c r="DJ292" s="27" t="s">
        <v>209</v>
      </c>
      <c r="DK292" s="27" t="s">
        <v>134</v>
      </c>
      <c r="DL292" s="27" t="s">
        <v>164</v>
      </c>
      <c r="DM292" s="27" t="s">
        <v>218</v>
      </c>
      <c r="DN292" s="27" t="s">
        <v>209</v>
      </c>
      <c r="DO292" s="27" t="s">
        <v>134</v>
      </c>
      <c r="DP292" s="27" t="s">
        <v>195</v>
      </c>
      <c r="DQ292" s="27" t="s">
        <v>177</v>
      </c>
      <c r="DR292" s="27" t="s">
        <v>196</v>
      </c>
      <c r="DS292" s="27" t="s">
        <v>134</v>
      </c>
      <c r="DT292" s="27" t="s">
        <v>191</v>
      </c>
      <c r="DU292" s="27" t="s">
        <v>673</v>
      </c>
      <c r="DV292" s="27" t="s">
        <v>161</v>
      </c>
      <c r="DW292" s="27" t="s">
        <v>154</v>
      </c>
      <c r="DX292" s="27" t="s">
        <v>141</v>
      </c>
      <c r="DY292" s="27" t="s">
        <v>153</v>
      </c>
      <c r="DZ292" s="27" t="n">
        <f aca="false">DY292+DV292+DR292+DN292+DJ292+DF292+DB292</f>
        <v>565</v>
      </c>
      <c r="EA292" s="28" t="n">
        <f aca="false">DZ292/7</f>
        <v>80.7142857142857</v>
      </c>
      <c r="EB292" s="27" t="n">
        <f aca="false">RANK(EA292,$EA$2:$EA$881,0)</f>
        <v>361</v>
      </c>
      <c r="EC292" s="29" t="n">
        <f aca="false">DZ292+CQ292+CP292+AZ292</f>
        <v>2522</v>
      </c>
      <c r="ED292" s="30" t="n">
        <f aca="false">(EA292+CV292+BB292)/3</f>
        <v>81.1095238095238</v>
      </c>
      <c r="EE292" s="51" t="n">
        <f aca="false">ROUND(BE292,3)</f>
        <v>87.557</v>
      </c>
      <c r="EF292" s="51" t="n">
        <f aca="false">ROUND(CR292,3)</f>
        <v>86.571</v>
      </c>
      <c r="EG292" s="51" t="n">
        <f aca="false">ROUND(CS292,3)</f>
        <v>78.857</v>
      </c>
      <c r="EH292" s="51" t="n">
        <f aca="false">ROUND(EA292,3)</f>
        <v>80.714</v>
      </c>
      <c r="EI292" s="51" t="n">
        <f aca="false">ROUND(ED292,3)</f>
        <v>81.11</v>
      </c>
      <c r="EJ292" s="51" t="n">
        <f aca="false">ROUND(CV292,3)</f>
        <v>82.714</v>
      </c>
      <c r="EK292" s="0" t="n">
        <f aca="false">RANK(EI292,$EI$2:$EI$881,0)</f>
        <v>291</v>
      </c>
    </row>
    <row r="293" customFormat="false" ht="15" hidden="false" customHeight="false" outlineLevel="0" collapsed="false">
      <c r="A293" s="4" t="n">
        <v>2066</v>
      </c>
      <c r="B293" s="4" t="n">
        <v>613</v>
      </c>
      <c r="C293" s="27" t="s">
        <v>1007</v>
      </c>
      <c r="D293" s="31" t="n">
        <v>620</v>
      </c>
      <c r="E293" s="32" t="n">
        <v>230323815</v>
      </c>
      <c r="F293" s="8" t="s">
        <v>1008</v>
      </c>
      <c r="G293" s="22" t="s">
        <v>1009</v>
      </c>
      <c r="H293" s="22" t="s">
        <v>129</v>
      </c>
      <c r="I293" s="33" t="n">
        <v>2005</v>
      </c>
      <c r="J293" s="32" t="n">
        <v>89</v>
      </c>
      <c r="K293" s="32" t="n">
        <v>70</v>
      </c>
      <c r="L293" s="34" t="n">
        <f aca="false">(K293*70)/100</f>
        <v>49</v>
      </c>
      <c r="M293" s="34" t="n">
        <f aca="false">ROUNDUP(L293,0)</f>
        <v>49</v>
      </c>
      <c r="N293" s="32" t="n">
        <v>23</v>
      </c>
      <c r="O293" s="34" t="n">
        <f aca="false">N293+L293</f>
        <v>72</v>
      </c>
      <c r="P293" s="34" t="n">
        <f aca="false">N293+M293</f>
        <v>72</v>
      </c>
      <c r="Q293" s="32" t="n">
        <v>79</v>
      </c>
      <c r="R293" s="32" t="n">
        <v>78</v>
      </c>
      <c r="S293" s="34" t="n">
        <f aca="false">(R293*70)/100</f>
        <v>54.6</v>
      </c>
      <c r="T293" s="34" t="n">
        <f aca="false">ROUNDUP(S293,0)</f>
        <v>55</v>
      </c>
      <c r="U293" s="32" t="n">
        <v>22</v>
      </c>
      <c r="V293" s="34" t="n">
        <f aca="false">U293+S293</f>
        <v>76.6</v>
      </c>
      <c r="W293" s="34" t="n">
        <f aca="false">U293+T293</f>
        <v>77</v>
      </c>
      <c r="X293" s="32" t="n">
        <v>73</v>
      </c>
      <c r="Y293" s="34" t="n">
        <f aca="false">(X293*70)/100</f>
        <v>51.1</v>
      </c>
      <c r="Z293" s="34" t="n">
        <f aca="false">ROUNDUP(Y293,0)</f>
        <v>52</v>
      </c>
      <c r="AA293" s="32" t="n">
        <v>25</v>
      </c>
      <c r="AB293" s="34" t="n">
        <f aca="false">AA293+Y293</f>
        <v>76.1</v>
      </c>
      <c r="AC293" s="34" t="n">
        <f aca="false">AA293+Z293</f>
        <v>77</v>
      </c>
      <c r="AD293" s="32" t="n">
        <f aca="false">X293+R293+Q293+K293+J293</f>
        <v>389</v>
      </c>
      <c r="AE293" s="16" t="n">
        <f aca="false">AD293/5</f>
        <v>77.8</v>
      </c>
      <c r="AF293" s="16" t="n">
        <v>72</v>
      </c>
      <c r="AG293" s="16" t="n">
        <v>83</v>
      </c>
      <c r="AH293" s="16" t="n">
        <v>79</v>
      </c>
      <c r="AI293" s="16" t="n">
        <v>80</v>
      </c>
      <c r="AJ293" s="16" t="n">
        <f aca="false">(AI293*70)/100</f>
        <v>56</v>
      </c>
      <c r="AK293" s="35" t="n">
        <f aca="false">ROUNDUP(AJ293,0)</f>
        <v>56</v>
      </c>
      <c r="AL293" s="16" t="n">
        <v>29</v>
      </c>
      <c r="AM293" s="16" t="n">
        <f aca="false">AL293+AJ293</f>
        <v>85</v>
      </c>
      <c r="AN293" s="16" t="n">
        <f aca="false">AL293+AK293</f>
        <v>85</v>
      </c>
      <c r="AO293" s="16" t="n">
        <v>74</v>
      </c>
      <c r="AP293" s="36" t="n">
        <f aca="false">(AO293*70)/100</f>
        <v>51.8</v>
      </c>
      <c r="AQ293" s="37" t="n">
        <f aca="false">ROUNDUP(AP293,0)</f>
        <v>52</v>
      </c>
      <c r="AR293" s="16" t="n">
        <v>29</v>
      </c>
      <c r="AS293" s="16" t="n">
        <f aca="false">AR293+AP293</f>
        <v>80.8</v>
      </c>
      <c r="AT293" s="16" t="n">
        <f aca="false">AR293+AQ293</f>
        <v>81</v>
      </c>
      <c r="AU293" s="16" t="n">
        <f aca="false">AO293+AF293+AI293+AH293+AG293</f>
        <v>388</v>
      </c>
      <c r="AV293" s="16" t="n">
        <f aca="false">(AO293+AF293+AI293+AH293+AG293)/5</f>
        <v>77.6</v>
      </c>
      <c r="AW293" s="36" t="n">
        <f aca="false">(AO293+AF293+AI293+AH293+AG293+X293+R293+Q293+K293+J293)</f>
        <v>777</v>
      </c>
      <c r="AX293" s="16" t="n">
        <f aca="false">AW293/10</f>
        <v>77.7</v>
      </c>
      <c r="AY293" s="16" t="n">
        <f aca="false">AS293+AF293+AM293+AH293+AG293+AB293+V293+Q293+O293+J293</f>
        <v>792.5</v>
      </c>
      <c r="AZ293" s="16" t="n">
        <f aca="false">AT293+AF293+AN293+AH293+AG293+AC293+W293+Q293+P293+J293</f>
        <v>794</v>
      </c>
      <c r="BA293" s="16" t="n">
        <f aca="false">AY293/10</f>
        <v>79.25</v>
      </c>
      <c r="BB293" s="16" t="n">
        <f aca="false">AZ293/10</f>
        <v>79.4</v>
      </c>
      <c r="BC293" s="16" t="n">
        <v>2336</v>
      </c>
      <c r="BD293" s="16" t="n">
        <f aca="false">RANK(AX293,$AX$2:$AX$881,0)</f>
        <v>433</v>
      </c>
      <c r="BE293" s="54" t="n">
        <f aca="false">((BC293*100)/2400)*0.4+(AX293*0.6)</f>
        <v>85.5533333333333</v>
      </c>
      <c r="BF293" s="16" t="n">
        <f aca="false">RANK(BE293,$BE$2:$BE$881,0)</f>
        <v>495</v>
      </c>
      <c r="BG293" s="39" t="n">
        <f aca="false">RANK(BB293,$BB$2:$BB$881,0)</f>
        <v>414</v>
      </c>
      <c r="BH293" s="39" t="n">
        <f aca="false">RANK(BC293,$BC$2:$BC$881,0)</f>
        <v>670</v>
      </c>
      <c r="BI293" s="22" t="s">
        <v>130</v>
      </c>
      <c r="BJ293" s="22" t="s">
        <v>129</v>
      </c>
      <c r="BK293" s="40" t="s">
        <v>509</v>
      </c>
      <c r="BL293" s="41" t="n">
        <v>18</v>
      </c>
      <c r="BM293" s="41" t="n">
        <v>53</v>
      </c>
      <c r="BN293" s="41" t="n">
        <v>71</v>
      </c>
      <c r="BO293" s="42" t="n">
        <v>23</v>
      </c>
      <c r="BP293" s="43" t="n">
        <v>58</v>
      </c>
      <c r="BQ293" s="44" t="n">
        <v>81</v>
      </c>
      <c r="BR293" s="42" t="n">
        <v>24</v>
      </c>
      <c r="BS293" s="45" t="n">
        <v>58</v>
      </c>
      <c r="BT293" s="45" t="n">
        <v>82</v>
      </c>
      <c r="BU293" s="46" t="n">
        <v>98</v>
      </c>
      <c r="BV293" s="47" t="n">
        <v>92</v>
      </c>
      <c r="BW293" s="42" t="n">
        <v>93</v>
      </c>
      <c r="BX293" s="48" t="n">
        <v>98</v>
      </c>
      <c r="BY293" s="32" t="n">
        <v>28</v>
      </c>
      <c r="BZ293" s="32" t="n">
        <v>52</v>
      </c>
      <c r="CA293" s="32" t="n">
        <v>80</v>
      </c>
      <c r="CB293" s="32" t="n">
        <v>27</v>
      </c>
      <c r="CC293" s="32" t="n">
        <v>42</v>
      </c>
      <c r="CD293" s="32" t="n">
        <v>69</v>
      </c>
      <c r="CE293" s="32" t="n">
        <v>25</v>
      </c>
      <c r="CF293" s="32" t="n">
        <v>51</v>
      </c>
      <c r="CG293" s="32" t="n">
        <v>76</v>
      </c>
      <c r="CH293" s="32" t="n">
        <v>99</v>
      </c>
      <c r="CI293" s="32" t="n">
        <v>98</v>
      </c>
      <c r="CJ293" s="49" t="n">
        <v>26</v>
      </c>
      <c r="CK293" s="49" t="n">
        <v>53</v>
      </c>
      <c r="CL293" s="49" t="n">
        <v>79</v>
      </c>
      <c r="CM293" s="49" t="n">
        <v>26</v>
      </c>
      <c r="CN293" s="49" t="n">
        <v>52</v>
      </c>
      <c r="CO293" s="49" t="n">
        <v>78</v>
      </c>
      <c r="CP293" s="25" t="n">
        <f aca="false">BX293+BW293+BV293+BU293+BT293+BQ293+BN293</f>
        <v>615</v>
      </c>
      <c r="CQ293" s="25" t="n">
        <f aca="false">CO293+CL293+CI293+CH293+CG293+CD293+CA293</f>
        <v>579</v>
      </c>
      <c r="CR293" s="26" t="n">
        <f aca="false">CP293/7</f>
        <v>87.8571428571429</v>
      </c>
      <c r="CS293" s="26" t="n">
        <f aca="false">CQ293/7</f>
        <v>82.7142857142857</v>
      </c>
      <c r="CT293" s="24" t="n">
        <f aca="false">RANK(CR293,$CR$2:$CR$881,0)</f>
        <v>315</v>
      </c>
      <c r="CU293" s="25" t="n">
        <f aca="false">RANK(CS293,$CS$2:$CS$881,0)</f>
        <v>167</v>
      </c>
      <c r="CV293" s="26" t="n">
        <f aca="false">(CS293+CR293)/2</f>
        <v>85.2857142857143</v>
      </c>
      <c r="CW293" s="25" t="n">
        <f aca="false">RANK(CV293,$CV$2:$CV$881,0)</f>
        <v>200</v>
      </c>
      <c r="CX293" s="50" t="n">
        <f aca="false">(CV293+BB293)/2</f>
        <v>82.3428571428571</v>
      </c>
      <c r="CY293" s="50" t="n">
        <v>244</v>
      </c>
      <c r="CZ293" s="27" t="s">
        <v>132</v>
      </c>
      <c r="DA293" s="27" t="s">
        <v>133</v>
      </c>
      <c r="DB293" s="27" t="s">
        <v>133</v>
      </c>
      <c r="DC293" s="27" t="s">
        <v>134</v>
      </c>
      <c r="DD293" s="27" t="s">
        <v>164</v>
      </c>
      <c r="DE293" s="27" t="s">
        <v>442</v>
      </c>
      <c r="DF293" s="27" t="s">
        <v>443</v>
      </c>
      <c r="DG293" s="27" t="s">
        <v>134</v>
      </c>
      <c r="DH293" s="27" t="s">
        <v>191</v>
      </c>
      <c r="DI293" s="27" t="s">
        <v>161</v>
      </c>
      <c r="DJ293" s="27" t="s">
        <v>196</v>
      </c>
      <c r="DK293" s="27" t="s">
        <v>134</v>
      </c>
      <c r="DL293" s="27" t="s">
        <v>164</v>
      </c>
      <c r="DM293" s="27" t="s">
        <v>481</v>
      </c>
      <c r="DN293" s="27" t="s">
        <v>152</v>
      </c>
      <c r="DO293" s="27" t="s">
        <v>134</v>
      </c>
      <c r="DP293" s="27" t="s">
        <v>264</v>
      </c>
      <c r="DQ293" s="27" t="s">
        <v>304</v>
      </c>
      <c r="DR293" s="27" t="s">
        <v>486</v>
      </c>
      <c r="DS293" s="27" t="s">
        <v>134</v>
      </c>
      <c r="DT293" s="27" t="s">
        <v>164</v>
      </c>
      <c r="DU293" s="27" t="s">
        <v>638</v>
      </c>
      <c r="DV293" s="27" t="s">
        <v>398</v>
      </c>
      <c r="DW293" s="27" t="s">
        <v>137</v>
      </c>
      <c r="DX293" s="27" t="s">
        <v>155</v>
      </c>
      <c r="DY293" s="27" t="s">
        <v>142</v>
      </c>
      <c r="DZ293" s="27" t="n">
        <f aca="false">DY293+DV293+DR293+DN293+DJ293+DF293+DB293</f>
        <v>550</v>
      </c>
      <c r="EA293" s="28" t="n">
        <f aca="false">DZ293/7</f>
        <v>78.5714285714286</v>
      </c>
      <c r="EB293" s="27" t="n">
        <f aca="false">RANK(EA293,$EA$2:$EA$881,0)</f>
        <v>436</v>
      </c>
      <c r="EC293" s="29" t="n">
        <f aca="false">DZ293+CQ293+CP293+AZ293</f>
        <v>2538</v>
      </c>
      <c r="ED293" s="30" t="n">
        <f aca="false">(EA293+CV293+BB293)/3</f>
        <v>81.0857142857143</v>
      </c>
      <c r="EE293" s="51" t="n">
        <f aca="false">ROUND(BE293,3)</f>
        <v>85.553</v>
      </c>
      <c r="EF293" s="51" t="n">
        <f aca="false">ROUND(CR293,3)</f>
        <v>87.857</v>
      </c>
      <c r="EG293" s="51" t="n">
        <f aca="false">ROUND(CS293,3)</f>
        <v>82.714</v>
      </c>
      <c r="EH293" s="51" t="n">
        <f aca="false">ROUND(EA293,3)</f>
        <v>78.571</v>
      </c>
      <c r="EI293" s="51" t="n">
        <f aca="false">ROUND(ED293,3)</f>
        <v>81.086</v>
      </c>
      <c r="EJ293" s="51" t="n">
        <f aca="false">ROUND(CV293,3)</f>
        <v>85.286</v>
      </c>
      <c r="EK293" s="0" t="n">
        <f aca="false">RANK(EI293,$EI$2:$EI$881,0)</f>
        <v>292</v>
      </c>
    </row>
    <row r="294" customFormat="false" ht="33.7" hidden="false" customHeight="false" outlineLevel="0" collapsed="false">
      <c r="A294" s="4" t="n">
        <v>2050</v>
      </c>
      <c r="B294" s="4" t="n">
        <v>279</v>
      </c>
      <c r="C294" s="27" t="s">
        <v>1010</v>
      </c>
      <c r="D294" s="31" t="n">
        <v>279</v>
      </c>
      <c r="E294" s="16" t="n">
        <v>230118583</v>
      </c>
      <c r="F294" s="56" t="s">
        <v>1011</v>
      </c>
      <c r="G294" s="22" t="s">
        <v>1012</v>
      </c>
      <c r="H294" s="22" t="s">
        <v>326</v>
      </c>
      <c r="I294" s="57"/>
      <c r="J294" s="16" t="n">
        <v>85</v>
      </c>
      <c r="K294" s="16" t="n">
        <v>72</v>
      </c>
      <c r="L294" s="34" t="n">
        <f aca="false">(K294*70)/100</f>
        <v>50.4</v>
      </c>
      <c r="M294" s="34" t="n">
        <f aca="false">ROUNDUP(L294,0)</f>
        <v>51</v>
      </c>
      <c r="N294" s="16" t="n">
        <v>27</v>
      </c>
      <c r="O294" s="34" t="n">
        <f aca="false">N294+L294</f>
        <v>77.4</v>
      </c>
      <c r="P294" s="34" t="n">
        <f aca="false">N294+M294</f>
        <v>78</v>
      </c>
      <c r="Q294" s="16" t="n">
        <v>66</v>
      </c>
      <c r="R294" s="16" t="n">
        <v>68</v>
      </c>
      <c r="S294" s="34" t="n">
        <f aca="false">(R294*70)/100</f>
        <v>47.6</v>
      </c>
      <c r="T294" s="34" t="n">
        <f aca="false">ROUNDUP(S294,0)</f>
        <v>48</v>
      </c>
      <c r="U294" s="16" t="n">
        <v>26</v>
      </c>
      <c r="V294" s="34" t="n">
        <f aca="false">U294+S294</f>
        <v>73.6</v>
      </c>
      <c r="W294" s="34" t="n">
        <f aca="false">U294+T294</f>
        <v>74</v>
      </c>
      <c r="X294" s="16" t="n">
        <v>69</v>
      </c>
      <c r="Y294" s="34" t="n">
        <f aca="false">(X294*70)/100</f>
        <v>48.3</v>
      </c>
      <c r="Z294" s="34" t="n">
        <f aca="false">ROUNDUP(Y294,0)</f>
        <v>49</v>
      </c>
      <c r="AA294" s="16" t="n">
        <v>28</v>
      </c>
      <c r="AB294" s="34" t="n">
        <f aca="false">AA294+Y294</f>
        <v>76.3</v>
      </c>
      <c r="AC294" s="34" t="n">
        <f aca="false">AA294+Z294</f>
        <v>77</v>
      </c>
      <c r="AD294" s="32" t="n">
        <f aca="false">X294+R294+Q294+K294+J294</f>
        <v>360</v>
      </c>
      <c r="AE294" s="16" t="n">
        <f aca="false">AD294/5</f>
        <v>72</v>
      </c>
      <c r="AF294" s="16" t="n">
        <v>84</v>
      </c>
      <c r="AG294" s="16" t="n">
        <v>89</v>
      </c>
      <c r="AH294" s="16" t="n">
        <v>90</v>
      </c>
      <c r="AI294" s="16" t="n">
        <v>88</v>
      </c>
      <c r="AJ294" s="16" t="n">
        <f aca="false">(AI294*70)/100</f>
        <v>61.6</v>
      </c>
      <c r="AK294" s="35" t="n">
        <f aca="false">ROUNDUP(AJ294,0)</f>
        <v>62</v>
      </c>
      <c r="AL294" s="16" t="n">
        <v>26</v>
      </c>
      <c r="AM294" s="16" t="n">
        <f aca="false">AL294+AJ294</f>
        <v>87.6</v>
      </c>
      <c r="AN294" s="16" t="n">
        <f aca="false">AL294+AK294</f>
        <v>88</v>
      </c>
      <c r="AO294" s="16" t="n">
        <v>74</v>
      </c>
      <c r="AP294" s="36" t="n">
        <f aca="false">(AO294*70)/100</f>
        <v>51.8</v>
      </c>
      <c r="AQ294" s="37" t="n">
        <f aca="false">ROUNDUP(AP294,0)</f>
        <v>52</v>
      </c>
      <c r="AR294" s="16" t="n">
        <v>29</v>
      </c>
      <c r="AS294" s="16" t="n">
        <f aca="false">AR294+AP294</f>
        <v>80.8</v>
      </c>
      <c r="AT294" s="16" t="n">
        <f aca="false">AR294+AQ294</f>
        <v>81</v>
      </c>
      <c r="AU294" s="16" t="n">
        <f aca="false">AO294+AF294+AI294+AH294+AG294</f>
        <v>425</v>
      </c>
      <c r="AV294" s="16" t="n">
        <f aca="false">(AO294+AF294+AI294+AH294+AG294)/5</f>
        <v>85</v>
      </c>
      <c r="AW294" s="36" t="n">
        <f aca="false">(AO294+AF294+AI294+AH294+AG294+X294+R294+Q294+K294+J294)</f>
        <v>785</v>
      </c>
      <c r="AX294" s="16" t="n">
        <f aca="false">AW294/10</f>
        <v>78.5</v>
      </c>
      <c r="AY294" s="16" t="n">
        <f aca="false">AS294+AF294+AM294+AH294+AG294+AB294+V294+Q294+O294+J294</f>
        <v>809.7</v>
      </c>
      <c r="AZ294" s="16" t="n">
        <f aca="false">AT294+AF294+AN294+AH294+AG294+AC294+W294+Q294+P294+J294</f>
        <v>812</v>
      </c>
      <c r="BA294" s="16" t="n">
        <f aca="false">AY294/10</f>
        <v>80.97</v>
      </c>
      <c r="BB294" s="16" t="n">
        <f aca="false">AZ294/10</f>
        <v>81.2</v>
      </c>
      <c r="BC294" s="16" t="n">
        <v>2334</v>
      </c>
      <c r="BD294" s="16" t="n">
        <f aca="false">RANK(AX294,$AX$2:$AX$881,0)</f>
        <v>375</v>
      </c>
      <c r="BE294" s="54" t="n">
        <f aca="false">((BC294*100)/2400)*0.4+(AX294*0.6)</f>
        <v>86</v>
      </c>
      <c r="BF294" s="16" t="n">
        <f aca="false">RANK(BE294,$BE$2:$BE$881,0)</f>
        <v>433</v>
      </c>
      <c r="BG294" s="39" t="n">
        <f aca="false">RANK(BB294,$BB$2:$BB$881,0)</f>
        <v>263</v>
      </c>
      <c r="BH294" s="39" t="n">
        <f aca="false">RANK(BC294,$BC$2:$BC$881,0)</f>
        <v>687</v>
      </c>
      <c r="BI294" s="22" t="s">
        <v>130</v>
      </c>
      <c r="BJ294" s="22" t="s">
        <v>129</v>
      </c>
      <c r="BK294" s="40" t="s">
        <v>509</v>
      </c>
      <c r="BL294" s="41" t="n">
        <v>21</v>
      </c>
      <c r="BM294" s="41" t="n">
        <v>51</v>
      </c>
      <c r="BN294" s="41" t="n">
        <v>72</v>
      </c>
      <c r="BO294" s="42" t="n">
        <v>26</v>
      </c>
      <c r="BP294" s="43" t="n">
        <v>44</v>
      </c>
      <c r="BQ294" s="44" t="n">
        <v>70</v>
      </c>
      <c r="BR294" s="42" t="n">
        <v>24</v>
      </c>
      <c r="BS294" s="45" t="n">
        <v>58</v>
      </c>
      <c r="BT294" s="45" t="n">
        <v>82</v>
      </c>
      <c r="BU294" s="46" t="n">
        <v>99</v>
      </c>
      <c r="BV294" s="47" t="n">
        <v>78</v>
      </c>
      <c r="BW294" s="42" t="n">
        <v>90</v>
      </c>
      <c r="BX294" s="48" t="n">
        <v>82</v>
      </c>
      <c r="BY294" s="32" t="n">
        <v>24</v>
      </c>
      <c r="BZ294" s="32" t="n">
        <v>50</v>
      </c>
      <c r="CA294" s="48" t="n">
        <v>74</v>
      </c>
      <c r="CB294" s="32" t="n">
        <v>27</v>
      </c>
      <c r="CC294" s="32" t="n">
        <v>34</v>
      </c>
      <c r="CD294" s="32" t="n">
        <v>61</v>
      </c>
      <c r="CE294" s="32" t="n">
        <v>20</v>
      </c>
      <c r="CF294" s="32" t="n">
        <v>43</v>
      </c>
      <c r="CG294" s="32" t="n">
        <v>63</v>
      </c>
      <c r="CH294" s="32" t="n">
        <v>90</v>
      </c>
      <c r="CI294" s="32" t="n">
        <v>92</v>
      </c>
      <c r="CJ294" s="49" t="n">
        <v>14</v>
      </c>
      <c r="CK294" s="49" t="n">
        <v>52</v>
      </c>
      <c r="CL294" s="49" t="n">
        <v>66</v>
      </c>
      <c r="CM294" s="49" t="n">
        <v>15</v>
      </c>
      <c r="CN294" s="49" t="n">
        <v>52</v>
      </c>
      <c r="CO294" s="49" t="n">
        <v>67</v>
      </c>
      <c r="CP294" s="25" t="n">
        <f aca="false">BX294+BW294+BV294+BU294+BT294+BQ294+BN294</f>
        <v>573</v>
      </c>
      <c r="CQ294" s="25" t="n">
        <f aca="false">CO294+CL294+CI294+CH294+CG294+CD294+CA294</f>
        <v>513</v>
      </c>
      <c r="CR294" s="26" t="n">
        <f aca="false">CP294/7</f>
        <v>81.8571428571429</v>
      </c>
      <c r="CS294" s="26" t="n">
        <f aca="false">CQ294/7</f>
        <v>73.2857142857143</v>
      </c>
      <c r="CT294" s="24" t="n">
        <f aca="false">RANK(CR294,$CR$2:$CR$881,0)</f>
        <v>549</v>
      </c>
      <c r="CU294" s="25" t="n">
        <f aca="false">RANK(CS294,$CS$2:$CS$881,0)</f>
        <v>478</v>
      </c>
      <c r="CV294" s="26" t="n">
        <f aca="false">(CS294+CR294)/2</f>
        <v>77.5714285714286</v>
      </c>
      <c r="CW294" s="25" t="n">
        <f aca="false">RANK(CV294,$CV$2:$CV$881,0)</f>
        <v>505</v>
      </c>
      <c r="CX294" s="50" t="n">
        <f aca="false">(CV294+BB294)/2</f>
        <v>79.3857142857143</v>
      </c>
      <c r="CY294" s="50" t="n">
        <v>448</v>
      </c>
      <c r="CZ294" s="27" t="s">
        <v>132</v>
      </c>
      <c r="DA294" s="27" t="s">
        <v>162</v>
      </c>
      <c r="DB294" s="27" t="s">
        <v>162</v>
      </c>
      <c r="DC294" s="27" t="s">
        <v>134</v>
      </c>
      <c r="DD294" s="27" t="s">
        <v>182</v>
      </c>
      <c r="DE294" s="27" t="s">
        <v>183</v>
      </c>
      <c r="DF294" s="27" t="s">
        <v>205</v>
      </c>
      <c r="DG294" s="27" t="s">
        <v>134</v>
      </c>
      <c r="DH294" s="27" t="s">
        <v>160</v>
      </c>
      <c r="DI294" s="27" t="s">
        <v>161</v>
      </c>
      <c r="DJ294" s="27" t="s">
        <v>162</v>
      </c>
      <c r="DK294" s="27" t="s">
        <v>134</v>
      </c>
      <c r="DL294" s="27" t="s">
        <v>135</v>
      </c>
      <c r="DM294" s="27" t="s">
        <v>412</v>
      </c>
      <c r="DN294" s="27" t="s">
        <v>443</v>
      </c>
      <c r="DO294" s="27" t="s">
        <v>134</v>
      </c>
      <c r="DP294" s="27" t="s">
        <v>191</v>
      </c>
      <c r="DQ294" s="27" t="s">
        <v>306</v>
      </c>
      <c r="DR294" s="27" t="s">
        <v>441</v>
      </c>
      <c r="DS294" s="27" t="s">
        <v>134</v>
      </c>
      <c r="DT294" s="27" t="s">
        <v>137</v>
      </c>
      <c r="DU294" s="27" t="s">
        <v>183</v>
      </c>
      <c r="DV294" s="27" t="s">
        <v>209</v>
      </c>
      <c r="DW294" s="27" t="s">
        <v>137</v>
      </c>
      <c r="DX294" s="27" t="s">
        <v>155</v>
      </c>
      <c r="DY294" s="27" t="s">
        <v>142</v>
      </c>
      <c r="DZ294" s="27" t="n">
        <f aca="false">DY294+DV294+DR294+DN294+DJ294+DF294+DB294</f>
        <v>591</v>
      </c>
      <c r="EA294" s="28" t="n">
        <f aca="false">DZ294/7</f>
        <v>84.4285714285714</v>
      </c>
      <c r="EB294" s="27" t="n">
        <f aca="false">RANK(EA294,$EA$2:$EA$881,0)</f>
        <v>205</v>
      </c>
      <c r="EC294" s="29" t="n">
        <f aca="false">DZ294+CQ294+CP294+AZ294</f>
        <v>2489</v>
      </c>
      <c r="ED294" s="30" t="n">
        <f aca="false">(EA294+CV294+BB294)/3</f>
        <v>81.0666666666667</v>
      </c>
      <c r="EE294" s="51" t="n">
        <f aca="false">ROUND(BE294,3)</f>
        <v>86</v>
      </c>
      <c r="EF294" s="51" t="n">
        <f aca="false">ROUND(CR294,3)</f>
        <v>81.857</v>
      </c>
      <c r="EG294" s="51" t="n">
        <f aca="false">ROUND(CS294,3)</f>
        <v>73.286</v>
      </c>
      <c r="EH294" s="51" t="n">
        <f aca="false">ROUND(EA294,3)</f>
        <v>84.429</v>
      </c>
      <c r="EI294" s="51" t="n">
        <f aca="false">ROUND(ED294,3)</f>
        <v>81.067</v>
      </c>
      <c r="EJ294" s="51" t="n">
        <f aca="false">ROUND(CV294,3)</f>
        <v>77.571</v>
      </c>
      <c r="EK294" s="0" t="n">
        <f aca="false">RANK(EI294,$EI$2:$EI$881,0)</f>
        <v>293</v>
      </c>
    </row>
    <row r="295" customFormat="false" ht="15" hidden="false" customHeight="false" outlineLevel="0" collapsed="false">
      <c r="A295" s="4" t="n">
        <v>8680</v>
      </c>
      <c r="B295" s="4" t="n">
        <v>415</v>
      </c>
      <c r="C295" s="27" t="s">
        <v>1013</v>
      </c>
      <c r="D295" s="31" t="n">
        <v>419</v>
      </c>
      <c r="E295" s="32" t="n">
        <v>230319922</v>
      </c>
      <c r="F295" s="8" t="s">
        <v>1014</v>
      </c>
      <c r="G295" s="22" t="s">
        <v>885</v>
      </c>
      <c r="H295" s="22" t="s">
        <v>129</v>
      </c>
      <c r="I295" s="33" t="n">
        <v>2006</v>
      </c>
      <c r="J295" s="32" t="n">
        <v>78</v>
      </c>
      <c r="K295" s="32" t="n">
        <v>86</v>
      </c>
      <c r="L295" s="34" t="n">
        <f aca="false">(K295*70)/100</f>
        <v>60.2</v>
      </c>
      <c r="M295" s="34" t="n">
        <f aca="false">ROUNDUP(L295,0)</f>
        <v>61</v>
      </c>
      <c r="N295" s="32" t="n">
        <v>26</v>
      </c>
      <c r="O295" s="34" t="n">
        <f aca="false">N295+L295</f>
        <v>86.2</v>
      </c>
      <c r="P295" s="34" t="n">
        <f aca="false">N295+M295</f>
        <v>87</v>
      </c>
      <c r="Q295" s="32" t="n">
        <v>65</v>
      </c>
      <c r="R295" s="32" t="n">
        <v>75</v>
      </c>
      <c r="S295" s="34" t="n">
        <f aca="false">(R295*70)/100</f>
        <v>52.5</v>
      </c>
      <c r="T295" s="34" t="n">
        <f aca="false">ROUNDUP(S295,0)</f>
        <v>53</v>
      </c>
      <c r="U295" s="32" t="n">
        <v>19</v>
      </c>
      <c r="V295" s="34" t="n">
        <f aca="false">U295+S295</f>
        <v>71.5</v>
      </c>
      <c r="W295" s="34" t="n">
        <f aca="false">U295+T295</f>
        <v>72</v>
      </c>
      <c r="X295" s="32" t="n">
        <v>75</v>
      </c>
      <c r="Y295" s="34" t="n">
        <f aca="false">(X295*70)/100</f>
        <v>52.5</v>
      </c>
      <c r="Z295" s="34" t="n">
        <f aca="false">ROUNDUP(Y295,0)</f>
        <v>53</v>
      </c>
      <c r="AA295" s="32" t="n">
        <v>23</v>
      </c>
      <c r="AB295" s="34" t="n">
        <f aca="false">AA295+Y295</f>
        <v>75.5</v>
      </c>
      <c r="AC295" s="34" t="n">
        <f aca="false">AA295+Z295</f>
        <v>76</v>
      </c>
      <c r="AD295" s="32" t="n">
        <f aca="false">X295+R295+Q295+K295+J295</f>
        <v>379</v>
      </c>
      <c r="AE295" s="16" t="n">
        <f aca="false">AD295/5</f>
        <v>75.8</v>
      </c>
      <c r="AF295" s="16" t="n">
        <v>72</v>
      </c>
      <c r="AG295" s="16" t="n">
        <v>85</v>
      </c>
      <c r="AH295" s="16" t="n">
        <v>84</v>
      </c>
      <c r="AI295" s="16" t="n">
        <v>89</v>
      </c>
      <c r="AJ295" s="16" t="n">
        <f aca="false">(AI295*70)/100</f>
        <v>62.3</v>
      </c>
      <c r="AK295" s="35" t="n">
        <f aca="false">ROUNDUP(AJ295,0)</f>
        <v>63</v>
      </c>
      <c r="AL295" s="16" t="n">
        <v>25</v>
      </c>
      <c r="AM295" s="16" t="n">
        <f aca="false">AL295+AJ295</f>
        <v>87.3</v>
      </c>
      <c r="AN295" s="16" t="n">
        <f aca="false">AL295+AK295</f>
        <v>88</v>
      </c>
      <c r="AO295" s="16" t="n">
        <v>75</v>
      </c>
      <c r="AP295" s="36" t="n">
        <f aca="false">(AO295*70)/100</f>
        <v>52.5</v>
      </c>
      <c r="AQ295" s="37" t="n">
        <f aca="false">ROUNDUP(AP295,0)</f>
        <v>53</v>
      </c>
      <c r="AR295" s="16" t="n">
        <v>27</v>
      </c>
      <c r="AS295" s="16" t="n">
        <f aca="false">AR295+AP295</f>
        <v>79.5</v>
      </c>
      <c r="AT295" s="16" t="n">
        <f aca="false">AR295+AQ295</f>
        <v>80</v>
      </c>
      <c r="AU295" s="16" t="n">
        <f aca="false">AO295+AF295+AI295+AH295+AG295</f>
        <v>405</v>
      </c>
      <c r="AV295" s="16" t="n">
        <f aca="false">(AO295+AF295+AI295+AH295+AG295)/5</f>
        <v>81</v>
      </c>
      <c r="AW295" s="36" t="n">
        <f aca="false">(AO295+AF295+AI295+AH295+AG295+X295+R295+Q295+K295+J295)</f>
        <v>784</v>
      </c>
      <c r="AX295" s="16" t="n">
        <f aca="false">AW295/10</f>
        <v>78.4</v>
      </c>
      <c r="AY295" s="16" t="n">
        <f aca="false">AS295+AF295+AM295+AH295+AG295+AB295+V295+Q295+O295+J295</f>
        <v>784</v>
      </c>
      <c r="AZ295" s="16" t="n">
        <f aca="false">AT295+AF295+AN295+AH295+AG295+AC295+W295+Q295+P295+J295</f>
        <v>787</v>
      </c>
      <c r="BA295" s="16" t="n">
        <f aca="false">AY295/10</f>
        <v>78.4</v>
      </c>
      <c r="BB295" s="16" t="n">
        <f aca="false">AZ295/10</f>
        <v>78.7</v>
      </c>
      <c r="BC295" s="16" t="n">
        <v>2357</v>
      </c>
      <c r="BD295" s="16" t="n">
        <f aca="false">RANK(AX295,$AX$2:$AX$881,0)</f>
        <v>385</v>
      </c>
      <c r="BE295" s="54" t="n">
        <f aca="false">((BC295*100)/2400)*0.4+(AX295*0.6)</f>
        <v>86.3233333333333</v>
      </c>
      <c r="BF295" s="16" t="n">
        <f aca="false">RANK(BE295,$BE$2:$BE$881,0)</f>
        <v>376</v>
      </c>
      <c r="BG295" s="39" t="n">
        <f aca="false">RANK(BB295,$BB$2:$BB$881,0)</f>
        <v>482</v>
      </c>
      <c r="BH295" s="39" t="n">
        <f aca="false">RANK(BC295,$BC$2:$BC$881,0)</f>
        <v>444</v>
      </c>
      <c r="BI295" s="22" t="s">
        <v>130</v>
      </c>
      <c r="BJ295" s="22" t="s">
        <v>129</v>
      </c>
      <c r="BK295" s="40" t="s">
        <v>131</v>
      </c>
      <c r="BL295" s="41" t="n">
        <v>21</v>
      </c>
      <c r="BM295" s="41" t="n">
        <v>61</v>
      </c>
      <c r="BN295" s="41" t="n">
        <v>82</v>
      </c>
      <c r="BO295" s="42" t="n">
        <v>24</v>
      </c>
      <c r="BP295" s="43" t="n">
        <v>56</v>
      </c>
      <c r="BQ295" s="44" t="n">
        <v>80</v>
      </c>
      <c r="BR295" s="42" t="n">
        <v>26</v>
      </c>
      <c r="BS295" s="45" t="n">
        <v>62</v>
      </c>
      <c r="BT295" s="45" t="n">
        <v>88</v>
      </c>
      <c r="BU295" s="46" t="n">
        <v>100</v>
      </c>
      <c r="BV295" s="47" t="n">
        <v>84</v>
      </c>
      <c r="BW295" s="42" t="n">
        <v>100</v>
      </c>
      <c r="BX295" s="48" t="n">
        <v>88</v>
      </c>
      <c r="BY295" s="25" t="n">
        <v>22</v>
      </c>
      <c r="BZ295" s="25" t="n">
        <v>51</v>
      </c>
      <c r="CA295" s="25" t="n">
        <v>73</v>
      </c>
      <c r="CB295" s="32" t="n">
        <v>20</v>
      </c>
      <c r="CC295" s="32" t="n">
        <v>39</v>
      </c>
      <c r="CD295" s="69" t="n">
        <v>59</v>
      </c>
      <c r="CE295" s="32" t="n">
        <v>28</v>
      </c>
      <c r="CF295" s="32" t="n">
        <v>54</v>
      </c>
      <c r="CG295" s="32" t="n">
        <v>82</v>
      </c>
      <c r="CH295" s="32" t="n">
        <v>95</v>
      </c>
      <c r="CI295" s="32" t="n">
        <v>93</v>
      </c>
      <c r="CJ295" s="49" t="n">
        <v>18</v>
      </c>
      <c r="CK295" s="49" t="n">
        <v>53</v>
      </c>
      <c r="CL295" s="49" t="n">
        <v>71</v>
      </c>
      <c r="CM295" s="49" t="n">
        <v>22</v>
      </c>
      <c r="CN295" s="49" t="n">
        <v>49</v>
      </c>
      <c r="CO295" s="49" t="n">
        <v>71</v>
      </c>
      <c r="CP295" s="25" t="n">
        <f aca="false">BX295+BW295+BV295+BU295+BT295+BQ295+BN295</f>
        <v>622</v>
      </c>
      <c r="CQ295" s="25" t="n">
        <f aca="false">CO295+CL295+CI295+CH295+CG295+CD295+CA295</f>
        <v>544</v>
      </c>
      <c r="CR295" s="26" t="n">
        <f aca="false">CP295/7</f>
        <v>88.8571428571429</v>
      </c>
      <c r="CS295" s="26" t="n">
        <f aca="false">CQ295/7</f>
        <v>77.7142857142857</v>
      </c>
      <c r="CT295" s="24" t="n">
        <f aca="false">RANK(CR295,$CR$2:$CR$881,0)</f>
        <v>254</v>
      </c>
      <c r="CU295" s="25" t="n">
        <f aca="false">RANK(CS295,$CS$2:$CS$881,0)</f>
        <v>344</v>
      </c>
      <c r="CV295" s="26" t="n">
        <f aca="false">(CS295+CR295)/2</f>
        <v>83.2857142857143</v>
      </c>
      <c r="CW295" s="25" t="n">
        <f aca="false">RANK(CV295,$CV$2:$CV$881,0)</f>
        <v>285</v>
      </c>
      <c r="CX295" s="50" t="n">
        <f aca="false">(CV295+BB295)/2</f>
        <v>80.9928571428571</v>
      </c>
      <c r="CY295" s="50" t="n">
        <v>317</v>
      </c>
      <c r="CZ295" s="27" t="s">
        <v>132</v>
      </c>
      <c r="DA295" s="27" t="s">
        <v>202</v>
      </c>
      <c r="DB295" s="27" t="s">
        <v>202</v>
      </c>
      <c r="DC295" s="27" t="s">
        <v>134</v>
      </c>
      <c r="DD295" s="27" t="s">
        <v>174</v>
      </c>
      <c r="DE295" s="27" t="s">
        <v>152</v>
      </c>
      <c r="DF295" s="27" t="s">
        <v>202</v>
      </c>
      <c r="DG295" s="27" t="s">
        <v>134</v>
      </c>
      <c r="DH295" s="27" t="s">
        <v>154</v>
      </c>
      <c r="DI295" s="27" t="s">
        <v>304</v>
      </c>
      <c r="DJ295" s="27" t="s">
        <v>382</v>
      </c>
      <c r="DK295" s="27" t="s">
        <v>134</v>
      </c>
      <c r="DL295" s="27" t="s">
        <v>174</v>
      </c>
      <c r="DM295" s="27" t="s">
        <v>412</v>
      </c>
      <c r="DN295" s="27" t="s">
        <v>486</v>
      </c>
      <c r="DO295" s="27" t="s">
        <v>134</v>
      </c>
      <c r="DP295" s="27" t="s">
        <v>195</v>
      </c>
      <c r="DQ295" s="27" t="s">
        <v>412</v>
      </c>
      <c r="DR295" s="27" t="s">
        <v>398</v>
      </c>
      <c r="DS295" s="27" t="s">
        <v>134</v>
      </c>
      <c r="DT295" s="27" t="s">
        <v>164</v>
      </c>
      <c r="DU295" s="27" t="s">
        <v>304</v>
      </c>
      <c r="DV295" s="27" t="s">
        <v>196</v>
      </c>
      <c r="DW295" s="27" t="s">
        <v>182</v>
      </c>
      <c r="DX295" s="27" t="s">
        <v>138</v>
      </c>
      <c r="DY295" s="27" t="s">
        <v>151</v>
      </c>
      <c r="DZ295" s="27" t="n">
        <f aca="false">DY295+DV295+DR295+DN295+DJ295+DF295+DB295</f>
        <v>568</v>
      </c>
      <c r="EA295" s="28" t="n">
        <f aca="false">DZ295/7</f>
        <v>81.1428571428571</v>
      </c>
      <c r="EB295" s="27" t="n">
        <f aca="false">RANK(EA295,$EA$2:$EA$881,0)</f>
        <v>342</v>
      </c>
      <c r="EC295" s="29" t="n">
        <f aca="false">DZ295+CQ295+CP295+AZ295</f>
        <v>2521</v>
      </c>
      <c r="ED295" s="30" t="n">
        <f aca="false">(EA295+CV295+BB295)/3</f>
        <v>81.0428571428571</v>
      </c>
      <c r="EE295" s="51" t="n">
        <f aca="false">ROUND(BE295,3)</f>
        <v>86.323</v>
      </c>
      <c r="EF295" s="51" t="n">
        <f aca="false">ROUND(CR295,3)</f>
        <v>88.857</v>
      </c>
      <c r="EG295" s="51" t="n">
        <f aca="false">ROUND(CS295,3)</f>
        <v>77.714</v>
      </c>
      <c r="EH295" s="51" t="n">
        <f aca="false">ROUND(EA295,3)</f>
        <v>81.143</v>
      </c>
      <c r="EI295" s="51" t="n">
        <f aca="false">ROUND(ED295,3)</f>
        <v>81.043</v>
      </c>
      <c r="EJ295" s="51" t="n">
        <f aca="false">ROUND(CV295,3)</f>
        <v>83.286</v>
      </c>
      <c r="EK295" s="0" t="n">
        <f aca="false">RANK(EI295,$EI$2:$EI$881,0)</f>
        <v>294</v>
      </c>
    </row>
    <row r="296" customFormat="false" ht="15" hidden="false" customHeight="false" outlineLevel="0" collapsed="false">
      <c r="A296" s="4" t="n">
        <v>2065</v>
      </c>
      <c r="B296" s="4" t="n">
        <v>833</v>
      </c>
      <c r="C296" s="27" t="s">
        <v>1015</v>
      </c>
      <c r="D296" s="31" t="n">
        <v>854</v>
      </c>
      <c r="E296" s="32" t="n">
        <v>230321557</v>
      </c>
      <c r="F296" s="8" t="s">
        <v>1016</v>
      </c>
      <c r="G296" s="22" t="s">
        <v>232</v>
      </c>
      <c r="H296" s="22" t="s">
        <v>129</v>
      </c>
      <c r="I296" s="33" t="n">
        <v>2005</v>
      </c>
      <c r="J296" s="32" t="n">
        <v>84</v>
      </c>
      <c r="K296" s="32" t="n">
        <v>69</v>
      </c>
      <c r="L296" s="34" t="n">
        <f aca="false">(K296*70)/100</f>
        <v>48.3</v>
      </c>
      <c r="M296" s="34" t="n">
        <f aca="false">ROUNDUP(L296,0)</f>
        <v>49</v>
      </c>
      <c r="N296" s="32" t="n">
        <v>28</v>
      </c>
      <c r="O296" s="34" t="n">
        <f aca="false">N296+L296</f>
        <v>76.3</v>
      </c>
      <c r="P296" s="34" t="n">
        <f aca="false">N296+M296</f>
        <v>77</v>
      </c>
      <c r="Q296" s="32" t="n">
        <v>78</v>
      </c>
      <c r="R296" s="32" t="n">
        <v>73</v>
      </c>
      <c r="S296" s="34" t="n">
        <f aca="false">(R296*70)/100</f>
        <v>51.1</v>
      </c>
      <c r="T296" s="34" t="n">
        <f aca="false">ROUNDUP(S296,0)</f>
        <v>52</v>
      </c>
      <c r="U296" s="32" t="n">
        <v>21</v>
      </c>
      <c r="V296" s="34" t="n">
        <f aca="false">U296+S296</f>
        <v>72.1</v>
      </c>
      <c r="W296" s="34" t="n">
        <f aca="false">U296+T296</f>
        <v>73</v>
      </c>
      <c r="X296" s="32" t="n">
        <v>66</v>
      </c>
      <c r="Y296" s="34" t="n">
        <f aca="false">(X296*70)/100</f>
        <v>46.2</v>
      </c>
      <c r="Z296" s="34" t="n">
        <f aca="false">ROUNDUP(Y296,0)</f>
        <v>47</v>
      </c>
      <c r="AA296" s="32" t="n">
        <v>24</v>
      </c>
      <c r="AB296" s="34" t="n">
        <f aca="false">AA296+Y296</f>
        <v>70.2</v>
      </c>
      <c r="AC296" s="34" t="n">
        <f aca="false">AA296+Z296</f>
        <v>71</v>
      </c>
      <c r="AD296" s="32" t="n">
        <f aca="false">X296+R296+Q296+K296+J296</f>
        <v>370</v>
      </c>
      <c r="AE296" s="16" t="n">
        <f aca="false">AD296/5</f>
        <v>74</v>
      </c>
      <c r="AF296" s="16" t="n">
        <v>77</v>
      </c>
      <c r="AG296" s="16" t="n">
        <v>83</v>
      </c>
      <c r="AH296" s="16" t="n">
        <v>85</v>
      </c>
      <c r="AI296" s="16" t="n">
        <v>89</v>
      </c>
      <c r="AJ296" s="16" t="n">
        <f aca="false">(AI296*70)/100</f>
        <v>62.3</v>
      </c>
      <c r="AK296" s="35" t="n">
        <f aca="false">ROUNDUP(AJ296,0)</f>
        <v>63</v>
      </c>
      <c r="AL296" s="16" t="n">
        <v>25</v>
      </c>
      <c r="AM296" s="16" t="n">
        <f aca="false">AL296+AJ296</f>
        <v>87.3</v>
      </c>
      <c r="AN296" s="16" t="n">
        <f aca="false">AL296+AK296</f>
        <v>88</v>
      </c>
      <c r="AO296" s="16" t="n">
        <v>62</v>
      </c>
      <c r="AP296" s="36" t="n">
        <f aca="false">(AO296*70)/100</f>
        <v>43.4</v>
      </c>
      <c r="AQ296" s="37" t="n">
        <f aca="false">ROUNDUP(AP296,0)</f>
        <v>44</v>
      </c>
      <c r="AR296" s="16" t="n">
        <v>24</v>
      </c>
      <c r="AS296" s="16" t="n">
        <f aca="false">AR296+AP296</f>
        <v>67.4</v>
      </c>
      <c r="AT296" s="16" t="n">
        <f aca="false">AR296+AQ296</f>
        <v>68</v>
      </c>
      <c r="AU296" s="16" t="n">
        <f aca="false">AO296+AF296+AI296+AH296+AG296</f>
        <v>396</v>
      </c>
      <c r="AV296" s="16" t="n">
        <f aca="false">(AO296+AF296+AI296+AH296+AG296)/5</f>
        <v>79.2</v>
      </c>
      <c r="AW296" s="36" t="n">
        <f aca="false">(AO296+AF296+AI296+AH296+AG296+X296+R296+Q296+K296+J296)</f>
        <v>766</v>
      </c>
      <c r="AX296" s="16" t="n">
        <f aca="false">AW296/10</f>
        <v>76.6</v>
      </c>
      <c r="AY296" s="16" t="n">
        <f aca="false">AS296+AF296+AM296+AH296+AG296+AB296+V296+Q296+O296+J296</f>
        <v>780.3</v>
      </c>
      <c r="AZ296" s="16" t="n">
        <f aca="false">AT296+AF296+AN296+AH296+AG296+AC296+W296+Q296+P296+J296</f>
        <v>784</v>
      </c>
      <c r="BA296" s="16" t="n">
        <f aca="false">AY296/10</f>
        <v>78.03</v>
      </c>
      <c r="BB296" s="16" t="n">
        <f aca="false">AZ296/10</f>
        <v>78.4</v>
      </c>
      <c r="BC296" s="16" t="n">
        <v>2382</v>
      </c>
      <c r="BD296" s="16" t="n">
        <f aca="false">RANK(AX296,$AX$2:$AX$881,0)</f>
        <v>547</v>
      </c>
      <c r="BE296" s="54" t="n">
        <f aca="false">((BC296*100)/2400)*0.4+(AX296*0.6)</f>
        <v>85.66</v>
      </c>
      <c r="BF296" s="16" t="n">
        <f aca="false">RANK(BE296,$BE$2:$BE$881,0)</f>
        <v>484</v>
      </c>
      <c r="BG296" s="39" t="n">
        <f aca="false">RANK(BB296,$BB$2:$BB$881,0)</f>
        <v>520</v>
      </c>
      <c r="BH296" s="39" t="n">
        <f aca="false">RANK(BC296,$BC$2:$BC$881,0)</f>
        <v>124</v>
      </c>
      <c r="BI296" s="22" t="s">
        <v>130</v>
      </c>
      <c r="BJ296" s="22" t="s">
        <v>129</v>
      </c>
      <c r="BK296" s="40" t="s">
        <v>509</v>
      </c>
      <c r="BL296" s="41" t="n">
        <v>23</v>
      </c>
      <c r="BM296" s="41" t="n">
        <v>53</v>
      </c>
      <c r="BN296" s="41" t="n">
        <v>76</v>
      </c>
      <c r="BO296" s="42" t="n">
        <v>23</v>
      </c>
      <c r="BP296" s="43" t="n">
        <v>59</v>
      </c>
      <c r="BQ296" s="44" t="n">
        <v>82</v>
      </c>
      <c r="BR296" s="42" t="n">
        <v>24</v>
      </c>
      <c r="BS296" s="45" t="n">
        <v>54</v>
      </c>
      <c r="BT296" s="45" t="n">
        <v>78</v>
      </c>
      <c r="BU296" s="46" t="n">
        <v>100</v>
      </c>
      <c r="BV296" s="47" t="n">
        <v>82</v>
      </c>
      <c r="BW296" s="42" t="n">
        <v>98</v>
      </c>
      <c r="BX296" s="48" t="n">
        <v>94</v>
      </c>
      <c r="BY296" s="32" t="n">
        <v>29</v>
      </c>
      <c r="BZ296" s="32" t="n">
        <v>54</v>
      </c>
      <c r="CA296" s="32" t="n">
        <v>83</v>
      </c>
      <c r="CB296" s="32" t="n">
        <v>20</v>
      </c>
      <c r="CC296" s="32" t="n">
        <v>39</v>
      </c>
      <c r="CD296" s="69" t="n">
        <v>59</v>
      </c>
      <c r="CE296" s="32" t="n">
        <v>21</v>
      </c>
      <c r="CF296" s="32" t="n">
        <v>47</v>
      </c>
      <c r="CG296" s="32" t="n">
        <v>68</v>
      </c>
      <c r="CH296" s="32" t="n">
        <v>96</v>
      </c>
      <c r="CI296" s="32" t="n">
        <v>99</v>
      </c>
      <c r="CJ296" s="49" t="n">
        <v>25</v>
      </c>
      <c r="CK296" s="49" t="n">
        <v>55</v>
      </c>
      <c r="CL296" s="49" t="n">
        <v>80</v>
      </c>
      <c r="CM296" s="49" t="n">
        <v>20</v>
      </c>
      <c r="CN296" s="49" t="n">
        <v>53</v>
      </c>
      <c r="CO296" s="49" t="n">
        <v>73</v>
      </c>
      <c r="CP296" s="25" t="n">
        <f aca="false">BX296+BW296+BV296+BU296+BT296+BQ296+BN296</f>
        <v>610</v>
      </c>
      <c r="CQ296" s="25" t="n">
        <f aca="false">CO296+CL296+CI296+CH296+CG296+CD296+CA296</f>
        <v>558</v>
      </c>
      <c r="CR296" s="26" t="n">
        <f aca="false">CP296/7</f>
        <v>87.1428571428571</v>
      </c>
      <c r="CS296" s="26" t="n">
        <f aca="false">CQ296/7</f>
        <v>79.7142857142857</v>
      </c>
      <c r="CT296" s="24" t="n">
        <f aca="false">RANK(CR296,$CR$2:$CR$881,0)</f>
        <v>353</v>
      </c>
      <c r="CU296" s="25" t="n">
        <f aca="false">RANK(CS296,$CS$2:$CS$881,0)</f>
        <v>275</v>
      </c>
      <c r="CV296" s="26" t="n">
        <f aca="false">(CS296+CR296)/2</f>
        <v>83.4285714285714</v>
      </c>
      <c r="CW296" s="25" t="n">
        <f aca="false">RANK(CV296,$CV$2:$CV$881,0)</f>
        <v>281</v>
      </c>
      <c r="CX296" s="50" t="n">
        <f aca="false">(CV296+BB296)/2</f>
        <v>80.9142857142857</v>
      </c>
      <c r="CY296" s="50" t="n">
        <v>323</v>
      </c>
      <c r="CZ296" s="27" t="s">
        <v>132</v>
      </c>
      <c r="DA296" s="27" t="s">
        <v>162</v>
      </c>
      <c r="DB296" s="27" t="s">
        <v>162</v>
      </c>
      <c r="DC296" s="27" t="s">
        <v>134</v>
      </c>
      <c r="DD296" s="27" t="s">
        <v>137</v>
      </c>
      <c r="DE296" s="27" t="s">
        <v>447</v>
      </c>
      <c r="DF296" s="27" t="s">
        <v>272</v>
      </c>
      <c r="DG296" s="27" t="s">
        <v>134</v>
      </c>
      <c r="DH296" s="27" t="s">
        <v>135</v>
      </c>
      <c r="DI296" s="27" t="s">
        <v>218</v>
      </c>
      <c r="DJ296" s="27" t="s">
        <v>205</v>
      </c>
      <c r="DK296" s="27" t="s">
        <v>134</v>
      </c>
      <c r="DL296" s="27" t="s">
        <v>154</v>
      </c>
      <c r="DM296" s="27" t="s">
        <v>218</v>
      </c>
      <c r="DN296" s="27" t="s">
        <v>219</v>
      </c>
      <c r="DO296" s="27" t="s">
        <v>134</v>
      </c>
      <c r="DP296" s="27" t="s">
        <v>191</v>
      </c>
      <c r="DQ296" s="27" t="s">
        <v>220</v>
      </c>
      <c r="DR296" s="27" t="s">
        <v>443</v>
      </c>
      <c r="DS296" s="27" t="s">
        <v>134</v>
      </c>
      <c r="DT296" s="27" t="s">
        <v>164</v>
      </c>
      <c r="DU296" s="27" t="s">
        <v>447</v>
      </c>
      <c r="DV296" s="27" t="s">
        <v>219</v>
      </c>
      <c r="DW296" s="27" t="s">
        <v>1000</v>
      </c>
      <c r="DX296" s="27" t="s">
        <v>138</v>
      </c>
      <c r="DY296" s="27" t="s">
        <v>169</v>
      </c>
      <c r="DZ296" s="27" t="n">
        <f aca="false">DY296+DV296+DR296+DN296+DJ296+DF296+DB296</f>
        <v>569</v>
      </c>
      <c r="EA296" s="28" t="n">
        <f aca="false">DZ296/7</f>
        <v>81.2857142857143</v>
      </c>
      <c r="EB296" s="27" t="n">
        <f aca="false">RANK(EA296,$EA$2:$EA$881,0)</f>
        <v>335</v>
      </c>
      <c r="EC296" s="29" t="n">
        <f aca="false">DZ296+CQ296+CP296+AZ296</f>
        <v>2521</v>
      </c>
      <c r="ED296" s="30" t="n">
        <f aca="false">(EA296+CV296+BB296)/3</f>
        <v>81.0380952380952</v>
      </c>
      <c r="EE296" s="51" t="n">
        <f aca="false">ROUND(BE296,3)</f>
        <v>85.66</v>
      </c>
      <c r="EF296" s="51" t="n">
        <f aca="false">ROUND(CR296,3)</f>
        <v>87.143</v>
      </c>
      <c r="EG296" s="51" t="n">
        <f aca="false">ROUND(CS296,3)</f>
        <v>79.714</v>
      </c>
      <c r="EH296" s="51" t="n">
        <f aca="false">ROUND(EA296,3)</f>
        <v>81.286</v>
      </c>
      <c r="EI296" s="51" t="n">
        <f aca="false">ROUND(ED296,3)</f>
        <v>81.038</v>
      </c>
      <c r="EJ296" s="51" t="n">
        <f aca="false">ROUND(CV296,3)</f>
        <v>83.429</v>
      </c>
      <c r="EK296" s="0" t="n">
        <f aca="false">RANK(EI296,$EI$2:$EI$881,0)</f>
        <v>295</v>
      </c>
    </row>
    <row r="297" customFormat="false" ht="15" hidden="false" customHeight="false" outlineLevel="0" collapsed="false">
      <c r="A297" s="4" t="n">
        <v>2011</v>
      </c>
      <c r="B297" s="4" t="n">
        <v>386</v>
      </c>
      <c r="C297" s="27" t="s">
        <v>1017</v>
      </c>
      <c r="D297" s="31" t="n">
        <v>390</v>
      </c>
      <c r="E297" s="32" t="n">
        <v>230324894</v>
      </c>
      <c r="F297" s="8" t="s">
        <v>1018</v>
      </c>
      <c r="G297" s="22" t="s">
        <v>1019</v>
      </c>
      <c r="H297" s="22" t="s">
        <v>129</v>
      </c>
      <c r="I297" s="33" t="n">
        <v>2005</v>
      </c>
      <c r="J297" s="32" t="n">
        <v>74</v>
      </c>
      <c r="K297" s="32" t="n">
        <v>87</v>
      </c>
      <c r="L297" s="34" t="n">
        <f aca="false">(K297*70)/100</f>
        <v>60.9</v>
      </c>
      <c r="M297" s="34" t="n">
        <f aca="false">ROUNDUP(L297,0)</f>
        <v>61</v>
      </c>
      <c r="N297" s="32" t="n">
        <v>25</v>
      </c>
      <c r="O297" s="34" t="n">
        <f aca="false">N297+L297</f>
        <v>85.9</v>
      </c>
      <c r="P297" s="34" t="n">
        <f aca="false">N297+M297</f>
        <v>86</v>
      </c>
      <c r="Q297" s="32" t="n">
        <v>71</v>
      </c>
      <c r="R297" s="32" t="n">
        <v>76</v>
      </c>
      <c r="S297" s="34" t="n">
        <f aca="false">(R297*70)/100</f>
        <v>53.2</v>
      </c>
      <c r="T297" s="34" t="n">
        <f aca="false">ROUNDUP(S297,0)</f>
        <v>54</v>
      </c>
      <c r="U297" s="32" t="n">
        <v>25</v>
      </c>
      <c r="V297" s="34" t="n">
        <f aca="false">U297+S297</f>
        <v>78.2</v>
      </c>
      <c r="W297" s="34" t="n">
        <f aca="false">U297+T297</f>
        <v>79</v>
      </c>
      <c r="X297" s="32" t="n">
        <v>68</v>
      </c>
      <c r="Y297" s="34" t="n">
        <f aca="false">(X297*70)/100</f>
        <v>47.6</v>
      </c>
      <c r="Z297" s="34" t="n">
        <f aca="false">ROUNDUP(Y297,0)</f>
        <v>48</v>
      </c>
      <c r="AA297" s="32" t="n">
        <v>24</v>
      </c>
      <c r="AB297" s="34" t="n">
        <f aca="false">AA297+Y297</f>
        <v>71.6</v>
      </c>
      <c r="AC297" s="34" t="n">
        <f aca="false">AA297+Z297</f>
        <v>72</v>
      </c>
      <c r="AD297" s="32" t="n">
        <f aca="false">X297+R297+Q297+K297+J297</f>
        <v>376</v>
      </c>
      <c r="AE297" s="16" t="n">
        <f aca="false">AD297/5</f>
        <v>75.2</v>
      </c>
      <c r="AF297" s="16" t="n">
        <v>71</v>
      </c>
      <c r="AG297" s="16" t="n">
        <v>75</v>
      </c>
      <c r="AH297" s="16" t="n">
        <v>89</v>
      </c>
      <c r="AI297" s="16" t="n">
        <v>88</v>
      </c>
      <c r="AJ297" s="16" t="n">
        <f aca="false">(AI297*70)/100</f>
        <v>61.6</v>
      </c>
      <c r="AK297" s="35" t="n">
        <f aca="false">ROUNDUP(AJ297,0)</f>
        <v>62</v>
      </c>
      <c r="AL297" s="16" t="n">
        <v>27</v>
      </c>
      <c r="AM297" s="16" t="n">
        <f aca="false">AL297+AJ297</f>
        <v>88.6</v>
      </c>
      <c r="AN297" s="16" t="n">
        <f aca="false">AL297+AK297</f>
        <v>89</v>
      </c>
      <c r="AO297" s="16" t="n">
        <v>72</v>
      </c>
      <c r="AP297" s="36" t="n">
        <f aca="false">(AO297*70)/100</f>
        <v>50.4</v>
      </c>
      <c r="AQ297" s="37" t="n">
        <f aca="false">ROUNDUP(AP297,0)</f>
        <v>51</v>
      </c>
      <c r="AR297" s="16" t="n">
        <v>24</v>
      </c>
      <c r="AS297" s="16" t="n">
        <f aca="false">AR297+AP297</f>
        <v>74.4</v>
      </c>
      <c r="AT297" s="16" t="n">
        <f aca="false">AR297+AQ297</f>
        <v>75</v>
      </c>
      <c r="AU297" s="16" t="n">
        <f aca="false">AO297+AF297+AI297+AH297+AG297</f>
        <v>395</v>
      </c>
      <c r="AV297" s="16" t="n">
        <f aca="false">(AO297+AF297+AI297+AH297+AG297)/5</f>
        <v>79</v>
      </c>
      <c r="AW297" s="36" t="n">
        <f aca="false">(AO297+AF297+AI297+AH297+AG297+X297+R297+Q297+K297+J297)</f>
        <v>771</v>
      </c>
      <c r="AX297" s="16" t="n">
        <f aca="false">AW297/10</f>
        <v>77.1</v>
      </c>
      <c r="AY297" s="16" t="n">
        <f aca="false">AS297+AF297+AM297+AH297+AG297+AB297+V297+Q297+O297+J297</f>
        <v>778.7</v>
      </c>
      <c r="AZ297" s="16" t="n">
        <f aca="false">AT297+AF297+AN297+AH297+AG297+AC297+W297+Q297+P297+J297</f>
        <v>781</v>
      </c>
      <c r="BA297" s="16" t="n">
        <f aca="false">AY297/10</f>
        <v>77.87</v>
      </c>
      <c r="BB297" s="16" t="n">
        <f aca="false">AZ297/10</f>
        <v>78.1</v>
      </c>
      <c r="BC297" s="16" t="n">
        <v>2356</v>
      </c>
      <c r="BD297" s="16" t="n">
        <f aca="false">RANK(AX297,$AX$2:$AX$881,0)</f>
        <v>496</v>
      </c>
      <c r="BE297" s="54" t="n">
        <f aca="false">((BC297*100)/2400)*0.4+(AX297*0.6)</f>
        <v>85.5266666666667</v>
      </c>
      <c r="BF297" s="16" t="n">
        <f aca="false">RANK(BE297,$BE$2:$BE$881,0)</f>
        <v>501</v>
      </c>
      <c r="BG297" s="39" t="n">
        <f aca="false">RANK(BB297,$BB$2:$BB$881,0)</f>
        <v>552</v>
      </c>
      <c r="BH297" s="39" t="n">
        <f aca="false">RANK(BC297,$BC$2:$BC$881,0)</f>
        <v>462</v>
      </c>
      <c r="BI297" s="22" t="s">
        <v>130</v>
      </c>
      <c r="BJ297" s="22" t="s">
        <v>129</v>
      </c>
      <c r="BK297" s="40" t="s">
        <v>509</v>
      </c>
      <c r="BL297" s="41" t="n">
        <v>12</v>
      </c>
      <c r="BM297" s="41" t="n">
        <v>54</v>
      </c>
      <c r="BN297" s="41" t="n">
        <v>66</v>
      </c>
      <c r="BO297" s="42" t="n">
        <v>21</v>
      </c>
      <c r="BP297" s="43" t="n">
        <v>61</v>
      </c>
      <c r="BQ297" s="44" t="n">
        <v>82</v>
      </c>
      <c r="BR297" s="42" t="n">
        <v>21</v>
      </c>
      <c r="BS297" s="45" t="n">
        <v>47</v>
      </c>
      <c r="BT297" s="45" t="n">
        <v>68</v>
      </c>
      <c r="BU297" s="46" t="n">
        <v>100</v>
      </c>
      <c r="BV297" s="47" t="n">
        <v>84</v>
      </c>
      <c r="BW297" s="42" t="n">
        <v>98</v>
      </c>
      <c r="BX297" s="48" t="n">
        <v>92</v>
      </c>
      <c r="BY297" s="32" t="n">
        <v>28</v>
      </c>
      <c r="BZ297" s="32" t="n">
        <v>55</v>
      </c>
      <c r="CA297" s="32" t="n">
        <v>83</v>
      </c>
      <c r="CB297" s="32" t="n">
        <v>22</v>
      </c>
      <c r="CC297" s="32" t="n">
        <v>37</v>
      </c>
      <c r="CD297" s="69" t="n">
        <v>59</v>
      </c>
      <c r="CE297" s="32" t="n">
        <v>23</v>
      </c>
      <c r="CF297" s="32" t="n">
        <v>47</v>
      </c>
      <c r="CG297" s="32" t="n">
        <v>70</v>
      </c>
      <c r="CH297" s="32" t="n">
        <v>98</v>
      </c>
      <c r="CI297" s="32" t="n">
        <v>92</v>
      </c>
      <c r="CJ297" s="49" t="n">
        <v>21</v>
      </c>
      <c r="CK297" s="49" t="n">
        <v>49</v>
      </c>
      <c r="CL297" s="49" t="n">
        <v>70</v>
      </c>
      <c r="CM297" s="49" t="n">
        <v>22</v>
      </c>
      <c r="CN297" s="49" t="n">
        <v>50</v>
      </c>
      <c r="CO297" s="49" t="n">
        <v>72</v>
      </c>
      <c r="CP297" s="25" t="n">
        <f aca="false">BX297+BW297+BV297+BU297+BT297+BQ297+BN297</f>
        <v>590</v>
      </c>
      <c r="CQ297" s="25" t="n">
        <f aca="false">CO297+CL297+CI297+CH297+CG297+CD297+CA297</f>
        <v>544</v>
      </c>
      <c r="CR297" s="26" t="n">
        <f aca="false">CP297/7</f>
        <v>84.2857142857143</v>
      </c>
      <c r="CS297" s="26" t="n">
        <f aca="false">CQ297/7</f>
        <v>77.7142857142857</v>
      </c>
      <c r="CT297" s="24" t="n">
        <f aca="false">RANK(CR297,$CR$2:$CR$881,0)</f>
        <v>467</v>
      </c>
      <c r="CU297" s="25" t="n">
        <f aca="false">RANK(CS297,$CS$2:$CS$881,0)</f>
        <v>344</v>
      </c>
      <c r="CV297" s="26" t="n">
        <f aca="false">(CS297+CR297)/2</f>
        <v>81</v>
      </c>
      <c r="CW297" s="25" t="n">
        <f aca="false">RANK(CV297,$CV$2:$CV$881,0)</f>
        <v>381</v>
      </c>
      <c r="CX297" s="50" t="n">
        <f aca="false">(CV297+BB297)/2</f>
        <v>79.55</v>
      </c>
      <c r="CY297" s="50" t="n">
        <v>394</v>
      </c>
      <c r="CZ297" s="27" t="s">
        <v>132</v>
      </c>
      <c r="DA297" s="27" t="s">
        <v>153</v>
      </c>
      <c r="DB297" s="27" t="s">
        <v>153</v>
      </c>
      <c r="DC297" s="27" t="s">
        <v>134</v>
      </c>
      <c r="DD297" s="27" t="s">
        <v>182</v>
      </c>
      <c r="DE297" s="27" t="s">
        <v>375</v>
      </c>
      <c r="DF297" s="27" t="s">
        <v>372</v>
      </c>
      <c r="DG297" s="27" t="s">
        <v>134</v>
      </c>
      <c r="DH297" s="27" t="s">
        <v>135</v>
      </c>
      <c r="DI297" s="27" t="s">
        <v>161</v>
      </c>
      <c r="DJ297" s="27" t="s">
        <v>202</v>
      </c>
      <c r="DK297" s="27" t="s">
        <v>134</v>
      </c>
      <c r="DL297" s="27" t="s">
        <v>137</v>
      </c>
      <c r="DM297" s="27" t="s">
        <v>220</v>
      </c>
      <c r="DN297" s="27" t="s">
        <v>205</v>
      </c>
      <c r="DO297" s="27" t="s">
        <v>134</v>
      </c>
      <c r="DP297" s="27" t="s">
        <v>174</v>
      </c>
      <c r="DQ297" s="27" t="s">
        <v>447</v>
      </c>
      <c r="DR297" s="27" t="s">
        <v>441</v>
      </c>
      <c r="DS297" s="27" t="s">
        <v>134</v>
      </c>
      <c r="DT297" s="27" t="s">
        <v>160</v>
      </c>
      <c r="DU297" s="27" t="s">
        <v>183</v>
      </c>
      <c r="DV297" s="27" t="s">
        <v>202</v>
      </c>
      <c r="DW297" s="27" t="s">
        <v>135</v>
      </c>
      <c r="DX297" s="27" t="s">
        <v>138</v>
      </c>
      <c r="DY297" s="27" t="s">
        <v>156</v>
      </c>
      <c r="DZ297" s="27" t="n">
        <f aca="false">DY297+DV297+DR297+DN297+DJ297+DF297+DB297</f>
        <v>587</v>
      </c>
      <c r="EA297" s="28" t="n">
        <f aca="false">DZ297/7</f>
        <v>83.8571428571429</v>
      </c>
      <c r="EB297" s="27" t="n">
        <f aca="false">RANK(EA297,$EA$2:$EA$881,0)</f>
        <v>230</v>
      </c>
      <c r="EC297" s="29" t="n">
        <f aca="false">DZ297+CQ297+CP297+AZ297</f>
        <v>2502</v>
      </c>
      <c r="ED297" s="30" t="n">
        <f aca="false">(EA297+CV297+BB297)/3</f>
        <v>80.9857142857143</v>
      </c>
      <c r="EE297" s="51" t="n">
        <f aca="false">ROUND(BE297,3)</f>
        <v>85.527</v>
      </c>
      <c r="EF297" s="51" t="n">
        <f aca="false">ROUND(CR297,3)</f>
        <v>84.286</v>
      </c>
      <c r="EG297" s="51" t="n">
        <f aca="false">ROUND(CS297,3)</f>
        <v>77.714</v>
      </c>
      <c r="EH297" s="51" t="n">
        <f aca="false">ROUND(EA297,3)</f>
        <v>83.857</v>
      </c>
      <c r="EI297" s="51" t="n">
        <f aca="false">ROUND(ED297,3)</f>
        <v>80.986</v>
      </c>
      <c r="EJ297" s="51" t="n">
        <f aca="false">ROUND(CV297,3)</f>
        <v>81</v>
      </c>
      <c r="EK297" s="0" t="n">
        <f aca="false">RANK(EI297,$EI$2:$EI$881,0)</f>
        <v>296</v>
      </c>
    </row>
    <row r="298" customFormat="false" ht="15" hidden="false" customHeight="false" outlineLevel="0" collapsed="false">
      <c r="A298" s="4" t="n">
        <v>9043</v>
      </c>
      <c r="B298" s="4" t="n">
        <v>223</v>
      </c>
      <c r="C298" s="27" t="s">
        <v>1020</v>
      </c>
      <c r="D298" s="31" t="n">
        <v>225</v>
      </c>
      <c r="E298" s="32" t="n">
        <v>230322757</v>
      </c>
      <c r="F298" s="8" t="s">
        <v>1021</v>
      </c>
      <c r="G298" s="22" t="s">
        <v>1022</v>
      </c>
      <c r="H298" s="22" t="s">
        <v>129</v>
      </c>
      <c r="I298" s="33" t="n">
        <v>2005</v>
      </c>
      <c r="J298" s="32" t="n">
        <v>70</v>
      </c>
      <c r="K298" s="32" t="n">
        <v>89</v>
      </c>
      <c r="L298" s="34" t="n">
        <f aca="false">(K298*70)/100</f>
        <v>62.3</v>
      </c>
      <c r="M298" s="34" t="n">
        <f aca="false">ROUNDUP(L298,0)</f>
        <v>63</v>
      </c>
      <c r="N298" s="32" t="n">
        <v>25</v>
      </c>
      <c r="O298" s="34" t="n">
        <f aca="false">N298+L298</f>
        <v>87.3</v>
      </c>
      <c r="P298" s="34" t="n">
        <f aca="false">N298+M298</f>
        <v>88</v>
      </c>
      <c r="Q298" s="32" t="n">
        <v>86</v>
      </c>
      <c r="R298" s="32" t="n">
        <v>73</v>
      </c>
      <c r="S298" s="34" t="n">
        <f aca="false">(R298*70)/100</f>
        <v>51.1</v>
      </c>
      <c r="T298" s="34" t="n">
        <f aca="false">ROUNDUP(S298,0)</f>
        <v>52</v>
      </c>
      <c r="U298" s="32" t="n">
        <v>19</v>
      </c>
      <c r="V298" s="34" t="n">
        <f aca="false">U298+S298</f>
        <v>70.1</v>
      </c>
      <c r="W298" s="34" t="n">
        <f aca="false">U298+T298</f>
        <v>71</v>
      </c>
      <c r="X298" s="32" t="n">
        <v>47</v>
      </c>
      <c r="Y298" s="34" t="n">
        <f aca="false">(X298*70)/100</f>
        <v>32.9</v>
      </c>
      <c r="Z298" s="34" t="n">
        <f aca="false">ROUNDUP(Y298,0)</f>
        <v>33</v>
      </c>
      <c r="AA298" s="32" t="n">
        <v>26</v>
      </c>
      <c r="AB298" s="34" t="n">
        <f aca="false">AA298+Y298</f>
        <v>58.9</v>
      </c>
      <c r="AC298" s="91" t="n">
        <f aca="false">AA298+Z298</f>
        <v>59</v>
      </c>
      <c r="AD298" s="32" t="n">
        <f aca="false">X298+R298+Q298+K298+J298</f>
        <v>365</v>
      </c>
      <c r="AE298" s="16" t="n">
        <f aca="false">AD298/5</f>
        <v>73</v>
      </c>
      <c r="AF298" s="16" t="n">
        <v>63</v>
      </c>
      <c r="AG298" s="16" t="n">
        <v>79</v>
      </c>
      <c r="AH298" s="16" t="n">
        <v>86</v>
      </c>
      <c r="AI298" s="16" t="n">
        <v>92</v>
      </c>
      <c r="AJ298" s="16" t="n">
        <f aca="false">(AI298*70)/100</f>
        <v>64.4</v>
      </c>
      <c r="AK298" s="35" t="n">
        <f aca="false">ROUNDUP(AJ298,0)</f>
        <v>65</v>
      </c>
      <c r="AL298" s="16" t="n">
        <v>21</v>
      </c>
      <c r="AM298" s="16" t="n">
        <f aca="false">AL298+AJ298</f>
        <v>85.4</v>
      </c>
      <c r="AN298" s="16" t="n">
        <f aca="false">AL298+AK298</f>
        <v>86</v>
      </c>
      <c r="AO298" s="16" t="n">
        <v>71</v>
      </c>
      <c r="AP298" s="36" t="n">
        <f aca="false">(AO298*70)/100</f>
        <v>49.7</v>
      </c>
      <c r="AQ298" s="37" t="n">
        <f aca="false">ROUNDUP(AP298,0)</f>
        <v>50</v>
      </c>
      <c r="AR298" s="16" t="n">
        <v>30</v>
      </c>
      <c r="AS298" s="16" t="n">
        <f aca="false">AR298+AP298</f>
        <v>79.7</v>
      </c>
      <c r="AT298" s="16" t="n">
        <f aca="false">AR298+AQ298</f>
        <v>80</v>
      </c>
      <c r="AU298" s="16" t="n">
        <f aca="false">AO298+AF298+AI298+AH298+AG298</f>
        <v>391</v>
      </c>
      <c r="AV298" s="16" t="n">
        <f aca="false">(AO298+AF298+AI298+AH298+AG298)/5</f>
        <v>78.2</v>
      </c>
      <c r="AW298" s="36" t="n">
        <f aca="false">(AO298+AF298+AI298+AH298+AG298+X298+R298+Q298+K298+J298)</f>
        <v>756</v>
      </c>
      <c r="AX298" s="16" t="n">
        <f aca="false">AW298/10</f>
        <v>75.6</v>
      </c>
      <c r="AY298" s="16" t="n">
        <f aca="false">AS298+AF298+AM298+AH298+AG298+AB298+V298+Q298+O298+J298</f>
        <v>765.4</v>
      </c>
      <c r="AZ298" s="16" t="n">
        <f aca="false">AT298+AF298+AN298+AH298+AG298+AC298+W298+Q298+P298+J298</f>
        <v>768</v>
      </c>
      <c r="BA298" s="16" t="n">
        <f aca="false">AY298/10</f>
        <v>76.54</v>
      </c>
      <c r="BB298" s="16" t="n">
        <f aca="false">AZ298/10</f>
        <v>76.8</v>
      </c>
      <c r="BC298" s="16" t="n">
        <v>2343</v>
      </c>
      <c r="BD298" s="16" t="n">
        <f aca="false">RANK(AX298,$AX$2:$AX$881,0)</f>
        <v>652</v>
      </c>
      <c r="BE298" s="73" t="n">
        <f aca="false">((BC298*100)/2400)*0.4+(AX298*0.6)</f>
        <v>84.41</v>
      </c>
      <c r="BF298" s="16" t="n">
        <f aca="false">RANK(BE298,$BE$2:$BE$881,0)</f>
        <v>674</v>
      </c>
      <c r="BG298" s="39" t="n">
        <f aca="false">RANK(BB298,$BB$2:$BB$881,0)</f>
        <v>655</v>
      </c>
      <c r="BH298" s="39" t="n">
        <f aca="false">RANK(BC298,$BC$2:$BC$881,0)</f>
        <v>613</v>
      </c>
      <c r="BI298" s="22" t="s">
        <v>130</v>
      </c>
      <c r="BJ298" s="22" t="s">
        <v>129</v>
      </c>
      <c r="BK298" s="40" t="s">
        <v>702</v>
      </c>
      <c r="BL298" s="41" t="n">
        <v>21</v>
      </c>
      <c r="BM298" s="41" t="n">
        <v>62</v>
      </c>
      <c r="BN298" s="41" t="n">
        <v>83</v>
      </c>
      <c r="BO298" s="42" t="n">
        <v>26</v>
      </c>
      <c r="BP298" s="42" t="n">
        <v>69</v>
      </c>
      <c r="BQ298" s="42" t="n">
        <v>95</v>
      </c>
      <c r="BR298" s="42" t="n">
        <v>25</v>
      </c>
      <c r="BS298" s="45" t="n">
        <v>58</v>
      </c>
      <c r="BT298" s="45" t="n">
        <v>83</v>
      </c>
      <c r="BU298" s="46" t="n">
        <v>100</v>
      </c>
      <c r="BV298" s="47" t="n">
        <v>88</v>
      </c>
      <c r="BW298" s="42" t="n">
        <v>93</v>
      </c>
      <c r="BX298" s="48" t="n">
        <v>98</v>
      </c>
      <c r="BY298" s="32" t="n">
        <v>24</v>
      </c>
      <c r="BZ298" s="32" t="n">
        <v>55</v>
      </c>
      <c r="CA298" s="32" t="n">
        <v>79</v>
      </c>
      <c r="CB298" s="32" t="n">
        <v>23</v>
      </c>
      <c r="CC298" s="32" t="n">
        <v>30</v>
      </c>
      <c r="CD298" s="69" t="n">
        <v>53</v>
      </c>
      <c r="CE298" s="32" t="n">
        <v>25</v>
      </c>
      <c r="CF298" s="32" t="n">
        <v>57</v>
      </c>
      <c r="CG298" s="32" t="n">
        <v>82</v>
      </c>
      <c r="CH298" s="32" t="n">
        <v>93</v>
      </c>
      <c r="CI298" s="32" t="n">
        <v>98</v>
      </c>
      <c r="CJ298" s="49" t="n">
        <v>26</v>
      </c>
      <c r="CK298" s="49" t="n">
        <v>55</v>
      </c>
      <c r="CL298" s="49" t="n">
        <v>81</v>
      </c>
      <c r="CM298" s="49" t="n">
        <v>25</v>
      </c>
      <c r="CN298" s="49" t="n">
        <v>51</v>
      </c>
      <c r="CO298" s="49" t="n">
        <v>76</v>
      </c>
      <c r="CP298" s="25" t="n">
        <f aca="false">BX298+BW298+BV298+BU298+BT298+BQ298+BN298</f>
        <v>640</v>
      </c>
      <c r="CQ298" s="25" t="n">
        <f aca="false">CO298+CL298+CI298+CH298+CG298+CD298+CA298</f>
        <v>562</v>
      </c>
      <c r="CR298" s="26" t="n">
        <f aca="false">CP298/7</f>
        <v>91.4285714285714</v>
      </c>
      <c r="CS298" s="26" t="n">
        <f aca="false">CQ298/7</f>
        <v>80.2857142857143</v>
      </c>
      <c r="CT298" s="24" t="n">
        <f aca="false">RANK(CR298,$CR$2:$CR$881,0)</f>
        <v>106</v>
      </c>
      <c r="CU298" s="25" t="n">
        <f aca="false">RANK(CS298,$CS$2:$CS$881,0)</f>
        <v>253</v>
      </c>
      <c r="CV298" s="26" t="n">
        <f aca="false">(CS298+CR298)/2</f>
        <v>85.8571428571429</v>
      </c>
      <c r="CW298" s="25" t="n">
        <f aca="false">RANK(CV298,$CV$2:$CV$881,0)</f>
        <v>179</v>
      </c>
      <c r="CX298" s="50" t="n">
        <f aca="false">(CV298+BB298)/2</f>
        <v>81.3285714285714</v>
      </c>
      <c r="CY298" s="50" t="n">
        <v>303</v>
      </c>
      <c r="CZ298" s="27" t="s">
        <v>132</v>
      </c>
      <c r="DA298" s="27" t="s">
        <v>175</v>
      </c>
      <c r="DB298" s="27" t="s">
        <v>175</v>
      </c>
      <c r="DC298" s="27" t="s">
        <v>134</v>
      </c>
      <c r="DD298" s="27" t="s">
        <v>182</v>
      </c>
      <c r="DE298" s="27" t="s">
        <v>304</v>
      </c>
      <c r="DF298" s="27" t="s">
        <v>305</v>
      </c>
      <c r="DG298" s="27" t="s">
        <v>134</v>
      </c>
      <c r="DH298" s="27" t="s">
        <v>164</v>
      </c>
      <c r="DI298" s="27" t="s">
        <v>375</v>
      </c>
      <c r="DJ298" s="27" t="s">
        <v>382</v>
      </c>
      <c r="DK298" s="27" t="s">
        <v>134</v>
      </c>
      <c r="DL298" s="27" t="s">
        <v>154</v>
      </c>
      <c r="DM298" s="27" t="s">
        <v>203</v>
      </c>
      <c r="DN298" s="27" t="s">
        <v>175</v>
      </c>
      <c r="DO298" s="27" t="s">
        <v>134</v>
      </c>
      <c r="DP298" s="27" t="s">
        <v>195</v>
      </c>
      <c r="DQ298" s="27" t="s">
        <v>681</v>
      </c>
      <c r="DR298" s="27" t="s">
        <v>141</v>
      </c>
      <c r="DS298" s="27" t="s">
        <v>134</v>
      </c>
      <c r="DT298" s="27" t="s">
        <v>137</v>
      </c>
      <c r="DU298" s="27" t="s">
        <v>304</v>
      </c>
      <c r="DV298" s="27" t="s">
        <v>219</v>
      </c>
      <c r="DW298" s="27" t="s">
        <v>154</v>
      </c>
      <c r="DX298" s="27" t="s">
        <v>141</v>
      </c>
      <c r="DY298" s="27" t="s">
        <v>153</v>
      </c>
      <c r="DZ298" s="27" t="n">
        <f aca="false">DY298+DV298+DR298+DN298+DJ298+DF298+DB298</f>
        <v>562</v>
      </c>
      <c r="EA298" s="28" t="n">
        <f aca="false">DZ298/7</f>
        <v>80.2857142857143</v>
      </c>
      <c r="EB298" s="27" t="n">
        <f aca="false">RANK(EA298,$EA$2:$EA$881,0)</f>
        <v>380</v>
      </c>
      <c r="EC298" s="29" t="n">
        <f aca="false">DZ298+CQ298+CP298+AZ298</f>
        <v>2532</v>
      </c>
      <c r="ED298" s="30" t="n">
        <f aca="false">(EA298+CV298+BB298)/3</f>
        <v>80.9809523809524</v>
      </c>
      <c r="EE298" s="51" t="n">
        <f aca="false">ROUND(BE298,3)</f>
        <v>84.41</v>
      </c>
      <c r="EF298" s="51" t="n">
        <f aca="false">ROUND(CR298,3)</f>
        <v>91.429</v>
      </c>
      <c r="EG298" s="51" t="n">
        <f aca="false">ROUND(CS298,3)</f>
        <v>80.286</v>
      </c>
      <c r="EH298" s="51" t="n">
        <f aca="false">ROUND(EA298,3)</f>
        <v>80.286</v>
      </c>
      <c r="EI298" s="51" t="n">
        <f aca="false">ROUND(ED298,3)</f>
        <v>80.981</v>
      </c>
      <c r="EJ298" s="51" t="n">
        <f aca="false">ROUND(CV298,3)</f>
        <v>85.857</v>
      </c>
      <c r="EK298" s="0" t="n">
        <f aca="false">RANK(EI298,$EI$2:$EI$881,0)</f>
        <v>297</v>
      </c>
    </row>
    <row r="299" customFormat="false" ht="15" hidden="false" customHeight="false" outlineLevel="0" collapsed="false">
      <c r="A299" s="4" t="n">
        <v>8744</v>
      </c>
      <c r="B299" s="4" t="n">
        <v>755</v>
      </c>
      <c r="C299" s="27" t="s">
        <v>1023</v>
      </c>
      <c r="D299" s="31" t="n">
        <v>770</v>
      </c>
      <c r="E299" s="16" t="n">
        <v>230220366</v>
      </c>
      <c r="F299" s="56" t="s">
        <v>1024</v>
      </c>
      <c r="G299" s="22" t="s">
        <v>277</v>
      </c>
      <c r="H299" s="22" t="s">
        <v>326</v>
      </c>
      <c r="I299" s="57"/>
      <c r="J299" s="16" t="n">
        <v>60</v>
      </c>
      <c r="K299" s="16" t="n">
        <v>75</v>
      </c>
      <c r="L299" s="34" t="n">
        <f aca="false">(K299*70)/100</f>
        <v>52.5</v>
      </c>
      <c r="M299" s="34" t="n">
        <f aca="false">ROUNDUP(L299,0)</f>
        <v>53</v>
      </c>
      <c r="N299" s="16" t="n">
        <v>26</v>
      </c>
      <c r="O299" s="34" t="n">
        <f aca="false">N299+L299</f>
        <v>78.5</v>
      </c>
      <c r="P299" s="34" t="n">
        <f aca="false">N299+M299</f>
        <v>79</v>
      </c>
      <c r="Q299" s="16" t="n">
        <v>85</v>
      </c>
      <c r="R299" s="16" t="n">
        <v>83</v>
      </c>
      <c r="S299" s="34" t="n">
        <f aca="false">(R299*70)/100</f>
        <v>58.1</v>
      </c>
      <c r="T299" s="34" t="n">
        <f aca="false">ROUNDUP(S299,0)</f>
        <v>59</v>
      </c>
      <c r="U299" s="16" t="n">
        <v>25</v>
      </c>
      <c r="V299" s="34" t="n">
        <f aca="false">U299+S299</f>
        <v>83.1</v>
      </c>
      <c r="W299" s="34" t="n">
        <f aca="false">U299+T299</f>
        <v>84</v>
      </c>
      <c r="X299" s="16" t="n">
        <v>74</v>
      </c>
      <c r="Y299" s="34" t="n">
        <f aca="false">(X299*70)/100</f>
        <v>51.8</v>
      </c>
      <c r="Z299" s="34" t="n">
        <f aca="false">ROUNDUP(Y299,0)</f>
        <v>52</v>
      </c>
      <c r="AA299" s="16" t="n">
        <v>25</v>
      </c>
      <c r="AB299" s="34" t="n">
        <f aca="false">AA299+Y299</f>
        <v>76.8</v>
      </c>
      <c r="AC299" s="34" t="n">
        <f aca="false">AA299+Z299</f>
        <v>77</v>
      </c>
      <c r="AD299" s="32" t="n">
        <f aca="false">X299+R299+Q299+K299+J299</f>
        <v>377</v>
      </c>
      <c r="AE299" s="16" t="n">
        <f aca="false">AD299/5</f>
        <v>75.4</v>
      </c>
      <c r="AF299" s="16" t="n">
        <v>73</v>
      </c>
      <c r="AG299" s="16" t="n">
        <v>80</v>
      </c>
      <c r="AH299" s="16" t="n">
        <v>97</v>
      </c>
      <c r="AI299" s="16" t="n">
        <v>94</v>
      </c>
      <c r="AJ299" s="16" t="n">
        <f aca="false">(AI299*70)/100</f>
        <v>65.8</v>
      </c>
      <c r="AK299" s="35" t="n">
        <f aca="false">ROUNDUP(AJ299,0)</f>
        <v>66</v>
      </c>
      <c r="AL299" s="16" t="n">
        <v>27</v>
      </c>
      <c r="AM299" s="16" t="n">
        <f aca="false">AL299+AJ299</f>
        <v>92.8</v>
      </c>
      <c r="AN299" s="16" t="n">
        <f aca="false">AL299+AK299</f>
        <v>93</v>
      </c>
      <c r="AO299" s="16" t="n">
        <v>69</v>
      </c>
      <c r="AP299" s="36" t="n">
        <f aca="false">(AO299*70)/100</f>
        <v>48.3</v>
      </c>
      <c r="AQ299" s="37" t="n">
        <f aca="false">ROUNDUP(AP299,0)</f>
        <v>49</v>
      </c>
      <c r="AR299" s="16" t="n">
        <v>26</v>
      </c>
      <c r="AS299" s="16" t="n">
        <f aca="false">AR299+AP299</f>
        <v>74.3</v>
      </c>
      <c r="AT299" s="16" t="n">
        <f aca="false">AR299+AQ299</f>
        <v>75</v>
      </c>
      <c r="AU299" s="16" t="n">
        <f aca="false">AO299+AF299+AI299+AH299+AG299</f>
        <v>413</v>
      </c>
      <c r="AV299" s="16" t="n">
        <f aca="false">(AO299+AF299+AI299+AH299+AG299)/5</f>
        <v>82.6</v>
      </c>
      <c r="AW299" s="36" t="n">
        <f aca="false">(AO299+AF299+AI299+AH299+AG299+X299+R299+Q299+K299+J299)</f>
        <v>790</v>
      </c>
      <c r="AX299" s="16" t="n">
        <f aca="false">AW299/10</f>
        <v>79</v>
      </c>
      <c r="AY299" s="16" t="n">
        <f aca="false">AS299+AF299+AM299+AH299+AG299+AB299+V299+Q299+O299+J299</f>
        <v>800.5</v>
      </c>
      <c r="AZ299" s="16" t="n">
        <f aca="false">AT299+AF299+AN299+AH299+AG299+AC299+W299+Q299+P299+J299</f>
        <v>803</v>
      </c>
      <c r="BA299" s="16" t="n">
        <f aca="false">AY299/10</f>
        <v>80.05</v>
      </c>
      <c r="BB299" s="16" t="n">
        <f aca="false">AZ299/10</f>
        <v>80.3</v>
      </c>
      <c r="BC299" s="16" t="n">
        <v>2382</v>
      </c>
      <c r="BD299" s="16" t="n">
        <f aca="false">RANK(AX299,$AX$2:$AX$881,0)</f>
        <v>330</v>
      </c>
      <c r="BE299" s="54" t="n">
        <f aca="false">((BC299*100)/2400)*0.4+(AX299*0.6)</f>
        <v>87.1</v>
      </c>
      <c r="BF299" s="16" t="n">
        <f aca="false">RANK(BE299,$BE$2:$BE$881,0)</f>
        <v>290</v>
      </c>
      <c r="BG299" s="39" t="n">
        <f aca="false">RANK(BB299,$BB$2:$BB$881,0)</f>
        <v>327</v>
      </c>
      <c r="BH299" s="39" t="n">
        <f aca="false">RANK(BC299,$BC$2:$BC$881,0)</f>
        <v>124</v>
      </c>
      <c r="BI299" s="22" t="s">
        <v>130</v>
      </c>
      <c r="BJ299" s="22" t="s">
        <v>129</v>
      </c>
      <c r="BK299" s="40" t="s">
        <v>131</v>
      </c>
      <c r="BL299" s="41" t="n">
        <v>22</v>
      </c>
      <c r="BM299" s="41" t="n">
        <v>55</v>
      </c>
      <c r="BN299" s="41" t="n">
        <v>77</v>
      </c>
      <c r="BO299" s="42" t="n">
        <v>24</v>
      </c>
      <c r="BP299" s="43" t="n">
        <v>63</v>
      </c>
      <c r="BQ299" s="44" t="n">
        <v>87</v>
      </c>
      <c r="BR299" s="42" t="n">
        <v>26</v>
      </c>
      <c r="BS299" s="45" t="n">
        <v>58</v>
      </c>
      <c r="BT299" s="45" t="n">
        <v>84</v>
      </c>
      <c r="BU299" s="46" t="n">
        <v>99</v>
      </c>
      <c r="BV299" s="47" t="n">
        <v>80</v>
      </c>
      <c r="BW299" s="42" t="n">
        <v>100</v>
      </c>
      <c r="BX299" s="48" t="n">
        <v>90</v>
      </c>
      <c r="BY299" s="32" t="n">
        <v>26</v>
      </c>
      <c r="BZ299" s="32" t="n">
        <v>59</v>
      </c>
      <c r="CA299" s="32" t="n">
        <v>85</v>
      </c>
      <c r="CB299" s="32" t="n">
        <v>22</v>
      </c>
      <c r="CC299" s="32" t="n">
        <v>45</v>
      </c>
      <c r="CD299" s="32" t="n">
        <v>67</v>
      </c>
      <c r="CE299" s="32" t="n">
        <v>25</v>
      </c>
      <c r="CF299" s="32" t="n">
        <v>56</v>
      </c>
      <c r="CG299" s="32" t="n">
        <v>81</v>
      </c>
      <c r="CH299" s="32" t="n">
        <v>96</v>
      </c>
      <c r="CI299" s="32" t="n">
        <v>99</v>
      </c>
      <c r="CJ299" s="49" t="n">
        <v>22</v>
      </c>
      <c r="CK299" s="49" t="n">
        <v>53</v>
      </c>
      <c r="CL299" s="49" t="n">
        <v>75</v>
      </c>
      <c r="CM299" s="49" t="n">
        <v>15</v>
      </c>
      <c r="CN299" s="49" t="n">
        <v>52</v>
      </c>
      <c r="CO299" s="49" t="n">
        <v>67</v>
      </c>
      <c r="CP299" s="25" t="n">
        <f aca="false">BX299+BW299+BV299+BU299+BT299+BQ299+BN299</f>
        <v>617</v>
      </c>
      <c r="CQ299" s="25" t="n">
        <f aca="false">CO299+CL299+CI299+CH299+CG299+CD299+CA299</f>
        <v>570</v>
      </c>
      <c r="CR299" s="26" t="n">
        <f aca="false">CP299/7</f>
        <v>88.1428571428571</v>
      </c>
      <c r="CS299" s="26" t="n">
        <f aca="false">CQ299/7</f>
        <v>81.4285714285714</v>
      </c>
      <c r="CT299" s="24" t="n">
        <f aca="false">RANK(CR299,$CR$2:$CR$881,0)</f>
        <v>297</v>
      </c>
      <c r="CU299" s="25" t="n">
        <f aca="false">RANK(CS299,$CS$2:$CS$881,0)</f>
        <v>211</v>
      </c>
      <c r="CV299" s="26" t="n">
        <f aca="false">(CS299+CR299)/2</f>
        <v>84.7857142857143</v>
      </c>
      <c r="CW299" s="25" t="n">
        <f aca="false">RANK(CV299,$CV$2:$CV$881,0)</f>
        <v>225</v>
      </c>
      <c r="CX299" s="50" t="n">
        <f aca="false">(CV299+BB299)/2</f>
        <v>82.5428571428571</v>
      </c>
      <c r="CY299" s="50" t="n">
        <v>231</v>
      </c>
      <c r="CZ299" s="27" t="s">
        <v>132</v>
      </c>
      <c r="DA299" s="27" t="s">
        <v>443</v>
      </c>
      <c r="DB299" s="27" t="s">
        <v>443</v>
      </c>
      <c r="DC299" s="27" t="s">
        <v>134</v>
      </c>
      <c r="DD299" s="27" t="s">
        <v>135</v>
      </c>
      <c r="DE299" s="27" t="s">
        <v>306</v>
      </c>
      <c r="DF299" s="27" t="s">
        <v>219</v>
      </c>
      <c r="DG299" s="27" t="s">
        <v>134</v>
      </c>
      <c r="DH299" s="27" t="s">
        <v>137</v>
      </c>
      <c r="DI299" s="27" t="s">
        <v>412</v>
      </c>
      <c r="DJ299" s="27" t="s">
        <v>382</v>
      </c>
      <c r="DK299" s="27" t="s">
        <v>134</v>
      </c>
      <c r="DL299" s="27" t="s">
        <v>164</v>
      </c>
      <c r="DM299" s="27" t="s">
        <v>304</v>
      </c>
      <c r="DN299" s="27" t="s">
        <v>196</v>
      </c>
      <c r="DO299" s="27" t="s">
        <v>134</v>
      </c>
      <c r="DP299" s="27" t="s">
        <v>1000</v>
      </c>
      <c r="DQ299" s="27" t="s">
        <v>313</v>
      </c>
      <c r="DR299" s="27" t="s">
        <v>187</v>
      </c>
      <c r="DS299" s="27" t="s">
        <v>134</v>
      </c>
      <c r="DT299" s="27" t="s">
        <v>154</v>
      </c>
      <c r="DU299" s="27" t="s">
        <v>218</v>
      </c>
      <c r="DV299" s="27" t="s">
        <v>219</v>
      </c>
      <c r="DW299" s="27" t="s">
        <v>195</v>
      </c>
      <c r="DX299" s="27" t="s">
        <v>152</v>
      </c>
      <c r="DY299" s="27" t="s">
        <v>175</v>
      </c>
      <c r="DZ299" s="27" t="n">
        <f aca="false">DY299+DV299+DR299+DN299+DJ299+DF299+DB299</f>
        <v>545</v>
      </c>
      <c r="EA299" s="28" t="n">
        <f aca="false">DZ299/7</f>
        <v>77.8571428571429</v>
      </c>
      <c r="EB299" s="27" t="n">
        <f aca="false">RANK(EA299,$EA$2:$EA$881,0)</f>
        <v>463</v>
      </c>
      <c r="EC299" s="29" t="n">
        <f aca="false">DZ299+CQ299+CP299+AZ299</f>
        <v>2535</v>
      </c>
      <c r="ED299" s="30" t="n">
        <f aca="false">(EA299+CV299+BB299)/3</f>
        <v>80.9809523809524</v>
      </c>
      <c r="EE299" s="51" t="n">
        <f aca="false">ROUND(BE299,3)</f>
        <v>87.1</v>
      </c>
      <c r="EF299" s="51" t="n">
        <f aca="false">ROUND(CR299,3)</f>
        <v>88.143</v>
      </c>
      <c r="EG299" s="51" t="n">
        <f aca="false">ROUND(CS299,3)</f>
        <v>81.429</v>
      </c>
      <c r="EH299" s="51" t="n">
        <f aca="false">ROUND(EA299,3)</f>
        <v>77.857</v>
      </c>
      <c r="EI299" s="51" t="n">
        <f aca="false">ROUND(ED299,3)</f>
        <v>80.981</v>
      </c>
      <c r="EJ299" s="51" t="n">
        <f aca="false">ROUND(CV299,3)</f>
        <v>84.786</v>
      </c>
      <c r="EK299" s="0" t="n">
        <f aca="false">RANK(EI299,$EI$2:$EI$881,0)</f>
        <v>297</v>
      </c>
    </row>
    <row r="300" customFormat="false" ht="15" hidden="false" customHeight="false" outlineLevel="0" collapsed="false">
      <c r="A300" s="4" t="n">
        <v>1848</v>
      </c>
      <c r="B300" s="4" t="n">
        <v>207</v>
      </c>
      <c r="C300" s="27" t="s">
        <v>1025</v>
      </c>
      <c r="D300" s="31" t="n">
        <v>209</v>
      </c>
      <c r="E300" s="32" t="n">
        <v>230319733</v>
      </c>
      <c r="F300" s="8" t="s">
        <v>1026</v>
      </c>
      <c r="G300" s="22" t="s">
        <v>243</v>
      </c>
      <c r="H300" s="22" t="s">
        <v>129</v>
      </c>
      <c r="I300" s="33" t="n">
        <v>2006</v>
      </c>
      <c r="J300" s="32" t="n">
        <v>73</v>
      </c>
      <c r="K300" s="32" t="n">
        <v>78</v>
      </c>
      <c r="L300" s="34" t="n">
        <f aca="false">(K300*70)/100</f>
        <v>54.6</v>
      </c>
      <c r="M300" s="34" t="n">
        <f aca="false">ROUNDUP(L300,0)</f>
        <v>55</v>
      </c>
      <c r="N300" s="32" t="n">
        <v>26</v>
      </c>
      <c r="O300" s="34" t="n">
        <f aca="false">N300+L300</f>
        <v>80.6</v>
      </c>
      <c r="P300" s="34" t="n">
        <f aca="false">N300+M300</f>
        <v>81</v>
      </c>
      <c r="Q300" s="32" t="n">
        <v>68</v>
      </c>
      <c r="R300" s="32" t="n">
        <v>71</v>
      </c>
      <c r="S300" s="34" t="n">
        <f aca="false">(R300*70)/100</f>
        <v>49.7</v>
      </c>
      <c r="T300" s="34" t="n">
        <f aca="false">ROUNDUP(S300,0)</f>
        <v>50</v>
      </c>
      <c r="U300" s="32" t="n">
        <v>24</v>
      </c>
      <c r="V300" s="34" t="n">
        <f aca="false">U300+S300</f>
        <v>73.7</v>
      </c>
      <c r="W300" s="34" t="n">
        <f aca="false">U300+T300</f>
        <v>74</v>
      </c>
      <c r="X300" s="32" t="n">
        <v>69</v>
      </c>
      <c r="Y300" s="34" t="n">
        <f aca="false">(X300*70)/100</f>
        <v>48.3</v>
      </c>
      <c r="Z300" s="34" t="n">
        <f aca="false">ROUNDUP(Y300,0)</f>
        <v>49</v>
      </c>
      <c r="AA300" s="32" t="n">
        <v>24</v>
      </c>
      <c r="AB300" s="34" t="n">
        <f aca="false">AA300+Y300</f>
        <v>72.3</v>
      </c>
      <c r="AC300" s="34" t="n">
        <f aca="false">AA300+Z300</f>
        <v>73</v>
      </c>
      <c r="AD300" s="32" t="n">
        <f aca="false">X300+R300+Q300+K300+J300</f>
        <v>359</v>
      </c>
      <c r="AE300" s="16" t="n">
        <f aca="false">AD300/5</f>
        <v>71.8</v>
      </c>
      <c r="AF300" s="16" t="n">
        <v>80</v>
      </c>
      <c r="AG300" s="16" t="n">
        <v>79</v>
      </c>
      <c r="AH300" s="16" t="n">
        <v>88</v>
      </c>
      <c r="AI300" s="16" t="n">
        <v>81</v>
      </c>
      <c r="AJ300" s="16" t="n">
        <f aca="false">(AI300*70)/100</f>
        <v>56.7</v>
      </c>
      <c r="AK300" s="35" t="n">
        <f aca="false">ROUNDUP(AJ300,0)</f>
        <v>57</v>
      </c>
      <c r="AL300" s="16" t="n">
        <v>24</v>
      </c>
      <c r="AM300" s="16" t="n">
        <f aca="false">AL300+AJ300</f>
        <v>80.7</v>
      </c>
      <c r="AN300" s="16" t="n">
        <f aca="false">AL300+AK300</f>
        <v>81</v>
      </c>
      <c r="AO300" s="16" t="n">
        <v>76</v>
      </c>
      <c r="AP300" s="36" t="n">
        <f aca="false">(AO300*70)/100</f>
        <v>53.2</v>
      </c>
      <c r="AQ300" s="37" t="n">
        <f aca="false">ROUNDUP(AP300,0)</f>
        <v>54</v>
      </c>
      <c r="AR300" s="16" t="n">
        <v>26</v>
      </c>
      <c r="AS300" s="16" t="n">
        <f aca="false">AR300+AP300</f>
        <v>79.2</v>
      </c>
      <c r="AT300" s="16" t="n">
        <f aca="false">AR300+AQ300</f>
        <v>80</v>
      </c>
      <c r="AU300" s="16" t="n">
        <f aca="false">AO300+AF300+AI300+AH300+AG300</f>
        <v>404</v>
      </c>
      <c r="AV300" s="16" t="n">
        <f aca="false">(AO300+AF300+AI300+AH300+AG300)/5</f>
        <v>80.8</v>
      </c>
      <c r="AW300" s="36" t="n">
        <f aca="false">(AO300+AF300+AI300+AH300+AG300+X300+R300+Q300+K300+J300)</f>
        <v>763</v>
      </c>
      <c r="AX300" s="16" t="n">
        <f aca="false">AW300/10</f>
        <v>76.3</v>
      </c>
      <c r="AY300" s="16" t="n">
        <f aca="false">AS300+AF300+AM300+AH300+AG300+AB300+V300+Q300+O300+J300</f>
        <v>774.5</v>
      </c>
      <c r="AZ300" s="16" t="n">
        <f aca="false">AT300+AF300+AN300+AH300+AG300+AC300+W300+Q300+P300+J300</f>
        <v>777</v>
      </c>
      <c r="BA300" s="16" t="n">
        <f aca="false">AY300/10</f>
        <v>77.45</v>
      </c>
      <c r="BB300" s="16" t="n">
        <f aca="false">AZ300/10</f>
        <v>77.7</v>
      </c>
      <c r="BC300" s="16" t="n">
        <v>2389</v>
      </c>
      <c r="BD300" s="16" t="n">
        <f aca="false">RANK(AX300,$AX$2:$AX$881,0)</f>
        <v>593</v>
      </c>
      <c r="BE300" s="54" t="n">
        <f aca="false">((BC300*100)/2400)*0.4+(AX300*0.6)</f>
        <v>85.5966666666667</v>
      </c>
      <c r="BF300" s="16" t="n">
        <f aca="false">RANK(BE300,$BE$2:$BE$881,0)</f>
        <v>488</v>
      </c>
      <c r="BG300" s="39" t="n">
        <f aca="false">RANK(BB300,$BB$2:$BB$881,0)</f>
        <v>586</v>
      </c>
      <c r="BH300" s="39" t="n">
        <f aca="false">RANK(BC300,$BC$2:$BC$881,0)</f>
        <v>59</v>
      </c>
      <c r="BI300" s="22" t="s">
        <v>130</v>
      </c>
      <c r="BJ300" s="22" t="s">
        <v>129</v>
      </c>
      <c r="BK300" s="40" t="s">
        <v>509</v>
      </c>
      <c r="BL300" s="41" t="n">
        <v>21</v>
      </c>
      <c r="BM300" s="41" t="n">
        <v>53</v>
      </c>
      <c r="BN300" s="41" t="n">
        <v>74</v>
      </c>
      <c r="BO300" s="42" t="n">
        <v>20</v>
      </c>
      <c r="BP300" s="43" t="n">
        <v>53</v>
      </c>
      <c r="BQ300" s="44" t="n">
        <v>73</v>
      </c>
      <c r="BR300" s="42" t="n">
        <v>22</v>
      </c>
      <c r="BS300" s="45" t="n">
        <v>56</v>
      </c>
      <c r="BT300" s="45" t="n">
        <v>78</v>
      </c>
      <c r="BU300" s="46" t="n">
        <v>96</v>
      </c>
      <c r="BV300" s="47" t="n">
        <v>84</v>
      </c>
      <c r="BW300" s="42" t="n">
        <v>96</v>
      </c>
      <c r="BX300" s="48" t="n">
        <v>92</v>
      </c>
      <c r="BY300" s="32" t="n">
        <v>19</v>
      </c>
      <c r="BZ300" s="32" t="n">
        <v>50</v>
      </c>
      <c r="CA300" s="32" t="n">
        <v>69</v>
      </c>
      <c r="CB300" s="32" t="n">
        <v>19</v>
      </c>
      <c r="CC300" s="32" t="n">
        <v>32</v>
      </c>
      <c r="CD300" s="69" t="n">
        <v>51</v>
      </c>
      <c r="CE300" s="32" t="n">
        <v>23</v>
      </c>
      <c r="CF300" s="32" t="n">
        <v>52</v>
      </c>
      <c r="CG300" s="32" t="n">
        <v>75</v>
      </c>
      <c r="CH300" s="32" t="n">
        <v>96</v>
      </c>
      <c r="CI300" s="32" t="n">
        <v>93</v>
      </c>
      <c r="CJ300" s="49" t="n">
        <v>22</v>
      </c>
      <c r="CK300" s="49" t="n">
        <v>50</v>
      </c>
      <c r="CL300" s="49" t="n">
        <v>72</v>
      </c>
      <c r="CM300" s="49" t="n">
        <v>19</v>
      </c>
      <c r="CN300" s="49" t="n">
        <v>53</v>
      </c>
      <c r="CO300" s="49" t="n">
        <v>72</v>
      </c>
      <c r="CP300" s="25" t="n">
        <f aca="false">BX300+BW300+BV300+BU300+BT300+BQ300+BN300</f>
        <v>593</v>
      </c>
      <c r="CQ300" s="25" t="n">
        <f aca="false">CO300+CL300+CI300+CH300+CG300+CD300+CA300</f>
        <v>528</v>
      </c>
      <c r="CR300" s="26" t="n">
        <f aca="false">CP300/7</f>
        <v>84.7142857142857</v>
      </c>
      <c r="CS300" s="26" t="n">
        <f aca="false">CQ300/7</f>
        <v>75.4285714285714</v>
      </c>
      <c r="CT300" s="24" t="n">
        <f aca="false">RANK(CR300,$CR$2:$CR$881,0)</f>
        <v>447</v>
      </c>
      <c r="CU300" s="25" t="n">
        <f aca="false">RANK(CS300,$CS$2:$CS$881,0)</f>
        <v>417</v>
      </c>
      <c r="CV300" s="26" t="n">
        <f aca="false">(CS300+CR300)/2</f>
        <v>80.0714285714286</v>
      </c>
      <c r="CW300" s="25" t="n">
        <f aca="false">RANK(CV300,$CV$2:$CV$881,0)</f>
        <v>422</v>
      </c>
      <c r="CX300" s="50" t="n">
        <f aca="false">(CV300+BB300)/2</f>
        <v>78.8857142857143</v>
      </c>
      <c r="CY300" s="50" t="n">
        <v>425</v>
      </c>
      <c r="CZ300" s="27" t="s">
        <v>132</v>
      </c>
      <c r="DA300" s="27" t="s">
        <v>133</v>
      </c>
      <c r="DB300" s="27" t="s">
        <v>133</v>
      </c>
      <c r="DC300" s="27" t="s">
        <v>134</v>
      </c>
      <c r="DD300" s="27" t="s">
        <v>182</v>
      </c>
      <c r="DE300" s="27" t="s">
        <v>204</v>
      </c>
      <c r="DF300" s="27" t="s">
        <v>169</v>
      </c>
      <c r="DG300" s="27" t="s">
        <v>134</v>
      </c>
      <c r="DH300" s="27" t="s">
        <v>154</v>
      </c>
      <c r="DI300" s="27" t="s">
        <v>177</v>
      </c>
      <c r="DJ300" s="27" t="s">
        <v>169</v>
      </c>
      <c r="DK300" s="27" t="s">
        <v>134</v>
      </c>
      <c r="DL300" s="27" t="s">
        <v>182</v>
      </c>
      <c r="DM300" s="27" t="s">
        <v>442</v>
      </c>
      <c r="DN300" s="27" t="s">
        <v>486</v>
      </c>
      <c r="DO300" s="27" t="s">
        <v>134</v>
      </c>
      <c r="DP300" s="27" t="s">
        <v>135</v>
      </c>
      <c r="DQ300" s="27" t="s">
        <v>177</v>
      </c>
      <c r="DR300" s="27" t="s">
        <v>175</v>
      </c>
      <c r="DS300" s="27" t="s">
        <v>134</v>
      </c>
      <c r="DT300" s="27" t="s">
        <v>135</v>
      </c>
      <c r="DU300" s="27" t="s">
        <v>161</v>
      </c>
      <c r="DV300" s="27" t="s">
        <v>202</v>
      </c>
      <c r="DW300" s="27" t="s">
        <v>160</v>
      </c>
      <c r="DX300" s="27" t="s">
        <v>155</v>
      </c>
      <c r="DY300" s="27" t="s">
        <v>145</v>
      </c>
      <c r="DZ300" s="27" t="n">
        <f aca="false">DY300+DV300+DR300+DN300+DJ300+DF300+DB300</f>
        <v>596</v>
      </c>
      <c r="EA300" s="28" t="n">
        <f aca="false">DZ300/7</f>
        <v>85.1428571428571</v>
      </c>
      <c r="EB300" s="27" t="n">
        <f aca="false">RANK(EA300,$EA$2:$EA$881,0)</f>
        <v>182</v>
      </c>
      <c r="EC300" s="29" t="n">
        <f aca="false">DZ300+CQ300+CP300+AZ300</f>
        <v>2494</v>
      </c>
      <c r="ED300" s="30" t="n">
        <f aca="false">(EA300+CV300+BB300)/3</f>
        <v>80.9714285714286</v>
      </c>
      <c r="EE300" s="51" t="n">
        <f aca="false">ROUND(BE300,3)</f>
        <v>85.597</v>
      </c>
      <c r="EF300" s="51" t="n">
        <f aca="false">ROUND(CR300,3)</f>
        <v>84.714</v>
      </c>
      <c r="EG300" s="51" t="n">
        <f aca="false">ROUND(CS300,3)</f>
        <v>75.429</v>
      </c>
      <c r="EH300" s="51" t="n">
        <f aca="false">ROUND(EA300,3)</f>
        <v>85.143</v>
      </c>
      <c r="EI300" s="51" t="n">
        <f aca="false">ROUND(ED300,3)</f>
        <v>80.971</v>
      </c>
      <c r="EJ300" s="51" t="n">
        <f aca="false">ROUND(CV300,3)</f>
        <v>80.071</v>
      </c>
      <c r="EK300" s="0" t="n">
        <f aca="false">RANK(EI300,$EI$2:$EI$881,0)</f>
        <v>299</v>
      </c>
    </row>
    <row r="301" customFormat="false" ht="15" hidden="false" customHeight="false" outlineLevel="0" collapsed="false">
      <c r="A301" s="4" t="n">
        <v>2042</v>
      </c>
      <c r="B301" s="4" t="n">
        <v>570</v>
      </c>
      <c r="C301" s="27" t="s">
        <v>1027</v>
      </c>
      <c r="D301" s="31" t="n">
        <v>575</v>
      </c>
      <c r="E301" s="16" t="n">
        <v>231307637</v>
      </c>
      <c r="F301" s="56" t="s">
        <v>1028</v>
      </c>
      <c r="G301" s="22" t="s">
        <v>1029</v>
      </c>
      <c r="H301" s="22" t="s">
        <v>326</v>
      </c>
      <c r="I301" s="57"/>
      <c r="J301" s="16" t="n">
        <v>79</v>
      </c>
      <c r="K301" s="16" t="n">
        <v>63</v>
      </c>
      <c r="L301" s="34" t="n">
        <f aca="false">(K301*70)/100</f>
        <v>44.1</v>
      </c>
      <c r="M301" s="34" t="n">
        <f aca="false">ROUNDUP(L301,0)</f>
        <v>45</v>
      </c>
      <c r="N301" s="16" t="n">
        <v>29</v>
      </c>
      <c r="O301" s="34" t="n">
        <f aca="false">N301+L301</f>
        <v>73.1</v>
      </c>
      <c r="P301" s="34" t="n">
        <f aca="false">N301+M301</f>
        <v>74</v>
      </c>
      <c r="Q301" s="16" t="n">
        <v>90</v>
      </c>
      <c r="R301" s="16" t="n">
        <v>75</v>
      </c>
      <c r="S301" s="34" t="n">
        <f aca="false">(R301*70)/100</f>
        <v>52.5</v>
      </c>
      <c r="T301" s="34" t="n">
        <f aca="false">ROUNDUP(S301,0)</f>
        <v>53</v>
      </c>
      <c r="U301" s="16" t="n">
        <v>23</v>
      </c>
      <c r="V301" s="34" t="n">
        <f aca="false">U301+S301</f>
        <v>75.5</v>
      </c>
      <c r="W301" s="34" t="n">
        <f aca="false">U301+T301</f>
        <v>76</v>
      </c>
      <c r="X301" s="16" t="n">
        <v>64</v>
      </c>
      <c r="Y301" s="34" t="n">
        <f aca="false">(X301*70)/100</f>
        <v>44.8</v>
      </c>
      <c r="Z301" s="34" t="n">
        <f aca="false">ROUNDUP(Y301,0)</f>
        <v>45</v>
      </c>
      <c r="AA301" s="16" t="n">
        <v>24</v>
      </c>
      <c r="AB301" s="34" t="n">
        <f aca="false">AA301+Y301</f>
        <v>68.8</v>
      </c>
      <c r="AC301" s="34" t="n">
        <f aca="false">AA301+Z301</f>
        <v>69</v>
      </c>
      <c r="AD301" s="32" t="n">
        <f aca="false">X301+R301+Q301+K301+J301</f>
        <v>371</v>
      </c>
      <c r="AE301" s="16" t="n">
        <f aca="false">AD301/5</f>
        <v>74.2</v>
      </c>
      <c r="AF301" s="16" t="n">
        <v>70</v>
      </c>
      <c r="AG301" s="16" t="n">
        <v>79</v>
      </c>
      <c r="AH301" s="16" t="n">
        <v>84</v>
      </c>
      <c r="AI301" s="16" t="n">
        <v>85</v>
      </c>
      <c r="AJ301" s="16" t="n">
        <f aca="false">(AI301*70)/100</f>
        <v>59.5</v>
      </c>
      <c r="AK301" s="35" t="n">
        <f aca="false">ROUNDUP(AJ301,0)</f>
        <v>60</v>
      </c>
      <c r="AL301" s="16" t="n">
        <v>26</v>
      </c>
      <c r="AM301" s="16" t="n">
        <f aca="false">AL301+AJ301</f>
        <v>85.5</v>
      </c>
      <c r="AN301" s="16" t="n">
        <f aca="false">AL301+AK301</f>
        <v>86</v>
      </c>
      <c r="AO301" s="16" t="n">
        <v>67</v>
      </c>
      <c r="AP301" s="36" t="n">
        <f aca="false">(AO301*70)/100</f>
        <v>46.9</v>
      </c>
      <c r="AQ301" s="37" t="n">
        <f aca="false">ROUNDUP(AP301,0)</f>
        <v>47</v>
      </c>
      <c r="AR301" s="16" t="n">
        <v>29</v>
      </c>
      <c r="AS301" s="16" t="n">
        <f aca="false">AR301+AP301</f>
        <v>75.9</v>
      </c>
      <c r="AT301" s="16" t="n">
        <f aca="false">AR301+AQ301</f>
        <v>76</v>
      </c>
      <c r="AU301" s="16" t="n">
        <f aca="false">AO301+AF301+AI301+AH301+AG301</f>
        <v>385</v>
      </c>
      <c r="AV301" s="16" t="n">
        <f aca="false">(AO301+AF301+AI301+AH301+AG301)/5</f>
        <v>77</v>
      </c>
      <c r="AW301" s="36" t="n">
        <f aca="false">(AO301+AF301+AI301+AH301+AG301+X301+R301+Q301+K301+J301)</f>
        <v>756</v>
      </c>
      <c r="AX301" s="16" t="n">
        <f aca="false">AW301/10</f>
        <v>75.6</v>
      </c>
      <c r="AY301" s="16" t="n">
        <f aca="false">AS301+AF301+AM301+AH301+AG301+AB301+V301+Q301+O301+J301</f>
        <v>780.8</v>
      </c>
      <c r="AZ301" s="16" t="n">
        <f aca="false">AT301+AF301+AN301+AH301+AG301+AC301+W301+Q301+P301+J301</f>
        <v>783</v>
      </c>
      <c r="BA301" s="16" t="n">
        <f aca="false">AY301/10</f>
        <v>78.08</v>
      </c>
      <c r="BB301" s="16" t="n">
        <f aca="false">AZ301/10</f>
        <v>78.3</v>
      </c>
      <c r="BC301" s="16" t="n">
        <v>2368</v>
      </c>
      <c r="BD301" s="16" t="n">
        <f aca="false">RANK(AX301,$AX$2:$AX$881,0)</f>
        <v>652</v>
      </c>
      <c r="BE301" s="73" t="n">
        <f aca="false">((BC301*100)/2400)*0.4+(AX301*0.6)</f>
        <v>84.8266666666667</v>
      </c>
      <c r="BF301" s="16" t="n">
        <f aca="false">RANK(BE301,$BE$2:$BE$881,0)</f>
        <v>652</v>
      </c>
      <c r="BG301" s="39" t="n">
        <f aca="false">RANK(BB301,$BB$2:$BB$881,0)</f>
        <v>534</v>
      </c>
      <c r="BH301" s="39" t="n">
        <f aca="false">RANK(BC301,$BC$2:$BC$881,0)</f>
        <v>295</v>
      </c>
      <c r="BI301" s="22" t="s">
        <v>130</v>
      </c>
      <c r="BJ301" s="22" t="s">
        <v>129</v>
      </c>
      <c r="BK301" s="22" t="s">
        <v>509</v>
      </c>
      <c r="BL301" s="41" t="n">
        <v>20</v>
      </c>
      <c r="BM301" s="41" t="n">
        <v>47</v>
      </c>
      <c r="BN301" s="41" t="n">
        <v>67</v>
      </c>
      <c r="BO301" s="42" t="n">
        <v>20</v>
      </c>
      <c r="BP301" s="43" t="n">
        <v>51</v>
      </c>
      <c r="BQ301" s="44" t="n">
        <v>71</v>
      </c>
      <c r="BR301" s="42" t="n">
        <v>24</v>
      </c>
      <c r="BS301" s="45" t="n">
        <v>51</v>
      </c>
      <c r="BT301" s="45" t="n">
        <v>75</v>
      </c>
      <c r="BU301" s="46" t="n">
        <v>100</v>
      </c>
      <c r="BV301" s="47" t="n">
        <v>82</v>
      </c>
      <c r="BW301" s="42" t="n">
        <v>93</v>
      </c>
      <c r="BX301" s="48" t="n">
        <v>92</v>
      </c>
      <c r="BY301" s="32" t="n">
        <v>25</v>
      </c>
      <c r="BZ301" s="32" t="n">
        <v>49</v>
      </c>
      <c r="CA301" s="32" t="n">
        <v>74</v>
      </c>
      <c r="CB301" s="32" t="n">
        <v>25</v>
      </c>
      <c r="CC301" s="32" t="n">
        <v>36</v>
      </c>
      <c r="CD301" s="32" t="n">
        <v>61</v>
      </c>
      <c r="CE301" s="32" t="n">
        <v>25</v>
      </c>
      <c r="CF301" s="32" t="n">
        <v>46</v>
      </c>
      <c r="CG301" s="32" t="n">
        <v>71</v>
      </c>
      <c r="CH301" s="32" t="n">
        <v>95</v>
      </c>
      <c r="CI301" s="32" t="n">
        <v>99</v>
      </c>
      <c r="CJ301" s="49" t="n">
        <v>18</v>
      </c>
      <c r="CK301" s="49" t="n">
        <v>54</v>
      </c>
      <c r="CL301" s="49" t="n">
        <v>72</v>
      </c>
      <c r="CM301" s="49" t="n">
        <v>22</v>
      </c>
      <c r="CN301" s="49" t="n">
        <v>45</v>
      </c>
      <c r="CO301" s="49" t="n">
        <v>67</v>
      </c>
      <c r="CP301" s="25" t="n">
        <f aca="false">BX301+BW301+BV301+BU301+BT301+BQ301+BN301</f>
        <v>580</v>
      </c>
      <c r="CQ301" s="25" t="n">
        <f aca="false">CO301+CL301+CI301+CH301+CG301+CD301+CA301</f>
        <v>539</v>
      </c>
      <c r="CR301" s="26" t="n">
        <f aca="false">CP301/7</f>
        <v>82.8571428571429</v>
      </c>
      <c r="CS301" s="26" t="n">
        <f aca="false">CQ301/7</f>
        <v>77</v>
      </c>
      <c r="CT301" s="24" t="n">
        <f aca="false">RANK(CR301,$CR$2:$CR$881,0)</f>
        <v>522</v>
      </c>
      <c r="CU301" s="25" t="n">
        <f aca="false">RANK(CS301,$CS$2:$CS$881,0)</f>
        <v>363</v>
      </c>
      <c r="CV301" s="26" t="n">
        <f aca="false">(CS301+CR301)/2</f>
        <v>79.9285714285714</v>
      </c>
      <c r="CW301" s="25" t="n">
        <f aca="false">RANK(CV301,$CV$2:$CV$881,0)</f>
        <v>428</v>
      </c>
      <c r="CX301" s="50" t="n">
        <f aca="false">(CV301+BB301)/2</f>
        <v>79.1142857142857</v>
      </c>
      <c r="CY301" s="50" t="n">
        <v>418</v>
      </c>
      <c r="CZ301" s="27" t="s">
        <v>132</v>
      </c>
      <c r="DA301" s="27" t="s">
        <v>133</v>
      </c>
      <c r="DB301" s="27" t="s">
        <v>133</v>
      </c>
      <c r="DC301" s="27" t="s">
        <v>134</v>
      </c>
      <c r="DD301" s="27" t="s">
        <v>137</v>
      </c>
      <c r="DE301" s="27" t="s">
        <v>204</v>
      </c>
      <c r="DF301" s="27" t="s">
        <v>175</v>
      </c>
      <c r="DG301" s="27" t="s">
        <v>134</v>
      </c>
      <c r="DH301" s="27" t="s">
        <v>164</v>
      </c>
      <c r="DI301" s="27" t="s">
        <v>183</v>
      </c>
      <c r="DJ301" s="27" t="s">
        <v>175</v>
      </c>
      <c r="DK301" s="27" t="s">
        <v>134</v>
      </c>
      <c r="DL301" s="27" t="s">
        <v>135</v>
      </c>
      <c r="DM301" s="27" t="s">
        <v>313</v>
      </c>
      <c r="DN301" s="27" t="s">
        <v>382</v>
      </c>
      <c r="DO301" s="27" t="s">
        <v>134</v>
      </c>
      <c r="DP301" s="27" t="s">
        <v>386</v>
      </c>
      <c r="DQ301" s="27" t="s">
        <v>447</v>
      </c>
      <c r="DR301" s="27" t="s">
        <v>416</v>
      </c>
      <c r="DS301" s="27" t="s">
        <v>134</v>
      </c>
      <c r="DT301" s="27" t="s">
        <v>146</v>
      </c>
      <c r="DU301" s="27" t="s">
        <v>183</v>
      </c>
      <c r="DV301" s="27" t="s">
        <v>133</v>
      </c>
      <c r="DW301" s="27" t="s">
        <v>160</v>
      </c>
      <c r="DX301" s="27" t="s">
        <v>155</v>
      </c>
      <c r="DY301" s="27" t="s">
        <v>145</v>
      </c>
      <c r="DZ301" s="27" t="n">
        <f aca="false">DY301+DV301+DR301+DN301+DJ301+DF301+DB301</f>
        <v>592</v>
      </c>
      <c r="EA301" s="28" t="n">
        <f aca="false">DZ301/7</f>
        <v>84.5714285714286</v>
      </c>
      <c r="EB301" s="27" t="n">
        <f aca="false">RANK(EA301,$EA$2:$EA$881,0)</f>
        <v>201</v>
      </c>
      <c r="EC301" s="29" t="n">
        <f aca="false">DZ301+CQ301+CP301+AZ301</f>
        <v>2494</v>
      </c>
      <c r="ED301" s="30" t="n">
        <f aca="false">(EA301+CV301+BB301)/3</f>
        <v>80.9333333333333</v>
      </c>
      <c r="EE301" s="51" t="n">
        <f aca="false">ROUND(BE301,3)</f>
        <v>84.827</v>
      </c>
      <c r="EF301" s="51" t="n">
        <f aca="false">ROUND(CR301,3)</f>
        <v>82.857</v>
      </c>
      <c r="EG301" s="51" t="n">
        <f aca="false">ROUND(CS301,3)</f>
        <v>77</v>
      </c>
      <c r="EH301" s="51" t="n">
        <f aca="false">ROUND(EA301,3)</f>
        <v>84.571</v>
      </c>
      <c r="EI301" s="51" t="n">
        <f aca="false">ROUND(ED301,3)</f>
        <v>80.933</v>
      </c>
      <c r="EJ301" s="51" t="n">
        <f aca="false">ROUND(CV301,3)</f>
        <v>79.929</v>
      </c>
      <c r="EK301" s="0" t="n">
        <f aca="false">RANK(EI301,$EI$2:$EI$881,0)</f>
        <v>300</v>
      </c>
    </row>
    <row r="302" customFormat="false" ht="15" hidden="false" customHeight="false" outlineLevel="0" collapsed="false">
      <c r="A302" s="4" t="n">
        <v>9133</v>
      </c>
      <c r="B302" s="4" t="n">
        <v>640</v>
      </c>
      <c r="C302" s="27" t="s">
        <v>1030</v>
      </c>
      <c r="D302" s="31" t="n">
        <v>649</v>
      </c>
      <c r="E302" s="32" t="n">
        <v>230312570</v>
      </c>
      <c r="F302" s="8" t="s">
        <v>1031</v>
      </c>
      <c r="G302" s="22" t="s">
        <v>345</v>
      </c>
      <c r="H302" s="22" t="s">
        <v>129</v>
      </c>
      <c r="I302" s="33" t="n">
        <v>2005</v>
      </c>
      <c r="J302" s="32" t="n">
        <v>83</v>
      </c>
      <c r="K302" s="32" t="n">
        <v>86</v>
      </c>
      <c r="L302" s="34" t="n">
        <f aca="false">(K302*70)/100</f>
        <v>60.2</v>
      </c>
      <c r="M302" s="34" t="n">
        <f aca="false">ROUNDUP(L302,0)</f>
        <v>61</v>
      </c>
      <c r="N302" s="32" t="n">
        <v>28</v>
      </c>
      <c r="O302" s="34" t="n">
        <f aca="false">N302+L302</f>
        <v>88.2</v>
      </c>
      <c r="P302" s="34" t="n">
        <f aca="false">N302+M302</f>
        <v>89</v>
      </c>
      <c r="Q302" s="32" t="n">
        <v>75</v>
      </c>
      <c r="R302" s="32" t="n">
        <v>77</v>
      </c>
      <c r="S302" s="34" t="n">
        <f aca="false">(R302*70)/100</f>
        <v>53.9</v>
      </c>
      <c r="T302" s="34" t="n">
        <f aca="false">ROUNDUP(S302,0)</f>
        <v>54</v>
      </c>
      <c r="U302" s="32" t="n">
        <v>20</v>
      </c>
      <c r="V302" s="34" t="n">
        <f aca="false">U302+S302</f>
        <v>73.9</v>
      </c>
      <c r="W302" s="34" t="n">
        <f aca="false">U302+T302</f>
        <v>74</v>
      </c>
      <c r="X302" s="32" t="n">
        <v>70</v>
      </c>
      <c r="Y302" s="34" t="n">
        <f aca="false">(X302*70)/100</f>
        <v>49</v>
      </c>
      <c r="Z302" s="34" t="n">
        <f aca="false">ROUNDUP(Y302,0)</f>
        <v>49</v>
      </c>
      <c r="AA302" s="32" t="n">
        <v>23</v>
      </c>
      <c r="AB302" s="34" t="n">
        <f aca="false">AA302+Y302</f>
        <v>72</v>
      </c>
      <c r="AC302" s="34" t="n">
        <f aca="false">AA302+Z302</f>
        <v>72</v>
      </c>
      <c r="AD302" s="32" t="n">
        <f aca="false">X302+R302+Q302+K302+J302</f>
        <v>391</v>
      </c>
      <c r="AE302" s="16" t="n">
        <f aca="false">AD302/5</f>
        <v>78.2</v>
      </c>
      <c r="AF302" s="16" t="n">
        <v>72</v>
      </c>
      <c r="AG302" s="16" t="n">
        <v>93</v>
      </c>
      <c r="AH302" s="16" t="n">
        <v>86</v>
      </c>
      <c r="AI302" s="16" t="n">
        <v>78</v>
      </c>
      <c r="AJ302" s="16" t="n">
        <f aca="false">(AI302*70)/100</f>
        <v>54.6</v>
      </c>
      <c r="AK302" s="35" t="n">
        <f aca="false">ROUNDUP(AJ302,0)</f>
        <v>55</v>
      </c>
      <c r="AL302" s="16" t="n">
        <v>21</v>
      </c>
      <c r="AM302" s="16" t="n">
        <f aca="false">AL302+AJ302</f>
        <v>75.6</v>
      </c>
      <c r="AN302" s="16" t="n">
        <f aca="false">AL302+AK302</f>
        <v>76</v>
      </c>
      <c r="AO302" s="16" t="n">
        <v>79</v>
      </c>
      <c r="AP302" s="36" t="n">
        <f aca="false">(AO302*70)/100</f>
        <v>55.3</v>
      </c>
      <c r="AQ302" s="37" t="n">
        <f aca="false">ROUNDUP(AP302,0)</f>
        <v>56</v>
      </c>
      <c r="AR302" s="16" t="n">
        <v>29</v>
      </c>
      <c r="AS302" s="16" t="n">
        <f aca="false">AR302+AP302</f>
        <v>84.3</v>
      </c>
      <c r="AT302" s="16" t="n">
        <f aca="false">AR302+AQ302</f>
        <v>85</v>
      </c>
      <c r="AU302" s="16" t="n">
        <f aca="false">AO302+AF302+AI302+AH302+AG302</f>
        <v>408</v>
      </c>
      <c r="AV302" s="16" t="n">
        <f aca="false">(AO302+AF302+AI302+AH302+AG302)/5</f>
        <v>81.6</v>
      </c>
      <c r="AW302" s="36" t="n">
        <f aca="false">(AO302+AF302+AI302+AH302+AG302+X302+R302+Q302+K302+J302)</f>
        <v>799</v>
      </c>
      <c r="AX302" s="16" t="n">
        <f aca="false">AW302/10</f>
        <v>79.9</v>
      </c>
      <c r="AY302" s="16" t="n">
        <f aca="false">AS302+AF302+AM302+AH302+AG302+AB302+V302+Q302+O302+J302</f>
        <v>803</v>
      </c>
      <c r="AZ302" s="16" t="n">
        <f aca="false">AT302+AF302+AN302+AH302+AG302+AC302+W302+Q302+P302+J302</f>
        <v>805</v>
      </c>
      <c r="BA302" s="16" t="n">
        <f aca="false">AY302/10</f>
        <v>80.3</v>
      </c>
      <c r="BB302" s="16" t="n">
        <f aca="false">AZ302/10</f>
        <v>80.5</v>
      </c>
      <c r="BC302" s="16" t="n">
        <v>2354</v>
      </c>
      <c r="BD302" s="16" t="n">
        <f aca="false">RANK(AX302,$AX$2:$AX$881,0)</f>
        <v>272</v>
      </c>
      <c r="BE302" s="54" t="n">
        <f aca="false">((BC302*100)/2400)*0.4+(AX302*0.6)</f>
        <v>87.1733333333334</v>
      </c>
      <c r="BF302" s="16" t="n">
        <f aca="false">RANK(BE302,$BE$2:$BE$881,0)</f>
        <v>283</v>
      </c>
      <c r="BG302" s="39" t="n">
        <f aca="false">RANK(BB302,$BB$2:$BB$881,0)</f>
        <v>312</v>
      </c>
      <c r="BH302" s="39" t="n">
        <f aca="false">RANK(BC302,$BC$2:$BC$881,0)</f>
        <v>490</v>
      </c>
      <c r="BI302" s="22" t="s">
        <v>130</v>
      </c>
      <c r="BJ302" s="22" t="s">
        <v>129</v>
      </c>
      <c r="BK302" s="40" t="s">
        <v>131</v>
      </c>
      <c r="BL302" s="41" t="n">
        <v>17</v>
      </c>
      <c r="BM302" s="41" t="n">
        <v>57</v>
      </c>
      <c r="BN302" s="41" t="n">
        <v>74</v>
      </c>
      <c r="BO302" s="42" t="n">
        <v>22</v>
      </c>
      <c r="BP302" s="43" t="n">
        <v>59</v>
      </c>
      <c r="BQ302" s="44" t="n">
        <v>81</v>
      </c>
      <c r="BR302" s="42" t="n">
        <v>17</v>
      </c>
      <c r="BS302" s="45" t="n">
        <v>56</v>
      </c>
      <c r="BT302" s="45" t="n">
        <v>73</v>
      </c>
      <c r="BU302" s="46" t="n">
        <v>100</v>
      </c>
      <c r="BV302" s="47" t="n">
        <v>92</v>
      </c>
      <c r="BW302" s="42" t="n">
        <v>98</v>
      </c>
      <c r="BX302" s="48" t="n">
        <v>96</v>
      </c>
      <c r="BY302" s="32" t="n">
        <v>27</v>
      </c>
      <c r="BZ302" s="32" t="n">
        <v>60</v>
      </c>
      <c r="CA302" s="32" t="n">
        <v>87</v>
      </c>
      <c r="CB302" s="32" t="n">
        <v>25</v>
      </c>
      <c r="CC302" s="32" t="n">
        <v>36</v>
      </c>
      <c r="CD302" s="32" t="n">
        <v>61</v>
      </c>
      <c r="CE302" s="25" t="n">
        <v>23</v>
      </c>
      <c r="CF302" s="25" t="n">
        <v>59</v>
      </c>
      <c r="CG302" s="25" t="n">
        <v>82</v>
      </c>
      <c r="CH302" s="32" t="n">
        <v>99</v>
      </c>
      <c r="CI302" s="32" t="n">
        <v>98</v>
      </c>
      <c r="CJ302" s="49" t="n">
        <v>23</v>
      </c>
      <c r="CK302" s="49" t="n">
        <v>49</v>
      </c>
      <c r="CL302" s="49" t="n">
        <v>72</v>
      </c>
      <c r="CM302" s="25" t="n">
        <v>19</v>
      </c>
      <c r="CN302" s="25" t="n">
        <v>54</v>
      </c>
      <c r="CO302" s="25" t="n">
        <v>73</v>
      </c>
      <c r="CP302" s="25" t="n">
        <f aca="false">BX302+BW302+BV302+BU302+BT302+BQ302+BN302</f>
        <v>614</v>
      </c>
      <c r="CQ302" s="25" t="n">
        <f aca="false">CO302+CL302+CI302+CH302+CG302+CD302+CA302</f>
        <v>572</v>
      </c>
      <c r="CR302" s="26" t="n">
        <f aca="false">CP302/7</f>
        <v>87.7142857142857</v>
      </c>
      <c r="CS302" s="26" t="n">
        <f aca="false">CQ302/7</f>
        <v>81.7142857142857</v>
      </c>
      <c r="CT302" s="24" t="n">
        <f aca="false">RANK(CR302,$CR$2:$CR$881,0)</f>
        <v>323</v>
      </c>
      <c r="CU302" s="25" t="n">
        <f aca="false">RANK(CS302,$CS$2:$CS$881,0)</f>
        <v>204</v>
      </c>
      <c r="CV302" s="26" t="n">
        <f aca="false">(CS302+CR302)/2</f>
        <v>84.7142857142857</v>
      </c>
      <c r="CW302" s="25" t="n">
        <f aca="false">RANK(CV302,$CV$2:$CV$881,0)</f>
        <v>233</v>
      </c>
      <c r="CX302" s="50" t="n">
        <f aca="false">(CV302+BB302)/2</f>
        <v>82.6071428571429</v>
      </c>
      <c r="CY302" s="50" t="n">
        <v>228</v>
      </c>
      <c r="CZ302" s="27" t="s">
        <v>132</v>
      </c>
      <c r="DA302" s="27" t="s">
        <v>272</v>
      </c>
      <c r="DB302" s="27" t="s">
        <v>272</v>
      </c>
      <c r="DC302" s="27" t="s">
        <v>134</v>
      </c>
      <c r="DD302" s="27" t="s">
        <v>191</v>
      </c>
      <c r="DE302" s="27" t="s">
        <v>183</v>
      </c>
      <c r="DF302" s="27" t="s">
        <v>305</v>
      </c>
      <c r="DG302" s="27" t="s">
        <v>134</v>
      </c>
      <c r="DH302" s="27" t="s">
        <v>154</v>
      </c>
      <c r="DI302" s="27" t="s">
        <v>306</v>
      </c>
      <c r="DJ302" s="27" t="s">
        <v>305</v>
      </c>
      <c r="DK302" s="27" t="s">
        <v>134</v>
      </c>
      <c r="DL302" s="27" t="s">
        <v>135</v>
      </c>
      <c r="DM302" s="27" t="s">
        <v>306</v>
      </c>
      <c r="DN302" s="27" t="s">
        <v>219</v>
      </c>
      <c r="DO302" s="27" t="s">
        <v>134</v>
      </c>
      <c r="DP302" s="27" t="s">
        <v>485</v>
      </c>
      <c r="DQ302" s="27" t="s">
        <v>415</v>
      </c>
      <c r="DR302" s="27" t="s">
        <v>152</v>
      </c>
      <c r="DS302" s="27" t="s">
        <v>134</v>
      </c>
      <c r="DT302" s="27" t="s">
        <v>174</v>
      </c>
      <c r="DU302" s="27" t="s">
        <v>313</v>
      </c>
      <c r="DV302" s="27" t="s">
        <v>372</v>
      </c>
      <c r="DW302" s="27" t="s">
        <v>154</v>
      </c>
      <c r="DX302" s="27" t="s">
        <v>141</v>
      </c>
      <c r="DY302" s="27" t="s">
        <v>153</v>
      </c>
      <c r="DZ302" s="27" t="n">
        <f aca="false">DY302+DV302+DR302+DN302+DJ302+DF302+DB302</f>
        <v>543</v>
      </c>
      <c r="EA302" s="28" t="n">
        <f aca="false">DZ302/7</f>
        <v>77.5714285714286</v>
      </c>
      <c r="EB302" s="27" t="n">
        <f aca="false">RANK(EA302,$EA$2:$EA$881,0)</f>
        <v>475</v>
      </c>
      <c r="EC302" s="29" t="n">
        <f aca="false">DZ302+CQ302+CP302+AZ302</f>
        <v>2534</v>
      </c>
      <c r="ED302" s="30" t="n">
        <f aca="false">(EA302+CV302+BB302)/3</f>
        <v>80.9285714285714</v>
      </c>
      <c r="EE302" s="51" t="n">
        <f aca="false">ROUND(BE302,3)</f>
        <v>87.173</v>
      </c>
      <c r="EF302" s="51" t="n">
        <f aca="false">ROUND(CR302,3)</f>
        <v>87.714</v>
      </c>
      <c r="EG302" s="51" t="n">
        <f aca="false">ROUND(CS302,3)</f>
        <v>81.714</v>
      </c>
      <c r="EH302" s="51" t="n">
        <f aca="false">ROUND(EA302,3)</f>
        <v>77.571</v>
      </c>
      <c r="EI302" s="51" t="n">
        <f aca="false">ROUND(ED302,3)</f>
        <v>80.929</v>
      </c>
      <c r="EJ302" s="51" t="n">
        <f aca="false">ROUND(CV302,3)</f>
        <v>84.714</v>
      </c>
      <c r="EK302" s="0" t="n">
        <f aca="false">RANK(EI302,$EI$2:$EI$881,0)</f>
        <v>301</v>
      </c>
    </row>
    <row r="303" customFormat="false" ht="15" hidden="false" customHeight="false" outlineLevel="0" collapsed="false">
      <c r="A303" s="4" t="n">
        <v>8761</v>
      </c>
      <c r="B303" s="4" t="n">
        <v>714</v>
      </c>
      <c r="C303" s="27" t="s">
        <v>1032</v>
      </c>
      <c r="D303" s="31" t="n">
        <v>729</v>
      </c>
      <c r="E303" s="16" t="n">
        <v>230220539</v>
      </c>
      <c r="F303" s="56" t="s">
        <v>1033</v>
      </c>
      <c r="G303" s="22" t="s">
        <v>502</v>
      </c>
      <c r="H303" s="22" t="s">
        <v>326</v>
      </c>
      <c r="I303" s="57"/>
      <c r="J303" s="16" t="n">
        <v>68</v>
      </c>
      <c r="K303" s="16" t="n">
        <v>89</v>
      </c>
      <c r="L303" s="34" t="n">
        <f aca="false">(K303*70)/100</f>
        <v>62.3</v>
      </c>
      <c r="M303" s="34" t="n">
        <f aca="false">ROUNDUP(L303,0)</f>
        <v>63</v>
      </c>
      <c r="N303" s="16" t="n">
        <v>27</v>
      </c>
      <c r="O303" s="34" t="n">
        <f aca="false">N303+L303</f>
        <v>89.3</v>
      </c>
      <c r="P303" s="34" t="n">
        <f aca="false">N303+M303</f>
        <v>90</v>
      </c>
      <c r="Q303" s="16" t="n">
        <v>79</v>
      </c>
      <c r="R303" s="16" t="n">
        <v>83</v>
      </c>
      <c r="S303" s="34" t="n">
        <f aca="false">(R303*70)/100</f>
        <v>58.1</v>
      </c>
      <c r="T303" s="34" t="n">
        <f aca="false">ROUNDUP(S303,0)</f>
        <v>59</v>
      </c>
      <c r="U303" s="16" t="n">
        <v>25</v>
      </c>
      <c r="V303" s="34" t="n">
        <f aca="false">U303+S303</f>
        <v>83.1</v>
      </c>
      <c r="W303" s="34" t="n">
        <f aca="false">U303+T303</f>
        <v>84</v>
      </c>
      <c r="X303" s="16" t="n">
        <v>73</v>
      </c>
      <c r="Y303" s="34" t="n">
        <f aca="false">(X303*70)/100</f>
        <v>51.1</v>
      </c>
      <c r="Z303" s="34" t="n">
        <f aca="false">ROUNDUP(Y303,0)</f>
        <v>52</v>
      </c>
      <c r="AA303" s="16" t="n">
        <v>23</v>
      </c>
      <c r="AB303" s="34" t="n">
        <f aca="false">AA303+Y303</f>
        <v>74.1</v>
      </c>
      <c r="AC303" s="34" t="n">
        <f aca="false">AA303+Z303</f>
        <v>75</v>
      </c>
      <c r="AD303" s="32" t="n">
        <f aca="false">X303+R303+Q303+K303+J303</f>
        <v>392</v>
      </c>
      <c r="AE303" s="16" t="n">
        <f aca="false">AD303/5</f>
        <v>78.4</v>
      </c>
      <c r="AF303" s="16" t="n">
        <v>75</v>
      </c>
      <c r="AG303" s="16" t="n">
        <v>76</v>
      </c>
      <c r="AH303" s="16" t="n">
        <v>94</v>
      </c>
      <c r="AI303" s="16" t="n">
        <v>90</v>
      </c>
      <c r="AJ303" s="16" t="n">
        <f aca="false">(AI303*70)/100</f>
        <v>63</v>
      </c>
      <c r="AK303" s="35" t="n">
        <f aca="false">ROUNDUP(AJ303,0)</f>
        <v>63</v>
      </c>
      <c r="AL303" s="16" t="n">
        <v>24</v>
      </c>
      <c r="AM303" s="16" t="n">
        <f aca="false">AL303+AJ303</f>
        <v>87</v>
      </c>
      <c r="AN303" s="16" t="n">
        <f aca="false">AL303+AK303</f>
        <v>87</v>
      </c>
      <c r="AO303" s="16" t="n">
        <v>76</v>
      </c>
      <c r="AP303" s="36" t="n">
        <f aca="false">(AO303*70)/100</f>
        <v>53.2</v>
      </c>
      <c r="AQ303" s="37" t="n">
        <f aca="false">ROUNDUP(AP303,0)</f>
        <v>54</v>
      </c>
      <c r="AR303" s="16" t="n">
        <v>25</v>
      </c>
      <c r="AS303" s="16" t="n">
        <f aca="false">AR303+AP303</f>
        <v>78.2</v>
      </c>
      <c r="AT303" s="16" t="n">
        <f aca="false">AR303+AQ303</f>
        <v>79</v>
      </c>
      <c r="AU303" s="16" t="n">
        <f aca="false">AO303+AF303+AI303+AH303+AG303</f>
        <v>411</v>
      </c>
      <c r="AV303" s="16" t="n">
        <f aca="false">(AO303+AF303+AI303+AH303+AG303)/5</f>
        <v>82.2</v>
      </c>
      <c r="AW303" s="36" t="n">
        <f aca="false">(AO303+AF303+AI303+AH303+AG303+X303+R303+Q303+K303+J303)</f>
        <v>803</v>
      </c>
      <c r="AX303" s="16" t="n">
        <f aca="false">AW303/10</f>
        <v>80.3</v>
      </c>
      <c r="AY303" s="16" t="n">
        <f aca="false">AS303+AF303+AM303+AH303+AG303+AB303+V303+Q303+O303+J303</f>
        <v>803.7</v>
      </c>
      <c r="AZ303" s="16" t="n">
        <f aca="false">AT303+AF303+AN303+AH303+AG303+AC303+W303+Q303+P303+J303</f>
        <v>807</v>
      </c>
      <c r="BA303" s="16" t="n">
        <f aca="false">AY303/10</f>
        <v>80.37</v>
      </c>
      <c r="BB303" s="16" t="n">
        <f aca="false">AZ303/10</f>
        <v>80.7</v>
      </c>
      <c r="BC303" s="16" t="n">
        <v>2335</v>
      </c>
      <c r="BD303" s="16" t="n">
        <f aca="false">RANK(AX303,$AX$2:$AX$881,0)</f>
        <v>245</v>
      </c>
      <c r="BE303" s="54" t="n">
        <f aca="false">((BC303*100)/2400)*0.4+(AX303*0.6)</f>
        <v>87.0966666666667</v>
      </c>
      <c r="BF303" s="16" t="n">
        <f aca="false">RANK(BE303,$BE$2:$BE$881,0)</f>
        <v>292</v>
      </c>
      <c r="BG303" s="39" t="n">
        <f aca="false">RANK(BB303,$BB$2:$BB$881,0)</f>
        <v>298</v>
      </c>
      <c r="BH303" s="39" t="n">
        <f aca="false">RANK(BC303,$BC$2:$BC$881,0)</f>
        <v>681</v>
      </c>
      <c r="BI303" s="22" t="s">
        <v>130</v>
      </c>
      <c r="BJ303" s="22" t="s">
        <v>129</v>
      </c>
      <c r="BK303" s="40" t="s">
        <v>131</v>
      </c>
      <c r="BL303" s="41" t="n">
        <v>21</v>
      </c>
      <c r="BM303" s="41" t="n">
        <v>53</v>
      </c>
      <c r="BN303" s="41" t="n">
        <v>74</v>
      </c>
      <c r="BO303" s="42" t="n">
        <v>25</v>
      </c>
      <c r="BP303" s="43" t="n">
        <v>67</v>
      </c>
      <c r="BQ303" s="44" t="n">
        <v>92</v>
      </c>
      <c r="BR303" s="42" t="n">
        <v>23</v>
      </c>
      <c r="BS303" s="45" t="n">
        <v>57</v>
      </c>
      <c r="BT303" s="45" t="n">
        <v>80</v>
      </c>
      <c r="BU303" s="46" t="n">
        <v>100</v>
      </c>
      <c r="BV303" s="47" t="n">
        <v>76</v>
      </c>
      <c r="BW303" s="42" t="n">
        <v>96</v>
      </c>
      <c r="BX303" s="48" t="n">
        <v>86</v>
      </c>
      <c r="BY303" s="32" t="n">
        <v>27</v>
      </c>
      <c r="BZ303" s="32" t="n">
        <v>55</v>
      </c>
      <c r="CA303" s="32" t="n">
        <v>82</v>
      </c>
      <c r="CB303" s="32" t="n">
        <v>18</v>
      </c>
      <c r="CC303" s="32" t="n">
        <v>36</v>
      </c>
      <c r="CD303" s="69" t="n">
        <v>54</v>
      </c>
      <c r="CE303" s="32" t="n">
        <v>23</v>
      </c>
      <c r="CF303" s="32" t="n">
        <v>52</v>
      </c>
      <c r="CG303" s="32" t="n">
        <v>75</v>
      </c>
      <c r="CH303" s="32" t="n">
        <v>100</v>
      </c>
      <c r="CI303" s="32" t="n">
        <v>95</v>
      </c>
      <c r="CJ303" s="49" t="n">
        <v>19</v>
      </c>
      <c r="CK303" s="49" t="n">
        <v>44</v>
      </c>
      <c r="CL303" s="49" t="n">
        <v>63</v>
      </c>
      <c r="CM303" s="49" t="n">
        <v>22</v>
      </c>
      <c r="CN303" s="49" t="n">
        <v>53</v>
      </c>
      <c r="CO303" s="49" t="n">
        <v>75</v>
      </c>
      <c r="CP303" s="25" t="n">
        <f aca="false">BX303+BW303+BV303+BU303+BT303+BQ303+BN303</f>
        <v>604</v>
      </c>
      <c r="CQ303" s="25" t="n">
        <f aca="false">CO303+CL303+CI303+CH303+CG303+CD303+CA303</f>
        <v>544</v>
      </c>
      <c r="CR303" s="26" t="n">
        <f aca="false">CP303/7</f>
        <v>86.2857142857143</v>
      </c>
      <c r="CS303" s="26" t="n">
        <f aca="false">CQ303/7</f>
        <v>77.7142857142857</v>
      </c>
      <c r="CT303" s="24" t="n">
        <f aca="false">RANK(CR303,$CR$2:$CR$881,0)</f>
        <v>383</v>
      </c>
      <c r="CU303" s="25" t="n">
        <f aca="false">RANK(CS303,$CS$2:$CS$881,0)</f>
        <v>344</v>
      </c>
      <c r="CV303" s="26" t="n">
        <f aca="false">(CS303+CR303)/2</f>
        <v>82</v>
      </c>
      <c r="CW303" s="25" t="n">
        <f aca="false">RANK(CV303,$CV$2:$CV$881,0)</f>
        <v>340</v>
      </c>
      <c r="CX303" s="50" t="n">
        <f aca="false">(CV303+BB303)/2</f>
        <v>81.35</v>
      </c>
      <c r="CY303" s="50" t="n">
        <v>300</v>
      </c>
      <c r="CZ303" s="27" t="s">
        <v>132</v>
      </c>
      <c r="DA303" s="27" t="s">
        <v>205</v>
      </c>
      <c r="DB303" s="27" t="s">
        <v>205</v>
      </c>
      <c r="DC303" s="27" t="s">
        <v>134</v>
      </c>
      <c r="DD303" s="27" t="s">
        <v>182</v>
      </c>
      <c r="DE303" s="27" t="s">
        <v>375</v>
      </c>
      <c r="DF303" s="27" t="s">
        <v>372</v>
      </c>
      <c r="DG303" s="27" t="s">
        <v>134</v>
      </c>
      <c r="DH303" s="27" t="s">
        <v>137</v>
      </c>
      <c r="DI303" s="27" t="s">
        <v>412</v>
      </c>
      <c r="DJ303" s="27" t="s">
        <v>382</v>
      </c>
      <c r="DK303" s="27" t="s">
        <v>134</v>
      </c>
      <c r="DL303" s="27" t="s">
        <v>135</v>
      </c>
      <c r="DM303" s="27" t="s">
        <v>204</v>
      </c>
      <c r="DN303" s="27" t="s">
        <v>209</v>
      </c>
      <c r="DO303" s="27" t="s">
        <v>134</v>
      </c>
      <c r="DP303" s="27" t="s">
        <v>386</v>
      </c>
      <c r="DQ303" s="27" t="s">
        <v>412</v>
      </c>
      <c r="DR303" s="27" t="s">
        <v>138</v>
      </c>
      <c r="DS303" s="27" t="s">
        <v>134</v>
      </c>
      <c r="DT303" s="27" t="s">
        <v>137</v>
      </c>
      <c r="DU303" s="27" t="s">
        <v>412</v>
      </c>
      <c r="DV303" s="27" t="s">
        <v>382</v>
      </c>
      <c r="DW303" s="27" t="s">
        <v>160</v>
      </c>
      <c r="DX303" s="27" t="s">
        <v>138</v>
      </c>
      <c r="DY303" s="27" t="s">
        <v>144</v>
      </c>
      <c r="DZ303" s="27" t="n">
        <f aca="false">DY303+DV303+DR303+DN303+DJ303+DF303+DB303</f>
        <v>560</v>
      </c>
      <c r="EA303" s="28" t="n">
        <f aca="false">DZ303/7</f>
        <v>80</v>
      </c>
      <c r="EB303" s="27" t="n">
        <f aca="false">RANK(EA303,$EA$2:$EA$881,0)</f>
        <v>393</v>
      </c>
      <c r="EC303" s="29" t="n">
        <f aca="false">DZ303+CQ303+CP303+AZ303</f>
        <v>2515</v>
      </c>
      <c r="ED303" s="30" t="n">
        <f aca="false">(EA303+CV303+BB303)/3</f>
        <v>80.9</v>
      </c>
      <c r="EE303" s="51" t="n">
        <f aca="false">ROUND(BE303,3)</f>
        <v>87.097</v>
      </c>
      <c r="EF303" s="51" t="n">
        <f aca="false">ROUND(CR303,3)</f>
        <v>86.286</v>
      </c>
      <c r="EG303" s="51" t="n">
        <f aca="false">ROUND(CS303,3)</f>
        <v>77.714</v>
      </c>
      <c r="EH303" s="51" t="n">
        <f aca="false">ROUND(EA303,3)</f>
        <v>80</v>
      </c>
      <c r="EI303" s="51" t="n">
        <f aca="false">ROUND(ED303,3)</f>
        <v>80.9</v>
      </c>
      <c r="EJ303" s="51" t="n">
        <f aca="false">ROUND(CV303,3)</f>
        <v>82</v>
      </c>
      <c r="EK303" s="0" t="n">
        <f aca="false">RANK(EI303,$EI$2:$EI$881,0)</f>
        <v>302</v>
      </c>
    </row>
    <row r="304" customFormat="false" ht="16.85" hidden="false" customHeight="false" outlineLevel="0" collapsed="false">
      <c r="A304" s="4" t="n">
        <v>8986</v>
      </c>
      <c r="B304" s="4" t="n">
        <v>235</v>
      </c>
      <c r="C304" s="27" t="s">
        <v>1034</v>
      </c>
      <c r="D304" s="31" t="n">
        <v>236</v>
      </c>
      <c r="E304" s="16" t="n">
        <v>230613083</v>
      </c>
      <c r="F304" s="56" t="s">
        <v>1035</v>
      </c>
      <c r="G304" s="22" t="s">
        <v>1036</v>
      </c>
      <c r="H304" s="22" t="s">
        <v>558</v>
      </c>
      <c r="I304" s="57"/>
      <c r="J304" s="16" t="n">
        <v>74</v>
      </c>
      <c r="K304" s="16" t="n">
        <v>82</v>
      </c>
      <c r="L304" s="34" t="n">
        <f aca="false">(K304*70)/100</f>
        <v>57.4</v>
      </c>
      <c r="M304" s="34" t="n">
        <f aca="false">ROUNDUP(L304,0)</f>
        <v>58</v>
      </c>
      <c r="N304" s="16" t="n">
        <v>30</v>
      </c>
      <c r="O304" s="34" t="n">
        <f aca="false">N304+L304</f>
        <v>87.4</v>
      </c>
      <c r="P304" s="34" t="n">
        <f aca="false">N304+M304</f>
        <v>88</v>
      </c>
      <c r="Q304" s="16" t="n">
        <v>65</v>
      </c>
      <c r="R304" s="16" t="n">
        <v>80</v>
      </c>
      <c r="S304" s="34" t="n">
        <f aca="false">(R304*70)/100</f>
        <v>56</v>
      </c>
      <c r="T304" s="34" t="n">
        <f aca="false">ROUNDUP(S304,0)</f>
        <v>56</v>
      </c>
      <c r="U304" s="16" t="n">
        <v>29</v>
      </c>
      <c r="V304" s="34" t="n">
        <f aca="false">U304+S304</f>
        <v>85</v>
      </c>
      <c r="W304" s="34" t="n">
        <f aca="false">U304+T304</f>
        <v>85</v>
      </c>
      <c r="X304" s="16" t="n">
        <v>70</v>
      </c>
      <c r="Y304" s="34" t="n">
        <f aca="false">(X304*70)/100</f>
        <v>49</v>
      </c>
      <c r="Z304" s="34" t="n">
        <f aca="false">ROUNDUP(Y304,0)</f>
        <v>49</v>
      </c>
      <c r="AA304" s="16" t="n">
        <v>23</v>
      </c>
      <c r="AB304" s="34" t="n">
        <f aca="false">AA304+Y304</f>
        <v>72</v>
      </c>
      <c r="AC304" s="34" t="n">
        <f aca="false">AA304+Z304</f>
        <v>72</v>
      </c>
      <c r="AD304" s="32" t="n">
        <f aca="false">X304+R304+Q304+K304+J304</f>
        <v>371</v>
      </c>
      <c r="AE304" s="16" t="n">
        <f aca="false">AD304/5</f>
        <v>74.2</v>
      </c>
      <c r="AF304" s="16" t="n">
        <v>77</v>
      </c>
      <c r="AG304" s="16" t="n">
        <v>84</v>
      </c>
      <c r="AH304" s="16" t="n">
        <v>88</v>
      </c>
      <c r="AI304" s="16" t="n">
        <v>89</v>
      </c>
      <c r="AJ304" s="16" t="n">
        <f aca="false">(AI304*70)/100</f>
        <v>62.3</v>
      </c>
      <c r="AK304" s="35" t="n">
        <f aca="false">ROUNDUP(AJ304,0)</f>
        <v>63</v>
      </c>
      <c r="AL304" s="16" t="n">
        <v>28</v>
      </c>
      <c r="AM304" s="16" t="n">
        <f aca="false">AL304+AJ304</f>
        <v>90.3</v>
      </c>
      <c r="AN304" s="16" t="n">
        <f aca="false">AL304+AK304</f>
        <v>91</v>
      </c>
      <c r="AO304" s="16" t="n">
        <v>80</v>
      </c>
      <c r="AP304" s="36" t="n">
        <f aca="false">(AO304*70)/100</f>
        <v>56</v>
      </c>
      <c r="AQ304" s="37" t="n">
        <f aca="false">ROUNDUP(AP304,0)</f>
        <v>56</v>
      </c>
      <c r="AR304" s="16" t="n">
        <v>28</v>
      </c>
      <c r="AS304" s="16" t="n">
        <f aca="false">AR304+AP304</f>
        <v>84</v>
      </c>
      <c r="AT304" s="16" t="n">
        <f aca="false">AR304+AQ304</f>
        <v>84</v>
      </c>
      <c r="AU304" s="16" t="n">
        <f aca="false">AO304+AF304+AI304+AH304+AG304</f>
        <v>418</v>
      </c>
      <c r="AV304" s="16" t="n">
        <f aca="false">(AO304+AF304+AI304+AH304+AG304)/5</f>
        <v>83.6</v>
      </c>
      <c r="AW304" s="36" t="n">
        <f aca="false">(AO304+AF304+AI304+AH304+AG304+X304+R304+Q304+K304+J304)</f>
        <v>789</v>
      </c>
      <c r="AX304" s="16" t="n">
        <f aca="false">AW304/10</f>
        <v>78.9</v>
      </c>
      <c r="AY304" s="16" t="n">
        <f aca="false">AS304+AF304+AM304+AH304+AG304+AB304+V304+Q304+O304+J304</f>
        <v>806.7</v>
      </c>
      <c r="AZ304" s="16" t="n">
        <f aca="false">AT304+AF304+AN304+AH304+AG304+AC304+W304+Q304+P304+J304</f>
        <v>808</v>
      </c>
      <c r="BA304" s="16" t="n">
        <f aca="false">AY304/10</f>
        <v>80.67</v>
      </c>
      <c r="BB304" s="16" t="n">
        <f aca="false">AZ304/10</f>
        <v>80.8</v>
      </c>
      <c r="BC304" s="16" t="n">
        <v>2340</v>
      </c>
      <c r="BD304" s="16" t="n">
        <f aca="false">RANK(AX304,$AX$2:$AX$881,0)</f>
        <v>339</v>
      </c>
      <c r="BE304" s="54" t="n">
        <f aca="false">((BC304*100)/2400)*0.4+(AX304*0.6)</f>
        <v>86.34</v>
      </c>
      <c r="BF304" s="16" t="n">
        <f aca="false">RANK(BE304,$BE$2:$BE$881,0)</f>
        <v>371</v>
      </c>
      <c r="BG304" s="39" t="n">
        <f aca="false">RANK(BB304,$BB$2:$BB$881,0)</f>
        <v>290</v>
      </c>
      <c r="BH304" s="39" t="n">
        <f aca="false">RANK(BC304,$BC$2:$BC$881,0)</f>
        <v>636</v>
      </c>
      <c r="BI304" s="22" t="s">
        <v>130</v>
      </c>
      <c r="BJ304" s="22" t="s">
        <v>129</v>
      </c>
      <c r="BK304" s="40" t="s">
        <v>131</v>
      </c>
      <c r="BL304" s="41" t="n">
        <v>23</v>
      </c>
      <c r="BM304" s="41" t="n">
        <v>47</v>
      </c>
      <c r="BN304" s="41" t="n">
        <v>70</v>
      </c>
      <c r="BO304" s="42" t="n">
        <v>27</v>
      </c>
      <c r="BP304" s="43" t="n">
        <v>61</v>
      </c>
      <c r="BQ304" s="44" t="n">
        <v>88</v>
      </c>
      <c r="BR304" s="42" t="n">
        <v>23</v>
      </c>
      <c r="BS304" s="45" t="n">
        <v>57</v>
      </c>
      <c r="BT304" s="45" t="n">
        <v>80</v>
      </c>
      <c r="BU304" s="46" t="n">
        <v>100</v>
      </c>
      <c r="BV304" s="47" t="n">
        <v>96</v>
      </c>
      <c r="BW304" s="42" t="n">
        <v>98</v>
      </c>
      <c r="BX304" s="88" t="n">
        <v>88</v>
      </c>
      <c r="BY304" s="65" t="n">
        <v>27</v>
      </c>
      <c r="BZ304" s="58" t="n">
        <v>48</v>
      </c>
      <c r="CA304" s="58" t="n">
        <v>75</v>
      </c>
      <c r="CB304" s="59" t="n">
        <v>25</v>
      </c>
      <c r="CC304" s="58" t="n">
        <v>63</v>
      </c>
      <c r="CD304" s="58" t="n">
        <v>88</v>
      </c>
      <c r="CE304" s="58" t="n">
        <v>19</v>
      </c>
      <c r="CF304" s="58" t="n">
        <v>47</v>
      </c>
      <c r="CG304" s="58" t="n">
        <v>66</v>
      </c>
      <c r="CH304" s="58" t="n">
        <v>93</v>
      </c>
      <c r="CI304" s="58" t="n">
        <v>87</v>
      </c>
      <c r="CJ304" s="58" t="n">
        <v>24</v>
      </c>
      <c r="CK304" s="58" t="n">
        <v>56</v>
      </c>
      <c r="CL304" s="59" t="n">
        <v>80</v>
      </c>
      <c r="CM304" s="60"/>
      <c r="CN304" s="60"/>
      <c r="CO304" s="60"/>
      <c r="CP304" s="25" t="n">
        <f aca="false">BX304+BW304+BV304+BU304+BT304+BQ304+BN304</f>
        <v>620</v>
      </c>
      <c r="CQ304" s="25" t="n">
        <f aca="false">CO304+CL304+CI304+CH304+CG304+CD304+CA304</f>
        <v>489</v>
      </c>
      <c r="CR304" s="26" t="n">
        <f aca="false">CP304/7</f>
        <v>88.5714285714286</v>
      </c>
      <c r="CS304" s="26" t="n">
        <f aca="false">CQ304/7</f>
        <v>69.8571428571429</v>
      </c>
      <c r="CT304" s="24" t="n">
        <f aca="false">RANK(CR304,$CR$2:$CR$881,0)</f>
        <v>265</v>
      </c>
      <c r="CU304" s="25" t="n">
        <f aca="false">RANK(CS304,$CS$2:$CS$881,0)</f>
        <v>558</v>
      </c>
      <c r="CV304" s="26" t="n">
        <f aca="false">(CS304+CR304)/2</f>
        <v>79.2142857142857</v>
      </c>
      <c r="CW304" s="25" t="n">
        <f aca="false">RANK(CV304,$CV$2:$CV$881,0)</f>
        <v>458</v>
      </c>
      <c r="CX304" s="50" t="n">
        <f aca="false">(CV304+BB304)/2</f>
        <v>80.0071428571429</v>
      </c>
      <c r="CY304" s="50" t="n">
        <v>645</v>
      </c>
      <c r="CZ304" s="27" t="s">
        <v>132</v>
      </c>
      <c r="DA304" s="27" t="s">
        <v>272</v>
      </c>
      <c r="DB304" s="27" t="s">
        <v>272</v>
      </c>
      <c r="DC304" s="27" t="s">
        <v>134</v>
      </c>
      <c r="DD304" s="27" t="s">
        <v>195</v>
      </c>
      <c r="DE304" s="27" t="s">
        <v>204</v>
      </c>
      <c r="DF304" s="27" t="s">
        <v>219</v>
      </c>
      <c r="DG304" s="27" t="s">
        <v>134</v>
      </c>
      <c r="DH304" s="27" t="s">
        <v>135</v>
      </c>
      <c r="DI304" s="27" t="s">
        <v>203</v>
      </c>
      <c r="DJ304" s="27" t="s">
        <v>178</v>
      </c>
      <c r="DK304" s="27" t="s">
        <v>134</v>
      </c>
      <c r="DL304" s="27" t="s">
        <v>154</v>
      </c>
      <c r="DM304" s="27" t="s">
        <v>218</v>
      </c>
      <c r="DN304" s="27" t="s">
        <v>219</v>
      </c>
      <c r="DO304" s="27" t="s">
        <v>134</v>
      </c>
      <c r="DP304" s="27" t="s">
        <v>135</v>
      </c>
      <c r="DQ304" s="27" t="s">
        <v>447</v>
      </c>
      <c r="DR304" s="27" t="s">
        <v>305</v>
      </c>
      <c r="DS304" s="27" t="s">
        <v>134</v>
      </c>
      <c r="DT304" s="27" t="s">
        <v>135</v>
      </c>
      <c r="DU304" s="27" t="s">
        <v>306</v>
      </c>
      <c r="DV304" s="27" t="s">
        <v>219</v>
      </c>
      <c r="DW304" s="27" t="s">
        <v>160</v>
      </c>
      <c r="DX304" s="27" t="s">
        <v>187</v>
      </c>
      <c r="DY304" s="27" t="s">
        <v>156</v>
      </c>
      <c r="DZ304" s="27" t="n">
        <f aca="false">DY304+DV304+DR304+DN304+DJ304+DF304+DB304</f>
        <v>578</v>
      </c>
      <c r="EA304" s="28" t="n">
        <f aca="false">DZ304/7</f>
        <v>82.5714285714286</v>
      </c>
      <c r="EB304" s="27" t="n">
        <f aca="false">RANK(EA304,$EA$2:$EA$881,0)</f>
        <v>289</v>
      </c>
      <c r="EC304" s="29" t="n">
        <f aca="false">DZ304+CQ304+CP304+AZ304</f>
        <v>2495</v>
      </c>
      <c r="ED304" s="30" t="n">
        <f aca="false">(EA304+CV304+BB304)/3</f>
        <v>80.8619047619048</v>
      </c>
      <c r="EE304" s="51" t="n">
        <f aca="false">ROUND(BE304,3)</f>
        <v>86.34</v>
      </c>
      <c r="EF304" s="51" t="n">
        <f aca="false">ROUND(CR304,3)</f>
        <v>88.571</v>
      </c>
      <c r="EG304" s="51" t="n">
        <f aca="false">ROUND(CS304,3)</f>
        <v>69.857</v>
      </c>
      <c r="EH304" s="51" t="n">
        <f aca="false">ROUND(EA304,3)</f>
        <v>82.571</v>
      </c>
      <c r="EI304" s="51" t="n">
        <f aca="false">ROUND(ED304,3)</f>
        <v>80.862</v>
      </c>
      <c r="EJ304" s="51" t="n">
        <f aca="false">ROUND(CV304,3)</f>
        <v>79.214</v>
      </c>
      <c r="EK304" s="0" t="n">
        <f aca="false">RANK(EI304,$EI$2:$EI$881,0)</f>
        <v>303</v>
      </c>
    </row>
    <row r="305" customFormat="false" ht="15" hidden="false" customHeight="false" outlineLevel="0" collapsed="false">
      <c r="A305" s="4" t="n">
        <v>2037</v>
      </c>
      <c r="B305" s="4" t="n">
        <v>226</v>
      </c>
      <c r="C305" s="27" t="s">
        <v>1037</v>
      </c>
      <c r="D305" s="31" t="n">
        <v>228</v>
      </c>
      <c r="E305" s="16" t="n">
        <v>234300146</v>
      </c>
      <c r="F305" s="56" t="s">
        <v>1038</v>
      </c>
      <c r="G305" s="22" t="s">
        <v>1039</v>
      </c>
      <c r="H305" s="22" t="s">
        <v>326</v>
      </c>
      <c r="I305" s="57"/>
      <c r="J305" s="16" t="n">
        <v>66</v>
      </c>
      <c r="K305" s="16" t="n">
        <v>74</v>
      </c>
      <c r="L305" s="34" t="n">
        <f aca="false">(K305*70)/100</f>
        <v>51.8</v>
      </c>
      <c r="M305" s="34" t="n">
        <f aca="false">ROUNDUP(L305,0)</f>
        <v>52</v>
      </c>
      <c r="N305" s="16" t="n">
        <v>21</v>
      </c>
      <c r="O305" s="34" t="n">
        <f aca="false">N305+L305</f>
        <v>72.8</v>
      </c>
      <c r="P305" s="34" t="n">
        <f aca="false">N305+M305</f>
        <v>73</v>
      </c>
      <c r="Q305" s="16" t="n">
        <v>86</v>
      </c>
      <c r="R305" s="16" t="n">
        <v>70</v>
      </c>
      <c r="S305" s="34" t="n">
        <f aca="false">(R305*70)/100</f>
        <v>49</v>
      </c>
      <c r="T305" s="34" t="n">
        <f aca="false">ROUNDUP(S305,0)</f>
        <v>49</v>
      </c>
      <c r="U305" s="16" t="n">
        <v>24</v>
      </c>
      <c r="V305" s="34" t="n">
        <f aca="false">U305+S305</f>
        <v>73</v>
      </c>
      <c r="W305" s="34" t="n">
        <f aca="false">U305+T305</f>
        <v>73</v>
      </c>
      <c r="X305" s="16" t="n">
        <v>65</v>
      </c>
      <c r="Y305" s="34" t="n">
        <f aca="false">(X305*70)/100</f>
        <v>45.5</v>
      </c>
      <c r="Z305" s="34" t="n">
        <f aca="false">ROUNDUP(Y305,0)</f>
        <v>46</v>
      </c>
      <c r="AA305" s="16" t="n">
        <v>25</v>
      </c>
      <c r="AB305" s="34" t="n">
        <f aca="false">AA305+Y305</f>
        <v>70.5</v>
      </c>
      <c r="AC305" s="34" t="n">
        <f aca="false">AA305+Z305</f>
        <v>71</v>
      </c>
      <c r="AD305" s="32" t="n">
        <f aca="false">X305+R305+Q305+K305+J305</f>
        <v>361</v>
      </c>
      <c r="AE305" s="16" t="n">
        <f aca="false">AD305/5</f>
        <v>72.2</v>
      </c>
      <c r="AF305" s="16" t="n">
        <v>70</v>
      </c>
      <c r="AG305" s="16" t="n">
        <v>74</v>
      </c>
      <c r="AH305" s="16" t="n">
        <v>84</v>
      </c>
      <c r="AI305" s="16" t="n">
        <v>96</v>
      </c>
      <c r="AJ305" s="16" t="n">
        <f aca="false">(AI305*70)/100</f>
        <v>67.2</v>
      </c>
      <c r="AK305" s="35" t="n">
        <f aca="false">ROUNDUP(AJ305,0)</f>
        <v>68</v>
      </c>
      <c r="AL305" s="16" t="n">
        <v>25</v>
      </c>
      <c r="AM305" s="16" t="n">
        <f aca="false">AL305+AJ305</f>
        <v>92.2</v>
      </c>
      <c r="AN305" s="16" t="n">
        <f aca="false">AL305+AK305</f>
        <v>93</v>
      </c>
      <c r="AO305" s="16" t="n">
        <v>67</v>
      </c>
      <c r="AP305" s="36" t="n">
        <f aca="false">(AO305*70)/100</f>
        <v>46.9</v>
      </c>
      <c r="AQ305" s="37" t="n">
        <f aca="false">ROUNDUP(AP305,0)</f>
        <v>47</v>
      </c>
      <c r="AR305" s="16" t="n">
        <v>28</v>
      </c>
      <c r="AS305" s="16" t="n">
        <f aca="false">AR305+AP305</f>
        <v>74.9</v>
      </c>
      <c r="AT305" s="16" t="n">
        <f aca="false">AR305+AQ305</f>
        <v>75</v>
      </c>
      <c r="AU305" s="16" t="n">
        <f aca="false">AO305+AF305+AI305+AH305+AG305</f>
        <v>391</v>
      </c>
      <c r="AV305" s="16" t="n">
        <f aca="false">(AO305+AF305+AI305+AH305+AG305)/5</f>
        <v>78.2</v>
      </c>
      <c r="AW305" s="36" t="n">
        <f aca="false">(AO305+AF305+AI305+AH305+AG305+X305+R305+Q305+K305+J305)</f>
        <v>752</v>
      </c>
      <c r="AX305" s="16" t="n">
        <f aca="false">AW305/10</f>
        <v>75.2</v>
      </c>
      <c r="AY305" s="16" t="n">
        <f aca="false">AS305+AF305+AM305+AH305+AG305+AB305+V305+Q305+O305+J305</f>
        <v>763.4</v>
      </c>
      <c r="AZ305" s="16" t="n">
        <f aca="false">AT305+AF305+AN305+AH305+AG305+AC305+W305+Q305+P305+J305</f>
        <v>765</v>
      </c>
      <c r="BA305" s="16" t="n">
        <f aca="false">AY305/10</f>
        <v>76.34</v>
      </c>
      <c r="BB305" s="16" t="n">
        <f aca="false">AZ305/10</f>
        <v>76.5</v>
      </c>
      <c r="BC305" s="72" t="n">
        <v>0</v>
      </c>
      <c r="BD305" s="16" t="n">
        <f aca="false">RANK(AX305,$AX$2:$AX$881,0)</f>
        <v>675</v>
      </c>
      <c r="BE305" s="78" t="n">
        <f aca="false">AX305</f>
        <v>75.2</v>
      </c>
      <c r="BF305" s="16" t="n">
        <f aca="false">RANK(BE305,$BE$2:$BE$881,0)</f>
        <v>775</v>
      </c>
      <c r="BG305" s="39" t="n">
        <f aca="false">RANK(BB305,$BB$2:$BB$881,0)</f>
        <v>665</v>
      </c>
      <c r="BH305" s="39" t="n">
        <f aca="false">RANK(BC305,$BC$2:$BC$881,0)</f>
        <v>780</v>
      </c>
      <c r="BI305" s="22" t="s">
        <v>130</v>
      </c>
      <c r="BJ305" s="22" t="s">
        <v>129</v>
      </c>
      <c r="BK305" s="22" t="s">
        <v>526</v>
      </c>
      <c r="BL305" s="41" t="n">
        <v>23</v>
      </c>
      <c r="BM305" s="41" t="n">
        <v>59</v>
      </c>
      <c r="BN305" s="41" t="n">
        <v>82</v>
      </c>
      <c r="BO305" s="42" t="n">
        <v>26</v>
      </c>
      <c r="BP305" s="43" t="n">
        <v>65</v>
      </c>
      <c r="BQ305" s="44" t="n">
        <v>91</v>
      </c>
      <c r="BR305" s="42" t="n">
        <v>27</v>
      </c>
      <c r="BS305" s="45" t="n">
        <v>63</v>
      </c>
      <c r="BT305" s="45" t="n">
        <v>90</v>
      </c>
      <c r="BU305" s="46" t="n">
        <v>100</v>
      </c>
      <c r="BV305" s="47" t="n">
        <v>66</v>
      </c>
      <c r="BW305" s="42" t="n">
        <v>99</v>
      </c>
      <c r="BX305" s="48" t="n">
        <v>94</v>
      </c>
      <c r="BY305" s="32" t="n">
        <v>24</v>
      </c>
      <c r="BZ305" s="32" t="n">
        <v>54</v>
      </c>
      <c r="CA305" s="32" t="n">
        <v>78</v>
      </c>
      <c r="CB305" s="32" t="n">
        <v>23</v>
      </c>
      <c r="CC305" s="32" t="n">
        <v>40</v>
      </c>
      <c r="CD305" s="32" t="n">
        <v>63</v>
      </c>
      <c r="CE305" s="32" t="n">
        <v>24</v>
      </c>
      <c r="CF305" s="32" t="n">
        <v>48</v>
      </c>
      <c r="CG305" s="32" t="n">
        <v>72</v>
      </c>
      <c r="CH305" s="32" t="n">
        <v>98</v>
      </c>
      <c r="CI305" s="32" t="n">
        <v>89</v>
      </c>
      <c r="CJ305" s="49" t="n">
        <v>30</v>
      </c>
      <c r="CK305" s="49" t="n">
        <v>51</v>
      </c>
      <c r="CL305" s="49" t="n">
        <v>81</v>
      </c>
      <c r="CM305" s="49" t="n">
        <v>22</v>
      </c>
      <c r="CN305" s="49" t="n">
        <v>56</v>
      </c>
      <c r="CO305" s="49" t="n">
        <v>78</v>
      </c>
      <c r="CP305" s="25" t="n">
        <f aca="false">BX305+BW305+BV305+BU305+BT305+BQ305+BN305</f>
        <v>622</v>
      </c>
      <c r="CQ305" s="25" t="n">
        <f aca="false">CO305+CL305+CI305+CH305+CG305+CD305+CA305</f>
        <v>559</v>
      </c>
      <c r="CR305" s="26" t="n">
        <f aca="false">CP305/7</f>
        <v>88.8571428571429</v>
      </c>
      <c r="CS305" s="26" t="n">
        <f aca="false">CQ305/7</f>
        <v>79.8571428571429</v>
      </c>
      <c r="CT305" s="24" t="n">
        <f aca="false">RANK(CR305,$CR$2:$CR$881,0)</f>
        <v>254</v>
      </c>
      <c r="CU305" s="25" t="n">
        <f aca="false">RANK(CS305,$CS$2:$CS$881,0)</f>
        <v>270</v>
      </c>
      <c r="CV305" s="26" t="n">
        <f aca="false">(CS305+CR305)/2</f>
        <v>84.3571428571429</v>
      </c>
      <c r="CW305" s="25" t="n">
        <f aca="false">RANK(CV305,$CV$2:$CV$881,0)</f>
        <v>249</v>
      </c>
      <c r="CX305" s="50" t="n">
        <f aca="false">(CV305+BB305)/2</f>
        <v>80.4285714285714</v>
      </c>
      <c r="CY305" s="50" t="n">
        <v>349</v>
      </c>
      <c r="CZ305" s="27" t="s">
        <v>132</v>
      </c>
      <c r="DA305" s="27" t="s">
        <v>162</v>
      </c>
      <c r="DB305" s="27" t="s">
        <v>162</v>
      </c>
      <c r="DC305" s="27" t="s">
        <v>134</v>
      </c>
      <c r="DD305" s="27" t="s">
        <v>135</v>
      </c>
      <c r="DE305" s="27" t="s">
        <v>304</v>
      </c>
      <c r="DF305" s="27" t="s">
        <v>272</v>
      </c>
      <c r="DG305" s="27" t="s">
        <v>134</v>
      </c>
      <c r="DH305" s="27" t="s">
        <v>140</v>
      </c>
      <c r="DI305" s="27" t="s">
        <v>313</v>
      </c>
      <c r="DJ305" s="27" t="s">
        <v>196</v>
      </c>
      <c r="DK305" s="27" t="s">
        <v>134</v>
      </c>
      <c r="DL305" s="27" t="s">
        <v>164</v>
      </c>
      <c r="DM305" s="27" t="s">
        <v>447</v>
      </c>
      <c r="DN305" s="27" t="s">
        <v>219</v>
      </c>
      <c r="DO305" s="27" t="s">
        <v>134</v>
      </c>
      <c r="DP305" s="27" t="s">
        <v>195</v>
      </c>
      <c r="DQ305" s="27" t="s">
        <v>375</v>
      </c>
      <c r="DR305" s="27" t="s">
        <v>416</v>
      </c>
      <c r="DS305" s="27" t="s">
        <v>134</v>
      </c>
      <c r="DT305" s="27" t="s">
        <v>135</v>
      </c>
      <c r="DU305" s="27" t="s">
        <v>412</v>
      </c>
      <c r="DV305" s="27" t="s">
        <v>443</v>
      </c>
      <c r="DW305" s="27" t="s">
        <v>137</v>
      </c>
      <c r="DX305" s="27" t="s">
        <v>155</v>
      </c>
      <c r="DY305" s="27" t="s">
        <v>142</v>
      </c>
      <c r="DZ305" s="27" t="n">
        <f aca="false">DY305+DV305+DR305+DN305+DJ305+DF305+DB305</f>
        <v>572</v>
      </c>
      <c r="EA305" s="28" t="n">
        <f aca="false">DZ305/7</f>
        <v>81.7142857142857</v>
      </c>
      <c r="EB305" s="27" t="n">
        <f aca="false">RANK(EA305,$EA$2:$EA$881,0)</f>
        <v>322</v>
      </c>
      <c r="EC305" s="29" t="n">
        <f aca="false">DZ305+CQ305+CP305+AZ305</f>
        <v>2518</v>
      </c>
      <c r="ED305" s="30" t="n">
        <f aca="false">(EA305+CV305+BB305)/3</f>
        <v>80.8571428571429</v>
      </c>
      <c r="EE305" s="51" t="n">
        <f aca="false">ROUND(BE305,3)</f>
        <v>75.2</v>
      </c>
      <c r="EF305" s="51" t="n">
        <f aca="false">ROUND(CR305,3)</f>
        <v>88.857</v>
      </c>
      <c r="EG305" s="51" t="n">
        <f aca="false">ROUND(CS305,3)</f>
        <v>79.857</v>
      </c>
      <c r="EH305" s="51" t="n">
        <f aca="false">ROUND(EA305,3)</f>
        <v>81.714</v>
      </c>
      <c r="EI305" s="51" t="n">
        <f aca="false">ROUND(ED305,3)</f>
        <v>80.857</v>
      </c>
      <c r="EJ305" s="51" t="n">
        <f aca="false">ROUND(CV305,3)</f>
        <v>84.357</v>
      </c>
      <c r="EK305" s="0" t="n">
        <f aca="false">RANK(EI305,$EI$2:$EI$881,0)</f>
        <v>304</v>
      </c>
    </row>
    <row r="306" customFormat="false" ht="15" hidden="false" customHeight="false" outlineLevel="0" collapsed="false">
      <c r="A306" s="4" t="n">
        <v>1805</v>
      </c>
      <c r="B306" s="4" t="n">
        <v>838</v>
      </c>
      <c r="C306" s="27" t="s">
        <v>1040</v>
      </c>
      <c r="D306" s="31" t="n">
        <v>858</v>
      </c>
      <c r="E306" s="32" t="n">
        <v>230320782</v>
      </c>
      <c r="F306" s="8" t="s">
        <v>1041</v>
      </c>
      <c r="G306" s="22" t="s">
        <v>1042</v>
      </c>
      <c r="H306" s="22" t="s">
        <v>129</v>
      </c>
      <c r="I306" s="33" t="n">
        <v>2005</v>
      </c>
      <c r="J306" s="32" t="n">
        <v>83</v>
      </c>
      <c r="K306" s="32" t="n">
        <v>57</v>
      </c>
      <c r="L306" s="34" t="n">
        <f aca="false">(K306*70)/100</f>
        <v>39.9</v>
      </c>
      <c r="M306" s="34" t="n">
        <f aca="false">ROUNDUP(L306,0)</f>
        <v>40</v>
      </c>
      <c r="N306" s="32" t="n">
        <v>26</v>
      </c>
      <c r="O306" s="34" t="n">
        <f aca="false">N306+L306</f>
        <v>65.9</v>
      </c>
      <c r="P306" s="34" t="n">
        <f aca="false">N306+M306</f>
        <v>66</v>
      </c>
      <c r="Q306" s="68" t="n">
        <v>54</v>
      </c>
      <c r="R306" s="32" t="n">
        <v>79</v>
      </c>
      <c r="S306" s="34" t="n">
        <f aca="false">(R306*70)/100</f>
        <v>55.3</v>
      </c>
      <c r="T306" s="34" t="n">
        <f aca="false">ROUNDUP(S306,0)</f>
        <v>56</v>
      </c>
      <c r="U306" s="32" t="n">
        <v>25</v>
      </c>
      <c r="V306" s="34" t="n">
        <f aca="false">U306+S306</f>
        <v>80.3</v>
      </c>
      <c r="W306" s="34" t="n">
        <f aca="false">U306+T306</f>
        <v>81</v>
      </c>
      <c r="X306" s="32" t="n">
        <v>79</v>
      </c>
      <c r="Y306" s="34" t="n">
        <f aca="false">(X306*70)/100</f>
        <v>55.3</v>
      </c>
      <c r="Z306" s="34" t="n">
        <f aca="false">ROUNDUP(Y306,0)</f>
        <v>56</v>
      </c>
      <c r="AA306" s="32" t="n">
        <v>28</v>
      </c>
      <c r="AB306" s="34" t="n">
        <f aca="false">AA306+Y306</f>
        <v>83.3</v>
      </c>
      <c r="AC306" s="34" t="n">
        <f aca="false">AA306+Z306</f>
        <v>84</v>
      </c>
      <c r="AD306" s="32" t="n">
        <f aca="false">X306+R306+Q306+K306+J306</f>
        <v>352</v>
      </c>
      <c r="AE306" s="16" t="n">
        <f aca="false">AD306/5</f>
        <v>70.4</v>
      </c>
      <c r="AF306" s="16" t="n">
        <v>80</v>
      </c>
      <c r="AG306" s="16" t="n">
        <v>82</v>
      </c>
      <c r="AH306" s="16" t="n">
        <v>87</v>
      </c>
      <c r="AI306" s="16" t="n">
        <v>85</v>
      </c>
      <c r="AJ306" s="16" t="n">
        <f aca="false">(AI306*70)/100</f>
        <v>59.5</v>
      </c>
      <c r="AK306" s="35" t="n">
        <f aca="false">ROUNDUP(AJ306,0)</f>
        <v>60</v>
      </c>
      <c r="AL306" s="16" t="n">
        <v>20</v>
      </c>
      <c r="AM306" s="16" t="n">
        <f aca="false">AL306+AJ306</f>
        <v>79.5</v>
      </c>
      <c r="AN306" s="16" t="n">
        <f aca="false">AL306+AK306</f>
        <v>80</v>
      </c>
      <c r="AO306" s="16" t="n">
        <v>74</v>
      </c>
      <c r="AP306" s="36" t="n">
        <f aca="false">(AO306*70)/100</f>
        <v>51.8</v>
      </c>
      <c r="AQ306" s="37" t="n">
        <f aca="false">ROUNDUP(AP306,0)</f>
        <v>52</v>
      </c>
      <c r="AR306" s="16" t="n">
        <v>28</v>
      </c>
      <c r="AS306" s="16" t="n">
        <f aca="false">AR306+AP306</f>
        <v>79.8</v>
      </c>
      <c r="AT306" s="16" t="n">
        <f aca="false">AR306+AQ306</f>
        <v>80</v>
      </c>
      <c r="AU306" s="16" t="n">
        <f aca="false">AO306+AF306+AI306+AH306+AG306</f>
        <v>408</v>
      </c>
      <c r="AV306" s="16" t="n">
        <f aca="false">(AO306+AF306+AI306+AH306+AG306)/5</f>
        <v>81.6</v>
      </c>
      <c r="AW306" s="36" t="n">
        <f aca="false">(AO306+AF306+AI306+AH306+AG306+X306+R306+Q306+K306+J306)</f>
        <v>760</v>
      </c>
      <c r="AX306" s="16" t="n">
        <f aca="false">AW306/10</f>
        <v>76</v>
      </c>
      <c r="AY306" s="16" t="n">
        <f aca="false">AS306+AF306+AM306+AH306+AG306+AB306+V306+Q306+O306+J306</f>
        <v>774.8</v>
      </c>
      <c r="AZ306" s="16" t="n">
        <f aca="false">AT306+AF306+AN306+AH306+AG306+AC306+W306+Q306+P306+J306</f>
        <v>777</v>
      </c>
      <c r="BA306" s="16" t="n">
        <f aca="false">AY306/10</f>
        <v>77.48</v>
      </c>
      <c r="BB306" s="16" t="n">
        <f aca="false">AZ306/10</f>
        <v>77.7</v>
      </c>
      <c r="BC306" s="16" t="n">
        <v>2388</v>
      </c>
      <c r="BD306" s="16" t="n">
        <f aca="false">RANK(AX306,$AX$2:$AX$881,0)</f>
        <v>616</v>
      </c>
      <c r="BE306" s="54" t="n">
        <f aca="false">((BC306*100)/2400)*0.4+(AX306*0.6)</f>
        <v>85.4</v>
      </c>
      <c r="BF306" s="16" t="n">
        <f aca="false">RANK(BE306,$BE$2:$BE$881,0)</f>
        <v>527</v>
      </c>
      <c r="BG306" s="39" t="n">
        <f aca="false">RANK(BB306,$BB$2:$BB$881,0)</f>
        <v>586</v>
      </c>
      <c r="BH306" s="39" t="n">
        <f aca="false">RANK(BC306,$BC$2:$BC$881,0)</f>
        <v>70</v>
      </c>
      <c r="BI306" s="22" t="s">
        <v>130</v>
      </c>
      <c r="BJ306" s="22" t="s">
        <v>129</v>
      </c>
      <c r="BK306" s="40" t="s">
        <v>509</v>
      </c>
      <c r="BL306" s="41" t="n">
        <v>23</v>
      </c>
      <c r="BM306" s="41" t="n">
        <v>52</v>
      </c>
      <c r="BN306" s="41" t="n">
        <v>75</v>
      </c>
      <c r="BO306" s="42" t="n">
        <v>26</v>
      </c>
      <c r="BP306" s="43" t="n">
        <v>59</v>
      </c>
      <c r="BQ306" s="44" t="n">
        <v>85</v>
      </c>
      <c r="BR306" s="42" t="n">
        <v>26</v>
      </c>
      <c r="BS306" s="45" t="n">
        <v>54</v>
      </c>
      <c r="BT306" s="45" t="n">
        <v>80</v>
      </c>
      <c r="BU306" s="46" t="n">
        <v>99</v>
      </c>
      <c r="BV306" s="47" t="n">
        <v>92</v>
      </c>
      <c r="BW306" s="42" t="n">
        <v>98</v>
      </c>
      <c r="BX306" s="48" t="n">
        <v>96</v>
      </c>
      <c r="BY306" s="32" t="n">
        <v>28</v>
      </c>
      <c r="BZ306" s="32" t="n">
        <v>60</v>
      </c>
      <c r="CA306" s="32" t="n">
        <v>88</v>
      </c>
      <c r="CB306" s="32" t="n">
        <v>18</v>
      </c>
      <c r="CC306" s="32" t="n">
        <v>32</v>
      </c>
      <c r="CD306" s="69" t="n">
        <v>50</v>
      </c>
      <c r="CE306" s="32" t="n">
        <v>25</v>
      </c>
      <c r="CF306" s="32" t="n">
        <v>53</v>
      </c>
      <c r="CG306" s="32" t="n">
        <v>78</v>
      </c>
      <c r="CH306" s="32" t="n">
        <v>96</v>
      </c>
      <c r="CI306" s="32" t="n">
        <v>98</v>
      </c>
      <c r="CJ306" s="49" t="n">
        <v>27</v>
      </c>
      <c r="CK306" s="49" t="n">
        <v>56</v>
      </c>
      <c r="CL306" s="49" t="n">
        <v>83</v>
      </c>
      <c r="CM306" s="49" t="n">
        <v>24</v>
      </c>
      <c r="CN306" s="49" t="n">
        <v>52</v>
      </c>
      <c r="CO306" s="49" t="n">
        <v>76</v>
      </c>
      <c r="CP306" s="25" t="n">
        <f aca="false">BX306+BW306+BV306+BU306+BT306+BQ306+BN306</f>
        <v>625</v>
      </c>
      <c r="CQ306" s="25" t="n">
        <f aca="false">CO306+CL306+CI306+CH306+CG306+CD306+CA306</f>
        <v>569</v>
      </c>
      <c r="CR306" s="26" t="n">
        <f aca="false">CP306/7</f>
        <v>89.2857142857143</v>
      </c>
      <c r="CS306" s="26" t="n">
        <f aca="false">CQ306/7</f>
        <v>81.2857142857143</v>
      </c>
      <c r="CT306" s="24" t="n">
        <f aca="false">RANK(CR306,$CR$2:$CR$881,0)</f>
        <v>228</v>
      </c>
      <c r="CU306" s="25" t="n">
        <f aca="false">RANK(CS306,$CS$2:$CS$881,0)</f>
        <v>216</v>
      </c>
      <c r="CV306" s="26" t="n">
        <f aca="false">(CS306+CR306)/2</f>
        <v>85.2857142857143</v>
      </c>
      <c r="CW306" s="25" t="n">
        <f aca="false">RANK(CV306,$CV$2:$CV$881,0)</f>
        <v>198</v>
      </c>
      <c r="CX306" s="50" t="n">
        <f aca="false">(CV306+BB306)/2</f>
        <v>81.4928571428572</v>
      </c>
      <c r="CY306" s="50" t="n">
        <v>292</v>
      </c>
      <c r="CZ306" s="27" t="s">
        <v>132</v>
      </c>
      <c r="DA306" s="27" t="s">
        <v>175</v>
      </c>
      <c r="DB306" s="27" t="s">
        <v>175</v>
      </c>
      <c r="DC306" s="27" t="s">
        <v>134</v>
      </c>
      <c r="DD306" s="27" t="s">
        <v>135</v>
      </c>
      <c r="DE306" s="27" t="s">
        <v>183</v>
      </c>
      <c r="DF306" s="27" t="s">
        <v>169</v>
      </c>
      <c r="DG306" s="27" t="s">
        <v>134</v>
      </c>
      <c r="DH306" s="27" t="s">
        <v>191</v>
      </c>
      <c r="DI306" s="27" t="s">
        <v>220</v>
      </c>
      <c r="DJ306" s="27" t="s">
        <v>443</v>
      </c>
      <c r="DK306" s="27" t="s">
        <v>134</v>
      </c>
      <c r="DL306" s="27" t="s">
        <v>182</v>
      </c>
      <c r="DM306" s="27" t="s">
        <v>161</v>
      </c>
      <c r="DN306" s="27" t="s">
        <v>175</v>
      </c>
      <c r="DO306" s="27" t="s">
        <v>134</v>
      </c>
      <c r="DP306" s="27" t="s">
        <v>604</v>
      </c>
      <c r="DQ306" s="27" t="s">
        <v>638</v>
      </c>
      <c r="DR306" s="27" t="s">
        <v>161</v>
      </c>
      <c r="DS306" s="27" t="s">
        <v>134</v>
      </c>
      <c r="DT306" s="27" t="s">
        <v>164</v>
      </c>
      <c r="DU306" s="27" t="s">
        <v>681</v>
      </c>
      <c r="DV306" s="27" t="s">
        <v>486</v>
      </c>
      <c r="DW306" s="27" t="s">
        <v>182</v>
      </c>
      <c r="DX306" s="27" t="s">
        <v>155</v>
      </c>
      <c r="DY306" s="27" t="s">
        <v>156</v>
      </c>
      <c r="DZ306" s="27" t="n">
        <f aca="false">DY306+DV306+DR306+DN306+DJ306+DF306+DB306</f>
        <v>557</v>
      </c>
      <c r="EA306" s="28" t="n">
        <f aca="false">DZ306/7</f>
        <v>79.5714285714286</v>
      </c>
      <c r="EB306" s="27" t="n">
        <f aca="false">RANK(EA306,$EA$2:$EA$881,0)</f>
        <v>410</v>
      </c>
      <c r="EC306" s="29" t="n">
        <f aca="false">DZ306+CQ306+CP306+AZ306</f>
        <v>2528</v>
      </c>
      <c r="ED306" s="30" t="n">
        <f aca="false">(EA306+CV306+BB306)/3</f>
        <v>80.852380952381</v>
      </c>
      <c r="EE306" s="51" t="n">
        <f aca="false">ROUND(BE306,3)</f>
        <v>85.4</v>
      </c>
      <c r="EF306" s="51" t="n">
        <f aca="false">ROUND(CR306,3)</f>
        <v>89.286</v>
      </c>
      <c r="EG306" s="51" t="n">
        <f aca="false">ROUND(CS306,3)</f>
        <v>81.286</v>
      </c>
      <c r="EH306" s="51" t="n">
        <f aca="false">ROUND(EA306,3)</f>
        <v>79.571</v>
      </c>
      <c r="EI306" s="51" t="n">
        <f aca="false">ROUND(ED306,3)</f>
        <v>80.852</v>
      </c>
      <c r="EJ306" s="51" t="n">
        <f aca="false">ROUND(CV306,3)</f>
        <v>85.286</v>
      </c>
      <c r="EK306" s="0" t="n">
        <f aca="false">RANK(EI306,$EI$2:$EI$881,0)</f>
        <v>305</v>
      </c>
    </row>
    <row r="307" customFormat="false" ht="15" hidden="false" customHeight="false" outlineLevel="0" collapsed="false">
      <c r="A307" s="4" t="n">
        <v>1811</v>
      </c>
      <c r="B307" s="4" t="n">
        <v>782</v>
      </c>
      <c r="C307" s="27" t="s">
        <v>1043</v>
      </c>
      <c r="D307" s="31" t="n">
        <v>800</v>
      </c>
      <c r="E307" s="32" t="n">
        <v>230321044</v>
      </c>
      <c r="F307" s="8" t="s">
        <v>1044</v>
      </c>
      <c r="G307" s="22" t="s">
        <v>243</v>
      </c>
      <c r="H307" s="22" t="s">
        <v>129</v>
      </c>
      <c r="I307" s="33" t="n">
        <v>2006</v>
      </c>
      <c r="J307" s="32" t="n">
        <v>70</v>
      </c>
      <c r="K307" s="32" t="n">
        <v>82</v>
      </c>
      <c r="L307" s="34" t="n">
        <f aca="false">(K307*70)/100</f>
        <v>57.4</v>
      </c>
      <c r="M307" s="34" t="n">
        <f aca="false">ROUNDUP(L307,0)</f>
        <v>58</v>
      </c>
      <c r="N307" s="32" t="n">
        <v>27</v>
      </c>
      <c r="O307" s="34" t="n">
        <f aca="false">N307+L307</f>
        <v>84.4</v>
      </c>
      <c r="P307" s="34" t="n">
        <f aca="false">N307+M307</f>
        <v>85</v>
      </c>
      <c r="Q307" s="70" t="n">
        <v>58</v>
      </c>
      <c r="R307" s="32" t="n">
        <v>66</v>
      </c>
      <c r="S307" s="34" t="n">
        <f aca="false">(R307*70)/100</f>
        <v>46.2</v>
      </c>
      <c r="T307" s="34" t="n">
        <f aca="false">ROUNDUP(S307,0)</f>
        <v>47</v>
      </c>
      <c r="U307" s="32" t="n">
        <v>29</v>
      </c>
      <c r="V307" s="34" t="n">
        <f aca="false">U307+S307</f>
        <v>75.2</v>
      </c>
      <c r="W307" s="34" t="n">
        <f aca="false">U307+T307</f>
        <v>76</v>
      </c>
      <c r="X307" s="32" t="n">
        <v>71</v>
      </c>
      <c r="Y307" s="34" t="n">
        <f aca="false">(X307*70)/100</f>
        <v>49.7</v>
      </c>
      <c r="Z307" s="34" t="n">
        <f aca="false">ROUNDUP(Y307,0)</f>
        <v>50</v>
      </c>
      <c r="AA307" s="32" t="n">
        <v>27</v>
      </c>
      <c r="AB307" s="34" t="n">
        <f aca="false">AA307+Y307</f>
        <v>76.7</v>
      </c>
      <c r="AC307" s="34" t="n">
        <f aca="false">AA307+Z307</f>
        <v>77</v>
      </c>
      <c r="AD307" s="32" t="n">
        <f aca="false">X307+R307+Q307+K307+J307</f>
        <v>347</v>
      </c>
      <c r="AE307" s="16" t="n">
        <f aca="false">AD307/5</f>
        <v>69.4</v>
      </c>
      <c r="AF307" s="16" t="n">
        <v>76</v>
      </c>
      <c r="AG307" s="16" t="n">
        <v>85</v>
      </c>
      <c r="AH307" s="16" t="n">
        <v>88</v>
      </c>
      <c r="AI307" s="16" t="n">
        <v>87</v>
      </c>
      <c r="AJ307" s="16" t="n">
        <f aca="false">(AI307*70)/100</f>
        <v>60.9</v>
      </c>
      <c r="AK307" s="35" t="n">
        <f aca="false">ROUNDUP(AJ307,0)</f>
        <v>61</v>
      </c>
      <c r="AL307" s="16" t="n">
        <v>24</v>
      </c>
      <c r="AM307" s="16" t="n">
        <f aca="false">AL307+AJ307</f>
        <v>84.9</v>
      </c>
      <c r="AN307" s="16" t="n">
        <f aca="false">AL307+AK307</f>
        <v>85</v>
      </c>
      <c r="AO307" s="16" t="n">
        <v>86</v>
      </c>
      <c r="AP307" s="36" t="n">
        <f aca="false">(AO307*70)/100</f>
        <v>60.2</v>
      </c>
      <c r="AQ307" s="37" t="n">
        <f aca="false">ROUNDUP(AP307,0)</f>
        <v>61</v>
      </c>
      <c r="AR307" s="16" t="n">
        <v>27</v>
      </c>
      <c r="AS307" s="16" t="n">
        <f aca="false">AR307+AP307</f>
        <v>87.2</v>
      </c>
      <c r="AT307" s="16" t="n">
        <f aca="false">AR307+AQ307</f>
        <v>88</v>
      </c>
      <c r="AU307" s="16" t="n">
        <f aca="false">AO307+AF307+AI307+AH307+AG307</f>
        <v>422</v>
      </c>
      <c r="AV307" s="16" t="n">
        <f aca="false">(AO307+AF307+AI307+AH307+AG307)/5</f>
        <v>84.4</v>
      </c>
      <c r="AW307" s="36" t="n">
        <f aca="false">(AO307+AF307+AI307+AH307+AG307+X307+R307+Q307+K307+J307)</f>
        <v>769</v>
      </c>
      <c r="AX307" s="16" t="n">
        <f aca="false">AW307/10</f>
        <v>76.9</v>
      </c>
      <c r="AY307" s="16" t="n">
        <f aca="false">AS307+AF307+AM307+AH307+AG307+AB307+V307+Q307+O307+J307</f>
        <v>785.4</v>
      </c>
      <c r="AZ307" s="16" t="n">
        <f aca="false">AT307+AF307+AN307+AH307+AG307+AC307+W307+Q307+P307+J307</f>
        <v>788</v>
      </c>
      <c r="BA307" s="16" t="n">
        <f aca="false">AY307/10</f>
        <v>78.54</v>
      </c>
      <c r="BB307" s="16" t="n">
        <f aca="false">AZ307/10</f>
        <v>78.8</v>
      </c>
      <c r="BC307" s="16" t="n">
        <v>2379</v>
      </c>
      <c r="BD307" s="16" t="n">
        <f aca="false">RANK(AX307,$AX$2:$AX$881,0)</f>
        <v>519</v>
      </c>
      <c r="BE307" s="54" t="n">
        <f aca="false">((BC307*100)/2400)*0.4+(AX307*0.6)</f>
        <v>85.79</v>
      </c>
      <c r="BF307" s="16" t="n">
        <f aca="false">RANK(BE307,$BE$2:$BE$881,0)</f>
        <v>461</v>
      </c>
      <c r="BG307" s="39" t="n">
        <f aca="false">RANK(BB307,$BB$2:$BB$881,0)</f>
        <v>472</v>
      </c>
      <c r="BH307" s="39" t="n">
        <f aca="false">RANK(BC307,$BC$2:$BC$881,0)</f>
        <v>160</v>
      </c>
      <c r="BI307" s="22" t="s">
        <v>130</v>
      </c>
      <c r="BJ307" s="22" t="s">
        <v>129</v>
      </c>
      <c r="BK307" s="40" t="s">
        <v>509</v>
      </c>
      <c r="BL307" s="41" t="n">
        <v>19</v>
      </c>
      <c r="BM307" s="41" t="n">
        <v>50</v>
      </c>
      <c r="BN307" s="41" t="n">
        <v>69</v>
      </c>
      <c r="BO307" s="42" t="n">
        <v>24</v>
      </c>
      <c r="BP307" s="43" t="n">
        <v>60</v>
      </c>
      <c r="BQ307" s="44" t="n">
        <v>84</v>
      </c>
      <c r="BR307" s="42" t="n">
        <v>26</v>
      </c>
      <c r="BS307" s="45" t="n">
        <v>53</v>
      </c>
      <c r="BT307" s="45" t="n">
        <v>79</v>
      </c>
      <c r="BU307" s="46" t="n">
        <v>99</v>
      </c>
      <c r="BV307" s="47" t="n">
        <v>76</v>
      </c>
      <c r="BW307" s="42" t="n">
        <v>95</v>
      </c>
      <c r="BX307" s="48" t="n">
        <v>94</v>
      </c>
      <c r="BY307" s="32" t="n">
        <v>27</v>
      </c>
      <c r="BZ307" s="32" t="n">
        <v>55</v>
      </c>
      <c r="CA307" s="32" t="n">
        <v>82</v>
      </c>
      <c r="CB307" s="32" t="n">
        <v>20</v>
      </c>
      <c r="CC307" s="32" t="n">
        <v>37</v>
      </c>
      <c r="CD307" s="69" t="n">
        <v>57</v>
      </c>
      <c r="CE307" s="32" t="n">
        <v>25</v>
      </c>
      <c r="CF307" s="32" t="n">
        <v>55</v>
      </c>
      <c r="CG307" s="32" t="n">
        <v>80</v>
      </c>
      <c r="CH307" s="32" t="n">
        <v>95</v>
      </c>
      <c r="CI307" s="32" t="n">
        <v>93</v>
      </c>
      <c r="CJ307" s="49" t="n">
        <v>25</v>
      </c>
      <c r="CK307" s="49" t="n">
        <v>49</v>
      </c>
      <c r="CL307" s="49" t="n">
        <v>74</v>
      </c>
      <c r="CM307" s="49" t="n">
        <v>21</v>
      </c>
      <c r="CN307" s="49" t="n">
        <v>50</v>
      </c>
      <c r="CO307" s="49" t="n">
        <v>71</v>
      </c>
      <c r="CP307" s="25" t="n">
        <f aca="false">BX307+BW307+BV307+BU307+BT307+BQ307+BN307</f>
        <v>596</v>
      </c>
      <c r="CQ307" s="25" t="n">
        <f aca="false">CO307+CL307+CI307+CH307+CG307+CD307+CA307</f>
        <v>552</v>
      </c>
      <c r="CR307" s="26" t="n">
        <f aca="false">CP307/7</f>
        <v>85.1428571428571</v>
      </c>
      <c r="CS307" s="26" t="n">
        <f aca="false">CQ307/7</f>
        <v>78.8571428571429</v>
      </c>
      <c r="CT307" s="24" t="n">
        <f aca="false">RANK(CR307,$CR$2:$CR$881,0)</f>
        <v>431</v>
      </c>
      <c r="CU307" s="25" t="n">
        <f aca="false">RANK(CS307,$CS$2:$CS$881,0)</f>
        <v>305</v>
      </c>
      <c r="CV307" s="26" t="n">
        <f aca="false">(CS307+CR307)/2</f>
        <v>82</v>
      </c>
      <c r="CW307" s="25" t="n">
        <f aca="false">RANK(CV307,$CV$2:$CV$881,0)</f>
        <v>340</v>
      </c>
      <c r="CX307" s="50" t="n">
        <f aca="false">(CV307+BB307)/2</f>
        <v>80.4</v>
      </c>
      <c r="CY307" s="50" t="n">
        <v>351</v>
      </c>
      <c r="CZ307" s="27" t="s">
        <v>132</v>
      </c>
      <c r="DA307" s="27" t="s">
        <v>169</v>
      </c>
      <c r="DB307" s="27" t="s">
        <v>169</v>
      </c>
      <c r="DC307" s="27" t="s">
        <v>134</v>
      </c>
      <c r="DD307" s="27" t="s">
        <v>182</v>
      </c>
      <c r="DE307" s="27" t="s">
        <v>204</v>
      </c>
      <c r="DF307" s="27" t="s">
        <v>169</v>
      </c>
      <c r="DG307" s="27" t="s">
        <v>134</v>
      </c>
      <c r="DH307" s="27" t="s">
        <v>182</v>
      </c>
      <c r="DI307" s="27" t="s">
        <v>161</v>
      </c>
      <c r="DJ307" s="27" t="s">
        <v>175</v>
      </c>
      <c r="DK307" s="27" t="s">
        <v>134</v>
      </c>
      <c r="DL307" s="27" t="s">
        <v>164</v>
      </c>
      <c r="DM307" s="27" t="s">
        <v>306</v>
      </c>
      <c r="DN307" s="27" t="s">
        <v>205</v>
      </c>
      <c r="DO307" s="27" t="s">
        <v>134</v>
      </c>
      <c r="DP307" s="27" t="s">
        <v>485</v>
      </c>
      <c r="DQ307" s="27" t="s">
        <v>313</v>
      </c>
      <c r="DR307" s="27" t="s">
        <v>138</v>
      </c>
      <c r="DS307" s="27" t="s">
        <v>134</v>
      </c>
      <c r="DT307" s="27" t="s">
        <v>146</v>
      </c>
      <c r="DU307" s="27" t="s">
        <v>399</v>
      </c>
      <c r="DV307" s="27" t="s">
        <v>305</v>
      </c>
      <c r="DW307" s="27" t="s">
        <v>154</v>
      </c>
      <c r="DX307" s="27" t="s">
        <v>138</v>
      </c>
      <c r="DY307" s="27" t="s">
        <v>176</v>
      </c>
      <c r="DZ307" s="27" t="n">
        <f aca="false">DY307+DV307+DR307+DN307+DJ307+DF307+DB307</f>
        <v>572</v>
      </c>
      <c r="EA307" s="28" t="n">
        <f aca="false">DZ307/7</f>
        <v>81.7142857142857</v>
      </c>
      <c r="EB307" s="27" t="n">
        <f aca="false">RANK(EA307,$EA$2:$EA$881,0)</f>
        <v>322</v>
      </c>
      <c r="EC307" s="29" t="n">
        <f aca="false">DZ307+CQ307+CP307+AZ307</f>
        <v>2508</v>
      </c>
      <c r="ED307" s="30" t="n">
        <f aca="false">(EA307+CV307+BB307)/3</f>
        <v>80.8380952380953</v>
      </c>
      <c r="EE307" s="51" t="n">
        <f aca="false">ROUND(BE307,3)</f>
        <v>85.79</v>
      </c>
      <c r="EF307" s="51" t="n">
        <f aca="false">ROUND(CR307,3)</f>
        <v>85.143</v>
      </c>
      <c r="EG307" s="51" t="n">
        <f aca="false">ROUND(CS307,3)</f>
        <v>78.857</v>
      </c>
      <c r="EH307" s="51" t="n">
        <f aca="false">ROUND(EA307,3)</f>
        <v>81.714</v>
      </c>
      <c r="EI307" s="51" t="n">
        <f aca="false">ROUND(ED307,3)</f>
        <v>80.838</v>
      </c>
      <c r="EJ307" s="51" t="n">
        <f aca="false">ROUND(CV307,3)</f>
        <v>82</v>
      </c>
      <c r="EK307" s="0" t="n">
        <f aca="false">RANK(EI307,$EI$2:$EI$881,0)</f>
        <v>306</v>
      </c>
    </row>
    <row r="308" customFormat="false" ht="15" hidden="false" customHeight="false" outlineLevel="0" collapsed="false">
      <c r="A308" s="4" t="n">
        <v>1925</v>
      </c>
      <c r="B308" s="4" t="n">
        <v>130</v>
      </c>
      <c r="C308" s="27" t="s">
        <v>1045</v>
      </c>
      <c r="D308" s="31" t="n">
        <v>128</v>
      </c>
      <c r="E308" s="32" t="n">
        <v>230321811</v>
      </c>
      <c r="F308" s="8" t="s">
        <v>1046</v>
      </c>
      <c r="G308" s="22" t="s">
        <v>342</v>
      </c>
      <c r="H308" s="22" t="s">
        <v>129</v>
      </c>
      <c r="I308" s="33" t="n">
        <v>2005</v>
      </c>
      <c r="J308" s="32" t="n">
        <v>82</v>
      </c>
      <c r="K308" s="32" t="n">
        <v>70</v>
      </c>
      <c r="L308" s="34" t="n">
        <f aca="false">(K308*70)/100</f>
        <v>49</v>
      </c>
      <c r="M308" s="34" t="n">
        <f aca="false">ROUNDUP(L308,0)</f>
        <v>49</v>
      </c>
      <c r="N308" s="32" t="n">
        <v>22</v>
      </c>
      <c r="O308" s="34" t="n">
        <f aca="false">N308+L308</f>
        <v>71</v>
      </c>
      <c r="P308" s="34" t="n">
        <f aca="false">N308+M308</f>
        <v>71</v>
      </c>
      <c r="Q308" s="68" t="n">
        <v>56</v>
      </c>
      <c r="R308" s="32" t="n">
        <v>79</v>
      </c>
      <c r="S308" s="34" t="n">
        <f aca="false">(R308*70)/100</f>
        <v>55.3</v>
      </c>
      <c r="T308" s="34" t="n">
        <f aca="false">ROUNDUP(S308,0)</f>
        <v>56</v>
      </c>
      <c r="U308" s="32" t="n">
        <v>23</v>
      </c>
      <c r="V308" s="34" t="n">
        <f aca="false">U308+S308</f>
        <v>78.3</v>
      </c>
      <c r="W308" s="34" t="n">
        <f aca="false">U308+T308</f>
        <v>79</v>
      </c>
      <c r="X308" s="32" t="n">
        <v>76</v>
      </c>
      <c r="Y308" s="34" t="n">
        <f aca="false">(X308*70)/100</f>
        <v>53.2</v>
      </c>
      <c r="Z308" s="34" t="n">
        <f aca="false">ROUNDUP(Y308,0)</f>
        <v>54</v>
      </c>
      <c r="AA308" s="32" t="n">
        <v>26</v>
      </c>
      <c r="AB308" s="34" t="n">
        <f aca="false">AA308+Y308</f>
        <v>79.2</v>
      </c>
      <c r="AC308" s="34" t="n">
        <f aca="false">AA308+Z308</f>
        <v>80</v>
      </c>
      <c r="AD308" s="32" t="n">
        <f aca="false">X308+R308+Q308+K308+J308</f>
        <v>363</v>
      </c>
      <c r="AE308" s="16" t="n">
        <f aca="false">AD308/5</f>
        <v>72.6</v>
      </c>
      <c r="AF308" s="16" t="n">
        <v>76</v>
      </c>
      <c r="AG308" s="16" t="n">
        <v>77</v>
      </c>
      <c r="AH308" s="16" t="n">
        <v>90</v>
      </c>
      <c r="AI308" s="16" t="n">
        <v>85</v>
      </c>
      <c r="AJ308" s="16" t="n">
        <f aca="false">(AI308*70)/100</f>
        <v>59.5</v>
      </c>
      <c r="AK308" s="35" t="n">
        <f aca="false">ROUNDUP(AJ308,0)</f>
        <v>60</v>
      </c>
      <c r="AL308" s="16" t="n">
        <v>22</v>
      </c>
      <c r="AM308" s="16" t="n">
        <f aca="false">AL308+AJ308</f>
        <v>81.5</v>
      </c>
      <c r="AN308" s="16" t="n">
        <f aca="false">AL308+AK308</f>
        <v>82</v>
      </c>
      <c r="AO308" s="16" t="n">
        <v>77</v>
      </c>
      <c r="AP308" s="36" t="n">
        <f aca="false">(AO308*70)/100</f>
        <v>53.9</v>
      </c>
      <c r="AQ308" s="37" t="n">
        <f aca="false">ROUNDUP(AP308,0)</f>
        <v>54</v>
      </c>
      <c r="AR308" s="16" t="n">
        <v>27</v>
      </c>
      <c r="AS308" s="16" t="n">
        <f aca="false">AR308+AP308</f>
        <v>80.9</v>
      </c>
      <c r="AT308" s="16" t="n">
        <f aca="false">AR308+AQ308</f>
        <v>81</v>
      </c>
      <c r="AU308" s="16" t="n">
        <f aca="false">AO308+AF308+AI308+AH308+AG308</f>
        <v>405</v>
      </c>
      <c r="AV308" s="16" t="n">
        <f aca="false">(AO308+AF308+AI308+AH308+AG308)/5</f>
        <v>81</v>
      </c>
      <c r="AW308" s="36" t="n">
        <f aca="false">(AO308+AF308+AI308+AH308+AG308+X308+R308+Q308+K308+J308)</f>
        <v>768</v>
      </c>
      <c r="AX308" s="16" t="n">
        <f aca="false">AW308/10</f>
        <v>76.8</v>
      </c>
      <c r="AY308" s="16" t="n">
        <f aca="false">AS308+AF308+AM308+AH308+AG308+AB308+V308+Q308+O308+J308</f>
        <v>771.9</v>
      </c>
      <c r="AZ308" s="16" t="n">
        <f aca="false">AT308+AF308+AN308+AH308+AG308+AC308+W308+Q308+P308+J308</f>
        <v>774</v>
      </c>
      <c r="BA308" s="16" t="n">
        <f aca="false">AY308/10</f>
        <v>77.19</v>
      </c>
      <c r="BB308" s="16" t="n">
        <f aca="false">AZ308/10</f>
        <v>77.4</v>
      </c>
      <c r="BC308" s="16" t="n">
        <v>2346</v>
      </c>
      <c r="BD308" s="16" t="n">
        <f aca="false">RANK(AX308,$AX$2:$AX$881,0)</f>
        <v>527</v>
      </c>
      <c r="BE308" s="54" t="n">
        <f aca="false">((BC308*100)/2400)*0.4+(AX308*0.6)</f>
        <v>85.18</v>
      </c>
      <c r="BF308" s="16" t="n">
        <f aca="false">RANK(BE308,$BE$2:$BE$881,0)</f>
        <v>570</v>
      </c>
      <c r="BG308" s="39" t="n">
        <f aca="false">RANK(BB308,$BB$2:$BB$881,0)</f>
        <v>613</v>
      </c>
      <c r="BH308" s="39" t="n">
        <f aca="false">RANK(BC308,$BC$2:$BC$881,0)</f>
        <v>571</v>
      </c>
      <c r="BI308" s="22" t="s">
        <v>130</v>
      </c>
      <c r="BJ308" s="22" t="s">
        <v>129</v>
      </c>
      <c r="BK308" s="40" t="s">
        <v>509</v>
      </c>
      <c r="BL308" s="41" t="n">
        <v>21</v>
      </c>
      <c r="BM308" s="41" t="n">
        <v>52</v>
      </c>
      <c r="BN308" s="41" t="n">
        <v>73</v>
      </c>
      <c r="BO308" s="42" t="n">
        <v>27</v>
      </c>
      <c r="BP308" s="43" t="n">
        <v>65</v>
      </c>
      <c r="BQ308" s="44" t="n">
        <v>92</v>
      </c>
      <c r="BR308" s="42" t="n">
        <v>26</v>
      </c>
      <c r="BS308" s="45" t="n">
        <v>57</v>
      </c>
      <c r="BT308" s="45" t="n">
        <v>83</v>
      </c>
      <c r="BU308" s="46" t="n">
        <v>99</v>
      </c>
      <c r="BV308" s="47" t="n">
        <v>86</v>
      </c>
      <c r="BW308" s="42" t="n">
        <v>99</v>
      </c>
      <c r="BX308" s="48" t="n">
        <v>92</v>
      </c>
      <c r="BY308" s="32" t="n">
        <v>26</v>
      </c>
      <c r="BZ308" s="32" t="n">
        <v>57</v>
      </c>
      <c r="CA308" s="32" t="n">
        <v>83</v>
      </c>
      <c r="CB308" s="32" t="n">
        <v>17</v>
      </c>
      <c r="CC308" s="32" t="n">
        <v>35</v>
      </c>
      <c r="CD308" s="69" t="n">
        <v>52</v>
      </c>
      <c r="CE308" s="32" t="n">
        <v>27</v>
      </c>
      <c r="CF308" s="32" t="n">
        <v>50</v>
      </c>
      <c r="CG308" s="32" t="n">
        <v>77</v>
      </c>
      <c r="CH308" s="32" t="n">
        <v>96</v>
      </c>
      <c r="CI308" s="32" t="n">
        <v>95</v>
      </c>
      <c r="CJ308" s="49" t="n">
        <v>22</v>
      </c>
      <c r="CK308" s="49" t="n">
        <v>46</v>
      </c>
      <c r="CL308" s="49" t="n">
        <v>68</v>
      </c>
      <c r="CM308" s="49" t="n">
        <v>25</v>
      </c>
      <c r="CN308" s="49" t="n">
        <v>51</v>
      </c>
      <c r="CO308" s="49" t="n">
        <v>76</v>
      </c>
      <c r="CP308" s="25" t="n">
        <f aca="false">BX308+BW308+BV308+BU308+BT308+BQ308+BN308</f>
        <v>624</v>
      </c>
      <c r="CQ308" s="25" t="n">
        <f aca="false">CO308+CL308+CI308+CH308+CG308+CD308+CA308</f>
        <v>547</v>
      </c>
      <c r="CR308" s="26" t="n">
        <f aca="false">CP308/7</f>
        <v>89.1428571428571</v>
      </c>
      <c r="CS308" s="26" t="n">
        <f aca="false">CQ308/7</f>
        <v>78.1428571428571</v>
      </c>
      <c r="CT308" s="24" t="n">
        <f aca="false">RANK(CR308,$CR$2:$CR$881,0)</f>
        <v>235</v>
      </c>
      <c r="CU308" s="25" t="n">
        <f aca="false">RANK(CS308,$CS$2:$CS$881,0)</f>
        <v>327</v>
      </c>
      <c r="CV308" s="26" t="n">
        <f aca="false">(CS308+CR308)/2</f>
        <v>83.6428571428571</v>
      </c>
      <c r="CW308" s="25" t="n">
        <f aca="false">RANK(CV308,$CV$2:$CV$881,0)</f>
        <v>270</v>
      </c>
      <c r="CX308" s="50" t="n">
        <f aca="false">(CV308+BB308)/2</f>
        <v>80.5214285714286</v>
      </c>
      <c r="CY308" s="50" t="n">
        <v>345</v>
      </c>
      <c r="CZ308" s="27" t="s">
        <v>132</v>
      </c>
      <c r="DA308" s="27" t="s">
        <v>175</v>
      </c>
      <c r="DB308" s="27" t="s">
        <v>175</v>
      </c>
      <c r="DC308" s="27" t="s">
        <v>134</v>
      </c>
      <c r="DD308" s="27" t="s">
        <v>191</v>
      </c>
      <c r="DE308" s="27" t="s">
        <v>161</v>
      </c>
      <c r="DF308" s="27" t="s">
        <v>196</v>
      </c>
      <c r="DG308" s="27" t="s">
        <v>134</v>
      </c>
      <c r="DH308" s="27" t="s">
        <v>135</v>
      </c>
      <c r="DI308" s="27" t="s">
        <v>136</v>
      </c>
      <c r="DJ308" s="27" t="s">
        <v>133</v>
      </c>
      <c r="DK308" s="27" t="s">
        <v>134</v>
      </c>
      <c r="DL308" s="27" t="s">
        <v>154</v>
      </c>
      <c r="DM308" s="27" t="s">
        <v>304</v>
      </c>
      <c r="DN308" s="27" t="s">
        <v>382</v>
      </c>
      <c r="DO308" s="27" t="s">
        <v>134</v>
      </c>
      <c r="DP308" s="27" t="s">
        <v>195</v>
      </c>
      <c r="DQ308" s="27" t="s">
        <v>442</v>
      </c>
      <c r="DR308" s="27" t="s">
        <v>155</v>
      </c>
      <c r="DS308" s="27" t="s">
        <v>134</v>
      </c>
      <c r="DT308" s="27" t="s">
        <v>137</v>
      </c>
      <c r="DU308" s="27" t="s">
        <v>442</v>
      </c>
      <c r="DV308" s="27" t="s">
        <v>441</v>
      </c>
      <c r="DW308" s="27" t="s">
        <v>135</v>
      </c>
      <c r="DX308" s="27" t="s">
        <v>143</v>
      </c>
      <c r="DY308" s="27" t="s">
        <v>151</v>
      </c>
      <c r="DZ308" s="27" t="n">
        <f aca="false">DY308+DV308+DR308+DN308+DJ308+DF308+DB308</f>
        <v>569</v>
      </c>
      <c r="EA308" s="28" t="n">
        <f aca="false">DZ308/7</f>
        <v>81.2857142857143</v>
      </c>
      <c r="EB308" s="27" t="n">
        <f aca="false">RANK(EA308,$EA$2:$EA$881,0)</f>
        <v>335</v>
      </c>
      <c r="EC308" s="29" t="n">
        <f aca="false">DZ308+CQ308+CP308+AZ308</f>
        <v>2514</v>
      </c>
      <c r="ED308" s="30" t="n">
        <f aca="false">(EA308+CV308+BB308)/3</f>
        <v>80.7761904761905</v>
      </c>
      <c r="EE308" s="51" t="n">
        <f aca="false">ROUND(BE308,3)</f>
        <v>85.18</v>
      </c>
      <c r="EF308" s="51" t="n">
        <f aca="false">ROUND(CR308,3)</f>
        <v>89.143</v>
      </c>
      <c r="EG308" s="51" t="n">
        <f aca="false">ROUND(CS308,3)</f>
        <v>78.143</v>
      </c>
      <c r="EH308" s="51" t="n">
        <f aca="false">ROUND(EA308,3)</f>
        <v>81.286</v>
      </c>
      <c r="EI308" s="51" t="n">
        <f aca="false">ROUND(ED308,3)</f>
        <v>80.776</v>
      </c>
      <c r="EJ308" s="51" t="n">
        <f aca="false">ROUND(CV308,3)</f>
        <v>83.643</v>
      </c>
      <c r="EK308" s="0" t="n">
        <f aca="false">RANK(EI308,$EI$2:$EI$881,0)</f>
        <v>307</v>
      </c>
    </row>
    <row r="309" customFormat="false" ht="16.85" hidden="false" customHeight="false" outlineLevel="0" collapsed="false">
      <c r="A309" s="4" t="n">
        <v>8590</v>
      </c>
      <c r="B309" s="4" t="n">
        <v>659</v>
      </c>
      <c r="C309" s="27" t="s">
        <v>1047</v>
      </c>
      <c r="D309" s="31" t="n">
        <v>672</v>
      </c>
      <c r="E309" s="32" t="n">
        <v>230314723</v>
      </c>
      <c r="F309" s="8" t="s">
        <v>1048</v>
      </c>
      <c r="G309" s="22" t="s">
        <v>407</v>
      </c>
      <c r="H309" s="22" t="s">
        <v>129</v>
      </c>
      <c r="I309" s="33" t="n">
        <v>2005</v>
      </c>
      <c r="J309" s="32" t="n">
        <v>80</v>
      </c>
      <c r="K309" s="32" t="n">
        <v>66</v>
      </c>
      <c r="L309" s="34" t="n">
        <f aca="false">(K309*70)/100</f>
        <v>46.2</v>
      </c>
      <c r="M309" s="34" t="n">
        <f aca="false">ROUNDUP(L309,0)</f>
        <v>47</v>
      </c>
      <c r="N309" s="32" t="n">
        <v>24</v>
      </c>
      <c r="O309" s="34" t="n">
        <f aca="false">N309+L309</f>
        <v>70.2</v>
      </c>
      <c r="P309" s="34" t="n">
        <f aca="false">N309+M309</f>
        <v>71</v>
      </c>
      <c r="Q309" s="32" t="n">
        <v>73</v>
      </c>
      <c r="R309" s="32" t="n">
        <v>62</v>
      </c>
      <c r="S309" s="34" t="n">
        <f aca="false">(R309*70)/100</f>
        <v>43.4</v>
      </c>
      <c r="T309" s="34" t="n">
        <f aca="false">ROUNDUP(S309,0)</f>
        <v>44</v>
      </c>
      <c r="U309" s="32" t="n">
        <v>22</v>
      </c>
      <c r="V309" s="34" t="n">
        <f aca="false">U309+S309</f>
        <v>65.4</v>
      </c>
      <c r="W309" s="34" t="n">
        <f aca="false">U309+T309</f>
        <v>66</v>
      </c>
      <c r="X309" s="32" t="n">
        <v>73</v>
      </c>
      <c r="Y309" s="34" t="n">
        <f aca="false">(X309*70)/100</f>
        <v>51.1</v>
      </c>
      <c r="Z309" s="34" t="n">
        <f aca="false">ROUNDUP(Y309,0)</f>
        <v>52</v>
      </c>
      <c r="AA309" s="32" t="n">
        <v>24</v>
      </c>
      <c r="AB309" s="34" t="n">
        <f aca="false">AA309+Y309</f>
        <v>75.1</v>
      </c>
      <c r="AC309" s="34" t="n">
        <f aca="false">AA309+Z309</f>
        <v>76</v>
      </c>
      <c r="AD309" s="32" t="n">
        <f aca="false">X309+R309+Q309+K309+J309</f>
        <v>354</v>
      </c>
      <c r="AE309" s="16" t="n">
        <f aca="false">AD309/5</f>
        <v>70.8</v>
      </c>
      <c r="AF309" s="71" t="n">
        <v>56</v>
      </c>
      <c r="AG309" s="16" t="n">
        <v>84</v>
      </c>
      <c r="AH309" s="16" t="n">
        <v>78</v>
      </c>
      <c r="AI309" s="16" t="n">
        <v>69</v>
      </c>
      <c r="AJ309" s="16" t="n">
        <f aca="false">(AI309*70)/100</f>
        <v>48.3</v>
      </c>
      <c r="AK309" s="35" t="n">
        <f aca="false">ROUNDUP(AJ309,0)</f>
        <v>49</v>
      </c>
      <c r="AL309" s="16" t="n">
        <v>28</v>
      </c>
      <c r="AM309" s="16" t="n">
        <f aca="false">AL309+AJ309</f>
        <v>76.3</v>
      </c>
      <c r="AN309" s="16" t="n">
        <f aca="false">AL309+AK309</f>
        <v>77</v>
      </c>
      <c r="AO309" s="16" t="n">
        <v>60</v>
      </c>
      <c r="AP309" s="36" t="n">
        <f aca="false">(AO309*70)/100</f>
        <v>42</v>
      </c>
      <c r="AQ309" s="37" t="n">
        <f aca="false">ROUNDUP(AP309,0)</f>
        <v>42</v>
      </c>
      <c r="AR309" s="16" t="n">
        <v>27</v>
      </c>
      <c r="AS309" s="16" t="n">
        <f aca="false">AR309+AP309</f>
        <v>69</v>
      </c>
      <c r="AT309" s="16" t="n">
        <f aca="false">AR309+AQ309</f>
        <v>69</v>
      </c>
      <c r="AU309" s="16" t="n">
        <f aca="false">AO309+AF309+AI309+AH309+AG309</f>
        <v>347</v>
      </c>
      <c r="AV309" s="16" t="n">
        <f aca="false">(AO309+AF309+AI309+AH309+AG309)/5</f>
        <v>69.4</v>
      </c>
      <c r="AW309" s="36" t="n">
        <f aca="false">(AO309+AF309+AI309+AH309+AG309+X309+R309+Q309+K309+J309)</f>
        <v>701</v>
      </c>
      <c r="AX309" s="16" t="n">
        <f aca="false">AW309/10</f>
        <v>70.1</v>
      </c>
      <c r="AY309" s="16" t="n">
        <f aca="false">AS309+AF309+AM309+AH309+AG309+AB309+V309+Q309+O309+J309</f>
        <v>727</v>
      </c>
      <c r="AZ309" s="16" t="n">
        <f aca="false">AT309+AF309+AN309+AH309+AG309+AC309+W309+Q309+P309+J309</f>
        <v>730</v>
      </c>
      <c r="BA309" s="16" t="n">
        <f aca="false">AY309/10</f>
        <v>72.7</v>
      </c>
      <c r="BB309" s="16" t="n">
        <f aca="false">AZ309/10</f>
        <v>73</v>
      </c>
      <c r="BC309" s="16" t="n">
        <v>2395</v>
      </c>
      <c r="BD309" s="16" t="n">
        <f aca="false">RANK(AX309,$AX$2:$AX$881,0)</f>
        <v>735</v>
      </c>
      <c r="BE309" s="73" t="n">
        <f aca="false">((BC309*100)/2400)*0.4+(AX309*0.6)</f>
        <v>81.9766666666667</v>
      </c>
      <c r="BF309" s="16" t="n">
        <f aca="false">RANK(BE309,$BE$2:$BE$881,0)</f>
        <v>713</v>
      </c>
      <c r="BG309" s="39" t="n">
        <f aca="false">RANK(BB309,$BB$2:$BB$881,0)</f>
        <v>717</v>
      </c>
      <c r="BH309" s="39" t="n">
        <f aca="false">RANK(BC309,$BC$2:$BC$881,0)</f>
        <v>14</v>
      </c>
      <c r="BI309" s="22" t="s">
        <v>130</v>
      </c>
      <c r="BJ309" s="22" t="s">
        <v>129</v>
      </c>
      <c r="BK309" s="40" t="s">
        <v>702</v>
      </c>
      <c r="BL309" s="41" t="n">
        <v>18</v>
      </c>
      <c r="BM309" s="41" t="n">
        <v>56</v>
      </c>
      <c r="BN309" s="41" t="n">
        <v>74</v>
      </c>
      <c r="BO309" s="42" t="n">
        <v>26</v>
      </c>
      <c r="BP309" s="43" t="n">
        <v>53</v>
      </c>
      <c r="BQ309" s="44" t="n">
        <v>79</v>
      </c>
      <c r="BR309" s="42" t="n">
        <v>21</v>
      </c>
      <c r="BS309" s="45" t="n">
        <v>60</v>
      </c>
      <c r="BT309" s="45" t="n">
        <v>81</v>
      </c>
      <c r="BU309" s="46" t="n">
        <v>100</v>
      </c>
      <c r="BV309" s="47" t="n">
        <v>98</v>
      </c>
      <c r="BW309" s="42" t="n">
        <v>100</v>
      </c>
      <c r="BX309" s="48" t="n">
        <v>98</v>
      </c>
      <c r="BY309" s="32" t="n">
        <v>26</v>
      </c>
      <c r="BZ309" s="32" t="n">
        <v>57</v>
      </c>
      <c r="CA309" s="32" t="n">
        <v>83</v>
      </c>
      <c r="CB309" s="32" t="n">
        <v>20</v>
      </c>
      <c r="CC309" s="32" t="n">
        <v>37</v>
      </c>
      <c r="CD309" s="69" t="n">
        <v>57</v>
      </c>
      <c r="CE309" s="32" t="n">
        <v>26</v>
      </c>
      <c r="CF309" s="32" t="n">
        <v>53</v>
      </c>
      <c r="CG309" s="32" t="n">
        <v>79</v>
      </c>
      <c r="CH309" s="32" t="n">
        <v>98</v>
      </c>
      <c r="CI309" s="32" t="n">
        <v>98</v>
      </c>
      <c r="CJ309" s="49" t="n">
        <v>19</v>
      </c>
      <c r="CK309" s="49" t="n">
        <v>50</v>
      </c>
      <c r="CL309" s="49" t="n">
        <v>69</v>
      </c>
      <c r="CM309" s="49" t="n">
        <v>24</v>
      </c>
      <c r="CN309" s="49" t="n">
        <v>57</v>
      </c>
      <c r="CO309" s="49" t="n">
        <v>81</v>
      </c>
      <c r="CP309" s="25" t="n">
        <f aca="false">BX309+BW309+BV309+BU309+BT309+BQ309+BN309</f>
        <v>630</v>
      </c>
      <c r="CQ309" s="25" t="n">
        <f aca="false">CO309+CL309+CI309+CH309+CG309+CD309+CA309</f>
        <v>565</v>
      </c>
      <c r="CR309" s="26" t="n">
        <f aca="false">CP309/7</f>
        <v>90</v>
      </c>
      <c r="CS309" s="26" t="n">
        <f aca="false">CQ309/7</f>
        <v>80.7142857142857</v>
      </c>
      <c r="CT309" s="24" t="n">
        <f aca="false">RANK(CR309,$CR$2:$CR$881,0)</f>
        <v>182</v>
      </c>
      <c r="CU309" s="25" t="n">
        <f aca="false">RANK(CS309,$CS$2:$CS$881,0)</f>
        <v>233</v>
      </c>
      <c r="CV309" s="26" t="n">
        <f aca="false">(CS309+CR309)/2</f>
        <v>85.3571428571429</v>
      </c>
      <c r="CW309" s="25" t="n">
        <f aca="false">RANK(CV309,$CV$2:$CV$881,0)</f>
        <v>194</v>
      </c>
      <c r="CX309" s="50" t="n">
        <f aca="false">(CV309+BB309)/2</f>
        <v>79.1785714285714</v>
      </c>
      <c r="CY309" s="50" t="n">
        <v>417</v>
      </c>
      <c r="CZ309" s="27" t="s">
        <v>132</v>
      </c>
      <c r="DA309" s="27" t="s">
        <v>133</v>
      </c>
      <c r="DB309" s="27" t="s">
        <v>133</v>
      </c>
      <c r="DC309" s="27" t="s">
        <v>134</v>
      </c>
      <c r="DD309" s="27" t="s">
        <v>174</v>
      </c>
      <c r="DE309" s="27" t="s">
        <v>177</v>
      </c>
      <c r="DF309" s="27" t="s">
        <v>205</v>
      </c>
      <c r="DG309" s="27" t="s">
        <v>134</v>
      </c>
      <c r="DH309" s="27" t="s">
        <v>195</v>
      </c>
      <c r="DI309" s="27" t="s">
        <v>136</v>
      </c>
      <c r="DJ309" s="27" t="s">
        <v>209</v>
      </c>
      <c r="DK309" s="27" t="s">
        <v>134</v>
      </c>
      <c r="DL309" s="27" t="s">
        <v>154</v>
      </c>
      <c r="DM309" s="27" t="s">
        <v>136</v>
      </c>
      <c r="DN309" s="27" t="s">
        <v>202</v>
      </c>
      <c r="DO309" s="27" t="s">
        <v>134</v>
      </c>
      <c r="DP309" s="27" t="s">
        <v>386</v>
      </c>
      <c r="DQ309" s="27" t="s">
        <v>306</v>
      </c>
      <c r="DR309" s="27" t="s">
        <v>486</v>
      </c>
      <c r="DS309" s="27" t="s">
        <v>134</v>
      </c>
      <c r="DT309" s="27" t="s">
        <v>182</v>
      </c>
      <c r="DU309" s="27" t="s">
        <v>218</v>
      </c>
      <c r="DV309" s="27" t="s">
        <v>196</v>
      </c>
      <c r="DW309" s="27" t="s">
        <v>135</v>
      </c>
      <c r="DX309" s="27" t="s">
        <v>143</v>
      </c>
      <c r="DY309" s="27" t="s">
        <v>151</v>
      </c>
      <c r="DZ309" s="27" t="n">
        <f aca="false">DY309+DV309+DR309+DN309+DJ309+DF309+DB309</f>
        <v>587</v>
      </c>
      <c r="EA309" s="28" t="n">
        <f aca="false">DZ309/7</f>
        <v>83.8571428571429</v>
      </c>
      <c r="EB309" s="27" t="n">
        <f aca="false">RANK(EA309,$EA$2:$EA$881,0)</f>
        <v>230</v>
      </c>
      <c r="EC309" s="29" t="n">
        <f aca="false">DZ309+CQ309+CP309+AZ309</f>
        <v>2512</v>
      </c>
      <c r="ED309" s="30" t="n">
        <f aca="false">(EA309+CV309+BB309)/3</f>
        <v>80.7380952380952</v>
      </c>
      <c r="EE309" s="51" t="n">
        <f aca="false">ROUND(BE309,3)</f>
        <v>81.977</v>
      </c>
      <c r="EF309" s="51" t="n">
        <f aca="false">ROUND(CR309,3)</f>
        <v>90</v>
      </c>
      <c r="EG309" s="51" t="n">
        <f aca="false">ROUND(CS309,3)</f>
        <v>80.714</v>
      </c>
      <c r="EH309" s="51" t="n">
        <f aca="false">ROUND(EA309,3)</f>
        <v>83.857</v>
      </c>
      <c r="EI309" s="51" t="n">
        <f aca="false">ROUND(ED309,3)</f>
        <v>80.738</v>
      </c>
      <c r="EJ309" s="51" t="n">
        <f aca="false">ROUND(CV309,3)</f>
        <v>85.357</v>
      </c>
      <c r="EK309" s="0" t="n">
        <f aca="false">RANK(EI309,$EI$2:$EI$881,0)</f>
        <v>308</v>
      </c>
    </row>
    <row r="310" customFormat="false" ht="15" hidden="false" customHeight="false" outlineLevel="0" collapsed="false">
      <c r="A310" s="4" t="n">
        <v>1870</v>
      </c>
      <c r="B310" s="4" t="n">
        <v>301</v>
      </c>
      <c r="C310" s="27" t="s">
        <v>1049</v>
      </c>
      <c r="D310" s="31" t="n">
        <v>301</v>
      </c>
      <c r="E310" s="32" t="n">
        <v>230325048</v>
      </c>
      <c r="F310" s="8" t="s">
        <v>1050</v>
      </c>
      <c r="G310" s="22" t="s">
        <v>1051</v>
      </c>
      <c r="H310" s="22" t="s">
        <v>129</v>
      </c>
      <c r="I310" s="33" t="n">
        <v>2005</v>
      </c>
      <c r="J310" s="32" t="n">
        <v>66</v>
      </c>
      <c r="K310" s="32" t="n">
        <v>71</v>
      </c>
      <c r="L310" s="34" t="n">
        <f aca="false">(K310*70)/100</f>
        <v>49.7</v>
      </c>
      <c r="M310" s="34" t="n">
        <f aca="false">ROUNDUP(L310,0)</f>
        <v>50</v>
      </c>
      <c r="N310" s="32" t="n">
        <v>28</v>
      </c>
      <c r="O310" s="34" t="n">
        <f aca="false">N310+L310</f>
        <v>77.7</v>
      </c>
      <c r="P310" s="34" t="n">
        <f aca="false">N310+M310</f>
        <v>78</v>
      </c>
      <c r="Q310" s="32" t="n">
        <v>71</v>
      </c>
      <c r="R310" s="32" t="n">
        <v>73</v>
      </c>
      <c r="S310" s="34" t="n">
        <f aca="false">(R310*70)/100</f>
        <v>51.1</v>
      </c>
      <c r="T310" s="34" t="n">
        <f aca="false">ROUNDUP(S310,0)</f>
        <v>52</v>
      </c>
      <c r="U310" s="32" t="n">
        <v>30</v>
      </c>
      <c r="V310" s="34" t="n">
        <f aca="false">U310+S310</f>
        <v>81.1</v>
      </c>
      <c r="W310" s="34" t="n">
        <f aca="false">U310+T310</f>
        <v>82</v>
      </c>
      <c r="X310" s="32" t="n">
        <v>59</v>
      </c>
      <c r="Y310" s="34" t="n">
        <f aca="false">(X310*70)/100</f>
        <v>41.3</v>
      </c>
      <c r="Z310" s="34" t="n">
        <f aca="false">ROUNDUP(Y310,0)</f>
        <v>42</v>
      </c>
      <c r="AA310" s="32" t="n">
        <v>26</v>
      </c>
      <c r="AB310" s="34" t="n">
        <f aca="false">AA310+Y310</f>
        <v>67.3</v>
      </c>
      <c r="AC310" s="34" t="n">
        <f aca="false">AA310+Z310</f>
        <v>68</v>
      </c>
      <c r="AD310" s="32" t="n">
        <f aca="false">X310+R310+Q310+K310+J310</f>
        <v>340</v>
      </c>
      <c r="AE310" s="16" t="n">
        <f aca="false">AD310/5</f>
        <v>68</v>
      </c>
      <c r="AF310" s="16" t="n">
        <v>81</v>
      </c>
      <c r="AG310" s="16" t="n">
        <v>84</v>
      </c>
      <c r="AH310" s="16" t="n">
        <v>93</v>
      </c>
      <c r="AI310" s="16" t="n">
        <v>96</v>
      </c>
      <c r="AJ310" s="16" t="n">
        <f aca="false">(AI310*70)/100</f>
        <v>67.2</v>
      </c>
      <c r="AK310" s="35" t="n">
        <f aca="false">ROUNDUP(AJ310,0)</f>
        <v>68</v>
      </c>
      <c r="AL310" s="16" t="n">
        <v>28</v>
      </c>
      <c r="AM310" s="16" t="n">
        <f aca="false">AL310+AJ310</f>
        <v>95.2</v>
      </c>
      <c r="AN310" s="16" t="n">
        <f aca="false">AL310+AK310</f>
        <v>96</v>
      </c>
      <c r="AO310" s="16" t="n">
        <v>79</v>
      </c>
      <c r="AP310" s="36" t="n">
        <f aca="false">(AO310*70)/100</f>
        <v>55.3</v>
      </c>
      <c r="AQ310" s="37" t="n">
        <f aca="false">ROUNDUP(AP310,0)</f>
        <v>56</v>
      </c>
      <c r="AR310" s="16" t="n">
        <v>27</v>
      </c>
      <c r="AS310" s="16" t="n">
        <f aca="false">AR310+AP310</f>
        <v>82.3</v>
      </c>
      <c r="AT310" s="16" t="n">
        <f aca="false">AR310+AQ310</f>
        <v>83</v>
      </c>
      <c r="AU310" s="16" t="n">
        <f aca="false">AO310+AF310+AI310+AH310+AG310</f>
        <v>433</v>
      </c>
      <c r="AV310" s="16" t="n">
        <f aca="false">(AO310+AF310+AI310+AH310+AG310)/5</f>
        <v>86.6</v>
      </c>
      <c r="AW310" s="36" t="n">
        <f aca="false">(AO310+AF310+AI310+AH310+AG310+X310+R310+Q310+K310+J310)</f>
        <v>773</v>
      </c>
      <c r="AX310" s="16" t="n">
        <f aca="false">AW310/10</f>
        <v>77.3</v>
      </c>
      <c r="AY310" s="16" t="n">
        <f aca="false">AS310+AF310+AM310+AH310+AG310+AB310+V310+Q310+O310+J310</f>
        <v>798.6</v>
      </c>
      <c r="AZ310" s="16" t="n">
        <f aca="false">AT310+AF310+AN310+AH310+AG310+AC310+W310+Q310+P310+J310</f>
        <v>802</v>
      </c>
      <c r="BA310" s="16" t="n">
        <f aca="false">AY310/10</f>
        <v>79.86</v>
      </c>
      <c r="BB310" s="16" t="n">
        <f aca="false">AZ310/10</f>
        <v>80.2</v>
      </c>
      <c r="BC310" s="16" t="n">
        <v>2363</v>
      </c>
      <c r="BD310" s="16" t="n">
        <f aca="false">RANK(AX310,$AX$2:$AX$881,0)</f>
        <v>472</v>
      </c>
      <c r="BE310" s="54" t="n">
        <f aca="false">((BC310*100)/2400)*0.4+(AX310*0.6)</f>
        <v>85.7633333333333</v>
      </c>
      <c r="BF310" s="16" t="n">
        <f aca="false">RANK(BE310,$BE$2:$BE$881,0)</f>
        <v>474</v>
      </c>
      <c r="BG310" s="39" t="n">
        <f aca="false">RANK(BB310,$BB$2:$BB$881,0)</f>
        <v>338</v>
      </c>
      <c r="BH310" s="39" t="n">
        <f aca="false">RANK(BC310,$BC$2:$BC$881,0)</f>
        <v>356</v>
      </c>
      <c r="BI310" s="22" t="s">
        <v>130</v>
      </c>
      <c r="BJ310" s="22" t="s">
        <v>129</v>
      </c>
      <c r="BK310" s="40" t="s">
        <v>509</v>
      </c>
      <c r="BL310" s="41" t="n">
        <v>29</v>
      </c>
      <c r="BM310" s="41" t="n">
        <v>52</v>
      </c>
      <c r="BN310" s="41" t="n">
        <v>81</v>
      </c>
      <c r="BO310" s="42" t="n">
        <v>25</v>
      </c>
      <c r="BP310" s="43" t="n">
        <v>64</v>
      </c>
      <c r="BQ310" s="44" t="n">
        <v>89</v>
      </c>
      <c r="BR310" s="42" t="n">
        <v>29</v>
      </c>
      <c r="BS310" s="45" t="n">
        <v>55</v>
      </c>
      <c r="BT310" s="45" t="n">
        <v>84</v>
      </c>
      <c r="BU310" s="46" t="n">
        <v>100</v>
      </c>
      <c r="BV310" s="47" t="n">
        <v>92</v>
      </c>
      <c r="BW310" s="42" t="n">
        <v>89</v>
      </c>
      <c r="BX310" s="48" t="n">
        <v>92</v>
      </c>
      <c r="BY310" s="32" t="n">
        <v>25</v>
      </c>
      <c r="BZ310" s="32" t="n">
        <v>49</v>
      </c>
      <c r="CA310" s="32" t="n">
        <v>74</v>
      </c>
      <c r="CB310" s="32" t="n">
        <v>24</v>
      </c>
      <c r="CC310" s="32" t="n">
        <v>44</v>
      </c>
      <c r="CD310" s="32" t="n">
        <v>68</v>
      </c>
      <c r="CE310" s="32" t="n">
        <v>27</v>
      </c>
      <c r="CF310" s="32" t="n">
        <v>48</v>
      </c>
      <c r="CG310" s="32" t="n">
        <v>75</v>
      </c>
      <c r="CH310" s="32" t="n">
        <v>98</v>
      </c>
      <c r="CI310" s="32" t="n">
        <v>100</v>
      </c>
      <c r="CJ310" s="49" t="n">
        <v>24</v>
      </c>
      <c r="CK310" s="49" t="n">
        <v>48</v>
      </c>
      <c r="CL310" s="49" t="n">
        <v>72</v>
      </c>
      <c r="CM310" s="49" t="n">
        <v>22</v>
      </c>
      <c r="CN310" s="49" t="n">
        <v>51</v>
      </c>
      <c r="CO310" s="49" t="n">
        <v>73</v>
      </c>
      <c r="CP310" s="25" t="n">
        <f aca="false">BX310+BW310+BV310+BU310+BT310+BQ310+BN310</f>
        <v>627</v>
      </c>
      <c r="CQ310" s="25" t="n">
        <f aca="false">CO310+CL310+CI310+CH310+CG310+CD310+CA310</f>
        <v>560</v>
      </c>
      <c r="CR310" s="26" t="n">
        <f aca="false">CP310/7</f>
        <v>89.5714285714286</v>
      </c>
      <c r="CS310" s="26" t="n">
        <f aca="false">CQ310/7</f>
        <v>80</v>
      </c>
      <c r="CT310" s="24" t="n">
        <f aca="false">RANK(CR310,$CR$2:$CR$881,0)</f>
        <v>209</v>
      </c>
      <c r="CU310" s="25" t="n">
        <f aca="false">RANK(CS310,$CS$2:$CS$881,0)</f>
        <v>264</v>
      </c>
      <c r="CV310" s="26" t="n">
        <f aca="false">(CS310+CR310)/2</f>
        <v>84.7857142857143</v>
      </c>
      <c r="CW310" s="25" t="n">
        <f aca="false">RANK(CV310,$CV$2:$CV$881,0)</f>
        <v>225</v>
      </c>
      <c r="CX310" s="50" t="n">
        <f aca="false">(CV310+BB310)/2</f>
        <v>82.4928571428571</v>
      </c>
      <c r="CY310" s="50" t="n">
        <v>237</v>
      </c>
      <c r="CZ310" s="27" t="s">
        <v>132</v>
      </c>
      <c r="DA310" s="27" t="s">
        <v>272</v>
      </c>
      <c r="DB310" s="27" t="s">
        <v>272</v>
      </c>
      <c r="DC310" s="27" t="s">
        <v>134</v>
      </c>
      <c r="DD310" s="27" t="s">
        <v>195</v>
      </c>
      <c r="DE310" s="27" t="s">
        <v>304</v>
      </c>
      <c r="DF310" s="27" t="s">
        <v>441</v>
      </c>
      <c r="DG310" s="27" t="s">
        <v>134</v>
      </c>
      <c r="DH310" s="27" t="s">
        <v>182</v>
      </c>
      <c r="DI310" s="27" t="s">
        <v>673</v>
      </c>
      <c r="DJ310" s="27" t="s">
        <v>163</v>
      </c>
      <c r="DK310" s="27" t="s">
        <v>134</v>
      </c>
      <c r="DL310" s="27" t="s">
        <v>164</v>
      </c>
      <c r="DM310" s="27" t="s">
        <v>375</v>
      </c>
      <c r="DN310" s="27" t="s">
        <v>382</v>
      </c>
      <c r="DO310" s="27" t="s">
        <v>134</v>
      </c>
      <c r="DP310" s="27" t="s">
        <v>195</v>
      </c>
      <c r="DQ310" s="27" t="s">
        <v>681</v>
      </c>
      <c r="DR310" s="27" t="s">
        <v>141</v>
      </c>
      <c r="DS310" s="27" t="s">
        <v>134</v>
      </c>
      <c r="DT310" s="27" t="s">
        <v>137</v>
      </c>
      <c r="DU310" s="27" t="s">
        <v>447</v>
      </c>
      <c r="DV310" s="27" t="s">
        <v>272</v>
      </c>
      <c r="DW310" s="27" t="s">
        <v>146</v>
      </c>
      <c r="DX310" s="27" t="s">
        <v>143</v>
      </c>
      <c r="DY310" s="27" t="s">
        <v>145</v>
      </c>
      <c r="DZ310" s="27" t="n">
        <f aca="false">DY310+DV310+DR310+DN310+DJ310+DF310+DB310</f>
        <v>540</v>
      </c>
      <c r="EA310" s="28" t="n">
        <f aca="false">DZ310/7</f>
        <v>77.1428571428571</v>
      </c>
      <c r="EB310" s="27" t="n">
        <f aca="false">RANK(EA310,$EA$2:$EA$881,0)</f>
        <v>485</v>
      </c>
      <c r="EC310" s="29" t="n">
        <f aca="false">DZ310+CQ310+CP310+AZ310</f>
        <v>2529</v>
      </c>
      <c r="ED310" s="30" t="n">
        <f aca="false">(EA310+CV310+BB310)/3</f>
        <v>80.7095238095238</v>
      </c>
      <c r="EE310" s="51" t="n">
        <f aca="false">ROUND(BE310,3)</f>
        <v>85.763</v>
      </c>
      <c r="EF310" s="51" t="n">
        <f aca="false">ROUND(CR310,3)</f>
        <v>89.571</v>
      </c>
      <c r="EG310" s="51" t="n">
        <f aca="false">ROUND(CS310,3)</f>
        <v>80</v>
      </c>
      <c r="EH310" s="51" t="n">
        <f aca="false">ROUND(EA310,3)</f>
        <v>77.143</v>
      </c>
      <c r="EI310" s="51" t="n">
        <f aca="false">ROUND(ED310,3)</f>
        <v>80.71</v>
      </c>
      <c r="EJ310" s="51" t="n">
        <f aca="false">ROUND(CV310,3)</f>
        <v>84.786</v>
      </c>
      <c r="EK310" s="0" t="n">
        <f aca="false">RANK(EI310,$EI$2:$EI$881,0)</f>
        <v>309</v>
      </c>
    </row>
    <row r="311" customFormat="false" ht="15" hidden="false" customHeight="false" outlineLevel="0" collapsed="false">
      <c r="A311" s="4" t="n">
        <v>8949</v>
      </c>
      <c r="B311" s="4" t="n">
        <v>411</v>
      </c>
      <c r="C311" s="27" t="s">
        <v>1052</v>
      </c>
      <c r="D311" s="31" t="n">
        <v>416</v>
      </c>
      <c r="E311" s="32" t="n">
        <v>230319107</v>
      </c>
      <c r="F311" s="8" t="s">
        <v>1053</v>
      </c>
      <c r="G311" s="22" t="s">
        <v>1054</v>
      </c>
      <c r="H311" s="22" t="s">
        <v>129</v>
      </c>
      <c r="I311" s="33" t="n">
        <v>2006</v>
      </c>
      <c r="J311" s="32" t="n">
        <v>85</v>
      </c>
      <c r="K311" s="32" t="n">
        <v>76</v>
      </c>
      <c r="L311" s="34" t="n">
        <f aca="false">(K311*70)/100</f>
        <v>53.2</v>
      </c>
      <c r="M311" s="34" t="n">
        <f aca="false">ROUNDUP(L311,0)</f>
        <v>54</v>
      </c>
      <c r="N311" s="32" t="n">
        <v>26</v>
      </c>
      <c r="O311" s="34" t="n">
        <f aca="false">N311+L311</f>
        <v>79.2</v>
      </c>
      <c r="P311" s="34" t="n">
        <f aca="false">N311+M311</f>
        <v>80</v>
      </c>
      <c r="Q311" s="32" t="n">
        <v>78</v>
      </c>
      <c r="R311" s="32" t="n">
        <v>78</v>
      </c>
      <c r="S311" s="34" t="n">
        <f aca="false">(R311*70)/100</f>
        <v>54.6</v>
      </c>
      <c r="T311" s="34" t="n">
        <f aca="false">ROUNDUP(S311,0)</f>
        <v>55</v>
      </c>
      <c r="U311" s="32" t="n">
        <v>20</v>
      </c>
      <c r="V311" s="34" t="n">
        <f aca="false">U311+S311</f>
        <v>74.6</v>
      </c>
      <c r="W311" s="34" t="n">
        <f aca="false">U311+T311</f>
        <v>75</v>
      </c>
      <c r="X311" s="32" t="n">
        <v>70</v>
      </c>
      <c r="Y311" s="34" t="n">
        <f aca="false">(X311*70)/100</f>
        <v>49</v>
      </c>
      <c r="Z311" s="34" t="n">
        <f aca="false">ROUNDUP(Y311,0)</f>
        <v>49</v>
      </c>
      <c r="AA311" s="32" t="n">
        <v>25</v>
      </c>
      <c r="AB311" s="34" t="n">
        <f aca="false">AA311+Y311</f>
        <v>74</v>
      </c>
      <c r="AC311" s="34" t="n">
        <f aca="false">AA311+Z311</f>
        <v>74</v>
      </c>
      <c r="AD311" s="32" t="n">
        <f aca="false">X311+R311+Q311+K311+J311</f>
        <v>387</v>
      </c>
      <c r="AE311" s="16" t="n">
        <f aca="false">AD311/5</f>
        <v>77.4</v>
      </c>
      <c r="AF311" s="16" t="n">
        <v>73</v>
      </c>
      <c r="AG311" s="16" t="n">
        <v>83</v>
      </c>
      <c r="AH311" s="16" t="n">
        <v>86</v>
      </c>
      <c r="AI311" s="16" t="n">
        <v>89</v>
      </c>
      <c r="AJ311" s="16" t="n">
        <f aca="false">(AI311*70)/100</f>
        <v>62.3</v>
      </c>
      <c r="AK311" s="35" t="n">
        <f aca="false">ROUNDUP(AJ311,0)</f>
        <v>63</v>
      </c>
      <c r="AL311" s="16" t="n">
        <v>27</v>
      </c>
      <c r="AM311" s="16" t="n">
        <f aca="false">AL311+AJ311</f>
        <v>89.3</v>
      </c>
      <c r="AN311" s="16" t="n">
        <f aca="false">AL311+AK311</f>
        <v>90</v>
      </c>
      <c r="AO311" s="16" t="n">
        <v>62</v>
      </c>
      <c r="AP311" s="36" t="n">
        <f aca="false">(AO311*70)/100</f>
        <v>43.4</v>
      </c>
      <c r="AQ311" s="37" t="n">
        <f aca="false">ROUNDUP(AP311,0)</f>
        <v>44</v>
      </c>
      <c r="AR311" s="16" t="n">
        <v>28</v>
      </c>
      <c r="AS311" s="16" t="n">
        <f aca="false">AR311+AP311</f>
        <v>71.4</v>
      </c>
      <c r="AT311" s="16" t="n">
        <f aca="false">AR311+AQ311</f>
        <v>72</v>
      </c>
      <c r="AU311" s="16" t="n">
        <f aca="false">AO311+AF311+AI311+AH311+AG311</f>
        <v>393</v>
      </c>
      <c r="AV311" s="16" t="n">
        <f aca="false">(AO311+AF311+AI311+AH311+AG311)/5</f>
        <v>78.6</v>
      </c>
      <c r="AW311" s="36" t="n">
        <f aca="false">(AO311+AF311+AI311+AH311+AG311+X311+R311+Q311+K311+J311)</f>
        <v>780</v>
      </c>
      <c r="AX311" s="16" t="n">
        <f aca="false">AW311/10</f>
        <v>78</v>
      </c>
      <c r="AY311" s="16" t="n">
        <f aca="false">AS311+AF311+AM311+AH311+AG311+AB311+V311+Q311+O311+J311</f>
        <v>793.5</v>
      </c>
      <c r="AZ311" s="16" t="n">
        <f aca="false">AT311+AF311+AN311+AH311+AG311+AC311+W311+Q311+P311+J311</f>
        <v>796</v>
      </c>
      <c r="BA311" s="16" t="n">
        <f aca="false">AY311/10</f>
        <v>79.35</v>
      </c>
      <c r="BB311" s="16" t="n">
        <f aca="false">AZ311/10</f>
        <v>79.6</v>
      </c>
      <c r="BC311" s="16" t="n">
        <v>2380</v>
      </c>
      <c r="BD311" s="16" t="n">
        <f aca="false">RANK(AX311,$AX$2:$AX$881,0)</f>
        <v>408</v>
      </c>
      <c r="BE311" s="54" t="n">
        <f aca="false">((BC311*100)/2400)*0.4+(AX311*0.6)</f>
        <v>86.4666666666667</v>
      </c>
      <c r="BF311" s="16" t="n">
        <f aca="false">RANK(BE311,$BE$2:$BE$881,0)</f>
        <v>356</v>
      </c>
      <c r="BG311" s="39" t="n">
        <f aca="false">RANK(BB311,$BB$2:$BB$881,0)</f>
        <v>392</v>
      </c>
      <c r="BH311" s="39" t="n">
        <f aca="false">RANK(BC311,$BC$2:$BC$881,0)</f>
        <v>148</v>
      </c>
      <c r="BI311" s="22" t="s">
        <v>130</v>
      </c>
      <c r="BJ311" s="22" t="s">
        <v>129</v>
      </c>
      <c r="BK311" s="40" t="s">
        <v>131</v>
      </c>
      <c r="BL311" s="41" t="n">
        <v>20</v>
      </c>
      <c r="BM311" s="41" t="n">
        <v>51</v>
      </c>
      <c r="BN311" s="41" t="n">
        <v>71</v>
      </c>
      <c r="BO311" s="42" t="n">
        <v>26</v>
      </c>
      <c r="BP311" s="43" t="n">
        <v>45</v>
      </c>
      <c r="BQ311" s="44" t="n">
        <v>71</v>
      </c>
      <c r="BR311" s="42" t="n">
        <v>23</v>
      </c>
      <c r="BS311" s="45" t="n">
        <v>58</v>
      </c>
      <c r="BT311" s="45" t="n">
        <v>81</v>
      </c>
      <c r="BU311" s="46" t="n">
        <v>100</v>
      </c>
      <c r="BV311" s="47" t="n">
        <v>92</v>
      </c>
      <c r="BW311" s="42" t="n">
        <v>99</v>
      </c>
      <c r="BX311" s="48" t="n">
        <v>84</v>
      </c>
      <c r="BY311" s="32" t="n">
        <v>26</v>
      </c>
      <c r="BZ311" s="32" t="n">
        <v>44</v>
      </c>
      <c r="CA311" s="32" t="n">
        <v>70</v>
      </c>
      <c r="CB311" s="32" t="n">
        <v>24</v>
      </c>
      <c r="CC311" s="32" t="n">
        <v>38</v>
      </c>
      <c r="CD311" s="32" t="n">
        <v>62</v>
      </c>
      <c r="CE311" s="32" t="n">
        <v>28</v>
      </c>
      <c r="CF311" s="32" t="n">
        <v>41</v>
      </c>
      <c r="CG311" s="32" t="n">
        <v>69</v>
      </c>
      <c r="CH311" s="32" t="n">
        <v>96</v>
      </c>
      <c r="CI311" s="32" t="n">
        <v>98</v>
      </c>
      <c r="CJ311" s="49" t="n">
        <v>23</v>
      </c>
      <c r="CK311" s="49" t="n">
        <v>44</v>
      </c>
      <c r="CL311" s="49" t="n">
        <v>67</v>
      </c>
      <c r="CM311" s="49" t="n">
        <v>21</v>
      </c>
      <c r="CN311" s="49" t="n">
        <v>54</v>
      </c>
      <c r="CO311" s="49" t="n">
        <v>75</v>
      </c>
      <c r="CP311" s="25" t="n">
        <f aca="false">BX311+BW311+BV311+BU311+BT311+BQ311+BN311</f>
        <v>598</v>
      </c>
      <c r="CQ311" s="25" t="n">
        <f aca="false">CO311+CL311+CI311+CH311+CG311+CD311+CA311</f>
        <v>537</v>
      </c>
      <c r="CR311" s="26" t="n">
        <f aca="false">CP311/7</f>
        <v>85.4285714285714</v>
      </c>
      <c r="CS311" s="26" t="n">
        <f aca="false">CQ311/7</f>
        <v>76.7142857142857</v>
      </c>
      <c r="CT311" s="24" t="n">
        <f aca="false">RANK(CR311,$CR$2:$CR$881,0)</f>
        <v>420</v>
      </c>
      <c r="CU311" s="25" t="n">
        <f aca="false">RANK(CS311,$CS$2:$CS$881,0)</f>
        <v>375</v>
      </c>
      <c r="CV311" s="26" t="n">
        <f aca="false">(CS311+CR311)/2</f>
        <v>81.0714285714286</v>
      </c>
      <c r="CW311" s="25" t="n">
        <f aca="false">RANK(CV311,$CV$2:$CV$881,0)</f>
        <v>379</v>
      </c>
      <c r="CX311" s="50" t="n">
        <f aca="false">(CV311+BB311)/2</f>
        <v>80.3357142857143</v>
      </c>
      <c r="CY311" s="50" t="n">
        <v>356</v>
      </c>
      <c r="CZ311" s="27" t="s">
        <v>132</v>
      </c>
      <c r="DA311" s="27" t="s">
        <v>175</v>
      </c>
      <c r="DB311" s="27" t="s">
        <v>175</v>
      </c>
      <c r="DC311" s="27" t="s">
        <v>134</v>
      </c>
      <c r="DD311" s="27" t="s">
        <v>137</v>
      </c>
      <c r="DE311" s="27" t="s">
        <v>442</v>
      </c>
      <c r="DF311" s="27" t="s">
        <v>441</v>
      </c>
      <c r="DG311" s="27" t="s">
        <v>134</v>
      </c>
      <c r="DH311" s="27" t="s">
        <v>135</v>
      </c>
      <c r="DI311" s="27" t="s">
        <v>306</v>
      </c>
      <c r="DJ311" s="27" t="s">
        <v>219</v>
      </c>
      <c r="DK311" s="27" t="s">
        <v>134</v>
      </c>
      <c r="DL311" s="27" t="s">
        <v>135</v>
      </c>
      <c r="DM311" s="27" t="s">
        <v>220</v>
      </c>
      <c r="DN311" s="27" t="s">
        <v>196</v>
      </c>
      <c r="DO311" s="27" t="s">
        <v>134</v>
      </c>
      <c r="DP311" s="27" t="s">
        <v>182</v>
      </c>
      <c r="DQ311" s="27" t="s">
        <v>306</v>
      </c>
      <c r="DR311" s="27" t="s">
        <v>272</v>
      </c>
      <c r="DS311" s="27" t="s">
        <v>134</v>
      </c>
      <c r="DT311" s="27" t="s">
        <v>160</v>
      </c>
      <c r="DU311" s="27" t="s">
        <v>645</v>
      </c>
      <c r="DV311" s="27" t="s">
        <v>398</v>
      </c>
      <c r="DW311" s="27" t="s">
        <v>140</v>
      </c>
      <c r="DX311" s="27" t="s">
        <v>138</v>
      </c>
      <c r="DY311" s="27" t="s">
        <v>145</v>
      </c>
      <c r="DZ311" s="27" t="n">
        <f aca="false">DY311+DV311+DR311+DN311+DJ311+DF311+DB311</f>
        <v>570</v>
      </c>
      <c r="EA311" s="28" t="n">
        <f aca="false">DZ311/7</f>
        <v>81.4285714285714</v>
      </c>
      <c r="EB311" s="27" t="n">
        <f aca="false">RANK(EA311,$EA$2:$EA$881,0)</f>
        <v>327</v>
      </c>
      <c r="EC311" s="29" t="n">
        <f aca="false">DZ311+CQ311+CP311+AZ311</f>
        <v>2501</v>
      </c>
      <c r="ED311" s="30" t="n">
        <f aca="false">(EA311+CV311+BB311)/3</f>
        <v>80.7</v>
      </c>
      <c r="EE311" s="51" t="n">
        <f aca="false">ROUND(BE311,3)</f>
        <v>86.467</v>
      </c>
      <c r="EF311" s="51" t="n">
        <f aca="false">ROUND(CR311,3)</f>
        <v>85.429</v>
      </c>
      <c r="EG311" s="51" t="n">
        <f aca="false">ROUND(CS311,3)</f>
        <v>76.714</v>
      </c>
      <c r="EH311" s="51" t="n">
        <f aca="false">ROUND(EA311,3)</f>
        <v>81.429</v>
      </c>
      <c r="EI311" s="51" t="n">
        <f aca="false">ROUND(ED311,3)</f>
        <v>80.7</v>
      </c>
      <c r="EJ311" s="51" t="n">
        <f aca="false">ROUND(CV311,3)</f>
        <v>81.071</v>
      </c>
      <c r="EK311" s="0" t="n">
        <f aca="false">RANK(EI311,$EI$2:$EI$881,0)</f>
        <v>310</v>
      </c>
    </row>
    <row r="312" customFormat="false" ht="33.7" hidden="false" customHeight="false" outlineLevel="0" collapsed="false">
      <c r="A312" s="4" t="n">
        <v>1879</v>
      </c>
      <c r="B312" s="4" t="n">
        <v>471</v>
      </c>
      <c r="C312" s="27" t="s">
        <v>1055</v>
      </c>
      <c r="D312" s="31" t="n">
        <v>479</v>
      </c>
      <c r="E312" s="32" t="n">
        <v>230312561</v>
      </c>
      <c r="F312" s="55" t="s">
        <v>1056</v>
      </c>
      <c r="G312" s="22" t="s">
        <v>1057</v>
      </c>
      <c r="H312" s="22" t="s">
        <v>129</v>
      </c>
      <c r="I312" s="33" t="n">
        <v>2005</v>
      </c>
      <c r="J312" s="32" t="n">
        <v>74</v>
      </c>
      <c r="K312" s="32" t="n">
        <v>74</v>
      </c>
      <c r="L312" s="34" t="n">
        <f aca="false">(K312*70)/100</f>
        <v>51.8</v>
      </c>
      <c r="M312" s="34" t="n">
        <f aca="false">ROUNDUP(L312,0)</f>
        <v>52</v>
      </c>
      <c r="N312" s="32" t="n">
        <v>24</v>
      </c>
      <c r="O312" s="34" t="n">
        <f aca="false">N312+L312</f>
        <v>75.8</v>
      </c>
      <c r="P312" s="34" t="n">
        <f aca="false">N312+M312</f>
        <v>76</v>
      </c>
      <c r="Q312" s="32" t="n">
        <v>67</v>
      </c>
      <c r="R312" s="32" t="n">
        <v>76</v>
      </c>
      <c r="S312" s="34" t="n">
        <f aca="false">(R312*70)/100</f>
        <v>53.2</v>
      </c>
      <c r="T312" s="34" t="n">
        <f aca="false">ROUNDUP(S312,0)</f>
        <v>54</v>
      </c>
      <c r="U312" s="32" t="n">
        <v>25</v>
      </c>
      <c r="V312" s="34" t="n">
        <f aca="false">U312+S312</f>
        <v>78.2</v>
      </c>
      <c r="W312" s="34" t="n">
        <f aca="false">U312+T312</f>
        <v>79</v>
      </c>
      <c r="X312" s="32" t="n">
        <v>67</v>
      </c>
      <c r="Y312" s="34" t="n">
        <f aca="false">(X312*70)/100</f>
        <v>46.9</v>
      </c>
      <c r="Z312" s="34" t="n">
        <f aca="false">ROUNDUP(Y312,0)</f>
        <v>47</v>
      </c>
      <c r="AA312" s="32" t="n">
        <v>25</v>
      </c>
      <c r="AB312" s="34" t="n">
        <f aca="false">AA312+Y312</f>
        <v>71.9</v>
      </c>
      <c r="AC312" s="34" t="n">
        <f aca="false">AA312+Z312</f>
        <v>72</v>
      </c>
      <c r="AD312" s="32" t="n">
        <f aca="false">X312+R312+Q312+K312+J312</f>
        <v>358</v>
      </c>
      <c r="AE312" s="16" t="n">
        <f aca="false">AD312/5</f>
        <v>71.6</v>
      </c>
      <c r="AF312" s="16" t="n">
        <v>80</v>
      </c>
      <c r="AG312" s="16" t="n">
        <v>87</v>
      </c>
      <c r="AH312" s="16" t="n">
        <v>91</v>
      </c>
      <c r="AI312" s="16" t="n">
        <v>78</v>
      </c>
      <c r="AJ312" s="16" t="n">
        <f aca="false">(AI312*70)/100</f>
        <v>54.6</v>
      </c>
      <c r="AK312" s="35" t="n">
        <f aca="false">ROUNDUP(AJ312,0)</f>
        <v>55</v>
      </c>
      <c r="AL312" s="16" t="n">
        <v>22</v>
      </c>
      <c r="AM312" s="16" t="n">
        <f aca="false">AL312+AJ312</f>
        <v>76.6</v>
      </c>
      <c r="AN312" s="16" t="n">
        <f aca="false">AL312+AK312</f>
        <v>77</v>
      </c>
      <c r="AO312" s="16" t="n">
        <v>77</v>
      </c>
      <c r="AP312" s="36" t="n">
        <f aca="false">(AO312*70)/100</f>
        <v>53.9</v>
      </c>
      <c r="AQ312" s="37" t="n">
        <f aca="false">ROUNDUP(AP312,0)</f>
        <v>54</v>
      </c>
      <c r="AR312" s="16" t="n">
        <v>28</v>
      </c>
      <c r="AS312" s="16" t="n">
        <f aca="false">AR312+AP312</f>
        <v>81.9</v>
      </c>
      <c r="AT312" s="16" t="n">
        <f aca="false">AR312+AQ312</f>
        <v>82</v>
      </c>
      <c r="AU312" s="16" t="n">
        <f aca="false">AO312+AF312+AI312+AH312+AG312</f>
        <v>413</v>
      </c>
      <c r="AV312" s="16" t="n">
        <f aca="false">(AO312+AF312+AI312+AH312+AG312)/5</f>
        <v>82.6</v>
      </c>
      <c r="AW312" s="36" t="n">
        <f aca="false">(AO312+AF312+AI312+AH312+AG312+X312+R312+Q312+K312+J312)</f>
        <v>771</v>
      </c>
      <c r="AX312" s="16" t="n">
        <f aca="false">AW312/10</f>
        <v>77.1</v>
      </c>
      <c r="AY312" s="16" t="n">
        <f aca="false">AS312+AF312+AM312+AH312+AG312+AB312+V312+Q312+O312+J312</f>
        <v>783.4</v>
      </c>
      <c r="AZ312" s="16" t="n">
        <f aca="false">AT312+AF312+AN312+AH312+AG312+AC312+W312+Q312+P312+J312</f>
        <v>785</v>
      </c>
      <c r="BA312" s="16" t="n">
        <f aca="false">AY312/10</f>
        <v>78.34</v>
      </c>
      <c r="BB312" s="16" t="n">
        <f aca="false">AZ312/10</f>
        <v>78.5</v>
      </c>
      <c r="BC312" s="16" t="n">
        <v>2389</v>
      </c>
      <c r="BD312" s="16" t="n">
        <f aca="false">RANK(AX312,$AX$2:$AX$881,0)</f>
        <v>496</v>
      </c>
      <c r="BE312" s="54" t="n">
        <f aca="false">((BC312*100)/2400)*0.4+(AX312*0.6)</f>
        <v>86.0766666666667</v>
      </c>
      <c r="BF312" s="16" t="n">
        <f aca="false">RANK(BE312,$BE$2:$BE$881,0)</f>
        <v>424</v>
      </c>
      <c r="BG312" s="39" t="n">
        <f aca="false">RANK(BB312,$BB$2:$BB$881,0)</f>
        <v>505</v>
      </c>
      <c r="BH312" s="39" t="n">
        <f aca="false">RANK(BC312,$BC$2:$BC$881,0)</f>
        <v>59</v>
      </c>
      <c r="BI312" s="22" t="s">
        <v>130</v>
      </c>
      <c r="BJ312" s="22" t="s">
        <v>129</v>
      </c>
      <c r="BK312" s="40" t="s">
        <v>509</v>
      </c>
      <c r="BL312" s="41" t="n">
        <v>19</v>
      </c>
      <c r="BM312" s="41" t="n">
        <v>54</v>
      </c>
      <c r="BN312" s="41" t="n">
        <v>73</v>
      </c>
      <c r="BO312" s="42" t="n">
        <v>25</v>
      </c>
      <c r="BP312" s="43" t="n">
        <v>51</v>
      </c>
      <c r="BQ312" s="44" t="n">
        <v>76</v>
      </c>
      <c r="BR312" s="42" t="n">
        <v>23</v>
      </c>
      <c r="BS312" s="45" t="n">
        <v>56</v>
      </c>
      <c r="BT312" s="45" t="n">
        <v>79</v>
      </c>
      <c r="BU312" s="46" t="n">
        <v>99</v>
      </c>
      <c r="BV312" s="47" t="n">
        <v>82</v>
      </c>
      <c r="BW312" s="42" t="n">
        <v>100</v>
      </c>
      <c r="BX312" s="48" t="n">
        <v>96</v>
      </c>
      <c r="BY312" s="32" t="n">
        <v>25</v>
      </c>
      <c r="BZ312" s="32" t="n">
        <v>56</v>
      </c>
      <c r="CA312" s="32" t="n">
        <v>81</v>
      </c>
      <c r="CB312" s="32" t="n">
        <v>20</v>
      </c>
      <c r="CC312" s="32" t="n">
        <v>29</v>
      </c>
      <c r="CD312" s="69" t="n">
        <v>49</v>
      </c>
      <c r="CE312" s="32" t="n">
        <v>25</v>
      </c>
      <c r="CF312" s="32" t="n">
        <v>60</v>
      </c>
      <c r="CG312" s="32" t="n">
        <v>85</v>
      </c>
      <c r="CH312" s="32" t="n">
        <v>98</v>
      </c>
      <c r="CI312" s="32" t="n">
        <v>96</v>
      </c>
      <c r="CJ312" s="49" t="n">
        <v>22</v>
      </c>
      <c r="CK312" s="49" t="n">
        <v>49</v>
      </c>
      <c r="CL312" s="49" t="n">
        <v>71</v>
      </c>
      <c r="CM312" s="49" t="n">
        <v>19</v>
      </c>
      <c r="CN312" s="49" t="n">
        <v>46</v>
      </c>
      <c r="CO312" s="49" t="n">
        <v>65</v>
      </c>
      <c r="CP312" s="25" t="n">
        <f aca="false">BX312+BW312+BV312+BU312+BT312+BQ312+BN312</f>
        <v>605</v>
      </c>
      <c r="CQ312" s="25" t="n">
        <f aca="false">CO312+CL312+CI312+CH312+CG312+CD312+CA312</f>
        <v>545</v>
      </c>
      <c r="CR312" s="26" t="n">
        <f aca="false">CP312/7</f>
        <v>86.4285714285714</v>
      </c>
      <c r="CS312" s="26" t="n">
        <f aca="false">CQ312/7</f>
        <v>77.8571428571429</v>
      </c>
      <c r="CT312" s="24" t="n">
        <f aca="false">RANK(CR312,$CR$2:$CR$881,0)</f>
        <v>377</v>
      </c>
      <c r="CU312" s="25" t="n">
        <f aca="false">RANK(CS312,$CS$2:$CS$881,0)</f>
        <v>336</v>
      </c>
      <c r="CV312" s="26" t="n">
        <f aca="false">(CS312+CR312)/2</f>
        <v>82.1428571428571</v>
      </c>
      <c r="CW312" s="25" t="n">
        <f aca="false">RANK(CV312,$CV$2:$CV$881,0)</f>
        <v>333</v>
      </c>
      <c r="CX312" s="50" t="n">
        <f aca="false">(CV312+BB312)/2</f>
        <v>80.3214285714286</v>
      </c>
      <c r="CY312" s="50" t="n">
        <v>357</v>
      </c>
      <c r="CZ312" s="27" t="s">
        <v>132</v>
      </c>
      <c r="DA312" s="27" t="s">
        <v>219</v>
      </c>
      <c r="DB312" s="27" t="s">
        <v>219</v>
      </c>
      <c r="DC312" s="27" t="s">
        <v>134</v>
      </c>
      <c r="DD312" s="27" t="s">
        <v>137</v>
      </c>
      <c r="DE312" s="27" t="s">
        <v>220</v>
      </c>
      <c r="DF312" s="27" t="s">
        <v>205</v>
      </c>
      <c r="DG312" s="27" t="s">
        <v>134</v>
      </c>
      <c r="DH312" s="27" t="s">
        <v>182</v>
      </c>
      <c r="DI312" s="27" t="s">
        <v>183</v>
      </c>
      <c r="DJ312" s="27" t="s">
        <v>205</v>
      </c>
      <c r="DK312" s="27" t="s">
        <v>134</v>
      </c>
      <c r="DL312" s="27" t="s">
        <v>154</v>
      </c>
      <c r="DM312" s="27" t="s">
        <v>183</v>
      </c>
      <c r="DN312" s="27" t="s">
        <v>196</v>
      </c>
      <c r="DO312" s="27" t="s">
        <v>134</v>
      </c>
      <c r="DP312" s="27" t="s">
        <v>174</v>
      </c>
      <c r="DQ312" s="27" t="s">
        <v>415</v>
      </c>
      <c r="DR312" s="27" t="s">
        <v>138</v>
      </c>
      <c r="DS312" s="27" t="s">
        <v>134</v>
      </c>
      <c r="DT312" s="27" t="s">
        <v>164</v>
      </c>
      <c r="DU312" s="27" t="s">
        <v>375</v>
      </c>
      <c r="DV312" s="27" t="s">
        <v>382</v>
      </c>
      <c r="DW312" s="27" t="s">
        <v>140</v>
      </c>
      <c r="DX312" s="27" t="s">
        <v>155</v>
      </c>
      <c r="DY312" s="27" t="s">
        <v>147</v>
      </c>
      <c r="DZ312" s="27" t="n">
        <f aca="false">DY312+DV312+DR312+DN312+DJ312+DF312+DB312</f>
        <v>570</v>
      </c>
      <c r="EA312" s="28" t="n">
        <f aca="false">DZ312/7</f>
        <v>81.4285714285714</v>
      </c>
      <c r="EB312" s="27" t="n">
        <f aca="false">RANK(EA312,$EA$2:$EA$881,0)</f>
        <v>327</v>
      </c>
      <c r="EC312" s="29" t="n">
        <f aca="false">DZ312+CQ312+CP312+AZ312</f>
        <v>2505</v>
      </c>
      <c r="ED312" s="30" t="n">
        <f aca="false">(EA312+CV312+BB312)/3</f>
        <v>80.6904761904762</v>
      </c>
      <c r="EE312" s="51" t="n">
        <f aca="false">ROUND(BE312,3)</f>
        <v>86.077</v>
      </c>
      <c r="EF312" s="51" t="n">
        <f aca="false">ROUND(CR312,3)</f>
        <v>86.429</v>
      </c>
      <c r="EG312" s="51" t="n">
        <f aca="false">ROUND(CS312,3)</f>
        <v>77.857</v>
      </c>
      <c r="EH312" s="51" t="n">
        <f aca="false">ROUND(EA312,3)</f>
        <v>81.429</v>
      </c>
      <c r="EI312" s="51" t="n">
        <f aca="false">ROUND(ED312,3)</f>
        <v>80.69</v>
      </c>
      <c r="EJ312" s="51" t="n">
        <f aca="false">ROUND(CV312,3)</f>
        <v>82.143</v>
      </c>
      <c r="EK312" s="0" t="n">
        <f aca="false">RANK(EI312,$EI$2:$EI$881,0)</f>
        <v>311</v>
      </c>
    </row>
    <row r="313" customFormat="false" ht="15" hidden="false" customHeight="false" outlineLevel="0" collapsed="false">
      <c r="A313" s="4" t="n">
        <v>8991</v>
      </c>
      <c r="B313" s="4" t="n">
        <v>2</v>
      </c>
      <c r="C313" s="27" t="s">
        <v>1058</v>
      </c>
      <c r="D313" s="52" t="n">
        <v>2</v>
      </c>
      <c r="E313" s="32" t="n">
        <v>230313833</v>
      </c>
      <c r="F313" s="8" t="s">
        <v>1059</v>
      </c>
      <c r="G313" s="22" t="s">
        <v>1060</v>
      </c>
      <c r="H313" s="22" t="s">
        <v>129</v>
      </c>
      <c r="I313" s="33" t="n">
        <v>2005</v>
      </c>
      <c r="J313" s="32" t="n">
        <v>82</v>
      </c>
      <c r="K313" s="32" t="n">
        <v>85</v>
      </c>
      <c r="L313" s="34" t="n">
        <f aca="false">(K313*70)/100</f>
        <v>59.5</v>
      </c>
      <c r="M313" s="34" t="n">
        <f aca="false">ROUNDUP(L313,0)</f>
        <v>60</v>
      </c>
      <c r="N313" s="32" t="n">
        <v>24</v>
      </c>
      <c r="O313" s="34" t="n">
        <f aca="false">N313+L313</f>
        <v>83.5</v>
      </c>
      <c r="P313" s="34" t="n">
        <f aca="false">N313+M313</f>
        <v>84</v>
      </c>
      <c r="Q313" s="32" t="n">
        <v>77</v>
      </c>
      <c r="R313" s="32" t="n">
        <v>78</v>
      </c>
      <c r="S313" s="34" t="n">
        <f aca="false">(R313*70)/100</f>
        <v>54.6</v>
      </c>
      <c r="T313" s="34" t="n">
        <f aca="false">ROUNDUP(S313,0)</f>
        <v>55</v>
      </c>
      <c r="U313" s="32" t="n">
        <v>24</v>
      </c>
      <c r="V313" s="34" t="n">
        <f aca="false">U313+S313</f>
        <v>78.6</v>
      </c>
      <c r="W313" s="34" t="n">
        <f aca="false">U313+T313</f>
        <v>79</v>
      </c>
      <c r="X313" s="32" t="n">
        <v>72</v>
      </c>
      <c r="Y313" s="34" t="n">
        <f aca="false">(X313*70)/100</f>
        <v>50.4</v>
      </c>
      <c r="Z313" s="34" t="n">
        <f aca="false">ROUNDUP(Y313,0)</f>
        <v>51</v>
      </c>
      <c r="AA313" s="32" t="n">
        <v>25</v>
      </c>
      <c r="AB313" s="34" t="n">
        <f aca="false">AA313+Y313</f>
        <v>75.4</v>
      </c>
      <c r="AC313" s="34" t="n">
        <f aca="false">AA313+Z313</f>
        <v>76</v>
      </c>
      <c r="AD313" s="32" t="n">
        <f aca="false">X313+R313+Q313+K313+J313</f>
        <v>394</v>
      </c>
      <c r="AE313" s="16" t="n">
        <f aca="false">AD313/5</f>
        <v>78.8</v>
      </c>
      <c r="AF313" s="16" t="n">
        <v>69</v>
      </c>
      <c r="AG313" s="16" t="n">
        <v>85</v>
      </c>
      <c r="AH313" s="16" t="n">
        <v>88</v>
      </c>
      <c r="AI313" s="16" t="n">
        <v>94</v>
      </c>
      <c r="AJ313" s="16" t="n">
        <f aca="false">(AI313*70)/100</f>
        <v>65.8</v>
      </c>
      <c r="AK313" s="35" t="n">
        <f aca="false">ROUNDUP(AJ313,0)</f>
        <v>66</v>
      </c>
      <c r="AL313" s="16" t="n">
        <v>26</v>
      </c>
      <c r="AM313" s="16" t="n">
        <f aca="false">AL313+AJ313</f>
        <v>91.8</v>
      </c>
      <c r="AN313" s="16" t="n">
        <f aca="false">AL313+AK313</f>
        <v>92</v>
      </c>
      <c r="AO313" s="16" t="n">
        <v>79</v>
      </c>
      <c r="AP313" s="36" t="n">
        <f aca="false">(AO313*70)/100</f>
        <v>55.3</v>
      </c>
      <c r="AQ313" s="37" t="n">
        <f aca="false">ROUNDUP(AP313,0)</f>
        <v>56</v>
      </c>
      <c r="AR313" s="16" t="n">
        <v>29</v>
      </c>
      <c r="AS313" s="16" t="n">
        <f aca="false">AR313+AP313</f>
        <v>84.3</v>
      </c>
      <c r="AT313" s="16" t="n">
        <f aca="false">AR313+AQ313</f>
        <v>85</v>
      </c>
      <c r="AU313" s="16" t="n">
        <f aca="false">AO313+AF313+AI313+AH313+AG313</f>
        <v>415</v>
      </c>
      <c r="AV313" s="16" t="n">
        <f aca="false">(AO313+AF313+AI313+AH313+AG313)/5</f>
        <v>83</v>
      </c>
      <c r="AW313" s="36" t="n">
        <f aca="false">(AO313+AF313+AI313+AH313+AG313+X313+R313+Q313+K313+J313)</f>
        <v>809</v>
      </c>
      <c r="AX313" s="16" t="n">
        <f aca="false">AW313/10</f>
        <v>80.9</v>
      </c>
      <c r="AY313" s="16" t="n">
        <f aca="false">AS313+AF313+AM313+AH313+AG313+AB313+V313+Q313+O313+J313</f>
        <v>814.6</v>
      </c>
      <c r="AZ313" s="16" t="n">
        <f aca="false">AT313+AF313+AN313+AH313+AG313+AC313+W313+Q313+P313+J313</f>
        <v>817</v>
      </c>
      <c r="BA313" s="16" t="n">
        <f aca="false">AY313/10</f>
        <v>81.46</v>
      </c>
      <c r="BB313" s="16" t="n">
        <f aca="false">AZ313/10</f>
        <v>81.7</v>
      </c>
      <c r="BC313" s="16" t="n">
        <v>2343</v>
      </c>
      <c r="BD313" s="16" t="n">
        <f aca="false">RANK(AX313,$AX$2:$AX$881,0)</f>
        <v>213</v>
      </c>
      <c r="BE313" s="92" t="n">
        <f aca="false">((BC313*100)/2400)*0.4+(AX313*0.6)</f>
        <v>87.59</v>
      </c>
      <c r="BF313" s="16" t="n">
        <f aca="false">RANK(BE313,$BE$2:$BE$881,0)</f>
        <v>239</v>
      </c>
      <c r="BG313" s="39" t="n">
        <f aca="false">RANK(BB313,$BB$2:$BB$881,0)</f>
        <v>229</v>
      </c>
      <c r="BH313" s="39" t="n">
        <f aca="false">RANK(BC313,$BC$2:$BC$881,0)</f>
        <v>613</v>
      </c>
      <c r="BI313" s="22" t="s">
        <v>130</v>
      </c>
      <c r="BJ313" s="22" t="s">
        <v>129</v>
      </c>
      <c r="BK313" s="40" t="s">
        <v>131</v>
      </c>
      <c r="BL313" s="41" t="n">
        <v>20</v>
      </c>
      <c r="BM313" s="41" t="n">
        <v>64</v>
      </c>
      <c r="BN313" s="41" t="n">
        <v>84</v>
      </c>
      <c r="BO313" s="42" t="n">
        <v>22</v>
      </c>
      <c r="BP313" s="93" t="n">
        <v>54</v>
      </c>
      <c r="BQ313" s="44" t="n">
        <v>76</v>
      </c>
      <c r="BR313" s="42" t="n">
        <v>23</v>
      </c>
      <c r="BS313" s="45" t="n">
        <v>58</v>
      </c>
      <c r="BT313" s="45" t="n">
        <v>81</v>
      </c>
      <c r="BU313" s="46" t="n">
        <v>99</v>
      </c>
      <c r="BV313" s="47" t="n">
        <v>78</v>
      </c>
      <c r="BW313" s="42" t="n">
        <v>96</v>
      </c>
      <c r="BX313" s="48" t="n">
        <v>94</v>
      </c>
      <c r="BY313" s="32" t="n">
        <v>25</v>
      </c>
      <c r="BZ313" s="32" t="n">
        <v>49</v>
      </c>
      <c r="CA313" s="32" t="n">
        <v>74</v>
      </c>
      <c r="CB313" s="32" t="n">
        <v>19</v>
      </c>
      <c r="CC313" s="32" t="n">
        <v>37</v>
      </c>
      <c r="CD313" s="69" t="n">
        <v>56</v>
      </c>
      <c r="CE313" s="32" t="n">
        <v>22</v>
      </c>
      <c r="CF313" s="32" t="n">
        <v>57</v>
      </c>
      <c r="CG313" s="32" t="n">
        <v>79</v>
      </c>
      <c r="CH313" s="32" t="n">
        <v>99</v>
      </c>
      <c r="CI313" s="32" t="n">
        <v>99</v>
      </c>
      <c r="CJ313" s="49" t="n">
        <v>23</v>
      </c>
      <c r="CK313" s="49" t="n">
        <v>46</v>
      </c>
      <c r="CL313" s="49" t="n">
        <v>69</v>
      </c>
      <c r="CM313" s="49" t="n">
        <v>23</v>
      </c>
      <c r="CN313" s="49" t="n">
        <v>54</v>
      </c>
      <c r="CO313" s="49" t="n">
        <v>77</v>
      </c>
      <c r="CP313" s="25" t="n">
        <f aca="false">BX313+BW313+BV313+BU313+BT313+BQ313+BN313</f>
        <v>608</v>
      </c>
      <c r="CQ313" s="25" t="n">
        <f aca="false">CO313+CL313+CI313+CH313+CG313+CD313+CA313</f>
        <v>553</v>
      </c>
      <c r="CR313" s="26" t="n">
        <f aca="false">CP313/7</f>
        <v>86.8571428571429</v>
      </c>
      <c r="CS313" s="26" t="n">
        <f aca="false">CQ313/7</f>
        <v>79</v>
      </c>
      <c r="CT313" s="24" t="n">
        <f aca="false">RANK(CR313,$CR$2:$CR$881,0)</f>
        <v>359</v>
      </c>
      <c r="CU313" s="25" t="n">
        <f aca="false">RANK(CS313,$CS$2:$CS$881,0)</f>
        <v>300</v>
      </c>
      <c r="CV313" s="26" t="n">
        <f aca="false">(CS313+CR313)/2</f>
        <v>82.9285714285714</v>
      </c>
      <c r="CW313" s="25" t="n">
        <f aca="false">RANK(CV313,$CV$2:$CV$881,0)</f>
        <v>301</v>
      </c>
      <c r="CX313" s="50" t="n">
        <f aca="false">(CV313+BB313)/2</f>
        <v>82.3142857142857</v>
      </c>
      <c r="CY313" s="50" t="n">
        <v>246</v>
      </c>
      <c r="CZ313" s="27" t="s">
        <v>132</v>
      </c>
      <c r="DA313" s="27" t="s">
        <v>205</v>
      </c>
      <c r="DB313" s="27" t="s">
        <v>205</v>
      </c>
      <c r="DC313" s="27" t="s">
        <v>134</v>
      </c>
      <c r="DD313" s="27" t="s">
        <v>137</v>
      </c>
      <c r="DE313" s="27" t="s">
        <v>183</v>
      </c>
      <c r="DF313" s="27" t="s">
        <v>209</v>
      </c>
      <c r="DG313" s="27" t="s">
        <v>134</v>
      </c>
      <c r="DH313" s="27" t="s">
        <v>174</v>
      </c>
      <c r="DI313" s="27" t="s">
        <v>177</v>
      </c>
      <c r="DJ313" s="27" t="s">
        <v>205</v>
      </c>
      <c r="DK313" s="27" t="s">
        <v>134</v>
      </c>
      <c r="DL313" s="27" t="s">
        <v>195</v>
      </c>
      <c r="DM313" s="27" t="s">
        <v>415</v>
      </c>
      <c r="DN313" s="27" t="s">
        <v>143</v>
      </c>
      <c r="DO313" s="27" t="s">
        <v>134</v>
      </c>
      <c r="DP313" s="27" t="s">
        <v>1000</v>
      </c>
      <c r="DQ313" s="27" t="s">
        <v>218</v>
      </c>
      <c r="DR313" s="27" t="s">
        <v>416</v>
      </c>
      <c r="DS313" s="27" t="s">
        <v>134</v>
      </c>
      <c r="DT313" s="27" t="s">
        <v>137</v>
      </c>
      <c r="DU313" s="27" t="s">
        <v>481</v>
      </c>
      <c r="DV313" s="27" t="s">
        <v>136</v>
      </c>
      <c r="DW313" s="27" t="s">
        <v>182</v>
      </c>
      <c r="DX313" s="27" t="s">
        <v>143</v>
      </c>
      <c r="DY313" s="27" t="s">
        <v>176</v>
      </c>
      <c r="DZ313" s="27" t="n">
        <f aca="false">DY313+DV313+DR313+DN313+DJ313+DF313+DB313</f>
        <v>542</v>
      </c>
      <c r="EA313" s="28" t="n">
        <f aca="false">DZ313/7</f>
        <v>77.4285714285714</v>
      </c>
      <c r="EB313" s="27" t="n">
        <f aca="false">RANK(EA313,$EA$2:$EA$881,0)</f>
        <v>480</v>
      </c>
      <c r="EC313" s="29" t="n">
        <f aca="false">DZ313+CQ313+CP313+AZ313</f>
        <v>2520</v>
      </c>
      <c r="ED313" s="30" t="n">
        <f aca="false">(EA313+CV313+BB313)/3</f>
        <v>80.6857142857143</v>
      </c>
      <c r="EE313" s="51" t="n">
        <f aca="false">ROUND(BE313,3)</f>
        <v>87.59</v>
      </c>
      <c r="EF313" s="51" t="n">
        <f aca="false">ROUND(CR313,3)</f>
        <v>86.857</v>
      </c>
      <c r="EG313" s="51" t="n">
        <f aca="false">ROUND(CS313,3)</f>
        <v>79</v>
      </c>
      <c r="EH313" s="51" t="n">
        <f aca="false">ROUND(EA313,3)</f>
        <v>77.429</v>
      </c>
      <c r="EI313" s="51" t="n">
        <f aca="false">ROUND(ED313,3)</f>
        <v>80.686</v>
      </c>
      <c r="EJ313" s="51" t="n">
        <f aca="false">ROUND(CV313,3)</f>
        <v>82.929</v>
      </c>
      <c r="EK313" s="0" t="n">
        <f aca="false">RANK(EI313,$EI$2:$EI$881,0)</f>
        <v>312</v>
      </c>
    </row>
    <row r="314" customFormat="false" ht="15" hidden="false" customHeight="false" outlineLevel="0" collapsed="false">
      <c r="A314" s="4" t="n">
        <v>9036</v>
      </c>
      <c r="B314" s="4" t="n">
        <v>227</v>
      </c>
      <c r="C314" s="27" t="s">
        <v>1061</v>
      </c>
      <c r="D314" s="31" t="n">
        <v>229</v>
      </c>
      <c r="E314" s="16" t="n">
        <v>230135784</v>
      </c>
      <c r="F314" s="56" t="s">
        <v>1062</v>
      </c>
      <c r="G314" s="22" t="s">
        <v>1063</v>
      </c>
      <c r="H314" s="22" t="s">
        <v>326</v>
      </c>
      <c r="I314" s="57"/>
      <c r="J314" s="16" t="n">
        <v>82</v>
      </c>
      <c r="K314" s="16" t="n">
        <v>84</v>
      </c>
      <c r="L314" s="34" t="n">
        <f aca="false">(K314*70)/100</f>
        <v>58.8</v>
      </c>
      <c r="M314" s="34" t="n">
        <f aca="false">ROUNDUP(L314,0)</f>
        <v>59</v>
      </c>
      <c r="N314" s="16" t="n">
        <v>21</v>
      </c>
      <c r="O314" s="34" t="n">
        <f aca="false">N314+L314</f>
        <v>79.8</v>
      </c>
      <c r="P314" s="34" t="n">
        <f aca="false">N314+M314</f>
        <v>80</v>
      </c>
      <c r="Q314" s="16" t="n">
        <v>83</v>
      </c>
      <c r="R314" s="16" t="n">
        <v>73</v>
      </c>
      <c r="S314" s="34" t="n">
        <f aca="false">(R314*70)/100</f>
        <v>51.1</v>
      </c>
      <c r="T314" s="34" t="n">
        <f aca="false">ROUNDUP(S314,0)</f>
        <v>52</v>
      </c>
      <c r="U314" s="16" t="n">
        <v>26</v>
      </c>
      <c r="V314" s="34" t="n">
        <f aca="false">U314+S314</f>
        <v>77.1</v>
      </c>
      <c r="W314" s="34" t="n">
        <f aca="false">U314+T314</f>
        <v>78</v>
      </c>
      <c r="X314" s="16" t="n">
        <v>69</v>
      </c>
      <c r="Y314" s="34" t="n">
        <f aca="false">(X314*70)/100</f>
        <v>48.3</v>
      </c>
      <c r="Z314" s="34" t="n">
        <f aca="false">ROUNDUP(Y314,0)</f>
        <v>49</v>
      </c>
      <c r="AA314" s="16" t="n">
        <v>27</v>
      </c>
      <c r="AB314" s="34" t="n">
        <f aca="false">AA314+Y314</f>
        <v>75.3</v>
      </c>
      <c r="AC314" s="34" t="n">
        <f aca="false">AA314+Z314</f>
        <v>76</v>
      </c>
      <c r="AD314" s="32" t="n">
        <f aca="false">X314+R314+Q314+K314+J314</f>
        <v>391</v>
      </c>
      <c r="AE314" s="16" t="n">
        <f aca="false">AD314/5</f>
        <v>78.2</v>
      </c>
      <c r="AF314" s="71" t="n">
        <v>56</v>
      </c>
      <c r="AG314" s="16" t="n">
        <v>92</v>
      </c>
      <c r="AH314" s="16" t="n">
        <v>90</v>
      </c>
      <c r="AI314" s="16" t="n">
        <v>83</v>
      </c>
      <c r="AJ314" s="16" t="n">
        <f aca="false">(AI314*70)/100</f>
        <v>58.1</v>
      </c>
      <c r="AK314" s="35" t="n">
        <f aca="false">ROUNDUP(AJ314,0)</f>
        <v>59</v>
      </c>
      <c r="AL314" s="16" t="n">
        <v>24</v>
      </c>
      <c r="AM314" s="16" t="n">
        <f aca="false">AL314+AJ314</f>
        <v>82.1</v>
      </c>
      <c r="AN314" s="16" t="n">
        <f aca="false">AL314+AK314</f>
        <v>83</v>
      </c>
      <c r="AO314" s="16" t="n">
        <v>71</v>
      </c>
      <c r="AP314" s="36" t="n">
        <f aca="false">(AO314*70)/100</f>
        <v>49.7</v>
      </c>
      <c r="AQ314" s="37" t="n">
        <f aca="false">ROUNDUP(AP314,0)</f>
        <v>50</v>
      </c>
      <c r="AR314" s="16" t="n">
        <v>29</v>
      </c>
      <c r="AS314" s="16" t="n">
        <f aca="false">AR314+AP314</f>
        <v>78.7</v>
      </c>
      <c r="AT314" s="16" t="n">
        <f aca="false">AR314+AQ314</f>
        <v>79</v>
      </c>
      <c r="AU314" s="16" t="n">
        <f aca="false">AO314+AF314+AI314+AH314+AG314</f>
        <v>392</v>
      </c>
      <c r="AV314" s="16" t="n">
        <f aca="false">(AO314+AF314+AI314+AH314+AG314)/5</f>
        <v>78.4</v>
      </c>
      <c r="AW314" s="36" t="n">
        <f aca="false">(AO314+AF314+AI314+AH314+AG314+X314+R314+Q314+K314+J314)</f>
        <v>783</v>
      </c>
      <c r="AX314" s="16" t="n">
        <f aca="false">AW314/10</f>
        <v>78.3</v>
      </c>
      <c r="AY314" s="16" t="n">
        <f aca="false">AS314+AF314+AM314+AH314+AG314+AB314+V314+Q314+O314+J314</f>
        <v>796</v>
      </c>
      <c r="AZ314" s="16" t="n">
        <f aca="false">AT314+AF314+AN314+AH314+AG314+AC314+W314+Q314+P314+J314</f>
        <v>799</v>
      </c>
      <c r="BA314" s="16" t="n">
        <f aca="false">AY314/10</f>
        <v>79.6</v>
      </c>
      <c r="BB314" s="16" t="n">
        <f aca="false">AZ314/10</f>
        <v>79.9</v>
      </c>
      <c r="BC314" s="16" t="n">
        <v>2368</v>
      </c>
      <c r="BD314" s="16" t="n">
        <f aca="false">RANK(AX314,$AX$2:$AX$881,0)</f>
        <v>392</v>
      </c>
      <c r="BE314" s="54" t="n">
        <f aca="false">((BC314*100)/2400)*0.4+(AX314*0.6)</f>
        <v>86.4466666666667</v>
      </c>
      <c r="BF314" s="16" t="n">
        <f aca="false">RANK(BE314,$BE$2:$BE$881,0)</f>
        <v>358</v>
      </c>
      <c r="BG314" s="39" t="n">
        <f aca="false">RANK(BB314,$BB$2:$BB$881,0)</f>
        <v>356</v>
      </c>
      <c r="BH314" s="39" t="n">
        <f aca="false">RANK(BC314,$BC$2:$BC$881,0)</f>
        <v>295</v>
      </c>
      <c r="BI314" s="22" t="s">
        <v>130</v>
      </c>
      <c r="BJ314" s="22" t="s">
        <v>129</v>
      </c>
      <c r="BK314" s="40" t="s">
        <v>131</v>
      </c>
      <c r="BL314" s="41" t="n">
        <v>23</v>
      </c>
      <c r="BM314" s="41" t="n">
        <v>62</v>
      </c>
      <c r="BN314" s="41" t="n">
        <v>85</v>
      </c>
      <c r="BO314" s="42" t="n">
        <v>27</v>
      </c>
      <c r="BP314" s="43" t="n">
        <v>62</v>
      </c>
      <c r="BQ314" s="44" t="n">
        <v>89</v>
      </c>
      <c r="BR314" s="42" t="n">
        <v>26</v>
      </c>
      <c r="BS314" s="45" t="n">
        <v>49</v>
      </c>
      <c r="BT314" s="45" t="n">
        <v>75</v>
      </c>
      <c r="BU314" s="46" t="n">
        <v>100</v>
      </c>
      <c r="BV314" s="47" t="n">
        <v>98</v>
      </c>
      <c r="BW314" s="42" t="n">
        <v>95</v>
      </c>
      <c r="BX314" s="48" t="n">
        <v>94</v>
      </c>
      <c r="BY314" s="25" t="n">
        <v>21</v>
      </c>
      <c r="BZ314" s="25" t="n">
        <v>47</v>
      </c>
      <c r="CA314" s="25" t="n">
        <v>68</v>
      </c>
      <c r="CB314" s="25" t="n">
        <v>18</v>
      </c>
      <c r="CC314" s="25" t="n">
        <v>38</v>
      </c>
      <c r="CD314" s="85" t="n">
        <v>56</v>
      </c>
      <c r="CE314" s="32" t="n">
        <v>23</v>
      </c>
      <c r="CF314" s="32" t="n">
        <v>43</v>
      </c>
      <c r="CG314" s="32" t="n">
        <v>66</v>
      </c>
      <c r="CH314" s="32" t="n">
        <v>96</v>
      </c>
      <c r="CI314" s="32" t="n">
        <v>98</v>
      </c>
      <c r="CJ314" s="49" t="n">
        <v>18</v>
      </c>
      <c r="CK314" s="49" t="n">
        <v>48</v>
      </c>
      <c r="CL314" s="49" t="n">
        <v>66</v>
      </c>
      <c r="CM314" s="49" t="n">
        <v>21</v>
      </c>
      <c r="CN314" s="58" t="n">
        <v>55</v>
      </c>
      <c r="CO314" s="58" t="n">
        <v>76</v>
      </c>
      <c r="CP314" s="25" t="n">
        <f aca="false">BX314+BW314+BV314+BU314+BT314+BQ314+BN314</f>
        <v>636</v>
      </c>
      <c r="CQ314" s="25" t="n">
        <f aca="false">CO314+CL314+CI314+CH314+CG314+CD314+CA314</f>
        <v>526</v>
      </c>
      <c r="CR314" s="26" t="n">
        <f aca="false">CP314/7</f>
        <v>90.8571428571429</v>
      </c>
      <c r="CS314" s="26" t="n">
        <f aca="false">CQ314/7</f>
        <v>75.1428571428571</v>
      </c>
      <c r="CT314" s="24" t="n">
        <f aca="false">RANK(CR314,$CR$2:$CR$881,0)</f>
        <v>135</v>
      </c>
      <c r="CU314" s="25" t="n">
        <f aca="false">RANK(CS314,$CS$2:$CS$881,0)</f>
        <v>426</v>
      </c>
      <c r="CV314" s="26" t="n">
        <f aca="false">(CS314+CR314)/2</f>
        <v>83</v>
      </c>
      <c r="CW314" s="25" t="n">
        <f aca="false">RANK(CV314,$CV$2:$CV$881,0)</f>
        <v>297</v>
      </c>
      <c r="CX314" s="50" t="n">
        <f aca="false">(CV314+BB314)/2</f>
        <v>81.45</v>
      </c>
      <c r="CY314" s="50" t="n">
        <v>432</v>
      </c>
      <c r="CZ314" s="27" t="s">
        <v>132</v>
      </c>
      <c r="DA314" s="27" t="s">
        <v>272</v>
      </c>
      <c r="DB314" s="27" t="s">
        <v>272</v>
      </c>
      <c r="DC314" s="27" t="s">
        <v>134</v>
      </c>
      <c r="DD314" s="27" t="s">
        <v>160</v>
      </c>
      <c r="DE314" s="27" t="s">
        <v>177</v>
      </c>
      <c r="DF314" s="27" t="s">
        <v>133</v>
      </c>
      <c r="DG314" s="27" t="s">
        <v>134</v>
      </c>
      <c r="DH314" s="27" t="s">
        <v>164</v>
      </c>
      <c r="DI314" s="27" t="s">
        <v>412</v>
      </c>
      <c r="DJ314" s="27" t="s">
        <v>305</v>
      </c>
      <c r="DK314" s="27" t="s">
        <v>134</v>
      </c>
      <c r="DL314" s="27" t="s">
        <v>137</v>
      </c>
      <c r="DM314" s="27" t="s">
        <v>447</v>
      </c>
      <c r="DN314" s="27" t="s">
        <v>272</v>
      </c>
      <c r="DO314" s="27" t="s">
        <v>134</v>
      </c>
      <c r="DP314" s="27" t="s">
        <v>195</v>
      </c>
      <c r="DQ314" s="27" t="s">
        <v>313</v>
      </c>
      <c r="DR314" s="27" t="s">
        <v>486</v>
      </c>
      <c r="DS314" s="27" t="s">
        <v>134</v>
      </c>
      <c r="DT314" s="27" t="s">
        <v>137</v>
      </c>
      <c r="DU314" s="27" t="s">
        <v>1064</v>
      </c>
      <c r="DV314" s="27" t="s">
        <v>203</v>
      </c>
      <c r="DW314" s="27" t="s">
        <v>160</v>
      </c>
      <c r="DX314" s="27" t="s">
        <v>141</v>
      </c>
      <c r="DY314" s="27" t="s">
        <v>139</v>
      </c>
      <c r="DZ314" s="27" t="n">
        <f aca="false">DY314+DV314+DR314+DN314+DJ314+DF314+DB314</f>
        <v>554</v>
      </c>
      <c r="EA314" s="28" t="n">
        <f aca="false">DZ314/7</f>
        <v>79.1428571428571</v>
      </c>
      <c r="EB314" s="27" t="n">
        <f aca="false">RANK(EA314,$EA$2:$EA$881,0)</f>
        <v>426</v>
      </c>
      <c r="EC314" s="29" t="n">
        <f aca="false">DZ314+CQ314+CP314+AZ314</f>
        <v>2515</v>
      </c>
      <c r="ED314" s="30" t="n">
        <f aca="false">(EA314+CV314+BB314)/3</f>
        <v>80.6809523809524</v>
      </c>
      <c r="EE314" s="51" t="n">
        <f aca="false">ROUND(BE314,3)</f>
        <v>86.447</v>
      </c>
      <c r="EF314" s="51" t="n">
        <f aca="false">ROUND(CR314,3)</f>
        <v>90.857</v>
      </c>
      <c r="EG314" s="51" t="n">
        <f aca="false">ROUND(CS314,3)</f>
        <v>75.143</v>
      </c>
      <c r="EH314" s="51" t="n">
        <f aca="false">ROUND(EA314,3)</f>
        <v>79.143</v>
      </c>
      <c r="EI314" s="51" t="n">
        <f aca="false">ROUND(ED314,3)</f>
        <v>80.681</v>
      </c>
      <c r="EJ314" s="51" t="n">
        <f aca="false">ROUND(CV314,3)</f>
        <v>83</v>
      </c>
      <c r="EK314" s="0" t="n">
        <f aca="false">RANK(EI314,$EI$2:$EI$881,0)</f>
        <v>313</v>
      </c>
    </row>
    <row r="315" customFormat="false" ht="15" hidden="false" customHeight="false" outlineLevel="0" collapsed="false">
      <c r="A315" s="4" t="n">
        <v>9111</v>
      </c>
      <c r="B315" s="4" t="n">
        <v>275</v>
      </c>
      <c r="C315" s="27" t="s">
        <v>1065</v>
      </c>
      <c r="D315" s="31" t="n">
        <v>273</v>
      </c>
      <c r="E315" s="32" t="n">
        <v>230320542</v>
      </c>
      <c r="F315" s="8" t="s">
        <v>1066</v>
      </c>
      <c r="G315" s="22" t="s">
        <v>866</v>
      </c>
      <c r="H315" s="22" t="s">
        <v>129</v>
      </c>
      <c r="I315" s="33" t="n">
        <v>2005</v>
      </c>
      <c r="J315" s="32" t="n">
        <v>78</v>
      </c>
      <c r="K315" s="32" t="n">
        <v>86</v>
      </c>
      <c r="L315" s="34" t="n">
        <f aca="false">(K315*70)/100</f>
        <v>60.2</v>
      </c>
      <c r="M315" s="34" t="n">
        <f aca="false">ROUNDUP(L315,0)</f>
        <v>61</v>
      </c>
      <c r="N315" s="32" t="n">
        <v>25</v>
      </c>
      <c r="O315" s="34" t="n">
        <f aca="false">N315+L315</f>
        <v>85.2</v>
      </c>
      <c r="P315" s="34" t="n">
        <f aca="false">N315+M315</f>
        <v>86</v>
      </c>
      <c r="Q315" s="32" t="n">
        <v>81</v>
      </c>
      <c r="R315" s="32" t="n">
        <v>71</v>
      </c>
      <c r="S315" s="34" t="n">
        <f aca="false">(R315*70)/100</f>
        <v>49.7</v>
      </c>
      <c r="T315" s="34" t="n">
        <f aca="false">ROUNDUP(S315,0)</f>
        <v>50</v>
      </c>
      <c r="U315" s="32" t="n">
        <v>21</v>
      </c>
      <c r="V315" s="34" t="n">
        <f aca="false">U315+S315</f>
        <v>70.7</v>
      </c>
      <c r="W315" s="34" t="n">
        <f aca="false">U315+T315</f>
        <v>71</v>
      </c>
      <c r="X315" s="32" t="n">
        <v>64</v>
      </c>
      <c r="Y315" s="34" t="n">
        <f aca="false">(X315*70)/100</f>
        <v>44.8</v>
      </c>
      <c r="Z315" s="34" t="n">
        <f aca="false">ROUNDUP(Y315,0)</f>
        <v>45</v>
      </c>
      <c r="AA315" s="32" t="n">
        <v>26</v>
      </c>
      <c r="AB315" s="34" t="n">
        <f aca="false">AA315+Y315</f>
        <v>70.8</v>
      </c>
      <c r="AC315" s="34" t="n">
        <f aca="false">AA315+Z315</f>
        <v>71</v>
      </c>
      <c r="AD315" s="32" t="n">
        <f aca="false">X315+R315+Q315+K315+J315</f>
        <v>380</v>
      </c>
      <c r="AE315" s="16" t="n">
        <f aca="false">AD315/5</f>
        <v>76</v>
      </c>
      <c r="AF315" s="16" t="n">
        <v>75</v>
      </c>
      <c r="AG315" s="16" t="n">
        <v>86</v>
      </c>
      <c r="AH315" s="16" t="n">
        <v>88</v>
      </c>
      <c r="AI315" s="16" t="n">
        <v>89</v>
      </c>
      <c r="AJ315" s="16" t="n">
        <f aca="false">(AI315*70)/100</f>
        <v>62.3</v>
      </c>
      <c r="AK315" s="35" t="n">
        <f aca="false">ROUNDUP(AJ315,0)</f>
        <v>63</v>
      </c>
      <c r="AL315" s="16" t="n">
        <v>26</v>
      </c>
      <c r="AM315" s="16" t="n">
        <f aca="false">AL315+AJ315</f>
        <v>88.3</v>
      </c>
      <c r="AN315" s="16" t="n">
        <f aca="false">AL315+AK315</f>
        <v>89</v>
      </c>
      <c r="AO315" s="16" t="n">
        <v>83</v>
      </c>
      <c r="AP315" s="36" t="n">
        <f aca="false">(AO315*70)/100</f>
        <v>58.1</v>
      </c>
      <c r="AQ315" s="37" t="n">
        <f aca="false">ROUNDUP(AP315,0)</f>
        <v>59</v>
      </c>
      <c r="AR315" s="16" t="n">
        <v>25</v>
      </c>
      <c r="AS315" s="16" t="n">
        <f aca="false">AR315+AP315</f>
        <v>83.1</v>
      </c>
      <c r="AT315" s="16" t="n">
        <f aca="false">AR315+AQ315</f>
        <v>84</v>
      </c>
      <c r="AU315" s="16" t="n">
        <f aca="false">AO315+AF315+AI315+AH315+AG315</f>
        <v>421</v>
      </c>
      <c r="AV315" s="16" t="n">
        <f aca="false">(AO315+AF315+AI315+AH315+AG315)/5</f>
        <v>84.2</v>
      </c>
      <c r="AW315" s="36" t="n">
        <f aca="false">(AO315+AF315+AI315+AH315+AG315+X315+R315+Q315+K315+J315)</f>
        <v>801</v>
      </c>
      <c r="AX315" s="16" t="n">
        <f aca="false">AW315/10</f>
        <v>80.1</v>
      </c>
      <c r="AY315" s="16" t="n">
        <f aca="false">AS315+AF315+AM315+AH315+AG315+AB315+V315+Q315+O315+J315</f>
        <v>806.1</v>
      </c>
      <c r="AZ315" s="16" t="n">
        <f aca="false">AT315+AF315+AN315+AH315+AG315+AC315+W315+Q315+P315+J315</f>
        <v>809</v>
      </c>
      <c r="BA315" s="16" t="n">
        <f aca="false">AY315/10</f>
        <v>80.61</v>
      </c>
      <c r="BB315" s="16" t="n">
        <f aca="false">AZ315/10</f>
        <v>80.9</v>
      </c>
      <c r="BC315" s="16" t="n">
        <v>2390</v>
      </c>
      <c r="BD315" s="16" t="n">
        <f aca="false">RANK(AX315,$AX$2:$AX$881,0)</f>
        <v>257</v>
      </c>
      <c r="BE315" s="54" t="n">
        <f aca="false">((BC315*100)/2400)*0.4+(AX315*0.6)</f>
        <v>87.8933333333333</v>
      </c>
      <c r="BF315" s="16" t="n">
        <f aca="false">RANK(BE315,$BE$2:$BE$881,0)</f>
        <v>216</v>
      </c>
      <c r="BG315" s="39" t="n">
        <f aca="false">RANK(BB315,$BB$2:$BB$881,0)</f>
        <v>282</v>
      </c>
      <c r="BH315" s="39" t="n">
        <f aca="false">RANK(BC315,$BC$2:$BC$881,0)</f>
        <v>52</v>
      </c>
      <c r="BI315" s="22" t="s">
        <v>130</v>
      </c>
      <c r="BJ315" s="22" t="s">
        <v>129</v>
      </c>
      <c r="BK315" s="40" t="s">
        <v>131</v>
      </c>
      <c r="BL315" s="44" t="n">
        <v>23</v>
      </c>
      <c r="BM315" s="44" t="n">
        <v>59</v>
      </c>
      <c r="BN315" s="44" t="n">
        <v>82</v>
      </c>
      <c r="BO315" s="44" t="n">
        <v>23</v>
      </c>
      <c r="BP315" s="43" t="n">
        <v>61</v>
      </c>
      <c r="BQ315" s="44" t="n">
        <v>84</v>
      </c>
      <c r="BR315" s="44" t="n">
        <v>19</v>
      </c>
      <c r="BS315" s="45" t="n">
        <v>58</v>
      </c>
      <c r="BT315" s="45" t="n">
        <v>77</v>
      </c>
      <c r="BU315" s="46" t="n">
        <v>100</v>
      </c>
      <c r="BV315" s="47" t="n">
        <v>86</v>
      </c>
      <c r="BW315" s="42" t="n">
        <v>99</v>
      </c>
      <c r="BX315" s="48" t="n">
        <v>86</v>
      </c>
      <c r="BY315" s="32" t="n">
        <v>27</v>
      </c>
      <c r="BZ315" s="32" t="n">
        <v>53</v>
      </c>
      <c r="CA315" s="32" t="n">
        <v>80</v>
      </c>
      <c r="CB315" s="32" t="n">
        <v>22</v>
      </c>
      <c r="CC315" s="32" t="n">
        <v>40</v>
      </c>
      <c r="CD315" s="32" t="n">
        <v>62</v>
      </c>
      <c r="CE315" s="32" t="n">
        <v>23</v>
      </c>
      <c r="CF315" s="32" t="n">
        <v>55</v>
      </c>
      <c r="CG315" s="32" t="n">
        <v>78</v>
      </c>
      <c r="CH315" s="32" t="n">
        <v>95</v>
      </c>
      <c r="CI315" s="32" t="n">
        <v>93</v>
      </c>
      <c r="CJ315" s="49" t="n">
        <v>26</v>
      </c>
      <c r="CK315" s="49" t="n">
        <v>47</v>
      </c>
      <c r="CL315" s="49" t="n">
        <v>73</v>
      </c>
      <c r="CM315" s="49" t="n">
        <v>22</v>
      </c>
      <c r="CN315" s="49" t="n">
        <v>43</v>
      </c>
      <c r="CO315" s="49" t="n">
        <v>65</v>
      </c>
      <c r="CP315" s="25" t="n">
        <f aca="false">BX315+BW315+BV315+BU315+BT315+BQ315+BN315</f>
        <v>614</v>
      </c>
      <c r="CQ315" s="25" t="n">
        <f aca="false">CO315+CL315+CI315+CH315+CG315+CD315+CA315</f>
        <v>546</v>
      </c>
      <c r="CR315" s="26" t="n">
        <f aca="false">CP315/7</f>
        <v>87.7142857142857</v>
      </c>
      <c r="CS315" s="26" t="n">
        <f aca="false">CQ315/7</f>
        <v>78</v>
      </c>
      <c r="CT315" s="24" t="n">
        <f aca="false">RANK(CR315,$CR$2:$CR$881,0)</f>
        <v>323</v>
      </c>
      <c r="CU315" s="25" t="n">
        <f aca="false">RANK(CS315,$CS$2:$CS$881,0)</f>
        <v>333</v>
      </c>
      <c r="CV315" s="26" t="n">
        <f aca="false">(CS315+CR315)/2</f>
        <v>82.8571428571429</v>
      </c>
      <c r="CW315" s="25" t="n">
        <f aca="false">RANK(CV315,$CV$2:$CV$881,0)</f>
        <v>303</v>
      </c>
      <c r="CX315" s="50" t="n">
        <f aca="false">(CV315+BB315)/2</f>
        <v>81.8785714285714</v>
      </c>
      <c r="CY315" s="50" t="n">
        <v>276</v>
      </c>
      <c r="CZ315" s="27" t="s">
        <v>132</v>
      </c>
      <c r="DA315" s="27" t="s">
        <v>175</v>
      </c>
      <c r="DB315" s="27" t="s">
        <v>175</v>
      </c>
      <c r="DC315" s="27" t="s">
        <v>134</v>
      </c>
      <c r="DD315" s="27" t="s">
        <v>174</v>
      </c>
      <c r="DE315" s="27" t="s">
        <v>412</v>
      </c>
      <c r="DF315" s="27" t="s">
        <v>486</v>
      </c>
      <c r="DG315" s="27" t="s">
        <v>134</v>
      </c>
      <c r="DH315" s="27" t="s">
        <v>137</v>
      </c>
      <c r="DI315" s="27" t="s">
        <v>203</v>
      </c>
      <c r="DJ315" s="27" t="s">
        <v>133</v>
      </c>
      <c r="DK315" s="27" t="s">
        <v>134</v>
      </c>
      <c r="DL315" s="27" t="s">
        <v>135</v>
      </c>
      <c r="DM315" s="27" t="s">
        <v>218</v>
      </c>
      <c r="DN315" s="27" t="s">
        <v>205</v>
      </c>
      <c r="DO315" s="27" t="s">
        <v>134</v>
      </c>
      <c r="DP315" s="27" t="s">
        <v>706</v>
      </c>
      <c r="DQ315" s="27" t="s">
        <v>399</v>
      </c>
      <c r="DR315" s="27" t="s">
        <v>136</v>
      </c>
      <c r="DS315" s="27" t="s">
        <v>134</v>
      </c>
      <c r="DT315" s="27" t="s">
        <v>182</v>
      </c>
      <c r="DU315" s="27" t="s">
        <v>673</v>
      </c>
      <c r="DV315" s="27" t="s">
        <v>163</v>
      </c>
      <c r="DW315" s="27" t="s">
        <v>154</v>
      </c>
      <c r="DX315" s="27" t="s">
        <v>141</v>
      </c>
      <c r="DY315" s="27" t="s">
        <v>153</v>
      </c>
      <c r="DZ315" s="27" t="n">
        <f aca="false">DY315+DV315+DR315+DN315+DJ315+DF315+DB315</f>
        <v>546</v>
      </c>
      <c r="EA315" s="28" t="n">
        <f aca="false">DZ315/7</f>
        <v>78</v>
      </c>
      <c r="EB315" s="27" t="n">
        <f aca="false">RANK(EA315,$EA$2:$EA$881,0)</f>
        <v>456</v>
      </c>
      <c r="EC315" s="29" t="n">
        <f aca="false">DZ315+CQ315+CP315+AZ315</f>
        <v>2515</v>
      </c>
      <c r="ED315" s="30" t="n">
        <f aca="false">(EA315+CV315+BB315)/3</f>
        <v>80.5857142857143</v>
      </c>
      <c r="EE315" s="51" t="n">
        <f aca="false">ROUND(BE315,3)</f>
        <v>87.893</v>
      </c>
      <c r="EF315" s="51" t="n">
        <f aca="false">ROUND(CR315,3)</f>
        <v>87.714</v>
      </c>
      <c r="EG315" s="51" t="n">
        <f aca="false">ROUND(CS315,3)</f>
        <v>78</v>
      </c>
      <c r="EH315" s="51" t="n">
        <f aca="false">ROUND(EA315,3)</f>
        <v>78</v>
      </c>
      <c r="EI315" s="51" t="n">
        <f aca="false">ROUND(ED315,3)</f>
        <v>80.586</v>
      </c>
      <c r="EJ315" s="51" t="n">
        <f aca="false">ROUND(CV315,3)</f>
        <v>82.857</v>
      </c>
      <c r="EK315" s="0" t="n">
        <f aca="false">RANK(EI315,$EI$2:$EI$881,0)</f>
        <v>314</v>
      </c>
    </row>
    <row r="316" customFormat="false" ht="15" hidden="false" customHeight="false" outlineLevel="0" collapsed="false">
      <c r="A316" s="4" t="n">
        <v>9068</v>
      </c>
      <c r="B316" s="4" t="n">
        <v>294</v>
      </c>
      <c r="C316" s="27" t="s">
        <v>1067</v>
      </c>
      <c r="D316" s="31" t="n">
        <v>293</v>
      </c>
      <c r="E316" s="16" t="n">
        <v>230132360</v>
      </c>
      <c r="F316" s="56" t="s">
        <v>1068</v>
      </c>
      <c r="G316" s="22" t="s">
        <v>186</v>
      </c>
      <c r="H316" s="22" t="s">
        <v>326</v>
      </c>
      <c r="I316" s="57"/>
      <c r="J316" s="16" t="n">
        <v>82</v>
      </c>
      <c r="K316" s="16" t="n">
        <v>79</v>
      </c>
      <c r="L316" s="34" t="n">
        <f aca="false">(K316*70)/100</f>
        <v>55.3</v>
      </c>
      <c r="M316" s="34" t="n">
        <f aca="false">ROUNDUP(L316,0)</f>
        <v>56</v>
      </c>
      <c r="N316" s="16" t="n">
        <v>25</v>
      </c>
      <c r="O316" s="34" t="n">
        <f aca="false">N316+L316</f>
        <v>80.3</v>
      </c>
      <c r="P316" s="34" t="n">
        <f aca="false">N316+M316</f>
        <v>81</v>
      </c>
      <c r="Q316" s="16" t="n">
        <v>80</v>
      </c>
      <c r="R316" s="16" t="n">
        <v>73</v>
      </c>
      <c r="S316" s="34" t="n">
        <f aca="false">(R316*70)/100</f>
        <v>51.1</v>
      </c>
      <c r="T316" s="34" t="n">
        <f aca="false">ROUNDUP(S316,0)</f>
        <v>52</v>
      </c>
      <c r="U316" s="16" t="n">
        <v>26</v>
      </c>
      <c r="V316" s="34" t="n">
        <f aca="false">U316+S316</f>
        <v>77.1</v>
      </c>
      <c r="W316" s="34" t="n">
        <f aca="false">U316+T316</f>
        <v>78</v>
      </c>
      <c r="X316" s="16" t="n">
        <v>57</v>
      </c>
      <c r="Y316" s="34" t="n">
        <f aca="false">(X316*70)/100</f>
        <v>39.9</v>
      </c>
      <c r="Z316" s="34" t="n">
        <f aca="false">ROUNDUP(Y316,0)</f>
        <v>40</v>
      </c>
      <c r="AA316" s="16" t="n">
        <v>27</v>
      </c>
      <c r="AB316" s="34" t="n">
        <f aca="false">AA316+Y316</f>
        <v>66.9</v>
      </c>
      <c r="AC316" s="34" t="n">
        <f aca="false">AA316+Z316</f>
        <v>67</v>
      </c>
      <c r="AD316" s="32" t="n">
        <f aca="false">X316+R316+Q316+K316+J316</f>
        <v>371</v>
      </c>
      <c r="AE316" s="16" t="n">
        <f aca="false">AD316/5</f>
        <v>74.2</v>
      </c>
      <c r="AF316" s="16" t="n">
        <v>79</v>
      </c>
      <c r="AG316" s="16" t="n">
        <v>83</v>
      </c>
      <c r="AH316" s="16" t="n">
        <v>96</v>
      </c>
      <c r="AI316" s="16" t="n">
        <v>95</v>
      </c>
      <c r="AJ316" s="16" t="n">
        <f aca="false">(AI316*70)/100</f>
        <v>66.5</v>
      </c>
      <c r="AK316" s="35" t="n">
        <f aca="false">ROUNDUP(AJ316,0)</f>
        <v>67</v>
      </c>
      <c r="AL316" s="16" t="n">
        <v>29</v>
      </c>
      <c r="AM316" s="16" t="n">
        <f aca="false">AL316+AJ316</f>
        <v>95.5</v>
      </c>
      <c r="AN316" s="16" t="n">
        <f aca="false">AL316+AK316</f>
        <v>96</v>
      </c>
      <c r="AO316" s="16" t="n">
        <v>83</v>
      </c>
      <c r="AP316" s="36" t="n">
        <f aca="false">(AO316*70)/100</f>
        <v>58.1</v>
      </c>
      <c r="AQ316" s="37" t="n">
        <f aca="false">ROUNDUP(AP316,0)</f>
        <v>59</v>
      </c>
      <c r="AR316" s="16" t="n">
        <v>27</v>
      </c>
      <c r="AS316" s="16" t="n">
        <f aca="false">AR316+AP316</f>
        <v>85.1</v>
      </c>
      <c r="AT316" s="16" t="n">
        <f aca="false">AR316+AQ316</f>
        <v>86</v>
      </c>
      <c r="AU316" s="16" t="n">
        <f aca="false">AO316+AF316+AI316+AH316+AG316</f>
        <v>436</v>
      </c>
      <c r="AV316" s="16" t="n">
        <f aca="false">(AO316+AF316+AI316+AH316+AG316)/5</f>
        <v>87.2</v>
      </c>
      <c r="AW316" s="36" t="n">
        <f aca="false">(AO316+AF316+AI316+AH316+AG316+X316+R316+Q316+K316+J316)</f>
        <v>807</v>
      </c>
      <c r="AX316" s="16" t="n">
        <f aca="false">AW316/10</f>
        <v>80.7</v>
      </c>
      <c r="AY316" s="16" t="n">
        <f aca="false">AS316+AF316+AM316+AH316+AG316+AB316+V316+Q316+O316+J316</f>
        <v>824.9</v>
      </c>
      <c r="AZ316" s="16" t="n">
        <f aca="false">AT316+AF316+AN316+AH316+AG316+AC316+W316+Q316+P316+J316</f>
        <v>828</v>
      </c>
      <c r="BA316" s="16" t="n">
        <f aca="false">AY316/10</f>
        <v>82.49</v>
      </c>
      <c r="BB316" s="16" t="n">
        <f aca="false">AZ316/10</f>
        <v>82.8</v>
      </c>
      <c r="BC316" s="16" t="n">
        <v>2385</v>
      </c>
      <c r="BD316" s="16" t="n">
        <f aca="false">RANK(AX316,$AX$2:$AX$881,0)</f>
        <v>223</v>
      </c>
      <c r="BE316" s="54" t="n">
        <f aca="false">((BC316*100)/2400)*0.4+(AX316*0.6)</f>
        <v>88.17</v>
      </c>
      <c r="BF316" s="16" t="n">
        <f aca="false">RANK(BE316,$BE$2:$BE$881,0)</f>
        <v>192</v>
      </c>
      <c r="BG316" s="39" t="n">
        <f aca="false">RANK(BB316,$BB$2:$BB$881,0)</f>
        <v>169</v>
      </c>
      <c r="BH316" s="39" t="n">
        <f aca="false">RANK(BC316,$BC$2:$BC$881,0)</f>
        <v>93</v>
      </c>
      <c r="BI316" s="22" t="s">
        <v>130</v>
      </c>
      <c r="BJ316" s="22" t="s">
        <v>129</v>
      </c>
      <c r="BK316" s="40" t="s">
        <v>131</v>
      </c>
      <c r="BL316" s="41" t="n">
        <v>28</v>
      </c>
      <c r="BM316" s="41" t="n">
        <v>61</v>
      </c>
      <c r="BN316" s="41" t="n">
        <v>89</v>
      </c>
      <c r="BO316" s="42" t="n">
        <v>27</v>
      </c>
      <c r="BP316" s="43" t="n">
        <v>56</v>
      </c>
      <c r="BQ316" s="44" t="n">
        <v>83</v>
      </c>
      <c r="BR316" s="42" t="n">
        <v>25</v>
      </c>
      <c r="BS316" s="45" t="n">
        <v>58</v>
      </c>
      <c r="BT316" s="45" t="n">
        <v>83</v>
      </c>
      <c r="BU316" s="46" t="n">
        <v>99</v>
      </c>
      <c r="BV316" s="47" t="n">
        <v>98</v>
      </c>
      <c r="BW316" s="42" t="n">
        <v>99</v>
      </c>
      <c r="BX316" s="48" t="n">
        <v>88</v>
      </c>
      <c r="BY316" s="32" t="n">
        <v>25</v>
      </c>
      <c r="BZ316" s="32" t="n">
        <v>49</v>
      </c>
      <c r="CA316" s="32" t="n">
        <v>74</v>
      </c>
      <c r="CB316" s="32" t="n">
        <v>22</v>
      </c>
      <c r="CC316" s="32" t="n">
        <v>44</v>
      </c>
      <c r="CD316" s="32" t="n">
        <v>66</v>
      </c>
      <c r="CE316" s="32" t="n">
        <v>26</v>
      </c>
      <c r="CF316" s="68" t="n">
        <v>0</v>
      </c>
      <c r="CG316" s="69" t="n">
        <v>26</v>
      </c>
      <c r="CH316" s="32" t="n">
        <v>100</v>
      </c>
      <c r="CI316" s="32" t="n">
        <v>99</v>
      </c>
      <c r="CJ316" s="49" t="n">
        <v>21</v>
      </c>
      <c r="CK316" s="49" t="n">
        <v>47</v>
      </c>
      <c r="CL316" s="49" t="n">
        <v>68</v>
      </c>
      <c r="CM316" s="49" t="n">
        <v>22</v>
      </c>
      <c r="CN316" s="49" t="n">
        <v>53</v>
      </c>
      <c r="CO316" s="49" t="n">
        <v>75</v>
      </c>
      <c r="CP316" s="25" t="n">
        <f aca="false">BX316+BW316+BV316+BU316+BT316+BQ316+BN316</f>
        <v>639</v>
      </c>
      <c r="CQ316" s="25" t="n">
        <f aca="false">CO316+CL316+CI316+CH316+CG316+CD316+CA316</f>
        <v>508</v>
      </c>
      <c r="CR316" s="26" t="n">
        <f aca="false">CP316/7</f>
        <v>91.2857142857143</v>
      </c>
      <c r="CS316" s="26" t="n">
        <f aca="false">CQ316/7</f>
        <v>72.5714285714286</v>
      </c>
      <c r="CT316" s="24" t="n">
        <f aca="false">RANK(CR316,$CR$2:$CR$881,0)</f>
        <v>114</v>
      </c>
      <c r="CU316" s="25" t="n">
        <f aca="false">RANK(CS316,$CS$2:$CS$881,0)</f>
        <v>492</v>
      </c>
      <c r="CV316" s="26" t="n">
        <f aca="false">(CS316+CR316)/2</f>
        <v>81.9285714285714</v>
      </c>
      <c r="CW316" s="25" t="n">
        <f aca="false">RANK(CV316,$CV$2:$CV$881,0)</f>
        <v>346</v>
      </c>
      <c r="CX316" s="50" t="n">
        <f aca="false">(CV316+BB316)/2</f>
        <v>82.3642857142857</v>
      </c>
      <c r="CY316" s="50" t="n">
        <v>243</v>
      </c>
      <c r="CZ316" s="27" t="s">
        <v>132</v>
      </c>
      <c r="DA316" s="27" t="s">
        <v>205</v>
      </c>
      <c r="DB316" s="27" t="s">
        <v>205</v>
      </c>
      <c r="DC316" s="27" t="s">
        <v>134</v>
      </c>
      <c r="DD316" s="27" t="s">
        <v>154</v>
      </c>
      <c r="DE316" s="27" t="s">
        <v>204</v>
      </c>
      <c r="DF316" s="27" t="s">
        <v>205</v>
      </c>
      <c r="DG316" s="27" t="s">
        <v>134</v>
      </c>
      <c r="DH316" s="27" t="s">
        <v>160</v>
      </c>
      <c r="DI316" s="27" t="s">
        <v>447</v>
      </c>
      <c r="DJ316" s="27" t="s">
        <v>196</v>
      </c>
      <c r="DK316" s="27" t="s">
        <v>134</v>
      </c>
      <c r="DL316" s="27" t="s">
        <v>154</v>
      </c>
      <c r="DM316" s="27" t="s">
        <v>681</v>
      </c>
      <c r="DN316" s="27" t="s">
        <v>138</v>
      </c>
      <c r="DO316" s="27" t="s">
        <v>134</v>
      </c>
      <c r="DP316" s="27" t="s">
        <v>485</v>
      </c>
      <c r="DQ316" s="27" t="s">
        <v>645</v>
      </c>
      <c r="DR316" s="27" t="s">
        <v>161</v>
      </c>
      <c r="DS316" s="27" t="s">
        <v>134</v>
      </c>
      <c r="DT316" s="27" t="s">
        <v>164</v>
      </c>
      <c r="DU316" s="27" t="s">
        <v>415</v>
      </c>
      <c r="DV316" s="27" t="s">
        <v>372</v>
      </c>
      <c r="DW316" s="27" t="s">
        <v>154</v>
      </c>
      <c r="DX316" s="27" t="s">
        <v>141</v>
      </c>
      <c r="DY316" s="27" t="s">
        <v>153</v>
      </c>
      <c r="DZ316" s="27" t="n">
        <f aca="false">DY316+DV316+DR316+DN316+DJ316+DF316+DB316</f>
        <v>539</v>
      </c>
      <c r="EA316" s="28" t="n">
        <f aca="false">DZ316/7</f>
        <v>77</v>
      </c>
      <c r="EB316" s="27" t="n">
        <f aca="false">RANK(EA316,$EA$2:$EA$881,0)</f>
        <v>488</v>
      </c>
      <c r="EC316" s="29" t="n">
        <f aca="false">DZ316+CQ316+CP316+AZ316</f>
        <v>2514</v>
      </c>
      <c r="ED316" s="30" t="n">
        <f aca="false">(EA316+CV316+BB316)/3</f>
        <v>80.5761904761905</v>
      </c>
      <c r="EE316" s="51" t="n">
        <f aca="false">ROUND(BE316,3)</f>
        <v>88.17</v>
      </c>
      <c r="EF316" s="51" t="n">
        <f aca="false">ROUND(CR316,3)</f>
        <v>91.286</v>
      </c>
      <c r="EG316" s="51" t="n">
        <f aca="false">ROUND(CS316,3)</f>
        <v>72.571</v>
      </c>
      <c r="EH316" s="51" t="n">
        <f aca="false">ROUND(EA316,3)</f>
        <v>77</v>
      </c>
      <c r="EI316" s="51" t="n">
        <f aca="false">ROUND(ED316,3)</f>
        <v>80.576</v>
      </c>
      <c r="EJ316" s="51" t="n">
        <f aca="false">ROUND(CV316,3)</f>
        <v>81.929</v>
      </c>
      <c r="EK316" s="0" t="n">
        <f aca="false">RANK(EI316,$EI$2:$EI$881,0)</f>
        <v>315</v>
      </c>
    </row>
    <row r="317" customFormat="false" ht="15" hidden="false" customHeight="false" outlineLevel="0" collapsed="false">
      <c r="A317" s="4" t="n">
        <v>1938</v>
      </c>
      <c r="B317" s="4" t="n">
        <v>862</v>
      </c>
      <c r="C317" s="27" t="s">
        <v>1069</v>
      </c>
      <c r="D317" s="31" t="n">
        <v>882</v>
      </c>
      <c r="E317" s="32" t="n">
        <v>230311811</v>
      </c>
      <c r="F317" s="8" t="s">
        <v>1070</v>
      </c>
      <c r="G317" s="22" t="s">
        <v>1071</v>
      </c>
      <c r="H317" s="22" t="s">
        <v>129</v>
      </c>
      <c r="I317" s="33" t="n">
        <v>2005</v>
      </c>
      <c r="J317" s="32" t="n">
        <v>75</v>
      </c>
      <c r="K317" s="32" t="n">
        <v>76</v>
      </c>
      <c r="L317" s="34" t="n">
        <f aca="false">(K317*70)/100</f>
        <v>53.2</v>
      </c>
      <c r="M317" s="34" t="n">
        <f aca="false">ROUNDUP(L317,0)</f>
        <v>54</v>
      </c>
      <c r="N317" s="32" t="n">
        <v>27</v>
      </c>
      <c r="O317" s="34" t="n">
        <f aca="false">N317+L317</f>
        <v>80.2</v>
      </c>
      <c r="P317" s="34" t="n">
        <f aca="false">N317+M317</f>
        <v>81</v>
      </c>
      <c r="Q317" s="32" t="n">
        <v>69</v>
      </c>
      <c r="R317" s="32" t="n">
        <v>74</v>
      </c>
      <c r="S317" s="34" t="n">
        <f aca="false">(R317*70)/100</f>
        <v>51.8</v>
      </c>
      <c r="T317" s="34" t="n">
        <f aca="false">ROUNDUP(S317,0)</f>
        <v>52</v>
      </c>
      <c r="U317" s="32" t="n">
        <v>22</v>
      </c>
      <c r="V317" s="34" t="n">
        <f aca="false">U317+S317</f>
        <v>73.8</v>
      </c>
      <c r="W317" s="34" t="n">
        <f aca="false">U317+T317</f>
        <v>74</v>
      </c>
      <c r="X317" s="32" t="n">
        <v>70</v>
      </c>
      <c r="Y317" s="34" t="n">
        <f aca="false">(X317*70)/100</f>
        <v>49</v>
      </c>
      <c r="Z317" s="34" t="n">
        <f aca="false">ROUNDUP(Y317,0)</f>
        <v>49</v>
      </c>
      <c r="AA317" s="32" t="n">
        <v>25</v>
      </c>
      <c r="AB317" s="34" t="n">
        <f aca="false">AA317+Y317</f>
        <v>74</v>
      </c>
      <c r="AC317" s="34" t="n">
        <f aca="false">AA317+Z317</f>
        <v>74</v>
      </c>
      <c r="AD317" s="32" t="n">
        <f aca="false">X317+R317+Q317+K317+J317</f>
        <v>364</v>
      </c>
      <c r="AE317" s="16" t="n">
        <f aca="false">AD317/5</f>
        <v>72.8</v>
      </c>
      <c r="AF317" s="16" t="n">
        <v>75</v>
      </c>
      <c r="AG317" s="16" t="n">
        <v>85</v>
      </c>
      <c r="AH317" s="16" t="n">
        <v>88</v>
      </c>
      <c r="AI317" s="16" t="n">
        <v>88</v>
      </c>
      <c r="AJ317" s="16" t="n">
        <f aca="false">(AI317*70)/100</f>
        <v>61.6</v>
      </c>
      <c r="AK317" s="35" t="n">
        <f aca="false">ROUNDUP(AJ317,0)</f>
        <v>62</v>
      </c>
      <c r="AL317" s="16" t="n">
        <v>25</v>
      </c>
      <c r="AM317" s="16" t="n">
        <f aca="false">AL317+AJ317</f>
        <v>86.6</v>
      </c>
      <c r="AN317" s="16" t="n">
        <f aca="false">AL317+AK317</f>
        <v>87</v>
      </c>
      <c r="AO317" s="16" t="n">
        <v>74</v>
      </c>
      <c r="AP317" s="36" t="n">
        <f aca="false">(AO317*70)/100</f>
        <v>51.8</v>
      </c>
      <c r="AQ317" s="37" t="n">
        <f aca="false">ROUNDUP(AP317,0)</f>
        <v>52</v>
      </c>
      <c r="AR317" s="16" t="n">
        <v>29</v>
      </c>
      <c r="AS317" s="16" t="n">
        <f aca="false">AR317+AP317</f>
        <v>80.8</v>
      </c>
      <c r="AT317" s="16" t="n">
        <f aca="false">AR317+AQ317</f>
        <v>81</v>
      </c>
      <c r="AU317" s="16" t="n">
        <f aca="false">AO317+AF317+AI317+AH317+AG317</f>
        <v>410</v>
      </c>
      <c r="AV317" s="16" t="n">
        <f aca="false">(AO317+AF317+AI317+AH317+AG317)/5</f>
        <v>82</v>
      </c>
      <c r="AW317" s="36" t="n">
        <f aca="false">(AO317+AF317+AI317+AH317+AG317+X317+R317+Q317+K317+J317)</f>
        <v>774</v>
      </c>
      <c r="AX317" s="16" t="n">
        <f aca="false">AW317/10</f>
        <v>77.4</v>
      </c>
      <c r="AY317" s="16" t="n">
        <f aca="false">AS317+AF317+AM317+AH317+AG317+AB317+V317+Q317+O317+J317</f>
        <v>787.4</v>
      </c>
      <c r="AZ317" s="16" t="n">
        <f aca="false">AT317+AF317+AN317+AH317+AG317+AC317+W317+Q317+P317+J317</f>
        <v>789</v>
      </c>
      <c r="BA317" s="16" t="n">
        <f aca="false">AY317/10</f>
        <v>78.74</v>
      </c>
      <c r="BB317" s="16" t="n">
        <f aca="false">AZ317/10</f>
        <v>78.9</v>
      </c>
      <c r="BC317" s="16" t="n">
        <v>2360</v>
      </c>
      <c r="BD317" s="16" t="n">
        <f aca="false">RANK(AX317,$AX$2:$AX$881,0)</f>
        <v>461</v>
      </c>
      <c r="BE317" s="54" t="n">
        <f aca="false">((BC317*100)/2400)*0.4+(AX317*0.6)</f>
        <v>85.7733333333333</v>
      </c>
      <c r="BF317" s="16" t="n">
        <f aca="false">RANK(BE317,$BE$2:$BE$881,0)</f>
        <v>467</v>
      </c>
      <c r="BG317" s="39" t="n">
        <f aca="false">RANK(BB317,$BB$2:$BB$881,0)</f>
        <v>463</v>
      </c>
      <c r="BH317" s="39" t="n">
        <f aca="false">RANK(BC317,$BC$2:$BC$881,0)</f>
        <v>402</v>
      </c>
      <c r="BI317" s="22" t="s">
        <v>130</v>
      </c>
      <c r="BJ317" s="22" t="s">
        <v>129</v>
      </c>
      <c r="BK317" s="40" t="s">
        <v>509</v>
      </c>
      <c r="BL317" s="41" t="n">
        <v>25</v>
      </c>
      <c r="BM317" s="41" t="n">
        <v>53</v>
      </c>
      <c r="BN317" s="41" t="n">
        <v>78</v>
      </c>
      <c r="BO317" s="42" t="n">
        <v>28</v>
      </c>
      <c r="BP317" s="43" t="n">
        <v>65</v>
      </c>
      <c r="BQ317" s="44" t="n">
        <v>93</v>
      </c>
      <c r="BR317" s="42" t="n">
        <v>28</v>
      </c>
      <c r="BS317" s="45" t="n">
        <v>60</v>
      </c>
      <c r="BT317" s="45" t="n">
        <v>88</v>
      </c>
      <c r="BU317" s="46" t="n">
        <v>100</v>
      </c>
      <c r="BV317" s="81" t="n">
        <v>80</v>
      </c>
      <c r="BW317" s="42" t="n">
        <v>100</v>
      </c>
      <c r="BX317" s="48" t="n">
        <v>90</v>
      </c>
      <c r="BY317" s="32" t="n">
        <v>23</v>
      </c>
      <c r="BZ317" s="32" t="n">
        <v>52</v>
      </c>
      <c r="CA317" s="32" t="n">
        <v>75</v>
      </c>
      <c r="CB317" s="32" t="n">
        <v>23</v>
      </c>
      <c r="CC317" s="32" t="n">
        <v>48</v>
      </c>
      <c r="CD317" s="32" t="n">
        <v>71</v>
      </c>
      <c r="CE317" s="32" t="n">
        <v>26</v>
      </c>
      <c r="CF317" s="32" t="n">
        <v>53</v>
      </c>
      <c r="CG317" s="32" t="n">
        <v>79</v>
      </c>
      <c r="CH317" s="32" t="n">
        <v>93</v>
      </c>
      <c r="CI317" s="25" t="n">
        <v>100</v>
      </c>
      <c r="CJ317" s="49" t="n">
        <v>21</v>
      </c>
      <c r="CK317" s="49" t="n">
        <v>51</v>
      </c>
      <c r="CL317" s="49" t="n">
        <v>72</v>
      </c>
      <c r="CM317" s="49" t="n">
        <v>22</v>
      </c>
      <c r="CN317" s="49" t="n">
        <v>49</v>
      </c>
      <c r="CO317" s="49" t="n">
        <v>71</v>
      </c>
      <c r="CP317" s="25" t="n">
        <f aca="false">BX317+BW317+BV317+BU317+BT317+BQ317+BN317</f>
        <v>629</v>
      </c>
      <c r="CQ317" s="25" t="n">
        <f aca="false">CO317+CL317+CI317+CH317+CG317+CD317+CA317</f>
        <v>561</v>
      </c>
      <c r="CR317" s="26" t="n">
        <f aca="false">CP317/7</f>
        <v>89.8571428571429</v>
      </c>
      <c r="CS317" s="26" t="n">
        <f aca="false">CQ317/7</f>
        <v>80.1428571428571</v>
      </c>
      <c r="CT317" s="24" t="n">
        <f aca="false">RANK(CR317,$CR$2:$CR$881,0)</f>
        <v>193</v>
      </c>
      <c r="CU317" s="25" t="n">
        <f aca="false">RANK(CS317,$CS$2:$CS$881,0)</f>
        <v>258</v>
      </c>
      <c r="CV317" s="26" t="n">
        <f aca="false">(CS317+CR317)/2</f>
        <v>85</v>
      </c>
      <c r="CW317" s="25" t="n">
        <f aca="false">RANK(CV317,$CV$2:$CV$881,0)</f>
        <v>213</v>
      </c>
      <c r="CX317" s="50" t="n">
        <f aca="false">(CV317+BB317)/2</f>
        <v>81.95</v>
      </c>
      <c r="CY317" s="50" t="n">
        <v>269</v>
      </c>
      <c r="CZ317" s="27" t="s">
        <v>132</v>
      </c>
      <c r="DA317" s="27" t="s">
        <v>133</v>
      </c>
      <c r="DB317" s="27" t="s">
        <v>133</v>
      </c>
      <c r="DC317" s="27" t="s">
        <v>134</v>
      </c>
      <c r="DD317" s="27" t="s">
        <v>137</v>
      </c>
      <c r="DE317" s="27" t="s">
        <v>161</v>
      </c>
      <c r="DF317" s="27" t="s">
        <v>178</v>
      </c>
      <c r="DG317" s="27" t="s">
        <v>134</v>
      </c>
      <c r="DH317" s="27" t="s">
        <v>182</v>
      </c>
      <c r="DI317" s="27" t="s">
        <v>163</v>
      </c>
      <c r="DJ317" s="27" t="s">
        <v>162</v>
      </c>
      <c r="DK317" s="27" t="s">
        <v>134</v>
      </c>
      <c r="DL317" s="27" t="s">
        <v>182</v>
      </c>
      <c r="DM317" s="27" t="s">
        <v>177</v>
      </c>
      <c r="DN317" s="27" t="s">
        <v>209</v>
      </c>
      <c r="DO317" s="27" t="s">
        <v>134</v>
      </c>
      <c r="DP317" s="27" t="s">
        <v>182</v>
      </c>
      <c r="DQ317" s="27" t="s">
        <v>447</v>
      </c>
      <c r="DR317" s="27" t="s">
        <v>382</v>
      </c>
      <c r="DS317" s="27" t="s">
        <v>134</v>
      </c>
      <c r="DT317" s="27" t="s">
        <v>137</v>
      </c>
      <c r="DU317" s="27" t="n">
        <v>0</v>
      </c>
      <c r="DV317" s="27" t="n">
        <v>26</v>
      </c>
      <c r="DW317" s="27" t="s">
        <v>182</v>
      </c>
      <c r="DX317" s="27" t="s">
        <v>138</v>
      </c>
      <c r="DY317" s="27" t="s">
        <v>151</v>
      </c>
      <c r="DZ317" s="27" t="n">
        <f aca="false">DY317+DV317+DR317+DN317+DJ317+DF317+DB317</f>
        <v>544</v>
      </c>
      <c r="EA317" s="28" t="n">
        <f aca="false">DZ317/7</f>
        <v>77.7142857142857</v>
      </c>
      <c r="EB317" s="27" t="n">
        <f aca="false">RANK(EA317,$EA$2:$EA$881,0)</f>
        <v>467</v>
      </c>
      <c r="EC317" s="29" t="n">
        <f aca="false">DZ317+CQ317+CP317+AZ317</f>
        <v>2523</v>
      </c>
      <c r="ED317" s="30" t="n">
        <f aca="false">(EA317+CV317+BB317)/3</f>
        <v>80.5380952380952</v>
      </c>
      <c r="EE317" s="51" t="n">
        <f aca="false">ROUND(BE317,3)</f>
        <v>85.773</v>
      </c>
      <c r="EF317" s="51" t="n">
        <f aca="false">ROUND(CR317,3)</f>
        <v>89.857</v>
      </c>
      <c r="EG317" s="51" t="n">
        <f aca="false">ROUND(CS317,3)</f>
        <v>80.143</v>
      </c>
      <c r="EH317" s="51" t="n">
        <f aca="false">ROUND(EA317,3)</f>
        <v>77.714</v>
      </c>
      <c r="EI317" s="51" t="n">
        <f aca="false">ROUND(ED317,3)</f>
        <v>80.538</v>
      </c>
      <c r="EJ317" s="51" t="n">
        <f aca="false">ROUND(CV317,3)</f>
        <v>85</v>
      </c>
      <c r="EK317" s="0" t="n">
        <f aca="false">RANK(EI317,$EI$2:$EI$881,0)</f>
        <v>316</v>
      </c>
    </row>
    <row r="318" customFormat="false" ht="15" hidden="false" customHeight="false" outlineLevel="0" collapsed="false">
      <c r="A318" s="4" t="n">
        <v>2024</v>
      </c>
      <c r="B318" s="4" t="n">
        <v>371</v>
      </c>
      <c r="C318" s="27" t="s">
        <v>1072</v>
      </c>
      <c r="D318" s="31" t="n">
        <v>376</v>
      </c>
      <c r="E318" s="32" t="n">
        <v>230319747</v>
      </c>
      <c r="F318" s="8" t="s">
        <v>1073</v>
      </c>
      <c r="G318" s="22" t="s">
        <v>389</v>
      </c>
      <c r="H318" s="22" t="s">
        <v>129</v>
      </c>
      <c r="I318" s="33" t="n">
        <v>2005</v>
      </c>
      <c r="J318" s="32" t="n">
        <v>75</v>
      </c>
      <c r="K318" s="32" t="n">
        <v>61</v>
      </c>
      <c r="L318" s="34" t="n">
        <f aca="false">(K318*70)/100</f>
        <v>42.7</v>
      </c>
      <c r="M318" s="34" t="n">
        <f aca="false">ROUNDUP(L318,0)</f>
        <v>43</v>
      </c>
      <c r="N318" s="32" t="n">
        <v>26</v>
      </c>
      <c r="O318" s="34" t="n">
        <f aca="false">N318+L318</f>
        <v>68.7</v>
      </c>
      <c r="P318" s="34" t="n">
        <f aca="false">N318+M318</f>
        <v>69</v>
      </c>
      <c r="Q318" s="32" t="n">
        <v>66</v>
      </c>
      <c r="R318" s="32" t="n">
        <v>71</v>
      </c>
      <c r="S318" s="34" t="n">
        <f aca="false">(R318*70)/100</f>
        <v>49.7</v>
      </c>
      <c r="T318" s="34" t="n">
        <f aca="false">ROUNDUP(S318,0)</f>
        <v>50</v>
      </c>
      <c r="U318" s="32" t="n">
        <v>26</v>
      </c>
      <c r="V318" s="34" t="n">
        <f aca="false">U318+S318</f>
        <v>75.7</v>
      </c>
      <c r="W318" s="34" t="n">
        <f aca="false">U318+T318</f>
        <v>76</v>
      </c>
      <c r="X318" s="32" t="n">
        <v>61</v>
      </c>
      <c r="Y318" s="34" t="n">
        <f aca="false">(X318*70)/100</f>
        <v>42.7</v>
      </c>
      <c r="Z318" s="34" t="n">
        <f aca="false">ROUNDUP(Y318,0)</f>
        <v>43</v>
      </c>
      <c r="AA318" s="32" t="n">
        <v>26</v>
      </c>
      <c r="AB318" s="34" t="n">
        <f aca="false">AA318+Y318</f>
        <v>68.7</v>
      </c>
      <c r="AC318" s="34" t="n">
        <f aca="false">AA318+Z318</f>
        <v>69</v>
      </c>
      <c r="AD318" s="32" t="n">
        <f aca="false">X318+R318+Q318+K318+J318</f>
        <v>334</v>
      </c>
      <c r="AE318" s="16" t="n">
        <f aca="false">AD318/5</f>
        <v>66.8</v>
      </c>
      <c r="AF318" s="16" t="n">
        <v>68</v>
      </c>
      <c r="AG318" s="16" t="n">
        <v>84</v>
      </c>
      <c r="AH318" s="16" t="n">
        <v>91</v>
      </c>
      <c r="AI318" s="16" t="n">
        <v>94</v>
      </c>
      <c r="AJ318" s="16" t="n">
        <f aca="false">(AI318*70)/100</f>
        <v>65.8</v>
      </c>
      <c r="AK318" s="35" t="n">
        <f aca="false">ROUNDUP(AJ318,0)</f>
        <v>66</v>
      </c>
      <c r="AL318" s="16" t="n">
        <v>28</v>
      </c>
      <c r="AM318" s="16" t="n">
        <f aca="false">AL318+AJ318</f>
        <v>93.8</v>
      </c>
      <c r="AN318" s="16" t="n">
        <f aca="false">AL318+AK318</f>
        <v>94</v>
      </c>
      <c r="AO318" s="16" t="n">
        <v>79</v>
      </c>
      <c r="AP318" s="36" t="n">
        <f aca="false">(AO318*70)/100</f>
        <v>55.3</v>
      </c>
      <c r="AQ318" s="37" t="n">
        <f aca="false">ROUNDUP(AP318,0)</f>
        <v>56</v>
      </c>
      <c r="AR318" s="16" t="n">
        <v>27</v>
      </c>
      <c r="AS318" s="16" t="n">
        <f aca="false">AR318+AP318</f>
        <v>82.3</v>
      </c>
      <c r="AT318" s="16" t="n">
        <f aca="false">AR318+AQ318</f>
        <v>83</v>
      </c>
      <c r="AU318" s="16" t="n">
        <f aca="false">AO318+AF318+AI318+AH318+AG318</f>
        <v>416</v>
      </c>
      <c r="AV318" s="16" t="n">
        <f aca="false">(AO318+AF318+AI318+AH318+AG318)/5</f>
        <v>83.2</v>
      </c>
      <c r="AW318" s="36" t="n">
        <f aca="false">(AO318+AF318+AI318+AH318+AG318+X318+R318+Q318+K318+J318)</f>
        <v>750</v>
      </c>
      <c r="AX318" s="16" t="n">
        <f aca="false">AW318/10</f>
        <v>75</v>
      </c>
      <c r="AY318" s="16" t="n">
        <f aca="false">AS318+AF318+AM318+AH318+AG318+AB318+V318+Q318+O318+J318</f>
        <v>773.2</v>
      </c>
      <c r="AZ318" s="16" t="n">
        <f aca="false">AT318+AF318+AN318+AH318+AG318+AC318+W318+Q318+P318+J318</f>
        <v>775</v>
      </c>
      <c r="BA318" s="16" t="n">
        <f aca="false">AY318/10</f>
        <v>77.32</v>
      </c>
      <c r="BB318" s="16" t="n">
        <f aca="false">AZ318/10</f>
        <v>77.5</v>
      </c>
      <c r="BC318" s="16" t="n">
        <v>2390</v>
      </c>
      <c r="BD318" s="16" t="n">
        <f aca="false">RANK(AX318,$AX$2:$AX$881,0)</f>
        <v>687</v>
      </c>
      <c r="BE318" s="73" t="n">
        <f aca="false">((BC318*100)/2400)*0.4+(AX318*0.6)</f>
        <v>84.8333333333333</v>
      </c>
      <c r="BF318" s="16" t="n">
        <f aca="false">RANK(BE318,$BE$2:$BE$881,0)</f>
        <v>648</v>
      </c>
      <c r="BG318" s="39" t="n">
        <f aca="false">RANK(BB318,$BB$2:$BB$881,0)</f>
        <v>603</v>
      </c>
      <c r="BH318" s="39" t="n">
        <f aca="false">RANK(BC318,$BC$2:$BC$881,0)</f>
        <v>52</v>
      </c>
      <c r="BI318" s="22" t="s">
        <v>130</v>
      </c>
      <c r="BJ318" s="22" t="s">
        <v>129</v>
      </c>
      <c r="BK318" s="22" t="s">
        <v>509</v>
      </c>
      <c r="BL318" s="41" t="n">
        <v>24</v>
      </c>
      <c r="BM318" s="41" t="n">
        <v>57</v>
      </c>
      <c r="BN318" s="41" t="n">
        <v>81</v>
      </c>
      <c r="BO318" s="42" t="n">
        <v>28</v>
      </c>
      <c r="BP318" s="43" t="n">
        <v>55</v>
      </c>
      <c r="BQ318" s="44" t="n">
        <v>83</v>
      </c>
      <c r="BR318" s="42" t="n">
        <v>24</v>
      </c>
      <c r="BS318" s="45" t="n">
        <v>50</v>
      </c>
      <c r="BT318" s="45" t="n">
        <v>74</v>
      </c>
      <c r="BU318" s="46" t="n">
        <v>100</v>
      </c>
      <c r="BV318" s="47" t="n">
        <v>82</v>
      </c>
      <c r="BW318" s="42" t="n">
        <v>95</v>
      </c>
      <c r="BX318" s="48" t="n">
        <v>96</v>
      </c>
      <c r="BY318" s="32" t="n">
        <v>21</v>
      </c>
      <c r="BZ318" s="58" t="n">
        <v>50</v>
      </c>
      <c r="CA318" s="58" t="n">
        <v>71</v>
      </c>
      <c r="CB318" s="32" t="n">
        <v>23</v>
      </c>
      <c r="CC318" s="32" t="n">
        <v>33</v>
      </c>
      <c r="CD318" s="69" t="n">
        <v>56</v>
      </c>
      <c r="CE318" s="32" t="n">
        <v>29</v>
      </c>
      <c r="CF318" s="32" t="n">
        <v>45</v>
      </c>
      <c r="CG318" s="32" t="n">
        <v>74</v>
      </c>
      <c r="CH318" s="32" t="n">
        <v>99</v>
      </c>
      <c r="CI318" s="32" t="n">
        <v>100</v>
      </c>
      <c r="CJ318" s="49" t="n">
        <v>24</v>
      </c>
      <c r="CK318" s="49" t="n">
        <v>49</v>
      </c>
      <c r="CL318" s="49" t="n">
        <v>73</v>
      </c>
      <c r="CM318" s="49" t="n">
        <v>22</v>
      </c>
      <c r="CN318" s="49" t="n">
        <v>50</v>
      </c>
      <c r="CO318" s="49" t="n">
        <v>72</v>
      </c>
      <c r="CP318" s="25" t="n">
        <f aca="false">BX318+BW318+BV318+BU318+BT318+BQ318+BN318</f>
        <v>611</v>
      </c>
      <c r="CQ318" s="25" t="n">
        <f aca="false">CO318+CL318+CI318+CH318+CG318+CD318+CA318</f>
        <v>545</v>
      </c>
      <c r="CR318" s="26" t="n">
        <f aca="false">CP318/7</f>
        <v>87.2857142857143</v>
      </c>
      <c r="CS318" s="26" t="n">
        <f aca="false">CQ318/7</f>
        <v>77.8571428571429</v>
      </c>
      <c r="CT318" s="24" t="n">
        <f aca="false">RANK(CR318,$CR$2:$CR$881,0)</f>
        <v>346</v>
      </c>
      <c r="CU318" s="25" t="n">
        <f aca="false">RANK(CS318,$CS$2:$CS$881,0)</f>
        <v>336</v>
      </c>
      <c r="CV318" s="26" t="n">
        <f aca="false">(CS318+CR318)/2</f>
        <v>82.5714285714286</v>
      </c>
      <c r="CW318" s="25" t="n">
        <f aca="false">RANK(CV318,$CV$2:$CV$881,0)</f>
        <v>315</v>
      </c>
      <c r="CX318" s="50" t="n">
        <f aca="false">(CV318+BB318)/2</f>
        <v>80.0357142857143</v>
      </c>
      <c r="CY318" s="50" t="n">
        <v>490</v>
      </c>
      <c r="CZ318" s="27" t="s">
        <v>132</v>
      </c>
      <c r="DA318" s="27" t="s">
        <v>202</v>
      </c>
      <c r="DB318" s="27" t="s">
        <v>202</v>
      </c>
      <c r="DC318" s="27" t="s">
        <v>134</v>
      </c>
      <c r="DD318" s="27" t="s">
        <v>191</v>
      </c>
      <c r="DE318" s="27" t="s">
        <v>161</v>
      </c>
      <c r="DF318" s="27" t="s">
        <v>196</v>
      </c>
      <c r="DG318" s="27" t="s">
        <v>134</v>
      </c>
      <c r="DH318" s="27" t="s">
        <v>182</v>
      </c>
      <c r="DI318" s="27" t="s">
        <v>161</v>
      </c>
      <c r="DJ318" s="27" t="s">
        <v>175</v>
      </c>
      <c r="DK318" s="27" t="s">
        <v>134</v>
      </c>
      <c r="DL318" s="27" t="s">
        <v>137</v>
      </c>
      <c r="DM318" s="27" t="s">
        <v>638</v>
      </c>
      <c r="DN318" s="27" t="s">
        <v>416</v>
      </c>
      <c r="DO318" s="27" t="s">
        <v>134</v>
      </c>
      <c r="DP318" s="27" t="s">
        <v>135</v>
      </c>
      <c r="DQ318" s="27" t="s">
        <v>447</v>
      </c>
      <c r="DR318" s="27" t="s">
        <v>305</v>
      </c>
      <c r="DS318" s="27" t="s">
        <v>134</v>
      </c>
      <c r="DT318" s="27" t="s">
        <v>164</v>
      </c>
      <c r="DU318" s="27" t="s">
        <v>375</v>
      </c>
      <c r="DV318" s="27" t="s">
        <v>382</v>
      </c>
      <c r="DW318" s="27" t="s">
        <v>182</v>
      </c>
      <c r="DX318" s="27" t="s">
        <v>143</v>
      </c>
      <c r="DY318" s="27" t="s">
        <v>176</v>
      </c>
      <c r="DZ318" s="27" t="n">
        <f aca="false">DY318+DV318+DR318+DN318+DJ318+DF318+DB318</f>
        <v>570</v>
      </c>
      <c r="EA318" s="28" t="n">
        <f aca="false">DZ318/7</f>
        <v>81.4285714285714</v>
      </c>
      <c r="EB318" s="27" t="n">
        <f aca="false">RANK(EA318,$EA$2:$EA$881,0)</f>
        <v>327</v>
      </c>
      <c r="EC318" s="29" t="n">
        <f aca="false">DZ318+CQ318+CP318+AZ318</f>
        <v>2501</v>
      </c>
      <c r="ED318" s="30" t="n">
        <f aca="false">(EA318+CV318+BB318)/3</f>
        <v>80.5</v>
      </c>
      <c r="EE318" s="51" t="n">
        <f aca="false">ROUND(BE318,3)</f>
        <v>84.833</v>
      </c>
      <c r="EF318" s="51" t="n">
        <f aca="false">ROUND(CR318,3)</f>
        <v>87.286</v>
      </c>
      <c r="EG318" s="51" t="n">
        <f aca="false">ROUND(CS318,3)</f>
        <v>77.857</v>
      </c>
      <c r="EH318" s="51" t="n">
        <f aca="false">ROUND(EA318,3)</f>
        <v>81.429</v>
      </c>
      <c r="EI318" s="51" t="n">
        <f aca="false">ROUND(ED318,3)</f>
        <v>80.5</v>
      </c>
      <c r="EJ318" s="51" t="n">
        <f aca="false">ROUND(CV318,3)</f>
        <v>82.571</v>
      </c>
      <c r="EK318" s="0" t="n">
        <f aca="false">RANK(EI318,$EI$2:$EI$881,0)</f>
        <v>317</v>
      </c>
    </row>
    <row r="319" customFormat="false" ht="15" hidden="false" customHeight="false" outlineLevel="0" collapsed="false">
      <c r="A319" s="4" t="n">
        <v>9129</v>
      </c>
      <c r="B319" s="4" t="n">
        <v>216</v>
      </c>
      <c r="C319" s="27" t="s">
        <v>1074</v>
      </c>
      <c r="D319" s="31" t="n">
        <v>217</v>
      </c>
      <c r="E319" s="32" t="n">
        <v>230312163</v>
      </c>
      <c r="F319" s="8" t="s">
        <v>1075</v>
      </c>
      <c r="G319" s="22" t="s">
        <v>1076</v>
      </c>
      <c r="H319" s="22" t="s">
        <v>129</v>
      </c>
      <c r="I319" s="33" t="n">
        <v>2005</v>
      </c>
      <c r="J319" s="32" t="n">
        <v>76</v>
      </c>
      <c r="K319" s="32" t="n">
        <v>83</v>
      </c>
      <c r="L319" s="34" t="n">
        <f aca="false">(K319*70)/100</f>
        <v>58.1</v>
      </c>
      <c r="M319" s="34" t="n">
        <f aca="false">ROUNDUP(L319,0)</f>
        <v>59</v>
      </c>
      <c r="N319" s="32" t="n">
        <v>21</v>
      </c>
      <c r="O319" s="34" t="n">
        <f aca="false">N319+L319</f>
        <v>79.1</v>
      </c>
      <c r="P319" s="34" t="n">
        <f aca="false">N319+M319</f>
        <v>80</v>
      </c>
      <c r="Q319" s="32" t="n">
        <v>77</v>
      </c>
      <c r="R319" s="32" t="n">
        <v>80</v>
      </c>
      <c r="S319" s="34" t="n">
        <f aca="false">(R319*70)/100</f>
        <v>56</v>
      </c>
      <c r="T319" s="34" t="n">
        <f aca="false">ROUNDUP(S319,0)</f>
        <v>56</v>
      </c>
      <c r="U319" s="32" t="n">
        <v>13</v>
      </c>
      <c r="V319" s="34" t="n">
        <f aca="false">U319+S319</f>
        <v>69</v>
      </c>
      <c r="W319" s="34" t="n">
        <f aca="false">U319+T319</f>
        <v>69</v>
      </c>
      <c r="X319" s="32" t="n">
        <v>72</v>
      </c>
      <c r="Y319" s="34" t="n">
        <f aca="false">(X319*70)/100</f>
        <v>50.4</v>
      </c>
      <c r="Z319" s="34" t="n">
        <f aca="false">ROUNDUP(Y319,0)</f>
        <v>51</v>
      </c>
      <c r="AA319" s="32" t="n">
        <v>25</v>
      </c>
      <c r="AB319" s="34" t="n">
        <f aca="false">AA319+Y319</f>
        <v>75.4</v>
      </c>
      <c r="AC319" s="34" t="n">
        <f aca="false">AA319+Z319</f>
        <v>76</v>
      </c>
      <c r="AD319" s="32" t="n">
        <f aca="false">X319+R319+Q319+K319+J319</f>
        <v>388</v>
      </c>
      <c r="AE319" s="16" t="n">
        <f aca="false">AD319/5</f>
        <v>77.6</v>
      </c>
      <c r="AF319" s="16" t="n">
        <v>80</v>
      </c>
      <c r="AG319" s="16" t="n">
        <v>87</v>
      </c>
      <c r="AH319" s="16" t="n">
        <v>87</v>
      </c>
      <c r="AI319" s="16" t="n">
        <v>93</v>
      </c>
      <c r="AJ319" s="16" t="n">
        <f aca="false">(AI319*70)/100</f>
        <v>65.1</v>
      </c>
      <c r="AK319" s="35" t="n">
        <f aca="false">ROUNDUP(AJ319,0)</f>
        <v>66</v>
      </c>
      <c r="AL319" s="16" t="n">
        <v>19</v>
      </c>
      <c r="AM319" s="16" t="n">
        <f aca="false">AL319+AJ319</f>
        <v>84.1</v>
      </c>
      <c r="AN319" s="16" t="n">
        <f aca="false">AL319+AK319</f>
        <v>85</v>
      </c>
      <c r="AO319" s="16" t="n">
        <v>75</v>
      </c>
      <c r="AP319" s="36" t="n">
        <f aca="false">(AO319*70)/100</f>
        <v>52.5</v>
      </c>
      <c r="AQ319" s="37" t="n">
        <f aca="false">ROUNDUP(AP319,0)</f>
        <v>53</v>
      </c>
      <c r="AR319" s="16" t="n">
        <v>23</v>
      </c>
      <c r="AS319" s="16" t="n">
        <f aca="false">AR319+AP319</f>
        <v>75.5</v>
      </c>
      <c r="AT319" s="16" t="n">
        <f aca="false">AR319+AQ319</f>
        <v>76</v>
      </c>
      <c r="AU319" s="16" t="n">
        <f aca="false">AO319+AF319+AI319+AH319+AG319</f>
        <v>422</v>
      </c>
      <c r="AV319" s="16" t="n">
        <f aca="false">(AO319+AF319+AI319+AH319+AG319)/5</f>
        <v>84.4</v>
      </c>
      <c r="AW319" s="36" t="n">
        <f aca="false">(AO319+AF319+AI319+AH319+AG319+X319+R319+Q319+K319+J319)</f>
        <v>810</v>
      </c>
      <c r="AX319" s="16" t="n">
        <f aca="false">AW319/10</f>
        <v>81</v>
      </c>
      <c r="AY319" s="16" t="n">
        <f aca="false">AS319+AF319+AM319+AH319+AG319+AB319+V319+Q319+O319+J319</f>
        <v>790.1</v>
      </c>
      <c r="AZ319" s="16" t="n">
        <f aca="false">AT319+AF319+AN319+AH319+AG319+AC319+W319+Q319+P319+J319</f>
        <v>793</v>
      </c>
      <c r="BA319" s="16" t="n">
        <f aca="false">AY319/10</f>
        <v>79.01</v>
      </c>
      <c r="BB319" s="16" t="n">
        <f aca="false">AZ319/10</f>
        <v>79.3</v>
      </c>
      <c r="BC319" s="16" t="n">
        <v>2363</v>
      </c>
      <c r="BD319" s="16" t="n">
        <f aca="false">RANK(AX319,$AX$2:$AX$881,0)</f>
        <v>210</v>
      </c>
      <c r="BE319" s="54" t="n">
        <f aca="false">((BC319*100)/2400)*0.4+(AX319*0.6)</f>
        <v>87.9833333333333</v>
      </c>
      <c r="BF319" s="16" t="n">
        <f aca="false">RANK(BE319,$BE$2:$BE$881,0)</f>
        <v>203</v>
      </c>
      <c r="BG319" s="39" t="n">
        <f aca="false">RANK(BB319,$BB$2:$BB$881,0)</f>
        <v>424</v>
      </c>
      <c r="BH319" s="39" t="n">
        <f aca="false">RANK(BC319,$BC$2:$BC$881,0)</f>
        <v>356</v>
      </c>
      <c r="BI319" s="22" t="s">
        <v>130</v>
      </c>
      <c r="BJ319" s="22" t="s">
        <v>129</v>
      </c>
      <c r="BK319" s="40" t="s">
        <v>131</v>
      </c>
      <c r="BL319" s="41" t="n">
        <v>28</v>
      </c>
      <c r="BM319" s="41" t="n">
        <v>53</v>
      </c>
      <c r="BN319" s="41" t="n">
        <v>81</v>
      </c>
      <c r="BO319" s="42" t="n">
        <v>23</v>
      </c>
      <c r="BP319" s="43" t="n">
        <v>61</v>
      </c>
      <c r="BQ319" s="44" t="n">
        <v>84</v>
      </c>
      <c r="BR319" s="42" t="n">
        <v>24</v>
      </c>
      <c r="BS319" s="45" t="n">
        <v>56</v>
      </c>
      <c r="BT319" s="45" t="n">
        <v>80</v>
      </c>
      <c r="BU319" s="46" t="n">
        <v>100</v>
      </c>
      <c r="BV319" s="47" t="n">
        <v>92</v>
      </c>
      <c r="BW319" s="42" t="n">
        <v>99</v>
      </c>
      <c r="BX319" s="48" t="n">
        <v>90</v>
      </c>
      <c r="BY319" s="32" t="n">
        <v>22</v>
      </c>
      <c r="BZ319" s="32" t="n">
        <v>54</v>
      </c>
      <c r="CA319" s="32" t="n">
        <v>76</v>
      </c>
      <c r="CB319" s="32" t="n">
        <v>24</v>
      </c>
      <c r="CC319" s="32" t="n">
        <v>37</v>
      </c>
      <c r="CD319" s="32" t="n">
        <v>61</v>
      </c>
      <c r="CE319" s="25" t="n">
        <v>24</v>
      </c>
      <c r="CF319" s="25" t="n">
        <v>40</v>
      </c>
      <c r="CG319" s="25" t="n">
        <v>64</v>
      </c>
      <c r="CH319" s="32" t="n">
        <v>95</v>
      </c>
      <c r="CI319" s="32" t="n">
        <v>96</v>
      </c>
      <c r="CJ319" s="49" t="n">
        <v>18</v>
      </c>
      <c r="CK319" s="58" t="n">
        <v>49</v>
      </c>
      <c r="CL319" s="59" t="n">
        <v>67</v>
      </c>
      <c r="CM319" s="49" t="n">
        <v>24</v>
      </c>
      <c r="CN319" s="49" t="n">
        <v>41</v>
      </c>
      <c r="CO319" s="49" t="n">
        <v>65</v>
      </c>
      <c r="CP319" s="25" t="n">
        <f aca="false">BX319+BW319+BV319+BU319+BT319+BQ319+BN319</f>
        <v>626</v>
      </c>
      <c r="CQ319" s="25" t="n">
        <f aca="false">CO319+CL319+CI319+CH319+CG319+CD319+CA319</f>
        <v>524</v>
      </c>
      <c r="CR319" s="26" t="n">
        <f aca="false">CP319/7</f>
        <v>89.4285714285714</v>
      </c>
      <c r="CS319" s="26" t="n">
        <f aca="false">CQ319/7</f>
        <v>74.8571428571429</v>
      </c>
      <c r="CT319" s="24" t="n">
        <f aca="false">RANK(CR319,$CR$2:$CR$881,0)</f>
        <v>217</v>
      </c>
      <c r="CU319" s="25" t="n">
        <f aca="false">RANK(CS319,$CS$2:$CS$881,0)</f>
        <v>435</v>
      </c>
      <c r="CV319" s="26" t="n">
        <f aca="false">(CS319+CR319)/2</f>
        <v>82.1428571428571</v>
      </c>
      <c r="CW319" s="25" t="n">
        <f aca="false">RANK(CV319,$CV$2:$CV$881,0)</f>
        <v>333</v>
      </c>
      <c r="CX319" s="50" t="n">
        <f aca="false">(CV319+BB319)/2</f>
        <v>80.7214285714286</v>
      </c>
      <c r="CY319" s="50" t="n">
        <v>457</v>
      </c>
      <c r="CZ319" s="27" t="s">
        <v>132</v>
      </c>
      <c r="DA319" s="27" t="s">
        <v>202</v>
      </c>
      <c r="DB319" s="27" t="s">
        <v>202</v>
      </c>
      <c r="DC319" s="27" t="s">
        <v>134</v>
      </c>
      <c r="DD319" s="27" t="s">
        <v>164</v>
      </c>
      <c r="DE319" s="27" t="s">
        <v>218</v>
      </c>
      <c r="DF319" s="27" t="s">
        <v>209</v>
      </c>
      <c r="DG319" s="27" t="s">
        <v>134</v>
      </c>
      <c r="DH319" s="27" t="s">
        <v>154</v>
      </c>
      <c r="DI319" s="27" t="s">
        <v>306</v>
      </c>
      <c r="DJ319" s="27" t="s">
        <v>305</v>
      </c>
      <c r="DK319" s="27" t="s">
        <v>134</v>
      </c>
      <c r="DL319" s="27" t="s">
        <v>182</v>
      </c>
      <c r="DM319" s="27" t="s">
        <v>447</v>
      </c>
      <c r="DN319" s="27" t="s">
        <v>382</v>
      </c>
      <c r="DO319" s="27" t="s">
        <v>134</v>
      </c>
      <c r="DP319" s="27" t="s">
        <v>264</v>
      </c>
      <c r="DQ319" s="27" t="s">
        <v>375</v>
      </c>
      <c r="DR319" s="27" t="s">
        <v>138</v>
      </c>
      <c r="DS319" s="27" t="s">
        <v>134</v>
      </c>
      <c r="DT319" s="27" t="s">
        <v>135</v>
      </c>
      <c r="DU319" s="27" t="s">
        <v>897</v>
      </c>
      <c r="DV319" s="27" t="s">
        <v>143</v>
      </c>
      <c r="DW319" s="27" t="s">
        <v>140</v>
      </c>
      <c r="DX319" s="27" t="s">
        <v>138</v>
      </c>
      <c r="DY319" s="27" t="s">
        <v>145</v>
      </c>
      <c r="DZ319" s="27" t="n">
        <f aca="false">DY319+DV319+DR319+DN319+DJ319+DF319+DB319</f>
        <v>560</v>
      </c>
      <c r="EA319" s="28" t="n">
        <f aca="false">DZ319/7</f>
        <v>80</v>
      </c>
      <c r="EB319" s="27" t="n">
        <f aca="false">RANK(EA319,$EA$2:$EA$881,0)</f>
        <v>393</v>
      </c>
      <c r="EC319" s="29" t="n">
        <f aca="false">DZ319+CQ319+CP319+AZ319</f>
        <v>2503</v>
      </c>
      <c r="ED319" s="30" t="n">
        <f aca="false">(EA319+CV319+BB319)/3</f>
        <v>80.4809523809524</v>
      </c>
      <c r="EE319" s="51" t="n">
        <f aca="false">ROUND(BE319,3)</f>
        <v>87.983</v>
      </c>
      <c r="EF319" s="51" t="n">
        <f aca="false">ROUND(CR319,3)</f>
        <v>89.429</v>
      </c>
      <c r="EG319" s="51" t="n">
        <f aca="false">ROUND(CS319,3)</f>
        <v>74.857</v>
      </c>
      <c r="EH319" s="51" t="n">
        <f aca="false">ROUND(EA319,3)</f>
        <v>80</v>
      </c>
      <c r="EI319" s="51" t="n">
        <f aca="false">ROUND(ED319,3)</f>
        <v>80.481</v>
      </c>
      <c r="EJ319" s="51" t="n">
        <f aca="false">ROUND(CV319,3)</f>
        <v>82.143</v>
      </c>
      <c r="EK319" s="0" t="n">
        <f aca="false">RANK(EI319,$EI$2:$EI$881,0)</f>
        <v>318</v>
      </c>
    </row>
    <row r="320" customFormat="false" ht="15" hidden="false" customHeight="false" outlineLevel="0" collapsed="false">
      <c r="A320" s="4" t="n">
        <v>8891</v>
      </c>
      <c r="B320" s="4" t="n">
        <v>13</v>
      </c>
      <c r="C320" s="27" t="s">
        <v>1077</v>
      </c>
      <c r="D320" s="52" t="n">
        <v>15</v>
      </c>
      <c r="E320" s="32" t="n">
        <v>230312778</v>
      </c>
      <c r="F320" s="8" t="s">
        <v>1078</v>
      </c>
      <c r="G320" s="22" t="s">
        <v>1079</v>
      </c>
      <c r="H320" s="22" t="s">
        <v>129</v>
      </c>
      <c r="I320" s="33" t="n">
        <v>2005</v>
      </c>
      <c r="J320" s="32" t="n">
        <v>76</v>
      </c>
      <c r="K320" s="32" t="n">
        <v>82</v>
      </c>
      <c r="L320" s="34" t="n">
        <f aca="false">(K320*70)/100</f>
        <v>57.4</v>
      </c>
      <c r="M320" s="34" t="n">
        <f aca="false">ROUNDUP(L320,0)</f>
        <v>58</v>
      </c>
      <c r="N320" s="32" t="n">
        <v>29</v>
      </c>
      <c r="O320" s="34" t="n">
        <f aca="false">N320+L320</f>
        <v>86.4</v>
      </c>
      <c r="P320" s="34" t="n">
        <f aca="false">N320+M320</f>
        <v>87</v>
      </c>
      <c r="Q320" s="32" t="n">
        <v>94</v>
      </c>
      <c r="R320" s="32" t="n">
        <v>84</v>
      </c>
      <c r="S320" s="34" t="n">
        <f aca="false">(R320*70)/100</f>
        <v>58.8</v>
      </c>
      <c r="T320" s="34" t="n">
        <f aca="false">ROUNDUP(S320,0)</f>
        <v>59</v>
      </c>
      <c r="U320" s="32" t="n">
        <v>26</v>
      </c>
      <c r="V320" s="34" t="n">
        <f aca="false">U320+S320</f>
        <v>84.8</v>
      </c>
      <c r="W320" s="34" t="n">
        <f aca="false">U320+T320</f>
        <v>85</v>
      </c>
      <c r="X320" s="32" t="n">
        <v>78</v>
      </c>
      <c r="Y320" s="34" t="n">
        <f aca="false">(X320*70)/100</f>
        <v>54.6</v>
      </c>
      <c r="Z320" s="34" t="n">
        <f aca="false">ROUNDUP(Y320,0)</f>
        <v>55</v>
      </c>
      <c r="AA320" s="32" t="n">
        <v>24</v>
      </c>
      <c r="AB320" s="34" t="n">
        <f aca="false">AA320+Y320</f>
        <v>78.6</v>
      </c>
      <c r="AC320" s="34" t="n">
        <f aca="false">AA320+Z320</f>
        <v>79</v>
      </c>
      <c r="AD320" s="32" t="n">
        <f aca="false">X320+R320+Q320+K320+J320</f>
        <v>414</v>
      </c>
      <c r="AE320" s="16" t="n">
        <f aca="false">AD320/5</f>
        <v>82.8</v>
      </c>
      <c r="AF320" s="16" t="n">
        <v>63</v>
      </c>
      <c r="AG320" s="16" t="n">
        <v>84</v>
      </c>
      <c r="AH320" s="16" t="n">
        <v>90</v>
      </c>
      <c r="AI320" s="16" t="n">
        <v>88</v>
      </c>
      <c r="AJ320" s="16" t="n">
        <f aca="false">(AI320*70)/100</f>
        <v>61.6</v>
      </c>
      <c r="AK320" s="35" t="n">
        <f aca="false">ROUNDUP(AJ320,0)</f>
        <v>62</v>
      </c>
      <c r="AL320" s="16" t="n">
        <v>28</v>
      </c>
      <c r="AM320" s="16" t="n">
        <f aca="false">AL320+AJ320</f>
        <v>89.6</v>
      </c>
      <c r="AN320" s="16" t="n">
        <f aca="false">AL320+AK320</f>
        <v>90</v>
      </c>
      <c r="AO320" s="16" t="n">
        <v>77</v>
      </c>
      <c r="AP320" s="36" t="n">
        <f aca="false">(AO320*70)/100</f>
        <v>53.9</v>
      </c>
      <c r="AQ320" s="37" t="n">
        <f aca="false">ROUNDUP(AP320,0)</f>
        <v>54</v>
      </c>
      <c r="AR320" s="16" t="n">
        <v>27</v>
      </c>
      <c r="AS320" s="16" t="n">
        <f aca="false">AR320+AP320</f>
        <v>80.9</v>
      </c>
      <c r="AT320" s="16" t="n">
        <f aca="false">AR320+AQ320</f>
        <v>81</v>
      </c>
      <c r="AU320" s="16" t="n">
        <f aca="false">AO320+AF320+AI320+AH320+AG320</f>
        <v>402</v>
      </c>
      <c r="AV320" s="16" t="n">
        <f aca="false">(AO320+AF320+AI320+AH320+AG320)/5</f>
        <v>80.4</v>
      </c>
      <c r="AW320" s="36" t="n">
        <f aca="false">(AO320+AF320+AI320+AH320+AG320+X320+R320+Q320+K320+J320)</f>
        <v>816</v>
      </c>
      <c r="AX320" s="16" t="n">
        <f aca="false">AW320/10</f>
        <v>81.6</v>
      </c>
      <c r="AY320" s="16" t="n">
        <f aca="false">AS320+AF320+AM320+AH320+AG320+AB320+V320+Q320+O320+J320</f>
        <v>827.3</v>
      </c>
      <c r="AZ320" s="16" t="n">
        <f aca="false">AT320+AF320+AN320+AH320+AG320+AC320+W320+Q320+P320+J320</f>
        <v>829</v>
      </c>
      <c r="BA320" s="16" t="n">
        <f aca="false">AY320/10</f>
        <v>82.73</v>
      </c>
      <c r="BB320" s="16" t="n">
        <f aca="false">AZ320/10</f>
        <v>82.9</v>
      </c>
      <c r="BC320" s="16" t="n">
        <v>2375</v>
      </c>
      <c r="BD320" s="16" t="n">
        <f aca="false">RANK(AX320,$AX$2:$AX$881,0)</f>
        <v>185</v>
      </c>
      <c r="BE320" s="54" t="n">
        <f aca="false">((BC320*100)/2400)*0.4+(AX320*0.6)</f>
        <v>88.5433333333333</v>
      </c>
      <c r="BF320" s="16" t="n">
        <f aca="false">RANK(BE320,$BE$2:$BE$881,0)</f>
        <v>156</v>
      </c>
      <c r="BG320" s="39" t="n">
        <f aca="false">RANK(BB320,$BB$2:$BB$881,0)</f>
        <v>166</v>
      </c>
      <c r="BH320" s="39" t="n">
        <f aca="false">RANK(BC320,$BC$2:$BC$881,0)</f>
        <v>211</v>
      </c>
      <c r="BI320" s="22" t="s">
        <v>130</v>
      </c>
      <c r="BJ320" s="22" t="s">
        <v>129</v>
      </c>
      <c r="BK320" s="40" t="s">
        <v>968</v>
      </c>
      <c r="BL320" s="41" t="n">
        <v>17</v>
      </c>
      <c r="BM320" s="42" t="n">
        <v>51</v>
      </c>
      <c r="BN320" s="42" t="n">
        <v>68</v>
      </c>
      <c r="BO320" s="42" t="n">
        <v>15</v>
      </c>
      <c r="BP320" s="43" t="n">
        <v>50</v>
      </c>
      <c r="BQ320" s="44" t="n">
        <v>65</v>
      </c>
      <c r="BR320" s="42" t="n">
        <v>21</v>
      </c>
      <c r="BS320" s="77" t="n">
        <v>49</v>
      </c>
      <c r="BT320" s="77" t="n">
        <v>70</v>
      </c>
      <c r="BU320" s="46" t="n">
        <v>93</v>
      </c>
      <c r="BV320" s="47" t="n">
        <v>76</v>
      </c>
      <c r="BW320" s="42" t="n">
        <v>96</v>
      </c>
      <c r="BX320" s="48" t="n">
        <v>96</v>
      </c>
      <c r="BY320" s="32" t="n">
        <v>26</v>
      </c>
      <c r="BZ320" s="32" t="n">
        <v>57</v>
      </c>
      <c r="CA320" s="32" t="n">
        <v>83</v>
      </c>
      <c r="CB320" s="32" t="n">
        <v>22</v>
      </c>
      <c r="CC320" s="32" t="n">
        <v>40</v>
      </c>
      <c r="CD320" s="32" t="n">
        <v>62</v>
      </c>
      <c r="CE320" s="32" t="n">
        <v>27</v>
      </c>
      <c r="CF320" s="32" t="n">
        <v>52</v>
      </c>
      <c r="CG320" s="32" t="n">
        <v>79</v>
      </c>
      <c r="CH320" s="32" t="n">
        <v>93</v>
      </c>
      <c r="CI320" s="32" t="n">
        <v>90</v>
      </c>
      <c r="CJ320" s="49" t="n">
        <v>19</v>
      </c>
      <c r="CK320" s="60"/>
      <c r="CL320" s="61"/>
      <c r="CM320" s="49" t="n">
        <v>20</v>
      </c>
      <c r="CN320" s="49" t="n">
        <v>50</v>
      </c>
      <c r="CO320" s="49" t="n">
        <v>70</v>
      </c>
      <c r="CP320" s="25" t="n">
        <f aca="false">BX320+BW320+BV320+BU320+BT320+BQ320+BN320</f>
        <v>564</v>
      </c>
      <c r="CQ320" s="25" t="n">
        <f aca="false">CO320+CL320+CI320+CH320+CG320+CD320+CA320</f>
        <v>477</v>
      </c>
      <c r="CR320" s="26" t="n">
        <f aca="false">CP320/7</f>
        <v>80.5714285714286</v>
      </c>
      <c r="CS320" s="26" t="n">
        <f aca="false">CQ320/7</f>
        <v>68.1428571428571</v>
      </c>
      <c r="CT320" s="24" t="n">
        <f aca="false">RANK(CR320,$CR$2:$CR$881,0)</f>
        <v>575</v>
      </c>
      <c r="CU320" s="25" t="n">
        <f aca="false">RANK(CS320,$CS$2:$CS$881,0)</f>
        <v>586</v>
      </c>
      <c r="CV320" s="26" t="n">
        <f aca="false">(CS320+CR320)/2</f>
        <v>74.3571428571429</v>
      </c>
      <c r="CW320" s="25" t="n">
        <f aca="false">RANK(CV320,$CV$2:$CV$881,0)</f>
        <v>576</v>
      </c>
      <c r="CX320" s="50" t="n">
        <f aca="false">(CV320+BB320)/2</f>
        <v>78.6285714285714</v>
      </c>
      <c r="CY320" s="50" t="n">
        <v>441</v>
      </c>
      <c r="CZ320" s="27" t="s">
        <v>132</v>
      </c>
      <c r="DA320" s="27" t="s">
        <v>133</v>
      </c>
      <c r="DB320" s="27" t="s">
        <v>133</v>
      </c>
      <c r="DC320" s="27" t="s">
        <v>134</v>
      </c>
      <c r="DD320" s="27" t="s">
        <v>137</v>
      </c>
      <c r="DE320" s="27" t="s">
        <v>204</v>
      </c>
      <c r="DF320" s="27" t="s">
        <v>175</v>
      </c>
      <c r="DG320" s="27" t="s">
        <v>134</v>
      </c>
      <c r="DH320" s="27" t="s">
        <v>182</v>
      </c>
      <c r="DI320" s="27" t="s">
        <v>161</v>
      </c>
      <c r="DJ320" s="27" t="s">
        <v>175</v>
      </c>
      <c r="DK320" s="27" t="s">
        <v>134</v>
      </c>
      <c r="DL320" s="27" t="s">
        <v>164</v>
      </c>
      <c r="DM320" s="27" t="s">
        <v>183</v>
      </c>
      <c r="DN320" s="27" t="s">
        <v>175</v>
      </c>
      <c r="DO320" s="27" t="s">
        <v>134</v>
      </c>
      <c r="DP320" s="27" t="s">
        <v>386</v>
      </c>
      <c r="DQ320" s="27" t="s">
        <v>415</v>
      </c>
      <c r="DR320" s="27" t="s">
        <v>163</v>
      </c>
      <c r="DS320" s="27" t="s">
        <v>134</v>
      </c>
      <c r="DT320" s="27" t="s">
        <v>164</v>
      </c>
      <c r="DU320" s="27" t="s">
        <v>218</v>
      </c>
      <c r="DV320" s="27" t="s">
        <v>209</v>
      </c>
      <c r="DW320" s="27" t="s">
        <v>160</v>
      </c>
      <c r="DX320" s="27" t="s">
        <v>138</v>
      </c>
      <c r="DY320" s="27" t="s">
        <v>144</v>
      </c>
      <c r="DZ320" s="27" t="n">
        <f aca="false">DY320+DV320+DR320+DN320+DJ320+DF320+DB320</f>
        <v>589</v>
      </c>
      <c r="EA320" s="28" t="n">
        <f aca="false">DZ320/7</f>
        <v>84.1428571428571</v>
      </c>
      <c r="EB320" s="27" t="n">
        <f aca="false">RANK(EA320,$EA$2:$EA$881,0)</f>
        <v>218</v>
      </c>
      <c r="EC320" s="29" t="n">
        <f aca="false">DZ320+CQ320+CP320+AZ320</f>
        <v>2459</v>
      </c>
      <c r="ED320" s="30" t="n">
        <f aca="false">(EA320+CV320+BB320)/3</f>
        <v>80.4666666666667</v>
      </c>
      <c r="EE320" s="51" t="n">
        <f aca="false">ROUND(BE320,3)</f>
        <v>88.543</v>
      </c>
      <c r="EF320" s="51" t="n">
        <f aca="false">ROUND(CR320,3)</f>
        <v>80.571</v>
      </c>
      <c r="EG320" s="51" t="n">
        <f aca="false">ROUND(CS320,3)</f>
        <v>68.143</v>
      </c>
      <c r="EH320" s="51" t="n">
        <f aca="false">ROUND(EA320,3)</f>
        <v>84.143</v>
      </c>
      <c r="EI320" s="51" t="n">
        <f aca="false">ROUND(ED320,3)</f>
        <v>80.467</v>
      </c>
      <c r="EJ320" s="51" t="n">
        <f aca="false">ROUND(CV320,3)</f>
        <v>74.357</v>
      </c>
      <c r="EK320" s="0" t="n">
        <f aca="false">RANK(EI320,$EI$2:$EI$881,0)</f>
        <v>319</v>
      </c>
    </row>
    <row r="321" customFormat="false" ht="15" hidden="false" customHeight="false" outlineLevel="0" collapsed="false">
      <c r="A321" s="4" t="n">
        <v>2006</v>
      </c>
      <c r="B321" s="4" t="n">
        <v>757</v>
      </c>
      <c r="C321" s="27" t="s">
        <v>1080</v>
      </c>
      <c r="D321" s="31" t="n">
        <v>774</v>
      </c>
      <c r="E321" s="32" t="n">
        <v>230324862</v>
      </c>
      <c r="F321" s="8" t="s">
        <v>1081</v>
      </c>
      <c r="G321" s="22" t="s">
        <v>1082</v>
      </c>
      <c r="H321" s="22" t="s">
        <v>129</v>
      </c>
      <c r="I321" s="33" t="n">
        <v>2006</v>
      </c>
      <c r="J321" s="32" t="n">
        <v>86</v>
      </c>
      <c r="K321" s="32" t="n">
        <v>86</v>
      </c>
      <c r="L321" s="34" t="n">
        <f aca="false">(K321*70)/100</f>
        <v>60.2</v>
      </c>
      <c r="M321" s="34" t="n">
        <f aca="false">ROUNDUP(L321,0)</f>
        <v>61</v>
      </c>
      <c r="N321" s="32" t="n">
        <v>20</v>
      </c>
      <c r="O321" s="34" t="n">
        <f aca="false">N321+L321</f>
        <v>80.2</v>
      </c>
      <c r="P321" s="34" t="n">
        <f aca="false">N321+M321</f>
        <v>81</v>
      </c>
      <c r="Q321" s="32" t="n">
        <v>76</v>
      </c>
      <c r="R321" s="32" t="n">
        <v>72</v>
      </c>
      <c r="S321" s="34" t="n">
        <f aca="false">(R321*70)/100</f>
        <v>50.4</v>
      </c>
      <c r="T321" s="34" t="n">
        <f aca="false">ROUNDUP(S321,0)</f>
        <v>51</v>
      </c>
      <c r="U321" s="32" t="n">
        <v>24</v>
      </c>
      <c r="V321" s="34" t="n">
        <f aca="false">U321+S321</f>
        <v>74.4</v>
      </c>
      <c r="W321" s="34" t="n">
        <f aca="false">U321+T321</f>
        <v>75</v>
      </c>
      <c r="X321" s="32" t="n">
        <v>56</v>
      </c>
      <c r="Y321" s="34" t="n">
        <f aca="false">(X321*70)/100</f>
        <v>39.2</v>
      </c>
      <c r="Z321" s="34" t="n">
        <f aca="false">ROUNDUP(Y321,0)</f>
        <v>40</v>
      </c>
      <c r="AA321" s="32" t="n">
        <v>26</v>
      </c>
      <c r="AB321" s="34" t="n">
        <f aca="false">AA321+Y321</f>
        <v>65.2</v>
      </c>
      <c r="AC321" s="34" t="n">
        <f aca="false">AA321+Z321</f>
        <v>66</v>
      </c>
      <c r="AD321" s="32" t="n">
        <f aca="false">X321+R321+Q321+K321+J321</f>
        <v>376</v>
      </c>
      <c r="AE321" s="16" t="n">
        <f aca="false">AD321/5</f>
        <v>75.2</v>
      </c>
      <c r="AF321" s="71" t="n">
        <v>58</v>
      </c>
      <c r="AG321" s="16" t="n">
        <v>83</v>
      </c>
      <c r="AH321" s="16" t="n">
        <v>87</v>
      </c>
      <c r="AI321" s="16" t="n">
        <v>87</v>
      </c>
      <c r="AJ321" s="16" t="n">
        <f aca="false">(AI321*70)/100</f>
        <v>60.9</v>
      </c>
      <c r="AK321" s="35" t="n">
        <f aca="false">ROUNDUP(AJ321,0)</f>
        <v>61</v>
      </c>
      <c r="AL321" s="16" t="n">
        <v>24</v>
      </c>
      <c r="AM321" s="16" t="n">
        <f aca="false">AL321+AJ321</f>
        <v>84.9</v>
      </c>
      <c r="AN321" s="16" t="n">
        <f aca="false">AL321+AK321</f>
        <v>85</v>
      </c>
      <c r="AO321" s="16" t="n">
        <v>62</v>
      </c>
      <c r="AP321" s="36" t="n">
        <f aca="false">(AO321*70)/100</f>
        <v>43.4</v>
      </c>
      <c r="AQ321" s="37" t="n">
        <f aca="false">ROUNDUP(AP321,0)</f>
        <v>44</v>
      </c>
      <c r="AR321" s="16" t="n">
        <v>29</v>
      </c>
      <c r="AS321" s="16" t="n">
        <f aca="false">AR321+AP321</f>
        <v>72.4</v>
      </c>
      <c r="AT321" s="16" t="n">
        <f aca="false">AR321+AQ321</f>
        <v>73</v>
      </c>
      <c r="AU321" s="16" t="n">
        <f aca="false">AO321+AF321+AI321+AH321+AG321</f>
        <v>377</v>
      </c>
      <c r="AV321" s="16" t="n">
        <f aca="false">(AO321+AF321+AI321+AH321+AG321)/5</f>
        <v>75.4</v>
      </c>
      <c r="AW321" s="36" t="n">
        <f aca="false">(AO321+AF321+AI321+AH321+AG321+X321+R321+Q321+K321+J321)</f>
        <v>753</v>
      </c>
      <c r="AX321" s="16" t="n">
        <f aca="false">AW321/10</f>
        <v>75.3</v>
      </c>
      <c r="AY321" s="16" t="n">
        <f aca="false">AS321+AF321+AM321+AH321+AG321+AB321+V321+Q321+O321+J321</f>
        <v>767.1</v>
      </c>
      <c r="AZ321" s="16" t="n">
        <f aca="false">AT321+AF321+AN321+AH321+AG321+AC321+W321+Q321+P321+J321</f>
        <v>770</v>
      </c>
      <c r="BA321" s="16" t="n">
        <f aca="false">AY321/10</f>
        <v>76.71</v>
      </c>
      <c r="BB321" s="16" t="n">
        <f aca="false">AZ321/10</f>
        <v>77</v>
      </c>
      <c r="BC321" s="16" t="n">
        <v>2382</v>
      </c>
      <c r="BD321" s="16" t="n">
        <f aca="false">RANK(AX321,$AX$2:$AX$881,0)</f>
        <v>671</v>
      </c>
      <c r="BE321" s="73" t="n">
        <f aca="false">((BC321*100)/2400)*0.4+(AX321*0.6)</f>
        <v>84.88</v>
      </c>
      <c r="BF321" s="16" t="n">
        <f aca="false">RANK(BE321,$BE$2:$BE$881,0)</f>
        <v>638</v>
      </c>
      <c r="BG321" s="39" t="n">
        <f aca="false">RANK(BB321,$BB$2:$BB$881,0)</f>
        <v>644</v>
      </c>
      <c r="BH321" s="39" t="n">
        <f aca="false">RANK(BC321,$BC$2:$BC$881,0)</f>
        <v>124</v>
      </c>
      <c r="BI321" s="22" t="s">
        <v>130</v>
      </c>
      <c r="BJ321" s="22" t="s">
        <v>129</v>
      </c>
      <c r="BK321" s="22" t="s">
        <v>509</v>
      </c>
      <c r="BL321" s="41" t="n">
        <v>22</v>
      </c>
      <c r="BM321" s="41" t="n">
        <v>60</v>
      </c>
      <c r="BN321" s="41" t="n">
        <v>82</v>
      </c>
      <c r="BO321" s="42" t="n">
        <v>28</v>
      </c>
      <c r="BP321" s="43" t="n">
        <v>64</v>
      </c>
      <c r="BQ321" s="44" t="n">
        <v>92</v>
      </c>
      <c r="BR321" s="42" t="n">
        <v>24</v>
      </c>
      <c r="BS321" s="45" t="n">
        <v>58</v>
      </c>
      <c r="BT321" s="45" t="n">
        <v>82</v>
      </c>
      <c r="BU321" s="46" t="n">
        <v>100</v>
      </c>
      <c r="BV321" s="47" t="n">
        <v>90</v>
      </c>
      <c r="BW321" s="42" t="n">
        <v>100</v>
      </c>
      <c r="BX321" s="48" t="n">
        <v>98</v>
      </c>
      <c r="BY321" s="32" t="n">
        <v>25</v>
      </c>
      <c r="BZ321" s="32" t="n">
        <v>52</v>
      </c>
      <c r="CA321" s="32" t="n">
        <v>77</v>
      </c>
      <c r="CB321" s="32" t="n">
        <v>21</v>
      </c>
      <c r="CC321" s="32" t="n">
        <v>30</v>
      </c>
      <c r="CD321" s="69" t="n">
        <v>51</v>
      </c>
      <c r="CE321" s="32" t="n">
        <v>21</v>
      </c>
      <c r="CF321" s="32" t="n">
        <v>52</v>
      </c>
      <c r="CG321" s="32" t="n">
        <v>73</v>
      </c>
      <c r="CH321" s="32" t="n">
        <v>93</v>
      </c>
      <c r="CI321" s="32" t="n">
        <v>98</v>
      </c>
      <c r="CJ321" s="49" t="n">
        <v>25</v>
      </c>
      <c r="CK321" s="49" t="n">
        <v>45</v>
      </c>
      <c r="CL321" s="49" t="n">
        <v>70</v>
      </c>
      <c r="CM321" s="49" t="n">
        <v>25</v>
      </c>
      <c r="CN321" s="49" t="n">
        <v>56</v>
      </c>
      <c r="CO321" s="49" t="n">
        <v>81</v>
      </c>
      <c r="CP321" s="25" t="n">
        <f aca="false">BX321+BW321+BV321+BU321+BT321+BQ321+BN321</f>
        <v>644</v>
      </c>
      <c r="CQ321" s="25" t="n">
        <f aca="false">CO321+CL321+CI321+CH321+CG321+CD321+CA321</f>
        <v>543</v>
      </c>
      <c r="CR321" s="26" t="n">
        <f aca="false">CP321/7</f>
        <v>92</v>
      </c>
      <c r="CS321" s="26" t="n">
        <f aca="false">CQ321/7</f>
        <v>77.5714285714286</v>
      </c>
      <c r="CT321" s="24" t="n">
        <f aca="false">RANK(CR321,$CR$2:$CR$881,0)</f>
        <v>91</v>
      </c>
      <c r="CU321" s="25" t="n">
        <f aca="false">RANK(CS321,$CS$2:$CS$881,0)</f>
        <v>350</v>
      </c>
      <c r="CV321" s="26" t="n">
        <f aca="false">(CS321+CR321)/2</f>
        <v>84.7857142857143</v>
      </c>
      <c r="CW321" s="25" t="n">
        <f aca="false">RANK(CV321,$CV$2:$CV$881,0)</f>
        <v>225</v>
      </c>
      <c r="CX321" s="50" t="n">
        <f aca="false">(CV321+BB321)/2</f>
        <v>80.8928571428571</v>
      </c>
      <c r="CY321" s="50" t="n">
        <v>326</v>
      </c>
      <c r="CZ321" s="27" t="s">
        <v>132</v>
      </c>
      <c r="DA321" s="27" t="s">
        <v>162</v>
      </c>
      <c r="DB321" s="27" t="s">
        <v>162</v>
      </c>
      <c r="DC321" s="27" t="s">
        <v>134</v>
      </c>
      <c r="DD321" s="27" t="s">
        <v>182</v>
      </c>
      <c r="DE321" s="27" t="s">
        <v>447</v>
      </c>
      <c r="DF321" s="27" t="s">
        <v>382</v>
      </c>
      <c r="DG321" s="27" t="s">
        <v>134</v>
      </c>
      <c r="DH321" s="27" t="s">
        <v>135</v>
      </c>
      <c r="DI321" s="27" t="s">
        <v>220</v>
      </c>
      <c r="DJ321" s="27" t="s">
        <v>196</v>
      </c>
      <c r="DK321" s="27" t="s">
        <v>134</v>
      </c>
      <c r="DL321" s="27" t="s">
        <v>137</v>
      </c>
      <c r="DM321" s="27" t="s">
        <v>447</v>
      </c>
      <c r="DN321" s="27" t="s">
        <v>272</v>
      </c>
      <c r="DO321" s="27" t="s">
        <v>134</v>
      </c>
      <c r="DP321" s="27" t="s">
        <v>604</v>
      </c>
      <c r="DQ321" s="27" t="s">
        <v>399</v>
      </c>
      <c r="DR321" s="27" t="s">
        <v>152</v>
      </c>
      <c r="DS321" s="27" t="s">
        <v>134</v>
      </c>
      <c r="DT321" s="27" t="s">
        <v>182</v>
      </c>
      <c r="DU321" s="27" t="s">
        <v>442</v>
      </c>
      <c r="DV321" s="27" t="s">
        <v>486</v>
      </c>
      <c r="DW321" s="27" t="s">
        <v>140</v>
      </c>
      <c r="DX321" s="27" t="s">
        <v>163</v>
      </c>
      <c r="DY321" s="27" t="s">
        <v>156</v>
      </c>
      <c r="DZ321" s="27" t="n">
        <f aca="false">DY321+DV321+DR321+DN321+DJ321+DF321+DB321</f>
        <v>557</v>
      </c>
      <c r="EA321" s="28" t="n">
        <f aca="false">DZ321/7</f>
        <v>79.5714285714286</v>
      </c>
      <c r="EB321" s="27" t="n">
        <f aca="false">RANK(EA321,$EA$2:$EA$881,0)</f>
        <v>410</v>
      </c>
      <c r="EC321" s="29" t="n">
        <f aca="false">DZ321+CQ321+CP321+AZ321</f>
        <v>2514</v>
      </c>
      <c r="ED321" s="30" t="n">
        <f aca="false">(EA321+CV321+BB321)/3</f>
        <v>80.452380952381</v>
      </c>
      <c r="EE321" s="51" t="n">
        <f aca="false">ROUND(BE321,3)</f>
        <v>84.88</v>
      </c>
      <c r="EF321" s="51" t="n">
        <f aca="false">ROUND(CR321,3)</f>
        <v>92</v>
      </c>
      <c r="EG321" s="51" t="n">
        <f aca="false">ROUND(CS321,3)</f>
        <v>77.571</v>
      </c>
      <c r="EH321" s="51" t="n">
        <f aca="false">ROUND(EA321,3)</f>
        <v>79.571</v>
      </c>
      <c r="EI321" s="51" t="n">
        <f aca="false">ROUND(ED321,3)</f>
        <v>80.452</v>
      </c>
      <c r="EJ321" s="51" t="n">
        <f aca="false">ROUND(CV321,3)</f>
        <v>84.786</v>
      </c>
      <c r="EK321" s="0" t="n">
        <f aca="false">RANK(EI321,$EI$2:$EI$881,0)</f>
        <v>320</v>
      </c>
    </row>
    <row r="322" customFormat="false" ht="15" hidden="false" customHeight="false" outlineLevel="0" collapsed="false">
      <c r="A322" s="4" t="n">
        <v>1983</v>
      </c>
      <c r="B322" s="4" t="n">
        <v>771</v>
      </c>
      <c r="C322" s="27" t="s">
        <v>1083</v>
      </c>
      <c r="D322" s="31" t="n">
        <v>789</v>
      </c>
      <c r="E322" s="32" t="n">
        <v>230320962</v>
      </c>
      <c r="F322" s="8" t="s">
        <v>1084</v>
      </c>
      <c r="G322" s="22" t="s">
        <v>249</v>
      </c>
      <c r="H322" s="22" t="s">
        <v>129</v>
      </c>
      <c r="I322" s="33" t="n">
        <v>2005</v>
      </c>
      <c r="J322" s="32" t="n">
        <v>78</v>
      </c>
      <c r="K322" s="32" t="n">
        <v>73</v>
      </c>
      <c r="L322" s="34" t="n">
        <f aca="false">(K322*70)/100</f>
        <v>51.1</v>
      </c>
      <c r="M322" s="34" t="n">
        <f aca="false">ROUNDUP(L322,0)</f>
        <v>52</v>
      </c>
      <c r="N322" s="32" t="n">
        <v>25</v>
      </c>
      <c r="O322" s="34" t="n">
        <f aca="false">N322+L322</f>
        <v>76.1</v>
      </c>
      <c r="P322" s="34" t="n">
        <f aca="false">N322+M322</f>
        <v>77</v>
      </c>
      <c r="Q322" s="32" t="n">
        <v>71</v>
      </c>
      <c r="R322" s="32" t="n">
        <v>81</v>
      </c>
      <c r="S322" s="34" t="n">
        <f aca="false">(R322*70)/100</f>
        <v>56.7</v>
      </c>
      <c r="T322" s="34" t="n">
        <f aca="false">ROUNDUP(S322,0)</f>
        <v>57</v>
      </c>
      <c r="U322" s="32" t="n">
        <v>17</v>
      </c>
      <c r="V322" s="34" t="n">
        <f aca="false">U322+S322</f>
        <v>73.7</v>
      </c>
      <c r="W322" s="34" t="n">
        <f aca="false">U322+T322</f>
        <v>74</v>
      </c>
      <c r="X322" s="32" t="n">
        <v>63</v>
      </c>
      <c r="Y322" s="34" t="n">
        <f aca="false">(X322*70)/100</f>
        <v>44.1</v>
      </c>
      <c r="Z322" s="34" t="n">
        <f aca="false">ROUNDUP(Y322,0)</f>
        <v>45</v>
      </c>
      <c r="AA322" s="32" t="n">
        <v>23</v>
      </c>
      <c r="AB322" s="34" t="n">
        <f aca="false">AA322+Y322</f>
        <v>67.1</v>
      </c>
      <c r="AC322" s="34" t="n">
        <f aca="false">AA322+Z322</f>
        <v>68</v>
      </c>
      <c r="AD322" s="32" t="n">
        <f aca="false">X322+R322+Q322+K322+J322</f>
        <v>366</v>
      </c>
      <c r="AE322" s="16" t="n">
        <f aca="false">AD322/5</f>
        <v>73.2</v>
      </c>
      <c r="AF322" s="16" t="n">
        <v>74</v>
      </c>
      <c r="AG322" s="16" t="n">
        <v>77</v>
      </c>
      <c r="AH322" s="16" t="n">
        <v>90</v>
      </c>
      <c r="AI322" s="16" t="n">
        <v>88</v>
      </c>
      <c r="AJ322" s="16" t="n">
        <f aca="false">(AI322*70)/100</f>
        <v>61.6</v>
      </c>
      <c r="AK322" s="35" t="n">
        <f aca="false">ROUNDUP(AJ322,0)</f>
        <v>62</v>
      </c>
      <c r="AL322" s="16" t="n">
        <v>28</v>
      </c>
      <c r="AM322" s="16" t="n">
        <f aca="false">AL322+AJ322</f>
        <v>89.6</v>
      </c>
      <c r="AN322" s="16" t="n">
        <f aca="false">AL322+AK322</f>
        <v>90</v>
      </c>
      <c r="AO322" s="16" t="n">
        <v>73</v>
      </c>
      <c r="AP322" s="36" t="n">
        <f aca="false">(AO322*70)/100</f>
        <v>51.1</v>
      </c>
      <c r="AQ322" s="37" t="n">
        <f aca="false">ROUNDUP(AP322,0)</f>
        <v>52</v>
      </c>
      <c r="AR322" s="16" t="n">
        <v>24</v>
      </c>
      <c r="AS322" s="16" t="n">
        <f aca="false">AR322+AP322</f>
        <v>75.1</v>
      </c>
      <c r="AT322" s="16" t="n">
        <f aca="false">AR322+AQ322</f>
        <v>76</v>
      </c>
      <c r="AU322" s="16" t="n">
        <f aca="false">AO322+AF322+AI322+AH322+AG322</f>
        <v>402</v>
      </c>
      <c r="AV322" s="16" t="n">
        <f aca="false">(AO322+AF322+AI322+AH322+AG322)/5</f>
        <v>80.4</v>
      </c>
      <c r="AW322" s="36" t="n">
        <f aca="false">(AO322+AF322+AI322+AH322+AG322+X322+R322+Q322+K322+J322)</f>
        <v>768</v>
      </c>
      <c r="AX322" s="16" t="n">
        <f aca="false">AW322/10</f>
        <v>76.8</v>
      </c>
      <c r="AY322" s="16" t="n">
        <f aca="false">AS322+AF322+AM322+AH322+AG322+AB322+V322+Q322+O322+J322</f>
        <v>771.6</v>
      </c>
      <c r="AZ322" s="16" t="n">
        <f aca="false">AT322+AF322+AN322+AH322+AG322+AC322+W322+Q322+P322+J322</f>
        <v>775</v>
      </c>
      <c r="BA322" s="16" t="n">
        <f aca="false">AY322/10</f>
        <v>77.16</v>
      </c>
      <c r="BB322" s="16" t="n">
        <f aca="false">AZ322/10</f>
        <v>77.5</v>
      </c>
      <c r="BC322" s="16" t="n">
        <v>2384</v>
      </c>
      <c r="BD322" s="16" t="n">
        <f aca="false">RANK(AX322,$AX$2:$AX$881,0)</f>
        <v>527</v>
      </c>
      <c r="BE322" s="54" t="n">
        <f aca="false">((BC322*100)/2400)*0.4+(AX322*0.6)</f>
        <v>85.8133333333333</v>
      </c>
      <c r="BF322" s="16" t="n">
        <f aca="false">RANK(BE322,$BE$2:$BE$881,0)</f>
        <v>458</v>
      </c>
      <c r="BG322" s="39" t="n">
        <f aca="false">RANK(BB322,$BB$2:$BB$881,0)</f>
        <v>603</v>
      </c>
      <c r="BH322" s="39" t="n">
        <f aca="false">RANK(BC322,$BC$2:$BC$881,0)</f>
        <v>109</v>
      </c>
      <c r="BI322" s="22" t="s">
        <v>130</v>
      </c>
      <c r="BJ322" s="22" t="s">
        <v>129</v>
      </c>
      <c r="BK322" s="40" t="s">
        <v>509</v>
      </c>
      <c r="BL322" s="41" t="n">
        <v>18</v>
      </c>
      <c r="BM322" s="41" t="n">
        <v>59</v>
      </c>
      <c r="BN322" s="41" t="n">
        <v>77</v>
      </c>
      <c r="BO322" s="42" t="n">
        <v>23</v>
      </c>
      <c r="BP322" s="43" t="n">
        <v>58</v>
      </c>
      <c r="BQ322" s="44" t="n">
        <v>81</v>
      </c>
      <c r="BR322" s="42" t="n">
        <v>20</v>
      </c>
      <c r="BS322" s="45" t="n">
        <v>56</v>
      </c>
      <c r="BT322" s="45" t="n">
        <v>76</v>
      </c>
      <c r="BU322" s="46" t="n">
        <v>99</v>
      </c>
      <c r="BV322" s="47" t="n">
        <v>86</v>
      </c>
      <c r="BW322" s="42" t="n">
        <v>96</v>
      </c>
      <c r="BX322" s="48" t="n">
        <v>92</v>
      </c>
      <c r="BY322" s="32" t="n">
        <v>26</v>
      </c>
      <c r="BZ322" s="32" t="n">
        <v>56</v>
      </c>
      <c r="CA322" s="32" t="n">
        <v>82</v>
      </c>
      <c r="CB322" s="32" t="n">
        <v>20</v>
      </c>
      <c r="CC322" s="32" t="n">
        <v>41</v>
      </c>
      <c r="CD322" s="32" t="n">
        <v>61</v>
      </c>
      <c r="CE322" s="32" t="n">
        <v>24</v>
      </c>
      <c r="CF322" s="32" t="n">
        <v>47</v>
      </c>
      <c r="CG322" s="32" t="n">
        <v>71</v>
      </c>
      <c r="CH322" s="32" t="n">
        <v>98</v>
      </c>
      <c r="CI322" s="32" t="n">
        <v>98</v>
      </c>
      <c r="CJ322" s="49" t="n">
        <v>18</v>
      </c>
      <c r="CK322" s="49" t="n">
        <v>47</v>
      </c>
      <c r="CL322" s="49" t="n">
        <v>65</v>
      </c>
      <c r="CM322" s="49" t="n">
        <v>21</v>
      </c>
      <c r="CN322" s="49" t="n">
        <v>49</v>
      </c>
      <c r="CO322" s="49" t="n">
        <v>70</v>
      </c>
      <c r="CP322" s="25" t="n">
        <f aca="false">BX322+BW322+BV322+BU322+BT322+BQ322+BN322</f>
        <v>607</v>
      </c>
      <c r="CQ322" s="25" t="n">
        <f aca="false">CO322+CL322+CI322+CH322+CG322+CD322+CA322</f>
        <v>545</v>
      </c>
      <c r="CR322" s="26" t="n">
        <f aca="false">CP322/7</f>
        <v>86.7142857142857</v>
      </c>
      <c r="CS322" s="26" t="n">
        <f aca="false">CQ322/7</f>
        <v>77.8571428571429</v>
      </c>
      <c r="CT322" s="24" t="n">
        <f aca="false">RANK(CR322,$CR$2:$CR$881,0)</f>
        <v>367</v>
      </c>
      <c r="CU322" s="25" t="n">
        <f aca="false">RANK(CS322,$CS$2:$CS$881,0)</f>
        <v>336</v>
      </c>
      <c r="CV322" s="26" t="n">
        <f aca="false">(CS322+CR322)/2</f>
        <v>82.2857142857143</v>
      </c>
      <c r="CW322" s="25" t="n">
        <f aca="false">RANK(CV322,$CV$2:$CV$881,0)</f>
        <v>324</v>
      </c>
      <c r="CX322" s="50" t="n">
        <f aca="false">(CV322+BB322)/2</f>
        <v>79.8928571428571</v>
      </c>
      <c r="CY322" s="50" t="n">
        <v>375</v>
      </c>
      <c r="CZ322" s="27" t="s">
        <v>132</v>
      </c>
      <c r="DA322" s="27" t="s">
        <v>169</v>
      </c>
      <c r="DB322" s="27" t="s">
        <v>169</v>
      </c>
      <c r="DC322" s="27" t="s">
        <v>134</v>
      </c>
      <c r="DD322" s="27" t="s">
        <v>160</v>
      </c>
      <c r="DE322" s="27" t="s">
        <v>204</v>
      </c>
      <c r="DF322" s="27" t="s">
        <v>178</v>
      </c>
      <c r="DG322" s="27" t="s">
        <v>134</v>
      </c>
      <c r="DH322" s="27" t="s">
        <v>174</v>
      </c>
      <c r="DI322" s="27" t="s">
        <v>220</v>
      </c>
      <c r="DJ322" s="27" t="s">
        <v>305</v>
      </c>
      <c r="DK322" s="27" t="s">
        <v>134</v>
      </c>
      <c r="DL322" s="27" t="s">
        <v>195</v>
      </c>
      <c r="DM322" s="27" t="s">
        <v>218</v>
      </c>
      <c r="DN322" s="27" t="s">
        <v>305</v>
      </c>
      <c r="DO322" s="27" t="s">
        <v>134</v>
      </c>
      <c r="DP322" s="27" t="s">
        <v>195</v>
      </c>
      <c r="DQ322" s="27" t="s">
        <v>204</v>
      </c>
      <c r="DR322" s="27" t="s">
        <v>219</v>
      </c>
      <c r="DS322" s="27" t="s">
        <v>134</v>
      </c>
      <c r="DT322" s="27" t="s">
        <v>182</v>
      </c>
      <c r="DU322" s="27" t="s">
        <v>306</v>
      </c>
      <c r="DV322" s="27" t="s">
        <v>272</v>
      </c>
      <c r="DW322" s="27" t="s">
        <v>485</v>
      </c>
      <c r="DX322" s="27" t="s">
        <v>138</v>
      </c>
      <c r="DY322" s="27" t="s">
        <v>202</v>
      </c>
      <c r="DZ322" s="27" t="n">
        <f aca="false">DY322+DV322+DR322+DN322+DJ322+DF322+DB322</f>
        <v>571</v>
      </c>
      <c r="EA322" s="28" t="n">
        <f aca="false">DZ322/7</f>
        <v>81.5714285714286</v>
      </c>
      <c r="EB322" s="27" t="n">
        <f aca="false">RANK(EA322,$EA$2:$EA$881,0)</f>
        <v>326</v>
      </c>
      <c r="EC322" s="29" t="n">
        <f aca="false">DZ322+CQ322+CP322+AZ322</f>
        <v>2498</v>
      </c>
      <c r="ED322" s="30" t="n">
        <f aca="false">(EA322+CV322+BB322)/3</f>
        <v>80.452380952381</v>
      </c>
      <c r="EE322" s="51" t="n">
        <f aca="false">ROUND(BE322,3)</f>
        <v>85.813</v>
      </c>
      <c r="EF322" s="51" t="n">
        <f aca="false">ROUND(CR322,3)</f>
        <v>86.714</v>
      </c>
      <c r="EG322" s="51" t="n">
        <f aca="false">ROUND(CS322,3)</f>
        <v>77.857</v>
      </c>
      <c r="EH322" s="51" t="n">
        <f aca="false">ROUND(EA322,3)</f>
        <v>81.571</v>
      </c>
      <c r="EI322" s="51" t="n">
        <f aca="false">ROUND(ED322,3)</f>
        <v>80.452</v>
      </c>
      <c r="EJ322" s="51" t="n">
        <f aca="false">ROUND(CV322,3)</f>
        <v>82.286</v>
      </c>
      <c r="EK322" s="0" t="n">
        <f aca="false">RANK(EI322,$EI$2:$EI$881,0)</f>
        <v>320</v>
      </c>
    </row>
    <row r="323" customFormat="false" ht="15" hidden="false" customHeight="false" outlineLevel="0" collapsed="false">
      <c r="A323" s="4" t="n">
        <v>8658</v>
      </c>
      <c r="B323" s="4" t="n">
        <v>353</v>
      </c>
      <c r="C323" s="27" t="s">
        <v>1085</v>
      </c>
      <c r="D323" s="31" t="n">
        <v>358</v>
      </c>
      <c r="E323" s="16" t="n">
        <v>230235869</v>
      </c>
      <c r="F323" s="56" t="s">
        <v>1086</v>
      </c>
      <c r="G323" s="22" t="s">
        <v>518</v>
      </c>
      <c r="H323" s="22" t="s">
        <v>326</v>
      </c>
      <c r="I323" s="57"/>
      <c r="J323" s="16" t="n">
        <v>76</v>
      </c>
      <c r="K323" s="16" t="n">
        <v>62</v>
      </c>
      <c r="L323" s="34" t="n">
        <f aca="false">(K323*70)/100</f>
        <v>43.4</v>
      </c>
      <c r="M323" s="34" t="n">
        <f aca="false">ROUNDUP(L323,0)</f>
        <v>44</v>
      </c>
      <c r="N323" s="16" t="n">
        <v>27</v>
      </c>
      <c r="O323" s="34" t="n">
        <f aca="false">N323+L323</f>
        <v>70.4</v>
      </c>
      <c r="P323" s="34" t="n">
        <f aca="false">N323+M323</f>
        <v>71</v>
      </c>
      <c r="Q323" s="16" t="n">
        <v>73</v>
      </c>
      <c r="R323" s="16" t="n">
        <v>75</v>
      </c>
      <c r="S323" s="34" t="n">
        <f aca="false">(R323*70)/100</f>
        <v>52.5</v>
      </c>
      <c r="T323" s="34" t="n">
        <f aca="false">ROUNDUP(S323,0)</f>
        <v>53</v>
      </c>
      <c r="U323" s="16" t="n">
        <v>26</v>
      </c>
      <c r="V323" s="34" t="n">
        <f aca="false">U323+S323</f>
        <v>78.5</v>
      </c>
      <c r="W323" s="34" t="n">
        <f aca="false">U323+T323</f>
        <v>79</v>
      </c>
      <c r="X323" s="16" t="n">
        <v>81</v>
      </c>
      <c r="Y323" s="34" t="n">
        <f aca="false">(X323*70)/100</f>
        <v>56.7</v>
      </c>
      <c r="Z323" s="34" t="n">
        <f aca="false">ROUNDUP(Y323,0)</f>
        <v>57</v>
      </c>
      <c r="AA323" s="16" t="n">
        <v>25</v>
      </c>
      <c r="AB323" s="34" t="n">
        <f aca="false">AA323+Y323</f>
        <v>81.7</v>
      </c>
      <c r="AC323" s="34" t="n">
        <f aca="false">AA323+Z323</f>
        <v>82</v>
      </c>
      <c r="AD323" s="32" t="n">
        <f aca="false">X323+R323+Q323+K323+J323</f>
        <v>367</v>
      </c>
      <c r="AE323" s="16" t="n">
        <f aca="false">AD323/5</f>
        <v>73.4</v>
      </c>
      <c r="AF323" s="16" t="n">
        <v>80</v>
      </c>
      <c r="AG323" s="16" t="n">
        <v>84</v>
      </c>
      <c r="AH323" s="16" t="n">
        <v>92</v>
      </c>
      <c r="AI323" s="16" t="n">
        <v>83</v>
      </c>
      <c r="AJ323" s="16" t="n">
        <f aca="false">(AI323*70)/100</f>
        <v>58.1</v>
      </c>
      <c r="AK323" s="35" t="n">
        <f aca="false">ROUNDUP(AJ323,0)</f>
        <v>59</v>
      </c>
      <c r="AL323" s="16" t="n">
        <v>21</v>
      </c>
      <c r="AM323" s="16" t="n">
        <f aca="false">AL323+AJ323</f>
        <v>79.1</v>
      </c>
      <c r="AN323" s="16" t="n">
        <f aca="false">AL323+AK323</f>
        <v>80</v>
      </c>
      <c r="AO323" s="16" t="n">
        <v>81</v>
      </c>
      <c r="AP323" s="36" t="n">
        <f aca="false">(AO323*70)/100</f>
        <v>56.7</v>
      </c>
      <c r="AQ323" s="37" t="n">
        <f aca="false">ROUNDUP(AP323,0)</f>
        <v>57</v>
      </c>
      <c r="AR323" s="16" t="n">
        <v>26</v>
      </c>
      <c r="AS323" s="16" t="n">
        <f aca="false">AR323+AP323</f>
        <v>82.7</v>
      </c>
      <c r="AT323" s="16" t="n">
        <f aca="false">AR323+AQ323</f>
        <v>83</v>
      </c>
      <c r="AU323" s="16" t="n">
        <f aca="false">AO323+AF323+AI323+AH323+AG323</f>
        <v>420</v>
      </c>
      <c r="AV323" s="16" t="n">
        <f aca="false">(AO323+AF323+AI323+AH323+AG323)/5</f>
        <v>84</v>
      </c>
      <c r="AW323" s="36" t="n">
        <f aca="false">(AO323+AF323+AI323+AH323+AG323+X323+R323+Q323+K323+J323)</f>
        <v>787</v>
      </c>
      <c r="AX323" s="16" t="n">
        <f aca="false">AW323/10</f>
        <v>78.7</v>
      </c>
      <c r="AY323" s="16" t="n">
        <f aca="false">AS323+AF323+AM323+AH323+AG323+AB323+V323+Q323+O323+J323</f>
        <v>797.4</v>
      </c>
      <c r="AZ323" s="16" t="n">
        <f aca="false">AT323+AF323+AN323+AH323+AG323+AC323+W323+Q323+P323+J323</f>
        <v>800</v>
      </c>
      <c r="BA323" s="16" t="n">
        <f aca="false">AY323/10</f>
        <v>79.74</v>
      </c>
      <c r="BB323" s="16" t="n">
        <f aca="false">AZ323/10</f>
        <v>80</v>
      </c>
      <c r="BC323" s="16" t="n">
        <v>2379</v>
      </c>
      <c r="BD323" s="16" t="n">
        <f aca="false">RANK(AX323,$AX$2:$AX$881,0)</f>
        <v>358</v>
      </c>
      <c r="BE323" s="54" t="n">
        <f aca="false">((BC323*100)/2400)*0.4+(AX323*0.6)</f>
        <v>86.87</v>
      </c>
      <c r="BF323" s="16" t="n">
        <f aca="false">RANK(BE323,$BE$2:$BE$881,0)</f>
        <v>313</v>
      </c>
      <c r="BG323" s="39" t="n">
        <f aca="false">RANK(BB323,$BB$2:$BB$881,0)</f>
        <v>352</v>
      </c>
      <c r="BH323" s="39" t="n">
        <f aca="false">RANK(BC323,$BC$2:$BC$881,0)</f>
        <v>160</v>
      </c>
      <c r="BI323" s="22" t="s">
        <v>130</v>
      </c>
      <c r="BJ323" s="22" t="s">
        <v>129</v>
      </c>
      <c r="BK323" s="40" t="s">
        <v>131</v>
      </c>
      <c r="BL323" s="41" t="n">
        <v>21</v>
      </c>
      <c r="BM323" s="41" t="n">
        <v>54</v>
      </c>
      <c r="BN323" s="41" t="n">
        <v>75</v>
      </c>
      <c r="BO323" s="42" t="n">
        <v>17</v>
      </c>
      <c r="BP323" s="43" t="n">
        <v>56</v>
      </c>
      <c r="BQ323" s="44" t="n">
        <v>73</v>
      </c>
      <c r="BR323" s="42" t="n">
        <v>24</v>
      </c>
      <c r="BS323" s="45" t="n">
        <v>56</v>
      </c>
      <c r="BT323" s="45" t="n">
        <v>80</v>
      </c>
      <c r="BU323" s="46" t="n">
        <v>96</v>
      </c>
      <c r="BV323" s="47" t="n">
        <v>88</v>
      </c>
      <c r="BW323" s="42" t="n">
        <v>100</v>
      </c>
      <c r="BX323" s="48" t="n">
        <v>94</v>
      </c>
      <c r="BY323" s="32" t="n">
        <v>28</v>
      </c>
      <c r="BZ323" s="32" t="n">
        <v>42</v>
      </c>
      <c r="CA323" s="32" t="n">
        <v>70</v>
      </c>
      <c r="CB323" s="32" t="n">
        <v>22</v>
      </c>
      <c r="CC323" s="32" t="n">
        <v>37</v>
      </c>
      <c r="CD323" s="69" t="n">
        <v>59</v>
      </c>
      <c r="CE323" s="32" t="n">
        <v>26</v>
      </c>
      <c r="CF323" s="32" t="n">
        <v>52</v>
      </c>
      <c r="CG323" s="32" t="n">
        <v>78</v>
      </c>
      <c r="CH323" s="32" t="n">
        <v>95</v>
      </c>
      <c r="CI323" s="32" t="n">
        <v>93</v>
      </c>
      <c r="CJ323" s="49" t="n">
        <v>21</v>
      </c>
      <c r="CK323" s="49" t="n">
        <v>49</v>
      </c>
      <c r="CL323" s="49" t="n">
        <v>70</v>
      </c>
      <c r="CM323" s="49" t="n">
        <v>20</v>
      </c>
      <c r="CN323" s="49" t="n">
        <v>53</v>
      </c>
      <c r="CO323" s="49" t="n">
        <v>73</v>
      </c>
      <c r="CP323" s="25" t="n">
        <f aca="false">BX323+BW323+BV323+BU323+BT323+BQ323+BN323</f>
        <v>606</v>
      </c>
      <c r="CQ323" s="25" t="n">
        <f aca="false">CO323+CL323+CI323+CH323+CG323+CD323+CA323</f>
        <v>538</v>
      </c>
      <c r="CR323" s="26" t="n">
        <f aca="false">CP323/7</f>
        <v>86.5714285714286</v>
      </c>
      <c r="CS323" s="26" t="n">
        <f aca="false">CQ323/7</f>
        <v>76.8571428571429</v>
      </c>
      <c r="CT323" s="24" t="n">
        <f aca="false">RANK(CR323,$CR$2:$CR$881,0)</f>
        <v>372</v>
      </c>
      <c r="CU323" s="25" t="n">
        <f aca="false">RANK(CS323,$CS$2:$CS$881,0)</f>
        <v>370</v>
      </c>
      <c r="CV323" s="26" t="n">
        <f aca="false">(CS323+CR323)/2</f>
        <v>81.7142857142857</v>
      </c>
      <c r="CW323" s="25" t="n">
        <f aca="false">RANK(CV323,$CV$2:$CV$881,0)</f>
        <v>357</v>
      </c>
      <c r="CX323" s="50" t="n">
        <f aca="false">(CV323+BB323)/2</f>
        <v>80.8571428571429</v>
      </c>
      <c r="CY323" s="50" t="n">
        <v>330</v>
      </c>
      <c r="CZ323" s="27" t="s">
        <v>132</v>
      </c>
      <c r="DA323" s="27" t="s">
        <v>176</v>
      </c>
      <c r="DB323" s="27" t="s">
        <v>176</v>
      </c>
      <c r="DC323" s="27" t="s">
        <v>134</v>
      </c>
      <c r="DD323" s="27" t="s">
        <v>135</v>
      </c>
      <c r="DE323" s="27" t="s">
        <v>204</v>
      </c>
      <c r="DF323" s="27" t="s">
        <v>209</v>
      </c>
      <c r="DG323" s="27" t="s">
        <v>134</v>
      </c>
      <c r="DH323" s="27" t="s">
        <v>174</v>
      </c>
      <c r="DI323" s="27" t="s">
        <v>306</v>
      </c>
      <c r="DJ323" s="27" t="s">
        <v>382</v>
      </c>
      <c r="DK323" s="27" t="s">
        <v>134</v>
      </c>
      <c r="DL323" s="27" t="s">
        <v>154</v>
      </c>
      <c r="DM323" s="27" t="s">
        <v>375</v>
      </c>
      <c r="DN323" s="27" t="s">
        <v>486</v>
      </c>
      <c r="DO323" s="27" t="s">
        <v>134</v>
      </c>
      <c r="DP323" s="27" t="s">
        <v>264</v>
      </c>
      <c r="DQ323" s="27" t="s">
        <v>412</v>
      </c>
      <c r="DR323" s="27" t="s">
        <v>155</v>
      </c>
      <c r="DS323" s="27" t="s">
        <v>134</v>
      </c>
      <c r="DT323" s="27" t="s">
        <v>160</v>
      </c>
      <c r="DU323" s="27" t="s">
        <v>479</v>
      </c>
      <c r="DV323" s="27" t="s">
        <v>141</v>
      </c>
      <c r="DW323" s="27" t="s">
        <v>182</v>
      </c>
      <c r="DX323" s="27" t="s">
        <v>155</v>
      </c>
      <c r="DY323" s="27" t="s">
        <v>156</v>
      </c>
      <c r="DZ323" s="27" t="n">
        <f aca="false">DY323+DV323+DR323+DN323+DJ323+DF323+DB323</f>
        <v>557</v>
      </c>
      <c r="EA323" s="28" t="n">
        <f aca="false">DZ323/7</f>
        <v>79.5714285714286</v>
      </c>
      <c r="EB323" s="27" t="n">
        <f aca="false">RANK(EA323,$EA$2:$EA$881,0)</f>
        <v>410</v>
      </c>
      <c r="EC323" s="29" t="n">
        <f aca="false">DZ323+CQ323+CP323+AZ323</f>
        <v>2501</v>
      </c>
      <c r="ED323" s="30" t="n">
        <f aca="false">(EA323+CV323+BB323)/3</f>
        <v>80.4285714285714</v>
      </c>
      <c r="EE323" s="51" t="n">
        <f aca="false">ROUND(BE323,3)</f>
        <v>86.87</v>
      </c>
      <c r="EF323" s="51" t="n">
        <f aca="false">ROUND(CR323,3)</f>
        <v>86.571</v>
      </c>
      <c r="EG323" s="51" t="n">
        <f aca="false">ROUND(CS323,3)</f>
        <v>76.857</v>
      </c>
      <c r="EH323" s="51" t="n">
        <f aca="false">ROUND(EA323,3)</f>
        <v>79.571</v>
      </c>
      <c r="EI323" s="51" t="n">
        <f aca="false">ROUND(ED323,3)</f>
        <v>80.429</v>
      </c>
      <c r="EJ323" s="51" t="n">
        <f aca="false">ROUND(CV323,3)</f>
        <v>81.714</v>
      </c>
      <c r="EK323" s="0" t="n">
        <f aca="false">RANK(EI323,$EI$2:$EI$881,0)</f>
        <v>322</v>
      </c>
    </row>
    <row r="324" customFormat="false" ht="15" hidden="false" customHeight="false" outlineLevel="0" collapsed="false">
      <c r="A324" s="4" t="n">
        <v>8860</v>
      </c>
      <c r="B324" s="4" t="n">
        <v>99</v>
      </c>
      <c r="C324" s="27" t="s">
        <v>1087</v>
      </c>
      <c r="D324" s="52" t="n">
        <v>99</v>
      </c>
      <c r="E324" s="32" t="n">
        <v>230320451</v>
      </c>
      <c r="F324" s="8" t="s">
        <v>1088</v>
      </c>
      <c r="G324" s="22" t="s">
        <v>1089</v>
      </c>
      <c r="H324" s="22" t="s">
        <v>129</v>
      </c>
      <c r="I324" s="33" t="n">
        <v>2005</v>
      </c>
      <c r="J324" s="32" t="n">
        <v>77</v>
      </c>
      <c r="K324" s="32" t="n">
        <v>88</v>
      </c>
      <c r="L324" s="34" t="n">
        <f aca="false">(K324*70)/100</f>
        <v>61.6</v>
      </c>
      <c r="M324" s="34" t="n">
        <f aca="false">ROUNDUP(L324,0)</f>
        <v>62</v>
      </c>
      <c r="N324" s="32" t="n">
        <v>29</v>
      </c>
      <c r="O324" s="34" t="n">
        <f aca="false">N324+L324</f>
        <v>90.6</v>
      </c>
      <c r="P324" s="34" t="n">
        <f aca="false">N324+M324</f>
        <v>91</v>
      </c>
      <c r="Q324" s="32" t="n">
        <v>80</v>
      </c>
      <c r="R324" s="32" t="n">
        <v>84</v>
      </c>
      <c r="S324" s="34" t="n">
        <f aca="false">(R324*70)/100</f>
        <v>58.8</v>
      </c>
      <c r="T324" s="34" t="n">
        <f aca="false">ROUNDUP(S324,0)</f>
        <v>59</v>
      </c>
      <c r="U324" s="32" t="n">
        <v>24</v>
      </c>
      <c r="V324" s="34" t="n">
        <f aca="false">U324+S324</f>
        <v>82.8</v>
      </c>
      <c r="W324" s="34" t="n">
        <f aca="false">U324+T324</f>
        <v>83</v>
      </c>
      <c r="X324" s="32" t="n">
        <v>80</v>
      </c>
      <c r="Y324" s="34" t="n">
        <f aca="false">(X324*70)/100</f>
        <v>56</v>
      </c>
      <c r="Z324" s="34" t="n">
        <f aca="false">ROUNDUP(Y324,0)</f>
        <v>56</v>
      </c>
      <c r="AA324" s="32" t="n">
        <v>27</v>
      </c>
      <c r="AB324" s="34" t="n">
        <f aca="false">AA324+Y324</f>
        <v>83</v>
      </c>
      <c r="AC324" s="34" t="n">
        <f aca="false">AA324+Z324</f>
        <v>83</v>
      </c>
      <c r="AD324" s="32" t="n">
        <f aca="false">X324+R324+Q324+K324+J324</f>
        <v>409</v>
      </c>
      <c r="AE324" s="16" t="n">
        <f aca="false">AD324/5</f>
        <v>81.8</v>
      </c>
      <c r="AF324" s="16" t="n">
        <v>75</v>
      </c>
      <c r="AG324" s="16" t="n">
        <v>82</v>
      </c>
      <c r="AH324" s="16" t="n">
        <v>93</v>
      </c>
      <c r="AI324" s="16" t="n">
        <v>88</v>
      </c>
      <c r="AJ324" s="16" t="n">
        <f aca="false">(AI324*70)/100</f>
        <v>61.6</v>
      </c>
      <c r="AK324" s="35" t="n">
        <f aca="false">ROUNDUP(AJ324,0)</f>
        <v>62</v>
      </c>
      <c r="AL324" s="16" t="n">
        <v>27</v>
      </c>
      <c r="AM324" s="16" t="n">
        <f aca="false">AL324+AJ324</f>
        <v>88.6</v>
      </c>
      <c r="AN324" s="16" t="n">
        <f aca="false">AL324+AK324</f>
        <v>89</v>
      </c>
      <c r="AO324" s="16" t="n">
        <v>77</v>
      </c>
      <c r="AP324" s="36" t="n">
        <f aca="false">(AO324*70)/100</f>
        <v>53.9</v>
      </c>
      <c r="AQ324" s="37" t="n">
        <f aca="false">ROUNDUP(AP324,0)</f>
        <v>54</v>
      </c>
      <c r="AR324" s="16" t="n">
        <v>27</v>
      </c>
      <c r="AS324" s="16" t="n">
        <f aca="false">AR324+AP324</f>
        <v>80.9</v>
      </c>
      <c r="AT324" s="16" t="n">
        <f aca="false">AR324+AQ324</f>
        <v>81</v>
      </c>
      <c r="AU324" s="16" t="n">
        <f aca="false">AO324+AF324+AI324+AH324+AG324</f>
        <v>415</v>
      </c>
      <c r="AV324" s="16" t="n">
        <f aca="false">(AO324+AF324+AI324+AH324+AG324)/5</f>
        <v>83</v>
      </c>
      <c r="AW324" s="36" t="n">
        <f aca="false">(AO324+AF324+AI324+AH324+AG324+X324+R324+Q324+K324+J324)</f>
        <v>824</v>
      </c>
      <c r="AX324" s="16" t="n">
        <f aca="false">AW324/10</f>
        <v>82.4</v>
      </c>
      <c r="AY324" s="16" t="n">
        <f aca="false">AS324+AF324+AM324+AH324+AG324+AB324+V324+Q324+O324+J324</f>
        <v>832.9</v>
      </c>
      <c r="AZ324" s="16" t="n">
        <f aca="false">AT324+AF324+AN324+AH324+AG324+AC324+W324+Q324+P324+J324</f>
        <v>834</v>
      </c>
      <c r="BA324" s="16" t="n">
        <f aca="false">AY324/10</f>
        <v>83.29</v>
      </c>
      <c r="BB324" s="16" t="n">
        <f aca="false">AZ324/10</f>
        <v>83.4</v>
      </c>
      <c r="BC324" s="16" t="n">
        <v>2371</v>
      </c>
      <c r="BD324" s="16" t="n">
        <f aca="false">RANK(AX324,$AX$2:$AX$881,0)</f>
        <v>143</v>
      </c>
      <c r="BE324" s="54" t="n">
        <f aca="false">((BC324*100)/2400)*0.4+(AX324*0.6)</f>
        <v>88.9566666666667</v>
      </c>
      <c r="BF324" s="16" t="n">
        <f aca="false">RANK(BE324,$BE$2:$BE$881,0)</f>
        <v>138</v>
      </c>
      <c r="BG324" s="39" t="n">
        <f aca="false">RANK(BB324,$BB$2:$BB$881,0)</f>
        <v>146</v>
      </c>
      <c r="BH324" s="39" t="n">
        <f aca="false">RANK(BC324,$BC$2:$BC$881,0)</f>
        <v>257</v>
      </c>
      <c r="BI324" s="22" t="s">
        <v>130</v>
      </c>
      <c r="BJ324" s="22" t="s">
        <v>129</v>
      </c>
      <c r="BK324" s="40" t="s">
        <v>131</v>
      </c>
      <c r="BL324" s="41" t="n">
        <v>18</v>
      </c>
      <c r="BM324" s="41" t="n">
        <v>56</v>
      </c>
      <c r="BN324" s="41" t="n">
        <v>74</v>
      </c>
      <c r="BO324" s="42" t="n">
        <v>22</v>
      </c>
      <c r="BP324" s="43" t="n">
        <v>57</v>
      </c>
      <c r="BQ324" s="44" t="n">
        <v>79</v>
      </c>
      <c r="BR324" s="42" t="n">
        <v>25</v>
      </c>
      <c r="BS324" s="45" t="n">
        <v>58</v>
      </c>
      <c r="BT324" s="45" t="n">
        <v>83</v>
      </c>
      <c r="BU324" s="46" t="n">
        <v>99</v>
      </c>
      <c r="BV324" s="47" t="n">
        <v>94</v>
      </c>
      <c r="BW324" s="42" t="n">
        <v>99</v>
      </c>
      <c r="BX324" s="48" t="n">
        <v>92</v>
      </c>
      <c r="BY324" s="32" t="n">
        <v>24</v>
      </c>
      <c r="BZ324" s="32" t="n">
        <v>57</v>
      </c>
      <c r="CA324" s="32" t="n">
        <v>81</v>
      </c>
      <c r="CB324" s="32" t="n">
        <v>20</v>
      </c>
      <c r="CC324" s="32" t="n">
        <v>30</v>
      </c>
      <c r="CD324" s="69" t="n">
        <v>50</v>
      </c>
      <c r="CE324" s="32" t="n">
        <v>20</v>
      </c>
      <c r="CF324" s="32" t="n">
        <v>56</v>
      </c>
      <c r="CG324" s="32" t="n">
        <v>76</v>
      </c>
      <c r="CH324" s="32" t="n">
        <v>96</v>
      </c>
      <c r="CI324" s="32" t="n">
        <v>96</v>
      </c>
      <c r="CJ324" s="49" t="n">
        <v>27</v>
      </c>
      <c r="CK324" s="49" t="n">
        <v>46</v>
      </c>
      <c r="CL324" s="49" t="n">
        <v>73</v>
      </c>
      <c r="CM324" s="49" t="n">
        <v>22</v>
      </c>
      <c r="CN324" s="49" t="n">
        <v>57</v>
      </c>
      <c r="CO324" s="49" t="n">
        <v>79</v>
      </c>
      <c r="CP324" s="25" t="n">
        <f aca="false">BX324+BW324+BV324+BU324+BT324+BQ324+BN324</f>
        <v>620</v>
      </c>
      <c r="CQ324" s="25" t="n">
        <f aca="false">CO324+CL324+CI324+CH324+CG324+CD324+CA324</f>
        <v>551</v>
      </c>
      <c r="CR324" s="26" t="n">
        <f aca="false">CP324/7</f>
        <v>88.5714285714286</v>
      </c>
      <c r="CS324" s="26" t="n">
        <f aca="false">CQ324/7</f>
        <v>78.7142857142857</v>
      </c>
      <c r="CT324" s="24" t="n">
        <f aca="false">RANK(CR324,$CR$2:$CR$881,0)</f>
        <v>265</v>
      </c>
      <c r="CU324" s="25" t="n">
        <f aca="false">RANK(CS324,$CS$2:$CS$881,0)</f>
        <v>313</v>
      </c>
      <c r="CV324" s="26" t="n">
        <f aca="false">(CS324+CR324)/2</f>
        <v>83.6428571428571</v>
      </c>
      <c r="CW324" s="25" t="n">
        <f aca="false">RANK(CV324,$CV$2:$CV$881,0)</f>
        <v>270</v>
      </c>
      <c r="CX324" s="50" t="n">
        <f aca="false">(CV324+BB324)/2</f>
        <v>83.5214285714286</v>
      </c>
      <c r="CY324" s="50" t="n">
        <v>189</v>
      </c>
      <c r="CZ324" s="27" t="s">
        <v>132</v>
      </c>
      <c r="DA324" s="27" t="s">
        <v>443</v>
      </c>
      <c r="DB324" s="27" t="s">
        <v>443</v>
      </c>
      <c r="DC324" s="27" t="s">
        <v>134</v>
      </c>
      <c r="DD324" s="27" t="s">
        <v>135</v>
      </c>
      <c r="DE324" s="27" t="s">
        <v>442</v>
      </c>
      <c r="DF324" s="27" t="s">
        <v>372</v>
      </c>
      <c r="DG324" s="27" t="s">
        <v>134</v>
      </c>
      <c r="DH324" s="27" t="s">
        <v>386</v>
      </c>
      <c r="DI324" s="27" t="s">
        <v>304</v>
      </c>
      <c r="DJ324" s="27" t="s">
        <v>398</v>
      </c>
      <c r="DK324" s="27" t="s">
        <v>134</v>
      </c>
      <c r="DL324" s="27" t="s">
        <v>137</v>
      </c>
      <c r="DM324" s="27" t="s">
        <v>673</v>
      </c>
      <c r="DN324" s="27" t="s">
        <v>141</v>
      </c>
      <c r="DO324" s="27" t="s">
        <v>134</v>
      </c>
      <c r="DP324" s="27" t="s">
        <v>264</v>
      </c>
      <c r="DQ324" s="27" t="s">
        <v>412</v>
      </c>
      <c r="DR324" s="27" t="s">
        <v>155</v>
      </c>
      <c r="DS324" s="27" t="s">
        <v>134</v>
      </c>
      <c r="DT324" s="27" t="s">
        <v>137</v>
      </c>
      <c r="DU324" s="27" t="s">
        <v>313</v>
      </c>
      <c r="DV324" s="27" t="s">
        <v>305</v>
      </c>
      <c r="DW324" s="27" t="s">
        <v>485</v>
      </c>
      <c r="DX324" s="27" t="s">
        <v>163</v>
      </c>
      <c r="DY324" s="27" t="s">
        <v>205</v>
      </c>
      <c r="DZ324" s="27" t="n">
        <f aca="false">DY324+DV324+DR324+DN324+DJ324+DF324+DB324</f>
        <v>519</v>
      </c>
      <c r="EA324" s="28" t="n">
        <f aca="false">DZ324/7</f>
        <v>74.1428571428571</v>
      </c>
      <c r="EB324" s="27" t="n">
        <f aca="false">RANK(EA324,$EA$2:$EA$881,0)</f>
        <v>560</v>
      </c>
      <c r="EC324" s="29" t="n">
        <f aca="false">DZ324+CQ324+CP324+AZ324</f>
        <v>2524</v>
      </c>
      <c r="ED324" s="30" t="n">
        <f aca="false">(EA324+CV324+BB324)/3</f>
        <v>80.3952380952381</v>
      </c>
      <c r="EE324" s="51" t="n">
        <f aca="false">ROUND(BE324,3)</f>
        <v>88.957</v>
      </c>
      <c r="EF324" s="51" t="n">
        <f aca="false">ROUND(CR324,3)</f>
        <v>88.571</v>
      </c>
      <c r="EG324" s="51" t="n">
        <f aca="false">ROUND(CS324,3)</f>
        <v>78.714</v>
      </c>
      <c r="EH324" s="51" t="n">
        <f aca="false">ROUND(EA324,3)</f>
        <v>74.143</v>
      </c>
      <c r="EI324" s="51" t="n">
        <f aca="false">ROUND(ED324,3)</f>
        <v>80.395</v>
      </c>
      <c r="EJ324" s="51" t="n">
        <f aca="false">ROUND(CV324,3)</f>
        <v>83.643</v>
      </c>
      <c r="EK324" s="0" t="n">
        <f aca="false">RANK(EI324,$EI$2:$EI$881,0)</f>
        <v>323</v>
      </c>
    </row>
    <row r="325" customFormat="false" ht="15" hidden="false" customHeight="false" outlineLevel="0" collapsed="false">
      <c r="A325" s="4" t="n">
        <v>8764</v>
      </c>
      <c r="B325" s="4" t="n">
        <v>661</v>
      </c>
      <c r="C325" s="27" t="s">
        <v>1090</v>
      </c>
      <c r="D325" s="31" t="n">
        <v>674</v>
      </c>
      <c r="E325" s="16" t="n">
        <v>230614295</v>
      </c>
      <c r="F325" s="56" t="s">
        <v>1091</v>
      </c>
      <c r="G325" s="22" t="s">
        <v>1092</v>
      </c>
      <c r="H325" s="22" t="s">
        <v>558</v>
      </c>
      <c r="I325" s="57"/>
      <c r="J325" s="16" t="n">
        <v>60</v>
      </c>
      <c r="K325" s="16" t="n">
        <v>82</v>
      </c>
      <c r="L325" s="34" t="n">
        <f aca="false">(K325*70)/100</f>
        <v>57.4</v>
      </c>
      <c r="M325" s="34" t="n">
        <f aca="false">ROUNDUP(L325,0)</f>
        <v>58</v>
      </c>
      <c r="N325" s="16" t="n">
        <v>28</v>
      </c>
      <c r="O325" s="34" t="n">
        <f aca="false">N325+L325</f>
        <v>85.4</v>
      </c>
      <c r="P325" s="34" t="n">
        <f aca="false">N325+M325</f>
        <v>86</v>
      </c>
      <c r="Q325" s="16" t="n">
        <v>68</v>
      </c>
      <c r="R325" s="16" t="n">
        <v>77</v>
      </c>
      <c r="S325" s="34" t="n">
        <f aca="false">(R325*70)/100</f>
        <v>53.9</v>
      </c>
      <c r="T325" s="34" t="n">
        <f aca="false">ROUNDUP(S325,0)</f>
        <v>54</v>
      </c>
      <c r="U325" s="16" t="n">
        <v>26</v>
      </c>
      <c r="V325" s="34" t="n">
        <f aca="false">U325+S325</f>
        <v>79.9</v>
      </c>
      <c r="W325" s="34" t="n">
        <f aca="false">U325+T325</f>
        <v>80</v>
      </c>
      <c r="X325" s="16" t="n">
        <v>69</v>
      </c>
      <c r="Y325" s="34" t="n">
        <f aca="false">(X325*70)/100</f>
        <v>48.3</v>
      </c>
      <c r="Z325" s="34" t="n">
        <f aca="false">ROUNDUP(Y325,0)</f>
        <v>49</v>
      </c>
      <c r="AA325" s="16" t="n">
        <v>22</v>
      </c>
      <c r="AB325" s="34" t="n">
        <f aca="false">AA325+Y325</f>
        <v>70.3</v>
      </c>
      <c r="AC325" s="34" t="n">
        <f aca="false">AA325+Z325</f>
        <v>71</v>
      </c>
      <c r="AD325" s="32" t="n">
        <f aca="false">X325+R325+Q325+K325+J325</f>
        <v>356</v>
      </c>
      <c r="AE325" s="16" t="n">
        <f aca="false">AD325/5</f>
        <v>71.2</v>
      </c>
      <c r="AF325" s="16" t="n">
        <v>84</v>
      </c>
      <c r="AG325" s="16" t="n">
        <v>80</v>
      </c>
      <c r="AH325" s="16" t="n">
        <v>97</v>
      </c>
      <c r="AI325" s="16" t="n">
        <v>92</v>
      </c>
      <c r="AJ325" s="16" t="n">
        <f aca="false">(AI325*70)/100</f>
        <v>64.4</v>
      </c>
      <c r="AK325" s="35" t="n">
        <f aca="false">ROUNDUP(AJ325,0)</f>
        <v>65</v>
      </c>
      <c r="AL325" s="16" t="n">
        <v>26</v>
      </c>
      <c r="AM325" s="16" t="n">
        <f aca="false">AL325+AJ325</f>
        <v>90.4</v>
      </c>
      <c r="AN325" s="16" t="n">
        <f aca="false">AL325+AK325</f>
        <v>91</v>
      </c>
      <c r="AO325" s="16" t="n">
        <v>88</v>
      </c>
      <c r="AP325" s="36" t="n">
        <f aca="false">(AO325*70)/100</f>
        <v>61.6</v>
      </c>
      <c r="AQ325" s="37" t="n">
        <f aca="false">ROUNDUP(AP325,0)</f>
        <v>62</v>
      </c>
      <c r="AR325" s="16" t="n">
        <v>29</v>
      </c>
      <c r="AS325" s="16" t="n">
        <f aca="false">AR325+AP325</f>
        <v>90.6</v>
      </c>
      <c r="AT325" s="16" t="n">
        <f aca="false">AR325+AQ325</f>
        <v>91</v>
      </c>
      <c r="AU325" s="16" t="n">
        <f aca="false">AO325+AF325+AI325+AH325+AG325</f>
        <v>441</v>
      </c>
      <c r="AV325" s="16" t="n">
        <f aca="false">(AO325+AF325+AI325+AH325+AG325)/5</f>
        <v>88.2</v>
      </c>
      <c r="AW325" s="36" t="n">
        <f aca="false">(AO325+AF325+AI325+AH325+AG325+X325+R325+Q325+K325+J325)</f>
        <v>797</v>
      </c>
      <c r="AX325" s="16" t="n">
        <f aca="false">AW325/10</f>
        <v>79.7</v>
      </c>
      <c r="AY325" s="16" t="n">
        <f aca="false">AS325+AF325+AM325+AH325+AG325+AB325+V325+Q325+O325+J325</f>
        <v>805.6</v>
      </c>
      <c r="AZ325" s="16" t="n">
        <f aca="false">AT325+AF325+AN325+AH325+AG325+AC325+W325+Q325+P325+J325</f>
        <v>808</v>
      </c>
      <c r="BA325" s="16" t="n">
        <f aca="false">AY325/10</f>
        <v>80.56</v>
      </c>
      <c r="BB325" s="16" t="n">
        <f aca="false">AZ325/10</f>
        <v>80.8</v>
      </c>
      <c r="BC325" s="16" t="n">
        <v>2341</v>
      </c>
      <c r="BD325" s="16" t="n">
        <f aca="false">RANK(AX325,$AX$2:$AX$881,0)</f>
        <v>288</v>
      </c>
      <c r="BE325" s="54" t="n">
        <f aca="false">((BC325*100)/2400)*0.4+(AX325*0.6)</f>
        <v>86.8366666666667</v>
      </c>
      <c r="BF325" s="16" t="n">
        <f aca="false">RANK(BE325,$BE$2:$BE$881,0)</f>
        <v>317</v>
      </c>
      <c r="BG325" s="39" t="n">
        <f aca="false">RANK(BB325,$BB$2:$BB$881,0)</f>
        <v>290</v>
      </c>
      <c r="BH325" s="39" t="n">
        <f aca="false">RANK(BC325,$BC$2:$BC$881,0)</f>
        <v>628</v>
      </c>
      <c r="BI325" s="22" t="s">
        <v>130</v>
      </c>
      <c r="BJ325" s="22" t="s">
        <v>129</v>
      </c>
      <c r="BK325" s="40" t="s">
        <v>131</v>
      </c>
      <c r="BL325" s="41" t="n">
        <v>23</v>
      </c>
      <c r="BM325" s="41" t="n">
        <v>56</v>
      </c>
      <c r="BN325" s="41" t="n">
        <v>79</v>
      </c>
      <c r="BO325" s="42" t="n">
        <v>24</v>
      </c>
      <c r="BP325" s="43" t="n">
        <v>60</v>
      </c>
      <c r="BQ325" s="44" t="n">
        <v>84</v>
      </c>
      <c r="BR325" s="42" t="n">
        <v>19</v>
      </c>
      <c r="BS325" s="45" t="n">
        <v>52</v>
      </c>
      <c r="BT325" s="45" t="n">
        <v>71</v>
      </c>
      <c r="BU325" s="46" t="n">
        <v>99</v>
      </c>
      <c r="BV325" s="47" t="n">
        <v>74</v>
      </c>
      <c r="BW325" s="42" t="n">
        <v>98</v>
      </c>
      <c r="BX325" s="62" t="n">
        <v>94</v>
      </c>
      <c r="BY325" s="62" t="n">
        <v>25</v>
      </c>
      <c r="BZ325" s="62" t="n">
        <v>46</v>
      </c>
      <c r="CA325" s="62" t="n">
        <v>71</v>
      </c>
      <c r="CB325" s="62" t="n">
        <v>19</v>
      </c>
      <c r="CC325" s="62" t="n">
        <v>35</v>
      </c>
      <c r="CD325" s="89" t="n">
        <v>54</v>
      </c>
      <c r="CE325" s="62" t="n">
        <v>23</v>
      </c>
      <c r="CF325" s="62" t="n">
        <v>45</v>
      </c>
      <c r="CG325" s="62" t="n">
        <v>68</v>
      </c>
      <c r="CH325" s="62" t="n">
        <v>95</v>
      </c>
      <c r="CI325" s="62" t="n">
        <v>93</v>
      </c>
      <c r="CJ325" s="75" t="n">
        <v>20</v>
      </c>
      <c r="CK325" s="75" t="n">
        <v>44</v>
      </c>
      <c r="CL325" s="75" t="n">
        <v>64</v>
      </c>
      <c r="CM325" s="49" t="n">
        <v>22</v>
      </c>
      <c r="CN325" s="49" t="n">
        <v>49</v>
      </c>
      <c r="CO325" s="49" t="n">
        <v>71</v>
      </c>
      <c r="CP325" s="25" t="n">
        <f aca="false">BX325+BW325+BV325+BU325+BT325+BQ325+BN325</f>
        <v>599</v>
      </c>
      <c r="CQ325" s="25" t="n">
        <f aca="false">CO325+CL325+CI325+CH325+CG325+CD325+CA325</f>
        <v>516</v>
      </c>
      <c r="CR325" s="26" t="n">
        <f aca="false">CP325/7</f>
        <v>85.5714285714286</v>
      </c>
      <c r="CS325" s="26" t="n">
        <f aca="false">CQ325/7</f>
        <v>73.7142857142857</v>
      </c>
      <c r="CT325" s="24" t="n">
        <f aca="false">RANK(CR325,$CR$2:$CR$881,0)</f>
        <v>418</v>
      </c>
      <c r="CU325" s="25" t="n">
        <f aca="false">RANK(CS325,$CS$2:$CS$881,0)</f>
        <v>465</v>
      </c>
      <c r="CV325" s="26" t="n">
        <f aca="false">(CS325+CR325)/2</f>
        <v>79.6428571428571</v>
      </c>
      <c r="CW325" s="25" t="n">
        <f aca="false">RANK(CV325,$CV$2:$CV$881,0)</f>
        <v>443</v>
      </c>
      <c r="CX325" s="50" t="n">
        <f aca="false">(CV325+BB325)/2</f>
        <v>80.2214285714286</v>
      </c>
      <c r="CY325" s="50" t="n">
        <v>363</v>
      </c>
      <c r="CZ325" s="27" t="s">
        <v>132</v>
      </c>
      <c r="DA325" s="27" t="s">
        <v>305</v>
      </c>
      <c r="DB325" s="27" t="s">
        <v>305</v>
      </c>
      <c r="DC325" s="27" t="s">
        <v>134</v>
      </c>
      <c r="DD325" s="27" t="s">
        <v>182</v>
      </c>
      <c r="DE325" s="27" t="s">
        <v>177</v>
      </c>
      <c r="DF325" s="27" t="s">
        <v>209</v>
      </c>
      <c r="DG325" s="27" t="s">
        <v>134</v>
      </c>
      <c r="DH325" s="27" t="s">
        <v>182</v>
      </c>
      <c r="DI325" s="27" t="s">
        <v>177</v>
      </c>
      <c r="DJ325" s="27" t="s">
        <v>209</v>
      </c>
      <c r="DK325" s="27" t="s">
        <v>134</v>
      </c>
      <c r="DL325" s="27" t="s">
        <v>135</v>
      </c>
      <c r="DM325" s="27" t="s">
        <v>304</v>
      </c>
      <c r="DN325" s="27" t="s">
        <v>272</v>
      </c>
      <c r="DO325" s="27" t="s">
        <v>134</v>
      </c>
      <c r="DP325" s="27" t="s">
        <v>264</v>
      </c>
      <c r="DQ325" s="27" t="s">
        <v>412</v>
      </c>
      <c r="DR325" s="27" t="s">
        <v>155</v>
      </c>
      <c r="DS325" s="27" t="s">
        <v>134</v>
      </c>
      <c r="DT325" s="27" t="s">
        <v>182</v>
      </c>
      <c r="DU325" s="27" t="s">
        <v>412</v>
      </c>
      <c r="DV325" s="27" t="s">
        <v>441</v>
      </c>
      <c r="DW325" s="27" t="s">
        <v>160</v>
      </c>
      <c r="DX325" s="27" t="s">
        <v>141</v>
      </c>
      <c r="DY325" s="27" t="s">
        <v>139</v>
      </c>
      <c r="DZ325" s="27" t="n">
        <f aca="false">DY325+DV325+DR325+DN325+DJ325+DF325+DB325</f>
        <v>565</v>
      </c>
      <c r="EA325" s="28" t="n">
        <f aca="false">DZ325/7</f>
        <v>80.7142857142857</v>
      </c>
      <c r="EB325" s="27" t="n">
        <f aca="false">RANK(EA325,$EA$2:$EA$881,0)</f>
        <v>361</v>
      </c>
      <c r="EC325" s="29" t="n">
        <f aca="false">DZ325+CQ325+CP325+AZ325</f>
        <v>2488</v>
      </c>
      <c r="ED325" s="30" t="n">
        <f aca="false">(EA325+CV325+BB325)/3</f>
        <v>80.3857142857143</v>
      </c>
      <c r="EE325" s="51" t="n">
        <f aca="false">ROUND(BE325,3)</f>
        <v>86.837</v>
      </c>
      <c r="EF325" s="51" t="n">
        <f aca="false">ROUND(CR325,3)</f>
        <v>85.571</v>
      </c>
      <c r="EG325" s="51" t="n">
        <f aca="false">ROUND(CS325,3)</f>
        <v>73.714</v>
      </c>
      <c r="EH325" s="51" t="n">
        <f aca="false">ROUND(EA325,3)</f>
        <v>80.714</v>
      </c>
      <c r="EI325" s="51" t="n">
        <f aca="false">ROUND(ED325,3)</f>
        <v>80.386</v>
      </c>
      <c r="EJ325" s="51" t="n">
        <f aca="false">ROUND(CV325,3)</f>
        <v>79.643</v>
      </c>
      <c r="EK325" s="0" t="n">
        <f aca="false">RANK(EI325,$EI$2:$EI$881,0)</f>
        <v>324</v>
      </c>
    </row>
    <row r="326" customFormat="false" ht="15" hidden="false" customHeight="false" outlineLevel="0" collapsed="false">
      <c r="A326" s="4" t="n">
        <v>8714</v>
      </c>
      <c r="B326" s="4" t="n">
        <v>469</v>
      </c>
      <c r="C326" s="27" t="s">
        <v>1093</v>
      </c>
      <c r="D326" s="31" t="n">
        <v>477</v>
      </c>
      <c r="E326" s="32" t="n">
        <v>230311452</v>
      </c>
      <c r="F326" s="8" t="s">
        <v>1094</v>
      </c>
      <c r="G326" s="22" t="s">
        <v>252</v>
      </c>
      <c r="H326" s="22" t="s">
        <v>129</v>
      </c>
      <c r="I326" s="33" t="n">
        <v>2006</v>
      </c>
      <c r="J326" s="32" t="n">
        <v>74</v>
      </c>
      <c r="K326" s="32" t="n">
        <v>91</v>
      </c>
      <c r="L326" s="34" t="n">
        <f aca="false">(K326*70)/100</f>
        <v>63.7</v>
      </c>
      <c r="M326" s="34" t="n">
        <f aca="false">ROUNDUP(L326,0)</f>
        <v>64</v>
      </c>
      <c r="N326" s="32" t="n">
        <v>26</v>
      </c>
      <c r="O326" s="34" t="n">
        <f aca="false">N326+L326</f>
        <v>89.7</v>
      </c>
      <c r="P326" s="34" t="n">
        <f aca="false">N326+M326</f>
        <v>90</v>
      </c>
      <c r="Q326" s="32" t="n">
        <v>85</v>
      </c>
      <c r="R326" s="32" t="n">
        <v>85</v>
      </c>
      <c r="S326" s="34" t="n">
        <f aca="false">(R326*70)/100</f>
        <v>59.5</v>
      </c>
      <c r="T326" s="34" t="n">
        <f aca="false">ROUNDUP(S326,0)</f>
        <v>60</v>
      </c>
      <c r="U326" s="32" t="n">
        <v>26</v>
      </c>
      <c r="V326" s="34" t="n">
        <f aca="false">U326+S326</f>
        <v>85.5</v>
      </c>
      <c r="W326" s="34" t="n">
        <f aca="false">U326+T326</f>
        <v>86</v>
      </c>
      <c r="X326" s="32" t="n">
        <v>76</v>
      </c>
      <c r="Y326" s="34" t="n">
        <f aca="false">(X326*70)/100</f>
        <v>53.2</v>
      </c>
      <c r="Z326" s="34" t="n">
        <f aca="false">ROUNDUP(Y326,0)</f>
        <v>54</v>
      </c>
      <c r="AA326" s="32" t="n">
        <v>26</v>
      </c>
      <c r="AB326" s="34" t="n">
        <f aca="false">AA326+Y326</f>
        <v>79.2</v>
      </c>
      <c r="AC326" s="34" t="n">
        <f aca="false">AA326+Z326</f>
        <v>80</v>
      </c>
      <c r="AD326" s="32" t="n">
        <f aca="false">X326+R326+Q326+K326+J326</f>
        <v>411</v>
      </c>
      <c r="AE326" s="16" t="n">
        <f aca="false">AD326/5</f>
        <v>82.2</v>
      </c>
      <c r="AF326" s="16" t="n">
        <v>78</v>
      </c>
      <c r="AG326" s="16" t="n">
        <v>86</v>
      </c>
      <c r="AH326" s="16" t="n">
        <v>95</v>
      </c>
      <c r="AI326" s="16" t="n">
        <v>85</v>
      </c>
      <c r="AJ326" s="16" t="n">
        <f aca="false">(AI326*70)/100</f>
        <v>59.5</v>
      </c>
      <c r="AK326" s="35" t="n">
        <f aca="false">ROUNDUP(AJ326,0)</f>
        <v>60</v>
      </c>
      <c r="AL326" s="16" t="n">
        <v>21</v>
      </c>
      <c r="AM326" s="16" t="n">
        <f aca="false">AL326+AJ326</f>
        <v>80.5</v>
      </c>
      <c r="AN326" s="16" t="n">
        <f aca="false">AL326+AK326</f>
        <v>81</v>
      </c>
      <c r="AO326" s="16" t="n">
        <v>76</v>
      </c>
      <c r="AP326" s="36" t="n">
        <f aca="false">(AO326*70)/100</f>
        <v>53.2</v>
      </c>
      <c r="AQ326" s="37" t="n">
        <f aca="false">ROUNDUP(AP326,0)</f>
        <v>54</v>
      </c>
      <c r="AR326" s="16" t="n">
        <v>28</v>
      </c>
      <c r="AS326" s="16" t="n">
        <f aca="false">AR326+AP326</f>
        <v>81.2</v>
      </c>
      <c r="AT326" s="16" t="n">
        <f aca="false">AR326+AQ326</f>
        <v>82</v>
      </c>
      <c r="AU326" s="16" t="n">
        <f aca="false">AO326+AF326+AI326+AH326+AG326</f>
        <v>420</v>
      </c>
      <c r="AV326" s="16" t="n">
        <f aca="false">(AO326+AF326+AI326+AH326+AG326)/5</f>
        <v>84</v>
      </c>
      <c r="AW326" s="36" t="n">
        <f aca="false">(AO326+AF326+AI326+AH326+AG326+X326+R326+Q326+K326+J326)</f>
        <v>831</v>
      </c>
      <c r="AX326" s="16" t="n">
        <f aca="false">AW326/10</f>
        <v>83.1</v>
      </c>
      <c r="AY326" s="16" t="n">
        <f aca="false">AS326+AF326+AM326+AH326+AG326+AB326+V326+Q326+O326+J326</f>
        <v>834.1</v>
      </c>
      <c r="AZ326" s="16" t="n">
        <f aca="false">AT326+AF326+AN326+AH326+AG326+AC326+W326+Q326+P326+J326</f>
        <v>837</v>
      </c>
      <c r="BA326" s="16" t="n">
        <f aca="false">AY326/10</f>
        <v>83.41</v>
      </c>
      <c r="BB326" s="16" t="n">
        <f aca="false">AZ326/10</f>
        <v>83.7</v>
      </c>
      <c r="BC326" s="16" t="n">
        <v>2390</v>
      </c>
      <c r="BD326" s="16" t="n">
        <f aca="false">RANK(AX326,$AX$2:$AX$881,0)</f>
        <v>127</v>
      </c>
      <c r="BE326" s="54" t="n">
        <f aca="false">((BC326*100)/2400)*0.4+(AX326*0.6)</f>
        <v>89.6933333333333</v>
      </c>
      <c r="BF326" s="16" t="n">
        <f aca="false">RANK(BE326,$BE$2:$BE$881,0)</f>
        <v>113</v>
      </c>
      <c r="BG326" s="39" t="n">
        <f aca="false">RANK(BB326,$BB$2:$BB$881,0)</f>
        <v>133</v>
      </c>
      <c r="BH326" s="39" t="n">
        <f aca="false">RANK(BC326,$BC$2:$BC$881,0)</f>
        <v>52</v>
      </c>
      <c r="BI326" s="22" t="s">
        <v>130</v>
      </c>
      <c r="BJ326" s="22" t="s">
        <v>129</v>
      </c>
      <c r="BK326" s="40" t="s">
        <v>131</v>
      </c>
      <c r="BL326" s="44" t="n">
        <v>18</v>
      </c>
      <c r="BM326" s="44" t="n">
        <v>55</v>
      </c>
      <c r="BN326" s="44" t="n">
        <v>73</v>
      </c>
      <c r="BO326" s="44" t="n">
        <v>27</v>
      </c>
      <c r="BP326" s="43" t="n">
        <v>52</v>
      </c>
      <c r="BQ326" s="44" t="n">
        <v>79</v>
      </c>
      <c r="BR326" s="44" t="n">
        <v>22</v>
      </c>
      <c r="BS326" s="45" t="n">
        <v>56</v>
      </c>
      <c r="BT326" s="45" t="n">
        <v>78</v>
      </c>
      <c r="BU326" s="46" t="n">
        <v>100</v>
      </c>
      <c r="BV326" s="47" t="n">
        <v>82</v>
      </c>
      <c r="BW326" s="42" t="n">
        <v>96</v>
      </c>
      <c r="BX326" s="48" t="n">
        <v>96</v>
      </c>
      <c r="BY326" s="32" t="n">
        <v>25</v>
      </c>
      <c r="BZ326" s="32" t="n">
        <v>52</v>
      </c>
      <c r="CA326" s="32" t="n">
        <v>77</v>
      </c>
      <c r="CB326" s="32" t="n">
        <v>23</v>
      </c>
      <c r="CC326" s="32" t="n">
        <v>42</v>
      </c>
      <c r="CD326" s="32" t="n">
        <v>65</v>
      </c>
      <c r="CE326" s="32" t="n">
        <v>22</v>
      </c>
      <c r="CF326" s="32" t="n">
        <v>52</v>
      </c>
      <c r="CG326" s="32" t="n">
        <v>74</v>
      </c>
      <c r="CH326" s="32" t="n">
        <v>96</v>
      </c>
      <c r="CI326" s="32" t="n">
        <v>98</v>
      </c>
      <c r="CJ326" s="49" t="n">
        <v>20</v>
      </c>
      <c r="CK326" s="49" t="n">
        <v>44</v>
      </c>
      <c r="CL326" s="49" t="n">
        <v>64</v>
      </c>
      <c r="CM326" s="49" t="n">
        <v>19</v>
      </c>
      <c r="CN326" s="60"/>
      <c r="CO326" s="60"/>
      <c r="CP326" s="25" t="n">
        <f aca="false">BX326+BW326+BV326+BU326+BT326+BQ326+BN326</f>
        <v>604</v>
      </c>
      <c r="CQ326" s="25" t="n">
        <f aca="false">CO326+CL326+CI326+CH326+CG326+CD326+CA326</f>
        <v>474</v>
      </c>
      <c r="CR326" s="26" t="n">
        <f aca="false">CP326/7</f>
        <v>86.2857142857143</v>
      </c>
      <c r="CS326" s="26" t="n">
        <f aca="false">CQ326/7</f>
        <v>67.7142857142857</v>
      </c>
      <c r="CT326" s="24" t="n">
        <f aca="false">RANK(CR326,$CR$2:$CR$881,0)</f>
        <v>383</v>
      </c>
      <c r="CU326" s="25" t="n">
        <f aca="false">RANK(CS326,$CS$2:$CS$881,0)</f>
        <v>591</v>
      </c>
      <c r="CV326" s="26" t="n">
        <f aca="false">(CS326+CR326)/2</f>
        <v>77</v>
      </c>
      <c r="CW326" s="25" t="n">
        <f aca="false">RANK(CV326,$CV$2:$CV$881,0)</f>
        <v>517</v>
      </c>
      <c r="CX326" s="50" t="n">
        <f aca="false">(CV326+BB326)/2</f>
        <v>80.35</v>
      </c>
      <c r="CY326" s="50" t="n">
        <v>355</v>
      </c>
      <c r="CZ326" s="27" t="s">
        <v>132</v>
      </c>
      <c r="DA326" s="27" t="s">
        <v>153</v>
      </c>
      <c r="DB326" s="27" t="s">
        <v>153</v>
      </c>
      <c r="DC326" s="27" t="s">
        <v>134</v>
      </c>
      <c r="DD326" s="27" t="s">
        <v>154</v>
      </c>
      <c r="DE326" s="27" t="s">
        <v>218</v>
      </c>
      <c r="DF326" s="27" t="s">
        <v>219</v>
      </c>
      <c r="DG326" s="27" t="s">
        <v>134</v>
      </c>
      <c r="DH326" s="27" t="s">
        <v>154</v>
      </c>
      <c r="DI326" s="27" t="s">
        <v>183</v>
      </c>
      <c r="DJ326" s="27" t="s">
        <v>196</v>
      </c>
      <c r="DK326" s="27" t="s">
        <v>134</v>
      </c>
      <c r="DL326" s="27" t="s">
        <v>164</v>
      </c>
      <c r="DM326" s="27" t="s">
        <v>412</v>
      </c>
      <c r="DN326" s="27" t="s">
        <v>305</v>
      </c>
      <c r="DO326" s="27" t="s">
        <v>134</v>
      </c>
      <c r="DP326" s="27" t="s">
        <v>174</v>
      </c>
      <c r="DQ326" s="27" t="s">
        <v>681</v>
      </c>
      <c r="DR326" s="27" t="s">
        <v>143</v>
      </c>
      <c r="DS326" s="27" t="s">
        <v>134</v>
      </c>
      <c r="DT326" s="27" t="s">
        <v>160</v>
      </c>
      <c r="DU326" s="27" t="s">
        <v>638</v>
      </c>
      <c r="DV326" s="27" t="s">
        <v>486</v>
      </c>
      <c r="DW326" s="27" t="s">
        <v>154</v>
      </c>
      <c r="DX326" s="27" t="s">
        <v>155</v>
      </c>
      <c r="DY326" s="27" t="s">
        <v>151</v>
      </c>
      <c r="DZ326" s="27" t="n">
        <f aca="false">DY326+DV326+DR326+DN326+DJ326+DF326+DB326</f>
        <v>563</v>
      </c>
      <c r="EA326" s="28" t="n">
        <f aca="false">DZ326/7</f>
        <v>80.4285714285714</v>
      </c>
      <c r="EB326" s="27" t="n">
        <f aca="false">RANK(EA326,$EA$2:$EA$881,0)</f>
        <v>373</v>
      </c>
      <c r="EC326" s="29" t="n">
        <f aca="false">DZ326+CQ326+CP326+AZ326</f>
        <v>2478</v>
      </c>
      <c r="ED326" s="30" t="n">
        <f aca="false">(EA326+CV326+BB326)/3</f>
        <v>80.3761904761905</v>
      </c>
      <c r="EE326" s="51" t="n">
        <f aca="false">ROUND(BE326,3)</f>
        <v>89.693</v>
      </c>
      <c r="EF326" s="51" t="n">
        <f aca="false">ROUND(CR326,3)</f>
        <v>86.286</v>
      </c>
      <c r="EG326" s="51" t="n">
        <f aca="false">ROUND(CS326,3)</f>
        <v>67.714</v>
      </c>
      <c r="EH326" s="51" t="n">
        <f aca="false">ROUND(EA326,3)</f>
        <v>80.429</v>
      </c>
      <c r="EI326" s="51" t="n">
        <f aca="false">ROUND(ED326,3)</f>
        <v>80.376</v>
      </c>
      <c r="EJ326" s="51" t="n">
        <f aca="false">ROUND(CV326,3)</f>
        <v>77</v>
      </c>
      <c r="EK326" s="0" t="n">
        <f aca="false">RANK(EI326,$EI$2:$EI$881,0)</f>
        <v>325</v>
      </c>
    </row>
    <row r="327" customFormat="false" ht="15" hidden="false" customHeight="false" outlineLevel="0" collapsed="false">
      <c r="A327" s="4" t="n">
        <v>8599</v>
      </c>
      <c r="B327" s="4" t="n">
        <v>220</v>
      </c>
      <c r="C327" s="27" t="s">
        <v>1095</v>
      </c>
      <c r="D327" s="31" t="n">
        <v>221</v>
      </c>
      <c r="E327" s="32" t="n">
        <v>230315752</v>
      </c>
      <c r="F327" s="8" t="s">
        <v>1096</v>
      </c>
      <c r="G327" s="22" t="s">
        <v>368</v>
      </c>
      <c r="H327" s="22" t="s">
        <v>129</v>
      </c>
      <c r="I327" s="33" t="n">
        <v>2005</v>
      </c>
      <c r="J327" s="32" t="n">
        <v>67</v>
      </c>
      <c r="K327" s="32" t="n">
        <v>90</v>
      </c>
      <c r="L327" s="34" t="n">
        <f aca="false">(K327*70)/100</f>
        <v>63</v>
      </c>
      <c r="M327" s="34" t="n">
        <f aca="false">ROUNDUP(L327,0)</f>
        <v>63</v>
      </c>
      <c r="N327" s="32" t="n">
        <v>28</v>
      </c>
      <c r="O327" s="34" t="n">
        <f aca="false">N327+L327</f>
        <v>91</v>
      </c>
      <c r="P327" s="34" t="n">
        <f aca="false">N327+M327</f>
        <v>91</v>
      </c>
      <c r="Q327" s="32" t="n">
        <v>80</v>
      </c>
      <c r="R327" s="32" t="n">
        <v>86</v>
      </c>
      <c r="S327" s="34" t="n">
        <f aca="false">(R327*70)/100</f>
        <v>60.2</v>
      </c>
      <c r="T327" s="34" t="n">
        <f aca="false">ROUNDUP(S327,0)</f>
        <v>61</v>
      </c>
      <c r="U327" s="32" t="n">
        <v>25</v>
      </c>
      <c r="V327" s="34" t="n">
        <f aca="false">U327+S327</f>
        <v>85.2</v>
      </c>
      <c r="W327" s="34" t="n">
        <f aca="false">U327+T327</f>
        <v>86</v>
      </c>
      <c r="X327" s="32" t="n">
        <v>81</v>
      </c>
      <c r="Y327" s="34" t="n">
        <f aca="false">(X327*70)/100</f>
        <v>56.7</v>
      </c>
      <c r="Z327" s="34" t="n">
        <f aca="false">ROUNDUP(Y327,0)</f>
        <v>57</v>
      </c>
      <c r="AA327" s="32" t="n">
        <v>24</v>
      </c>
      <c r="AB327" s="34" t="n">
        <f aca="false">AA327+Y327</f>
        <v>80.7</v>
      </c>
      <c r="AC327" s="34" t="n">
        <f aca="false">AA327+Z327</f>
        <v>81</v>
      </c>
      <c r="AD327" s="32" t="n">
        <f aca="false">X327+R327+Q327+K327+J327</f>
        <v>404</v>
      </c>
      <c r="AE327" s="16" t="n">
        <f aca="false">AD327/5</f>
        <v>80.8</v>
      </c>
      <c r="AF327" s="16" t="n">
        <v>81</v>
      </c>
      <c r="AG327" s="16" t="n">
        <v>83</v>
      </c>
      <c r="AH327" s="16" t="n">
        <v>97</v>
      </c>
      <c r="AI327" s="16" t="n">
        <v>97</v>
      </c>
      <c r="AJ327" s="16" t="n">
        <f aca="false">(AI327*70)/100</f>
        <v>67.9</v>
      </c>
      <c r="AK327" s="35" t="n">
        <f aca="false">ROUNDUP(AJ327,0)</f>
        <v>68</v>
      </c>
      <c r="AL327" s="16" t="n">
        <v>26</v>
      </c>
      <c r="AM327" s="16" t="n">
        <f aca="false">AL327+AJ327</f>
        <v>93.9</v>
      </c>
      <c r="AN327" s="16" t="n">
        <f aca="false">AL327+AK327</f>
        <v>94</v>
      </c>
      <c r="AO327" s="16" t="n">
        <v>87</v>
      </c>
      <c r="AP327" s="36" t="n">
        <f aca="false">(AO327*70)/100</f>
        <v>60.9</v>
      </c>
      <c r="AQ327" s="37" t="n">
        <f aca="false">ROUNDUP(AP327,0)</f>
        <v>61</v>
      </c>
      <c r="AR327" s="16" t="n">
        <v>29</v>
      </c>
      <c r="AS327" s="16" t="n">
        <f aca="false">AR327+AP327</f>
        <v>89.9</v>
      </c>
      <c r="AT327" s="16" t="n">
        <f aca="false">AR327+AQ327</f>
        <v>90</v>
      </c>
      <c r="AU327" s="16" t="n">
        <f aca="false">AO327+AF327+AI327+AH327+AG327</f>
        <v>445</v>
      </c>
      <c r="AV327" s="16" t="n">
        <f aca="false">(AO327+AF327+AI327+AH327+AG327)/5</f>
        <v>89</v>
      </c>
      <c r="AW327" s="36" t="n">
        <f aca="false">(AO327+AF327+AI327+AH327+AG327+X327+R327+Q327+K327+J327)</f>
        <v>849</v>
      </c>
      <c r="AX327" s="16" t="n">
        <f aca="false">AW327/10</f>
        <v>84.9</v>
      </c>
      <c r="AY327" s="16" t="n">
        <f aca="false">AS327+AF327+AM327+AH327+AG327+AB327+V327+Q327+O327+J327</f>
        <v>848.7</v>
      </c>
      <c r="AZ327" s="16" t="n">
        <f aca="false">AT327+AF327+AN327+AH327+AG327+AC327+W327+Q327+P327+J327</f>
        <v>850</v>
      </c>
      <c r="BA327" s="16" t="n">
        <f aca="false">AY327/10</f>
        <v>84.87</v>
      </c>
      <c r="BB327" s="16" t="n">
        <f aca="false">AZ327/10</f>
        <v>85</v>
      </c>
      <c r="BC327" s="16" t="n">
        <v>2346</v>
      </c>
      <c r="BD327" s="16" t="n">
        <f aca="false">RANK(AX327,$AX$2:$AX$881,0)</f>
        <v>95</v>
      </c>
      <c r="BE327" s="38" t="n">
        <f aca="false">((BC327*100)/2400)*0.4+(AX327*0.6)</f>
        <v>90.04</v>
      </c>
      <c r="BF327" s="16" t="n">
        <f aca="false">RANK(BE327,$BE$2:$BE$881,0)</f>
        <v>101</v>
      </c>
      <c r="BG327" s="39" t="n">
        <f aca="false">RANK(BB327,$BB$2:$BB$881,0)</f>
        <v>101</v>
      </c>
      <c r="BH327" s="39" t="n">
        <f aca="false">RANK(BC327,$BC$2:$BC$881,0)</f>
        <v>571</v>
      </c>
      <c r="BI327" s="22" t="s">
        <v>130</v>
      </c>
      <c r="BJ327" s="22" t="s">
        <v>129</v>
      </c>
      <c r="BK327" s="40" t="s">
        <v>131</v>
      </c>
      <c r="BL327" s="41" t="n">
        <v>20</v>
      </c>
      <c r="BM327" s="41" t="n">
        <v>47</v>
      </c>
      <c r="BN327" s="41" t="n">
        <v>67</v>
      </c>
      <c r="BO327" s="42" t="n">
        <v>21</v>
      </c>
      <c r="BP327" s="43" t="n">
        <v>52</v>
      </c>
      <c r="BQ327" s="44" t="n">
        <v>73</v>
      </c>
      <c r="BR327" s="42" t="n">
        <v>20</v>
      </c>
      <c r="BS327" s="45" t="n">
        <v>48</v>
      </c>
      <c r="BT327" s="45" t="n">
        <v>68</v>
      </c>
      <c r="BU327" s="46" t="n">
        <v>99</v>
      </c>
      <c r="BV327" s="47" t="n">
        <v>78</v>
      </c>
      <c r="BW327" s="42" t="n">
        <v>95</v>
      </c>
      <c r="BX327" s="48" t="n">
        <v>94</v>
      </c>
      <c r="BY327" s="32" t="n">
        <v>24</v>
      </c>
      <c r="BZ327" s="32" t="n">
        <v>42</v>
      </c>
      <c r="CA327" s="32" t="n">
        <v>66</v>
      </c>
      <c r="CB327" s="60"/>
      <c r="CC327" s="60"/>
      <c r="CD327" s="60"/>
      <c r="CE327" s="32" t="n">
        <v>27</v>
      </c>
      <c r="CF327" s="32" t="n">
        <v>40</v>
      </c>
      <c r="CG327" s="32" t="n">
        <v>67</v>
      </c>
      <c r="CH327" s="32" t="n">
        <v>95</v>
      </c>
      <c r="CI327" s="32" t="n">
        <v>89</v>
      </c>
      <c r="CJ327" s="49" t="n">
        <v>21</v>
      </c>
      <c r="CK327" s="49" t="n">
        <v>45</v>
      </c>
      <c r="CL327" s="49" t="n">
        <v>66</v>
      </c>
      <c r="CM327" s="49" t="n">
        <v>20</v>
      </c>
      <c r="CN327" s="49" t="n">
        <v>56</v>
      </c>
      <c r="CO327" s="84" t="n">
        <v>76</v>
      </c>
      <c r="CP327" s="25" t="n">
        <f aca="false">BX327+BW327+BV327+BU327+BT327+BQ327+BN327</f>
        <v>574</v>
      </c>
      <c r="CQ327" s="25" t="n">
        <f aca="false">CO327+CL327+CI327+CH327+CG327+CD327+CA327</f>
        <v>459</v>
      </c>
      <c r="CR327" s="26" t="n">
        <f aca="false">CP327/7</f>
        <v>82</v>
      </c>
      <c r="CS327" s="26" t="n">
        <f aca="false">CQ327/7</f>
        <v>65.5714285714286</v>
      </c>
      <c r="CT327" s="24" t="n">
        <f aca="false">RANK(CR327,$CR$2:$CR$881,0)</f>
        <v>542</v>
      </c>
      <c r="CU327" s="25" t="n">
        <f aca="false">RANK(CS327,$CS$2:$CS$881,0)</f>
        <v>618</v>
      </c>
      <c r="CV327" s="26" t="n">
        <f aca="false">(CS327+CR327)/2</f>
        <v>73.7857142857143</v>
      </c>
      <c r="CW327" s="25" t="n">
        <f aca="false">RANK(CV327,$CV$2:$CV$881,0)</f>
        <v>587</v>
      </c>
      <c r="CX327" s="50" t="n">
        <f aca="false">(CV327+BB327)/2</f>
        <v>79.3928571428571</v>
      </c>
      <c r="CY327" s="50" t="n">
        <v>436</v>
      </c>
      <c r="CZ327" s="27" t="s">
        <v>132</v>
      </c>
      <c r="DA327" s="27" t="s">
        <v>202</v>
      </c>
      <c r="DB327" s="27" t="s">
        <v>202</v>
      </c>
      <c r="DC327" s="27" t="s">
        <v>134</v>
      </c>
      <c r="DD327" s="27" t="s">
        <v>137</v>
      </c>
      <c r="DE327" s="27" t="s">
        <v>375</v>
      </c>
      <c r="DF327" s="27" t="s">
        <v>443</v>
      </c>
      <c r="DG327" s="27" t="s">
        <v>134</v>
      </c>
      <c r="DH327" s="27" t="s">
        <v>135</v>
      </c>
      <c r="DI327" s="27" t="s">
        <v>152</v>
      </c>
      <c r="DJ327" s="27" t="s">
        <v>162</v>
      </c>
      <c r="DK327" s="27" t="s">
        <v>134</v>
      </c>
      <c r="DL327" s="27" t="s">
        <v>182</v>
      </c>
      <c r="DM327" s="27" t="s">
        <v>136</v>
      </c>
      <c r="DN327" s="27" t="s">
        <v>178</v>
      </c>
      <c r="DO327" s="27" t="s">
        <v>134</v>
      </c>
      <c r="DP327" s="27" t="s">
        <v>191</v>
      </c>
      <c r="DQ327" s="27" t="s">
        <v>673</v>
      </c>
      <c r="DR327" s="27" t="s">
        <v>161</v>
      </c>
      <c r="DS327" s="27" t="s">
        <v>134</v>
      </c>
      <c r="DT327" s="27" t="s">
        <v>135</v>
      </c>
      <c r="DU327" s="27" t="s">
        <v>447</v>
      </c>
      <c r="DV327" s="27" t="s">
        <v>305</v>
      </c>
      <c r="DW327" s="27" t="s">
        <v>140</v>
      </c>
      <c r="DX327" s="27" t="s">
        <v>155</v>
      </c>
      <c r="DY327" s="27" t="s">
        <v>147</v>
      </c>
      <c r="DZ327" s="27" t="n">
        <f aca="false">DY327+DV327+DR327+DN327+DJ327+DF327+DB327</f>
        <v>576</v>
      </c>
      <c r="EA327" s="28" t="n">
        <f aca="false">DZ327/7</f>
        <v>82.2857142857143</v>
      </c>
      <c r="EB327" s="27" t="n">
        <f aca="false">RANK(EA327,$EA$2:$EA$881,0)</f>
        <v>304</v>
      </c>
      <c r="EC327" s="29" t="n">
        <f aca="false">DZ327+CQ327+CP327+AZ327</f>
        <v>2459</v>
      </c>
      <c r="ED327" s="30" t="n">
        <f aca="false">(EA327+CV327+BB327)/3</f>
        <v>80.3571428571429</v>
      </c>
      <c r="EE327" s="51" t="n">
        <f aca="false">ROUND(BE327,3)</f>
        <v>90.04</v>
      </c>
      <c r="EF327" s="51" t="n">
        <f aca="false">ROUND(CR327,3)</f>
        <v>82</v>
      </c>
      <c r="EG327" s="51" t="n">
        <f aca="false">ROUND(CS327,3)</f>
        <v>65.571</v>
      </c>
      <c r="EH327" s="51" t="n">
        <f aca="false">ROUND(EA327,3)</f>
        <v>82.286</v>
      </c>
      <c r="EI327" s="51" t="n">
        <f aca="false">ROUND(ED327,3)</f>
        <v>80.357</v>
      </c>
      <c r="EJ327" s="51" t="n">
        <f aca="false">ROUND(CV327,3)</f>
        <v>73.786</v>
      </c>
      <c r="EK327" s="0" t="n">
        <f aca="false">RANK(EI327,$EI$2:$EI$881,0)</f>
        <v>326</v>
      </c>
    </row>
    <row r="328" customFormat="false" ht="15" hidden="false" customHeight="false" outlineLevel="0" collapsed="false">
      <c r="A328" s="4" t="n">
        <v>8912</v>
      </c>
      <c r="B328" s="4" t="n">
        <v>36</v>
      </c>
      <c r="C328" s="27" t="s">
        <v>1097</v>
      </c>
      <c r="D328" s="52" t="n">
        <v>39</v>
      </c>
      <c r="E328" s="32" t="n">
        <v>230312472</v>
      </c>
      <c r="F328" s="8" t="s">
        <v>1098</v>
      </c>
      <c r="G328" s="22" t="s">
        <v>1099</v>
      </c>
      <c r="H328" s="22" t="s">
        <v>129</v>
      </c>
      <c r="I328" s="33" t="n">
        <v>2005</v>
      </c>
      <c r="J328" s="32" t="n">
        <v>74</v>
      </c>
      <c r="K328" s="32" t="n">
        <v>83</v>
      </c>
      <c r="L328" s="34" t="n">
        <f aca="false">(K328*70)/100</f>
        <v>58.1</v>
      </c>
      <c r="M328" s="34" t="n">
        <f aca="false">ROUNDUP(L328,0)</f>
        <v>59</v>
      </c>
      <c r="N328" s="32" t="n">
        <v>25</v>
      </c>
      <c r="O328" s="34" t="n">
        <f aca="false">N328+L328</f>
        <v>83.1</v>
      </c>
      <c r="P328" s="34" t="n">
        <f aca="false">N328+M328</f>
        <v>84</v>
      </c>
      <c r="Q328" s="32" t="n">
        <v>73</v>
      </c>
      <c r="R328" s="32" t="n">
        <v>66</v>
      </c>
      <c r="S328" s="34" t="n">
        <f aca="false">(R328*70)/100</f>
        <v>46.2</v>
      </c>
      <c r="T328" s="34" t="n">
        <f aca="false">ROUNDUP(S328,0)</f>
        <v>47</v>
      </c>
      <c r="U328" s="32" t="n">
        <v>18</v>
      </c>
      <c r="V328" s="34" t="n">
        <f aca="false">U328+S328</f>
        <v>64.2</v>
      </c>
      <c r="W328" s="34" t="n">
        <f aca="false">U328+T328</f>
        <v>65</v>
      </c>
      <c r="X328" s="32" t="n">
        <v>70</v>
      </c>
      <c r="Y328" s="34" t="n">
        <f aca="false">(X328*70)/100</f>
        <v>49</v>
      </c>
      <c r="Z328" s="34" t="n">
        <f aca="false">ROUNDUP(Y328,0)</f>
        <v>49</v>
      </c>
      <c r="AA328" s="32" t="n">
        <v>23</v>
      </c>
      <c r="AB328" s="34" t="n">
        <f aca="false">AA328+Y328</f>
        <v>72</v>
      </c>
      <c r="AC328" s="34" t="n">
        <f aca="false">AA328+Z328</f>
        <v>72</v>
      </c>
      <c r="AD328" s="32" t="n">
        <f aca="false">X328+R328+Q328+K328+J328</f>
        <v>366</v>
      </c>
      <c r="AE328" s="16" t="n">
        <f aca="false">AD328/5</f>
        <v>73.2</v>
      </c>
      <c r="AF328" s="16" t="n">
        <v>81</v>
      </c>
      <c r="AG328" s="16" t="n">
        <v>83</v>
      </c>
      <c r="AH328" s="16" t="n">
        <v>97</v>
      </c>
      <c r="AI328" s="16" t="n">
        <v>96</v>
      </c>
      <c r="AJ328" s="16" t="n">
        <f aca="false">(AI328*70)/100</f>
        <v>67.2</v>
      </c>
      <c r="AK328" s="35" t="n">
        <f aca="false">ROUNDUP(AJ328,0)</f>
        <v>68</v>
      </c>
      <c r="AL328" s="16" t="n">
        <v>23</v>
      </c>
      <c r="AM328" s="16" t="n">
        <f aca="false">AL328+AJ328</f>
        <v>90.2</v>
      </c>
      <c r="AN328" s="16" t="n">
        <f aca="false">AL328+AK328</f>
        <v>91</v>
      </c>
      <c r="AO328" s="16" t="n">
        <v>76</v>
      </c>
      <c r="AP328" s="36" t="n">
        <f aca="false">(AO328*70)/100</f>
        <v>53.2</v>
      </c>
      <c r="AQ328" s="37" t="n">
        <f aca="false">ROUNDUP(AP328,0)</f>
        <v>54</v>
      </c>
      <c r="AR328" s="16" t="n">
        <v>28</v>
      </c>
      <c r="AS328" s="16" t="n">
        <f aca="false">AR328+AP328</f>
        <v>81.2</v>
      </c>
      <c r="AT328" s="16" t="n">
        <f aca="false">AR328+AQ328</f>
        <v>82</v>
      </c>
      <c r="AU328" s="16" t="n">
        <f aca="false">AO328+AF328+AI328+AH328+AG328</f>
        <v>433</v>
      </c>
      <c r="AV328" s="16" t="n">
        <f aca="false">(AO328+AF328+AI328+AH328+AG328)/5</f>
        <v>86.6</v>
      </c>
      <c r="AW328" s="36" t="n">
        <f aca="false">(AO328+AF328+AI328+AH328+AG328+X328+R328+Q328+K328+J328)</f>
        <v>799</v>
      </c>
      <c r="AX328" s="16" t="n">
        <f aca="false">AW328/10</f>
        <v>79.9</v>
      </c>
      <c r="AY328" s="16" t="n">
        <f aca="false">AS328+AF328+AM328+AH328+AG328+AB328+V328+Q328+O328+J328</f>
        <v>798.7</v>
      </c>
      <c r="AZ328" s="16" t="n">
        <f aca="false">AT328+AF328+AN328+AH328+AG328+AC328+W328+Q328+P328+J328</f>
        <v>802</v>
      </c>
      <c r="BA328" s="16" t="n">
        <f aca="false">AY328/10</f>
        <v>79.87</v>
      </c>
      <c r="BB328" s="16" t="n">
        <f aca="false">AZ328/10</f>
        <v>80.2</v>
      </c>
      <c r="BC328" s="16" t="n">
        <v>2331</v>
      </c>
      <c r="BD328" s="16" t="n">
        <f aca="false">RANK(AX328,$AX$2:$AX$881,0)</f>
        <v>272</v>
      </c>
      <c r="BE328" s="54" t="n">
        <f aca="false">((BC328*100)/2400)*0.4+(AX328*0.6)</f>
        <v>86.79</v>
      </c>
      <c r="BF328" s="16" t="n">
        <f aca="false">RANK(BE328,$BE$2:$BE$881,0)</f>
        <v>321</v>
      </c>
      <c r="BG328" s="39" t="n">
        <f aca="false">RANK(BB328,$BB$2:$BB$881,0)</f>
        <v>338</v>
      </c>
      <c r="BH328" s="39" t="n">
        <f aca="false">RANK(BC328,$BC$2:$BC$881,0)</f>
        <v>716</v>
      </c>
      <c r="BI328" s="22" t="s">
        <v>130</v>
      </c>
      <c r="BJ328" s="22" t="s">
        <v>129</v>
      </c>
      <c r="BK328" s="40" t="s">
        <v>131</v>
      </c>
      <c r="BL328" s="41" t="n">
        <v>20</v>
      </c>
      <c r="BM328" s="41" t="n">
        <v>61</v>
      </c>
      <c r="BN328" s="41" t="n">
        <v>81</v>
      </c>
      <c r="BO328" s="42" t="n">
        <v>24</v>
      </c>
      <c r="BP328" s="43" t="n">
        <v>67</v>
      </c>
      <c r="BQ328" s="44" t="n">
        <v>91</v>
      </c>
      <c r="BR328" s="42" t="n">
        <v>24</v>
      </c>
      <c r="BS328" s="45" t="n">
        <v>59</v>
      </c>
      <c r="BT328" s="45" t="n">
        <v>83</v>
      </c>
      <c r="BU328" s="46" t="n">
        <v>100</v>
      </c>
      <c r="BV328" s="47" t="n">
        <v>76</v>
      </c>
      <c r="BW328" s="42" t="n">
        <v>100</v>
      </c>
      <c r="BX328" s="48" t="n">
        <v>92</v>
      </c>
      <c r="BY328" s="25" t="n">
        <v>22</v>
      </c>
      <c r="BZ328" s="25" t="n">
        <v>49</v>
      </c>
      <c r="CA328" s="25" t="n">
        <v>71</v>
      </c>
      <c r="CB328" s="25" t="n">
        <v>23</v>
      </c>
      <c r="CC328" s="25" t="n">
        <v>42</v>
      </c>
      <c r="CD328" s="25" t="n">
        <v>65</v>
      </c>
      <c r="CE328" s="32" t="n">
        <v>25</v>
      </c>
      <c r="CF328" s="32" t="n">
        <v>50</v>
      </c>
      <c r="CG328" s="32" t="n">
        <v>75</v>
      </c>
      <c r="CH328" s="32" t="n">
        <v>90</v>
      </c>
      <c r="CI328" s="32" t="n">
        <v>98</v>
      </c>
      <c r="CJ328" s="49" t="n">
        <v>21</v>
      </c>
      <c r="CK328" s="49" t="n">
        <v>53</v>
      </c>
      <c r="CL328" s="49" t="n">
        <v>74</v>
      </c>
      <c r="CM328" s="49" t="n">
        <v>24</v>
      </c>
      <c r="CN328" s="49" t="n">
        <v>48</v>
      </c>
      <c r="CO328" s="49" t="n">
        <v>72</v>
      </c>
      <c r="CP328" s="25" t="n">
        <f aca="false">BX328+BW328+BV328+BU328+BT328+BQ328+BN328</f>
        <v>623</v>
      </c>
      <c r="CQ328" s="25" t="n">
        <f aca="false">CO328+CL328+CI328+CH328+CG328+CD328+CA328</f>
        <v>545</v>
      </c>
      <c r="CR328" s="26" t="n">
        <f aca="false">CP328/7</f>
        <v>89</v>
      </c>
      <c r="CS328" s="26" t="n">
        <f aca="false">CQ328/7</f>
        <v>77.8571428571429</v>
      </c>
      <c r="CT328" s="24" t="n">
        <f aca="false">RANK(CR328,$CR$2:$CR$881,0)</f>
        <v>244</v>
      </c>
      <c r="CU328" s="25" t="n">
        <f aca="false">RANK(CS328,$CS$2:$CS$881,0)</f>
        <v>336</v>
      </c>
      <c r="CV328" s="26" t="n">
        <f aca="false">(CS328+CR328)/2</f>
        <v>83.4285714285714</v>
      </c>
      <c r="CW328" s="25" t="n">
        <f aca="false">RANK(CV328,$CV$2:$CV$881,0)</f>
        <v>279</v>
      </c>
      <c r="CX328" s="50" t="n">
        <f aca="false">(CV328+BB328)/2</f>
        <v>81.8142857142857</v>
      </c>
      <c r="CY328" s="50" t="n">
        <v>279</v>
      </c>
      <c r="CZ328" s="27" t="s">
        <v>132</v>
      </c>
      <c r="DA328" s="27" t="s">
        <v>205</v>
      </c>
      <c r="DB328" s="27" t="s">
        <v>205</v>
      </c>
      <c r="DC328" s="27" t="s">
        <v>134</v>
      </c>
      <c r="DD328" s="27" t="s">
        <v>154</v>
      </c>
      <c r="DE328" s="27" t="s">
        <v>204</v>
      </c>
      <c r="DF328" s="27" t="s">
        <v>205</v>
      </c>
      <c r="DG328" s="27" t="s">
        <v>134</v>
      </c>
      <c r="DH328" s="27" t="s">
        <v>191</v>
      </c>
      <c r="DI328" s="27" t="s">
        <v>412</v>
      </c>
      <c r="DJ328" s="27" t="s">
        <v>416</v>
      </c>
      <c r="DK328" s="27" t="s">
        <v>134</v>
      </c>
      <c r="DL328" s="27" t="s">
        <v>154</v>
      </c>
      <c r="DM328" s="27" t="s">
        <v>204</v>
      </c>
      <c r="DN328" s="27" t="s">
        <v>205</v>
      </c>
      <c r="DO328" s="27" t="s">
        <v>134</v>
      </c>
      <c r="DP328" s="27" t="s">
        <v>604</v>
      </c>
      <c r="DQ328" s="27" t="s">
        <v>306</v>
      </c>
      <c r="DR328" s="27" t="s">
        <v>416</v>
      </c>
      <c r="DS328" s="27" t="s">
        <v>134</v>
      </c>
      <c r="DT328" s="27" t="s">
        <v>135</v>
      </c>
      <c r="DU328" s="27" t="s">
        <v>415</v>
      </c>
      <c r="DV328" s="27" t="s">
        <v>398</v>
      </c>
      <c r="DW328" s="27" t="s">
        <v>191</v>
      </c>
      <c r="DX328" s="27" t="s">
        <v>203</v>
      </c>
      <c r="DY328" s="27" t="s">
        <v>205</v>
      </c>
      <c r="DZ328" s="27" t="n">
        <f aca="false">DY328+DV328+DR328+DN328+DJ328+DF328+DB328</f>
        <v>542</v>
      </c>
      <c r="EA328" s="28" t="n">
        <f aca="false">DZ328/7</f>
        <v>77.4285714285714</v>
      </c>
      <c r="EB328" s="27" t="n">
        <f aca="false">RANK(EA328,$EA$2:$EA$881,0)</f>
        <v>480</v>
      </c>
      <c r="EC328" s="29" t="n">
        <f aca="false">DZ328+CQ328+CP328+AZ328</f>
        <v>2512</v>
      </c>
      <c r="ED328" s="30" t="n">
        <f aca="false">(EA328+CV328+BB328)/3</f>
        <v>80.352380952381</v>
      </c>
      <c r="EE328" s="51" t="n">
        <f aca="false">ROUND(BE328,3)</f>
        <v>86.79</v>
      </c>
      <c r="EF328" s="51" t="n">
        <f aca="false">ROUND(CR328,3)</f>
        <v>89</v>
      </c>
      <c r="EG328" s="51" t="n">
        <f aca="false">ROUND(CS328,3)</f>
        <v>77.857</v>
      </c>
      <c r="EH328" s="51" t="n">
        <f aca="false">ROUND(EA328,3)</f>
        <v>77.429</v>
      </c>
      <c r="EI328" s="51" t="n">
        <f aca="false">ROUND(ED328,3)</f>
        <v>80.352</v>
      </c>
      <c r="EJ328" s="51" t="n">
        <f aca="false">ROUND(CV328,3)</f>
        <v>83.429</v>
      </c>
      <c r="EK328" s="0" t="n">
        <f aca="false">RANK(EI328,$EI$2:$EI$881,0)</f>
        <v>327</v>
      </c>
    </row>
    <row r="329" customFormat="false" ht="15" hidden="false" customHeight="false" outlineLevel="0" collapsed="false">
      <c r="A329" s="4" t="n">
        <v>1878</v>
      </c>
      <c r="B329" s="4" t="n">
        <v>734</v>
      </c>
      <c r="C329" s="27" t="s">
        <v>1100</v>
      </c>
      <c r="D329" s="31" t="n">
        <v>749</v>
      </c>
      <c r="E329" s="32" t="n">
        <v>230319516</v>
      </c>
      <c r="F329" s="8" t="s">
        <v>1101</v>
      </c>
      <c r="G329" s="22" t="s">
        <v>1102</v>
      </c>
      <c r="H329" s="22" t="s">
        <v>129</v>
      </c>
      <c r="I329" s="33" t="n">
        <v>2005</v>
      </c>
      <c r="J329" s="32" t="n">
        <v>66</v>
      </c>
      <c r="K329" s="32" t="n">
        <v>84</v>
      </c>
      <c r="L329" s="34" t="n">
        <f aca="false">(K329*70)/100</f>
        <v>58.8</v>
      </c>
      <c r="M329" s="34" t="n">
        <f aca="false">ROUNDUP(L329,0)</f>
        <v>59</v>
      </c>
      <c r="N329" s="32" t="n">
        <v>26</v>
      </c>
      <c r="O329" s="34" t="n">
        <f aca="false">N329+L329</f>
        <v>84.8</v>
      </c>
      <c r="P329" s="34" t="n">
        <f aca="false">N329+M329</f>
        <v>85</v>
      </c>
      <c r="Q329" s="32" t="n">
        <v>60</v>
      </c>
      <c r="R329" s="32" t="n">
        <v>78</v>
      </c>
      <c r="S329" s="34" t="n">
        <f aca="false">(R329*70)/100</f>
        <v>54.6</v>
      </c>
      <c r="T329" s="34" t="n">
        <f aca="false">ROUNDUP(S329,0)</f>
        <v>55</v>
      </c>
      <c r="U329" s="32" t="n">
        <v>22</v>
      </c>
      <c r="V329" s="34" t="n">
        <f aca="false">U329+S329</f>
        <v>76.6</v>
      </c>
      <c r="W329" s="34" t="n">
        <f aca="false">U329+T329</f>
        <v>77</v>
      </c>
      <c r="X329" s="32" t="n">
        <v>62</v>
      </c>
      <c r="Y329" s="34" t="n">
        <f aca="false">(X329*70)/100</f>
        <v>43.4</v>
      </c>
      <c r="Z329" s="34" t="n">
        <f aca="false">ROUNDUP(Y329,0)</f>
        <v>44</v>
      </c>
      <c r="AA329" s="32" t="n">
        <v>23</v>
      </c>
      <c r="AB329" s="34" t="n">
        <f aca="false">AA329+Y329</f>
        <v>66.4</v>
      </c>
      <c r="AC329" s="34" t="n">
        <f aca="false">AA329+Z329</f>
        <v>67</v>
      </c>
      <c r="AD329" s="32" t="n">
        <f aca="false">X329+R329+Q329+K329+J329</f>
        <v>350</v>
      </c>
      <c r="AE329" s="16" t="n">
        <f aca="false">AD329/5</f>
        <v>70</v>
      </c>
      <c r="AF329" s="16" t="n">
        <v>77</v>
      </c>
      <c r="AG329" s="16" t="n">
        <v>79</v>
      </c>
      <c r="AH329" s="16" t="n">
        <v>93</v>
      </c>
      <c r="AI329" s="16" t="n">
        <v>90</v>
      </c>
      <c r="AJ329" s="16" t="n">
        <f aca="false">(AI329*70)/100</f>
        <v>63</v>
      </c>
      <c r="AK329" s="35" t="n">
        <f aca="false">ROUNDUP(AJ329,0)</f>
        <v>63</v>
      </c>
      <c r="AL329" s="16" t="n">
        <v>25</v>
      </c>
      <c r="AM329" s="16" t="n">
        <f aca="false">AL329+AJ329</f>
        <v>88</v>
      </c>
      <c r="AN329" s="16" t="n">
        <f aca="false">AL329+AK329</f>
        <v>88</v>
      </c>
      <c r="AO329" s="16" t="n">
        <v>85</v>
      </c>
      <c r="AP329" s="36" t="n">
        <f aca="false">(AO329*70)/100</f>
        <v>59.5</v>
      </c>
      <c r="AQ329" s="37" t="n">
        <f aca="false">ROUNDUP(AP329,0)</f>
        <v>60</v>
      </c>
      <c r="AR329" s="16" t="n">
        <v>30</v>
      </c>
      <c r="AS329" s="16" t="n">
        <f aca="false">AR329+AP329</f>
        <v>89.5</v>
      </c>
      <c r="AT329" s="16" t="n">
        <f aca="false">AR329+AQ329</f>
        <v>90</v>
      </c>
      <c r="AU329" s="16" t="n">
        <f aca="false">AO329+AF329+AI329+AH329+AG329</f>
        <v>424</v>
      </c>
      <c r="AV329" s="16" t="n">
        <f aca="false">(AO329+AF329+AI329+AH329+AG329)/5</f>
        <v>84.8</v>
      </c>
      <c r="AW329" s="36" t="n">
        <f aca="false">(AO329+AF329+AI329+AH329+AG329+X329+R329+Q329+K329+J329)</f>
        <v>774</v>
      </c>
      <c r="AX329" s="16" t="n">
        <f aca="false">AW329/10</f>
        <v>77.4</v>
      </c>
      <c r="AY329" s="16" t="n">
        <f aca="false">AS329+AF329+AM329+AH329+AG329+AB329+V329+Q329+O329+J329</f>
        <v>780.3</v>
      </c>
      <c r="AZ329" s="16" t="n">
        <f aca="false">AT329+AF329+AN329+AH329+AG329+AC329+W329+Q329+P329+J329</f>
        <v>782</v>
      </c>
      <c r="BA329" s="16" t="n">
        <f aca="false">AY329/10</f>
        <v>78.03</v>
      </c>
      <c r="BB329" s="16" t="n">
        <f aca="false">AZ329/10</f>
        <v>78.2</v>
      </c>
      <c r="BC329" s="16" t="n">
        <v>2337</v>
      </c>
      <c r="BD329" s="16" t="n">
        <f aca="false">RANK(AX329,$AX$2:$AX$881,0)</f>
        <v>461</v>
      </c>
      <c r="BE329" s="54" t="n">
        <f aca="false">((BC329*100)/2400)*0.4+(AX329*0.6)</f>
        <v>85.39</v>
      </c>
      <c r="BF329" s="16" t="n">
        <f aca="false">RANK(BE329,$BE$2:$BE$881,0)</f>
        <v>528</v>
      </c>
      <c r="BG329" s="39" t="n">
        <f aca="false">RANK(BB329,$BB$2:$BB$881,0)</f>
        <v>541</v>
      </c>
      <c r="BH329" s="39" t="n">
        <f aca="false">RANK(BC329,$BC$2:$BC$881,0)</f>
        <v>658</v>
      </c>
      <c r="BI329" s="22" t="s">
        <v>130</v>
      </c>
      <c r="BJ329" s="22" t="s">
        <v>129</v>
      </c>
      <c r="BK329" s="40" t="s">
        <v>509</v>
      </c>
      <c r="BL329" s="44" t="n">
        <v>28</v>
      </c>
      <c r="BM329" s="44" t="n">
        <v>57</v>
      </c>
      <c r="BN329" s="44" t="n">
        <v>85</v>
      </c>
      <c r="BO329" s="44" t="n">
        <v>29</v>
      </c>
      <c r="BP329" s="43" t="n">
        <v>64</v>
      </c>
      <c r="BQ329" s="44" t="n">
        <v>93</v>
      </c>
      <c r="BR329" s="44" t="n">
        <v>27</v>
      </c>
      <c r="BS329" s="45" t="n">
        <v>59</v>
      </c>
      <c r="BT329" s="45" t="n">
        <v>86</v>
      </c>
      <c r="BU329" s="46" t="n">
        <v>99</v>
      </c>
      <c r="BV329" s="42" t="n">
        <v>74</v>
      </c>
      <c r="BW329" s="44" t="n">
        <v>95</v>
      </c>
      <c r="BX329" s="48" t="n">
        <v>90</v>
      </c>
      <c r="BY329" s="32" t="n">
        <v>26</v>
      </c>
      <c r="BZ329" s="32" t="n">
        <v>56</v>
      </c>
      <c r="CA329" s="32" t="n">
        <v>82</v>
      </c>
      <c r="CB329" s="32" t="n">
        <v>22</v>
      </c>
      <c r="CC329" s="32" t="n">
        <v>32</v>
      </c>
      <c r="CD329" s="69" t="n">
        <v>54</v>
      </c>
      <c r="CE329" s="32" t="n">
        <v>22</v>
      </c>
      <c r="CF329" s="32" t="n">
        <v>54</v>
      </c>
      <c r="CG329" s="32" t="n">
        <v>76</v>
      </c>
      <c r="CH329" s="32" t="n">
        <v>95</v>
      </c>
      <c r="CI329" s="32" t="n">
        <v>98</v>
      </c>
      <c r="CJ329" s="49" t="n">
        <v>22</v>
      </c>
      <c r="CK329" s="49" t="n">
        <v>46</v>
      </c>
      <c r="CL329" s="49" t="n">
        <v>68</v>
      </c>
      <c r="CM329" s="49" t="n">
        <v>20</v>
      </c>
      <c r="CN329" s="49" t="n">
        <v>52</v>
      </c>
      <c r="CO329" s="49" t="n">
        <v>72</v>
      </c>
      <c r="CP329" s="25" t="n">
        <f aca="false">BX329+BW329+BV329+BU329+BT329+BQ329+BN329</f>
        <v>622</v>
      </c>
      <c r="CQ329" s="25" t="n">
        <f aca="false">CO329+CL329+CI329+CH329+CG329+CD329+CA329</f>
        <v>545</v>
      </c>
      <c r="CR329" s="26" t="n">
        <f aca="false">CP329/7</f>
        <v>88.8571428571429</v>
      </c>
      <c r="CS329" s="26" t="n">
        <f aca="false">CQ329/7</f>
        <v>77.8571428571429</v>
      </c>
      <c r="CT329" s="24" t="n">
        <f aca="false">RANK(CR329,$CR$2:$CR$881,0)</f>
        <v>254</v>
      </c>
      <c r="CU329" s="25" t="n">
        <f aca="false">RANK(CS329,$CS$2:$CS$881,0)</f>
        <v>336</v>
      </c>
      <c r="CV329" s="26" t="n">
        <f aca="false">(CS329+CR329)/2</f>
        <v>83.3571428571429</v>
      </c>
      <c r="CW329" s="25" t="n">
        <f aca="false">RANK(CV329,$CV$2:$CV$881,0)</f>
        <v>282</v>
      </c>
      <c r="CX329" s="50" t="n">
        <f aca="false">(CV329+BB329)/2</f>
        <v>80.7785714285714</v>
      </c>
      <c r="CY329" s="50" t="n">
        <v>335</v>
      </c>
      <c r="CZ329" s="27" t="s">
        <v>132</v>
      </c>
      <c r="DA329" s="27" t="s">
        <v>175</v>
      </c>
      <c r="DB329" s="27" t="s">
        <v>175</v>
      </c>
      <c r="DC329" s="27" t="s">
        <v>134</v>
      </c>
      <c r="DD329" s="27" t="s">
        <v>137</v>
      </c>
      <c r="DE329" s="27" t="s">
        <v>218</v>
      </c>
      <c r="DF329" s="27" t="s">
        <v>169</v>
      </c>
      <c r="DG329" s="27" t="s">
        <v>134</v>
      </c>
      <c r="DH329" s="27" t="s">
        <v>154</v>
      </c>
      <c r="DI329" s="27" t="s">
        <v>218</v>
      </c>
      <c r="DJ329" s="27" t="s">
        <v>219</v>
      </c>
      <c r="DK329" s="27" t="s">
        <v>134</v>
      </c>
      <c r="DL329" s="27" t="s">
        <v>137</v>
      </c>
      <c r="DM329" s="27" t="s">
        <v>304</v>
      </c>
      <c r="DN329" s="27" t="s">
        <v>219</v>
      </c>
      <c r="DO329" s="27" t="s">
        <v>134</v>
      </c>
      <c r="DP329" s="27" t="s">
        <v>174</v>
      </c>
      <c r="DQ329" s="27" t="s">
        <v>304</v>
      </c>
      <c r="DR329" s="27" t="s">
        <v>443</v>
      </c>
      <c r="DS329" s="27" t="s">
        <v>134</v>
      </c>
      <c r="DT329" s="27" t="s">
        <v>195</v>
      </c>
      <c r="DU329" s="27" t="s">
        <v>897</v>
      </c>
      <c r="DV329" s="27" t="s">
        <v>152</v>
      </c>
      <c r="DW329" s="27" t="s">
        <v>174</v>
      </c>
      <c r="DX329" s="27" t="s">
        <v>187</v>
      </c>
      <c r="DY329" s="27" t="s">
        <v>133</v>
      </c>
      <c r="DZ329" s="27" t="n">
        <f aca="false">DY329+DV329+DR329+DN329+DJ329+DF329+DB329</f>
        <v>556</v>
      </c>
      <c r="EA329" s="28" t="n">
        <f aca="false">DZ329/7</f>
        <v>79.4285714285714</v>
      </c>
      <c r="EB329" s="27" t="n">
        <f aca="false">RANK(EA329,$EA$2:$EA$881,0)</f>
        <v>419</v>
      </c>
      <c r="EC329" s="29" t="n">
        <f aca="false">DZ329+CQ329+CP329+AZ329</f>
        <v>2505</v>
      </c>
      <c r="ED329" s="30" t="n">
        <f aca="false">(EA329+CV329+BB329)/3</f>
        <v>80.3285714285714</v>
      </c>
      <c r="EE329" s="51" t="n">
        <f aca="false">ROUND(BE329,3)</f>
        <v>85.39</v>
      </c>
      <c r="EF329" s="51" t="n">
        <f aca="false">ROUND(CR329,3)</f>
        <v>88.857</v>
      </c>
      <c r="EG329" s="51" t="n">
        <f aca="false">ROUND(CS329,3)</f>
        <v>77.857</v>
      </c>
      <c r="EH329" s="51" t="n">
        <f aca="false">ROUND(EA329,3)</f>
        <v>79.429</v>
      </c>
      <c r="EI329" s="51" t="n">
        <f aca="false">ROUND(ED329,3)</f>
        <v>80.329</v>
      </c>
      <c r="EJ329" s="51" t="n">
        <f aca="false">ROUND(CV329,3)</f>
        <v>83.357</v>
      </c>
      <c r="EK329" s="0" t="n">
        <f aca="false">RANK(EI329,$EI$2:$EI$881,0)</f>
        <v>328</v>
      </c>
    </row>
    <row r="330" customFormat="false" ht="15" hidden="false" customHeight="false" outlineLevel="0" collapsed="false">
      <c r="A330" s="4" t="n">
        <v>9059</v>
      </c>
      <c r="B330" s="4" t="n">
        <v>317</v>
      </c>
      <c r="C330" s="27" t="s">
        <v>1103</v>
      </c>
      <c r="D330" s="31" t="n">
        <v>318</v>
      </c>
      <c r="E330" s="16" t="n">
        <v>230237043</v>
      </c>
      <c r="F330" s="56" t="s">
        <v>1104</v>
      </c>
      <c r="G330" s="22" t="s">
        <v>1105</v>
      </c>
      <c r="H330" s="22" t="s">
        <v>326</v>
      </c>
      <c r="I330" s="57"/>
      <c r="J330" s="16" t="n">
        <v>76</v>
      </c>
      <c r="K330" s="16" t="n">
        <v>87</v>
      </c>
      <c r="L330" s="34" t="n">
        <f aca="false">(K330*70)/100</f>
        <v>60.9</v>
      </c>
      <c r="M330" s="34" t="n">
        <f aca="false">ROUNDUP(L330,0)</f>
        <v>61</v>
      </c>
      <c r="N330" s="16" t="n">
        <v>24</v>
      </c>
      <c r="O330" s="34" t="n">
        <f aca="false">N330+L330</f>
        <v>84.9</v>
      </c>
      <c r="P330" s="34" t="n">
        <f aca="false">N330+M330</f>
        <v>85</v>
      </c>
      <c r="Q330" s="16" t="n">
        <v>80</v>
      </c>
      <c r="R330" s="16" t="n">
        <v>74</v>
      </c>
      <c r="S330" s="34" t="n">
        <f aca="false">(R330*70)/100</f>
        <v>51.8</v>
      </c>
      <c r="T330" s="34" t="n">
        <f aca="false">ROUNDUP(S330,0)</f>
        <v>52</v>
      </c>
      <c r="U330" s="16" t="n">
        <v>26</v>
      </c>
      <c r="V330" s="34" t="n">
        <f aca="false">U330+S330</f>
        <v>77.8</v>
      </c>
      <c r="W330" s="34" t="n">
        <f aca="false">U330+T330</f>
        <v>78</v>
      </c>
      <c r="X330" s="16" t="n">
        <v>72</v>
      </c>
      <c r="Y330" s="34" t="n">
        <f aca="false">(X330*70)/100</f>
        <v>50.4</v>
      </c>
      <c r="Z330" s="34" t="n">
        <f aca="false">ROUNDUP(Y330,0)</f>
        <v>51</v>
      </c>
      <c r="AA330" s="16" t="n">
        <v>26</v>
      </c>
      <c r="AB330" s="34" t="n">
        <f aca="false">AA330+Y330</f>
        <v>76.4</v>
      </c>
      <c r="AC330" s="34" t="n">
        <f aca="false">AA330+Z330</f>
        <v>77</v>
      </c>
      <c r="AD330" s="32" t="n">
        <f aca="false">X330+R330+Q330+K330+J330</f>
        <v>389</v>
      </c>
      <c r="AE330" s="16" t="n">
        <f aca="false">AD330/5</f>
        <v>77.8</v>
      </c>
      <c r="AF330" s="16" t="n">
        <v>69</v>
      </c>
      <c r="AG330" s="16" t="n">
        <v>78</v>
      </c>
      <c r="AH330" s="16" t="n">
        <v>96</v>
      </c>
      <c r="AI330" s="16" t="n">
        <v>92</v>
      </c>
      <c r="AJ330" s="16" t="n">
        <f aca="false">(AI330*70)/100</f>
        <v>64.4</v>
      </c>
      <c r="AK330" s="35" t="n">
        <f aca="false">ROUNDUP(AJ330,0)</f>
        <v>65</v>
      </c>
      <c r="AL330" s="16" t="n">
        <v>28</v>
      </c>
      <c r="AM330" s="16" t="n">
        <f aca="false">AL330+AJ330</f>
        <v>92.4</v>
      </c>
      <c r="AN330" s="16" t="n">
        <f aca="false">AL330+AK330</f>
        <v>93</v>
      </c>
      <c r="AO330" s="16" t="n">
        <v>71</v>
      </c>
      <c r="AP330" s="36" t="n">
        <f aca="false">(AO330*70)/100</f>
        <v>49.7</v>
      </c>
      <c r="AQ330" s="37" t="n">
        <f aca="false">ROUNDUP(AP330,0)</f>
        <v>50</v>
      </c>
      <c r="AR330" s="16" t="n">
        <v>25</v>
      </c>
      <c r="AS330" s="16" t="n">
        <f aca="false">AR330+AP330</f>
        <v>74.7</v>
      </c>
      <c r="AT330" s="16" t="n">
        <f aca="false">AR330+AQ330</f>
        <v>75</v>
      </c>
      <c r="AU330" s="16" t="n">
        <f aca="false">AO330+AF330+AI330+AH330+AG330</f>
        <v>406</v>
      </c>
      <c r="AV330" s="16" t="n">
        <f aca="false">(AO330+AF330+AI330+AH330+AG330)/5</f>
        <v>81.2</v>
      </c>
      <c r="AW330" s="36" t="n">
        <f aca="false">(AO330+AF330+AI330+AH330+AG330+X330+R330+Q330+K330+J330)</f>
        <v>795</v>
      </c>
      <c r="AX330" s="16" t="n">
        <f aca="false">AW330/10</f>
        <v>79.5</v>
      </c>
      <c r="AY330" s="16" t="n">
        <f aca="false">AS330+AF330+AM330+AH330+AG330+AB330+V330+Q330+O330+J330</f>
        <v>805.2</v>
      </c>
      <c r="AZ330" s="16" t="n">
        <f aca="false">AT330+AF330+AN330+AH330+AG330+AC330+W330+Q330+P330+J330</f>
        <v>807</v>
      </c>
      <c r="BA330" s="16" t="n">
        <f aca="false">AY330/10</f>
        <v>80.52</v>
      </c>
      <c r="BB330" s="16" t="n">
        <f aca="false">AZ330/10</f>
        <v>80.7</v>
      </c>
      <c r="BC330" s="16" t="n">
        <v>2380</v>
      </c>
      <c r="BD330" s="16" t="n">
        <f aca="false">RANK(AX330,$AX$2:$AX$881,0)</f>
        <v>300</v>
      </c>
      <c r="BE330" s="54" t="n">
        <f aca="false">((BC330*100)/2400)*0.4+(AX330*0.6)</f>
        <v>87.3666666666667</v>
      </c>
      <c r="BF330" s="16" t="n">
        <f aca="false">RANK(BE330,$BE$2:$BE$881,0)</f>
        <v>263</v>
      </c>
      <c r="BG330" s="39" t="n">
        <f aca="false">RANK(BB330,$BB$2:$BB$881,0)</f>
        <v>298</v>
      </c>
      <c r="BH330" s="39" t="n">
        <f aca="false">RANK(BC330,$BC$2:$BC$881,0)</f>
        <v>148</v>
      </c>
      <c r="BI330" s="22" t="s">
        <v>130</v>
      </c>
      <c r="BJ330" s="22" t="s">
        <v>129</v>
      </c>
      <c r="BK330" s="40" t="s">
        <v>131</v>
      </c>
      <c r="BL330" s="41" t="n">
        <v>22</v>
      </c>
      <c r="BM330" s="41" t="n">
        <v>63</v>
      </c>
      <c r="BN330" s="41" t="n">
        <v>85</v>
      </c>
      <c r="BO330" s="42" t="n">
        <v>26</v>
      </c>
      <c r="BP330" s="43" t="n">
        <v>54</v>
      </c>
      <c r="BQ330" s="44" t="n">
        <v>80</v>
      </c>
      <c r="BR330" s="42" t="n">
        <v>23</v>
      </c>
      <c r="BS330" s="45" t="n">
        <v>54</v>
      </c>
      <c r="BT330" s="45" t="n">
        <v>77</v>
      </c>
      <c r="BU330" s="46" t="n">
        <v>100</v>
      </c>
      <c r="BV330" s="47" t="n">
        <v>94</v>
      </c>
      <c r="BW330" s="42" t="n">
        <v>95</v>
      </c>
      <c r="BX330" s="48" t="n">
        <v>88</v>
      </c>
      <c r="BY330" s="32" t="n">
        <v>24</v>
      </c>
      <c r="BZ330" s="32" t="n">
        <v>37</v>
      </c>
      <c r="CA330" s="32" t="n">
        <v>61</v>
      </c>
      <c r="CB330" s="32" t="n">
        <v>12</v>
      </c>
      <c r="CC330" s="60"/>
      <c r="CD330" s="60"/>
      <c r="CE330" s="32" t="n">
        <v>18</v>
      </c>
      <c r="CF330" s="32" t="n">
        <v>55</v>
      </c>
      <c r="CG330" s="32" t="n">
        <v>73</v>
      </c>
      <c r="CH330" s="32" t="n">
        <v>98</v>
      </c>
      <c r="CI330" s="32" t="n">
        <v>95</v>
      </c>
      <c r="CJ330" s="49" t="n">
        <v>18</v>
      </c>
      <c r="CK330" s="49" t="n">
        <v>47</v>
      </c>
      <c r="CL330" s="49" t="n">
        <v>65</v>
      </c>
      <c r="CM330" s="49" t="n">
        <v>18</v>
      </c>
      <c r="CN330" s="58" t="n">
        <v>57</v>
      </c>
      <c r="CO330" s="58" t="n">
        <v>75</v>
      </c>
      <c r="CP330" s="25" t="n">
        <f aca="false">BX330+BW330+BV330+BU330+BT330+BQ330+BN330</f>
        <v>619</v>
      </c>
      <c r="CQ330" s="25" t="n">
        <f aca="false">CO330+CL330+CI330+CH330+CG330+CD330+CA330</f>
        <v>467</v>
      </c>
      <c r="CR330" s="26" t="n">
        <f aca="false">CP330/7</f>
        <v>88.4285714285714</v>
      </c>
      <c r="CS330" s="26" t="n">
        <f aca="false">CQ330/7</f>
        <v>66.7142857142857</v>
      </c>
      <c r="CT330" s="24" t="n">
        <f aca="false">RANK(CR330,$CR$2:$CR$881,0)</f>
        <v>276</v>
      </c>
      <c r="CU330" s="25" t="n">
        <f aca="false">RANK(CS330,$CS$2:$CS$881,0)</f>
        <v>601</v>
      </c>
      <c r="CV330" s="26" t="n">
        <f aca="false">(CS330+CR330)/2</f>
        <v>77.5714285714286</v>
      </c>
      <c r="CW330" s="25" t="n">
        <f aca="false">RANK(CV330,$CV$2:$CV$881,0)</f>
        <v>506</v>
      </c>
      <c r="CX330" s="50" t="n">
        <f aca="false">(CV330+BB330)/2</f>
        <v>79.1357142857143</v>
      </c>
      <c r="CY330" s="50" t="n">
        <v>519</v>
      </c>
      <c r="CZ330" s="27" t="s">
        <v>132</v>
      </c>
      <c r="DA330" s="27" t="s">
        <v>169</v>
      </c>
      <c r="DB330" s="27" t="s">
        <v>169</v>
      </c>
      <c r="DC330" s="27" t="s">
        <v>134</v>
      </c>
      <c r="DD330" s="27" t="s">
        <v>182</v>
      </c>
      <c r="DE330" s="27" t="s">
        <v>161</v>
      </c>
      <c r="DF330" s="27" t="s">
        <v>175</v>
      </c>
      <c r="DG330" s="27" t="s">
        <v>134</v>
      </c>
      <c r="DH330" s="27" t="s">
        <v>160</v>
      </c>
      <c r="DI330" s="27" t="s">
        <v>187</v>
      </c>
      <c r="DJ330" s="27" t="s">
        <v>156</v>
      </c>
      <c r="DK330" s="27" t="s">
        <v>134</v>
      </c>
      <c r="DL330" s="27" t="s">
        <v>174</v>
      </c>
      <c r="DM330" s="27" t="s">
        <v>412</v>
      </c>
      <c r="DN330" s="27" t="s">
        <v>486</v>
      </c>
      <c r="DO330" s="27" t="s">
        <v>134</v>
      </c>
      <c r="DP330" s="27" t="s">
        <v>485</v>
      </c>
      <c r="DQ330" s="27" t="s">
        <v>304</v>
      </c>
      <c r="DR330" s="27" t="s">
        <v>416</v>
      </c>
      <c r="DS330" s="27" t="s">
        <v>134</v>
      </c>
      <c r="DT330" s="27" t="s">
        <v>164</v>
      </c>
      <c r="DU330" s="27" t="s">
        <v>375</v>
      </c>
      <c r="DV330" s="27" t="s">
        <v>382</v>
      </c>
      <c r="DW330" s="27" t="s">
        <v>164</v>
      </c>
      <c r="DX330" s="27" t="s">
        <v>138</v>
      </c>
      <c r="DY330" s="27" t="s">
        <v>142</v>
      </c>
      <c r="DZ330" s="27" t="n">
        <f aca="false">DY330+DV330+DR330+DN330+DJ330+DF330+DB330</f>
        <v>579</v>
      </c>
      <c r="EA330" s="28" t="n">
        <f aca="false">DZ330/7</f>
        <v>82.7142857142857</v>
      </c>
      <c r="EB330" s="27" t="n">
        <f aca="false">RANK(EA330,$EA$2:$EA$881,0)</f>
        <v>282</v>
      </c>
      <c r="EC330" s="29" t="n">
        <f aca="false">DZ330+CQ330+CP330+AZ330</f>
        <v>2472</v>
      </c>
      <c r="ED330" s="30" t="n">
        <f aca="false">(EA330+CV330+BB330)/3</f>
        <v>80.3285714285714</v>
      </c>
      <c r="EE330" s="51" t="n">
        <f aca="false">ROUND(BE330,3)</f>
        <v>87.367</v>
      </c>
      <c r="EF330" s="51" t="n">
        <f aca="false">ROUND(CR330,3)</f>
        <v>88.429</v>
      </c>
      <c r="EG330" s="51" t="n">
        <f aca="false">ROUND(CS330,3)</f>
        <v>66.714</v>
      </c>
      <c r="EH330" s="51" t="n">
        <f aca="false">ROUND(EA330,3)</f>
        <v>82.714</v>
      </c>
      <c r="EI330" s="51" t="n">
        <f aca="false">ROUND(ED330,3)</f>
        <v>80.329</v>
      </c>
      <c r="EJ330" s="51" t="n">
        <f aca="false">ROUND(CV330,3)</f>
        <v>77.571</v>
      </c>
      <c r="EK330" s="0" t="n">
        <f aca="false">RANK(EI330,$EI$2:$EI$881,0)</f>
        <v>328</v>
      </c>
    </row>
    <row r="331" customFormat="false" ht="15" hidden="false" customHeight="false" outlineLevel="0" collapsed="false">
      <c r="A331" s="4" t="n">
        <v>8659</v>
      </c>
      <c r="B331" s="4" t="n">
        <v>400</v>
      </c>
      <c r="C331" s="27" t="s">
        <v>1106</v>
      </c>
      <c r="D331" s="31" t="n">
        <v>405</v>
      </c>
      <c r="E331" s="32" t="n">
        <v>230314863</v>
      </c>
      <c r="F331" s="8" t="s">
        <v>1107</v>
      </c>
      <c r="G331" s="22" t="s">
        <v>1108</v>
      </c>
      <c r="H331" s="22" t="s">
        <v>129</v>
      </c>
      <c r="I331" s="33" t="n">
        <v>2006</v>
      </c>
      <c r="J331" s="32" t="n">
        <v>68</v>
      </c>
      <c r="K331" s="32" t="n">
        <v>87</v>
      </c>
      <c r="L331" s="34" t="n">
        <f aca="false">(K331*70)/100</f>
        <v>60.9</v>
      </c>
      <c r="M331" s="34" t="n">
        <f aca="false">ROUNDUP(L331,0)</f>
        <v>61</v>
      </c>
      <c r="N331" s="32" t="n">
        <v>27</v>
      </c>
      <c r="O331" s="34" t="n">
        <f aca="false">N331+L331</f>
        <v>87.9</v>
      </c>
      <c r="P331" s="34" t="n">
        <f aca="false">N331+M331</f>
        <v>88</v>
      </c>
      <c r="Q331" s="32" t="n">
        <v>87</v>
      </c>
      <c r="R331" s="32" t="n">
        <v>80</v>
      </c>
      <c r="S331" s="34" t="n">
        <f aca="false">(R331*70)/100</f>
        <v>56</v>
      </c>
      <c r="T331" s="34" t="n">
        <f aca="false">ROUNDUP(S331,0)</f>
        <v>56</v>
      </c>
      <c r="U331" s="32" t="n">
        <v>23</v>
      </c>
      <c r="V331" s="34" t="n">
        <f aca="false">U331+S331</f>
        <v>79</v>
      </c>
      <c r="W331" s="34" t="n">
        <f aca="false">U331+T331</f>
        <v>79</v>
      </c>
      <c r="X331" s="32" t="n">
        <v>76</v>
      </c>
      <c r="Y331" s="34" t="n">
        <f aca="false">(X331*70)/100</f>
        <v>53.2</v>
      </c>
      <c r="Z331" s="34" t="n">
        <f aca="false">ROUNDUP(Y331,0)</f>
        <v>54</v>
      </c>
      <c r="AA331" s="32" t="n">
        <v>25</v>
      </c>
      <c r="AB331" s="34" t="n">
        <f aca="false">AA331+Y331</f>
        <v>78.2</v>
      </c>
      <c r="AC331" s="34" t="n">
        <f aca="false">AA331+Z331</f>
        <v>79</v>
      </c>
      <c r="AD331" s="32" t="n">
        <f aca="false">X331+R331+Q331+K331+J331</f>
        <v>398</v>
      </c>
      <c r="AE331" s="16" t="n">
        <f aca="false">AD331/5</f>
        <v>79.6</v>
      </c>
      <c r="AF331" s="16" t="n">
        <v>75</v>
      </c>
      <c r="AG331" s="16" t="n">
        <v>74</v>
      </c>
      <c r="AH331" s="16" t="n">
        <v>75</v>
      </c>
      <c r="AI331" s="16" t="n">
        <v>96</v>
      </c>
      <c r="AJ331" s="16" t="n">
        <f aca="false">(AI331*70)/100</f>
        <v>67.2</v>
      </c>
      <c r="AK331" s="35" t="n">
        <f aca="false">ROUNDUP(AJ331,0)</f>
        <v>68</v>
      </c>
      <c r="AL331" s="16" t="n">
        <v>29</v>
      </c>
      <c r="AM331" s="16" t="n">
        <f aca="false">AL331+AJ331</f>
        <v>96.2</v>
      </c>
      <c r="AN331" s="16" t="n">
        <f aca="false">AL331+AK331</f>
        <v>97</v>
      </c>
      <c r="AO331" s="16" t="n">
        <v>72</v>
      </c>
      <c r="AP331" s="36" t="n">
        <f aca="false">(AO331*70)/100</f>
        <v>50.4</v>
      </c>
      <c r="AQ331" s="37" t="n">
        <f aca="false">ROUNDUP(AP331,0)</f>
        <v>51</v>
      </c>
      <c r="AR331" s="16" t="n">
        <v>28</v>
      </c>
      <c r="AS331" s="16" t="n">
        <f aca="false">AR331+AP331</f>
        <v>78.4</v>
      </c>
      <c r="AT331" s="16" t="n">
        <f aca="false">AR331+AQ331</f>
        <v>79</v>
      </c>
      <c r="AU331" s="16" t="n">
        <f aca="false">AO331+AF331+AI331+AH331+AG331</f>
        <v>392</v>
      </c>
      <c r="AV331" s="16" t="n">
        <f aca="false">(AO331+AF331+AI331+AH331+AG331)/5</f>
        <v>78.4</v>
      </c>
      <c r="AW331" s="36" t="n">
        <f aca="false">(AO331+AF331+AI331+AH331+AG331+X331+R331+Q331+K331+J331)</f>
        <v>790</v>
      </c>
      <c r="AX331" s="16" t="n">
        <f aca="false">AW331/10</f>
        <v>79</v>
      </c>
      <c r="AY331" s="16" t="n">
        <f aca="false">AS331+AF331+AM331+AH331+AG331+AB331+V331+Q331+O331+J331</f>
        <v>798.7</v>
      </c>
      <c r="AZ331" s="16" t="n">
        <f aca="false">AT331+AF331+AN331+AH331+AG331+AC331+W331+Q331+P331+J331</f>
        <v>801</v>
      </c>
      <c r="BA331" s="16" t="n">
        <f aca="false">AY331/10</f>
        <v>79.87</v>
      </c>
      <c r="BB331" s="16" t="n">
        <f aca="false">AZ331/10</f>
        <v>80.1</v>
      </c>
      <c r="BC331" s="16" t="n">
        <v>2368</v>
      </c>
      <c r="BD331" s="16" t="n">
        <f aca="false">RANK(AX331,$AX$2:$AX$881,0)</f>
        <v>330</v>
      </c>
      <c r="BE331" s="54" t="n">
        <f aca="false">((BC331*100)/2400)*0.4+(AX331*0.6)</f>
        <v>86.8666666666667</v>
      </c>
      <c r="BF331" s="16" t="n">
        <f aca="false">RANK(BE331,$BE$2:$BE$881,0)</f>
        <v>315</v>
      </c>
      <c r="BG331" s="39" t="n">
        <f aca="false">RANK(BB331,$BB$2:$BB$881,0)</f>
        <v>346</v>
      </c>
      <c r="BH331" s="39" t="n">
        <f aca="false">RANK(BC331,$BC$2:$BC$881,0)</f>
        <v>295</v>
      </c>
      <c r="BI331" s="22" t="s">
        <v>130</v>
      </c>
      <c r="BJ331" s="22" t="s">
        <v>129</v>
      </c>
      <c r="BK331" s="40" t="s">
        <v>968</v>
      </c>
      <c r="BL331" s="41" t="n">
        <v>20</v>
      </c>
      <c r="BM331" s="41" t="n">
        <v>52</v>
      </c>
      <c r="BN331" s="41" t="n">
        <v>72</v>
      </c>
      <c r="BO331" s="42" t="n">
        <v>23</v>
      </c>
      <c r="BP331" s="43" t="n">
        <v>54</v>
      </c>
      <c r="BQ331" s="44" t="n">
        <v>77</v>
      </c>
      <c r="BR331" s="42" t="n">
        <v>22</v>
      </c>
      <c r="BS331" s="45" t="n">
        <v>59</v>
      </c>
      <c r="BT331" s="45" t="n">
        <v>81</v>
      </c>
      <c r="BU331" s="46" t="n">
        <v>99</v>
      </c>
      <c r="BV331" s="47" t="n">
        <v>92</v>
      </c>
      <c r="BW331" s="43" t="n">
        <v>98</v>
      </c>
      <c r="BX331" s="48" t="n">
        <v>88</v>
      </c>
      <c r="BY331" s="32" t="n">
        <v>25</v>
      </c>
      <c r="BZ331" s="32" t="n">
        <v>54</v>
      </c>
      <c r="CA331" s="32" t="n">
        <v>79</v>
      </c>
      <c r="CB331" s="32" t="n">
        <v>18</v>
      </c>
      <c r="CC331" s="32" t="n">
        <v>38</v>
      </c>
      <c r="CD331" s="69" t="n">
        <v>56</v>
      </c>
      <c r="CE331" s="32" t="n">
        <v>25</v>
      </c>
      <c r="CF331" s="32" t="n">
        <v>52</v>
      </c>
      <c r="CG331" s="32" t="n">
        <v>77</v>
      </c>
      <c r="CH331" s="32" t="n">
        <v>98</v>
      </c>
      <c r="CI331" s="32" t="n">
        <v>93</v>
      </c>
      <c r="CJ331" s="49" t="n">
        <v>19</v>
      </c>
      <c r="CK331" s="49" t="n">
        <v>49</v>
      </c>
      <c r="CL331" s="49" t="n">
        <v>68</v>
      </c>
      <c r="CM331" s="49" t="n">
        <v>22</v>
      </c>
      <c r="CN331" s="49" t="n">
        <v>54</v>
      </c>
      <c r="CO331" s="49" t="n">
        <v>76</v>
      </c>
      <c r="CP331" s="25" t="n">
        <f aca="false">BX331+BW331+BV331+BU331+BT331+BQ331+BN331</f>
        <v>607</v>
      </c>
      <c r="CQ331" s="25" t="n">
        <f aca="false">CO331+CL331+CI331+CH331+CG331+CD331+CA331</f>
        <v>547</v>
      </c>
      <c r="CR331" s="26" t="n">
        <f aca="false">CP331/7</f>
        <v>86.7142857142857</v>
      </c>
      <c r="CS331" s="26" t="n">
        <f aca="false">CQ331/7</f>
        <v>78.1428571428571</v>
      </c>
      <c r="CT331" s="24" t="n">
        <f aca="false">RANK(CR331,$CR$2:$CR$881,0)</f>
        <v>367</v>
      </c>
      <c r="CU331" s="25" t="n">
        <f aca="false">RANK(CS331,$CS$2:$CS$881,0)</f>
        <v>327</v>
      </c>
      <c r="CV331" s="26" t="n">
        <f aca="false">(CS331+CR331)/2</f>
        <v>82.4285714285714</v>
      </c>
      <c r="CW331" s="25" t="n">
        <f aca="false">RANK(CV331,$CV$2:$CV$881,0)</f>
        <v>320</v>
      </c>
      <c r="CX331" s="50" t="n">
        <f aca="false">(CV331+BB331)/2</f>
        <v>81.2642857142857</v>
      </c>
      <c r="CY331" s="50" t="n">
        <v>307</v>
      </c>
      <c r="CZ331" s="27" t="s">
        <v>132</v>
      </c>
      <c r="DA331" s="27" t="s">
        <v>305</v>
      </c>
      <c r="DB331" s="27" t="s">
        <v>305</v>
      </c>
      <c r="DC331" s="27" t="s">
        <v>134</v>
      </c>
      <c r="DD331" s="27" t="s">
        <v>264</v>
      </c>
      <c r="DE331" s="27" t="s">
        <v>177</v>
      </c>
      <c r="DF331" s="27" t="s">
        <v>272</v>
      </c>
      <c r="DG331" s="27" t="s">
        <v>134</v>
      </c>
      <c r="DH331" s="27" t="s">
        <v>135</v>
      </c>
      <c r="DI331" s="27" t="s">
        <v>204</v>
      </c>
      <c r="DJ331" s="27" t="s">
        <v>209</v>
      </c>
      <c r="DK331" s="27" t="s">
        <v>134</v>
      </c>
      <c r="DL331" s="27" t="s">
        <v>191</v>
      </c>
      <c r="DM331" s="27" t="s">
        <v>673</v>
      </c>
      <c r="DN331" s="27" t="s">
        <v>161</v>
      </c>
      <c r="DO331" s="27" t="s">
        <v>134</v>
      </c>
      <c r="DP331" s="27" t="s">
        <v>191</v>
      </c>
      <c r="DQ331" s="27" t="s">
        <v>306</v>
      </c>
      <c r="DR331" s="27" t="s">
        <v>441</v>
      </c>
      <c r="DS331" s="27" t="s">
        <v>134</v>
      </c>
      <c r="DT331" s="27" t="s">
        <v>182</v>
      </c>
      <c r="DU331" s="27" t="s">
        <v>220</v>
      </c>
      <c r="DV331" s="27" t="s">
        <v>219</v>
      </c>
      <c r="DW331" s="27" t="s">
        <v>135</v>
      </c>
      <c r="DX331" s="27" t="s">
        <v>141</v>
      </c>
      <c r="DY331" s="27" t="s">
        <v>176</v>
      </c>
      <c r="DZ331" s="27" t="n">
        <f aca="false">DY331+DV331+DR331+DN331+DJ331+DF331+DB331</f>
        <v>549</v>
      </c>
      <c r="EA331" s="28" t="n">
        <f aca="false">DZ331/7</f>
        <v>78.4285714285714</v>
      </c>
      <c r="EB331" s="27" t="n">
        <f aca="false">RANK(EA331,$EA$2:$EA$881,0)</f>
        <v>444</v>
      </c>
      <c r="EC331" s="29" t="n">
        <f aca="false">DZ331+CQ331+CP331+AZ331</f>
        <v>2504</v>
      </c>
      <c r="ED331" s="30" t="n">
        <f aca="false">(EA331+CV331+BB331)/3</f>
        <v>80.3190476190476</v>
      </c>
      <c r="EE331" s="51" t="n">
        <f aca="false">ROUND(BE331,3)</f>
        <v>86.867</v>
      </c>
      <c r="EF331" s="51" t="n">
        <f aca="false">ROUND(CR331,3)</f>
        <v>86.714</v>
      </c>
      <c r="EG331" s="51" t="n">
        <f aca="false">ROUND(CS331,3)</f>
        <v>78.143</v>
      </c>
      <c r="EH331" s="51" t="n">
        <f aca="false">ROUND(EA331,3)</f>
        <v>78.429</v>
      </c>
      <c r="EI331" s="51" t="n">
        <f aca="false">ROUND(ED331,3)</f>
        <v>80.319</v>
      </c>
      <c r="EJ331" s="51" t="n">
        <f aca="false">ROUND(CV331,3)</f>
        <v>82.429</v>
      </c>
      <c r="EK331" s="0" t="n">
        <f aca="false">RANK(EI331,$EI$2:$EI$881,0)</f>
        <v>330</v>
      </c>
    </row>
    <row r="332" customFormat="false" ht="15" hidden="false" customHeight="false" outlineLevel="0" collapsed="false">
      <c r="A332" s="4" t="n">
        <v>1864</v>
      </c>
      <c r="B332" s="4" t="n">
        <v>777</v>
      </c>
      <c r="C332" s="27" t="s">
        <v>1109</v>
      </c>
      <c r="D332" s="31" t="n">
        <v>794</v>
      </c>
      <c r="E332" s="32" t="n">
        <v>230322679</v>
      </c>
      <c r="F332" s="8" t="s">
        <v>1110</v>
      </c>
      <c r="G332" s="22" t="s">
        <v>1111</v>
      </c>
      <c r="H332" s="22" t="s">
        <v>129</v>
      </c>
      <c r="I332" s="33" t="n">
        <v>2005</v>
      </c>
      <c r="J332" s="32" t="n">
        <v>80</v>
      </c>
      <c r="K332" s="32" t="n">
        <v>75</v>
      </c>
      <c r="L332" s="34" t="n">
        <f aca="false">(K332*70)/100</f>
        <v>52.5</v>
      </c>
      <c r="M332" s="34" t="n">
        <f aca="false">ROUNDUP(L332,0)</f>
        <v>53</v>
      </c>
      <c r="N332" s="32" t="n">
        <v>27</v>
      </c>
      <c r="O332" s="34" t="n">
        <f aca="false">N332+L332</f>
        <v>79.5</v>
      </c>
      <c r="P332" s="34" t="n">
        <f aca="false">N332+M332</f>
        <v>80</v>
      </c>
      <c r="Q332" s="32" t="n">
        <v>71</v>
      </c>
      <c r="R332" s="32" t="n">
        <v>79</v>
      </c>
      <c r="S332" s="34" t="n">
        <f aca="false">(R332*70)/100</f>
        <v>55.3</v>
      </c>
      <c r="T332" s="34" t="n">
        <f aca="false">ROUNDUP(S332,0)</f>
        <v>56</v>
      </c>
      <c r="U332" s="32" t="n">
        <v>23</v>
      </c>
      <c r="V332" s="34" t="n">
        <f aca="false">U332+S332</f>
        <v>78.3</v>
      </c>
      <c r="W332" s="34" t="n">
        <f aca="false">U332+T332</f>
        <v>79</v>
      </c>
      <c r="X332" s="32" t="n">
        <v>76</v>
      </c>
      <c r="Y332" s="34" t="n">
        <f aca="false">(X332*70)/100</f>
        <v>53.2</v>
      </c>
      <c r="Z332" s="34" t="n">
        <f aca="false">ROUNDUP(Y332,0)</f>
        <v>54</v>
      </c>
      <c r="AA332" s="32" t="n">
        <v>21</v>
      </c>
      <c r="AB332" s="34" t="n">
        <f aca="false">AA332+Y332</f>
        <v>74.2</v>
      </c>
      <c r="AC332" s="34" t="n">
        <f aca="false">AA332+Z332</f>
        <v>75</v>
      </c>
      <c r="AD332" s="32" t="n">
        <f aca="false">X332+R332+Q332+K332+J332</f>
        <v>381</v>
      </c>
      <c r="AE332" s="16" t="n">
        <f aca="false">AD332/5</f>
        <v>76.2</v>
      </c>
      <c r="AF332" s="16" t="n">
        <v>72</v>
      </c>
      <c r="AG332" s="16" t="n">
        <v>88</v>
      </c>
      <c r="AH332" s="16" t="n">
        <v>84</v>
      </c>
      <c r="AI332" s="16" t="n">
        <v>70</v>
      </c>
      <c r="AJ332" s="16" t="n">
        <f aca="false">(AI332*70)/100</f>
        <v>49</v>
      </c>
      <c r="AK332" s="35" t="n">
        <f aca="false">ROUNDUP(AJ332,0)</f>
        <v>49</v>
      </c>
      <c r="AL332" s="16" t="n">
        <v>23</v>
      </c>
      <c r="AM332" s="16" t="n">
        <f aca="false">AL332+AJ332</f>
        <v>72</v>
      </c>
      <c r="AN332" s="16" t="n">
        <f aca="false">AL332+AK332</f>
        <v>72</v>
      </c>
      <c r="AO332" s="16" t="n">
        <v>61</v>
      </c>
      <c r="AP332" s="36" t="n">
        <f aca="false">(AO332*70)/100</f>
        <v>42.7</v>
      </c>
      <c r="AQ332" s="37" t="n">
        <f aca="false">ROUNDUP(AP332,0)</f>
        <v>43</v>
      </c>
      <c r="AR332" s="16" t="n">
        <v>25</v>
      </c>
      <c r="AS332" s="16" t="n">
        <f aca="false">AR332+AP332</f>
        <v>67.7</v>
      </c>
      <c r="AT332" s="16" t="n">
        <f aca="false">AR332+AQ332</f>
        <v>68</v>
      </c>
      <c r="AU332" s="16" t="n">
        <f aca="false">AO332+AF332+AI332+AH332+AG332</f>
        <v>375</v>
      </c>
      <c r="AV332" s="16" t="n">
        <f aca="false">(AO332+AF332+AI332+AH332+AG332)/5</f>
        <v>75</v>
      </c>
      <c r="AW332" s="36" t="n">
        <f aca="false">(AO332+AF332+AI332+AH332+AG332+X332+R332+Q332+K332+J332)</f>
        <v>756</v>
      </c>
      <c r="AX332" s="16" t="n">
        <f aca="false">AW332/10</f>
        <v>75.6</v>
      </c>
      <c r="AY332" s="16" t="n">
        <f aca="false">AS332+AF332+AM332+AH332+AG332+AB332+V332+Q332+O332+J332</f>
        <v>766.7</v>
      </c>
      <c r="AZ332" s="16" t="n">
        <f aca="false">AT332+AF332+AN332+AH332+AG332+AC332+W332+Q332+P332+J332</f>
        <v>769</v>
      </c>
      <c r="BA332" s="16" t="n">
        <f aca="false">AY332/10</f>
        <v>76.67</v>
      </c>
      <c r="BB332" s="16" t="n">
        <f aca="false">AZ332/10</f>
        <v>76.9</v>
      </c>
      <c r="BC332" s="16" t="n">
        <v>2368</v>
      </c>
      <c r="BD332" s="16" t="n">
        <f aca="false">RANK(AX332,$AX$2:$AX$881,0)</f>
        <v>652</v>
      </c>
      <c r="BE332" s="73" t="n">
        <f aca="false">((BC332*100)/2400)*0.4+(AX332*0.6)</f>
        <v>84.8266666666667</v>
      </c>
      <c r="BF332" s="16" t="n">
        <f aca="false">RANK(BE332,$BE$2:$BE$881,0)</f>
        <v>652</v>
      </c>
      <c r="BG332" s="39" t="n">
        <f aca="false">RANK(BB332,$BB$2:$BB$881,0)</f>
        <v>648</v>
      </c>
      <c r="BH332" s="39" t="n">
        <f aca="false">RANK(BC332,$BC$2:$BC$881,0)</f>
        <v>295</v>
      </c>
      <c r="BI332" s="22" t="s">
        <v>130</v>
      </c>
      <c r="BJ332" s="22" t="s">
        <v>129</v>
      </c>
      <c r="BK332" s="22" t="s">
        <v>509</v>
      </c>
      <c r="BL332" s="41" t="n">
        <v>20</v>
      </c>
      <c r="BM332" s="41" t="n">
        <v>53</v>
      </c>
      <c r="BN332" s="41" t="n">
        <v>73</v>
      </c>
      <c r="BO332" s="42" t="n">
        <v>25</v>
      </c>
      <c r="BP332" s="43" t="n">
        <v>60</v>
      </c>
      <c r="BQ332" s="44" t="n">
        <v>85</v>
      </c>
      <c r="BR332" s="42" t="n">
        <v>18</v>
      </c>
      <c r="BS332" s="45" t="n">
        <v>56</v>
      </c>
      <c r="BT332" s="45" t="n">
        <v>74</v>
      </c>
      <c r="BU332" s="46" t="n">
        <v>100</v>
      </c>
      <c r="BV332" s="47" t="n">
        <v>86</v>
      </c>
      <c r="BW332" s="42" t="n">
        <v>98</v>
      </c>
      <c r="BX332" s="48" t="n">
        <v>84</v>
      </c>
      <c r="BY332" s="32" t="n">
        <v>26</v>
      </c>
      <c r="BZ332" s="32" t="n">
        <v>56</v>
      </c>
      <c r="CA332" s="32" t="n">
        <v>82</v>
      </c>
      <c r="CB332" s="32" t="n">
        <v>22</v>
      </c>
      <c r="CC332" s="32" t="n">
        <v>33</v>
      </c>
      <c r="CD332" s="69" t="n">
        <v>55</v>
      </c>
      <c r="CE332" s="32" t="n">
        <v>25</v>
      </c>
      <c r="CF332" s="32" t="n">
        <v>51</v>
      </c>
      <c r="CG332" s="32" t="n">
        <v>76</v>
      </c>
      <c r="CH332" s="32" t="n">
        <v>96</v>
      </c>
      <c r="CI332" s="32" t="n">
        <v>96</v>
      </c>
      <c r="CJ332" s="49" t="n">
        <v>22</v>
      </c>
      <c r="CK332" s="49" t="n">
        <v>45</v>
      </c>
      <c r="CL332" s="49" t="n">
        <v>67</v>
      </c>
      <c r="CM332" s="49" t="n">
        <v>25</v>
      </c>
      <c r="CN332" s="49" t="n">
        <v>51</v>
      </c>
      <c r="CO332" s="49" t="n">
        <v>76</v>
      </c>
      <c r="CP332" s="25" t="n">
        <f aca="false">BX332+BW332+BV332+BU332+BT332+BQ332+BN332</f>
        <v>600</v>
      </c>
      <c r="CQ332" s="25" t="n">
        <f aca="false">CO332+CL332+CI332+CH332+CG332+CD332+CA332</f>
        <v>548</v>
      </c>
      <c r="CR332" s="26" t="n">
        <f aca="false">CP332/7</f>
        <v>85.7142857142857</v>
      </c>
      <c r="CS332" s="26" t="n">
        <f aca="false">CQ332/7</f>
        <v>78.2857142857143</v>
      </c>
      <c r="CT332" s="24" t="n">
        <f aca="false">RANK(CR332,$CR$2:$CR$881,0)</f>
        <v>413</v>
      </c>
      <c r="CU332" s="25" t="n">
        <f aca="false">RANK(CS332,$CS$2:$CS$881,0)</f>
        <v>325</v>
      </c>
      <c r="CV332" s="26" t="n">
        <f aca="false">(CS332+CR332)/2</f>
        <v>82</v>
      </c>
      <c r="CW332" s="25" t="n">
        <f aca="false">RANK(CV332,$CV$2:$CV$881,0)</f>
        <v>340</v>
      </c>
      <c r="CX332" s="50" t="n">
        <f aca="false">(CV332+BB332)/2</f>
        <v>79.45</v>
      </c>
      <c r="CY332" s="50" t="n">
        <v>401</v>
      </c>
      <c r="CZ332" s="27" t="s">
        <v>132</v>
      </c>
      <c r="DA332" s="27" t="s">
        <v>272</v>
      </c>
      <c r="DB332" s="27" t="s">
        <v>272</v>
      </c>
      <c r="DC332" s="27" t="s">
        <v>134</v>
      </c>
      <c r="DD332" s="27" t="s">
        <v>182</v>
      </c>
      <c r="DE332" s="27" t="s">
        <v>220</v>
      </c>
      <c r="DF332" s="27" t="s">
        <v>219</v>
      </c>
      <c r="DG332" s="27" t="s">
        <v>134</v>
      </c>
      <c r="DH332" s="27" t="s">
        <v>191</v>
      </c>
      <c r="DI332" s="27" t="s">
        <v>306</v>
      </c>
      <c r="DJ332" s="27" t="s">
        <v>441</v>
      </c>
      <c r="DK332" s="27" t="s">
        <v>134</v>
      </c>
      <c r="DL332" s="27" t="s">
        <v>135</v>
      </c>
      <c r="DM332" s="27" t="s">
        <v>203</v>
      </c>
      <c r="DN332" s="27" t="s">
        <v>178</v>
      </c>
      <c r="DO332" s="27" t="s">
        <v>134</v>
      </c>
      <c r="DP332" s="27" t="s">
        <v>174</v>
      </c>
      <c r="DQ332" s="27" t="s">
        <v>304</v>
      </c>
      <c r="DR332" s="27" t="s">
        <v>443</v>
      </c>
      <c r="DS332" s="27" t="s">
        <v>134</v>
      </c>
      <c r="DT332" s="27" t="s">
        <v>160</v>
      </c>
      <c r="DU332" s="27" t="s">
        <v>220</v>
      </c>
      <c r="DV332" s="27" t="s">
        <v>209</v>
      </c>
      <c r="DW332" s="27" t="s">
        <v>182</v>
      </c>
      <c r="DX332" s="27" t="s">
        <v>138</v>
      </c>
      <c r="DY332" s="27" t="s">
        <v>151</v>
      </c>
      <c r="DZ332" s="27" t="n">
        <f aca="false">DY332+DV332+DR332+DN332+DJ332+DF332+DB332</f>
        <v>574</v>
      </c>
      <c r="EA332" s="28" t="n">
        <f aca="false">DZ332/7</f>
        <v>82</v>
      </c>
      <c r="EB332" s="27" t="n">
        <f aca="false">RANK(EA332,$EA$2:$EA$881,0)</f>
        <v>311</v>
      </c>
      <c r="EC332" s="29" t="n">
        <f aca="false">DZ332+CQ332+CP332+AZ332</f>
        <v>2491</v>
      </c>
      <c r="ED332" s="30" t="n">
        <f aca="false">(EA332+CV332+BB332)/3</f>
        <v>80.3</v>
      </c>
      <c r="EE332" s="51" t="n">
        <f aca="false">ROUND(BE332,3)</f>
        <v>84.827</v>
      </c>
      <c r="EF332" s="51" t="n">
        <f aca="false">ROUND(CR332,3)</f>
        <v>85.714</v>
      </c>
      <c r="EG332" s="51" t="n">
        <f aca="false">ROUND(CS332,3)</f>
        <v>78.286</v>
      </c>
      <c r="EH332" s="51" t="n">
        <f aca="false">ROUND(EA332,3)</f>
        <v>82</v>
      </c>
      <c r="EI332" s="51" t="n">
        <f aca="false">ROUND(ED332,3)</f>
        <v>80.3</v>
      </c>
      <c r="EJ332" s="51" t="n">
        <f aca="false">ROUND(CV332,3)</f>
        <v>82</v>
      </c>
      <c r="EK332" s="0" t="n">
        <f aca="false">RANK(EI332,$EI$2:$EI$881,0)</f>
        <v>331</v>
      </c>
    </row>
    <row r="333" customFormat="false" ht="33.7" hidden="false" customHeight="false" outlineLevel="0" collapsed="false">
      <c r="A333" s="4" t="n">
        <v>9108</v>
      </c>
      <c r="B333" s="4" t="n">
        <v>716</v>
      </c>
      <c r="C333" s="27" t="s">
        <v>1112</v>
      </c>
      <c r="D333" s="31" t="n">
        <v>731</v>
      </c>
      <c r="E333" s="32" t="n">
        <v>230312578</v>
      </c>
      <c r="F333" s="55" t="s">
        <v>1113</v>
      </c>
      <c r="G333" s="22" t="s">
        <v>1114</v>
      </c>
      <c r="H333" s="22" t="s">
        <v>129</v>
      </c>
      <c r="I333" s="33" t="n">
        <v>2005</v>
      </c>
      <c r="J333" s="32" t="n">
        <v>94</v>
      </c>
      <c r="K333" s="32" t="n">
        <v>84</v>
      </c>
      <c r="L333" s="34" t="n">
        <f aca="false">(K333*70)/100</f>
        <v>58.8</v>
      </c>
      <c r="M333" s="34" t="n">
        <f aca="false">ROUNDUP(L333,0)</f>
        <v>59</v>
      </c>
      <c r="N333" s="32" t="n">
        <v>24</v>
      </c>
      <c r="O333" s="34" t="n">
        <f aca="false">N333+L333</f>
        <v>82.8</v>
      </c>
      <c r="P333" s="34" t="n">
        <f aca="false">N333+M333</f>
        <v>83</v>
      </c>
      <c r="Q333" s="32" t="n">
        <v>67</v>
      </c>
      <c r="R333" s="32" t="n">
        <v>74</v>
      </c>
      <c r="S333" s="34" t="n">
        <f aca="false">(R333*70)/100</f>
        <v>51.8</v>
      </c>
      <c r="T333" s="34" t="n">
        <f aca="false">ROUNDUP(S333,0)</f>
        <v>52</v>
      </c>
      <c r="U333" s="32" t="n">
        <v>22</v>
      </c>
      <c r="V333" s="34" t="n">
        <f aca="false">U333+S333</f>
        <v>73.8</v>
      </c>
      <c r="W333" s="34" t="n">
        <f aca="false">U333+T333</f>
        <v>74</v>
      </c>
      <c r="X333" s="32" t="n">
        <v>74</v>
      </c>
      <c r="Y333" s="34" t="n">
        <f aca="false">(X333*70)/100</f>
        <v>51.8</v>
      </c>
      <c r="Z333" s="34" t="n">
        <f aca="false">ROUNDUP(Y333,0)</f>
        <v>52</v>
      </c>
      <c r="AA333" s="32" t="n">
        <v>25</v>
      </c>
      <c r="AB333" s="34" t="n">
        <f aca="false">AA333+Y333</f>
        <v>76.8</v>
      </c>
      <c r="AC333" s="34" t="n">
        <f aca="false">AA333+Z333</f>
        <v>77</v>
      </c>
      <c r="AD333" s="32" t="n">
        <f aca="false">X333+R333+Q333+K333+J333</f>
        <v>393</v>
      </c>
      <c r="AE333" s="16" t="n">
        <f aca="false">AD333/5</f>
        <v>78.6</v>
      </c>
      <c r="AF333" s="16" t="n">
        <v>74</v>
      </c>
      <c r="AG333" s="16" t="n">
        <v>94</v>
      </c>
      <c r="AH333" s="16" t="n">
        <v>93</v>
      </c>
      <c r="AI333" s="16" t="n">
        <v>92</v>
      </c>
      <c r="AJ333" s="16" t="n">
        <f aca="false">(AI333*70)/100</f>
        <v>64.4</v>
      </c>
      <c r="AK333" s="35" t="n">
        <f aca="false">ROUNDUP(AJ333,0)</f>
        <v>65</v>
      </c>
      <c r="AL333" s="16" t="n">
        <v>21</v>
      </c>
      <c r="AM333" s="16" t="n">
        <f aca="false">AL333+AJ333</f>
        <v>85.4</v>
      </c>
      <c r="AN333" s="16" t="n">
        <f aca="false">AL333+AK333</f>
        <v>86</v>
      </c>
      <c r="AO333" s="16" t="n">
        <v>92</v>
      </c>
      <c r="AP333" s="36" t="n">
        <f aca="false">(AO333*70)/100</f>
        <v>64.4</v>
      </c>
      <c r="AQ333" s="37" t="n">
        <f aca="false">ROUNDUP(AP333,0)</f>
        <v>65</v>
      </c>
      <c r="AR333" s="16" t="n">
        <v>28</v>
      </c>
      <c r="AS333" s="16" t="n">
        <f aca="false">AR333+AP333</f>
        <v>92.4</v>
      </c>
      <c r="AT333" s="16" t="n">
        <f aca="false">AR333+AQ333</f>
        <v>93</v>
      </c>
      <c r="AU333" s="16" t="n">
        <f aca="false">AO333+AF333+AI333+AH333+AG333</f>
        <v>445</v>
      </c>
      <c r="AV333" s="16" t="n">
        <f aca="false">(AO333+AF333+AI333+AH333+AG333)/5</f>
        <v>89</v>
      </c>
      <c r="AW333" s="36" t="n">
        <f aca="false">(AO333+AF333+AI333+AH333+AG333+X333+R333+Q333+K333+J333)</f>
        <v>838</v>
      </c>
      <c r="AX333" s="16" t="n">
        <f aca="false">AW333/10</f>
        <v>83.8</v>
      </c>
      <c r="AY333" s="16" t="n">
        <f aca="false">AS333+AF333+AM333+AH333+AG333+AB333+V333+Q333+O333+J333</f>
        <v>833.2</v>
      </c>
      <c r="AZ333" s="16" t="n">
        <f aca="false">AT333+AF333+AN333+AH333+AG333+AC333+W333+Q333+P333+J333</f>
        <v>835</v>
      </c>
      <c r="BA333" s="16" t="n">
        <f aca="false">AY333/10</f>
        <v>83.32</v>
      </c>
      <c r="BB333" s="16" t="n">
        <f aca="false">AZ333/10</f>
        <v>83.5</v>
      </c>
      <c r="BC333" s="16" t="n">
        <v>2383</v>
      </c>
      <c r="BD333" s="16" t="n">
        <f aca="false">RANK(AX333,$AX$2:$AX$881,0)</f>
        <v>113</v>
      </c>
      <c r="BE333" s="54" t="n">
        <f aca="false">((BC333*100)/2400)*0.4+(AX333*0.6)</f>
        <v>89.9966666666667</v>
      </c>
      <c r="BF333" s="16" t="n">
        <f aca="false">RANK(BE333,$BE$2:$BE$881,0)</f>
        <v>102</v>
      </c>
      <c r="BG333" s="39" t="n">
        <f aca="false">RANK(BB333,$BB$2:$BB$881,0)</f>
        <v>141</v>
      </c>
      <c r="BH333" s="39" t="n">
        <f aca="false">RANK(BC333,$BC$2:$BC$881,0)</f>
        <v>114</v>
      </c>
      <c r="BI333" s="22" t="s">
        <v>130</v>
      </c>
      <c r="BJ333" s="22" t="s">
        <v>129</v>
      </c>
      <c r="BK333" s="40" t="s">
        <v>131</v>
      </c>
      <c r="BL333" s="41" t="n">
        <v>28</v>
      </c>
      <c r="BM333" s="41" t="n">
        <v>63</v>
      </c>
      <c r="BN333" s="41" t="n">
        <v>91</v>
      </c>
      <c r="BO333" s="42" t="n">
        <v>27</v>
      </c>
      <c r="BP333" s="43" t="n">
        <v>61</v>
      </c>
      <c r="BQ333" s="44" t="n">
        <v>88</v>
      </c>
      <c r="BR333" s="42" t="n">
        <v>26</v>
      </c>
      <c r="BS333" s="45" t="n">
        <v>58</v>
      </c>
      <c r="BT333" s="45" t="n">
        <v>84</v>
      </c>
      <c r="BU333" s="46" t="n">
        <v>100</v>
      </c>
      <c r="BV333" s="47" t="n">
        <v>94</v>
      </c>
      <c r="BW333" s="42" t="n">
        <v>99</v>
      </c>
      <c r="BX333" s="48" t="n">
        <v>92</v>
      </c>
      <c r="BY333" s="32" t="n">
        <v>26</v>
      </c>
      <c r="BZ333" s="32" t="n">
        <v>48</v>
      </c>
      <c r="CA333" s="32" t="n">
        <v>74</v>
      </c>
      <c r="CB333" s="32" t="n">
        <v>26</v>
      </c>
      <c r="CC333" s="32" t="n">
        <v>42</v>
      </c>
      <c r="CD333" s="32" t="n">
        <v>68</v>
      </c>
      <c r="CE333" s="32" t="n">
        <v>23</v>
      </c>
      <c r="CF333" s="32" t="n">
        <v>54</v>
      </c>
      <c r="CG333" s="32" t="n">
        <v>77</v>
      </c>
      <c r="CH333" s="32" t="n">
        <v>95</v>
      </c>
      <c r="CI333" s="32" t="n">
        <v>99</v>
      </c>
      <c r="CJ333" s="49" t="n">
        <v>26</v>
      </c>
      <c r="CK333" s="49" t="n">
        <v>47</v>
      </c>
      <c r="CL333" s="49" t="n">
        <v>73</v>
      </c>
      <c r="CM333" s="49" t="n">
        <v>22</v>
      </c>
      <c r="CN333" s="49" t="n">
        <v>57</v>
      </c>
      <c r="CO333" s="49" t="n">
        <v>79</v>
      </c>
      <c r="CP333" s="25" t="n">
        <f aca="false">BX333+BW333+BV333+BU333+BT333+BQ333+BN333</f>
        <v>648</v>
      </c>
      <c r="CQ333" s="25" t="n">
        <f aca="false">CO333+CL333+CI333+CH333+CG333+CD333+CA333</f>
        <v>565</v>
      </c>
      <c r="CR333" s="26" t="n">
        <f aca="false">CP333/7</f>
        <v>92.5714285714286</v>
      </c>
      <c r="CS333" s="26" t="n">
        <f aca="false">CQ333/7</f>
        <v>80.7142857142857</v>
      </c>
      <c r="CT333" s="24" t="n">
        <f aca="false">RANK(CR333,$CR$2:$CR$881,0)</f>
        <v>68</v>
      </c>
      <c r="CU333" s="25" t="n">
        <f aca="false">RANK(CS333,$CS$2:$CS$881,0)</f>
        <v>233</v>
      </c>
      <c r="CV333" s="26" t="n">
        <f aca="false">(CS333+CR333)/2</f>
        <v>86.6428571428571</v>
      </c>
      <c r="CW333" s="25" t="n">
        <f aca="false">RANK(CV333,$CV$2:$CV$881,0)</f>
        <v>147</v>
      </c>
      <c r="CX333" s="50" t="n">
        <f aca="false">(CV333+BB333)/2</f>
        <v>85.0714285714286</v>
      </c>
      <c r="CY333" s="50" t="n">
        <v>125</v>
      </c>
      <c r="CZ333" s="27" t="s">
        <v>132</v>
      </c>
      <c r="DA333" s="27" t="s">
        <v>175</v>
      </c>
      <c r="DB333" s="27" t="s">
        <v>175</v>
      </c>
      <c r="DC333" s="27" t="s">
        <v>134</v>
      </c>
      <c r="DD333" s="27" t="s">
        <v>182</v>
      </c>
      <c r="DE333" s="27" t="s">
        <v>218</v>
      </c>
      <c r="DF333" s="27" t="s">
        <v>196</v>
      </c>
      <c r="DG333" s="27" t="s">
        <v>134</v>
      </c>
      <c r="DH333" s="27" t="s">
        <v>154</v>
      </c>
      <c r="DI333" s="27" t="s">
        <v>220</v>
      </c>
      <c r="DJ333" s="27" t="s">
        <v>272</v>
      </c>
      <c r="DK333" s="27" t="s">
        <v>134</v>
      </c>
      <c r="DL333" s="27" t="s">
        <v>135</v>
      </c>
      <c r="DM333" s="27" t="s">
        <v>218</v>
      </c>
      <c r="DN333" s="27" t="s">
        <v>205</v>
      </c>
      <c r="DO333" s="27" t="s">
        <v>134</v>
      </c>
      <c r="DP333" s="27"/>
      <c r="DQ333" s="27"/>
      <c r="DR333" s="27"/>
      <c r="DS333" s="27"/>
      <c r="DT333" s="27" t="s">
        <v>164</v>
      </c>
      <c r="DU333" s="27" t="s">
        <v>399</v>
      </c>
      <c r="DV333" s="27" t="s">
        <v>441</v>
      </c>
      <c r="DW333" s="27" t="s">
        <v>135</v>
      </c>
      <c r="DX333" s="27" t="s">
        <v>141</v>
      </c>
      <c r="DY333" s="27" t="s">
        <v>176</v>
      </c>
      <c r="DZ333" s="27" t="n">
        <f aca="false">DY333+DV333+DR333+DN333+DJ333+DF333+DB333</f>
        <v>494</v>
      </c>
      <c r="EA333" s="28" t="n">
        <f aca="false">DZ333/7</f>
        <v>70.5714285714286</v>
      </c>
      <c r="EB333" s="27" t="n">
        <f aca="false">RANK(EA333,$EA$2:$EA$881,0)</f>
        <v>643</v>
      </c>
      <c r="EC333" s="29" t="n">
        <f aca="false">DZ333+CQ333+CP333+AZ333</f>
        <v>2542</v>
      </c>
      <c r="ED333" s="30" t="n">
        <f aca="false">(EA333+CV333+BB333)/3</f>
        <v>80.2380952380952</v>
      </c>
      <c r="EE333" s="51" t="n">
        <f aca="false">ROUND(BE333,3)</f>
        <v>89.997</v>
      </c>
      <c r="EF333" s="51" t="n">
        <f aca="false">ROUND(CR333,3)</f>
        <v>92.571</v>
      </c>
      <c r="EG333" s="51" t="n">
        <f aca="false">ROUND(CS333,3)</f>
        <v>80.714</v>
      </c>
      <c r="EH333" s="51" t="n">
        <f aca="false">ROUND(EA333,3)</f>
        <v>70.571</v>
      </c>
      <c r="EI333" s="51" t="n">
        <f aca="false">ROUND(ED333,3)</f>
        <v>80.238</v>
      </c>
      <c r="EJ333" s="51" t="n">
        <f aca="false">ROUND(CV333,3)</f>
        <v>86.643</v>
      </c>
      <c r="EK333" s="0" t="n">
        <f aca="false">RANK(EI333,$EI$2:$EI$881,0)</f>
        <v>332</v>
      </c>
    </row>
    <row r="334" customFormat="false" ht="15" hidden="false" customHeight="false" outlineLevel="0" collapsed="false">
      <c r="A334" s="4" t="n">
        <v>8933</v>
      </c>
      <c r="B334" s="4" t="n">
        <v>145</v>
      </c>
      <c r="C334" s="27" t="s">
        <v>1115</v>
      </c>
      <c r="D334" s="31" t="n">
        <v>145</v>
      </c>
      <c r="E334" s="32" t="n">
        <v>230312551</v>
      </c>
      <c r="F334" s="8" t="s">
        <v>1116</v>
      </c>
      <c r="G334" s="22" t="s">
        <v>283</v>
      </c>
      <c r="H334" s="22" t="s">
        <v>129</v>
      </c>
      <c r="I334" s="33" t="n">
        <v>2005</v>
      </c>
      <c r="J334" s="32" t="n">
        <v>88</v>
      </c>
      <c r="K334" s="32" t="n">
        <v>91</v>
      </c>
      <c r="L334" s="34" t="n">
        <f aca="false">(K334*70)/100</f>
        <v>63.7</v>
      </c>
      <c r="M334" s="34" t="n">
        <f aca="false">ROUNDUP(L334,0)</f>
        <v>64</v>
      </c>
      <c r="N334" s="32" t="n">
        <v>25</v>
      </c>
      <c r="O334" s="34" t="n">
        <f aca="false">N334+L334</f>
        <v>88.7</v>
      </c>
      <c r="P334" s="34" t="n">
        <f aca="false">N334+M334</f>
        <v>89</v>
      </c>
      <c r="Q334" s="32" t="n">
        <v>81</v>
      </c>
      <c r="R334" s="32" t="n">
        <v>79</v>
      </c>
      <c r="S334" s="34" t="n">
        <f aca="false">(R334*70)/100</f>
        <v>55.3</v>
      </c>
      <c r="T334" s="34" t="n">
        <f aca="false">ROUNDUP(S334,0)</f>
        <v>56</v>
      </c>
      <c r="U334" s="32" t="n">
        <v>17</v>
      </c>
      <c r="V334" s="34" t="n">
        <f aca="false">U334+S334</f>
        <v>72.3</v>
      </c>
      <c r="W334" s="34" t="n">
        <f aca="false">U334+T334</f>
        <v>73</v>
      </c>
      <c r="X334" s="32" t="n">
        <v>76</v>
      </c>
      <c r="Y334" s="34" t="n">
        <f aca="false">(X334*70)/100</f>
        <v>53.2</v>
      </c>
      <c r="Z334" s="34" t="n">
        <f aca="false">ROUNDUP(Y334,0)</f>
        <v>54</v>
      </c>
      <c r="AA334" s="32" t="n">
        <v>24</v>
      </c>
      <c r="AB334" s="34" t="n">
        <f aca="false">AA334+Y334</f>
        <v>77.2</v>
      </c>
      <c r="AC334" s="34" t="n">
        <f aca="false">AA334+Z334</f>
        <v>78</v>
      </c>
      <c r="AD334" s="32" t="n">
        <f aca="false">X334+R334+Q334+K334+J334</f>
        <v>415</v>
      </c>
      <c r="AE334" s="16" t="n">
        <f aca="false">AD334/5</f>
        <v>83</v>
      </c>
      <c r="AF334" s="16" t="n">
        <v>79</v>
      </c>
      <c r="AG334" s="16" t="n">
        <v>88</v>
      </c>
      <c r="AH334" s="16" t="n">
        <v>94</v>
      </c>
      <c r="AI334" s="16" t="n">
        <v>94</v>
      </c>
      <c r="AJ334" s="16" t="n">
        <f aca="false">(AI334*70)/100</f>
        <v>65.8</v>
      </c>
      <c r="AK334" s="35" t="n">
        <f aca="false">ROUNDUP(AJ334,0)</f>
        <v>66</v>
      </c>
      <c r="AL334" s="16" t="n">
        <v>28</v>
      </c>
      <c r="AM334" s="16" t="n">
        <f aca="false">AL334+AJ334</f>
        <v>93.8</v>
      </c>
      <c r="AN334" s="16" t="n">
        <f aca="false">AL334+AK334</f>
        <v>94</v>
      </c>
      <c r="AO334" s="16" t="n">
        <v>90</v>
      </c>
      <c r="AP334" s="36" t="n">
        <f aca="false">(AO334*70)/100</f>
        <v>63</v>
      </c>
      <c r="AQ334" s="37" t="n">
        <f aca="false">ROUNDUP(AP334,0)</f>
        <v>63</v>
      </c>
      <c r="AR334" s="16" t="n">
        <v>30</v>
      </c>
      <c r="AS334" s="16" t="n">
        <f aca="false">AR334+AP334</f>
        <v>93</v>
      </c>
      <c r="AT334" s="16" t="n">
        <f aca="false">AR334+AQ334</f>
        <v>93</v>
      </c>
      <c r="AU334" s="16" t="n">
        <f aca="false">AO334+AF334+AI334+AH334+AG334</f>
        <v>445</v>
      </c>
      <c r="AV334" s="16" t="n">
        <f aca="false">(AO334+AF334+AI334+AH334+AG334)/5</f>
        <v>89</v>
      </c>
      <c r="AW334" s="36" t="n">
        <f aca="false">(AO334+AF334+AI334+AH334+AG334+X334+R334+Q334+K334+J334)</f>
        <v>860</v>
      </c>
      <c r="AX334" s="16" t="n">
        <f aca="false">AW334/10</f>
        <v>86</v>
      </c>
      <c r="AY334" s="16" t="n">
        <f aca="false">AS334+AF334+AM334+AH334+AG334+AB334+V334+Q334+O334+J334</f>
        <v>855</v>
      </c>
      <c r="AZ334" s="16" t="n">
        <f aca="false">AT334+AF334+AN334+AH334+AG334+AC334+W334+Q334+P334+J334</f>
        <v>857</v>
      </c>
      <c r="BA334" s="16" t="n">
        <f aca="false">AY334/10</f>
        <v>85.5</v>
      </c>
      <c r="BB334" s="16" t="n">
        <f aca="false">AZ334/10</f>
        <v>85.7</v>
      </c>
      <c r="BC334" s="16" t="n">
        <v>2369</v>
      </c>
      <c r="BD334" s="16" t="n">
        <f aca="false">RANK(AX334,$AX$2:$AX$881,0)</f>
        <v>73</v>
      </c>
      <c r="BE334" s="38" t="n">
        <f aca="false">((BC334*100)/2400)*0.4+(AX334*0.6)</f>
        <v>91.0833333333333</v>
      </c>
      <c r="BF334" s="16" t="n">
        <f aca="false">RANK(BE334,$BE$2:$BE$881,0)</f>
        <v>74</v>
      </c>
      <c r="BG334" s="39" t="n">
        <f aca="false">RANK(BB334,$BB$2:$BB$881,0)</f>
        <v>90</v>
      </c>
      <c r="BH334" s="39" t="n">
        <f aca="false">RANK(BC334,$BC$2:$BC$881,0)</f>
        <v>283</v>
      </c>
      <c r="BI334" s="22" t="s">
        <v>130</v>
      </c>
      <c r="BJ334" s="22" t="s">
        <v>129</v>
      </c>
      <c r="BK334" s="40" t="s">
        <v>131</v>
      </c>
      <c r="BL334" s="41" t="n">
        <v>18</v>
      </c>
      <c r="BM334" s="41" t="n">
        <v>51</v>
      </c>
      <c r="BN334" s="41" t="n">
        <v>69</v>
      </c>
      <c r="BO334" s="42" t="n">
        <v>22</v>
      </c>
      <c r="BP334" s="43" t="n">
        <v>55</v>
      </c>
      <c r="BQ334" s="44" t="n">
        <v>77</v>
      </c>
      <c r="BR334" s="42" t="n">
        <v>27</v>
      </c>
      <c r="BS334" s="45" t="n">
        <v>55</v>
      </c>
      <c r="BT334" s="45" t="n">
        <v>82</v>
      </c>
      <c r="BU334" s="46" t="n">
        <v>100</v>
      </c>
      <c r="BV334" s="47" t="n">
        <v>88</v>
      </c>
      <c r="BW334" s="42" t="n">
        <v>96</v>
      </c>
      <c r="BX334" s="48" t="n">
        <v>92</v>
      </c>
      <c r="BY334" s="32" t="n">
        <v>25</v>
      </c>
      <c r="BZ334" s="32" t="n">
        <v>41</v>
      </c>
      <c r="CA334" s="32" t="n">
        <v>66</v>
      </c>
      <c r="CB334" s="32" t="n">
        <v>25</v>
      </c>
      <c r="CC334" s="32" t="n">
        <v>41</v>
      </c>
      <c r="CD334" s="32" t="n">
        <v>66</v>
      </c>
      <c r="CE334" s="25" t="n">
        <v>21</v>
      </c>
      <c r="CF334" s="25" t="n">
        <v>50</v>
      </c>
      <c r="CG334" s="25" t="n">
        <v>71</v>
      </c>
      <c r="CH334" s="32" t="n">
        <v>98</v>
      </c>
      <c r="CI334" s="32" t="n">
        <v>95</v>
      </c>
      <c r="CJ334" s="49" t="n">
        <v>17</v>
      </c>
      <c r="CK334" s="49" t="n">
        <v>49</v>
      </c>
      <c r="CL334" s="49" t="n">
        <v>66</v>
      </c>
      <c r="CM334" s="25" t="n">
        <v>19</v>
      </c>
      <c r="CN334" s="25" t="n">
        <v>49</v>
      </c>
      <c r="CO334" s="25" t="n">
        <v>68</v>
      </c>
      <c r="CP334" s="25" t="n">
        <f aca="false">BX334+BW334+BV334+BU334+BT334+BQ334+BN334</f>
        <v>604</v>
      </c>
      <c r="CQ334" s="25" t="n">
        <f aca="false">CO334+CL334+CI334+CH334+CG334+CD334+CA334</f>
        <v>530</v>
      </c>
      <c r="CR334" s="26" t="n">
        <f aca="false">CP334/7</f>
        <v>86.2857142857143</v>
      </c>
      <c r="CS334" s="26" t="n">
        <f aca="false">CQ334/7</f>
        <v>75.7142857142857</v>
      </c>
      <c r="CT334" s="24" t="n">
        <f aca="false">RANK(CR334,$CR$2:$CR$881,0)</f>
        <v>383</v>
      </c>
      <c r="CU334" s="25" t="n">
        <f aca="false">RANK(CS334,$CS$2:$CS$881,0)</f>
        <v>404</v>
      </c>
      <c r="CV334" s="26" t="n">
        <f aca="false">(CS334+CR334)/2</f>
        <v>81</v>
      </c>
      <c r="CW334" s="25" t="n">
        <f aca="false">RANK(CV334,$CV$2:$CV$881,0)</f>
        <v>381</v>
      </c>
      <c r="CX334" s="50" t="n">
        <f aca="false">(CV334+BB334)/2</f>
        <v>83.35</v>
      </c>
      <c r="CY334" s="50" t="n">
        <v>201</v>
      </c>
      <c r="CZ334" s="27" t="s">
        <v>132</v>
      </c>
      <c r="DA334" s="27" t="s">
        <v>175</v>
      </c>
      <c r="DB334" s="27" t="s">
        <v>175</v>
      </c>
      <c r="DC334" s="27" t="s">
        <v>134</v>
      </c>
      <c r="DD334" s="27" t="s">
        <v>137</v>
      </c>
      <c r="DE334" s="27" t="s">
        <v>399</v>
      </c>
      <c r="DF334" s="27" t="s">
        <v>372</v>
      </c>
      <c r="DG334" s="27" t="s">
        <v>134</v>
      </c>
      <c r="DH334" s="27" t="s">
        <v>154</v>
      </c>
      <c r="DI334" s="27" t="s">
        <v>442</v>
      </c>
      <c r="DJ334" s="27" t="s">
        <v>398</v>
      </c>
      <c r="DK334" s="27" t="s">
        <v>134</v>
      </c>
      <c r="DL334" s="27" t="s">
        <v>191</v>
      </c>
      <c r="DM334" s="27" t="s">
        <v>304</v>
      </c>
      <c r="DN334" s="27" t="s">
        <v>372</v>
      </c>
      <c r="DO334" s="27" t="s">
        <v>134</v>
      </c>
      <c r="DP334" s="27" t="s">
        <v>485</v>
      </c>
      <c r="DQ334" s="27" t="s">
        <v>415</v>
      </c>
      <c r="DR334" s="27" t="s">
        <v>152</v>
      </c>
      <c r="DS334" s="27" t="s">
        <v>134</v>
      </c>
      <c r="DT334" s="27" t="s">
        <v>135</v>
      </c>
      <c r="DU334" s="27" t="s">
        <v>1064</v>
      </c>
      <c r="DV334" s="27" t="s">
        <v>161</v>
      </c>
      <c r="DW334" s="27" t="s">
        <v>174</v>
      </c>
      <c r="DX334" s="27" t="s">
        <v>187</v>
      </c>
      <c r="DY334" s="27" t="s">
        <v>133</v>
      </c>
      <c r="DZ334" s="27" t="n">
        <f aca="false">DY334+DV334+DR334+DN334+DJ334+DF334+DB334</f>
        <v>518</v>
      </c>
      <c r="EA334" s="28" t="n">
        <f aca="false">DZ334/7</f>
        <v>74</v>
      </c>
      <c r="EB334" s="27" t="n">
        <f aca="false">RANK(EA334,$EA$2:$EA$881,0)</f>
        <v>565</v>
      </c>
      <c r="EC334" s="29" t="n">
        <f aca="false">DZ334+CQ334+CP334+AZ334</f>
        <v>2509</v>
      </c>
      <c r="ED334" s="30" t="n">
        <f aca="false">(EA334+CV334+BB334)/3</f>
        <v>80.2333333333333</v>
      </c>
      <c r="EE334" s="51" t="n">
        <f aca="false">ROUND(BE334,3)</f>
        <v>91.083</v>
      </c>
      <c r="EF334" s="51" t="n">
        <f aca="false">ROUND(CR334,3)</f>
        <v>86.286</v>
      </c>
      <c r="EG334" s="51" t="n">
        <f aca="false">ROUND(CS334,3)</f>
        <v>75.714</v>
      </c>
      <c r="EH334" s="51" t="n">
        <f aca="false">ROUND(EA334,3)</f>
        <v>74</v>
      </c>
      <c r="EI334" s="51" t="n">
        <f aca="false">ROUND(ED334,3)</f>
        <v>80.233</v>
      </c>
      <c r="EJ334" s="51" t="n">
        <f aca="false">ROUND(CV334,3)</f>
        <v>81</v>
      </c>
      <c r="EK334" s="0" t="n">
        <f aca="false">RANK(EI334,$EI$2:$EI$881,0)</f>
        <v>333</v>
      </c>
    </row>
    <row r="335" customFormat="false" ht="15" hidden="false" customHeight="false" outlineLevel="0" collapsed="false">
      <c r="A335" s="4" t="n">
        <v>2041</v>
      </c>
      <c r="B335" s="4" t="n">
        <v>306</v>
      </c>
      <c r="C335" s="27" t="s">
        <v>1117</v>
      </c>
      <c r="D335" s="31" t="n">
        <v>305</v>
      </c>
      <c r="E335" s="16" t="n">
        <v>230912864</v>
      </c>
      <c r="F335" s="56" t="s">
        <v>1118</v>
      </c>
      <c r="G335" s="22" t="s">
        <v>319</v>
      </c>
      <c r="H335" s="22" t="s">
        <v>326</v>
      </c>
      <c r="I335" s="57"/>
      <c r="J335" s="16" t="n">
        <v>77</v>
      </c>
      <c r="K335" s="16" t="n">
        <v>82</v>
      </c>
      <c r="L335" s="34" t="n">
        <f aca="false">(K335*70)/100</f>
        <v>57.4</v>
      </c>
      <c r="M335" s="34" t="n">
        <f aca="false">ROUNDUP(L335,0)</f>
        <v>58</v>
      </c>
      <c r="N335" s="16" t="n">
        <v>25</v>
      </c>
      <c r="O335" s="34" t="n">
        <f aca="false">N335+L335</f>
        <v>82.4</v>
      </c>
      <c r="P335" s="34" t="n">
        <f aca="false">N335+M335</f>
        <v>83</v>
      </c>
      <c r="Q335" s="16" t="n">
        <v>65</v>
      </c>
      <c r="R335" s="16" t="n">
        <v>80</v>
      </c>
      <c r="S335" s="34" t="n">
        <f aca="false">(R335*70)/100</f>
        <v>56</v>
      </c>
      <c r="T335" s="34" t="n">
        <f aca="false">ROUNDUP(S335,0)</f>
        <v>56</v>
      </c>
      <c r="U335" s="16" t="n">
        <v>26</v>
      </c>
      <c r="V335" s="34" t="n">
        <f aca="false">U335+S335</f>
        <v>82</v>
      </c>
      <c r="W335" s="34" t="n">
        <f aca="false">U335+T335</f>
        <v>82</v>
      </c>
      <c r="X335" s="16" t="n">
        <v>66</v>
      </c>
      <c r="Y335" s="34" t="n">
        <f aca="false">(X335*70)/100</f>
        <v>46.2</v>
      </c>
      <c r="Z335" s="34" t="n">
        <f aca="false">ROUNDUP(Y335,0)</f>
        <v>47</v>
      </c>
      <c r="AA335" s="16" t="n">
        <v>26</v>
      </c>
      <c r="AB335" s="34" t="n">
        <f aca="false">AA335+Y335</f>
        <v>72.2</v>
      </c>
      <c r="AC335" s="34" t="n">
        <f aca="false">AA335+Z335</f>
        <v>73</v>
      </c>
      <c r="AD335" s="32" t="n">
        <f aca="false">X335+R335+Q335+K335+J335</f>
        <v>370</v>
      </c>
      <c r="AE335" s="16" t="n">
        <f aca="false">AD335/5</f>
        <v>74</v>
      </c>
      <c r="AF335" s="16" t="n">
        <v>70</v>
      </c>
      <c r="AG335" s="16" t="n">
        <v>77</v>
      </c>
      <c r="AH335" s="16" t="n">
        <v>92</v>
      </c>
      <c r="AI335" s="16" t="n">
        <v>91</v>
      </c>
      <c r="AJ335" s="16" t="n">
        <f aca="false">(AI335*70)/100</f>
        <v>63.7</v>
      </c>
      <c r="AK335" s="35" t="n">
        <f aca="false">ROUNDUP(AJ335,0)</f>
        <v>64</v>
      </c>
      <c r="AL335" s="16" t="n">
        <v>25</v>
      </c>
      <c r="AM335" s="16" t="n">
        <f aca="false">AL335+AJ335</f>
        <v>88.7</v>
      </c>
      <c r="AN335" s="16" t="n">
        <f aca="false">AL335+AK335</f>
        <v>89</v>
      </c>
      <c r="AO335" s="16" t="n">
        <v>66</v>
      </c>
      <c r="AP335" s="36" t="n">
        <f aca="false">(AO335*70)/100</f>
        <v>46.2</v>
      </c>
      <c r="AQ335" s="37" t="n">
        <f aca="false">ROUNDUP(AP335,0)</f>
        <v>47</v>
      </c>
      <c r="AR335" s="16" t="n">
        <v>22</v>
      </c>
      <c r="AS335" s="16" t="n">
        <f aca="false">AR335+AP335</f>
        <v>68.2</v>
      </c>
      <c r="AT335" s="16" t="n">
        <f aca="false">AR335+AQ335</f>
        <v>69</v>
      </c>
      <c r="AU335" s="16" t="n">
        <f aca="false">AO335+AF335+AI335+AH335+AG335</f>
        <v>396</v>
      </c>
      <c r="AV335" s="16" t="n">
        <f aca="false">(AO335+AF335+AI335+AH335+AG335)/5</f>
        <v>79.2</v>
      </c>
      <c r="AW335" s="36" t="n">
        <f aca="false">(AO335+AF335+AI335+AH335+AG335+X335+R335+Q335+K335+J335)</f>
        <v>766</v>
      </c>
      <c r="AX335" s="16" t="n">
        <f aca="false">AW335/10</f>
        <v>76.6</v>
      </c>
      <c r="AY335" s="16" t="n">
        <f aca="false">AS335+AF335+AM335+AH335+AG335+AB335+V335+Q335+O335+J335</f>
        <v>774.5</v>
      </c>
      <c r="AZ335" s="16" t="n">
        <f aca="false">AT335+AF335+AN335+AH335+AG335+AC335+W335+Q335+P335+J335</f>
        <v>777</v>
      </c>
      <c r="BA335" s="16" t="n">
        <f aca="false">AY335/10</f>
        <v>77.45</v>
      </c>
      <c r="BB335" s="16" t="n">
        <f aca="false">AZ335/10</f>
        <v>77.7</v>
      </c>
      <c r="BC335" s="16" t="n">
        <v>2356</v>
      </c>
      <c r="BD335" s="16" t="n">
        <f aca="false">RANK(AX335,$AX$2:$AX$881,0)</f>
        <v>547</v>
      </c>
      <c r="BE335" s="54" t="n">
        <f aca="false">((BC335*100)/2400)*0.4+(AX335*0.6)</f>
        <v>85.2266666666667</v>
      </c>
      <c r="BF335" s="16" t="n">
        <f aca="false">RANK(BE335,$BE$2:$BE$881,0)</f>
        <v>559</v>
      </c>
      <c r="BG335" s="39" t="n">
        <f aca="false">RANK(BB335,$BB$2:$BB$881,0)</f>
        <v>586</v>
      </c>
      <c r="BH335" s="39" t="n">
        <f aca="false">RANK(BC335,$BC$2:$BC$881,0)</f>
        <v>462</v>
      </c>
      <c r="BI335" s="22" t="s">
        <v>130</v>
      </c>
      <c r="BJ335" s="22" t="s">
        <v>129</v>
      </c>
      <c r="BK335" s="40" t="s">
        <v>509</v>
      </c>
      <c r="BL335" s="41" t="n">
        <v>18</v>
      </c>
      <c r="BM335" s="41" t="n">
        <v>57</v>
      </c>
      <c r="BN335" s="41" t="n">
        <v>75</v>
      </c>
      <c r="BO335" s="42" t="n">
        <v>21</v>
      </c>
      <c r="BP335" s="43" t="n">
        <v>62</v>
      </c>
      <c r="BQ335" s="44" t="n">
        <v>83</v>
      </c>
      <c r="BR335" s="42" t="n">
        <v>22</v>
      </c>
      <c r="BS335" s="45" t="n">
        <v>63</v>
      </c>
      <c r="BT335" s="45" t="n">
        <v>85</v>
      </c>
      <c r="BU335" s="46" t="n">
        <v>99</v>
      </c>
      <c r="BV335" s="47" t="n">
        <v>82</v>
      </c>
      <c r="BW335" s="42" t="n">
        <v>98</v>
      </c>
      <c r="BX335" s="48" t="n">
        <v>92</v>
      </c>
      <c r="BY335" s="25" t="n">
        <v>25</v>
      </c>
      <c r="BZ335" s="25" t="n">
        <v>54</v>
      </c>
      <c r="CA335" s="25" t="n">
        <v>79</v>
      </c>
      <c r="CB335" s="25" t="n">
        <v>20</v>
      </c>
      <c r="CC335" s="25" t="n">
        <v>49</v>
      </c>
      <c r="CD335" s="25" t="n">
        <v>69</v>
      </c>
      <c r="CE335" s="32" t="n">
        <v>24</v>
      </c>
      <c r="CF335" s="60"/>
      <c r="CG335" s="60"/>
      <c r="CH335" s="32" t="n">
        <v>100</v>
      </c>
      <c r="CI335" s="32" t="n">
        <v>99</v>
      </c>
      <c r="CJ335" s="49" t="n">
        <v>24</v>
      </c>
      <c r="CK335" s="49" t="n">
        <v>49</v>
      </c>
      <c r="CL335" s="49" t="n">
        <v>73</v>
      </c>
      <c r="CM335" s="49" t="n">
        <v>18</v>
      </c>
      <c r="CN335" s="49" t="n">
        <v>56</v>
      </c>
      <c r="CO335" s="49" t="n">
        <v>74</v>
      </c>
      <c r="CP335" s="25" t="n">
        <f aca="false">BX335+BW335+BV335+BU335+BT335+BQ335+BN335</f>
        <v>614</v>
      </c>
      <c r="CQ335" s="25" t="n">
        <f aca="false">CO335+CL335+CI335+CH335+CG335+CD335+CA335</f>
        <v>494</v>
      </c>
      <c r="CR335" s="26" t="n">
        <f aca="false">CP335/7</f>
        <v>87.7142857142857</v>
      </c>
      <c r="CS335" s="26" t="n">
        <f aca="false">CQ335/7</f>
        <v>70.5714285714286</v>
      </c>
      <c r="CT335" s="24" t="n">
        <f aca="false">RANK(CR335,$CR$2:$CR$881,0)</f>
        <v>323</v>
      </c>
      <c r="CU335" s="25" t="n">
        <f aca="false">RANK(CS335,$CS$2:$CS$881,0)</f>
        <v>546</v>
      </c>
      <c r="CV335" s="26" t="n">
        <f aca="false">(CS335+CR335)/2</f>
        <v>79.1428571428571</v>
      </c>
      <c r="CW335" s="25" t="n">
        <f aca="false">RANK(CV335,$CV$2:$CV$881,0)</f>
        <v>460</v>
      </c>
      <c r="CX335" s="50" t="n">
        <f aca="false">(CV335+BB335)/2</f>
        <v>78.4214285714286</v>
      </c>
      <c r="CY335" s="50" t="n">
        <v>451</v>
      </c>
      <c r="CZ335" s="27" t="s">
        <v>132</v>
      </c>
      <c r="DA335" s="27" t="s">
        <v>205</v>
      </c>
      <c r="DB335" s="27" t="s">
        <v>205</v>
      </c>
      <c r="DC335" s="27" t="s">
        <v>134</v>
      </c>
      <c r="DD335" s="27" t="s">
        <v>195</v>
      </c>
      <c r="DE335" s="27" t="s">
        <v>183</v>
      </c>
      <c r="DF335" s="27" t="s">
        <v>272</v>
      </c>
      <c r="DG335" s="27" t="s">
        <v>134</v>
      </c>
      <c r="DH335" s="27" t="s">
        <v>154</v>
      </c>
      <c r="DI335" s="27" t="s">
        <v>203</v>
      </c>
      <c r="DJ335" s="27" t="s">
        <v>175</v>
      </c>
      <c r="DK335" s="27" t="s">
        <v>134</v>
      </c>
      <c r="DL335" s="27" t="s">
        <v>137</v>
      </c>
      <c r="DM335" s="27" t="s">
        <v>306</v>
      </c>
      <c r="DN335" s="27" t="s">
        <v>196</v>
      </c>
      <c r="DO335" s="27" t="s">
        <v>134</v>
      </c>
      <c r="DP335" s="27" t="s">
        <v>154</v>
      </c>
      <c r="DQ335" s="27" t="s">
        <v>161</v>
      </c>
      <c r="DR335" s="27" t="s">
        <v>209</v>
      </c>
      <c r="DS335" s="27" t="s">
        <v>134</v>
      </c>
      <c r="DT335" s="27" t="s">
        <v>160</v>
      </c>
      <c r="DU335" s="27" t="s">
        <v>313</v>
      </c>
      <c r="DV335" s="27" t="s">
        <v>219</v>
      </c>
      <c r="DW335" s="27" t="s">
        <v>164</v>
      </c>
      <c r="DX335" s="27" t="s">
        <v>143</v>
      </c>
      <c r="DY335" s="27" t="s">
        <v>139</v>
      </c>
      <c r="DZ335" s="27" t="n">
        <f aca="false">DY335+DV335+DR335+DN335+DJ335+DF335+DB335</f>
        <v>586</v>
      </c>
      <c r="EA335" s="28" t="n">
        <f aca="false">DZ335/7</f>
        <v>83.7142857142857</v>
      </c>
      <c r="EB335" s="27" t="n">
        <f aca="false">RANK(EA335,$EA$2:$EA$881,0)</f>
        <v>237</v>
      </c>
      <c r="EC335" s="29" t="n">
        <f aca="false">DZ335+CQ335+CP335+AZ335</f>
        <v>2471</v>
      </c>
      <c r="ED335" s="30" t="n">
        <f aca="false">(EA335+CV335+BB335)/3</f>
        <v>80.1857142857143</v>
      </c>
      <c r="EE335" s="51" t="n">
        <f aca="false">ROUND(BE335,3)</f>
        <v>85.227</v>
      </c>
      <c r="EF335" s="51" t="n">
        <f aca="false">ROUND(CR335,3)</f>
        <v>87.714</v>
      </c>
      <c r="EG335" s="51" t="n">
        <f aca="false">ROUND(CS335,3)</f>
        <v>70.571</v>
      </c>
      <c r="EH335" s="51" t="n">
        <f aca="false">ROUND(EA335,3)</f>
        <v>83.714</v>
      </c>
      <c r="EI335" s="51" t="n">
        <f aca="false">ROUND(ED335,3)</f>
        <v>80.186</v>
      </c>
      <c r="EJ335" s="51" t="n">
        <f aca="false">ROUND(CV335,3)</f>
        <v>79.143</v>
      </c>
      <c r="EK335" s="0" t="n">
        <f aca="false">RANK(EI335,$EI$2:$EI$881,0)</f>
        <v>334</v>
      </c>
    </row>
    <row r="336" customFormat="false" ht="15" hidden="false" customHeight="false" outlineLevel="0" collapsed="false">
      <c r="A336" s="4" t="n">
        <v>8603</v>
      </c>
      <c r="B336" s="4" t="n">
        <v>664</v>
      </c>
      <c r="C336" s="27" t="s">
        <v>1119</v>
      </c>
      <c r="D336" s="31" t="n">
        <v>677</v>
      </c>
      <c r="E336" s="32" t="n">
        <v>230314659</v>
      </c>
      <c r="F336" s="8" t="s">
        <v>1120</v>
      </c>
      <c r="G336" s="22" t="s">
        <v>325</v>
      </c>
      <c r="H336" s="22" t="s">
        <v>129</v>
      </c>
      <c r="I336" s="33" t="n">
        <v>2005</v>
      </c>
      <c r="J336" s="32" t="n">
        <v>74</v>
      </c>
      <c r="K336" s="32" t="n">
        <v>88</v>
      </c>
      <c r="L336" s="34" t="n">
        <f aca="false">(K336*70)/100</f>
        <v>61.6</v>
      </c>
      <c r="M336" s="34" t="n">
        <f aca="false">ROUNDUP(L336,0)</f>
        <v>62</v>
      </c>
      <c r="N336" s="32" t="n">
        <v>27</v>
      </c>
      <c r="O336" s="34" t="n">
        <f aca="false">N336+L336</f>
        <v>88.6</v>
      </c>
      <c r="P336" s="34" t="n">
        <f aca="false">N336+M336</f>
        <v>89</v>
      </c>
      <c r="Q336" s="32" t="n">
        <v>73</v>
      </c>
      <c r="R336" s="32" t="n">
        <v>76</v>
      </c>
      <c r="S336" s="34" t="n">
        <f aca="false">(R336*70)/100</f>
        <v>53.2</v>
      </c>
      <c r="T336" s="34" t="n">
        <f aca="false">ROUNDUP(S336,0)</f>
        <v>54</v>
      </c>
      <c r="U336" s="32" t="n">
        <v>28</v>
      </c>
      <c r="V336" s="34" t="n">
        <f aca="false">U336+S336</f>
        <v>81.2</v>
      </c>
      <c r="W336" s="34" t="n">
        <f aca="false">U336+T336</f>
        <v>82</v>
      </c>
      <c r="X336" s="32" t="n">
        <v>70</v>
      </c>
      <c r="Y336" s="34" t="n">
        <f aca="false">(X336*70)/100</f>
        <v>49</v>
      </c>
      <c r="Z336" s="34" t="n">
        <f aca="false">ROUNDUP(Y336,0)</f>
        <v>49</v>
      </c>
      <c r="AA336" s="32" t="n">
        <v>24</v>
      </c>
      <c r="AB336" s="34" t="n">
        <f aca="false">AA336+Y336</f>
        <v>73</v>
      </c>
      <c r="AC336" s="34" t="n">
        <f aca="false">AA336+Z336</f>
        <v>73</v>
      </c>
      <c r="AD336" s="32" t="n">
        <f aca="false">X336+R336+Q336+K336+J336</f>
        <v>381</v>
      </c>
      <c r="AE336" s="16" t="n">
        <f aca="false">AD336/5</f>
        <v>76.2</v>
      </c>
      <c r="AF336" s="16" t="n">
        <v>79</v>
      </c>
      <c r="AG336" s="16" t="n">
        <v>76</v>
      </c>
      <c r="AH336" s="16" t="n">
        <v>90</v>
      </c>
      <c r="AI336" s="16" t="n">
        <v>86</v>
      </c>
      <c r="AJ336" s="16" t="n">
        <f aca="false">(AI336*70)/100</f>
        <v>60.2</v>
      </c>
      <c r="AK336" s="35" t="n">
        <f aca="false">ROUNDUP(AJ336,0)</f>
        <v>61</v>
      </c>
      <c r="AL336" s="16" t="n">
        <v>26</v>
      </c>
      <c r="AM336" s="16" t="n">
        <f aca="false">AL336+AJ336</f>
        <v>86.2</v>
      </c>
      <c r="AN336" s="16" t="n">
        <f aca="false">AL336+AK336</f>
        <v>87</v>
      </c>
      <c r="AO336" s="16" t="n">
        <v>73</v>
      </c>
      <c r="AP336" s="36" t="n">
        <f aca="false">(AO336*70)/100</f>
        <v>51.1</v>
      </c>
      <c r="AQ336" s="37" t="n">
        <f aca="false">ROUNDUP(AP336,0)</f>
        <v>52</v>
      </c>
      <c r="AR336" s="16" t="n">
        <v>29</v>
      </c>
      <c r="AS336" s="16" t="n">
        <f aca="false">AR336+AP336</f>
        <v>80.1</v>
      </c>
      <c r="AT336" s="16" t="n">
        <f aca="false">AR336+AQ336</f>
        <v>81</v>
      </c>
      <c r="AU336" s="16" t="n">
        <f aca="false">AO336+AF336+AI336+AH336+AG336</f>
        <v>404</v>
      </c>
      <c r="AV336" s="16" t="n">
        <f aca="false">(AO336+AF336+AI336+AH336+AG336)/5</f>
        <v>80.8</v>
      </c>
      <c r="AW336" s="36" t="n">
        <f aca="false">(AO336+AF336+AI336+AH336+AG336+X336+R336+Q336+K336+J336)</f>
        <v>785</v>
      </c>
      <c r="AX336" s="16" t="n">
        <f aca="false">AW336/10</f>
        <v>78.5</v>
      </c>
      <c r="AY336" s="16" t="n">
        <f aca="false">AS336+AF336+AM336+AH336+AG336+AB336+V336+Q336+O336+J336</f>
        <v>801.1</v>
      </c>
      <c r="AZ336" s="16" t="n">
        <f aca="false">AT336+AF336+AN336+AH336+AG336+AC336+W336+Q336+P336+J336</f>
        <v>804</v>
      </c>
      <c r="BA336" s="16" t="n">
        <f aca="false">AY336/10</f>
        <v>80.11</v>
      </c>
      <c r="BB336" s="16" t="n">
        <f aca="false">AZ336/10</f>
        <v>80.4</v>
      </c>
      <c r="BC336" s="16" t="n">
        <v>2359</v>
      </c>
      <c r="BD336" s="16" t="n">
        <f aca="false">RANK(AX336,$AX$2:$AX$881,0)</f>
        <v>375</v>
      </c>
      <c r="BE336" s="54" t="n">
        <f aca="false">((BC336*100)/2400)*0.4+(AX336*0.6)</f>
        <v>86.4166666666667</v>
      </c>
      <c r="BF336" s="16" t="n">
        <f aca="false">RANK(BE336,$BE$2:$BE$881,0)</f>
        <v>360</v>
      </c>
      <c r="BG336" s="39" t="n">
        <f aca="false">RANK(BB336,$BB$2:$BB$881,0)</f>
        <v>318</v>
      </c>
      <c r="BH336" s="39" t="n">
        <f aca="false">RANK(BC336,$BC$2:$BC$881,0)</f>
        <v>414</v>
      </c>
      <c r="BI336" s="22" t="s">
        <v>130</v>
      </c>
      <c r="BJ336" s="22" t="s">
        <v>129</v>
      </c>
      <c r="BK336" s="40" t="s">
        <v>131</v>
      </c>
      <c r="BL336" s="41" t="n">
        <v>18</v>
      </c>
      <c r="BM336" s="41" t="n">
        <v>51</v>
      </c>
      <c r="BN336" s="41" t="n">
        <v>69</v>
      </c>
      <c r="BO336" s="42" t="n">
        <v>26</v>
      </c>
      <c r="BP336" s="43" t="n">
        <v>62</v>
      </c>
      <c r="BQ336" s="44" t="n">
        <v>88</v>
      </c>
      <c r="BR336" s="42" t="n">
        <v>26</v>
      </c>
      <c r="BS336" s="45" t="n">
        <v>59</v>
      </c>
      <c r="BT336" s="45" t="n">
        <v>85</v>
      </c>
      <c r="BU336" s="46" t="n">
        <v>100</v>
      </c>
      <c r="BV336" s="47" t="n">
        <v>86</v>
      </c>
      <c r="BW336" s="42" t="n">
        <v>98</v>
      </c>
      <c r="BX336" s="48" t="n">
        <v>90</v>
      </c>
      <c r="BY336" s="32" t="n">
        <v>23</v>
      </c>
      <c r="BZ336" s="32" t="n">
        <v>50</v>
      </c>
      <c r="CA336" s="32" t="n">
        <v>73</v>
      </c>
      <c r="CB336" s="32" t="n">
        <v>20</v>
      </c>
      <c r="CC336" s="32" t="n">
        <v>36</v>
      </c>
      <c r="CD336" s="69" t="n">
        <v>56</v>
      </c>
      <c r="CE336" s="32" t="n">
        <v>20</v>
      </c>
      <c r="CF336" s="32" t="n">
        <v>56</v>
      </c>
      <c r="CG336" s="32" t="n">
        <v>76</v>
      </c>
      <c r="CH336" s="32" t="n">
        <v>90</v>
      </c>
      <c r="CI336" s="32" t="n">
        <v>90</v>
      </c>
      <c r="CJ336" s="49" t="n">
        <v>12</v>
      </c>
      <c r="CK336" s="49" t="n">
        <v>41</v>
      </c>
      <c r="CL336" s="76" t="n">
        <v>53</v>
      </c>
      <c r="CM336" s="49" t="n">
        <v>24</v>
      </c>
      <c r="CN336" s="49" t="n">
        <v>52</v>
      </c>
      <c r="CO336" s="49" t="n">
        <v>76</v>
      </c>
      <c r="CP336" s="25" t="n">
        <f aca="false">BX336+BW336+BV336+BU336+BT336+BQ336+BN336</f>
        <v>616</v>
      </c>
      <c r="CQ336" s="25" t="n">
        <f aca="false">CO336+CL336+CI336+CH336+CG336+CD336+CA336</f>
        <v>514</v>
      </c>
      <c r="CR336" s="26" t="n">
        <f aca="false">CP336/7</f>
        <v>88</v>
      </c>
      <c r="CS336" s="26" t="n">
        <f aca="false">CQ336/7</f>
        <v>73.4285714285714</v>
      </c>
      <c r="CT336" s="24" t="n">
        <f aca="false">RANK(CR336,$CR$2:$CR$881,0)</f>
        <v>304</v>
      </c>
      <c r="CU336" s="25" t="n">
        <f aca="false">RANK(CS336,$CS$2:$CS$881,0)</f>
        <v>474</v>
      </c>
      <c r="CV336" s="26" t="n">
        <f aca="false">(CS336+CR336)/2</f>
        <v>80.7142857142857</v>
      </c>
      <c r="CW336" s="25" t="n">
        <f aca="false">RANK(CV336,$CV$2:$CV$881,0)</f>
        <v>397</v>
      </c>
      <c r="CX336" s="50" t="n">
        <f aca="false">(CV336+BB336)/2</f>
        <v>80.5571428571429</v>
      </c>
      <c r="CY336" s="50" t="n">
        <v>344</v>
      </c>
      <c r="CZ336" s="27" t="s">
        <v>132</v>
      </c>
      <c r="DA336" s="27" t="s">
        <v>272</v>
      </c>
      <c r="DB336" s="27" t="s">
        <v>272</v>
      </c>
      <c r="DC336" s="27" t="s">
        <v>134</v>
      </c>
      <c r="DD336" s="27" t="s">
        <v>154</v>
      </c>
      <c r="DE336" s="27" t="s">
        <v>304</v>
      </c>
      <c r="DF336" s="27" t="s">
        <v>382</v>
      </c>
      <c r="DG336" s="27" t="s">
        <v>134</v>
      </c>
      <c r="DH336" s="27" t="s">
        <v>154</v>
      </c>
      <c r="DI336" s="27" t="s">
        <v>218</v>
      </c>
      <c r="DJ336" s="27" t="s">
        <v>219</v>
      </c>
      <c r="DK336" s="27" t="s">
        <v>134</v>
      </c>
      <c r="DL336" s="27" t="s">
        <v>137</v>
      </c>
      <c r="DM336" s="27" t="s">
        <v>183</v>
      </c>
      <c r="DN336" s="27" t="s">
        <v>209</v>
      </c>
      <c r="DO336" s="27" t="s">
        <v>134</v>
      </c>
      <c r="DP336" s="27" t="s">
        <v>1000</v>
      </c>
      <c r="DQ336" s="27" t="s">
        <v>412</v>
      </c>
      <c r="DR336" s="27" t="s">
        <v>163</v>
      </c>
      <c r="DS336" s="27" t="s">
        <v>134</v>
      </c>
      <c r="DT336" s="27" t="s">
        <v>182</v>
      </c>
      <c r="DU336" s="27" t="s">
        <v>447</v>
      </c>
      <c r="DV336" s="27" t="s">
        <v>382</v>
      </c>
      <c r="DW336" s="27" t="s">
        <v>182</v>
      </c>
      <c r="DX336" s="27" t="s">
        <v>155</v>
      </c>
      <c r="DY336" s="27" t="s">
        <v>156</v>
      </c>
      <c r="DZ336" s="27" t="n">
        <f aca="false">DY336+DV336+DR336+DN336+DJ336+DF336+DB336</f>
        <v>556</v>
      </c>
      <c r="EA336" s="28" t="n">
        <f aca="false">DZ336/7</f>
        <v>79.4285714285714</v>
      </c>
      <c r="EB336" s="27" t="n">
        <f aca="false">RANK(EA336,$EA$2:$EA$881,0)</f>
        <v>419</v>
      </c>
      <c r="EC336" s="29" t="n">
        <f aca="false">DZ336+CQ336+CP336+AZ336</f>
        <v>2490</v>
      </c>
      <c r="ED336" s="30" t="n">
        <f aca="false">(EA336+CV336+BB336)/3</f>
        <v>80.1809523809524</v>
      </c>
      <c r="EE336" s="51" t="n">
        <f aca="false">ROUND(BE336,3)</f>
        <v>86.417</v>
      </c>
      <c r="EF336" s="51" t="n">
        <f aca="false">ROUND(CR336,3)</f>
        <v>88</v>
      </c>
      <c r="EG336" s="51" t="n">
        <f aca="false">ROUND(CS336,3)</f>
        <v>73.429</v>
      </c>
      <c r="EH336" s="51" t="n">
        <f aca="false">ROUND(EA336,3)</f>
        <v>79.429</v>
      </c>
      <c r="EI336" s="51" t="n">
        <f aca="false">ROUND(ED336,3)</f>
        <v>80.181</v>
      </c>
      <c r="EJ336" s="51" t="n">
        <f aca="false">ROUND(CV336,3)</f>
        <v>80.714</v>
      </c>
      <c r="EK336" s="0" t="n">
        <f aca="false">RANK(EI336,$EI$2:$EI$881,0)</f>
        <v>335</v>
      </c>
    </row>
    <row r="337" customFormat="false" ht="15" hidden="false" customHeight="false" outlineLevel="0" collapsed="false">
      <c r="A337" s="4" t="n">
        <v>9030</v>
      </c>
      <c r="B337" s="4" t="n">
        <v>660</v>
      </c>
      <c r="C337" s="27" t="s">
        <v>1121</v>
      </c>
      <c r="D337" s="31" t="n">
        <v>673</v>
      </c>
      <c r="E337" s="32" t="n">
        <v>230312575</v>
      </c>
      <c r="F337" s="8" t="s">
        <v>1122</v>
      </c>
      <c r="G337" s="66" t="s">
        <v>1123</v>
      </c>
      <c r="H337" s="66" t="s">
        <v>129</v>
      </c>
      <c r="I337" s="33" t="n">
        <v>2006</v>
      </c>
      <c r="J337" s="32" t="n">
        <v>83</v>
      </c>
      <c r="K337" s="32" t="n">
        <v>90</v>
      </c>
      <c r="L337" s="34" t="n">
        <f aca="false">(K337*70)/100</f>
        <v>63</v>
      </c>
      <c r="M337" s="34" t="n">
        <f aca="false">ROUNDUP(L337,0)</f>
        <v>63</v>
      </c>
      <c r="N337" s="32" t="n">
        <v>23</v>
      </c>
      <c r="O337" s="34" t="n">
        <f aca="false">N337+L337</f>
        <v>86</v>
      </c>
      <c r="P337" s="34" t="n">
        <f aca="false">N337+M337</f>
        <v>86</v>
      </c>
      <c r="Q337" s="32" t="n">
        <v>78</v>
      </c>
      <c r="R337" s="32" t="n">
        <v>75</v>
      </c>
      <c r="S337" s="34" t="n">
        <f aca="false">(R337*70)/100</f>
        <v>52.5</v>
      </c>
      <c r="T337" s="34" t="n">
        <f aca="false">ROUNDUP(S337,0)</f>
        <v>53</v>
      </c>
      <c r="U337" s="32" t="n">
        <v>21</v>
      </c>
      <c r="V337" s="34" t="n">
        <f aca="false">U337+S337</f>
        <v>73.5</v>
      </c>
      <c r="W337" s="34" t="n">
        <f aca="false">U337+T337</f>
        <v>74</v>
      </c>
      <c r="X337" s="32" t="n">
        <v>71</v>
      </c>
      <c r="Y337" s="34" t="n">
        <f aca="false">(X337*70)/100</f>
        <v>49.7</v>
      </c>
      <c r="Z337" s="34" t="n">
        <f aca="false">ROUNDUP(Y337,0)</f>
        <v>50</v>
      </c>
      <c r="AA337" s="32" t="n">
        <v>24</v>
      </c>
      <c r="AB337" s="34" t="n">
        <f aca="false">AA337+Y337</f>
        <v>73.7</v>
      </c>
      <c r="AC337" s="34" t="n">
        <f aca="false">AA337+Z337</f>
        <v>74</v>
      </c>
      <c r="AD337" s="32" t="n">
        <f aca="false">X337+R337+Q337+K337+J337</f>
        <v>397</v>
      </c>
      <c r="AE337" s="16" t="n">
        <f aca="false">AD337/5</f>
        <v>79.4</v>
      </c>
      <c r="AF337" s="16" t="n">
        <v>75</v>
      </c>
      <c r="AG337" s="16" t="n">
        <v>94</v>
      </c>
      <c r="AH337" s="16" t="n">
        <v>89</v>
      </c>
      <c r="AI337" s="16" t="n">
        <v>83</v>
      </c>
      <c r="AJ337" s="16" t="n">
        <f aca="false">(AI337*70)/100</f>
        <v>58.1</v>
      </c>
      <c r="AK337" s="35" t="n">
        <f aca="false">ROUNDUP(AJ337,0)</f>
        <v>59</v>
      </c>
      <c r="AL337" s="16" t="n">
        <v>25</v>
      </c>
      <c r="AM337" s="16" t="n">
        <f aca="false">AL337+AJ337</f>
        <v>83.1</v>
      </c>
      <c r="AN337" s="16" t="n">
        <f aca="false">AL337+AK337</f>
        <v>84</v>
      </c>
      <c r="AO337" s="16" t="n">
        <v>81</v>
      </c>
      <c r="AP337" s="36" t="n">
        <f aca="false">(AO337*70)/100</f>
        <v>56.7</v>
      </c>
      <c r="AQ337" s="37" t="n">
        <f aca="false">ROUNDUP(AP337,0)</f>
        <v>57</v>
      </c>
      <c r="AR337" s="16" t="n">
        <v>26</v>
      </c>
      <c r="AS337" s="16" t="n">
        <f aca="false">AR337+AP337</f>
        <v>82.7</v>
      </c>
      <c r="AT337" s="16" t="n">
        <f aca="false">AR337+AQ337</f>
        <v>83</v>
      </c>
      <c r="AU337" s="16" t="n">
        <f aca="false">AO337+AF337+AI337+AH337+AG337</f>
        <v>422</v>
      </c>
      <c r="AV337" s="16" t="n">
        <f aca="false">(AO337+AF337+AI337+AH337+AG337)/5</f>
        <v>84.4</v>
      </c>
      <c r="AW337" s="36" t="n">
        <f aca="false">(AO337+AF337+AI337+AH337+AG337+X337+R337+Q337+K337+J337)</f>
        <v>819</v>
      </c>
      <c r="AX337" s="16" t="n">
        <f aca="false">AW337/10</f>
        <v>81.9</v>
      </c>
      <c r="AY337" s="16" t="n">
        <f aca="false">AS337+AF337+AM337+AH337+AG337+AB337+V337+Q337+O337+J337</f>
        <v>818</v>
      </c>
      <c r="AZ337" s="16" t="n">
        <f aca="false">AT337+AF337+AN337+AH337+AG337+AC337+W337+Q337+P337+J337</f>
        <v>820</v>
      </c>
      <c r="BA337" s="16" t="n">
        <f aca="false">AY337/10</f>
        <v>81.8</v>
      </c>
      <c r="BB337" s="16" t="n">
        <f aca="false">AZ337/10</f>
        <v>82</v>
      </c>
      <c r="BC337" s="16" t="n">
        <v>2362</v>
      </c>
      <c r="BD337" s="16" t="n">
        <f aca="false">RANK(AX337,$AX$2:$AX$881,0)</f>
        <v>169</v>
      </c>
      <c r="BE337" s="54" t="n">
        <f aca="false">((BC337*100)/2400)*0.4+(AX337*0.6)</f>
        <v>88.5066666666667</v>
      </c>
      <c r="BF337" s="16" t="n">
        <f aca="false">RANK(BE337,$BE$2:$BE$881,0)</f>
        <v>160</v>
      </c>
      <c r="BG337" s="39" t="n">
        <f aca="false">RANK(BB337,$BB$2:$BB$881,0)</f>
        <v>212</v>
      </c>
      <c r="BH337" s="39" t="n">
        <f aca="false">RANK(BC337,$BC$2:$BC$881,0)</f>
        <v>367</v>
      </c>
      <c r="BI337" s="22" t="s">
        <v>130</v>
      </c>
      <c r="BJ337" s="22" t="s">
        <v>129</v>
      </c>
      <c r="BK337" s="40" t="s">
        <v>131</v>
      </c>
      <c r="BL337" s="41" t="n">
        <v>16</v>
      </c>
      <c r="BM337" s="41" t="n">
        <v>53</v>
      </c>
      <c r="BN337" s="41" t="n">
        <v>69</v>
      </c>
      <c r="BO337" s="42" t="n">
        <v>18</v>
      </c>
      <c r="BP337" s="43" t="n">
        <v>61</v>
      </c>
      <c r="BQ337" s="44" t="n">
        <v>79</v>
      </c>
      <c r="BR337" s="42" t="n">
        <v>21</v>
      </c>
      <c r="BS337" s="80"/>
      <c r="BT337" s="80"/>
      <c r="BU337" s="46" t="n">
        <v>100</v>
      </c>
      <c r="BV337" s="47" t="n">
        <v>86</v>
      </c>
      <c r="BW337" s="42" t="n">
        <v>98</v>
      </c>
      <c r="BX337" s="48" t="n">
        <v>96</v>
      </c>
      <c r="BY337" s="32" t="n">
        <v>26</v>
      </c>
      <c r="BZ337" s="32" t="n">
        <v>58</v>
      </c>
      <c r="CA337" s="32" t="n">
        <v>84</v>
      </c>
      <c r="CB337" s="32" t="n">
        <v>20</v>
      </c>
      <c r="CC337" s="32" t="n">
        <v>39</v>
      </c>
      <c r="CD337" s="69" t="n">
        <v>59</v>
      </c>
      <c r="CE337" s="32" t="n">
        <v>23</v>
      </c>
      <c r="CF337" s="32" t="n">
        <v>61</v>
      </c>
      <c r="CG337" s="32" t="n">
        <v>84</v>
      </c>
      <c r="CH337" s="32" t="n">
        <v>100</v>
      </c>
      <c r="CI337" s="32" t="n">
        <v>99</v>
      </c>
      <c r="CJ337" s="49" t="n">
        <v>22</v>
      </c>
      <c r="CK337" s="49" t="n">
        <v>54</v>
      </c>
      <c r="CL337" s="49" t="n">
        <v>76</v>
      </c>
      <c r="CM337" s="49" t="n">
        <v>21</v>
      </c>
      <c r="CN337" s="49" t="n">
        <v>52</v>
      </c>
      <c r="CO337" s="49" t="n">
        <v>73</v>
      </c>
      <c r="CP337" s="25" t="n">
        <f aca="false">BX337+BW337+BV337+BU337+BT337+BQ337+BN337</f>
        <v>528</v>
      </c>
      <c r="CQ337" s="25" t="n">
        <f aca="false">CO337+CL337+CI337+CH337+CG337+CD337+CA337</f>
        <v>575</v>
      </c>
      <c r="CR337" s="26" t="n">
        <f aca="false">CP337/7</f>
        <v>75.4285714285714</v>
      </c>
      <c r="CS337" s="26" t="n">
        <f aca="false">CQ337/7</f>
        <v>82.1428571428571</v>
      </c>
      <c r="CT337" s="24" t="n">
        <f aca="false">RANK(CR337,$CR$2:$CR$881,0)</f>
        <v>642</v>
      </c>
      <c r="CU337" s="25" t="n">
        <f aca="false">RANK(CS337,$CS$2:$CS$881,0)</f>
        <v>188</v>
      </c>
      <c r="CV337" s="26" t="n">
        <f aca="false">(CS337+CR337)/2</f>
        <v>78.7857142857143</v>
      </c>
      <c r="CW337" s="25" t="n">
        <f aca="false">RANK(CV337,$CV$2:$CV$881,0)</f>
        <v>469</v>
      </c>
      <c r="CX337" s="50" t="n">
        <f aca="false">(CV337+BB337)/2</f>
        <v>80.3928571428571</v>
      </c>
      <c r="CY337" s="50" t="n">
        <v>353</v>
      </c>
      <c r="CZ337" s="27" t="s">
        <v>132</v>
      </c>
      <c r="DA337" s="27" t="s">
        <v>175</v>
      </c>
      <c r="DB337" s="27" t="s">
        <v>175</v>
      </c>
      <c r="DC337" s="27" t="s">
        <v>134</v>
      </c>
      <c r="DD337" s="27" t="s">
        <v>154</v>
      </c>
      <c r="DE337" s="27" t="s">
        <v>177</v>
      </c>
      <c r="DF337" s="27" t="s">
        <v>169</v>
      </c>
      <c r="DG337" s="27" t="s">
        <v>134</v>
      </c>
      <c r="DH337" s="27" t="s">
        <v>164</v>
      </c>
      <c r="DI337" s="27" t="s">
        <v>177</v>
      </c>
      <c r="DJ337" s="27" t="s">
        <v>178</v>
      </c>
      <c r="DK337" s="27" t="s">
        <v>134</v>
      </c>
      <c r="DL337" s="27" t="s">
        <v>135</v>
      </c>
      <c r="DM337" s="27" t="s">
        <v>375</v>
      </c>
      <c r="DN337" s="27" t="s">
        <v>441</v>
      </c>
      <c r="DO337" s="27" t="s">
        <v>134</v>
      </c>
      <c r="DP337" s="27" t="s">
        <v>174</v>
      </c>
      <c r="DQ337" s="27" t="s">
        <v>897</v>
      </c>
      <c r="DR337" s="27" t="s">
        <v>163</v>
      </c>
      <c r="DS337" s="27" t="s">
        <v>134</v>
      </c>
      <c r="DT337" s="27" t="s">
        <v>137</v>
      </c>
      <c r="DU337" s="27" t="s">
        <v>897</v>
      </c>
      <c r="DV337" s="27" t="s">
        <v>138</v>
      </c>
      <c r="DW337" s="27" t="s">
        <v>140</v>
      </c>
      <c r="DX337" s="27" t="s">
        <v>163</v>
      </c>
      <c r="DY337" s="27" t="s">
        <v>156</v>
      </c>
      <c r="DZ337" s="27" t="n">
        <f aca="false">DY337+DV337+DR337+DN337+DJ337+DF337+DB337</f>
        <v>558</v>
      </c>
      <c r="EA337" s="28" t="n">
        <f aca="false">DZ337/7</f>
        <v>79.7142857142857</v>
      </c>
      <c r="EB337" s="27" t="n">
        <f aca="false">RANK(EA337,$EA$2:$EA$881,0)</f>
        <v>404</v>
      </c>
      <c r="EC337" s="29" t="n">
        <f aca="false">DZ337+CQ337+CP337+AZ337</f>
        <v>2481</v>
      </c>
      <c r="ED337" s="30" t="n">
        <f aca="false">(EA337+CV337+BB337)/3</f>
        <v>80.1666666666667</v>
      </c>
      <c r="EE337" s="51" t="n">
        <f aca="false">ROUND(BE337,3)</f>
        <v>88.507</v>
      </c>
      <c r="EF337" s="51" t="n">
        <f aca="false">ROUND(CR337,3)</f>
        <v>75.429</v>
      </c>
      <c r="EG337" s="51" t="n">
        <f aca="false">ROUND(CS337,3)</f>
        <v>82.143</v>
      </c>
      <c r="EH337" s="51" t="n">
        <f aca="false">ROUND(EA337,3)</f>
        <v>79.714</v>
      </c>
      <c r="EI337" s="51" t="n">
        <f aca="false">ROUND(ED337,3)</f>
        <v>80.167</v>
      </c>
      <c r="EJ337" s="51" t="n">
        <f aca="false">ROUND(CV337,3)</f>
        <v>78.786</v>
      </c>
      <c r="EK337" s="0" t="n">
        <f aca="false">RANK(EI337,$EI$2:$EI$881,0)</f>
        <v>336</v>
      </c>
    </row>
    <row r="338" customFormat="false" ht="15" hidden="false" customHeight="false" outlineLevel="0" collapsed="false">
      <c r="A338" s="4" t="n">
        <v>8809</v>
      </c>
      <c r="B338" s="4" t="n">
        <v>188</v>
      </c>
      <c r="C338" s="27" t="s">
        <v>1124</v>
      </c>
      <c r="D338" s="31" t="n">
        <v>189</v>
      </c>
      <c r="E338" s="62" t="n">
        <v>230322629</v>
      </c>
      <c r="F338" s="8" t="s">
        <v>1125</v>
      </c>
      <c r="G338" s="63" t="s">
        <v>749</v>
      </c>
      <c r="H338" s="22" t="s">
        <v>129</v>
      </c>
      <c r="I338" s="64" t="n">
        <v>2005</v>
      </c>
      <c r="J338" s="62" t="n">
        <v>83</v>
      </c>
      <c r="K338" s="62" t="n">
        <v>81</v>
      </c>
      <c r="L338" s="34" t="n">
        <f aca="false">(K338*70)/100</f>
        <v>56.7</v>
      </c>
      <c r="M338" s="34" t="n">
        <f aca="false">ROUNDUP(L338,0)</f>
        <v>57</v>
      </c>
      <c r="N338" s="62" t="n">
        <v>26</v>
      </c>
      <c r="O338" s="34" t="n">
        <f aca="false">N338+L338</f>
        <v>82.7</v>
      </c>
      <c r="P338" s="34" t="n">
        <f aca="false">N338+M338</f>
        <v>83</v>
      </c>
      <c r="Q338" s="62" t="n">
        <v>74</v>
      </c>
      <c r="R338" s="62" t="n">
        <v>71</v>
      </c>
      <c r="S338" s="34" t="n">
        <f aca="false">(R338*70)/100</f>
        <v>49.7</v>
      </c>
      <c r="T338" s="34" t="n">
        <f aca="false">ROUNDUP(S338,0)</f>
        <v>50</v>
      </c>
      <c r="U338" s="62" t="n">
        <v>25</v>
      </c>
      <c r="V338" s="34" t="n">
        <f aca="false">U338+S338</f>
        <v>74.7</v>
      </c>
      <c r="W338" s="34" t="n">
        <f aca="false">U338+T338</f>
        <v>75</v>
      </c>
      <c r="X338" s="62" t="n">
        <v>65</v>
      </c>
      <c r="Y338" s="34" t="n">
        <f aca="false">(X338*70)/100</f>
        <v>45.5</v>
      </c>
      <c r="Z338" s="34" t="n">
        <f aca="false">ROUNDUP(Y338,0)</f>
        <v>46</v>
      </c>
      <c r="AA338" s="62" t="n">
        <v>23</v>
      </c>
      <c r="AB338" s="34" t="n">
        <f aca="false">AA338+Y338</f>
        <v>68.5</v>
      </c>
      <c r="AC338" s="34" t="n">
        <f aca="false">AA338+Z338</f>
        <v>69</v>
      </c>
      <c r="AD338" s="32" t="n">
        <f aca="false">X338+R338+Q338+K338+J338</f>
        <v>374</v>
      </c>
      <c r="AE338" s="16" t="n">
        <f aca="false">AD338/5</f>
        <v>74.8</v>
      </c>
      <c r="AF338" s="65" t="n">
        <v>71</v>
      </c>
      <c r="AG338" s="65" t="n">
        <v>92</v>
      </c>
      <c r="AH338" s="65" t="n">
        <v>95</v>
      </c>
      <c r="AI338" s="65" t="n">
        <v>96</v>
      </c>
      <c r="AJ338" s="16" t="n">
        <f aca="false">(AI338*70)/100</f>
        <v>67.2</v>
      </c>
      <c r="AK338" s="35" t="n">
        <f aca="false">ROUNDUP(AJ338,0)</f>
        <v>68</v>
      </c>
      <c r="AL338" s="65" t="n">
        <v>26</v>
      </c>
      <c r="AM338" s="16" t="n">
        <f aca="false">AL338+AJ338</f>
        <v>93.2</v>
      </c>
      <c r="AN338" s="16" t="n">
        <f aca="false">AL338+AK338</f>
        <v>94</v>
      </c>
      <c r="AO338" s="65" t="n">
        <v>80</v>
      </c>
      <c r="AP338" s="36" t="n">
        <f aca="false">(AO338*70)/100</f>
        <v>56</v>
      </c>
      <c r="AQ338" s="37" t="n">
        <f aca="false">ROUNDUP(AP338,0)</f>
        <v>56</v>
      </c>
      <c r="AR338" s="65" t="n">
        <v>25</v>
      </c>
      <c r="AS338" s="16" t="n">
        <f aca="false">AR338+AP338</f>
        <v>81</v>
      </c>
      <c r="AT338" s="16" t="n">
        <f aca="false">AR338+AQ338</f>
        <v>81</v>
      </c>
      <c r="AU338" s="16" t="n">
        <f aca="false">AO338+AF338+AI338+AH338+AG338</f>
        <v>434</v>
      </c>
      <c r="AV338" s="16" t="n">
        <f aca="false">(AO338+AF338+AI338+AH338+AG338)/5</f>
        <v>86.8</v>
      </c>
      <c r="AW338" s="36" t="n">
        <f aca="false">(AO338+AF338+AI338+AH338+AG338+X338+R338+Q338+K338+J338)</f>
        <v>808</v>
      </c>
      <c r="AX338" s="16" t="n">
        <f aca="false">AW338/10</f>
        <v>80.8</v>
      </c>
      <c r="AY338" s="16" t="n">
        <f aca="false">AS338+AF338+AM338+AH338+AG338+AB338+V338+Q338+O338+J338</f>
        <v>815.1</v>
      </c>
      <c r="AZ338" s="16" t="n">
        <f aca="false">AT338+AF338+AN338+AH338+AG338+AC338+W338+Q338+P338+J338</f>
        <v>817</v>
      </c>
      <c r="BA338" s="16" t="n">
        <f aca="false">AY338/10</f>
        <v>81.51</v>
      </c>
      <c r="BB338" s="16" t="n">
        <f aca="false">AZ338/10</f>
        <v>81.7</v>
      </c>
      <c r="BC338" s="65" t="n">
        <v>2395</v>
      </c>
      <c r="BD338" s="16" t="n">
        <f aca="false">RANK(AX338,$AX$2:$AX$881,0)</f>
        <v>217</v>
      </c>
      <c r="BE338" s="54" t="n">
        <f aca="false">((BC338*100)/2400)*0.4+(AX338*0.6)</f>
        <v>88.3966666666667</v>
      </c>
      <c r="BF338" s="16" t="n">
        <f aca="false">RANK(BE338,$BE$2:$BE$881,0)</f>
        <v>171</v>
      </c>
      <c r="BG338" s="39" t="n">
        <f aca="false">RANK(BB338,$BB$2:$BB$881,0)</f>
        <v>229</v>
      </c>
      <c r="BH338" s="39" t="n">
        <f aca="false">RANK(BC338,$BC$2:$BC$881,0)</f>
        <v>14</v>
      </c>
      <c r="BI338" s="22" t="s">
        <v>130</v>
      </c>
      <c r="BJ338" s="22" t="s">
        <v>129</v>
      </c>
      <c r="BK338" s="40" t="s">
        <v>131</v>
      </c>
      <c r="BL338" s="41" t="n">
        <v>22</v>
      </c>
      <c r="BM338" s="41" t="n">
        <v>62</v>
      </c>
      <c r="BN338" s="41" t="n">
        <v>84</v>
      </c>
      <c r="BO338" s="42" t="n">
        <v>28</v>
      </c>
      <c r="BP338" s="43" t="n">
        <v>67</v>
      </c>
      <c r="BQ338" s="44" t="n">
        <v>95</v>
      </c>
      <c r="BR338" s="42" t="n">
        <v>20</v>
      </c>
      <c r="BS338" s="45" t="n">
        <v>56</v>
      </c>
      <c r="BT338" s="45" t="n">
        <v>76</v>
      </c>
      <c r="BU338" s="46" t="n">
        <v>100</v>
      </c>
      <c r="BV338" s="47" t="n">
        <v>90</v>
      </c>
      <c r="BW338" s="42" t="n">
        <v>100</v>
      </c>
      <c r="BX338" s="48" t="n">
        <v>88</v>
      </c>
      <c r="BY338" s="32" t="n">
        <v>24</v>
      </c>
      <c r="BZ338" s="32" t="n">
        <v>46</v>
      </c>
      <c r="CA338" s="32" t="n">
        <v>70</v>
      </c>
      <c r="CB338" s="32" t="n">
        <v>21</v>
      </c>
      <c r="CC338" s="32" t="n">
        <v>37</v>
      </c>
      <c r="CD338" s="69" t="n">
        <v>58</v>
      </c>
      <c r="CE338" s="32" t="n">
        <v>18</v>
      </c>
      <c r="CF338" s="32" t="n">
        <v>48</v>
      </c>
      <c r="CG338" s="32" t="n">
        <v>66</v>
      </c>
      <c r="CH338" s="32" t="n">
        <v>98</v>
      </c>
      <c r="CI338" s="32" t="n">
        <v>95</v>
      </c>
      <c r="CJ338" s="49" t="n">
        <v>19</v>
      </c>
      <c r="CK338" s="49" t="n">
        <v>53</v>
      </c>
      <c r="CL338" s="49" t="n">
        <v>72</v>
      </c>
      <c r="CM338" s="49" t="n">
        <v>21</v>
      </c>
      <c r="CN338" s="49" t="n">
        <v>47</v>
      </c>
      <c r="CO338" s="49" t="n">
        <v>68</v>
      </c>
      <c r="CP338" s="25" t="n">
        <f aca="false">BX338+BW338+BV338+BU338+BT338+BQ338+BN338</f>
        <v>633</v>
      </c>
      <c r="CQ338" s="25" t="n">
        <f aca="false">CO338+CL338+CI338+CH338+CG338+CD338+CA338</f>
        <v>527</v>
      </c>
      <c r="CR338" s="26" t="n">
        <f aca="false">CP338/7</f>
        <v>90.4285714285714</v>
      </c>
      <c r="CS338" s="26" t="n">
        <f aca="false">CQ338/7</f>
        <v>75.2857142857143</v>
      </c>
      <c r="CT338" s="24" t="n">
        <f aca="false">RANK(CR338,$CR$2:$CR$881,0)</f>
        <v>155</v>
      </c>
      <c r="CU338" s="25" t="n">
        <f aca="false">RANK(CS338,$CS$2:$CS$881,0)</f>
        <v>423</v>
      </c>
      <c r="CV338" s="26" t="n">
        <f aca="false">(CS338+CR338)/2</f>
        <v>82.8571428571429</v>
      </c>
      <c r="CW338" s="25" t="n">
        <f aca="false">RANK(CV338,$CV$2:$CV$881,0)</f>
        <v>303</v>
      </c>
      <c r="CX338" s="50" t="n">
        <f aca="false">(CV338+BB338)/2</f>
        <v>82.2785714285714</v>
      </c>
      <c r="CY338" s="50" t="n">
        <v>248</v>
      </c>
      <c r="CZ338" s="27" t="s">
        <v>132</v>
      </c>
      <c r="DA338" s="27" t="s">
        <v>305</v>
      </c>
      <c r="DB338" s="27" t="s">
        <v>305</v>
      </c>
      <c r="DC338" s="27" t="s">
        <v>134</v>
      </c>
      <c r="DD338" s="27" t="s">
        <v>154</v>
      </c>
      <c r="DE338" s="27" t="s">
        <v>412</v>
      </c>
      <c r="DF338" s="27" t="s">
        <v>372</v>
      </c>
      <c r="DG338" s="27" t="s">
        <v>134</v>
      </c>
      <c r="DH338" s="27" t="s">
        <v>195</v>
      </c>
      <c r="DI338" s="27" t="s">
        <v>442</v>
      </c>
      <c r="DJ338" s="27" t="s">
        <v>155</v>
      </c>
      <c r="DK338" s="27" t="s">
        <v>134</v>
      </c>
      <c r="DL338" s="27" t="s">
        <v>137</v>
      </c>
      <c r="DM338" s="27" t="s">
        <v>412</v>
      </c>
      <c r="DN338" s="27" t="s">
        <v>382</v>
      </c>
      <c r="DO338" s="27" t="s">
        <v>134</v>
      </c>
      <c r="DP338" s="27" t="s">
        <v>264</v>
      </c>
      <c r="DQ338" s="27" t="s">
        <v>442</v>
      </c>
      <c r="DR338" s="27" t="s">
        <v>143</v>
      </c>
      <c r="DS338" s="27" t="s">
        <v>134</v>
      </c>
      <c r="DT338" s="27" t="s">
        <v>182</v>
      </c>
      <c r="DU338" s="27" t="s">
        <v>645</v>
      </c>
      <c r="DV338" s="27" t="s">
        <v>143</v>
      </c>
      <c r="DW338" s="27" t="s">
        <v>137</v>
      </c>
      <c r="DX338" s="27" t="s">
        <v>155</v>
      </c>
      <c r="DY338" s="27" t="s">
        <v>142</v>
      </c>
      <c r="DZ338" s="27" t="n">
        <f aca="false">DY338+DV338+DR338+DN338+DJ338+DF338+DB338</f>
        <v>531</v>
      </c>
      <c r="EA338" s="28" t="n">
        <f aca="false">DZ338/7</f>
        <v>75.8571428571429</v>
      </c>
      <c r="EB338" s="27" t="n">
        <f aca="false">RANK(EA338,$EA$2:$EA$881,0)</f>
        <v>524</v>
      </c>
      <c r="EC338" s="29" t="n">
        <f aca="false">DZ338+CQ338+CP338+AZ338</f>
        <v>2508</v>
      </c>
      <c r="ED338" s="30" t="n">
        <f aca="false">(EA338+CV338+BB338)/3</f>
        <v>80.1380952380952</v>
      </c>
      <c r="EE338" s="51" t="n">
        <f aca="false">ROUND(BE338,3)</f>
        <v>88.397</v>
      </c>
      <c r="EF338" s="51" t="n">
        <f aca="false">ROUND(CR338,3)</f>
        <v>90.429</v>
      </c>
      <c r="EG338" s="51" t="n">
        <f aca="false">ROUND(CS338,3)</f>
        <v>75.286</v>
      </c>
      <c r="EH338" s="51" t="n">
        <f aca="false">ROUND(EA338,3)</f>
        <v>75.857</v>
      </c>
      <c r="EI338" s="51" t="n">
        <f aca="false">ROUND(ED338,3)</f>
        <v>80.138</v>
      </c>
      <c r="EJ338" s="51" t="n">
        <f aca="false">ROUND(CV338,3)</f>
        <v>82.857</v>
      </c>
      <c r="EK338" s="0" t="n">
        <f aca="false">RANK(EI338,$EI$2:$EI$881,0)</f>
        <v>337</v>
      </c>
    </row>
    <row r="339" customFormat="false" ht="15" hidden="false" customHeight="false" outlineLevel="0" collapsed="false">
      <c r="A339" s="4" t="n">
        <v>1880</v>
      </c>
      <c r="B339" s="4" t="n">
        <v>550</v>
      </c>
      <c r="C339" s="27" t="s">
        <v>1126</v>
      </c>
      <c r="D339" s="31" t="n">
        <v>555</v>
      </c>
      <c r="E339" s="32" t="n">
        <v>230319682</v>
      </c>
      <c r="F339" s="8" t="s">
        <v>1127</v>
      </c>
      <c r="G339" s="22" t="s">
        <v>217</v>
      </c>
      <c r="H339" s="22" t="s">
        <v>129</v>
      </c>
      <c r="I339" s="33" t="n">
        <v>2005</v>
      </c>
      <c r="J339" s="32" t="n">
        <v>79</v>
      </c>
      <c r="K339" s="32" t="n">
        <v>77</v>
      </c>
      <c r="L339" s="34" t="n">
        <f aca="false">(K339*70)/100</f>
        <v>53.9</v>
      </c>
      <c r="M339" s="34" t="n">
        <f aca="false">ROUNDUP(L339,0)</f>
        <v>54</v>
      </c>
      <c r="N339" s="32" t="n">
        <v>25</v>
      </c>
      <c r="O339" s="34" t="n">
        <f aca="false">N339+L339</f>
        <v>78.9</v>
      </c>
      <c r="P339" s="34" t="n">
        <f aca="false">N339+M339</f>
        <v>79</v>
      </c>
      <c r="Q339" s="32" t="n">
        <v>73</v>
      </c>
      <c r="R339" s="32" t="n">
        <v>72</v>
      </c>
      <c r="S339" s="34" t="n">
        <f aca="false">(R339*70)/100</f>
        <v>50.4</v>
      </c>
      <c r="T339" s="34" t="n">
        <f aca="false">ROUNDUP(S339,0)</f>
        <v>51</v>
      </c>
      <c r="U339" s="32" t="n">
        <v>25</v>
      </c>
      <c r="V339" s="34" t="n">
        <f aca="false">U339+S339</f>
        <v>75.4</v>
      </c>
      <c r="W339" s="34" t="n">
        <f aca="false">U339+T339</f>
        <v>76</v>
      </c>
      <c r="X339" s="32" t="n">
        <v>68</v>
      </c>
      <c r="Y339" s="34" t="n">
        <f aca="false">(X339*70)/100</f>
        <v>47.6</v>
      </c>
      <c r="Z339" s="34" t="n">
        <f aca="false">ROUNDUP(Y339,0)</f>
        <v>48</v>
      </c>
      <c r="AA339" s="32" t="n">
        <v>23</v>
      </c>
      <c r="AB339" s="34" t="n">
        <f aca="false">AA339+Y339</f>
        <v>70.6</v>
      </c>
      <c r="AC339" s="34" t="n">
        <f aca="false">AA339+Z339</f>
        <v>71</v>
      </c>
      <c r="AD339" s="32" t="n">
        <f aca="false">X339+R339+Q339+K339+J339</f>
        <v>369</v>
      </c>
      <c r="AE339" s="16" t="n">
        <f aca="false">AD339/5</f>
        <v>73.8</v>
      </c>
      <c r="AF339" s="16" t="n">
        <v>79</v>
      </c>
      <c r="AG339" s="16" t="n">
        <v>79</v>
      </c>
      <c r="AH339" s="16" t="n">
        <v>89</v>
      </c>
      <c r="AI339" s="16" t="n">
        <v>94</v>
      </c>
      <c r="AJ339" s="16" t="n">
        <f aca="false">(AI339*70)/100</f>
        <v>65.8</v>
      </c>
      <c r="AK339" s="35" t="n">
        <f aca="false">ROUNDUP(AJ339,0)</f>
        <v>66</v>
      </c>
      <c r="AL339" s="16" t="n">
        <v>22</v>
      </c>
      <c r="AM339" s="16" t="n">
        <f aca="false">AL339+AJ339</f>
        <v>87.8</v>
      </c>
      <c r="AN339" s="16" t="n">
        <f aca="false">AL339+AK339</f>
        <v>88</v>
      </c>
      <c r="AO339" s="16" t="n">
        <v>74</v>
      </c>
      <c r="AP339" s="36" t="n">
        <f aca="false">(AO339*70)/100</f>
        <v>51.8</v>
      </c>
      <c r="AQ339" s="37" t="n">
        <f aca="false">ROUNDUP(AP339,0)</f>
        <v>52</v>
      </c>
      <c r="AR339" s="16" t="n">
        <v>25</v>
      </c>
      <c r="AS339" s="16" t="n">
        <f aca="false">AR339+AP339</f>
        <v>76.8</v>
      </c>
      <c r="AT339" s="16" t="n">
        <f aca="false">AR339+AQ339</f>
        <v>77</v>
      </c>
      <c r="AU339" s="16" t="n">
        <f aca="false">AO339+AF339+AI339+AH339+AG339</f>
        <v>415</v>
      </c>
      <c r="AV339" s="16" t="n">
        <f aca="false">(AO339+AF339+AI339+AH339+AG339)/5</f>
        <v>83</v>
      </c>
      <c r="AW339" s="36" t="n">
        <f aca="false">(AO339+AF339+AI339+AH339+AG339+X339+R339+Q339+K339+J339)</f>
        <v>784</v>
      </c>
      <c r="AX339" s="16" t="n">
        <f aca="false">AW339/10</f>
        <v>78.4</v>
      </c>
      <c r="AY339" s="16" t="n">
        <f aca="false">AS339+AF339+AM339+AH339+AG339+AB339+V339+Q339+O339+J339</f>
        <v>788.5</v>
      </c>
      <c r="AZ339" s="16" t="n">
        <f aca="false">AT339+AF339+AN339+AH339+AG339+AC339+W339+Q339+P339+J339</f>
        <v>790</v>
      </c>
      <c r="BA339" s="16" t="n">
        <f aca="false">AY339/10</f>
        <v>78.85</v>
      </c>
      <c r="BB339" s="16" t="n">
        <f aca="false">AZ339/10</f>
        <v>79</v>
      </c>
      <c r="BC339" s="16" t="n">
        <v>2342</v>
      </c>
      <c r="BD339" s="16" t="n">
        <f aca="false">RANK(AX339,$AX$2:$AX$881,0)</f>
        <v>385</v>
      </c>
      <c r="BE339" s="54" t="n">
        <f aca="false">((BC339*100)/2400)*0.4+(AX339*0.6)</f>
        <v>86.0733333333333</v>
      </c>
      <c r="BF339" s="16" t="n">
        <f aca="false">RANK(BE339,$BE$2:$BE$881,0)</f>
        <v>428</v>
      </c>
      <c r="BG339" s="39" t="n">
        <f aca="false">RANK(BB339,$BB$2:$BB$881,0)</f>
        <v>457</v>
      </c>
      <c r="BH339" s="39" t="n">
        <f aca="false">RANK(BC339,$BC$2:$BC$881,0)</f>
        <v>621</v>
      </c>
      <c r="BI339" s="22" t="s">
        <v>130</v>
      </c>
      <c r="BJ339" s="22" t="s">
        <v>129</v>
      </c>
      <c r="BK339" s="40" t="s">
        <v>509</v>
      </c>
      <c r="BL339" s="41" t="n">
        <v>14</v>
      </c>
      <c r="BM339" s="41" t="n">
        <v>53</v>
      </c>
      <c r="BN339" s="41" t="n">
        <v>67</v>
      </c>
      <c r="BO339" s="42" t="n">
        <v>26</v>
      </c>
      <c r="BP339" s="43" t="n">
        <v>55</v>
      </c>
      <c r="BQ339" s="44" t="n">
        <v>81</v>
      </c>
      <c r="BR339" s="42" t="n">
        <v>20</v>
      </c>
      <c r="BS339" s="45" t="n">
        <v>60</v>
      </c>
      <c r="BT339" s="45" t="n">
        <v>80</v>
      </c>
      <c r="BU339" s="46" t="n">
        <v>100</v>
      </c>
      <c r="BV339" s="47" t="n">
        <v>82</v>
      </c>
      <c r="BW339" s="42" t="n">
        <v>98</v>
      </c>
      <c r="BX339" s="48" t="n">
        <v>94</v>
      </c>
      <c r="BY339" s="32" t="n">
        <v>25</v>
      </c>
      <c r="BZ339" s="32" t="n">
        <v>56</v>
      </c>
      <c r="CA339" s="32" t="n">
        <v>81</v>
      </c>
      <c r="CB339" s="32" t="n">
        <v>20</v>
      </c>
      <c r="CC339" s="32" t="n">
        <v>48</v>
      </c>
      <c r="CD339" s="32" t="n">
        <v>68</v>
      </c>
      <c r="CE339" s="32" t="n">
        <v>25</v>
      </c>
      <c r="CF339" s="32" t="n">
        <v>55</v>
      </c>
      <c r="CG339" s="32" t="n">
        <v>80</v>
      </c>
      <c r="CH339" s="32" t="n">
        <v>96</v>
      </c>
      <c r="CI339" s="32" t="n">
        <v>96</v>
      </c>
      <c r="CJ339" s="49" t="n">
        <v>24</v>
      </c>
      <c r="CK339" s="49" t="n">
        <v>47</v>
      </c>
      <c r="CL339" s="49" t="n">
        <v>71</v>
      </c>
      <c r="CM339" s="49" t="n">
        <v>24</v>
      </c>
      <c r="CN339" s="49" t="n">
        <v>55</v>
      </c>
      <c r="CO339" s="49" t="n">
        <v>79</v>
      </c>
      <c r="CP339" s="25" t="n">
        <f aca="false">BX339+BW339+BV339+BU339+BT339+BQ339+BN339</f>
        <v>602</v>
      </c>
      <c r="CQ339" s="25" t="n">
        <f aca="false">CO339+CL339+CI339+CH339+CG339+CD339+CA339</f>
        <v>571</v>
      </c>
      <c r="CR339" s="26" t="n">
        <f aca="false">CP339/7</f>
        <v>86</v>
      </c>
      <c r="CS339" s="26" t="n">
        <f aca="false">CQ339/7</f>
        <v>81.5714285714286</v>
      </c>
      <c r="CT339" s="24" t="n">
        <f aca="false">RANK(CR339,$CR$2:$CR$881,0)</f>
        <v>403</v>
      </c>
      <c r="CU339" s="25" t="n">
        <f aca="false">RANK(CS339,$CS$2:$CS$881,0)</f>
        <v>207</v>
      </c>
      <c r="CV339" s="26" t="n">
        <f aca="false">(CS339+CR339)/2</f>
        <v>83.7857142857143</v>
      </c>
      <c r="CW339" s="25" t="n">
        <f aca="false">RANK(CV339,$CV$2:$CV$881,0)</f>
        <v>268</v>
      </c>
      <c r="CX339" s="50" t="n">
        <f aca="false">(CV339+BB339)/2</f>
        <v>81.3928571428571</v>
      </c>
      <c r="CY339" s="50" t="n">
        <v>298</v>
      </c>
      <c r="CZ339" s="27" t="s">
        <v>132</v>
      </c>
      <c r="DA339" s="27" t="s">
        <v>202</v>
      </c>
      <c r="DB339" s="27" t="s">
        <v>202</v>
      </c>
      <c r="DC339" s="27" t="s">
        <v>134</v>
      </c>
      <c r="DD339" s="27" t="s">
        <v>191</v>
      </c>
      <c r="DE339" s="27" t="s">
        <v>375</v>
      </c>
      <c r="DF339" s="27" t="s">
        <v>155</v>
      </c>
      <c r="DG339" s="27" t="s">
        <v>134</v>
      </c>
      <c r="DH339" s="27" t="s">
        <v>146</v>
      </c>
      <c r="DI339" s="27" t="s">
        <v>177</v>
      </c>
      <c r="DJ339" s="27" t="s">
        <v>153</v>
      </c>
      <c r="DK339" s="27" t="s">
        <v>134</v>
      </c>
      <c r="DL339" s="27" t="s">
        <v>191</v>
      </c>
      <c r="DM339" s="27" t="s">
        <v>897</v>
      </c>
      <c r="DN339" s="27" t="s">
        <v>136</v>
      </c>
      <c r="DO339" s="27" t="s">
        <v>134</v>
      </c>
      <c r="DP339" s="27" t="s">
        <v>174</v>
      </c>
      <c r="DQ339" s="27" t="s">
        <v>681</v>
      </c>
      <c r="DR339" s="27" t="s">
        <v>143</v>
      </c>
      <c r="DS339" s="27" t="s">
        <v>134</v>
      </c>
      <c r="DT339" s="27" t="s">
        <v>137</v>
      </c>
      <c r="DU339" s="27" t="s">
        <v>415</v>
      </c>
      <c r="DV339" s="27" t="s">
        <v>486</v>
      </c>
      <c r="DW339" s="27" t="s">
        <v>154</v>
      </c>
      <c r="DX339" s="27" t="s">
        <v>155</v>
      </c>
      <c r="DY339" s="27" t="s">
        <v>151</v>
      </c>
      <c r="DZ339" s="27" t="n">
        <f aca="false">DY339+DV339+DR339+DN339+DJ339+DF339+DB339</f>
        <v>543</v>
      </c>
      <c r="EA339" s="28" t="n">
        <f aca="false">DZ339/7</f>
        <v>77.5714285714286</v>
      </c>
      <c r="EB339" s="27" t="n">
        <f aca="false">RANK(EA339,$EA$2:$EA$881,0)</f>
        <v>475</v>
      </c>
      <c r="EC339" s="29" t="n">
        <f aca="false">DZ339+CQ339+CP339+AZ339</f>
        <v>2506</v>
      </c>
      <c r="ED339" s="30" t="n">
        <f aca="false">(EA339+CV339+BB339)/3</f>
        <v>80.1190476190476</v>
      </c>
      <c r="EE339" s="51" t="n">
        <f aca="false">ROUND(BE339,3)</f>
        <v>86.073</v>
      </c>
      <c r="EF339" s="51" t="n">
        <f aca="false">ROUND(CR339,3)</f>
        <v>86</v>
      </c>
      <c r="EG339" s="51" t="n">
        <f aca="false">ROUND(CS339,3)</f>
        <v>81.571</v>
      </c>
      <c r="EH339" s="51" t="n">
        <f aca="false">ROUND(EA339,3)</f>
        <v>77.571</v>
      </c>
      <c r="EI339" s="51" t="n">
        <f aca="false">ROUND(ED339,3)</f>
        <v>80.119</v>
      </c>
      <c r="EJ339" s="51" t="n">
        <f aca="false">ROUND(CV339,3)</f>
        <v>83.786</v>
      </c>
      <c r="EK339" s="0" t="n">
        <f aca="false">RANK(EI339,$EI$2:$EI$881,0)</f>
        <v>338</v>
      </c>
    </row>
    <row r="340" customFormat="false" ht="15" hidden="false" customHeight="false" outlineLevel="0" collapsed="false">
      <c r="A340" s="4" t="n">
        <v>1904</v>
      </c>
      <c r="B340" s="4" t="n">
        <v>665</v>
      </c>
      <c r="C340" s="27" t="s">
        <v>1128</v>
      </c>
      <c r="D340" s="31" t="n">
        <v>678</v>
      </c>
      <c r="E340" s="32" t="n">
        <v>230311341</v>
      </c>
      <c r="F340" s="8" t="s">
        <v>1129</v>
      </c>
      <c r="G340" s="22" t="s">
        <v>1130</v>
      </c>
      <c r="H340" s="22" t="s">
        <v>129</v>
      </c>
      <c r="I340" s="33" t="n">
        <v>2005</v>
      </c>
      <c r="J340" s="32" t="n">
        <v>85</v>
      </c>
      <c r="K340" s="32" t="n">
        <v>74</v>
      </c>
      <c r="L340" s="34" t="n">
        <f aca="false">(K340*70)/100</f>
        <v>51.8</v>
      </c>
      <c r="M340" s="34" t="n">
        <f aca="false">ROUNDUP(L340,0)</f>
        <v>52</v>
      </c>
      <c r="N340" s="32" t="n">
        <v>23</v>
      </c>
      <c r="O340" s="34" t="n">
        <f aca="false">N340+L340</f>
        <v>74.8</v>
      </c>
      <c r="P340" s="34" t="n">
        <f aca="false">N340+M340</f>
        <v>75</v>
      </c>
      <c r="Q340" s="32" t="n">
        <v>76</v>
      </c>
      <c r="R340" s="32" t="n">
        <v>79</v>
      </c>
      <c r="S340" s="34" t="n">
        <f aca="false">(R340*70)/100</f>
        <v>55.3</v>
      </c>
      <c r="T340" s="34" t="n">
        <f aca="false">ROUNDUP(S340,0)</f>
        <v>56</v>
      </c>
      <c r="U340" s="32" t="n">
        <v>24</v>
      </c>
      <c r="V340" s="34" t="n">
        <f aca="false">U340+S340</f>
        <v>79.3</v>
      </c>
      <c r="W340" s="34" t="n">
        <f aca="false">U340+T340</f>
        <v>80</v>
      </c>
      <c r="X340" s="32" t="n">
        <v>54</v>
      </c>
      <c r="Y340" s="34" t="n">
        <f aca="false">(X340*70)/100</f>
        <v>37.8</v>
      </c>
      <c r="Z340" s="34" t="n">
        <f aca="false">ROUNDUP(Y340,0)</f>
        <v>38</v>
      </c>
      <c r="AA340" s="32" t="n">
        <v>24</v>
      </c>
      <c r="AB340" s="34" t="n">
        <f aca="false">AA340+Y340</f>
        <v>61.8</v>
      </c>
      <c r="AC340" s="34" t="n">
        <f aca="false">AA340+Z340</f>
        <v>62</v>
      </c>
      <c r="AD340" s="32" t="n">
        <f aca="false">X340+R340+Q340+K340+J340</f>
        <v>368</v>
      </c>
      <c r="AE340" s="16" t="n">
        <f aca="false">AD340/5</f>
        <v>73.6</v>
      </c>
      <c r="AF340" s="16" t="n">
        <v>61</v>
      </c>
      <c r="AG340" s="16" t="n">
        <v>89</v>
      </c>
      <c r="AH340" s="16" t="n">
        <v>76</v>
      </c>
      <c r="AI340" s="16" t="n">
        <v>89</v>
      </c>
      <c r="AJ340" s="16" t="n">
        <f aca="false">(AI340*70)/100</f>
        <v>62.3</v>
      </c>
      <c r="AK340" s="35" t="n">
        <f aca="false">ROUNDUP(AJ340,0)</f>
        <v>63</v>
      </c>
      <c r="AL340" s="16" t="n">
        <v>29</v>
      </c>
      <c r="AM340" s="16" t="n">
        <f aca="false">AL340+AJ340</f>
        <v>91.3</v>
      </c>
      <c r="AN340" s="16" t="n">
        <f aca="false">AL340+AK340</f>
        <v>92</v>
      </c>
      <c r="AO340" s="16" t="n">
        <v>77</v>
      </c>
      <c r="AP340" s="36" t="n">
        <f aca="false">(AO340*70)/100</f>
        <v>53.9</v>
      </c>
      <c r="AQ340" s="37" t="n">
        <f aca="false">ROUNDUP(AP340,0)</f>
        <v>54</v>
      </c>
      <c r="AR340" s="16" t="n">
        <v>29</v>
      </c>
      <c r="AS340" s="16" t="n">
        <f aca="false">AR340+AP340</f>
        <v>82.9</v>
      </c>
      <c r="AT340" s="16" t="n">
        <f aca="false">AR340+AQ340</f>
        <v>83</v>
      </c>
      <c r="AU340" s="16" t="n">
        <f aca="false">AO340+AF340+AI340+AH340+AG340</f>
        <v>392</v>
      </c>
      <c r="AV340" s="16" t="n">
        <f aca="false">(AO340+AF340+AI340+AH340+AG340)/5</f>
        <v>78.4</v>
      </c>
      <c r="AW340" s="36" t="n">
        <f aca="false">(AO340+AF340+AI340+AH340+AG340+X340+R340+Q340+K340+J340)</f>
        <v>760</v>
      </c>
      <c r="AX340" s="16" t="n">
        <f aca="false">AW340/10</f>
        <v>76</v>
      </c>
      <c r="AY340" s="16" t="n">
        <f aca="false">AS340+AF340+AM340+AH340+AG340+AB340+V340+Q340+O340+J340</f>
        <v>777.1</v>
      </c>
      <c r="AZ340" s="16" t="n">
        <f aca="false">AT340+AF340+AN340+AH340+AG340+AC340+W340+Q340+P340+J340</f>
        <v>779</v>
      </c>
      <c r="BA340" s="16" t="n">
        <f aca="false">AY340/10</f>
        <v>77.71</v>
      </c>
      <c r="BB340" s="16" t="n">
        <f aca="false">AZ340/10</f>
        <v>77.9</v>
      </c>
      <c r="BC340" s="16" t="n">
        <v>2357</v>
      </c>
      <c r="BD340" s="16" t="n">
        <f aca="false">RANK(AX340,$AX$2:$AX$881,0)</f>
        <v>616</v>
      </c>
      <c r="BE340" s="73" t="n">
        <f aca="false">((BC340*100)/2400)*0.4+(AX340*0.6)</f>
        <v>84.8833333333333</v>
      </c>
      <c r="BF340" s="16" t="n">
        <f aca="false">RANK(BE340,$BE$2:$BE$881,0)</f>
        <v>637</v>
      </c>
      <c r="BG340" s="39" t="n">
        <f aca="false">RANK(BB340,$BB$2:$BB$881,0)</f>
        <v>569</v>
      </c>
      <c r="BH340" s="39" t="n">
        <f aca="false">RANK(BC340,$BC$2:$BC$881,0)</f>
        <v>444</v>
      </c>
      <c r="BI340" s="22" t="s">
        <v>130</v>
      </c>
      <c r="BJ340" s="22" t="s">
        <v>129</v>
      </c>
      <c r="BK340" s="22" t="s">
        <v>509</v>
      </c>
      <c r="BL340" s="41" t="n">
        <v>20</v>
      </c>
      <c r="BM340" s="41" t="n">
        <v>52</v>
      </c>
      <c r="BN340" s="41" t="n">
        <v>72</v>
      </c>
      <c r="BO340" s="42" t="n">
        <v>27</v>
      </c>
      <c r="BP340" s="43" t="n">
        <v>52</v>
      </c>
      <c r="BQ340" s="44" t="n">
        <v>79</v>
      </c>
      <c r="BR340" s="42" t="n">
        <v>25</v>
      </c>
      <c r="BS340" s="45" t="n">
        <v>60</v>
      </c>
      <c r="BT340" s="45" t="n">
        <v>85</v>
      </c>
      <c r="BU340" s="46" t="n">
        <v>100</v>
      </c>
      <c r="BV340" s="47" t="n">
        <v>90</v>
      </c>
      <c r="BW340" s="42" t="n">
        <v>100</v>
      </c>
      <c r="BX340" s="48" t="n">
        <v>92</v>
      </c>
      <c r="BY340" s="32" t="n">
        <v>26</v>
      </c>
      <c r="BZ340" s="32" t="n">
        <v>57</v>
      </c>
      <c r="CA340" s="32" t="n">
        <v>83</v>
      </c>
      <c r="CB340" s="32" t="n">
        <v>24</v>
      </c>
      <c r="CC340" s="32" t="n">
        <v>36</v>
      </c>
      <c r="CD340" s="32" t="n">
        <v>60</v>
      </c>
      <c r="CE340" s="32" t="n">
        <v>19</v>
      </c>
      <c r="CF340" s="32" t="n">
        <v>55</v>
      </c>
      <c r="CG340" s="32" t="n">
        <v>74</v>
      </c>
      <c r="CH340" s="32" t="n">
        <v>98</v>
      </c>
      <c r="CI340" s="32" t="n">
        <v>100</v>
      </c>
      <c r="CJ340" s="49" t="n">
        <v>23</v>
      </c>
      <c r="CK340" s="49" t="n">
        <v>50</v>
      </c>
      <c r="CL340" s="49" t="n">
        <v>73</v>
      </c>
      <c r="CM340" s="49" t="n">
        <v>25</v>
      </c>
      <c r="CN340" s="49" t="n">
        <v>50</v>
      </c>
      <c r="CO340" s="49" t="n">
        <v>75</v>
      </c>
      <c r="CP340" s="25" t="n">
        <f aca="false">BX340+BW340+BV340+BU340+BT340+BQ340+BN340</f>
        <v>618</v>
      </c>
      <c r="CQ340" s="25" t="n">
        <f aca="false">CO340+CL340+CI340+CH340+CG340+CD340+CA340</f>
        <v>563</v>
      </c>
      <c r="CR340" s="26" t="n">
        <f aca="false">CP340/7</f>
        <v>88.2857142857143</v>
      </c>
      <c r="CS340" s="26" t="n">
        <f aca="false">CQ340/7</f>
        <v>80.4285714285714</v>
      </c>
      <c r="CT340" s="24" t="n">
        <f aca="false">RANK(CR340,$CR$2:$CR$881,0)</f>
        <v>287</v>
      </c>
      <c r="CU340" s="25" t="n">
        <f aca="false">RANK(CS340,$CS$2:$CS$881,0)</f>
        <v>245</v>
      </c>
      <c r="CV340" s="26" t="n">
        <f aca="false">(CS340+CR340)/2</f>
        <v>84.3571428571429</v>
      </c>
      <c r="CW340" s="25" t="n">
        <f aca="false">RANK(CV340,$CV$2:$CV$881,0)</f>
        <v>249</v>
      </c>
      <c r="CX340" s="50" t="n">
        <f aca="false">(CV340+BB340)/2</f>
        <v>81.1285714285714</v>
      </c>
      <c r="CY340" s="50" t="n">
        <v>313</v>
      </c>
      <c r="CZ340" s="27" t="s">
        <v>132</v>
      </c>
      <c r="DA340" s="27" t="s">
        <v>205</v>
      </c>
      <c r="DB340" s="27" t="s">
        <v>205</v>
      </c>
      <c r="DC340" s="27" t="s">
        <v>134</v>
      </c>
      <c r="DD340" s="27" t="s">
        <v>154</v>
      </c>
      <c r="DE340" s="27" t="s">
        <v>183</v>
      </c>
      <c r="DF340" s="27" t="s">
        <v>196</v>
      </c>
      <c r="DG340" s="27" t="s">
        <v>134</v>
      </c>
      <c r="DH340" s="27" t="s">
        <v>140</v>
      </c>
      <c r="DI340" s="27" t="s">
        <v>412</v>
      </c>
      <c r="DJ340" s="27" t="s">
        <v>219</v>
      </c>
      <c r="DK340" s="27" t="s">
        <v>134</v>
      </c>
      <c r="DL340" s="27" t="s">
        <v>174</v>
      </c>
      <c r="DM340" s="27" t="s">
        <v>375</v>
      </c>
      <c r="DN340" s="27" t="s">
        <v>398</v>
      </c>
      <c r="DO340" s="27" t="s">
        <v>134</v>
      </c>
      <c r="DP340" s="27" t="s">
        <v>485</v>
      </c>
      <c r="DQ340" s="27" t="s">
        <v>220</v>
      </c>
      <c r="DR340" s="27" t="s">
        <v>486</v>
      </c>
      <c r="DS340" s="27" t="s">
        <v>134</v>
      </c>
      <c r="DT340" s="27" t="s">
        <v>182</v>
      </c>
      <c r="DU340" s="27" t="s">
        <v>645</v>
      </c>
      <c r="DV340" s="27" t="s">
        <v>143</v>
      </c>
      <c r="DW340" s="27" t="s">
        <v>182</v>
      </c>
      <c r="DX340" s="27" t="s">
        <v>187</v>
      </c>
      <c r="DY340" s="27" t="s">
        <v>153</v>
      </c>
      <c r="DZ340" s="27" t="n">
        <f aca="false">DY340+DV340+DR340+DN340+DJ340+DF340+DB340</f>
        <v>546</v>
      </c>
      <c r="EA340" s="28" t="n">
        <f aca="false">DZ340/7</f>
        <v>78</v>
      </c>
      <c r="EB340" s="27" t="n">
        <f aca="false">RANK(EA340,$EA$2:$EA$881,0)</f>
        <v>456</v>
      </c>
      <c r="EC340" s="29" t="n">
        <f aca="false">DZ340+CQ340+CP340+AZ340</f>
        <v>2506</v>
      </c>
      <c r="ED340" s="30" t="n">
        <f aca="false">(EA340+CV340+BB340)/3</f>
        <v>80.0857142857143</v>
      </c>
      <c r="EE340" s="51" t="n">
        <f aca="false">ROUND(BE340,3)</f>
        <v>84.883</v>
      </c>
      <c r="EF340" s="51" t="n">
        <f aca="false">ROUND(CR340,3)</f>
        <v>88.286</v>
      </c>
      <c r="EG340" s="51" t="n">
        <f aca="false">ROUND(CS340,3)</f>
        <v>80.429</v>
      </c>
      <c r="EH340" s="51" t="n">
        <f aca="false">ROUND(EA340,3)</f>
        <v>78</v>
      </c>
      <c r="EI340" s="51" t="n">
        <f aca="false">ROUND(ED340,3)</f>
        <v>80.086</v>
      </c>
      <c r="EJ340" s="51" t="n">
        <f aca="false">ROUND(CV340,3)</f>
        <v>84.357</v>
      </c>
      <c r="EK340" s="0" t="n">
        <f aca="false">RANK(EI340,$EI$2:$EI$881,0)</f>
        <v>339</v>
      </c>
    </row>
    <row r="341" customFormat="false" ht="15" hidden="false" customHeight="false" outlineLevel="0" collapsed="false">
      <c r="A341" s="4" t="n">
        <v>1907</v>
      </c>
      <c r="B341" s="4" t="n">
        <v>697</v>
      </c>
      <c r="C341" s="27" t="s">
        <v>1131</v>
      </c>
      <c r="D341" s="31" t="n">
        <v>711</v>
      </c>
      <c r="E341" s="16" t="n">
        <v>230120568</v>
      </c>
      <c r="F341" s="56" t="s">
        <v>1132</v>
      </c>
      <c r="G341" s="22" t="s">
        <v>378</v>
      </c>
      <c r="H341" s="22" t="s">
        <v>326</v>
      </c>
      <c r="I341" s="57"/>
      <c r="J341" s="16" t="n">
        <v>77</v>
      </c>
      <c r="K341" s="16" t="n">
        <v>76</v>
      </c>
      <c r="L341" s="34" t="n">
        <f aca="false">(K341*70)/100</f>
        <v>53.2</v>
      </c>
      <c r="M341" s="34" t="n">
        <f aca="false">ROUNDUP(L341,0)</f>
        <v>54</v>
      </c>
      <c r="N341" s="16" t="n">
        <v>28</v>
      </c>
      <c r="O341" s="34" t="n">
        <f aca="false">N341+L341</f>
        <v>81.2</v>
      </c>
      <c r="P341" s="34" t="n">
        <f aca="false">N341+M341</f>
        <v>82</v>
      </c>
      <c r="Q341" s="16" t="n">
        <v>80</v>
      </c>
      <c r="R341" s="16" t="n">
        <v>78</v>
      </c>
      <c r="S341" s="34" t="n">
        <f aca="false">(R341*70)/100</f>
        <v>54.6</v>
      </c>
      <c r="T341" s="34" t="n">
        <f aca="false">ROUNDUP(S341,0)</f>
        <v>55</v>
      </c>
      <c r="U341" s="16" t="n">
        <v>26</v>
      </c>
      <c r="V341" s="34" t="n">
        <f aca="false">U341+S341</f>
        <v>80.6</v>
      </c>
      <c r="W341" s="34" t="n">
        <f aca="false">U341+T341</f>
        <v>81</v>
      </c>
      <c r="X341" s="16" t="n">
        <v>76</v>
      </c>
      <c r="Y341" s="34" t="n">
        <f aca="false">(X341*70)/100</f>
        <v>53.2</v>
      </c>
      <c r="Z341" s="34" t="n">
        <f aca="false">ROUNDUP(Y341,0)</f>
        <v>54</v>
      </c>
      <c r="AA341" s="16" t="n">
        <v>26</v>
      </c>
      <c r="AB341" s="34" t="n">
        <f aca="false">AA341+Y341</f>
        <v>79.2</v>
      </c>
      <c r="AC341" s="34" t="n">
        <f aca="false">AA341+Z341</f>
        <v>80</v>
      </c>
      <c r="AD341" s="32" t="n">
        <f aca="false">X341+R341+Q341+K341+J341</f>
        <v>387</v>
      </c>
      <c r="AE341" s="16" t="n">
        <f aca="false">AD341/5</f>
        <v>77.4</v>
      </c>
      <c r="AF341" s="16" t="n">
        <v>73</v>
      </c>
      <c r="AG341" s="16" t="n">
        <v>83</v>
      </c>
      <c r="AH341" s="16" t="n">
        <v>80</v>
      </c>
      <c r="AI341" s="16" t="n">
        <v>89</v>
      </c>
      <c r="AJ341" s="16" t="n">
        <f aca="false">(AI341*70)/100</f>
        <v>62.3</v>
      </c>
      <c r="AK341" s="35" t="n">
        <f aca="false">ROUNDUP(AJ341,0)</f>
        <v>63</v>
      </c>
      <c r="AL341" s="16" t="n">
        <v>19</v>
      </c>
      <c r="AM341" s="16" t="n">
        <f aca="false">AL341+AJ341</f>
        <v>81.3</v>
      </c>
      <c r="AN341" s="16" t="n">
        <f aca="false">AL341+AK341</f>
        <v>82</v>
      </c>
      <c r="AO341" s="16" t="n">
        <v>58</v>
      </c>
      <c r="AP341" s="36" t="n">
        <f aca="false">(AO341*70)/100</f>
        <v>40.6</v>
      </c>
      <c r="AQ341" s="37" t="n">
        <f aca="false">ROUNDUP(AP341,0)</f>
        <v>41</v>
      </c>
      <c r="AR341" s="16" t="n">
        <v>27</v>
      </c>
      <c r="AS341" s="16" t="n">
        <f aca="false">AR341+AP341</f>
        <v>67.6</v>
      </c>
      <c r="AT341" s="16" t="n">
        <f aca="false">AR341+AQ341</f>
        <v>68</v>
      </c>
      <c r="AU341" s="16" t="n">
        <f aca="false">AO341+AF341+AI341+AH341+AG341</f>
        <v>383</v>
      </c>
      <c r="AV341" s="16" t="n">
        <f aca="false">(AO341+AF341+AI341+AH341+AG341)/5</f>
        <v>76.6</v>
      </c>
      <c r="AW341" s="36" t="n">
        <f aca="false">(AO341+AF341+AI341+AH341+AG341+X341+R341+Q341+K341+J341)</f>
        <v>770</v>
      </c>
      <c r="AX341" s="16" t="n">
        <f aca="false">AW341/10</f>
        <v>77</v>
      </c>
      <c r="AY341" s="16" t="n">
        <f aca="false">AS341+AF341+AM341+AH341+AG341+AB341+V341+Q341+O341+J341</f>
        <v>782.9</v>
      </c>
      <c r="AZ341" s="16" t="n">
        <f aca="false">AT341+AF341+AN341+AH341+AG341+AC341+W341+Q341+P341+J341</f>
        <v>786</v>
      </c>
      <c r="BA341" s="16" t="n">
        <f aca="false">AY341/10</f>
        <v>78.29</v>
      </c>
      <c r="BB341" s="16" t="n">
        <f aca="false">AZ341/10</f>
        <v>78.6</v>
      </c>
      <c r="BC341" s="16" t="n">
        <v>2370</v>
      </c>
      <c r="BD341" s="16" t="n">
        <f aca="false">RANK(AX341,$AX$2:$AX$881,0)</f>
        <v>508</v>
      </c>
      <c r="BE341" s="54" t="n">
        <f aca="false">((BC341*100)/2400)*0.4+(AX341*0.6)</f>
        <v>85.7</v>
      </c>
      <c r="BF341" s="16" t="n">
        <f aca="false">RANK(BE341,$BE$2:$BE$881,0)</f>
        <v>480</v>
      </c>
      <c r="BG341" s="39" t="n">
        <f aca="false">RANK(BB341,$BB$2:$BB$881,0)</f>
        <v>494</v>
      </c>
      <c r="BH341" s="39" t="n">
        <f aca="false">RANK(BC341,$BC$2:$BC$881,0)</f>
        <v>268</v>
      </c>
      <c r="BI341" s="22" t="s">
        <v>130</v>
      </c>
      <c r="BJ341" s="22" t="s">
        <v>129</v>
      </c>
      <c r="BK341" s="40" t="s">
        <v>509</v>
      </c>
      <c r="BL341" s="41" t="n">
        <v>17</v>
      </c>
      <c r="BM341" s="41" t="n">
        <v>63</v>
      </c>
      <c r="BN341" s="41" t="n">
        <v>80</v>
      </c>
      <c r="BO341" s="42" t="n">
        <v>23</v>
      </c>
      <c r="BP341" s="42" t="n">
        <v>64</v>
      </c>
      <c r="BQ341" s="42" t="n">
        <v>87</v>
      </c>
      <c r="BR341" s="42" t="n">
        <v>24</v>
      </c>
      <c r="BS341" s="45" t="n">
        <v>58</v>
      </c>
      <c r="BT341" s="45" t="n">
        <v>82</v>
      </c>
      <c r="BU341" s="46" t="n">
        <v>100</v>
      </c>
      <c r="BV341" s="47" t="n">
        <v>80</v>
      </c>
      <c r="BW341" s="42" t="n">
        <v>99</v>
      </c>
      <c r="BX341" s="48" t="n">
        <v>92</v>
      </c>
      <c r="BY341" s="60"/>
      <c r="BZ341" s="60"/>
      <c r="CA341" s="60"/>
      <c r="CB341" s="32" t="n">
        <v>19</v>
      </c>
      <c r="CC341" s="32" t="n">
        <v>48</v>
      </c>
      <c r="CD341" s="32" t="n">
        <v>67</v>
      </c>
      <c r="CE341" s="32" t="n">
        <v>23</v>
      </c>
      <c r="CF341" s="32" t="n">
        <v>58</v>
      </c>
      <c r="CG341" s="32" t="n">
        <v>81</v>
      </c>
      <c r="CH341" s="32" t="n">
        <v>98</v>
      </c>
      <c r="CI341" s="32" t="n">
        <v>100</v>
      </c>
      <c r="CJ341" s="49" t="n">
        <v>19</v>
      </c>
      <c r="CK341" s="60"/>
      <c r="CL341" s="61"/>
      <c r="CM341" s="49" t="n">
        <v>22</v>
      </c>
      <c r="CN341" s="49" t="n">
        <v>61</v>
      </c>
      <c r="CO341" s="49" t="n">
        <v>83</v>
      </c>
      <c r="CP341" s="25" t="n">
        <f aca="false">BX341+BW341+BV341+BU341+BT341+BQ341+BN341</f>
        <v>620</v>
      </c>
      <c r="CQ341" s="25" t="n">
        <f aca="false">CO341+CL341+CI341+CH341+CG341+CD341+CA341</f>
        <v>429</v>
      </c>
      <c r="CR341" s="26" t="n">
        <f aca="false">CP341/7</f>
        <v>88.5714285714286</v>
      </c>
      <c r="CS341" s="26" t="n">
        <f aca="false">CQ341/7</f>
        <v>61.2857142857143</v>
      </c>
      <c r="CT341" s="24" t="n">
        <f aca="false">RANK(CR341,$CR$2:$CR$881,0)</f>
        <v>265</v>
      </c>
      <c r="CU341" s="25" t="n">
        <f aca="false">RANK(CS341,$CS$2:$CS$881,0)</f>
        <v>670</v>
      </c>
      <c r="CV341" s="26" t="n">
        <f aca="false">(CS341+CR341)/2</f>
        <v>74.9285714285714</v>
      </c>
      <c r="CW341" s="25" t="n">
        <f aca="false">RANK(CV341,$CV$2:$CV$881,0)</f>
        <v>559</v>
      </c>
      <c r="CX341" s="50" t="n">
        <f aca="false">(CV341+BB341)/2</f>
        <v>76.7642857142857</v>
      </c>
      <c r="CY341" s="50" t="n">
        <v>510</v>
      </c>
      <c r="CZ341" s="27" t="s">
        <v>132</v>
      </c>
      <c r="DA341" s="27" t="s">
        <v>175</v>
      </c>
      <c r="DB341" s="27" t="s">
        <v>175</v>
      </c>
      <c r="DC341" s="27" t="s">
        <v>134</v>
      </c>
      <c r="DD341" s="27" t="s">
        <v>137</v>
      </c>
      <c r="DE341" s="27" t="s">
        <v>203</v>
      </c>
      <c r="DF341" s="27" t="s">
        <v>133</v>
      </c>
      <c r="DG341" s="27" t="s">
        <v>134</v>
      </c>
      <c r="DH341" s="27" t="s">
        <v>135</v>
      </c>
      <c r="DI341" s="27" t="s">
        <v>177</v>
      </c>
      <c r="DJ341" s="27" t="s">
        <v>175</v>
      </c>
      <c r="DK341" s="27" t="s">
        <v>134</v>
      </c>
      <c r="DL341" s="27" t="s">
        <v>164</v>
      </c>
      <c r="DM341" s="27" t="s">
        <v>204</v>
      </c>
      <c r="DN341" s="27" t="s">
        <v>202</v>
      </c>
      <c r="DO341" s="27" t="s">
        <v>134</v>
      </c>
      <c r="DP341" s="27" t="s">
        <v>191</v>
      </c>
      <c r="DQ341" s="27" t="s">
        <v>177</v>
      </c>
      <c r="DR341" s="27" t="s">
        <v>219</v>
      </c>
      <c r="DS341" s="27" t="s">
        <v>134</v>
      </c>
      <c r="DT341" s="27" t="s">
        <v>137</v>
      </c>
      <c r="DU341" s="27" t="s">
        <v>136</v>
      </c>
      <c r="DV341" s="27" t="s">
        <v>162</v>
      </c>
      <c r="DW341" s="27" t="s">
        <v>182</v>
      </c>
      <c r="DX341" s="27" t="s">
        <v>155</v>
      </c>
      <c r="DY341" s="27" t="s">
        <v>156</v>
      </c>
      <c r="DZ341" s="27" t="n">
        <f aca="false">DY341+DV341+DR341+DN341+DJ341+DF341+DB341</f>
        <v>607</v>
      </c>
      <c r="EA341" s="28" t="n">
        <f aca="false">DZ341/7</f>
        <v>86.7142857142857</v>
      </c>
      <c r="EB341" s="27" t="n">
        <f aca="false">RANK(EA341,$EA$2:$EA$881,0)</f>
        <v>135</v>
      </c>
      <c r="EC341" s="29" t="n">
        <f aca="false">DZ341+CQ341+CP341+AZ341</f>
        <v>2442</v>
      </c>
      <c r="ED341" s="30" t="n">
        <f aca="false">(EA341+CV341+BB341)/3</f>
        <v>80.0809523809524</v>
      </c>
      <c r="EE341" s="51" t="n">
        <f aca="false">ROUND(BE341,3)</f>
        <v>85.7</v>
      </c>
      <c r="EF341" s="51" t="n">
        <f aca="false">ROUND(CR341,3)</f>
        <v>88.571</v>
      </c>
      <c r="EG341" s="51" t="n">
        <f aca="false">ROUND(CS341,3)</f>
        <v>61.286</v>
      </c>
      <c r="EH341" s="51" t="n">
        <f aca="false">ROUND(EA341,3)</f>
        <v>86.714</v>
      </c>
      <c r="EI341" s="51" t="n">
        <f aca="false">ROUND(ED341,3)</f>
        <v>80.081</v>
      </c>
      <c r="EJ341" s="51" t="n">
        <f aca="false">ROUND(CV341,3)</f>
        <v>74.929</v>
      </c>
      <c r="EK341" s="0" t="n">
        <f aca="false">RANK(EI341,$EI$2:$EI$881,0)</f>
        <v>340</v>
      </c>
    </row>
    <row r="342" customFormat="false" ht="15" hidden="false" customHeight="false" outlineLevel="0" collapsed="false">
      <c r="A342" s="4" t="n">
        <v>2014</v>
      </c>
      <c r="B342" s="4" t="n">
        <v>83</v>
      </c>
      <c r="C342" s="27" t="s">
        <v>1133</v>
      </c>
      <c r="D342" s="52" t="n">
        <v>84</v>
      </c>
      <c r="E342" s="16" t="n">
        <v>230118044</v>
      </c>
      <c r="F342" s="56" t="s">
        <v>1134</v>
      </c>
      <c r="G342" s="22" t="s">
        <v>1135</v>
      </c>
      <c r="H342" s="22" t="s">
        <v>326</v>
      </c>
      <c r="I342" s="57"/>
      <c r="J342" s="16" t="n">
        <v>76</v>
      </c>
      <c r="K342" s="16" t="n">
        <v>80</v>
      </c>
      <c r="L342" s="34" t="n">
        <f aca="false">(K342*70)/100</f>
        <v>56</v>
      </c>
      <c r="M342" s="34" t="n">
        <f aca="false">ROUNDUP(L342,0)</f>
        <v>56</v>
      </c>
      <c r="N342" s="16" t="n">
        <v>28</v>
      </c>
      <c r="O342" s="34" t="n">
        <f aca="false">N342+L342</f>
        <v>84</v>
      </c>
      <c r="P342" s="34" t="n">
        <f aca="false">N342+M342</f>
        <v>84</v>
      </c>
      <c r="Q342" s="16" t="n">
        <v>81</v>
      </c>
      <c r="R342" s="16" t="n">
        <v>77</v>
      </c>
      <c r="S342" s="34" t="n">
        <f aca="false">(R342*70)/100</f>
        <v>53.9</v>
      </c>
      <c r="T342" s="34" t="n">
        <f aca="false">ROUNDUP(S342,0)</f>
        <v>54</v>
      </c>
      <c r="U342" s="16" t="n">
        <v>25</v>
      </c>
      <c r="V342" s="34" t="n">
        <f aca="false">U342+S342</f>
        <v>78.9</v>
      </c>
      <c r="W342" s="34" t="n">
        <f aca="false">U342+T342</f>
        <v>79</v>
      </c>
      <c r="X342" s="16" t="n">
        <v>64</v>
      </c>
      <c r="Y342" s="34" t="n">
        <f aca="false">(X342*70)/100</f>
        <v>44.8</v>
      </c>
      <c r="Z342" s="34" t="n">
        <f aca="false">ROUNDUP(Y342,0)</f>
        <v>45</v>
      </c>
      <c r="AA342" s="16" t="n">
        <v>27</v>
      </c>
      <c r="AB342" s="34" t="n">
        <f aca="false">AA342+Y342</f>
        <v>71.8</v>
      </c>
      <c r="AC342" s="34" t="n">
        <f aca="false">AA342+Z342</f>
        <v>72</v>
      </c>
      <c r="AD342" s="32" t="n">
        <f aca="false">X342+R342+Q342+K342+J342</f>
        <v>378</v>
      </c>
      <c r="AE342" s="16" t="n">
        <f aca="false">AD342/5</f>
        <v>75.6</v>
      </c>
      <c r="AF342" s="16" t="n">
        <v>65</v>
      </c>
      <c r="AG342" s="16" t="n">
        <v>77</v>
      </c>
      <c r="AH342" s="16" t="n">
        <v>83</v>
      </c>
      <c r="AI342" s="16" t="n">
        <v>89</v>
      </c>
      <c r="AJ342" s="16" t="n">
        <f aca="false">(AI342*70)/100</f>
        <v>62.3</v>
      </c>
      <c r="AK342" s="35" t="n">
        <f aca="false">ROUNDUP(AJ342,0)</f>
        <v>63</v>
      </c>
      <c r="AL342" s="16" t="n">
        <v>25</v>
      </c>
      <c r="AM342" s="16" t="n">
        <f aca="false">AL342+AJ342</f>
        <v>87.3</v>
      </c>
      <c r="AN342" s="16" t="n">
        <f aca="false">AL342+AK342</f>
        <v>88</v>
      </c>
      <c r="AO342" s="16" t="n">
        <v>68</v>
      </c>
      <c r="AP342" s="36" t="n">
        <f aca="false">(AO342*70)/100</f>
        <v>47.6</v>
      </c>
      <c r="AQ342" s="37" t="n">
        <f aca="false">ROUNDUP(AP342,0)</f>
        <v>48</v>
      </c>
      <c r="AR342" s="16" t="n">
        <v>29</v>
      </c>
      <c r="AS342" s="16" t="n">
        <f aca="false">AR342+AP342</f>
        <v>76.6</v>
      </c>
      <c r="AT342" s="16" t="n">
        <f aca="false">AR342+AQ342</f>
        <v>77</v>
      </c>
      <c r="AU342" s="16" t="n">
        <f aca="false">AO342+AF342+AI342+AH342+AG342</f>
        <v>382</v>
      </c>
      <c r="AV342" s="16" t="n">
        <f aca="false">(AO342+AF342+AI342+AH342+AG342)/5</f>
        <v>76.4</v>
      </c>
      <c r="AW342" s="36" t="n">
        <f aca="false">(AO342+AF342+AI342+AH342+AG342+X342+R342+Q342+K342+J342)</f>
        <v>760</v>
      </c>
      <c r="AX342" s="16" t="n">
        <f aca="false">AW342/10</f>
        <v>76</v>
      </c>
      <c r="AY342" s="16" t="n">
        <f aca="false">AS342+AF342+AM342+AH342+AG342+AB342+V342+Q342+O342+J342</f>
        <v>780.6</v>
      </c>
      <c r="AZ342" s="16" t="n">
        <f aca="false">AT342+AF342+AN342+AH342+AG342+AC342+W342+Q342+P342+J342</f>
        <v>782</v>
      </c>
      <c r="BA342" s="16" t="n">
        <f aca="false">AY342/10</f>
        <v>78.06</v>
      </c>
      <c r="BB342" s="16" t="n">
        <f aca="false">AZ342/10</f>
        <v>78.2</v>
      </c>
      <c r="BC342" s="16" t="n">
        <v>2351</v>
      </c>
      <c r="BD342" s="16" t="n">
        <f aca="false">RANK(AX342,$AX$2:$AX$881,0)</f>
        <v>616</v>
      </c>
      <c r="BE342" s="73" t="n">
        <f aca="false">((BC342*100)/2400)*0.4+(AX342*0.6)</f>
        <v>84.7833333333333</v>
      </c>
      <c r="BF342" s="16" t="n">
        <f aca="false">RANK(BE342,$BE$2:$BE$881,0)</f>
        <v>663</v>
      </c>
      <c r="BG342" s="39" t="n">
        <f aca="false">RANK(BB342,$BB$2:$BB$881,0)</f>
        <v>541</v>
      </c>
      <c r="BH342" s="39" t="n">
        <f aca="false">RANK(BC342,$BC$2:$BC$881,0)</f>
        <v>520</v>
      </c>
      <c r="BI342" s="22" t="s">
        <v>130</v>
      </c>
      <c r="BJ342" s="22" t="s">
        <v>129</v>
      </c>
      <c r="BK342" s="22" t="s">
        <v>509</v>
      </c>
      <c r="BL342" s="41" t="n">
        <v>18</v>
      </c>
      <c r="BM342" s="41" t="n">
        <v>54</v>
      </c>
      <c r="BN342" s="41" t="n">
        <v>72</v>
      </c>
      <c r="BO342" s="42" t="n">
        <v>24</v>
      </c>
      <c r="BP342" s="43" t="n">
        <v>55</v>
      </c>
      <c r="BQ342" s="44" t="n">
        <v>79</v>
      </c>
      <c r="BR342" s="42" t="n">
        <v>25</v>
      </c>
      <c r="BS342" s="45" t="n">
        <v>51</v>
      </c>
      <c r="BT342" s="45" t="n">
        <v>76</v>
      </c>
      <c r="BU342" s="46" t="n">
        <v>100</v>
      </c>
      <c r="BV342" s="47" t="n">
        <v>82</v>
      </c>
      <c r="BW342" s="42" t="n">
        <v>99</v>
      </c>
      <c r="BX342" s="48" t="n">
        <v>100</v>
      </c>
      <c r="BY342" s="32" t="n">
        <v>28</v>
      </c>
      <c r="BZ342" s="32" t="n">
        <v>34</v>
      </c>
      <c r="CA342" s="32" t="n">
        <v>62</v>
      </c>
      <c r="CB342" s="32" t="n">
        <v>24</v>
      </c>
      <c r="CC342" s="32" t="n">
        <v>40</v>
      </c>
      <c r="CD342" s="32" t="n">
        <v>64</v>
      </c>
      <c r="CE342" s="32" t="n">
        <v>27</v>
      </c>
      <c r="CF342" s="32" t="n">
        <v>49</v>
      </c>
      <c r="CG342" s="32" t="n">
        <v>76</v>
      </c>
      <c r="CH342" s="32" t="n">
        <v>99</v>
      </c>
      <c r="CI342" s="32" t="n">
        <v>100</v>
      </c>
      <c r="CJ342" s="49" t="n">
        <v>18</v>
      </c>
      <c r="CK342" s="49" t="n">
        <v>50</v>
      </c>
      <c r="CL342" s="49" t="n">
        <v>68</v>
      </c>
      <c r="CM342" s="49" t="n">
        <v>18</v>
      </c>
      <c r="CN342" s="49" t="n">
        <v>53</v>
      </c>
      <c r="CO342" s="49" t="n">
        <v>71</v>
      </c>
      <c r="CP342" s="25" t="n">
        <f aca="false">BX342+BW342+BV342+BU342+BT342+BQ342+BN342</f>
        <v>608</v>
      </c>
      <c r="CQ342" s="25" t="n">
        <f aca="false">CO342+CL342+CI342+CH342+CG342+CD342+CA342</f>
        <v>540</v>
      </c>
      <c r="CR342" s="26" t="n">
        <f aca="false">CP342/7</f>
        <v>86.8571428571429</v>
      </c>
      <c r="CS342" s="26" t="n">
        <f aca="false">CQ342/7</f>
        <v>77.1428571428571</v>
      </c>
      <c r="CT342" s="24" t="n">
        <f aca="false">RANK(CR342,$CR$2:$CR$881,0)</f>
        <v>359</v>
      </c>
      <c r="CU342" s="25" t="n">
        <f aca="false">RANK(CS342,$CS$2:$CS$881,0)</f>
        <v>359</v>
      </c>
      <c r="CV342" s="26" t="n">
        <f aca="false">(CS342+CR342)/2</f>
        <v>82</v>
      </c>
      <c r="CW342" s="25" t="n">
        <f aca="false">RANK(CV342,$CV$2:$CV$881,0)</f>
        <v>340</v>
      </c>
      <c r="CX342" s="50" t="n">
        <f aca="false">(CV342+BB342)/2</f>
        <v>80.1</v>
      </c>
      <c r="CY342" s="50" t="n">
        <v>370</v>
      </c>
      <c r="CZ342" s="27" t="s">
        <v>132</v>
      </c>
      <c r="DA342" s="27" t="s">
        <v>162</v>
      </c>
      <c r="DB342" s="27" t="s">
        <v>162</v>
      </c>
      <c r="DC342" s="27" t="s">
        <v>134</v>
      </c>
      <c r="DD342" s="27" t="s">
        <v>137</v>
      </c>
      <c r="DE342" s="27" t="s">
        <v>161</v>
      </c>
      <c r="DF342" s="27" t="s">
        <v>178</v>
      </c>
      <c r="DG342" s="27" t="s">
        <v>134</v>
      </c>
      <c r="DH342" s="27" t="s">
        <v>160</v>
      </c>
      <c r="DI342" s="27" t="s">
        <v>399</v>
      </c>
      <c r="DJ342" s="27" t="s">
        <v>443</v>
      </c>
      <c r="DK342" s="27" t="s">
        <v>134</v>
      </c>
      <c r="DL342" s="27" t="s">
        <v>154</v>
      </c>
      <c r="DM342" s="27" t="s">
        <v>415</v>
      </c>
      <c r="DN342" s="27" t="s">
        <v>155</v>
      </c>
      <c r="DO342" s="27" t="s">
        <v>134</v>
      </c>
      <c r="DP342" s="27" t="s">
        <v>195</v>
      </c>
      <c r="DQ342" s="27" t="s">
        <v>638</v>
      </c>
      <c r="DR342" s="27" t="s">
        <v>187</v>
      </c>
      <c r="DS342" s="27" t="s">
        <v>134</v>
      </c>
      <c r="DT342" s="27" t="s">
        <v>140</v>
      </c>
      <c r="DU342" s="27" t="s">
        <v>442</v>
      </c>
      <c r="DV342" s="27" t="s">
        <v>305</v>
      </c>
      <c r="DW342" s="27" t="s">
        <v>135</v>
      </c>
      <c r="DX342" s="27" t="s">
        <v>138</v>
      </c>
      <c r="DY342" s="27" t="s">
        <v>156</v>
      </c>
      <c r="DZ342" s="27" t="n">
        <f aca="false">DY342+DV342+DR342+DN342+DJ342+DF342+DB342</f>
        <v>560</v>
      </c>
      <c r="EA342" s="28" t="n">
        <f aca="false">DZ342/7</f>
        <v>80</v>
      </c>
      <c r="EB342" s="27" t="n">
        <f aca="false">RANK(EA342,$EA$2:$EA$881,0)</f>
        <v>393</v>
      </c>
      <c r="EC342" s="29" t="n">
        <f aca="false">DZ342+CQ342+CP342+AZ342</f>
        <v>2490</v>
      </c>
      <c r="ED342" s="30" t="n">
        <f aca="false">(EA342+CV342+BB342)/3</f>
        <v>80.0666666666667</v>
      </c>
      <c r="EE342" s="51" t="n">
        <f aca="false">ROUND(BE342,3)</f>
        <v>84.783</v>
      </c>
      <c r="EF342" s="51" t="n">
        <f aca="false">ROUND(CR342,3)</f>
        <v>86.857</v>
      </c>
      <c r="EG342" s="51" t="n">
        <f aca="false">ROUND(CS342,3)</f>
        <v>77.143</v>
      </c>
      <c r="EH342" s="51" t="n">
        <f aca="false">ROUND(EA342,3)</f>
        <v>80</v>
      </c>
      <c r="EI342" s="51" t="n">
        <f aca="false">ROUND(ED342,3)</f>
        <v>80.067</v>
      </c>
      <c r="EJ342" s="51" t="n">
        <f aca="false">ROUND(CV342,3)</f>
        <v>82</v>
      </c>
      <c r="EK342" s="0" t="n">
        <f aca="false">RANK(EI342,$EI$2:$EI$881,0)</f>
        <v>341</v>
      </c>
    </row>
    <row r="343" customFormat="false" ht="15" hidden="false" customHeight="false" outlineLevel="0" collapsed="false">
      <c r="A343" s="4" t="n">
        <v>8665</v>
      </c>
      <c r="B343" s="4" t="n">
        <v>439</v>
      </c>
      <c r="C343" s="27" t="s">
        <v>1136</v>
      </c>
      <c r="D343" s="31" t="n">
        <v>445</v>
      </c>
      <c r="E343" s="16" t="n">
        <v>230613484</v>
      </c>
      <c r="F343" s="56" t="s">
        <v>1137</v>
      </c>
      <c r="G343" s="22" t="s">
        <v>1138</v>
      </c>
      <c r="H343" s="22" t="s">
        <v>558</v>
      </c>
      <c r="I343" s="57"/>
      <c r="J343" s="16" t="n">
        <v>73</v>
      </c>
      <c r="K343" s="16" t="n">
        <v>68</v>
      </c>
      <c r="L343" s="34" t="n">
        <f aca="false">(K343*70)/100</f>
        <v>47.6</v>
      </c>
      <c r="M343" s="34" t="n">
        <f aca="false">ROUNDUP(L343,0)</f>
        <v>48</v>
      </c>
      <c r="N343" s="16" t="n">
        <v>23</v>
      </c>
      <c r="O343" s="34" t="n">
        <f aca="false">N343+L343</f>
        <v>70.6</v>
      </c>
      <c r="P343" s="34" t="n">
        <f aca="false">N343+M343</f>
        <v>71</v>
      </c>
      <c r="Q343" s="16" t="n">
        <v>78</v>
      </c>
      <c r="R343" s="16" t="n">
        <v>72</v>
      </c>
      <c r="S343" s="34" t="n">
        <f aca="false">(R343*70)/100</f>
        <v>50.4</v>
      </c>
      <c r="T343" s="34" t="n">
        <f aca="false">ROUNDUP(S343,0)</f>
        <v>51</v>
      </c>
      <c r="U343" s="16" t="n">
        <v>29</v>
      </c>
      <c r="V343" s="34" t="n">
        <f aca="false">U343+S343</f>
        <v>79.4</v>
      </c>
      <c r="W343" s="34" t="n">
        <f aca="false">U343+T343</f>
        <v>80</v>
      </c>
      <c r="X343" s="16" t="n">
        <v>75</v>
      </c>
      <c r="Y343" s="34" t="n">
        <f aca="false">(X343*70)/100</f>
        <v>52.5</v>
      </c>
      <c r="Z343" s="34" t="n">
        <f aca="false">ROUNDUP(Y343,0)</f>
        <v>53</v>
      </c>
      <c r="AA343" s="16" t="n">
        <v>25</v>
      </c>
      <c r="AB343" s="34" t="n">
        <f aca="false">AA343+Y343</f>
        <v>77.5</v>
      </c>
      <c r="AC343" s="34" t="n">
        <f aca="false">AA343+Z343</f>
        <v>78</v>
      </c>
      <c r="AD343" s="32" t="n">
        <f aca="false">X343+R343+Q343+K343+J343</f>
        <v>366</v>
      </c>
      <c r="AE343" s="16" t="n">
        <f aca="false">AD343/5</f>
        <v>73.2</v>
      </c>
      <c r="AF343" s="71" t="n">
        <v>59</v>
      </c>
      <c r="AG343" s="16" t="n">
        <v>84</v>
      </c>
      <c r="AH343" s="16" t="n">
        <v>95</v>
      </c>
      <c r="AI343" s="16" t="n">
        <v>96</v>
      </c>
      <c r="AJ343" s="16" t="n">
        <f aca="false">(AI343*70)/100</f>
        <v>67.2</v>
      </c>
      <c r="AK343" s="35" t="n">
        <f aca="false">ROUNDUP(AJ343,0)</f>
        <v>68</v>
      </c>
      <c r="AL343" s="16" t="n">
        <v>29</v>
      </c>
      <c r="AM343" s="16" t="n">
        <f aca="false">AL343+AJ343</f>
        <v>96.2</v>
      </c>
      <c r="AN343" s="16" t="n">
        <f aca="false">AL343+AK343</f>
        <v>97</v>
      </c>
      <c r="AO343" s="16" t="n">
        <v>87</v>
      </c>
      <c r="AP343" s="36" t="n">
        <f aca="false">(AO343*70)/100</f>
        <v>60.9</v>
      </c>
      <c r="AQ343" s="37" t="n">
        <f aca="false">ROUNDUP(AP343,0)</f>
        <v>61</v>
      </c>
      <c r="AR343" s="16" t="n">
        <v>30</v>
      </c>
      <c r="AS343" s="16" t="n">
        <f aca="false">AR343+AP343</f>
        <v>90.9</v>
      </c>
      <c r="AT343" s="16" t="n">
        <f aca="false">AR343+AQ343</f>
        <v>91</v>
      </c>
      <c r="AU343" s="16" t="n">
        <f aca="false">AO343+AF343+AI343+AH343+AG343</f>
        <v>421</v>
      </c>
      <c r="AV343" s="16" t="n">
        <f aca="false">(AO343+AF343+AI343+AH343+AG343)/5</f>
        <v>84.2</v>
      </c>
      <c r="AW343" s="36" t="n">
        <f aca="false">(AO343+AF343+AI343+AH343+AG343+X343+R343+Q343+K343+J343)</f>
        <v>787</v>
      </c>
      <c r="AX343" s="16" t="n">
        <f aca="false">AW343/10</f>
        <v>78.7</v>
      </c>
      <c r="AY343" s="16" t="n">
        <f aca="false">AS343+AF343+AM343+AH343+AG343+AB343+V343+Q343+O343+J343</f>
        <v>803.6</v>
      </c>
      <c r="AZ343" s="16" t="n">
        <f aca="false">AT343+AF343+AN343+AH343+AG343+AC343+W343+Q343+P343+J343</f>
        <v>806</v>
      </c>
      <c r="BA343" s="16" t="n">
        <f aca="false">AY343/10</f>
        <v>80.36</v>
      </c>
      <c r="BB343" s="16" t="n">
        <f aca="false">AZ343/10</f>
        <v>80.6</v>
      </c>
      <c r="BC343" s="16" t="n">
        <v>2341</v>
      </c>
      <c r="BD343" s="16" t="n">
        <f aca="false">RANK(AX343,$AX$2:$AX$881,0)</f>
        <v>358</v>
      </c>
      <c r="BE343" s="54" t="n">
        <f aca="false">((BC343*100)/2400)*0.4+(AX343*0.6)</f>
        <v>86.2366666666667</v>
      </c>
      <c r="BF343" s="16" t="n">
        <f aca="false">RANK(BE343,$BE$2:$BE$881,0)</f>
        <v>396</v>
      </c>
      <c r="BG343" s="39" t="n">
        <f aca="false">RANK(BB343,$BB$2:$BB$881,0)</f>
        <v>309</v>
      </c>
      <c r="BH343" s="39" t="n">
        <f aca="false">RANK(BC343,$BC$2:$BC$881,0)</f>
        <v>628</v>
      </c>
      <c r="BI343" s="22" t="s">
        <v>130</v>
      </c>
      <c r="BJ343" s="22" t="s">
        <v>129</v>
      </c>
      <c r="BK343" s="40" t="s">
        <v>131</v>
      </c>
      <c r="BL343" s="41" t="n">
        <v>19</v>
      </c>
      <c r="BM343" s="41" t="n">
        <v>63</v>
      </c>
      <c r="BN343" s="41" t="n">
        <v>82</v>
      </c>
      <c r="BO343" s="42" t="n">
        <v>28</v>
      </c>
      <c r="BP343" s="43" t="n">
        <v>65</v>
      </c>
      <c r="BQ343" s="44" t="n">
        <v>93</v>
      </c>
      <c r="BR343" s="42" t="n">
        <v>25</v>
      </c>
      <c r="BS343" s="45" t="n">
        <v>63</v>
      </c>
      <c r="BT343" s="45" t="n">
        <v>88</v>
      </c>
      <c r="BU343" s="46" t="n">
        <v>99</v>
      </c>
      <c r="BV343" s="47" t="n">
        <v>96</v>
      </c>
      <c r="BW343" s="42" t="n">
        <v>100</v>
      </c>
      <c r="BX343" s="65" t="n">
        <v>92</v>
      </c>
      <c r="BY343" s="65" t="n">
        <v>29</v>
      </c>
      <c r="BZ343" s="58" t="n">
        <v>55</v>
      </c>
      <c r="CA343" s="58" t="n">
        <v>84</v>
      </c>
      <c r="CB343" s="59" t="n">
        <v>26</v>
      </c>
      <c r="CC343" s="58" t="n">
        <v>62</v>
      </c>
      <c r="CD343" s="58" t="n">
        <v>88</v>
      </c>
      <c r="CE343" s="58" t="n">
        <v>19</v>
      </c>
      <c r="CF343" s="58" t="n">
        <v>49</v>
      </c>
      <c r="CG343" s="58" t="n">
        <v>68</v>
      </c>
      <c r="CH343" s="58" t="n">
        <v>89</v>
      </c>
      <c r="CI343" s="58" t="n">
        <v>91</v>
      </c>
      <c r="CJ343" s="58" t="n">
        <v>27</v>
      </c>
      <c r="CK343" s="58" t="n">
        <v>65</v>
      </c>
      <c r="CL343" s="59" t="n">
        <v>92</v>
      </c>
      <c r="CM343" s="60"/>
      <c r="CN343" s="60"/>
      <c r="CO343" s="60"/>
      <c r="CP343" s="25" t="n">
        <f aca="false">BX343+BW343+BV343+BU343+BT343+BQ343+BN343</f>
        <v>650</v>
      </c>
      <c r="CQ343" s="25" t="n">
        <f aca="false">CO343+CL343+CI343+CH343+CG343+CD343+CA343</f>
        <v>512</v>
      </c>
      <c r="CR343" s="26" t="n">
        <f aca="false">CP343/7</f>
        <v>92.8571428571429</v>
      </c>
      <c r="CS343" s="26" t="n">
        <f aca="false">CQ343/7</f>
        <v>73.1428571428571</v>
      </c>
      <c r="CT343" s="24" t="n">
        <f aca="false">RANK(CR343,$CR$2:$CR$881,0)</f>
        <v>52</v>
      </c>
      <c r="CU343" s="25" t="n">
        <f aca="false">RANK(CS343,$CS$2:$CS$881,0)</f>
        <v>480</v>
      </c>
      <c r="CV343" s="26" t="n">
        <f aca="false">(CS343+CR343)/2</f>
        <v>83</v>
      </c>
      <c r="CW343" s="25" t="n">
        <f aca="false">RANK(CV343,$CV$2:$CV$881,0)</f>
        <v>297</v>
      </c>
      <c r="CX343" s="50" t="n">
        <f aca="false">(CV343+BB343)/2</f>
        <v>81.8</v>
      </c>
      <c r="CY343" s="50" t="n">
        <v>642</v>
      </c>
      <c r="CZ343" s="27" t="s">
        <v>132</v>
      </c>
      <c r="DA343" s="27" t="s">
        <v>202</v>
      </c>
      <c r="DB343" s="27" t="s">
        <v>202</v>
      </c>
      <c r="DC343" s="27" t="s">
        <v>134</v>
      </c>
      <c r="DD343" s="27" t="s">
        <v>154</v>
      </c>
      <c r="DE343" s="27" t="s">
        <v>204</v>
      </c>
      <c r="DF343" s="27" t="s">
        <v>205</v>
      </c>
      <c r="DG343" s="27" t="s">
        <v>134</v>
      </c>
      <c r="DH343" s="27" t="s">
        <v>135</v>
      </c>
      <c r="DI343" s="27" t="s">
        <v>204</v>
      </c>
      <c r="DJ343" s="27" t="s">
        <v>209</v>
      </c>
      <c r="DK343" s="27" t="s">
        <v>134</v>
      </c>
      <c r="DL343" s="27" t="s">
        <v>154</v>
      </c>
      <c r="DM343" s="27" t="s">
        <v>161</v>
      </c>
      <c r="DN343" s="27" t="s">
        <v>209</v>
      </c>
      <c r="DO343" s="27" t="s">
        <v>134</v>
      </c>
      <c r="DP343" s="27" t="s">
        <v>135</v>
      </c>
      <c r="DQ343" s="27" t="s">
        <v>136</v>
      </c>
      <c r="DR343" s="27" t="s">
        <v>133</v>
      </c>
      <c r="DS343" s="27" t="s">
        <v>134</v>
      </c>
      <c r="DT343" s="27" t="s">
        <v>182</v>
      </c>
      <c r="DU343" s="27" t="s">
        <v>619</v>
      </c>
      <c r="DV343" s="27" t="s">
        <v>182</v>
      </c>
      <c r="DW343" s="27" t="s">
        <v>195</v>
      </c>
      <c r="DX343" s="27" t="s">
        <v>141</v>
      </c>
      <c r="DY343" s="27" t="s">
        <v>133</v>
      </c>
      <c r="DZ343" s="27" t="n">
        <f aca="false">DY343+DV343+DR343+DN343+DJ343+DF343+DB343</f>
        <v>536</v>
      </c>
      <c r="EA343" s="28" t="n">
        <f aca="false">DZ343/7</f>
        <v>76.5714285714286</v>
      </c>
      <c r="EB343" s="27" t="n">
        <f aca="false">RANK(EA343,$EA$2:$EA$881,0)</f>
        <v>501</v>
      </c>
      <c r="EC343" s="29" t="n">
        <f aca="false">DZ343+CQ343+CP343+AZ343</f>
        <v>2504</v>
      </c>
      <c r="ED343" s="30" t="n">
        <f aca="false">(EA343+CV343+BB343)/3</f>
        <v>80.0571428571429</v>
      </c>
      <c r="EE343" s="51" t="n">
        <f aca="false">ROUND(BE343,3)</f>
        <v>86.237</v>
      </c>
      <c r="EF343" s="51" t="n">
        <f aca="false">ROUND(CR343,3)</f>
        <v>92.857</v>
      </c>
      <c r="EG343" s="51" t="n">
        <f aca="false">ROUND(CS343,3)</f>
        <v>73.143</v>
      </c>
      <c r="EH343" s="51" t="n">
        <f aca="false">ROUND(EA343,3)</f>
        <v>76.571</v>
      </c>
      <c r="EI343" s="51" t="n">
        <f aca="false">ROUND(ED343,3)</f>
        <v>80.057</v>
      </c>
      <c r="EJ343" s="51" t="n">
        <f aca="false">ROUND(CV343,3)</f>
        <v>83</v>
      </c>
      <c r="EK343" s="0" t="n">
        <f aca="false">RANK(EI343,$EI$2:$EI$881,0)</f>
        <v>342</v>
      </c>
    </row>
    <row r="344" customFormat="false" ht="15" hidden="false" customHeight="false" outlineLevel="0" collapsed="false">
      <c r="A344" s="4" t="n">
        <v>2038</v>
      </c>
      <c r="B344" s="4" t="n">
        <v>178</v>
      </c>
      <c r="C344" s="27" t="s">
        <v>1139</v>
      </c>
      <c r="D344" s="31" t="n">
        <v>179</v>
      </c>
      <c r="E344" s="32" t="n">
        <v>230320498</v>
      </c>
      <c r="F344" s="8" t="s">
        <v>1140</v>
      </c>
      <c r="G344" s="22" t="s">
        <v>345</v>
      </c>
      <c r="H344" s="22" t="s">
        <v>129</v>
      </c>
      <c r="I344" s="33" t="n">
        <v>2005</v>
      </c>
      <c r="J344" s="32" t="n">
        <v>75</v>
      </c>
      <c r="K344" s="32" t="n">
        <v>85</v>
      </c>
      <c r="L344" s="34" t="n">
        <f aca="false">(K344*70)/100</f>
        <v>59.5</v>
      </c>
      <c r="M344" s="34" t="n">
        <f aca="false">ROUNDUP(L344,0)</f>
        <v>60</v>
      </c>
      <c r="N344" s="32" t="n">
        <v>22</v>
      </c>
      <c r="O344" s="34" t="n">
        <f aca="false">N344+L344</f>
        <v>81.5</v>
      </c>
      <c r="P344" s="34" t="n">
        <f aca="false">N344+M344</f>
        <v>82</v>
      </c>
      <c r="Q344" s="32" t="n">
        <v>74</v>
      </c>
      <c r="R344" s="32" t="n">
        <v>74</v>
      </c>
      <c r="S344" s="34" t="n">
        <f aca="false">(R344*70)/100</f>
        <v>51.8</v>
      </c>
      <c r="T344" s="34" t="n">
        <f aca="false">ROUNDUP(S344,0)</f>
        <v>52</v>
      </c>
      <c r="U344" s="32" t="n">
        <v>23</v>
      </c>
      <c r="V344" s="34" t="n">
        <f aca="false">U344+S344</f>
        <v>74.8</v>
      </c>
      <c r="W344" s="34" t="n">
        <f aca="false">U344+T344</f>
        <v>75</v>
      </c>
      <c r="X344" s="32" t="n">
        <v>57</v>
      </c>
      <c r="Y344" s="34" t="n">
        <f aca="false">(X344*70)/100</f>
        <v>39.9</v>
      </c>
      <c r="Z344" s="34" t="n">
        <f aca="false">ROUNDUP(Y344,0)</f>
        <v>40</v>
      </c>
      <c r="AA344" s="32" t="n">
        <v>24</v>
      </c>
      <c r="AB344" s="34" t="n">
        <f aca="false">AA344+Y344</f>
        <v>63.9</v>
      </c>
      <c r="AC344" s="34" t="n">
        <f aca="false">AA344+Z344</f>
        <v>64</v>
      </c>
      <c r="AD344" s="32" t="n">
        <f aca="false">X344+R344+Q344+K344+J344</f>
        <v>365</v>
      </c>
      <c r="AE344" s="16" t="n">
        <f aca="false">AD344/5</f>
        <v>73</v>
      </c>
      <c r="AF344" s="16" t="n">
        <v>74</v>
      </c>
      <c r="AG344" s="16" t="n">
        <v>74</v>
      </c>
      <c r="AH344" s="16" t="n">
        <v>90</v>
      </c>
      <c r="AI344" s="16" t="n">
        <v>89</v>
      </c>
      <c r="AJ344" s="16" t="n">
        <f aca="false">(AI344*70)/100</f>
        <v>62.3</v>
      </c>
      <c r="AK344" s="35" t="n">
        <f aca="false">ROUNDUP(AJ344,0)</f>
        <v>63</v>
      </c>
      <c r="AL344" s="16" t="n">
        <v>23</v>
      </c>
      <c r="AM344" s="16" t="n">
        <f aca="false">AL344+AJ344</f>
        <v>85.3</v>
      </c>
      <c r="AN344" s="16" t="n">
        <f aca="false">AL344+AK344</f>
        <v>86</v>
      </c>
      <c r="AO344" s="16" t="n">
        <v>74</v>
      </c>
      <c r="AP344" s="36" t="n">
        <f aca="false">(AO344*70)/100</f>
        <v>51.8</v>
      </c>
      <c r="AQ344" s="37" t="n">
        <f aca="false">ROUNDUP(AP344,0)</f>
        <v>52</v>
      </c>
      <c r="AR344" s="16" t="n">
        <v>27</v>
      </c>
      <c r="AS344" s="16" t="n">
        <f aca="false">AR344+AP344</f>
        <v>78.8</v>
      </c>
      <c r="AT344" s="16" t="n">
        <f aca="false">AR344+AQ344</f>
        <v>79</v>
      </c>
      <c r="AU344" s="16" t="n">
        <f aca="false">AO344+AF344+AI344+AH344+AG344</f>
        <v>401</v>
      </c>
      <c r="AV344" s="16" t="n">
        <f aca="false">(AO344+AF344+AI344+AH344+AG344)/5</f>
        <v>80.2</v>
      </c>
      <c r="AW344" s="36" t="n">
        <f aca="false">(AO344+AF344+AI344+AH344+AG344+X344+R344+Q344+K344+J344)</f>
        <v>766</v>
      </c>
      <c r="AX344" s="16" t="n">
        <f aca="false">AW344/10</f>
        <v>76.6</v>
      </c>
      <c r="AY344" s="16" t="n">
        <f aca="false">AS344+AF344+AM344+AH344+AG344+AB344+V344+Q344+O344+J344</f>
        <v>771.3</v>
      </c>
      <c r="AZ344" s="16" t="n">
        <f aca="false">AT344+AF344+AN344+AH344+AG344+AC344+W344+Q344+P344+J344</f>
        <v>773</v>
      </c>
      <c r="BA344" s="16" t="n">
        <f aca="false">AY344/10</f>
        <v>77.13</v>
      </c>
      <c r="BB344" s="16" t="n">
        <f aca="false">AZ344/10</f>
        <v>77.3</v>
      </c>
      <c r="BC344" s="16" t="n">
        <v>2344</v>
      </c>
      <c r="BD344" s="16" t="n">
        <f aca="false">RANK(AX344,$AX$2:$AX$881,0)</f>
        <v>547</v>
      </c>
      <c r="BE344" s="54" t="n">
        <f aca="false">((BC344*100)/2400)*0.4+(AX344*0.6)</f>
        <v>85.0266666666667</v>
      </c>
      <c r="BF344" s="16" t="n">
        <f aca="false">RANK(BE344,$BE$2:$BE$881,0)</f>
        <v>611</v>
      </c>
      <c r="BG344" s="39" t="n">
        <f aca="false">RANK(BB344,$BB$2:$BB$881,0)</f>
        <v>620</v>
      </c>
      <c r="BH344" s="39" t="n">
        <f aca="false">RANK(BC344,$BC$2:$BC$881,0)</f>
        <v>598</v>
      </c>
      <c r="BI344" s="22" t="s">
        <v>130</v>
      </c>
      <c r="BJ344" s="22" t="s">
        <v>129</v>
      </c>
      <c r="BK344" s="22" t="s">
        <v>509</v>
      </c>
      <c r="BL344" s="41" t="n">
        <v>12</v>
      </c>
      <c r="BM344" s="41" t="n">
        <v>55</v>
      </c>
      <c r="BN344" s="41" t="n">
        <v>67</v>
      </c>
      <c r="BO344" s="42" t="n">
        <v>22</v>
      </c>
      <c r="BP344" s="43" t="n">
        <v>48</v>
      </c>
      <c r="BQ344" s="44" t="n">
        <v>70</v>
      </c>
      <c r="BR344" s="42" t="n">
        <v>18</v>
      </c>
      <c r="BS344" s="45" t="n">
        <v>56</v>
      </c>
      <c r="BT344" s="45" t="n">
        <v>74</v>
      </c>
      <c r="BU344" s="46" t="n">
        <v>100</v>
      </c>
      <c r="BV344" s="47" t="n">
        <v>94</v>
      </c>
      <c r="BW344" s="42" t="n">
        <v>95</v>
      </c>
      <c r="BX344" s="48" t="n">
        <v>98</v>
      </c>
      <c r="BY344" s="32" t="n">
        <v>26</v>
      </c>
      <c r="BZ344" s="32" t="n">
        <v>48</v>
      </c>
      <c r="CA344" s="32" t="n">
        <v>74</v>
      </c>
      <c r="CB344" s="32" t="n">
        <v>24</v>
      </c>
      <c r="CC344" s="32" t="n">
        <v>42</v>
      </c>
      <c r="CD344" s="32" t="n">
        <v>66</v>
      </c>
      <c r="CE344" s="32" t="n">
        <v>28</v>
      </c>
      <c r="CF344" s="32" t="n">
        <v>45</v>
      </c>
      <c r="CG344" s="32" t="n">
        <v>73</v>
      </c>
      <c r="CH344" s="32" t="n">
        <v>98</v>
      </c>
      <c r="CI344" s="32" t="n">
        <v>98</v>
      </c>
      <c r="CJ344" s="49" t="n">
        <v>25</v>
      </c>
      <c r="CK344" s="49" t="n">
        <v>47</v>
      </c>
      <c r="CL344" s="49" t="n">
        <v>72</v>
      </c>
      <c r="CM344" s="49" t="n">
        <v>23</v>
      </c>
      <c r="CN344" s="49" t="n">
        <v>48</v>
      </c>
      <c r="CO344" s="49" t="n">
        <v>71</v>
      </c>
      <c r="CP344" s="25" t="n">
        <f aca="false">BX344+BW344+BV344+BU344+BT344+BQ344+BN344</f>
        <v>598</v>
      </c>
      <c r="CQ344" s="25" t="n">
        <f aca="false">CO344+CL344+CI344+CH344+CG344+CD344+CA344</f>
        <v>552</v>
      </c>
      <c r="CR344" s="26" t="n">
        <f aca="false">CP344/7</f>
        <v>85.4285714285714</v>
      </c>
      <c r="CS344" s="26" t="n">
        <f aca="false">CQ344/7</f>
        <v>78.8571428571429</v>
      </c>
      <c r="CT344" s="24" t="n">
        <f aca="false">RANK(CR344,$CR$2:$CR$881,0)</f>
        <v>420</v>
      </c>
      <c r="CU344" s="25" t="n">
        <f aca="false">RANK(CS344,$CS$2:$CS$881,0)</f>
        <v>305</v>
      </c>
      <c r="CV344" s="26" t="n">
        <f aca="false">(CS344+CR344)/2</f>
        <v>82.1428571428571</v>
      </c>
      <c r="CW344" s="25" t="n">
        <f aca="false">RANK(CV344,$CV$2:$CV$881,0)</f>
        <v>333</v>
      </c>
      <c r="CX344" s="50" t="n">
        <f aca="false">(CV344+BB344)/2</f>
        <v>79.7214285714286</v>
      </c>
      <c r="CY344" s="50" t="n">
        <v>385</v>
      </c>
      <c r="CZ344" s="27" t="s">
        <v>132</v>
      </c>
      <c r="DA344" s="27" t="s">
        <v>169</v>
      </c>
      <c r="DB344" s="27" t="s">
        <v>169</v>
      </c>
      <c r="DC344" s="27" t="s">
        <v>134</v>
      </c>
      <c r="DD344" s="27" t="s">
        <v>154</v>
      </c>
      <c r="DE344" s="27" t="s">
        <v>204</v>
      </c>
      <c r="DF344" s="27" t="s">
        <v>205</v>
      </c>
      <c r="DG344" s="27" t="s">
        <v>134</v>
      </c>
      <c r="DH344" s="27" t="s">
        <v>174</v>
      </c>
      <c r="DI344" s="27" t="s">
        <v>447</v>
      </c>
      <c r="DJ344" s="27" t="s">
        <v>441</v>
      </c>
      <c r="DK344" s="27" t="s">
        <v>134</v>
      </c>
      <c r="DL344" s="27" t="s">
        <v>135</v>
      </c>
      <c r="DM344" s="27" t="s">
        <v>218</v>
      </c>
      <c r="DN344" s="27" t="s">
        <v>205</v>
      </c>
      <c r="DO344" s="27" t="s">
        <v>134</v>
      </c>
      <c r="DP344" s="27" t="s">
        <v>195</v>
      </c>
      <c r="DQ344" s="27" t="s">
        <v>218</v>
      </c>
      <c r="DR344" s="27" t="s">
        <v>305</v>
      </c>
      <c r="DS344" s="27" t="s">
        <v>134</v>
      </c>
      <c r="DT344" s="27" t="s">
        <v>164</v>
      </c>
      <c r="DU344" s="27" t="s">
        <v>681</v>
      </c>
      <c r="DV344" s="27" t="s">
        <v>486</v>
      </c>
      <c r="DW344" s="27" t="s">
        <v>182</v>
      </c>
      <c r="DX344" s="27" t="s">
        <v>143</v>
      </c>
      <c r="DY344" s="27" t="s">
        <v>176</v>
      </c>
      <c r="DZ344" s="27" t="n">
        <f aca="false">DY344+DV344+DR344+DN344+DJ344+DF344+DB344</f>
        <v>565</v>
      </c>
      <c r="EA344" s="28" t="n">
        <f aca="false">DZ344/7</f>
        <v>80.7142857142857</v>
      </c>
      <c r="EB344" s="27" t="n">
        <f aca="false">RANK(EA344,$EA$2:$EA$881,0)</f>
        <v>361</v>
      </c>
      <c r="EC344" s="29" t="n">
        <f aca="false">DZ344+CQ344+CP344+AZ344</f>
        <v>2488</v>
      </c>
      <c r="ED344" s="30" t="n">
        <f aca="false">(EA344+CV344+BB344)/3</f>
        <v>80.0523809523809</v>
      </c>
      <c r="EE344" s="51" t="n">
        <f aca="false">ROUND(BE344,3)</f>
        <v>85.027</v>
      </c>
      <c r="EF344" s="51" t="n">
        <f aca="false">ROUND(CR344,3)</f>
        <v>85.429</v>
      </c>
      <c r="EG344" s="51" t="n">
        <f aca="false">ROUND(CS344,3)</f>
        <v>78.857</v>
      </c>
      <c r="EH344" s="51" t="n">
        <f aca="false">ROUND(EA344,3)</f>
        <v>80.714</v>
      </c>
      <c r="EI344" s="51" t="n">
        <f aca="false">ROUND(ED344,3)</f>
        <v>80.052</v>
      </c>
      <c r="EJ344" s="51" t="n">
        <f aca="false">ROUND(CV344,3)</f>
        <v>82.143</v>
      </c>
      <c r="EK344" s="0" t="n">
        <f aca="false">RANK(EI344,$EI$2:$EI$881,0)</f>
        <v>343</v>
      </c>
    </row>
    <row r="345" customFormat="false" ht="15" hidden="false" customHeight="false" outlineLevel="0" collapsed="false">
      <c r="A345" s="4" t="n">
        <v>8867</v>
      </c>
      <c r="B345" s="4" t="n">
        <v>768</v>
      </c>
      <c r="C345" s="27" t="s">
        <v>1141</v>
      </c>
      <c r="D345" s="31" t="n">
        <v>786</v>
      </c>
      <c r="E345" s="16" t="n">
        <v>230237480</v>
      </c>
      <c r="F345" s="56" t="s">
        <v>1142</v>
      </c>
      <c r="G345" s="22" t="s">
        <v>1143</v>
      </c>
      <c r="H345" s="22" t="s">
        <v>326</v>
      </c>
      <c r="I345" s="57"/>
      <c r="J345" s="16" t="n">
        <v>66</v>
      </c>
      <c r="K345" s="16" t="n">
        <v>88</v>
      </c>
      <c r="L345" s="34" t="n">
        <f aca="false">(K345*70)/100</f>
        <v>61.6</v>
      </c>
      <c r="M345" s="34" t="n">
        <f aca="false">ROUNDUP(L345,0)</f>
        <v>62</v>
      </c>
      <c r="N345" s="16" t="n">
        <v>25</v>
      </c>
      <c r="O345" s="34" t="n">
        <f aca="false">N345+L345</f>
        <v>86.6</v>
      </c>
      <c r="P345" s="34" t="n">
        <f aca="false">N345+M345</f>
        <v>87</v>
      </c>
      <c r="Q345" s="16" t="n">
        <v>70</v>
      </c>
      <c r="R345" s="16" t="n">
        <v>79</v>
      </c>
      <c r="S345" s="34" t="n">
        <f aca="false">(R345*70)/100</f>
        <v>55.3</v>
      </c>
      <c r="T345" s="34" t="n">
        <f aca="false">ROUNDUP(S345,0)</f>
        <v>56</v>
      </c>
      <c r="U345" s="16" t="n">
        <v>26</v>
      </c>
      <c r="V345" s="34" t="n">
        <f aca="false">U345+S345</f>
        <v>81.3</v>
      </c>
      <c r="W345" s="34" t="n">
        <f aca="false">U345+T345</f>
        <v>82</v>
      </c>
      <c r="X345" s="16" t="n">
        <v>68</v>
      </c>
      <c r="Y345" s="34" t="n">
        <f aca="false">(X345*70)/100</f>
        <v>47.6</v>
      </c>
      <c r="Z345" s="34" t="n">
        <f aca="false">ROUNDUP(Y345,0)</f>
        <v>48</v>
      </c>
      <c r="AA345" s="16" t="n">
        <v>28</v>
      </c>
      <c r="AB345" s="34" t="n">
        <f aca="false">AA345+Y345</f>
        <v>75.6</v>
      </c>
      <c r="AC345" s="34" t="n">
        <f aca="false">AA345+Z345</f>
        <v>76</v>
      </c>
      <c r="AD345" s="32" t="n">
        <f aca="false">X345+R345+Q345+K345+J345</f>
        <v>371</v>
      </c>
      <c r="AE345" s="16" t="n">
        <f aca="false">AD345/5</f>
        <v>74.2</v>
      </c>
      <c r="AF345" s="16" t="n">
        <v>82</v>
      </c>
      <c r="AG345" s="16" t="n">
        <v>80</v>
      </c>
      <c r="AH345" s="16" t="n">
        <v>94</v>
      </c>
      <c r="AI345" s="16" t="n">
        <v>94</v>
      </c>
      <c r="AJ345" s="16" t="n">
        <f aca="false">(AI345*70)/100</f>
        <v>65.8</v>
      </c>
      <c r="AK345" s="35" t="n">
        <f aca="false">ROUNDUP(AJ345,0)</f>
        <v>66</v>
      </c>
      <c r="AL345" s="16" t="n">
        <v>28</v>
      </c>
      <c r="AM345" s="16" t="n">
        <f aca="false">AL345+AJ345</f>
        <v>93.8</v>
      </c>
      <c r="AN345" s="16" t="n">
        <f aca="false">AL345+AK345</f>
        <v>94</v>
      </c>
      <c r="AO345" s="16" t="n">
        <v>79</v>
      </c>
      <c r="AP345" s="36" t="n">
        <f aca="false">(AO345*70)/100</f>
        <v>55.3</v>
      </c>
      <c r="AQ345" s="37" t="n">
        <f aca="false">ROUNDUP(AP345,0)</f>
        <v>56</v>
      </c>
      <c r="AR345" s="16" t="n">
        <v>28</v>
      </c>
      <c r="AS345" s="16" t="n">
        <f aca="false">AR345+AP345</f>
        <v>83.3</v>
      </c>
      <c r="AT345" s="16" t="n">
        <f aca="false">AR345+AQ345</f>
        <v>84</v>
      </c>
      <c r="AU345" s="16" t="n">
        <f aca="false">AO345+AF345+AI345+AH345+AG345</f>
        <v>429</v>
      </c>
      <c r="AV345" s="16" t="n">
        <f aca="false">(AO345+AF345+AI345+AH345+AG345)/5</f>
        <v>85.8</v>
      </c>
      <c r="AW345" s="36" t="n">
        <f aca="false">(AO345+AF345+AI345+AH345+AG345+X345+R345+Q345+K345+J345)</f>
        <v>800</v>
      </c>
      <c r="AX345" s="16" t="n">
        <f aca="false">AW345/10</f>
        <v>80</v>
      </c>
      <c r="AY345" s="16" t="n">
        <f aca="false">AS345+AF345+AM345+AH345+AG345+AB345+V345+Q345+O345+J345</f>
        <v>812.6</v>
      </c>
      <c r="AZ345" s="16" t="n">
        <f aca="false">AT345+AF345+AN345+AH345+AG345+AC345+W345+Q345+P345+J345</f>
        <v>815</v>
      </c>
      <c r="BA345" s="16" t="n">
        <f aca="false">AY345/10</f>
        <v>81.26</v>
      </c>
      <c r="BB345" s="16" t="n">
        <f aca="false">AZ345/10</f>
        <v>81.5</v>
      </c>
      <c r="BC345" s="16" t="n">
        <v>2371</v>
      </c>
      <c r="BD345" s="16" t="n">
        <f aca="false">RANK(AX345,$AX$2:$AX$881,0)</f>
        <v>265</v>
      </c>
      <c r="BE345" s="54" t="n">
        <f aca="false">((BC345*100)/2400)*0.4+(AX345*0.6)</f>
        <v>87.5166666666667</v>
      </c>
      <c r="BF345" s="16" t="n">
        <f aca="false">RANK(BE345,$BE$2:$BE$881,0)</f>
        <v>245</v>
      </c>
      <c r="BG345" s="39" t="n">
        <f aca="false">RANK(BB345,$BB$2:$BB$881,0)</f>
        <v>246</v>
      </c>
      <c r="BH345" s="39" t="n">
        <f aca="false">RANK(BC345,$BC$2:$BC$881,0)</f>
        <v>257</v>
      </c>
      <c r="BI345" s="22" t="s">
        <v>130</v>
      </c>
      <c r="BJ345" s="22" t="s">
        <v>129</v>
      </c>
      <c r="BK345" s="40" t="s">
        <v>131</v>
      </c>
      <c r="BL345" s="41" t="n">
        <v>21</v>
      </c>
      <c r="BM345" s="41" t="n">
        <v>55</v>
      </c>
      <c r="BN345" s="41" t="n">
        <v>76</v>
      </c>
      <c r="BO345" s="42" t="n">
        <v>20</v>
      </c>
      <c r="BP345" s="43" t="n">
        <v>58</v>
      </c>
      <c r="BQ345" s="44" t="n">
        <v>78</v>
      </c>
      <c r="BR345" s="42" t="n">
        <v>22</v>
      </c>
      <c r="BS345" s="45" t="n">
        <v>54</v>
      </c>
      <c r="BT345" s="45" t="n">
        <v>76</v>
      </c>
      <c r="BU345" s="77" t="n">
        <v>99</v>
      </c>
      <c r="BV345" s="47" t="n">
        <v>86</v>
      </c>
      <c r="BW345" s="43" t="n">
        <v>96</v>
      </c>
      <c r="BX345" s="48" t="n">
        <v>90</v>
      </c>
      <c r="BY345" s="32" t="n">
        <v>24</v>
      </c>
      <c r="BZ345" s="32" t="n">
        <v>41</v>
      </c>
      <c r="CA345" s="32" t="n">
        <v>65</v>
      </c>
      <c r="CB345" s="32" t="n">
        <v>23</v>
      </c>
      <c r="CC345" s="32" t="n">
        <v>41</v>
      </c>
      <c r="CD345" s="32" t="n">
        <v>64</v>
      </c>
      <c r="CE345" s="32" t="n">
        <v>23</v>
      </c>
      <c r="CF345" s="32" t="n">
        <v>50</v>
      </c>
      <c r="CG345" s="32" t="n">
        <v>73</v>
      </c>
      <c r="CH345" s="32" t="n">
        <v>99</v>
      </c>
      <c r="CI345" s="32" t="n">
        <v>93</v>
      </c>
      <c r="CJ345" s="49" t="n">
        <v>13</v>
      </c>
      <c r="CK345" s="49" t="n">
        <v>46</v>
      </c>
      <c r="CL345" s="76" t="n">
        <v>59</v>
      </c>
      <c r="CM345" s="49" t="n">
        <v>21</v>
      </c>
      <c r="CN345" s="49" t="n">
        <v>49</v>
      </c>
      <c r="CO345" s="49" t="n">
        <v>70</v>
      </c>
      <c r="CP345" s="25" t="n">
        <f aca="false">BX345+BW345+BV345+BU345+BT345+BQ345+BN345</f>
        <v>601</v>
      </c>
      <c r="CQ345" s="25" t="n">
        <f aca="false">CO345+CL345+CI345+CH345+CG345+CD345+CA345</f>
        <v>523</v>
      </c>
      <c r="CR345" s="26" t="n">
        <f aca="false">CP345/7</f>
        <v>85.8571428571429</v>
      </c>
      <c r="CS345" s="26" t="n">
        <f aca="false">CQ345/7</f>
        <v>74.7142857142857</v>
      </c>
      <c r="CT345" s="24" t="n">
        <f aca="false">RANK(CR345,$CR$2:$CR$881,0)</f>
        <v>408</v>
      </c>
      <c r="CU345" s="25" t="n">
        <f aca="false">RANK(CS345,$CS$2:$CS$881,0)</f>
        <v>437</v>
      </c>
      <c r="CV345" s="26" t="n">
        <f aca="false">(CS345+CR345)/2</f>
        <v>80.2857142857143</v>
      </c>
      <c r="CW345" s="25" t="n">
        <f aca="false">RANK(CV345,$CV$2:$CV$881,0)</f>
        <v>415</v>
      </c>
      <c r="CX345" s="50" t="n">
        <f aca="false">(CV345+BB345)/2</f>
        <v>80.8928571428571</v>
      </c>
      <c r="CY345" s="50" t="n">
        <v>327</v>
      </c>
      <c r="CZ345" s="27" t="s">
        <v>132</v>
      </c>
      <c r="DA345" s="27" t="s">
        <v>175</v>
      </c>
      <c r="DB345" s="27" t="s">
        <v>175</v>
      </c>
      <c r="DC345" s="27" t="s">
        <v>134</v>
      </c>
      <c r="DD345" s="27" t="s">
        <v>135</v>
      </c>
      <c r="DE345" s="27" t="s">
        <v>447</v>
      </c>
      <c r="DF345" s="27" t="s">
        <v>305</v>
      </c>
      <c r="DG345" s="27" t="s">
        <v>134</v>
      </c>
      <c r="DH345" s="27" t="s">
        <v>182</v>
      </c>
      <c r="DI345" s="27" t="s">
        <v>177</v>
      </c>
      <c r="DJ345" s="27" t="s">
        <v>209</v>
      </c>
      <c r="DK345" s="27" t="s">
        <v>134</v>
      </c>
      <c r="DL345" s="27" t="s">
        <v>182</v>
      </c>
      <c r="DM345" s="27" t="s">
        <v>447</v>
      </c>
      <c r="DN345" s="27" t="s">
        <v>382</v>
      </c>
      <c r="DO345" s="27" t="s">
        <v>134</v>
      </c>
      <c r="DP345" s="27" t="s">
        <v>1000</v>
      </c>
      <c r="DQ345" s="27" t="s">
        <v>638</v>
      </c>
      <c r="DR345" s="27" t="s">
        <v>204</v>
      </c>
      <c r="DS345" s="27" t="s">
        <v>480</v>
      </c>
      <c r="DT345" s="27" t="s">
        <v>174</v>
      </c>
      <c r="DU345" s="27" t="s">
        <v>412</v>
      </c>
      <c r="DV345" s="27" t="s">
        <v>486</v>
      </c>
      <c r="DW345" s="27" t="s">
        <v>135</v>
      </c>
      <c r="DX345" s="27" t="s">
        <v>141</v>
      </c>
      <c r="DY345" s="27" t="s">
        <v>176</v>
      </c>
      <c r="DZ345" s="27" t="n">
        <f aca="false">DY345+DV345+DR345+DN345+DJ345+DF345+DB345</f>
        <v>548</v>
      </c>
      <c r="EA345" s="28" t="n">
        <f aca="false">DZ345/7</f>
        <v>78.2857142857143</v>
      </c>
      <c r="EB345" s="27" t="n">
        <f aca="false">RANK(EA345,$EA$2:$EA$881,0)</f>
        <v>449</v>
      </c>
      <c r="EC345" s="29" t="n">
        <f aca="false">DZ345+CQ345+CP345+AZ345</f>
        <v>2487</v>
      </c>
      <c r="ED345" s="30" t="n">
        <f aca="false">(EA345+CV345+BB345)/3</f>
        <v>80.0238095238095</v>
      </c>
      <c r="EE345" s="51" t="n">
        <f aca="false">ROUND(BE345,3)</f>
        <v>87.517</v>
      </c>
      <c r="EF345" s="51" t="n">
        <f aca="false">ROUND(CR345,3)</f>
        <v>85.857</v>
      </c>
      <c r="EG345" s="51" t="n">
        <f aca="false">ROUND(CS345,3)</f>
        <v>74.714</v>
      </c>
      <c r="EH345" s="51" t="n">
        <f aca="false">ROUND(EA345,3)</f>
        <v>78.286</v>
      </c>
      <c r="EI345" s="51" t="n">
        <f aca="false">ROUND(ED345,3)</f>
        <v>80.024</v>
      </c>
      <c r="EJ345" s="51" t="n">
        <f aca="false">ROUND(CV345,3)</f>
        <v>80.286</v>
      </c>
      <c r="EK345" s="0" t="n">
        <f aca="false">RANK(EI345,$EI$2:$EI$881,0)</f>
        <v>344</v>
      </c>
    </row>
    <row r="346" customFormat="false" ht="15" hidden="false" customHeight="false" outlineLevel="0" collapsed="false">
      <c r="A346" s="4" t="n">
        <v>1957</v>
      </c>
      <c r="B346" s="4" t="n">
        <v>501</v>
      </c>
      <c r="C346" s="27" t="s">
        <v>1144</v>
      </c>
      <c r="D346" s="31" t="n">
        <v>508</v>
      </c>
      <c r="E346" s="32" t="n">
        <v>230419424</v>
      </c>
      <c r="F346" s="8" t="s">
        <v>1145</v>
      </c>
      <c r="G346" s="66" t="s">
        <v>484</v>
      </c>
      <c r="H346" s="66" t="s">
        <v>129</v>
      </c>
      <c r="I346" s="67" t="s">
        <v>408</v>
      </c>
      <c r="J346" s="32" t="n">
        <v>73</v>
      </c>
      <c r="K346" s="32" t="n">
        <v>82</v>
      </c>
      <c r="L346" s="34" t="n">
        <f aca="false">(K346*70)/100</f>
        <v>57.4</v>
      </c>
      <c r="M346" s="34" t="n">
        <f aca="false">ROUNDUP(L346,0)</f>
        <v>58</v>
      </c>
      <c r="N346" s="32" t="n">
        <v>23</v>
      </c>
      <c r="O346" s="34" t="n">
        <f aca="false">N346+L346</f>
        <v>80.4</v>
      </c>
      <c r="P346" s="34" t="n">
        <f aca="false">N346+M346</f>
        <v>81</v>
      </c>
      <c r="Q346" s="32" t="n">
        <v>74</v>
      </c>
      <c r="R346" s="32" t="n">
        <v>79</v>
      </c>
      <c r="S346" s="34" t="n">
        <f aca="false">(R346*70)/100</f>
        <v>55.3</v>
      </c>
      <c r="T346" s="34" t="n">
        <f aca="false">ROUNDUP(S346,0)</f>
        <v>56</v>
      </c>
      <c r="U346" s="32" t="n">
        <v>21</v>
      </c>
      <c r="V346" s="34" t="n">
        <f aca="false">U346+S346</f>
        <v>76.3</v>
      </c>
      <c r="W346" s="34" t="n">
        <f aca="false">U346+T346</f>
        <v>77</v>
      </c>
      <c r="X346" s="32" t="n">
        <v>67</v>
      </c>
      <c r="Y346" s="34" t="n">
        <f aca="false">(X346*70)/100</f>
        <v>46.9</v>
      </c>
      <c r="Z346" s="34" t="n">
        <f aca="false">ROUNDUP(Y346,0)</f>
        <v>47</v>
      </c>
      <c r="AA346" s="32" t="n">
        <v>25</v>
      </c>
      <c r="AB346" s="34" t="n">
        <f aca="false">AA346+Y346</f>
        <v>71.9</v>
      </c>
      <c r="AC346" s="34" t="n">
        <f aca="false">AA346+Z346</f>
        <v>72</v>
      </c>
      <c r="AD346" s="32" t="n">
        <f aca="false">X346+R346+Q346+K346+J346</f>
        <v>375</v>
      </c>
      <c r="AE346" s="16" t="n">
        <f aca="false">AD346/5</f>
        <v>75</v>
      </c>
      <c r="AF346" s="16" t="n">
        <v>70</v>
      </c>
      <c r="AG346" s="16" t="n">
        <v>77</v>
      </c>
      <c r="AH346" s="16" t="n">
        <v>94</v>
      </c>
      <c r="AI346" s="16" t="n">
        <v>87</v>
      </c>
      <c r="AJ346" s="16" t="n">
        <f aca="false">(AI346*70)/100</f>
        <v>60.9</v>
      </c>
      <c r="AK346" s="35" t="n">
        <f aca="false">ROUNDUP(AJ346,0)</f>
        <v>61</v>
      </c>
      <c r="AL346" s="16" t="n">
        <v>23</v>
      </c>
      <c r="AM346" s="16" t="n">
        <f aca="false">AL346+AJ346</f>
        <v>83.9</v>
      </c>
      <c r="AN346" s="16" t="n">
        <f aca="false">AL346+AK346</f>
        <v>84</v>
      </c>
      <c r="AO346" s="16" t="n">
        <v>73</v>
      </c>
      <c r="AP346" s="36" t="n">
        <f aca="false">(AO346*70)/100</f>
        <v>51.1</v>
      </c>
      <c r="AQ346" s="37" t="n">
        <f aca="false">ROUNDUP(AP346,0)</f>
        <v>52</v>
      </c>
      <c r="AR346" s="16" t="n">
        <v>27</v>
      </c>
      <c r="AS346" s="16" t="n">
        <f aca="false">AR346+AP346</f>
        <v>78.1</v>
      </c>
      <c r="AT346" s="16" t="n">
        <f aca="false">AR346+AQ346</f>
        <v>79</v>
      </c>
      <c r="AU346" s="16" t="n">
        <f aca="false">AO346+AF346+AI346+AH346+AG346</f>
        <v>401</v>
      </c>
      <c r="AV346" s="16" t="n">
        <f aca="false">(AO346+AF346+AI346+AH346+AG346)/5</f>
        <v>80.2</v>
      </c>
      <c r="AW346" s="36" t="n">
        <f aca="false">(AO346+AF346+AI346+AH346+AG346+X346+R346+Q346+K346+J346)</f>
        <v>776</v>
      </c>
      <c r="AX346" s="16" t="n">
        <f aca="false">AW346/10</f>
        <v>77.6</v>
      </c>
      <c r="AY346" s="16" t="n">
        <f aca="false">AS346+AF346+AM346+AH346+AG346+AB346+V346+Q346+O346+J346</f>
        <v>778.6</v>
      </c>
      <c r="AZ346" s="16" t="n">
        <f aca="false">AT346+AF346+AN346+AH346+AG346+AC346+W346+Q346+P346+J346</f>
        <v>781</v>
      </c>
      <c r="BA346" s="16" t="n">
        <f aca="false">AY346/10</f>
        <v>77.86</v>
      </c>
      <c r="BB346" s="16" t="n">
        <f aca="false">AZ346/10</f>
        <v>78.1</v>
      </c>
      <c r="BC346" s="24" t="n">
        <v>2331</v>
      </c>
      <c r="BD346" s="16" t="n">
        <f aca="false">RANK(AX346,$AX$2:$AX$881,0)</f>
        <v>444</v>
      </c>
      <c r="BE346" s="54" t="n">
        <f aca="false">((BC346*100)/2400)*0.4+(AX346*0.6)</f>
        <v>85.41</v>
      </c>
      <c r="BF346" s="16" t="n">
        <f aca="false">RANK(BE346,$BE$2:$BE$881,0)</f>
        <v>525</v>
      </c>
      <c r="BG346" s="39" t="n">
        <f aca="false">RANK(BB346,$BB$2:$BB$881,0)</f>
        <v>552</v>
      </c>
      <c r="BH346" s="39" t="n">
        <f aca="false">RANK(BC346,$BC$2:$BC$881,0)</f>
        <v>716</v>
      </c>
      <c r="BI346" s="22" t="s">
        <v>130</v>
      </c>
      <c r="BJ346" s="22" t="s">
        <v>129</v>
      </c>
      <c r="BK346" s="40" t="s">
        <v>509</v>
      </c>
      <c r="BL346" s="41" t="n">
        <v>20</v>
      </c>
      <c r="BM346" s="41" t="n">
        <v>56</v>
      </c>
      <c r="BN346" s="41" t="n">
        <v>76</v>
      </c>
      <c r="BO346" s="42" t="n">
        <v>24</v>
      </c>
      <c r="BP346" s="43" t="n">
        <v>63</v>
      </c>
      <c r="BQ346" s="44" t="n">
        <v>87</v>
      </c>
      <c r="BR346" s="42" t="n">
        <v>24</v>
      </c>
      <c r="BS346" s="45" t="n">
        <v>59</v>
      </c>
      <c r="BT346" s="45" t="n">
        <v>83</v>
      </c>
      <c r="BU346" s="46" t="n">
        <v>99</v>
      </c>
      <c r="BV346" s="47" t="n">
        <v>94</v>
      </c>
      <c r="BW346" s="42" t="n">
        <v>99</v>
      </c>
      <c r="BX346" s="48" t="n">
        <v>88</v>
      </c>
      <c r="BY346" s="32" t="n">
        <v>27</v>
      </c>
      <c r="BZ346" s="32" t="n">
        <v>43</v>
      </c>
      <c r="CA346" s="32" t="n">
        <v>70</v>
      </c>
      <c r="CB346" s="32" t="n">
        <v>15</v>
      </c>
      <c r="CC346" s="32" t="n">
        <v>30</v>
      </c>
      <c r="CD346" s="69" t="n">
        <v>45</v>
      </c>
      <c r="CE346" s="32" t="n">
        <v>25</v>
      </c>
      <c r="CF346" s="32" t="n">
        <v>41</v>
      </c>
      <c r="CG346" s="32" t="n">
        <v>66</v>
      </c>
      <c r="CH346" s="32" t="n">
        <v>92</v>
      </c>
      <c r="CI346" s="32" t="n">
        <v>95</v>
      </c>
      <c r="CJ346" s="49" t="n">
        <v>21</v>
      </c>
      <c r="CK346" s="49" t="n">
        <v>47</v>
      </c>
      <c r="CL346" s="84" t="n">
        <v>68</v>
      </c>
      <c r="CM346" s="49" t="n">
        <v>20</v>
      </c>
      <c r="CN346" s="49" t="n">
        <v>52</v>
      </c>
      <c r="CO346" s="49" t="n">
        <v>72</v>
      </c>
      <c r="CP346" s="25" t="n">
        <f aca="false">BX346+BW346+BV346+BU346+BT346+BQ346+BN346</f>
        <v>626</v>
      </c>
      <c r="CQ346" s="25" t="n">
        <f aca="false">CO346+CL346+CI346+CH346+CG346+CD346+CA346</f>
        <v>508</v>
      </c>
      <c r="CR346" s="26" t="n">
        <f aca="false">CP346/7</f>
        <v>89.4285714285714</v>
      </c>
      <c r="CS346" s="26" t="n">
        <f aca="false">CQ346/7</f>
        <v>72.5714285714286</v>
      </c>
      <c r="CT346" s="24" t="n">
        <f aca="false">RANK(CR346,$CR$2:$CR$881,0)</f>
        <v>217</v>
      </c>
      <c r="CU346" s="25" t="n">
        <f aca="false">RANK(CS346,$CS$2:$CS$881,0)</f>
        <v>492</v>
      </c>
      <c r="CV346" s="26" t="n">
        <f aca="false">(CS346+CR346)/2</f>
        <v>81</v>
      </c>
      <c r="CW346" s="25" t="n">
        <f aca="false">RANK(CV346,$CV$2:$CV$881,0)</f>
        <v>381</v>
      </c>
      <c r="CX346" s="50" t="n">
        <f aca="false">(CV346+BB346)/2</f>
        <v>79.55</v>
      </c>
      <c r="CY346" s="50" t="n">
        <v>415</v>
      </c>
      <c r="CZ346" s="27" t="s">
        <v>132</v>
      </c>
      <c r="DA346" s="27" t="s">
        <v>175</v>
      </c>
      <c r="DB346" s="27" t="s">
        <v>175</v>
      </c>
      <c r="DC346" s="27" t="s">
        <v>134</v>
      </c>
      <c r="DD346" s="27" t="s">
        <v>135</v>
      </c>
      <c r="DE346" s="27" t="s">
        <v>220</v>
      </c>
      <c r="DF346" s="27" t="s">
        <v>196</v>
      </c>
      <c r="DG346" s="27" t="s">
        <v>134</v>
      </c>
      <c r="DH346" s="27" t="s">
        <v>137</v>
      </c>
      <c r="DI346" s="27" t="s">
        <v>447</v>
      </c>
      <c r="DJ346" s="27" t="s">
        <v>272</v>
      </c>
      <c r="DK346" s="27" t="s">
        <v>134</v>
      </c>
      <c r="DL346" s="27" t="s">
        <v>164</v>
      </c>
      <c r="DM346" s="27" t="s">
        <v>313</v>
      </c>
      <c r="DN346" s="27" t="s">
        <v>272</v>
      </c>
      <c r="DO346" s="27" t="s">
        <v>134</v>
      </c>
      <c r="DP346" s="27" t="s">
        <v>182</v>
      </c>
      <c r="DQ346" s="27" t="s">
        <v>442</v>
      </c>
      <c r="DR346" s="27" t="s">
        <v>486</v>
      </c>
      <c r="DS346" s="27" t="s">
        <v>134</v>
      </c>
      <c r="DT346" s="27" t="s">
        <v>137</v>
      </c>
      <c r="DU346" s="27" t="s">
        <v>415</v>
      </c>
      <c r="DV346" s="27" t="s">
        <v>486</v>
      </c>
      <c r="DW346" s="27" t="s">
        <v>164</v>
      </c>
      <c r="DX346" s="27" t="s">
        <v>138</v>
      </c>
      <c r="DY346" s="27" t="s">
        <v>142</v>
      </c>
      <c r="DZ346" s="27" t="n">
        <f aca="false">DY346+DV346+DR346+DN346+DJ346+DF346+DB346</f>
        <v>566</v>
      </c>
      <c r="EA346" s="28" t="n">
        <f aca="false">DZ346/7</f>
        <v>80.8571428571429</v>
      </c>
      <c r="EB346" s="27" t="n">
        <f aca="false">RANK(EA346,$EA$2:$EA$881,0)</f>
        <v>357</v>
      </c>
      <c r="EC346" s="29" t="n">
        <f aca="false">DZ346+CQ346+CP346+AZ346</f>
        <v>2481</v>
      </c>
      <c r="ED346" s="30" t="n">
        <f aca="false">(EA346+CV346+BB346)/3</f>
        <v>79.9857142857143</v>
      </c>
      <c r="EE346" s="51" t="n">
        <f aca="false">ROUND(BE346,3)</f>
        <v>85.41</v>
      </c>
      <c r="EF346" s="51" t="n">
        <f aca="false">ROUND(CR346,3)</f>
        <v>89.429</v>
      </c>
      <c r="EG346" s="51" t="n">
        <f aca="false">ROUND(CS346,3)</f>
        <v>72.571</v>
      </c>
      <c r="EH346" s="51" t="n">
        <f aca="false">ROUND(EA346,3)</f>
        <v>80.857</v>
      </c>
      <c r="EI346" s="51" t="n">
        <f aca="false">ROUND(ED346,3)</f>
        <v>79.986</v>
      </c>
      <c r="EJ346" s="51" t="n">
        <f aca="false">ROUND(CV346,3)</f>
        <v>81</v>
      </c>
      <c r="EK346" s="0" t="n">
        <f aca="false">RANK(EI346,$EI$2:$EI$881,0)</f>
        <v>345</v>
      </c>
    </row>
    <row r="347" customFormat="false" ht="16.85" hidden="false" customHeight="false" outlineLevel="0" collapsed="false">
      <c r="A347" s="4" t="n">
        <v>8637</v>
      </c>
      <c r="B347" s="4" t="n">
        <v>23</v>
      </c>
      <c r="C347" s="27" t="s">
        <v>1146</v>
      </c>
      <c r="D347" s="52" t="n">
        <v>24</v>
      </c>
      <c r="E347" s="16" t="n">
        <v>230119393</v>
      </c>
      <c r="F347" s="56" t="s">
        <v>1147</v>
      </c>
      <c r="G347" s="22" t="s">
        <v>1148</v>
      </c>
      <c r="H347" s="22" t="s">
        <v>326</v>
      </c>
      <c r="I347" s="57"/>
      <c r="J347" s="16" t="n">
        <v>74</v>
      </c>
      <c r="K347" s="16" t="n">
        <v>71</v>
      </c>
      <c r="L347" s="34" t="n">
        <f aca="false">(K347*70)/100</f>
        <v>49.7</v>
      </c>
      <c r="M347" s="34" t="n">
        <f aca="false">ROUNDUP(L347,0)</f>
        <v>50</v>
      </c>
      <c r="N347" s="16" t="n">
        <v>29</v>
      </c>
      <c r="O347" s="34" t="n">
        <f aca="false">N347+L347</f>
        <v>78.7</v>
      </c>
      <c r="P347" s="34" t="n">
        <f aca="false">N347+M347</f>
        <v>79</v>
      </c>
      <c r="Q347" s="16" t="n">
        <v>80</v>
      </c>
      <c r="R347" s="16" t="n">
        <v>74</v>
      </c>
      <c r="S347" s="34" t="n">
        <f aca="false">(R347*70)/100</f>
        <v>51.8</v>
      </c>
      <c r="T347" s="34" t="n">
        <f aca="false">ROUNDUP(S347,0)</f>
        <v>52</v>
      </c>
      <c r="U347" s="16" t="n">
        <v>28</v>
      </c>
      <c r="V347" s="34" t="n">
        <f aca="false">U347+S347</f>
        <v>79.8</v>
      </c>
      <c r="W347" s="34" t="n">
        <f aca="false">U347+T347</f>
        <v>80</v>
      </c>
      <c r="X347" s="16" t="n">
        <v>74</v>
      </c>
      <c r="Y347" s="34" t="n">
        <f aca="false">(X347*70)/100</f>
        <v>51.8</v>
      </c>
      <c r="Z347" s="34" t="n">
        <f aca="false">ROUNDUP(Y347,0)</f>
        <v>52</v>
      </c>
      <c r="AA347" s="16" t="n">
        <v>28</v>
      </c>
      <c r="AB347" s="34" t="n">
        <f aca="false">AA347+Y347</f>
        <v>79.8</v>
      </c>
      <c r="AC347" s="34" t="n">
        <f aca="false">AA347+Z347</f>
        <v>80</v>
      </c>
      <c r="AD347" s="32" t="n">
        <f aca="false">X347+R347+Q347+K347+J347</f>
        <v>373</v>
      </c>
      <c r="AE347" s="16" t="n">
        <f aca="false">AD347/5</f>
        <v>74.6</v>
      </c>
      <c r="AF347" s="16" t="n">
        <v>79</v>
      </c>
      <c r="AG347" s="16" t="n">
        <v>86</v>
      </c>
      <c r="AH347" s="16" t="n">
        <v>88</v>
      </c>
      <c r="AI347" s="16" t="n">
        <v>81</v>
      </c>
      <c r="AJ347" s="16" t="n">
        <f aca="false">(AI347*70)/100</f>
        <v>56.7</v>
      </c>
      <c r="AK347" s="35" t="n">
        <f aca="false">ROUNDUP(AJ347,0)</f>
        <v>57</v>
      </c>
      <c r="AL347" s="16" t="n">
        <v>22</v>
      </c>
      <c r="AM347" s="16" t="n">
        <f aca="false">AL347+AJ347</f>
        <v>78.7</v>
      </c>
      <c r="AN347" s="16" t="n">
        <f aca="false">AL347+AK347</f>
        <v>79</v>
      </c>
      <c r="AO347" s="16" t="n">
        <v>77</v>
      </c>
      <c r="AP347" s="36" t="n">
        <f aca="false">(AO347*70)/100</f>
        <v>53.9</v>
      </c>
      <c r="AQ347" s="37" t="n">
        <f aca="false">ROUNDUP(AP347,0)</f>
        <v>54</v>
      </c>
      <c r="AR347" s="16" t="n">
        <v>26</v>
      </c>
      <c r="AS347" s="16" t="n">
        <f aca="false">AR347+AP347</f>
        <v>79.9</v>
      </c>
      <c r="AT347" s="16" t="n">
        <f aca="false">AR347+AQ347</f>
        <v>80</v>
      </c>
      <c r="AU347" s="16" t="n">
        <f aca="false">AO347+AF347+AI347+AH347+AG347</f>
        <v>411</v>
      </c>
      <c r="AV347" s="16" t="n">
        <f aca="false">(AO347+AF347+AI347+AH347+AG347)/5</f>
        <v>82.2</v>
      </c>
      <c r="AW347" s="36" t="n">
        <f aca="false">(AO347+AF347+AI347+AH347+AG347+X347+R347+Q347+K347+J347)</f>
        <v>784</v>
      </c>
      <c r="AX347" s="16" t="n">
        <f aca="false">AW347/10</f>
        <v>78.4</v>
      </c>
      <c r="AY347" s="16" t="n">
        <f aca="false">AS347+AF347+AM347+AH347+AG347+AB347+V347+Q347+O347+J347</f>
        <v>803.9</v>
      </c>
      <c r="AZ347" s="16" t="n">
        <f aca="false">AT347+AF347+AN347+AH347+AG347+AC347+W347+Q347+P347+J347</f>
        <v>805</v>
      </c>
      <c r="BA347" s="16" t="n">
        <f aca="false">AY347/10</f>
        <v>80.39</v>
      </c>
      <c r="BB347" s="16" t="n">
        <f aca="false">AZ347/10</f>
        <v>80.5</v>
      </c>
      <c r="BC347" s="16" t="n">
        <v>2383</v>
      </c>
      <c r="BD347" s="16" t="n">
        <f aca="false">RANK(AX347,$AX$2:$AX$881,0)</f>
        <v>385</v>
      </c>
      <c r="BE347" s="54" t="n">
        <f aca="false">((BC347*100)/2400)*0.4+(AX347*0.6)</f>
        <v>86.7566666666667</v>
      </c>
      <c r="BF347" s="16" t="n">
        <f aca="false">RANK(BE347,$BE$2:$BE$881,0)</f>
        <v>326</v>
      </c>
      <c r="BG347" s="39" t="n">
        <f aca="false">RANK(BB347,$BB$2:$BB$881,0)</f>
        <v>312</v>
      </c>
      <c r="BH347" s="39" t="n">
        <f aca="false">RANK(BC347,$BC$2:$BC$881,0)</f>
        <v>114</v>
      </c>
      <c r="BI347" s="22" t="s">
        <v>130</v>
      </c>
      <c r="BJ347" s="22" t="s">
        <v>129</v>
      </c>
      <c r="BK347" s="40" t="s">
        <v>131</v>
      </c>
      <c r="BL347" s="41" t="n">
        <v>18</v>
      </c>
      <c r="BM347" s="41" t="n">
        <v>51</v>
      </c>
      <c r="BN347" s="41" t="n">
        <v>69</v>
      </c>
      <c r="BO347" s="42" t="n">
        <v>25</v>
      </c>
      <c r="BP347" s="43" t="n">
        <v>62</v>
      </c>
      <c r="BQ347" s="44" t="n">
        <v>87</v>
      </c>
      <c r="BR347" s="42" t="n">
        <v>28</v>
      </c>
      <c r="BS347" s="45" t="n">
        <v>50</v>
      </c>
      <c r="BT347" s="45" t="n">
        <v>78</v>
      </c>
      <c r="BU347" s="46" t="n">
        <v>99</v>
      </c>
      <c r="BV347" s="47" t="n">
        <v>94</v>
      </c>
      <c r="BW347" s="42" t="n">
        <v>96</v>
      </c>
      <c r="BX347" s="48" t="n">
        <v>90</v>
      </c>
      <c r="BY347" s="32" t="n">
        <v>26</v>
      </c>
      <c r="BZ347" s="32" t="n">
        <v>37</v>
      </c>
      <c r="CA347" s="32" t="n">
        <v>63</v>
      </c>
      <c r="CB347" s="32" t="n">
        <v>22</v>
      </c>
      <c r="CC347" s="32" t="n">
        <v>53</v>
      </c>
      <c r="CD347" s="32" t="n">
        <v>75</v>
      </c>
      <c r="CE347" s="32" t="n">
        <v>28</v>
      </c>
      <c r="CF347" s="32" t="n">
        <v>53</v>
      </c>
      <c r="CG347" s="32" t="n">
        <v>81</v>
      </c>
      <c r="CH347" s="32" t="n">
        <v>96</v>
      </c>
      <c r="CI347" s="32" t="n">
        <v>99</v>
      </c>
      <c r="CJ347" s="49" t="n">
        <v>23</v>
      </c>
      <c r="CK347" s="49" t="n">
        <v>51</v>
      </c>
      <c r="CL347" s="49" t="n">
        <v>74</v>
      </c>
      <c r="CM347" s="49" t="n">
        <v>21</v>
      </c>
      <c r="CN347" s="49" t="n">
        <v>55</v>
      </c>
      <c r="CO347" s="49" t="n">
        <v>76</v>
      </c>
      <c r="CP347" s="25" t="n">
        <f aca="false">BX347+BW347+BV347+BU347+BT347+BQ347+BN347</f>
        <v>613</v>
      </c>
      <c r="CQ347" s="25" t="n">
        <f aca="false">CO347+CL347+CI347+CH347+CG347+CD347+CA347</f>
        <v>564</v>
      </c>
      <c r="CR347" s="26" t="n">
        <f aca="false">CP347/7</f>
        <v>87.5714285714286</v>
      </c>
      <c r="CS347" s="26" t="n">
        <f aca="false">CQ347/7</f>
        <v>80.5714285714286</v>
      </c>
      <c r="CT347" s="24" t="n">
        <f aca="false">RANK(CR347,$CR$2:$CR$881,0)</f>
        <v>329</v>
      </c>
      <c r="CU347" s="25" t="n">
        <f aca="false">RANK(CS347,$CS$2:$CS$881,0)</f>
        <v>240</v>
      </c>
      <c r="CV347" s="26" t="n">
        <f aca="false">(CS347+CR347)/2</f>
        <v>84.0714285714286</v>
      </c>
      <c r="CW347" s="25" t="n">
        <f aca="false">RANK(CV347,$CV$2:$CV$881,0)</f>
        <v>259</v>
      </c>
      <c r="CX347" s="50" t="n">
        <f aca="false">(CV347+BB347)/2</f>
        <v>82.2857142857143</v>
      </c>
      <c r="CY347" s="50" t="n">
        <v>247</v>
      </c>
      <c r="CZ347" s="27" t="s">
        <v>132</v>
      </c>
      <c r="DA347" s="27" t="s">
        <v>153</v>
      </c>
      <c r="DB347" s="27" t="s">
        <v>153</v>
      </c>
      <c r="DC347" s="27" t="s">
        <v>134</v>
      </c>
      <c r="DD347" s="27" t="s">
        <v>164</v>
      </c>
      <c r="DE347" s="27" t="s">
        <v>152</v>
      </c>
      <c r="DF347" s="27" t="s">
        <v>170</v>
      </c>
      <c r="DG347" s="27" t="s">
        <v>134</v>
      </c>
      <c r="DH347" s="27" t="s">
        <v>182</v>
      </c>
      <c r="DI347" s="27" t="s">
        <v>152</v>
      </c>
      <c r="DJ347" s="27" t="s">
        <v>133</v>
      </c>
      <c r="DK347" s="27" t="s">
        <v>134</v>
      </c>
      <c r="DL347" s="27" t="s">
        <v>164</v>
      </c>
      <c r="DM347" s="27" t="s">
        <v>412</v>
      </c>
      <c r="DN347" s="27" t="s">
        <v>305</v>
      </c>
      <c r="DO347" s="27" t="s">
        <v>134</v>
      </c>
      <c r="DP347" s="27"/>
      <c r="DQ347" s="27"/>
      <c r="DR347" s="27"/>
      <c r="DS347" s="27"/>
      <c r="DT347" s="27" t="s">
        <v>137</v>
      </c>
      <c r="DU347" s="27" t="s">
        <v>218</v>
      </c>
      <c r="DV347" s="27" t="s">
        <v>169</v>
      </c>
      <c r="DW347" s="27" t="s">
        <v>160</v>
      </c>
      <c r="DX347" s="27" t="s">
        <v>138</v>
      </c>
      <c r="DY347" s="27" t="s">
        <v>144</v>
      </c>
      <c r="DZ347" s="27" t="n">
        <f aca="false">DY347+DV347+DR347+DN347+DJ347+DF347+DB347</f>
        <v>527</v>
      </c>
      <c r="EA347" s="28" t="n">
        <f aca="false">DZ347/7</f>
        <v>75.2857142857143</v>
      </c>
      <c r="EB347" s="27" t="n">
        <f aca="false">RANK(EA347,$EA$2:$EA$881,0)</f>
        <v>533</v>
      </c>
      <c r="EC347" s="29" t="n">
        <f aca="false">DZ347+CQ347+CP347+AZ347</f>
        <v>2509</v>
      </c>
      <c r="ED347" s="30" t="n">
        <f aca="false">(EA347+CV347+BB347)/3</f>
        <v>79.952380952381</v>
      </c>
      <c r="EE347" s="51" t="n">
        <f aca="false">ROUND(BE347,3)</f>
        <v>86.757</v>
      </c>
      <c r="EF347" s="51" t="n">
        <f aca="false">ROUND(CR347,3)</f>
        <v>87.571</v>
      </c>
      <c r="EG347" s="51" t="n">
        <f aca="false">ROUND(CS347,3)</f>
        <v>80.571</v>
      </c>
      <c r="EH347" s="51" t="n">
        <f aca="false">ROUND(EA347,3)</f>
        <v>75.286</v>
      </c>
      <c r="EI347" s="51" t="n">
        <f aca="false">ROUND(ED347,3)</f>
        <v>79.952</v>
      </c>
      <c r="EJ347" s="51" t="n">
        <f aca="false">ROUND(CV347,3)</f>
        <v>84.071</v>
      </c>
      <c r="EK347" s="0" t="n">
        <f aca="false">RANK(EI347,$EI$2:$EI$881,0)</f>
        <v>346</v>
      </c>
    </row>
    <row r="348" customFormat="false" ht="17.45" hidden="false" customHeight="false" outlineLevel="0" collapsed="false">
      <c r="A348" s="4" t="n">
        <v>8648</v>
      </c>
      <c r="B348" s="4" t="n">
        <v>129</v>
      </c>
      <c r="C348" s="27" t="s">
        <v>1149</v>
      </c>
      <c r="D348" s="31" t="n">
        <v>127</v>
      </c>
      <c r="E348" s="16" t="n">
        <v>230222857</v>
      </c>
      <c r="F348" s="56" t="s">
        <v>1150</v>
      </c>
      <c r="G348" s="22" t="s">
        <v>598</v>
      </c>
      <c r="H348" s="22" t="s">
        <v>326</v>
      </c>
      <c r="I348" s="57"/>
      <c r="J348" s="16" t="n">
        <v>80</v>
      </c>
      <c r="K348" s="16" t="n">
        <v>78</v>
      </c>
      <c r="L348" s="34" t="n">
        <f aca="false">(K348*70)/100</f>
        <v>54.6</v>
      </c>
      <c r="M348" s="34" t="n">
        <f aca="false">ROUNDUP(L348,0)</f>
        <v>55</v>
      </c>
      <c r="N348" s="16" t="n">
        <v>26</v>
      </c>
      <c r="O348" s="34" t="n">
        <f aca="false">N348+L348</f>
        <v>80.6</v>
      </c>
      <c r="P348" s="34" t="n">
        <f aca="false">N348+M348</f>
        <v>81</v>
      </c>
      <c r="Q348" s="16" t="n">
        <v>61</v>
      </c>
      <c r="R348" s="16" t="n">
        <v>85</v>
      </c>
      <c r="S348" s="34" t="n">
        <f aca="false">(R348*70)/100</f>
        <v>59.5</v>
      </c>
      <c r="T348" s="34" t="n">
        <f aca="false">ROUNDUP(S348,0)</f>
        <v>60</v>
      </c>
      <c r="U348" s="16" t="n">
        <v>24</v>
      </c>
      <c r="V348" s="34" t="n">
        <f aca="false">U348+S348</f>
        <v>83.5</v>
      </c>
      <c r="W348" s="34" t="n">
        <f aca="false">U348+T348</f>
        <v>84</v>
      </c>
      <c r="X348" s="16" t="n">
        <v>66</v>
      </c>
      <c r="Y348" s="34" t="n">
        <f aca="false">(X348*70)/100</f>
        <v>46.2</v>
      </c>
      <c r="Z348" s="34" t="n">
        <f aca="false">ROUNDUP(Y348,0)</f>
        <v>47</v>
      </c>
      <c r="AA348" s="16" t="n">
        <v>26</v>
      </c>
      <c r="AB348" s="34" t="n">
        <f aca="false">AA348+Y348</f>
        <v>72.2</v>
      </c>
      <c r="AC348" s="34" t="n">
        <f aca="false">AA348+Z348</f>
        <v>73</v>
      </c>
      <c r="AD348" s="32" t="n">
        <f aca="false">X348+R348+Q348+K348+J348</f>
        <v>370</v>
      </c>
      <c r="AE348" s="16" t="n">
        <f aca="false">AD348/5</f>
        <v>74</v>
      </c>
      <c r="AF348" s="16" t="n">
        <v>74</v>
      </c>
      <c r="AG348" s="16" t="n">
        <v>89</v>
      </c>
      <c r="AH348" s="16" t="n">
        <v>92</v>
      </c>
      <c r="AI348" s="16" t="n">
        <v>89</v>
      </c>
      <c r="AJ348" s="16" t="n">
        <f aca="false">(AI348*70)/100</f>
        <v>62.3</v>
      </c>
      <c r="AK348" s="35" t="n">
        <f aca="false">ROUNDUP(AJ348,0)</f>
        <v>63</v>
      </c>
      <c r="AL348" s="16" t="n">
        <v>24</v>
      </c>
      <c r="AM348" s="16" t="n">
        <f aca="false">AL348+AJ348</f>
        <v>86.3</v>
      </c>
      <c r="AN348" s="16" t="n">
        <f aca="false">AL348+AK348</f>
        <v>87</v>
      </c>
      <c r="AO348" s="16" t="n">
        <v>85</v>
      </c>
      <c r="AP348" s="36" t="n">
        <f aca="false">(AO348*70)/100</f>
        <v>59.5</v>
      </c>
      <c r="AQ348" s="37" t="n">
        <f aca="false">ROUNDUP(AP348,0)</f>
        <v>60</v>
      </c>
      <c r="AR348" s="16" t="n">
        <v>26</v>
      </c>
      <c r="AS348" s="16" t="n">
        <f aca="false">AR348+AP348</f>
        <v>85.5</v>
      </c>
      <c r="AT348" s="16" t="n">
        <f aca="false">AR348+AQ348</f>
        <v>86</v>
      </c>
      <c r="AU348" s="16" t="n">
        <f aca="false">AO348+AF348+AI348+AH348+AG348</f>
        <v>429</v>
      </c>
      <c r="AV348" s="16" t="n">
        <f aca="false">(AO348+AF348+AI348+AH348+AG348)/5</f>
        <v>85.8</v>
      </c>
      <c r="AW348" s="36" t="n">
        <f aca="false">(AO348+AF348+AI348+AH348+AG348+X348+R348+Q348+K348+J348)</f>
        <v>799</v>
      </c>
      <c r="AX348" s="16" t="n">
        <f aca="false">AW348/10</f>
        <v>79.9</v>
      </c>
      <c r="AY348" s="16" t="n">
        <f aca="false">AS348+AF348+AM348+AH348+AG348+AB348+V348+Q348+O348+J348</f>
        <v>804.1</v>
      </c>
      <c r="AZ348" s="16" t="n">
        <f aca="false">AT348+AF348+AN348+AH348+AG348+AC348+W348+Q348+P348+J348</f>
        <v>807</v>
      </c>
      <c r="BA348" s="16" t="n">
        <f aca="false">AY348/10</f>
        <v>80.41</v>
      </c>
      <c r="BB348" s="16" t="n">
        <f aca="false">AZ348/10</f>
        <v>80.7</v>
      </c>
      <c r="BC348" s="16" t="n">
        <v>2339</v>
      </c>
      <c r="BD348" s="16" t="n">
        <f aca="false">RANK(AX348,$AX$2:$AX$881,0)</f>
        <v>272</v>
      </c>
      <c r="BE348" s="54" t="n">
        <f aca="false">((BC348*100)/2400)*0.4+(AX348*0.6)</f>
        <v>86.9233333333334</v>
      </c>
      <c r="BF348" s="16" t="n">
        <f aca="false">RANK(BE348,$BE$2:$BE$881,0)</f>
        <v>305</v>
      </c>
      <c r="BG348" s="39" t="n">
        <f aca="false">RANK(BB348,$BB$2:$BB$881,0)</f>
        <v>298</v>
      </c>
      <c r="BH348" s="39" t="n">
        <f aca="false">RANK(BC348,$BC$2:$BC$881,0)</f>
        <v>640</v>
      </c>
      <c r="BI348" s="22" t="s">
        <v>130</v>
      </c>
      <c r="BJ348" s="22" t="s">
        <v>129</v>
      </c>
      <c r="BK348" s="40" t="s">
        <v>131</v>
      </c>
      <c r="BL348" s="41" t="n">
        <v>15</v>
      </c>
      <c r="BM348" s="41" t="n">
        <v>52</v>
      </c>
      <c r="BN348" s="41" t="n">
        <v>67</v>
      </c>
      <c r="BO348" s="42" t="n">
        <v>20</v>
      </c>
      <c r="BP348" s="43" t="n">
        <v>54</v>
      </c>
      <c r="BQ348" s="44" t="n">
        <v>74</v>
      </c>
      <c r="BR348" s="42" t="n">
        <v>22</v>
      </c>
      <c r="BS348" s="45" t="n">
        <v>56</v>
      </c>
      <c r="BT348" s="45" t="n">
        <v>78</v>
      </c>
      <c r="BU348" s="46" t="n">
        <v>93</v>
      </c>
      <c r="BV348" s="47" t="n">
        <v>84</v>
      </c>
      <c r="BW348" s="42" t="n">
        <v>95</v>
      </c>
      <c r="BX348" s="48" t="n">
        <v>92</v>
      </c>
      <c r="BY348" s="32" t="n">
        <v>24</v>
      </c>
      <c r="BZ348" s="32" t="n">
        <v>60</v>
      </c>
      <c r="CA348" s="32" t="n">
        <v>84</v>
      </c>
      <c r="CB348" s="32" t="n">
        <v>26</v>
      </c>
      <c r="CC348" s="32" t="n">
        <v>41</v>
      </c>
      <c r="CD348" s="32" t="n">
        <v>67</v>
      </c>
      <c r="CE348" s="32" t="n">
        <v>28</v>
      </c>
      <c r="CF348" s="32" t="n">
        <v>59</v>
      </c>
      <c r="CG348" s="32" t="n">
        <v>87</v>
      </c>
      <c r="CH348" s="32" t="n">
        <v>99</v>
      </c>
      <c r="CI348" s="32" t="n">
        <v>98</v>
      </c>
      <c r="CJ348" s="49" t="n">
        <v>19</v>
      </c>
      <c r="CK348" s="49" t="n">
        <v>51</v>
      </c>
      <c r="CL348" s="49" t="n">
        <v>70</v>
      </c>
      <c r="CM348" s="49" t="n">
        <v>21</v>
      </c>
      <c r="CN348" s="49" t="n">
        <v>51</v>
      </c>
      <c r="CO348" s="49" t="n">
        <v>72</v>
      </c>
      <c r="CP348" s="25" t="n">
        <f aca="false">BX348+BW348+BV348+BU348+BT348+BQ348+BN348</f>
        <v>583</v>
      </c>
      <c r="CQ348" s="25" t="n">
        <f aca="false">CO348+CL348+CI348+CH348+CG348+CD348+CA348</f>
        <v>577</v>
      </c>
      <c r="CR348" s="26" t="n">
        <f aca="false">CP348/7</f>
        <v>83.2857142857143</v>
      </c>
      <c r="CS348" s="26" t="n">
        <f aca="false">CQ348/7</f>
        <v>82.4285714285714</v>
      </c>
      <c r="CT348" s="24" t="n">
        <f aca="false">RANK(CR348,$CR$2:$CR$881,0)</f>
        <v>510</v>
      </c>
      <c r="CU348" s="25" t="n">
        <f aca="false">RANK(CS348,$CS$2:$CS$881,0)</f>
        <v>179</v>
      </c>
      <c r="CV348" s="26" t="n">
        <f aca="false">(CS348+CR348)/2</f>
        <v>82.8571428571429</v>
      </c>
      <c r="CW348" s="25" t="n">
        <f aca="false">RANK(CV348,$CV$2:$CV$881,0)</f>
        <v>303</v>
      </c>
      <c r="CX348" s="50" t="n">
        <f aca="false">(CV348+BB348)/2</f>
        <v>81.7785714285714</v>
      </c>
      <c r="CY348" s="50" t="n">
        <v>281</v>
      </c>
      <c r="CZ348" s="27" t="s">
        <v>132</v>
      </c>
      <c r="DA348" s="27" t="s">
        <v>153</v>
      </c>
      <c r="DB348" s="27" t="s">
        <v>153</v>
      </c>
      <c r="DC348" s="27" t="s">
        <v>134</v>
      </c>
      <c r="DD348" s="27" t="s">
        <v>154</v>
      </c>
      <c r="DE348" s="27" t="s">
        <v>218</v>
      </c>
      <c r="DF348" s="27" t="s">
        <v>219</v>
      </c>
      <c r="DG348" s="27" t="s">
        <v>134</v>
      </c>
      <c r="DH348" s="27" t="s">
        <v>137</v>
      </c>
      <c r="DI348" s="27" t="s">
        <v>304</v>
      </c>
      <c r="DJ348" s="27" t="s">
        <v>219</v>
      </c>
      <c r="DK348" s="27" t="s">
        <v>134</v>
      </c>
      <c r="DL348" s="27" t="s">
        <v>135</v>
      </c>
      <c r="DM348" s="27" t="s">
        <v>442</v>
      </c>
      <c r="DN348" s="27" t="s">
        <v>372</v>
      </c>
      <c r="DO348" s="27" t="s">
        <v>134</v>
      </c>
      <c r="DP348" s="27" t="s">
        <v>825</v>
      </c>
      <c r="DQ348" s="27" t="s">
        <v>412</v>
      </c>
      <c r="DR348" s="27" t="s">
        <v>152</v>
      </c>
      <c r="DS348" s="27" t="s">
        <v>134</v>
      </c>
      <c r="DT348" s="27" t="s">
        <v>160</v>
      </c>
      <c r="DU348" s="27" t="s">
        <v>1151</v>
      </c>
      <c r="DV348" s="27" t="s">
        <v>177</v>
      </c>
      <c r="DW348" s="27" t="s">
        <v>386</v>
      </c>
      <c r="DX348" s="27" t="s">
        <v>143</v>
      </c>
      <c r="DY348" s="27" t="s">
        <v>202</v>
      </c>
      <c r="DZ348" s="27" t="n">
        <f aca="false">DY348+DV348+DR348+DN348+DJ348+DF348+DB348</f>
        <v>534</v>
      </c>
      <c r="EA348" s="28" t="n">
        <f aca="false">DZ348/7</f>
        <v>76.2857142857143</v>
      </c>
      <c r="EB348" s="27" t="n">
        <f aca="false">RANK(EA348,$EA$2:$EA$881,0)</f>
        <v>513</v>
      </c>
      <c r="EC348" s="29" t="n">
        <f aca="false">DZ348+CQ348+CP348+AZ348</f>
        <v>2501</v>
      </c>
      <c r="ED348" s="30" t="n">
        <f aca="false">(EA348+CV348+BB348)/3</f>
        <v>79.9476190476191</v>
      </c>
      <c r="EE348" s="51" t="n">
        <f aca="false">ROUND(BE348,3)</f>
        <v>86.923</v>
      </c>
      <c r="EF348" s="51" t="n">
        <f aca="false">ROUND(CR348,3)</f>
        <v>83.286</v>
      </c>
      <c r="EG348" s="51" t="n">
        <f aca="false">ROUND(CS348,3)</f>
        <v>82.429</v>
      </c>
      <c r="EH348" s="51" t="n">
        <f aca="false">ROUND(EA348,3)</f>
        <v>76.286</v>
      </c>
      <c r="EI348" s="51" t="n">
        <f aca="false">ROUND(ED348,3)</f>
        <v>79.948</v>
      </c>
      <c r="EJ348" s="51" t="n">
        <f aca="false">ROUND(CV348,3)</f>
        <v>82.857</v>
      </c>
      <c r="EK348" s="0" t="n">
        <f aca="false">RANK(EI348,$EI$2:$EI$881,0)</f>
        <v>347</v>
      </c>
    </row>
    <row r="349" customFormat="false" ht="15" hidden="false" customHeight="false" outlineLevel="0" collapsed="false">
      <c r="A349" s="4" t="n">
        <v>1955</v>
      </c>
      <c r="B349" s="4" t="n">
        <v>731</v>
      </c>
      <c r="C349" s="27" t="s">
        <v>1152</v>
      </c>
      <c r="D349" s="31" t="n">
        <v>746</v>
      </c>
      <c r="E349" s="16" t="n">
        <v>230243523</v>
      </c>
      <c r="F349" s="56" t="s">
        <v>1153</v>
      </c>
      <c r="G349" s="22" t="s">
        <v>532</v>
      </c>
      <c r="H349" s="22" t="s">
        <v>326</v>
      </c>
      <c r="I349" s="57"/>
      <c r="J349" s="16" t="n">
        <v>73</v>
      </c>
      <c r="K349" s="16" t="n">
        <v>65</v>
      </c>
      <c r="L349" s="34" t="n">
        <f aca="false">(K349*70)/100</f>
        <v>45.5</v>
      </c>
      <c r="M349" s="34" t="n">
        <f aca="false">ROUNDUP(L349,0)</f>
        <v>46</v>
      </c>
      <c r="N349" s="16" t="n">
        <v>29</v>
      </c>
      <c r="O349" s="34" t="n">
        <f aca="false">N349+L349</f>
        <v>74.5</v>
      </c>
      <c r="P349" s="34" t="n">
        <f aca="false">N349+M349</f>
        <v>75</v>
      </c>
      <c r="Q349" s="16" t="n">
        <v>75</v>
      </c>
      <c r="R349" s="16" t="n">
        <v>77</v>
      </c>
      <c r="S349" s="34" t="n">
        <f aca="false">(R349*70)/100</f>
        <v>53.9</v>
      </c>
      <c r="T349" s="34" t="n">
        <f aca="false">ROUNDUP(S349,0)</f>
        <v>54</v>
      </c>
      <c r="U349" s="16" t="n">
        <v>25</v>
      </c>
      <c r="V349" s="34" t="n">
        <f aca="false">U349+S349</f>
        <v>78.9</v>
      </c>
      <c r="W349" s="34" t="n">
        <f aca="false">U349+T349</f>
        <v>79</v>
      </c>
      <c r="X349" s="16" t="n">
        <v>67</v>
      </c>
      <c r="Y349" s="34" t="n">
        <f aca="false">(X349*70)/100</f>
        <v>46.9</v>
      </c>
      <c r="Z349" s="34" t="n">
        <f aca="false">ROUNDUP(Y349,0)</f>
        <v>47</v>
      </c>
      <c r="AA349" s="16" t="n">
        <v>27</v>
      </c>
      <c r="AB349" s="34" t="n">
        <f aca="false">AA349+Y349</f>
        <v>73.9</v>
      </c>
      <c r="AC349" s="34" t="n">
        <f aca="false">AA349+Z349</f>
        <v>74</v>
      </c>
      <c r="AD349" s="32" t="n">
        <f aca="false">X349+R349+Q349+K349+J349</f>
        <v>357</v>
      </c>
      <c r="AE349" s="16" t="n">
        <f aca="false">AD349/5</f>
        <v>71.4</v>
      </c>
      <c r="AF349" s="16" t="n">
        <v>80</v>
      </c>
      <c r="AG349" s="16" t="n">
        <v>79</v>
      </c>
      <c r="AH349" s="16" t="n">
        <v>87</v>
      </c>
      <c r="AI349" s="16" t="n">
        <v>89</v>
      </c>
      <c r="AJ349" s="16" t="n">
        <f aca="false">(AI349*70)/100</f>
        <v>62.3</v>
      </c>
      <c r="AK349" s="35" t="n">
        <f aca="false">ROUNDUP(AJ349,0)</f>
        <v>63</v>
      </c>
      <c r="AL349" s="16" t="n">
        <v>19</v>
      </c>
      <c r="AM349" s="16" t="n">
        <f aca="false">AL349+AJ349</f>
        <v>81.3</v>
      </c>
      <c r="AN349" s="16" t="n">
        <f aca="false">AL349+AK349</f>
        <v>82</v>
      </c>
      <c r="AO349" s="16" t="n">
        <v>72</v>
      </c>
      <c r="AP349" s="36" t="n">
        <f aca="false">(AO349*70)/100</f>
        <v>50.4</v>
      </c>
      <c r="AQ349" s="37" t="n">
        <f aca="false">ROUNDUP(AP349,0)</f>
        <v>51</v>
      </c>
      <c r="AR349" s="16" t="n">
        <v>30</v>
      </c>
      <c r="AS349" s="16" t="n">
        <f aca="false">AR349+AP349</f>
        <v>80.4</v>
      </c>
      <c r="AT349" s="16" t="n">
        <f aca="false">AR349+AQ349</f>
        <v>81</v>
      </c>
      <c r="AU349" s="16" t="n">
        <f aca="false">AO349+AF349+AI349+AH349+AG349</f>
        <v>407</v>
      </c>
      <c r="AV349" s="16" t="n">
        <f aca="false">(AO349+AF349+AI349+AH349+AG349)/5</f>
        <v>81.4</v>
      </c>
      <c r="AW349" s="36" t="n">
        <f aca="false">(AO349+AF349+AI349+AH349+AG349+X349+R349+Q349+K349+J349)</f>
        <v>764</v>
      </c>
      <c r="AX349" s="16" t="n">
        <f aca="false">AW349/10</f>
        <v>76.4</v>
      </c>
      <c r="AY349" s="16" t="n">
        <f aca="false">AS349+AF349+AM349+AH349+AG349+AB349+V349+Q349+O349+J349</f>
        <v>783</v>
      </c>
      <c r="AZ349" s="16" t="n">
        <f aca="false">AT349+AF349+AN349+AH349+AG349+AC349+W349+Q349+P349+J349</f>
        <v>785</v>
      </c>
      <c r="BA349" s="16" t="n">
        <f aca="false">AY349/10</f>
        <v>78.3</v>
      </c>
      <c r="BB349" s="16" t="n">
        <f aca="false">AZ349/10</f>
        <v>78.5</v>
      </c>
      <c r="BC349" s="16" t="n">
        <v>2350</v>
      </c>
      <c r="BD349" s="16" t="n">
        <f aca="false">RANK(AX349,$AX$2:$AX$881,0)</f>
        <v>577</v>
      </c>
      <c r="BE349" s="54" t="n">
        <f aca="false">((BC349*100)/2400)*0.4+(AX349*0.6)</f>
        <v>85.0066666666667</v>
      </c>
      <c r="BF349" s="16" t="n">
        <f aca="false">RANK(BE349,$BE$2:$BE$881,0)</f>
        <v>612</v>
      </c>
      <c r="BG349" s="39" t="n">
        <f aca="false">RANK(BB349,$BB$2:$BB$881,0)</f>
        <v>505</v>
      </c>
      <c r="BH349" s="39" t="n">
        <f aca="false">RANK(BC349,$BC$2:$BC$881,0)</f>
        <v>532</v>
      </c>
      <c r="BI349" s="22" t="s">
        <v>130</v>
      </c>
      <c r="BJ349" s="22" t="s">
        <v>129</v>
      </c>
      <c r="BK349" s="22" t="s">
        <v>509</v>
      </c>
      <c r="BL349" s="41" t="n">
        <v>23</v>
      </c>
      <c r="BM349" s="41" t="n">
        <v>52</v>
      </c>
      <c r="BN349" s="41" t="n">
        <v>75</v>
      </c>
      <c r="BO349" s="42" t="n">
        <v>27</v>
      </c>
      <c r="BP349" s="43" t="n">
        <v>52</v>
      </c>
      <c r="BQ349" s="44" t="n">
        <v>79</v>
      </c>
      <c r="BR349" s="42" t="n">
        <v>25</v>
      </c>
      <c r="BS349" s="45" t="n">
        <v>46</v>
      </c>
      <c r="BT349" s="45" t="n">
        <v>71</v>
      </c>
      <c r="BU349" s="46" t="n">
        <v>99</v>
      </c>
      <c r="BV349" s="47" t="n">
        <v>92</v>
      </c>
      <c r="BW349" s="42" t="n">
        <v>96</v>
      </c>
      <c r="BX349" s="48" t="n">
        <v>92</v>
      </c>
      <c r="BY349" s="32" t="n">
        <v>27</v>
      </c>
      <c r="BZ349" s="32" t="n">
        <v>47</v>
      </c>
      <c r="CA349" s="32" t="n">
        <v>74</v>
      </c>
      <c r="CB349" s="32" t="n">
        <v>23</v>
      </c>
      <c r="CC349" s="32" t="n">
        <v>38</v>
      </c>
      <c r="CD349" s="32" t="n">
        <v>61</v>
      </c>
      <c r="CE349" s="32" t="n">
        <v>24</v>
      </c>
      <c r="CF349" s="32" t="n">
        <v>52</v>
      </c>
      <c r="CG349" s="32" t="n">
        <v>76</v>
      </c>
      <c r="CH349" s="32" t="n">
        <v>96</v>
      </c>
      <c r="CI349" s="32" t="n">
        <v>96</v>
      </c>
      <c r="CJ349" s="49" t="n">
        <v>25</v>
      </c>
      <c r="CK349" s="49" t="n">
        <v>59</v>
      </c>
      <c r="CL349" s="49" t="n">
        <v>84</v>
      </c>
      <c r="CM349" s="49" t="n">
        <v>27</v>
      </c>
      <c r="CN349" s="49" t="n">
        <v>52</v>
      </c>
      <c r="CO349" s="49" t="n">
        <v>79</v>
      </c>
      <c r="CP349" s="25" t="n">
        <f aca="false">BX349+BW349+BV349+BU349+BT349+BQ349+BN349</f>
        <v>604</v>
      </c>
      <c r="CQ349" s="25" t="n">
        <f aca="false">CO349+CL349+CI349+CH349+CG349+CD349+CA349</f>
        <v>566</v>
      </c>
      <c r="CR349" s="26" t="n">
        <f aca="false">CP349/7</f>
        <v>86.2857142857143</v>
      </c>
      <c r="CS349" s="26" t="n">
        <f aca="false">CQ349/7</f>
        <v>80.8571428571429</v>
      </c>
      <c r="CT349" s="24" t="n">
        <f aca="false">RANK(CR349,$CR$2:$CR$881,0)</f>
        <v>383</v>
      </c>
      <c r="CU349" s="25" t="n">
        <f aca="false">RANK(CS349,$CS$2:$CS$881,0)</f>
        <v>229</v>
      </c>
      <c r="CV349" s="26" t="n">
        <f aca="false">(CS349+CR349)/2</f>
        <v>83.5714285714286</v>
      </c>
      <c r="CW349" s="25" t="n">
        <f aca="false">RANK(CV349,$CV$2:$CV$881,0)</f>
        <v>273</v>
      </c>
      <c r="CX349" s="50" t="n">
        <f aca="false">(CV349+BB349)/2</f>
        <v>81.0357142857143</v>
      </c>
      <c r="CY349" s="50" t="n">
        <v>316</v>
      </c>
      <c r="CZ349" s="27" t="s">
        <v>132</v>
      </c>
      <c r="DA349" s="27" t="s">
        <v>169</v>
      </c>
      <c r="DB349" s="27" t="s">
        <v>169</v>
      </c>
      <c r="DC349" s="27" t="s">
        <v>134</v>
      </c>
      <c r="DD349" s="27" t="s">
        <v>174</v>
      </c>
      <c r="DE349" s="27" t="s">
        <v>313</v>
      </c>
      <c r="DF349" s="27" t="s">
        <v>372</v>
      </c>
      <c r="DG349" s="27" t="s">
        <v>134</v>
      </c>
      <c r="DH349" s="27" t="s">
        <v>164</v>
      </c>
      <c r="DI349" s="27" t="s">
        <v>313</v>
      </c>
      <c r="DJ349" s="27" t="s">
        <v>272</v>
      </c>
      <c r="DK349" s="27" t="s">
        <v>134</v>
      </c>
      <c r="DL349" s="27" t="s">
        <v>137</v>
      </c>
      <c r="DM349" s="27" t="s">
        <v>304</v>
      </c>
      <c r="DN349" s="27" t="s">
        <v>219</v>
      </c>
      <c r="DO349" s="27" t="s">
        <v>134</v>
      </c>
      <c r="DP349" s="27" t="s">
        <v>386</v>
      </c>
      <c r="DQ349" s="27" t="s">
        <v>479</v>
      </c>
      <c r="DR349" s="27" t="s">
        <v>218</v>
      </c>
      <c r="DS349" s="27" t="s">
        <v>480</v>
      </c>
      <c r="DT349" s="27" t="s">
        <v>137</v>
      </c>
      <c r="DU349" s="27" t="s">
        <v>375</v>
      </c>
      <c r="DV349" s="27" t="s">
        <v>443</v>
      </c>
      <c r="DW349" s="27" t="s">
        <v>137</v>
      </c>
      <c r="DX349" s="27" t="s">
        <v>138</v>
      </c>
      <c r="DY349" s="27" t="s">
        <v>139</v>
      </c>
      <c r="DZ349" s="27" t="n">
        <f aca="false">DY349+DV349+DR349+DN349+DJ349+DF349+DB349</f>
        <v>544</v>
      </c>
      <c r="EA349" s="28" t="n">
        <f aca="false">DZ349/7</f>
        <v>77.7142857142857</v>
      </c>
      <c r="EB349" s="27" t="n">
        <f aca="false">RANK(EA349,$EA$2:$EA$881,0)</f>
        <v>467</v>
      </c>
      <c r="EC349" s="29" t="n">
        <f aca="false">DZ349+CQ349+CP349+AZ349</f>
        <v>2499</v>
      </c>
      <c r="ED349" s="30" t="n">
        <f aca="false">(EA349+CV349+BB349)/3</f>
        <v>79.9285714285714</v>
      </c>
      <c r="EE349" s="51" t="n">
        <f aca="false">ROUND(BE349,3)</f>
        <v>85.007</v>
      </c>
      <c r="EF349" s="51" t="n">
        <f aca="false">ROUND(CR349,3)</f>
        <v>86.286</v>
      </c>
      <c r="EG349" s="51" t="n">
        <f aca="false">ROUND(CS349,3)</f>
        <v>80.857</v>
      </c>
      <c r="EH349" s="51" t="n">
        <f aca="false">ROUND(EA349,3)</f>
        <v>77.714</v>
      </c>
      <c r="EI349" s="51" t="n">
        <f aca="false">ROUND(ED349,3)</f>
        <v>79.929</v>
      </c>
      <c r="EJ349" s="51" t="n">
        <f aca="false">ROUND(CV349,3)</f>
        <v>83.571</v>
      </c>
      <c r="EK349" s="0" t="n">
        <f aca="false">RANK(EI349,$EI$2:$EI$881,0)</f>
        <v>348</v>
      </c>
    </row>
    <row r="350" customFormat="false" ht="15" hidden="false" customHeight="false" outlineLevel="0" collapsed="false">
      <c r="A350" s="4" t="n">
        <v>2082</v>
      </c>
      <c r="B350" s="4" t="n">
        <v>327</v>
      </c>
      <c r="C350" s="27" t="s">
        <v>1154</v>
      </c>
      <c r="D350" s="31" t="n">
        <v>329</v>
      </c>
      <c r="E350" s="32" t="n">
        <v>233200030</v>
      </c>
      <c r="F350" s="8" t="s">
        <v>1155</v>
      </c>
      <c r="G350" s="66" t="s">
        <v>1156</v>
      </c>
      <c r="H350" s="66" t="s">
        <v>129</v>
      </c>
      <c r="I350" s="67"/>
      <c r="J350" s="32" t="n">
        <v>65</v>
      </c>
      <c r="K350" s="32" t="n">
        <v>81</v>
      </c>
      <c r="L350" s="34" t="n">
        <f aca="false">(K350*70)/100</f>
        <v>56.7</v>
      </c>
      <c r="M350" s="34" t="n">
        <f aca="false">ROUNDUP(L350,0)</f>
        <v>57</v>
      </c>
      <c r="N350" s="32" t="n">
        <v>25</v>
      </c>
      <c r="O350" s="34" t="n">
        <f aca="false">N350+L350</f>
        <v>81.7</v>
      </c>
      <c r="P350" s="34" t="n">
        <f aca="false">N350+M350</f>
        <v>82</v>
      </c>
      <c r="Q350" s="32" t="n">
        <v>71</v>
      </c>
      <c r="R350" s="32" t="n">
        <v>70</v>
      </c>
      <c r="S350" s="34" t="n">
        <f aca="false">(R350*70)/100</f>
        <v>49</v>
      </c>
      <c r="T350" s="34" t="n">
        <f aca="false">ROUNDUP(S350,0)</f>
        <v>49</v>
      </c>
      <c r="U350" s="32" t="n">
        <v>21</v>
      </c>
      <c r="V350" s="34" t="n">
        <f aca="false">U350+S350</f>
        <v>70</v>
      </c>
      <c r="W350" s="34" t="n">
        <f aca="false">U350+T350</f>
        <v>70</v>
      </c>
      <c r="X350" s="32" t="n">
        <v>76</v>
      </c>
      <c r="Y350" s="34" t="n">
        <f aca="false">(X350*70)/100</f>
        <v>53.2</v>
      </c>
      <c r="Z350" s="34" t="n">
        <f aca="false">ROUNDUP(Y350,0)</f>
        <v>54</v>
      </c>
      <c r="AA350" s="32" t="n">
        <v>23</v>
      </c>
      <c r="AB350" s="34" t="n">
        <f aca="false">AA350+Y350</f>
        <v>76.2</v>
      </c>
      <c r="AC350" s="34" t="n">
        <f aca="false">AA350+Z350</f>
        <v>77</v>
      </c>
      <c r="AD350" s="32" t="n">
        <f aca="false">X350+R350+Q350+K350+J350</f>
        <v>363</v>
      </c>
      <c r="AE350" s="16" t="n">
        <f aca="false">AD350/5</f>
        <v>72.6</v>
      </c>
      <c r="AF350" s="16" t="n">
        <v>77</v>
      </c>
      <c r="AG350" s="16" t="n">
        <v>70</v>
      </c>
      <c r="AH350" s="16" t="n">
        <v>92</v>
      </c>
      <c r="AI350" s="16" t="n">
        <v>94</v>
      </c>
      <c r="AJ350" s="16" t="n">
        <f aca="false">(AI350*70)/100</f>
        <v>65.8</v>
      </c>
      <c r="AK350" s="35" t="n">
        <f aca="false">ROUNDUP(AJ350,0)</f>
        <v>66</v>
      </c>
      <c r="AL350" s="16" t="n">
        <v>27</v>
      </c>
      <c r="AM350" s="16" t="n">
        <f aca="false">AL350+AJ350</f>
        <v>92.8</v>
      </c>
      <c r="AN350" s="16" t="n">
        <f aca="false">AL350+AK350</f>
        <v>93</v>
      </c>
      <c r="AO350" s="16" t="n">
        <v>81</v>
      </c>
      <c r="AP350" s="36" t="n">
        <f aca="false">(AO350*70)/100</f>
        <v>56.7</v>
      </c>
      <c r="AQ350" s="37" t="n">
        <f aca="false">ROUNDUP(AP350,0)</f>
        <v>57</v>
      </c>
      <c r="AR350" s="16" t="n">
        <v>28</v>
      </c>
      <c r="AS350" s="16" t="n">
        <f aca="false">AR350+AP350</f>
        <v>84.7</v>
      </c>
      <c r="AT350" s="16" t="n">
        <f aca="false">AR350+AQ350</f>
        <v>85</v>
      </c>
      <c r="AU350" s="16" t="n">
        <f aca="false">AO350+AF350+AI350+AH350+AG350</f>
        <v>414</v>
      </c>
      <c r="AV350" s="16" t="n">
        <f aca="false">(AO350+AF350+AI350+AH350+AG350)/5</f>
        <v>82.8</v>
      </c>
      <c r="AW350" s="36" t="n">
        <f aca="false">(AO350+AF350+AI350+AH350+AG350+X350+R350+Q350+K350+J350)</f>
        <v>777</v>
      </c>
      <c r="AX350" s="16" t="n">
        <f aca="false">AW350/10</f>
        <v>77.7</v>
      </c>
      <c r="AY350" s="16" t="n">
        <f aca="false">AS350+AF350+AM350+AH350+AG350+AB350+V350+Q350+O350+J350</f>
        <v>780.4</v>
      </c>
      <c r="AZ350" s="16" t="n">
        <f aca="false">AT350+AF350+AN350+AH350+AG350+AC350+W350+Q350+P350+J350</f>
        <v>782</v>
      </c>
      <c r="BA350" s="16" t="n">
        <f aca="false">AY350/10</f>
        <v>78.04</v>
      </c>
      <c r="BB350" s="16" t="n">
        <f aca="false">AZ350/10</f>
        <v>78.2</v>
      </c>
      <c r="BC350" s="72" t="n">
        <v>0</v>
      </c>
      <c r="BD350" s="16" t="n">
        <f aca="false">RANK(AX350,$AX$2:$AX$881,0)</f>
        <v>433</v>
      </c>
      <c r="BE350" s="78" t="n">
        <f aca="false">AX350</f>
        <v>77.7</v>
      </c>
      <c r="BF350" s="16" t="n">
        <f aca="false">RANK(BE350,$BE$2:$BE$881,0)</f>
        <v>749</v>
      </c>
      <c r="BG350" s="39" t="n">
        <f aca="false">RANK(BB350,$BB$2:$BB$881,0)</f>
        <v>541</v>
      </c>
      <c r="BH350" s="39" t="n">
        <f aca="false">RANK(BC350,$BC$2:$BC$881,0)</f>
        <v>780</v>
      </c>
      <c r="BI350" s="22" t="s">
        <v>130</v>
      </c>
      <c r="BJ350" s="22" t="s">
        <v>129</v>
      </c>
      <c r="BK350" s="22" t="s">
        <v>526</v>
      </c>
      <c r="BL350" s="41" t="n">
        <v>23</v>
      </c>
      <c r="BM350" s="41" t="n">
        <v>53</v>
      </c>
      <c r="BN350" s="41" t="n">
        <v>76</v>
      </c>
      <c r="BO350" s="42" t="n">
        <v>25</v>
      </c>
      <c r="BP350" s="43" t="n">
        <v>65</v>
      </c>
      <c r="BQ350" s="44" t="n">
        <v>90</v>
      </c>
      <c r="BR350" s="42" t="n">
        <v>24</v>
      </c>
      <c r="BS350" s="45" t="n">
        <v>55</v>
      </c>
      <c r="BT350" s="45" t="n">
        <v>79</v>
      </c>
      <c r="BU350" s="46" t="n">
        <v>100</v>
      </c>
      <c r="BV350" s="47" t="n">
        <v>90</v>
      </c>
      <c r="BW350" s="42" t="n">
        <v>98</v>
      </c>
      <c r="BX350" s="48" t="n">
        <v>98</v>
      </c>
      <c r="BY350" s="32" t="n">
        <v>28</v>
      </c>
      <c r="BZ350" s="32" t="n">
        <v>62</v>
      </c>
      <c r="CA350" s="32" t="n">
        <v>90</v>
      </c>
      <c r="CB350" s="32" t="n">
        <v>20</v>
      </c>
      <c r="CC350" s="32" t="n">
        <v>41</v>
      </c>
      <c r="CD350" s="32" t="n">
        <v>61</v>
      </c>
      <c r="CE350" s="32" t="n">
        <v>25</v>
      </c>
      <c r="CF350" s="32" t="n">
        <v>58</v>
      </c>
      <c r="CG350" s="32" t="n">
        <v>83</v>
      </c>
      <c r="CH350" s="32" t="n">
        <v>99</v>
      </c>
      <c r="CI350" s="32" t="n">
        <v>100</v>
      </c>
      <c r="CJ350" s="49" t="n">
        <v>22</v>
      </c>
      <c r="CK350" s="49" t="n">
        <v>55</v>
      </c>
      <c r="CL350" s="49" t="n">
        <v>77</v>
      </c>
      <c r="CM350" s="49" t="n">
        <v>22</v>
      </c>
      <c r="CN350" s="49" t="n">
        <v>55</v>
      </c>
      <c r="CO350" s="49" t="n">
        <v>77</v>
      </c>
      <c r="CP350" s="25" t="n">
        <f aca="false">BX350+BW350+BV350+BU350+BT350+BQ350+BN350</f>
        <v>631</v>
      </c>
      <c r="CQ350" s="25" t="n">
        <f aca="false">CO350+CL350+CI350+CH350+CG350+CD350+CA350</f>
        <v>587</v>
      </c>
      <c r="CR350" s="26" t="n">
        <f aca="false">CP350/7</f>
        <v>90.1428571428571</v>
      </c>
      <c r="CS350" s="26" t="n">
        <f aca="false">CQ350/7</f>
        <v>83.8571428571429</v>
      </c>
      <c r="CT350" s="24" t="n">
        <f aca="false">RANK(CR350,$CR$2:$CR$881,0)</f>
        <v>172</v>
      </c>
      <c r="CU350" s="25" t="n">
        <f aca="false">RANK(CS350,$CS$2:$CS$881,0)</f>
        <v>125</v>
      </c>
      <c r="CV350" s="26" t="n">
        <f aca="false">(CS350+CR350)/2</f>
        <v>87</v>
      </c>
      <c r="CW350" s="25" t="n">
        <f aca="false">RANK(CV350,$CV$2:$CV$881,0)</f>
        <v>137</v>
      </c>
      <c r="CX350" s="50" t="n">
        <f aca="false">(CV350+BB350)/2</f>
        <v>82.6</v>
      </c>
      <c r="CY350" s="50" t="n">
        <v>229</v>
      </c>
      <c r="CZ350" s="27" t="s">
        <v>132</v>
      </c>
      <c r="DA350" s="27" t="s">
        <v>162</v>
      </c>
      <c r="DB350" s="27" t="s">
        <v>162</v>
      </c>
      <c r="DC350" s="27" t="s">
        <v>134</v>
      </c>
      <c r="DD350" s="27" t="s">
        <v>135</v>
      </c>
      <c r="DE350" s="27" t="s">
        <v>177</v>
      </c>
      <c r="DF350" s="27" t="s">
        <v>175</v>
      </c>
      <c r="DG350" s="27" t="s">
        <v>134</v>
      </c>
      <c r="DH350" s="27" t="s">
        <v>182</v>
      </c>
      <c r="DI350" s="27" t="s">
        <v>152</v>
      </c>
      <c r="DJ350" s="27" t="s">
        <v>133</v>
      </c>
      <c r="DK350" s="27" t="s">
        <v>134</v>
      </c>
      <c r="DL350" s="27"/>
      <c r="DM350" s="27"/>
      <c r="DN350" s="27"/>
      <c r="DO350" s="27"/>
      <c r="DP350" s="27" t="s">
        <v>191</v>
      </c>
      <c r="DQ350" s="27" t="s">
        <v>161</v>
      </c>
      <c r="DR350" s="27" t="s">
        <v>196</v>
      </c>
      <c r="DS350" s="27" t="s">
        <v>134</v>
      </c>
      <c r="DT350" s="27" t="s">
        <v>164</v>
      </c>
      <c r="DU350" s="27" t="s">
        <v>447</v>
      </c>
      <c r="DV350" s="27" t="s">
        <v>219</v>
      </c>
      <c r="DW350" s="27" t="s">
        <v>140</v>
      </c>
      <c r="DX350" s="27" t="s">
        <v>155</v>
      </c>
      <c r="DY350" s="27" t="s">
        <v>147</v>
      </c>
      <c r="DZ350" s="27" t="n">
        <f aca="false">DY350+DV350+DR350+DN350+DJ350+DF350+DB350</f>
        <v>522</v>
      </c>
      <c r="EA350" s="28" t="n">
        <f aca="false">DZ350/7</f>
        <v>74.5714285714286</v>
      </c>
      <c r="EB350" s="27" t="n">
        <f aca="false">RANK(EA350,$EA$2:$EA$881,0)</f>
        <v>547</v>
      </c>
      <c r="EC350" s="29" t="n">
        <f aca="false">DZ350+CQ350+CP350+AZ350</f>
        <v>2522</v>
      </c>
      <c r="ED350" s="30" t="n">
        <f aca="false">(EA350+CV350+BB350)/3</f>
        <v>79.9238095238095</v>
      </c>
      <c r="EE350" s="51" t="n">
        <f aca="false">ROUND(BE350,3)</f>
        <v>77.7</v>
      </c>
      <c r="EF350" s="51" t="n">
        <f aca="false">ROUND(CR350,3)</f>
        <v>90.143</v>
      </c>
      <c r="EG350" s="51" t="n">
        <f aca="false">ROUND(CS350,3)</f>
        <v>83.857</v>
      </c>
      <c r="EH350" s="51" t="n">
        <f aca="false">ROUND(EA350,3)</f>
        <v>74.571</v>
      </c>
      <c r="EI350" s="51" t="n">
        <f aca="false">ROUND(ED350,3)</f>
        <v>79.924</v>
      </c>
      <c r="EJ350" s="51" t="n">
        <f aca="false">ROUND(CV350,3)</f>
        <v>87</v>
      </c>
      <c r="EK350" s="0" t="n">
        <f aca="false">RANK(EI350,$EI$2:$EI$881,0)</f>
        <v>349</v>
      </c>
    </row>
    <row r="351" customFormat="false" ht="15" hidden="false" customHeight="false" outlineLevel="0" collapsed="false">
      <c r="A351" s="4" t="n">
        <v>8683</v>
      </c>
      <c r="B351" s="4" t="n">
        <v>558</v>
      </c>
      <c r="C351" s="27" t="s">
        <v>1157</v>
      </c>
      <c r="D351" s="31" t="n">
        <v>563</v>
      </c>
      <c r="E351" s="62" t="n">
        <v>230319763</v>
      </c>
      <c r="F351" s="8" t="s">
        <v>1158</v>
      </c>
      <c r="G351" s="63" t="s">
        <v>1159</v>
      </c>
      <c r="H351" s="22" t="s">
        <v>129</v>
      </c>
      <c r="I351" s="64" t="n">
        <v>2005</v>
      </c>
      <c r="J351" s="62" t="n">
        <v>85</v>
      </c>
      <c r="K351" s="62" t="n">
        <v>71</v>
      </c>
      <c r="L351" s="34" t="n">
        <f aca="false">(K351*70)/100</f>
        <v>49.7</v>
      </c>
      <c r="M351" s="34" t="n">
        <f aca="false">ROUNDUP(L351,0)</f>
        <v>50</v>
      </c>
      <c r="N351" s="62" t="n">
        <v>25</v>
      </c>
      <c r="O351" s="34" t="n">
        <f aca="false">N351+L351</f>
        <v>74.7</v>
      </c>
      <c r="P351" s="34" t="n">
        <f aca="false">N351+M351</f>
        <v>75</v>
      </c>
      <c r="Q351" s="62" t="n">
        <v>79</v>
      </c>
      <c r="R351" s="62" t="n">
        <v>83</v>
      </c>
      <c r="S351" s="34" t="n">
        <f aca="false">(R351*70)/100</f>
        <v>58.1</v>
      </c>
      <c r="T351" s="34" t="n">
        <f aca="false">ROUNDUP(S351,0)</f>
        <v>59</v>
      </c>
      <c r="U351" s="62" t="n">
        <v>27</v>
      </c>
      <c r="V351" s="34" t="n">
        <f aca="false">U351+S351</f>
        <v>85.1</v>
      </c>
      <c r="W351" s="34" t="n">
        <f aca="false">U351+T351</f>
        <v>86</v>
      </c>
      <c r="X351" s="62" t="n">
        <v>74</v>
      </c>
      <c r="Y351" s="34" t="n">
        <f aca="false">(X351*70)/100</f>
        <v>51.8</v>
      </c>
      <c r="Z351" s="34" t="n">
        <f aca="false">ROUNDUP(Y351,0)</f>
        <v>52</v>
      </c>
      <c r="AA351" s="62" t="n">
        <v>25</v>
      </c>
      <c r="AB351" s="34" t="n">
        <f aca="false">AA351+Y351</f>
        <v>76.8</v>
      </c>
      <c r="AC351" s="34" t="n">
        <f aca="false">AA351+Z351</f>
        <v>77</v>
      </c>
      <c r="AD351" s="32" t="n">
        <f aca="false">X351+R351+Q351+K351+J351</f>
        <v>392</v>
      </c>
      <c r="AE351" s="16" t="n">
        <f aca="false">AD351/5</f>
        <v>78.4</v>
      </c>
      <c r="AF351" s="65" t="n">
        <v>68</v>
      </c>
      <c r="AG351" s="65" t="n">
        <v>92</v>
      </c>
      <c r="AH351" s="65" t="n">
        <v>84</v>
      </c>
      <c r="AI351" s="65" t="n">
        <v>92</v>
      </c>
      <c r="AJ351" s="16" t="n">
        <f aca="false">(AI351*70)/100</f>
        <v>64.4</v>
      </c>
      <c r="AK351" s="35" t="n">
        <f aca="false">ROUNDUP(AJ351,0)</f>
        <v>65</v>
      </c>
      <c r="AL351" s="65" t="n">
        <v>26</v>
      </c>
      <c r="AM351" s="16" t="n">
        <f aca="false">AL351+AJ351</f>
        <v>90.4</v>
      </c>
      <c r="AN351" s="16" t="n">
        <f aca="false">AL351+AK351</f>
        <v>91</v>
      </c>
      <c r="AO351" s="65" t="n">
        <v>73</v>
      </c>
      <c r="AP351" s="36" t="n">
        <f aca="false">(AO351*70)/100</f>
        <v>51.1</v>
      </c>
      <c r="AQ351" s="37" t="n">
        <f aca="false">ROUNDUP(AP351,0)</f>
        <v>52</v>
      </c>
      <c r="AR351" s="65" t="n">
        <v>29</v>
      </c>
      <c r="AS351" s="16" t="n">
        <f aca="false">AR351+AP351</f>
        <v>80.1</v>
      </c>
      <c r="AT351" s="16" t="n">
        <f aca="false">AR351+AQ351</f>
        <v>81</v>
      </c>
      <c r="AU351" s="16" t="n">
        <f aca="false">AO351+AF351+AI351+AH351+AG351</f>
        <v>409</v>
      </c>
      <c r="AV351" s="16" t="n">
        <f aca="false">(AO351+AF351+AI351+AH351+AG351)/5</f>
        <v>81.8</v>
      </c>
      <c r="AW351" s="36" t="n">
        <f aca="false">(AO351+AF351+AI351+AH351+AG351+X351+R351+Q351+K351+J351)</f>
        <v>801</v>
      </c>
      <c r="AX351" s="16" t="n">
        <f aca="false">AW351/10</f>
        <v>80.1</v>
      </c>
      <c r="AY351" s="16" t="n">
        <f aca="false">AS351+AF351+AM351+AH351+AG351+AB351+V351+Q351+O351+J351</f>
        <v>815.1</v>
      </c>
      <c r="AZ351" s="16" t="n">
        <f aca="false">AT351+AF351+AN351+AH351+AG351+AC351+W351+Q351+P351+J351</f>
        <v>818</v>
      </c>
      <c r="BA351" s="16" t="n">
        <f aca="false">AY351/10</f>
        <v>81.51</v>
      </c>
      <c r="BB351" s="16" t="n">
        <f aca="false">AZ351/10</f>
        <v>81.8</v>
      </c>
      <c r="BC351" s="65" t="n">
        <v>2355</v>
      </c>
      <c r="BD351" s="16" t="n">
        <f aca="false">RANK(AX351,$AX$2:$AX$881,0)</f>
        <v>257</v>
      </c>
      <c r="BE351" s="54" t="n">
        <f aca="false">((BC351*100)/2400)*0.4+(AX351*0.6)</f>
        <v>87.31</v>
      </c>
      <c r="BF351" s="16" t="n">
        <f aca="false">RANK(BE351,$BE$2:$BE$881,0)</f>
        <v>268</v>
      </c>
      <c r="BG351" s="39" t="n">
        <f aca="false">RANK(BB351,$BB$2:$BB$881,0)</f>
        <v>222</v>
      </c>
      <c r="BH351" s="39" t="n">
        <f aca="false">RANK(BC351,$BC$2:$BC$881,0)</f>
        <v>476</v>
      </c>
      <c r="BI351" s="22" t="s">
        <v>130</v>
      </c>
      <c r="BJ351" s="22" t="s">
        <v>129</v>
      </c>
      <c r="BK351" s="40" t="s">
        <v>131</v>
      </c>
      <c r="BL351" s="41" t="n">
        <v>22</v>
      </c>
      <c r="BM351" s="41" t="n">
        <v>53</v>
      </c>
      <c r="BN351" s="41" t="n">
        <v>75</v>
      </c>
      <c r="BO351" s="42" t="n">
        <v>23</v>
      </c>
      <c r="BP351" s="43" t="n">
        <v>56</v>
      </c>
      <c r="BQ351" s="44" t="n">
        <v>79</v>
      </c>
      <c r="BR351" s="42" t="n">
        <v>22</v>
      </c>
      <c r="BS351" s="45" t="n">
        <v>46</v>
      </c>
      <c r="BT351" s="45" t="n">
        <v>68</v>
      </c>
      <c r="BU351" s="46" t="n">
        <v>100</v>
      </c>
      <c r="BV351" s="47" t="n">
        <v>94</v>
      </c>
      <c r="BW351" s="42" t="n">
        <v>99</v>
      </c>
      <c r="BX351" s="48" t="n">
        <v>98</v>
      </c>
      <c r="BY351" s="32" t="n">
        <v>24</v>
      </c>
      <c r="BZ351" s="32" t="n">
        <v>46</v>
      </c>
      <c r="CA351" s="32" t="n">
        <v>70</v>
      </c>
      <c r="CB351" s="32" t="n">
        <v>20</v>
      </c>
      <c r="CC351" s="32" t="n">
        <v>38</v>
      </c>
      <c r="CD351" s="69" t="n">
        <v>58</v>
      </c>
      <c r="CE351" s="32" t="n">
        <v>26</v>
      </c>
      <c r="CF351" s="32" t="n">
        <v>45</v>
      </c>
      <c r="CG351" s="32" t="n">
        <v>71</v>
      </c>
      <c r="CH351" s="32" t="n">
        <v>99</v>
      </c>
      <c r="CI351" s="32" t="n">
        <v>93</v>
      </c>
      <c r="CJ351" s="49" t="n">
        <v>26</v>
      </c>
      <c r="CK351" s="49" t="n">
        <v>0</v>
      </c>
      <c r="CL351" s="76" t="n">
        <v>26</v>
      </c>
      <c r="CM351" s="49" t="n">
        <v>24</v>
      </c>
      <c r="CN351" s="49" t="n">
        <v>51</v>
      </c>
      <c r="CO351" s="49" t="n">
        <v>75</v>
      </c>
      <c r="CP351" s="25" t="n">
        <f aca="false">BX351+BW351+BV351+BU351+BT351+BQ351+BN351</f>
        <v>613</v>
      </c>
      <c r="CQ351" s="25" t="n">
        <f aca="false">CO351+CL351+CI351+CH351+CG351+CD351+CA351</f>
        <v>492</v>
      </c>
      <c r="CR351" s="26" t="n">
        <f aca="false">CP351/7</f>
        <v>87.5714285714286</v>
      </c>
      <c r="CS351" s="26" t="n">
        <f aca="false">CQ351/7</f>
        <v>70.2857142857143</v>
      </c>
      <c r="CT351" s="24" t="n">
        <f aca="false">RANK(CR351,$CR$2:$CR$881,0)</f>
        <v>329</v>
      </c>
      <c r="CU351" s="25" t="n">
        <f aca="false">RANK(CS351,$CS$2:$CS$881,0)</f>
        <v>550</v>
      </c>
      <c r="CV351" s="26" t="n">
        <f aca="false">(CS351+CR351)/2</f>
        <v>78.9285714285714</v>
      </c>
      <c r="CW351" s="25" t="n">
        <f aca="false">RANK(CV351,$CV$2:$CV$881,0)</f>
        <v>464</v>
      </c>
      <c r="CX351" s="50" t="n">
        <f aca="false">(CV351+BB351)/2</f>
        <v>80.3642857142857</v>
      </c>
      <c r="CY351" s="50" t="n">
        <v>354</v>
      </c>
      <c r="CZ351" s="27" t="s">
        <v>132</v>
      </c>
      <c r="DA351" s="27" t="s">
        <v>162</v>
      </c>
      <c r="DB351" s="27" t="s">
        <v>162</v>
      </c>
      <c r="DC351" s="27" t="s">
        <v>134</v>
      </c>
      <c r="DD351" s="27" t="s">
        <v>137</v>
      </c>
      <c r="DE351" s="27" t="s">
        <v>203</v>
      </c>
      <c r="DF351" s="27" t="s">
        <v>133</v>
      </c>
      <c r="DG351" s="27" t="s">
        <v>134</v>
      </c>
      <c r="DH351" s="27" t="s">
        <v>174</v>
      </c>
      <c r="DI351" s="27" t="s">
        <v>313</v>
      </c>
      <c r="DJ351" s="27" t="s">
        <v>372</v>
      </c>
      <c r="DK351" s="27" t="s">
        <v>134</v>
      </c>
      <c r="DL351" s="27" t="s">
        <v>154</v>
      </c>
      <c r="DM351" s="27" t="s">
        <v>313</v>
      </c>
      <c r="DN351" s="27" t="s">
        <v>441</v>
      </c>
      <c r="DO351" s="27" t="s">
        <v>134</v>
      </c>
      <c r="DP351" s="27" t="s">
        <v>386</v>
      </c>
      <c r="DQ351" s="27" t="s">
        <v>399</v>
      </c>
      <c r="DR351" s="27" t="s">
        <v>187</v>
      </c>
      <c r="DS351" s="27" t="s">
        <v>134</v>
      </c>
      <c r="DT351" s="27" t="s">
        <v>137</v>
      </c>
      <c r="DU351" s="27" t="s">
        <v>220</v>
      </c>
      <c r="DV351" s="27" t="s">
        <v>205</v>
      </c>
      <c r="DW351" s="27" t="s">
        <v>137</v>
      </c>
      <c r="DX351" s="27" t="s">
        <v>447</v>
      </c>
      <c r="DY351" s="27" t="s">
        <v>272</v>
      </c>
      <c r="DZ351" s="27" t="n">
        <f aca="false">DY351+DV351+DR351+DN351+DJ351+DF351+DB351</f>
        <v>553</v>
      </c>
      <c r="EA351" s="28" t="n">
        <f aca="false">DZ351/7</f>
        <v>79</v>
      </c>
      <c r="EB351" s="27" t="n">
        <f aca="false">RANK(EA351,$EA$2:$EA$881,0)</f>
        <v>431</v>
      </c>
      <c r="EC351" s="29" t="n">
        <f aca="false">DZ351+CQ351+CP351+AZ351</f>
        <v>2476</v>
      </c>
      <c r="ED351" s="30" t="n">
        <f aca="false">(EA351+CV351+BB351)/3</f>
        <v>79.9095238095238</v>
      </c>
      <c r="EE351" s="51" t="n">
        <f aca="false">ROUND(BE351,3)</f>
        <v>87.31</v>
      </c>
      <c r="EF351" s="51" t="n">
        <f aca="false">ROUND(CR351,3)</f>
        <v>87.571</v>
      </c>
      <c r="EG351" s="51" t="n">
        <f aca="false">ROUND(CS351,3)</f>
        <v>70.286</v>
      </c>
      <c r="EH351" s="51" t="n">
        <f aca="false">ROUND(EA351,3)</f>
        <v>79</v>
      </c>
      <c r="EI351" s="51" t="n">
        <f aca="false">ROUND(ED351,3)</f>
        <v>79.91</v>
      </c>
      <c r="EJ351" s="51" t="n">
        <f aca="false">ROUND(CV351,3)</f>
        <v>78.929</v>
      </c>
      <c r="EK351" s="0" t="n">
        <f aca="false">RANK(EI351,$EI$2:$EI$881,0)</f>
        <v>350</v>
      </c>
    </row>
    <row r="352" customFormat="false" ht="22.05" hidden="false" customHeight="false" outlineLevel="0" collapsed="false">
      <c r="A352" s="4" t="n">
        <v>1834</v>
      </c>
      <c r="B352" s="4" t="n">
        <v>455</v>
      </c>
      <c r="C352" s="27" t="s">
        <v>1160</v>
      </c>
      <c r="D352" s="31" t="n">
        <v>460</v>
      </c>
      <c r="E352" s="16" t="n">
        <v>230132472</v>
      </c>
      <c r="F352" s="94" t="s">
        <v>1161</v>
      </c>
      <c r="G352" s="22" t="s">
        <v>1162</v>
      </c>
      <c r="H352" s="22" t="s">
        <v>326</v>
      </c>
      <c r="I352" s="57"/>
      <c r="J352" s="16" t="n">
        <v>83</v>
      </c>
      <c r="K352" s="16" t="n">
        <v>72</v>
      </c>
      <c r="L352" s="34" t="n">
        <f aca="false">(K352*70)/100</f>
        <v>50.4</v>
      </c>
      <c r="M352" s="34" t="n">
        <f aca="false">ROUNDUP(L352,0)</f>
        <v>51</v>
      </c>
      <c r="N352" s="16" t="n">
        <v>22</v>
      </c>
      <c r="O352" s="34" t="n">
        <f aca="false">N352+L352</f>
        <v>72.4</v>
      </c>
      <c r="P352" s="34" t="n">
        <f aca="false">N352+M352</f>
        <v>73</v>
      </c>
      <c r="Q352" s="16" t="n">
        <v>75</v>
      </c>
      <c r="R352" s="16" t="n">
        <v>76</v>
      </c>
      <c r="S352" s="34" t="n">
        <f aca="false">(R352*70)/100</f>
        <v>53.2</v>
      </c>
      <c r="T352" s="34" t="n">
        <f aca="false">ROUNDUP(S352,0)</f>
        <v>54</v>
      </c>
      <c r="U352" s="16" t="n">
        <v>26</v>
      </c>
      <c r="V352" s="34" t="n">
        <f aca="false">U352+S352</f>
        <v>79.2</v>
      </c>
      <c r="W352" s="34" t="n">
        <f aca="false">U352+T352</f>
        <v>80</v>
      </c>
      <c r="X352" s="16" t="n">
        <v>66</v>
      </c>
      <c r="Y352" s="34" t="n">
        <f aca="false">(X352*70)/100</f>
        <v>46.2</v>
      </c>
      <c r="Z352" s="34" t="n">
        <f aca="false">ROUNDUP(Y352,0)</f>
        <v>47</v>
      </c>
      <c r="AA352" s="16" t="n">
        <v>26</v>
      </c>
      <c r="AB352" s="34" t="n">
        <f aca="false">AA352+Y352</f>
        <v>72.2</v>
      </c>
      <c r="AC352" s="34" t="n">
        <f aca="false">AA352+Z352</f>
        <v>73</v>
      </c>
      <c r="AD352" s="32" t="n">
        <f aca="false">X352+R352+Q352+K352+J352</f>
        <v>372</v>
      </c>
      <c r="AE352" s="16" t="n">
        <f aca="false">AD352/5</f>
        <v>74.4</v>
      </c>
      <c r="AF352" s="71" t="n">
        <v>59</v>
      </c>
      <c r="AG352" s="16" t="n">
        <v>85</v>
      </c>
      <c r="AH352" s="16" t="n">
        <v>92</v>
      </c>
      <c r="AI352" s="16" t="n">
        <v>87</v>
      </c>
      <c r="AJ352" s="16" t="n">
        <f aca="false">(AI352*70)/100</f>
        <v>60.9</v>
      </c>
      <c r="AK352" s="35" t="n">
        <f aca="false">ROUNDUP(AJ352,0)</f>
        <v>61</v>
      </c>
      <c r="AL352" s="16" t="n">
        <v>20</v>
      </c>
      <c r="AM352" s="16" t="n">
        <f aca="false">AL352+AJ352</f>
        <v>80.9</v>
      </c>
      <c r="AN352" s="16" t="n">
        <f aca="false">AL352+AK352</f>
        <v>81</v>
      </c>
      <c r="AO352" s="16" t="n">
        <v>71</v>
      </c>
      <c r="AP352" s="36" t="n">
        <f aca="false">(AO352*70)/100</f>
        <v>49.7</v>
      </c>
      <c r="AQ352" s="37" t="n">
        <f aca="false">ROUNDUP(AP352,0)</f>
        <v>50</v>
      </c>
      <c r="AR352" s="16" t="n">
        <v>25</v>
      </c>
      <c r="AS352" s="16" t="n">
        <f aca="false">AR352+AP352</f>
        <v>74.7</v>
      </c>
      <c r="AT352" s="16" t="n">
        <f aca="false">AR352+AQ352</f>
        <v>75</v>
      </c>
      <c r="AU352" s="16" t="n">
        <f aca="false">AO352+AF352+AI352+AH352+AG352</f>
        <v>394</v>
      </c>
      <c r="AV352" s="16" t="n">
        <f aca="false">(AO352+AF352+AI352+AH352+AG352)/5</f>
        <v>78.8</v>
      </c>
      <c r="AW352" s="36" t="n">
        <f aca="false">(AO352+AF352+AI352+AH352+AG352+X352+R352+Q352+K352+J352)</f>
        <v>766</v>
      </c>
      <c r="AX352" s="16" t="n">
        <f aca="false">AW352/10</f>
        <v>76.6</v>
      </c>
      <c r="AY352" s="16" t="n">
        <f aca="false">AS352+AF352+AM352+AH352+AG352+AB352+V352+Q352+O352+J352</f>
        <v>773.4</v>
      </c>
      <c r="AZ352" s="16" t="n">
        <f aca="false">AT352+AF352+AN352+AH352+AG352+AC352+W352+Q352+P352+J352</f>
        <v>776</v>
      </c>
      <c r="BA352" s="16" t="n">
        <f aca="false">AY352/10</f>
        <v>77.34</v>
      </c>
      <c r="BB352" s="16" t="n">
        <f aca="false">AZ352/10</f>
        <v>77.6</v>
      </c>
      <c r="BC352" s="16" t="n">
        <v>2351</v>
      </c>
      <c r="BD352" s="16" t="n">
        <f aca="false">RANK(AX352,$AX$2:$AX$881,0)</f>
        <v>547</v>
      </c>
      <c r="BE352" s="54" t="n">
        <f aca="false">((BC352*100)/2400)*0.4+(AX352*0.6)</f>
        <v>85.1433333333333</v>
      </c>
      <c r="BF352" s="16" t="n">
        <f aca="false">RANK(BE352,$BE$2:$BE$881,0)</f>
        <v>578</v>
      </c>
      <c r="BG352" s="39" t="n">
        <f aca="false">RANK(BB352,$BB$2:$BB$881,0)</f>
        <v>596</v>
      </c>
      <c r="BH352" s="39" t="n">
        <f aca="false">RANK(BC352,$BC$2:$BC$881,0)</f>
        <v>520</v>
      </c>
      <c r="BI352" s="22" t="s">
        <v>130</v>
      </c>
      <c r="BJ352" s="22" t="s">
        <v>129</v>
      </c>
      <c r="BK352" s="40" t="s">
        <v>509</v>
      </c>
      <c r="BL352" s="41" t="n">
        <v>13</v>
      </c>
      <c r="BM352" s="41" t="n">
        <v>52</v>
      </c>
      <c r="BN352" s="41" t="n">
        <v>65</v>
      </c>
      <c r="BO352" s="42" t="n">
        <v>22</v>
      </c>
      <c r="BP352" s="43" t="n">
        <v>63</v>
      </c>
      <c r="BQ352" s="44" t="n">
        <v>85</v>
      </c>
      <c r="BR352" s="42" t="n">
        <v>24</v>
      </c>
      <c r="BS352" s="45" t="n">
        <v>58</v>
      </c>
      <c r="BT352" s="45" t="n">
        <v>82</v>
      </c>
      <c r="BU352" s="46" t="n">
        <v>100</v>
      </c>
      <c r="BV352" s="47" t="n">
        <v>80</v>
      </c>
      <c r="BW352" s="42" t="n">
        <v>99</v>
      </c>
      <c r="BX352" s="48" t="n">
        <v>92</v>
      </c>
      <c r="BY352" s="32" t="n">
        <v>25</v>
      </c>
      <c r="BZ352" s="32" t="n">
        <v>52</v>
      </c>
      <c r="CA352" s="32" t="n">
        <v>77</v>
      </c>
      <c r="CB352" s="32" t="n">
        <v>13</v>
      </c>
      <c r="CC352" s="32" t="n">
        <v>41</v>
      </c>
      <c r="CD352" s="69" t="n">
        <v>54</v>
      </c>
      <c r="CE352" s="32" t="n">
        <v>26</v>
      </c>
      <c r="CF352" s="32" t="n">
        <v>57</v>
      </c>
      <c r="CG352" s="32" t="n">
        <v>83</v>
      </c>
      <c r="CH352" s="32" t="n">
        <v>95</v>
      </c>
      <c r="CI352" s="32" t="n">
        <v>100</v>
      </c>
      <c r="CJ352" s="49" t="n">
        <v>12</v>
      </c>
      <c r="CK352" s="49" t="n">
        <v>52</v>
      </c>
      <c r="CL352" s="49" t="n">
        <v>64</v>
      </c>
      <c r="CM352" s="49" t="n">
        <v>20</v>
      </c>
      <c r="CN352" s="49" t="n">
        <v>47</v>
      </c>
      <c r="CO352" s="49" t="n">
        <v>67</v>
      </c>
      <c r="CP352" s="25" t="n">
        <f aca="false">BX352+BW352+BV352+BU352+BT352+BQ352+BN352</f>
        <v>603</v>
      </c>
      <c r="CQ352" s="25" t="n">
        <f aca="false">CO352+CL352+CI352+CH352+CG352+CD352+CA352</f>
        <v>540</v>
      </c>
      <c r="CR352" s="26" t="n">
        <f aca="false">CP352/7</f>
        <v>86.1428571428571</v>
      </c>
      <c r="CS352" s="26" t="n">
        <f aca="false">CQ352/7</f>
        <v>77.1428571428571</v>
      </c>
      <c r="CT352" s="24" t="n">
        <f aca="false">RANK(CR352,$CR$2:$CR$881,0)</f>
        <v>396</v>
      </c>
      <c r="CU352" s="25" t="n">
        <f aca="false">RANK(CS352,$CS$2:$CS$881,0)</f>
        <v>359</v>
      </c>
      <c r="CV352" s="26" t="n">
        <f aca="false">(CS352+CR352)/2</f>
        <v>81.6428571428571</v>
      </c>
      <c r="CW352" s="25" t="n">
        <f aca="false">RANK(CV352,$CV$2:$CV$881,0)</f>
        <v>360</v>
      </c>
      <c r="CX352" s="50" t="n">
        <f aca="false">(CV352+BB352)/2</f>
        <v>79.6214285714286</v>
      </c>
      <c r="CY352" s="50" t="n">
        <v>391</v>
      </c>
      <c r="CZ352" s="27" t="s">
        <v>132</v>
      </c>
      <c r="DA352" s="27" t="s">
        <v>176</v>
      </c>
      <c r="DB352" s="27" t="s">
        <v>176</v>
      </c>
      <c r="DC352" s="27" t="s">
        <v>134</v>
      </c>
      <c r="DD352" s="27" t="s">
        <v>386</v>
      </c>
      <c r="DE352" s="27" t="s">
        <v>447</v>
      </c>
      <c r="DF352" s="27" t="s">
        <v>416</v>
      </c>
      <c r="DG352" s="27" t="s">
        <v>134</v>
      </c>
      <c r="DH352" s="27" t="s">
        <v>164</v>
      </c>
      <c r="DI352" s="27" t="s">
        <v>304</v>
      </c>
      <c r="DJ352" s="27" t="s">
        <v>196</v>
      </c>
      <c r="DK352" s="27" t="s">
        <v>134</v>
      </c>
      <c r="DL352" s="27" t="s">
        <v>386</v>
      </c>
      <c r="DM352" s="27" t="s">
        <v>447</v>
      </c>
      <c r="DN352" s="27" t="s">
        <v>416</v>
      </c>
      <c r="DO352" s="27" t="s">
        <v>134</v>
      </c>
      <c r="DP352" s="27" t="s">
        <v>264</v>
      </c>
      <c r="DQ352" s="27" t="s">
        <v>447</v>
      </c>
      <c r="DR352" s="27" t="s">
        <v>398</v>
      </c>
      <c r="DS352" s="27" t="s">
        <v>134</v>
      </c>
      <c r="DT352" s="27" t="s">
        <v>160</v>
      </c>
      <c r="DU352" s="27" t="s">
        <v>412</v>
      </c>
      <c r="DV352" s="27" t="s">
        <v>272</v>
      </c>
      <c r="DW352" s="27" t="s">
        <v>164</v>
      </c>
      <c r="DX352" s="27" t="s">
        <v>155</v>
      </c>
      <c r="DY352" s="27" t="s">
        <v>144</v>
      </c>
      <c r="DZ352" s="27" t="n">
        <f aca="false">DY352+DV352+DR352+DN352+DJ352+DF352+DB352</f>
        <v>563</v>
      </c>
      <c r="EA352" s="28" t="n">
        <f aca="false">DZ352/7</f>
        <v>80.4285714285714</v>
      </c>
      <c r="EB352" s="27" t="n">
        <f aca="false">RANK(EA352,$EA$2:$EA$881,0)</f>
        <v>373</v>
      </c>
      <c r="EC352" s="29" t="n">
        <f aca="false">DZ352+CQ352+CP352+AZ352</f>
        <v>2482</v>
      </c>
      <c r="ED352" s="30" t="n">
        <f aca="false">(EA352+CV352+BB352)/3</f>
        <v>79.8904761904762</v>
      </c>
      <c r="EE352" s="51" t="n">
        <f aca="false">ROUND(BE352,3)</f>
        <v>85.143</v>
      </c>
      <c r="EF352" s="51" t="n">
        <f aca="false">ROUND(CR352,3)</f>
        <v>86.143</v>
      </c>
      <c r="EG352" s="51" t="n">
        <f aca="false">ROUND(CS352,3)</f>
        <v>77.143</v>
      </c>
      <c r="EH352" s="51" t="n">
        <f aca="false">ROUND(EA352,3)</f>
        <v>80.429</v>
      </c>
      <c r="EI352" s="51" t="n">
        <f aca="false">ROUND(ED352,3)</f>
        <v>79.89</v>
      </c>
      <c r="EJ352" s="51" t="n">
        <f aca="false">ROUND(CV352,3)</f>
        <v>81.643</v>
      </c>
      <c r="EK352" s="0" t="n">
        <f aca="false">RANK(EI352,$EI$2:$EI$881,0)</f>
        <v>351</v>
      </c>
    </row>
    <row r="353" customFormat="false" ht="15" hidden="false" customHeight="false" outlineLevel="0" collapsed="false">
      <c r="A353" s="4" t="n">
        <v>2067</v>
      </c>
      <c r="B353" s="4" t="n">
        <v>82</v>
      </c>
      <c r="C353" s="27" t="s">
        <v>1163</v>
      </c>
      <c r="D353" s="52" t="n">
        <v>83</v>
      </c>
      <c r="E353" s="32" t="n">
        <v>230324247</v>
      </c>
      <c r="F353" s="8" t="s">
        <v>1164</v>
      </c>
      <c r="G353" s="22" t="s">
        <v>407</v>
      </c>
      <c r="H353" s="22" t="s">
        <v>129</v>
      </c>
      <c r="I353" s="33" t="n">
        <v>2005</v>
      </c>
      <c r="J353" s="32" t="n">
        <v>76</v>
      </c>
      <c r="K353" s="32" t="n">
        <v>78</v>
      </c>
      <c r="L353" s="34" t="n">
        <f aca="false">(K353*70)/100</f>
        <v>54.6</v>
      </c>
      <c r="M353" s="34" t="n">
        <f aca="false">ROUNDUP(L353,0)</f>
        <v>55</v>
      </c>
      <c r="N353" s="32" t="n">
        <v>28</v>
      </c>
      <c r="O353" s="34" t="n">
        <f aca="false">N353+L353</f>
        <v>82.6</v>
      </c>
      <c r="P353" s="34" t="n">
        <f aca="false">N353+M353</f>
        <v>83</v>
      </c>
      <c r="Q353" s="32" t="n">
        <v>80</v>
      </c>
      <c r="R353" s="32" t="n">
        <v>81</v>
      </c>
      <c r="S353" s="34" t="n">
        <f aca="false">(R353*70)/100</f>
        <v>56.7</v>
      </c>
      <c r="T353" s="34" t="n">
        <f aca="false">ROUNDUP(S353,0)</f>
        <v>57</v>
      </c>
      <c r="U353" s="32" t="n">
        <v>28</v>
      </c>
      <c r="V353" s="34" t="n">
        <f aca="false">U353+S353</f>
        <v>84.7</v>
      </c>
      <c r="W353" s="34" t="n">
        <f aca="false">U353+T353</f>
        <v>85</v>
      </c>
      <c r="X353" s="32" t="n">
        <v>62</v>
      </c>
      <c r="Y353" s="34" t="n">
        <f aca="false">(X353*70)/100</f>
        <v>43.4</v>
      </c>
      <c r="Z353" s="34" t="n">
        <f aca="false">ROUNDUP(Y353,0)</f>
        <v>44</v>
      </c>
      <c r="AA353" s="32" t="n">
        <v>25</v>
      </c>
      <c r="AB353" s="34" t="n">
        <f aca="false">AA353+Y353</f>
        <v>68.4</v>
      </c>
      <c r="AC353" s="34" t="n">
        <f aca="false">AA353+Z353</f>
        <v>69</v>
      </c>
      <c r="AD353" s="32" t="n">
        <f aca="false">X353+R353+Q353+K353+J353</f>
        <v>377</v>
      </c>
      <c r="AE353" s="16" t="n">
        <f aca="false">AD353/5</f>
        <v>75.4</v>
      </c>
      <c r="AF353" s="16" t="n">
        <v>77</v>
      </c>
      <c r="AG353" s="16" t="n">
        <v>82</v>
      </c>
      <c r="AH353" s="16" t="n">
        <v>86</v>
      </c>
      <c r="AI353" s="16" t="n">
        <v>80</v>
      </c>
      <c r="AJ353" s="16" t="n">
        <f aca="false">(AI353*70)/100</f>
        <v>56</v>
      </c>
      <c r="AK353" s="35" t="n">
        <f aca="false">ROUNDUP(AJ353,0)</f>
        <v>56</v>
      </c>
      <c r="AL353" s="16" t="n">
        <v>30</v>
      </c>
      <c r="AM353" s="16" t="n">
        <f aca="false">AL353+AJ353</f>
        <v>86</v>
      </c>
      <c r="AN353" s="16" t="n">
        <f aca="false">AL353+AK353</f>
        <v>86</v>
      </c>
      <c r="AO353" s="16" t="n">
        <v>69</v>
      </c>
      <c r="AP353" s="36" t="n">
        <f aca="false">(AO353*70)/100</f>
        <v>48.3</v>
      </c>
      <c r="AQ353" s="37" t="n">
        <f aca="false">ROUNDUP(AP353,0)</f>
        <v>49</v>
      </c>
      <c r="AR353" s="16" t="n">
        <v>28</v>
      </c>
      <c r="AS353" s="16" t="n">
        <f aca="false">AR353+AP353</f>
        <v>76.3</v>
      </c>
      <c r="AT353" s="16" t="n">
        <f aca="false">AR353+AQ353</f>
        <v>77</v>
      </c>
      <c r="AU353" s="16" t="n">
        <f aca="false">AO353+AF353+AI353+AH353+AG353</f>
        <v>394</v>
      </c>
      <c r="AV353" s="16" t="n">
        <f aca="false">(AO353+AF353+AI353+AH353+AG353)/5</f>
        <v>78.8</v>
      </c>
      <c r="AW353" s="36" t="n">
        <f aca="false">(AO353+AF353+AI353+AH353+AG353+X353+R353+Q353+K353+J353)</f>
        <v>771</v>
      </c>
      <c r="AX353" s="16" t="n">
        <f aca="false">AW353/10</f>
        <v>77.1</v>
      </c>
      <c r="AY353" s="16" t="n">
        <f aca="false">AS353+AF353+AM353+AH353+AG353+AB353+V353+Q353+O353+J353</f>
        <v>799</v>
      </c>
      <c r="AZ353" s="16" t="n">
        <f aca="false">AT353+AF353+AN353+AH353+AG353+AC353+W353+Q353+P353+J353</f>
        <v>801</v>
      </c>
      <c r="BA353" s="16" t="n">
        <f aca="false">AY353/10</f>
        <v>79.9</v>
      </c>
      <c r="BB353" s="16" t="n">
        <f aca="false">AZ353/10</f>
        <v>80.1</v>
      </c>
      <c r="BC353" s="16" t="n">
        <v>2354</v>
      </c>
      <c r="BD353" s="16" t="n">
        <f aca="false">RANK(AX353,$AX$2:$AX$881,0)</f>
        <v>496</v>
      </c>
      <c r="BE353" s="54" t="n">
        <f aca="false">((BC353*100)/2400)*0.4+(AX353*0.6)</f>
        <v>85.4933333333333</v>
      </c>
      <c r="BF353" s="16" t="n">
        <f aca="false">RANK(BE353,$BE$2:$BE$881,0)</f>
        <v>509</v>
      </c>
      <c r="BG353" s="39" t="n">
        <f aca="false">RANK(BB353,$BB$2:$BB$881,0)</f>
        <v>346</v>
      </c>
      <c r="BH353" s="39" t="n">
        <f aca="false">RANK(BC353,$BC$2:$BC$881,0)</f>
        <v>490</v>
      </c>
      <c r="BI353" s="22" t="s">
        <v>130</v>
      </c>
      <c r="BJ353" s="22" t="s">
        <v>129</v>
      </c>
      <c r="BK353" s="40" t="s">
        <v>509</v>
      </c>
      <c r="BL353" s="41" t="n">
        <v>19</v>
      </c>
      <c r="BM353" s="41" t="n">
        <v>45</v>
      </c>
      <c r="BN353" s="41" t="n">
        <v>64</v>
      </c>
      <c r="BO353" s="42" t="n">
        <v>26</v>
      </c>
      <c r="BP353" s="43" t="n">
        <v>52</v>
      </c>
      <c r="BQ353" s="44" t="n">
        <v>78</v>
      </c>
      <c r="BR353" s="42" t="n">
        <v>22</v>
      </c>
      <c r="BS353" s="45" t="n">
        <v>54</v>
      </c>
      <c r="BT353" s="45" t="n">
        <v>76</v>
      </c>
      <c r="BU353" s="46" t="n">
        <v>100</v>
      </c>
      <c r="BV353" s="47" t="n">
        <v>86</v>
      </c>
      <c r="BW353" s="42" t="n">
        <v>95</v>
      </c>
      <c r="BX353" s="48" t="n">
        <v>92</v>
      </c>
      <c r="BY353" s="32" t="n">
        <v>27</v>
      </c>
      <c r="BZ353" s="32" t="n">
        <v>51</v>
      </c>
      <c r="CA353" s="32" t="n">
        <v>78</v>
      </c>
      <c r="CB353" s="32" t="n">
        <v>16</v>
      </c>
      <c r="CC353" s="32" t="n">
        <v>31</v>
      </c>
      <c r="CD353" s="69" t="n">
        <v>47</v>
      </c>
      <c r="CE353" s="32" t="n">
        <v>19</v>
      </c>
      <c r="CF353" s="32" t="n">
        <v>49</v>
      </c>
      <c r="CG353" s="32" t="n">
        <v>68</v>
      </c>
      <c r="CH353" s="32" t="n">
        <v>98</v>
      </c>
      <c r="CI353" s="32" t="n">
        <v>99</v>
      </c>
      <c r="CJ353" s="49" t="n">
        <v>18</v>
      </c>
      <c r="CK353" s="49" t="n">
        <v>42</v>
      </c>
      <c r="CL353" s="49" t="n">
        <v>60</v>
      </c>
      <c r="CM353" s="49" t="n">
        <v>22</v>
      </c>
      <c r="CN353" s="49" t="n">
        <v>49</v>
      </c>
      <c r="CO353" s="49" t="n">
        <v>71</v>
      </c>
      <c r="CP353" s="25" t="n">
        <f aca="false">BX353+BW353+BV353+BU353+BT353+BQ353+BN353</f>
        <v>591</v>
      </c>
      <c r="CQ353" s="25" t="n">
        <f aca="false">CO353+CL353+CI353+CH353+CG353+CD353+CA353</f>
        <v>521</v>
      </c>
      <c r="CR353" s="26" t="n">
        <f aca="false">CP353/7</f>
        <v>84.4285714285714</v>
      </c>
      <c r="CS353" s="26" t="n">
        <f aca="false">CQ353/7</f>
        <v>74.4285714285714</v>
      </c>
      <c r="CT353" s="24" t="n">
        <f aca="false">RANK(CR353,$CR$2:$CR$881,0)</f>
        <v>459</v>
      </c>
      <c r="CU353" s="25" t="n">
        <f aca="false">RANK(CS353,$CS$2:$CS$881,0)</f>
        <v>443</v>
      </c>
      <c r="CV353" s="26" t="n">
        <f aca="false">(CS353+CR353)/2</f>
        <v>79.4285714285714</v>
      </c>
      <c r="CW353" s="25" t="n">
        <f aca="false">RANK(CV353,$CV$2:$CV$881,0)</f>
        <v>451</v>
      </c>
      <c r="CX353" s="50" t="n">
        <f aca="false">(CV353+BB353)/2</f>
        <v>79.7642857142857</v>
      </c>
      <c r="CY353" s="50" t="n">
        <v>380</v>
      </c>
      <c r="CZ353" s="27" t="s">
        <v>132</v>
      </c>
      <c r="DA353" s="27" t="s">
        <v>202</v>
      </c>
      <c r="DB353" s="27" t="s">
        <v>202</v>
      </c>
      <c r="DC353" s="27" t="s">
        <v>134</v>
      </c>
      <c r="DD353" s="27" t="s">
        <v>182</v>
      </c>
      <c r="DE353" s="27" t="s">
        <v>220</v>
      </c>
      <c r="DF353" s="27" t="s">
        <v>219</v>
      </c>
      <c r="DG353" s="27" t="s">
        <v>134</v>
      </c>
      <c r="DH353" s="27" t="s">
        <v>182</v>
      </c>
      <c r="DI353" s="27" t="s">
        <v>220</v>
      </c>
      <c r="DJ353" s="27" t="s">
        <v>219</v>
      </c>
      <c r="DK353" s="27" t="s">
        <v>134</v>
      </c>
      <c r="DL353" s="27" t="s">
        <v>137</v>
      </c>
      <c r="DM353" s="27" t="s">
        <v>415</v>
      </c>
      <c r="DN353" s="27" t="s">
        <v>486</v>
      </c>
      <c r="DO353" s="27" t="s">
        <v>134</v>
      </c>
      <c r="DP353" s="27" t="s">
        <v>182</v>
      </c>
      <c r="DQ353" s="27" t="s">
        <v>412</v>
      </c>
      <c r="DR353" s="27" t="s">
        <v>441</v>
      </c>
      <c r="DS353" s="27" t="s">
        <v>134</v>
      </c>
      <c r="DT353" s="27" t="s">
        <v>191</v>
      </c>
      <c r="DU353" s="27" t="s">
        <v>375</v>
      </c>
      <c r="DV353" s="27" t="s">
        <v>155</v>
      </c>
      <c r="DW353" s="27" t="s">
        <v>160</v>
      </c>
      <c r="DX353" s="27" t="s">
        <v>138</v>
      </c>
      <c r="DY353" s="27" t="s">
        <v>144</v>
      </c>
      <c r="DZ353" s="27" t="n">
        <f aca="false">DY353+DV353+DR353+DN353+DJ353+DF353+DB353</f>
        <v>561</v>
      </c>
      <c r="EA353" s="28" t="n">
        <f aca="false">DZ353/7</f>
        <v>80.1428571428571</v>
      </c>
      <c r="EB353" s="27" t="n">
        <f aca="false">RANK(EA353,$EA$2:$EA$881,0)</f>
        <v>386</v>
      </c>
      <c r="EC353" s="29" t="n">
        <f aca="false">DZ353+CQ353+CP353+AZ353</f>
        <v>2474</v>
      </c>
      <c r="ED353" s="30" t="n">
        <f aca="false">(EA353+CV353+BB353)/3</f>
        <v>79.8904761904762</v>
      </c>
      <c r="EE353" s="51" t="n">
        <f aca="false">ROUND(BE353,3)</f>
        <v>85.493</v>
      </c>
      <c r="EF353" s="51" t="n">
        <f aca="false">ROUND(CR353,3)</f>
        <v>84.429</v>
      </c>
      <c r="EG353" s="51" t="n">
        <f aca="false">ROUND(CS353,3)</f>
        <v>74.429</v>
      </c>
      <c r="EH353" s="51" t="n">
        <f aca="false">ROUND(EA353,3)</f>
        <v>80.143</v>
      </c>
      <c r="EI353" s="51" t="n">
        <f aca="false">ROUND(ED353,3)</f>
        <v>79.89</v>
      </c>
      <c r="EJ353" s="51" t="n">
        <f aca="false">ROUND(CV353,3)</f>
        <v>79.429</v>
      </c>
      <c r="EK353" s="0" t="n">
        <f aca="false">RANK(EI353,$EI$2:$EI$881,0)</f>
        <v>351</v>
      </c>
    </row>
    <row r="354" customFormat="false" ht="15" hidden="false" customHeight="false" outlineLevel="0" collapsed="false">
      <c r="A354" s="4" t="n">
        <v>8588</v>
      </c>
      <c r="B354" s="4" t="n">
        <v>97</v>
      </c>
      <c r="C354" s="27" t="s">
        <v>1165</v>
      </c>
      <c r="D354" s="52" t="n">
        <v>97</v>
      </c>
      <c r="E354" s="32" t="n">
        <v>230323309</v>
      </c>
      <c r="F354" s="8" t="s">
        <v>1166</v>
      </c>
      <c r="G354" s="22" t="s">
        <v>159</v>
      </c>
      <c r="H354" s="22" t="s">
        <v>129</v>
      </c>
      <c r="I354" s="33" t="n">
        <v>2005</v>
      </c>
      <c r="J354" s="32" t="n">
        <v>75</v>
      </c>
      <c r="K354" s="32" t="n">
        <v>67</v>
      </c>
      <c r="L354" s="34" t="n">
        <f aca="false">(K354*70)/100</f>
        <v>46.9</v>
      </c>
      <c r="M354" s="34" t="n">
        <f aca="false">ROUNDUP(L354,0)</f>
        <v>47</v>
      </c>
      <c r="N354" s="32" t="n">
        <v>28</v>
      </c>
      <c r="O354" s="34" t="n">
        <f aca="false">N354+L354</f>
        <v>74.9</v>
      </c>
      <c r="P354" s="34" t="n">
        <f aca="false">N354+M354</f>
        <v>75</v>
      </c>
      <c r="Q354" s="32" t="n">
        <v>63</v>
      </c>
      <c r="R354" s="32" t="n">
        <v>68</v>
      </c>
      <c r="S354" s="34" t="n">
        <f aca="false">(R354*70)/100</f>
        <v>47.6</v>
      </c>
      <c r="T354" s="34" t="n">
        <f aca="false">ROUNDUP(S354,0)</f>
        <v>48</v>
      </c>
      <c r="U354" s="32" t="n">
        <v>23</v>
      </c>
      <c r="V354" s="34" t="n">
        <f aca="false">U354+S354</f>
        <v>70.6</v>
      </c>
      <c r="W354" s="34" t="n">
        <f aca="false">U354+T354</f>
        <v>71</v>
      </c>
      <c r="X354" s="32" t="n">
        <v>65</v>
      </c>
      <c r="Y354" s="34" t="n">
        <f aca="false">(X354*70)/100</f>
        <v>45.5</v>
      </c>
      <c r="Z354" s="34" t="n">
        <f aca="false">ROUNDUP(Y354,0)</f>
        <v>46</v>
      </c>
      <c r="AA354" s="32" t="n">
        <v>22</v>
      </c>
      <c r="AB354" s="34" t="n">
        <f aca="false">AA354+Y354</f>
        <v>67.5</v>
      </c>
      <c r="AC354" s="34" t="n">
        <f aca="false">AA354+Z354</f>
        <v>68</v>
      </c>
      <c r="AD354" s="32" t="n">
        <f aca="false">X354+R354+Q354+K354+J354</f>
        <v>338</v>
      </c>
      <c r="AE354" s="16" t="n">
        <f aca="false">AD354/5</f>
        <v>67.6</v>
      </c>
      <c r="AF354" s="16" t="n">
        <v>63</v>
      </c>
      <c r="AG354" s="16" t="n">
        <v>75</v>
      </c>
      <c r="AH354" s="16" t="n">
        <v>86</v>
      </c>
      <c r="AI354" s="16" t="n">
        <v>81</v>
      </c>
      <c r="AJ354" s="16" t="n">
        <f aca="false">(AI354*70)/100</f>
        <v>56.7</v>
      </c>
      <c r="AK354" s="35" t="n">
        <f aca="false">ROUNDUP(AJ354,0)</f>
        <v>57</v>
      </c>
      <c r="AL354" s="16" t="n">
        <v>29</v>
      </c>
      <c r="AM354" s="16" t="n">
        <f aca="false">AL354+AJ354</f>
        <v>85.7</v>
      </c>
      <c r="AN354" s="16" t="n">
        <f aca="false">AL354+AK354</f>
        <v>86</v>
      </c>
      <c r="AO354" s="16" t="n">
        <v>62</v>
      </c>
      <c r="AP354" s="36" t="n">
        <f aca="false">(AO354*70)/100</f>
        <v>43.4</v>
      </c>
      <c r="AQ354" s="37" t="n">
        <f aca="false">ROUNDUP(AP354,0)</f>
        <v>44</v>
      </c>
      <c r="AR354" s="16" t="n">
        <v>26</v>
      </c>
      <c r="AS354" s="16" t="n">
        <f aca="false">AR354+AP354</f>
        <v>69.4</v>
      </c>
      <c r="AT354" s="16" t="n">
        <f aca="false">AR354+AQ354</f>
        <v>70</v>
      </c>
      <c r="AU354" s="16" t="n">
        <f aca="false">AO354+AF354+AI354+AH354+AG354</f>
        <v>367</v>
      </c>
      <c r="AV354" s="16" t="n">
        <f aca="false">(AO354+AF354+AI354+AH354+AG354)/5</f>
        <v>73.4</v>
      </c>
      <c r="AW354" s="36" t="n">
        <f aca="false">(AO354+AF354+AI354+AH354+AG354+X354+R354+Q354+K354+J354)</f>
        <v>705</v>
      </c>
      <c r="AX354" s="16" t="n">
        <f aca="false">AW354/10</f>
        <v>70.5</v>
      </c>
      <c r="AY354" s="16" t="n">
        <f aca="false">AS354+AF354+AM354+AH354+AG354+AB354+V354+Q354+O354+J354</f>
        <v>730.1</v>
      </c>
      <c r="AZ354" s="16" t="n">
        <f aca="false">AT354+AF354+AN354+AH354+AG354+AC354+W354+Q354+P354+J354</f>
        <v>732</v>
      </c>
      <c r="BA354" s="16" t="n">
        <f aca="false">AY354/10</f>
        <v>73.01</v>
      </c>
      <c r="BB354" s="16" t="n">
        <f aca="false">AZ354/10</f>
        <v>73.2</v>
      </c>
      <c r="BC354" s="16" t="n">
        <v>2285</v>
      </c>
      <c r="BD354" s="16" t="n">
        <f aca="false">RANK(AX354,$AX$2:$AX$881,0)</f>
        <v>733</v>
      </c>
      <c r="BE354" s="73" t="n">
        <f aca="false">((BC354*100)/2400)*0.4+(AX354*0.6)</f>
        <v>80.3833333333333</v>
      </c>
      <c r="BF354" s="16" t="n">
        <f aca="false">RANK(BE354,$BE$2:$BE$881,0)</f>
        <v>726</v>
      </c>
      <c r="BG354" s="39" t="n">
        <f aca="false">RANK(BB354,$BB$2:$BB$881,0)</f>
        <v>716</v>
      </c>
      <c r="BH354" s="39" t="n">
        <f aca="false">RANK(BC354,$BC$2:$BC$881,0)</f>
        <v>762</v>
      </c>
      <c r="BI354" s="22" t="s">
        <v>130</v>
      </c>
      <c r="BJ354" s="22" t="s">
        <v>129</v>
      </c>
      <c r="BK354" s="40" t="s">
        <v>702</v>
      </c>
      <c r="BL354" s="41" t="n">
        <v>24</v>
      </c>
      <c r="BM354" s="41" t="n">
        <v>60</v>
      </c>
      <c r="BN354" s="41" t="n">
        <v>84</v>
      </c>
      <c r="BO354" s="42" t="n">
        <v>21</v>
      </c>
      <c r="BP354" s="43" t="n">
        <v>54</v>
      </c>
      <c r="BQ354" s="44" t="n">
        <v>75</v>
      </c>
      <c r="BR354" s="42" t="n">
        <v>27</v>
      </c>
      <c r="BS354" s="45" t="n">
        <v>59</v>
      </c>
      <c r="BT354" s="45" t="n">
        <v>86</v>
      </c>
      <c r="BU354" s="46" t="n">
        <v>100</v>
      </c>
      <c r="BV354" s="47" t="n">
        <v>92</v>
      </c>
      <c r="BW354" s="42" t="n">
        <v>99</v>
      </c>
      <c r="BX354" s="48" t="n">
        <v>98</v>
      </c>
      <c r="BY354" s="32" t="n">
        <v>26</v>
      </c>
      <c r="BZ354" s="32" t="n">
        <v>52</v>
      </c>
      <c r="CA354" s="32" t="n">
        <v>78</v>
      </c>
      <c r="CB354" s="32" t="n">
        <v>26</v>
      </c>
      <c r="CC354" s="32" t="n">
        <v>43</v>
      </c>
      <c r="CD354" s="32" t="n">
        <v>69</v>
      </c>
      <c r="CE354" s="32" t="n">
        <v>24</v>
      </c>
      <c r="CF354" s="32" t="n">
        <v>49</v>
      </c>
      <c r="CG354" s="32" t="n">
        <v>73</v>
      </c>
      <c r="CH354" s="32" t="n">
        <v>98</v>
      </c>
      <c r="CI354" s="32" t="n">
        <v>96</v>
      </c>
      <c r="CJ354" s="49" t="n">
        <v>24</v>
      </c>
      <c r="CK354" s="49" t="n">
        <v>47</v>
      </c>
      <c r="CL354" s="49" t="n">
        <v>71</v>
      </c>
      <c r="CM354" s="49" t="n">
        <v>27</v>
      </c>
      <c r="CN354" s="49" t="n">
        <v>52</v>
      </c>
      <c r="CO354" s="49" t="n">
        <v>79</v>
      </c>
      <c r="CP354" s="25" t="n">
        <f aca="false">BX354+BW354+BV354+BU354+BT354+BQ354+BN354</f>
        <v>634</v>
      </c>
      <c r="CQ354" s="25" t="n">
        <f aca="false">CO354+CL354+CI354+CH354+CG354+CD354+CA354</f>
        <v>564</v>
      </c>
      <c r="CR354" s="26" t="n">
        <f aca="false">CP354/7</f>
        <v>90.5714285714286</v>
      </c>
      <c r="CS354" s="26" t="n">
        <f aca="false">CQ354/7</f>
        <v>80.5714285714286</v>
      </c>
      <c r="CT354" s="24" t="n">
        <f aca="false">RANK(CR354,$CR$2:$CR$881,0)</f>
        <v>147</v>
      </c>
      <c r="CU354" s="25" t="n">
        <f aca="false">RANK(CS354,$CS$2:$CS$881,0)</f>
        <v>240</v>
      </c>
      <c r="CV354" s="26" t="n">
        <f aca="false">(CS354+CR354)/2</f>
        <v>85.5714285714286</v>
      </c>
      <c r="CW354" s="25" t="n">
        <f aca="false">RANK(CV354,$CV$2:$CV$881,0)</f>
        <v>189</v>
      </c>
      <c r="CX354" s="50" t="n">
        <f aca="false">(CV354+BB354)/2</f>
        <v>79.3857142857143</v>
      </c>
      <c r="CY354" s="50" t="n">
        <v>404</v>
      </c>
      <c r="CZ354" s="27" t="s">
        <v>132</v>
      </c>
      <c r="DA354" s="27" t="s">
        <v>133</v>
      </c>
      <c r="DB354" s="27" t="s">
        <v>133</v>
      </c>
      <c r="DC354" s="27" t="s">
        <v>134</v>
      </c>
      <c r="DD354" s="27" t="s">
        <v>137</v>
      </c>
      <c r="DE354" s="27" t="s">
        <v>183</v>
      </c>
      <c r="DF354" s="27" t="s">
        <v>209</v>
      </c>
      <c r="DG354" s="27" t="s">
        <v>134</v>
      </c>
      <c r="DH354" s="27" t="s">
        <v>154</v>
      </c>
      <c r="DI354" s="27" t="s">
        <v>220</v>
      </c>
      <c r="DJ354" s="27" t="s">
        <v>272</v>
      </c>
      <c r="DK354" s="27" t="s">
        <v>134</v>
      </c>
      <c r="DL354" s="27" t="s">
        <v>182</v>
      </c>
      <c r="DM354" s="27" t="s">
        <v>375</v>
      </c>
      <c r="DN354" s="27" t="s">
        <v>372</v>
      </c>
      <c r="DO354" s="27" t="s">
        <v>134</v>
      </c>
      <c r="DP354" s="27" t="s">
        <v>182</v>
      </c>
      <c r="DQ354" s="27" t="s">
        <v>218</v>
      </c>
      <c r="DR354" s="27" t="s">
        <v>196</v>
      </c>
      <c r="DS354" s="27" t="s">
        <v>134</v>
      </c>
      <c r="DT354" s="27" t="s">
        <v>182</v>
      </c>
      <c r="DU354" s="27" t="s">
        <v>375</v>
      </c>
      <c r="DV354" s="27" t="s">
        <v>372</v>
      </c>
      <c r="DW354" s="27" t="s">
        <v>164</v>
      </c>
      <c r="DX354" s="27" t="s">
        <v>204</v>
      </c>
      <c r="DY354" s="27" t="s">
        <v>202</v>
      </c>
      <c r="DZ354" s="27" t="n">
        <f aca="false">DY354+DV354+DR354+DN354+DJ354+DF354+DB354</f>
        <v>566</v>
      </c>
      <c r="EA354" s="28" t="n">
        <f aca="false">DZ354/7</f>
        <v>80.8571428571429</v>
      </c>
      <c r="EB354" s="27" t="n">
        <f aca="false">RANK(EA354,$EA$2:$EA$881,0)</f>
        <v>357</v>
      </c>
      <c r="EC354" s="29" t="n">
        <f aca="false">DZ354+CQ354+CP354+AZ354</f>
        <v>2496</v>
      </c>
      <c r="ED354" s="30" t="n">
        <f aca="false">(EA354+CV354+BB354)/3</f>
        <v>79.8761904761905</v>
      </c>
      <c r="EE354" s="51" t="n">
        <f aca="false">ROUND(BE354,3)</f>
        <v>80.383</v>
      </c>
      <c r="EF354" s="51" t="n">
        <f aca="false">ROUND(CR354,3)</f>
        <v>90.571</v>
      </c>
      <c r="EG354" s="51" t="n">
        <f aca="false">ROUND(CS354,3)</f>
        <v>80.571</v>
      </c>
      <c r="EH354" s="51" t="n">
        <f aca="false">ROUND(EA354,3)</f>
        <v>80.857</v>
      </c>
      <c r="EI354" s="51" t="n">
        <f aca="false">ROUND(ED354,3)</f>
        <v>79.876</v>
      </c>
      <c r="EJ354" s="51" t="n">
        <f aca="false">ROUND(CV354,3)</f>
        <v>85.571</v>
      </c>
      <c r="EK354" s="0" t="n">
        <f aca="false">RANK(EI354,$EI$2:$EI$881,0)</f>
        <v>353</v>
      </c>
    </row>
    <row r="355" customFormat="false" ht="15" hidden="false" customHeight="false" outlineLevel="0" collapsed="false">
      <c r="A355" s="4" t="n">
        <v>1979</v>
      </c>
      <c r="B355" s="4" t="n">
        <v>379</v>
      </c>
      <c r="C355" s="27" t="s">
        <v>1167</v>
      </c>
      <c r="D355" s="31" t="n">
        <v>383</v>
      </c>
      <c r="E355" s="32" t="n">
        <v>230315824</v>
      </c>
      <c r="F355" s="8" t="s">
        <v>1168</v>
      </c>
      <c r="G355" s="22" t="s">
        <v>505</v>
      </c>
      <c r="H355" s="22" t="s">
        <v>129</v>
      </c>
      <c r="I355" s="33" t="n">
        <v>2005</v>
      </c>
      <c r="J355" s="32" t="n">
        <v>64</v>
      </c>
      <c r="K355" s="32" t="n">
        <v>82</v>
      </c>
      <c r="L355" s="34" t="n">
        <f aca="false">(K355*70)/100</f>
        <v>57.4</v>
      </c>
      <c r="M355" s="34" t="n">
        <f aca="false">ROUNDUP(L355,0)</f>
        <v>58</v>
      </c>
      <c r="N355" s="32" t="n">
        <v>20</v>
      </c>
      <c r="O355" s="34" t="n">
        <f aca="false">N355+L355</f>
        <v>77.4</v>
      </c>
      <c r="P355" s="34" t="n">
        <f aca="false">N355+M355</f>
        <v>78</v>
      </c>
      <c r="Q355" s="32" t="n">
        <v>65</v>
      </c>
      <c r="R355" s="32" t="n">
        <v>69</v>
      </c>
      <c r="S355" s="34" t="n">
        <f aca="false">(R355*70)/100</f>
        <v>48.3</v>
      </c>
      <c r="T355" s="34" t="n">
        <f aca="false">ROUNDUP(S355,0)</f>
        <v>49</v>
      </c>
      <c r="U355" s="32" t="n">
        <v>17</v>
      </c>
      <c r="V355" s="34" t="n">
        <f aca="false">U355+S355</f>
        <v>65.3</v>
      </c>
      <c r="W355" s="34" t="n">
        <f aca="false">U355+T355</f>
        <v>66</v>
      </c>
      <c r="X355" s="32" t="n">
        <v>66</v>
      </c>
      <c r="Y355" s="34" t="n">
        <f aca="false">(X355*70)/100</f>
        <v>46.2</v>
      </c>
      <c r="Z355" s="34" t="n">
        <f aca="false">ROUNDUP(Y355,0)</f>
        <v>47</v>
      </c>
      <c r="AA355" s="32" t="n">
        <v>23</v>
      </c>
      <c r="AB355" s="34" t="n">
        <f aca="false">AA355+Y355</f>
        <v>69.2</v>
      </c>
      <c r="AC355" s="34" t="n">
        <f aca="false">AA355+Z355</f>
        <v>70</v>
      </c>
      <c r="AD355" s="32" t="n">
        <f aca="false">X355+R355+Q355+K355+J355</f>
        <v>346</v>
      </c>
      <c r="AE355" s="16" t="n">
        <f aca="false">AD355/5</f>
        <v>69.2</v>
      </c>
      <c r="AF355" s="16" t="n">
        <v>84</v>
      </c>
      <c r="AG355" s="16" t="n">
        <v>69</v>
      </c>
      <c r="AH355" s="16" t="n">
        <v>93</v>
      </c>
      <c r="AI355" s="16" t="n">
        <v>96</v>
      </c>
      <c r="AJ355" s="16" t="n">
        <f aca="false">(AI355*70)/100</f>
        <v>67.2</v>
      </c>
      <c r="AK355" s="35" t="n">
        <f aca="false">ROUNDUP(AJ355,0)</f>
        <v>68</v>
      </c>
      <c r="AL355" s="16" t="n">
        <v>22</v>
      </c>
      <c r="AM355" s="16" t="n">
        <f aca="false">AL355+AJ355</f>
        <v>89.2</v>
      </c>
      <c r="AN355" s="16" t="n">
        <f aca="false">AL355+AK355</f>
        <v>90</v>
      </c>
      <c r="AO355" s="16" t="n">
        <v>86</v>
      </c>
      <c r="AP355" s="36" t="n">
        <f aca="false">(AO355*70)/100</f>
        <v>60.2</v>
      </c>
      <c r="AQ355" s="37" t="n">
        <f aca="false">ROUNDUP(AP355,0)</f>
        <v>61</v>
      </c>
      <c r="AR355" s="16" t="n">
        <v>29</v>
      </c>
      <c r="AS355" s="16" t="n">
        <f aca="false">AR355+AP355</f>
        <v>89.2</v>
      </c>
      <c r="AT355" s="16" t="n">
        <f aca="false">AR355+AQ355</f>
        <v>90</v>
      </c>
      <c r="AU355" s="16" t="n">
        <f aca="false">AO355+AF355+AI355+AH355+AG355</f>
        <v>428</v>
      </c>
      <c r="AV355" s="16" t="n">
        <f aca="false">(AO355+AF355+AI355+AH355+AG355)/5</f>
        <v>85.6</v>
      </c>
      <c r="AW355" s="36" t="n">
        <f aca="false">(AO355+AF355+AI355+AH355+AG355+X355+R355+Q355+K355+J355)</f>
        <v>774</v>
      </c>
      <c r="AX355" s="16" t="n">
        <f aca="false">AW355/10</f>
        <v>77.4</v>
      </c>
      <c r="AY355" s="16" t="n">
        <f aca="false">AS355+AF355+AM355+AH355+AG355+AB355+V355+Q355+O355+J355</f>
        <v>765.3</v>
      </c>
      <c r="AZ355" s="16" t="n">
        <f aca="false">AT355+AF355+AN355+AH355+AG355+AC355+W355+Q355+P355+J355</f>
        <v>769</v>
      </c>
      <c r="BA355" s="16" t="n">
        <f aca="false">AY355/10</f>
        <v>76.53</v>
      </c>
      <c r="BB355" s="16" t="n">
        <f aca="false">AZ355/10</f>
        <v>76.9</v>
      </c>
      <c r="BC355" s="16" t="n">
        <v>2365</v>
      </c>
      <c r="BD355" s="16" t="n">
        <f aca="false">RANK(AX355,$AX$2:$AX$881,0)</f>
        <v>461</v>
      </c>
      <c r="BE355" s="54" t="n">
        <f aca="false">((BC355*100)/2400)*0.4+(AX355*0.6)</f>
        <v>85.8566666666667</v>
      </c>
      <c r="BF355" s="16" t="n">
        <f aca="false">RANK(BE355,$BE$2:$BE$881,0)</f>
        <v>454</v>
      </c>
      <c r="BG355" s="39" t="n">
        <f aca="false">RANK(BB355,$BB$2:$BB$881,0)</f>
        <v>648</v>
      </c>
      <c r="BH355" s="39" t="n">
        <f aca="false">RANK(BC355,$BC$2:$BC$881,0)</f>
        <v>333</v>
      </c>
      <c r="BI355" s="22" t="s">
        <v>130</v>
      </c>
      <c r="BJ355" s="22" t="s">
        <v>129</v>
      </c>
      <c r="BK355" s="40" t="s">
        <v>509</v>
      </c>
      <c r="BL355" s="41" t="n">
        <v>20</v>
      </c>
      <c r="BM355" s="41" t="n">
        <v>59</v>
      </c>
      <c r="BN355" s="41" t="n">
        <v>79</v>
      </c>
      <c r="BO355" s="42" t="n">
        <v>20</v>
      </c>
      <c r="BP355" s="43" t="n">
        <v>63</v>
      </c>
      <c r="BQ355" s="44" t="n">
        <v>83</v>
      </c>
      <c r="BR355" s="42" t="n">
        <v>22</v>
      </c>
      <c r="BS355" s="45" t="n">
        <v>61</v>
      </c>
      <c r="BT355" s="45" t="n">
        <v>83</v>
      </c>
      <c r="BU355" s="46" t="n">
        <v>96</v>
      </c>
      <c r="BV355" s="47" t="n">
        <v>86</v>
      </c>
      <c r="BW355" s="42" t="n">
        <v>98</v>
      </c>
      <c r="BX355" s="48" t="n">
        <v>96</v>
      </c>
      <c r="BY355" s="32" t="n">
        <v>22</v>
      </c>
      <c r="BZ355" s="32" t="n">
        <v>42</v>
      </c>
      <c r="CA355" s="32" t="n">
        <v>64</v>
      </c>
      <c r="CB355" s="32" t="n">
        <v>22</v>
      </c>
      <c r="CC355" s="32" t="n">
        <v>40</v>
      </c>
      <c r="CD355" s="32" t="n">
        <v>62</v>
      </c>
      <c r="CE355" s="32" t="n">
        <v>28</v>
      </c>
      <c r="CF355" s="32" t="n">
        <v>55</v>
      </c>
      <c r="CG355" s="32" t="n">
        <v>83</v>
      </c>
      <c r="CH355" s="32" t="n">
        <v>96</v>
      </c>
      <c r="CI355" s="32" t="n">
        <v>90</v>
      </c>
      <c r="CJ355" s="49" t="n">
        <v>22</v>
      </c>
      <c r="CK355" s="49" t="n">
        <v>47</v>
      </c>
      <c r="CL355" s="49" t="n">
        <v>69</v>
      </c>
      <c r="CM355" s="49" t="n">
        <v>21</v>
      </c>
      <c r="CN355" s="49" t="n">
        <v>52</v>
      </c>
      <c r="CO355" s="49" t="n">
        <v>73</v>
      </c>
      <c r="CP355" s="25" t="n">
        <f aca="false">BX355+BW355+BV355+BU355+BT355+BQ355+BN355</f>
        <v>621</v>
      </c>
      <c r="CQ355" s="25" t="n">
        <f aca="false">CO355+CL355+CI355+CH355+CG355+CD355+CA355</f>
        <v>537</v>
      </c>
      <c r="CR355" s="26" t="n">
        <f aca="false">CP355/7</f>
        <v>88.7142857142857</v>
      </c>
      <c r="CS355" s="26" t="n">
        <f aca="false">CQ355/7</f>
        <v>76.7142857142857</v>
      </c>
      <c r="CT355" s="24" t="n">
        <f aca="false">RANK(CR355,$CR$2:$CR$881,0)</f>
        <v>262</v>
      </c>
      <c r="CU355" s="25" t="n">
        <f aca="false">RANK(CS355,$CS$2:$CS$881,0)</f>
        <v>375</v>
      </c>
      <c r="CV355" s="26" t="n">
        <f aca="false">(CS355+CR355)/2</f>
        <v>82.7142857142857</v>
      </c>
      <c r="CW355" s="25" t="n">
        <f aca="false">RANK(CV355,$CV$2:$CV$881,0)</f>
        <v>310</v>
      </c>
      <c r="CX355" s="50" t="n">
        <f aca="false">(CV355+BB355)/2</f>
        <v>79.8071428571429</v>
      </c>
      <c r="CY355" s="50" t="n">
        <v>378</v>
      </c>
      <c r="CZ355" s="27" t="s">
        <v>132</v>
      </c>
      <c r="DA355" s="27" t="s">
        <v>219</v>
      </c>
      <c r="DB355" s="27" t="s">
        <v>219</v>
      </c>
      <c r="DC355" s="27" t="s">
        <v>134</v>
      </c>
      <c r="DD355" s="27" t="s">
        <v>182</v>
      </c>
      <c r="DE355" s="27" t="s">
        <v>177</v>
      </c>
      <c r="DF355" s="27" t="s">
        <v>209</v>
      </c>
      <c r="DG355" s="27" t="s">
        <v>134</v>
      </c>
      <c r="DH355" s="27" t="s">
        <v>195</v>
      </c>
      <c r="DI355" s="27" t="s">
        <v>204</v>
      </c>
      <c r="DJ355" s="27" t="s">
        <v>219</v>
      </c>
      <c r="DK355" s="27" t="s">
        <v>134</v>
      </c>
      <c r="DL355" s="27" t="s">
        <v>154</v>
      </c>
      <c r="DM355" s="27" t="s">
        <v>304</v>
      </c>
      <c r="DN355" s="27" t="s">
        <v>382</v>
      </c>
      <c r="DO355" s="27" t="s">
        <v>134</v>
      </c>
      <c r="DP355" s="27" t="s">
        <v>706</v>
      </c>
      <c r="DQ355" s="27" t="s">
        <v>304</v>
      </c>
      <c r="DR355" s="27" t="s">
        <v>138</v>
      </c>
      <c r="DS355" s="27" t="s">
        <v>134</v>
      </c>
      <c r="DT355" s="27" t="s">
        <v>137</v>
      </c>
      <c r="DU355" s="27" t="s">
        <v>399</v>
      </c>
      <c r="DV355" s="27" t="s">
        <v>372</v>
      </c>
      <c r="DW355" s="27" t="s">
        <v>137</v>
      </c>
      <c r="DX355" s="27" t="s">
        <v>155</v>
      </c>
      <c r="DY355" s="27" t="s">
        <v>142</v>
      </c>
      <c r="DZ355" s="27" t="n">
        <f aca="false">DY355+DV355+DR355+DN355+DJ355+DF355+DB355</f>
        <v>560</v>
      </c>
      <c r="EA355" s="28" t="n">
        <f aca="false">DZ355/7</f>
        <v>80</v>
      </c>
      <c r="EB355" s="27" t="n">
        <f aca="false">RANK(EA355,$EA$2:$EA$881,0)</f>
        <v>393</v>
      </c>
      <c r="EC355" s="29" t="n">
        <f aca="false">DZ355+CQ355+CP355+AZ355</f>
        <v>2487</v>
      </c>
      <c r="ED355" s="30" t="n">
        <f aca="false">(EA355+CV355+BB355)/3</f>
        <v>79.8714285714286</v>
      </c>
      <c r="EE355" s="51" t="n">
        <f aca="false">ROUND(BE355,3)</f>
        <v>85.857</v>
      </c>
      <c r="EF355" s="51" t="n">
        <f aca="false">ROUND(CR355,3)</f>
        <v>88.714</v>
      </c>
      <c r="EG355" s="51" t="n">
        <f aca="false">ROUND(CS355,3)</f>
        <v>76.714</v>
      </c>
      <c r="EH355" s="51" t="n">
        <f aca="false">ROUND(EA355,3)</f>
        <v>80</v>
      </c>
      <c r="EI355" s="51" t="n">
        <f aca="false">ROUND(ED355,3)</f>
        <v>79.871</v>
      </c>
      <c r="EJ355" s="51" t="n">
        <f aca="false">ROUND(CV355,3)</f>
        <v>82.714</v>
      </c>
      <c r="EK355" s="0" t="n">
        <f aca="false">RANK(EI355,$EI$2:$EI$881,0)</f>
        <v>354</v>
      </c>
    </row>
    <row r="356" customFormat="false" ht="15" hidden="false" customHeight="false" outlineLevel="0" collapsed="false">
      <c r="A356" s="4" t="n">
        <v>9048</v>
      </c>
      <c r="B356" s="4" t="n">
        <v>650</v>
      </c>
      <c r="C356" s="27" t="s">
        <v>1169</v>
      </c>
      <c r="D356" s="31" t="n">
        <v>660</v>
      </c>
      <c r="E356" s="32" t="n">
        <v>230312573</v>
      </c>
      <c r="F356" s="8" t="s">
        <v>1170</v>
      </c>
      <c r="G356" s="22" t="s">
        <v>280</v>
      </c>
      <c r="H356" s="22" t="s">
        <v>129</v>
      </c>
      <c r="I356" s="33" t="n">
        <v>2005</v>
      </c>
      <c r="J356" s="32" t="n">
        <v>69</v>
      </c>
      <c r="K356" s="32" t="n">
        <v>90</v>
      </c>
      <c r="L356" s="34" t="n">
        <f aca="false">(K356*70)/100</f>
        <v>63</v>
      </c>
      <c r="M356" s="34" t="n">
        <f aca="false">ROUNDUP(L356,0)</f>
        <v>63</v>
      </c>
      <c r="N356" s="32" t="n">
        <v>29</v>
      </c>
      <c r="O356" s="34" t="n">
        <f aca="false">N356+L356</f>
        <v>92</v>
      </c>
      <c r="P356" s="34" t="n">
        <f aca="false">N356+M356</f>
        <v>92</v>
      </c>
      <c r="Q356" s="32" t="n">
        <v>75</v>
      </c>
      <c r="R356" s="32" t="n">
        <v>85</v>
      </c>
      <c r="S356" s="34" t="n">
        <f aca="false">(R356*70)/100</f>
        <v>59.5</v>
      </c>
      <c r="T356" s="34" t="n">
        <f aca="false">ROUNDUP(S356,0)</f>
        <v>60</v>
      </c>
      <c r="U356" s="32" t="n">
        <v>22</v>
      </c>
      <c r="V356" s="34" t="n">
        <f aca="false">U356+S356</f>
        <v>81.5</v>
      </c>
      <c r="W356" s="34" t="n">
        <f aca="false">U356+T356</f>
        <v>82</v>
      </c>
      <c r="X356" s="32" t="n">
        <v>83</v>
      </c>
      <c r="Y356" s="34" t="n">
        <f aca="false">(X356*70)/100</f>
        <v>58.1</v>
      </c>
      <c r="Z356" s="34" t="n">
        <f aca="false">ROUNDUP(Y356,0)</f>
        <v>59</v>
      </c>
      <c r="AA356" s="32" t="n">
        <v>24</v>
      </c>
      <c r="AB356" s="34" t="n">
        <f aca="false">AA356+Y356</f>
        <v>82.1</v>
      </c>
      <c r="AC356" s="34" t="n">
        <f aca="false">AA356+Z356</f>
        <v>83</v>
      </c>
      <c r="AD356" s="32" t="n">
        <f aca="false">X356+R356+Q356+K356+J356</f>
        <v>402</v>
      </c>
      <c r="AE356" s="16" t="n">
        <f aca="false">AD356/5</f>
        <v>80.4</v>
      </c>
      <c r="AF356" s="16" t="n">
        <v>79</v>
      </c>
      <c r="AG356" s="16" t="n">
        <v>83</v>
      </c>
      <c r="AH356" s="16" t="n">
        <v>91</v>
      </c>
      <c r="AI356" s="16" t="n">
        <v>93</v>
      </c>
      <c r="AJ356" s="16" t="n">
        <f aca="false">(AI356*70)/100</f>
        <v>65.1</v>
      </c>
      <c r="AK356" s="35" t="n">
        <f aca="false">ROUNDUP(AJ356,0)</f>
        <v>66</v>
      </c>
      <c r="AL356" s="16" t="n">
        <v>27</v>
      </c>
      <c r="AM356" s="16" t="n">
        <f aca="false">AL356+AJ356</f>
        <v>92.1</v>
      </c>
      <c r="AN356" s="16" t="n">
        <f aca="false">AL356+AK356</f>
        <v>93</v>
      </c>
      <c r="AO356" s="16" t="n">
        <v>82</v>
      </c>
      <c r="AP356" s="36" t="n">
        <f aca="false">(AO356*70)/100</f>
        <v>57.4</v>
      </c>
      <c r="AQ356" s="37" t="n">
        <f aca="false">ROUNDUP(AP356,0)</f>
        <v>58</v>
      </c>
      <c r="AR356" s="16" t="n">
        <v>25</v>
      </c>
      <c r="AS356" s="16" t="n">
        <f aca="false">AR356+AP356</f>
        <v>82.4</v>
      </c>
      <c r="AT356" s="16" t="n">
        <f aca="false">AR356+AQ356</f>
        <v>83</v>
      </c>
      <c r="AU356" s="16" t="n">
        <f aca="false">AO356+AF356+AI356+AH356+AG356</f>
        <v>428</v>
      </c>
      <c r="AV356" s="16" t="n">
        <f aca="false">(AO356+AF356+AI356+AH356+AG356)/5</f>
        <v>85.6</v>
      </c>
      <c r="AW356" s="36" t="n">
        <f aca="false">(AO356+AF356+AI356+AH356+AG356+X356+R356+Q356+K356+J356)</f>
        <v>830</v>
      </c>
      <c r="AX356" s="16" t="n">
        <f aca="false">AW356/10</f>
        <v>83</v>
      </c>
      <c r="AY356" s="16" t="n">
        <f aca="false">AS356+AF356+AM356+AH356+AG356+AB356+V356+Q356+O356+J356</f>
        <v>827.1</v>
      </c>
      <c r="AZ356" s="16" t="n">
        <f aca="false">AT356+AF356+AN356+AH356+AG356+AC356+W356+Q356+P356+J356</f>
        <v>830</v>
      </c>
      <c r="BA356" s="16" t="n">
        <f aca="false">AY356/10</f>
        <v>82.71</v>
      </c>
      <c r="BB356" s="16" t="n">
        <f aca="false">AZ356/10</f>
        <v>83</v>
      </c>
      <c r="BC356" s="16" t="n">
        <v>2394</v>
      </c>
      <c r="BD356" s="16" t="n">
        <f aca="false">RANK(AX356,$AX$2:$AX$881,0)</f>
        <v>131</v>
      </c>
      <c r="BE356" s="54" t="n">
        <f aca="false">((BC356*100)/2400)*0.4+(AX356*0.6)</f>
        <v>89.7</v>
      </c>
      <c r="BF356" s="16" t="n">
        <f aca="false">RANK(BE356,$BE$2:$BE$881,0)</f>
        <v>112</v>
      </c>
      <c r="BG356" s="39" t="n">
        <f aca="false">RANK(BB356,$BB$2:$BB$881,0)</f>
        <v>158</v>
      </c>
      <c r="BH356" s="39" t="n">
        <f aca="false">RANK(BC356,$BC$2:$BC$881,0)</f>
        <v>17</v>
      </c>
      <c r="BI356" s="22" t="s">
        <v>130</v>
      </c>
      <c r="BJ356" s="22" t="s">
        <v>129</v>
      </c>
      <c r="BK356" s="40" t="s">
        <v>131</v>
      </c>
      <c r="BL356" s="41" t="n">
        <v>24</v>
      </c>
      <c r="BM356" s="41" t="n">
        <v>58</v>
      </c>
      <c r="BN356" s="41" t="n">
        <v>82</v>
      </c>
      <c r="BO356" s="42" t="n">
        <v>28</v>
      </c>
      <c r="BP356" s="43" t="n">
        <v>53</v>
      </c>
      <c r="BQ356" s="44" t="n">
        <v>81</v>
      </c>
      <c r="BR356" s="42" t="n">
        <v>24</v>
      </c>
      <c r="BS356" s="45" t="n">
        <v>65</v>
      </c>
      <c r="BT356" s="45" t="n">
        <v>89</v>
      </c>
      <c r="BU356" s="46" t="n">
        <v>100</v>
      </c>
      <c r="BV356" s="47" t="n">
        <v>92</v>
      </c>
      <c r="BW356" s="42" t="n">
        <v>98</v>
      </c>
      <c r="BX356" s="48" t="n">
        <v>96</v>
      </c>
      <c r="BY356" s="32" t="n">
        <v>23</v>
      </c>
      <c r="BZ356" s="32" t="n">
        <v>54</v>
      </c>
      <c r="CA356" s="32" t="n">
        <v>77</v>
      </c>
      <c r="CB356" s="32" t="n">
        <v>26</v>
      </c>
      <c r="CC356" s="32" t="n">
        <v>46</v>
      </c>
      <c r="CD356" s="32" t="n">
        <v>72</v>
      </c>
      <c r="CE356" s="32" t="n">
        <v>25</v>
      </c>
      <c r="CF356" s="32" t="n">
        <v>58</v>
      </c>
      <c r="CG356" s="32" t="n">
        <v>83</v>
      </c>
      <c r="CH356" s="32" t="n">
        <v>98</v>
      </c>
      <c r="CI356" s="32" t="n">
        <v>95</v>
      </c>
      <c r="CJ356" s="49" t="n">
        <v>24</v>
      </c>
      <c r="CK356" s="49" t="n">
        <v>55</v>
      </c>
      <c r="CL356" s="49" t="n">
        <v>79</v>
      </c>
      <c r="CM356" s="49" t="n">
        <v>27</v>
      </c>
      <c r="CN356" s="49" t="n">
        <v>58</v>
      </c>
      <c r="CO356" s="49" t="n">
        <v>85</v>
      </c>
      <c r="CP356" s="25" t="n">
        <f aca="false">BX356+BW356+BV356+BU356+BT356+BQ356+BN356</f>
        <v>638</v>
      </c>
      <c r="CQ356" s="25" t="n">
        <f aca="false">CO356+CL356+CI356+CH356+CG356+CD356+CA356</f>
        <v>589</v>
      </c>
      <c r="CR356" s="26" t="n">
        <f aca="false">CP356/7</f>
        <v>91.1428571428571</v>
      </c>
      <c r="CS356" s="26" t="n">
        <f aca="false">CQ356/7</f>
        <v>84.1428571428571</v>
      </c>
      <c r="CT356" s="24" t="n">
        <f aca="false">RANK(CR356,$CR$2:$CR$881,0)</f>
        <v>124</v>
      </c>
      <c r="CU356" s="25" t="n">
        <f aca="false">RANK(CS356,$CS$2:$CS$881,0)</f>
        <v>118</v>
      </c>
      <c r="CV356" s="26" t="n">
        <f aca="false">(CS356+CR356)/2</f>
        <v>87.6428571428571</v>
      </c>
      <c r="CW356" s="25" t="n">
        <f aca="false">RANK(CV356,$CV$2:$CV$881,0)</f>
        <v>110</v>
      </c>
      <c r="CX356" s="50" t="n">
        <f aca="false">(CV356+BB356)/2</f>
        <v>85.3214285714286</v>
      </c>
      <c r="CY356" s="50" t="n">
        <v>112</v>
      </c>
      <c r="CZ356" s="27" t="s">
        <v>132</v>
      </c>
      <c r="DA356" s="27" t="s">
        <v>175</v>
      </c>
      <c r="DB356" s="27" t="s">
        <v>175</v>
      </c>
      <c r="DC356" s="27" t="s">
        <v>134</v>
      </c>
      <c r="DD356" s="27" t="s">
        <v>137</v>
      </c>
      <c r="DE356" s="27" t="s">
        <v>183</v>
      </c>
      <c r="DF356" s="27" t="s">
        <v>209</v>
      </c>
      <c r="DG356" s="27" t="s">
        <v>134</v>
      </c>
      <c r="DH356" s="27"/>
      <c r="DI356" s="27"/>
      <c r="DJ356" s="27"/>
      <c r="DK356" s="27"/>
      <c r="DL356" s="27" t="s">
        <v>137</v>
      </c>
      <c r="DM356" s="27" t="s">
        <v>447</v>
      </c>
      <c r="DN356" s="27" t="s">
        <v>272</v>
      </c>
      <c r="DO356" s="27" t="s">
        <v>134</v>
      </c>
      <c r="DP356" s="27" t="s">
        <v>485</v>
      </c>
      <c r="DQ356" s="27" t="s">
        <v>447</v>
      </c>
      <c r="DR356" s="27" t="s">
        <v>155</v>
      </c>
      <c r="DS356" s="27" t="s">
        <v>134</v>
      </c>
      <c r="DT356" s="27" t="s">
        <v>135</v>
      </c>
      <c r="DU356" s="27" t="s">
        <v>313</v>
      </c>
      <c r="DV356" s="27" t="s">
        <v>382</v>
      </c>
      <c r="DW356" s="27" t="s">
        <v>154</v>
      </c>
      <c r="DX356" s="27" t="s">
        <v>152</v>
      </c>
      <c r="DY356" s="27" t="s">
        <v>178</v>
      </c>
      <c r="DZ356" s="27" t="n">
        <f aca="false">DY356+DV356+DR356+DN356+DJ356+DF356+DB356</f>
        <v>482</v>
      </c>
      <c r="EA356" s="28" t="n">
        <f aca="false">DZ356/7</f>
        <v>68.8571428571429</v>
      </c>
      <c r="EB356" s="27" t="n">
        <f aca="false">RANK(EA356,$EA$2:$EA$881,0)</f>
        <v>677</v>
      </c>
      <c r="EC356" s="29" t="n">
        <f aca="false">DZ356+CQ356+CP356+AZ356</f>
        <v>2539</v>
      </c>
      <c r="ED356" s="30" t="n">
        <f aca="false">(EA356+CV356+BB356)/3</f>
        <v>79.8333333333333</v>
      </c>
      <c r="EE356" s="51" t="n">
        <f aca="false">ROUND(BE356,3)</f>
        <v>89.7</v>
      </c>
      <c r="EF356" s="51" t="n">
        <f aca="false">ROUND(CR356,3)</f>
        <v>91.143</v>
      </c>
      <c r="EG356" s="51" t="n">
        <f aca="false">ROUND(CS356,3)</f>
        <v>84.143</v>
      </c>
      <c r="EH356" s="51" t="n">
        <f aca="false">ROUND(EA356,3)</f>
        <v>68.857</v>
      </c>
      <c r="EI356" s="51" t="n">
        <f aca="false">ROUND(ED356,3)</f>
        <v>79.833</v>
      </c>
      <c r="EJ356" s="51" t="n">
        <f aca="false">ROUND(CV356,3)</f>
        <v>87.643</v>
      </c>
      <c r="EK356" s="0" t="n">
        <f aca="false">RANK(EI356,$EI$2:$EI$881,0)</f>
        <v>355</v>
      </c>
    </row>
    <row r="357" customFormat="false" ht="15" hidden="false" customHeight="false" outlineLevel="0" collapsed="false">
      <c r="A357" s="4" t="n">
        <v>8689</v>
      </c>
      <c r="B357" s="4" t="n">
        <v>498</v>
      </c>
      <c r="C357" s="27" t="s">
        <v>1171</v>
      </c>
      <c r="D357" s="31" t="n">
        <v>505</v>
      </c>
      <c r="E357" s="32" t="n">
        <v>230320850</v>
      </c>
      <c r="F357" s="8" t="s">
        <v>1172</v>
      </c>
      <c r="G357" s="22" t="s">
        <v>1173</v>
      </c>
      <c r="H357" s="22" t="s">
        <v>129</v>
      </c>
      <c r="I357" s="33" t="n">
        <v>2005</v>
      </c>
      <c r="J357" s="32" t="n">
        <v>70</v>
      </c>
      <c r="K357" s="32" t="n">
        <v>79</v>
      </c>
      <c r="L357" s="34" t="n">
        <f aca="false">(K357*70)/100</f>
        <v>55.3</v>
      </c>
      <c r="M357" s="34" t="n">
        <f aca="false">ROUNDUP(L357,0)</f>
        <v>56</v>
      </c>
      <c r="N357" s="32" t="n">
        <v>22</v>
      </c>
      <c r="O357" s="34" t="n">
        <f aca="false">N357+L357</f>
        <v>77.3</v>
      </c>
      <c r="P357" s="34" t="n">
        <f aca="false">N357+M357</f>
        <v>78</v>
      </c>
      <c r="Q357" s="68" t="n">
        <v>56</v>
      </c>
      <c r="R357" s="32" t="n">
        <v>75</v>
      </c>
      <c r="S357" s="34" t="n">
        <f aca="false">(R357*70)/100</f>
        <v>52.5</v>
      </c>
      <c r="T357" s="34" t="n">
        <f aca="false">ROUNDUP(S357,0)</f>
        <v>53</v>
      </c>
      <c r="U357" s="32" t="n">
        <v>25</v>
      </c>
      <c r="V357" s="34" t="n">
        <f aca="false">U357+S357</f>
        <v>77.5</v>
      </c>
      <c r="W357" s="34" t="n">
        <f aca="false">U357+T357</f>
        <v>78</v>
      </c>
      <c r="X357" s="32" t="n">
        <v>64</v>
      </c>
      <c r="Y357" s="34" t="n">
        <f aca="false">(X357*70)/100</f>
        <v>44.8</v>
      </c>
      <c r="Z357" s="34" t="n">
        <f aca="false">ROUNDUP(Y357,0)</f>
        <v>45</v>
      </c>
      <c r="AA357" s="32" t="n">
        <v>23</v>
      </c>
      <c r="AB357" s="34" t="n">
        <f aca="false">AA357+Y357</f>
        <v>67.8</v>
      </c>
      <c r="AC357" s="34" t="n">
        <f aca="false">AA357+Z357</f>
        <v>68</v>
      </c>
      <c r="AD357" s="32" t="n">
        <f aca="false">X357+R357+Q357+K357+J357</f>
        <v>344</v>
      </c>
      <c r="AE357" s="16" t="n">
        <f aca="false">AD357/5</f>
        <v>68.8</v>
      </c>
      <c r="AF357" s="16" t="n">
        <v>80</v>
      </c>
      <c r="AG357" s="16" t="n">
        <v>83</v>
      </c>
      <c r="AH357" s="16" t="n">
        <v>90</v>
      </c>
      <c r="AI357" s="16" t="n">
        <v>87</v>
      </c>
      <c r="AJ357" s="16" t="n">
        <f aca="false">(AI357*70)/100</f>
        <v>60.9</v>
      </c>
      <c r="AK357" s="35" t="n">
        <f aca="false">ROUNDUP(AJ357,0)</f>
        <v>61</v>
      </c>
      <c r="AL357" s="16" t="n">
        <v>24</v>
      </c>
      <c r="AM357" s="16" t="n">
        <f aca="false">AL357+AJ357</f>
        <v>84.9</v>
      </c>
      <c r="AN357" s="16" t="n">
        <f aca="false">AL357+AK357</f>
        <v>85</v>
      </c>
      <c r="AO357" s="16" t="n">
        <v>65</v>
      </c>
      <c r="AP357" s="36" t="n">
        <f aca="false">(AO357*70)/100</f>
        <v>45.5</v>
      </c>
      <c r="AQ357" s="37" t="n">
        <f aca="false">ROUNDUP(AP357,0)</f>
        <v>46</v>
      </c>
      <c r="AR357" s="16" t="n">
        <v>26</v>
      </c>
      <c r="AS357" s="16" t="n">
        <f aca="false">AR357+AP357</f>
        <v>71.5</v>
      </c>
      <c r="AT357" s="16" t="n">
        <f aca="false">AR357+AQ357</f>
        <v>72</v>
      </c>
      <c r="AU357" s="16" t="n">
        <f aca="false">AO357+AF357+AI357+AH357+AG357</f>
        <v>405</v>
      </c>
      <c r="AV357" s="16" t="n">
        <f aca="false">(AO357+AF357+AI357+AH357+AG357)/5</f>
        <v>81</v>
      </c>
      <c r="AW357" s="36" t="n">
        <f aca="false">(AO357+AF357+AI357+AH357+AG357+X357+R357+Q357+K357+J357)</f>
        <v>749</v>
      </c>
      <c r="AX357" s="16" t="n">
        <f aca="false">AW357/10</f>
        <v>74.9</v>
      </c>
      <c r="AY357" s="16" t="n">
        <f aca="false">AS357+AF357+AM357+AH357+AG357+AB357+V357+Q357+O357+J357</f>
        <v>758</v>
      </c>
      <c r="AZ357" s="16" t="n">
        <f aca="false">AT357+AF357+AN357+AH357+AG357+AC357+W357+Q357+P357+J357</f>
        <v>760</v>
      </c>
      <c r="BA357" s="16" t="n">
        <f aca="false">AY357/10</f>
        <v>75.8</v>
      </c>
      <c r="BB357" s="16" t="n">
        <f aca="false">AZ357/10</f>
        <v>76</v>
      </c>
      <c r="BC357" s="16" t="n">
        <v>2356</v>
      </c>
      <c r="BD357" s="16" t="n">
        <f aca="false">RANK(AX357,$AX$2:$AX$881,0)</f>
        <v>688</v>
      </c>
      <c r="BE357" s="73" t="n">
        <f aca="false">((BC357*100)/2400)*0.4+(AX357*0.6)</f>
        <v>84.2066666666667</v>
      </c>
      <c r="BF357" s="16" t="n">
        <f aca="false">RANK(BE357,$BE$2:$BE$881,0)</f>
        <v>678</v>
      </c>
      <c r="BG357" s="39" t="n">
        <f aca="false">RANK(BB357,$BB$2:$BB$881,0)</f>
        <v>678</v>
      </c>
      <c r="BH357" s="39" t="n">
        <f aca="false">RANK(BC357,$BC$2:$BC$881,0)</f>
        <v>462</v>
      </c>
      <c r="BI357" s="22" t="s">
        <v>130</v>
      </c>
      <c r="BJ357" s="22" t="s">
        <v>129</v>
      </c>
      <c r="BK357" s="40" t="s">
        <v>702</v>
      </c>
      <c r="BL357" s="41" t="n">
        <v>23</v>
      </c>
      <c r="BM357" s="41" t="n">
        <v>46</v>
      </c>
      <c r="BN357" s="41" t="n">
        <v>69</v>
      </c>
      <c r="BO357" s="42" t="n">
        <v>23</v>
      </c>
      <c r="BP357" s="43" t="n">
        <v>44</v>
      </c>
      <c r="BQ357" s="44" t="n">
        <v>67</v>
      </c>
      <c r="BR357" s="42" t="n">
        <v>22</v>
      </c>
      <c r="BS357" s="45" t="n">
        <v>46</v>
      </c>
      <c r="BT357" s="45" t="n">
        <v>68</v>
      </c>
      <c r="BU357" s="46" t="n">
        <v>98</v>
      </c>
      <c r="BV357" s="47" t="n">
        <v>80</v>
      </c>
      <c r="BW357" s="42" t="n">
        <v>99</v>
      </c>
      <c r="BX357" s="48" t="n">
        <v>96</v>
      </c>
      <c r="BY357" s="32" t="n">
        <v>22</v>
      </c>
      <c r="BZ357" s="32" t="n">
        <v>42</v>
      </c>
      <c r="CA357" s="32" t="n">
        <v>64</v>
      </c>
      <c r="CB357" s="32" t="n">
        <v>25</v>
      </c>
      <c r="CC357" s="32" t="n">
        <v>35</v>
      </c>
      <c r="CD357" s="32" t="n">
        <v>60</v>
      </c>
      <c r="CE357" s="25" t="n">
        <v>25</v>
      </c>
      <c r="CF357" s="25" t="n">
        <v>54</v>
      </c>
      <c r="CG357" s="25" t="n">
        <v>79</v>
      </c>
      <c r="CH357" s="32" t="n">
        <v>98</v>
      </c>
      <c r="CI357" s="32" t="n">
        <v>99</v>
      </c>
      <c r="CJ357" s="49" t="n">
        <v>27</v>
      </c>
      <c r="CK357" s="49" t="n">
        <v>41</v>
      </c>
      <c r="CL357" s="49" t="n">
        <v>68</v>
      </c>
      <c r="CM357" s="49" t="n">
        <v>19</v>
      </c>
      <c r="CN357" s="49" t="n">
        <v>52</v>
      </c>
      <c r="CO357" s="49" t="n">
        <v>71</v>
      </c>
      <c r="CP357" s="25" t="n">
        <f aca="false">BX357+BW357+BV357+BU357+BT357+BQ357+BN357</f>
        <v>577</v>
      </c>
      <c r="CQ357" s="25" t="n">
        <f aca="false">CO357+CL357+CI357+CH357+CG357+CD357+CA357</f>
        <v>539</v>
      </c>
      <c r="CR357" s="26" t="n">
        <f aca="false">CP357/7</f>
        <v>82.4285714285714</v>
      </c>
      <c r="CS357" s="26" t="n">
        <f aca="false">CQ357/7</f>
        <v>77</v>
      </c>
      <c r="CT357" s="24" t="n">
        <f aca="false">RANK(CR357,$CR$2:$CR$881,0)</f>
        <v>531</v>
      </c>
      <c r="CU357" s="25" t="n">
        <f aca="false">RANK(CS357,$CS$2:$CS$881,0)</f>
        <v>363</v>
      </c>
      <c r="CV357" s="26" t="n">
        <f aca="false">(CS357+CR357)/2</f>
        <v>79.7142857142857</v>
      </c>
      <c r="CW357" s="25" t="n">
        <f aca="false">RANK(CV357,$CV$2:$CV$881,0)</f>
        <v>440</v>
      </c>
      <c r="CX357" s="50" t="n">
        <f aca="false">(CV357+BB357)/2</f>
        <v>77.8571428571429</v>
      </c>
      <c r="CY357" s="50" t="n">
        <v>470</v>
      </c>
      <c r="CZ357" s="27" t="s">
        <v>132</v>
      </c>
      <c r="DA357" s="27" t="s">
        <v>202</v>
      </c>
      <c r="DB357" s="27" t="s">
        <v>202</v>
      </c>
      <c r="DC357" s="27" t="s">
        <v>134</v>
      </c>
      <c r="DD357" s="27" t="s">
        <v>182</v>
      </c>
      <c r="DE357" s="27" t="s">
        <v>183</v>
      </c>
      <c r="DF357" s="27" t="s">
        <v>205</v>
      </c>
      <c r="DG357" s="27" t="s">
        <v>134</v>
      </c>
      <c r="DH357" s="27" t="s">
        <v>164</v>
      </c>
      <c r="DI357" s="27" t="s">
        <v>136</v>
      </c>
      <c r="DJ357" s="27" t="s">
        <v>153</v>
      </c>
      <c r="DK357" s="27" t="s">
        <v>134</v>
      </c>
      <c r="DL357" s="27" t="s">
        <v>154</v>
      </c>
      <c r="DM357" s="27" t="s">
        <v>218</v>
      </c>
      <c r="DN357" s="27" t="s">
        <v>219</v>
      </c>
      <c r="DO357" s="27" t="s">
        <v>134</v>
      </c>
      <c r="DP357" s="27" t="s">
        <v>604</v>
      </c>
      <c r="DQ357" s="27" t="s">
        <v>218</v>
      </c>
      <c r="DR357" s="27" t="s">
        <v>486</v>
      </c>
      <c r="DS357" s="27" t="s">
        <v>134</v>
      </c>
      <c r="DT357" s="27" t="s">
        <v>135</v>
      </c>
      <c r="DU357" s="27" t="s">
        <v>447</v>
      </c>
      <c r="DV357" s="27" t="s">
        <v>305</v>
      </c>
      <c r="DW357" s="27" t="s">
        <v>140</v>
      </c>
      <c r="DX357" s="27" t="s">
        <v>143</v>
      </c>
      <c r="DY357" s="27" t="s">
        <v>144</v>
      </c>
      <c r="DZ357" s="27" t="n">
        <f aca="false">DY357+DV357+DR357+DN357+DJ357+DF357+DB357</f>
        <v>586</v>
      </c>
      <c r="EA357" s="28" t="n">
        <f aca="false">DZ357/7</f>
        <v>83.7142857142857</v>
      </c>
      <c r="EB357" s="27" t="n">
        <f aca="false">RANK(EA357,$EA$2:$EA$881,0)</f>
        <v>237</v>
      </c>
      <c r="EC357" s="29" t="n">
        <f aca="false">DZ357+CQ357+CP357+AZ357</f>
        <v>2462</v>
      </c>
      <c r="ED357" s="30" t="n">
        <f aca="false">(EA357+CV357+BB357)/3</f>
        <v>79.8095238095238</v>
      </c>
      <c r="EE357" s="51" t="n">
        <f aca="false">ROUND(BE357,3)</f>
        <v>84.207</v>
      </c>
      <c r="EF357" s="51" t="n">
        <f aca="false">ROUND(CR357,3)</f>
        <v>82.429</v>
      </c>
      <c r="EG357" s="51" t="n">
        <f aca="false">ROUND(CS357,3)</f>
        <v>77</v>
      </c>
      <c r="EH357" s="51" t="n">
        <f aca="false">ROUND(EA357,3)</f>
        <v>83.714</v>
      </c>
      <c r="EI357" s="51" t="n">
        <f aca="false">ROUND(ED357,3)</f>
        <v>79.81</v>
      </c>
      <c r="EJ357" s="51" t="n">
        <f aca="false">ROUND(CV357,3)</f>
        <v>79.714</v>
      </c>
      <c r="EK357" s="0" t="n">
        <f aca="false">RANK(EI357,$EI$2:$EI$881,0)</f>
        <v>356</v>
      </c>
    </row>
    <row r="358" customFormat="false" ht="15" hidden="false" customHeight="false" outlineLevel="0" collapsed="false">
      <c r="A358" s="4" t="n">
        <v>2021</v>
      </c>
      <c r="B358" s="4" t="n">
        <v>630</v>
      </c>
      <c r="C358" s="27" t="s">
        <v>1174</v>
      </c>
      <c r="D358" s="31" t="n">
        <v>638</v>
      </c>
      <c r="E358" s="16" t="n">
        <v>230224046</v>
      </c>
      <c r="F358" s="56" t="s">
        <v>1175</v>
      </c>
      <c r="G358" s="22" t="s">
        <v>1176</v>
      </c>
      <c r="H358" s="22" t="s">
        <v>326</v>
      </c>
      <c r="I358" s="57"/>
      <c r="J358" s="16" t="n">
        <v>68</v>
      </c>
      <c r="K358" s="16" t="n">
        <v>80</v>
      </c>
      <c r="L358" s="34" t="n">
        <f aca="false">(K358*70)/100</f>
        <v>56</v>
      </c>
      <c r="M358" s="34" t="n">
        <f aca="false">ROUNDUP(L358,0)</f>
        <v>56</v>
      </c>
      <c r="N358" s="16" t="n">
        <v>27</v>
      </c>
      <c r="O358" s="34" t="n">
        <f aca="false">N358+L358</f>
        <v>83</v>
      </c>
      <c r="P358" s="34" t="n">
        <f aca="false">N358+M358</f>
        <v>83</v>
      </c>
      <c r="Q358" s="16" t="n">
        <v>82</v>
      </c>
      <c r="R358" s="16" t="n">
        <v>72</v>
      </c>
      <c r="S358" s="34" t="n">
        <f aca="false">(R358*70)/100</f>
        <v>50.4</v>
      </c>
      <c r="T358" s="34" t="n">
        <f aca="false">ROUNDUP(S358,0)</f>
        <v>51</v>
      </c>
      <c r="U358" s="16" t="n">
        <v>26</v>
      </c>
      <c r="V358" s="34" t="n">
        <f aca="false">U358+S358</f>
        <v>76.4</v>
      </c>
      <c r="W358" s="34" t="n">
        <f aca="false">U358+T358</f>
        <v>77</v>
      </c>
      <c r="X358" s="16" t="n">
        <v>72</v>
      </c>
      <c r="Y358" s="34" t="n">
        <f aca="false">(X358*70)/100</f>
        <v>50.4</v>
      </c>
      <c r="Z358" s="34" t="n">
        <f aca="false">ROUNDUP(Y358,0)</f>
        <v>51</v>
      </c>
      <c r="AA358" s="16" t="n">
        <v>24</v>
      </c>
      <c r="AB358" s="34" t="n">
        <f aca="false">AA358+Y358</f>
        <v>74.4</v>
      </c>
      <c r="AC358" s="34" t="n">
        <f aca="false">AA358+Z358</f>
        <v>75</v>
      </c>
      <c r="AD358" s="32" t="n">
        <f aca="false">X358+R358+Q358+K358+J358</f>
        <v>374</v>
      </c>
      <c r="AE358" s="16" t="n">
        <f aca="false">AD358/5</f>
        <v>74.8</v>
      </c>
      <c r="AF358" s="16" t="n">
        <v>68</v>
      </c>
      <c r="AG358" s="16" t="n">
        <v>69</v>
      </c>
      <c r="AH358" s="16" t="n">
        <v>93</v>
      </c>
      <c r="AI358" s="16" t="n">
        <v>87</v>
      </c>
      <c r="AJ358" s="16" t="n">
        <f aca="false">(AI358*70)/100</f>
        <v>60.9</v>
      </c>
      <c r="AK358" s="35" t="n">
        <f aca="false">ROUNDUP(AJ358,0)</f>
        <v>61</v>
      </c>
      <c r="AL358" s="16" t="n">
        <v>20</v>
      </c>
      <c r="AM358" s="16" t="n">
        <f aca="false">AL358+AJ358</f>
        <v>80.9</v>
      </c>
      <c r="AN358" s="16" t="n">
        <f aca="false">AL358+AK358</f>
        <v>81</v>
      </c>
      <c r="AO358" s="16" t="n">
        <v>76</v>
      </c>
      <c r="AP358" s="36" t="n">
        <f aca="false">(AO358*70)/100</f>
        <v>53.2</v>
      </c>
      <c r="AQ358" s="37" t="n">
        <f aca="false">ROUNDUP(AP358,0)</f>
        <v>54</v>
      </c>
      <c r="AR358" s="16" t="n">
        <v>28</v>
      </c>
      <c r="AS358" s="16" t="n">
        <f aca="false">AR358+AP358</f>
        <v>81.2</v>
      </c>
      <c r="AT358" s="16" t="n">
        <f aca="false">AR358+AQ358</f>
        <v>82</v>
      </c>
      <c r="AU358" s="16" t="n">
        <f aca="false">AO358+AF358+AI358+AH358+AG358</f>
        <v>393</v>
      </c>
      <c r="AV358" s="16" t="n">
        <f aca="false">(AO358+AF358+AI358+AH358+AG358)/5</f>
        <v>78.6</v>
      </c>
      <c r="AW358" s="36" t="n">
        <f aca="false">(AO358+AF358+AI358+AH358+AG358+X358+R358+Q358+K358+J358)</f>
        <v>767</v>
      </c>
      <c r="AX358" s="16" t="n">
        <f aca="false">AW358/10</f>
        <v>76.7</v>
      </c>
      <c r="AY358" s="16" t="n">
        <f aca="false">AS358+AF358+AM358+AH358+AG358+AB358+V358+Q358+O358+J358</f>
        <v>775.9</v>
      </c>
      <c r="AZ358" s="16" t="n">
        <f aca="false">AT358+AF358+AN358+AH358+AG358+AC358+W358+Q358+P358+J358</f>
        <v>778</v>
      </c>
      <c r="BA358" s="16" t="n">
        <f aca="false">AY358/10</f>
        <v>77.59</v>
      </c>
      <c r="BB358" s="16" t="n">
        <f aca="false">AZ358/10</f>
        <v>77.8</v>
      </c>
      <c r="BC358" s="16" t="n">
        <v>2357</v>
      </c>
      <c r="BD358" s="16" t="n">
        <f aca="false">RANK(AX358,$AX$2:$AX$881,0)</f>
        <v>536</v>
      </c>
      <c r="BE358" s="54" t="n">
        <f aca="false">((BC358*100)/2400)*0.4+(AX358*0.6)</f>
        <v>85.3033333333333</v>
      </c>
      <c r="BF358" s="16" t="n">
        <f aca="false">RANK(BE358,$BE$2:$BE$881,0)</f>
        <v>542</v>
      </c>
      <c r="BG358" s="39" t="n">
        <f aca="false">RANK(BB358,$BB$2:$BB$881,0)</f>
        <v>577</v>
      </c>
      <c r="BH358" s="39" t="n">
        <f aca="false">RANK(BC358,$BC$2:$BC$881,0)</f>
        <v>444</v>
      </c>
      <c r="BI358" s="22" t="s">
        <v>130</v>
      </c>
      <c r="BJ358" s="22" t="s">
        <v>129</v>
      </c>
      <c r="BK358" s="40" t="s">
        <v>509</v>
      </c>
      <c r="BL358" s="41" t="n">
        <v>15</v>
      </c>
      <c r="BM358" s="41" t="n">
        <v>53</v>
      </c>
      <c r="BN358" s="41" t="n">
        <v>68</v>
      </c>
      <c r="BO358" s="42" t="n">
        <v>16</v>
      </c>
      <c r="BP358" s="43" t="n">
        <v>55</v>
      </c>
      <c r="BQ358" s="44" t="n">
        <v>71</v>
      </c>
      <c r="BR358" s="42" t="n">
        <v>23</v>
      </c>
      <c r="BS358" s="45" t="n">
        <v>50</v>
      </c>
      <c r="BT358" s="45" t="n">
        <v>73</v>
      </c>
      <c r="BU358" s="46" t="n">
        <v>99</v>
      </c>
      <c r="BV358" s="47" t="n">
        <v>78</v>
      </c>
      <c r="BW358" s="42" t="n">
        <v>93</v>
      </c>
      <c r="BX358" s="48" t="n">
        <v>92</v>
      </c>
      <c r="BY358" s="32" t="n">
        <v>22</v>
      </c>
      <c r="BZ358" s="32" t="n">
        <v>49</v>
      </c>
      <c r="CA358" s="32" t="n">
        <v>71</v>
      </c>
      <c r="CB358" s="32" t="n">
        <v>20</v>
      </c>
      <c r="CC358" s="32" t="n">
        <v>47</v>
      </c>
      <c r="CD358" s="32" t="n">
        <v>67</v>
      </c>
      <c r="CE358" s="32" t="n">
        <v>25</v>
      </c>
      <c r="CF358" s="32" t="n">
        <v>64</v>
      </c>
      <c r="CG358" s="32" t="n">
        <v>89</v>
      </c>
      <c r="CH358" s="32" t="n">
        <v>96</v>
      </c>
      <c r="CI358" s="32" t="n">
        <v>100</v>
      </c>
      <c r="CJ358" s="83" t="n">
        <v>10</v>
      </c>
      <c r="CK358" s="60"/>
      <c r="CL358" s="61"/>
      <c r="CM358" s="49" t="n">
        <v>25</v>
      </c>
      <c r="CN358" s="49" t="n">
        <v>62</v>
      </c>
      <c r="CO358" s="49" t="n">
        <v>87</v>
      </c>
      <c r="CP358" s="25" t="n">
        <f aca="false">BX358+BW358+BV358+BU358+BT358+BQ358+BN358</f>
        <v>574</v>
      </c>
      <c r="CQ358" s="25" t="n">
        <f aca="false">CO358+CL358+CI358+CH358+CG358+CD358+CA358</f>
        <v>510</v>
      </c>
      <c r="CR358" s="26" t="n">
        <f aca="false">CP358/7</f>
        <v>82</v>
      </c>
      <c r="CS358" s="26" t="n">
        <f aca="false">CQ358/7</f>
        <v>72.8571428571429</v>
      </c>
      <c r="CT358" s="24" t="n">
        <f aca="false">RANK(CR358,$CR$2:$CR$881,0)</f>
        <v>542</v>
      </c>
      <c r="CU358" s="25" t="n">
        <f aca="false">RANK(CS358,$CS$2:$CS$881,0)</f>
        <v>486</v>
      </c>
      <c r="CV358" s="26" t="n">
        <f aca="false">(CS358+CR358)/2</f>
        <v>77.4285714285714</v>
      </c>
      <c r="CW358" s="25" t="n">
        <f aca="false">RANK(CV358,$CV$2:$CV$881,0)</f>
        <v>508</v>
      </c>
      <c r="CX358" s="50" t="n">
        <f aca="false">(CV358+BB358)/2</f>
        <v>77.6142857142857</v>
      </c>
      <c r="CY358" s="50" t="n">
        <v>484</v>
      </c>
      <c r="CZ358" s="27" t="s">
        <v>132</v>
      </c>
      <c r="DA358" s="27" t="s">
        <v>205</v>
      </c>
      <c r="DB358" s="27" t="s">
        <v>205</v>
      </c>
      <c r="DC358" s="27" t="s">
        <v>134</v>
      </c>
      <c r="DD358" s="27" t="s">
        <v>164</v>
      </c>
      <c r="DE358" s="27" t="s">
        <v>204</v>
      </c>
      <c r="DF358" s="27" t="s">
        <v>202</v>
      </c>
      <c r="DG358" s="27" t="s">
        <v>134</v>
      </c>
      <c r="DH358" s="27" t="s">
        <v>174</v>
      </c>
      <c r="DI358" s="27" t="s">
        <v>204</v>
      </c>
      <c r="DJ358" s="27" t="s">
        <v>196</v>
      </c>
      <c r="DK358" s="27" t="s">
        <v>134</v>
      </c>
      <c r="DL358" s="27" t="s">
        <v>164</v>
      </c>
      <c r="DM358" s="27" t="s">
        <v>177</v>
      </c>
      <c r="DN358" s="27" t="s">
        <v>178</v>
      </c>
      <c r="DO358" s="27" t="s">
        <v>134</v>
      </c>
      <c r="DP358" s="27" t="s">
        <v>154</v>
      </c>
      <c r="DQ358" s="27" t="s">
        <v>136</v>
      </c>
      <c r="DR358" s="27" t="s">
        <v>202</v>
      </c>
      <c r="DS358" s="27" t="s">
        <v>134</v>
      </c>
      <c r="DT358" s="27" t="s">
        <v>154</v>
      </c>
      <c r="DU358" s="27" t="s">
        <v>306</v>
      </c>
      <c r="DV358" s="27" t="s">
        <v>305</v>
      </c>
      <c r="DW358" s="27" t="s">
        <v>135</v>
      </c>
      <c r="DX358" s="27" t="s">
        <v>152</v>
      </c>
      <c r="DY358" s="27" t="s">
        <v>162</v>
      </c>
      <c r="DZ358" s="27" t="n">
        <f aca="false">DY358+DV358+DR358+DN358+DJ358+DF358+DB358</f>
        <v>589</v>
      </c>
      <c r="EA358" s="28" t="n">
        <f aca="false">DZ358/7</f>
        <v>84.1428571428571</v>
      </c>
      <c r="EB358" s="27" t="n">
        <f aca="false">RANK(EA358,$EA$2:$EA$881,0)</f>
        <v>218</v>
      </c>
      <c r="EC358" s="29" t="n">
        <f aca="false">DZ358+CQ358+CP358+AZ358</f>
        <v>2451</v>
      </c>
      <c r="ED358" s="30" t="n">
        <f aca="false">(EA358+CV358+BB358)/3</f>
        <v>79.7904761904762</v>
      </c>
      <c r="EE358" s="51" t="n">
        <f aca="false">ROUND(BE358,3)</f>
        <v>85.303</v>
      </c>
      <c r="EF358" s="51" t="n">
        <f aca="false">ROUND(CR358,3)</f>
        <v>82</v>
      </c>
      <c r="EG358" s="51" t="n">
        <f aca="false">ROUND(CS358,3)</f>
        <v>72.857</v>
      </c>
      <c r="EH358" s="51" t="n">
        <f aca="false">ROUND(EA358,3)</f>
        <v>84.143</v>
      </c>
      <c r="EI358" s="51" t="n">
        <f aca="false">ROUND(ED358,3)</f>
        <v>79.79</v>
      </c>
      <c r="EJ358" s="51" t="n">
        <f aca="false">ROUND(CV358,3)</f>
        <v>77.429</v>
      </c>
      <c r="EK358" s="0" t="n">
        <f aca="false">RANK(EI358,$EI$2:$EI$881,0)</f>
        <v>357</v>
      </c>
    </row>
    <row r="359" customFormat="false" ht="15" hidden="false" customHeight="false" outlineLevel="0" collapsed="false">
      <c r="A359" s="4" t="n">
        <v>9051</v>
      </c>
      <c r="B359" s="4" t="n">
        <v>784</v>
      </c>
      <c r="C359" s="27" t="s">
        <v>1177</v>
      </c>
      <c r="D359" s="31" t="n">
        <v>802</v>
      </c>
      <c r="E359" s="32" t="n">
        <v>230512396</v>
      </c>
      <c r="F359" s="8" t="s">
        <v>1178</v>
      </c>
      <c r="G359" s="66" t="s">
        <v>243</v>
      </c>
      <c r="H359" s="22" t="s">
        <v>129</v>
      </c>
      <c r="I359" s="67" t="s">
        <v>466</v>
      </c>
      <c r="J359" s="32" t="n">
        <v>89</v>
      </c>
      <c r="K359" s="32" t="n">
        <v>80</v>
      </c>
      <c r="L359" s="34" t="n">
        <f aca="false">(K359*70)/100</f>
        <v>56</v>
      </c>
      <c r="M359" s="34" t="n">
        <f aca="false">ROUNDUP(L359,0)</f>
        <v>56</v>
      </c>
      <c r="N359" s="32" t="n">
        <v>27</v>
      </c>
      <c r="O359" s="34" t="n">
        <f aca="false">N359+L359</f>
        <v>83</v>
      </c>
      <c r="P359" s="34" t="n">
        <f aca="false">N359+M359</f>
        <v>83</v>
      </c>
      <c r="Q359" s="32" t="n">
        <v>80</v>
      </c>
      <c r="R359" s="32" t="n">
        <v>74</v>
      </c>
      <c r="S359" s="34" t="n">
        <f aca="false">(R359*70)/100</f>
        <v>51.8</v>
      </c>
      <c r="T359" s="34" t="n">
        <f aca="false">ROUNDUP(S359,0)</f>
        <v>52</v>
      </c>
      <c r="U359" s="32" t="n">
        <v>25</v>
      </c>
      <c r="V359" s="34" t="n">
        <f aca="false">U359+S359</f>
        <v>76.8</v>
      </c>
      <c r="W359" s="34" t="n">
        <f aca="false">U359+T359</f>
        <v>77</v>
      </c>
      <c r="X359" s="32" t="n">
        <v>76</v>
      </c>
      <c r="Y359" s="34" t="n">
        <f aca="false">(X359*70)/100</f>
        <v>53.2</v>
      </c>
      <c r="Z359" s="34" t="n">
        <f aca="false">ROUNDUP(Y359,0)</f>
        <v>54</v>
      </c>
      <c r="AA359" s="32" t="n">
        <v>27</v>
      </c>
      <c r="AB359" s="34" t="n">
        <f aca="false">AA359+Y359</f>
        <v>80.2</v>
      </c>
      <c r="AC359" s="34" t="n">
        <f aca="false">AA359+Z359</f>
        <v>81</v>
      </c>
      <c r="AD359" s="32" t="n">
        <f aca="false">X359+R359+Q359+K359+J359</f>
        <v>399</v>
      </c>
      <c r="AE359" s="16" t="n">
        <f aca="false">AD359/5</f>
        <v>79.8</v>
      </c>
      <c r="AF359" s="16" t="n">
        <v>77</v>
      </c>
      <c r="AG359" s="16" t="n">
        <v>92</v>
      </c>
      <c r="AH359" s="16" t="n">
        <v>78</v>
      </c>
      <c r="AI359" s="16" t="n">
        <v>76</v>
      </c>
      <c r="AJ359" s="16" t="n">
        <f aca="false">(AI359*70)/100</f>
        <v>53.2</v>
      </c>
      <c r="AK359" s="35" t="n">
        <f aca="false">ROUNDUP(AJ359,0)</f>
        <v>54</v>
      </c>
      <c r="AL359" s="16" t="n">
        <v>26</v>
      </c>
      <c r="AM359" s="16" t="n">
        <f aca="false">AL359+AJ359</f>
        <v>79.2</v>
      </c>
      <c r="AN359" s="16" t="n">
        <f aca="false">AL359+AK359</f>
        <v>80</v>
      </c>
      <c r="AO359" s="16" t="n">
        <v>72</v>
      </c>
      <c r="AP359" s="36" t="n">
        <f aca="false">(AO359*70)/100</f>
        <v>50.4</v>
      </c>
      <c r="AQ359" s="37" t="n">
        <f aca="false">ROUNDUP(AP359,0)</f>
        <v>51</v>
      </c>
      <c r="AR359" s="16" t="n">
        <v>27</v>
      </c>
      <c r="AS359" s="16" t="n">
        <f aca="false">AR359+AP359</f>
        <v>77.4</v>
      </c>
      <c r="AT359" s="16" t="n">
        <f aca="false">AR359+AQ359</f>
        <v>78</v>
      </c>
      <c r="AU359" s="16" t="n">
        <f aca="false">AO359+AF359+AI359+AH359+AG359</f>
        <v>395</v>
      </c>
      <c r="AV359" s="16" t="n">
        <f aca="false">(AO359+AF359+AI359+AH359+AG359)/5</f>
        <v>79</v>
      </c>
      <c r="AW359" s="36" t="n">
        <f aca="false">(AO359+AF359+AI359+AH359+AG359+X359+R359+Q359+K359+J359)</f>
        <v>794</v>
      </c>
      <c r="AX359" s="16" t="n">
        <f aca="false">AW359/10</f>
        <v>79.4</v>
      </c>
      <c r="AY359" s="16" t="n">
        <f aca="false">AS359+AF359+AM359+AH359+AG359+AB359+V359+Q359+O359+J359</f>
        <v>812.6</v>
      </c>
      <c r="AZ359" s="16" t="n">
        <f aca="false">AT359+AF359+AN359+AH359+AG359+AC359+W359+Q359+P359+J359</f>
        <v>815</v>
      </c>
      <c r="BA359" s="16" t="n">
        <f aca="false">AY359/10</f>
        <v>81.26</v>
      </c>
      <c r="BB359" s="16" t="n">
        <f aca="false">AZ359/10</f>
        <v>81.5</v>
      </c>
      <c r="BC359" s="24" t="n">
        <v>2362</v>
      </c>
      <c r="BD359" s="16" t="n">
        <f aca="false">RANK(AX359,$AX$2:$AX$881,0)</f>
        <v>306</v>
      </c>
      <c r="BE359" s="54" t="n">
        <f aca="false">((BC359*100)/2400)*0.4+(AX359*0.6)</f>
        <v>87.0066666666667</v>
      </c>
      <c r="BF359" s="16" t="n">
        <f aca="false">RANK(BE359,$BE$2:$BE$881,0)</f>
        <v>294</v>
      </c>
      <c r="BG359" s="39" t="n">
        <f aca="false">RANK(BB359,$BB$2:$BB$881,0)</f>
        <v>246</v>
      </c>
      <c r="BH359" s="39" t="n">
        <f aca="false">RANK(BC359,$BC$2:$BC$881,0)</f>
        <v>367</v>
      </c>
      <c r="BI359" s="22" t="s">
        <v>130</v>
      </c>
      <c r="BJ359" s="22" t="s">
        <v>129</v>
      </c>
      <c r="BK359" s="40" t="s">
        <v>131</v>
      </c>
      <c r="BL359" s="41" t="n">
        <v>16</v>
      </c>
      <c r="BM359" s="41" t="n">
        <v>47</v>
      </c>
      <c r="BN359" s="41" t="n">
        <v>63</v>
      </c>
      <c r="BO359" s="42" t="n">
        <v>19</v>
      </c>
      <c r="BP359" s="43" t="n">
        <v>41</v>
      </c>
      <c r="BQ359" s="44" t="n">
        <v>60</v>
      </c>
      <c r="BR359" s="42" t="n">
        <v>21</v>
      </c>
      <c r="BS359" s="45" t="n">
        <v>46</v>
      </c>
      <c r="BT359" s="45" t="n">
        <v>67</v>
      </c>
      <c r="BU359" s="46" t="n">
        <v>100</v>
      </c>
      <c r="BV359" s="47" t="n">
        <v>90</v>
      </c>
      <c r="BW359" s="42" t="n">
        <v>99</v>
      </c>
      <c r="BX359" s="48" t="n">
        <v>88</v>
      </c>
      <c r="BY359" s="32" t="n">
        <v>26</v>
      </c>
      <c r="BZ359" s="32" t="n">
        <v>38</v>
      </c>
      <c r="CA359" s="32" t="n">
        <v>64</v>
      </c>
      <c r="CB359" s="32" t="n">
        <v>20</v>
      </c>
      <c r="CC359" s="32" t="n">
        <v>34</v>
      </c>
      <c r="CD359" s="69" t="n">
        <v>54</v>
      </c>
      <c r="CE359" s="32" t="n">
        <v>19</v>
      </c>
      <c r="CF359" s="32" t="n">
        <v>42</v>
      </c>
      <c r="CG359" s="32" t="n">
        <v>61</v>
      </c>
      <c r="CH359" s="32" t="n">
        <v>99</v>
      </c>
      <c r="CI359" s="32" t="n">
        <v>100</v>
      </c>
      <c r="CJ359" s="49" t="n">
        <v>23</v>
      </c>
      <c r="CK359" s="49" t="n">
        <v>48</v>
      </c>
      <c r="CL359" s="49" t="n">
        <v>71</v>
      </c>
      <c r="CM359" s="49" t="n">
        <v>20</v>
      </c>
      <c r="CN359" s="49" t="n">
        <v>45</v>
      </c>
      <c r="CO359" s="49" t="n">
        <v>65</v>
      </c>
      <c r="CP359" s="25" t="n">
        <f aca="false">BX359+BW359+BV359+BU359+BT359+BQ359+BN359</f>
        <v>567</v>
      </c>
      <c r="CQ359" s="25" t="n">
        <f aca="false">CO359+CL359+CI359+CH359+CG359+CD359+CA359</f>
        <v>514</v>
      </c>
      <c r="CR359" s="26" t="n">
        <f aca="false">CP359/7</f>
        <v>81</v>
      </c>
      <c r="CS359" s="26" t="n">
        <f aca="false">CQ359/7</f>
        <v>73.4285714285714</v>
      </c>
      <c r="CT359" s="24" t="n">
        <f aca="false">RANK(CR359,$CR$2:$CR$881,0)</f>
        <v>565</v>
      </c>
      <c r="CU359" s="25" t="n">
        <f aca="false">RANK(CS359,$CS$2:$CS$881,0)</f>
        <v>474</v>
      </c>
      <c r="CV359" s="26" t="n">
        <f aca="false">(CS359+CR359)/2</f>
        <v>77.2142857142857</v>
      </c>
      <c r="CW359" s="25" t="n">
        <f aca="false">RANK(CV359,$CV$2:$CV$881,0)</f>
        <v>512</v>
      </c>
      <c r="CX359" s="50" t="n">
        <f aca="false">(CV359+BB359)/2</f>
        <v>79.3571428571429</v>
      </c>
      <c r="CY359" s="50" t="n">
        <v>406</v>
      </c>
      <c r="CZ359" s="27" t="s">
        <v>132</v>
      </c>
      <c r="DA359" s="27" t="s">
        <v>176</v>
      </c>
      <c r="DB359" s="27" t="s">
        <v>176</v>
      </c>
      <c r="DC359" s="27" t="s">
        <v>134</v>
      </c>
      <c r="DD359" s="27" t="s">
        <v>174</v>
      </c>
      <c r="DE359" s="27" t="s">
        <v>304</v>
      </c>
      <c r="DF359" s="27" t="s">
        <v>443</v>
      </c>
      <c r="DG359" s="27" t="s">
        <v>134</v>
      </c>
      <c r="DH359" s="27" t="s">
        <v>160</v>
      </c>
      <c r="DI359" s="27" t="s">
        <v>220</v>
      </c>
      <c r="DJ359" s="27" t="s">
        <v>209</v>
      </c>
      <c r="DK359" s="27" t="s">
        <v>134</v>
      </c>
      <c r="DL359" s="27" t="s">
        <v>164</v>
      </c>
      <c r="DM359" s="27" t="s">
        <v>218</v>
      </c>
      <c r="DN359" s="27" t="s">
        <v>209</v>
      </c>
      <c r="DO359" s="27" t="s">
        <v>134</v>
      </c>
      <c r="DP359" s="27" t="s">
        <v>1000</v>
      </c>
      <c r="DQ359" s="27" t="s">
        <v>304</v>
      </c>
      <c r="DR359" s="27" t="s">
        <v>143</v>
      </c>
      <c r="DS359" s="27" t="s">
        <v>134</v>
      </c>
      <c r="DT359" s="27" t="s">
        <v>160</v>
      </c>
      <c r="DU359" s="27" t="s">
        <v>673</v>
      </c>
      <c r="DV359" s="27" t="s">
        <v>138</v>
      </c>
      <c r="DW359" s="27" t="s">
        <v>140</v>
      </c>
      <c r="DX359" s="27" t="s">
        <v>203</v>
      </c>
      <c r="DY359" s="27" t="s">
        <v>170</v>
      </c>
      <c r="DZ359" s="27" t="n">
        <f aca="false">DY359+DV359+DR359+DN359+DJ359+DF359+DB359</f>
        <v>564</v>
      </c>
      <c r="EA359" s="28" t="n">
        <f aca="false">DZ359/7</f>
        <v>80.5714285714286</v>
      </c>
      <c r="EB359" s="27" t="n">
        <f aca="false">RANK(EA359,$EA$2:$EA$881,0)</f>
        <v>368</v>
      </c>
      <c r="EC359" s="29" t="n">
        <f aca="false">DZ359+CQ359+CP359+AZ359</f>
        <v>2460</v>
      </c>
      <c r="ED359" s="30" t="n">
        <f aca="false">(EA359+CV359+BB359)/3</f>
        <v>79.7619047619048</v>
      </c>
      <c r="EE359" s="51" t="n">
        <f aca="false">ROUND(BE359,3)</f>
        <v>87.007</v>
      </c>
      <c r="EF359" s="51" t="n">
        <f aca="false">ROUND(CR359,3)</f>
        <v>81</v>
      </c>
      <c r="EG359" s="51" t="n">
        <f aca="false">ROUND(CS359,3)</f>
        <v>73.429</v>
      </c>
      <c r="EH359" s="51" t="n">
        <f aca="false">ROUND(EA359,3)</f>
        <v>80.571</v>
      </c>
      <c r="EI359" s="51" t="n">
        <f aca="false">ROUND(ED359,3)</f>
        <v>79.762</v>
      </c>
      <c r="EJ359" s="51" t="n">
        <f aca="false">ROUND(CV359,3)</f>
        <v>77.214</v>
      </c>
      <c r="EK359" s="0" t="n">
        <f aca="false">RANK(EI359,$EI$2:$EI$881,0)</f>
        <v>358</v>
      </c>
    </row>
    <row r="360" customFormat="false" ht="15" hidden="false" customHeight="false" outlineLevel="0" collapsed="false">
      <c r="A360" s="4" t="n">
        <v>8671</v>
      </c>
      <c r="B360" s="4" t="n">
        <v>631</v>
      </c>
      <c r="C360" s="27" t="s">
        <v>1179</v>
      </c>
      <c r="D360" s="31" t="n">
        <v>639</v>
      </c>
      <c r="E360" s="32" t="n">
        <v>230419445</v>
      </c>
      <c r="F360" s="8" t="s">
        <v>1180</v>
      </c>
      <c r="G360" s="66" t="s">
        <v>1181</v>
      </c>
      <c r="H360" s="22" t="s">
        <v>129</v>
      </c>
      <c r="I360" s="67" t="s">
        <v>1182</v>
      </c>
      <c r="J360" s="32" t="n">
        <v>73</v>
      </c>
      <c r="K360" s="32" t="n">
        <v>65</v>
      </c>
      <c r="L360" s="34" t="n">
        <f aca="false">(K360*70)/100</f>
        <v>45.5</v>
      </c>
      <c r="M360" s="34" t="n">
        <f aca="false">ROUNDUP(L360,0)</f>
        <v>46</v>
      </c>
      <c r="N360" s="32" t="n">
        <v>24</v>
      </c>
      <c r="O360" s="34" t="n">
        <f aca="false">N360+L360</f>
        <v>69.5</v>
      </c>
      <c r="P360" s="34" t="n">
        <f aca="false">N360+M360</f>
        <v>70</v>
      </c>
      <c r="Q360" s="32" t="n">
        <v>72</v>
      </c>
      <c r="R360" s="32" t="n">
        <v>66</v>
      </c>
      <c r="S360" s="34" t="n">
        <f aca="false">(R360*70)/100</f>
        <v>46.2</v>
      </c>
      <c r="T360" s="34" t="n">
        <f aca="false">ROUNDUP(S360,0)</f>
        <v>47</v>
      </c>
      <c r="U360" s="32" t="n">
        <v>23</v>
      </c>
      <c r="V360" s="34" t="n">
        <f aca="false">U360+S360</f>
        <v>69.2</v>
      </c>
      <c r="W360" s="34" t="n">
        <f aca="false">U360+T360</f>
        <v>70</v>
      </c>
      <c r="X360" s="32" t="n">
        <v>53</v>
      </c>
      <c r="Y360" s="34" t="n">
        <f aca="false">(X360*70)/100</f>
        <v>37.1</v>
      </c>
      <c r="Z360" s="34" t="n">
        <f aca="false">ROUNDUP(Y360,0)</f>
        <v>38</v>
      </c>
      <c r="AA360" s="32" t="n">
        <v>25</v>
      </c>
      <c r="AB360" s="34" t="n">
        <f aca="false">AA360+Y360</f>
        <v>62.1</v>
      </c>
      <c r="AC360" s="34" t="n">
        <f aca="false">AA360+Z360</f>
        <v>63</v>
      </c>
      <c r="AD360" s="32" t="n">
        <f aca="false">X360+R360+Q360+K360+J360</f>
        <v>329</v>
      </c>
      <c r="AE360" s="16" t="n">
        <f aca="false">AD360/5</f>
        <v>65.8</v>
      </c>
      <c r="AF360" s="16" t="n">
        <v>68</v>
      </c>
      <c r="AG360" s="16" t="n">
        <v>76</v>
      </c>
      <c r="AH360" s="16" t="n">
        <v>83</v>
      </c>
      <c r="AI360" s="16" t="n">
        <v>92</v>
      </c>
      <c r="AJ360" s="16" t="n">
        <f aca="false">(AI360*70)/100</f>
        <v>64.4</v>
      </c>
      <c r="AK360" s="35" t="n">
        <f aca="false">ROUNDUP(AJ360,0)</f>
        <v>65</v>
      </c>
      <c r="AL360" s="16" t="n">
        <v>22</v>
      </c>
      <c r="AM360" s="16" t="n">
        <f aca="false">AL360+AJ360</f>
        <v>86.4</v>
      </c>
      <c r="AN360" s="16" t="n">
        <f aca="false">AL360+AK360</f>
        <v>87</v>
      </c>
      <c r="AO360" s="16" t="n">
        <v>66</v>
      </c>
      <c r="AP360" s="36" t="n">
        <f aca="false">(AO360*70)/100</f>
        <v>46.2</v>
      </c>
      <c r="AQ360" s="37" t="n">
        <f aca="false">ROUNDUP(AP360,0)</f>
        <v>47</v>
      </c>
      <c r="AR360" s="16" t="n">
        <v>26</v>
      </c>
      <c r="AS360" s="16" t="n">
        <f aca="false">AR360+AP360</f>
        <v>72.2</v>
      </c>
      <c r="AT360" s="16" t="n">
        <f aca="false">AR360+AQ360</f>
        <v>73</v>
      </c>
      <c r="AU360" s="16" t="n">
        <f aca="false">AO360+AF360+AI360+AH360+AG360</f>
        <v>385</v>
      </c>
      <c r="AV360" s="16" t="n">
        <f aca="false">(AO360+AF360+AI360+AH360+AG360)/5</f>
        <v>77</v>
      </c>
      <c r="AW360" s="36" t="n">
        <f aca="false">(AO360+AF360+AI360+AH360+AG360+X360+R360+Q360+K360+J360)</f>
        <v>714</v>
      </c>
      <c r="AX360" s="16" t="n">
        <f aca="false">AW360/10</f>
        <v>71.4</v>
      </c>
      <c r="AY360" s="16" t="n">
        <f aca="false">AS360+AF360+AM360+AH360+AG360+AB360+V360+Q360+O360+J360</f>
        <v>731.4</v>
      </c>
      <c r="AZ360" s="16" t="n">
        <f aca="false">AT360+AF360+AN360+AH360+AG360+AC360+W360+Q360+P360+J360</f>
        <v>735</v>
      </c>
      <c r="BA360" s="16" t="n">
        <f aca="false">AY360/10</f>
        <v>73.14</v>
      </c>
      <c r="BB360" s="16" t="n">
        <f aca="false">AZ360/10</f>
        <v>73.5</v>
      </c>
      <c r="BC360" s="24" t="n">
        <v>2366</v>
      </c>
      <c r="BD360" s="16" t="n">
        <f aca="false">RANK(AX360,$AX$2:$AX$881,0)</f>
        <v>722</v>
      </c>
      <c r="BE360" s="73" t="n">
        <f aca="false">((BC360*100)/2400)*0.4+(AX360*0.6)</f>
        <v>82.2733333333333</v>
      </c>
      <c r="BF360" s="16" t="n">
        <f aca="false">RANK(BE360,$BE$2:$BE$881,0)</f>
        <v>711</v>
      </c>
      <c r="BG360" s="39" t="n">
        <f aca="false">RANK(BB360,$BB$2:$BB$881,0)</f>
        <v>714</v>
      </c>
      <c r="BH360" s="39" t="n">
        <f aca="false">RANK(BC360,$BC$2:$BC$881,0)</f>
        <v>319</v>
      </c>
      <c r="BI360" s="22" t="s">
        <v>130</v>
      </c>
      <c r="BJ360" s="22" t="s">
        <v>129</v>
      </c>
      <c r="BK360" s="22" t="s">
        <v>968</v>
      </c>
      <c r="BL360" s="41" t="n">
        <v>16</v>
      </c>
      <c r="BM360" s="41" t="n">
        <v>58</v>
      </c>
      <c r="BN360" s="41" t="n">
        <v>74</v>
      </c>
      <c r="BO360" s="42" t="n">
        <v>28</v>
      </c>
      <c r="BP360" s="43" t="n">
        <v>58</v>
      </c>
      <c r="BQ360" s="44" t="n">
        <v>86</v>
      </c>
      <c r="BR360" s="42" t="n">
        <v>15</v>
      </c>
      <c r="BS360" s="45" t="n">
        <v>58</v>
      </c>
      <c r="BT360" s="45" t="n">
        <v>73</v>
      </c>
      <c r="BU360" s="46" t="n">
        <v>100</v>
      </c>
      <c r="BV360" s="47" t="n">
        <v>96</v>
      </c>
      <c r="BW360" s="42" t="n">
        <v>95</v>
      </c>
      <c r="BX360" s="48" t="n">
        <v>98</v>
      </c>
      <c r="BY360" s="32" t="n">
        <v>27</v>
      </c>
      <c r="BZ360" s="32" t="n">
        <v>49</v>
      </c>
      <c r="CA360" s="32" t="n">
        <v>76</v>
      </c>
      <c r="CB360" s="32" t="n">
        <v>24</v>
      </c>
      <c r="CC360" s="60"/>
      <c r="CD360" s="60"/>
      <c r="CE360" s="32" t="n">
        <v>29</v>
      </c>
      <c r="CF360" s="32" t="n">
        <v>57</v>
      </c>
      <c r="CG360" s="32" t="n">
        <v>86</v>
      </c>
      <c r="CH360" s="32" t="n">
        <v>96</v>
      </c>
      <c r="CI360" s="32" t="n">
        <v>98</v>
      </c>
      <c r="CJ360" s="49" t="n">
        <v>16</v>
      </c>
      <c r="CK360" s="49" t="n">
        <v>60</v>
      </c>
      <c r="CL360" s="49" t="n">
        <v>76</v>
      </c>
      <c r="CM360" s="49" t="n">
        <v>21</v>
      </c>
      <c r="CN360" s="49" t="n">
        <v>54</v>
      </c>
      <c r="CO360" s="49" t="n">
        <v>75</v>
      </c>
      <c r="CP360" s="25" t="n">
        <f aca="false">BX360+BW360+BV360+BU360+BT360+BQ360+BN360</f>
        <v>622</v>
      </c>
      <c r="CQ360" s="25" t="n">
        <f aca="false">CO360+CL360+CI360+CH360+CG360+CD360+CA360</f>
        <v>507</v>
      </c>
      <c r="CR360" s="26" t="n">
        <f aca="false">CP360/7</f>
        <v>88.8571428571429</v>
      </c>
      <c r="CS360" s="26" t="n">
        <f aca="false">CQ360/7</f>
        <v>72.4285714285714</v>
      </c>
      <c r="CT360" s="24" t="n">
        <f aca="false">RANK(CR360,$CR$2:$CR$881,0)</f>
        <v>254</v>
      </c>
      <c r="CU360" s="25" t="n">
        <f aca="false">RANK(CS360,$CS$2:$CS$881,0)</f>
        <v>499</v>
      </c>
      <c r="CV360" s="26" t="n">
        <f aca="false">(CS360+CR360)/2</f>
        <v>80.6428571428571</v>
      </c>
      <c r="CW360" s="25" t="n">
        <f aca="false">RANK(CV360,$CV$2:$CV$881,0)</f>
        <v>402</v>
      </c>
      <c r="CX360" s="50" t="n">
        <f aca="false">(CV360+BB360)/2</f>
        <v>77.0714285714286</v>
      </c>
      <c r="CY360" s="50" t="n">
        <v>502</v>
      </c>
      <c r="CZ360" s="27" t="s">
        <v>132</v>
      </c>
      <c r="DA360" s="27" t="s">
        <v>162</v>
      </c>
      <c r="DB360" s="27" t="s">
        <v>162</v>
      </c>
      <c r="DC360" s="27" t="s">
        <v>134</v>
      </c>
      <c r="DD360" s="27" t="s">
        <v>195</v>
      </c>
      <c r="DE360" s="27" t="s">
        <v>203</v>
      </c>
      <c r="DF360" s="27" t="s">
        <v>169</v>
      </c>
      <c r="DG360" s="27" t="s">
        <v>134</v>
      </c>
      <c r="DH360" s="27" t="s">
        <v>182</v>
      </c>
      <c r="DI360" s="27" t="s">
        <v>152</v>
      </c>
      <c r="DJ360" s="27" t="s">
        <v>133</v>
      </c>
      <c r="DK360" s="27" t="s">
        <v>134</v>
      </c>
      <c r="DL360" s="27" t="s">
        <v>164</v>
      </c>
      <c r="DM360" s="27" t="s">
        <v>136</v>
      </c>
      <c r="DN360" s="27" t="s">
        <v>153</v>
      </c>
      <c r="DO360" s="27" t="s">
        <v>134</v>
      </c>
      <c r="DP360" s="27" t="s">
        <v>264</v>
      </c>
      <c r="DQ360" s="27" t="s">
        <v>415</v>
      </c>
      <c r="DR360" s="27" t="s">
        <v>187</v>
      </c>
      <c r="DS360" s="27" t="s">
        <v>134</v>
      </c>
      <c r="DT360" s="27" t="s">
        <v>140</v>
      </c>
      <c r="DU360" s="27" t="s">
        <v>306</v>
      </c>
      <c r="DV360" s="27" t="s">
        <v>209</v>
      </c>
      <c r="DW360" s="27" t="s">
        <v>135</v>
      </c>
      <c r="DX360" s="27" t="s">
        <v>155</v>
      </c>
      <c r="DY360" s="27" t="s">
        <v>139</v>
      </c>
      <c r="DZ360" s="27" t="n">
        <f aca="false">DY360+DV360+DR360+DN360+DJ360+DF360+DB360</f>
        <v>595</v>
      </c>
      <c r="EA360" s="28" t="n">
        <f aca="false">DZ360/7</f>
        <v>85</v>
      </c>
      <c r="EB360" s="27" t="n">
        <f aca="false">RANK(EA360,$EA$2:$EA$881,0)</f>
        <v>186</v>
      </c>
      <c r="EC360" s="29" t="n">
        <f aca="false">DZ360+CQ360+CP360+AZ360</f>
        <v>2459</v>
      </c>
      <c r="ED360" s="30" t="n">
        <f aca="false">(EA360+CV360+BB360)/3</f>
        <v>79.7142857142857</v>
      </c>
      <c r="EE360" s="51" t="n">
        <f aca="false">ROUND(BE360,3)</f>
        <v>82.273</v>
      </c>
      <c r="EF360" s="51" t="n">
        <f aca="false">ROUND(CR360,3)</f>
        <v>88.857</v>
      </c>
      <c r="EG360" s="51" t="n">
        <f aca="false">ROUND(CS360,3)</f>
        <v>72.429</v>
      </c>
      <c r="EH360" s="51" t="n">
        <f aca="false">ROUND(EA360,3)</f>
        <v>85</v>
      </c>
      <c r="EI360" s="51" t="n">
        <f aca="false">ROUND(ED360,3)</f>
        <v>79.714</v>
      </c>
      <c r="EJ360" s="51" t="n">
        <f aca="false">ROUND(CV360,3)</f>
        <v>80.643</v>
      </c>
      <c r="EK360" s="0" t="n">
        <f aca="false">RANK(EI360,$EI$2:$EI$881,0)</f>
        <v>359</v>
      </c>
    </row>
    <row r="361" customFormat="false" ht="15" hidden="false" customHeight="false" outlineLevel="0" collapsed="false">
      <c r="A361" s="4" t="n">
        <v>8586</v>
      </c>
      <c r="B361" s="4" t="n">
        <v>591</v>
      </c>
      <c r="C361" s="27" t="s">
        <v>1183</v>
      </c>
      <c r="D361" s="31" t="n">
        <v>598</v>
      </c>
      <c r="E361" s="32" t="n">
        <v>230419238</v>
      </c>
      <c r="F361" s="8" t="s">
        <v>1184</v>
      </c>
      <c r="G361" s="66" t="s">
        <v>1185</v>
      </c>
      <c r="H361" s="22" t="s">
        <v>129</v>
      </c>
      <c r="I361" s="67" t="s">
        <v>408</v>
      </c>
      <c r="J361" s="32" t="n">
        <v>72</v>
      </c>
      <c r="K361" s="32" t="n">
        <v>75</v>
      </c>
      <c r="L361" s="34" t="n">
        <f aca="false">(K361*70)/100</f>
        <v>52.5</v>
      </c>
      <c r="M361" s="34" t="n">
        <f aca="false">ROUNDUP(L361,0)</f>
        <v>53</v>
      </c>
      <c r="N361" s="32" t="n">
        <v>25</v>
      </c>
      <c r="O361" s="34" t="n">
        <f aca="false">N361+L361</f>
        <v>77.5</v>
      </c>
      <c r="P361" s="34" t="n">
        <f aca="false">N361+M361</f>
        <v>78</v>
      </c>
      <c r="Q361" s="32" t="n">
        <v>61</v>
      </c>
      <c r="R361" s="32" t="n">
        <v>65</v>
      </c>
      <c r="S361" s="34" t="n">
        <f aca="false">(R361*70)/100</f>
        <v>45.5</v>
      </c>
      <c r="T361" s="34" t="n">
        <f aca="false">ROUNDUP(S361,0)</f>
        <v>46</v>
      </c>
      <c r="U361" s="32" t="n">
        <v>28</v>
      </c>
      <c r="V361" s="34" t="n">
        <f aca="false">U361+S361</f>
        <v>73.5</v>
      </c>
      <c r="W361" s="34" t="n">
        <f aca="false">U361+T361</f>
        <v>74</v>
      </c>
      <c r="X361" s="32" t="n">
        <v>66</v>
      </c>
      <c r="Y361" s="34" t="n">
        <f aca="false">(X361*70)/100</f>
        <v>46.2</v>
      </c>
      <c r="Z361" s="34" t="n">
        <f aca="false">ROUNDUP(Y361,0)</f>
        <v>47</v>
      </c>
      <c r="AA361" s="32" t="n">
        <v>25</v>
      </c>
      <c r="AB361" s="34" t="n">
        <f aca="false">AA361+Y361</f>
        <v>71.2</v>
      </c>
      <c r="AC361" s="34" t="n">
        <f aca="false">AA361+Z361</f>
        <v>72</v>
      </c>
      <c r="AD361" s="32" t="n">
        <f aca="false">X361+R361+Q361+K361+J361</f>
        <v>339</v>
      </c>
      <c r="AE361" s="16" t="n">
        <f aca="false">AD361/5</f>
        <v>67.8</v>
      </c>
      <c r="AF361" s="16" t="n">
        <v>71</v>
      </c>
      <c r="AG361" s="16" t="n">
        <v>79</v>
      </c>
      <c r="AH361" s="16" t="n">
        <v>84</v>
      </c>
      <c r="AI361" s="16" t="n">
        <v>92</v>
      </c>
      <c r="AJ361" s="16" t="n">
        <f aca="false">(AI361*70)/100</f>
        <v>64.4</v>
      </c>
      <c r="AK361" s="35" t="n">
        <f aca="false">ROUNDUP(AJ361,0)</f>
        <v>65</v>
      </c>
      <c r="AL361" s="16" t="n">
        <v>20</v>
      </c>
      <c r="AM361" s="16" t="n">
        <f aca="false">AL361+AJ361</f>
        <v>84.4</v>
      </c>
      <c r="AN361" s="16" t="n">
        <f aca="false">AL361+AK361</f>
        <v>85</v>
      </c>
      <c r="AO361" s="16" t="n">
        <v>64</v>
      </c>
      <c r="AP361" s="36" t="n">
        <f aca="false">(AO361*70)/100</f>
        <v>44.8</v>
      </c>
      <c r="AQ361" s="37" t="n">
        <f aca="false">ROUNDUP(AP361,0)</f>
        <v>45</v>
      </c>
      <c r="AR361" s="16" t="n">
        <v>25</v>
      </c>
      <c r="AS361" s="16" t="n">
        <f aca="false">AR361+AP361</f>
        <v>69.8</v>
      </c>
      <c r="AT361" s="16" t="n">
        <f aca="false">AR361+AQ361</f>
        <v>70</v>
      </c>
      <c r="AU361" s="16" t="n">
        <f aca="false">AO361+AF361+AI361+AH361+AG361</f>
        <v>390</v>
      </c>
      <c r="AV361" s="16" t="n">
        <f aca="false">(AO361+AF361+AI361+AH361+AG361)/5</f>
        <v>78</v>
      </c>
      <c r="AW361" s="36" t="n">
        <f aca="false">(AO361+AF361+AI361+AH361+AG361+X361+R361+Q361+K361+J361)</f>
        <v>729</v>
      </c>
      <c r="AX361" s="16" t="n">
        <f aca="false">AW361/10</f>
        <v>72.9</v>
      </c>
      <c r="AY361" s="16" t="n">
        <f aca="false">AS361+AF361+AM361+AH361+AG361+AB361+V361+Q361+O361+J361</f>
        <v>743.4</v>
      </c>
      <c r="AZ361" s="16" t="n">
        <f aca="false">AT361+AF361+AN361+AH361+AG361+AC361+W361+Q361+P361+J361</f>
        <v>746</v>
      </c>
      <c r="BA361" s="16" t="n">
        <f aca="false">AY361/10</f>
        <v>74.34</v>
      </c>
      <c r="BB361" s="16" t="n">
        <f aca="false">AZ361/10</f>
        <v>74.6</v>
      </c>
      <c r="BC361" s="24" t="n">
        <v>2379</v>
      </c>
      <c r="BD361" s="16" t="n">
        <f aca="false">RANK(AX361,$AX$2:$AX$881,0)</f>
        <v>712</v>
      </c>
      <c r="BE361" s="73" t="n">
        <f aca="false">((BC361*100)/2400)*0.4+(AX361*0.6)</f>
        <v>83.39</v>
      </c>
      <c r="BF361" s="16" t="n">
        <f aca="false">RANK(BE361,$BE$2:$BE$881,0)</f>
        <v>696</v>
      </c>
      <c r="BG361" s="39" t="n">
        <f aca="false">RANK(BB361,$BB$2:$BB$881,0)</f>
        <v>704</v>
      </c>
      <c r="BH361" s="39" t="n">
        <f aca="false">RANK(BC361,$BC$2:$BC$881,0)</f>
        <v>160</v>
      </c>
      <c r="BI361" s="22" t="s">
        <v>130</v>
      </c>
      <c r="BJ361" s="22" t="s">
        <v>129</v>
      </c>
      <c r="BK361" s="40" t="s">
        <v>702</v>
      </c>
      <c r="BL361" s="41" t="n">
        <v>26</v>
      </c>
      <c r="BM361" s="41" t="n">
        <v>56</v>
      </c>
      <c r="BN361" s="41" t="n">
        <v>82</v>
      </c>
      <c r="BO361" s="42" t="n">
        <v>28</v>
      </c>
      <c r="BP361" s="43" t="n">
        <v>50</v>
      </c>
      <c r="BQ361" s="44" t="n">
        <v>78</v>
      </c>
      <c r="BR361" s="42" t="n">
        <v>24</v>
      </c>
      <c r="BS361" s="45" t="n">
        <v>52</v>
      </c>
      <c r="BT361" s="45" t="n">
        <v>76</v>
      </c>
      <c r="BU361" s="46" t="n">
        <v>100</v>
      </c>
      <c r="BV361" s="47" t="n">
        <v>96</v>
      </c>
      <c r="BW361" s="42" t="n">
        <v>95</v>
      </c>
      <c r="BX361" s="48" t="n">
        <v>96</v>
      </c>
      <c r="BY361" s="32" t="n">
        <v>24</v>
      </c>
      <c r="BZ361" s="32" t="n">
        <v>37</v>
      </c>
      <c r="CA361" s="32" t="n">
        <v>61</v>
      </c>
      <c r="CB361" s="32" t="n">
        <v>26</v>
      </c>
      <c r="CC361" s="32" t="n">
        <v>39</v>
      </c>
      <c r="CD361" s="32" t="n">
        <v>65</v>
      </c>
      <c r="CE361" s="32" t="n">
        <v>25</v>
      </c>
      <c r="CF361" s="32" t="n">
        <v>35</v>
      </c>
      <c r="CG361" s="32" t="n">
        <v>60</v>
      </c>
      <c r="CH361" s="32" t="n">
        <v>99</v>
      </c>
      <c r="CI361" s="32" t="n">
        <v>100</v>
      </c>
      <c r="CJ361" s="49" t="n">
        <v>24</v>
      </c>
      <c r="CK361" s="49" t="n">
        <v>50</v>
      </c>
      <c r="CL361" s="49" t="n">
        <v>74</v>
      </c>
      <c r="CM361" s="49" t="n">
        <v>23</v>
      </c>
      <c r="CN361" s="49" t="n">
        <v>52</v>
      </c>
      <c r="CO361" s="49" t="n">
        <v>75</v>
      </c>
      <c r="CP361" s="25" t="n">
        <f aca="false">BX361+BW361+BV361+BU361+BT361+BQ361+BN361</f>
        <v>623</v>
      </c>
      <c r="CQ361" s="25" t="n">
        <f aca="false">CO361+CL361+CI361+CH361+CG361+CD361+CA361</f>
        <v>534</v>
      </c>
      <c r="CR361" s="26" t="n">
        <f aca="false">CP361/7</f>
        <v>89</v>
      </c>
      <c r="CS361" s="26" t="n">
        <f aca="false">CQ361/7</f>
        <v>76.2857142857143</v>
      </c>
      <c r="CT361" s="24" t="n">
        <f aca="false">RANK(CR361,$CR$2:$CR$881,0)</f>
        <v>244</v>
      </c>
      <c r="CU361" s="25" t="n">
        <f aca="false">RANK(CS361,$CS$2:$CS$881,0)</f>
        <v>391</v>
      </c>
      <c r="CV361" s="26" t="n">
        <f aca="false">(CS361+CR361)/2</f>
        <v>82.6428571428571</v>
      </c>
      <c r="CW361" s="25" t="n">
        <f aca="false">RANK(CV361,$CV$2:$CV$881,0)</f>
        <v>311</v>
      </c>
      <c r="CX361" s="50" t="n">
        <f aca="false">(CV361+BB361)/2</f>
        <v>78.6214285714286</v>
      </c>
      <c r="CY361" s="50" t="n">
        <v>442</v>
      </c>
      <c r="CZ361" s="27" t="s">
        <v>132</v>
      </c>
      <c r="DA361" s="27" t="s">
        <v>133</v>
      </c>
      <c r="DB361" s="27" t="s">
        <v>133</v>
      </c>
      <c r="DC361" s="27" t="s">
        <v>134</v>
      </c>
      <c r="DD361" s="27" t="s">
        <v>174</v>
      </c>
      <c r="DE361" s="27" t="s">
        <v>204</v>
      </c>
      <c r="DF361" s="27" t="s">
        <v>196</v>
      </c>
      <c r="DG361" s="27" t="s">
        <v>134</v>
      </c>
      <c r="DH361" s="27" t="s">
        <v>182</v>
      </c>
      <c r="DI361" s="27" t="s">
        <v>204</v>
      </c>
      <c r="DJ361" s="27" t="s">
        <v>169</v>
      </c>
      <c r="DK361" s="27" t="s">
        <v>134</v>
      </c>
      <c r="DL361" s="27" t="s">
        <v>154</v>
      </c>
      <c r="DM361" s="27" t="s">
        <v>304</v>
      </c>
      <c r="DN361" s="27" t="s">
        <v>382</v>
      </c>
      <c r="DO361" s="27" t="s">
        <v>134</v>
      </c>
      <c r="DP361" s="27" t="s">
        <v>264</v>
      </c>
      <c r="DQ361" s="27" t="s">
        <v>177</v>
      </c>
      <c r="DR361" s="27" t="s">
        <v>272</v>
      </c>
      <c r="DS361" s="27" t="s">
        <v>134</v>
      </c>
      <c r="DT361" s="27" t="s">
        <v>135</v>
      </c>
      <c r="DU361" s="27" t="s">
        <v>442</v>
      </c>
      <c r="DV361" s="27" t="s">
        <v>372</v>
      </c>
      <c r="DW361" s="27" t="s">
        <v>174</v>
      </c>
      <c r="DX361" s="27" t="s">
        <v>138</v>
      </c>
      <c r="DY361" s="27" t="s">
        <v>170</v>
      </c>
      <c r="DZ361" s="27" t="n">
        <f aca="false">DY361+DV361+DR361+DN361+DJ361+DF361+DB361</f>
        <v>573</v>
      </c>
      <c r="EA361" s="28" t="n">
        <f aca="false">DZ361/7</f>
        <v>81.8571428571429</v>
      </c>
      <c r="EB361" s="27" t="n">
        <f aca="false">RANK(EA361,$EA$2:$EA$881,0)</f>
        <v>316</v>
      </c>
      <c r="EC361" s="29" t="n">
        <f aca="false">DZ361+CQ361+CP361+AZ361</f>
        <v>2476</v>
      </c>
      <c r="ED361" s="30" t="n">
        <f aca="false">(EA361+CV361+BB361)/3</f>
        <v>79.7</v>
      </c>
      <c r="EE361" s="51" t="n">
        <f aca="false">ROUND(BE361,3)</f>
        <v>83.39</v>
      </c>
      <c r="EF361" s="51" t="n">
        <f aca="false">ROUND(CR361,3)</f>
        <v>89</v>
      </c>
      <c r="EG361" s="51" t="n">
        <f aca="false">ROUND(CS361,3)</f>
        <v>76.286</v>
      </c>
      <c r="EH361" s="51" t="n">
        <f aca="false">ROUND(EA361,3)</f>
        <v>81.857</v>
      </c>
      <c r="EI361" s="51" t="n">
        <f aca="false">ROUND(ED361,3)</f>
        <v>79.7</v>
      </c>
      <c r="EJ361" s="51" t="n">
        <f aca="false">ROUND(CV361,3)</f>
        <v>82.643</v>
      </c>
      <c r="EK361" s="0" t="n">
        <f aca="false">RANK(EI361,$EI$2:$EI$881,0)</f>
        <v>360</v>
      </c>
    </row>
    <row r="362" customFormat="false" ht="15" hidden="false" customHeight="false" outlineLevel="0" collapsed="false">
      <c r="A362" s="4" t="n">
        <v>1883</v>
      </c>
      <c r="B362" s="4" t="n">
        <v>450</v>
      </c>
      <c r="C362" s="27" t="s">
        <v>1186</v>
      </c>
      <c r="D362" s="31" t="n">
        <v>455</v>
      </c>
      <c r="E362" s="32" t="n">
        <v>230320048</v>
      </c>
      <c r="F362" s="8" t="s">
        <v>1187</v>
      </c>
      <c r="G362" s="22" t="s">
        <v>322</v>
      </c>
      <c r="H362" s="22" t="s">
        <v>129</v>
      </c>
      <c r="I362" s="33" t="n">
        <v>2005</v>
      </c>
      <c r="J362" s="32" t="n">
        <v>80</v>
      </c>
      <c r="K362" s="32" t="n">
        <v>64</v>
      </c>
      <c r="L362" s="34" t="n">
        <f aca="false">(K362*70)/100</f>
        <v>44.8</v>
      </c>
      <c r="M362" s="34" t="n">
        <f aca="false">ROUNDUP(L362,0)</f>
        <v>45</v>
      </c>
      <c r="N362" s="32" t="n">
        <v>27</v>
      </c>
      <c r="O362" s="34" t="n">
        <f aca="false">N362+L362</f>
        <v>71.8</v>
      </c>
      <c r="P362" s="34" t="n">
        <f aca="false">N362+M362</f>
        <v>72</v>
      </c>
      <c r="Q362" s="32" t="n">
        <v>80</v>
      </c>
      <c r="R362" s="32" t="n">
        <v>70</v>
      </c>
      <c r="S362" s="34" t="n">
        <f aca="false">(R362*70)/100</f>
        <v>49</v>
      </c>
      <c r="T362" s="34" t="n">
        <f aca="false">ROUNDUP(S362,0)</f>
        <v>49</v>
      </c>
      <c r="U362" s="32" t="n">
        <v>24</v>
      </c>
      <c r="V362" s="34" t="n">
        <f aca="false">U362+S362</f>
        <v>73</v>
      </c>
      <c r="W362" s="34" t="n">
        <f aca="false">U362+T362</f>
        <v>73</v>
      </c>
      <c r="X362" s="32" t="n">
        <v>67</v>
      </c>
      <c r="Y362" s="34" t="n">
        <f aca="false">(X362*70)/100</f>
        <v>46.9</v>
      </c>
      <c r="Z362" s="34" t="n">
        <f aca="false">ROUNDUP(Y362,0)</f>
        <v>47</v>
      </c>
      <c r="AA362" s="32" t="n">
        <v>25</v>
      </c>
      <c r="AB362" s="34" t="n">
        <f aca="false">AA362+Y362</f>
        <v>71.9</v>
      </c>
      <c r="AC362" s="34" t="n">
        <f aca="false">AA362+Z362</f>
        <v>72</v>
      </c>
      <c r="AD362" s="32" t="n">
        <f aca="false">X362+R362+Q362+K362+J362</f>
        <v>361</v>
      </c>
      <c r="AE362" s="16" t="n">
        <f aca="false">AD362/5</f>
        <v>72.2</v>
      </c>
      <c r="AF362" s="16" t="n">
        <v>76</v>
      </c>
      <c r="AG362" s="16" t="n">
        <v>87</v>
      </c>
      <c r="AH362" s="16" t="n">
        <v>92</v>
      </c>
      <c r="AI362" s="16" t="n">
        <v>74</v>
      </c>
      <c r="AJ362" s="16" t="n">
        <f aca="false">(AI362*70)/100</f>
        <v>51.8</v>
      </c>
      <c r="AK362" s="35" t="n">
        <f aca="false">ROUNDUP(AJ362,0)</f>
        <v>52</v>
      </c>
      <c r="AL362" s="16" t="n">
        <v>22</v>
      </c>
      <c r="AM362" s="16" t="n">
        <f aca="false">AL362+AJ362</f>
        <v>73.8</v>
      </c>
      <c r="AN362" s="16" t="n">
        <f aca="false">AL362+AK362</f>
        <v>74</v>
      </c>
      <c r="AO362" s="16" t="n">
        <v>68</v>
      </c>
      <c r="AP362" s="36" t="n">
        <f aca="false">(AO362*70)/100</f>
        <v>47.6</v>
      </c>
      <c r="AQ362" s="37" t="n">
        <f aca="false">ROUNDUP(AP362,0)</f>
        <v>48</v>
      </c>
      <c r="AR362" s="16" t="n">
        <v>24</v>
      </c>
      <c r="AS362" s="16" t="n">
        <f aca="false">AR362+AP362</f>
        <v>71.6</v>
      </c>
      <c r="AT362" s="16" t="n">
        <f aca="false">AR362+AQ362</f>
        <v>72</v>
      </c>
      <c r="AU362" s="16" t="n">
        <f aca="false">AO362+AF362+AI362+AH362+AG362</f>
        <v>397</v>
      </c>
      <c r="AV362" s="16" t="n">
        <f aca="false">(AO362+AF362+AI362+AH362+AG362)/5</f>
        <v>79.4</v>
      </c>
      <c r="AW362" s="36" t="n">
        <f aca="false">(AO362+AF362+AI362+AH362+AG362+X362+R362+Q362+K362+J362)</f>
        <v>758</v>
      </c>
      <c r="AX362" s="16" t="n">
        <f aca="false">AW362/10</f>
        <v>75.8</v>
      </c>
      <c r="AY362" s="16" t="n">
        <f aca="false">AS362+AF362+AM362+AH362+AG362+AB362+V362+Q362+O362+J362</f>
        <v>777.1</v>
      </c>
      <c r="AZ362" s="16" t="n">
        <f aca="false">AT362+AF362+AN362+AH362+AG362+AC362+W362+Q362+P362+J362</f>
        <v>778</v>
      </c>
      <c r="BA362" s="16" t="n">
        <f aca="false">AY362/10</f>
        <v>77.71</v>
      </c>
      <c r="BB362" s="16" t="n">
        <f aca="false">AZ362/10</f>
        <v>77.8</v>
      </c>
      <c r="BC362" s="16" t="n">
        <v>2399</v>
      </c>
      <c r="BD362" s="16" t="n">
        <f aca="false">RANK(AX362,$AX$2:$AX$881,0)</f>
        <v>635</v>
      </c>
      <c r="BE362" s="54" t="n">
        <f aca="false">((BC362*100)/2400)*0.4+(AX362*0.6)</f>
        <v>85.4633333333333</v>
      </c>
      <c r="BF362" s="16" t="n">
        <f aca="false">RANK(BE362,$BE$2:$BE$881,0)</f>
        <v>516</v>
      </c>
      <c r="BG362" s="39" t="n">
        <f aca="false">RANK(BB362,$BB$2:$BB$881,0)</f>
        <v>577</v>
      </c>
      <c r="BH362" s="39" t="n">
        <f aca="false">RANK(BC362,$BC$2:$BC$881,0)</f>
        <v>5</v>
      </c>
      <c r="BI362" s="22" t="s">
        <v>130</v>
      </c>
      <c r="BJ362" s="22" t="s">
        <v>129</v>
      </c>
      <c r="BK362" s="40" t="s">
        <v>509</v>
      </c>
      <c r="BL362" s="41" t="n">
        <v>22</v>
      </c>
      <c r="BM362" s="41" t="n">
        <v>57</v>
      </c>
      <c r="BN362" s="41" t="n">
        <v>79</v>
      </c>
      <c r="BO362" s="42" t="n">
        <v>25</v>
      </c>
      <c r="BP362" s="43" t="n">
        <v>54</v>
      </c>
      <c r="BQ362" s="44" t="n">
        <v>79</v>
      </c>
      <c r="BR362" s="42" t="n">
        <v>21</v>
      </c>
      <c r="BS362" s="45" t="n">
        <v>55</v>
      </c>
      <c r="BT362" s="45" t="n">
        <v>76</v>
      </c>
      <c r="BU362" s="46" t="n">
        <v>100</v>
      </c>
      <c r="BV362" s="47" t="n">
        <v>98</v>
      </c>
      <c r="BW362" s="42" t="n">
        <v>99</v>
      </c>
      <c r="BX362" s="48" t="n">
        <v>92</v>
      </c>
      <c r="BY362" s="32" t="n">
        <v>27</v>
      </c>
      <c r="BZ362" s="32" t="n">
        <v>46</v>
      </c>
      <c r="CA362" s="32" t="n">
        <v>73</v>
      </c>
      <c r="CB362" s="32" t="n">
        <v>24</v>
      </c>
      <c r="CC362" s="32" t="n">
        <v>43</v>
      </c>
      <c r="CD362" s="32" t="n">
        <v>67</v>
      </c>
      <c r="CE362" s="32" t="n">
        <v>25</v>
      </c>
      <c r="CF362" s="60"/>
      <c r="CG362" s="60"/>
      <c r="CH362" s="32" t="n">
        <v>99</v>
      </c>
      <c r="CI362" s="32" t="n">
        <v>99</v>
      </c>
      <c r="CJ362" s="49" t="n">
        <v>28</v>
      </c>
      <c r="CK362" s="49" t="n">
        <v>55</v>
      </c>
      <c r="CL362" s="49" t="n">
        <v>83</v>
      </c>
      <c r="CM362" s="49" t="n">
        <v>22</v>
      </c>
      <c r="CN362" s="49" t="n">
        <v>52</v>
      </c>
      <c r="CO362" s="49" t="n">
        <v>74</v>
      </c>
      <c r="CP362" s="25" t="n">
        <f aca="false">BX362+BW362+BV362+BU362+BT362+BQ362+BN362</f>
        <v>623</v>
      </c>
      <c r="CQ362" s="25" t="n">
        <f aca="false">CO362+CL362+CI362+CH362+CG362+CD362+CA362</f>
        <v>495</v>
      </c>
      <c r="CR362" s="26" t="n">
        <f aca="false">CP362/7</f>
        <v>89</v>
      </c>
      <c r="CS362" s="26" t="n">
        <f aca="false">CQ362/7</f>
        <v>70.7142857142857</v>
      </c>
      <c r="CT362" s="24" t="n">
        <f aca="false">RANK(CR362,$CR$2:$CR$881,0)</f>
        <v>244</v>
      </c>
      <c r="CU362" s="25" t="n">
        <f aca="false">RANK(CS362,$CS$2:$CS$881,0)</f>
        <v>543</v>
      </c>
      <c r="CV362" s="26" t="n">
        <f aca="false">(CS362+CR362)/2</f>
        <v>79.8571428571429</v>
      </c>
      <c r="CW362" s="25" t="n">
        <f aca="false">RANK(CV362,$CV$2:$CV$881,0)</f>
        <v>432</v>
      </c>
      <c r="CX362" s="50" t="n">
        <f aca="false">(CV362+BB362)/2</f>
        <v>78.8285714285714</v>
      </c>
      <c r="CY362" s="50" t="n">
        <v>428</v>
      </c>
      <c r="CZ362" s="27" t="s">
        <v>132</v>
      </c>
      <c r="DA362" s="27" t="s">
        <v>133</v>
      </c>
      <c r="DB362" s="27" t="s">
        <v>133</v>
      </c>
      <c r="DC362" s="27" t="s">
        <v>134</v>
      </c>
      <c r="DD362" s="27" t="s">
        <v>164</v>
      </c>
      <c r="DE362" s="27" t="s">
        <v>177</v>
      </c>
      <c r="DF362" s="27" t="s">
        <v>178</v>
      </c>
      <c r="DG362" s="27" t="s">
        <v>134</v>
      </c>
      <c r="DH362" s="27" t="s">
        <v>264</v>
      </c>
      <c r="DI362" s="27" t="s">
        <v>313</v>
      </c>
      <c r="DJ362" s="27" t="s">
        <v>416</v>
      </c>
      <c r="DK362" s="27" t="s">
        <v>134</v>
      </c>
      <c r="DL362" s="27" t="s">
        <v>135</v>
      </c>
      <c r="DM362" s="27" t="s">
        <v>399</v>
      </c>
      <c r="DN362" s="27" t="s">
        <v>486</v>
      </c>
      <c r="DO362" s="27" t="s">
        <v>134</v>
      </c>
      <c r="DP362" s="27" t="s">
        <v>191</v>
      </c>
      <c r="DQ362" s="27" t="s">
        <v>304</v>
      </c>
      <c r="DR362" s="27" t="s">
        <v>372</v>
      </c>
      <c r="DS362" s="27" t="s">
        <v>134</v>
      </c>
      <c r="DT362" s="27" t="s">
        <v>164</v>
      </c>
      <c r="DU362" s="27" t="s">
        <v>447</v>
      </c>
      <c r="DV362" s="27" t="s">
        <v>219</v>
      </c>
      <c r="DW362" s="27" t="s">
        <v>140</v>
      </c>
      <c r="DX362" s="27" t="s">
        <v>143</v>
      </c>
      <c r="DY362" s="27" t="s">
        <v>144</v>
      </c>
      <c r="DZ362" s="27" t="n">
        <f aca="false">DY362+DV362+DR362+DN362+DJ362+DF362+DB362</f>
        <v>570</v>
      </c>
      <c r="EA362" s="28" t="n">
        <f aca="false">DZ362/7</f>
        <v>81.4285714285714</v>
      </c>
      <c r="EB362" s="27" t="n">
        <f aca="false">RANK(EA362,$EA$2:$EA$881,0)</f>
        <v>327</v>
      </c>
      <c r="EC362" s="29" t="n">
        <f aca="false">DZ362+CQ362+CP362+AZ362</f>
        <v>2466</v>
      </c>
      <c r="ED362" s="30" t="n">
        <f aca="false">(EA362+CV362+BB362)/3</f>
        <v>79.6952380952381</v>
      </c>
      <c r="EE362" s="51" t="n">
        <f aca="false">ROUND(BE362,3)</f>
        <v>85.463</v>
      </c>
      <c r="EF362" s="51" t="n">
        <f aca="false">ROUND(CR362,3)</f>
        <v>89</v>
      </c>
      <c r="EG362" s="51" t="n">
        <f aca="false">ROUND(CS362,3)</f>
        <v>70.714</v>
      </c>
      <c r="EH362" s="51" t="n">
        <f aca="false">ROUND(EA362,3)</f>
        <v>81.429</v>
      </c>
      <c r="EI362" s="51" t="n">
        <f aca="false">ROUND(ED362,3)</f>
        <v>79.695</v>
      </c>
      <c r="EJ362" s="51" t="n">
        <f aca="false">ROUND(CV362,3)</f>
        <v>79.857</v>
      </c>
      <c r="EK362" s="0" t="n">
        <f aca="false">RANK(EI362,$EI$2:$EI$881,0)</f>
        <v>361</v>
      </c>
    </row>
    <row r="363" customFormat="false" ht="17.45" hidden="false" customHeight="false" outlineLevel="0" collapsed="false">
      <c r="A363" s="4" t="n">
        <v>8882</v>
      </c>
      <c r="B363" s="4" t="n">
        <v>413</v>
      </c>
      <c r="C363" s="27" t="s">
        <v>1188</v>
      </c>
      <c r="D363" s="31" t="n">
        <v>418</v>
      </c>
      <c r="E363" s="62" t="n">
        <v>230320620</v>
      </c>
      <c r="F363" s="55" t="s">
        <v>1189</v>
      </c>
      <c r="G363" s="63" t="s">
        <v>456</v>
      </c>
      <c r="H363" s="22" t="s">
        <v>129</v>
      </c>
      <c r="I363" s="64" t="n">
        <v>2005</v>
      </c>
      <c r="J363" s="62" t="n">
        <v>73</v>
      </c>
      <c r="K363" s="62" t="n">
        <v>83</v>
      </c>
      <c r="L363" s="34" t="n">
        <f aca="false">(K363*70)/100</f>
        <v>58.1</v>
      </c>
      <c r="M363" s="34" t="n">
        <f aca="false">ROUNDUP(L363,0)</f>
        <v>59</v>
      </c>
      <c r="N363" s="62" t="n">
        <v>26</v>
      </c>
      <c r="O363" s="34" t="n">
        <f aca="false">N363+L363</f>
        <v>84.1</v>
      </c>
      <c r="P363" s="34" t="n">
        <f aca="false">N363+M363</f>
        <v>85</v>
      </c>
      <c r="Q363" s="62" t="n">
        <v>79</v>
      </c>
      <c r="R363" s="62" t="n">
        <v>73</v>
      </c>
      <c r="S363" s="34" t="n">
        <f aca="false">(R363*70)/100</f>
        <v>51.1</v>
      </c>
      <c r="T363" s="34" t="n">
        <f aca="false">ROUNDUP(S363,0)</f>
        <v>52</v>
      </c>
      <c r="U363" s="62" t="n">
        <v>24</v>
      </c>
      <c r="V363" s="34" t="n">
        <f aca="false">U363+S363</f>
        <v>75.1</v>
      </c>
      <c r="W363" s="34" t="n">
        <f aca="false">U363+T363</f>
        <v>76</v>
      </c>
      <c r="X363" s="62" t="n">
        <v>79</v>
      </c>
      <c r="Y363" s="34" t="n">
        <f aca="false">(X363*70)/100</f>
        <v>55.3</v>
      </c>
      <c r="Z363" s="34" t="n">
        <f aca="false">ROUNDUP(Y363,0)</f>
        <v>56</v>
      </c>
      <c r="AA363" s="62" t="n">
        <v>26</v>
      </c>
      <c r="AB363" s="34" t="n">
        <f aca="false">AA363+Y363</f>
        <v>81.3</v>
      </c>
      <c r="AC363" s="34" t="n">
        <f aca="false">AA363+Z363</f>
        <v>82</v>
      </c>
      <c r="AD363" s="32" t="n">
        <f aca="false">X363+R363+Q363+K363+J363</f>
        <v>387</v>
      </c>
      <c r="AE363" s="16" t="n">
        <f aca="false">AD363/5</f>
        <v>77.4</v>
      </c>
      <c r="AF363" s="65" t="n">
        <v>75</v>
      </c>
      <c r="AG363" s="65" t="n">
        <v>79</v>
      </c>
      <c r="AH363" s="65" t="n">
        <v>87</v>
      </c>
      <c r="AI363" s="65" t="n">
        <v>89</v>
      </c>
      <c r="AJ363" s="16" t="n">
        <f aca="false">(AI363*70)/100</f>
        <v>62.3</v>
      </c>
      <c r="AK363" s="35" t="n">
        <f aca="false">ROUNDUP(AJ363,0)</f>
        <v>63</v>
      </c>
      <c r="AL363" s="65" t="n">
        <v>22</v>
      </c>
      <c r="AM363" s="16" t="n">
        <f aca="false">AL363+AJ363</f>
        <v>84.3</v>
      </c>
      <c r="AN363" s="16" t="n">
        <f aca="false">AL363+AK363</f>
        <v>85</v>
      </c>
      <c r="AO363" s="65" t="n">
        <v>71</v>
      </c>
      <c r="AP363" s="36" t="n">
        <f aca="false">(AO363*70)/100</f>
        <v>49.7</v>
      </c>
      <c r="AQ363" s="37" t="n">
        <f aca="false">ROUNDUP(AP363,0)</f>
        <v>50</v>
      </c>
      <c r="AR363" s="65" t="n">
        <v>25</v>
      </c>
      <c r="AS363" s="16" t="n">
        <f aca="false">AR363+AP363</f>
        <v>74.7</v>
      </c>
      <c r="AT363" s="16" t="n">
        <f aca="false">AR363+AQ363</f>
        <v>75</v>
      </c>
      <c r="AU363" s="16" t="n">
        <f aca="false">AO363+AF363+AI363+AH363+AG363</f>
        <v>401</v>
      </c>
      <c r="AV363" s="16" t="n">
        <f aca="false">(AO363+AF363+AI363+AH363+AG363)/5</f>
        <v>80.2</v>
      </c>
      <c r="AW363" s="36" t="n">
        <f aca="false">(AO363+AF363+AI363+AH363+AG363+X363+R363+Q363+K363+J363)</f>
        <v>788</v>
      </c>
      <c r="AX363" s="16" t="n">
        <f aca="false">AW363/10</f>
        <v>78.8</v>
      </c>
      <c r="AY363" s="16" t="n">
        <f aca="false">AS363+AF363+AM363+AH363+AG363+AB363+V363+Q363+O363+J363</f>
        <v>792.5</v>
      </c>
      <c r="AZ363" s="16" t="n">
        <f aca="false">AT363+AF363+AN363+AH363+AG363+AC363+W363+Q363+P363+J363</f>
        <v>796</v>
      </c>
      <c r="BA363" s="16" t="n">
        <f aca="false">AY363/10</f>
        <v>79.25</v>
      </c>
      <c r="BB363" s="16" t="n">
        <f aca="false">AZ363/10</f>
        <v>79.6</v>
      </c>
      <c r="BC363" s="65" t="n">
        <v>2353</v>
      </c>
      <c r="BD363" s="16" t="n">
        <f aca="false">RANK(AX363,$AX$2:$AX$881,0)</f>
        <v>351</v>
      </c>
      <c r="BE363" s="54" t="n">
        <f aca="false">((BC363*100)/2400)*0.4+(AX363*0.6)</f>
        <v>86.4966666666667</v>
      </c>
      <c r="BF363" s="16" t="n">
        <f aca="false">RANK(BE363,$BE$2:$BE$881,0)</f>
        <v>351</v>
      </c>
      <c r="BG363" s="39" t="n">
        <f aca="false">RANK(BB363,$BB$2:$BB$881,0)</f>
        <v>392</v>
      </c>
      <c r="BH363" s="39" t="n">
        <f aca="false">RANK(BC363,$BC$2:$BC$881,0)</f>
        <v>507</v>
      </c>
      <c r="BI363" s="22" t="s">
        <v>130</v>
      </c>
      <c r="BJ363" s="22" t="s">
        <v>129</v>
      </c>
      <c r="BK363" s="40" t="s">
        <v>131</v>
      </c>
      <c r="BL363" s="41" t="n">
        <v>22</v>
      </c>
      <c r="BM363" s="41" t="n">
        <v>58</v>
      </c>
      <c r="BN363" s="41" t="n">
        <v>80</v>
      </c>
      <c r="BO363" s="42" t="n">
        <v>23</v>
      </c>
      <c r="BP363" s="43" t="n">
        <v>62</v>
      </c>
      <c r="BQ363" s="44" t="n">
        <v>85</v>
      </c>
      <c r="BR363" s="42" t="n">
        <v>19</v>
      </c>
      <c r="BS363" s="45" t="n">
        <v>62</v>
      </c>
      <c r="BT363" s="45" t="n">
        <v>81</v>
      </c>
      <c r="BU363" s="46" t="n">
        <v>100</v>
      </c>
      <c r="BV363" s="47" t="n">
        <v>78</v>
      </c>
      <c r="BW363" s="42" t="n">
        <v>98</v>
      </c>
      <c r="BX363" s="48" t="n">
        <v>90</v>
      </c>
      <c r="BY363" s="32" t="n">
        <v>26</v>
      </c>
      <c r="BZ363" s="32" t="n">
        <v>49</v>
      </c>
      <c r="CA363" s="32" t="n">
        <v>75</v>
      </c>
      <c r="CB363" s="32" t="n">
        <v>20</v>
      </c>
      <c r="CC363" s="32" t="n">
        <v>28</v>
      </c>
      <c r="CD363" s="69" t="n">
        <v>48</v>
      </c>
      <c r="CE363" s="32" t="n">
        <v>27</v>
      </c>
      <c r="CF363" s="32" t="n">
        <v>51</v>
      </c>
      <c r="CG363" s="32" t="n">
        <v>78</v>
      </c>
      <c r="CH363" s="32" t="n">
        <v>90</v>
      </c>
      <c r="CI363" s="32" t="n">
        <v>89</v>
      </c>
      <c r="CJ363" s="49" t="n">
        <v>24</v>
      </c>
      <c r="CK363" s="49" t="n">
        <v>44</v>
      </c>
      <c r="CL363" s="49" t="n">
        <v>68</v>
      </c>
      <c r="CM363" s="49" t="n">
        <v>21</v>
      </c>
      <c r="CN363" s="49" t="n">
        <v>51</v>
      </c>
      <c r="CO363" s="49" t="n">
        <v>72</v>
      </c>
      <c r="CP363" s="25" t="n">
        <f aca="false">BX363+BW363+BV363+BU363+BT363+BQ363+BN363</f>
        <v>612</v>
      </c>
      <c r="CQ363" s="25" t="n">
        <f aca="false">CO363+CL363+CI363+CH363+CG363+CD363+CA363</f>
        <v>520</v>
      </c>
      <c r="CR363" s="26" t="n">
        <f aca="false">CP363/7</f>
        <v>87.4285714285714</v>
      </c>
      <c r="CS363" s="26" t="n">
        <f aca="false">CQ363/7</f>
        <v>74.2857142857143</v>
      </c>
      <c r="CT363" s="24" t="n">
        <f aca="false">RANK(CR363,$CR$2:$CR$881,0)</f>
        <v>340</v>
      </c>
      <c r="CU363" s="25" t="n">
        <f aca="false">RANK(CS363,$CS$2:$CS$881,0)</f>
        <v>448</v>
      </c>
      <c r="CV363" s="26" t="n">
        <f aca="false">(CS363+CR363)/2</f>
        <v>80.8571428571429</v>
      </c>
      <c r="CW363" s="25" t="n">
        <f aca="false">RANK(CV363,$CV$2:$CV$881,0)</f>
        <v>389</v>
      </c>
      <c r="CX363" s="50" t="n">
        <f aca="false">(CV363+BB363)/2</f>
        <v>80.2285714285714</v>
      </c>
      <c r="CY363" s="50" t="n">
        <v>361</v>
      </c>
      <c r="CZ363" s="27" t="s">
        <v>132</v>
      </c>
      <c r="DA363" s="27" t="s">
        <v>272</v>
      </c>
      <c r="DB363" s="27" t="s">
        <v>272</v>
      </c>
      <c r="DC363" s="27" t="s">
        <v>134</v>
      </c>
      <c r="DD363" s="27" t="s">
        <v>154</v>
      </c>
      <c r="DE363" s="27" t="s">
        <v>306</v>
      </c>
      <c r="DF363" s="27" t="s">
        <v>305</v>
      </c>
      <c r="DG363" s="27" t="s">
        <v>134</v>
      </c>
      <c r="DH363" s="27" t="s">
        <v>135</v>
      </c>
      <c r="DI363" s="27" t="s">
        <v>220</v>
      </c>
      <c r="DJ363" s="27" t="s">
        <v>196</v>
      </c>
      <c r="DK363" s="27" t="s">
        <v>134</v>
      </c>
      <c r="DL363" s="27" t="s">
        <v>135</v>
      </c>
      <c r="DM363" s="27" t="s">
        <v>313</v>
      </c>
      <c r="DN363" s="27" t="s">
        <v>382</v>
      </c>
      <c r="DO363" s="27" t="s">
        <v>134</v>
      </c>
      <c r="DP363" s="27" t="s">
        <v>386</v>
      </c>
      <c r="DQ363" s="27" t="s">
        <v>673</v>
      </c>
      <c r="DR363" s="27" t="s">
        <v>204</v>
      </c>
      <c r="DS363" s="27" t="s">
        <v>480</v>
      </c>
      <c r="DT363" s="27" t="s">
        <v>140</v>
      </c>
      <c r="DU363" s="27" t="s">
        <v>442</v>
      </c>
      <c r="DV363" s="27" t="s">
        <v>305</v>
      </c>
      <c r="DW363" s="27" t="s">
        <v>140</v>
      </c>
      <c r="DX363" s="27" t="s">
        <v>138</v>
      </c>
      <c r="DY363" s="27" t="s">
        <v>145</v>
      </c>
      <c r="DZ363" s="27" t="n">
        <f aca="false">DY363+DV363+DR363+DN363+DJ363+DF363+DB363</f>
        <v>550</v>
      </c>
      <c r="EA363" s="28" t="n">
        <f aca="false">DZ363/7</f>
        <v>78.5714285714286</v>
      </c>
      <c r="EB363" s="27" t="n">
        <f aca="false">RANK(EA363,$EA$2:$EA$881,0)</f>
        <v>436</v>
      </c>
      <c r="EC363" s="29" t="n">
        <f aca="false">DZ363+CQ363+CP363+AZ363</f>
        <v>2478</v>
      </c>
      <c r="ED363" s="30" t="n">
        <f aca="false">(EA363+CV363+BB363)/3</f>
        <v>79.6761904761905</v>
      </c>
      <c r="EE363" s="51" t="n">
        <f aca="false">ROUND(BE363,3)</f>
        <v>86.497</v>
      </c>
      <c r="EF363" s="51" t="n">
        <f aca="false">ROUND(CR363,3)</f>
        <v>87.429</v>
      </c>
      <c r="EG363" s="51" t="n">
        <f aca="false">ROUND(CS363,3)</f>
        <v>74.286</v>
      </c>
      <c r="EH363" s="51" t="n">
        <f aca="false">ROUND(EA363,3)</f>
        <v>78.571</v>
      </c>
      <c r="EI363" s="51" t="n">
        <f aca="false">ROUND(ED363,3)</f>
        <v>79.676</v>
      </c>
      <c r="EJ363" s="51" t="n">
        <f aca="false">ROUND(CV363,3)</f>
        <v>80.857</v>
      </c>
      <c r="EK363" s="0" t="n">
        <f aca="false">RANK(EI363,$EI$2:$EI$881,0)</f>
        <v>362</v>
      </c>
    </row>
    <row r="364" customFormat="false" ht="15" hidden="false" customHeight="false" outlineLevel="0" collapsed="false">
      <c r="A364" s="4" t="n">
        <v>8791</v>
      </c>
      <c r="B364" s="4" t="n">
        <v>148</v>
      </c>
      <c r="C364" s="27" t="s">
        <v>1190</v>
      </c>
      <c r="D364" s="31" t="n">
        <v>148</v>
      </c>
      <c r="E364" s="16" t="n">
        <v>230907616</v>
      </c>
      <c r="F364" s="56" t="s">
        <v>1191</v>
      </c>
      <c r="G364" s="22" t="s">
        <v>190</v>
      </c>
      <c r="H364" s="22" t="s">
        <v>326</v>
      </c>
      <c r="I364" s="57"/>
      <c r="J364" s="16" t="n">
        <v>98</v>
      </c>
      <c r="K364" s="16" t="n">
        <v>62</v>
      </c>
      <c r="L364" s="34" t="n">
        <f aca="false">(K364*70)/100</f>
        <v>43.4</v>
      </c>
      <c r="M364" s="34" t="n">
        <f aca="false">ROUNDUP(L364,0)</f>
        <v>44</v>
      </c>
      <c r="N364" s="16" t="n">
        <v>24</v>
      </c>
      <c r="O364" s="34" t="n">
        <f aca="false">N364+L364</f>
        <v>67.4</v>
      </c>
      <c r="P364" s="34" t="n">
        <f aca="false">N364+M364</f>
        <v>68</v>
      </c>
      <c r="Q364" s="16" t="n">
        <v>69</v>
      </c>
      <c r="R364" s="16" t="n">
        <v>65</v>
      </c>
      <c r="S364" s="34" t="n">
        <f aca="false">(R364*70)/100</f>
        <v>45.5</v>
      </c>
      <c r="T364" s="34" t="n">
        <f aca="false">ROUNDUP(S364,0)</f>
        <v>46</v>
      </c>
      <c r="U364" s="16" t="n">
        <v>24</v>
      </c>
      <c r="V364" s="34" t="n">
        <f aca="false">U364+S364</f>
        <v>69.5</v>
      </c>
      <c r="W364" s="34" t="n">
        <f aca="false">U364+T364</f>
        <v>70</v>
      </c>
      <c r="X364" s="16" t="n">
        <v>75</v>
      </c>
      <c r="Y364" s="34" t="n">
        <f aca="false">(X364*70)/100</f>
        <v>52.5</v>
      </c>
      <c r="Z364" s="34" t="n">
        <f aca="false">ROUNDUP(Y364,0)</f>
        <v>53</v>
      </c>
      <c r="AA364" s="16" t="n">
        <v>27</v>
      </c>
      <c r="AB364" s="34" t="n">
        <f aca="false">AA364+Y364</f>
        <v>79.5</v>
      </c>
      <c r="AC364" s="34" t="n">
        <f aca="false">AA364+Z364</f>
        <v>80</v>
      </c>
      <c r="AD364" s="32" t="n">
        <f aca="false">X364+R364+Q364+K364+J364</f>
        <v>369</v>
      </c>
      <c r="AE364" s="16" t="n">
        <f aca="false">AD364/5</f>
        <v>73.8</v>
      </c>
      <c r="AF364" s="16" t="n">
        <v>74</v>
      </c>
      <c r="AG364" s="16" t="n">
        <v>99</v>
      </c>
      <c r="AH364" s="16" t="n">
        <v>85</v>
      </c>
      <c r="AI364" s="16" t="n">
        <v>91</v>
      </c>
      <c r="AJ364" s="16" t="n">
        <f aca="false">(AI364*70)/100</f>
        <v>63.7</v>
      </c>
      <c r="AK364" s="35" t="n">
        <f aca="false">ROUNDUP(AJ364,0)</f>
        <v>64</v>
      </c>
      <c r="AL364" s="16" t="n">
        <v>27</v>
      </c>
      <c r="AM364" s="16" t="n">
        <f aca="false">AL364+AJ364</f>
        <v>90.7</v>
      </c>
      <c r="AN364" s="16" t="n">
        <f aca="false">AL364+AK364</f>
        <v>91</v>
      </c>
      <c r="AO364" s="16" t="n">
        <v>79</v>
      </c>
      <c r="AP364" s="36" t="n">
        <f aca="false">(AO364*70)/100</f>
        <v>55.3</v>
      </c>
      <c r="AQ364" s="37" t="n">
        <f aca="false">ROUNDUP(AP364,0)</f>
        <v>56</v>
      </c>
      <c r="AR364" s="16" t="n">
        <v>28</v>
      </c>
      <c r="AS364" s="16" t="n">
        <f aca="false">AR364+AP364</f>
        <v>83.3</v>
      </c>
      <c r="AT364" s="16" t="n">
        <f aca="false">AR364+AQ364</f>
        <v>84</v>
      </c>
      <c r="AU364" s="16" t="n">
        <f aca="false">AO364+AF364+AI364+AH364+AG364</f>
        <v>428</v>
      </c>
      <c r="AV364" s="16" t="n">
        <f aca="false">(AO364+AF364+AI364+AH364+AG364)/5</f>
        <v>85.6</v>
      </c>
      <c r="AW364" s="36" t="n">
        <f aca="false">(AO364+AF364+AI364+AH364+AG364+X364+R364+Q364+K364+J364)</f>
        <v>797</v>
      </c>
      <c r="AX364" s="16" t="n">
        <f aca="false">AW364/10</f>
        <v>79.7</v>
      </c>
      <c r="AY364" s="16" t="n">
        <f aca="false">AS364+AF364+AM364+AH364+AG364+AB364+V364+Q364+O364+J364</f>
        <v>815.4</v>
      </c>
      <c r="AZ364" s="16" t="n">
        <f aca="false">AT364+AF364+AN364+AH364+AG364+AC364+W364+Q364+P364+J364</f>
        <v>818</v>
      </c>
      <c r="BA364" s="16" t="n">
        <f aca="false">AY364/10</f>
        <v>81.54</v>
      </c>
      <c r="BB364" s="16" t="n">
        <f aca="false">AZ364/10</f>
        <v>81.8</v>
      </c>
      <c r="BC364" s="16" t="n">
        <v>2388</v>
      </c>
      <c r="BD364" s="16" t="n">
        <f aca="false">RANK(AX364,$AX$2:$AX$881,0)</f>
        <v>288</v>
      </c>
      <c r="BE364" s="54" t="n">
        <f aca="false">((BC364*100)/2400)*0.4+(AX364*0.6)</f>
        <v>87.62</v>
      </c>
      <c r="BF364" s="16" t="n">
        <f aca="false">RANK(BE364,$BE$2:$BE$881,0)</f>
        <v>234</v>
      </c>
      <c r="BG364" s="39" t="n">
        <f aca="false">RANK(BB364,$BB$2:$BB$881,0)</f>
        <v>222</v>
      </c>
      <c r="BH364" s="39" t="n">
        <f aca="false">RANK(BC364,$BC$2:$BC$881,0)</f>
        <v>70</v>
      </c>
      <c r="BI364" s="22" t="s">
        <v>130</v>
      </c>
      <c r="BJ364" s="22" t="s">
        <v>129</v>
      </c>
      <c r="BK364" s="40" t="s">
        <v>131</v>
      </c>
      <c r="BL364" s="41" t="n">
        <v>19</v>
      </c>
      <c r="BM364" s="41" t="n">
        <v>53</v>
      </c>
      <c r="BN364" s="41" t="n">
        <v>72</v>
      </c>
      <c r="BO364" s="42" t="n">
        <v>26</v>
      </c>
      <c r="BP364" s="43" t="n">
        <v>41</v>
      </c>
      <c r="BQ364" s="44" t="n">
        <v>67</v>
      </c>
      <c r="BR364" s="42" t="n">
        <v>20</v>
      </c>
      <c r="BS364" s="45" t="n">
        <v>53</v>
      </c>
      <c r="BT364" s="45" t="n">
        <v>73</v>
      </c>
      <c r="BU364" s="46" t="n">
        <v>100</v>
      </c>
      <c r="BV364" s="47" t="n">
        <v>96</v>
      </c>
      <c r="BW364" s="42" t="n">
        <v>83</v>
      </c>
      <c r="BX364" s="48" t="n">
        <v>90</v>
      </c>
      <c r="BY364" s="32" t="n">
        <v>22</v>
      </c>
      <c r="BZ364" s="32" t="n">
        <v>58</v>
      </c>
      <c r="CA364" s="48" t="n">
        <v>80</v>
      </c>
      <c r="CB364" s="32" t="n">
        <v>20</v>
      </c>
      <c r="CC364" s="32" t="n">
        <v>43</v>
      </c>
      <c r="CD364" s="32" t="n">
        <v>63</v>
      </c>
      <c r="CE364" s="32" t="n">
        <v>19</v>
      </c>
      <c r="CF364" s="32" t="n">
        <v>50</v>
      </c>
      <c r="CG364" s="32" t="n">
        <v>69</v>
      </c>
      <c r="CH364" s="32" t="n">
        <v>99</v>
      </c>
      <c r="CI364" s="32" t="n">
        <v>99</v>
      </c>
      <c r="CJ364" s="49" t="n">
        <v>17</v>
      </c>
      <c r="CK364" s="49" t="n">
        <v>48</v>
      </c>
      <c r="CL364" s="49" t="n">
        <v>65</v>
      </c>
      <c r="CM364" s="49" t="n">
        <v>26</v>
      </c>
      <c r="CN364" s="49" t="n">
        <v>49</v>
      </c>
      <c r="CO364" s="49" t="n">
        <v>75</v>
      </c>
      <c r="CP364" s="25" t="n">
        <f aca="false">BX364+BW364+BV364+BU364+BT364+BQ364+BN364</f>
        <v>581</v>
      </c>
      <c r="CQ364" s="25" t="n">
        <f aca="false">CO364+CL364+CI364+CH364+CG364+CD364+CA364</f>
        <v>550</v>
      </c>
      <c r="CR364" s="26" t="n">
        <f aca="false">CP364/7</f>
        <v>83</v>
      </c>
      <c r="CS364" s="26" t="n">
        <f aca="false">CQ364/7</f>
        <v>78.5714285714286</v>
      </c>
      <c r="CT364" s="24" t="n">
        <f aca="false">RANK(CR364,$CR$2:$CR$881,0)</f>
        <v>520</v>
      </c>
      <c r="CU364" s="25" t="n">
        <f aca="false">RANK(CS364,$CS$2:$CS$881,0)</f>
        <v>317</v>
      </c>
      <c r="CV364" s="26" t="n">
        <f aca="false">(CS364+CR364)/2</f>
        <v>80.7857142857143</v>
      </c>
      <c r="CW364" s="25" t="n">
        <f aca="false">RANK(CV364,$CV$2:$CV$881,0)</f>
        <v>394</v>
      </c>
      <c r="CX364" s="50" t="n">
        <f aca="false">(CV364+BB364)/2</f>
        <v>81.2928571428571</v>
      </c>
      <c r="CY364" s="50" t="n">
        <v>360</v>
      </c>
      <c r="CZ364" s="27" t="s">
        <v>132</v>
      </c>
      <c r="DA364" s="27" t="s">
        <v>169</v>
      </c>
      <c r="DB364" s="27" t="s">
        <v>169</v>
      </c>
      <c r="DC364" s="27" t="s">
        <v>134</v>
      </c>
      <c r="DD364" s="27" t="s">
        <v>154</v>
      </c>
      <c r="DE364" s="27" t="s">
        <v>638</v>
      </c>
      <c r="DF364" s="27" t="s">
        <v>143</v>
      </c>
      <c r="DG364" s="27" t="s">
        <v>134</v>
      </c>
      <c r="DH364" s="27" t="s">
        <v>264</v>
      </c>
      <c r="DI364" s="27" t="s">
        <v>177</v>
      </c>
      <c r="DJ364" s="27" t="s">
        <v>272</v>
      </c>
      <c r="DK364" s="27" t="s">
        <v>134</v>
      </c>
      <c r="DL364" s="27" t="s">
        <v>135</v>
      </c>
      <c r="DM364" s="27" t="s">
        <v>375</v>
      </c>
      <c r="DN364" s="27" t="s">
        <v>441</v>
      </c>
      <c r="DO364" s="27" t="s">
        <v>134</v>
      </c>
      <c r="DP364" s="27" t="s">
        <v>718</v>
      </c>
      <c r="DQ364" s="27" t="s">
        <v>375</v>
      </c>
      <c r="DR364" s="27" t="s">
        <v>203</v>
      </c>
      <c r="DS364" s="27" t="s">
        <v>134</v>
      </c>
      <c r="DT364" s="27" t="s">
        <v>160</v>
      </c>
      <c r="DU364" s="27" t="s">
        <v>897</v>
      </c>
      <c r="DV364" s="27" t="s">
        <v>416</v>
      </c>
      <c r="DW364" s="27" t="s">
        <v>140</v>
      </c>
      <c r="DX364" s="27" t="s">
        <v>143</v>
      </c>
      <c r="DY364" s="27" t="s">
        <v>144</v>
      </c>
      <c r="DZ364" s="27" t="n">
        <f aca="false">DY364+DV364+DR364+DN364+DJ364+DF364+DB364</f>
        <v>535</v>
      </c>
      <c r="EA364" s="28" t="n">
        <f aca="false">DZ364/7</f>
        <v>76.4285714285714</v>
      </c>
      <c r="EB364" s="27" t="n">
        <f aca="false">RANK(EA364,$EA$2:$EA$881,0)</f>
        <v>506</v>
      </c>
      <c r="EC364" s="29" t="n">
        <f aca="false">DZ364+CQ364+CP364+AZ364</f>
        <v>2484</v>
      </c>
      <c r="ED364" s="30" t="n">
        <f aca="false">(EA364+CV364+BB364)/3</f>
        <v>79.6714285714286</v>
      </c>
      <c r="EE364" s="51" t="n">
        <f aca="false">ROUND(BE364,3)</f>
        <v>87.62</v>
      </c>
      <c r="EF364" s="51" t="n">
        <f aca="false">ROUND(CR364,3)</f>
        <v>83</v>
      </c>
      <c r="EG364" s="51" t="n">
        <f aca="false">ROUND(CS364,3)</f>
        <v>78.571</v>
      </c>
      <c r="EH364" s="51" t="n">
        <f aca="false">ROUND(EA364,3)</f>
        <v>76.429</v>
      </c>
      <c r="EI364" s="51" t="n">
        <f aca="false">ROUND(ED364,3)</f>
        <v>79.671</v>
      </c>
      <c r="EJ364" s="51" t="n">
        <f aca="false">ROUND(CV364,3)</f>
        <v>80.786</v>
      </c>
      <c r="EK364" s="0" t="n">
        <f aca="false">RANK(EI364,$EI$2:$EI$881,0)</f>
        <v>363</v>
      </c>
    </row>
    <row r="365" customFormat="false" ht="15" hidden="false" customHeight="false" outlineLevel="0" collapsed="false">
      <c r="A365" s="4" t="n">
        <v>8695</v>
      </c>
      <c r="B365" s="4" t="n">
        <v>462</v>
      </c>
      <c r="C365" s="27" t="s">
        <v>1192</v>
      </c>
      <c r="D365" s="31" t="n">
        <v>468</v>
      </c>
      <c r="E365" s="32" t="n">
        <v>230311595</v>
      </c>
      <c r="F365" s="8" t="s">
        <v>1193</v>
      </c>
      <c r="G365" s="22" t="s">
        <v>190</v>
      </c>
      <c r="H365" s="22" t="s">
        <v>129</v>
      </c>
      <c r="I365" s="33" t="n">
        <v>2005</v>
      </c>
      <c r="J365" s="32" t="n">
        <v>67</v>
      </c>
      <c r="K365" s="32" t="n">
        <v>88</v>
      </c>
      <c r="L365" s="34" t="n">
        <f aca="false">(K365*70)/100</f>
        <v>61.6</v>
      </c>
      <c r="M365" s="34" t="n">
        <f aca="false">ROUNDUP(L365,0)</f>
        <v>62</v>
      </c>
      <c r="N365" s="32" t="n">
        <v>26</v>
      </c>
      <c r="O365" s="34" t="n">
        <f aca="false">N365+L365</f>
        <v>87.6</v>
      </c>
      <c r="P365" s="34" t="n">
        <f aca="false">N365+M365</f>
        <v>88</v>
      </c>
      <c r="Q365" s="32" t="n">
        <v>82</v>
      </c>
      <c r="R365" s="32" t="n">
        <v>76</v>
      </c>
      <c r="S365" s="34" t="n">
        <f aca="false">(R365*70)/100</f>
        <v>53.2</v>
      </c>
      <c r="T365" s="34" t="n">
        <f aca="false">ROUNDUP(S365,0)</f>
        <v>54</v>
      </c>
      <c r="U365" s="32" t="n">
        <v>27</v>
      </c>
      <c r="V365" s="34" t="n">
        <f aca="false">U365+S365</f>
        <v>80.2</v>
      </c>
      <c r="W365" s="34" t="n">
        <f aca="false">U365+T365</f>
        <v>81</v>
      </c>
      <c r="X365" s="32" t="n">
        <v>82</v>
      </c>
      <c r="Y365" s="34" t="n">
        <f aca="false">(X365*70)/100</f>
        <v>57.4</v>
      </c>
      <c r="Z365" s="34" t="n">
        <f aca="false">ROUNDUP(Y365,0)</f>
        <v>58</v>
      </c>
      <c r="AA365" s="32" t="n">
        <v>27</v>
      </c>
      <c r="AB365" s="34" t="n">
        <f aca="false">AA365+Y365</f>
        <v>84.4</v>
      </c>
      <c r="AC365" s="34" t="n">
        <f aca="false">AA365+Z365</f>
        <v>85</v>
      </c>
      <c r="AD365" s="32" t="n">
        <f aca="false">X365+R365+Q365+K365+J365</f>
        <v>395</v>
      </c>
      <c r="AE365" s="16" t="n">
        <f aca="false">AD365/5</f>
        <v>79</v>
      </c>
      <c r="AF365" s="16" t="n">
        <v>80</v>
      </c>
      <c r="AG365" s="16" t="n">
        <v>69</v>
      </c>
      <c r="AH365" s="16" t="n">
        <v>96</v>
      </c>
      <c r="AI365" s="16" t="n">
        <v>95</v>
      </c>
      <c r="AJ365" s="16" t="n">
        <f aca="false">(AI365*70)/100</f>
        <v>66.5</v>
      </c>
      <c r="AK365" s="35" t="n">
        <f aca="false">ROUNDUP(AJ365,0)</f>
        <v>67</v>
      </c>
      <c r="AL365" s="16" t="n">
        <v>22</v>
      </c>
      <c r="AM365" s="16" t="n">
        <f aca="false">AL365+AJ365</f>
        <v>88.5</v>
      </c>
      <c r="AN365" s="16" t="n">
        <f aca="false">AL365+AK365</f>
        <v>89</v>
      </c>
      <c r="AO365" s="16" t="n">
        <v>76</v>
      </c>
      <c r="AP365" s="36" t="n">
        <f aca="false">(AO365*70)/100</f>
        <v>53.2</v>
      </c>
      <c r="AQ365" s="37" t="n">
        <f aca="false">ROUNDUP(AP365,0)</f>
        <v>54</v>
      </c>
      <c r="AR365" s="16" t="n">
        <v>29</v>
      </c>
      <c r="AS365" s="16" t="n">
        <f aca="false">AR365+AP365</f>
        <v>82.2</v>
      </c>
      <c r="AT365" s="16" t="n">
        <f aca="false">AR365+AQ365</f>
        <v>83</v>
      </c>
      <c r="AU365" s="16" t="n">
        <f aca="false">AO365+AF365+AI365+AH365+AG365</f>
        <v>416</v>
      </c>
      <c r="AV365" s="16" t="n">
        <f aca="false">(AO365+AF365+AI365+AH365+AG365)/5</f>
        <v>83.2</v>
      </c>
      <c r="AW365" s="36" t="n">
        <f aca="false">(AO365+AF365+AI365+AH365+AG365+X365+R365+Q365+K365+J365)</f>
        <v>811</v>
      </c>
      <c r="AX365" s="16" t="n">
        <f aca="false">AW365/10</f>
        <v>81.1</v>
      </c>
      <c r="AY365" s="16" t="n">
        <f aca="false">AS365+AF365+AM365+AH365+AG365+AB365+V365+Q365+O365+J365</f>
        <v>816.9</v>
      </c>
      <c r="AZ365" s="16" t="n">
        <f aca="false">AT365+AF365+AN365+AH365+AG365+AC365+W365+Q365+P365+J365</f>
        <v>820</v>
      </c>
      <c r="BA365" s="16" t="n">
        <f aca="false">AY365/10</f>
        <v>81.69</v>
      </c>
      <c r="BB365" s="16" t="n">
        <f aca="false">AZ365/10</f>
        <v>82</v>
      </c>
      <c r="BC365" s="16" t="n">
        <v>2370</v>
      </c>
      <c r="BD365" s="16" t="n">
        <f aca="false">RANK(AX365,$AX$2:$AX$881,0)</f>
        <v>206</v>
      </c>
      <c r="BE365" s="54" t="n">
        <f aca="false">((BC365*100)/2400)*0.4+(AX365*0.6)</f>
        <v>88.16</v>
      </c>
      <c r="BF365" s="16" t="n">
        <f aca="false">RANK(BE365,$BE$2:$BE$881,0)</f>
        <v>194</v>
      </c>
      <c r="BG365" s="39" t="n">
        <f aca="false">RANK(BB365,$BB$2:$BB$881,0)</f>
        <v>212</v>
      </c>
      <c r="BH365" s="39" t="n">
        <f aca="false">RANK(BC365,$BC$2:$BC$881,0)</f>
        <v>268</v>
      </c>
      <c r="BI365" s="22" t="s">
        <v>130</v>
      </c>
      <c r="BJ365" s="22" t="s">
        <v>129</v>
      </c>
      <c r="BK365" s="40" t="s">
        <v>131</v>
      </c>
      <c r="BL365" s="41" t="n">
        <v>24</v>
      </c>
      <c r="BM365" s="61"/>
      <c r="BN365" s="61"/>
      <c r="BO365" s="42" t="n">
        <v>25</v>
      </c>
      <c r="BP365" s="43" t="n">
        <v>56</v>
      </c>
      <c r="BQ365" s="44" t="n">
        <v>81</v>
      </c>
      <c r="BR365" s="42" t="n">
        <v>23</v>
      </c>
      <c r="BS365" s="45" t="n">
        <v>55</v>
      </c>
      <c r="BT365" s="45" t="n">
        <v>78</v>
      </c>
      <c r="BU365" s="46" t="n">
        <v>100</v>
      </c>
      <c r="BV365" s="47" t="n">
        <v>70</v>
      </c>
      <c r="BW365" s="42" t="n">
        <v>99</v>
      </c>
      <c r="BX365" s="48" t="n">
        <v>92</v>
      </c>
      <c r="BY365" s="32" t="n">
        <v>23</v>
      </c>
      <c r="BZ365" s="32" t="n">
        <v>28</v>
      </c>
      <c r="CA365" s="69" t="n">
        <v>51</v>
      </c>
      <c r="CB365" s="32" t="n">
        <v>23</v>
      </c>
      <c r="CC365" s="32" t="n">
        <v>44</v>
      </c>
      <c r="CD365" s="32" t="n">
        <v>67</v>
      </c>
      <c r="CE365" s="32" t="n">
        <v>27</v>
      </c>
      <c r="CF365" s="32" t="n">
        <v>51</v>
      </c>
      <c r="CG365" s="32" t="n">
        <v>78</v>
      </c>
      <c r="CH365" s="32" t="n">
        <v>96</v>
      </c>
      <c r="CI365" s="32" t="n">
        <v>90</v>
      </c>
      <c r="CJ365" s="49" t="n">
        <v>24</v>
      </c>
      <c r="CK365" s="49" t="n">
        <v>51</v>
      </c>
      <c r="CL365" s="49" t="n">
        <v>75</v>
      </c>
      <c r="CM365" s="49" t="n">
        <v>23</v>
      </c>
      <c r="CN365" s="49" t="n">
        <v>46</v>
      </c>
      <c r="CO365" s="49" t="n">
        <v>69</v>
      </c>
      <c r="CP365" s="25" t="n">
        <f aca="false">BX365+BW365+BV365+BU365+BT365+BQ365+BN365</f>
        <v>520</v>
      </c>
      <c r="CQ365" s="25" t="n">
        <f aca="false">CO365+CL365+CI365+CH365+CG365+CD365+CA365</f>
        <v>526</v>
      </c>
      <c r="CR365" s="26" t="n">
        <f aca="false">CP365/7</f>
        <v>74.2857142857143</v>
      </c>
      <c r="CS365" s="26" t="n">
        <f aca="false">CQ365/7</f>
        <v>75.1428571428571</v>
      </c>
      <c r="CT365" s="24" t="n">
        <f aca="false">RANK(CR365,$CR$2:$CR$881,0)</f>
        <v>657</v>
      </c>
      <c r="CU365" s="25" t="n">
        <f aca="false">RANK(CS365,$CS$2:$CS$881,0)</f>
        <v>426</v>
      </c>
      <c r="CV365" s="26" t="n">
        <f aca="false">(CS365+CR365)/2</f>
        <v>74.7142857142857</v>
      </c>
      <c r="CW365" s="25" t="n">
        <f aca="false">RANK(CV365,$CV$2:$CV$881,0)</f>
        <v>565</v>
      </c>
      <c r="CX365" s="50" t="n">
        <f aca="false">(CV365+BB365)/2</f>
        <v>78.3571428571429</v>
      </c>
      <c r="CY365" s="50" t="n">
        <v>453</v>
      </c>
      <c r="CZ365" s="27" t="s">
        <v>132</v>
      </c>
      <c r="DA365" s="27" t="s">
        <v>202</v>
      </c>
      <c r="DB365" s="27" t="s">
        <v>202</v>
      </c>
      <c r="DC365" s="27" t="s">
        <v>134</v>
      </c>
      <c r="DD365" s="27" t="s">
        <v>135</v>
      </c>
      <c r="DE365" s="27" t="s">
        <v>204</v>
      </c>
      <c r="DF365" s="27" t="s">
        <v>209</v>
      </c>
      <c r="DG365" s="27" t="s">
        <v>134</v>
      </c>
      <c r="DH365" s="27" t="s">
        <v>137</v>
      </c>
      <c r="DI365" s="27" t="s">
        <v>203</v>
      </c>
      <c r="DJ365" s="27" t="s">
        <v>133</v>
      </c>
      <c r="DK365" s="27" t="s">
        <v>134</v>
      </c>
      <c r="DL365" s="27" t="s">
        <v>154</v>
      </c>
      <c r="DM365" s="27" t="s">
        <v>304</v>
      </c>
      <c r="DN365" s="27" t="s">
        <v>382</v>
      </c>
      <c r="DO365" s="27" t="s">
        <v>134</v>
      </c>
      <c r="DP365" s="27" t="s">
        <v>485</v>
      </c>
      <c r="DQ365" s="27" t="s">
        <v>399</v>
      </c>
      <c r="DR365" s="27" t="s">
        <v>163</v>
      </c>
      <c r="DS365" s="27" t="s">
        <v>134</v>
      </c>
      <c r="DT365" s="27" t="s">
        <v>160</v>
      </c>
      <c r="DU365" s="27" t="s">
        <v>375</v>
      </c>
      <c r="DV365" s="27" t="s">
        <v>305</v>
      </c>
      <c r="DW365" s="27" t="s">
        <v>140</v>
      </c>
      <c r="DX365" s="27" t="s">
        <v>138</v>
      </c>
      <c r="DY365" s="27" t="s">
        <v>145</v>
      </c>
      <c r="DZ365" s="27" t="n">
        <f aca="false">DY365+DV365+DR365+DN365+DJ365+DF365+DB365</f>
        <v>576</v>
      </c>
      <c r="EA365" s="28" t="n">
        <f aca="false">DZ365/7</f>
        <v>82.2857142857143</v>
      </c>
      <c r="EB365" s="27" t="n">
        <f aca="false">RANK(EA365,$EA$2:$EA$881,0)</f>
        <v>304</v>
      </c>
      <c r="EC365" s="29" t="n">
        <f aca="false">DZ365+CQ365+CP365+AZ365</f>
        <v>2442</v>
      </c>
      <c r="ED365" s="30" t="n">
        <f aca="false">(EA365+CV365+BB365)/3</f>
        <v>79.6666666666667</v>
      </c>
      <c r="EE365" s="51" t="n">
        <f aca="false">ROUND(BE365,3)</f>
        <v>88.16</v>
      </c>
      <c r="EF365" s="51" t="n">
        <f aca="false">ROUND(CR365,3)</f>
        <v>74.286</v>
      </c>
      <c r="EG365" s="51" t="n">
        <f aca="false">ROUND(CS365,3)</f>
        <v>75.143</v>
      </c>
      <c r="EH365" s="51" t="n">
        <f aca="false">ROUND(EA365,3)</f>
        <v>82.286</v>
      </c>
      <c r="EI365" s="51" t="n">
        <f aca="false">ROUND(ED365,3)</f>
        <v>79.667</v>
      </c>
      <c r="EJ365" s="51" t="n">
        <f aca="false">ROUND(CV365,3)</f>
        <v>74.714</v>
      </c>
      <c r="EK365" s="0" t="n">
        <f aca="false">RANK(EI365,$EI$2:$EI$881,0)</f>
        <v>364</v>
      </c>
    </row>
    <row r="366" customFormat="false" ht="15" hidden="false" customHeight="false" outlineLevel="0" collapsed="false">
      <c r="A366" s="4" t="n">
        <v>1947</v>
      </c>
      <c r="B366" s="4" t="n">
        <v>826</v>
      </c>
      <c r="C366" s="27" t="s">
        <v>1194</v>
      </c>
      <c r="D366" s="31" t="n">
        <v>847</v>
      </c>
      <c r="E366" s="16" t="n">
        <v>230224099</v>
      </c>
      <c r="F366" s="56" t="s">
        <v>1195</v>
      </c>
      <c r="G366" s="22" t="s">
        <v>249</v>
      </c>
      <c r="H366" s="22" t="s">
        <v>326</v>
      </c>
      <c r="I366" s="57"/>
      <c r="J366" s="16" t="n">
        <v>85</v>
      </c>
      <c r="K366" s="16" t="n">
        <v>47</v>
      </c>
      <c r="L366" s="34" t="n">
        <f aca="false">(K366*70)/100</f>
        <v>32.9</v>
      </c>
      <c r="M366" s="34" t="n">
        <f aca="false">ROUNDUP(L366,0)</f>
        <v>33</v>
      </c>
      <c r="N366" s="16" t="n">
        <v>25</v>
      </c>
      <c r="O366" s="34" t="n">
        <f aca="false">N366+L366</f>
        <v>57.9</v>
      </c>
      <c r="P366" s="91" t="n">
        <f aca="false">N366+M366</f>
        <v>58</v>
      </c>
      <c r="Q366" s="71" t="n">
        <v>59</v>
      </c>
      <c r="R366" s="16" t="n">
        <v>62</v>
      </c>
      <c r="S366" s="34" t="n">
        <f aca="false">(R366*70)/100</f>
        <v>43.4</v>
      </c>
      <c r="T366" s="34" t="n">
        <f aca="false">ROUNDUP(S366,0)</f>
        <v>44</v>
      </c>
      <c r="U366" s="16" t="n">
        <v>22</v>
      </c>
      <c r="V366" s="34" t="n">
        <f aca="false">U366+S366</f>
        <v>65.4</v>
      </c>
      <c r="W366" s="34" t="n">
        <f aca="false">U366+T366</f>
        <v>66</v>
      </c>
      <c r="X366" s="16" t="n">
        <v>78</v>
      </c>
      <c r="Y366" s="34" t="n">
        <f aca="false">(X366*70)/100</f>
        <v>54.6</v>
      </c>
      <c r="Z366" s="34" t="n">
        <f aca="false">ROUNDUP(Y366,0)</f>
        <v>55</v>
      </c>
      <c r="AA366" s="16" t="n">
        <v>28</v>
      </c>
      <c r="AB366" s="34" t="n">
        <f aca="false">AA366+Y366</f>
        <v>82.6</v>
      </c>
      <c r="AC366" s="34" t="n">
        <f aca="false">AA366+Z366</f>
        <v>83</v>
      </c>
      <c r="AD366" s="32" t="n">
        <f aca="false">X366+R366+Q366+K366+J366</f>
        <v>331</v>
      </c>
      <c r="AE366" s="16" t="n">
        <f aca="false">AD366/5</f>
        <v>66.2</v>
      </c>
      <c r="AF366" s="16" t="n">
        <v>70</v>
      </c>
      <c r="AG366" s="16" t="n">
        <v>94</v>
      </c>
      <c r="AH366" s="16" t="n">
        <v>99</v>
      </c>
      <c r="AI366" s="16" t="n">
        <v>91</v>
      </c>
      <c r="AJ366" s="16" t="n">
        <f aca="false">(AI366*70)/100</f>
        <v>63.7</v>
      </c>
      <c r="AK366" s="35" t="n">
        <f aca="false">ROUNDUP(AJ366,0)</f>
        <v>64</v>
      </c>
      <c r="AL366" s="16" t="n">
        <v>25</v>
      </c>
      <c r="AM366" s="16" t="n">
        <f aca="false">AL366+AJ366</f>
        <v>88.7</v>
      </c>
      <c r="AN366" s="16" t="n">
        <f aca="false">AL366+AK366</f>
        <v>89</v>
      </c>
      <c r="AO366" s="16" t="n">
        <v>82</v>
      </c>
      <c r="AP366" s="36" t="n">
        <f aca="false">(AO366*70)/100</f>
        <v>57.4</v>
      </c>
      <c r="AQ366" s="37" t="n">
        <f aca="false">ROUNDUP(AP366,0)</f>
        <v>58</v>
      </c>
      <c r="AR366" s="16" t="n">
        <v>24</v>
      </c>
      <c r="AS366" s="16" t="n">
        <f aca="false">AR366+AP366</f>
        <v>81.4</v>
      </c>
      <c r="AT366" s="16" t="n">
        <f aca="false">AR366+AQ366</f>
        <v>82</v>
      </c>
      <c r="AU366" s="16" t="n">
        <f aca="false">AO366+AF366+AI366+AH366+AG366</f>
        <v>436</v>
      </c>
      <c r="AV366" s="16" t="n">
        <f aca="false">(AO366+AF366+AI366+AH366+AG366)/5</f>
        <v>87.2</v>
      </c>
      <c r="AW366" s="36" t="n">
        <f aca="false">(AO366+AF366+AI366+AH366+AG366+X366+R366+Q366+K366+J366)</f>
        <v>767</v>
      </c>
      <c r="AX366" s="16" t="n">
        <f aca="false">AW366/10</f>
        <v>76.7</v>
      </c>
      <c r="AY366" s="16" t="n">
        <f aca="false">AS366+AF366+AM366+AH366+AG366+AB366+V366+Q366+O366+J366</f>
        <v>783</v>
      </c>
      <c r="AZ366" s="16" t="n">
        <f aca="false">AT366+AF366+AN366+AH366+AG366+AC366+W366+Q366+P366+J366</f>
        <v>785</v>
      </c>
      <c r="BA366" s="16" t="n">
        <f aca="false">AY366/10</f>
        <v>78.3</v>
      </c>
      <c r="BB366" s="16" t="n">
        <f aca="false">AZ366/10</f>
        <v>78.5</v>
      </c>
      <c r="BC366" s="16" t="n">
        <v>2376</v>
      </c>
      <c r="BD366" s="16" t="n">
        <f aca="false">RANK(AX366,$AX$2:$AX$881,0)</f>
        <v>536</v>
      </c>
      <c r="BE366" s="54" t="n">
        <f aca="false">((BC366*100)/2400)*0.4+(AX366*0.6)</f>
        <v>85.62</v>
      </c>
      <c r="BF366" s="16" t="n">
        <f aca="false">RANK(BE366,$BE$2:$BE$881,0)</f>
        <v>486</v>
      </c>
      <c r="BG366" s="39" t="n">
        <f aca="false">RANK(BB366,$BB$2:$BB$881,0)</f>
        <v>505</v>
      </c>
      <c r="BH366" s="39" t="n">
        <f aca="false">RANK(BC366,$BC$2:$BC$881,0)</f>
        <v>203</v>
      </c>
      <c r="BI366" s="22" t="s">
        <v>130</v>
      </c>
      <c r="BJ366" s="22" t="s">
        <v>129</v>
      </c>
      <c r="BK366" s="40" t="s">
        <v>509</v>
      </c>
      <c r="BL366" s="41" t="n">
        <v>14</v>
      </c>
      <c r="BM366" s="41" t="n">
        <v>49</v>
      </c>
      <c r="BN366" s="41" t="n">
        <v>63</v>
      </c>
      <c r="BO366" s="42" t="n">
        <v>24</v>
      </c>
      <c r="BP366" s="43" t="n">
        <v>60</v>
      </c>
      <c r="BQ366" s="44" t="n">
        <v>84</v>
      </c>
      <c r="BR366" s="42" t="n">
        <v>22</v>
      </c>
      <c r="BS366" s="45" t="n">
        <v>55</v>
      </c>
      <c r="BT366" s="45" t="n">
        <v>77</v>
      </c>
      <c r="BU366" s="46" t="n">
        <v>100</v>
      </c>
      <c r="BV366" s="47" t="n">
        <v>96</v>
      </c>
      <c r="BW366" s="42" t="n">
        <v>92</v>
      </c>
      <c r="BX366" s="48" t="n">
        <v>92</v>
      </c>
      <c r="BY366" s="32" t="n">
        <v>26</v>
      </c>
      <c r="BZ366" s="32" t="n">
        <v>54</v>
      </c>
      <c r="CA366" s="32" t="n">
        <v>80</v>
      </c>
      <c r="CB366" s="32" t="n">
        <v>19</v>
      </c>
      <c r="CC366" s="32" t="n">
        <v>48</v>
      </c>
      <c r="CD366" s="32" t="n">
        <v>67</v>
      </c>
      <c r="CE366" s="32" t="n">
        <v>28</v>
      </c>
      <c r="CF366" s="32" t="n">
        <v>39</v>
      </c>
      <c r="CG366" s="32" t="n">
        <v>67</v>
      </c>
      <c r="CH366" s="32" t="n">
        <v>96</v>
      </c>
      <c r="CI366" s="32" t="n">
        <v>100</v>
      </c>
      <c r="CJ366" s="49" t="n">
        <v>16</v>
      </c>
      <c r="CK366" s="49" t="n">
        <v>42</v>
      </c>
      <c r="CL366" s="76" t="n">
        <v>58</v>
      </c>
      <c r="CM366" s="49" t="n">
        <v>23</v>
      </c>
      <c r="CN366" s="49" t="n">
        <v>52</v>
      </c>
      <c r="CO366" s="49" t="n">
        <v>75</v>
      </c>
      <c r="CP366" s="25" t="n">
        <f aca="false">BX366+BW366+BV366+BU366+BT366+BQ366+BN366</f>
        <v>604</v>
      </c>
      <c r="CQ366" s="25" t="n">
        <f aca="false">CO366+CL366+CI366+CH366+CG366+CD366+CA366</f>
        <v>543</v>
      </c>
      <c r="CR366" s="26" t="n">
        <f aca="false">CP366/7</f>
        <v>86.2857142857143</v>
      </c>
      <c r="CS366" s="26" t="n">
        <f aca="false">CQ366/7</f>
        <v>77.5714285714286</v>
      </c>
      <c r="CT366" s="24" t="n">
        <f aca="false">RANK(CR366,$CR$2:$CR$881,0)</f>
        <v>383</v>
      </c>
      <c r="CU366" s="25" t="n">
        <f aca="false">RANK(CS366,$CS$2:$CS$881,0)</f>
        <v>350</v>
      </c>
      <c r="CV366" s="26" t="n">
        <f aca="false">(CS366+CR366)/2</f>
        <v>81.9285714285714</v>
      </c>
      <c r="CW366" s="25" t="n">
        <f aca="false">RANK(CV366,$CV$2:$CV$881,0)</f>
        <v>346</v>
      </c>
      <c r="CX366" s="50" t="n">
        <f aca="false">(CV366+BB366)/2</f>
        <v>80.2142857142857</v>
      </c>
      <c r="CY366" s="50" t="n">
        <v>364</v>
      </c>
      <c r="CZ366" s="27" t="s">
        <v>132</v>
      </c>
      <c r="DA366" s="27" t="s">
        <v>133</v>
      </c>
      <c r="DB366" s="27" t="s">
        <v>133</v>
      </c>
      <c r="DC366" s="27" t="s">
        <v>134</v>
      </c>
      <c r="DD366" s="27" t="s">
        <v>135</v>
      </c>
      <c r="DE366" s="27" t="s">
        <v>412</v>
      </c>
      <c r="DF366" s="27" t="s">
        <v>443</v>
      </c>
      <c r="DG366" s="27" t="s">
        <v>134</v>
      </c>
      <c r="DH366" s="27" t="s">
        <v>154</v>
      </c>
      <c r="DI366" s="27" t="s">
        <v>183</v>
      </c>
      <c r="DJ366" s="27" t="s">
        <v>196</v>
      </c>
      <c r="DK366" s="27" t="s">
        <v>134</v>
      </c>
      <c r="DL366" s="27" t="s">
        <v>164</v>
      </c>
      <c r="DM366" s="27" t="s">
        <v>304</v>
      </c>
      <c r="DN366" s="27" t="s">
        <v>196</v>
      </c>
      <c r="DO366" s="27" t="s">
        <v>134</v>
      </c>
      <c r="DP366" s="27" t="s">
        <v>485</v>
      </c>
      <c r="DQ366" s="27" t="s">
        <v>313</v>
      </c>
      <c r="DR366" s="27" t="s">
        <v>138</v>
      </c>
      <c r="DS366" s="27" t="s">
        <v>134</v>
      </c>
      <c r="DT366" s="27" t="s">
        <v>191</v>
      </c>
      <c r="DU366" s="27" t="s">
        <v>645</v>
      </c>
      <c r="DV366" s="27" t="s">
        <v>152</v>
      </c>
      <c r="DW366" s="27" t="s">
        <v>154</v>
      </c>
      <c r="DX366" s="27" t="s">
        <v>143</v>
      </c>
      <c r="DY366" s="27" t="s">
        <v>170</v>
      </c>
      <c r="DZ366" s="27" t="n">
        <f aca="false">DY366+DV366+DR366+DN366+DJ366+DF366+DB366</f>
        <v>550</v>
      </c>
      <c r="EA366" s="28" t="n">
        <f aca="false">DZ366/7</f>
        <v>78.5714285714286</v>
      </c>
      <c r="EB366" s="27" t="n">
        <f aca="false">RANK(EA366,$EA$2:$EA$881,0)</f>
        <v>436</v>
      </c>
      <c r="EC366" s="29" t="n">
        <f aca="false">DZ366+CQ366+CP366+AZ366</f>
        <v>2482</v>
      </c>
      <c r="ED366" s="30" t="n">
        <f aca="false">(EA366+CV366+BB366)/3</f>
        <v>79.6666666666667</v>
      </c>
      <c r="EE366" s="51" t="n">
        <f aca="false">ROUND(BE366,3)</f>
        <v>85.62</v>
      </c>
      <c r="EF366" s="51" t="n">
        <f aca="false">ROUND(CR366,3)</f>
        <v>86.286</v>
      </c>
      <c r="EG366" s="51" t="n">
        <f aca="false">ROUND(CS366,3)</f>
        <v>77.571</v>
      </c>
      <c r="EH366" s="51" t="n">
        <f aca="false">ROUND(EA366,3)</f>
        <v>78.571</v>
      </c>
      <c r="EI366" s="51" t="n">
        <f aca="false">ROUND(ED366,3)</f>
        <v>79.667</v>
      </c>
      <c r="EJ366" s="51" t="n">
        <f aca="false">ROUND(CV366,3)</f>
        <v>81.929</v>
      </c>
      <c r="EK366" s="0" t="n">
        <f aca="false">RANK(EI366,$EI$2:$EI$881,0)</f>
        <v>364</v>
      </c>
    </row>
    <row r="367" customFormat="false" ht="15" hidden="false" customHeight="false" outlineLevel="0" collapsed="false">
      <c r="A367" s="4" t="n">
        <v>1851</v>
      </c>
      <c r="B367" s="4" t="n">
        <v>112</v>
      </c>
      <c r="C367" s="27" t="s">
        <v>1196</v>
      </c>
      <c r="D367" s="31" t="n">
        <v>112</v>
      </c>
      <c r="E367" s="16" t="n">
        <v>230135942</v>
      </c>
      <c r="F367" s="56" t="s">
        <v>1197</v>
      </c>
      <c r="G367" s="22" t="s">
        <v>831</v>
      </c>
      <c r="H367" s="22" t="s">
        <v>326</v>
      </c>
      <c r="I367" s="57"/>
      <c r="J367" s="16" t="n">
        <v>69</v>
      </c>
      <c r="K367" s="16" t="n">
        <v>85</v>
      </c>
      <c r="L367" s="34" t="n">
        <f aca="false">(K367*70)/100</f>
        <v>59.5</v>
      </c>
      <c r="M367" s="34" t="n">
        <f aca="false">ROUNDUP(L367,0)</f>
        <v>60</v>
      </c>
      <c r="N367" s="16" t="n">
        <v>26</v>
      </c>
      <c r="O367" s="34" t="n">
        <f aca="false">N367+L367</f>
        <v>85.5</v>
      </c>
      <c r="P367" s="34" t="n">
        <f aca="false">N367+M367</f>
        <v>86</v>
      </c>
      <c r="Q367" s="16" t="n">
        <v>83</v>
      </c>
      <c r="R367" s="16" t="n">
        <v>73</v>
      </c>
      <c r="S367" s="34" t="n">
        <f aca="false">(R367*70)/100</f>
        <v>51.1</v>
      </c>
      <c r="T367" s="34" t="n">
        <f aca="false">ROUNDUP(S367,0)</f>
        <v>52</v>
      </c>
      <c r="U367" s="16" t="n">
        <v>24</v>
      </c>
      <c r="V367" s="34" t="n">
        <f aca="false">U367+S367</f>
        <v>75.1</v>
      </c>
      <c r="W367" s="34" t="n">
        <f aca="false">U367+T367</f>
        <v>76</v>
      </c>
      <c r="X367" s="16" t="n">
        <v>62</v>
      </c>
      <c r="Y367" s="34" t="n">
        <f aca="false">(X367*70)/100</f>
        <v>43.4</v>
      </c>
      <c r="Z367" s="34" t="n">
        <f aca="false">ROUNDUP(Y367,0)</f>
        <v>44</v>
      </c>
      <c r="AA367" s="16" t="n">
        <v>21</v>
      </c>
      <c r="AB367" s="34" t="n">
        <f aca="false">AA367+Y367</f>
        <v>64.4</v>
      </c>
      <c r="AC367" s="34" t="n">
        <f aca="false">AA367+Z367</f>
        <v>65</v>
      </c>
      <c r="AD367" s="32" t="n">
        <f aca="false">X367+R367+Q367+K367+J367</f>
        <v>372</v>
      </c>
      <c r="AE367" s="16" t="n">
        <f aca="false">AD367/5</f>
        <v>74.4</v>
      </c>
      <c r="AF367" s="16" t="n">
        <v>62</v>
      </c>
      <c r="AG367" s="16" t="n">
        <v>73</v>
      </c>
      <c r="AH367" s="16" t="n">
        <v>92</v>
      </c>
      <c r="AI367" s="16" t="n">
        <v>92</v>
      </c>
      <c r="AJ367" s="16" t="n">
        <f aca="false">(AI367*70)/100</f>
        <v>64.4</v>
      </c>
      <c r="AK367" s="35" t="n">
        <f aca="false">ROUNDUP(AJ367,0)</f>
        <v>65</v>
      </c>
      <c r="AL367" s="16" t="n">
        <v>22</v>
      </c>
      <c r="AM367" s="16" t="n">
        <f aca="false">AL367+AJ367</f>
        <v>86.4</v>
      </c>
      <c r="AN367" s="16" t="n">
        <f aca="false">AL367+AK367</f>
        <v>87</v>
      </c>
      <c r="AO367" s="16" t="n">
        <v>74</v>
      </c>
      <c r="AP367" s="36" t="n">
        <f aca="false">(AO367*70)/100</f>
        <v>51.8</v>
      </c>
      <c r="AQ367" s="37" t="n">
        <f aca="false">ROUNDUP(AP367,0)</f>
        <v>52</v>
      </c>
      <c r="AR367" s="16" t="n">
        <v>26</v>
      </c>
      <c r="AS367" s="16" t="n">
        <f aca="false">AR367+AP367</f>
        <v>77.8</v>
      </c>
      <c r="AT367" s="16" t="n">
        <f aca="false">AR367+AQ367</f>
        <v>78</v>
      </c>
      <c r="AU367" s="16" t="n">
        <f aca="false">AO367+AF367+AI367+AH367+AG367</f>
        <v>393</v>
      </c>
      <c r="AV367" s="16" t="n">
        <f aca="false">(AO367+AF367+AI367+AH367+AG367)/5</f>
        <v>78.6</v>
      </c>
      <c r="AW367" s="36" t="n">
        <f aca="false">(AO367+AF367+AI367+AH367+AG367+X367+R367+Q367+K367+J367)</f>
        <v>765</v>
      </c>
      <c r="AX367" s="16" t="n">
        <f aca="false">AW367/10</f>
        <v>76.5</v>
      </c>
      <c r="AY367" s="16" t="n">
        <f aca="false">AS367+AF367+AM367+AH367+AG367+AB367+V367+Q367+O367+J367</f>
        <v>768.2</v>
      </c>
      <c r="AZ367" s="16" t="n">
        <f aca="false">AT367+AF367+AN367+AH367+AG367+AC367+W367+Q367+P367+J367</f>
        <v>771</v>
      </c>
      <c r="BA367" s="16" t="n">
        <f aca="false">AY367/10</f>
        <v>76.82</v>
      </c>
      <c r="BB367" s="16" t="n">
        <f aca="false">AZ367/10</f>
        <v>77.1</v>
      </c>
      <c r="BC367" s="16" t="n">
        <v>2342</v>
      </c>
      <c r="BD367" s="16" t="n">
        <f aca="false">RANK(AX367,$AX$2:$AX$881,0)</f>
        <v>562</v>
      </c>
      <c r="BE367" s="73" t="n">
        <f aca="false">((BC367*100)/2400)*0.4+(AX367*0.6)</f>
        <v>84.9333333333333</v>
      </c>
      <c r="BF367" s="16" t="n">
        <f aca="false">RANK(BE367,$BE$2:$BE$881,0)</f>
        <v>629</v>
      </c>
      <c r="BG367" s="39" t="n">
        <f aca="false">RANK(BB367,$BB$2:$BB$881,0)</f>
        <v>632</v>
      </c>
      <c r="BH367" s="39" t="n">
        <f aca="false">RANK(BC367,$BC$2:$BC$881,0)</f>
        <v>621</v>
      </c>
      <c r="BI367" s="22" t="s">
        <v>130</v>
      </c>
      <c r="BJ367" s="22" t="s">
        <v>129</v>
      </c>
      <c r="BK367" s="22" t="s">
        <v>509</v>
      </c>
      <c r="BL367" s="41" t="n">
        <v>24</v>
      </c>
      <c r="BM367" s="41" t="n">
        <v>51</v>
      </c>
      <c r="BN367" s="41" t="n">
        <v>75</v>
      </c>
      <c r="BO367" s="42" t="n">
        <v>25</v>
      </c>
      <c r="BP367" s="43" t="n">
        <v>56</v>
      </c>
      <c r="BQ367" s="44" t="n">
        <v>81</v>
      </c>
      <c r="BR367" s="42" t="n">
        <v>22</v>
      </c>
      <c r="BS367" s="45" t="n">
        <v>54</v>
      </c>
      <c r="BT367" s="45" t="n">
        <v>76</v>
      </c>
      <c r="BU367" s="46" t="n">
        <v>100</v>
      </c>
      <c r="BV367" s="47" t="n">
        <v>84</v>
      </c>
      <c r="BW367" s="42" t="n">
        <v>98</v>
      </c>
      <c r="BX367" s="24" t="n">
        <v>96</v>
      </c>
      <c r="BY367" s="32" t="n">
        <v>25</v>
      </c>
      <c r="BZ367" s="32" t="n">
        <v>49</v>
      </c>
      <c r="CA367" s="32" t="n">
        <v>74</v>
      </c>
      <c r="CB367" s="32" t="n">
        <v>25</v>
      </c>
      <c r="CC367" s="32" t="n">
        <v>41</v>
      </c>
      <c r="CD367" s="32" t="n">
        <v>66</v>
      </c>
      <c r="CE367" s="32" t="n">
        <v>28</v>
      </c>
      <c r="CF367" s="32" t="n">
        <v>49</v>
      </c>
      <c r="CG367" s="32" t="n">
        <v>77</v>
      </c>
      <c r="CH367" s="32" t="n">
        <v>92</v>
      </c>
      <c r="CI367" s="32" t="n">
        <v>98</v>
      </c>
      <c r="CJ367" s="25" t="n">
        <v>26</v>
      </c>
      <c r="CK367" s="25" t="n">
        <v>44</v>
      </c>
      <c r="CL367" s="25" t="n">
        <v>70</v>
      </c>
      <c r="CM367" s="49" t="n">
        <v>23</v>
      </c>
      <c r="CN367" s="58" t="n">
        <v>55</v>
      </c>
      <c r="CO367" s="58" t="n">
        <v>78</v>
      </c>
      <c r="CP367" s="25" t="n">
        <f aca="false">BX367+BW367+BV367+BU367+BT367+BQ367+BN367</f>
        <v>610</v>
      </c>
      <c r="CQ367" s="25" t="n">
        <f aca="false">CO367+CL367+CI367+CH367+CG367+CD367+CA367</f>
        <v>555</v>
      </c>
      <c r="CR367" s="26" t="n">
        <f aca="false">CP367/7</f>
        <v>87.1428571428571</v>
      </c>
      <c r="CS367" s="26" t="n">
        <f aca="false">CQ367/7</f>
        <v>79.2857142857143</v>
      </c>
      <c r="CT367" s="24" t="n">
        <f aca="false">RANK(CR367,$CR$2:$CR$881,0)</f>
        <v>353</v>
      </c>
      <c r="CU367" s="25" t="n">
        <f aca="false">RANK(CS367,$CS$2:$CS$881,0)</f>
        <v>292</v>
      </c>
      <c r="CV367" s="26" t="n">
        <f aca="false">(CS367+CR367)/2</f>
        <v>83.2142857142857</v>
      </c>
      <c r="CW367" s="25" t="n">
        <f aca="false">RANK(CV367,$CV$2:$CV$881,0)</f>
        <v>287</v>
      </c>
      <c r="CX367" s="50" t="n">
        <f aca="false">(CV367+BB367)/2</f>
        <v>80.1571428571429</v>
      </c>
      <c r="CY367" s="50" t="n">
        <v>493</v>
      </c>
      <c r="CZ367" s="27" t="s">
        <v>132</v>
      </c>
      <c r="DA367" s="27" t="s">
        <v>441</v>
      </c>
      <c r="DB367" s="27" t="s">
        <v>441</v>
      </c>
      <c r="DC367" s="27" t="s">
        <v>134</v>
      </c>
      <c r="DD367" s="27" t="s">
        <v>160</v>
      </c>
      <c r="DE367" s="27" t="s">
        <v>412</v>
      </c>
      <c r="DF367" s="27" t="s">
        <v>272</v>
      </c>
      <c r="DG367" s="27" t="s">
        <v>134</v>
      </c>
      <c r="DH367" s="27" t="s">
        <v>137</v>
      </c>
      <c r="DI367" s="27" t="s">
        <v>218</v>
      </c>
      <c r="DJ367" s="27" t="s">
        <v>169</v>
      </c>
      <c r="DK367" s="27" t="s">
        <v>134</v>
      </c>
      <c r="DL367" s="27" t="s">
        <v>182</v>
      </c>
      <c r="DM367" s="27" t="s">
        <v>399</v>
      </c>
      <c r="DN367" s="27" t="s">
        <v>398</v>
      </c>
      <c r="DO367" s="27" t="s">
        <v>134</v>
      </c>
      <c r="DP367" s="27" t="s">
        <v>195</v>
      </c>
      <c r="DQ367" s="27" t="s">
        <v>447</v>
      </c>
      <c r="DR367" s="27" t="s">
        <v>372</v>
      </c>
      <c r="DS367" s="27" t="s">
        <v>134</v>
      </c>
      <c r="DT367" s="27" t="s">
        <v>160</v>
      </c>
      <c r="DU367" s="27" t="s">
        <v>681</v>
      </c>
      <c r="DV367" s="27" t="s">
        <v>372</v>
      </c>
      <c r="DW367" s="27" t="s">
        <v>160</v>
      </c>
      <c r="DX367" s="27" t="s">
        <v>152</v>
      </c>
      <c r="DY367" s="27" t="s">
        <v>176</v>
      </c>
      <c r="DZ367" s="27" t="n">
        <f aca="false">DY367+DV367+DR367+DN367+DJ367+DF367+DB367</f>
        <v>549</v>
      </c>
      <c r="EA367" s="28" t="n">
        <f aca="false">DZ367/7</f>
        <v>78.4285714285714</v>
      </c>
      <c r="EB367" s="27" t="n">
        <f aca="false">RANK(EA367,$EA$2:$EA$881,0)</f>
        <v>444</v>
      </c>
      <c r="EC367" s="29" t="n">
        <f aca="false">DZ367+CQ367+CP367+AZ367</f>
        <v>2485</v>
      </c>
      <c r="ED367" s="30" t="n">
        <f aca="false">(EA367+CV367+BB367)/3</f>
        <v>79.5809523809524</v>
      </c>
      <c r="EE367" s="51" t="n">
        <f aca="false">ROUND(BE367,3)</f>
        <v>84.933</v>
      </c>
      <c r="EF367" s="51" t="n">
        <f aca="false">ROUND(CR367,3)</f>
        <v>87.143</v>
      </c>
      <c r="EG367" s="51" t="n">
        <f aca="false">ROUND(CS367,3)</f>
        <v>79.286</v>
      </c>
      <c r="EH367" s="51" t="n">
        <f aca="false">ROUND(EA367,3)</f>
        <v>78.429</v>
      </c>
      <c r="EI367" s="51" t="n">
        <f aca="false">ROUND(ED367,3)</f>
        <v>79.581</v>
      </c>
      <c r="EJ367" s="51" t="n">
        <f aca="false">ROUND(CV367,3)</f>
        <v>83.214</v>
      </c>
      <c r="EK367" s="0" t="n">
        <f aca="false">RANK(EI367,$EI$2:$EI$881,0)</f>
        <v>366</v>
      </c>
    </row>
    <row r="368" customFormat="false" ht="15" hidden="false" customHeight="false" outlineLevel="0" collapsed="false">
      <c r="A368" s="4" t="n">
        <v>9093</v>
      </c>
      <c r="B368" s="4" t="n">
        <v>95</v>
      </c>
      <c r="C368" s="27" t="s">
        <v>1198</v>
      </c>
      <c r="D368" s="52" t="n">
        <v>96</v>
      </c>
      <c r="E368" s="32" t="n">
        <v>230314461</v>
      </c>
      <c r="F368" s="8" t="s">
        <v>1199</v>
      </c>
      <c r="G368" s="22" t="s">
        <v>532</v>
      </c>
      <c r="H368" s="22" t="s">
        <v>129</v>
      </c>
      <c r="I368" s="33" t="n">
        <v>2006</v>
      </c>
      <c r="J368" s="32" t="n">
        <v>83</v>
      </c>
      <c r="K368" s="32" t="n">
        <v>80</v>
      </c>
      <c r="L368" s="34" t="n">
        <f aca="false">(K368*70)/100</f>
        <v>56</v>
      </c>
      <c r="M368" s="34" t="n">
        <f aca="false">ROUNDUP(L368,0)</f>
        <v>56</v>
      </c>
      <c r="N368" s="32" t="n">
        <v>23</v>
      </c>
      <c r="O368" s="34" t="n">
        <f aca="false">N368+L368</f>
        <v>79</v>
      </c>
      <c r="P368" s="34" t="n">
        <f aca="false">N368+M368</f>
        <v>79</v>
      </c>
      <c r="Q368" s="32" t="n">
        <v>71</v>
      </c>
      <c r="R368" s="32" t="n">
        <v>76</v>
      </c>
      <c r="S368" s="34" t="n">
        <f aca="false">(R368*70)/100</f>
        <v>53.2</v>
      </c>
      <c r="T368" s="34" t="n">
        <f aca="false">ROUNDUP(S368,0)</f>
        <v>54</v>
      </c>
      <c r="U368" s="32" t="n">
        <v>26</v>
      </c>
      <c r="V368" s="34" t="n">
        <f aca="false">U368+S368</f>
        <v>79.2</v>
      </c>
      <c r="W368" s="34" t="n">
        <f aca="false">U368+T368</f>
        <v>80</v>
      </c>
      <c r="X368" s="32" t="n">
        <v>68</v>
      </c>
      <c r="Y368" s="34" t="n">
        <f aca="false">(X368*70)/100</f>
        <v>47.6</v>
      </c>
      <c r="Z368" s="34" t="n">
        <f aca="false">ROUNDUP(Y368,0)</f>
        <v>48</v>
      </c>
      <c r="AA368" s="32" t="n">
        <v>26</v>
      </c>
      <c r="AB368" s="34" t="n">
        <f aca="false">AA368+Y368</f>
        <v>73.6</v>
      </c>
      <c r="AC368" s="34" t="n">
        <f aca="false">AA368+Z368</f>
        <v>74</v>
      </c>
      <c r="AD368" s="32" t="n">
        <f aca="false">X368+R368+Q368+K368+J368</f>
        <v>378</v>
      </c>
      <c r="AE368" s="16" t="n">
        <f aca="false">AD368/5</f>
        <v>75.6</v>
      </c>
      <c r="AF368" s="16" t="n">
        <v>66</v>
      </c>
      <c r="AG368" s="16" t="n">
        <v>89</v>
      </c>
      <c r="AH368" s="16" t="n">
        <v>87</v>
      </c>
      <c r="AI368" s="16" t="n">
        <v>86</v>
      </c>
      <c r="AJ368" s="16" t="n">
        <f aca="false">(AI368*70)/100</f>
        <v>60.2</v>
      </c>
      <c r="AK368" s="35" t="n">
        <f aca="false">ROUNDUP(AJ368,0)</f>
        <v>61</v>
      </c>
      <c r="AL368" s="16" t="n">
        <v>26</v>
      </c>
      <c r="AM368" s="16" t="n">
        <f aca="false">AL368+AJ368</f>
        <v>86.2</v>
      </c>
      <c r="AN368" s="16" t="n">
        <f aca="false">AL368+AK368</f>
        <v>87</v>
      </c>
      <c r="AO368" s="16" t="n">
        <v>72</v>
      </c>
      <c r="AP368" s="36" t="n">
        <f aca="false">(AO368*70)/100</f>
        <v>50.4</v>
      </c>
      <c r="AQ368" s="37" t="n">
        <f aca="false">ROUNDUP(AP368,0)</f>
        <v>51</v>
      </c>
      <c r="AR368" s="16" t="n">
        <v>30</v>
      </c>
      <c r="AS368" s="16" t="n">
        <f aca="false">AR368+AP368</f>
        <v>80.4</v>
      </c>
      <c r="AT368" s="16" t="n">
        <f aca="false">AR368+AQ368</f>
        <v>81</v>
      </c>
      <c r="AU368" s="16" t="n">
        <f aca="false">AO368+AF368+AI368+AH368+AG368</f>
        <v>400</v>
      </c>
      <c r="AV368" s="16" t="n">
        <f aca="false">(AO368+AF368+AI368+AH368+AG368)/5</f>
        <v>80</v>
      </c>
      <c r="AW368" s="36" t="n">
        <f aca="false">(AO368+AF368+AI368+AH368+AG368+X368+R368+Q368+K368+J368)</f>
        <v>778</v>
      </c>
      <c r="AX368" s="16" t="n">
        <f aca="false">AW368/10</f>
        <v>77.8</v>
      </c>
      <c r="AY368" s="16" t="n">
        <f aca="false">AS368+AF368+AM368+AH368+AG368+AB368+V368+Q368+O368+J368</f>
        <v>794.4</v>
      </c>
      <c r="AZ368" s="16" t="n">
        <f aca="false">AT368+AF368+AN368+AH368+AG368+AC368+W368+Q368+P368+J368</f>
        <v>797</v>
      </c>
      <c r="BA368" s="16" t="n">
        <f aca="false">AY368/10</f>
        <v>79.44</v>
      </c>
      <c r="BB368" s="16" t="n">
        <f aca="false">AZ368/10</f>
        <v>79.7</v>
      </c>
      <c r="BC368" s="16" t="n">
        <v>2377</v>
      </c>
      <c r="BD368" s="16" t="n">
        <f aca="false">RANK(AX368,$AX$2:$AX$881,0)</f>
        <v>424</v>
      </c>
      <c r="BE368" s="54" t="n">
        <f aca="false">((BC368*100)/2400)*0.4+(AX368*0.6)</f>
        <v>86.2966666666667</v>
      </c>
      <c r="BF368" s="16" t="n">
        <f aca="false">RANK(BE368,$BE$2:$BE$881,0)</f>
        <v>385</v>
      </c>
      <c r="BG368" s="39" t="n">
        <f aca="false">RANK(BB368,$BB$2:$BB$881,0)</f>
        <v>381</v>
      </c>
      <c r="BH368" s="39" t="n">
        <f aca="false">RANK(BC368,$BC$2:$BC$881,0)</f>
        <v>189</v>
      </c>
      <c r="BI368" s="22" t="s">
        <v>130</v>
      </c>
      <c r="BJ368" s="22" t="s">
        <v>129</v>
      </c>
      <c r="BK368" s="40" t="s">
        <v>131</v>
      </c>
      <c r="BL368" s="41" t="n">
        <v>17</v>
      </c>
      <c r="BM368" s="41" t="n">
        <v>50</v>
      </c>
      <c r="BN368" s="41" t="n">
        <v>67</v>
      </c>
      <c r="BO368" s="42" t="n">
        <v>26</v>
      </c>
      <c r="BP368" s="43" t="n">
        <v>58</v>
      </c>
      <c r="BQ368" s="44" t="n">
        <v>84</v>
      </c>
      <c r="BR368" s="42" t="n">
        <v>22</v>
      </c>
      <c r="BS368" s="45" t="n">
        <v>54</v>
      </c>
      <c r="BT368" s="45" t="n">
        <v>76</v>
      </c>
      <c r="BU368" s="46" t="n">
        <v>99</v>
      </c>
      <c r="BV368" s="47" t="n">
        <v>98</v>
      </c>
      <c r="BW368" s="42" t="n">
        <v>100</v>
      </c>
      <c r="BX368" s="48" t="n">
        <v>96</v>
      </c>
      <c r="BY368" s="32" t="n">
        <v>25</v>
      </c>
      <c r="BZ368" s="32" t="n">
        <v>43</v>
      </c>
      <c r="CA368" s="32" t="n">
        <v>68</v>
      </c>
      <c r="CB368" s="32" t="n">
        <v>24</v>
      </c>
      <c r="CC368" s="32" t="n">
        <v>35</v>
      </c>
      <c r="CD368" s="69" t="n">
        <v>59</v>
      </c>
      <c r="CE368" s="32" t="n">
        <v>24</v>
      </c>
      <c r="CF368" s="32" t="n">
        <v>51</v>
      </c>
      <c r="CG368" s="32" t="n">
        <v>75</v>
      </c>
      <c r="CH368" s="32" t="n">
        <v>99</v>
      </c>
      <c r="CI368" s="32" t="n">
        <v>96</v>
      </c>
      <c r="CJ368" s="49" t="n">
        <v>19</v>
      </c>
      <c r="CK368" s="49" t="n">
        <v>48</v>
      </c>
      <c r="CL368" s="84" t="n">
        <v>67</v>
      </c>
      <c r="CM368" s="49" t="n">
        <v>17</v>
      </c>
      <c r="CN368" s="49" t="n">
        <v>45</v>
      </c>
      <c r="CO368" s="49" t="n">
        <v>62</v>
      </c>
      <c r="CP368" s="25" t="n">
        <f aca="false">BX368+BW368+BV368+BU368+BT368+BQ368+BN368</f>
        <v>620</v>
      </c>
      <c r="CQ368" s="25" t="n">
        <f aca="false">CO368+CL368+CI368+CH368+CG368+CD368+CA368</f>
        <v>526</v>
      </c>
      <c r="CR368" s="26" t="n">
        <f aca="false">CP368/7</f>
        <v>88.5714285714286</v>
      </c>
      <c r="CS368" s="26" t="n">
        <f aca="false">CQ368/7</f>
        <v>75.1428571428571</v>
      </c>
      <c r="CT368" s="24" t="n">
        <f aca="false">RANK(CR368,$CR$2:$CR$881,0)</f>
        <v>265</v>
      </c>
      <c r="CU368" s="25" t="n">
        <f aca="false">RANK(CS368,$CS$2:$CS$881,0)</f>
        <v>426</v>
      </c>
      <c r="CV368" s="26" t="n">
        <f aca="false">(CS368+CR368)/2</f>
        <v>81.8571428571429</v>
      </c>
      <c r="CW368" s="25" t="n">
        <f aca="false">RANK(CV368,$CV$2:$CV$881,0)</f>
        <v>352</v>
      </c>
      <c r="CX368" s="50" t="n">
        <f aca="false">(CV368+BB368)/2</f>
        <v>80.7785714285714</v>
      </c>
      <c r="CY368" s="50" t="n">
        <v>347</v>
      </c>
      <c r="CZ368" s="27" t="s">
        <v>132</v>
      </c>
      <c r="DA368" s="27" t="s">
        <v>133</v>
      </c>
      <c r="DB368" s="27" t="s">
        <v>133</v>
      </c>
      <c r="DC368" s="27" t="s">
        <v>134</v>
      </c>
      <c r="DD368" s="27" t="s">
        <v>164</v>
      </c>
      <c r="DE368" s="27" t="s">
        <v>218</v>
      </c>
      <c r="DF368" s="27" t="s">
        <v>209</v>
      </c>
      <c r="DG368" s="27" t="s">
        <v>134</v>
      </c>
      <c r="DH368" s="27" t="s">
        <v>154</v>
      </c>
      <c r="DI368" s="27" t="s">
        <v>183</v>
      </c>
      <c r="DJ368" s="27" t="s">
        <v>196</v>
      </c>
      <c r="DK368" s="27" t="s">
        <v>134</v>
      </c>
      <c r="DL368" s="27" t="s">
        <v>154</v>
      </c>
      <c r="DM368" s="27" t="s">
        <v>415</v>
      </c>
      <c r="DN368" s="27" t="s">
        <v>155</v>
      </c>
      <c r="DO368" s="27" t="s">
        <v>134</v>
      </c>
      <c r="DP368" s="27" t="s">
        <v>604</v>
      </c>
      <c r="DQ368" s="27" t="s">
        <v>412</v>
      </c>
      <c r="DR368" s="27" t="s">
        <v>141</v>
      </c>
      <c r="DS368" s="27" t="s">
        <v>134</v>
      </c>
      <c r="DT368" s="27" t="s">
        <v>182</v>
      </c>
      <c r="DU368" s="27" t="s">
        <v>673</v>
      </c>
      <c r="DV368" s="27" t="s">
        <v>163</v>
      </c>
      <c r="DW368" s="27" t="s">
        <v>154</v>
      </c>
      <c r="DX368" s="27" t="s">
        <v>161</v>
      </c>
      <c r="DY368" s="27" t="s">
        <v>209</v>
      </c>
      <c r="DZ368" s="27" t="n">
        <f aca="false">DY368+DV368+DR368+DN368+DJ368+DF368+DB368</f>
        <v>539</v>
      </c>
      <c r="EA368" s="28" t="n">
        <f aca="false">DZ368/7</f>
        <v>77</v>
      </c>
      <c r="EB368" s="27" t="n">
        <f aca="false">RANK(EA368,$EA$2:$EA$881,0)</f>
        <v>488</v>
      </c>
      <c r="EC368" s="29" t="n">
        <f aca="false">DZ368+CQ368+CP368+AZ368</f>
        <v>2482</v>
      </c>
      <c r="ED368" s="30" t="n">
        <f aca="false">(EA368+CV368+BB368)/3</f>
        <v>79.5190476190476</v>
      </c>
      <c r="EE368" s="51" t="n">
        <f aca="false">ROUND(BE368,3)</f>
        <v>86.297</v>
      </c>
      <c r="EF368" s="51" t="n">
        <f aca="false">ROUND(CR368,3)</f>
        <v>88.571</v>
      </c>
      <c r="EG368" s="51" t="n">
        <f aca="false">ROUND(CS368,3)</f>
        <v>75.143</v>
      </c>
      <c r="EH368" s="51" t="n">
        <f aca="false">ROUND(EA368,3)</f>
        <v>77</v>
      </c>
      <c r="EI368" s="51" t="n">
        <f aca="false">ROUND(ED368,3)</f>
        <v>79.519</v>
      </c>
      <c r="EJ368" s="51" t="n">
        <f aca="false">ROUND(CV368,3)</f>
        <v>81.857</v>
      </c>
      <c r="EK368" s="0" t="n">
        <f aca="false">RANK(EI368,$EI$2:$EI$881,0)</f>
        <v>367</v>
      </c>
    </row>
    <row r="369" customFormat="false" ht="15" hidden="false" customHeight="false" outlineLevel="0" collapsed="false">
      <c r="A369" s="4" t="n">
        <v>9143</v>
      </c>
      <c r="B369" s="4" t="n">
        <v>337</v>
      </c>
      <c r="C369" s="27" t="s">
        <v>1200</v>
      </c>
      <c r="D369" s="31" t="n">
        <v>339</v>
      </c>
      <c r="E369" s="32" t="n">
        <v>230322436</v>
      </c>
      <c r="F369" s="8" t="s">
        <v>1201</v>
      </c>
      <c r="G369" s="22" t="s">
        <v>1202</v>
      </c>
      <c r="H369" s="22" t="s">
        <v>129</v>
      </c>
      <c r="I369" s="33" t="n">
        <v>2005</v>
      </c>
      <c r="J369" s="32" t="n">
        <v>83</v>
      </c>
      <c r="K369" s="32" t="n">
        <v>86</v>
      </c>
      <c r="L369" s="34" t="n">
        <f aca="false">(K369*70)/100</f>
        <v>60.2</v>
      </c>
      <c r="M369" s="34" t="n">
        <f aca="false">ROUNDUP(L369,0)</f>
        <v>61</v>
      </c>
      <c r="N369" s="32" t="n">
        <v>23</v>
      </c>
      <c r="O369" s="34" t="n">
        <f aca="false">N369+L369</f>
        <v>83.2</v>
      </c>
      <c r="P369" s="34" t="n">
        <f aca="false">N369+M369</f>
        <v>84</v>
      </c>
      <c r="Q369" s="32" t="n">
        <v>81</v>
      </c>
      <c r="R369" s="32" t="n">
        <v>86</v>
      </c>
      <c r="S369" s="34" t="n">
        <f aca="false">(R369*70)/100</f>
        <v>60.2</v>
      </c>
      <c r="T369" s="34" t="n">
        <f aca="false">ROUNDUP(S369,0)</f>
        <v>61</v>
      </c>
      <c r="U369" s="32" t="n">
        <v>27</v>
      </c>
      <c r="V369" s="34" t="n">
        <f aca="false">U369+S369</f>
        <v>87.2</v>
      </c>
      <c r="W369" s="34" t="n">
        <f aca="false">U369+T369</f>
        <v>88</v>
      </c>
      <c r="X369" s="32" t="n">
        <v>66</v>
      </c>
      <c r="Y369" s="34" t="n">
        <f aca="false">(X369*70)/100</f>
        <v>46.2</v>
      </c>
      <c r="Z369" s="34" t="n">
        <f aca="false">ROUNDUP(Y369,0)</f>
        <v>47</v>
      </c>
      <c r="AA369" s="32" t="n">
        <v>24</v>
      </c>
      <c r="AB369" s="34" t="n">
        <f aca="false">AA369+Y369</f>
        <v>70.2</v>
      </c>
      <c r="AC369" s="34" t="n">
        <f aca="false">AA369+Z369</f>
        <v>71</v>
      </c>
      <c r="AD369" s="32" t="n">
        <f aca="false">X369+R369+Q369+K369+J369</f>
        <v>402</v>
      </c>
      <c r="AE369" s="16" t="n">
        <f aca="false">AD369/5</f>
        <v>80.4</v>
      </c>
      <c r="AF369" s="16" t="n">
        <v>79</v>
      </c>
      <c r="AG369" s="16" t="n">
        <v>78</v>
      </c>
      <c r="AH369" s="16" t="n">
        <v>94</v>
      </c>
      <c r="AI369" s="16" t="n">
        <v>90</v>
      </c>
      <c r="AJ369" s="16" t="n">
        <f aca="false">(AI369*70)/100</f>
        <v>63</v>
      </c>
      <c r="AK369" s="35" t="n">
        <f aca="false">ROUNDUP(AJ369,0)</f>
        <v>63</v>
      </c>
      <c r="AL369" s="16" t="n">
        <v>25</v>
      </c>
      <c r="AM369" s="16" t="n">
        <f aca="false">AL369+AJ369</f>
        <v>88</v>
      </c>
      <c r="AN369" s="16" t="n">
        <f aca="false">AL369+AK369</f>
        <v>88</v>
      </c>
      <c r="AO369" s="16" t="n">
        <v>83</v>
      </c>
      <c r="AP369" s="36" t="n">
        <f aca="false">(AO369*70)/100</f>
        <v>58.1</v>
      </c>
      <c r="AQ369" s="37" t="n">
        <f aca="false">ROUNDUP(AP369,0)</f>
        <v>59</v>
      </c>
      <c r="AR369" s="16" t="n">
        <v>29</v>
      </c>
      <c r="AS369" s="16" t="n">
        <f aca="false">AR369+AP369</f>
        <v>87.1</v>
      </c>
      <c r="AT369" s="16" t="n">
        <f aca="false">AR369+AQ369</f>
        <v>88</v>
      </c>
      <c r="AU369" s="16" t="n">
        <f aca="false">AO369+AF369+AI369+AH369+AG369</f>
        <v>424</v>
      </c>
      <c r="AV369" s="16" t="n">
        <f aca="false">(AO369+AF369+AI369+AH369+AG369)/5</f>
        <v>84.8</v>
      </c>
      <c r="AW369" s="36" t="n">
        <f aca="false">(AO369+AF369+AI369+AH369+AG369+X369+R369+Q369+K369+J369)</f>
        <v>826</v>
      </c>
      <c r="AX369" s="16" t="n">
        <f aca="false">AW369/10</f>
        <v>82.6</v>
      </c>
      <c r="AY369" s="16" t="n">
        <f aca="false">AS369+AF369+AM369+AH369+AG369+AB369+V369+Q369+O369+J369</f>
        <v>830.7</v>
      </c>
      <c r="AZ369" s="16" t="n">
        <f aca="false">AT369+AF369+AN369+AH369+AG369+AC369+W369+Q369+P369+J369</f>
        <v>834</v>
      </c>
      <c r="BA369" s="16" t="n">
        <f aca="false">AY369/10</f>
        <v>83.07</v>
      </c>
      <c r="BB369" s="16" t="n">
        <f aca="false">AZ369/10</f>
        <v>83.4</v>
      </c>
      <c r="BC369" s="16" t="n">
        <v>2345</v>
      </c>
      <c r="BD369" s="16" t="n">
        <f aca="false">RANK(AX369,$AX$2:$AX$881,0)</f>
        <v>137</v>
      </c>
      <c r="BE369" s="54" t="n">
        <f aca="false">((BC369*100)/2400)*0.4+(AX369*0.6)</f>
        <v>88.6433333333333</v>
      </c>
      <c r="BF369" s="16" t="n">
        <f aca="false">RANK(BE369,$BE$2:$BE$881,0)</f>
        <v>150</v>
      </c>
      <c r="BG369" s="39" t="n">
        <f aca="false">RANK(BB369,$BB$2:$BB$881,0)</f>
        <v>146</v>
      </c>
      <c r="BH369" s="39" t="n">
        <f aca="false">RANK(BC369,$BC$2:$BC$881,0)</f>
        <v>585</v>
      </c>
      <c r="BI369" s="22" t="s">
        <v>130</v>
      </c>
      <c r="BJ369" s="22" t="s">
        <v>129</v>
      </c>
      <c r="BK369" s="40" t="s">
        <v>131</v>
      </c>
      <c r="BL369" s="41" t="n">
        <v>23</v>
      </c>
      <c r="BM369" s="41" t="n">
        <v>53</v>
      </c>
      <c r="BN369" s="41" t="n">
        <v>76</v>
      </c>
      <c r="BO369" s="42" t="n">
        <v>26</v>
      </c>
      <c r="BP369" s="42" t="n">
        <v>63</v>
      </c>
      <c r="BQ369" s="42" t="n">
        <v>89</v>
      </c>
      <c r="BR369" s="74" t="n">
        <v>9</v>
      </c>
      <c r="BS369" s="80"/>
      <c r="BT369" s="80"/>
      <c r="BU369" s="77" t="n">
        <v>99</v>
      </c>
      <c r="BV369" s="95" t="n">
        <v>82</v>
      </c>
      <c r="BW369" s="43" t="n">
        <v>85</v>
      </c>
      <c r="BX369" s="48" t="n">
        <v>90</v>
      </c>
      <c r="BY369" s="32" t="n">
        <v>26</v>
      </c>
      <c r="BZ369" s="32" t="n">
        <v>45</v>
      </c>
      <c r="CA369" s="32" t="n">
        <v>71</v>
      </c>
      <c r="CB369" s="32" t="n">
        <v>19</v>
      </c>
      <c r="CC369" s="32" t="n">
        <v>39</v>
      </c>
      <c r="CD369" s="69" t="n">
        <v>58</v>
      </c>
      <c r="CE369" s="32" t="n">
        <v>28</v>
      </c>
      <c r="CF369" s="32" t="n">
        <v>42</v>
      </c>
      <c r="CG369" s="32" t="n">
        <v>70</v>
      </c>
      <c r="CH369" s="32" t="n">
        <v>99</v>
      </c>
      <c r="CI369" s="32" t="n">
        <v>98</v>
      </c>
      <c r="CJ369" s="49" t="n">
        <v>28</v>
      </c>
      <c r="CK369" s="49" t="n">
        <v>40</v>
      </c>
      <c r="CL369" s="49" t="n">
        <v>68</v>
      </c>
      <c r="CM369" s="49" t="n">
        <v>22</v>
      </c>
      <c r="CN369" s="49" t="n">
        <v>43</v>
      </c>
      <c r="CO369" s="49" t="n">
        <v>65</v>
      </c>
      <c r="CP369" s="25" t="n">
        <f aca="false">BX369+BW369+BV369+BU369+BT369+BQ369+BN369</f>
        <v>521</v>
      </c>
      <c r="CQ369" s="25" t="n">
        <f aca="false">CO369+CL369+CI369+CH369+CG369+CD369+CA369</f>
        <v>529</v>
      </c>
      <c r="CR369" s="26" t="n">
        <f aca="false">CP369/7</f>
        <v>74.4285714285714</v>
      </c>
      <c r="CS369" s="26" t="n">
        <f aca="false">CQ369/7</f>
        <v>75.5714285714286</v>
      </c>
      <c r="CT369" s="24" t="n">
        <f aca="false">RANK(CR369,$CR$2:$CR$881,0)</f>
        <v>654</v>
      </c>
      <c r="CU369" s="25" t="n">
        <f aca="false">RANK(CS369,$CS$2:$CS$881,0)</f>
        <v>412</v>
      </c>
      <c r="CV369" s="26" t="n">
        <f aca="false">(CS369+CR369)/2</f>
        <v>75</v>
      </c>
      <c r="CW369" s="25" t="n">
        <f aca="false">RANK(CV369,$CV$2:$CV$881,0)</f>
        <v>557</v>
      </c>
      <c r="CX369" s="50" t="n">
        <f aca="false">(CV369+BB369)/2</f>
        <v>79.2</v>
      </c>
      <c r="CY369" s="50" t="n">
        <v>414</v>
      </c>
      <c r="CZ369" s="27" t="s">
        <v>132</v>
      </c>
      <c r="DA369" s="27" t="s">
        <v>176</v>
      </c>
      <c r="DB369" s="27" t="s">
        <v>176</v>
      </c>
      <c r="DC369" s="27" t="s">
        <v>134</v>
      </c>
      <c r="DD369" s="27" t="s">
        <v>137</v>
      </c>
      <c r="DE369" s="27" t="s">
        <v>220</v>
      </c>
      <c r="DF369" s="27" t="s">
        <v>205</v>
      </c>
      <c r="DG369" s="27" t="s">
        <v>134</v>
      </c>
      <c r="DH369" s="27" t="s">
        <v>191</v>
      </c>
      <c r="DI369" s="27" t="s">
        <v>304</v>
      </c>
      <c r="DJ369" s="27" t="s">
        <v>372</v>
      </c>
      <c r="DK369" s="27" t="s">
        <v>134</v>
      </c>
      <c r="DL369" s="27" t="s">
        <v>135</v>
      </c>
      <c r="DM369" s="27" t="s">
        <v>638</v>
      </c>
      <c r="DN369" s="27" t="s">
        <v>155</v>
      </c>
      <c r="DO369" s="27" t="s">
        <v>134</v>
      </c>
      <c r="DP369" s="27" t="s">
        <v>174</v>
      </c>
      <c r="DQ369" s="27" t="s">
        <v>447</v>
      </c>
      <c r="DR369" s="27" t="s">
        <v>441</v>
      </c>
      <c r="DS369" s="27" t="s">
        <v>134</v>
      </c>
      <c r="DT369" s="27" t="s">
        <v>164</v>
      </c>
      <c r="DU369" s="27" t="s">
        <v>442</v>
      </c>
      <c r="DV369" s="27" t="s">
        <v>443</v>
      </c>
      <c r="DW369" s="27" t="s">
        <v>137</v>
      </c>
      <c r="DX369" s="27" t="s">
        <v>187</v>
      </c>
      <c r="DY369" s="27" t="s">
        <v>176</v>
      </c>
      <c r="DZ369" s="27" t="n">
        <f aca="false">DY369+DV369+DR369+DN369+DJ369+DF369+DB369</f>
        <v>561</v>
      </c>
      <c r="EA369" s="28" t="n">
        <f aca="false">DZ369/7</f>
        <v>80.1428571428571</v>
      </c>
      <c r="EB369" s="27" t="n">
        <f aca="false">RANK(EA369,$EA$2:$EA$881,0)</f>
        <v>386</v>
      </c>
      <c r="EC369" s="29" t="n">
        <f aca="false">DZ369+CQ369+CP369+AZ369</f>
        <v>2445</v>
      </c>
      <c r="ED369" s="30" t="n">
        <f aca="false">(EA369+CV369+BB369)/3</f>
        <v>79.5142857142857</v>
      </c>
      <c r="EE369" s="51" t="n">
        <f aca="false">ROUND(BE369,3)</f>
        <v>88.643</v>
      </c>
      <c r="EF369" s="51" t="n">
        <f aca="false">ROUND(CR369,3)</f>
        <v>74.429</v>
      </c>
      <c r="EG369" s="51" t="n">
        <f aca="false">ROUND(CS369,3)</f>
        <v>75.571</v>
      </c>
      <c r="EH369" s="51" t="n">
        <f aca="false">ROUND(EA369,3)</f>
        <v>80.143</v>
      </c>
      <c r="EI369" s="51" t="n">
        <f aca="false">ROUND(ED369,3)</f>
        <v>79.514</v>
      </c>
      <c r="EJ369" s="51" t="n">
        <f aca="false">ROUND(CV369,3)</f>
        <v>75</v>
      </c>
      <c r="EK369" s="0" t="n">
        <f aca="false">RANK(EI369,$EI$2:$EI$881,0)</f>
        <v>368</v>
      </c>
    </row>
    <row r="370" customFormat="false" ht="15" hidden="false" customHeight="false" outlineLevel="0" collapsed="false">
      <c r="A370" s="4" t="n">
        <v>1827</v>
      </c>
      <c r="B370" s="4" t="n">
        <v>39</v>
      </c>
      <c r="C370" s="27" t="s">
        <v>1203</v>
      </c>
      <c r="D370" s="52" t="n">
        <v>42</v>
      </c>
      <c r="E370" s="32" t="n">
        <v>230319723</v>
      </c>
      <c r="F370" s="8" t="s">
        <v>1204</v>
      </c>
      <c r="G370" s="22" t="s">
        <v>168</v>
      </c>
      <c r="H370" s="22" t="s">
        <v>129</v>
      </c>
      <c r="I370" s="33" t="n">
        <v>2005</v>
      </c>
      <c r="J370" s="32" t="n">
        <v>76</v>
      </c>
      <c r="K370" s="32" t="n">
        <v>76</v>
      </c>
      <c r="L370" s="34" t="n">
        <f aca="false">(K370*70)/100</f>
        <v>53.2</v>
      </c>
      <c r="M370" s="34" t="n">
        <f aca="false">ROUNDUP(L370,0)</f>
        <v>54</v>
      </c>
      <c r="N370" s="32" t="n">
        <v>22</v>
      </c>
      <c r="O370" s="34" t="n">
        <f aca="false">N370+L370</f>
        <v>75.2</v>
      </c>
      <c r="P370" s="34" t="n">
        <f aca="false">N370+M370</f>
        <v>76</v>
      </c>
      <c r="Q370" s="32" t="n">
        <v>67</v>
      </c>
      <c r="R370" s="32" t="n">
        <v>64</v>
      </c>
      <c r="S370" s="34" t="n">
        <f aca="false">(R370*70)/100</f>
        <v>44.8</v>
      </c>
      <c r="T370" s="34" t="n">
        <f aca="false">ROUNDUP(S370,0)</f>
        <v>45</v>
      </c>
      <c r="U370" s="32" t="n">
        <v>27</v>
      </c>
      <c r="V370" s="34" t="n">
        <f aca="false">U370+S370</f>
        <v>71.8</v>
      </c>
      <c r="W370" s="34" t="n">
        <f aca="false">U370+T370</f>
        <v>72</v>
      </c>
      <c r="X370" s="32" t="n">
        <v>57</v>
      </c>
      <c r="Y370" s="34" t="n">
        <f aca="false">(X370*70)/100</f>
        <v>39.9</v>
      </c>
      <c r="Z370" s="34" t="n">
        <f aca="false">ROUNDUP(Y370,0)</f>
        <v>40</v>
      </c>
      <c r="AA370" s="32" t="n">
        <v>27</v>
      </c>
      <c r="AB370" s="34" t="n">
        <f aca="false">AA370+Y370</f>
        <v>66.9</v>
      </c>
      <c r="AC370" s="34" t="n">
        <f aca="false">AA370+Z370</f>
        <v>67</v>
      </c>
      <c r="AD370" s="32" t="n">
        <f aca="false">X370+R370+Q370+K370+J370</f>
        <v>340</v>
      </c>
      <c r="AE370" s="16" t="n">
        <f aca="false">AD370/5</f>
        <v>68</v>
      </c>
      <c r="AF370" s="16" t="n">
        <v>75</v>
      </c>
      <c r="AG370" s="16" t="n">
        <v>80</v>
      </c>
      <c r="AH370" s="16" t="n">
        <v>91</v>
      </c>
      <c r="AI370" s="16" t="n">
        <v>93</v>
      </c>
      <c r="AJ370" s="16" t="n">
        <f aca="false">(AI370*70)/100</f>
        <v>65.1</v>
      </c>
      <c r="AK370" s="35" t="n">
        <f aca="false">ROUNDUP(AJ370,0)</f>
        <v>66</v>
      </c>
      <c r="AL370" s="16" t="n">
        <v>24</v>
      </c>
      <c r="AM370" s="16" t="n">
        <f aca="false">AL370+AJ370</f>
        <v>89.1</v>
      </c>
      <c r="AN370" s="16" t="n">
        <f aca="false">AL370+AK370</f>
        <v>90</v>
      </c>
      <c r="AO370" s="16" t="n">
        <v>78</v>
      </c>
      <c r="AP370" s="36" t="n">
        <f aca="false">(AO370*70)/100</f>
        <v>54.6</v>
      </c>
      <c r="AQ370" s="37" t="n">
        <f aca="false">ROUNDUP(AP370,0)</f>
        <v>55</v>
      </c>
      <c r="AR370" s="16" t="n">
        <v>26</v>
      </c>
      <c r="AS370" s="16" t="n">
        <f aca="false">AR370+AP370</f>
        <v>80.6</v>
      </c>
      <c r="AT370" s="16" t="n">
        <f aca="false">AR370+AQ370</f>
        <v>81</v>
      </c>
      <c r="AU370" s="16" t="n">
        <f aca="false">AO370+AF370+AI370+AH370+AG370</f>
        <v>417</v>
      </c>
      <c r="AV370" s="16" t="n">
        <f aca="false">(AO370+AF370+AI370+AH370+AG370)/5</f>
        <v>83.4</v>
      </c>
      <c r="AW370" s="36" t="n">
        <f aca="false">(AO370+AF370+AI370+AH370+AG370+X370+R370+Q370+K370+J370)</f>
        <v>757</v>
      </c>
      <c r="AX370" s="16" t="n">
        <f aca="false">AW370/10</f>
        <v>75.7</v>
      </c>
      <c r="AY370" s="16" t="n">
        <f aca="false">AS370+AF370+AM370+AH370+AG370+AB370+V370+Q370+O370+J370</f>
        <v>772.6</v>
      </c>
      <c r="AZ370" s="16" t="n">
        <f aca="false">AT370+AF370+AN370+AH370+AG370+AC370+W370+Q370+P370+J370</f>
        <v>775</v>
      </c>
      <c r="BA370" s="16" t="n">
        <f aca="false">AY370/10</f>
        <v>77.26</v>
      </c>
      <c r="BB370" s="16" t="n">
        <f aca="false">AZ370/10</f>
        <v>77.5</v>
      </c>
      <c r="BC370" s="16" t="n">
        <v>2380</v>
      </c>
      <c r="BD370" s="16" t="n">
        <f aca="false">RANK(AX370,$AX$2:$AX$881,0)</f>
        <v>640</v>
      </c>
      <c r="BE370" s="54" t="n">
        <f aca="false">((BC370*100)/2400)*0.4+(AX370*0.6)</f>
        <v>85.0866666666667</v>
      </c>
      <c r="BF370" s="16" t="n">
        <f aca="false">RANK(BE370,$BE$2:$BE$881,0)</f>
        <v>595</v>
      </c>
      <c r="BG370" s="39" t="n">
        <f aca="false">RANK(BB370,$BB$2:$BB$881,0)</f>
        <v>603</v>
      </c>
      <c r="BH370" s="39" t="n">
        <f aca="false">RANK(BC370,$BC$2:$BC$881,0)</f>
        <v>148</v>
      </c>
      <c r="BI370" s="22" t="s">
        <v>130</v>
      </c>
      <c r="BJ370" s="22" t="s">
        <v>129</v>
      </c>
      <c r="BK370" s="22" t="s">
        <v>509</v>
      </c>
      <c r="BL370" s="41" t="n">
        <v>23</v>
      </c>
      <c r="BM370" s="41" t="n">
        <v>59</v>
      </c>
      <c r="BN370" s="41" t="n">
        <v>82</v>
      </c>
      <c r="BO370" s="42" t="n">
        <v>24</v>
      </c>
      <c r="BP370" s="43" t="n">
        <v>54</v>
      </c>
      <c r="BQ370" s="44" t="n">
        <v>78</v>
      </c>
      <c r="BR370" s="42" t="n">
        <v>24</v>
      </c>
      <c r="BS370" s="45" t="n">
        <v>57</v>
      </c>
      <c r="BT370" s="45" t="n">
        <v>81</v>
      </c>
      <c r="BU370" s="46" t="n">
        <v>100</v>
      </c>
      <c r="BV370" s="47" t="n">
        <v>88</v>
      </c>
      <c r="BW370" s="42" t="n">
        <v>96</v>
      </c>
      <c r="BX370" s="48" t="n">
        <v>92</v>
      </c>
      <c r="BY370" s="32" t="n">
        <v>27</v>
      </c>
      <c r="BZ370" s="32" t="n">
        <v>64</v>
      </c>
      <c r="CA370" s="32" t="n">
        <v>91</v>
      </c>
      <c r="CB370" s="32" t="n">
        <v>20</v>
      </c>
      <c r="CC370" s="60"/>
      <c r="CD370" s="60"/>
      <c r="CE370" s="32" t="n">
        <v>25</v>
      </c>
      <c r="CF370" s="32" t="n">
        <v>57</v>
      </c>
      <c r="CG370" s="32" t="n">
        <v>82</v>
      </c>
      <c r="CH370" s="32" t="n">
        <v>96</v>
      </c>
      <c r="CI370" s="32" t="n">
        <v>98</v>
      </c>
      <c r="CJ370" s="49" t="n">
        <v>24</v>
      </c>
      <c r="CK370" s="49" t="n">
        <v>47</v>
      </c>
      <c r="CL370" s="49" t="n">
        <v>71</v>
      </c>
      <c r="CM370" s="49" t="n">
        <v>24</v>
      </c>
      <c r="CN370" s="49" t="n">
        <v>49</v>
      </c>
      <c r="CO370" s="49" t="n">
        <v>73</v>
      </c>
      <c r="CP370" s="25" t="n">
        <f aca="false">BX370+BW370+BV370+BU370+BT370+BQ370+BN370</f>
        <v>617</v>
      </c>
      <c r="CQ370" s="25" t="n">
        <f aca="false">CO370+CL370+CI370+CH370+CG370+CD370+CA370</f>
        <v>511</v>
      </c>
      <c r="CR370" s="26" t="n">
        <f aca="false">CP370/7</f>
        <v>88.1428571428571</v>
      </c>
      <c r="CS370" s="26" t="n">
        <f aca="false">CQ370/7</f>
        <v>73</v>
      </c>
      <c r="CT370" s="24" t="n">
        <f aca="false">RANK(CR370,$CR$2:$CR$881,0)</f>
        <v>297</v>
      </c>
      <c r="CU370" s="25" t="n">
        <f aca="false">RANK(CS370,$CS$2:$CS$881,0)</f>
        <v>484</v>
      </c>
      <c r="CV370" s="26" t="n">
        <f aca="false">(CS370+CR370)/2</f>
        <v>80.5714285714286</v>
      </c>
      <c r="CW370" s="25" t="n">
        <f aca="false">RANK(CV370,$CV$2:$CV$881,0)</f>
        <v>407</v>
      </c>
      <c r="CX370" s="50" t="n">
        <f aca="false">(CV370+BB370)/2</f>
        <v>79.0357142857143</v>
      </c>
      <c r="CY370" s="50" t="n">
        <v>421</v>
      </c>
      <c r="CZ370" s="27" t="s">
        <v>132</v>
      </c>
      <c r="DA370" s="27" t="s">
        <v>176</v>
      </c>
      <c r="DB370" s="27" t="s">
        <v>176</v>
      </c>
      <c r="DC370" s="27" t="s">
        <v>134</v>
      </c>
      <c r="DD370" s="27" t="s">
        <v>137</v>
      </c>
      <c r="DE370" s="27" t="s">
        <v>203</v>
      </c>
      <c r="DF370" s="27" t="s">
        <v>133</v>
      </c>
      <c r="DG370" s="27" t="s">
        <v>134</v>
      </c>
      <c r="DH370" s="27" t="s">
        <v>182</v>
      </c>
      <c r="DI370" s="27" t="s">
        <v>136</v>
      </c>
      <c r="DJ370" s="27" t="s">
        <v>178</v>
      </c>
      <c r="DK370" s="27" t="s">
        <v>134</v>
      </c>
      <c r="DL370" s="27" t="s">
        <v>140</v>
      </c>
      <c r="DM370" s="27" t="s">
        <v>304</v>
      </c>
      <c r="DN370" s="27" t="s">
        <v>169</v>
      </c>
      <c r="DO370" s="27" t="s">
        <v>134</v>
      </c>
      <c r="DP370" s="27" t="s">
        <v>191</v>
      </c>
      <c r="DQ370" s="27" t="s">
        <v>619</v>
      </c>
      <c r="DR370" s="27" t="s">
        <v>191</v>
      </c>
      <c r="DS370" s="27" t="s">
        <v>480</v>
      </c>
      <c r="DT370" s="27" t="s">
        <v>146</v>
      </c>
      <c r="DU370" s="27" t="s">
        <v>136</v>
      </c>
      <c r="DV370" s="27" t="s">
        <v>151</v>
      </c>
      <c r="DW370" s="27" t="s">
        <v>146</v>
      </c>
      <c r="DX370" s="27" t="s">
        <v>155</v>
      </c>
      <c r="DY370" s="27" t="s">
        <v>165</v>
      </c>
      <c r="DZ370" s="27" t="n">
        <f aca="false">DY370+DV370+DR370+DN370+DJ370+DF370+DB370</f>
        <v>563</v>
      </c>
      <c r="EA370" s="28" t="n">
        <f aca="false">DZ370/7</f>
        <v>80.4285714285714</v>
      </c>
      <c r="EB370" s="27" t="n">
        <f aca="false">RANK(EA370,$EA$2:$EA$881,0)</f>
        <v>373</v>
      </c>
      <c r="EC370" s="29" t="n">
        <f aca="false">DZ370+CQ370+CP370+AZ370</f>
        <v>2466</v>
      </c>
      <c r="ED370" s="30" t="n">
        <f aca="false">(EA370+CV370+BB370)/3</f>
        <v>79.5</v>
      </c>
      <c r="EE370" s="51" t="n">
        <f aca="false">ROUND(BE370,3)</f>
        <v>85.087</v>
      </c>
      <c r="EF370" s="51" t="n">
        <f aca="false">ROUND(CR370,3)</f>
        <v>88.143</v>
      </c>
      <c r="EG370" s="51" t="n">
        <f aca="false">ROUND(CS370,3)</f>
        <v>73</v>
      </c>
      <c r="EH370" s="51" t="n">
        <f aca="false">ROUND(EA370,3)</f>
        <v>80.429</v>
      </c>
      <c r="EI370" s="51" t="n">
        <f aca="false">ROUND(ED370,3)</f>
        <v>79.5</v>
      </c>
      <c r="EJ370" s="51" t="n">
        <f aca="false">ROUND(CV370,3)</f>
        <v>80.571</v>
      </c>
      <c r="EK370" s="0" t="n">
        <f aca="false">RANK(EI370,$EI$2:$EI$881,0)</f>
        <v>369</v>
      </c>
    </row>
    <row r="371" customFormat="false" ht="15" hidden="false" customHeight="false" outlineLevel="0" collapsed="false">
      <c r="A371" s="4" t="n">
        <v>1836</v>
      </c>
      <c r="B371" s="4" t="n">
        <v>1</v>
      </c>
      <c r="C371" s="27" t="s">
        <v>1205</v>
      </c>
      <c r="D371" s="52" t="n">
        <v>1</v>
      </c>
      <c r="E371" s="65" t="n">
        <v>231600170</v>
      </c>
      <c r="F371" s="56" t="s">
        <v>1206</v>
      </c>
      <c r="G371" s="63" t="s">
        <v>1207</v>
      </c>
      <c r="H371" s="63" t="s">
        <v>271</v>
      </c>
      <c r="I371" s="96"/>
      <c r="J371" s="65" t="n">
        <v>83</v>
      </c>
      <c r="K371" s="65" t="n">
        <v>54</v>
      </c>
      <c r="L371" s="34" t="n">
        <f aca="false">(K371*70)/100</f>
        <v>37.8</v>
      </c>
      <c r="M371" s="34" t="n">
        <f aca="false">ROUNDUP(L371,0)</f>
        <v>38</v>
      </c>
      <c r="N371" s="65" t="n">
        <v>23</v>
      </c>
      <c r="O371" s="34" t="n">
        <f aca="false">N371+L371</f>
        <v>60.8</v>
      </c>
      <c r="P371" s="34" t="n">
        <f aca="false">N371+M371</f>
        <v>61</v>
      </c>
      <c r="Q371" s="65" t="n">
        <v>80</v>
      </c>
      <c r="R371" s="65" t="n">
        <v>69</v>
      </c>
      <c r="S371" s="34" t="n">
        <f aca="false">(R371*70)/100</f>
        <v>48.3</v>
      </c>
      <c r="T371" s="34" t="n">
        <f aca="false">ROUNDUP(S371,0)</f>
        <v>49</v>
      </c>
      <c r="U371" s="65" t="n">
        <v>22</v>
      </c>
      <c r="V371" s="34" t="n">
        <f aca="false">U371+S371</f>
        <v>70.3</v>
      </c>
      <c r="W371" s="34" t="n">
        <f aca="false">U371+T371</f>
        <v>71</v>
      </c>
      <c r="X371" s="65" t="n">
        <v>71</v>
      </c>
      <c r="Y371" s="34" t="n">
        <f aca="false">(X371*70)/100</f>
        <v>49.7</v>
      </c>
      <c r="Z371" s="34" t="n">
        <f aca="false">ROUNDUP(Y371,0)</f>
        <v>50</v>
      </c>
      <c r="AA371" s="65" t="n">
        <v>28</v>
      </c>
      <c r="AB371" s="34" t="n">
        <f aca="false">AA371+Y371</f>
        <v>77.7</v>
      </c>
      <c r="AC371" s="34" t="n">
        <f aca="false">AA371+Z371</f>
        <v>78</v>
      </c>
      <c r="AD371" s="32" t="n">
        <f aca="false">X371+R371+Q371+K371+J371</f>
        <v>357</v>
      </c>
      <c r="AE371" s="16" t="n">
        <f aca="false">AD371/5</f>
        <v>71.4</v>
      </c>
      <c r="AF371" s="65" t="n">
        <v>75</v>
      </c>
      <c r="AG371" s="65" t="n">
        <v>85</v>
      </c>
      <c r="AH371" s="65" t="n">
        <v>88</v>
      </c>
      <c r="AI371" s="65" t="n">
        <v>87</v>
      </c>
      <c r="AJ371" s="16" t="n">
        <f aca="false">(AI371*70)/100</f>
        <v>60.9</v>
      </c>
      <c r="AK371" s="35" t="n">
        <f aca="false">ROUNDUP(AJ371,0)</f>
        <v>61</v>
      </c>
      <c r="AL371" s="65" t="n">
        <v>23</v>
      </c>
      <c r="AM371" s="16" t="n">
        <f aca="false">AL371+AJ371</f>
        <v>83.9</v>
      </c>
      <c r="AN371" s="16" t="n">
        <f aca="false">AL371+AK371</f>
        <v>84</v>
      </c>
      <c r="AO371" s="65" t="n">
        <v>64</v>
      </c>
      <c r="AP371" s="36" t="n">
        <f aca="false">(AO371*70)/100</f>
        <v>44.8</v>
      </c>
      <c r="AQ371" s="37" t="n">
        <f aca="false">ROUNDUP(AP371,0)</f>
        <v>45</v>
      </c>
      <c r="AR371" s="65" t="n">
        <v>21</v>
      </c>
      <c r="AS371" s="16" t="n">
        <f aca="false">AR371+AP371</f>
        <v>65.8</v>
      </c>
      <c r="AT371" s="16" t="n">
        <f aca="false">AR371+AQ371</f>
        <v>66</v>
      </c>
      <c r="AU371" s="16" t="n">
        <f aca="false">AO371+AF371+AI371+AH371+AG371</f>
        <v>399</v>
      </c>
      <c r="AV371" s="16" t="n">
        <f aca="false">(AO371+AF371+AI371+AH371+AG371)/5</f>
        <v>79.8</v>
      </c>
      <c r="AW371" s="36" t="n">
        <f aca="false">(AO371+AF371+AI371+AH371+AG371+X371+R371+Q371+K371+J371)</f>
        <v>756</v>
      </c>
      <c r="AX371" s="16" t="n">
        <f aca="false">AW371/10</f>
        <v>75.6</v>
      </c>
      <c r="AY371" s="16" t="n">
        <f aca="false">AS371+AF371+AM371+AH371+AG371+AB371+V371+Q371+O371+J371</f>
        <v>769.5</v>
      </c>
      <c r="AZ371" s="16" t="n">
        <f aca="false">AT371+AF371+AN371+AH371+AG371+AC371+W371+Q371+P371+J371</f>
        <v>771</v>
      </c>
      <c r="BA371" s="16" t="n">
        <f aca="false">AY371/10</f>
        <v>76.95</v>
      </c>
      <c r="BB371" s="16" t="n">
        <f aca="false">AZ371/10</f>
        <v>77.1</v>
      </c>
      <c r="BC371" s="72" t="n">
        <v>0</v>
      </c>
      <c r="BD371" s="16" t="n">
        <f aca="false">RANK(AX371,$AX$2:$AX$881,0)</f>
        <v>652</v>
      </c>
      <c r="BE371" s="92" t="n">
        <f aca="false">((BC371*100)/2400)*0.4+(AX371*0.6)</f>
        <v>45.36</v>
      </c>
      <c r="BF371" s="16" t="n">
        <f aca="false">RANK(BE371,$BE$2:$BE$881,0)</f>
        <v>805</v>
      </c>
      <c r="BG371" s="39" t="n">
        <f aca="false">RANK(BB371,$BB$2:$BB$881,0)</f>
        <v>632</v>
      </c>
      <c r="BH371" s="39" t="n">
        <f aca="false">RANK(BC371,$BC$2:$BC$881,0)</f>
        <v>780</v>
      </c>
      <c r="BI371" s="63" t="s">
        <v>130</v>
      </c>
      <c r="BJ371" s="22" t="s">
        <v>129</v>
      </c>
      <c r="BK371" s="22" t="s">
        <v>526</v>
      </c>
      <c r="BL371" s="41" t="n">
        <v>20</v>
      </c>
      <c r="BM371" s="41" t="n">
        <v>53</v>
      </c>
      <c r="BN371" s="41" t="n">
        <v>73</v>
      </c>
      <c r="BO371" s="42" t="n">
        <v>26</v>
      </c>
      <c r="BP371" s="97" t="n">
        <v>63</v>
      </c>
      <c r="BQ371" s="44" t="n">
        <v>89</v>
      </c>
      <c r="BR371" s="42" t="n">
        <v>24</v>
      </c>
      <c r="BS371" s="45" t="n">
        <v>54</v>
      </c>
      <c r="BT371" s="45" t="n">
        <v>78</v>
      </c>
      <c r="BU371" s="46" t="n">
        <v>99</v>
      </c>
      <c r="BV371" s="47" t="n">
        <v>72</v>
      </c>
      <c r="BW371" s="42" t="n">
        <v>99</v>
      </c>
      <c r="BX371" s="48" t="n">
        <v>96</v>
      </c>
      <c r="BY371" s="32" t="n">
        <v>28</v>
      </c>
      <c r="BZ371" s="32" t="n">
        <v>61</v>
      </c>
      <c r="CA371" s="32" t="n">
        <v>89</v>
      </c>
      <c r="CB371" s="32" t="n">
        <v>25</v>
      </c>
      <c r="CC371" s="32" t="n">
        <v>38</v>
      </c>
      <c r="CD371" s="32" t="n">
        <v>63</v>
      </c>
      <c r="CE371" s="32" t="n">
        <v>28</v>
      </c>
      <c r="CF371" s="32" t="n">
        <v>61</v>
      </c>
      <c r="CG371" s="32" t="n">
        <v>89</v>
      </c>
      <c r="CH371" s="32" t="n">
        <v>99</v>
      </c>
      <c r="CI371" s="32" t="n">
        <v>99</v>
      </c>
      <c r="CJ371" s="49" t="n">
        <v>28</v>
      </c>
      <c r="CK371" s="49" t="n">
        <v>56</v>
      </c>
      <c r="CL371" s="49" t="n">
        <v>84</v>
      </c>
      <c r="CM371" s="49" t="n">
        <v>27</v>
      </c>
      <c r="CN371" s="49" t="n">
        <v>55</v>
      </c>
      <c r="CO371" s="49" t="n">
        <v>82</v>
      </c>
      <c r="CP371" s="25" t="n">
        <f aca="false">BX371+BW371+BV371+BU371+BT371+BQ371+BN371</f>
        <v>606</v>
      </c>
      <c r="CQ371" s="25" t="n">
        <f aca="false">CO371+CL371+CI371+CH371+CG371+CD371+CA371</f>
        <v>605</v>
      </c>
      <c r="CR371" s="26" t="n">
        <f aca="false">CP371/7</f>
        <v>86.5714285714286</v>
      </c>
      <c r="CS371" s="26" t="n">
        <f aca="false">CQ371/7</f>
        <v>86.4285714285714</v>
      </c>
      <c r="CT371" s="24" t="n">
        <f aca="false">RANK(CR371,$CR$2:$CR$881,0)</f>
        <v>372</v>
      </c>
      <c r="CU371" s="25" t="n">
        <f aca="false">RANK(CS371,$CS$2:$CS$881,0)</f>
        <v>69</v>
      </c>
      <c r="CV371" s="26" t="n">
        <f aca="false">(CS371+CR371)/2</f>
        <v>86.5</v>
      </c>
      <c r="CW371" s="25" t="n">
        <f aca="false">RANK(CV371,$CV$2:$CV$881,0)</f>
        <v>154</v>
      </c>
      <c r="CX371" s="50" t="n">
        <f aca="false">(CV371+BB371)/2</f>
        <v>81.8</v>
      </c>
      <c r="CY371" s="50" t="n">
        <v>280</v>
      </c>
      <c r="CZ371" s="27" t="s">
        <v>132</v>
      </c>
      <c r="DA371" s="27" t="s">
        <v>133</v>
      </c>
      <c r="DB371" s="27" t="s">
        <v>133</v>
      </c>
      <c r="DC371" s="27" t="s">
        <v>134</v>
      </c>
      <c r="DD371" s="27" t="s">
        <v>135</v>
      </c>
      <c r="DE371" s="27" t="s">
        <v>177</v>
      </c>
      <c r="DF371" s="27" t="s">
        <v>175</v>
      </c>
      <c r="DG371" s="27" t="s">
        <v>134</v>
      </c>
      <c r="DH371" s="27" t="s">
        <v>160</v>
      </c>
      <c r="DI371" s="27" t="s">
        <v>218</v>
      </c>
      <c r="DJ371" s="27" t="s">
        <v>175</v>
      </c>
      <c r="DK371" s="27" t="s">
        <v>134</v>
      </c>
      <c r="DL371" s="27" t="s">
        <v>160</v>
      </c>
      <c r="DM371" s="27" t="s">
        <v>161</v>
      </c>
      <c r="DN371" s="27" t="s">
        <v>162</v>
      </c>
      <c r="DO371" s="27" t="s">
        <v>134</v>
      </c>
      <c r="DP371" s="27"/>
      <c r="DQ371" s="27"/>
      <c r="DR371" s="27"/>
      <c r="DS371" s="27"/>
      <c r="DT371" s="27" t="s">
        <v>182</v>
      </c>
      <c r="DU371" s="27" t="s">
        <v>220</v>
      </c>
      <c r="DV371" s="27" t="s">
        <v>219</v>
      </c>
      <c r="DW371" s="27" t="s">
        <v>164</v>
      </c>
      <c r="DX371" s="27" t="s">
        <v>155</v>
      </c>
      <c r="DY371" s="27" t="s">
        <v>144</v>
      </c>
      <c r="DZ371" s="27" t="n">
        <f aca="false">DY371+DV371+DR371+DN371+DJ371+DF371+DB371</f>
        <v>524</v>
      </c>
      <c r="EA371" s="28" t="n">
        <f aca="false">DZ371/7</f>
        <v>74.8571428571429</v>
      </c>
      <c r="EB371" s="27" t="n">
        <f aca="false">RANK(EA371,$EA$2:$EA$881,0)</f>
        <v>543</v>
      </c>
      <c r="EC371" s="29" t="n">
        <f aca="false">DZ371+CQ371+CP371+AZ371</f>
        <v>2506</v>
      </c>
      <c r="ED371" s="30" t="n">
        <f aca="false">(EA371+CV371+BB371)/3</f>
        <v>79.4857142857143</v>
      </c>
      <c r="EE371" s="51" t="n">
        <f aca="false">ROUND(BE371,3)</f>
        <v>45.36</v>
      </c>
      <c r="EF371" s="51" t="n">
        <f aca="false">ROUND(CR371,3)</f>
        <v>86.571</v>
      </c>
      <c r="EG371" s="51" t="n">
        <f aca="false">ROUND(CS371,3)</f>
        <v>86.429</v>
      </c>
      <c r="EH371" s="51" t="n">
        <f aca="false">ROUND(EA371,3)</f>
        <v>74.857</v>
      </c>
      <c r="EI371" s="51" t="n">
        <f aca="false">ROUND(ED371,3)</f>
        <v>79.486</v>
      </c>
      <c r="EJ371" s="51" t="n">
        <f aca="false">ROUND(CV371,3)</f>
        <v>86.5</v>
      </c>
      <c r="EK371" s="0" t="n">
        <f aca="false">RANK(EI371,$EI$2:$EI$881,0)</f>
        <v>370</v>
      </c>
    </row>
    <row r="372" customFormat="false" ht="15" hidden="false" customHeight="false" outlineLevel="0" collapsed="false">
      <c r="A372" s="4" t="n">
        <v>8795</v>
      </c>
      <c r="B372" s="4" t="n">
        <v>581</v>
      </c>
      <c r="C372" s="27" t="s">
        <v>1208</v>
      </c>
      <c r="D372" s="31" t="n">
        <v>586</v>
      </c>
      <c r="E372" s="32" t="n">
        <v>230315827</v>
      </c>
      <c r="F372" s="8" t="s">
        <v>1209</v>
      </c>
      <c r="G372" s="22" t="s">
        <v>1210</v>
      </c>
      <c r="H372" s="22" t="s">
        <v>129</v>
      </c>
      <c r="I372" s="33" t="n">
        <v>2006</v>
      </c>
      <c r="J372" s="32" t="n">
        <v>93</v>
      </c>
      <c r="K372" s="32" t="n">
        <v>88</v>
      </c>
      <c r="L372" s="34" t="n">
        <f aca="false">(K372*70)/100</f>
        <v>61.6</v>
      </c>
      <c r="M372" s="34" t="n">
        <f aca="false">ROUNDUP(L372,0)</f>
        <v>62</v>
      </c>
      <c r="N372" s="32" t="n">
        <v>25</v>
      </c>
      <c r="O372" s="34" t="n">
        <f aca="false">N372+L372</f>
        <v>86.6</v>
      </c>
      <c r="P372" s="34" t="n">
        <f aca="false">N372+M372</f>
        <v>87</v>
      </c>
      <c r="Q372" s="32" t="n">
        <v>63</v>
      </c>
      <c r="R372" s="32" t="n">
        <v>79</v>
      </c>
      <c r="S372" s="34" t="n">
        <f aca="false">(R372*70)/100</f>
        <v>55.3</v>
      </c>
      <c r="T372" s="34" t="n">
        <f aca="false">ROUNDUP(S372,0)</f>
        <v>56</v>
      </c>
      <c r="U372" s="32" t="n">
        <v>14</v>
      </c>
      <c r="V372" s="34" t="n">
        <f aca="false">U372+S372</f>
        <v>69.3</v>
      </c>
      <c r="W372" s="34" t="n">
        <f aca="false">U372+T372</f>
        <v>70</v>
      </c>
      <c r="X372" s="32" t="n">
        <v>66</v>
      </c>
      <c r="Y372" s="34" t="n">
        <f aca="false">(X372*70)/100</f>
        <v>46.2</v>
      </c>
      <c r="Z372" s="34" t="n">
        <f aca="false">ROUNDUP(Y372,0)</f>
        <v>47</v>
      </c>
      <c r="AA372" s="32" t="n">
        <v>24</v>
      </c>
      <c r="AB372" s="34" t="n">
        <f aca="false">AA372+Y372</f>
        <v>70.2</v>
      </c>
      <c r="AC372" s="34" t="n">
        <f aca="false">AA372+Z372</f>
        <v>71</v>
      </c>
      <c r="AD372" s="32" t="n">
        <f aca="false">X372+R372+Q372+K372+J372</f>
        <v>389</v>
      </c>
      <c r="AE372" s="16" t="n">
        <f aca="false">AD372/5</f>
        <v>77.8</v>
      </c>
      <c r="AF372" s="16" t="n">
        <v>75</v>
      </c>
      <c r="AG372" s="16" t="n">
        <v>90</v>
      </c>
      <c r="AH372" s="16" t="n">
        <v>87</v>
      </c>
      <c r="AI372" s="16" t="n">
        <v>87</v>
      </c>
      <c r="AJ372" s="16" t="n">
        <f aca="false">(AI372*70)/100</f>
        <v>60.9</v>
      </c>
      <c r="AK372" s="35" t="n">
        <f aca="false">ROUNDUP(AJ372,0)</f>
        <v>61</v>
      </c>
      <c r="AL372" s="16" t="n">
        <v>25</v>
      </c>
      <c r="AM372" s="16" t="n">
        <f aca="false">AL372+AJ372</f>
        <v>85.9</v>
      </c>
      <c r="AN372" s="16" t="n">
        <f aca="false">AL372+AK372</f>
        <v>86</v>
      </c>
      <c r="AO372" s="16" t="n">
        <v>78</v>
      </c>
      <c r="AP372" s="36" t="n">
        <f aca="false">(AO372*70)/100</f>
        <v>54.6</v>
      </c>
      <c r="AQ372" s="37" t="n">
        <f aca="false">ROUNDUP(AP372,0)</f>
        <v>55</v>
      </c>
      <c r="AR372" s="16" t="n">
        <v>26</v>
      </c>
      <c r="AS372" s="16" t="n">
        <f aca="false">AR372+AP372</f>
        <v>80.6</v>
      </c>
      <c r="AT372" s="16" t="n">
        <f aca="false">AR372+AQ372</f>
        <v>81</v>
      </c>
      <c r="AU372" s="16" t="n">
        <f aca="false">AO372+AF372+AI372+AH372+AG372</f>
        <v>417</v>
      </c>
      <c r="AV372" s="16" t="n">
        <f aca="false">(AO372+AF372+AI372+AH372+AG372)/5</f>
        <v>83.4</v>
      </c>
      <c r="AW372" s="36" t="n">
        <f aca="false">(AO372+AF372+AI372+AH372+AG372+X372+R372+Q372+K372+J372)</f>
        <v>806</v>
      </c>
      <c r="AX372" s="16" t="n">
        <f aca="false">AW372/10</f>
        <v>80.6</v>
      </c>
      <c r="AY372" s="16" t="n">
        <f aca="false">AS372+AF372+AM372+AH372+AG372+AB372+V372+Q372+O372+J372</f>
        <v>800.6</v>
      </c>
      <c r="AZ372" s="16" t="n">
        <f aca="false">AT372+AF372+AN372+AH372+AG372+AC372+W372+Q372+P372+J372</f>
        <v>803</v>
      </c>
      <c r="BA372" s="16" t="n">
        <f aca="false">AY372/10</f>
        <v>80.06</v>
      </c>
      <c r="BB372" s="16" t="n">
        <f aca="false">AZ372/10</f>
        <v>80.3</v>
      </c>
      <c r="BC372" s="16" t="n">
        <v>2383</v>
      </c>
      <c r="BD372" s="16" t="n">
        <f aca="false">RANK(AX372,$AX$2:$AX$881,0)</f>
        <v>228</v>
      </c>
      <c r="BE372" s="54" t="n">
        <f aca="false">((BC372*100)/2400)*0.4+(AX372*0.6)</f>
        <v>88.0766666666667</v>
      </c>
      <c r="BF372" s="16" t="n">
        <f aca="false">RANK(BE372,$BE$2:$BE$881,0)</f>
        <v>202</v>
      </c>
      <c r="BG372" s="39" t="n">
        <f aca="false">RANK(BB372,$BB$2:$BB$881,0)</f>
        <v>327</v>
      </c>
      <c r="BH372" s="39" t="n">
        <f aca="false">RANK(BC372,$BC$2:$BC$881,0)</f>
        <v>114</v>
      </c>
      <c r="BI372" s="22" t="s">
        <v>130</v>
      </c>
      <c r="BJ372" s="22" t="s">
        <v>129</v>
      </c>
      <c r="BK372" s="40" t="s">
        <v>131</v>
      </c>
      <c r="BL372" s="41" t="n">
        <v>22</v>
      </c>
      <c r="BM372" s="41" t="n">
        <v>58</v>
      </c>
      <c r="BN372" s="41" t="n">
        <v>80</v>
      </c>
      <c r="BO372" s="42" t="n">
        <v>23</v>
      </c>
      <c r="BP372" s="43" t="n">
        <v>61</v>
      </c>
      <c r="BQ372" s="44" t="n">
        <v>84</v>
      </c>
      <c r="BR372" s="42" t="n">
        <v>16</v>
      </c>
      <c r="BS372" s="45" t="n">
        <v>58</v>
      </c>
      <c r="BT372" s="45" t="n">
        <v>74</v>
      </c>
      <c r="BU372" s="46" t="n">
        <v>99</v>
      </c>
      <c r="BV372" s="47" t="n">
        <v>74</v>
      </c>
      <c r="BW372" s="42" t="n">
        <v>98</v>
      </c>
      <c r="BX372" s="48" t="n">
        <v>86</v>
      </c>
      <c r="BY372" s="32" t="n">
        <v>22</v>
      </c>
      <c r="BZ372" s="32" t="n">
        <v>48</v>
      </c>
      <c r="CA372" s="32" t="n">
        <v>70</v>
      </c>
      <c r="CB372" s="32" t="n">
        <v>23</v>
      </c>
      <c r="CC372" s="32" t="n">
        <v>34</v>
      </c>
      <c r="CD372" s="69" t="n">
        <v>57</v>
      </c>
      <c r="CE372" s="32" t="n">
        <v>24</v>
      </c>
      <c r="CF372" s="32" t="n">
        <v>52</v>
      </c>
      <c r="CG372" s="32" t="n">
        <v>76</v>
      </c>
      <c r="CH372" s="32" t="n">
        <v>98</v>
      </c>
      <c r="CI372" s="32" t="n">
        <v>95</v>
      </c>
      <c r="CJ372" s="49" t="n">
        <v>22</v>
      </c>
      <c r="CK372" s="49" t="n">
        <v>43</v>
      </c>
      <c r="CL372" s="49" t="n">
        <v>65</v>
      </c>
      <c r="CM372" s="49" t="n">
        <v>24</v>
      </c>
      <c r="CN372" s="49" t="n">
        <v>56</v>
      </c>
      <c r="CO372" s="49" t="n">
        <v>80</v>
      </c>
      <c r="CP372" s="25" t="n">
        <f aca="false">BX372+BW372+BV372+BU372+BT372+BQ372+BN372</f>
        <v>595</v>
      </c>
      <c r="CQ372" s="25" t="n">
        <f aca="false">CO372+CL372+CI372+CH372+CG372+CD372+CA372</f>
        <v>541</v>
      </c>
      <c r="CR372" s="26" t="n">
        <f aca="false">CP372/7</f>
        <v>85</v>
      </c>
      <c r="CS372" s="26" t="n">
        <f aca="false">CQ372/7</f>
        <v>77.2857142857143</v>
      </c>
      <c r="CT372" s="24" t="n">
        <f aca="false">RANK(CR372,$CR$2:$CR$881,0)</f>
        <v>437</v>
      </c>
      <c r="CU372" s="25" t="n">
        <f aca="false">RANK(CS372,$CS$2:$CS$881,0)</f>
        <v>356</v>
      </c>
      <c r="CV372" s="26" t="n">
        <f aca="false">(CS372+CR372)/2</f>
        <v>81.1428571428571</v>
      </c>
      <c r="CW372" s="25" t="n">
        <f aca="false">RANK(CV372,$CV$2:$CV$881,0)</f>
        <v>375</v>
      </c>
      <c r="CX372" s="50" t="n">
        <f aca="false">(CV372+BB372)/2</f>
        <v>80.7214285714286</v>
      </c>
      <c r="CY372" s="50" t="n">
        <v>339</v>
      </c>
      <c r="CZ372" s="27" t="s">
        <v>132</v>
      </c>
      <c r="DA372" s="27" t="s">
        <v>486</v>
      </c>
      <c r="DB372" s="27" t="s">
        <v>486</v>
      </c>
      <c r="DC372" s="27" t="s">
        <v>134</v>
      </c>
      <c r="DD372" s="27" t="s">
        <v>154</v>
      </c>
      <c r="DE372" s="27" t="s">
        <v>218</v>
      </c>
      <c r="DF372" s="27" t="s">
        <v>219</v>
      </c>
      <c r="DG372" s="27" t="s">
        <v>134</v>
      </c>
      <c r="DH372" s="27" t="s">
        <v>135</v>
      </c>
      <c r="DI372" s="27" t="s">
        <v>218</v>
      </c>
      <c r="DJ372" s="27" t="s">
        <v>205</v>
      </c>
      <c r="DK372" s="27" t="s">
        <v>134</v>
      </c>
      <c r="DL372" s="27" t="s">
        <v>135</v>
      </c>
      <c r="DM372" s="27" t="s">
        <v>447</v>
      </c>
      <c r="DN372" s="27" t="s">
        <v>305</v>
      </c>
      <c r="DO372" s="27" t="s">
        <v>134</v>
      </c>
      <c r="DP372" s="27" t="s">
        <v>191</v>
      </c>
      <c r="DQ372" s="27" t="s">
        <v>442</v>
      </c>
      <c r="DR372" s="27" t="s">
        <v>138</v>
      </c>
      <c r="DS372" s="27" t="s">
        <v>134</v>
      </c>
      <c r="DT372" s="27" t="s">
        <v>164</v>
      </c>
      <c r="DU372" s="27" t="s">
        <v>681</v>
      </c>
      <c r="DV372" s="27" t="s">
        <v>486</v>
      </c>
      <c r="DW372" s="27" t="s">
        <v>195</v>
      </c>
      <c r="DX372" s="27" t="s">
        <v>136</v>
      </c>
      <c r="DY372" s="27" t="s">
        <v>209</v>
      </c>
      <c r="DZ372" s="27" t="n">
        <f aca="false">DY372+DV372+DR372+DN372+DJ372+DF372+DB372</f>
        <v>539</v>
      </c>
      <c r="EA372" s="28" t="n">
        <f aca="false">DZ372/7</f>
        <v>77</v>
      </c>
      <c r="EB372" s="27" t="n">
        <f aca="false">RANK(EA372,$EA$2:$EA$881,0)</f>
        <v>488</v>
      </c>
      <c r="EC372" s="29" t="n">
        <f aca="false">DZ372+CQ372+CP372+AZ372</f>
        <v>2478</v>
      </c>
      <c r="ED372" s="30" t="n">
        <f aca="false">(EA372+CV372+BB372)/3</f>
        <v>79.4809523809524</v>
      </c>
      <c r="EE372" s="51" t="n">
        <f aca="false">ROUND(BE372,3)</f>
        <v>88.077</v>
      </c>
      <c r="EF372" s="51" t="n">
        <f aca="false">ROUND(CR372,3)</f>
        <v>85</v>
      </c>
      <c r="EG372" s="51" t="n">
        <f aca="false">ROUND(CS372,3)</f>
        <v>77.286</v>
      </c>
      <c r="EH372" s="51" t="n">
        <f aca="false">ROUND(EA372,3)</f>
        <v>77</v>
      </c>
      <c r="EI372" s="51" t="n">
        <f aca="false">ROUND(ED372,3)</f>
        <v>79.481</v>
      </c>
      <c r="EJ372" s="51" t="n">
        <f aca="false">ROUND(CV372,3)</f>
        <v>81.143</v>
      </c>
      <c r="EK372" s="0" t="n">
        <f aca="false">RANK(EI372,$EI$2:$EI$881,0)</f>
        <v>371</v>
      </c>
    </row>
    <row r="373" customFormat="false" ht="15" hidden="false" customHeight="false" outlineLevel="0" collapsed="false">
      <c r="A373" s="4" t="n">
        <v>8653</v>
      </c>
      <c r="B373" s="4" t="n">
        <v>69</v>
      </c>
      <c r="C373" s="27" t="s">
        <v>1211</v>
      </c>
      <c r="D373" s="52" t="n">
        <v>71</v>
      </c>
      <c r="E373" s="16" t="n">
        <v>230321339</v>
      </c>
      <c r="F373" s="56" t="s">
        <v>1212</v>
      </c>
      <c r="G373" s="22" t="s">
        <v>529</v>
      </c>
      <c r="H373" s="22" t="s">
        <v>129</v>
      </c>
      <c r="I373" s="57"/>
      <c r="J373" s="16" t="n">
        <v>67</v>
      </c>
      <c r="K373" s="16" t="n">
        <v>75</v>
      </c>
      <c r="L373" s="34" t="n">
        <f aca="false">(K373*70)/100</f>
        <v>52.5</v>
      </c>
      <c r="M373" s="34" t="n">
        <f aca="false">ROUNDUP(L373,0)</f>
        <v>53</v>
      </c>
      <c r="N373" s="16" t="n">
        <v>27</v>
      </c>
      <c r="O373" s="34" t="n">
        <f aca="false">N373+L373</f>
        <v>79.5</v>
      </c>
      <c r="P373" s="34" t="n">
        <f aca="false">N373+M373</f>
        <v>80</v>
      </c>
      <c r="Q373" s="71" t="n">
        <v>59</v>
      </c>
      <c r="R373" s="16" t="n">
        <v>66</v>
      </c>
      <c r="S373" s="34" t="n">
        <f aca="false">(R373*70)/100</f>
        <v>46.2</v>
      </c>
      <c r="T373" s="34" t="n">
        <f aca="false">ROUNDUP(S373,0)</f>
        <v>47</v>
      </c>
      <c r="U373" s="16" t="n">
        <v>24</v>
      </c>
      <c r="V373" s="34" t="n">
        <f aca="false">U373+S373</f>
        <v>70.2</v>
      </c>
      <c r="W373" s="34" t="n">
        <f aca="false">U373+T373</f>
        <v>71</v>
      </c>
      <c r="X373" s="16" t="n">
        <v>60</v>
      </c>
      <c r="Y373" s="34" t="n">
        <f aca="false">(X373*70)/100</f>
        <v>42</v>
      </c>
      <c r="Z373" s="34" t="n">
        <f aca="false">ROUNDUP(Y373,0)</f>
        <v>42</v>
      </c>
      <c r="AA373" s="16" t="n">
        <v>26</v>
      </c>
      <c r="AB373" s="34" t="n">
        <f aca="false">AA373+Y373</f>
        <v>68</v>
      </c>
      <c r="AC373" s="34" t="n">
        <f aca="false">AA373+Z373</f>
        <v>68</v>
      </c>
      <c r="AD373" s="32" t="n">
        <f aca="false">X373+R373+Q373+K373+J373</f>
        <v>327</v>
      </c>
      <c r="AE373" s="16" t="n">
        <f aca="false">AD373/5</f>
        <v>65.4</v>
      </c>
      <c r="AF373" s="16" t="n">
        <v>74</v>
      </c>
      <c r="AG373" s="16" t="n">
        <v>78</v>
      </c>
      <c r="AH373" s="16" t="n">
        <v>96</v>
      </c>
      <c r="AI373" s="16" t="n">
        <v>89</v>
      </c>
      <c r="AJ373" s="16" t="n">
        <f aca="false">(AI373*70)/100</f>
        <v>62.3</v>
      </c>
      <c r="AK373" s="35" t="n">
        <f aca="false">ROUNDUP(AJ373,0)</f>
        <v>63</v>
      </c>
      <c r="AL373" s="16" t="n">
        <v>23</v>
      </c>
      <c r="AM373" s="16" t="n">
        <f aca="false">AL373+AJ373</f>
        <v>85.3</v>
      </c>
      <c r="AN373" s="16" t="n">
        <f aca="false">AL373+AK373</f>
        <v>86</v>
      </c>
      <c r="AO373" s="16" t="n">
        <v>82</v>
      </c>
      <c r="AP373" s="36" t="n">
        <f aca="false">(AO373*70)/100</f>
        <v>57.4</v>
      </c>
      <c r="AQ373" s="37" t="n">
        <f aca="false">ROUNDUP(AP373,0)</f>
        <v>58</v>
      </c>
      <c r="AR373" s="16" t="n">
        <v>25</v>
      </c>
      <c r="AS373" s="16" t="n">
        <f aca="false">AR373+AP373</f>
        <v>82.4</v>
      </c>
      <c r="AT373" s="16" t="n">
        <f aca="false">AR373+AQ373</f>
        <v>83</v>
      </c>
      <c r="AU373" s="16" t="n">
        <f aca="false">AO373+AF373+AI373+AH373+AG373</f>
        <v>419</v>
      </c>
      <c r="AV373" s="16" t="n">
        <f aca="false">(AO373+AF373+AI373+AH373+AG373)/5</f>
        <v>83.8</v>
      </c>
      <c r="AW373" s="36" t="n">
        <f aca="false">(AO373+AF373+AI373+AH373+AG373+X373+R373+Q373+K373+J373)</f>
        <v>746</v>
      </c>
      <c r="AX373" s="16" t="n">
        <f aca="false">AW373/10</f>
        <v>74.6</v>
      </c>
      <c r="AY373" s="16" t="n">
        <f aca="false">AS373+AF373+AM373+AH373+AG373+AB373+V373+Q373+O373+J373</f>
        <v>759.4</v>
      </c>
      <c r="AZ373" s="16" t="n">
        <f aca="false">AT373+AF373+AN373+AH373+AG373+AC373+W373+Q373+P373+J373</f>
        <v>762</v>
      </c>
      <c r="BA373" s="16" t="n">
        <f aca="false">AY373/10</f>
        <v>75.94</v>
      </c>
      <c r="BB373" s="16" t="n">
        <f aca="false">AZ373/10</f>
        <v>76.2</v>
      </c>
      <c r="BC373" s="16" t="n">
        <v>2330</v>
      </c>
      <c r="BD373" s="16" t="n">
        <f aca="false">RANK(AX373,$AX$2:$AX$881,0)</f>
        <v>693</v>
      </c>
      <c r="BE373" s="73" t="n">
        <f aca="false">((BC373*100)/2400)*0.4+(AX373*0.6)</f>
        <v>83.5933333333333</v>
      </c>
      <c r="BF373" s="16" t="n">
        <f aca="false">RANK(BE373,$BE$2:$BE$881,0)</f>
        <v>691</v>
      </c>
      <c r="BG373" s="39" t="n">
        <f aca="false">RANK(BB373,$BB$2:$BB$881,0)</f>
        <v>672</v>
      </c>
      <c r="BH373" s="39" t="n">
        <f aca="false">RANK(BC373,$BC$2:$BC$881,0)</f>
        <v>729</v>
      </c>
      <c r="BI373" s="22" t="s">
        <v>130</v>
      </c>
      <c r="BJ373" s="22" t="s">
        <v>129</v>
      </c>
      <c r="BK373" s="40" t="s">
        <v>702</v>
      </c>
      <c r="BL373" s="41" t="n">
        <v>23</v>
      </c>
      <c r="BM373" s="41" t="n">
        <v>50</v>
      </c>
      <c r="BN373" s="41" t="n">
        <v>73</v>
      </c>
      <c r="BO373" s="42" t="n">
        <v>26</v>
      </c>
      <c r="BP373" s="43" t="n">
        <v>64</v>
      </c>
      <c r="BQ373" s="44" t="n">
        <v>90</v>
      </c>
      <c r="BR373" s="42" t="n">
        <v>26</v>
      </c>
      <c r="BS373" s="45" t="n">
        <v>59</v>
      </c>
      <c r="BT373" s="45" t="n">
        <v>85</v>
      </c>
      <c r="BU373" s="46" t="n">
        <v>100</v>
      </c>
      <c r="BV373" s="47" t="n">
        <v>84</v>
      </c>
      <c r="BW373" s="42" t="n">
        <v>92</v>
      </c>
      <c r="BX373" s="48" t="n">
        <v>96</v>
      </c>
      <c r="BY373" s="32" t="n">
        <v>25</v>
      </c>
      <c r="BZ373" s="32" t="n">
        <v>61</v>
      </c>
      <c r="CA373" s="32" t="n">
        <v>86</v>
      </c>
      <c r="CB373" s="32" t="n">
        <v>26</v>
      </c>
      <c r="CC373" s="32" t="n">
        <v>47</v>
      </c>
      <c r="CD373" s="32" t="n">
        <v>73</v>
      </c>
      <c r="CE373" s="32" t="n">
        <v>25</v>
      </c>
      <c r="CF373" s="32" t="n">
        <v>62</v>
      </c>
      <c r="CG373" s="32" t="n">
        <v>87</v>
      </c>
      <c r="CH373" s="32" t="n">
        <v>98</v>
      </c>
      <c r="CI373" s="32" t="n">
        <v>88</v>
      </c>
      <c r="CJ373" s="49" t="n">
        <v>28</v>
      </c>
      <c r="CK373" s="49" t="n">
        <v>51</v>
      </c>
      <c r="CL373" s="49" t="n">
        <v>79</v>
      </c>
      <c r="CM373" s="49" t="n">
        <v>25</v>
      </c>
      <c r="CN373" s="49" t="n">
        <v>49</v>
      </c>
      <c r="CO373" s="49" t="n">
        <v>74</v>
      </c>
      <c r="CP373" s="25" t="n">
        <f aca="false">BX373+BW373+BV373+BU373+BT373+BQ373+BN373</f>
        <v>620</v>
      </c>
      <c r="CQ373" s="25" t="n">
        <f aca="false">CO373+CL373+CI373+CH373+CG373+CD373+CA373</f>
        <v>585</v>
      </c>
      <c r="CR373" s="26" t="n">
        <f aca="false">CP373/7</f>
        <v>88.5714285714286</v>
      </c>
      <c r="CS373" s="26" t="n">
        <f aca="false">CQ373/7</f>
        <v>83.5714285714286</v>
      </c>
      <c r="CT373" s="24" t="n">
        <f aca="false">RANK(CR373,$CR$2:$CR$881,0)</f>
        <v>265</v>
      </c>
      <c r="CU373" s="25" t="n">
        <f aca="false">RANK(CS373,$CS$2:$CS$881,0)</f>
        <v>135</v>
      </c>
      <c r="CV373" s="26" t="n">
        <f aca="false">(CS373+CR373)/2</f>
        <v>86.0714285714286</v>
      </c>
      <c r="CW373" s="25" t="n">
        <f aca="false">RANK(CV373,$CV$2:$CV$881,0)</f>
        <v>171</v>
      </c>
      <c r="CX373" s="50" t="n">
        <f aca="false">(CV373+BB373)/2</f>
        <v>81.1357142857143</v>
      </c>
      <c r="CY373" s="50" t="n">
        <v>311</v>
      </c>
      <c r="CZ373" s="27" t="s">
        <v>132</v>
      </c>
      <c r="DA373" s="27" t="s">
        <v>169</v>
      </c>
      <c r="DB373" s="27" t="s">
        <v>169</v>
      </c>
      <c r="DC373" s="27" t="s">
        <v>134</v>
      </c>
      <c r="DD373" s="27" t="s">
        <v>135</v>
      </c>
      <c r="DE373" s="27" t="s">
        <v>306</v>
      </c>
      <c r="DF373" s="27" t="s">
        <v>219</v>
      </c>
      <c r="DG373" s="27" t="s">
        <v>134</v>
      </c>
      <c r="DH373" s="27" t="s">
        <v>137</v>
      </c>
      <c r="DI373" s="27" t="s">
        <v>442</v>
      </c>
      <c r="DJ373" s="27" t="s">
        <v>441</v>
      </c>
      <c r="DK373" s="27" t="s">
        <v>134</v>
      </c>
      <c r="DL373" s="27" t="s">
        <v>137</v>
      </c>
      <c r="DM373" s="27" t="s">
        <v>442</v>
      </c>
      <c r="DN373" s="27" t="s">
        <v>441</v>
      </c>
      <c r="DO373" s="27" t="s">
        <v>134</v>
      </c>
      <c r="DP373" s="27" t="s">
        <v>264</v>
      </c>
      <c r="DQ373" s="27" t="s">
        <v>412</v>
      </c>
      <c r="DR373" s="27" t="s">
        <v>155</v>
      </c>
      <c r="DS373" s="27" t="s">
        <v>134</v>
      </c>
      <c r="DT373" s="27" t="s">
        <v>160</v>
      </c>
      <c r="DU373" s="27" t="s">
        <v>160</v>
      </c>
      <c r="DV373" s="27" t="s">
        <v>220</v>
      </c>
      <c r="DW373" s="27" t="s">
        <v>135</v>
      </c>
      <c r="DX373" s="27" t="s">
        <v>138</v>
      </c>
      <c r="DY373" s="27" t="s">
        <v>156</v>
      </c>
      <c r="DZ373" s="27" t="n">
        <f aca="false">DY373+DV373+DR373+DN373+DJ373+DF373+DB373</f>
        <v>533</v>
      </c>
      <c r="EA373" s="28" t="n">
        <f aca="false">DZ373/7</f>
        <v>76.1428571428571</v>
      </c>
      <c r="EB373" s="27" t="n">
        <f aca="false">RANK(EA373,$EA$2:$EA$881,0)</f>
        <v>519</v>
      </c>
      <c r="EC373" s="29" t="n">
        <f aca="false">DZ373+CQ373+CP373+AZ373</f>
        <v>2500</v>
      </c>
      <c r="ED373" s="30" t="n">
        <f aca="false">(EA373+CV373+BB373)/3</f>
        <v>79.4714285714286</v>
      </c>
      <c r="EE373" s="51" t="n">
        <f aca="false">ROUND(BE373,3)</f>
        <v>83.593</v>
      </c>
      <c r="EF373" s="51" t="n">
        <f aca="false">ROUND(CR373,3)</f>
        <v>88.571</v>
      </c>
      <c r="EG373" s="51" t="n">
        <f aca="false">ROUND(CS373,3)</f>
        <v>83.571</v>
      </c>
      <c r="EH373" s="51" t="n">
        <f aca="false">ROUND(EA373,3)</f>
        <v>76.143</v>
      </c>
      <c r="EI373" s="51" t="n">
        <f aca="false">ROUND(ED373,3)</f>
        <v>79.471</v>
      </c>
      <c r="EJ373" s="51" t="n">
        <f aca="false">ROUND(CV373,3)</f>
        <v>86.071</v>
      </c>
      <c r="EK373" s="0" t="n">
        <f aca="false">RANK(EI373,$EI$2:$EI$881,0)</f>
        <v>372</v>
      </c>
    </row>
    <row r="374" customFormat="false" ht="15" hidden="false" customHeight="false" outlineLevel="0" collapsed="false">
      <c r="A374" s="4" t="n">
        <v>2096</v>
      </c>
      <c r="B374" s="4" t="n">
        <v>781</v>
      </c>
      <c r="C374" s="27" t="s">
        <v>1213</v>
      </c>
      <c r="D374" s="31" t="n">
        <v>799</v>
      </c>
      <c r="E374" s="16" t="n">
        <v>231800116</v>
      </c>
      <c r="F374" s="56" t="s">
        <v>1214</v>
      </c>
      <c r="G374" s="22" t="s">
        <v>1215</v>
      </c>
      <c r="H374" s="22" t="s">
        <v>129</v>
      </c>
      <c r="I374" s="57"/>
      <c r="J374" s="16" t="n">
        <v>85</v>
      </c>
      <c r="K374" s="16" t="n">
        <v>44</v>
      </c>
      <c r="L374" s="34" t="n">
        <f aca="false">(K374*70)/100</f>
        <v>30.8</v>
      </c>
      <c r="M374" s="34" t="n">
        <f aca="false">ROUNDUP(L374,0)</f>
        <v>31</v>
      </c>
      <c r="N374" s="16" t="n">
        <v>24</v>
      </c>
      <c r="O374" s="34" t="n">
        <f aca="false">N374+L374</f>
        <v>54.8</v>
      </c>
      <c r="P374" s="91" t="n">
        <f aca="false">N374+M374</f>
        <v>55</v>
      </c>
      <c r="Q374" s="16" t="n">
        <v>64</v>
      </c>
      <c r="R374" s="16" t="n">
        <v>63</v>
      </c>
      <c r="S374" s="34" t="n">
        <f aca="false">(R374*70)/100</f>
        <v>44.1</v>
      </c>
      <c r="T374" s="34" t="n">
        <f aca="false">ROUNDUP(S374,0)</f>
        <v>45</v>
      </c>
      <c r="U374" s="16" t="n">
        <v>22</v>
      </c>
      <c r="V374" s="34" t="n">
        <f aca="false">U374+S374</f>
        <v>66.1</v>
      </c>
      <c r="W374" s="34" t="n">
        <f aca="false">U374+T374</f>
        <v>67</v>
      </c>
      <c r="X374" s="16" t="n">
        <v>63</v>
      </c>
      <c r="Y374" s="34" t="n">
        <f aca="false">(X374*70)/100</f>
        <v>44.1</v>
      </c>
      <c r="Z374" s="34" t="n">
        <f aca="false">ROUNDUP(Y374,0)</f>
        <v>45</v>
      </c>
      <c r="AA374" s="16" t="n">
        <v>24</v>
      </c>
      <c r="AB374" s="34" t="n">
        <f aca="false">AA374+Y374</f>
        <v>68.1</v>
      </c>
      <c r="AC374" s="34" t="n">
        <f aca="false">AA374+Z374</f>
        <v>69</v>
      </c>
      <c r="AD374" s="32" t="n">
        <f aca="false">X374+R374+Q374+K374+J374</f>
        <v>319</v>
      </c>
      <c r="AE374" s="16" t="n">
        <f aca="false">AD374/5</f>
        <v>63.8</v>
      </c>
      <c r="AF374" s="16" t="n">
        <v>65</v>
      </c>
      <c r="AG374" s="16" t="n">
        <v>93</v>
      </c>
      <c r="AH374" s="16" t="n">
        <v>64</v>
      </c>
      <c r="AI374" s="16" t="n">
        <v>73</v>
      </c>
      <c r="AJ374" s="16" t="n">
        <f aca="false">(AI374*70)/100</f>
        <v>51.1</v>
      </c>
      <c r="AK374" s="35" t="n">
        <f aca="false">ROUNDUP(AJ374,0)</f>
        <v>52</v>
      </c>
      <c r="AL374" s="16" t="n">
        <v>24</v>
      </c>
      <c r="AM374" s="16" t="n">
        <f aca="false">AL374+AJ374</f>
        <v>75.1</v>
      </c>
      <c r="AN374" s="16" t="n">
        <f aca="false">AL374+AK374</f>
        <v>76</v>
      </c>
      <c r="AO374" s="16" t="n">
        <v>58</v>
      </c>
      <c r="AP374" s="36" t="n">
        <f aca="false">(AO374*70)/100</f>
        <v>40.6</v>
      </c>
      <c r="AQ374" s="37" t="n">
        <f aca="false">ROUNDUP(AP374,0)</f>
        <v>41</v>
      </c>
      <c r="AR374" s="16" t="n">
        <v>27</v>
      </c>
      <c r="AS374" s="16" t="n">
        <f aca="false">AR374+AP374</f>
        <v>67.6</v>
      </c>
      <c r="AT374" s="16" t="n">
        <f aca="false">AR374+AQ374</f>
        <v>68</v>
      </c>
      <c r="AU374" s="16" t="n">
        <f aca="false">AO374+AF374+AI374+AH374+AG374</f>
        <v>353</v>
      </c>
      <c r="AV374" s="16" t="n">
        <f aca="false">(AO374+AF374+AI374+AH374+AG374)/5</f>
        <v>70.6</v>
      </c>
      <c r="AW374" s="36" t="n">
        <f aca="false">(AO374+AF374+AI374+AH374+AG374+X374+R374+Q374+K374+J374)</f>
        <v>672</v>
      </c>
      <c r="AX374" s="16" t="n">
        <f aca="false">AW374/10</f>
        <v>67.2</v>
      </c>
      <c r="AY374" s="16" t="n">
        <f aca="false">AS374+AF374+AM374+AH374+AG374+AB374+V374+Q374+O374+J374</f>
        <v>702.7</v>
      </c>
      <c r="AZ374" s="16" t="n">
        <f aca="false">AT374+AF374+AN374+AH374+AG374+AC374+W374+Q374+P374+J374</f>
        <v>706</v>
      </c>
      <c r="BA374" s="16" t="n">
        <f aca="false">AY374/10</f>
        <v>70.27</v>
      </c>
      <c r="BB374" s="16" t="n">
        <f aca="false">AZ374/10</f>
        <v>70.6</v>
      </c>
      <c r="BC374" s="72" t="n">
        <v>0</v>
      </c>
      <c r="BD374" s="16" t="n">
        <f aca="false">RANK(AX374,$AX$2:$AX$881,0)</f>
        <v>753</v>
      </c>
      <c r="BE374" s="78" t="n">
        <f aca="false">AX374</f>
        <v>67.2</v>
      </c>
      <c r="BF374" s="16" t="n">
        <f aca="false">RANK(BE374,$BE$2:$BE$881,0)</f>
        <v>795</v>
      </c>
      <c r="BG374" s="39" t="n">
        <f aca="false">RANK(BB374,$BB$2:$BB$881,0)</f>
        <v>741</v>
      </c>
      <c r="BH374" s="39" t="n">
        <f aca="false">RANK(BC374,$BC$2:$BC$881,0)</f>
        <v>780</v>
      </c>
      <c r="BI374" s="22" t="s">
        <v>130</v>
      </c>
      <c r="BJ374" s="22" t="s">
        <v>129</v>
      </c>
      <c r="BK374" s="22" t="s">
        <v>526</v>
      </c>
      <c r="BL374" s="41" t="n">
        <v>21</v>
      </c>
      <c r="BM374" s="41" t="n">
        <v>56</v>
      </c>
      <c r="BN374" s="41" t="n">
        <v>77</v>
      </c>
      <c r="BO374" s="42" t="n">
        <v>23</v>
      </c>
      <c r="BP374" s="43" t="n">
        <v>48</v>
      </c>
      <c r="BQ374" s="44" t="n">
        <v>71</v>
      </c>
      <c r="BR374" s="42" t="n">
        <v>21</v>
      </c>
      <c r="BS374" s="45" t="n">
        <v>55</v>
      </c>
      <c r="BT374" s="45" t="n">
        <v>76</v>
      </c>
      <c r="BU374" s="46" t="n">
        <v>100</v>
      </c>
      <c r="BV374" s="47" t="n">
        <v>68</v>
      </c>
      <c r="BW374" s="42" t="n">
        <v>100</v>
      </c>
      <c r="BX374" s="48" t="n">
        <v>92</v>
      </c>
      <c r="BY374" s="25" t="n">
        <v>26</v>
      </c>
      <c r="BZ374" s="25" t="n">
        <v>59</v>
      </c>
      <c r="CA374" s="25" t="n">
        <v>85</v>
      </c>
      <c r="CB374" s="59" t="n">
        <v>22</v>
      </c>
      <c r="CC374" s="58" t="n">
        <v>35</v>
      </c>
      <c r="CD374" s="90" t="n">
        <v>57</v>
      </c>
      <c r="CE374" s="32" t="n">
        <v>23</v>
      </c>
      <c r="CF374" s="32" t="n">
        <v>49</v>
      </c>
      <c r="CG374" s="32" t="n">
        <v>72</v>
      </c>
      <c r="CH374" s="32" t="n">
        <v>99</v>
      </c>
      <c r="CI374" s="32" t="n">
        <v>100</v>
      </c>
      <c r="CJ374" s="49" t="n">
        <v>29</v>
      </c>
      <c r="CK374" s="49" t="n">
        <v>53</v>
      </c>
      <c r="CL374" s="49" t="n">
        <v>82</v>
      </c>
      <c r="CM374" s="49" t="n">
        <v>21</v>
      </c>
      <c r="CN374" s="49" t="n">
        <v>51</v>
      </c>
      <c r="CO374" s="49" t="n">
        <v>72</v>
      </c>
      <c r="CP374" s="25" t="n">
        <f aca="false">BX374+BW374+BV374+BU374+BT374+BQ374+BN374</f>
        <v>584</v>
      </c>
      <c r="CQ374" s="25" t="n">
        <f aca="false">CO374+CL374+CI374+CH374+CG374+CD374+CA374</f>
        <v>567</v>
      </c>
      <c r="CR374" s="26" t="n">
        <f aca="false">CP374/7</f>
        <v>83.4285714285714</v>
      </c>
      <c r="CS374" s="26" t="n">
        <f aca="false">CQ374/7</f>
        <v>81</v>
      </c>
      <c r="CT374" s="24" t="n">
        <f aca="false">RANK(CR374,$CR$2:$CR$881,0)</f>
        <v>502</v>
      </c>
      <c r="CU374" s="25" t="n">
        <f aca="false">RANK(CS374,$CS$2:$CS$881,0)</f>
        <v>225</v>
      </c>
      <c r="CV374" s="26" t="n">
        <f aca="false">(CS374+CR374)/2</f>
        <v>82.2142857142857</v>
      </c>
      <c r="CW374" s="25" t="n">
        <f aca="false">RANK(CV374,$CV$2:$CV$881,0)</f>
        <v>328</v>
      </c>
      <c r="CX374" s="50" t="n">
        <f aca="false">(CV374+BB374)/2</f>
        <v>76.4071428571429</v>
      </c>
      <c r="CY374" s="50" t="n">
        <v>520</v>
      </c>
      <c r="CZ374" s="27" t="s">
        <v>132</v>
      </c>
      <c r="DA374" s="27" t="s">
        <v>133</v>
      </c>
      <c r="DB374" s="27" t="s">
        <v>133</v>
      </c>
      <c r="DC374" s="27" t="s">
        <v>134</v>
      </c>
      <c r="DD374" s="27" t="s">
        <v>164</v>
      </c>
      <c r="DE374" s="27" t="s">
        <v>177</v>
      </c>
      <c r="DF374" s="27" t="s">
        <v>178</v>
      </c>
      <c r="DG374" s="27" t="s">
        <v>134</v>
      </c>
      <c r="DH374" s="27" t="s">
        <v>174</v>
      </c>
      <c r="DI374" s="27" t="s">
        <v>306</v>
      </c>
      <c r="DJ374" s="27" t="s">
        <v>382</v>
      </c>
      <c r="DK374" s="27" t="s">
        <v>134</v>
      </c>
      <c r="DL374" s="27" t="s">
        <v>137</v>
      </c>
      <c r="DM374" s="27" t="s">
        <v>203</v>
      </c>
      <c r="DN374" s="27" t="s">
        <v>133</v>
      </c>
      <c r="DO374" s="27" t="s">
        <v>134</v>
      </c>
      <c r="DP374" s="27" t="s">
        <v>195</v>
      </c>
      <c r="DQ374" s="27" t="s">
        <v>304</v>
      </c>
      <c r="DR374" s="27" t="s">
        <v>441</v>
      </c>
      <c r="DS374" s="27" t="s">
        <v>134</v>
      </c>
      <c r="DT374" s="27" t="s">
        <v>164</v>
      </c>
      <c r="DU374" s="27" t="s">
        <v>204</v>
      </c>
      <c r="DV374" s="27" t="s">
        <v>202</v>
      </c>
      <c r="DW374" s="27" t="s">
        <v>140</v>
      </c>
      <c r="DX374" s="27" t="s">
        <v>138</v>
      </c>
      <c r="DY374" s="27" t="s">
        <v>145</v>
      </c>
      <c r="DZ374" s="27" t="n">
        <f aca="false">DY374+DV374+DR374+DN374+DJ374+DF374+DB374</f>
        <v>599</v>
      </c>
      <c r="EA374" s="28" t="n">
        <f aca="false">DZ374/7</f>
        <v>85.5714285714286</v>
      </c>
      <c r="EB374" s="27" t="n">
        <f aca="false">RANK(EA374,$EA$2:$EA$881,0)</f>
        <v>166</v>
      </c>
      <c r="EC374" s="29" t="n">
        <f aca="false">DZ374+CQ374+CP374+AZ374</f>
        <v>2456</v>
      </c>
      <c r="ED374" s="30" t="n">
        <f aca="false">(EA374+CV374+BB374)/3</f>
        <v>79.4619047619048</v>
      </c>
      <c r="EE374" s="51" t="n">
        <f aca="false">ROUND(BE374,3)</f>
        <v>67.2</v>
      </c>
      <c r="EF374" s="51" t="n">
        <f aca="false">ROUND(CR374,3)</f>
        <v>83.429</v>
      </c>
      <c r="EG374" s="51" t="n">
        <f aca="false">ROUND(CS374,3)</f>
        <v>81</v>
      </c>
      <c r="EH374" s="51" t="n">
        <f aca="false">ROUND(EA374,3)</f>
        <v>85.571</v>
      </c>
      <c r="EI374" s="51" t="n">
        <f aca="false">ROUND(ED374,3)</f>
        <v>79.462</v>
      </c>
      <c r="EJ374" s="51" t="n">
        <f aca="false">ROUND(CV374,3)</f>
        <v>82.214</v>
      </c>
      <c r="EK374" s="0" t="n">
        <f aca="false">RANK(EI374,$EI$2:$EI$881,0)</f>
        <v>373</v>
      </c>
    </row>
    <row r="375" customFormat="false" ht="17.45" hidden="false" customHeight="false" outlineLevel="0" collapsed="false">
      <c r="A375" s="4" t="n">
        <v>8745</v>
      </c>
      <c r="B375" s="4" t="n">
        <v>676</v>
      </c>
      <c r="C375" s="27" t="s">
        <v>1216</v>
      </c>
      <c r="D375" s="31" t="n">
        <v>690</v>
      </c>
      <c r="E375" s="16" t="n">
        <v>230506576</v>
      </c>
      <c r="F375" s="56" t="s">
        <v>1217</v>
      </c>
      <c r="G375" s="22" t="s">
        <v>389</v>
      </c>
      <c r="H375" s="22" t="s">
        <v>558</v>
      </c>
      <c r="I375" s="57"/>
      <c r="J375" s="16" t="n">
        <v>67</v>
      </c>
      <c r="K375" s="16" t="n">
        <v>77</v>
      </c>
      <c r="L375" s="34" t="n">
        <f aca="false">(K375*70)/100</f>
        <v>53.9</v>
      </c>
      <c r="M375" s="34" t="n">
        <f aca="false">ROUNDUP(L375,0)</f>
        <v>54</v>
      </c>
      <c r="N375" s="16" t="n">
        <v>26</v>
      </c>
      <c r="O375" s="34" t="n">
        <f aca="false">N375+L375</f>
        <v>79.9</v>
      </c>
      <c r="P375" s="34" t="n">
        <f aca="false">N375+M375</f>
        <v>80</v>
      </c>
      <c r="Q375" s="71" t="n">
        <v>56</v>
      </c>
      <c r="R375" s="16" t="n">
        <v>84</v>
      </c>
      <c r="S375" s="34" t="n">
        <f aca="false">(R375*70)/100</f>
        <v>58.8</v>
      </c>
      <c r="T375" s="34" t="n">
        <f aca="false">ROUNDUP(S375,0)</f>
        <v>59</v>
      </c>
      <c r="U375" s="16" t="n">
        <v>29</v>
      </c>
      <c r="V375" s="34" t="n">
        <f aca="false">U375+S375</f>
        <v>87.8</v>
      </c>
      <c r="W375" s="34" t="n">
        <f aca="false">U375+T375</f>
        <v>88</v>
      </c>
      <c r="X375" s="16" t="n">
        <v>84</v>
      </c>
      <c r="Y375" s="34" t="n">
        <f aca="false">(X375*70)/100</f>
        <v>58.8</v>
      </c>
      <c r="Z375" s="34" t="n">
        <f aca="false">ROUNDUP(Y375,0)</f>
        <v>59</v>
      </c>
      <c r="AA375" s="16" t="n">
        <v>22</v>
      </c>
      <c r="AB375" s="34" t="n">
        <f aca="false">AA375+Y375</f>
        <v>80.8</v>
      </c>
      <c r="AC375" s="34" t="n">
        <f aca="false">AA375+Z375</f>
        <v>81</v>
      </c>
      <c r="AD375" s="32" t="n">
        <f aca="false">X375+R375+Q375+K375+J375</f>
        <v>368</v>
      </c>
      <c r="AE375" s="16" t="n">
        <f aca="false">AD375/5</f>
        <v>73.6</v>
      </c>
      <c r="AF375" s="16" t="n">
        <v>79</v>
      </c>
      <c r="AG375" s="16" t="n">
        <v>88</v>
      </c>
      <c r="AH375" s="16" t="n">
        <v>95</v>
      </c>
      <c r="AI375" s="16" t="n">
        <v>80</v>
      </c>
      <c r="AJ375" s="16" t="n">
        <f aca="false">(AI375*70)/100</f>
        <v>56</v>
      </c>
      <c r="AK375" s="35" t="n">
        <f aca="false">ROUNDUP(AJ375,0)</f>
        <v>56</v>
      </c>
      <c r="AL375" s="16" t="n">
        <v>27</v>
      </c>
      <c r="AM375" s="16" t="n">
        <f aca="false">AL375+AJ375</f>
        <v>83</v>
      </c>
      <c r="AN375" s="16" t="n">
        <f aca="false">AL375+AK375</f>
        <v>83</v>
      </c>
      <c r="AO375" s="16" t="n">
        <v>75</v>
      </c>
      <c r="AP375" s="36" t="n">
        <f aca="false">(AO375*70)/100</f>
        <v>52.5</v>
      </c>
      <c r="AQ375" s="37" t="n">
        <f aca="false">ROUNDUP(AP375,0)</f>
        <v>53</v>
      </c>
      <c r="AR375" s="16" t="n">
        <v>27</v>
      </c>
      <c r="AS375" s="16" t="n">
        <f aca="false">AR375+AP375</f>
        <v>79.5</v>
      </c>
      <c r="AT375" s="16" t="n">
        <f aca="false">AR375+AQ375</f>
        <v>80</v>
      </c>
      <c r="AU375" s="16" t="n">
        <f aca="false">AO375+AF375+AI375+AH375+AG375</f>
        <v>417</v>
      </c>
      <c r="AV375" s="16" t="n">
        <f aca="false">(AO375+AF375+AI375+AH375+AG375)/5</f>
        <v>83.4</v>
      </c>
      <c r="AW375" s="36" t="n">
        <f aca="false">(AO375+AF375+AI375+AH375+AG375+X375+R375+Q375+K375+J375)</f>
        <v>785</v>
      </c>
      <c r="AX375" s="16" t="n">
        <f aca="false">AW375/10</f>
        <v>78.5</v>
      </c>
      <c r="AY375" s="16" t="n">
        <f aca="false">AS375+AF375+AM375+AH375+AG375+AB375+V375+Q375+O375+J375</f>
        <v>796</v>
      </c>
      <c r="AZ375" s="16" t="n">
        <f aca="false">AT375+AF375+AN375+AH375+AG375+AC375+W375+Q375+P375+J375</f>
        <v>797</v>
      </c>
      <c r="BA375" s="16" t="n">
        <f aca="false">AY375/10</f>
        <v>79.6</v>
      </c>
      <c r="BB375" s="16" t="n">
        <f aca="false">AZ375/10</f>
        <v>79.7</v>
      </c>
      <c r="BC375" s="16" t="n">
        <v>2353</v>
      </c>
      <c r="BD375" s="16" t="n">
        <f aca="false">RANK(AX375,$AX$2:$AX$881,0)</f>
        <v>375</v>
      </c>
      <c r="BE375" s="54" t="n">
        <f aca="false">((BC375*100)/2400)*0.4+(AX375*0.6)</f>
        <v>86.3166666666667</v>
      </c>
      <c r="BF375" s="16" t="n">
        <f aca="false">RANK(BE375,$BE$2:$BE$881,0)</f>
        <v>378</v>
      </c>
      <c r="BG375" s="39" t="n">
        <f aca="false">RANK(BB375,$BB$2:$BB$881,0)</f>
        <v>381</v>
      </c>
      <c r="BH375" s="39" t="n">
        <f aca="false">RANK(BC375,$BC$2:$BC$881,0)</f>
        <v>507</v>
      </c>
      <c r="BI375" s="22" t="s">
        <v>130</v>
      </c>
      <c r="BJ375" s="22" t="s">
        <v>129</v>
      </c>
      <c r="BK375" s="40" t="s">
        <v>131</v>
      </c>
      <c r="BL375" s="41" t="n">
        <v>22</v>
      </c>
      <c r="BM375" s="41" t="n">
        <v>53</v>
      </c>
      <c r="BN375" s="41" t="n">
        <v>75</v>
      </c>
      <c r="BO375" s="42" t="n">
        <v>26</v>
      </c>
      <c r="BP375" s="43" t="n">
        <v>63</v>
      </c>
      <c r="BQ375" s="44" t="n">
        <v>89</v>
      </c>
      <c r="BR375" s="42" t="n">
        <v>25</v>
      </c>
      <c r="BS375" s="45" t="n">
        <v>61</v>
      </c>
      <c r="BT375" s="45" t="n">
        <v>86</v>
      </c>
      <c r="BU375" s="46" t="n">
        <v>100</v>
      </c>
      <c r="BV375" s="47" t="n">
        <v>86</v>
      </c>
      <c r="BW375" s="42" t="n">
        <v>100</v>
      </c>
      <c r="BX375" s="62" t="n">
        <v>96</v>
      </c>
      <c r="BY375" s="62" t="n">
        <v>26</v>
      </c>
      <c r="BZ375" s="62" t="n">
        <v>58</v>
      </c>
      <c r="CA375" s="62" t="n">
        <v>84</v>
      </c>
      <c r="CB375" s="62" t="n">
        <v>26</v>
      </c>
      <c r="CC375" s="62" t="n">
        <v>40</v>
      </c>
      <c r="CD375" s="62" t="n">
        <v>66</v>
      </c>
      <c r="CE375" s="62" t="n">
        <v>26</v>
      </c>
      <c r="CF375" s="62" t="n">
        <v>65</v>
      </c>
      <c r="CG375" s="62" t="n">
        <v>91</v>
      </c>
      <c r="CH375" s="62" t="n">
        <v>98</v>
      </c>
      <c r="CI375" s="62" t="n">
        <v>98</v>
      </c>
      <c r="CJ375" s="75" t="n">
        <v>21</v>
      </c>
      <c r="CK375" s="75" t="n">
        <v>48</v>
      </c>
      <c r="CL375" s="75" t="n">
        <v>69</v>
      </c>
      <c r="CM375" s="49" t="n">
        <v>22</v>
      </c>
      <c r="CN375" s="49" t="n">
        <v>51</v>
      </c>
      <c r="CO375" s="49" t="n">
        <v>73</v>
      </c>
      <c r="CP375" s="25" t="n">
        <f aca="false">BX375+BW375+BV375+BU375+BT375+BQ375+BN375</f>
        <v>632</v>
      </c>
      <c r="CQ375" s="25" t="n">
        <f aca="false">CO375+CL375+CI375+CH375+CG375+CD375+CA375</f>
        <v>579</v>
      </c>
      <c r="CR375" s="26" t="n">
        <f aca="false">CP375/7</f>
        <v>90.2857142857143</v>
      </c>
      <c r="CS375" s="26" t="n">
        <f aca="false">CQ375/7</f>
        <v>82.7142857142857</v>
      </c>
      <c r="CT375" s="24" t="n">
        <f aca="false">RANK(CR375,$CR$2:$CR$881,0)</f>
        <v>160</v>
      </c>
      <c r="CU375" s="25" t="n">
        <f aca="false">RANK(CS375,$CS$2:$CS$881,0)</f>
        <v>167</v>
      </c>
      <c r="CV375" s="26" t="n">
        <f aca="false">(CS375+CR375)/2</f>
        <v>86.5</v>
      </c>
      <c r="CW375" s="25" t="n">
        <f aca="false">RANK(CV375,$CV$2:$CV$881,0)</f>
        <v>154</v>
      </c>
      <c r="CX375" s="50" t="n">
        <f aca="false">(CV375+BB375)/2</f>
        <v>83.1</v>
      </c>
      <c r="CY375" s="50" t="n">
        <v>209</v>
      </c>
      <c r="CZ375" s="27" t="s">
        <v>132</v>
      </c>
      <c r="DA375" s="27" t="s">
        <v>205</v>
      </c>
      <c r="DB375" s="27" t="s">
        <v>205</v>
      </c>
      <c r="DC375" s="27" t="s">
        <v>134</v>
      </c>
      <c r="DD375" s="27" t="s">
        <v>182</v>
      </c>
      <c r="DE375" s="27" t="s">
        <v>218</v>
      </c>
      <c r="DF375" s="27" t="s">
        <v>196</v>
      </c>
      <c r="DG375" s="27" t="s">
        <v>134</v>
      </c>
      <c r="DH375" s="27" t="s">
        <v>135</v>
      </c>
      <c r="DI375" s="27" t="s">
        <v>161</v>
      </c>
      <c r="DJ375" s="27" t="s">
        <v>202</v>
      </c>
      <c r="DK375" s="27" t="s">
        <v>134</v>
      </c>
      <c r="DL375" s="27" t="s">
        <v>135</v>
      </c>
      <c r="DM375" s="27" t="s">
        <v>177</v>
      </c>
      <c r="DN375" s="27" t="s">
        <v>175</v>
      </c>
      <c r="DO375" s="27" t="s">
        <v>134</v>
      </c>
      <c r="DP375" s="27"/>
      <c r="DQ375" s="27"/>
      <c r="DR375" s="27"/>
      <c r="DS375" s="27"/>
      <c r="DT375" s="27" t="s">
        <v>160</v>
      </c>
      <c r="DU375" s="27" t="s">
        <v>313</v>
      </c>
      <c r="DV375" s="27" t="s">
        <v>219</v>
      </c>
      <c r="DW375" s="27" t="s">
        <v>137</v>
      </c>
      <c r="DX375" s="27" t="s">
        <v>163</v>
      </c>
      <c r="DY375" s="27" t="s">
        <v>170</v>
      </c>
      <c r="DZ375" s="27" t="n">
        <f aca="false">DY375+DV375+DR375+DN375+DJ375+DF375+DB375</f>
        <v>505</v>
      </c>
      <c r="EA375" s="28" t="n">
        <f aca="false">DZ375/7</f>
        <v>72.1428571428571</v>
      </c>
      <c r="EB375" s="27" t="n">
        <f aca="false">RANK(EA375,$EA$2:$EA$881,0)</f>
        <v>606</v>
      </c>
      <c r="EC375" s="29" t="n">
        <f aca="false">DZ375+CQ375+CP375+AZ375</f>
        <v>2513</v>
      </c>
      <c r="ED375" s="30" t="n">
        <f aca="false">(EA375+CV375+BB375)/3</f>
        <v>79.4476190476191</v>
      </c>
      <c r="EE375" s="51" t="n">
        <f aca="false">ROUND(BE375,3)</f>
        <v>86.317</v>
      </c>
      <c r="EF375" s="51" t="n">
        <f aca="false">ROUND(CR375,3)</f>
        <v>90.286</v>
      </c>
      <c r="EG375" s="51" t="n">
        <f aca="false">ROUND(CS375,3)</f>
        <v>82.714</v>
      </c>
      <c r="EH375" s="51" t="n">
        <f aca="false">ROUND(EA375,3)</f>
        <v>72.143</v>
      </c>
      <c r="EI375" s="51" t="n">
        <f aca="false">ROUND(ED375,3)</f>
        <v>79.448</v>
      </c>
      <c r="EJ375" s="51" t="n">
        <f aca="false">ROUND(CV375,3)</f>
        <v>86.5</v>
      </c>
      <c r="EK375" s="0" t="n">
        <f aca="false">RANK(EI375,$EI$2:$EI$881,0)</f>
        <v>374</v>
      </c>
    </row>
    <row r="376" customFormat="false" ht="15" hidden="false" customHeight="false" outlineLevel="0" collapsed="false">
      <c r="A376" s="4" t="n">
        <v>8756</v>
      </c>
      <c r="B376" s="4" t="n">
        <v>419</v>
      </c>
      <c r="C376" s="27" t="s">
        <v>1218</v>
      </c>
      <c r="D376" s="31" t="n">
        <v>424</v>
      </c>
      <c r="E376" s="16" t="n">
        <v>230324844</v>
      </c>
      <c r="F376" s="56" t="s">
        <v>1219</v>
      </c>
      <c r="G376" s="22" t="s">
        <v>1082</v>
      </c>
      <c r="H376" s="22" t="s">
        <v>129</v>
      </c>
      <c r="I376" s="57"/>
      <c r="J376" s="16" t="n">
        <v>90</v>
      </c>
      <c r="K376" s="16" t="n">
        <v>79</v>
      </c>
      <c r="L376" s="34" t="n">
        <f aca="false">(K376*70)/100</f>
        <v>55.3</v>
      </c>
      <c r="M376" s="34" t="n">
        <f aca="false">ROUNDUP(L376,0)</f>
        <v>56</v>
      </c>
      <c r="N376" s="16" t="n">
        <v>26</v>
      </c>
      <c r="O376" s="34" t="n">
        <f aca="false">N376+L376</f>
        <v>81.3</v>
      </c>
      <c r="P376" s="34" t="n">
        <f aca="false">N376+M376</f>
        <v>82</v>
      </c>
      <c r="Q376" s="16" t="n">
        <v>78</v>
      </c>
      <c r="R376" s="16" t="n">
        <v>59</v>
      </c>
      <c r="S376" s="34" t="n">
        <f aca="false">(R376*70)/100</f>
        <v>41.3</v>
      </c>
      <c r="T376" s="34" t="n">
        <f aca="false">ROUNDUP(S376,0)</f>
        <v>42</v>
      </c>
      <c r="U376" s="16" t="n">
        <v>19</v>
      </c>
      <c r="V376" s="34" t="n">
        <f aca="false">U376+S376</f>
        <v>60.3</v>
      </c>
      <c r="W376" s="34" t="n">
        <f aca="false">U376+T376</f>
        <v>61</v>
      </c>
      <c r="X376" s="16" t="n">
        <v>53</v>
      </c>
      <c r="Y376" s="34" t="n">
        <f aca="false">(X376*70)/100</f>
        <v>37.1</v>
      </c>
      <c r="Z376" s="34" t="n">
        <f aca="false">ROUNDUP(Y376,0)</f>
        <v>38</v>
      </c>
      <c r="AA376" s="16" t="n">
        <v>24</v>
      </c>
      <c r="AB376" s="34" t="n">
        <f aca="false">AA376+Y376</f>
        <v>61.1</v>
      </c>
      <c r="AC376" s="34" t="n">
        <f aca="false">AA376+Z376</f>
        <v>62</v>
      </c>
      <c r="AD376" s="32" t="n">
        <f aca="false">X376+R376+Q376+K376+J376</f>
        <v>359</v>
      </c>
      <c r="AE376" s="16" t="n">
        <f aca="false">AD376/5</f>
        <v>71.8</v>
      </c>
      <c r="AF376" s="71" t="n">
        <v>51</v>
      </c>
      <c r="AG376" s="16" t="n">
        <v>69</v>
      </c>
      <c r="AH376" s="16" t="n">
        <v>81</v>
      </c>
      <c r="AI376" s="16" t="n">
        <v>80</v>
      </c>
      <c r="AJ376" s="16" t="n">
        <f aca="false">(AI376*70)/100</f>
        <v>56</v>
      </c>
      <c r="AK376" s="35" t="n">
        <f aca="false">ROUNDUP(AJ376,0)</f>
        <v>56</v>
      </c>
      <c r="AL376" s="16" t="n">
        <v>17</v>
      </c>
      <c r="AM376" s="16" t="n">
        <f aca="false">AL376+AJ376</f>
        <v>73</v>
      </c>
      <c r="AN376" s="16" t="n">
        <f aca="false">AL376+AK376</f>
        <v>73</v>
      </c>
      <c r="AO376" s="16" t="n">
        <v>51</v>
      </c>
      <c r="AP376" s="36" t="n">
        <f aca="false">(AO376*70)/100</f>
        <v>35.7</v>
      </c>
      <c r="AQ376" s="37" t="n">
        <f aca="false">ROUNDUP(AP376,0)</f>
        <v>36</v>
      </c>
      <c r="AR376" s="16" t="n">
        <v>27</v>
      </c>
      <c r="AS376" s="16" t="n">
        <f aca="false">AR376+AP376</f>
        <v>62.7</v>
      </c>
      <c r="AT376" s="16" t="n">
        <f aca="false">AR376+AQ376</f>
        <v>63</v>
      </c>
      <c r="AU376" s="16" t="n">
        <f aca="false">AO376+AF376+AI376+AH376+AG376</f>
        <v>332</v>
      </c>
      <c r="AV376" s="16" t="n">
        <f aca="false">(AO376+AF376+AI376+AH376+AG376)/5</f>
        <v>66.4</v>
      </c>
      <c r="AW376" s="36" t="n">
        <f aca="false">(AO376+AF376+AI376+AH376+AG376+X376+R376+Q376+K376+J376)</f>
        <v>691</v>
      </c>
      <c r="AX376" s="16" t="n">
        <f aca="false">AW376/10</f>
        <v>69.1</v>
      </c>
      <c r="AY376" s="16" t="n">
        <f aca="false">AS376+AF376+AM376+AH376+AG376+AB376+V376+Q376+O376+J376</f>
        <v>707.4</v>
      </c>
      <c r="AZ376" s="16" t="n">
        <f aca="false">AT376+AF376+AN376+AH376+AG376+AC376+W376+Q376+P376+J376</f>
        <v>710</v>
      </c>
      <c r="BA376" s="16" t="n">
        <f aca="false">AY376/10</f>
        <v>70.74</v>
      </c>
      <c r="BB376" s="16" t="n">
        <f aca="false">AZ376/10</f>
        <v>71</v>
      </c>
      <c r="BC376" s="16" t="n">
        <v>2236</v>
      </c>
      <c r="BD376" s="16" t="n">
        <f aca="false">RANK(AX376,$AX$2:$AX$881,0)</f>
        <v>742</v>
      </c>
      <c r="BE376" s="78" t="n">
        <f aca="false">((BC376*100)/2400)*0.4+(AX376*0.6)</f>
        <v>78.7266666666667</v>
      </c>
      <c r="BF376" s="16" t="n">
        <f aca="false">RANK(BE376,$BE$2:$BE$881,0)</f>
        <v>740</v>
      </c>
      <c r="BG376" s="39" t="n">
        <f aca="false">RANK(BB376,$BB$2:$BB$881,0)</f>
        <v>737</v>
      </c>
      <c r="BH376" s="39" t="n">
        <f aca="false">RANK(BC376,$BC$2:$BC$881,0)</f>
        <v>767</v>
      </c>
      <c r="BI376" s="22" t="s">
        <v>130</v>
      </c>
      <c r="BJ376" s="22" t="s">
        <v>129</v>
      </c>
      <c r="BK376" s="22" t="s">
        <v>1220</v>
      </c>
      <c r="BL376" s="41" t="n">
        <v>20</v>
      </c>
      <c r="BM376" s="41" t="n">
        <v>57</v>
      </c>
      <c r="BN376" s="41" t="n">
        <v>77</v>
      </c>
      <c r="BO376" s="42" t="n">
        <v>25</v>
      </c>
      <c r="BP376" s="43" t="n">
        <v>57</v>
      </c>
      <c r="BQ376" s="44" t="n">
        <v>82</v>
      </c>
      <c r="BR376" s="42" t="n">
        <v>25</v>
      </c>
      <c r="BS376" s="45" t="n">
        <v>56</v>
      </c>
      <c r="BT376" s="45" t="n">
        <v>81</v>
      </c>
      <c r="BU376" s="46" t="n">
        <v>100</v>
      </c>
      <c r="BV376" s="81" t="n">
        <v>74</v>
      </c>
      <c r="BW376" s="42" t="n">
        <v>98</v>
      </c>
      <c r="BX376" s="48" t="n">
        <v>88</v>
      </c>
      <c r="BY376" s="32" t="n">
        <v>24</v>
      </c>
      <c r="BZ376" s="32" t="n">
        <v>62</v>
      </c>
      <c r="CA376" s="32" t="n">
        <v>86</v>
      </c>
      <c r="CB376" s="32" t="n">
        <v>20</v>
      </c>
      <c r="CC376" s="32" t="n">
        <v>39</v>
      </c>
      <c r="CD376" s="69" t="n">
        <v>59</v>
      </c>
      <c r="CE376" s="32" t="n">
        <v>28</v>
      </c>
      <c r="CF376" s="32" t="n">
        <v>48</v>
      </c>
      <c r="CG376" s="32" t="n">
        <v>76</v>
      </c>
      <c r="CH376" s="32" t="n">
        <v>99</v>
      </c>
      <c r="CI376" s="32" t="n">
        <v>96</v>
      </c>
      <c r="CJ376" s="49" t="n">
        <v>29</v>
      </c>
      <c r="CK376" s="49" t="n">
        <v>47</v>
      </c>
      <c r="CL376" s="49" t="n">
        <v>76</v>
      </c>
      <c r="CM376" s="49" t="n">
        <v>26</v>
      </c>
      <c r="CN376" s="49" t="n">
        <v>51</v>
      </c>
      <c r="CO376" s="49" t="n">
        <v>77</v>
      </c>
      <c r="CP376" s="25" t="n">
        <f aca="false">BX376+BW376+BV376+BU376+BT376+BQ376+BN376</f>
        <v>600</v>
      </c>
      <c r="CQ376" s="25" t="n">
        <f aca="false">CO376+CL376+CI376+CH376+CG376+CD376+CA376</f>
        <v>569</v>
      </c>
      <c r="CR376" s="26" t="n">
        <f aca="false">CP376/7</f>
        <v>85.7142857142857</v>
      </c>
      <c r="CS376" s="26" t="n">
        <f aca="false">CQ376/7</f>
        <v>81.2857142857143</v>
      </c>
      <c r="CT376" s="24" t="n">
        <f aca="false">RANK(CR376,$CR$2:$CR$881,0)</f>
        <v>413</v>
      </c>
      <c r="CU376" s="25" t="n">
        <f aca="false">RANK(CS376,$CS$2:$CS$881,0)</f>
        <v>216</v>
      </c>
      <c r="CV376" s="26" t="n">
        <f aca="false">(CS376+CR376)/2</f>
        <v>83.5</v>
      </c>
      <c r="CW376" s="25" t="n">
        <f aca="false">RANK(CV376,$CV$2:$CV$881,0)</f>
        <v>278</v>
      </c>
      <c r="CX376" s="50" t="n">
        <f aca="false">(CV376+BB376)/2</f>
        <v>77.25</v>
      </c>
      <c r="CY376" s="50" t="n">
        <v>556</v>
      </c>
      <c r="CZ376" s="27" t="s">
        <v>132</v>
      </c>
      <c r="DA376" s="27" t="s">
        <v>162</v>
      </c>
      <c r="DB376" s="27" t="s">
        <v>162</v>
      </c>
      <c r="DC376" s="27" t="s">
        <v>134</v>
      </c>
      <c r="DD376" s="27" t="s">
        <v>154</v>
      </c>
      <c r="DE376" s="27" t="s">
        <v>161</v>
      </c>
      <c r="DF376" s="27" t="s">
        <v>209</v>
      </c>
      <c r="DG376" s="27" t="s">
        <v>134</v>
      </c>
      <c r="DH376" s="27" t="s">
        <v>135</v>
      </c>
      <c r="DI376" s="27" t="s">
        <v>306</v>
      </c>
      <c r="DJ376" s="27" t="s">
        <v>219</v>
      </c>
      <c r="DK376" s="27" t="s">
        <v>134</v>
      </c>
      <c r="DL376" s="27" t="s">
        <v>135</v>
      </c>
      <c r="DM376" s="27" t="s">
        <v>218</v>
      </c>
      <c r="DN376" s="27" t="s">
        <v>205</v>
      </c>
      <c r="DO376" s="27" t="s">
        <v>134</v>
      </c>
      <c r="DP376" s="27" t="s">
        <v>195</v>
      </c>
      <c r="DQ376" s="27" t="s">
        <v>313</v>
      </c>
      <c r="DR376" s="27" t="s">
        <v>486</v>
      </c>
      <c r="DS376" s="27" t="s">
        <v>134</v>
      </c>
      <c r="DT376" s="27" t="s">
        <v>164</v>
      </c>
      <c r="DU376" s="27" t="s">
        <v>218</v>
      </c>
      <c r="DV376" s="27" t="s">
        <v>209</v>
      </c>
      <c r="DW376" s="27" t="s">
        <v>135</v>
      </c>
      <c r="DX376" s="27" t="s">
        <v>138</v>
      </c>
      <c r="DY376" s="27" t="s">
        <v>156</v>
      </c>
      <c r="DZ376" s="27" t="n">
        <f aca="false">DY376+DV376+DR376+DN376+DJ376+DF376+DB376</f>
        <v>586</v>
      </c>
      <c r="EA376" s="28" t="n">
        <f aca="false">DZ376/7</f>
        <v>83.7142857142857</v>
      </c>
      <c r="EB376" s="27" t="n">
        <f aca="false">RANK(EA376,$EA$2:$EA$881,0)</f>
        <v>237</v>
      </c>
      <c r="EC376" s="29" t="n">
        <f aca="false">DZ376+CQ376+CP376+AZ376</f>
        <v>2465</v>
      </c>
      <c r="ED376" s="30" t="n">
        <f aca="false">(EA376+CV376+BB376)/3</f>
        <v>79.4047619047619</v>
      </c>
      <c r="EE376" s="51" t="n">
        <f aca="false">ROUND(BE376,3)</f>
        <v>78.727</v>
      </c>
      <c r="EF376" s="51" t="n">
        <f aca="false">ROUND(CR376,3)</f>
        <v>85.714</v>
      </c>
      <c r="EG376" s="51" t="n">
        <f aca="false">ROUND(CS376,3)</f>
        <v>81.286</v>
      </c>
      <c r="EH376" s="51" t="n">
        <f aca="false">ROUND(EA376,3)</f>
        <v>83.714</v>
      </c>
      <c r="EI376" s="51" t="n">
        <f aca="false">ROUND(ED376,3)</f>
        <v>79.405</v>
      </c>
      <c r="EJ376" s="51" t="n">
        <f aca="false">ROUND(CV376,3)</f>
        <v>83.5</v>
      </c>
      <c r="EK376" s="0" t="n">
        <f aca="false">RANK(EI376,$EI$2:$EI$881,0)</f>
        <v>375</v>
      </c>
    </row>
    <row r="377" customFormat="false" ht="15" hidden="false" customHeight="false" outlineLevel="0" collapsed="false">
      <c r="A377" s="4" t="n">
        <v>2008</v>
      </c>
      <c r="B377" s="4" t="n">
        <v>610</v>
      </c>
      <c r="C377" s="27" t="s">
        <v>1221</v>
      </c>
      <c r="D377" s="31" t="n">
        <v>617</v>
      </c>
      <c r="E377" s="16" t="n">
        <v>230132513</v>
      </c>
      <c r="F377" s="56" t="s">
        <v>1222</v>
      </c>
      <c r="G377" s="22" t="s">
        <v>888</v>
      </c>
      <c r="H377" s="22" t="s">
        <v>326</v>
      </c>
      <c r="I377" s="57"/>
      <c r="J377" s="16" t="n">
        <v>93</v>
      </c>
      <c r="K377" s="16" t="n">
        <v>74</v>
      </c>
      <c r="L377" s="34" t="n">
        <f aca="false">(K377*70)/100</f>
        <v>51.8</v>
      </c>
      <c r="M377" s="34" t="n">
        <f aca="false">ROUNDUP(L377,0)</f>
        <v>52</v>
      </c>
      <c r="N377" s="16" t="n">
        <v>26</v>
      </c>
      <c r="O377" s="34" t="n">
        <f aca="false">N377+L377</f>
        <v>77.8</v>
      </c>
      <c r="P377" s="34" t="n">
        <f aca="false">N377+M377</f>
        <v>78</v>
      </c>
      <c r="Q377" s="16" t="n">
        <v>68</v>
      </c>
      <c r="R377" s="16" t="n">
        <v>66</v>
      </c>
      <c r="S377" s="34" t="n">
        <f aca="false">(R377*70)/100</f>
        <v>46.2</v>
      </c>
      <c r="T377" s="34" t="n">
        <f aca="false">ROUNDUP(S377,0)</f>
        <v>47</v>
      </c>
      <c r="U377" s="16" t="n">
        <v>26</v>
      </c>
      <c r="V377" s="34" t="n">
        <f aca="false">U377+S377</f>
        <v>72.2</v>
      </c>
      <c r="W377" s="34" t="n">
        <f aca="false">U377+T377</f>
        <v>73</v>
      </c>
      <c r="X377" s="16" t="n">
        <v>68</v>
      </c>
      <c r="Y377" s="34" t="n">
        <f aca="false">(X377*70)/100</f>
        <v>47.6</v>
      </c>
      <c r="Z377" s="34" t="n">
        <f aca="false">ROUNDUP(Y377,0)</f>
        <v>48</v>
      </c>
      <c r="AA377" s="16" t="n">
        <v>28</v>
      </c>
      <c r="AB377" s="34" t="n">
        <f aca="false">AA377+Y377</f>
        <v>75.6</v>
      </c>
      <c r="AC377" s="34" t="n">
        <f aca="false">AA377+Z377</f>
        <v>76</v>
      </c>
      <c r="AD377" s="32" t="n">
        <f aca="false">X377+R377+Q377+K377+J377</f>
        <v>369</v>
      </c>
      <c r="AE377" s="16" t="n">
        <f aca="false">AD377/5</f>
        <v>73.8</v>
      </c>
      <c r="AF377" s="71" t="n">
        <v>59</v>
      </c>
      <c r="AG377" s="16" t="n">
        <v>90</v>
      </c>
      <c r="AH377" s="16" t="n">
        <v>80</v>
      </c>
      <c r="AI377" s="16" t="n">
        <v>89</v>
      </c>
      <c r="AJ377" s="16" t="n">
        <f aca="false">(AI377*70)/100</f>
        <v>62.3</v>
      </c>
      <c r="AK377" s="35" t="n">
        <f aca="false">ROUNDUP(AJ377,0)</f>
        <v>63</v>
      </c>
      <c r="AL377" s="16" t="n">
        <v>28</v>
      </c>
      <c r="AM377" s="16" t="n">
        <f aca="false">AL377+AJ377</f>
        <v>90.3</v>
      </c>
      <c r="AN377" s="16" t="n">
        <f aca="false">AL377+AK377</f>
        <v>91</v>
      </c>
      <c r="AO377" s="16" t="n">
        <v>67</v>
      </c>
      <c r="AP377" s="36" t="n">
        <f aca="false">(AO377*70)/100</f>
        <v>46.9</v>
      </c>
      <c r="AQ377" s="37" t="n">
        <f aca="false">ROUNDUP(AP377,0)</f>
        <v>47</v>
      </c>
      <c r="AR377" s="16" t="n">
        <v>30</v>
      </c>
      <c r="AS377" s="16" t="n">
        <f aca="false">AR377+AP377</f>
        <v>76.9</v>
      </c>
      <c r="AT377" s="16" t="n">
        <f aca="false">AR377+AQ377</f>
        <v>77</v>
      </c>
      <c r="AU377" s="16" t="n">
        <f aca="false">AO377+AF377+AI377+AH377+AG377</f>
        <v>385</v>
      </c>
      <c r="AV377" s="16" t="n">
        <f aca="false">(AO377+AF377+AI377+AH377+AG377)/5</f>
        <v>77</v>
      </c>
      <c r="AW377" s="36" t="n">
        <f aca="false">(AO377+AF377+AI377+AH377+AG377+X377+R377+Q377+K377+J377)</f>
        <v>754</v>
      </c>
      <c r="AX377" s="16" t="n">
        <f aca="false">AW377/10</f>
        <v>75.4</v>
      </c>
      <c r="AY377" s="16" t="n">
        <f aca="false">AS377+AF377+AM377+AH377+AG377+AB377+V377+Q377+O377+J377</f>
        <v>782.8</v>
      </c>
      <c r="AZ377" s="16" t="n">
        <f aca="false">AT377+AF377+AN377+AH377+AG377+AC377+W377+Q377+P377+J377</f>
        <v>785</v>
      </c>
      <c r="BA377" s="16" t="n">
        <f aca="false">AY377/10</f>
        <v>78.28</v>
      </c>
      <c r="BB377" s="16" t="n">
        <f aca="false">AZ377/10</f>
        <v>78.5</v>
      </c>
      <c r="BC377" s="16" t="n">
        <v>2371</v>
      </c>
      <c r="BD377" s="16" t="n">
        <f aca="false">RANK(AX377,$AX$2:$AX$881,0)</f>
        <v>665</v>
      </c>
      <c r="BE377" s="73" t="n">
        <f aca="false">((BC377*100)/2400)*0.4+(AX377*0.6)</f>
        <v>84.7566666666667</v>
      </c>
      <c r="BF377" s="16" t="n">
        <f aca="false">RANK(BE377,$BE$2:$BE$881,0)</f>
        <v>666</v>
      </c>
      <c r="BG377" s="39" t="n">
        <f aca="false">RANK(BB377,$BB$2:$BB$881,0)</f>
        <v>505</v>
      </c>
      <c r="BH377" s="39" t="n">
        <f aca="false">RANK(BC377,$BC$2:$BC$881,0)</f>
        <v>257</v>
      </c>
      <c r="BI377" s="22" t="s">
        <v>130</v>
      </c>
      <c r="BJ377" s="22" t="s">
        <v>129</v>
      </c>
      <c r="BK377" s="22" t="s">
        <v>509</v>
      </c>
      <c r="BL377" s="41" t="n">
        <v>22</v>
      </c>
      <c r="BM377" s="98" t="n">
        <v>0</v>
      </c>
      <c r="BN377" s="98" t="n">
        <v>22</v>
      </c>
      <c r="BO377" s="42" t="n">
        <v>25</v>
      </c>
      <c r="BP377" s="43" t="n">
        <v>41</v>
      </c>
      <c r="BQ377" s="44" t="n">
        <v>66</v>
      </c>
      <c r="BR377" s="42" t="n">
        <v>27</v>
      </c>
      <c r="BS377" s="45" t="n">
        <v>55</v>
      </c>
      <c r="BT377" s="45" t="n">
        <v>82</v>
      </c>
      <c r="BU377" s="77" t="n">
        <v>100</v>
      </c>
      <c r="BV377" s="47" t="n">
        <v>86</v>
      </c>
      <c r="BW377" s="43" t="n">
        <v>95</v>
      </c>
      <c r="BX377" s="48" t="n">
        <v>94</v>
      </c>
      <c r="BY377" s="32" t="n">
        <v>26</v>
      </c>
      <c r="BZ377" s="32" t="n">
        <v>52</v>
      </c>
      <c r="CA377" s="32" t="n">
        <v>78</v>
      </c>
      <c r="CB377" s="32" t="n">
        <v>24</v>
      </c>
      <c r="CC377" s="32" t="n">
        <v>39</v>
      </c>
      <c r="CD377" s="32" t="n">
        <v>63</v>
      </c>
      <c r="CE377" s="32" t="n">
        <v>22</v>
      </c>
      <c r="CF377" s="32" t="n">
        <v>49</v>
      </c>
      <c r="CG377" s="32" t="n">
        <v>71</v>
      </c>
      <c r="CH377" s="32" t="n">
        <v>99</v>
      </c>
      <c r="CI377" s="32" t="n">
        <v>96</v>
      </c>
      <c r="CJ377" s="49" t="n">
        <v>20</v>
      </c>
      <c r="CK377" s="49" t="n">
        <v>51</v>
      </c>
      <c r="CL377" s="49" t="n">
        <v>71</v>
      </c>
      <c r="CM377" s="49" t="n">
        <v>26</v>
      </c>
      <c r="CN377" s="49" t="n">
        <v>54</v>
      </c>
      <c r="CO377" s="49" t="n">
        <v>80</v>
      </c>
      <c r="CP377" s="25" t="n">
        <f aca="false">BX377+BW377+BV377+BU377+BT377+BQ377+BN377</f>
        <v>545</v>
      </c>
      <c r="CQ377" s="25" t="n">
        <f aca="false">CO377+CL377+CI377+CH377+CG377+CD377+CA377</f>
        <v>558</v>
      </c>
      <c r="CR377" s="26" t="n">
        <f aca="false">CP377/7</f>
        <v>77.8571428571429</v>
      </c>
      <c r="CS377" s="26" t="n">
        <f aca="false">CQ377/7</f>
        <v>79.7142857142857</v>
      </c>
      <c r="CT377" s="24" t="n">
        <f aca="false">RANK(CR377,$CR$2:$CR$881,0)</f>
        <v>613</v>
      </c>
      <c r="CU377" s="25" t="n">
        <f aca="false">RANK(CS377,$CS$2:$CS$881,0)</f>
        <v>275</v>
      </c>
      <c r="CV377" s="26" t="n">
        <f aca="false">(CS377+CR377)/2</f>
        <v>78.7857142857143</v>
      </c>
      <c r="CW377" s="25" t="n">
        <f aca="false">RANK(CV377,$CV$2:$CV$881,0)</f>
        <v>469</v>
      </c>
      <c r="CX377" s="50" t="n">
        <f aca="false">(CV377+BB377)/2</f>
        <v>78.6428571428571</v>
      </c>
      <c r="CY377" s="50" t="n">
        <v>437</v>
      </c>
      <c r="CZ377" s="27" t="s">
        <v>132</v>
      </c>
      <c r="DA377" s="27" t="s">
        <v>202</v>
      </c>
      <c r="DB377" s="27" t="s">
        <v>202</v>
      </c>
      <c r="DC377" s="27" t="s">
        <v>134</v>
      </c>
      <c r="DD377" s="27" t="s">
        <v>160</v>
      </c>
      <c r="DE377" s="27" t="s">
        <v>218</v>
      </c>
      <c r="DF377" s="27" t="s">
        <v>175</v>
      </c>
      <c r="DG377" s="27" t="s">
        <v>134</v>
      </c>
      <c r="DH377" s="27" t="s">
        <v>191</v>
      </c>
      <c r="DI377" s="27" t="s">
        <v>183</v>
      </c>
      <c r="DJ377" s="27" t="s">
        <v>305</v>
      </c>
      <c r="DK377" s="27" t="s">
        <v>134</v>
      </c>
      <c r="DL377" s="27" t="s">
        <v>182</v>
      </c>
      <c r="DM377" s="27" t="s">
        <v>220</v>
      </c>
      <c r="DN377" s="27" t="s">
        <v>219</v>
      </c>
      <c r="DO377" s="27" t="s">
        <v>134</v>
      </c>
      <c r="DP377" s="27" t="s">
        <v>386</v>
      </c>
      <c r="DQ377" s="27" t="s">
        <v>220</v>
      </c>
      <c r="DR377" s="27" t="s">
        <v>372</v>
      </c>
      <c r="DS377" s="27" t="s">
        <v>134</v>
      </c>
      <c r="DT377" s="27" t="s">
        <v>137</v>
      </c>
      <c r="DU377" s="27" t="s">
        <v>638</v>
      </c>
      <c r="DV377" s="27" t="s">
        <v>416</v>
      </c>
      <c r="DW377" s="27" t="s">
        <v>174</v>
      </c>
      <c r="DX377" s="27" t="s">
        <v>155</v>
      </c>
      <c r="DY377" s="27" t="s">
        <v>176</v>
      </c>
      <c r="DZ377" s="27" t="n">
        <f aca="false">DY377+DV377+DR377+DN377+DJ377+DF377+DB377</f>
        <v>566</v>
      </c>
      <c r="EA377" s="28" t="n">
        <f aca="false">DZ377/7</f>
        <v>80.8571428571429</v>
      </c>
      <c r="EB377" s="27" t="n">
        <f aca="false">RANK(EA377,$EA$2:$EA$881,0)</f>
        <v>357</v>
      </c>
      <c r="EC377" s="29" t="n">
        <f aca="false">DZ377+CQ377+CP377+AZ377</f>
        <v>2454</v>
      </c>
      <c r="ED377" s="30" t="n">
        <f aca="false">(EA377+CV377+BB377)/3</f>
        <v>79.3809523809524</v>
      </c>
      <c r="EE377" s="51" t="n">
        <f aca="false">ROUND(BE377,3)</f>
        <v>84.757</v>
      </c>
      <c r="EF377" s="51" t="n">
        <f aca="false">ROUND(CR377,3)</f>
        <v>77.857</v>
      </c>
      <c r="EG377" s="51" t="n">
        <f aca="false">ROUND(CS377,3)</f>
        <v>79.714</v>
      </c>
      <c r="EH377" s="51" t="n">
        <f aca="false">ROUND(EA377,3)</f>
        <v>80.857</v>
      </c>
      <c r="EI377" s="51" t="n">
        <f aca="false">ROUND(ED377,3)</f>
        <v>79.381</v>
      </c>
      <c r="EJ377" s="51" t="n">
        <f aca="false">ROUND(CV377,3)</f>
        <v>78.786</v>
      </c>
      <c r="EK377" s="0" t="n">
        <f aca="false">RANK(EI377,$EI$2:$EI$881,0)</f>
        <v>376</v>
      </c>
    </row>
    <row r="378" customFormat="false" ht="15" hidden="false" customHeight="false" outlineLevel="0" collapsed="false">
      <c r="A378" s="4" t="n">
        <v>8868</v>
      </c>
      <c r="B378" s="4" t="n">
        <v>788</v>
      </c>
      <c r="C378" s="27" t="s">
        <v>1223</v>
      </c>
      <c r="D378" s="31" t="n">
        <v>807</v>
      </c>
      <c r="E378" s="32" t="n">
        <v>230323719</v>
      </c>
      <c r="F378" s="8" t="s">
        <v>1224</v>
      </c>
      <c r="G378" s="22" t="s">
        <v>280</v>
      </c>
      <c r="H378" s="22" t="s">
        <v>129</v>
      </c>
      <c r="I378" s="33" t="n">
        <v>2005</v>
      </c>
      <c r="J378" s="32" t="n">
        <v>89</v>
      </c>
      <c r="K378" s="32" t="n">
        <v>87</v>
      </c>
      <c r="L378" s="34" t="n">
        <f aca="false">(K378*70)/100</f>
        <v>60.9</v>
      </c>
      <c r="M378" s="34" t="n">
        <f aca="false">ROUNDUP(L378,0)</f>
        <v>61</v>
      </c>
      <c r="N378" s="32" t="n">
        <v>29</v>
      </c>
      <c r="O378" s="34" t="n">
        <f aca="false">N378+L378</f>
        <v>89.9</v>
      </c>
      <c r="P378" s="34" t="n">
        <f aca="false">N378+M378</f>
        <v>90</v>
      </c>
      <c r="Q378" s="32" t="n">
        <v>71</v>
      </c>
      <c r="R378" s="32" t="n">
        <v>75</v>
      </c>
      <c r="S378" s="34" t="n">
        <f aca="false">(R378*70)/100</f>
        <v>52.5</v>
      </c>
      <c r="T378" s="34" t="n">
        <f aca="false">ROUNDUP(S378,0)</f>
        <v>53</v>
      </c>
      <c r="U378" s="32" t="n">
        <v>23</v>
      </c>
      <c r="V378" s="34" t="n">
        <f aca="false">U378+S378</f>
        <v>75.5</v>
      </c>
      <c r="W378" s="34" t="n">
        <f aca="false">U378+T378</f>
        <v>76</v>
      </c>
      <c r="X378" s="32" t="n">
        <v>76</v>
      </c>
      <c r="Y378" s="34" t="n">
        <f aca="false">(X378*70)/100</f>
        <v>53.2</v>
      </c>
      <c r="Z378" s="34" t="n">
        <f aca="false">ROUNDUP(Y378,0)</f>
        <v>54</v>
      </c>
      <c r="AA378" s="32" t="n">
        <v>27</v>
      </c>
      <c r="AB378" s="34" t="n">
        <f aca="false">AA378+Y378</f>
        <v>80.2</v>
      </c>
      <c r="AC378" s="34" t="n">
        <f aca="false">AA378+Z378</f>
        <v>81</v>
      </c>
      <c r="AD378" s="32" t="n">
        <f aca="false">X378+R378+Q378+K378+J378</f>
        <v>398</v>
      </c>
      <c r="AE378" s="16" t="n">
        <f aca="false">AD378/5</f>
        <v>79.6</v>
      </c>
      <c r="AF378" s="16" t="n">
        <v>68</v>
      </c>
      <c r="AG378" s="16" t="n">
        <v>83</v>
      </c>
      <c r="AH378" s="16" t="n">
        <v>92</v>
      </c>
      <c r="AI378" s="16" t="n">
        <v>79</v>
      </c>
      <c r="AJ378" s="16" t="n">
        <f aca="false">(AI378*70)/100</f>
        <v>55.3</v>
      </c>
      <c r="AK378" s="35" t="n">
        <f aca="false">ROUNDUP(AJ378,0)</f>
        <v>56</v>
      </c>
      <c r="AL378" s="16" t="n">
        <v>24</v>
      </c>
      <c r="AM378" s="16" t="n">
        <f aca="false">AL378+AJ378</f>
        <v>79.3</v>
      </c>
      <c r="AN378" s="16" t="n">
        <f aca="false">AL378+AK378</f>
        <v>80</v>
      </c>
      <c r="AO378" s="16" t="n">
        <v>79</v>
      </c>
      <c r="AP378" s="36" t="n">
        <f aca="false">(AO378*70)/100</f>
        <v>55.3</v>
      </c>
      <c r="AQ378" s="37" t="n">
        <f aca="false">ROUNDUP(AP378,0)</f>
        <v>56</v>
      </c>
      <c r="AR378" s="16" t="n">
        <v>26</v>
      </c>
      <c r="AS378" s="16" t="n">
        <f aca="false">AR378+AP378</f>
        <v>81.3</v>
      </c>
      <c r="AT378" s="16" t="n">
        <f aca="false">AR378+AQ378</f>
        <v>82</v>
      </c>
      <c r="AU378" s="16" t="n">
        <f aca="false">AO378+AF378+AI378+AH378+AG378</f>
        <v>401</v>
      </c>
      <c r="AV378" s="16" t="n">
        <f aca="false">(AO378+AF378+AI378+AH378+AG378)/5</f>
        <v>80.2</v>
      </c>
      <c r="AW378" s="36" t="n">
        <f aca="false">(AO378+AF378+AI378+AH378+AG378+X378+R378+Q378+K378+J378)</f>
        <v>799</v>
      </c>
      <c r="AX378" s="16" t="n">
        <f aca="false">AW378/10</f>
        <v>79.9</v>
      </c>
      <c r="AY378" s="16" t="n">
        <f aca="false">AS378+AF378+AM378+AH378+AG378+AB378+V378+Q378+O378+J378</f>
        <v>809.2</v>
      </c>
      <c r="AZ378" s="16" t="n">
        <f aca="false">AT378+AF378+AN378+AH378+AG378+AC378+W378+Q378+P378+J378</f>
        <v>812</v>
      </c>
      <c r="BA378" s="16" t="n">
        <f aca="false">AY378/10</f>
        <v>80.92</v>
      </c>
      <c r="BB378" s="16" t="n">
        <f aca="false">AZ378/10</f>
        <v>81.2</v>
      </c>
      <c r="BC378" s="16" t="n">
        <v>2368</v>
      </c>
      <c r="BD378" s="16" t="n">
        <f aca="false">RANK(AX378,$AX$2:$AX$881,0)</f>
        <v>272</v>
      </c>
      <c r="BE378" s="54" t="n">
        <f aca="false">((BC378*100)/2400)*0.4+(AX378*0.6)</f>
        <v>87.4066666666667</v>
      </c>
      <c r="BF378" s="16" t="n">
        <f aca="false">RANK(BE378,$BE$2:$BE$881,0)</f>
        <v>260</v>
      </c>
      <c r="BG378" s="39" t="n">
        <f aca="false">RANK(BB378,$BB$2:$BB$881,0)</f>
        <v>263</v>
      </c>
      <c r="BH378" s="39" t="n">
        <f aca="false">RANK(BC378,$BC$2:$BC$881,0)</f>
        <v>295</v>
      </c>
      <c r="BI378" s="22" t="s">
        <v>130</v>
      </c>
      <c r="BJ378" s="22" t="s">
        <v>129</v>
      </c>
      <c r="BK378" s="40" t="s">
        <v>131</v>
      </c>
      <c r="BL378" s="41" t="n">
        <v>25</v>
      </c>
      <c r="BM378" s="61"/>
      <c r="BN378" s="61"/>
      <c r="BO378" s="42" t="n">
        <v>25</v>
      </c>
      <c r="BP378" s="43" t="n">
        <v>56</v>
      </c>
      <c r="BQ378" s="44" t="n">
        <v>81</v>
      </c>
      <c r="BR378" s="42" t="n">
        <v>19</v>
      </c>
      <c r="BS378" s="45" t="n">
        <v>58</v>
      </c>
      <c r="BT378" s="45" t="n">
        <v>77</v>
      </c>
      <c r="BU378" s="46" t="n">
        <v>100</v>
      </c>
      <c r="BV378" s="47" t="n">
        <v>96</v>
      </c>
      <c r="BW378" s="61"/>
      <c r="BX378" s="48" t="n">
        <v>90</v>
      </c>
      <c r="BY378" s="32" t="n">
        <v>23</v>
      </c>
      <c r="BZ378" s="32" t="n">
        <v>37</v>
      </c>
      <c r="CA378" s="32" t="n">
        <v>60</v>
      </c>
      <c r="CB378" s="32" t="n">
        <v>20</v>
      </c>
      <c r="CC378" s="32" t="n">
        <v>44</v>
      </c>
      <c r="CD378" s="32" t="n">
        <v>64</v>
      </c>
      <c r="CE378" s="32" t="n">
        <v>27</v>
      </c>
      <c r="CF378" s="32" t="n">
        <v>54</v>
      </c>
      <c r="CG378" s="32" t="n">
        <v>81</v>
      </c>
      <c r="CH378" s="32" t="n">
        <v>96</v>
      </c>
      <c r="CI378" s="32" t="n">
        <v>100</v>
      </c>
      <c r="CJ378" s="49" t="n">
        <v>25</v>
      </c>
      <c r="CK378" s="49" t="n">
        <v>56</v>
      </c>
      <c r="CL378" s="49" t="n">
        <v>81</v>
      </c>
      <c r="CM378" s="49" t="n">
        <v>19</v>
      </c>
      <c r="CN378" s="49" t="n">
        <v>57</v>
      </c>
      <c r="CO378" s="49" t="n">
        <v>76</v>
      </c>
      <c r="CP378" s="25" t="n">
        <f aca="false">BX378+BW378+BV378+BU378+BT378+BQ378+BN378</f>
        <v>444</v>
      </c>
      <c r="CQ378" s="25" t="n">
        <f aca="false">CO378+CL378+CI378+CH378+CG378+CD378+CA378</f>
        <v>558</v>
      </c>
      <c r="CR378" s="26" t="n">
        <f aca="false">CP378/7</f>
        <v>63.4285714285714</v>
      </c>
      <c r="CS378" s="26" t="n">
        <f aca="false">CQ378/7</f>
        <v>79.7142857142857</v>
      </c>
      <c r="CT378" s="24" t="n">
        <f aca="false">RANK(CR378,$CR$2:$CR$881,0)</f>
        <v>709</v>
      </c>
      <c r="CU378" s="25" t="n">
        <f aca="false">RANK(CS378,$CS$2:$CS$881,0)</f>
        <v>275</v>
      </c>
      <c r="CV378" s="26" t="n">
        <f aca="false">(CS378+CR378)/2</f>
        <v>71.5714285714286</v>
      </c>
      <c r="CW378" s="25" t="n">
        <f aca="false">RANK(CV378,$CV$2:$CV$881,0)</f>
        <v>620</v>
      </c>
      <c r="CX378" s="50" t="n">
        <f aca="false">(CV378+BB378)/2</f>
        <v>76.3857142857143</v>
      </c>
      <c r="CY378" s="50" t="n">
        <v>521</v>
      </c>
      <c r="CZ378" s="27" t="s">
        <v>132</v>
      </c>
      <c r="DA378" s="27" t="s">
        <v>153</v>
      </c>
      <c r="DB378" s="27" t="s">
        <v>153</v>
      </c>
      <c r="DC378" s="27" t="s">
        <v>134</v>
      </c>
      <c r="DD378" s="27" t="s">
        <v>137</v>
      </c>
      <c r="DE378" s="27" t="s">
        <v>220</v>
      </c>
      <c r="DF378" s="27" t="s">
        <v>205</v>
      </c>
      <c r="DG378" s="27" t="s">
        <v>134</v>
      </c>
      <c r="DH378" s="27" t="s">
        <v>164</v>
      </c>
      <c r="DI378" s="27" t="s">
        <v>177</v>
      </c>
      <c r="DJ378" s="27" t="s">
        <v>178</v>
      </c>
      <c r="DK378" s="27" t="s">
        <v>134</v>
      </c>
      <c r="DL378" s="27" t="s">
        <v>160</v>
      </c>
      <c r="DM378" s="27" t="s">
        <v>415</v>
      </c>
      <c r="DN378" s="27" t="s">
        <v>441</v>
      </c>
      <c r="DO378" s="27" t="s">
        <v>134</v>
      </c>
      <c r="DP378" s="27" t="s">
        <v>386</v>
      </c>
      <c r="DQ378" s="27" t="s">
        <v>203</v>
      </c>
      <c r="DR378" s="27" t="s">
        <v>219</v>
      </c>
      <c r="DS378" s="27" t="s">
        <v>134</v>
      </c>
      <c r="DT378" s="27" t="s">
        <v>160</v>
      </c>
      <c r="DU378" s="27" t="s">
        <v>161</v>
      </c>
      <c r="DV378" s="27" t="s">
        <v>162</v>
      </c>
      <c r="DW378" s="27" t="s">
        <v>160</v>
      </c>
      <c r="DX378" s="27" t="s">
        <v>187</v>
      </c>
      <c r="DY378" s="27" t="s">
        <v>156</v>
      </c>
      <c r="DZ378" s="27" t="n">
        <f aca="false">DY378+DV378+DR378+DN378+DJ378+DF378+DB378</f>
        <v>597</v>
      </c>
      <c r="EA378" s="28" t="n">
        <f aca="false">DZ378/7</f>
        <v>85.2857142857143</v>
      </c>
      <c r="EB378" s="27" t="n">
        <f aca="false">RANK(EA378,$EA$2:$EA$881,0)</f>
        <v>176</v>
      </c>
      <c r="EC378" s="29" t="n">
        <f aca="false">DZ378+CQ378+CP378+AZ378</f>
        <v>2411</v>
      </c>
      <c r="ED378" s="30" t="n">
        <f aca="false">(EA378+CV378+BB378)/3</f>
        <v>79.352380952381</v>
      </c>
      <c r="EE378" s="51" t="n">
        <f aca="false">ROUND(BE378,3)</f>
        <v>87.407</v>
      </c>
      <c r="EF378" s="51" t="n">
        <f aca="false">ROUND(CR378,3)</f>
        <v>63.429</v>
      </c>
      <c r="EG378" s="51" t="n">
        <f aca="false">ROUND(CS378,3)</f>
        <v>79.714</v>
      </c>
      <c r="EH378" s="51" t="n">
        <f aca="false">ROUND(EA378,3)</f>
        <v>85.286</v>
      </c>
      <c r="EI378" s="51" t="n">
        <f aca="false">ROUND(ED378,3)</f>
        <v>79.352</v>
      </c>
      <c r="EJ378" s="51" t="n">
        <f aca="false">ROUND(CV378,3)</f>
        <v>71.571</v>
      </c>
      <c r="EK378" s="0" t="n">
        <f aca="false">RANK(EI378,$EI$2:$EI$881,0)</f>
        <v>377</v>
      </c>
    </row>
    <row r="379" customFormat="false" ht="15" hidden="false" customHeight="false" outlineLevel="0" collapsed="false">
      <c r="A379" s="4" t="n">
        <v>1963</v>
      </c>
      <c r="B379" s="4" t="n">
        <v>602</v>
      </c>
      <c r="C379" s="27" t="s">
        <v>1225</v>
      </c>
      <c r="D379" s="31" t="n">
        <v>609</v>
      </c>
      <c r="E379" s="32" t="n">
        <v>230321487</v>
      </c>
      <c r="F379" s="8" t="s">
        <v>1226</v>
      </c>
      <c r="G379" s="22" t="s">
        <v>804</v>
      </c>
      <c r="H379" s="22" t="s">
        <v>129</v>
      </c>
      <c r="I379" s="33" t="n">
        <v>2005</v>
      </c>
      <c r="J379" s="32" t="n">
        <v>90</v>
      </c>
      <c r="K379" s="32" t="n">
        <v>77</v>
      </c>
      <c r="L379" s="34" t="n">
        <f aca="false">(K379*70)/100</f>
        <v>53.9</v>
      </c>
      <c r="M379" s="34" t="n">
        <f aca="false">ROUNDUP(L379,0)</f>
        <v>54</v>
      </c>
      <c r="N379" s="32" t="n">
        <v>23</v>
      </c>
      <c r="O379" s="34" t="n">
        <f aca="false">N379+L379</f>
        <v>76.9</v>
      </c>
      <c r="P379" s="34" t="n">
        <f aca="false">N379+M379</f>
        <v>77</v>
      </c>
      <c r="Q379" s="32" t="n">
        <v>79</v>
      </c>
      <c r="R379" s="32" t="n">
        <v>66</v>
      </c>
      <c r="S379" s="34" t="n">
        <f aca="false">(R379*70)/100</f>
        <v>46.2</v>
      </c>
      <c r="T379" s="34" t="n">
        <f aca="false">ROUNDUP(S379,0)</f>
        <v>47</v>
      </c>
      <c r="U379" s="32" t="n">
        <v>19</v>
      </c>
      <c r="V379" s="34" t="n">
        <f aca="false">U379+S379</f>
        <v>65.2</v>
      </c>
      <c r="W379" s="34" t="n">
        <f aca="false">U379+T379</f>
        <v>66</v>
      </c>
      <c r="X379" s="32" t="n">
        <v>66</v>
      </c>
      <c r="Y379" s="34" t="n">
        <f aca="false">(X379*70)/100</f>
        <v>46.2</v>
      </c>
      <c r="Z379" s="34" t="n">
        <f aca="false">ROUNDUP(Y379,0)</f>
        <v>47</v>
      </c>
      <c r="AA379" s="32" t="n">
        <v>23</v>
      </c>
      <c r="AB379" s="34" t="n">
        <f aca="false">AA379+Y379</f>
        <v>69.2</v>
      </c>
      <c r="AC379" s="34" t="n">
        <f aca="false">AA379+Z379</f>
        <v>70</v>
      </c>
      <c r="AD379" s="32" t="n">
        <f aca="false">X379+R379+Q379+K379+J379</f>
        <v>378</v>
      </c>
      <c r="AE379" s="16" t="n">
        <f aca="false">AD379/5</f>
        <v>75.6</v>
      </c>
      <c r="AF379" s="16" t="n">
        <v>68</v>
      </c>
      <c r="AG379" s="16" t="n">
        <v>83</v>
      </c>
      <c r="AH379" s="16" t="n">
        <v>92</v>
      </c>
      <c r="AI379" s="16" t="n">
        <v>86</v>
      </c>
      <c r="AJ379" s="16" t="n">
        <f aca="false">(AI379*70)/100</f>
        <v>60.2</v>
      </c>
      <c r="AK379" s="35" t="n">
        <f aca="false">ROUNDUP(AJ379,0)</f>
        <v>61</v>
      </c>
      <c r="AL379" s="16" t="n">
        <v>26</v>
      </c>
      <c r="AM379" s="16" t="n">
        <f aca="false">AL379+AJ379</f>
        <v>86.2</v>
      </c>
      <c r="AN379" s="16" t="n">
        <f aca="false">AL379+AK379</f>
        <v>87</v>
      </c>
      <c r="AO379" s="16" t="n">
        <v>80</v>
      </c>
      <c r="AP379" s="36" t="n">
        <f aca="false">(AO379*70)/100</f>
        <v>56</v>
      </c>
      <c r="AQ379" s="37" t="n">
        <f aca="false">ROUNDUP(AP379,0)</f>
        <v>56</v>
      </c>
      <c r="AR379" s="16" t="n">
        <v>25</v>
      </c>
      <c r="AS379" s="16" t="n">
        <f aca="false">AR379+AP379</f>
        <v>81</v>
      </c>
      <c r="AT379" s="16" t="n">
        <f aca="false">AR379+AQ379</f>
        <v>81</v>
      </c>
      <c r="AU379" s="16" t="n">
        <f aca="false">AO379+AF379+AI379+AH379+AG379</f>
        <v>409</v>
      </c>
      <c r="AV379" s="16" t="n">
        <f aca="false">(AO379+AF379+AI379+AH379+AG379)/5</f>
        <v>81.8</v>
      </c>
      <c r="AW379" s="36" t="n">
        <f aca="false">(AO379+AF379+AI379+AH379+AG379+X379+R379+Q379+K379+J379)</f>
        <v>787</v>
      </c>
      <c r="AX379" s="16" t="n">
        <f aca="false">AW379/10</f>
        <v>78.7</v>
      </c>
      <c r="AY379" s="16" t="n">
        <f aca="false">AS379+AF379+AM379+AH379+AG379+AB379+V379+Q379+O379+J379</f>
        <v>790.5</v>
      </c>
      <c r="AZ379" s="16" t="n">
        <f aca="false">AT379+AF379+AN379+AH379+AG379+AC379+W379+Q379+P379+J379</f>
        <v>793</v>
      </c>
      <c r="BA379" s="16" t="n">
        <f aca="false">AY379/10</f>
        <v>79.05</v>
      </c>
      <c r="BB379" s="16" t="n">
        <f aca="false">AZ379/10</f>
        <v>79.3</v>
      </c>
      <c r="BC379" s="16" t="n">
        <v>2379</v>
      </c>
      <c r="BD379" s="16" t="n">
        <f aca="false">RANK(AX379,$AX$2:$AX$881,0)</f>
        <v>358</v>
      </c>
      <c r="BE379" s="73" t="n">
        <f aca="false">((BC379*100)/2400)*0.4+(AX379*0.6)</f>
        <v>86.87</v>
      </c>
      <c r="BF379" s="16" t="n">
        <f aca="false">RANK(BE379,$BE$2:$BE$881,0)</f>
        <v>313</v>
      </c>
      <c r="BG379" s="39" t="n">
        <f aca="false">RANK(BB379,$BB$2:$BB$881,0)</f>
        <v>424</v>
      </c>
      <c r="BH379" s="39" t="n">
        <f aca="false">RANK(BC379,$BC$2:$BC$881,0)</f>
        <v>160</v>
      </c>
      <c r="BI379" s="22" t="s">
        <v>130</v>
      </c>
      <c r="BJ379" s="22" t="s">
        <v>129</v>
      </c>
      <c r="BK379" s="22" t="s">
        <v>509</v>
      </c>
      <c r="BL379" s="41" t="n">
        <v>22</v>
      </c>
      <c r="BM379" s="41" t="n">
        <v>50</v>
      </c>
      <c r="BN379" s="41" t="n">
        <v>72</v>
      </c>
      <c r="BO379" s="42" t="n">
        <v>29</v>
      </c>
      <c r="BP379" s="43" t="n">
        <v>62</v>
      </c>
      <c r="BQ379" s="44" t="n">
        <v>91</v>
      </c>
      <c r="BR379" s="42" t="n">
        <v>17</v>
      </c>
      <c r="BS379" s="45" t="n">
        <v>53</v>
      </c>
      <c r="BT379" s="45" t="n">
        <v>70</v>
      </c>
      <c r="BU379" s="77" t="n">
        <v>100</v>
      </c>
      <c r="BV379" s="47" t="n">
        <v>84</v>
      </c>
      <c r="BW379" s="43" t="n">
        <v>100</v>
      </c>
      <c r="BX379" s="48" t="n">
        <v>94</v>
      </c>
      <c r="BY379" s="25" t="n">
        <v>26</v>
      </c>
      <c r="BZ379" s="25" t="n">
        <v>44</v>
      </c>
      <c r="CA379" s="25" t="n">
        <v>70</v>
      </c>
      <c r="CB379" s="32" t="n">
        <v>20</v>
      </c>
      <c r="CC379" s="32" t="n">
        <v>41</v>
      </c>
      <c r="CD379" s="32" t="n">
        <v>61</v>
      </c>
      <c r="CE379" s="32" t="n">
        <v>23</v>
      </c>
      <c r="CF379" s="32" t="n">
        <v>46</v>
      </c>
      <c r="CG379" s="32" t="n">
        <v>69</v>
      </c>
      <c r="CH379" s="32" t="n">
        <v>95</v>
      </c>
      <c r="CI379" s="32" t="n">
        <v>83</v>
      </c>
      <c r="CJ379" s="49" t="n">
        <v>25</v>
      </c>
      <c r="CK379" s="49" t="n">
        <v>43</v>
      </c>
      <c r="CL379" s="49" t="n">
        <v>68</v>
      </c>
      <c r="CM379" s="49" t="n">
        <v>21</v>
      </c>
      <c r="CN379" s="49" t="n">
        <v>48</v>
      </c>
      <c r="CO379" s="49" t="n">
        <v>69</v>
      </c>
      <c r="CP379" s="25" t="n">
        <f aca="false">BX379+BW379+BV379+BU379+BT379+BQ379+BN379</f>
        <v>611</v>
      </c>
      <c r="CQ379" s="25" t="n">
        <f aca="false">CO379+CL379+CI379+CH379+CG379+CD379+CA379</f>
        <v>515</v>
      </c>
      <c r="CR379" s="26" t="n">
        <f aca="false">CP379/7</f>
        <v>87.2857142857143</v>
      </c>
      <c r="CS379" s="26" t="n">
        <f aca="false">CQ379/7</f>
        <v>73.5714285714286</v>
      </c>
      <c r="CT379" s="24" t="n">
        <f aca="false">RANK(CR379,$CR$2:$CR$881,0)</f>
        <v>346</v>
      </c>
      <c r="CU379" s="25" t="n">
        <f aca="false">RANK(CS379,$CS$2:$CS$881,0)</f>
        <v>471</v>
      </c>
      <c r="CV379" s="26" t="n">
        <f aca="false">(CS379+CR379)/2</f>
        <v>80.4285714285714</v>
      </c>
      <c r="CW379" s="25" t="n">
        <f aca="false">RANK(CV379,$CV$2:$CV$881,0)</f>
        <v>411</v>
      </c>
      <c r="CX379" s="50" t="n">
        <f aca="false">(CV379+BB379)/2</f>
        <v>79.8642857142857</v>
      </c>
      <c r="CY379" s="50" t="n">
        <v>463</v>
      </c>
      <c r="CZ379" s="27" t="s">
        <v>132</v>
      </c>
      <c r="DA379" s="27" t="s">
        <v>305</v>
      </c>
      <c r="DB379" s="27" t="s">
        <v>305</v>
      </c>
      <c r="DC379" s="27" t="s">
        <v>134</v>
      </c>
      <c r="DD379" s="27" t="s">
        <v>135</v>
      </c>
      <c r="DE379" s="27" t="s">
        <v>447</v>
      </c>
      <c r="DF379" s="27" t="s">
        <v>305</v>
      </c>
      <c r="DG379" s="27" t="s">
        <v>134</v>
      </c>
      <c r="DH379" s="27" t="s">
        <v>135</v>
      </c>
      <c r="DI379" s="27" t="s">
        <v>375</v>
      </c>
      <c r="DJ379" s="27" t="s">
        <v>441</v>
      </c>
      <c r="DK379" s="27" t="s">
        <v>134</v>
      </c>
      <c r="DL379" s="27" t="s">
        <v>154</v>
      </c>
      <c r="DM379" s="27" t="s">
        <v>412</v>
      </c>
      <c r="DN379" s="27" t="s">
        <v>372</v>
      </c>
      <c r="DO379" s="27" t="s">
        <v>134</v>
      </c>
      <c r="DP379" s="27" t="s">
        <v>604</v>
      </c>
      <c r="DQ379" s="27" t="s">
        <v>412</v>
      </c>
      <c r="DR379" s="27" t="s">
        <v>141</v>
      </c>
      <c r="DS379" s="27" t="s">
        <v>134</v>
      </c>
      <c r="DT379" s="27" t="s">
        <v>137</v>
      </c>
      <c r="DU379" s="27" t="s">
        <v>313</v>
      </c>
      <c r="DV379" s="27" t="s">
        <v>305</v>
      </c>
      <c r="DW379" s="27" t="s">
        <v>160</v>
      </c>
      <c r="DX379" s="27" t="s">
        <v>155</v>
      </c>
      <c r="DY379" s="27" t="s">
        <v>145</v>
      </c>
      <c r="DZ379" s="27" t="n">
        <f aca="false">DY379+DV379+DR379+DN379+DJ379+DF379+DB379</f>
        <v>548</v>
      </c>
      <c r="EA379" s="28" t="n">
        <f aca="false">DZ379/7</f>
        <v>78.2857142857143</v>
      </c>
      <c r="EB379" s="27" t="n">
        <f aca="false">RANK(EA379,$EA$2:$EA$881,0)</f>
        <v>449</v>
      </c>
      <c r="EC379" s="29" t="n">
        <f aca="false">DZ379+CQ379+CP379+AZ379</f>
        <v>2467</v>
      </c>
      <c r="ED379" s="30" t="n">
        <f aca="false">(EA379+CV379+BB379)/3</f>
        <v>79.3380952380953</v>
      </c>
      <c r="EE379" s="51" t="n">
        <f aca="false">ROUND(BE379,3)</f>
        <v>86.87</v>
      </c>
      <c r="EF379" s="51" t="n">
        <f aca="false">ROUND(CR379,3)</f>
        <v>87.286</v>
      </c>
      <c r="EG379" s="51" t="n">
        <f aca="false">ROUND(CS379,3)</f>
        <v>73.571</v>
      </c>
      <c r="EH379" s="51" t="n">
        <f aca="false">ROUND(EA379,3)</f>
        <v>78.286</v>
      </c>
      <c r="EI379" s="51" t="n">
        <f aca="false">ROUND(ED379,3)</f>
        <v>79.338</v>
      </c>
      <c r="EJ379" s="51" t="n">
        <f aca="false">ROUND(CV379,3)</f>
        <v>80.429</v>
      </c>
      <c r="EK379" s="0" t="n">
        <f aca="false">RANK(EI379,$EI$2:$EI$881,0)</f>
        <v>378</v>
      </c>
    </row>
    <row r="380" customFormat="false" ht="15" hidden="false" customHeight="false" outlineLevel="0" collapsed="false">
      <c r="A380" s="4" t="n">
        <v>9008</v>
      </c>
      <c r="B380" s="4" t="n">
        <v>534</v>
      </c>
      <c r="C380" s="27" t="s">
        <v>1227</v>
      </c>
      <c r="D380" s="31" t="n">
        <v>540</v>
      </c>
      <c r="E380" s="16" t="n">
        <v>230222692</v>
      </c>
      <c r="F380" s="56" t="s">
        <v>1228</v>
      </c>
      <c r="G380" s="22" t="s">
        <v>368</v>
      </c>
      <c r="H380" s="22" t="s">
        <v>326</v>
      </c>
      <c r="I380" s="57"/>
      <c r="J380" s="16" t="n">
        <v>76</v>
      </c>
      <c r="K380" s="16" t="n">
        <v>75</v>
      </c>
      <c r="L380" s="34" t="n">
        <f aca="false">(K380*70)/100</f>
        <v>52.5</v>
      </c>
      <c r="M380" s="34" t="n">
        <f aca="false">ROUNDUP(L380,0)</f>
        <v>53</v>
      </c>
      <c r="N380" s="16" t="n">
        <v>19</v>
      </c>
      <c r="O380" s="34" t="n">
        <f aca="false">N380+L380</f>
        <v>71.5</v>
      </c>
      <c r="P380" s="34" t="n">
        <f aca="false">N380+M380</f>
        <v>72</v>
      </c>
      <c r="Q380" s="16" t="n">
        <v>86</v>
      </c>
      <c r="R380" s="16" t="n">
        <v>73</v>
      </c>
      <c r="S380" s="34" t="n">
        <f aca="false">(R380*70)/100</f>
        <v>51.1</v>
      </c>
      <c r="T380" s="34" t="n">
        <f aca="false">ROUNDUP(S380,0)</f>
        <v>52</v>
      </c>
      <c r="U380" s="16" t="n">
        <v>26</v>
      </c>
      <c r="V380" s="34" t="n">
        <f aca="false">U380+S380</f>
        <v>77.1</v>
      </c>
      <c r="W380" s="34" t="n">
        <f aca="false">U380+T380</f>
        <v>78</v>
      </c>
      <c r="X380" s="16" t="n">
        <v>70</v>
      </c>
      <c r="Y380" s="34" t="n">
        <f aca="false">(X380*70)/100</f>
        <v>49</v>
      </c>
      <c r="Z380" s="34" t="n">
        <f aca="false">ROUNDUP(Y380,0)</f>
        <v>49</v>
      </c>
      <c r="AA380" s="16" t="n">
        <v>27</v>
      </c>
      <c r="AB380" s="34" t="n">
        <f aca="false">AA380+Y380</f>
        <v>76</v>
      </c>
      <c r="AC380" s="34" t="n">
        <f aca="false">AA380+Z380</f>
        <v>76</v>
      </c>
      <c r="AD380" s="32" t="n">
        <f aca="false">X380+R380+Q380+K380+J380</f>
        <v>380</v>
      </c>
      <c r="AE380" s="16" t="n">
        <f aca="false">AD380/5</f>
        <v>76</v>
      </c>
      <c r="AF380" s="16" t="n">
        <v>68</v>
      </c>
      <c r="AG380" s="16" t="n">
        <v>90</v>
      </c>
      <c r="AH380" s="16" t="n">
        <v>88</v>
      </c>
      <c r="AI380" s="16" t="n">
        <v>89</v>
      </c>
      <c r="AJ380" s="16" t="n">
        <f aca="false">(AI380*70)/100</f>
        <v>62.3</v>
      </c>
      <c r="AK380" s="35" t="n">
        <f aca="false">ROUNDUP(AJ380,0)</f>
        <v>63</v>
      </c>
      <c r="AL380" s="16" t="n">
        <v>26</v>
      </c>
      <c r="AM380" s="16" t="n">
        <f aca="false">AL380+AJ380</f>
        <v>88.3</v>
      </c>
      <c r="AN380" s="16" t="n">
        <f aca="false">AL380+AK380</f>
        <v>89</v>
      </c>
      <c r="AO380" s="16" t="n">
        <v>74</v>
      </c>
      <c r="AP380" s="36" t="n">
        <f aca="false">(AO380*70)/100</f>
        <v>51.8</v>
      </c>
      <c r="AQ380" s="37" t="n">
        <f aca="false">ROUNDUP(AP380,0)</f>
        <v>52</v>
      </c>
      <c r="AR380" s="16" t="n">
        <v>28</v>
      </c>
      <c r="AS380" s="16" t="n">
        <f aca="false">AR380+AP380</f>
        <v>79.8</v>
      </c>
      <c r="AT380" s="16" t="n">
        <f aca="false">AR380+AQ380</f>
        <v>80</v>
      </c>
      <c r="AU380" s="16" t="n">
        <f aca="false">AO380+AF380+AI380+AH380+AG380</f>
        <v>409</v>
      </c>
      <c r="AV380" s="16" t="n">
        <f aca="false">(AO380+AF380+AI380+AH380+AG380)/5</f>
        <v>81.8</v>
      </c>
      <c r="AW380" s="36" t="n">
        <f aca="false">(AO380+AF380+AI380+AH380+AG380+X380+R380+Q380+K380+J380)</f>
        <v>789</v>
      </c>
      <c r="AX380" s="16" t="n">
        <f aca="false">AW380/10</f>
        <v>78.9</v>
      </c>
      <c r="AY380" s="16" t="n">
        <f aca="false">AS380+AF380+AM380+AH380+AG380+AB380+V380+Q380+O380+J380</f>
        <v>800.7</v>
      </c>
      <c r="AZ380" s="16" t="n">
        <f aca="false">AT380+AF380+AN380+AH380+AG380+AC380+W380+Q380+P380+J380</f>
        <v>803</v>
      </c>
      <c r="BA380" s="16" t="n">
        <f aca="false">AY380/10</f>
        <v>80.07</v>
      </c>
      <c r="BB380" s="16" t="n">
        <f aca="false">AZ380/10</f>
        <v>80.3</v>
      </c>
      <c r="BC380" s="16" t="n">
        <v>2378</v>
      </c>
      <c r="BD380" s="16" t="n">
        <f aca="false">RANK(AX380,$AX$2:$AX$881,0)</f>
        <v>339</v>
      </c>
      <c r="BE380" s="54" t="n">
        <f aca="false">((BC380*100)/2400)*0.4+(AX380*0.6)</f>
        <v>86.9733333333333</v>
      </c>
      <c r="BF380" s="16" t="n">
        <f aca="false">RANK(BE380,$BE$2:$BE$881,0)</f>
        <v>296</v>
      </c>
      <c r="BG380" s="39" t="n">
        <f aca="false">RANK(BB380,$BB$2:$BB$881,0)</f>
        <v>327</v>
      </c>
      <c r="BH380" s="39" t="n">
        <f aca="false">RANK(BC380,$BC$2:$BC$881,0)</f>
        <v>173</v>
      </c>
      <c r="BI380" s="22" t="s">
        <v>130</v>
      </c>
      <c r="BJ380" s="22" t="s">
        <v>129</v>
      </c>
      <c r="BK380" s="40" t="s">
        <v>131</v>
      </c>
      <c r="BL380" s="41" t="n">
        <v>21</v>
      </c>
      <c r="BM380" s="41" t="n">
        <v>52</v>
      </c>
      <c r="BN380" s="41" t="n">
        <v>73</v>
      </c>
      <c r="BO380" s="42" t="n">
        <v>26</v>
      </c>
      <c r="BP380" s="43" t="n">
        <v>62</v>
      </c>
      <c r="BQ380" s="44" t="n">
        <v>88</v>
      </c>
      <c r="BR380" s="42" t="n">
        <v>25</v>
      </c>
      <c r="BS380" s="45" t="n">
        <v>56</v>
      </c>
      <c r="BT380" s="45" t="n">
        <v>81</v>
      </c>
      <c r="BU380" s="46" t="n">
        <v>100</v>
      </c>
      <c r="BV380" s="47" t="n">
        <v>78</v>
      </c>
      <c r="BW380" s="42" t="n">
        <v>98</v>
      </c>
      <c r="BX380" s="48" t="n">
        <v>88</v>
      </c>
      <c r="BY380" s="32" t="n">
        <v>20</v>
      </c>
      <c r="BZ380" s="32" t="n">
        <v>54</v>
      </c>
      <c r="CA380" s="32" t="n">
        <v>74</v>
      </c>
      <c r="CB380" s="32" t="n">
        <v>20</v>
      </c>
      <c r="CC380" s="32" t="n">
        <v>38</v>
      </c>
      <c r="CD380" s="69" t="n">
        <v>58</v>
      </c>
      <c r="CE380" s="32" t="n">
        <v>24</v>
      </c>
      <c r="CF380" s="32" t="n">
        <v>42</v>
      </c>
      <c r="CG380" s="32" t="n">
        <v>66</v>
      </c>
      <c r="CH380" s="32" t="n">
        <v>93</v>
      </c>
      <c r="CI380" s="32" t="n">
        <v>100</v>
      </c>
      <c r="CJ380" s="49" t="n">
        <v>17</v>
      </c>
      <c r="CK380" s="49" t="n">
        <v>53</v>
      </c>
      <c r="CL380" s="49" t="n">
        <v>70</v>
      </c>
      <c r="CM380" s="49" t="n">
        <v>24</v>
      </c>
      <c r="CN380" s="49" t="n">
        <v>50</v>
      </c>
      <c r="CO380" s="49" t="n">
        <v>74</v>
      </c>
      <c r="CP380" s="25" t="n">
        <f aca="false">BX380+BW380+BV380+BU380+BT380+BQ380+BN380</f>
        <v>606</v>
      </c>
      <c r="CQ380" s="25" t="n">
        <f aca="false">CO380+CL380+CI380+CH380+CG380+CD380+CA380</f>
        <v>535</v>
      </c>
      <c r="CR380" s="26" t="n">
        <f aca="false">CP380/7</f>
        <v>86.5714285714286</v>
      </c>
      <c r="CS380" s="26" t="n">
        <f aca="false">CQ380/7</f>
        <v>76.4285714285714</v>
      </c>
      <c r="CT380" s="24" t="n">
        <f aca="false">RANK(CR380,$CR$2:$CR$881,0)</f>
        <v>372</v>
      </c>
      <c r="CU380" s="25" t="n">
        <f aca="false">RANK(CS380,$CS$2:$CS$881,0)</f>
        <v>385</v>
      </c>
      <c r="CV380" s="26" t="n">
        <f aca="false">(CS380+CR380)/2</f>
        <v>81.5</v>
      </c>
      <c r="CW380" s="25" t="n">
        <f aca="false">RANK(CV380,$CV$2:$CV$881,0)</f>
        <v>363</v>
      </c>
      <c r="CX380" s="50" t="n">
        <f aca="false">(CV380+BB380)/2</f>
        <v>80.9</v>
      </c>
      <c r="CY380" s="50" t="n">
        <v>325</v>
      </c>
      <c r="CZ380" s="27" t="s">
        <v>132</v>
      </c>
      <c r="DA380" s="27" t="s">
        <v>219</v>
      </c>
      <c r="DB380" s="27" t="s">
        <v>219</v>
      </c>
      <c r="DC380" s="27" t="s">
        <v>134</v>
      </c>
      <c r="DD380" s="27" t="s">
        <v>154</v>
      </c>
      <c r="DE380" s="27" t="s">
        <v>220</v>
      </c>
      <c r="DF380" s="27" t="s">
        <v>272</v>
      </c>
      <c r="DG380" s="27" t="s">
        <v>134</v>
      </c>
      <c r="DH380" s="27" t="s">
        <v>182</v>
      </c>
      <c r="DI380" s="27" t="s">
        <v>673</v>
      </c>
      <c r="DJ380" s="27" t="s">
        <v>163</v>
      </c>
      <c r="DK380" s="27" t="s">
        <v>134</v>
      </c>
      <c r="DL380" s="27" t="s">
        <v>264</v>
      </c>
      <c r="DM380" s="27" t="s">
        <v>375</v>
      </c>
      <c r="DN380" s="27" t="s">
        <v>138</v>
      </c>
      <c r="DO380" s="27" t="s">
        <v>134</v>
      </c>
      <c r="DP380" s="27" t="s">
        <v>706</v>
      </c>
      <c r="DQ380" s="27" t="s">
        <v>447</v>
      </c>
      <c r="DR380" s="27" t="s">
        <v>143</v>
      </c>
      <c r="DS380" s="27" t="s">
        <v>134</v>
      </c>
      <c r="DT380" s="27" t="s">
        <v>182</v>
      </c>
      <c r="DU380" s="27" t="s">
        <v>447</v>
      </c>
      <c r="DV380" s="27" t="s">
        <v>382</v>
      </c>
      <c r="DW380" s="27" t="s">
        <v>135</v>
      </c>
      <c r="DX380" s="27" t="s">
        <v>155</v>
      </c>
      <c r="DY380" s="27" t="s">
        <v>139</v>
      </c>
      <c r="DZ380" s="27" t="n">
        <f aca="false">DY380+DV380+DR380+DN380+DJ380+DF380+DB380</f>
        <v>533</v>
      </c>
      <c r="EA380" s="28" t="n">
        <f aca="false">DZ380/7</f>
        <v>76.1428571428571</v>
      </c>
      <c r="EB380" s="27" t="n">
        <f aca="false">RANK(EA380,$EA$2:$EA$881,0)</f>
        <v>519</v>
      </c>
      <c r="EC380" s="29" t="n">
        <f aca="false">DZ380+CQ380+CP380+AZ380</f>
        <v>2477</v>
      </c>
      <c r="ED380" s="30" t="n">
        <f aca="false">(EA380+CV380+BB380)/3</f>
        <v>79.3142857142857</v>
      </c>
      <c r="EE380" s="51" t="n">
        <f aca="false">ROUND(BE380,3)</f>
        <v>86.973</v>
      </c>
      <c r="EF380" s="51" t="n">
        <f aca="false">ROUND(CR380,3)</f>
        <v>86.571</v>
      </c>
      <c r="EG380" s="51" t="n">
        <f aca="false">ROUND(CS380,3)</f>
        <v>76.429</v>
      </c>
      <c r="EH380" s="51" t="n">
        <f aca="false">ROUND(EA380,3)</f>
        <v>76.143</v>
      </c>
      <c r="EI380" s="51" t="n">
        <f aca="false">ROUND(ED380,3)</f>
        <v>79.314</v>
      </c>
      <c r="EJ380" s="51" t="n">
        <f aca="false">ROUND(CV380,3)</f>
        <v>81.5</v>
      </c>
      <c r="EK380" s="0" t="n">
        <f aca="false">RANK(EI380,$EI$2:$EI$881,0)</f>
        <v>379</v>
      </c>
    </row>
    <row r="381" customFormat="false" ht="15" hidden="false" customHeight="false" outlineLevel="0" collapsed="false">
      <c r="A381" s="4" t="n">
        <v>8701</v>
      </c>
      <c r="B381" s="4" t="n">
        <v>476</v>
      </c>
      <c r="C381" s="27" t="s">
        <v>1229</v>
      </c>
      <c r="D381" s="31" t="n">
        <v>485</v>
      </c>
      <c r="E381" s="32" t="n">
        <v>230311456</v>
      </c>
      <c r="F381" s="8" t="s">
        <v>1230</v>
      </c>
      <c r="G381" s="22" t="s">
        <v>1231</v>
      </c>
      <c r="H381" s="22" t="s">
        <v>129</v>
      </c>
      <c r="I381" s="33" t="n">
        <v>2006</v>
      </c>
      <c r="J381" s="32" t="n">
        <v>87</v>
      </c>
      <c r="K381" s="32" t="n">
        <v>95</v>
      </c>
      <c r="L381" s="34" t="n">
        <f aca="false">(K381*70)/100</f>
        <v>66.5</v>
      </c>
      <c r="M381" s="34" t="n">
        <f aca="false">ROUNDUP(L381,0)</f>
        <v>67</v>
      </c>
      <c r="N381" s="32" t="n">
        <v>26</v>
      </c>
      <c r="O381" s="34" t="n">
        <f aca="false">N381+L381</f>
        <v>92.5</v>
      </c>
      <c r="P381" s="34" t="n">
        <f aca="false">N381+M381</f>
        <v>93</v>
      </c>
      <c r="Q381" s="32" t="n">
        <v>81</v>
      </c>
      <c r="R381" s="32" t="n">
        <v>90</v>
      </c>
      <c r="S381" s="34" t="n">
        <f aca="false">(R381*70)/100</f>
        <v>63</v>
      </c>
      <c r="T381" s="34" t="n">
        <f aca="false">ROUNDUP(S381,0)</f>
        <v>63</v>
      </c>
      <c r="U381" s="32" t="n">
        <v>25</v>
      </c>
      <c r="V381" s="34" t="n">
        <f aca="false">U381+S381</f>
        <v>88</v>
      </c>
      <c r="W381" s="34" t="n">
        <f aca="false">U381+T381</f>
        <v>88</v>
      </c>
      <c r="X381" s="32" t="n">
        <v>87</v>
      </c>
      <c r="Y381" s="34" t="n">
        <f aca="false">(X381*70)/100</f>
        <v>60.9</v>
      </c>
      <c r="Z381" s="34" t="n">
        <f aca="false">ROUNDUP(Y381,0)</f>
        <v>61</v>
      </c>
      <c r="AA381" s="32" t="n">
        <v>27</v>
      </c>
      <c r="AB381" s="34" t="n">
        <f aca="false">AA381+Y381</f>
        <v>87.9</v>
      </c>
      <c r="AC381" s="34" t="n">
        <f aca="false">AA381+Z381</f>
        <v>88</v>
      </c>
      <c r="AD381" s="32" t="n">
        <f aca="false">X381+R381+Q381+K381+J381</f>
        <v>440</v>
      </c>
      <c r="AE381" s="16" t="n">
        <f aca="false">AD381/5</f>
        <v>88</v>
      </c>
      <c r="AF381" s="16" t="n">
        <v>88</v>
      </c>
      <c r="AG381" s="16" t="n">
        <v>90</v>
      </c>
      <c r="AH381" s="16" t="n">
        <v>99</v>
      </c>
      <c r="AI381" s="16" t="n">
        <v>98</v>
      </c>
      <c r="AJ381" s="16" t="n">
        <f aca="false">(AI381*70)/100</f>
        <v>68.6</v>
      </c>
      <c r="AK381" s="35" t="n">
        <f aca="false">ROUNDUP(AJ381,0)</f>
        <v>69</v>
      </c>
      <c r="AL381" s="16" t="n">
        <v>27</v>
      </c>
      <c r="AM381" s="16" t="n">
        <f aca="false">AL381+AJ381</f>
        <v>95.6</v>
      </c>
      <c r="AN381" s="16" t="n">
        <f aca="false">AL381+AK381</f>
        <v>96</v>
      </c>
      <c r="AO381" s="16" t="n">
        <v>85</v>
      </c>
      <c r="AP381" s="36" t="n">
        <f aca="false">(AO381*70)/100</f>
        <v>59.5</v>
      </c>
      <c r="AQ381" s="37" t="n">
        <f aca="false">ROUNDUP(AP381,0)</f>
        <v>60</v>
      </c>
      <c r="AR381" s="16" t="n">
        <v>23</v>
      </c>
      <c r="AS381" s="16" t="n">
        <f aca="false">AR381+AP381</f>
        <v>82.5</v>
      </c>
      <c r="AT381" s="16" t="n">
        <f aca="false">AR381+AQ381</f>
        <v>83</v>
      </c>
      <c r="AU381" s="16" t="n">
        <f aca="false">AO381+AF381+AI381+AH381+AG381</f>
        <v>460</v>
      </c>
      <c r="AV381" s="16" t="n">
        <f aca="false">(AO381+AF381+AI381+AH381+AG381)/5</f>
        <v>92</v>
      </c>
      <c r="AW381" s="36" t="n">
        <f aca="false">(AO381+AF381+AI381+AH381+AG381+X381+R381+Q381+K381+J381)</f>
        <v>900</v>
      </c>
      <c r="AX381" s="16" t="n">
        <f aca="false">AW381/10</f>
        <v>90</v>
      </c>
      <c r="AY381" s="16" t="n">
        <f aca="false">AS381+AF381+AM381+AH381+AG381+AB381+V381+Q381+O381+J381</f>
        <v>891.5</v>
      </c>
      <c r="AZ381" s="16" t="n">
        <f aca="false">AT381+AF381+AN381+AH381+AG381+AC381+W381+Q381+P381+J381</f>
        <v>893</v>
      </c>
      <c r="BA381" s="16" t="n">
        <f aca="false">AY381/10</f>
        <v>89.15</v>
      </c>
      <c r="BB381" s="16" t="n">
        <f aca="false">AZ381/10</f>
        <v>89.3</v>
      </c>
      <c r="BC381" s="16" t="n">
        <v>2387</v>
      </c>
      <c r="BD381" s="16" t="n">
        <f aca="false">RANK(AX381,$AX$2:$AX$881,0)</f>
        <v>23</v>
      </c>
      <c r="BE381" s="38" t="n">
        <f aca="false">((BC381*100)/2400)*0.4+(AX381*0.6)</f>
        <v>93.7833333333333</v>
      </c>
      <c r="BF381" s="16" t="n">
        <f aca="false">RANK(BE381,$BE$2:$BE$881,0)</f>
        <v>20</v>
      </c>
      <c r="BG381" s="39" t="n">
        <f aca="false">RANK(BB381,$BB$2:$BB$881,0)</f>
        <v>26</v>
      </c>
      <c r="BH381" s="39" t="n">
        <f aca="false">RANK(BC381,$BC$2:$BC$881,0)</f>
        <v>76</v>
      </c>
      <c r="BI381" s="22" t="s">
        <v>130</v>
      </c>
      <c r="BJ381" s="22" t="s">
        <v>129</v>
      </c>
      <c r="BK381" s="40" t="s">
        <v>131</v>
      </c>
      <c r="BL381" s="41" t="n">
        <v>28</v>
      </c>
      <c r="BM381" s="41" t="n">
        <v>65</v>
      </c>
      <c r="BN381" s="41" t="n">
        <v>93</v>
      </c>
      <c r="BO381" s="42" t="n">
        <v>28</v>
      </c>
      <c r="BP381" s="43" t="n">
        <v>67</v>
      </c>
      <c r="BQ381" s="44" t="n">
        <v>95</v>
      </c>
      <c r="BR381" s="42" t="n">
        <v>29</v>
      </c>
      <c r="BS381" s="45" t="n">
        <v>62</v>
      </c>
      <c r="BT381" s="45" t="n">
        <v>91</v>
      </c>
      <c r="BU381" s="46" t="n">
        <v>100</v>
      </c>
      <c r="BV381" s="47" t="n">
        <v>98</v>
      </c>
      <c r="BW381" s="42" t="n">
        <v>99</v>
      </c>
      <c r="BX381" s="48" t="n">
        <v>96</v>
      </c>
      <c r="BY381" s="32" t="n">
        <v>25</v>
      </c>
      <c r="BZ381" s="32" t="n">
        <v>48</v>
      </c>
      <c r="CA381" s="32" t="n">
        <v>73</v>
      </c>
      <c r="CB381" s="32" t="n">
        <v>29</v>
      </c>
      <c r="CC381" s="32" t="n">
        <v>54</v>
      </c>
      <c r="CD381" s="32" t="n">
        <v>83</v>
      </c>
      <c r="CE381" s="32" t="n">
        <v>28</v>
      </c>
      <c r="CF381" s="60"/>
      <c r="CG381" s="60"/>
      <c r="CH381" s="32" t="n">
        <v>99</v>
      </c>
      <c r="CI381" s="32" t="n">
        <v>100</v>
      </c>
      <c r="CJ381" s="49" t="n">
        <v>28</v>
      </c>
      <c r="CK381" s="60"/>
      <c r="CL381" s="61"/>
      <c r="CM381" s="49" t="n">
        <v>24</v>
      </c>
      <c r="CN381" s="60"/>
      <c r="CO381" s="60"/>
      <c r="CP381" s="25" t="n">
        <f aca="false">BX381+BW381+BV381+BU381+BT381+BQ381+BN381</f>
        <v>672</v>
      </c>
      <c r="CQ381" s="25" t="n">
        <f aca="false">CO381+CL381+CI381+CH381+CG381+CD381+CA381</f>
        <v>355</v>
      </c>
      <c r="CR381" s="26" t="n">
        <f aca="false">CP381/7</f>
        <v>96</v>
      </c>
      <c r="CS381" s="26" t="n">
        <f aca="false">CQ381/7</f>
        <v>50.7142857142857</v>
      </c>
      <c r="CT381" s="24" t="n">
        <f aca="false">RANK(CR381,$CR$2:$CR$881,0)</f>
        <v>4</v>
      </c>
      <c r="CU381" s="25" t="n">
        <f aca="false">RANK(CS381,$CS$2:$CS$881,0)</f>
        <v>716</v>
      </c>
      <c r="CV381" s="26" t="n">
        <f aca="false">(CS381+CR381)/2</f>
        <v>73.3571428571429</v>
      </c>
      <c r="CW381" s="25" t="n">
        <f aca="false">RANK(CV381,$CV$2:$CV$881,0)</f>
        <v>596</v>
      </c>
      <c r="CX381" s="50" t="n">
        <f aca="false">(CV381+BB381)/2</f>
        <v>81.3285714285714</v>
      </c>
      <c r="CY381" s="50" t="n">
        <v>304</v>
      </c>
      <c r="CZ381" s="27" t="s">
        <v>132</v>
      </c>
      <c r="DA381" s="27" t="s">
        <v>133</v>
      </c>
      <c r="DB381" s="27" t="s">
        <v>133</v>
      </c>
      <c r="DC381" s="27" t="s">
        <v>134</v>
      </c>
      <c r="DD381" s="27" t="s">
        <v>135</v>
      </c>
      <c r="DE381" s="27" t="s">
        <v>177</v>
      </c>
      <c r="DF381" s="27" t="s">
        <v>175</v>
      </c>
      <c r="DG381" s="27" t="s">
        <v>134</v>
      </c>
      <c r="DH381" s="27" t="s">
        <v>140</v>
      </c>
      <c r="DI381" s="27" t="s">
        <v>177</v>
      </c>
      <c r="DJ381" s="27" t="s">
        <v>162</v>
      </c>
      <c r="DK381" s="27" t="s">
        <v>134</v>
      </c>
      <c r="DL381" s="27" t="s">
        <v>137</v>
      </c>
      <c r="DM381" s="27" t="s">
        <v>203</v>
      </c>
      <c r="DN381" s="27" t="s">
        <v>133</v>
      </c>
      <c r="DO381" s="27" t="s">
        <v>134</v>
      </c>
      <c r="DP381" s="27"/>
      <c r="DQ381" s="27"/>
      <c r="DR381" s="27"/>
      <c r="DS381" s="27"/>
      <c r="DT381" s="27" t="s">
        <v>160</v>
      </c>
      <c r="DU381" s="27" t="s">
        <v>218</v>
      </c>
      <c r="DV381" s="27" t="s">
        <v>175</v>
      </c>
      <c r="DW381" s="27" t="s">
        <v>182</v>
      </c>
      <c r="DX381" s="27" t="s">
        <v>143</v>
      </c>
      <c r="DY381" s="27" t="s">
        <v>176</v>
      </c>
      <c r="DZ381" s="27" t="n">
        <f aca="false">DY381+DV381+DR381+DN381+DJ381+DF381+DB381</f>
        <v>527</v>
      </c>
      <c r="EA381" s="28" t="n">
        <f aca="false">DZ381/7</f>
        <v>75.2857142857143</v>
      </c>
      <c r="EB381" s="27" t="n">
        <f aca="false">RANK(EA381,$EA$2:$EA$881,0)</f>
        <v>533</v>
      </c>
      <c r="EC381" s="29" t="n">
        <f aca="false">DZ381+CQ381+CP381+AZ381</f>
        <v>2447</v>
      </c>
      <c r="ED381" s="30" t="n">
        <f aca="false">(EA381+CV381+BB381)/3</f>
        <v>79.3142857142857</v>
      </c>
      <c r="EE381" s="51" t="n">
        <f aca="false">ROUND(BE381,3)</f>
        <v>93.783</v>
      </c>
      <c r="EF381" s="51" t="n">
        <f aca="false">ROUND(CR381,3)</f>
        <v>96</v>
      </c>
      <c r="EG381" s="51" t="n">
        <f aca="false">ROUND(CS381,3)</f>
        <v>50.714</v>
      </c>
      <c r="EH381" s="51" t="n">
        <f aca="false">ROUND(EA381,3)</f>
        <v>75.286</v>
      </c>
      <c r="EI381" s="51" t="n">
        <f aca="false">ROUND(ED381,3)</f>
        <v>79.314</v>
      </c>
      <c r="EJ381" s="51" t="n">
        <f aca="false">ROUND(CV381,3)</f>
        <v>73.357</v>
      </c>
      <c r="EK381" s="0" t="n">
        <f aca="false">RANK(EI381,$EI$2:$EI$881,0)</f>
        <v>379</v>
      </c>
    </row>
    <row r="382" customFormat="false" ht="15" hidden="false" customHeight="false" outlineLevel="0" collapsed="false">
      <c r="A382" s="4" t="n">
        <v>8857</v>
      </c>
      <c r="B382" s="4" t="n">
        <v>477</v>
      </c>
      <c r="C382" s="27" t="s">
        <v>1232</v>
      </c>
      <c r="D382" s="31" t="n">
        <v>486</v>
      </c>
      <c r="E382" s="32" t="n">
        <v>230312939</v>
      </c>
      <c r="F382" s="8" t="s">
        <v>1233</v>
      </c>
      <c r="G382" s="22" t="s">
        <v>484</v>
      </c>
      <c r="H382" s="22" t="s">
        <v>129</v>
      </c>
      <c r="I382" s="33" t="n">
        <v>2005</v>
      </c>
      <c r="J382" s="32" t="n">
        <v>67</v>
      </c>
      <c r="K382" s="32" t="n">
        <v>82</v>
      </c>
      <c r="L382" s="34" t="n">
        <f aca="false">(K382*70)/100</f>
        <v>57.4</v>
      </c>
      <c r="M382" s="34" t="n">
        <f aca="false">ROUNDUP(L382,0)</f>
        <v>58</v>
      </c>
      <c r="N382" s="32" t="n">
        <v>29</v>
      </c>
      <c r="O382" s="34" t="n">
        <f aca="false">N382+L382</f>
        <v>86.4</v>
      </c>
      <c r="P382" s="34" t="n">
        <f aca="false">N382+M382</f>
        <v>87</v>
      </c>
      <c r="Q382" s="32" t="n">
        <v>81</v>
      </c>
      <c r="R382" s="32" t="n">
        <v>81</v>
      </c>
      <c r="S382" s="34" t="n">
        <f aca="false">(R382*70)/100</f>
        <v>56.7</v>
      </c>
      <c r="T382" s="34" t="n">
        <f aca="false">ROUNDUP(S382,0)</f>
        <v>57</v>
      </c>
      <c r="U382" s="32" t="n">
        <v>28</v>
      </c>
      <c r="V382" s="34" t="n">
        <f aca="false">U382+S382</f>
        <v>84.7</v>
      </c>
      <c r="W382" s="34" t="n">
        <f aca="false">U382+T382</f>
        <v>85</v>
      </c>
      <c r="X382" s="32" t="n">
        <v>81</v>
      </c>
      <c r="Y382" s="34" t="n">
        <f aca="false">(X382*70)/100</f>
        <v>56.7</v>
      </c>
      <c r="Z382" s="34" t="n">
        <f aca="false">ROUNDUP(Y382,0)</f>
        <v>57</v>
      </c>
      <c r="AA382" s="32" t="n">
        <v>26</v>
      </c>
      <c r="AB382" s="34" t="n">
        <f aca="false">AA382+Y382</f>
        <v>82.7</v>
      </c>
      <c r="AC382" s="34" t="n">
        <f aca="false">AA382+Z382</f>
        <v>83</v>
      </c>
      <c r="AD382" s="32" t="n">
        <f aca="false">X382+R382+Q382+K382+J382</f>
        <v>392</v>
      </c>
      <c r="AE382" s="16" t="n">
        <f aca="false">AD382/5</f>
        <v>78.4</v>
      </c>
      <c r="AF382" s="71" t="n">
        <v>56</v>
      </c>
      <c r="AG382" s="16" t="n">
        <v>77</v>
      </c>
      <c r="AH382" s="16" t="n">
        <v>90</v>
      </c>
      <c r="AI382" s="16" t="n">
        <v>81</v>
      </c>
      <c r="AJ382" s="16" t="n">
        <f aca="false">(AI382*70)/100</f>
        <v>56.7</v>
      </c>
      <c r="AK382" s="35" t="n">
        <f aca="false">ROUNDUP(AJ382,0)</f>
        <v>57</v>
      </c>
      <c r="AL382" s="16" t="n">
        <v>26</v>
      </c>
      <c r="AM382" s="16" t="n">
        <f aca="false">AL382+AJ382</f>
        <v>82.7</v>
      </c>
      <c r="AN382" s="16" t="n">
        <f aca="false">AL382+AK382</f>
        <v>83</v>
      </c>
      <c r="AO382" s="16" t="n">
        <v>76</v>
      </c>
      <c r="AP382" s="36" t="n">
        <f aca="false">(AO382*70)/100</f>
        <v>53.2</v>
      </c>
      <c r="AQ382" s="37" t="n">
        <f aca="false">ROUNDUP(AP382,0)</f>
        <v>54</v>
      </c>
      <c r="AR382" s="16" t="n">
        <v>28</v>
      </c>
      <c r="AS382" s="16" t="n">
        <f aca="false">AR382+AP382</f>
        <v>81.2</v>
      </c>
      <c r="AT382" s="16" t="n">
        <f aca="false">AR382+AQ382</f>
        <v>82</v>
      </c>
      <c r="AU382" s="16" t="n">
        <f aca="false">AO382+AF382+AI382+AH382+AG382</f>
        <v>380</v>
      </c>
      <c r="AV382" s="16" t="n">
        <f aca="false">(AO382+AF382+AI382+AH382+AG382)/5</f>
        <v>76</v>
      </c>
      <c r="AW382" s="36" t="n">
        <f aca="false">(AO382+AF382+AI382+AH382+AG382+X382+R382+Q382+K382+J382)</f>
        <v>772</v>
      </c>
      <c r="AX382" s="16" t="n">
        <f aca="false">AW382/10</f>
        <v>77.2</v>
      </c>
      <c r="AY382" s="16" t="n">
        <f aca="false">AS382+AF382+AM382+AH382+AG382+AB382+V382+Q382+O382+J382</f>
        <v>788.7</v>
      </c>
      <c r="AZ382" s="16" t="n">
        <f aca="false">AT382+AF382+AN382+AH382+AG382+AC382+W382+Q382+P382+J382</f>
        <v>791</v>
      </c>
      <c r="BA382" s="16" t="n">
        <f aca="false">AY382/10</f>
        <v>78.87</v>
      </c>
      <c r="BB382" s="16" t="n">
        <f aca="false">AZ382/10</f>
        <v>79.1</v>
      </c>
      <c r="BC382" s="16" t="n">
        <v>2336</v>
      </c>
      <c r="BD382" s="16" t="n">
        <f aca="false">RANK(AX382,$AX$2:$AX$881,0)</f>
        <v>482</v>
      </c>
      <c r="BE382" s="54" t="n">
        <f aca="false">((BC382*100)/2400)*0.4+(AX382*0.6)</f>
        <v>85.2533333333333</v>
      </c>
      <c r="BF382" s="16" t="n">
        <f aca="false">RANK(BE382,$BE$2:$BE$881,0)</f>
        <v>552</v>
      </c>
      <c r="BG382" s="39" t="n">
        <f aca="false">RANK(BB382,$BB$2:$BB$881,0)</f>
        <v>449</v>
      </c>
      <c r="BH382" s="39" t="n">
        <f aca="false">RANK(BC382,$BC$2:$BC$881,0)</f>
        <v>670</v>
      </c>
      <c r="BI382" s="22" t="s">
        <v>130</v>
      </c>
      <c r="BJ382" s="22" t="s">
        <v>129</v>
      </c>
      <c r="BK382" s="40" t="s">
        <v>509</v>
      </c>
      <c r="BL382" s="41" t="n">
        <v>16</v>
      </c>
      <c r="BM382" s="41" t="n">
        <v>52</v>
      </c>
      <c r="BN382" s="41" t="n">
        <v>68</v>
      </c>
      <c r="BO382" s="42" t="n">
        <v>22</v>
      </c>
      <c r="BP382" s="43" t="n">
        <v>57</v>
      </c>
      <c r="BQ382" s="44" t="n">
        <v>79</v>
      </c>
      <c r="BR382" s="42" t="n">
        <v>23</v>
      </c>
      <c r="BS382" s="45" t="n">
        <v>57</v>
      </c>
      <c r="BT382" s="45" t="n">
        <v>80</v>
      </c>
      <c r="BU382" s="46" t="n">
        <v>100</v>
      </c>
      <c r="BV382" s="47" t="n">
        <v>68</v>
      </c>
      <c r="BW382" s="42" t="n">
        <v>80</v>
      </c>
      <c r="BX382" s="48" t="n">
        <v>96</v>
      </c>
      <c r="BY382" s="32" t="n">
        <v>24</v>
      </c>
      <c r="BZ382" s="32" t="n">
        <v>49</v>
      </c>
      <c r="CA382" s="32" t="n">
        <v>73</v>
      </c>
      <c r="CB382" s="32" t="n">
        <v>22</v>
      </c>
      <c r="CC382" s="32" t="n">
        <v>44</v>
      </c>
      <c r="CD382" s="32" t="n">
        <v>66</v>
      </c>
      <c r="CE382" s="32" t="n">
        <v>21</v>
      </c>
      <c r="CF382" s="32" t="n">
        <v>50</v>
      </c>
      <c r="CG382" s="32" t="n">
        <v>71</v>
      </c>
      <c r="CH382" s="32" t="n">
        <v>88</v>
      </c>
      <c r="CI382" s="32" t="n">
        <v>88</v>
      </c>
      <c r="CJ382" s="49" t="n">
        <v>24</v>
      </c>
      <c r="CK382" s="49" t="n">
        <v>49</v>
      </c>
      <c r="CL382" s="49" t="n">
        <v>73</v>
      </c>
      <c r="CM382" s="49" t="n">
        <v>22</v>
      </c>
      <c r="CN382" s="49" t="n">
        <v>52</v>
      </c>
      <c r="CO382" s="49" t="n">
        <v>74</v>
      </c>
      <c r="CP382" s="25" t="n">
        <f aca="false">BX382+BW382+BV382+BU382+BT382+BQ382+BN382</f>
        <v>571</v>
      </c>
      <c r="CQ382" s="25" t="n">
        <f aca="false">CO382+CL382+CI382+CH382+CG382+CD382+CA382</f>
        <v>533</v>
      </c>
      <c r="CR382" s="26" t="n">
        <f aca="false">CP382/7</f>
        <v>81.5714285714286</v>
      </c>
      <c r="CS382" s="26" t="n">
        <f aca="false">CQ382/7</f>
        <v>76.1428571428571</v>
      </c>
      <c r="CT382" s="24" t="n">
        <f aca="false">RANK(CR382,$CR$2:$CR$881,0)</f>
        <v>552</v>
      </c>
      <c r="CU382" s="25" t="n">
        <f aca="false">RANK(CS382,$CS$2:$CS$881,0)</f>
        <v>395</v>
      </c>
      <c r="CV382" s="26" t="n">
        <f aca="false">(CS382+CR382)/2</f>
        <v>78.8571428571429</v>
      </c>
      <c r="CW382" s="25" t="n">
        <f aca="false">RANK(CV382,$CV$2:$CV$881,0)</f>
        <v>468</v>
      </c>
      <c r="CX382" s="50" t="n">
        <f aca="false">(CV382+BB382)/2</f>
        <v>78.9785714285714</v>
      </c>
      <c r="CY382" s="50" t="n">
        <v>423</v>
      </c>
      <c r="CZ382" s="27" t="s">
        <v>132</v>
      </c>
      <c r="DA382" s="27" t="s">
        <v>272</v>
      </c>
      <c r="DB382" s="27" t="s">
        <v>272</v>
      </c>
      <c r="DC382" s="27" t="s">
        <v>134</v>
      </c>
      <c r="DD382" s="27" t="s">
        <v>164</v>
      </c>
      <c r="DE382" s="27" t="s">
        <v>152</v>
      </c>
      <c r="DF382" s="27" t="s">
        <v>170</v>
      </c>
      <c r="DG382" s="27" t="s">
        <v>134</v>
      </c>
      <c r="DH382" s="27" t="s">
        <v>191</v>
      </c>
      <c r="DI382" s="27" t="s">
        <v>177</v>
      </c>
      <c r="DJ382" s="27" t="s">
        <v>219</v>
      </c>
      <c r="DK382" s="27" t="s">
        <v>134</v>
      </c>
      <c r="DL382" s="27" t="s">
        <v>174</v>
      </c>
      <c r="DM382" s="27" t="s">
        <v>399</v>
      </c>
      <c r="DN382" s="27" t="s">
        <v>155</v>
      </c>
      <c r="DO382" s="27" t="s">
        <v>134</v>
      </c>
      <c r="DP382" s="27" t="s">
        <v>191</v>
      </c>
      <c r="DQ382" s="27" t="s">
        <v>442</v>
      </c>
      <c r="DR382" s="27" t="s">
        <v>138</v>
      </c>
      <c r="DS382" s="27" t="s">
        <v>134</v>
      </c>
      <c r="DT382" s="27" t="s">
        <v>135</v>
      </c>
      <c r="DU382" s="27" t="s">
        <v>412</v>
      </c>
      <c r="DV382" s="27" t="s">
        <v>443</v>
      </c>
      <c r="DW382" s="27" t="s">
        <v>140</v>
      </c>
      <c r="DX382" s="27" t="s">
        <v>163</v>
      </c>
      <c r="DY382" s="27" t="s">
        <v>156</v>
      </c>
      <c r="DZ382" s="27" t="n">
        <f aca="false">DY382+DV382+DR382+DN382+DJ382+DF382+DB382</f>
        <v>559</v>
      </c>
      <c r="EA382" s="28" t="n">
        <f aca="false">DZ382/7</f>
        <v>79.8571428571429</v>
      </c>
      <c r="EB382" s="27" t="n">
        <f aca="false">RANK(EA382,$EA$2:$EA$881,0)</f>
        <v>399</v>
      </c>
      <c r="EC382" s="29" t="n">
        <f aca="false">DZ382+CQ382+CP382+AZ382</f>
        <v>2454</v>
      </c>
      <c r="ED382" s="30" t="n">
        <f aca="false">(EA382+CV382+BB382)/3</f>
        <v>79.2714285714286</v>
      </c>
      <c r="EE382" s="51" t="n">
        <f aca="false">ROUND(BE382,3)</f>
        <v>85.253</v>
      </c>
      <c r="EF382" s="51" t="n">
        <f aca="false">ROUND(CR382,3)</f>
        <v>81.571</v>
      </c>
      <c r="EG382" s="51" t="n">
        <f aca="false">ROUND(CS382,3)</f>
        <v>76.143</v>
      </c>
      <c r="EH382" s="51" t="n">
        <f aca="false">ROUND(EA382,3)</f>
        <v>79.857</v>
      </c>
      <c r="EI382" s="51" t="n">
        <f aca="false">ROUND(ED382,3)</f>
        <v>79.271</v>
      </c>
      <c r="EJ382" s="51" t="n">
        <f aca="false">ROUND(CV382,3)</f>
        <v>78.857</v>
      </c>
      <c r="EK382" s="0" t="n">
        <f aca="false">RANK(EI382,$EI$2:$EI$881,0)</f>
        <v>381</v>
      </c>
    </row>
    <row r="383" customFormat="false" ht="17.45" hidden="false" customHeight="false" outlineLevel="0" collapsed="false">
      <c r="A383" s="4" t="n">
        <v>9044</v>
      </c>
      <c r="B383" s="4" t="n">
        <v>695</v>
      </c>
      <c r="C383" s="27" t="s">
        <v>1234</v>
      </c>
      <c r="D383" s="31" t="n">
        <v>709</v>
      </c>
      <c r="E383" s="16" t="n">
        <v>230122557</v>
      </c>
      <c r="F383" s="56" t="s">
        <v>1235</v>
      </c>
      <c r="G383" s="22" t="s">
        <v>453</v>
      </c>
      <c r="H383" s="22" t="s">
        <v>326</v>
      </c>
      <c r="I383" s="57"/>
      <c r="J383" s="16" t="n">
        <v>83</v>
      </c>
      <c r="K383" s="16" t="n">
        <v>93</v>
      </c>
      <c r="L383" s="34" t="n">
        <f aca="false">(K383*70)/100</f>
        <v>65.1</v>
      </c>
      <c r="M383" s="34" t="n">
        <f aca="false">ROUNDUP(L383,0)</f>
        <v>66</v>
      </c>
      <c r="N383" s="16" t="n">
        <v>14</v>
      </c>
      <c r="O383" s="34" t="n">
        <f aca="false">N383+L383</f>
        <v>79.1</v>
      </c>
      <c r="P383" s="34" t="n">
        <f aca="false">N383+M383</f>
        <v>80</v>
      </c>
      <c r="Q383" s="16" t="n">
        <v>60</v>
      </c>
      <c r="R383" s="16" t="n">
        <v>77</v>
      </c>
      <c r="S383" s="34" t="n">
        <f aca="false">(R383*70)/100</f>
        <v>53.9</v>
      </c>
      <c r="T383" s="34" t="n">
        <f aca="false">ROUNDUP(S383,0)</f>
        <v>54</v>
      </c>
      <c r="U383" s="16" t="n">
        <v>26</v>
      </c>
      <c r="V383" s="34" t="n">
        <f aca="false">U383+S383</f>
        <v>79.9</v>
      </c>
      <c r="W383" s="34" t="n">
        <f aca="false">U383+T383</f>
        <v>80</v>
      </c>
      <c r="X383" s="16" t="n">
        <v>68</v>
      </c>
      <c r="Y383" s="34" t="n">
        <f aca="false">(X383*70)/100</f>
        <v>47.6</v>
      </c>
      <c r="Z383" s="34" t="n">
        <f aca="false">ROUNDUP(Y383,0)</f>
        <v>48</v>
      </c>
      <c r="AA383" s="16" t="n">
        <v>27</v>
      </c>
      <c r="AB383" s="34" t="n">
        <f aca="false">AA383+Y383</f>
        <v>74.6</v>
      </c>
      <c r="AC383" s="34" t="n">
        <f aca="false">AA383+Z383</f>
        <v>75</v>
      </c>
      <c r="AD383" s="32" t="n">
        <f aca="false">X383+R383+Q383+K383+J383</f>
        <v>381</v>
      </c>
      <c r="AE383" s="16" t="n">
        <f aca="false">AD383/5</f>
        <v>76.2</v>
      </c>
      <c r="AF383" s="16" t="n">
        <v>78</v>
      </c>
      <c r="AG383" s="16" t="n">
        <v>80</v>
      </c>
      <c r="AH383" s="16" t="n">
        <v>96</v>
      </c>
      <c r="AI383" s="16" t="n">
        <v>85</v>
      </c>
      <c r="AJ383" s="16" t="n">
        <f aca="false">(AI383*70)/100</f>
        <v>59.5</v>
      </c>
      <c r="AK383" s="35" t="n">
        <f aca="false">ROUNDUP(AJ383,0)</f>
        <v>60</v>
      </c>
      <c r="AL383" s="24" t="n">
        <v>15</v>
      </c>
      <c r="AM383" s="16" t="n">
        <f aca="false">AL383+AJ383</f>
        <v>74.5</v>
      </c>
      <c r="AN383" s="16" t="n">
        <f aca="false">AL383+AK383</f>
        <v>75</v>
      </c>
      <c r="AO383" s="16" t="n">
        <v>77</v>
      </c>
      <c r="AP383" s="36" t="n">
        <f aca="false">(AO383*70)/100</f>
        <v>53.9</v>
      </c>
      <c r="AQ383" s="37" t="n">
        <f aca="false">ROUNDUP(AP383,0)</f>
        <v>54</v>
      </c>
      <c r="AR383" s="16" t="n">
        <v>21</v>
      </c>
      <c r="AS383" s="16" t="n">
        <f aca="false">AR383+AP383</f>
        <v>74.9</v>
      </c>
      <c r="AT383" s="16" t="n">
        <f aca="false">AR383+AQ383</f>
        <v>75</v>
      </c>
      <c r="AU383" s="16" t="n">
        <f aca="false">AO383+AF383+AI383+AH383+AG383</f>
        <v>416</v>
      </c>
      <c r="AV383" s="16" t="n">
        <f aca="false">(AO383+AF383+AI383+AH383+AG383)/5</f>
        <v>83.2</v>
      </c>
      <c r="AW383" s="36" t="n">
        <f aca="false">(AO383+AF383+AI383+AH383+AG383+X383+R383+Q383+K383+J383)</f>
        <v>797</v>
      </c>
      <c r="AX383" s="16" t="n">
        <f aca="false">AW383/10</f>
        <v>79.7</v>
      </c>
      <c r="AY383" s="16" t="n">
        <f aca="false">AS383+AF383+AM383+AH383+AG383+AB383+V383+Q383+O383+J383</f>
        <v>780</v>
      </c>
      <c r="AZ383" s="16" t="n">
        <f aca="false">AT383+AF383+AN383+AH383+AG383+AC383+W383+Q383+P383+J383</f>
        <v>782</v>
      </c>
      <c r="BA383" s="16" t="n">
        <f aca="false">AY383/10</f>
        <v>78</v>
      </c>
      <c r="BB383" s="16" t="n">
        <f aca="false">AZ383/10</f>
        <v>78.2</v>
      </c>
      <c r="BC383" s="16" t="n">
        <v>2337</v>
      </c>
      <c r="BD383" s="16" t="n">
        <f aca="false">RANK(AX383,$AX$2:$AX$881,0)</f>
        <v>288</v>
      </c>
      <c r="BE383" s="54" t="n">
        <f aca="false">((BC383*100)/2400)*0.4+(AX383*0.6)</f>
        <v>86.77</v>
      </c>
      <c r="BF383" s="16" t="n">
        <f aca="false">RANK(BE383,$BE$2:$BE$881,0)</f>
        <v>325</v>
      </c>
      <c r="BG383" s="39" t="n">
        <f aca="false">RANK(BB383,$BB$2:$BB$881,0)</f>
        <v>541</v>
      </c>
      <c r="BH383" s="39" t="n">
        <f aca="false">RANK(BC383,$BC$2:$BC$881,0)</f>
        <v>658</v>
      </c>
      <c r="BI383" s="22" t="s">
        <v>130</v>
      </c>
      <c r="BJ383" s="22" t="s">
        <v>129</v>
      </c>
      <c r="BK383" s="40" t="s">
        <v>131</v>
      </c>
      <c r="BL383" s="41" t="n">
        <v>18</v>
      </c>
      <c r="BM383" s="41" t="n">
        <v>30</v>
      </c>
      <c r="BN383" s="98" t="n">
        <v>48</v>
      </c>
      <c r="BO383" s="42" t="n">
        <v>27</v>
      </c>
      <c r="BP383" s="43" t="n">
        <v>64</v>
      </c>
      <c r="BQ383" s="44" t="n">
        <v>91</v>
      </c>
      <c r="BR383" s="42" t="n">
        <v>25</v>
      </c>
      <c r="BS383" s="45" t="n">
        <v>52</v>
      </c>
      <c r="BT383" s="45" t="n">
        <v>77</v>
      </c>
      <c r="BU383" s="46" t="n">
        <v>99</v>
      </c>
      <c r="BV383" s="47" t="n">
        <v>86</v>
      </c>
      <c r="BW383" s="42" t="n">
        <v>99</v>
      </c>
      <c r="BX383" s="48" t="n">
        <v>94</v>
      </c>
      <c r="BY383" s="32" t="n">
        <v>28</v>
      </c>
      <c r="BZ383" s="32" t="n">
        <v>64</v>
      </c>
      <c r="CA383" s="32" t="n">
        <v>92</v>
      </c>
      <c r="CB383" s="32" t="n">
        <v>23</v>
      </c>
      <c r="CC383" s="32" t="n">
        <v>49</v>
      </c>
      <c r="CD383" s="32" t="n">
        <v>72</v>
      </c>
      <c r="CE383" s="32" t="n">
        <v>28</v>
      </c>
      <c r="CF383" s="32" t="n">
        <v>63</v>
      </c>
      <c r="CG383" s="32" t="n">
        <v>91</v>
      </c>
      <c r="CH383" s="32" t="n">
        <v>98</v>
      </c>
      <c r="CI383" s="32" t="n">
        <v>99</v>
      </c>
      <c r="CJ383" s="49" t="n">
        <v>19</v>
      </c>
      <c r="CK383" s="49" t="n">
        <v>44</v>
      </c>
      <c r="CL383" s="49" t="n">
        <v>63</v>
      </c>
      <c r="CM383" s="49" t="n">
        <v>27</v>
      </c>
      <c r="CN383" s="49" t="n">
        <v>46</v>
      </c>
      <c r="CO383" s="49" t="n">
        <v>73</v>
      </c>
      <c r="CP383" s="25" t="n">
        <f aca="false">BX383+BW383+BV383+BU383+BT383+BQ383+BN383</f>
        <v>594</v>
      </c>
      <c r="CQ383" s="25" t="n">
        <f aca="false">CO383+CL383+CI383+CH383+CG383+CD383+CA383</f>
        <v>588</v>
      </c>
      <c r="CR383" s="26" t="n">
        <f aca="false">CP383/7</f>
        <v>84.8571428571429</v>
      </c>
      <c r="CS383" s="26" t="n">
        <f aca="false">CQ383/7</f>
        <v>84</v>
      </c>
      <c r="CT383" s="24" t="n">
        <f aca="false">RANK(CR383,$CR$2:$CR$881,0)</f>
        <v>443</v>
      </c>
      <c r="CU383" s="25" t="n">
        <f aca="false">RANK(CS383,$CS$2:$CS$881,0)</f>
        <v>120</v>
      </c>
      <c r="CV383" s="26" t="n">
        <f aca="false">(CS383+CR383)/2</f>
        <v>84.4285714285714</v>
      </c>
      <c r="CW383" s="25" t="n">
        <f aca="false">RANK(CV383,$CV$2:$CV$881,0)</f>
        <v>243</v>
      </c>
      <c r="CX383" s="50" t="n">
        <f aca="false">(CV383+BB383)/2</f>
        <v>81.3142857142857</v>
      </c>
      <c r="CY383" s="50" t="n">
        <v>305</v>
      </c>
      <c r="CZ383" s="27" t="s">
        <v>132</v>
      </c>
      <c r="DA383" s="27" t="s">
        <v>202</v>
      </c>
      <c r="DB383" s="27" t="s">
        <v>202</v>
      </c>
      <c r="DC383" s="27" t="s">
        <v>134</v>
      </c>
      <c r="DD383" s="27" t="s">
        <v>195</v>
      </c>
      <c r="DE383" s="27" t="s">
        <v>399</v>
      </c>
      <c r="DF383" s="27" t="s">
        <v>138</v>
      </c>
      <c r="DG383" s="27" t="s">
        <v>134</v>
      </c>
      <c r="DH383" s="27" t="s">
        <v>137</v>
      </c>
      <c r="DI383" s="27" t="s">
        <v>177</v>
      </c>
      <c r="DJ383" s="27" t="s">
        <v>202</v>
      </c>
      <c r="DK383" s="27" t="s">
        <v>134</v>
      </c>
      <c r="DL383" s="27" t="s">
        <v>164</v>
      </c>
      <c r="DM383" s="27" t="s">
        <v>447</v>
      </c>
      <c r="DN383" s="27" t="s">
        <v>219</v>
      </c>
      <c r="DO383" s="27" t="s">
        <v>134</v>
      </c>
      <c r="DP383" s="27" t="s">
        <v>195</v>
      </c>
      <c r="DQ383" s="27" t="s">
        <v>442</v>
      </c>
      <c r="DR383" s="27" t="s">
        <v>155</v>
      </c>
      <c r="DS383" s="27" t="s">
        <v>134</v>
      </c>
      <c r="DT383" s="27" t="s">
        <v>135</v>
      </c>
      <c r="DU383" s="27" t="s">
        <v>1151</v>
      </c>
      <c r="DV383" s="27" t="s">
        <v>218</v>
      </c>
      <c r="DW383" s="27" t="s">
        <v>195</v>
      </c>
      <c r="DX383" s="27" t="s">
        <v>218</v>
      </c>
      <c r="DY383" s="27" t="s">
        <v>305</v>
      </c>
      <c r="DZ383" s="27" t="n">
        <f aca="false">DY383+DV383+DR383+DN383+DJ383+DF383+DB383</f>
        <v>526</v>
      </c>
      <c r="EA383" s="28" t="n">
        <f aca="false">DZ383/7</f>
        <v>75.1428571428571</v>
      </c>
      <c r="EB383" s="27" t="n">
        <f aca="false">RANK(EA383,$EA$2:$EA$881,0)</f>
        <v>538</v>
      </c>
      <c r="EC383" s="29" t="n">
        <f aca="false">DZ383+CQ383+CP383+AZ383</f>
        <v>2490</v>
      </c>
      <c r="ED383" s="30" t="n">
        <f aca="false">(EA383+CV383+BB383)/3</f>
        <v>79.2571428571429</v>
      </c>
      <c r="EE383" s="51" t="n">
        <f aca="false">ROUND(BE383,3)</f>
        <v>86.77</v>
      </c>
      <c r="EF383" s="51" t="n">
        <f aca="false">ROUND(CR383,3)</f>
        <v>84.857</v>
      </c>
      <c r="EG383" s="51" t="n">
        <f aca="false">ROUND(CS383,3)</f>
        <v>84</v>
      </c>
      <c r="EH383" s="51" t="n">
        <f aca="false">ROUND(EA383,3)</f>
        <v>75.143</v>
      </c>
      <c r="EI383" s="51" t="n">
        <f aca="false">ROUND(ED383,3)</f>
        <v>79.257</v>
      </c>
      <c r="EJ383" s="51" t="n">
        <f aca="false">ROUND(CV383,3)</f>
        <v>84.429</v>
      </c>
      <c r="EK383" s="0" t="n">
        <f aca="false">RANK(EI383,$EI$2:$EI$881,0)</f>
        <v>382</v>
      </c>
    </row>
    <row r="384" customFormat="false" ht="15" hidden="false" customHeight="false" outlineLevel="0" collapsed="false">
      <c r="A384" s="4" t="n">
        <v>2045</v>
      </c>
      <c r="B384" s="4" t="n">
        <v>509</v>
      </c>
      <c r="C384" s="27" t="s">
        <v>1236</v>
      </c>
      <c r="D384" s="31" t="n">
        <v>514</v>
      </c>
      <c r="E384" s="16" t="n">
        <v>230119663</v>
      </c>
      <c r="F384" s="56" t="s">
        <v>1237</v>
      </c>
      <c r="G384" s="22" t="s">
        <v>1238</v>
      </c>
      <c r="H384" s="22" t="s">
        <v>326</v>
      </c>
      <c r="I384" s="57"/>
      <c r="J384" s="16" t="n">
        <v>76</v>
      </c>
      <c r="K384" s="16" t="n">
        <v>80</v>
      </c>
      <c r="L384" s="34" t="n">
        <f aca="false">(K384*70)/100</f>
        <v>56</v>
      </c>
      <c r="M384" s="34" t="n">
        <f aca="false">ROUNDUP(L384,0)</f>
        <v>56</v>
      </c>
      <c r="N384" s="16" t="n">
        <v>25</v>
      </c>
      <c r="O384" s="34" t="n">
        <f aca="false">N384+L384</f>
        <v>81</v>
      </c>
      <c r="P384" s="34" t="n">
        <f aca="false">N384+M384</f>
        <v>81</v>
      </c>
      <c r="Q384" s="16" t="n">
        <v>85</v>
      </c>
      <c r="R384" s="16" t="n">
        <v>72</v>
      </c>
      <c r="S384" s="34" t="n">
        <f aca="false">(R384*70)/100</f>
        <v>50.4</v>
      </c>
      <c r="T384" s="34" t="n">
        <f aca="false">ROUNDUP(S384,0)</f>
        <v>51</v>
      </c>
      <c r="U384" s="16" t="n">
        <v>26</v>
      </c>
      <c r="V384" s="34" t="n">
        <f aca="false">U384+S384</f>
        <v>76.4</v>
      </c>
      <c r="W384" s="34" t="n">
        <f aca="false">U384+T384</f>
        <v>77</v>
      </c>
      <c r="X384" s="16" t="n">
        <v>71</v>
      </c>
      <c r="Y384" s="34" t="n">
        <f aca="false">(X384*70)/100</f>
        <v>49.7</v>
      </c>
      <c r="Z384" s="34" t="n">
        <f aca="false">ROUNDUP(Y384,0)</f>
        <v>50</v>
      </c>
      <c r="AA384" s="16" t="n">
        <v>26</v>
      </c>
      <c r="AB384" s="34" t="n">
        <f aca="false">AA384+Y384</f>
        <v>75.7</v>
      </c>
      <c r="AC384" s="34" t="n">
        <f aca="false">AA384+Z384</f>
        <v>76</v>
      </c>
      <c r="AD384" s="32" t="n">
        <f aca="false">X384+R384+Q384+K384+J384</f>
        <v>384</v>
      </c>
      <c r="AE384" s="16" t="n">
        <f aca="false">AD384/5</f>
        <v>76.8</v>
      </c>
      <c r="AF384" s="71" t="n">
        <v>59</v>
      </c>
      <c r="AG384" s="16" t="n">
        <v>77</v>
      </c>
      <c r="AH384" s="16" t="n">
        <v>89</v>
      </c>
      <c r="AI384" s="16" t="n">
        <v>84</v>
      </c>
      <c r="AJ384" s="16" t="n">
        <f aca="false">(AI384*70)/100</f>
        <v>58.8</v>
      </c>
      <c r="AK384" s="35" t="n">
        <f aca="false">ROUNDUP(AJ384,0)</f>
        <v>59</v>
      </c>
      <c r="AL384" s="16" t="n">
        <v>22</v>
      </c>
      <c r="AM384" s="16" t="n">
        <f aca="false">AL384+AJ384</f>
        <v>80.8</v>
      </c>
      <c r="AN384" s="16" t="n">
        <f aca="false">AL384+AK384</f>
        <v>81</v>
      </c>
      <c r="AO384" s="16" t="n">
        <v>70</v>
      </c>
      <c r="AP384" s="36" t="n">
        <f aca="false">(AO384*70)/100</f>
        <v>49</v>
      </c>
      <c r="AQ384" s="37" t="n">
        <f aca="false">ROUNDUP(AP384,0)</f>
        <v>49</v>
      </c>
      <c r="AR384" s="16" t="n">
        <v>28</v>
      </c>
      <c r="AS384" s="16" t="n">
        <f aca="false">AR384+AP384</f>
        <v>77</v>
      </c>
      <c r="AT384" s="16" t="n">
        <f aca="false">AR384+AQ384</f>
        <v>77</v>
      </c>
      <c r="AU384" s="16" t="n">
        <f aca="false">AO384+AF384+AI384+AH384+AG384</f>
        <v>379</v>
      </c>
      <c r="AV384" s="16" t="n">
        <f aca="false">(AO384+AF384+AI384+AH384+AG384)/5</f>
        <v>75.8</v>
      </c>
      <c r="AW384" s="36" t="n">
        <f aca="false">(AO384+AF384+AI384+AH384+AG384+X384+R384+Q384+K384+J384)</f>
        <v>763</v>
      </c>
      <c r="AX384" s="16" t="n">
        <f aca="false">AW384/10</f>
        <v>76.3</v>
      </c>
      <c r="AY384" s="16" t="n">
        <f aca="false">AS384+AF384+AM384+AH384+AG384+AB384+V384+Q384+O384+J384</f>
        <v>776.9</v>
      </c>
      <c r="AZ384" s="16" t="n">
        <f aca="false">AT384+AF384+AN384+AH384+AG384+AC384+W384+Q384+P384+J384</f>
        <v>778</v>
      </c>
      <c r="BA384" s="16" t="n">
        <f aca="false">AY384/10</f>
        <v>77.69</v>
      </c>
      <c r="BB384" s="16" t="n">
        <f aca="false">AZ384/10</f>
        <v>77.8</v>
      </c>
      <c r="BC384" s="16" t="n">
        <v>2382</v>
      </c>
      <c r="BD384" s="16" t="n">
        <f aca="false">RANK(AX384,$AX$2:$AX$881,0)</f>
        <v>593</v>
      </c>
      <c r="BE384" s="54" t="n">
        <f aca="false">((BC384*100)/2400)*0.4+(AX384*0.6)</f>
        <v>85.48</v>
      </c>
      <c r="BF384" s="16" t="n">
        <f aca="false">RANK(BE384,$BE$2:$BE$881,0)</f>
        <v>510</v>
      </c>
      <c r="BG384" s="39" t="n">
        <f aca="false">RANK(BB384,$BB$2:$BB$881,0)</f>
        <v>577</v>
      </c>
      <c r="BH384" s="39" t="n">
        <f aca="false">RANK(BC384,$BC$2:$BC$881,0)</f>
        <v>124</v>
      </c>
      <c r="BI384" s="22" t="s">
        <v>130</v>
      </c>
      <c r="BJ384" s="22" t="s">
        <v>129</v>
      </c>
      <c r="BK384" s="40" t="s">
        <v>509</v>
      </c>
      <c r="BL384" s="41" t="n">
        <v>19</v>
      </c>
      <c r="BM384" s="41" t="n">
        <v>47</v>
      </c>
      <c r="BN384" s="41" t="n">
        <v>66</v>
      </c>
      <c r="BO384" s="42" t="n">
        <v>26</v>
      </c>
      <c r="BP384" s="43" t="n">
        <v>51</v>
      </c>
      <c r="BQ384" s="44" t="n">
        <v>77</v>
      </c>
      <c r="BR384" s="42" t="n">
        <v>21</v>
      </c>
      <c r="BS384" s="45" t="n">
        <v>53</v>
      </c>
      <c r="BT384" s="45" t="n">
        <v>74</v>
      </c>
      <c r="BU384" s="46" t="n">
        <v>99</v>
      </c>
      <c r="BV384" s="47" t="n">
        <v>90</v>
      </c>
      <c r="BW384" s="42" t="n">
        <v>95</v>
      </c>
      <c r="BX384" s="48" t="n">
        <v>92</v>
      </c>
      <c r="BY384" s="32" t="n">
        <v>22</v>
      </c>
      <c r="BZ384" s="32" t="n">
        <v>45</v>
      </c>
      <c r="CA384" s="32" t="n">
        <v>67</v>
      </c>
      <c r="CB384" s="32" t="n">
        <v>23</v>
      </c>
      <c r="CC384" s="32" t="n">
        <v>39</v>
      </c>
      <c r="CD384" s="32" t="n">
        <v>62</v>
      </c>
      <c r="CE384" s="32" t="n">
        <v>24</v>
      </c>
      <c r="CF384" s="32" t="n">
        <v>52</v>
      </c>
      <c r="CG384" s="32" t="n">
        <v>76</v>
      </c>
      <c r="CH384" s="32" t="n">
        <v>95</v>
      </c>
      <c r="CI384" s="32" t="n">
        <v>98</v>
      </c>
      <c r="CJ384" s="49" t="n">
        <v>13</v>
      </c>
      <c r="CK384" s="49" t="n">
        <v>54</v>
      </c>
      <c r="CL384" s="49" t="n">
        <v>67</v>
      </c>
      <c r="CM384" s="49" t="n">
        <v>20</v>
      </c>
      <c r="CN384" s="49" t="n">
        <v>47</v>
      </c>
      <c r="CO384" s="49" t="n">
        <v>67</v>
      </c>
      <c r="CP384" s="25" t="n">
        <f aca="false">BX384+BW384+BV384+BU384+BT384+BQ384+BN384</f>
        <v>593</v>
      </c>
      <c r="CQ384" s="25" t="n">
        <f aca="false">CO384+CL384+CI384+CH384+CG384+CD384+CA384</f>
        <v>532</v>
      </c>
      <c r="CR384" s="26" t="n">
        <f aca="false">CP384/7</f>
        <v>84.7142857142857</v>
      </c>
      <c r="CS384" s="26" t="n">
        <f aca="false">CQ384/7</f>
        <v>76</v>
      </c>
      <c r="CT384" s="24" t="n">
        <f aca="false">RANK(CR384,$CR$2:$CR$881,0)</f>
        <v>447</v>
      </c>
      <c r="CU384" s="25" t="n">
        <f aca="false">RANK(CS384,$CS$2:$CS$881,0)</f>
        <v>398</v>
      </c>
      <c r="CV384" s="26" t="n">
        <f aca="false">(CS384+CR384)/2</f>
        <v>80.3571428571429</v>
      </c>
      <c r="CW384" s="25" t="n">
        <f aca="false">RANK(CV384,$CV$2:$CV$881,0)</f>
        <v>414</v>
      </c>
      <c r="CX384" s="50" t="n">
        <f aca="false">(CV384+BB384)/2</f>
        <v>79.0785714285714</v>
      </c>
      <c r="CY384" s="50" t="n">
        <v>419</v>
      </c>
      <c r="CZ384" s="27" t="s">
        <v>132</v>
      </c>
      <c r="DA384" s="27" t="s">
        <v>202</v>
      </c>
      <c r="DB384" s="27" t="s">
        <v>202</v>
      </c>
      <c r="DC384" s="27" t="s">
        <v>134</v>
      </c>
      <c r="DD384" s="27" t="s">
        <v>182</v>
      </c>
      <c r="DE384" s="27" t="s">
        <v>375</v>
      </c>
      <c r="DF384" s="27" t="s">
        <v>372</v>
      </c>
      <c r="DG384" s="27" t="s">
        <v>134</v>
      </c>
      <c r="DH384" s="27" t="s">
        <v>135</v>
      </c>
      <c r="DI384" s="27" t="s">
        <v>163</v>
      </c>
      <c r="DJ384" s="27" t="s">
        <v>153</v>
      </c>
      <c r="DK384" s="27" t="s">
        <v>134</v>
      </c>
      <c r="DL384" s="27" t="s">
        <v>174</v>
      </c>
      <c r="DM384" s="27" t="s">
        <v>399</v>
      </c>
      <c r="DN384" s="27" t="s">
        <v>155</v>
      </c>
      <c r="DO384" s="27" t="s">
        <v>134</v>
      </c>
      <c r="DP384" s="27" t="s">
        <v>718</v>
      </c>
      <c r="DQ384" s="27" t="s">
        <v>218</v>
      </c>
      <c r="DR384" s="27" t="s">
        <v>138</v>
      </c>
      <c r="DS384" s="27" t="s">
        <v>134</v>
      </c>
      <c r="DT384" s="27" t="s">
        <v>164</v>
      </c>
      <c r="DU384" s="27" t="s">
        <v>442</v>
      </c>
      <c r="DV384" s="27" t="s">
        <v>443</v>
      </c>
      <c r="DW384" s="27" t="s">
        <v>140</v>
      </c>
      <c r="DX384" s="27" t="s">
        <v>136</v>
      </c>
      <c r="DY384" s="27" t="s">
        <v>176</v>
      </c>
      <c r="DZ384" s="27" t="n">
        <f aca="false">DY384+DV384+DR384+DN384+DJ384+DF384+DB384</f>
        <v>557</v>
      </c>
      <c r="EA384" s="28" t="n">
        <f aca="false">DZ384/7</f>
        <v>79.5714285714286</v>
      </c>
      <c r="EB384" s="27" t="n">
        <f aca="false">RANK(EA384,$EA$2:$EA$881,0)</f>
        <v>410</v>
      </c>
      <c r="EC384" s="29" t="n">
        <f aca="false">DZ384+CQ384+CP384+AZ384</f>
        <v>2460</v>
      </c>
      <c r="ED384" s="30" t="n">
        <f aca="false">(EA384+CV384+BB384)/3</f>
        <v>79.2428571428572</v>
      </c>
      <c r="EE384" s="51" t="n">
        <f aca="false">ROUND(BE384,3)</f>
        <v>85.48</v>
      </c>
      <c r="EF384" s="51" t="n">
        <f aca="false">ROUND(CR384,3)</f>
        <v>84.714</v>
      </c>
      <c r="EG384" s="51" t="n">
        <f aca="false">ROUND(CS384,3)</f>
        <v>76</v>
      </c>
      <c r="EH384" s="51" t="n">
        <f aca="false">ROUND(EA384,3)</f>
        <v>79.571</v>
      </c>
      <c r="EI384" s="51" t="n">
        <f aca="false">ROUND(ED384,3)</f>
        <v>79.243</v>
      </c>
      <c r="EJ384" s="51" t="n">
        <f aca="false">ROUND(CV384,3)</f>
        <v>80.357</v>
      </c>
      <c r="EK384" s="0" t="n">
        <f aca="false">RANK(EI384,$EI$2:$EI$881,0)</f>
        <v>383</v>
      </c>
    </row>
    <row r="385" customFormat="false" ht="15" hidden="false" customHeight="false" outlineLevel="0" collapsed="false">
      <c r="A385" s="4" t="n">
        <v>9097</v>
      </c>
      <c r="B385" s="4" t="n">
        <v>124</v>
      </c>
      <c r="C385" s="27" t="s">
        <v>1239</v>
      </c>
      <c r="D385" s="31" t="n">
        <v>122</v>
      </c>
      <c r="E385" s="32" t="n">
        <v>230312375</v>
      </c>
      <c r="F385" s="8" t="s">
        <v>1240</v>
      </c>
      <c r="G385" s="63" t="s">
        <v>1241</v>
      </c>
      <c r="H385" s="22" t="s">
        <v>129</v>
      </c>
      <c r="I385" s="64" t="n">
        <v>2005</v>
      </c>
      <c r="J385" s="62" t="n">
        <v>77</v>
      </c>
      <c r="K385" s="62" t="n">
        <v>79</v>
      </c>
      <c r="L385" s="34" t="n">
        <f aca="false">(K385*70)/100</f>
        <v>55.3</v>
      </c>
      <c r="M385" s="34" t="n">
        <f aca="false">ROUNDUP(L385,0)</f>
        <v>56</v>
      </c>
      <c r="N385" s="62" t="n">
        <v>26</v>
      </c>
      <c r="O385" s="34" t="n">
        <f aca="false">N385+L385</f>
        <v>81.3</v>
      </c>
      <c r="P385" s="34" t="n">
        <f aca="false">N385+M385</f>
        <v>82</v>
      </c>
      <c r="Q385" s="62" t="n">
        <v>66</v>
      </c>
      <c r="R385" s="62" t="n">
        <v>68</v>
      </c>
      <c r="S385" s="34" t="n">
        <f aca="false">(R385*70)/100</f>
        <v>47.6</v>
      </c>
      <c r="T385" s="34" t="n">
        <f aca="false">ROUNDUP(S385,0)</f>
        <v>48</v>
      </c>
      <c r="U385" s="62" t="n">
        <v>23</v>
      </c>
      <c r="V385" s="34" t="n">
        <f aca="false">U385+S385</f>
        <v>70.6</v>
      </c>
      <c r="W385" s="34" t="n">
        <f aca="false">U385+T385</f>
        <v>71</v>
      </c>
      <c r="X385" s="62" t="n">
        <v>52</v>
      </c>
      <c r="Y385" s="34" t="n">
        <f aca="false">(X385*70)/100</f>
        <v>36.4</v>
      </c>
      <c r="Z385" s="34" t="n">
        <f aca="false">ROUNDUP(Y385,0)</f>
        <v>37</v>
      </c>
      <c r="AA385" s="62" t="n">
        <v>22</v>
      </c>
      <c r="AB385" s="34" t="n">
        <f aca="false">AA385+Y385</f>
        <v>58.4</v>
      </c>
      <c r="AC385" s="91" t="n">
        <f aca="false">AA385+Z385</f>
        <v>59</v>
      </c>
      <c r="AD385" s="32" t="n">
        <f aca="false">X385+R385+Q385+K385+J385</f>
        <v>342</v>
      </c>
      <c r="AE385" s="16" t="n">
        <f aca="false">AD385/5</f>
        <v>68.4</v>
      </c>
      <c r="AF385" s="99" t="n">
        <v>58</v>
      </c>
      <c r="AG385" s="65" t="n">
        <v>84</v>
      </c>
      <c r="AH385" s="65" t="n">
        <v>84</v>
      </c>
      <c r="AI385" s="65" t="n">
        <v>81</v>
      </c>
      <c r="AJ385" s="16" t="n">
        <f aca="false">(AI385*70)/100</f>
        <v>56.7</v>
      </c>
      <c r="AK385" s="35" t="n">
        <f aca="false">ROUNDUP(AJ385,0)</f>
        <v>57</v>
      </c>
      <c r="AL385" s="65" t="n">
        <v>26</v>
      </c>
      <c r="AM385" s="16" t="n">
        <f aca="false">AL385+AJ385</f>
        <v>82.7</v>
      </c>
      <c r="AN385" s="16" t="n">
        <f aca="false">AL385+AK385</f>
        <v>83</v>
      </c>
      <c r="AO385" s="65" t="n">
        <v>81</v>
      </c>
      <c r="AP385" s="36" t="n">
        <f aca="false">(AO385*70)/100</f>
        <v>56.7</v>
      </c>
      <c r="AQ385" s="37" t="n">
        <f aca="false">ROUNDUP(AP385,0)</f>
        <v>57</v>
      </c>
      <c r="AR385" s="65" t="n">
        <v>24</v>
      </c>
      <c r="AS385" s="16" t="n">
        <f aca="false">AR385+AP385</f>
        <v>80.7</v>
      </c>
      <c r="AT385" s="16" t="n">
        <f aca="false">AR385+AQ385</f>
        <v>81</v>
      </c>
      <c r="AU385" s="16" t="n">
        <f aca="false">AO385+AF385+AI385+AH385+AG385</f>
        <v>388</v>
      </c>
      <c r="AV385" s="16" t="n">
        <f aca="false">(AO385+AF385+AI385+AH385+AG385)/5</f>
        <v>77.6</v>
      </c>
      <c r="AW385" s="36" t="n">
        <f aca="false">(AO385+AF385+AI385+AH385+AG385+X385+R385+Q385+K385+J385)</f>
        <v>730</v>
      </c>
      <c r="AX385" s="16" t="n">
        <f aca="false">AW385/10</f>
        <v>73</v>
      </c>
      <c r="AY385" s="16" t="n">
        <f aca="false">AS385+AF385+AM385+AH385+AG385+AB385+V385+Q385+O385+J385</f>
        <v>742.7</v>
      </c>
      <c r="AZ385" s="16" t="n">
        <f aca="false">AT385+AF385+AN385+AH385+AG385+AC385+W385+Q385+P385+J385</f>
        <v>745</v>
      </c>
      <c r="BA385" s="16" t="n">
        <f aca="false">AY385/10</f>
        <v>74.27</v>
      </c>
      <c r="BB385" s="16" t="n">
        <f aca="false">AZ385/10</f>
        <v>74.5</v>
      </c>
      <c r="BC385" s="65" t="n">
        <v>2345</v>
      </c>
      <c r="BD385" s="16" t="n">
        <f aca="false">RANK(AX385,$AX$2:$AX$881,0)</f>
        <v>711</v>
      </c>
      <c r="BE385" s="73" t="n">
        <f aca="false">((BC385*100)/2400)*0.4+(AX385*0.6)</f>
        <v>82.8833333333333</v>
      </c>
      <c r="BF385" s="16" t="n">
        <f aca="false">RANK(BE385,$BE$2:$BE$881,0)</f>
        <v>701</v>
      </c>
      <c r="BG385" s="39" t="n">
        <f aca="false">RANK(BB385,$BB$2:$BB$881,0)</f>
        <v>706</v>
      </c>
      <c r="BH385" s="39" t="n">
        <f aca="false">RANK(BC385,$BC$2:$BC$881,0)</f>
        <v>585</v>
      </c>
      <c r="BI385" s="22" t="s">
        <v>130</v>
      </c>
      <c r="BJ385" s="22" t="s">
        <v>129</v>
      </c>
      <c r="BK385" s="100" t="s">
        <v>702</v>
      </c>
      <c r="BL385" s="41" t="n">
        <v>18</v>
      </c>
      <c r="BM385" s="41" t="n">
        <v>49</v>
      </c>
      <c r="BN385" s="41" t="n">
        <v>67</v>
      </c>
      <c r="BO385" s="42" t="n">
        <v>19</v>
      </c>
      <c r="BP385" s="43" t="n">
        <v>52</v>
      </c>
      <c r="BQ385" s="44" t="n">
        <v>71</v>
      </c>
      <c r="BR385" s="42" t="n">
        <v>16</v>
      </c>
      <c r="BS385" s="45" t="n">
        <v>47</v>
      </c>
      <c r="BT385" s="45" t="n">
        <v>63</v>
      </c>
      <c r="BU385" s="46" t="n">
        <v>100</v>
      </c>
      <c r="BV385" s="47" t="n">
        <v>88</v>
      </c>
      <c r="BW385" s="42" t="n">
        <v>96</v>
      </c>
      <c r="BX385" s="48" t="n">
        <v>90</v>
      </c>
      <c r="BY385" s="32" t="n">
        <v>25</v>
      </c>
      <c r="BZ385" s="32" t="n">
        <v>47</v>
      </c>
      <c r="CA385" s="32" t="n">
        <v>72</v>
      </c>
      <c r="CB385" s="32" t="n">
        <v>23</v>
      </c>
      <c r="CC385" s="32" t="n">
        <v>43</v>
      </c>
      <c r="CD385" s="32" t="n">
        <v>66</v>
      </c>
      <c r="CE385" s="32" t="n">
        <v>24</v>
      </c>
      <c r="CF385" s="32" t="n">
        <v>44</v>
      </c>
      <c r="CG385" s="32" t="n">
        <v>68</v>
      </c>
      <c r="CH385" s="32" t="n">
        <v>96</v>
      </c>
      <c r="CI385" s="32" t="n">
        <v>96</v>
      </c>
      <c r="CJ385" s="49" t="n">
        <v>21</v>
      </c>
      <c r="CK385" s="49" t="n">
        <v>54</v>
      </c>
      <c r="CL385" s="84" t="n">
        <v>75</v>
      </c>
      <c r="CM385" s="49" t="n">
        <v>23</v>
      </c>
      <c r="CN385" s="49" t="n">
        <v>53</v>
      </c>
      <c r="CO385" s="49" t="n">
        <v>76</v>
      </c>
      <c r="CP385" s="25" t="n">
        <f aca="false">BX385+BW385+BV385+BU385+BT385+BQ385+BN385</f>
        <v>575</v>
      </c>
      <c r="CQ385" s="25" t="n">
        <f aca="false">CO385+CL385+CI385+CH385+CG385+CD385+CA385</f>
        <v>549</v>
      </c>
      <c r="CR385" s="26" t="n">
        <f aca="false">CP385/7</f>
        <v>82.1428571428571</v>
      </c>
      <c r="CS385" s="26" t="n">
        <f aca="false">CQ385/7</f>
        <v>78.4285714285714</v>
      </c>
      <c r="CT385" s="24" t="n">
        <f aca="false">RANK(CR385,$CR$2:$CR$881,0)</f>
        <v>536</v>
      </c>
      <c r="CU385" s="25" t="n">
        <f aca="false">RANK(CS385,$CS$2:$CS$881,0)</f>
        <v>321</v>
      </c>
      <c r="CV385" s="26" t="n">
        <f aca="false">(CS385+CR385)/2</f>
        <v>80.2857142857143</v>
      </c>
      <c r="CW385" s="25" t="n">
        <f aca="false">RANK(CV385,$CV$2:$CV$881,0)</f>
        <v>415</v>
      </c>
      <c r="CX385" s="50" t="n">
        <f aca="false">(CV385+BB385)/2</f>
        <v>77.3928571428571</v>
      </c>
      <c r="CY385" s="50" t="n">
        <v>511</v>
      </c>
      <c r="CZ385" s="27" t="s">
        <v>132</v>
      </c>
      <c r="DA385" s="27" t="s">
        <v>133</v>
      </c>
      <c r="DB385" s="27" t="s">
        <v>133</v>
      </c>
      <c r="DC385" s="27" t="s">
        <v>134</v>
      </c>
      <c r="DD385" s="27" t="s">
        <v>182</v>
      </c>
      <c r="DE385" s="27" t="s">
        <v>183</v>
      </c>
      <c r="DF385" s="27" t="s">
        <v>205</v>
      </c>
      <c r="DG385" s="27" t="s">
        <v>134</v>
      </c>
      <c r="DH385" s="27" t="s">
        <v>182</v>
      </c>
      <c r="DI385" s="27" t="s">
        <v>220</v>
      </c>
      <c r="DJ385" s="27" t="s">
        <v>219</v>
      </c>
      <c r="DK385" s="27" t="s">
        <v>134</v>
      </c>
      <c r="DL385" s="27" t="s">
        <v>182</v>
      </c>
      <c r="DM385" s="27" t="s">
        <v>218</v>
      </c>
      <c r="DN385" s="27" t="s">
        <v>196</v>
      </c>
      <c r="DO385" s="27" t="s">
        <v>134</v>
      </c>
      <c r="DP385" s="27" t="s">
        <v>191</v>
      </c>
      <c r="DQ385" s="27" t="s">
        <v>304</v>
      </c>
      <c r="DR385" s="27" t="s">
        <v>372</v>
      </c>
      <c r="DS385" s="27" t="s">
        <v>134</v>
      </c>
      <c r="DT385" s="27" t="s">
        <v>135</v>
      </c>
      <c r="DU385" s="27" t="s">
        <v>412</v>
      </c>
      <c r="DV385" s="27" t="s">
        <v>443</v>
      </c>
      <c r="DW385" s="27" t="s">
        <v>140</v>
      </c>
      <c r="DX385" s="27" t="s">
        <v>155</v>
      </c>
      <c r="DY385" s="27" t="s">
        <v>147</v>
      </c>
      <c r="DZ385" s="27" t="n">
        <f aca="false">DY385+DV385+DR385+DN385+DJ385+DF385+DB385</f>
        <v>580</v>
      </c>
      <c r="EA385" s="28" t="n">
        <f aca="false">DZ385/7</f>
        <v>82.8571428571429</v>
      </c>
      <c r="EB385" s="27" t="n">
        <f aca="false">RANK(EA385,$EA$2:$EA$881,0)</f>
        <v>275</v>
      </c>
      <c r="EC385" s="29" t="n">
        <f aca="false">DZ385+CQ385+CP385+AZ385</f>
        <v>2449</v>
      </c>
      <c r="ED385" s="30" t="n">
        <f aca="false">(EA385+CV385+BB385)/3</f>
        <v>79.2142857142857</v>
      </c>
      <c r="EE385" s="51" t="n">
        <f aca="false">ROUND(BE385,3)</f>
        <v>82.883</v>
      </c>
      <c r="EF385" s="51" t="n">
        <f aca="false">ROUND(CR385,3)</f>
        <v>82.143</v>
      </c>
      <c r="EG385" s="51" t="n">
        <f aca="false">ROUND(CS385,3)</f>
        <v>78.429</v>
      </c>
      <c r="EH385" s="51" t="n">
        <f aca="false">ROUND(EA385,3)</f>
        <v>82.857</v>
      </c>
      <c r="EI385" s="51" t="n">
        <f aca="false">ROUND(ED385,3)</f>
        <v>79.214</v>
      </c>
      <c r="EJ385" s="51" t="n">
        <f aca="false">ROUND(CV385,3)</f>
        <v>80.286</v>
      </c>
      <c r="EK385" s="0" t="n">
        <f aca="false">RANK(EI385,$EI$2:$EI$881,0)</f>
        <v>384</v>
      </c>
    </row>
    <row r="386" customFormat="false" ht="15" hidden="false" customHeight="false" outlineLevel="0" collapsed="false">
      <c r="A386" s="4" t="n">
        <v>8669</v>
      </c>
      <c r="B386" s="4" t="n">
        <v>637</v>
      </c>
      <c r="C386" s="27" t="s">
        <v>1242</v>
      </c>
      <c r="D386" s="31" t="n">
        <v>646</v>
      </c>
      <c r="E386" s="16" t="n">
        <v>230238119</v>
      </c>
      <c r="F386" s="56" t="s">
        <v>1243</v>
      </c>
      <c r="G386" s="22" t="s">
        <v>395</v>
      </c>
      <c r="H386" s="22" t="s">
        <v>326</v>
      </c>
      <c r="I386" s="57"/>
      <c r="J386" s="16" t="n">
        <v>98</v>
      </c>
      <c r="K386" s="16" t="n">
        <v>70</v>
      </c>
      <c r="L386" s="34" t="n">
        <f aca="false">(K386*70)/100</f>
        <v>49</v>
      </c>
      <c r="M386" s="34" t="n">
        <f aca="false">ROUNDUP(L386,0)</f>
        <v>49</v>
      </c>
      <c r="N386" s="16" t="n">
        <v>29</v>
      </c>
      <c r="O386" s="34" t="n">
        <f aca="false">N386+L386</f>
        <v>78</v>
      </c>
      <c r="P386" s="34" t="n">
        <f aca="false">N386+M386</f>
        <v>78</v>
      </c>
      <c r="Q386" s="16" t="n">
        <v>78</v>
      </c>
      <c r="R386" s="16" t="n">
        <v>76</v>
      </c>
      <c r="S386" s="34" t="n">
        <f aca="false">(R386*70)/100</f>
        <v>53.2</v>
      </c>
      <c r="T386" s="34" t="n">
        <f aca="false">ROUNDUP(S386,0)</f>
        <v>54</v>
      </c>
      <c r="U386" s="16" t="n">
        <v>26</v>
      </c>
      <c r="V386" s="34" t="n">
        <f aca="false">U386+S386</f>
        <v>79.2</v>
      </c>
      <c r="W386" s="34" t="n">
        <f aca="false">U386+T386</f>
        <v>80</v>
      </c>
      <c r="X386" s="16" t="n">
        <v>63</v>
      </c>
      <c r="Y386" s="34" t="n">
        <f aca="false">(X386*70)/100</f>
        <v>44.1</v>
      </c>
      <c r="Z386" s="34" t="n">
        <f aca="false">ROUNDUP(Y386,0)</f>
        <v>45</v>
      </c>
      <c r="AA386" s="16" t="n">
        <v>27</v>
      </c>
      <c r="AB386" s="34" t="n">
        <f aca="false">AA386+Y386</f>
        <v>71.1</v>
      </c>
      <c r="AC386" s="34" t="n">
        <f aca="false">AA386+Z386</f>
        <v>72</v>
      </c>
      <c r="AD386" s="32" t="n">
        <f aca="false">X386+R386+Q386+K386+J386</f>
        <v>385</v>
      </c>
      <c r="AE386" s="16" t="n">
        <f aca="false">AD386/5</f>
        <v>77</v>
      </c>
      <c r="AF386" s="16" t="n">
        <v>77</v>
      </c>
      <c r="AG386" s="16" t="n">
        <v>99</v>
      </c>
      <c r="AH386" s="16" t="n">
        <v>83</v>
      </c>
      <c r="AI386" s="16" t="n">
        <v>72</v>
      </c>
      <c r="AJ386" s="16" t="n">
        <f aca="false">(AI386*70)/100</f>
        <v>50.4</v>
      </c>
      <c r="AK386" s="35" t="n">
        <f aca="false">ROUNDUP(AJ386,0)</f>
        <v>51</v>
      </c>
      <c r="AL386" s="16" t="n">
        <v>30</v>
      </c>
      <c r="AM386" s="16" t="n">
        <f aca="false">AL386+AJ386</f>
        <v>80.4</v>
      </c>
      <c r="AN386" s="16" t="n">
        <f aca="false">AL386+AK386</f>
        <v>81</v>
      </c>
      <c r="AO386" s="16" t="n">
        <v>68</v>
      </c>
      <c r="AP386" s="36" t="n">
        <f aca="false">(AO386*70)/100</f>
        <v>47.6</v>
      </c>
      <c r="AQ386" s="37" t="n">
        <f aca="false">ROUNDUP(AP386,0)</f>
        <v>48</v>
      </c>
      <c r="AR386" s="16" t="n">
        <v>29</v>
      </c>
      <c r="AS386" s="16" t="n">
        <f aca="false">AR386+AP386</f>
        <v>76.6</v>
      </c>
      <c r="AT386" s="16" t="n">
        <f aca="false">AR386+AQ386</f>
        <v>77</v>
      </c>
      <c r="AU386" s="16" t="n">
        <f aca="false">AO386+AF386+AI386+AH386+AG386</f>
        <v>399</v>
      </c>
      <c r="AV386" s="16" t="n">
        <f aca="false">(AO386+AF386+AI386+AH386+AG386)/5</f>
        <v>79.8</v>
      </c>
      <c r="AW386" s="36" t="n">
        <f aca="false">(AO386+AF386+AI386+AH386+AG386+X386+R386+Q386+K386+J386)</f>
        <v>784</v>
      </c>
      <c r="AX386" s="16" t="n">
        <f aca="false">AW386/10</f>
        <v>78.4</v>
      </c>
      <c r="AY386" s="16" t="n">
        <f aca="false">AS386+AF386+AM386+AH386+AG386+AB386+V386+Q386+O386+J386</f>
        <v>820.3</v>
      </c>
      <c r="AZ386" s="16" t="n">
        <f aca="false">AT386+AF386+AN386+AH386+AG386+AC386+W386+Q386+P386+J386</f>
        <v>823</v>
      </c>
      <c r="BA386" s="16" t="n">
        <f aca="false">AY386/10</f>
        <v>82.03</v>
      </c>
      <c r="BB386" s="16" t="n">
        <f aca="false">AZ386/10</f>
        <v>82.3</v>
      </c>
      <c r="BC386" s="16" t="n">
        <v>2345</v>
      </c>
      <c r="BD386" s="16" t="n">
        <f aca="false">RANK(AX386,$AX$2:$AX$881,0)</f>
        <v>385</v>
      </c>
      <c r="BE386" s="54" t="n">
        <f aca="false">((BC386*100)/2400)*0.4+(AX386*0.6)</f>
        <v>86.1233333333333</v>
      </c>
      <c r="BF386" s="16" t="n">
        <f aca="false">RANK(BE386,$BE$2:$BE$881,0)</f>
        <v>417</v>
      </c>
      <c r="BG386" s="39" t="n">
        <f aca="false">RANK(BB386,$BB$2:$BB$881,0)</f>
        <v>193</v>
      </c>
      <c r="BH386" s="39" t="n">
        <f aca="false">RANK(BC386,$BC$2:$BC$881,0)</f>
        <v>585</v>
      </c>
      <c r="BI386" s="22" t="s">
        <v>130</v>
      </c>
      <c r="BJ386" s="22" t="s">
        <v>129</v>
      </c>
      <c r="BK386" s="40" t="s">
        <v>131</v>
      </c>
      <c r="BL386" s="41" t="n">
        <v>20</v>
      </c>
      <c r="BM386" s="41" t="n">
        <v>49</v>
      </c>
      <c r="BN386" s="41" t="n">
        <v>69</v>
      </c>
      <c r="BO386" s="42" t="n">
        <v>29</v>
      </c>
      <c r="BP386" s="43" t="n">
        <v>57</v>
      </c>
      <c r="BQ386" s="44" t="n">
        <v>86</v>
      </c>
      <c r="BR386" s="42" t="n">
        <v>24</v>
      </c>
      <c r="BS386" s="45" t="n">
        <v>57</v>
      </c>
      <c r="BT386" s="45" t="n">
        <v>81</v>
      </c>
      <c r="BU386" s="46" t="n">
        <v>99</v>
      </c>
      <c r="BV386" s="47" t="n">
        <v>80</v>
      </c>
      <c r="BW386" s="42" t="n">
        <v>99</v>
      </c>
      <c r="BX386" s="48" t="n">
        <v>96</v>
      </c>
      <c r="BY386" s="32" t="n">
        <v>21</v>
      </c>
      <c r="BZ386" s="32" t="n">
        <v>39</v>
      </c>
      <c r="CA386" s="32" t="n">
        <v>60</v>
      </c>
      <c r="CB386" s="32" t="n">
        <v>24</v>
      </c>
      <c r="CC386" s="32" t="n">
        <v>33</v>
      </c>
      <c r="CD386" s="69" t="n">
        <v>57</v>
      </c>
      <c r="CE386" s="32" t="n">
        <v>18</v>
      </c>
      <c r="CF386" s="32" t="n">
        <v>51</v>
      </c>
      <c r="CG386" s="32" t="n">
        <v>69</v>
      </c>
      <c r="CH386" s="32" t="n">
        <v>95</v>
      </c>
      <c r="CI386" s="32" t="n">
        <v>95</v>
      </c>
      <c r="CJ386" s="49" t="n">
        <v>16</v>
      </c>
      <c r="CK386" s="49" t="n">
        <v>52</v>
      </c>
      <c r="CL386" s="84" t="n">
        <v>68</v>
      </c>
      <c r="CM386" s="49" t="n">
        <v>22</v>
      </c>
      <c r="CN386" s="49" t="n">
        <v>56</v>
      </c>
      <c r="CO386" s="49" t="n">
        <v>78</v>
      </c>
      <c r="CP386" s="25" t="n">
        <f aca="false">BX386+BW386+BV386+BU386+BT386+BQ386+BN386</f>
        <v>610</v>
      </c>
      <c r="CQ386" s="25" t="n">
        <f aca="false">CO386+CL386+CI386+CH386+CG386+CD386+CA386</f>
        <v>522</v>
      </c>
      <c r="CR386" s="26" t="n">
        <f aca="false">CP386/7</f>
        <v>87.1428571428571</v>
      </c>
      <c r="CS386" s="26" t="n">
        <f aca="false">CQ386/7</f>
        <v>74.5714285714286</v>
      </c>
      <c r="CT386" s="24" t="n">
        <f aca="false">RANK(CR386,$CR$2:$CR$881,0)</f>
        <v>353</v>
      </c>
      <c r="CU386" s="25" t="n">
        <f aca="false">RANK(CS386,$CS$2:$CS$881,0)</f>
        <v>440</v>
      </c>
      <c r="CV386" s="26" t="n">
        <f aca="false">(CS386+CR386)/2</f>
        <v>80.8571428571429</v>
      </c>
      <c r="CW386" s="25" t="n">
        <f aca="false">RANK(CV386,$CV$2:$CV$881,0)</f>
        <v>389</v>
      </c>
      <c r="CX386" s="50" t="n">
        <f aca="false">(CV386+BB386)/2</f>
        <v>81.5785714285714</v>
      </c>
      <c r="CY386" s="50" t="n">
        <v>310</v>
      </c>
      <c r="CZ386" s="27" t="s">
        <v>132</v>
      </c>
      <c r="DA386" s="27" t="s">
        <v>133</v>
      </c>
      <c r="DB386" s="27" t="s">
        <v>133</v>
      </c>
      <c r="DC386" s="27" t="s">
        <v>134</v>
      </c>
      <c r="DD386" s="27" t="s">
        <v>164</v>
      </c>
      <c r="DE386" s="27" t="s">
        <v>375</v>
      </c>
      <c r="DF386" s="27" t="s">
        <v>382</v>
      </c>
      <c r="DG386" s="27" t="s">
        <v>134</v>
      </c>
      <c r="DH386" s="27" t="s">
        <v>191</v>
      </c>
      <c r="DI386" s="27" t="s">
        <v>313</v>
      </c>
      <c r="DJ386" s="27" t="s">
        <v>398</v>
      </c>
      <c r="DK386" s="27" t="s">
        <v>134</v>
      </c>
      <c r="DL386" s="27" t="s">
        <v>195</v>
      </c>
      <c r="DM386" s="27" t="s">
        <v>638</v>
      </c>
      <c r="DN386" s="27" t="s">
        <v>187</v>
      </c>
      <c r="DO386" s="27" t="s">
        <v>134</v>
      </c>
      <c r="DP386" s="27" t="s">
        <v>191</v>
      </c>
      <c r="DQ386" s="27" t="s">
        <v>989</v>
      </c>
      <c r="DR386" s="27" t="s">
        <v>203</v>
      </c>
      <c r="DS386" s="27" t="s">
        <v>134</v>
      </c>
      <c r="DT386" s="27" t="s">
        <v>154</v>
      </c>
      <c r="DU386" s="27" t="s">
        <v>638</v>
      </c>
      <c r="DV386" s="27" t="s">
        <v>143</v>
      </c>
      <c r="DW386" s="27" t="s">
        <v>195</v>
      </c>
      <c r="DX386" s="27" t="s">
        <v>141</v>
      </c>
      <c r="DY386" s="27" t="s">
        <v>133</v>
      </c>
      <c r="DZ386" s="27" t="n">
        <f aca="false">DY386+DV386+DR386+DN386+DJ386+DF386+DB386</f>
        <v>521</v>
      </c>
      <c r="EA386" s="28" t="n">
        <f aca="false">DZ386/7</f>
        <v>74.4285714285714</v>
      </c>
      <c r="EB386" s="27" t="n">
        <f aca="false">RANK(EA386,$EA$2:$EA$881,0)</f>
        <v>552</v>
      </c>
      <c r="EC386" s="29" t="n">
        <f aca="false">DZ386+CQ386+CP386+AZ386</f>
        <v>2476</v>
      </c>
      <c r="ED386" s="30" t="n">
        <f aca="false">(EA386+CV386+BB386)/3</f>
        <v>79.1952380952381</v>
      </c>
      <c r="EE386" s="51" t="n">
        <f aca="false">ROUND(BE386,3)</f>
        <v>86.123</v>
      </c>
      <c r="EF386" s="51" t="n">
        <f aca="false">ROUND(CR386,3)</f>
        <v>87.143</v>
      </c>
      <c r="EG386" s="51" t="n">
        <f aca="false">ROUND(CS386,3)</f>
        <v>74.571</v>
      </c>
      <c r="EH386" s="51" t="n">
        <f aca="false">ROUND(EA386,3)</f>
        <v>74.429</v>
      </c>
      <c r="EI386" s="51" t="n">
        <f aca="false">ROUND(ED386,3)</f>
        <v>79.195</v>
      </c>
      <c r="EJ386" s="51" t="n">
        <f aca="false">ROUND(CV386,3)</f>
        <v>80.857</v>
      </c>
      <c r="EK386" s="0" t="n">
        <f aca="false">RANK(EI386,$EI$2:$EI$881,0)</f>
        <v>385</v>
      </c>
    </row>
    <row r="387" customFormat="false" ht="15" hidden="false" customHeight="false" outlineLevel="0" collapsed="false">
      <c r="A387" s="4" t="n">
        <v>2059</v>
      </c>
      <c r="B387" s="4" t="n">
        <v>472</v>
      </c>
      <c r="C387" s="27" t="s">
        <v>1244</v>
      </c>
      <c r="D387" s="31" t="n">
        <v>480</v>
      </c>
      <c r="E387" s="16" t="n">
        <v>230231696</v>
      </c>
      <c r="F387" s="56" t="s">
        <v>1245</v>
      </c>
      <c r="G387" s="22" t="s">
        <v>1246</v>
      </c>
      <c r="H387" s="22" t="s">
        <v>326</v>
      </c>
      <c r="I387" s="57"/>
      <c r="J387" s="16" t="n">
        <v>70</v>
      </c>
      <c r="K387" s="16" t="n">
        <v>76</v>
      </c>
      <c r="L387" s="34" t="n">
        <f aca="false">(K387*70)/100</f>
        <v>53.2</v>
      </c>
      <c r="M387" s="34" t="n">
        <f aca="false">ROUNDUP(L387,0)</f>
        <v>54</v>
      </c>
      <c r="N387" s="16" t="n">
        <v>29</v>
      </c>
      <c r="O387" s="34" t="n">
        <f aca="false">N387+L387</f>
        <v>82.2</v>
      </c>
      <c r="P387" s="34" t="n">
        <f aca="false">N387+M387</f>
        <v>83</v>
      </c>
      <c r="Q387" s="16" t="n">
        <v>80</v>
      </c>
      <c r="R387" s="16" t="n">
        <v>81</v>
      </c>
      <c r="S387" s="34" t="n">
        <f aca="false">(R387*70)/100</f>
        <v>56.7</v>
      </c>
      <c r="T387" s="34" t="n">
        <f aca="false">ROUNDUP(S387,0)</f>
        <v>57</v>
      </c>
      <c r="U387" s="16" t="n">
        <v>24</v>
      </c>
      <c r="V387" s="34" t="n">
        <f aca="false">U387+S387</f>
        <v>80.7</v>
      </c>
      <c r="W387" s="34" t="n">
        <f aca="false">U387+T387</f>
        <v>81</v>
      </c>
      <c r="X387" s="16" t="n">
        <v>75</v>
      </c>
      <c r="Y387" s="34" t="n">
        <f aca="false">(X387*70)/100</f>
        <v>52.5</v>
      </c>
      <c r="Z387" s="34" t="n">
        <f aca="false">ROUNDUP(Y387,0)</f>
        <v>53</v>
      </c>
      <c r="AA387" s="16" t="n">
        <v>28</v>
      </c>
      <c r="AB387" s="34" t="n">
        <f aca="false">AA387+Y387</f>
        <v>80.5</v>
      </c>
      <c r="AC387" s="34" t="n">
        <f aca="false">AA387+Z387</f>
        <v>81</v>
      </c>
      <c r="AD387" s="32" t="n">
        <f aca="false">X387+R387+Q387+K387+J387</f>
        <v>382</v>
      </c>
      <c r="AE387" s="16" t="n">
        <f aca="false">AD387/5</f>
        <v>76.4</v>
      </c>
      <c r="AF387" s="16" t="n">
        <v>79</v>
      </c>
      <c r="AG387" s="16" t="n">
        <v>60</v>
      </c>
      <c r="AH387" s="16" t="n">
        <v>91</v>
      </c>
      <c r="AI387" s="16" t="n">
        <v>90</v>
      </c>
      <c r="AJ387" s="16" t="n">
        <f aca="false">(AI387*70)/100</f>
        <v>63</v>
      </c>
      <c r="AK387" s="35" t="n">
        <f aca="false">ROUNDUP(AJ387,0)</f>
        <v>63</v>
      </c>
      <c r="AL387" s="16" t="n">
        <v>28</v>
      </c>
      <c r="AM387" s="16" t="n">
        <f aca="false">AL387+AJ387</f>
        <v>91</v>
      </c>
      <c r="AN387" s="16" t="n">
        <f aca="false">AL387+AK387</f>
        <v>91</v>
      </c>
      <c r="AO387" s="16" t="n">
        <v>81</v>
      </c>
      <c r="AP387" s="36" t="n">
        <f aca="false">(AO387*70)/100</f>
        <v>56.7</v>
      </c>
      <c r="AQ387" s="37" t="n">
        <f aca="false">ROUNDUP(AP387,0)</f>
        <v>57</v>
      </c>
      <c r="AR387" s="16" t="n">
        <v>27</v>
      </c>
      <c r="AS387" s="16" t="n">
        <f aca="false">AR387+AP387</f>
        <v>83.7</v>
      </c>
      <c r="AT387" s="16" t="n">
        <f aca="false">AR387+AQ387</f>
        <v>84</v>
      </c>
      <c r="AU387" s="16" t="n">
        <f aca="false">AO387+AF387+AI387+AH387+AG387</f>
        <v>401</v>
      </c>
      <c r="AV387" s="16" t="n">
        <f aca="false">(AO387+AF387+AI387+AH387+AG387)/5</f>
        <v>80.2</v>
      </c>
      <c r="AW387" s="36" t="n">
        <f aca="false">(AO387+AF387+AI387+AH387+AG387+X387+R387+Q387+K387+J387)</f>
        <v>783</v>
      </c>
      <c r="AX387" s="16" t="n">
        <f aca="false">AW387/10</f>
        <v>78.3</v>
      </c>
      <c r="AY387" s="16" t="n">
        <f aca="false">AS387+AF387+AM387+AH387+AG387+AB387+V387+Q387+O387+J387</f>
        <v>798.1</v>
      </c>
      <c r="AZ387" s="16" t="n">
        <f aca="false">AT387+AF387+AN387+AH387+AG387+AC387+W387+Q387+P387+J387</f>
        <v>800</v>
      </c>
      <c r="BA387" s="16" t="n">
        <f aca="false">AY387/10</f>
        <v>79.81</v>
      </c>
      <c r="BB387" s="16" t="n">
        <f aca="false">AZ387/10</f>
        <v>80</v>
      </c>
      <c r="BC387" s="16" t="n">
        <v>2347</v>
      </c>
      <c r="BD387" s="16" t="n">
        <f aca="false">RANK(AX387,$AX$2:$AX$881,0)</f>
        <v>392</v>
      </c>
      <c r="BE387" s="73" t="n">
        <f aca="false">((BC387*100)/2400)*0.4+(AX387*0.6)</f>
        <v>86.0966666666667</v>
      </c>
      <c r="BF387" s="16" t="n">
        <f aca="false">RANK(BE387,$BE$2:$BE$881,0)</f>
        <v>419</v>
      </c>
      <c r="BG387" s="39" t="n">
        <f aca="false">RANK(BB387,$BB$2:$BB$881,0)</f>
        <v>352</v>
      </c>
      <c r="BH387" s="39" t="n">
        <f aca="false">RANK(BC387,$BC$2:$BC$881,0)</f>
        <v>562</v>
      </c>
      <c r="BI387" s="22" t="s">
        <v>130</v>
      </c>
      <c r="BJ387" s="22" t="s">
        <v>129</v>
      </c>
      <c r="BK387" s="22" t="s">
        <v>509</v>
      </c>
      <c r="BL387" s="41" t="n">
        <v>21</v>
      </c>
      <c r="BM387" s="41" t="n">
        <v>53</v>
      </c>
      <c r="BN387" s="41" t="n">
        <v>74</v>
      </c>
      <c r="BO387" s="42" t="n">
        <v>22</v>
      </c>
      <c r="BP387" s="43" t="n">
        <v>62</v>
      </c>
      <c r="BQ387" s="44" t="n">
        <v>84</v>
      </c>
      <c r="BR387" s="42" t="n">
        <v>26</v>
      </c>
      <c r="BS387" s="45" t="n">
        <v>57</v>
      </c>
      <c r="BT387" s="45" t="n">
        <v>83</v>
      </c>
      <c r="BU387" s="46" t="n">
        <v>95</v>
      </c>
      <c r="BV387" s="47" t="n">
        <v>62</v>
      </c>
      <c r="BW387" s="42" t="n">
        <v>98</v>
      </c>
      <c r="BX387" s="48" t="n">
        <v>96</v>
      </c>
      <c r="BY387" s="32" t="n">
        <v>25</v>
      </c>
      <c r="BZ387" s="32" t="n">
        <v>54</v>
      </c>
      <c r="CA387" s="32" t="n">
        <v>79</v>
      </c>
      <c r="CB387" s="32" t="n">
        <v>24</v>
      </c>
      <c r="CC387" s="32" t="n">
        <v>44</v>
      </c>
      <c r="CD387" s="32" t="n">
        <v>68</v>
      </c>
      <c r="CE387" s="32" t="n">
        <v>27</v>
      </c>
      <c r="CF387" s="32" t="n">
        <v>50</v>
      </c>
      <c r="CG387" s="32" t="n">
        <v>77</v>
      </c>
      <c r="CH387" s="32" t="n">
        <v>93</v>
      </c>
      <c r="CI387" s="32" t="n">
        <v>88</v>
      </c>
      <c r="CJ387" s="49" t="n">
        <v>23</v>
      </c>
      <c r="CK387" s="49" t="n">
        <v>52</v>
      </c>
      <c r="CL387" s="49" t="n">
        <v>75</v>
      </c>
      <c r="CM387" s="49" t="n">
        <v>21</v>
      </c>
      <c r="CN387" s="49" t="n">
        <v>44</v>
      </c>
      <c r="CO387" s="49" t="n">
        <v>65</v>
      </c>
      <c r="CP387" s="25" t="n">
        <f aca="false">BX387+BW387+BV387+BU387+BT387+BQ387+BN387</f>
        <v>592</v>
      </c>
      <c r="CQ387" s="25" t="n">
        <f aca="false">CO387+CL387+CI387+CH387+CG387+CD387+CA387</f>
        <v>545</v>
      </c>
      <c r="CR387" s="26" t="n">
        <f aca="false">CP387/7</f>
        <v>84.5714285714286</v>
      </c>
      <c r="CS387" s="26" t="n">
        <f aca="false">CQ387/7</f>
        <v>77.8571428571429</v>
      </c>
      <c r="CT387" s="24" t="n">
        <f aca="false">RANK(CR387,$CR$2:$CR$881,0)</f>
        <v>456</v>
      </c>
      <c r="CU387" s="25" t="n">
        <f aca="false">RANK(CS387,$CS$2:$CS$881,0)</f>
        <v>336</v>
      </c>
      <c r="CV387" s="26" t="n">
        <f aca="false">(CS387+CR387)/2</f>
        <v>81.2142857142857</v>
      </c>
      <c r="CW387" s="25" t="n">
        <f aca="false">RANK(CV387,$CV$2:$CV$881,0)</f>
        <v>371</v>
      </c>
      <c r="CX387" s="50" t="n">
        <f aca="false">(CV387+BB387)/2</f>
        <v>80.6071428571429</v>
      </c>
      <c r="CY387" s="50" t="n">
        <v>392</v>
      </c>
      <c r="CZ387" s="27" t="s">
        <v>132</v>
      </c>
      <c r="DA387" s="27" t="s">
        <v>205</v>
      </c>
      <c r="DB387" s="27" t="s">
        <v>205</v>
      </c>
      <c r="DC387" s="27" t="s">
        <v>134</v>
      </c>
      <c r="DD387" s="27" t="s">
        <v>135</v>
      </c>
      <c r="DE387" s="27" t="s">
        <v>306</v>
      </c>
      <c r="DF387" s="27" t="s">
        <v>219</v>
      </c>
      <c r="DG387" s="27" t="s">
        <v>134</v>
      </c>
      <c r="DH387" s="27" t="s">
        <v>174</v>
      </c>
      <c r="DI387" s="27" t="s">
        <v>442</v>
      </c>
      <c r="DJ387" s="27" t="s">
        <v>416</v>
      </c>
      <c r="DK387" s="27" t="s">
        <v>134</v>
      </c>
      <c r="DL387" s="27" t="s">
        <v>160</v>
      </c>
      <c r="DM387" s="27" t="s">
        <v>306</v>
      </c>
      <c r="DN387" s="27" t="s">
        <v>169</v>
      </c>
      <c r="DO387" s="27" t="s">
        <v>134</v>
      </c>
      <c r="DP387" s="27" t="s">
        <v>264</v>
      </c>
      <c r="DQ387" s="27" t="s">
        <v>442</v>
      </c>
      <c r="DR387" s="27" t="s">
        <v>143</v>
      </c>
      <c r="DS387" s="27" t="s">
        <v>134</v>
      </c>
      <c r="DT387" s="27" t="s">
        <v>137</v>
      </c>
      <c r="DU387" s="27" t="s">
        <v>1064</v>
      </c>
      <c r="DV387" s="27" t="s">
        <v>203</v>
      </c>
      <c r="DW387" s="27" t="s">
        <v>182</v>
      </c>
      <c r="DX387" s="27" t="s">
        <v>152</v>
      </c>
      <c r="DY387" s="27" t="s">
        <v>133</v>
      </c>
      <c r="DZ387" s="27" t="n">
        <f aca="false">DY387+DV387+DR387+DN387+DJ387+DF387+DB387</f>
        <v>534</v>
      </c>
      <c r="EA387" s="28" t="n">
        <f aca="false">DZ387/7</f>
        <v>76.2857142857143</v>
      </c>
      <c r="EB387" s="27" t="n">
        <f aca="false">RANK(EA387,$EA$2:$EA$881,0)</f>
        <v>513</v>
      </c>
      <c r="EC387" s="29" t="n">
        <f aca="false">DZ387+CQ387+CP387+AZ387</f>
        <v>2471</v>
      </c>
      <c r="ED387" s="30" t="n">
        <f aca="false">(EA387+CV387+BB387)/3</f>
        <v>79.1666666666667</v>
      </c>
      <c r="EE387" s="51" t="n">
        <f aca="false">ROUND(BE387,3)</f>
        <v>86.097</v>
      </c>
      <c r="EF387" s="51" t="n">
        <f aca="false">ROUND(CR387,3)</f>
        <v>84.571</v>
      </c>
      <c r="EG387" s="51" t="n">
        <f aca="false">ROUND(CS387,3)</f>
        <v>77.857</v>
      </c>
      <c r="EH387" s="51" t="n">
        <f aca="false">ROUND(EA387,3)</f>
        <v>76.286</v>
      </c>
      <c r="EI387" s="51" t="n">
        <f aca="false">ROUND(ED387,3)</f>
        <v>79.167</v>
      </c>
      <c r="EJ387" s="51" t="n">
        <f aca="false">ROUND(CV387,3)</f>
        <v>81.214</v>
      </c>
      <c r="EK387" s="0" t="n">
        <f aca="false">RANK(EI387,$EI$2:$EI$881,0)</f>
        <v>386</v>
      </c>
    </row>
    <row r="388" customFormat="false" ht="15" hidden="false" customHeight="false" outlineLevel="0" collapsed="false">
      <c r="A388" s="4" t="n">
        <v>8816</v>
      </c>
      <c r="B388" s="4" t="n">
        <v>524</v>
      </c>
      <c r="C388" s="27" t="s">
        <v>1247</v>
      </c>
      <c r="D388" s="31" t="n">
        <v>529</v>
      </c>
      <c r="E388" s="32" t="n">
        <v>230312565</v>
      </c>
      <c r="F388" s="8" t="s">
        <v>1248</v>
      </c>
      <c r="G388" s="22" t="s">
        <v>1249</v>
      </c>
      <c r="H388" s="22" t="s">
        <v>129</v>
      </c>
      <c r="I388" s="33" t="n">
        <v>2005</v>
      </c>
      <c r="J388" s="32" t="n">
        <v>77</v>
      </c>
      <c r="K388" s="32" t="n">
        <v>74</v>
      </c>
      <c r="L388" s="34" t="n">
        <f aca="false">(K388*70)/100</f>
        <v>51.8</v>
      </c>
      <c r="M388" s="34" t="n">
        <f aca="false">ROUNDUP(L388,0)</f>
        <v>52</v>
      </c>
      <c r="N388" s="32" t="n">
        <v>26</v>
      </c>
      <c r="O388" s="34" t="n">
        <f aca="false">N388+L388</f>
        <v>77.8</v>
      </c>
      <c r="P388" s="34" t="n">
        <f aca="false">N388+M388</f>
        <v>78</v>
      </c>
      <c r="Q388" s="32" t="n">
        <v>70</v>
      </c>
      <c r="R388" s="32" t="n">
        <v>76</v>
      </c>
      <c r="S388" s="34" t="n">
        <f aca="false">(R388*70)/100</f>
        <v>53.2</v>
      </c>
      <c r="T388" s="34" t="n">
        <f aca="false">ROUNDUP(S388,0)</f>
        <v>54</v>
      </c>
      <c r="U388" s="32" t="n">
        <v>28</v>
      </c>
      <c r="V388" s="34" t="n">
        <f aca="false">U388+S388</f>
        <v>81.2</v>
      </c>
      <c r="W388" s="34" t="n">
        <f aca="false">U388+T388</f>
        <v>82</v>
      </c>
      <c r="X388" s="32" t="n">
        <v>71</v>
      </c>
      <c r="Y388" s="34" t="n">
        <f aca="false">(X388*70)/100</f>
        <v>49.7</v>
      </c>
      <c r="Z388" s="34" t="n">
        <f aca="false">ROUNDUP(Y388,0)</f>
        <v>50</v>
      </c>
      <c r="AA388" s="32" t="n">
        <v>26</v>
      </c>
      <c r="AB388" s="34" t="n">
        <f aca="false">AA388+Y388</f>
        <v>75.7</v>
      </c>
      <c r="AC388" s="34" t="n">
        <f aca="false">AA388+Z388</f>
        <v>76</v>
      </c>
      <c r="AD388" s="32" t="n">
        <f aca="false">X388+R388+Q388+K388+J388</f>
        <v>368</v>
      </c>
      <c r="AE388" s="16" t="n">
        <f aca="false">AD388/5</f>
        <v>73.6</v>
      </c>
      <c r="AF388" s="16" t="n">
        <v>71</v>
      </c>
      <c r="AG388" s="16" t="n">
        <v>86</v>
      </c>
      <c r="AH388" s="16" t="n">
        <v>88</v>
      </c>
      <c r="AI388" s="16" t="n">
        <v>90</v>
      </c>
      <c r="AJ388" s="16" t="n">
        <f aca="false">(AI388*70)/100</f>
        <v>63</v>
      </c>
      <c r="AK388" s="35" t="n">
        <f aca="false">ROUNDUP(AJ388,0)</f>
        <v>63</v>
      </c>
      <c r="AL388" s="16" t="n">
        <v>26</v>
      </c>
      <c r="AM388" s="16" t="n">
        <f aca="false">AL388+AJ388</f>
        <v>89</v>
      </c>
      <c r="AN388" s="16" t="n">
        <f aca="false">AL388+AK388</f>
        <v>89</v>
      </c>
      <c r="AO388" s="16" t="n">
        <v>72</v>
      </c>
      <c r="AP388" s="36" t="n">
        <f aca="false">(AO388*70)/100</f>
        <v>50.4</v>
      </c>
      <c r="AQ388" s="37" t="n">
        <f aca="false">ROUNDUP(AP388,0)</f>
        <v>51</v>
      </c>
      <c r="AR388" s="16" t="n">
        <v>29</v>
      </c>
      <c r="AS388" s="16" t="n">
        <f aca="false">AR388+AP388</f>
        <v>79.4</v>
      </c>
      <c r="AT388" s="16" t="n">
        <f aca="false">AR388+AQ388</f>
        <v>80</v>
      </c>
      <c r="AU388" s="16" t="n">
        <f aca="false">AO388+AF388+AI388+AH388+AG388</f>
        <v>407</v>
      </c>
      <c r="AV388" s="16" t="n">
        <f aca="false">(AO388+AF388+AI388+AH388+AG388)/5</f>
        <v>81.4</v>
      </c>
      <c r="AW388" s="36" t="n">
        <f aca="false">(AO388+AF388+AI388+AH388+AG388+X388+R388+Q388+K388+J388)</f>
        <v>775</v>
      </c>
      <c r="AX388" s="16" t="n">
        <f aca="false">AW388/10</f>
        <v>77.5</v>
      </c>
      <c r="AY388" s="16" t="n">
        <f aca="false">AS388+AF388+AM388+AH388+AG388+AB388+V388+Q388+O388+J388</f>
        <v>795.1</v>
      </c>
      <c r="AZ388" s="16" t="n">
        <f aca="false">AT388+AF388+AN388+AH388+AG388+AC388+W388+Q388+P388+J388</f>
        <v>797</v>
      </c>
      <c r="BA388" s="16" t="n">
        <f aca="false">AY388/10</f>
        <v>79.51</v>
      </c>
      <c r="BB388" s="16" t="n">
        <f aca="false">AZ388/10</f>
        <v>79.7</v>
      </c>
      <c r="BC388" s="16" t="n">
        <v>2289</v>
      </c>
      <c r="BD388" s="16" t="n">
        <f aca="false">RANK(AX388,$AX$2:$AX$881,0)</f>
        <v>455</v>
      </c>
      <c r="BE388" s="73" t="n">
        <f aca="false">((BC388*100)/2400)*0.4+(AX388*0.6)</f>
        <v>84.65</v>
      </c>
      <c r="BF388" s="16" t="n">
        <f aca="false">RANK(BE388,$BE$2:$BE$881,0)</f>
        <v>672</v>
      </c>
      <c r="BG388" s="39" t="n">
        <f aca="false">RANK(BB388,$BB$2:$BB$881,0)</f>
        <v>381</v>
      </c>
      <c r="BH388" s="39" t="n">
        <f aca="false">RANK(BC388,$BC$2:$BC$881,0)</f>
        <v>761</v>
      </c>
      <c r="BI388" s="22" t="s">
        <v>130</v>
      </c>
      <c r="BJ388" s="22" t="s">
        <v>129</v>
      </c>
      <c r="BK388" s="40" t="s">
        <v>702</v>
      </c>
      <c r="BL388" s="41" t="n">
        <v>24</v>
      </c>
      <c r="BM388" s="41" t="n">
        <v>57</v>
      </c>
      <c r="BN388" s="41" t="n">
        <v>81</v>
      </c>
      <c r="BO388" s="42" t="n">
        <v>24</v>
      </c>
      <c r="BP388" s="43" t="n">
        <v>61</v>
      </c>
      <c r="BQ388" s="44" t="n">
        <v>85</v>
      </c>
      <c r="BR388" s="42" t="n">
        <v>25</v>
      </c>
      <c r="BS388" s="45" t="n">
        <v>58</v>
      </c>
      <c r="BT388" s="45" t="n">
        <v>83</v>
      </c>
      <c r="BU388" s="46" t="n">
        <v>100</v>
      </c>
      <c r="BV388" s="47" t="n">
        <v>80</v>
      </c>
      <c r="BW388" s="42" t="n">
        <v>95</v>
      </c>
      <c r="BX388" s="48" t="n">
        <v>84</v>
      </c>
      <c r="BY388" s="32" t="n">
        <v>25</v>
      </c>
      <c r="BZ388" s="32" t="n">
        <v>50</v>
      </c>
      <c r="CA388" s="32" t="n">
        <v>75</v>
      </c>
      <c r="CB388" s="60"/>
      <c r="CC388" s="60"/>
      <c r="CD388" s="60"/>
      <c r="CE388" s="32" t="n">
        <v>26</v>
      </c>
      <c r="CF388" s="32" t="n">
        <v>56</v>
      </c>
      <c r="CG388" s="32" t="n">
        <v>82</v>
      </c>
      <c r="CH388" s="32" t="n">
        <v>92</v>
      </c>
      <c r="CI388" s="32" t="n">
        <v>99</v>
      </c>
      <c r="CJ388" s="49" t="n">
        <v>24</v>
      </c>
      <c r="CK388" s="49" t="n">
        <v>50</v>
      </c>
      <c r="CL388" s="49" t="n">
        <v>74</v>
      </c>
      <c r="CM388" s="60"/>
      <c r="CN388" s="60"/>
      <c r="CO388" s="60"/>
      <c r="CP388" s="25" t="n">
        <f aca="false">BX388+BW388+BV388+BU388+BT388+BQ388+BN388</f>
        <v>608</v>
      </c>
      <c r="CQ388" s="25" t="n">
        <f aca="false">CO388+CL388+CI388+CH388+CG388+CD388+CA388</f>
        <v>422</v>
      </c>
      <c r="CR388" s="26" t="n">
        <f aca="false">CP388/7</f>
        <v>86.8571428571429</v>
      </c>
      <c r="CS388" s="26" t="n">
        <f aca="false">CQ388/7</f>
        <v>60.2857142857143</v>
      </c>
      <c r="CT388" s="24" t="n">
        <f aca="false">RANK(CR388,$CR$2:$CR$881,0)</f>
        <v>359</v>
      </c>
      <c r="CU388" s="25" t="n">
        <f aca="false">RANK(CS388,$CS$2:$CS$881,0)</f>
        <v>681</v>
      </c>
      <c r="CV388" s="26" t="n">
        <f aca="false">(CS388+CR388)/2</f>
        <v>73.5714285714286</v>
      </c>
      <c r="CW388" s="25" t="n">
        <f aca="false">RANK(CV388,$CV$2:$CV$881,0)</f>
        <v>591</v>
      </c>
      <c r="CX388" s="50" t="n">
        <f aca="false">(CV388+BB388)/2</f>
        <v>76.6357142857143</v>
      </c>
      <c r="CY388" s="50" t="n">
        <v>514</v>
      </c>
      <c r="CZ388" s="27" t="s">
        <v>132</v>
      </c>
      <c r="DA388" s="27" t="s">
        <v>133</v>
      </c>
      <c r="DB388" s="27" t="s">
        <v>133</v>
      </c>
      <c r="DC388" s="27" t="s">
        <v>134</v>
      </c>
      <c r="DD388" s="27" t="s">
        <v>135</v>
      </c>
      <c r="DE388" s="27" t="s">
        <v>218</v>
      </c>
      <c r="DF388" s="27" t="s">
        <v>205</v>
      </c>
      <c r="DG388" s="27" t="s">
        <v>134</v>
      </c>
      <c r="DH388" s="27" t="s">
        <v>135</v>
      </c>
      <c r="DI388" s="27" t="s">
        <v>187</v>
      </c>
      <c r="DJ388" s="27" t="s">
        <v>170</v>
      </c>
      <c r="DK388" s="27" t="s">
        <v>134</v>
      </c>
      <c r="DL388" s="27" t="s">
        <v>137</v>
      </c>
      <c r="DM388" s="27" t="s">
        <v>447</v>
      </c>
      <c r="DN388" s="27" t="s">
        <v>272</v>
      </c>
      <c r="DO388" s="27" t="s">
        <v>134</v>
      </c>
      <c r="DP388" s="27" t="s">
        <v>174</v>
      </c>
      <c r="DQ388" s="27" t="s">
        <v>412</v>
      </c>
      <c r="DR388" s="27" t="s">
        <v>486</v>
      </c>
      <c r="DS388" s="27" t="s">
        <v>134</v>
      </c>
      <c r="DT388" s="27" t="s">
        <v>182</v>
      </c>
      <c r="DU388" s="27" t="s">
        <v>447</v>
      </c>
      <c r="DV388" s="27" t="s">
        <v>382</v>
      </c>
      <c r="DW388" s="27" t="s">
        <v>140</v>
      </c>
      <c r="DX388" s="27" t="s">
        <v>155</v>
      </c>
      <c r="DY388" s="27" t="s">
        <v>147</v>
      </c>
      <c r="DZ388" s="27" t="n">
        <f aca="false">DY388+DV388+DR388+DN388+DJ388+DF388+DB388</f>
        <v>589</v>
      </c>
      <c r="EA388" s="28" t="n">
        <f aca="false">DZ388/7</f>
        <v>84.1428571428571</v>
      </c>
      <c r="EB388" s="27" t="n">
        <f aca="false">RANK(EA388,$EA$2:$EA$881,0)</f>
        <v>218</v>
      </c>
      <c r="EC388" s="29" t="n">
        <f aca="false">DZ388+CQ388+CP388+AZ388</f>
        <v>2416</v>
      </c>
      <c r="ED388" s="30" t="n">
        <f aca="false">(EA388+CV388+BB388)/3</f>
        <v>79.1380952380952</v>
      </c>
      <c r="EE388" s="51" t="n">
        <f aca="false">ROUND(BE388,3)</f>
        <v>84.65</v>
      </c>
      <c r="EF388" s="51" t="n">
        <f aca="false">ROUND(CR388,3)</f>
        <v>86.857</v>
      </c>
      <c r="EG388" s="51" t="n">
        <f aca="false">ROUND(CS388,3)</f>
        <v>60.286</v>
      </c>
      <c r="EH388" s="51" t="n">
        <f aca="false">ROUND(EA388,3)</f>
        <v>84.143</v>
      </c>
      <c r="EI388" s="51" t="n">
        <f aca="false">ROUND(ED388,3)</f>
        <v>79.138</v>
      </c>
      <c r="EJ388" s="51" t="n">
        <f aca="false">ROUND(CV388,3)</f>
        <v>73.571</v>
      </c>
      <c r="EK388" s="0" t="n">
        <f aca="false">RANK(EI388,$EI$2:$EI$881,0)</f>
        <v>387</v>
      </c>
    </row>
    <row r="389" customFormat="false" ht="15" hidden="false" customHeight="false" outlineLevel="0" collapsed="false">
      <c r="A389" s="4" t="n">
        <v>1989</v>
      </c>
      <c r="B389" s="4" t="n">
        <v>195</v>
      </c>
      <c r="C389" s="27" t="s">
        <v>1250</v>
      </c>
      <c r="D389" s="31" t="n">
        <v>197</v>
      </c>
      <c r="E389" s="16" t="n">
        <v>230408027</v>
      </c>
      <c r="F389" s="56" t="s">
        <v>1251</v>
      </c>
      <c r="G389" s="22" t="s">
        <v>1252</v>
      </c>
      <c r="H389" s="22" t="s">
        <v>271</v>
      </c>
      <c r="I389" s="57"/>
      <c r="J389" s="16" t="n">
        <v>77</v>
      </c>
      <c r="K389" s="16" t="n">
        <v>82</v>
      </c>
      <c r="L389" s="34" t="n">
        <f aca="false">(K389*70)/100</f>
        <v>57.4</v>
      </c>
      <c r="M389" s="34" t="n">
        <f aca="false">ROUNDUP(L389,0)</f>
        <v>58</v>
      </c>
      <c r="N389" s="16" t="n">
        <v>24</v>
      </c>
      <c r="O389" s="34" t="n">
        <f aca="false">N389+L389</f>
        <v>81.4</v>
      </c>
      <c r="P389" s="34" t="n">
        <f aca="false">N389+M389</f>
        <v>82</v>
      </c>
      <c r="Q389" s="16" t="n">
        <v>73</v>
      </c>
      <c r="R389" s="16" t="n">
        <v>73</v>
      </c>
      <c r="S389" s="34" t="n">
        <f aca="false">(R389*70)/100</f>
        <v>51.1</v>
      </c>
      <c r="T389" s="34" t="n">
        <f aca="false">ROUNDUP(S389,0)</f>
        <v>52</v>
      </c>
      <c r="U389" s="16" t="n">
        <v>26</v>
      </c>
      <c r="V389" s="34" t="n">
        <f aca="false">U389+S389</f>
        <v>77.1</v>
      </c>
      <c r="W389" s="34" t="n">
        <f aca="false">U389+T389</f>
        <v>78</v>
      </c>
      <c r="X389" s="16" t="n">
        <v>74</v>
      </c>
      <c r="Y389" s="34" t="n">
        <f aca="false">(X389*70)/100</f>
        <v>51.8</v>
      </c>
      <c r="Z389" s="34" t="n">
        <f aca="false">ROUNDUP(Y389,0)</f>
        <v>52</v>
      </c>
      <c r="AA389" s="16" t="n">
        <v>29</v>
      </c>
      <c r="AB389" s="34" t="n">
        <f aca="false">AA389+Y389</f>
        <v>80.8</v>
      </c>
      <c r="AC389" s="34" t="n">
        <f aca="false">AA389+Z389</f>
        <v>81</v>
      </c>
      <c r="AD389" s="32" t="n">
        <f aca="false">X389+R389+Q389+K389+J389</f>
        <v>379</v>
      </c>
      <c r="AE389" s="16" t="n">
        <f aca="false">AD389/5</f>
        <v>75.8</v>
      </c>
      <c r="AF389" s="16" t="n">
        <v>80</v>
      </c>
      <c r="AG389" s="16" t="n">
        <v>63</v>
      </c>
      <c r="AH389" s="16" t="n">
        <v>84</v>
      </c>
      <c r="AI389" s="16" t="n">
        <v>87</v>
      </c>
      <c r="AJ389" s="16" t="n">
        <f aca="false">(AI389*70)/100</f>
        <v>60.9</v>
      </c>
      <c r="AK389" s="35" t="n">
        <f aca="false">ROUNDUP(AJ389,0)</f>
        <v>61</v>
      </c>
      <c r="AL389" s="16" t="n">
        <v>24</v>
      </c>
      <c r="AM389" s="16" t="n">
        <f aca="false">AL389+AJ389</f>
        <v>84.9</v>
      </c>
      <c r="AN389" s="16" t="n">
        <f aca="false">AL389+AK389</f>
        <v>85</v>
      </c>
      <c r="AO389" s="16" t="n">
        <v>74</v>
      </c>
      <c r="AP389" s="36" t="n">
        <f aca="false">(AO389*70)/100</f>
        <v>51.8</v>
      </c>
      <c r="AQ389" s="37" t="n">
        <f aca="false">ROUNDUP(AP389,0)</f>
        <v>52</v>
      </c>
      <c r="AR389" s="16" t="n">
        <v>27</v>
      </c>
      <c r="AS389" s="16" t="n">
        <f aca="false">AR389+AP389</f>
        <v>78.8</v>
      </c>
      <c r="AT389" s="16" t="n">
        <f aca="false">AR389+AQ389</f>
        <v>79</v>
      </c>
      <c r="AU389" s="16" t="n">
        <f aca="false">AO389+AF389+AI389+AH389+AG389</f>
        <v>388</v>
      </c>
      <c r="AV389" s="16" t="n">
        <f aca="false">(AO389+AF389+AI389+AH389+AG389)/5</f>
        <v>77.6</v>
      </c>
      <c r="AW389" s="36" t="n">
        <f aca="false">(AO389+AF389+AI389+AH389+AG389+X389+R389+Q389+K389+J389)</f>
        <v>767</v>
      </c>
      <c r="AX389" s="16" t="n">
        <f aca="false">AW389/10</f>
        <v>76.7</v>
      </c>
      <c r="AY389" s="16" t="n">
        <f aca="false">AS389+AF389+AM389+AH389+AG389+AB389+V389+Q389+O389+J389</f>
        <v>780</v>
      </c>
      <c r="AZ389" s="16" t="n">
        <f aca="false">AT389+AF389+AN389+AH389+AG389+AC389+W389+Q389+P389+J389</f>
        <v>782</v>
      </c>
      <c r="BA389" s="16" t="n">
        <f aca="false">AY389/10</f>
        <v>78</v>
      </c>
      <c r="BB389" s="16" t="n">
        <f aca="false">AZ389/10</f>
        <v>78.2</v>
      </c>
      <c r="BC389" s="16" t="n">
        <v>2353</v>
      </c>
      <c r="BD389" s="16" t="n">
        <f aca="false">RANK(AX389,$AX$2:$AX$881,0)</f>
        <v>536</v>
      </c>
      <c r="BE389" s="54" t="n">
        <f aca="false">((BC389*100)/2400)*0.4+(AX389*0.6)</f>
        <v>85.2366666666667</v>
      </c>
      <c r="BF389" s="16" t="n">
        <f aca="false">RANK(BE389,$BE$2:$BE$881,0)</f>
        <v>555</v>
      </c>
      <c r="BG389" s="39" t="n">
        <f aca="false">RANK(BB389,$BB$2:$BB$881,0)</f>
        <v>541</v>
      </c>
      <c r="BH389" s="39" t="n">
        <f aca="false">RANK(BC389,$BC$2:$BC$881,0)</f>
        <v>507</v>
      </c>
      <c r="BI389" s="22" t="s">
        <v>130</v>
      </c>
      <c r="BJ389" s="22" t="s">
        <v>129</v>
      </c>
      <c r="BK389" s="40" t="s">
        <v>509</v>
      </c>
      <c r="BL389" s="41" t="n">
        <v>22</v>
      </c>
      <c r="BM389" s="41" t="n">
        <v>49</v>
      </c>
      <c r="BN389" s="41" t="n">
        <v>71</v>
      </c>
      <c r="BO389" s="42" t="n">
        <v>22</v>
      </c>
      <c r="BP389" s="43" t="n">
        <v>53</v>
      </c>
      <c r="BQ389" s="44" t="n">
        <v>75</v>
      </c>
      <c r="BR389" s="42" t="n">
        <v>20</v>
      </c>
      <c r="BS389" s="45" t="n">
        <v>50</v>
      </c>
      <c r="BT389" s="45" t="n">
        <v>70</v>
      </c>
      <c r="BU389" s="46" t="n">
        <v>100</v>
      </c>
      <c r="BV389" s="47" t="n">
        <v>86</v>
      </c>
      <c r="BW389" s="42" t="n">
        <v>92</v>
      </c>
      <c r="BX389" s="48" t="n">
        <v>94</v>
      </c>
      <c r="BY389" s="32" t="n">
        <v>26</v>
      </c>
      <c r="BZ389" s="32" t="n">
        <v>51</v>
      </c>
      <c r="CA389" s="32" t="n">
        <v>77</v>
      </c>
      <c r="CB389" s="32" t="n">
        <v>23</v>
      </c>
      <c r="CC389" s="32" t="n">
        <v>32</v>
      </c>
      <c r="CD389" s="69" t="n">
        <v>55</v>
      </c>
      <c r="CE389" s="32" t="n">
        <v>25</v>
      </c>
      <c r="CF389" s="32" t="n">
        <v>51</v>
      </c>
      <c r="CG389" s="32" t="n">
        <v>76</v>
      </c>
      <c r="CH389" s="32" t="n">
        <v>96</v>
      </c>
      <c r="CI389" s="32" t="n">
        <v>85</v>
      </c>
      <c r="CJ389" s="49" t="n">
        <v>19</v>
      </c>
      <c r="CK389" s="49" t="n">
        <v>43</v>
      </c>
      <c r="CL389" s="49" t="n">
        <v>62</v>
      </c>
      <c r="CM389" s="49" t="n">
        <v>20</v>
      </c>
      <c r="CN389" s="49" t="n">
        <v>48</v>
      </c>
      <c r="CO389" s="49" t="n">
        <v>68</v>
      </c>
      <c r="CP389" s="25" t="n">
        <f aca="false">BX389+BW389+BV389+BU389+BT389+BQ389+BN389</f>
        <v>588</v>
      </c>
      <c r="CQ389" s="25" t="n">
        <f aca="false">CO389+CL389+CI389+CH389+CG389+CD389+CA389</f>
        <v>519</v>
      </c>
      <c r="CR389" s="26" t="n">
        <f aca="false">CP389/7</f>
        <v>84</v>
      </c>
      <c r="CS389" s="26" t="n">
        <f aca="false">CQ389/7</f>
        <v>74.1428571428571</v>
      </c>
      <c r="CT389" s="24" t="n">
        <f aca="false">RANK(CR389,$CR$2:$CR$881,0)</f>
        <v>487</v>
      </c>
      <c r="CU389" s="25" t="n">
        <f aca="false">RANK(CS389,$CS$2:$CS$881,0)</f>
        <v>451</v>
      </c>
      <c r="CV389" s="26" t="n">
        <f aca="false">(CS389+CR389)/2</f>
        <v>79.0714285714286</v>
      </c>
      <c r="CW389" s="25" t="n">
        <f aca="false">RANK(CV389,$CV$2:$CV$881,0)</f>
        <v>462</v>
      </c>
      <c r="CX389" s="50" t="n">
        <f aca="false">(CV389+BB389)/2</f>
        <v>78.6357142857143</v>
      </c>
      <c r="CY389" s="50" t="n">
        <v>439</v>
      </c>
      <c r="CZ389" s="27" t="s">
        <v>132</v>
      </c>
      <c r="DA389" s="27" t="s">
        <v>169</v>
      </c>
      <c r="DB389" s="27" t="s">
        <v>169</v>
      </c>
      <c r="DC389" s="27" t="s">
        <v>134</v>
      </c>
      <c r="DD389" s="27" t="s">
        <v>154</v>
      </c>
      <c r="DE389" s="27" t="s">
        <v>375</v>
      </c>
      <c r="DF389" s="27" t="s">
        <v>486</v>
      </c>
      <c r="DG389" s="27" t="s">
        <v>134</v>
      </c>
      <c r="DH389" s="27" t="s">
        <v>164</v>
      </c>
      <c r="DI389" s="27" t="s">
        <v>412</v>
      </c>
      <c r="DJ389" s="27" t="s">
        <v>305</v>
      </c>
      <c r="DK389" s="27" t="s">
        <v>134</v>
      </c>
      <c r="DL389" s="27" t="s">
        <v>137</v>
      </c>
      <c r="DM389" s="27" t="s">
        <v>218</v>
      </c>
      <c r="DN389" s="27" t="s">
        <v>169</v>
      </c>
      <c r="DO389" s="27" t="s">
        <v>134</v>
      </c>
      <c r="DP389" s="27" t="s">
        <v>191</v>
      </c>
      <c r="DQ389" s="27" t="s">
        <v>442</v>
      </c>
      <c r="DR389" s="27" t="s">
        <v>138</v>
      </c>
      <c r="DS389" s="27" t="s">
        <v>134</v>
      </c>
      <c r="DT389" s="27" t="s">
        <v>164</v>
      </c>
      <c r="DU389" s="27" t="s">
        <v>412</v>
      </c>
      <c r="DV389" s="27" t="s">
        <v>305</v>
      </c>
      <c r="DW389" s="27" t="s">
        <v>164</v>
      </c>
      <c r="DX389" s="27" t="s">
        <v>155</v>
      </c>
      <c r="DY389" s="27" t="s">
        <v>144</v>
      </c>
      <c r="DZ389" s="27" t="n">
        <f aca="false">DY389+DV389+DR389+DN389+DJ389+DF389+DB389</f>
        <v>561</v>
      </c>
      <c r="EA389" s="28" t="n">
        <f aca="false">DZ389/7</f>
        <v>80.1428571428571</v>
      </c>
      <c r="EB389" s="27" t="n">
        <f aca="false">RANK(EA389,$EA$2:$EA$881,0)</f>
        <v>386</v>
      </c>
      <c r="EC389" s="29" t="n">
        <f aca="false">DZ389+CQ389+CP389+AZ389</f>
        <v>2450</v>
      </c>
      <c r="ED389" s="30" t="n">
        <f aca="false">(EA389+CV389+BB389)/3</f>
        <v>79.1380952380952</v>
      </c>
      <c r="EE389" s="51" t="n">
        <f aca="false">ROUND(BE389,3)</f>
        <v>85.237</v>
      </c>
      <c r="EF389" s="51" t="n">
        <f aca="false">ROUND(CR389,3)</f>
        <v>84</v>
      </c>
      <c r="EG389" s="51" t="n">
        <f aca="false">ROUND(CS389,3)</f>
        <v>74.143</v>
      </c>
      <c r="EH389" s="51" t="n">
        <f aca="false">ROUND(EA389,3)</f>
        <v>80.143</v>
      </c>
      <c r="EI389" s="51" t="n">
        <f aca="false">ROUND(ED389,3)</f>
        <v>79.138</v>
      </c>
      <c r="EJ389" s="51" t="n">
        <f aca="false">ROUND(CV389,3)</f>
        <v>79.071</v>
      </c>
      <c r="EK389" s="0" t="n">
        <f aca="false">RANK(EI389,$EI$2:$EI$881,0)</f>
        <v>387</v>
      </c>
    </row>
    <row r="390" customFormat="false" ht="15" hidden="false" customHeight="false" outlineLevel="0" collapsed="false">
      <c r="A390" s="4" t="n">
        <v>8720</v>
      </c>
      <c r="B390" s="4" t="n">
        <v>504</v>
      </c>
      <c r="C390" s="27" t="s">
        <v>1253</v>
      </c>
      <c r="D390" s="31" t="n">
        <v>511</v>
      </c>
      <c r="E390" s="32" t="n">
        <v>230311460</v>
      </c>
      <c r="F390" s="8" t="s">
        <v>1254</v>
      </c>
      <c r="G390" s="22" t="s">
        <v>1255</v>
      </c>
      <c r="H390" s="22" t="s">
        <v>129</v>
      </c>
      <c r="I390" s="33" t="n">
        <v>2005</v>
      </c>
      <c r="J390" s="32" t="n">
        <v>75</v>
      </c>
      <c r="K390" s="32" t="n">
        <v>91</v>
      </c>
      <c r="L390" s="34" t="n">
        <f aca="false">(K390*70)/100</f>
        <v>63.7</v>
      </c>
      <c r="M390" s="34" t="n">
        <f aca="false">ROUNDUP(L390,0)</f>
        <v>64</v>
      </c>
      <c r="N390" s="32" t="n">
        <v>24</v>
      </c>
      <c r="O390" s="34" t="n">
        <f aca="false">N390+L390</f>
        <v>87.7</v>
      </c>
      <c r="P390" s="34" t="n">
        <f aca="false">N390+M390</f>
        <v>88</v>
      </c>
      <c r="Q390" s="32" t="n">
        <v>80</v>
      </c>
      <c r="R390" s="32" t="n">
        <v>76</v>
      </c>
      <c r="S390" s="34" t="n">
        <f aca="false">(R390*70)/100</f>
        <v>53.2</v>
      </c>
      <c r="T390" s="34" t="n">
        <f aca="false">ROUNDUP(S390,0)</f>
        <v>54</v>
      </c>
      <c r="U390" s="32" t="n">
        <v>28</v>
      </c>
      <c r="V390" s="34" t="n">
        <f aca="false">U390+S390</f>
        <v>81.2</v>
      </c>
      <c r="W390" s="34" t="n">
        <f aca="false">U390+T390</f>
        <v>82</v>
      </c>
      <c r="X390" s="32" t="n">
        <v>80</v>
      </c>
      <c r="Y390" s="34" t="n">
        <f aca="false">(X390*70)/100</f>
        <v>56</v>
      </c>
      <c r="Z390" s="34" t="n">
        <f aca="false">ROUNDUP(Y390,0)</f>
        <v>56</v>
      </c>
      <c r="AA390" s="32" t="n">
        <v>26</v>
      </c>
      <c r="AB390" s="34" t="n">
        <f aca="false">AA390+Y390</f>
        <v>82</v>
      </c>
      <c r="AC390" s="34" t="n">
        <f aca="false">AA390+Z390</f>
        <v>82</v>
      </c>
      <c r="AD390" s="32" t="n">
        <f aca="false">X390+R390+Q390+K390+J390</f>
        <v>402</v>
      </c>
      <c r="AE390" s="16" t="n">
        <f aca="false">AD390/5</f>
        <v>80.4</v>
      </c>
      <c r="AF390" s="16" t="n">
        <v>69</v>
      </c>
      <c r="AG390" s="16" t="n">
        <v>83</v>
      </c>
      <c r="AH390" s="16" t="n">
        <v>88</v>
      </c>
      <c r="AI390" s="16" t="n">
        <v>92</v>
      </c>
      <c r="AJ390" s="16" t="n">
        <f aca="false">(AI390*70)/100</f>
        <v>64.4</v>
      </c>
      <c r="AK390" s="35" t="n">
        <f aca="false">ROUNDUP(AJ390,0)</f>
        <v>65</v>
      </c>
      <c r="AL390" s="16" t="n">
        <v>23</v>
      </c>
      <c r="AM390" s="16" t="n">
        <f aca="false">AL390+AJ390</f>
        <v>87.4</v>
      </c>
      <c r="AN390" s="16" t="n">
        <f aca="false">AL390+AK390</f>
        <v>88</v>
      </c>
      <c r="AO390" s="16" t="n">
        <v>68</v>
      </c>
      <c r="AP390" s="36" t="n">
        <f aca="false">(AO390*70)/100</f>
        <v>47.6</v>
      </c>
      <c r="AQ390" s="37" t="n">
        <f aca="false">ROUNDUP(AP390,0)</f>
        <v>48</v>
      </c>
      <c r="AR390" s="16" t="n">
        <v>26</v>
      </c>
      <c r="AS390" s="16" t="n">
        <f aca="false">AR390+AP390</f>
        <v>73.6</v>
      </c>
      <c r="AT390" s="16" t="n">
        <f aca="false">AR390+AQ390</f>
        <v>74</v>
      </c>
      <c r="AU390" s="16" t="n">
        <f aca="false">AO390+AF390+AI390+AH390+AG390</f>
        <v>400</v>
      </c>
      <c r="AV390" s="16" t="n">
        <f aca="false">(AO390+AF390+AI390+AH390+AG390)/5</f>
        <v>80</v>
      </c>
      <c r="AW390" s="36" t="n">
        <f aca="false">(AO390+AF390+AI390+AH390+AG390+X390+R390+Q390+K390+J390)</f>
        <v>802</v>
      </c>
      <c r="AX390" s="16" t="n">
        <f aca="false">AW390/10</f>
        <v>80.2</v>
      </c>
      <c r="AY390" s="16" t="n">
        <f aca="false">AS390+AF390+AM390+AH390+AG390+AB390+V390+Q390+O390+J390</f>
        <v>806.9</v>
      </c>
      <c r="AZ390" s="16" t="n">
        <f aca="false">AT390+AF390+AN390+AH390+AG390+AC390+W390+Q390+P390+J390</f>
        <v>809</v>
      </c>
      <c r="BA390" s="16" t="n">
        <f aca="false">AY390/10</f>
        <v>80.69</v>
      </c>
      <c r="BB390" s="16" t="n">
        <f aca="false">AZ390/10</f>
        <v>80.9</v>
      </c>
      <c r="BC390" s="16" t="n">
        <v>2352</v>
      </c>
      <c r="BD390" s="16" t="n">
        <f aca="false">RANK(AX390,$AX$2:$AX$881,0)</f>
        <v>251</v>
      </c>
      <c r="BE390" s="54" t="n">
        <f aca="false">((BC390*100)/2400)*0.4+(AX390*0.6)</f>
        <v>87.32</v>
      </c>
      <c r="BF390" s="16" t="n">
        <f aca="false">RANK(BE390,$BE$2:$BE$881,0)</f>
        <v>266</v>
      </c>
      <c r="BG390" s="39" t="n">
        <f aca="false">RANK(BB390,$BB$2:$BB$881,0)</f>
        <v>282</v>
      </c>
      <c r="BH390" s="39" t="n">
        <f aca="false">RANK(BC390,$BC$2:$BC$881,0)</f>
        <v>515</v>
      </c>
      <c r="BI390" s="22" t="s">
        <v>130</v>
      </c>
      <c r="BJ390" s="22" t="s">
        <v>129</v>
      </c>
      <c r="BK390" s="40" t="s">
        <v>131</v>
      </c>
      <c r="BL390" s="44" t="n">
        <v>21</v>
      </c>
      <c r="BM390" s="44" t="n">
        <v>54</v>
      </c>
      <c r="BN390" s="44" t="n">
        <v>75</v>
      </c>
      <c r="BO390" s="44" t="n">
        <v>24</v>
      </c>
      <c r="BP390" s="43" t="n">
        <v>50</v>
      </c>
      <c r="BQ390" s="44" t="n">
        <v>74</v>
      </c>
      <c r="BR390" s="44" t="n">
        <v>27</v>
      </c>
      <c r="BS390" s="45" t="n">
        <v>60</v>
      </c>
      <c r="BT390" s="45" t="n">
        <v>87</v>
      </c>
      <c r="BU390" s="46" t="n">
        <v>98</v>
      </c>
      <c r="BV390" s="42" t="n">
        <v>94</v>
      </c>
      <c r="BW390" s="44" t="n">
        <v>73</v>
      </c>
      <c r="BX390" s="48" t="n">
        <v>94</v>
      </c>
      <c r="BY390" s="32" t="n">
        <v>24</v>
      </c>
      <c r="BZ390" s="32" t="n">
        <v>44</v>
      </c>
      <c r="CA390" s="32" t="n">
        <v>68</v>
      </c>
      <c r="CB390" s="32" t="n">
        <v>24</v>
      </c>
      <c r="CC390" s="32" t="n">
        <v>44</v>
      </c>
      <c r="CD390" s="32" t="n">
        <v>68</v>
      </c>
      <c r="CE390" s="32" t="n">
        <v>26</v>
      </c>
      <c r="CF390" s="32" t="n">
        <v>46</v>
      </c>
      <c r="CG390" s="32" t="n">
        <v>72</v>
      </c>
      <c r="CH390" s="32" t="n">
        <v>98</v>
      </c>
      <c r="CI390" s="32" t="n">
        <v>96</v>
      </c>
      <c r="CJ390" s="83" t="n">
        <v>10</v>
      </c>
      <c r="CK390" s="60"/>
      <c r="CL390" s="61"/>
      <c r="CM390" s="49" t="n">
        <v>22</v>
      </c>
      <c r="CN390" s="49" t="n">
        <v>50</v>
      </c>
      <c r="CO390" s="49" t="n">
        <v>72</v>
      </c>
      <c r="CP390" s="25" t="n">
        <f aca="false">BX390+BW390+BV390+BU390+BT390+BQ390+BN390</f>
        <v>595</v>
      </c>
      <c r="CQ390" s="25" t="n">
        <f aca="false">CO390+CL390+CI390+CH390+CG390+CD390+CA390</f>
        <v>474</v>
      </c>
      <c r="CR390" s="26" t="n">
        <f aca="false">CP390/7</f>
        <v>85</v>
      </c>
      <c r="CS390" s="26" t="n">
        <f aca="false">CQ390/7</f>
        <v>67.7142857142857</v>
      </c>
      <c r="CT390" s="24" t="n">
        <f aca="false">RANK(CR390,$CR$2:$CR$881,0)</f>
        <v>437</v>
      </c>
      <c r="CU390" s="25" t="n">
        <f aca="false">RANK(CS390,$CS$2:$CS$881,0)</f>
        <v>591</v>
      </c>
      <c r="CV390" s="26" t="n">
        <f aca="false">(CS390+CR390)/2</f>
        <v>76.3571428571429</v>
      </c>
      <c r="CW390" s="25" t="n">
        <f aca="false">RANK(CV390,$CV$2:$CV$881,0)</f>
        <v>532</v>
      </c>
      <c r="CX390" s="50" t="n">
        <f aca="false">(CV390+BB390)/2</f>
        <v>78.6285714285714</v>
      </c>
      <c r="CY390" s="50" t="n">
        <v>440</v>
      </c>
      <c r="CZ390" s="27" t="s">
        <v>132</v>
      </c>
      <c r="DA390" s="27" t="s">
        <v>305</v>
      </c>
      <c r="DB390" s="27" t="s">
        <v>305</v>
      </c>
      <c r="DC390" s="27" t="s">
        <v>134</v>
      </c>
      <c r="DD390" s="27" t="s">
        <v>135</v>
      </c>
      <c r="DE390" s="27" t="s">
        <v>447</v>
      </c>
      <c r="DF390" s="27" t="s">
        <v>305</v>
      </c>
      <c r="DG390" s="27" t="s">
        <v>134</v>
      </c>
      <c r="DH390" s="27" t="s">
        <v>164</v>
      </c>
      <c r="DI390" s="27" t="s">
        <v>218</v>
      </c>
      <c r="DJ390" s="27" t="s">
        <v>209</v>
      </c>
      <c r="DK390" s="27" t="s">
        <v>134</v>
      </c>
      <c r="DL390" s="27" t="s">
        <v>174</v>
      </c>
      <c r="DM390" s="27" t="s">
        <v>304</v>
      </c>
      <c r="DN390" s="27" t="s">
        <v>443</v>
      </c>
      <c r="DO390" s="27" t="s">
        <v>134</v>
      </c>
      <c r="DP390" s="27" t="s">
        <v>195</v>
      </c>
      <c r="DQ390" s="27" t="s">
        <v>375</v>
      </c>
      <c r="DR390" s="27" t="s">
        <v>416</v>
      </c>
      <c r="DS390" s="27" t="s">
        <v>134</v>
      </c>
      <c r="DT390" s="27" t="s">
        <v>154</v>
      </c>
      <c r="DU390" s="27" t="s">
        <v>313</v>
      </c>
      <c r="DV390" s="27" t="s">
        <v>441</v>
      </c>
      <c r="DW390" s="27" t="s">
        <v>140</v>
      </c>
      <c r="DX390" s="27" t="s">
        <v>138</v>
      </c>
      <c r="DY390" s="27" t="s">
        <v>145</v>
      </c>
      <c r="DZ390" s="27" t="n">
        <f aca="false">DY390+DV390+DR390+DN390+DJ390+DF390+DB390</f>
        <v>560</v>
      </c>
      <c r="EA390" s="28" t="n">
        <f aca="false">DZ390/7</f>
        <v>80</v>
      </c>
      <c r="EB390" s="27" t="n">
        <f aca="false">RANK(EA390,$EA$2:$EA$881,0)</f>
        <v>393</v>
      </c>
      <c r="EC390" s="29" t="n">
        <f aca="false">DZ390+CQ390+CP390+AZ390</f>
        <v>2438</v>
      </c>
      <c r="ED390" s="30" t="n">
        <f aca="false">(EA390+CV390+BB390)/3</f>
        <v>79.0857142857143</v>
      </c>
      <c r="EE390" s="51" t="n">
        <f aca="false">ROUND(BE390,3)</f>
        <v>87.32</v>
      </c>
      <c r="EF390" s="51" t="n">
        <f aca="false">ROUND(CR390,3)</f>
        <v>85</v>
      </c>
      <c r="EG390" s="51" t="n">
        <f aca="false">ROUND(CS390,3)</f>
        <v>67.714</v>
      </c>
      <c r="EH390" s="51" t="n">
        <f aca="false">ROUND(EA390,3)</f>
        <v>80</v>
      </c>
      <c r="EI390" s="51" t="n">
        <f aca="false">ROUND(ED390,3)</f>
        <v>79.086</v>
      </c>
      <c r="EJ390" s="51" t="n">
        <f aca="false">ROUND(CV390,3)</f>
        <v>76.357</v>
      </c>
      <c r="EK390" s="0" t="n">
        <f aca="false">RANK(EI390,$EI$2:$EI$881,0)</f>
        <v>389</v>
      </c>
    </row>
    <row r="391" customFormat="false" ht="15" hidden="false" customHeight="false" outlineLevel="0" collapsed="false">
      <c r="A391" s="4" t="n">
        <v>1817</v>
      </c>
      <c r="B391" s="4" t="n">
        <v>421</v>
      </c>
      <c r="C391" s="27" t="s">
        <v>1256</v>
      </c>
      <c r="D391" s="31" t="n">
        <v>426</v>
      </c>
      <c r="E391" s="16" t="n">
        <v>230623369</v>
      </c>
      <c r="F391" s="56" t="s">
        <v>1257</v>
      </c>
      <c r="G391" s="22" t="s">
        <v>1258</v>
      </c>
      <c r="H391" s="22" t="s">
        <v>558</v>
      </c>
      <c r="I391" s="57"/>
      <c r="J391" s="16" t="n">
        <v>85</v>
      </c>
      <c r="K391" s="16" t="n">
        <v>61</v>
      </c>
      <c r="L391" s="34" t="n">
        <f aca="false">(K391*70)/100</f>
        <v>42.7</v>
      </c>
      <c r="M391" s="34" t="n">
        <f aca="false">ROUNDUP(L391,0)</f>
        <v>43</v>
      </c>
      <c r="N391" s="16" t="n">
        <v>25</v>
      </c>
      <c r="O391" s="34" t="n">
        <f aca="false">N391+L391</f>
        <v>67.7</v>
      </c>
      <c r="P391" s="34" t="n">
        <f aca="false">N391+M391</f>
        <v>68</v>
      </c>
      <c r="Q391" s="16" t="n">
        <v>67</v>
      </c>
      <c r="R391" s="16" t="n">
        <v>62</v>
      </c>
      <c r="S391" s="34" t="n">
        <f aca="false">(R391*70)/100</f>
        <v>43.4</v>
      </c>
      <c r="T391" s="34" t="n">
        <f aca="false">ROUNDUP(S391,0)</f>
        <v>44</v>
      </c>
      <c r="U391" s="16" t="n">
        <v>29</v>
      </c>
      <c r="V391" s="34" t="n">
        <f aca="false">U391+S391</f>
        <v>72.4</v>
      </c>
      <c r="W391" s="34" t="n">
        <f aca="false">U391+T391</f>
        <v>73</v>
      </c>
      <c r="X391" s="16" t="n">
        <v>67</v>
      </c>
      <c r="Y391" s="34" t="n">
        <f aca="false">(X391*70)/100</f>
        <v>46.9</v>
      </c>
      <c r="Z391" s="34" t="n">
        <f aca="false">ROUNDUP(Y391,0)</f>
        <v>47</v>
      </c>
      <c r="AA391" s="16" t="n">
        <v>25</v>
      </c>
      <c r="AB391" s="34" t="n">
        <f aca="false">AA391+Y391</f>
        <v>71.9</v>
      </c>
      <c r="AC391" s="34" t="n">
        <f aca="false">AA391+Z391</f>
        <v>72</v>
      </c>
      <c r="AD391" s="32" t="n">
        <f aca="false">X391+R391+Q391+K391+J391</f>
        <v>342</v>
      </c>
      <c r="AE391" s="16" t="n">
        <f aca="false">AD391/5</f>
        <v>68.4</v>
      </c>
      <c r="AF391" s="16" t="n">
        <v>83</v>
      </c>
      <c r="AG391" s="16" t="n">
        <v>93</v>
      </c>
      <c r="AH391" s="16" t="n">
        <v>83</v>
      </c>
      <c r="AI391" s="16" t="n">
        <v>81</v>
      </c>
      <c r="AJ391" s="16" t="n">
        <f aca="false">(AI391*70)/100</f>
        <v>56.7</v>
      </c>
      <c r="AK391" s="35" t="n">
        <f aca="false">ROUNDUP(AJ391,0)</f>
        <v>57</v>
      </c>
      <c r="AL391" s="16" t="n">
        <v>27</v>
      </c>
      <c r="AM391" s="16" t="n">
        <f aca="false">AL391+AJ391</f>
        <v>83.7</v>
      </c>
      <c r="AN391" s="16" t="n">
        <f aca="false">AL391+AK391</f>
        <v>84</v>
      </c>
      <c r="AO391" s="16" t="n">
        <v>79</v>
      </c>
      <c r="AP391" s="36" t="n">
        <f aca="false">(AO391*70)/100</f>
        <v>55.3</v>
      </c>
      <c r="AQ391" s="37" t="n">
        <f aca="false">ROUNDUP(AP391,0)</f>
        <v>56</v>
      </c>
      <c r="AR391" s="16" t="n">
        <v>27</v>
      </c>
      <c r="AS391" s="16" t="n">
        <f aca="false">AR391+AP391</f>
        <v>82.3</v>
      </c>
      <c r="AT391" s="16" t="n">
        <f aca="false">AR391+AQ391</f>
        <v>83</v>
      </c>
      <c r="AU391" s="16" t="n">
        <f aca="false">AO391+AF391+AI391+AH391+AG391</f>
        <v>419</v>
      </c>
      <c r="AV391" s="16" t="n">
        <f aca="false">(AO391+AF391+AI391+AH391+AG391)/5</f>
        <v>83.8</v>
      </c>
      <c r="AW391" s="36" t="n">
        <f aca="false">(AO391+AF391+AI391+AH391+AG391+X391+R391+Q391+K391+J391)</f>
        <v>761</v>
      </c>
      <c r="AX391" s="16" t="n">
        <f aca="false">AW391/10</f>
        <v>76.1</v>
      </c>
      <c r="AY391" s="16" t="n">
        <f aca="false">AS391+AF391+AM391+AH391+AG391+AB391+V391+Q391+O391+J391</f>
        <v>789</v>
      </c>
      <c r="AZ391" s="16" t="n">
        <f aca="false">AT391+AF391+AN391+AH391+AG391+AC391+W391+Q391+P391+J391</f>
        <v>791</v>
      </c>
      <c r="BA391" s="16" t="n">
        <f aca="false">AY391/10</f>
        <v>78.9</v>
      </c>
      <c r="BB391" s="16" t="n">
        <f aca="false">AZ391/10</f>
        <v>79.1</v>
      </c>
      <c r="BC391" s="16" t="n">
        <v>2385</v>
      </c>
      <c r="BD391" s="16" t="n">
        <f aca="false">RANK(AX391,$AX$2:$AX$881,0)</f>
        <v>609</v>
      </c>
      <c r="BE391" s="54" t="n">
        <f aca="false">((BC391*100)/2400)*0.4+(AX391*0.6)</f>
        <v>85.41</v>
      </c>
      <c r="BF391" s="16" t="n">
        <f aca="false">RANK(BE391,$BE$2:$BE$881,0)</f>
        <v>525</v>
      </c>
      <c r="BG391" s="39" t="n">
        <f aca="false">RANK(BB391,$BB$2:$BB$881,0)</f>
        <v>449</v>
      </c>
      <c r="BH391" s="39" t="n">
        <f aca="false">RANK(BC391,$BC$2:$BC$881,0)</f>
        <v>93</v>
      </c>
      <c r="BI391" s="22" t="s">
        <v>130</v>
      </c>
      <c r="BJ391" s="22" t="s">
        <v>129</v>
      </c>
      <c r="BK391" s="40" t="s">
        <v>509</v>
      </c>
      <c r="BL391" s="101" t="n">
        <v>22</v>
      </c>
      <c r="BM391" s="59" t="n">
        <v>55</v>
      </c>
      <c r="BN391" s="59" t="n">
        <v>77</v>
      </c>
      <c r="BO391" s="59" t="n">
        <v>27</v>
      </c>
      <c r="BP391" s="59" t="n">
        <v>50</v>
      </c>
      <c r="BQ391" s="59" t="n">
        <v>77</v>
      </c>
      <c r="BR391" s="42" t="n">
        <v>23</v>
      </c>
      <c r="BS391" s="88" t="n">
        <v>42</v>
      </c>
      <c r="BT391" s="88" t="n">
        <v>65</v>
      </c>
      <c r="BU391" s="88" t="n">
        <v>74</v>
      </c>
      <c r="BV391" s="58" t="n">
        <v>89</v>
      </c>
      <c r="BW391" s="102" t="n">
        <v>88</v>
      </c>
      <c r="BX391" s="88" t="n">
        <v>94</v>
      </c>
      <c r="BY391" s="65" t="n">
        <v>28</v>
      </c>
      <c r="BZ391" s="58" t="n">
        <v>53</v>
      </c>
      <c r="CA391" s="58" t="n">
        <v>81</v>
      </c>
      <c r="CB391" s="59" t="n">
        <v>17</v>
      </c>
      <c r="CC391" s="58" t="n">
        <v>60</v>
      </c>
      <c r="CD391" s="58" t="n">
        <v>77</v>
      </c>
      <c r="CE391" s="58" t="n">
        <v>19</v>
      </c>
      <c r="CF391" s="58" t="n">
        <v>50</v>
      </c>
      <c r="CG391" s="58" t="n">
        <v>69</v>
      </c>
      <c r="CH391" s="58" t="n">
        <v>94</v>
      </c>
      <c r="CI391" s="58" t="n">
        <v>88</v>
      </c>
      <c r="CJ391" s="58" t="n">
        <v>23</v>
      </c>
      <c r="CK391" s="58" t="n">
        <v>56</v>
      </c>
      <c r="CL391" s="59" t="n">
        <v>79</v>
      </c>
      <c r="CM391" s="60"/>
      <c r="CN391" s="60"/>
      <c r="CO391" s="60"/>
      <c r="CP391" s="25" t="n">
        <f aca="false">BX391+BW391+BV391+BU391+BT391+BQ391+BN391</f>
        <v>564</v>
      </c>
      <c r="CQ391" s="25" t="n">
        <f aca="false">CO391+CL391+CI391+CH391+CG391+CD391+CA391</f>
        <v>488</v>
      </c>
      <c r="CR391" s="26" t="n">
        <f aca="false">CP391/7</f>
        <v>80.5714285714286</v>
      </c>
      <c r="CS391" s="26" t="n">
        <f aca="false">CQ391/7</f>
        <v>69.7142857142857</v>
      </c>
      <c r="CT391" s="24" t="n">
        <f aca="false">RANK(CR391,$CR$2:$CR$881,0)</f>
        <v>575</v>
      </c>
      <c r="CU391" s="25" t="n">
        <f aca="false">RANK(CS391,$CS$2:$CS$881,0)</f>
        <v>560</v>
      </c>
      <c r="CV391" s="26" t="n">
        <f aca="false">(CS391+CR391)/2</f>
        <v>75.1428571428571</v>
      </c>
      <c r="CW391" s="25" t="n">
        <f aca="false">RANK(CV391,$CV$2:$CV$881,0)</f>
        <v>555</v>
      </c>
      <c r="CX391" s="50" t="n">
        <f aca="false">(CV391+BB391)/2</f>
        <v>77.1214285714286</v>
      </c>
      <c r="CY391" s="50" t="n">
        <v>790</v>
      </c>
      <c r="CZ391" s="27" t="s">
        <v>132</v>
      </c>
      <c r="DA391" s="27" t="s">
        <v>219</v>
      </c>
      <c r="DB391" s="27" t="s">
        <v>219</v>
      </c>
      <c r="DC391" s="27" t="s">
        <v>134</v>
      </c>
      <c r="DD391" s="27" t="s">
        <v>135</v>
      </c>
      <c r="DE391" s="27" t="s">
        <v>220</v>
      </c>
      <c r="DF391" s="27" t="s">
        <v>196</v>
      </c>
      <c r="DG391" s="27" t="s">
        <v>134</v>
      </c>
      <c r="DH391" s="27" t="s">
        <v>182</v>
      </c>
      <c r="DI391" s="27" t="s">
        <v>161</v>
      </c>
      <c r="DJ391" s="27" t="s">
        <v>175</v>
      </c>
      <c r="DK391" s="27" t="s">
        <v>134</v>
      </c>
      <c r="DL391" s="27" t="s">
        <v>137</v>
      </c>
      <c r="DM391" s="27" t="s">
        <v>204</v>
      </c>
      <c r="DN391" s="27" t="s">
        <v>175</v>
      </c>
      <c r="DO391" s="27" t="s">
        <v>134</v>
      </c>
      <c r="DP391" s="27" t="s">
        <v>264</v>
      </c>
      <c r="DQ391" s="27" t="s">
        <v>218</v>
      </c>
      <c r="DR391" s="27" t="s">
        <v>443</v>
      </c>
      <c r="DS391" s="27" t="s">
        <v>134</v>
      </c>
      <c r="DT391" s="27" t="s">
        <v>137</v>
      </c>
      <c r="DU391" s="27" t="s">
        <v>304</v>
      </c>
      <c r="DV391" s="27" t="s">
        <v>219</v>
      </c>
      <c r="DW391" s="27" t="s">
        <v>160</v>
      </c>
      <c r="DX391" s="27" t="s">
        <v>163</v>
      </c>
      <c r="DY391" s="27" t="s">
        <v>151</v>
      </c>
      <c r="DZ391" s="27" t="n">
        <f aca="false">DY391+DV391+DR391+DN391+DJ391+DF391+DB391</f>
        <v>580</v>
      </c>
      <c r="EA391" s="28" t="n">
        <f aca="false">DZ391/7</f>
        <v>82.8571428571429</v>
      </c>
      <c r="EB391" s="27" t="n">
        <f aca="false">RANK(EA391,$EA$2:$EA$881,0)</f>
        <v>275</v>
      </c>
      <c r="EC391" s="29" t="n">
        <f aca="false">DZ391+CQ391+CP391+AZ391</f>
        <v>2423</v>
      </c>
      <c r="ED391" s="30" t="n">
        <f aca="false">(EA391+CV391+BB391)/3</f>
        <v>79.0333333333333</v>
      </c>
      <c r="EE391" s="51" t="n">
        <f aca="false">ROUND(BE391,3)</f>
        <v>85.41</v>
      </c>
      <c r="EF391" s="51" t="n">
        <f aca="false">ROUND(CR391,3)</f>
        <v>80.571</v>
      </c>
      <c r="EG391" s="51" t="n">
        <f aca="false">ROUND(CS391,3)</f>
        <v>69.714</v>
      </c>
      <c r="EH391" s="51" t="n">
        <f aca="false">ROUND(EA391,3)</f>
        <v>82.857</v>
      </c>
      <c r="EI391" s="51" t="n">
        <f aca="false">ROUND(ED391,3)</f>
        <v>79.033</v>
      </c>
      <c r="EJ391" s="51" t="n">
        <f aca="false">ROUND(CV391,3)</f>
        <v>75.143</v>
      </c>
      <c r="EK391" s="0" t="n">
        <f aca="false">RANK(EI391,$EI$2:$EI$881,0)</f>
        <v>390</v>
      </c>
    </row>
    <row r="392" customFormat="false" ht="15" hidden="false" customHeight="false" outlineLevel="0" collapsed="false">
      <c r="A392" s="4" t="n">
        <v>2051</v>
      </c>
      <c r="B392" s="4" t="n">
        <v>118</v>
      </c>
      <c r="C392" s="27" t="s">
        <v>1259</v>
      </c>
      <c r="D392" s="31" t="n">
        <v>117</v>
      </c>
      <c r="E392" s="16" t="n">
        <v>230120285</v>
      </c>
      <c r="F392" s="56" t="s">
        <v>1260</v>
      </c>
      <c r="G392" s="22" t="s">
        <v>1261</v>
      </c>
      <c r="H392" s="22" t="s">
        <v>326</v>
      </c>
      <c r="I392" s="57"/>
      <c r="J392" s="71" t="n">
        <v>59</v>
      </c>
      <c r="K392" s="16" t="n">
        <v>87</v>
      </c>
      <c r="L392" s="34" t="n">
        <f aca="false">(K392*70)/100</f>
        <v>60.9</v>
      </c>
      <c r="M392" s="34" t="n">
        <f aca="false">ROUNDUP(L392,0)</f>
        <v>61</v>
      </c>
      <c r="N392" s="16" t="n">
        <v>27</v>
      </c>
      <c r="O392" s="34" t="n">
        <f aca="false">N392+L392</f>
        <v>87.9</v>
      </c>
      <c r="P392" s="34" t="n">
        <f aca="false">N392+M392</f>
        <v>88</v>
      </c>
      <c r="Q392" s="16" t="n">
        <v>82</v>
      </c>
      <c r="R392" s="16" t="n">
        <v>68</v>
      </c>
      <c r="S392" s="34" t="n">
        <f aca="false">(R392*70)/100</f>
        <v>47.6</v>
      </c>
      <c r="T392" s="34" t="n">
        <f aca="false">ROUNDUP(S392,0)</f>
        <v>48</v>
      </c>
      <c r="U392" s="16" t="n">
        <v>23</v>
      </c>
      <c r="V392" s="34" t="n">
        <f aca="false">U392+S392</f>
        <v>70.6</v>
      </c>
      <c r="W392" s="34" t="n">
        <f aca="false">U392+T392</f>
        <v>71</v>
      </c>
      <c r="X392" s="16" t="n">
        <v>70</v>
      </c>
      <c r="Y392" s="34" t="n">
        <f aca="false">(X392*70)/100</f>
        <v>49</v>
      </c>
      <c r="Z392" s="34" t="n">
        <f aca="false">ROUNDUP(Y392,0)</f>
        <v>49</v>
      </c>
      <c r="AA392" s="16" t="n">
        <v>25</v>
      </c>
      <c r="AB392" s="34" t="n">
        <f aca="false">AA392+Y392</f>
        <v>74</v>
      </c>
      <c r="AC392" s="34" t="n">
        <f aca="false">AA392+Z392</f>
        <v>74</v>
      </c>
      <c r="AD392" s="32" t="n">
        <f aca="false">X392+R392+Q392+K392+J392</f>
        <v>366</v>
      </c>
      <c r="AE392" s="16" t="n">
        <f aca="false">AD392/5</f>
        <v>73.2</v>
      </c>
      <c r="AF392" s="16" t="n">
        <v>71</v>
      </c>
      <c r="AG392" s="16" t="n">
        <v>72</v>
      </c>
      <c r="AH392" s="16" t="n">
        <v>89</v>
      </c>
      <c r="AI392" s="16" t="n">
        <v>89</v>
      </c>
      <c r="AJ392" s="16" t="n">
        <f aca="false">(AI392*70)/100</f>
        <v>62.3</v>
      </c>
      <c r="AK392" s="35" t="n">
        <f aca="false">ROUNDUP(AJ392,0)</f>
        <v>63</v>
      </c>
      <c r="AL392" s="16" t="n">
        <v>18</v>
      </c>
      <c r="AM392" s="16" t="n">
        <f aca="false">AL392+AJ392</f>
        <v>80.3</v>
      </c>
      <c r="AN392" s="16" t="n">
        <f aca="false">AL392+AK392</f>
        <v>81</v>
      </c>
      <c r="AO392" s="16" t="n">
        <v>71</v>
      </c>
      <c r="AP392" s="36" t="n">
        <f aca="false">(AO392*70)/100</f>
        <v>49.7</v>
      </c>
      <c r="AQ392" s="37" t="n">
        <f aca="false">ROUNDUP(AP392,0)</f>
        <v>50</v>
      </c>
      <c r="AR392" s="16" t="n">
        <v>26</v>
      </c>
      <c r="AS392" s="16" t="n">
        <f aca="false">AR392+AP392</f>
        <v>75.7</v>
      </c>
      <c r="AT392" s="16" t="n">
        <f aca="false">AR392+AQ392</f>
        <v>76</v>
      </c>
      <c r="AU392" s="16" t="n">
        <f aca="false">AO392+AF392+AI392+AH392+AG392</f>
        <v>392</v>
      </c>
      <c r="AV392" s="16" t="n">
        <f aca="false">(AO392+AF392+AI392+AH392+AG392)/5</f>
        <v>78.4</v>
      </c>
      <c r="AW392" s="36" t="n">
        <f aca="false">(AO392+AF392+AI392+AH392+AG392+X392+R392+Q392+K392+J392)</f>
        <v>758</v>
      </c>
      <c r="AX392" s="16" t="n">
        <f aca="false">AW392/10</f>
        <v>75.8</v>
      </c>
      <c r="AY392" s="16" t="n">
        <f aca="false">AS392+AF392+AM392+AH392+AG392+AB392+V392+Q392+O392+J392</f>
        <v>761.5</v>
      </c>
      <c r="AZ392" s="16" t="n">
        <f aca="false">AT392+AF392+AN392+AH392+AG392+AC392+W392+Q392+P392+J392</f>
        <v>763</v>
      </c>
      <c r="BA392" s="16" t="n">
        <f aca="false">AY392/10</f>
        <v>76.15</v>
      </c>
      <c r="BB392" s="16" t="n">
        <f aca="false">AZ392/10</f>
        <v>76.3</v>
      </c>
      <c r="BC392" s="16" t="n">
        <v>2360</v>
      </c>
      <c r="BD392" s="16" t="n">
        <f aca="false">RANK(AX392,$AX$2:$AX$881,0)</f>
        <v>635</v>
      </c>
      <c r="BE392" s="73" t="n">
        <f aca="false">((BC392*100)/2400)*0.4+(AX392*0.6)</f>
        <v>84.8133333333333</v>
      </c>
      <c r="BF392" s="16" t="n">
        <f aca="false">RANK(BE392,$BE$2:$BE$881,0)</f>
        <v>656</v>
      </c>
      <c r="BG392" s="39" t="n">
        <f aca="false">RANK(BB392,$BB$2:$BB$881,0)</f>
        <v>670</v>
      </c>
      <c r="BH392" s="39" t="n">
        <f aca="false">RANK(BC392,$BC$2:$BC$881,0)</f>
        <v>402</v>
      </c>
      <c r="BI392" s="22" t="s">
        <v>130</v>
      </c>
      <c r="BJ392" s="22" t="s">
        <v>129</v>
      </c>
      <c r="BK392" s="22" t="s">
        <v>509</v>
      </c>
      <c r="BL392" s="41" t="n">
        <v>17</v>
      </c>
      <c r="BM392" s="41" t="n">
        <v>53</v>
      </c>
      <c r="BN392" s="41" t="n">
        <v>70</v>
      </c>
      <c r="BO392" s="42" t="n">
        <v>28</v>
      </c>
      <c r="BP392" s="43" t="n">
        <v>65</v>
      </c>
      <c r="BQ392" s="44" t="n">
        <v>93</v>
      </c>
      <c r="BR392" s="42" t="n">
        <v>20</v>
      </c>
      <c r="BS392" s="45" t="n">
        <v>55</v>
      </c>
      <c r="BT392" s="45" t="n">
        <v>75</v>
      </c>
      <c r="BU392" s="46" t="n">
        <v>98</v>
      </c>
      <c r="BV392" s="47" t="n">
        <v>82</v>
      </c>
      <c r="BW392" s="42" t="n">
        <v>98</v>
      </c>
      <c r="BX392" s="48" t="n">
        <v>86</v>
      </c>
      <c r="BY392" s="32" t="n">
        <v>23</v>
      </c>
      <c r="BZ392" s="32" t="n">
        <v>55</v>
      </c>
      <c r="CA392" s="32" t="n">
        <v>78</v>
      </c>
      <c r="CB392" s="32" t="n">
        <v>19</v>
      </c>
      <c r="CC392" s="32" t="n">
        <v>36</v>
      </c>
      <c r="CD392" s="69" t="n">
        <v>55</v>
      </c>
      <c r="CE392" s="32" t="n">
        <v>22</v>
      </c>
      <c r="CF392" s="32" t="n">
        <v>56</v>
      </c>
      <c r="CG392" s="32" t="n">
        <v>78</v>
      </c>
      <c r="CH392" s="32" t="n">
        <v>98</v>
      </c>
      <c r="CI392" s="32" t="n">
        <v>98</v>
      </c>
      <c r="CJ392" s="49" t="n">
        <v>12</v>
      </c>
      <c r="CK392" s="49" t="n">
        <v>52</v>
      </c>
      <c r="CL392" s="49" t="n">
        <v>64</v>
      </c>
      <c r="CM392" s="49" t="n">
        <v>21</v>
      </c>
      <c r="CN392" s="49" t="n">
        <v>47</v>
      </c>
      <c r="CO392" s="49" t="n">
        <v>68</v>
      </c>
      <c r="CP392" s="25" t="n">
        <f aca="false">BX392+BW392+BV392+BU392+BT392+BQ392+BN392</f>
        <v>602</v>
      </c>
      <c r="CQ392" s="25" t="n">
        <f aca="false">CO392+CL392+CI392+CH392+CG392+CD392+CA392</f>
        <v>539</v>
      </c>
      <c r="CR392" s="26" t="n">
        <f aca="false">CP392/7</f>
        <v>86</v>
      </c>
      <c r="CS392" s="26" t="n">
        <f aca="false">CQ392/7</f>
        <v>77</v>
      </c>
      <c r="CT392" s="24" t="n">
        <f aca="false">RANK(CR392,$CR$2:$CR$881,0)</f>
        <v>403</v>
      </c>
      <c r="CU392" s="25" t="n">
        <f aca="false">RANK(CS392,$CS$2:$CS$881,0)</f>
        <v>363</v>
      </c>
      <c r="CV392" s="26" t="n">
        <f aca="false">(CS392+CR392)/2</f>
        <v>81.5</v>
      </c>
      <c r="CW392" s="25" t="n">
        <f aca="false">RANK(CV392,$CV$2:$CV$881,0)</f>
        <v>363</v>
      </c>
      <c r="CX392" s="50" t="n">
        <f aca="false">(CV392+BB392)/2</f>
        <v>78.9</v>
      </c>
      <c r="CY392" s="50" t="n">
        <v>424</v>
      </c>
      <c r="CZ392" s="27" t="s">
        <v>132</v>
      </c>
      <c r="DA392" s="27" t="s">
        <v>305</v>
      </c>
      <c r="DB392" s="27" t="s">
        <v>305</v>
      </c>
      <c r="DC392" s="27" t="s">
        <v>134</v>
      </c>
      <c r="DD392" s="27" t="s">
        <v>135</v>
      </c>
      <c r="DE392" s="27" t="s">
        <v>220</v>
      </c>
      <c r="DF392" s="27" t="s">
        <v>196</v>
      </c>
      <c r="DG392" s="27" t="s">
        <v>134</v>
      </c>
      <c r="DH392" s="27" t="s">
        <v>174</v>
      </c>
      <c r="DI392" s="27" t="s">
        <v>204</v>
      </c>
      <c r="DJ392" s="27" t="s">
        <v>196</v>
      </c>
      <c r="DK392" s="27" t="s">
        <v>134</v>
      </c>
      <c r="DL392" s="27" t="s">
        <v>191</v>
      </c>
      <c r="DM392" s="27" t="s">
        <v>177</v>
      </c>
      <c r="DN392" s="27" t="s">
        <v>219</v>
      </c>
      <c r="DO392" s="27" t="s">
        <v>134</v>
      </c>
      <c r="DP392" s="27" t="s">
        <v>825</v>
      </c>
      <c r="DQ392" s="27" t="s">
        <v>447</v>
      </c>
      <c r="DR392" s="27" t="s">
        <v>187</v>
      </c>
      <c r="DS392" s="27" t="s">
        <v>134</v>
      </c>
      <c r="DT392" s="27" t="s">
        <v>135</v>
      </c>
      <c r="DU392" s="27" t="s">
        <v>304</v>
      </c>
      <c r="DV392" s="27" t="s">
        <v>272</v>
      </c>
      <c r="DW392" s="27" t="s">
        <v>191</v>
      </c>
      <c r="DX392" s="27" t="s">
        <v>155</v>
      </c>
      <c r="DY392" s="27" t="s">
        <v>153</v>
      </c>
      <c r="DZ392" s="27" t="n">
        <f aca="false">DY392+DV392+DR392+DN392+DJ392+DF392+DB392</f>
        <v>555</v>
      </c>
      <c r="EA392" s="28" t="n">
        <f aca="false">DZ392/7</f>
        <v>79.2857142857143</v>
      </c>
      <c r="EB392" s="27" t="n">
        <f aca="false">RANK(EA392,$EA$2:$EA$881,0)</f>
        <v>421</v>
      </c>
      <c r="EC392" s="29" t="n">
        <f aca="false">DZ392+CQ392+CP392+AZ392</f>
        <v>2459</v>
      </c>
      <c r="ED392" s="30" t="n">
        <f aca="false">(EA392+CV392+BB392)/3</f>
        <v>79.0285714285714</v>
      </c>
      <c r="EE392" s="51" t="n">
        <f aca="false">ROUND(BE392,3)</f>
        <v>84.813</v>
      </c>
      <c r="EF392" s="51" t="n">
        <f aca="false">ROUND(CR392,3)</f>
        <v>86</v>
      </c>
      <c r="EG392" s="51" t="n">
        <f aca="false">ROUND(CS392,3)</f>
        <v>77</v>
      </c>
      <c r="EH392" s="51" t="n">
        <f aca="false">ROUND(EA392,3)</f>
        <v>79.286</v>
      </c>
      <c r="EI392" s="51" t="n">
        <f aca="false">ROUND(ED392,3)</f>
        <v>79.029</v>
      </c>
      <c r="EJ392" s="51" t="n">
        <f aca="false">ROUND(CV392,3)</f>
        <v>81.5</v>
      </c>
      <c r="EK392" s="0" t="n">
        <f aca="false">RANK(EI392,$EI$2:$EI$881,0)</f>
        <v>391</v>
      </c>
    </row>
    <row r="393" customFormat="false" ht="33.7" hidden="false" customHeight="false" outlineLevel="0" collapsed="false">
      <c r="A393" s="4" t="n">
        <v>8799</v>
      </c>
      <c r="B393" s="4" t="n">
        <v>737</v>
      </c>
      <c r="C393" s="27" t="s">
        <v>1262</v>
      </c>
      <c r="D393" s="31" t="n">
        <v>752</v>
      </c>
      <c r="E393" s="32" t="n">
        <v>230311273</v>
      </c>
      <c r="F393" s="55" t="s">
        <v>1263</v>
      </c>
      <c r="G393" s="22" t="s">
        <v>577</v>
      </c>
      <c r="H393" s="22" t="s">
        <v>129</v>
      </c>
      <c r="I393" s="33" t="n">
        <v>2005</v>
      </c>
      <c r="J393" s="32" t="n">
        <v>99</v>
      </c>
      <c r="K393" s="32" t="n">
        <v>90</v>
      </c>
      <c r="L393" s="34" t="n">
        <f aca="false">(K393*70)/100</f>
        <v>63</v>
      </c>
      <c r="M393" s="34" t="n">
        <f aca="false">ROUNDUP(L393,0)</f>
        <v>63</v>
      </c>
      <c r="N393" s="32" t="n">
        <v>20</v>
      </c>
      <c r="O393" s="34" t="n">
        <f aca="false">N393+L393</f>
        <v>83</v>
      </c>
      <c r="P393" s="34" t="n">
        <f aca="false">N393+M393</f>
        <v>83</v>
      </c>
      <c r="Q393" s="32" t="n">
        <v>80</v>
      </c>
      <c r="R393" s="32" t="n">
        <v>93</v>
      </c>
      <c r="S393" s="34" t="n">
        <f aca="false">(R393*70)/100</f>
        <v>65.1</v>
      </c>
      <c r="T393" s="34" t="n">
        <f aca="false">ROUNDUP(S393,0)</f>
        <v>66</v>
      </c>
      <c r="U393" s="32" t="n">
        <v>22</v>
      </c>
      <c r="V393" s="34" t="n">
        <f aca="false">U393+S393</f>
        <v>87.1</v>
      </c>
      <c r="W393" s="34" t="n">
        <f aca="false">U393+T393</f>
        <v>88</v>
      </c>
      <c r="X393" s="32" t="n">
        <v>82</v>
      </c>
      <c r="Y393" s="34" t="n">
        <f aca="false">(X393*70)/100</f>
        <v>57.4</v>
      </c>
      <c r="Z393" s="34" t="n">
        <f aca="false">ROUNDUP(Y393,0)</f>
        <v>58</v>
      </c>
      <c r="AA393" s="32" t="n">
        <v>26</v>
      </c>
      <c r="AB393" s="34" t="n">
        <f aca="false">AA393+Y393</f>
        <v>83.4</v>
      </c>
      <c r="AC393" s="34" t="n">
        <f aca="false">AA393+Z393</f>
        <v>84</v>
      </c>
      <c r="AD393" s="32" t="n">
        <f aca="false">X393+R393+Q393+K393+J393</f>
        <v>444</v>
      </c>
      <c r="AE393" s="16" t="n">
        <f aca="false">AD393/5</f>
        <v>88.8</v>
      </c>
      <c r="AF393" s="16" t="n">
        <v>84</v>
      </c>
      <c r="AG393" s="16" t="n">
        <v>98</v>
      </c>
      <c r="AH393" s="16" t="n">
        <v>93</v>
      </c>
      <c r="AI393" s="16" t="n">
        <v>98</v>
      </c>
      <c r="AJ393" s="16" t="n">
        <f aca="false">(AI393*70)/100</f>
        <v>68.6</v>
      </c>
      <c r="AK393" s="35" t="n">
        <f aca="false">ROUNDUP(AJ393,0)</f>
        <v>69</v>
      </c>
      <c r="AL393" s="16" t="n">
        <v>23</v>
      </c>
      <c r="AM393" s="16" t="n">
        <f aca="false">AL393+AJ393</f>
        <v>91.6</v>
      </c>
      <c r="AN393" s="16" t="n">
        <f aca="false">AL393+AK393</f>
        <v>92</v>
      </c>
      <c r="AO393" s="16" t="n">
        <v>86</v>
      </c>
      <c r="AP393" s="36" t="n">
        <f aca="false">(AO393*70)/100</f>
        <v>60.2</v>
      </c>
      <c r="AQ393" s="37" t="n">
        <f aca="false">ROUNDUP(AP393,0)</f>
        <v>61</v>
      </c>
      <c r="AR393" s="16" t="n">
        <v>23</v>
      </c>
      <c r="AS393" s="16" t="n">
        <f aca="false">AR393+AP393</f>
        <v>83.2</v>
      </c>
      <c r="AT393" s="16" t="n">
        <f aca="false">AR393+AQ393</f>
        <v>84</v>
      </c>
      <c r="AU393" s="16" t="n">
        <f aca="false">AO393+AF393+AI393+AH393+AG393</f>
        <v>459</v>
      </c>
      <c r="AV393" s="16" t="n">
        <f aca="false">(AO393+AF393+AI393+AH393+AG393)/5</f>
        <v>91.8</v>
      </c>
      <c r="AW393" s="36" t="n">
        <f aca="false">(AO393+AF393+AI393+AH393+AG393+X393+R393+Q393+K393+J393)</f>
        <v>903</v>
      </c>
      <c r="AX393" s="16" t="n">
        <f aca="false">AW393/10</f>
        <v>90.3</v>
      </c>
      <c r="AY393" s="16" t="n">
        <f aca="false">AS393+AF393+AM393+AH393+AG393+AB393+V393+Q393+O393+J393</f>
        <v>882.3</v>
      </c>
      <c r="AZ393" s="16" t="n">
        <f aca="false">AT393+AF393+AN393+AH393+AG393+AC393+W393+Q393+P393+J393</f>
        <v>885</v>
      </c>
      <c r="BA393" s="16" t="n">
        <f aca="false">AY393/10</f>
        <v>88.23</v>
      </c>
      <c r="BB393" s="16" t="n">
        <f aca="false">AZ393/10</f>
        <v>88.5</v>
      </c>
      <c r="BC393" s="16" t="n">
        <v>2375</v>
      </c>
      <c r="BD393" s="16" t="n">
        <f aca="false">RANK(AX393,$AX$2:$AX$881,0)</f>
        <v>20</v>
      </c>
      <c r="BE393" s="38" t="n">
        <f aca="false">((BC393*100)/2400)*0.4+(AX393*0.6)</f>
        <v>93.7633333333333</v>
      </c>
      <c r="BF393" s="16" t="n">
        <f aca="false">RANK(BE393,$BE$2:$BE$881,0)</f>
        <v>21</v>
      </c>
      <c r="BG393" s="39" t="n">
        <f aca="false">RANK(BB393,$BB$2:$BB$881,0)</f>
        <v>35</v>
      </c>
      <c r="BH393" s="39" t="n">
        <f aca="false">RANK(BC393,$BC$2:$BC$881,0)</f>
        <v>211</v>
      </c>
      <c r="BI393" s="22" t="s">
        <v>130</v>
      </c>
      <c r="BJ393" s="22" t="s">
        <v>129</v>
      </c>
      <c r="BK393" s="40" t="s">
        <v>131</v>
      </c>
      <c r="BL393" s="41" t="n">
        <v>21</v>
      </c>
      <c r="BM393" s="59" t="n">
        <v>48</v>
      </c>
      <c r="BN393" s="41" t="n">
        <v>69</v>
      </c>
      <c r="BO393" s="42" t="n">
        <v>22</v>
      </c>
      <c r="BP393" s="43" t="n">
        <v>50</v>
      </c>
      <c r="BQ393" s="44" t="n">
        <v>72</v>
      </c>
      <c r="BR393" s="42" t="n">
        <v>24</v>
      </c>
      <c r="BS393" s="45" t="n">
        <v>58</v>
      </c>
      <c r="BT393" s="45" t="n">
        <v>82</v>
      </c>
      <c r="BU393" s="46" t="n">
        <v>99</v>
      </c>
      <c r="BV393" s="47" t="n">
        <v>80</v>
      </c>
      <c r="BW393" s="42" t="n">
        <v>96</v>
      </c>
      <c r="BX393" s="48" t="n">
        <v>86</v>
      </c>
      <c r="BY393" s="32" t="n">
        <v>23</v>
      </c>
      <c r="BZ393" s="32" t="n">
        <v>40</v>
      </c>
      <c r="CA393" s="32" t="n">
        <v>63</v>
      </c>
      <c r="CB393" s="32" t="n">
        <v>21</v>
      </c>
      <c r="CC393" s="32" t="n">
        <v>35</v>
      </c>
      <c r="CD393" s="69" t="n">
        <v>56</v>
      </c>
      <c r="CE393" s="32" t="n">
        <v>19</v>
      </c>
      <c r="CF393" s="32" t="n">
        <v>43</v>
      </c>
      <c r="CG393" s="32" t="n">
        <v>62</v>
      </c>
      <c r="CH393" s="32" t="n">
        <v>93</v>
      </c>
      <c r="CI393" s="32" t="n">
        <v>98</v>
      </c>
      <c r="CJ393" s="49" t="n">
        <v>14</v>
      </c>
      <c r="CK393" s="49" t="n">
        <v>40</v>
      </c>
      <c r="CL393" s="76" t="n">
        <v>54</v>
      </c>
      <c r="CM393" s="49" t="n">
        <v>17</v>
      </c>
      <c r="CN393" s="49" t="n">
        <v>52</v>
      </c>
      <c r="CO393" s="49" t="n">
        <v>69</v>
      </c>
      <c r="CP393" s="25" t="n">
        <f aca="false">BX393+BW393+BV393+BU393+BT393+BQ393+BN393</f>
        <v>584</v>
      </c>
      <c r="CQ393" s="25" t="n">
        <f aca="false">CO393+CL393+CI393+CH393+CG393+CD393+CA393</f>
        <v>495</v>
      </c>
      <c r="CR393" s="26" t="n">
        <f aca="false">CP393/7</f>
        <v>83.4285714285714</v>
      </c>
      <c r="CS393" s="26" t="n">
        <f aca="false">CQ393/7</f>
        <v>70.7142857142857</v>
      </c>
      <c r="CT393" s="24" t="n">
        <f aca="false">RANK(CR393,$CR$2:$CR$881,0)</f>
        <v>502</v>
      </c>
      <c r="CU393" s="25" t="n">
        <f aca="false">RANK(CS393,$CS$2:$CS$881,0)</f>
        <v>543</v>
      </c>
      <c r="CV393" s="26" t="n">
        <f aca="false">(CS393+CR393)/2</f>
        <v>77.0714285714286</v>
      </c>
      <c r="CW393" s="25" t="n">
        <f aca="false">RANK(CV393,$CV$2:$CV$881,0)</f>
        <v>514</v>
      </c>
      <c r="CX393" s="50" t="n">
        <f aca="false">(CV393+BB393)/2</f>
        <v>82.7857142857143</v>
      </c>
      <c r="CY393" s="50" t="n">
        <v>334</v>
      </c>
      <c r="CZ393" s="27" t="s">
        <v>132</v>
      </c>
      <c r="DA393" s="27" t="s">
        <v>175</v>
      </c>
      <c r="DB393" s="27" t="s">
        <v>175</v>
      </c>
      <c r="DC393" s="27" t="s">
        <v>134</v>
      </c>
      <c r="DD393" s="27" t="s">
        <v>1000</v>
      </c>
      <c r="DE393" s="27" t="s">
        <v>220</v>
      </c>
      <c r="DF393" s="27" t="s">
        <v>155</v>
      </c>
      <c r="DG393" s="27" t="s">
        <v>134</v>
      </c>
      <c r="DH393" s="27" t="s">
        <v>174</v>
      </c>
      <c r="DI393" s="27" t="s">
        <v>412</v>
      </c>
      <c r="DJ393" s="27" t="s">
        <v>486</v>
      </c>
      <c r="DK393" s="27" t="s">
        <v>134</v>
      </c>
      <c r="DL393" s="27" t="s">
        <v>174</v>
      </c>
      <c r="DM393" s="27" t="s">
        <v>897</v>
      </c>
      <c r="DN393" s="27" t="s">
        <v>163</v>
      </c>
      <c r="DO393" s="27" t="s">
        <v>134</v>
      </c>
      <c r="DP393" s="27" t="s">
        <v>604</v>
      </c>
      <c r="DQ393" s="27" t="s">
        <v>989</v>
      </c>
      <c r="DR393" s="27" t="s">
        <v>183</v>
      </c>
      <c r="DS393" s="27" t="s">
        <v>480</v>
      </c>
      <c r="DT393" s="27" t="s">
        <v>160</v>
      </c>
      <c r="DU393" s="27" t="s">
        <v>897</v>
      </c>
      <c r="DV393" s="27" t="s">
        <v>416</v>
      </c>
      <c r="DW393" s="27" t="s">
        <v>182</v>
      </c>
      <c r="DX393" s="27" t="s">
        <v>304</v>
      </c>
      <c r="DY393" s="27" t="s">
        <v>305</v>
      </c>
      <c r="DZ393" s="27" t="n">
        <f aca="false">DY393+DV393+DR393+DN393+DJ393+DF393+DB393</f>
        <v>500</v>
      </c>
      <c r="EA393" s="28" t="n">
        <f aca="false">DZ393/7</f>
        <v>71.4285714285714</v>
      </c>
      <c r="EB393" s="27" t="n">
        <f aca="false">RANK(EA393,$EA$2:$EA$881,0)</f>
        <v>619</v>
      </c>
      <c r="EC393" s="29" t="n">
        <f aca="false">DZ393+CQ393+CP393+AZ393</f>
        <v>2464</v>
      </c>
      <c r="ED393" s="30" t="n">
        <f aca="false">(EA393+CV393+BB393)/3</f>
        <v>79</v>
      </c>
      <c r="EE393" s="51" t="n">
        <f aca="false">ROUND(BE393,3)</f>
        <v>93.763</v>
      </c>
      <c r="EF393" s="51" t="n">
        <f aca="false">ROUND(CR393,3)</f>
        <v>83.429</v>
      </c>
      <c r="EG393" s="51" t="n">
        <f aca="false">ROUND(CS393,3)</f>
        <v>70.714</v>
      </c>
      <c r="EH393" s="51" t="n">
        <f aca="false">ROUND(EA393,3)</f>
        <v>71.429</v>
      </c>
      <c r="EI393" s="51" t="n">
        <f aca="false">ROUND(ED393,3)</f>
        <v>79</v>
      </c>
      <c r="EJ393" s="51" t="n">
        <f aca="false">ROUND(CV393,3)</f>
        <v>77.071</v>
      </c>
      <c r="EK393" s="0" t="n">
        <f aca="false">RANK(EI393,$EI$2:$EI$881,0)</f>
        <v>392</v>
      </c>
    </row>
    <row r="394" customFormat="false" ht="15" hidden="false" customHeight="false" outlineLevel="0" collapsed="false">
      <c r="A394" s="4" t="n">
        <v>8707</v>
      </c>
      <c r="B394" s="4" t="n">
        <v>459</v>
      </c>
      <c r="C394" s="27" t="s">
        <v>1264</v>
      </c>
      <c r="D394" s="31" t="n">
        <v>465</v>
      </c>
      <c r="E394" s="16" t="n">
        <v>230123605</v>
      </c>
      <c r="F394" s="56" t="s">
        <v>1265</v>
      </c>
      <c r="G394" s="22" t="s">
        <v>532</v>
      </c>
      <c r="H394" s="22" t="s">
        <v>326</v>
      </c>
      <c r="I394" s="57"/>
      <c r="J394" s="16" t="n">
        <v>79</v>
      </c>
      <c r="K394" s="16" t="n">
        <v>87</v>
      </c>
      <c r="L394" s="34" t="n">
        <f aca="false">(K394*70)/100</f>
        <v>60.9</v>
      </c>
      <c r="M394" s="34" t="n">
        <f aca="false">ROUNDUP(L394,0)</f>
        <v>61</v>
      </c>
      <c r="N394" s="16" t="n">
        <v>29</v>
      </c>
      <c r="O394" s="34" t="n">
        <f aca="false">N394+L394</f>
        <v>89.9</v>
      </c>
      <c r="P394" s="34" t="n">
        <f aca="false">N394+M394</f>
        <v>90</v>
      </c>
      <c r="Q394" s="16" t="n">
        <v>80</v>
      </c>
      <c r="R394" s="16" t="n">
        <v>73</v>
      </c>
      <c r="S394" s="34" t="n">
        <f aca="false">(R394*70)/100</f>
        <v>51.1</v>
      </c>
      <c r="T394" s="34" t="n">
        <f aca="false">ROUNDUP(S394,0)</f>
        <v>52</v>
      </c>
      <c r="U394" s="16" t="n">
        <v>26</v>
      </c>
      <c r="V394" s="34" t="n">
        <f aca="false">U394+S394</f>
        <v>77.1</v>
      </c>
      <c r="W394" s="34" t="n">
        <f aca="false">U394+T394</f>
        <v>78</v>
      </c>
      <c r="X394" s="16" t="n">
        <v>71</v>
      </c>
      <c r="Y394" s="34" t="n">
        <f aca="false">(X394*70)/100</f>
        <v>49.7</v>
      </c>
      <c r="Z394" s="34" t="n">
        <f aca="false">ROUNDUP(Y394,0)</f>
        <v>50</v>
      </c>
      <c r="AA394" s="16" t="n">
        <v>28</v>
      </c>
      <c r="AB394" s="34" t="n">
        <f aca="false">AA394+Y394</f>
        <v>77.7</v>
      </c>
      <c r="AC394" s="34" t="n">
        <f aca="false">AA394+Z394</f>
        <v>78</v>
      </c>
      <c r="AD394" s="32" t="n">
        <f aca="false">X394+R394+Q394+K394+J394</f>
        <v>390</v>
      </c>
      <c r="AE394" s="16" t="n">
        <f aca="false">AD394/5</f>
        <v>78</v>
      </c>
      <c r="AF394" s="16" t="n">
        <v>78</v>
      </c>
      <c r="AG394" s="16" t="n">
        <v>83</v>
      </c>
      <c r="AH394" s="16" t="n">
        <v>99</v>
      </c>
      <c r="AI394" s="16" t="n">
        <v>87</v>
      </c>
      <c r="AJ394" s="16" t="n">
        <f aca="false">(AI394*70)/100</f>
        <v>60.9</v>
      </c>
      <c r="AK394" s="35" t="n">
        <f aca="false">ROUNDUP(AJ394,0)</f>
        <v>61</v>
      </c>
      <c r="AL394" s="16" t="n">
        <v>27</v>
      </c>
      <c r="AM394" s="16" t="n">
        <f aca="false">AL394+AJ394</f>
        <v>87.9</v>
      </c>
      <c r="AN394" s="16" t="n">
        <f aca="false">AL394+AK394</f>
        <v>88</v>
      </c>
      <c r="AO394" s="16" t="n">
        <v>83</v>
      </c>
      <c r="AP394" s="36" t="n">
        <f aca="false">(AO394*70)/100</f>
        <v>58.1</v>
      </c>
      <c r="AQ394" s="37" t="n">
        <f aca="false">ROUNDUP(AP394,0)</f>
        <v>59</v>
      </c>
      <c r="AR394" s="16" t="n">
        <v>27</v>
      </c>
      <c r="AS394" s="16" t="n">
        <f aca="false">AR394+AP394</f>
        <v>85.1</v>
      </c>
      <c r="AT394" s="16" t="n">
        <f aca="false">AR394+AQ394</f>
        <v>86</v>
      </c>
      <c r="AU394" s="16" t="n">
        <f aca="false">AO394+AF394+AI394+AH394+AG394</f>
        <v>430</v>
      </c>
      <c r="AV394" s="16" t="n">
        <f aca="false">(AO394+AF394+AI394+AH394+AG394)/5</f>
        <v>86</v>
      </c>
      <c r="AW394" s="36" t="n">
        <f aca="false">(AO394+AF394+AI394+AH394+AG394+X394+R394+Q394+K394+J394)</f>
        <v>820</v>
      </c>
      <c r="AX394" s="16" t="n">
        <f aca="false">AW394/10</f>
        <v>82</v>
      </c>
      <c r="AY394" s="16" t="n">
        <f aca="false">AS394+AF394+AM394+AH394+AG394+AB394+V394+Q394+O394+J394</f>
        <v>836.7</v>
      </c>
      <c r="AZ394" s="16" t="n">
        <f aca="false">AT394+AF394+AN394+AH394+AG394+AC394+W394+Q394+P394+J394</f>
        <v>839</v>
      </c>
      <c r="BA394" s="16" t="n">
        <f aca="false">AY394/10</f>
        <v>83.67</v>
      </c>
      <c r="BB394" s="16" t="n">
        <f aca="false">AZ394/10</f>
        <v>83.9</v>
      </c>
      <c r="BC394" s="16" t="n">
        <v>2336</v>
      </c>
      <c r="BD394" s="16" t="n">
        <f aca="false">RANK(AX394,$AX$2:$AX$881,0)</f>
        <v>165</v>
      </c>
      <c r="BE394" s="54" t="n">
        <f aca="false">((BC394*100)/2400)*0.4+(AX394*0.6)</f>
        <v>88.1333333333333</v>
      </c>
      <c r="BF394" s="16" t="n">
        <f aca="false">RANK(BE394,$BE$2:$BE$881,0)</f>
        <v>196</v>
      </c>
      <c r="BG394" s="39" t="n">
        <f aca="false">RANK(BB394,$BB$2:$BB$881,0)</f>
        <v>127</v>
      </c>
      <c r="BH394" s="39" t="n">
        <f aca="false">RANK(BC394,$BC$2:$BC$881,0)</f>
        <v>670</v>
      </c>
      <c r="BI394" s="22" t="s">
        <v>130</v>
      </c>
      <c r="BJ394" s="22" t="s">
        <v>129</v>
      </c>
      <c r="BK394" s="40" t="s">
        <v>131</v>
      </c>
      <c r="BL394" s="41" t="n">
        <v>22</v>
      </c>
      <c r="BM394" s="41" t="n">
        <v>50</v>
      </c>
      <c r="BN394" s="41" t="n">
        <v>72</v>
      </c>
      <c r="BO394" s="42" t="n">
        <v>22</v>
      </c>
      <c r="BP394" s="43" t="n">
        <v>62</v>
      </c>
      <c r="BQ394" s="44" t="n">
        <v>84</v>
      </c>
      <c r="BR394" s="42" t="n">
        <v>22</v>
      </c>
      <c r="BS394" s="45" t="n">
        <v>57</v>
      </c>
      <c r="BT394" s="45" t="n">
        <v>79</v>
      </c>
      <c r="BU394" s="46" t="n">
        <v>100</v>
      </c>
      <c r="BV394" s="47" t="n">
        <v>80</v>
      </c>
      <c r="BW394" s="42" t="n">
        <v>95</v>
      </c>
      <c r="BX394" s="48" t="n">
        <v>84</v>
      </c>
      <c r="BY394" s="32" t="n">
        <v>23</v>
      </c>
      <c r="BZ394" s="32" t="n">
        <v>48</v>
      </c>
      <c r="CA394" s="32" t="n">
        <v>71</v>
      </c>
      <c r="CB394" s="32" t="n">
        <v>24</v>
      </c>
      <c r="CC394" s="32" t="n">
        <v>42</v>
      </c>
      <c r="CD394" s="32" t="n">
        <v>66</v>
      </c>
      <c r="CE394" s="32" t="n">
        <v>26</v>
      </c>
      <c r="CF394" s="32" t="n">
        <v>54</v>
      </c>
      <c r="CG394" s="32" t="n">
        <v>80</v>
      </c>
      <c r="CH394" s="32" t="n">
        <v>89</v>
      </c>
      <c r="CI394" s="32" t="n">
        <v>95</v>
      </c>
      <c r="CJ394" s="49" t="n">
        <v>20</v>
      </c>
      <c r="CK394" s="49" t="n">
        <v>44</v>
      </c>
      <c r="CL394" s="49" t="n">
        <v>64</v>
      </c>
      <c r="CM394" s="49" t="n">
        <v>23</v>
      </c>
      <c r="CN394" s="49" t="n">
        <v>47</v>
      </c>
      <c r="CO394" s="49" t="n">
        <v>70</v>
      </c>
      <c r="CP394" s="25" t="n">
        <f aca="false">BX394+BW394+BV394+BU394+BT394+BQ394+BN394</f>
        <v>594</v>
      </c>
      <c r="CQ394" s="25" t="n">
        <f aca="false">CO394+CL394+CI394+CH394+CG394+CD394+CA394</f>
        <v>535</v>
      </c>
      <c r="CR394" s="26" t="n">
        <f aca="false">CP394/7</f>
        <v>84.8571428571429</v>
      </c>
      <c r="CS394" s="26" t="n">
        <f aca="false">CQ394/7</f>
        <v>76.4285714285714</v>
      </c>
      <c r="CT394" s="24" t="n">
        <f aca="false">RANK(CR394,$CR$2:$CR$881,0)</f>
        <v>443</v>
      </c>
      <c r="CU394" s="25" t="n">
        <f aca="false">RANK(CS394,$CS$2:$CS$881,0)</f>
        <v>385</v>
      </c>
      <c r="CV394" s="26" t="n">
        <f aca="false">(CS394+CR394)/2</f>
        <v>80.6428571428571</v>
      </c>
      <c r="CW394" s="25" t="n">
        <f aca="false">RANK(CV394,$CV$2:$CV$881,0)</f>
        <v>402</v>
      </c>
      <c r="CX394" s="50" t="n">
        <f aca="false">(CV394+BB394)/2</f>
        <v>82.2714285714286</v>
      </c>
      <c r="CY394" s="50" t="n">
        <v>251</v>
      </c>
      <c r="CZ394" s="27" t="s">
        <v>132</v>
      </c>
      <c r="DA394" s="27" t="s">
        <v>163</v>
      </c>
      <c r="DB394" s="27" t="s">
        <v>163</v>
      </c>
      <c r="DC394" s="27" t="s">
        <v>134</v>
      </c>
      <c r="DD394" s="27" t="s">
        <v>135</v>
      </c>
      <c r="DE394" s="27" t="s">
        <v>304</v>
      </c>
      <c r="DF394" s="27" t="s">
        <v>272</v>
      </c>
      <c r="DG394" s="27" t="s">
        <v>134</v>
      </c>
      <c r="DH394" s="27" t="s">
        <v>135</v>
      </c>
      <c r="DI394" s="27" t="s">
        <v>204</v>
      </c>
      <c r="DJ394" s="27" t="s">
        <v>209</v>
      </c>
      <c r="DK394" s="27" t="s">
        <v>134</v>
      </c>
      <c r="DL394" s="27" t="s">
        <v>137</v>
      </c>
      <c r="DM394" s="27" t="s">
        <v>897</v>
      </c>
      <c r="DN394" s="27" t="s">
        <v>138</v>
      </c>
      <c r="DO394" s="27" t="s">
        <v>134</v>
      </c>
      <c r="DP394" s="27" t="s">
        <v>174</v>
      </c>
      <c r="DQ394" s="27" t="s">
        <v>313</v>
      </c>
      <c r="DR394" s="27" t="s">
        <v>372</v>
      </c>
      <c r="DS394" s="27" t="s">
        <v>134</v>
      </c>
      <c r="DT394" s="27" t="s">
        <v>182</v>
      </c>
      <c r="DU394" s="27" t="s">
        <v>479</v>
      </c>
      <c r="DV394" s="27" t="s">
        <v>136</v>
      </c>
      <c r="DW394" s="27" t="s">
        <v>182</v>
      </c>
      <c r="DX394" s="27" t="s">
        <v>442</v>
      </c>
      <c r="DY394" s="27" t="s">
        <v>486</v>
      </c>
      <c r="DZ394" s="27" t="n">
        <f aca="false">DY394+DV394+DR394+DN394+DJ394+DF394+DB394</f>
        <v>507</v>
      </c>
      <c r="EA394" s="28" t="n">
        <f aca="false">DZ394/7</f>
        <v>72.4285714285714</v>
      </c>
      <c r="EB394" s="27" t="n">
        <f aca="false">RANK(EA394,$EA$2:$EA$881,0)</f>
        <v>602</v>
      </c>
      <c r="EC394" s="29" t="n">
        <f aca="false">DZ394+CQ394+CP394+AZ394</f>
        <v>2475</v>
      </c>
      <c r="ED394" s="30" t="n">
        <f aca="false">(EA394+CV394+BB394)/3</f>
        <v>78.9904761904762</v>
      </c>
      <c r="EE394" s="51" t="n">
        <f aca="false">ROUND(BE394,3)</f>
        <v>88.133</v>
      </c>
      <c r="EF394" s="51" t="n">
        <f aca="false">ROUND(CR394,3)</f>
        <v>84.857</v>
      </c>
      <c r="EG394" s="51" t="n">
        <f aca="false">ROUND(CS394,3)</f>
        <v>76.429</v>
      </c>
      <c r="EH394" s="51" t="n">
        <f aca="false">ROUND(EA394,3)</f>
        <v>72.429</v>
      </c>
      <c r="EI394" s="51" t="n">
        <f aca="false">ROUND(ED394,3)</f>
        <v>78.99</v>
      </c>
      <c r="EJ394" s="51" t="n">
        <f aca="false">ROUND(CV394,3)</f>
        <v>80.643</v>
      </c>
      <c r="EK394" s="0" t="n">
        <f aca="false">RANK(EI394,$EI$2:$EI$881,0)</f>
        <v>393</v>
      </c>
    </row>
    <row r="395" customFormat="false" ht="15" hidden="false" customHeight="false" outlineLevel="0" collapsed="false">
      <c r="A395" s="4" t="n">
        <v>9115</v>
      </c>
      <c r="B395" s="4" t="n">
        <v>307</v>
      </c>
      <c r="C395" s="27" t="s">
        <v>1266</v>
      </c>
      <c r="D395" s="31" t="n">
        <v>306</v>
      </c>
      <c r="E395" s="62" t="n">
        <v>230319738</v>
      </c>
      <c r="F395" s="8" t="s">
        <v>1267</v>
      </c>
      <c r="G395" s="63" t="s">
        <v>1268</v>
      </c>
      <c r="H395" s="22" t="s">
        <v>129</v>
      </c>
      <c r="I395" s="64" t="n">
        <v>2006</v>
      </c>
      <c r="J395" s="62" t="n">
        <v>90</v>
      </c>
      <c r="K395" s="62" t="n">
        <v>98</v>
      </c>
      <c r="L395" s="34" t="n">
        <f aca="false">(K395*70)/100</f>
        <v>68.6</v>
      </c>
      <c r="M395" s="34" t="n">
        <f aca="false">ROUNDUP(L395,0)</f>
        <v>69</v>
      </c>
      <c r="N395" s="62" t="n">
        <v>25</v>
      </c>
      <c r="O395" s="34" t="n">
        <f aca="false">N395+L395</f>
        <v>93.6</v>
      </c>
      <c r="P395" s="34" t="n">
        <f aca="false">N395+M395</f>
        <v>94</v>
      </c>
      <c r="Q395" s="62" t="n">
        <v>86</v>
      </c>
      <c r="R395" s="62" t="n">
        <v>84</v>
      </c>
      <c r="S395" s="34" t="n">
        <f aca="false">(R395*70)/100</f>
        <v>58.8</v>
      </c>
      <c r="T395" s="34" t="n">
        <f aca="false">ROUNDUP(S395,0)</f>
        <v>59</v>
      </c>
      <c r="U395" s="62" t="n">
        <v>21</v>
      </c>
      <c r="V395" s="34" t="n">
        <f aca="false">U395+S395</f>
        <v>79.8</v>
      </c>
      <c r="W395" s="34" t="n">
        <f aca="false">U395+T395</f>
        <v>80</v>
      </c>
      <c r="X395" s="62" t="n">
        <v>71</v>
      </c>
      <c r="Y395" s="34" t="n">
        <f aca="false">(X395*70)/100</f>
        <v>49.7</v>
      </c>
      <c r="Z395" s="34" t="n">
        <f aca="false">ROUNDUP(Y395,0)</f>
        <v>50</v>
      </c>
      <c r="AA395" s="62" t="n">
        <v>22</v>
      </c>
      <c r="AB395" s="34" t="n">
        <f aca="false">AA395+Y395</f>
        <v>71.7</v>
      </c>
      <c r="AC395" s="34" t="n">
        <f aca="false">AA395+Z395</f>
        <v>72</v>
      </c>
      <c r="AD395" s="32" t="n">
        <f aca="false">X395+R395+Q395+K395+J395</f>
        <v>429</v>
      </c>
      <c r="AE395" s="16" t="n">
        <f aca="false">AD395/5</f>
        <v>85.8</v>
      </c>
      <c r="AF395" s="65" t="n">
        <v>83</v>
      </c>
      <c r="AG395" s="65" t="n">
        <v>98</v>
      </c>
      <c r="AH395" s="65" t="n">
        <v>94</v>
      </c>
      <c r="AI395" s="65" t="n">
        <v>92</v>
      </c>
      <c r="AJ395" s="16" t="n">
        <f aca="false">(AI395*70)/100</f>
        <v>64.4</v>
      </c>
      <c r="AK395" s="35" t="n">
        <f aca="false">ROUNDUP(AJ395,0)</f>
        <v>65</v>
      </c>
      <c r="AL395" s="65" t="n">
        <v>19</v>
      </c>
      <c r="AM395" s="16" t="n">
        <f aca="false">AL395+AJ395</f>
        <v>83.4</v>
      </c>
      <c r="AN395" s="16" t="n">
        <f aca="false">AL395+AK395</f>
        <v>84</v>
      </c>
      <c r="AO395" s="65" t="n">
        <v>86</v>
      </c>
      <c r="AP395" s="36" t="n">
        <f aca="false">(AO395*70)/100</f>
        <v>60.2</v>
      </c>
      <c r="AQ395" s="37" t="n">
        <f aca="false">ROUNDUP(AP395,0)</f>
        <v>61</v>
      </c>
      <c r="AR395" s="65" t="n">
        <v>26</v>
      </c>
      <c r="AS395" s="16" t="n">
        <f aca="false">AR395+AP395</f>
        <v>86.2</v>
      </c>
      <c r="AT395" s="16" t="n">
        <f aca="false">AR395+AQ395</f>
        <v>87</v>
      </c>
      <c r="AU395" s="16" t="n">
        <f aca="false">AO395+AF395+AI395+AH395+AG395</f>
        <v>453</v>
      </c>
      <c r="AV395" s="16" t="n">
        <f aca="false">(AO395+AF395+AI395+AH395+AG395)/5</f>
        <v>90.6</v>
      </c>
      <c r="AW395" s="36" t="n">
        <f aca="false">(AO395+AF395+AI395+AH395+AG395+X395+R395+Q395+K395+J395)</f>
        <v>882</v>
      </c>
      <c r="AX395" s="16" t="n">
        <f aca="false">AW395/10</f>
        <v>88.2</v>
      </c>
      <c r="AY395" s="16" t="n">
        <f aca="false">AS395+AF395+AM395+AH395+AG395+AB395+V395+Q395+O395+J395</f>
        <v>865.7</v>
      </c>
      <c r="AZ395" s="16" t="n">
        <f aca="false">AT395+AF395+AN395+AH395+AG395+AC395+W395+Q395+P395+J395</f>
        <v>868</v>
      </c>
      <c r="BA395" s="16" t="n">
        <f aca="false">AY395/10</f>
        <v>86.57</v>
      </c>
      <c r="BB395" s="16" t="n">
        <f aca="false">AZ395/10</f>
        <v>86.8</v>
      </c>
      <c r="BC395" s="65" t="n">
        <v>2360</v>
      </c>
      <c r="BD395" s="16" t="n">
        <f aca="false">RANK(AX395,$AX$2:$AX$881,0)</f>
        <v>33</v>
      </c>
      <c r="BE395" s="38" t="n">
        <f aca="false">((BC395*100)/2400)*0.4+(AX395*0.6)</f>
        <v>92.2533333333333</v>
      </c>
      <c r="BF395" s="16" t="n">
        <f aca="false">RANK(BE395,$BE$2:$BE$881,0)</f>
        <v>36</v>
      </c>
      <c r="BG395" s="39" t="n">
        <f aca="false">RANK(BB395,$BB$2:$BB$881,0)</f>
        <v>67</v>
      </c>
      <c r="BH395" s="39" t="n">
        <f aca="false">RANK(BC395,$BC$2:$BC$881,0)</f>
        <v>402</v>
      </c>
      <c r="BI395" s="22" t="s">
        <v>130</v>
      </c>
      <c r="BJ395" s="22" t="s">
        <v>129</v>
      </c>
      <c r="BK395" s="40" t="s">
        <v>131</v>
      </c>
      <c r="BL395" s="41" t="n">
        <v>22</v>
      </c>
      <c r="BM395" s="41" t="n">
        <v>63</v>
      </c>
      <c r="BN395" s="41" t="n">
        <v>85</v>
      </c>
      <c r="BO395" s="42" t="n">
        <v>19</v>
      </c>
      <c r="BP395" s="43" t="n">
        <v>63</v>
      </c>
      <c r="BQ395" s="44" t="n">
        <v>82</v>
      </c>
      <c r="BR395" s="42" t="n">
        <v>23</v>
      </c>
      <c r="BS395" s="45" t="n">
        <v>60</v>
      </c>
      <c r="BT395" s="45" t="n">
        <v>83</v>
      </c>
      <c r="BU395" s="46" t="n">
        <v>100</v>
      </c>
      <c r="BV395" s="47" t="n">
        <v>98</v>
      </c>
      <c r="BW395" s="42" t="n">
        <v>100</v>
      </c>
      <c r="BX395" s="48" t="n">
        <v>90</v>
      </c>
      <c r="BY395" s="32" t="n">
        <v>24</v>
      </c>
      <c r="BZ395" s="32" t="n">
        <v>63</v>
      </c>
      <c r="CA395" s="32" t="n">
        <v>87</v>
      </c>
      <c r="CB395" s="32" t="n">
        <v>23</v>
      </c>
      <c r="CC395" s="32" t="n">
        <v>51</v>
      </c>
      <c r="CD395" s="32" t="n">
        <v>74</v>
      </c>
      <c r="CE395" s="32" t="n">
        <v>26</v>
      </c>
      <c r="CF395" s="32" t="n">
        <v>62</v>
      </c>
      <c r="CG395" s="32" t="n">
        <v>88</v>
      </c>
      <c r="CH395" s="32" t="n">
        <v>96</v>
      </c>
      <c r="CI395" s="32" t="n">
        <v>99</v>
      </c>
      <c r="CJ395" s="49" t="n">
        <v>23</v>
      </c>
      <c r="CK395" s="49" t="n">
        <v>57</v>
      </c>
      <c r="CL395" s="49" t="n">
        <v>80</v>
      </c>
      <c r="CM395" s="49" t="n">
        <v>25</v>
      </c>
      <c r="CN395" s="49" t="n">
        <v>53</v>
      </c>
      <c r="CO395" s="49" t="n">
        <v>78</v>
      </c>
      <c r="CP395" s="25" t="n">
        <f aca="false">BX395+BW395+BV395+BU395+BT395+BQ395+BN395</f>
        <v>638</v>
      </c>
      <c r="CQ395" s="25" t="n">
        <f aca="false">CO395+CL395+CI395+CH395+CG395+CD395+CA395</f>
        <v>602</v>
      </c>
      <c r="CR395" s="26" t="n">
        <f aca="false">CP395/7</f>
        <v>91.1428571428571</v>
      </c>
      <c r="CS395" s="26" t="n">
        <f aca="false">CQ395/7</f>
        <v>86</v>
      </c>
      <c r="CT395" s="24" t="n">
        <f aca="false">RANK(CR395,$CR$2:$CR$881,0)</f>
        <v>124</v>
      </c>
      <c r="CU395" s="25" t="n">
        <f aca="false">RANK(CS395,$CS$2:$CS$881,0)</f>
        <v>78</v>
      </c>
      <c r="CV395" s="26" t="n">
        <f aca="false">(CS395+CR395)/2</f>
        <v>88.5714285714286</v>
      </c>
      <c r="CW395" s="25" t="n">
        <f aca="false">RANK(CV395,$CV$2:$CV$881,0)</f>
        <v>83</v>
      </c>
      <c r="CX395" s="50" t="n">
        <f aca="false">(CV395+BB395)/2</f>
        <v>87.6857142857143</v>
      </c>
      <c r="CY395" s="50" t="n">
        <v>58</v>
      </c>
      <c r="CZ395" s="27" t="s">
        <v>132</v>
      </c>
      <c r="DA395" s="27" t="s">
        <v>219</v>
      </c>
      <c r="DB395" s="27" t="s">
        <v>219</v>
      </c>
      <c r="DC395" s="27" t="s">
        <v>134</v>
      </c>
      <c r="DD395" s="27" t="s">
        <v>264</v>
      </c>
      <c r="DE395" s="27" t="s">
        <v>681</v>
      </c>
      <c r="DF395" s="27" t="s">
        <v>163</v>
      </c>
      <c r="DG395" s="27" t="s">
        <v>134</v>
      </c>
      <c r="DH395" s="27" t="s">
        <v>195</v>
      </c>
      <c r="DI395" s="27" t="s">
        <v>304</v>
      </c>
      <c r="DJ395" s="27" t="s">
        <v>441</v>
      </c>
      <c r="DK395" s="27" t="s">
        <v>134</v>
      </c>
      <c r="DL395" s="27" t="s">
        <v>174</v>
      </c>
      <c r="DM395" s="27" t="s">
        <v>412</v>
      </c>
      <c r="DN395" s="27" t="s">
        <v>486</v>
      </c>
      <c r="DO395" s="27" t="s">
        <v>134</v>
      </c>
      <c r="DP395" s="27"/>
      <c r="DQ395" s="27"/>
      <c r="DR395" s="27"/>
      <c r="DS395" s="27"/>
      <c r="DT395" s="27" t="s">
        <v>135</v>
      </c>
      <c r="DU395" s="27" t="s">
        <v>174</v>
      </c>
      <c r="DV395" s="27" t="s">
        <v>415</v>
      </c>
      <c r="DW395" s="27" t="s">
        <v>135</v>
      </c>
      <c r="DX395" s="27" t="s">
        <v>187</v>
      </c>
      <c r="DY395" s="27" t="s">
        <v>170</v>
      </c>
      <c r="DZ395" s="27" t="n">
        <f aca="false">DY395+DV395+DR395+DN395+DJ395+DF395+DB395</f>
        <v>431</v>
      </c>
      <c r="EA395" s="28" t="n">
        <f aca="false">DZ395/7</f>
        <v>61.5714285714286</v>
      </c>
      <c r="EB395" s="27" t="n">
        <f aca="false">RANK(EA395,$EA$2:$EA$881,0)</f>
        <v>766</v>
      </c>
      <c r="EC395" s="29" t="n">
        <f aca="false">DZ395+CQ395+CP395+AZ395</f>
        <v>2539</v>
      </c>
      <c r="ED395" s="30" t="n">
        <f aca="false">(EA395+CV395+BB395)/3</f>
        <v>78.9809523809524</v>
      </c>
      <c r="EE395" s="51" t="n">
        <f aca="false">ROUND(BE395,3)</f>
        <v>92.253</v>
      </c>
      <c r="EF395" s="51" t="n">
        <f aca="false">ROUND(CR395,3)</f>
        <v>91.143</v>
      </c>
      <c r="EG395" s="51" t="n">
        <f aca="false">ROUND(CS395,3)</f>
        <v>86</v>
      </c>
      <c r="EH395" s="51" t="n">
        <f aca="false">ROUND(EA395,3)</f>
        <v>61.571</v>
      </c>
      <c r="EI395" s="51" t="n">
        <f aca="false">ROUND(ED395,3)</f>
        <v>78.981</v>
      </c>
      <c r="EJ395" s="51" t="n">
        <f aca="false">ROUND(CV395,3)</f>
        <v>88.571</v>
      </c>
      <c r="EK395" s="0" t="n">
        <f aca="false">RANK(EI395,$EI$2:$EI$881,0)</f>
        <v>394</v>
      </c>
    </row>
    <row r="396" customFormat="false" ht="15" hidden="false" customHeight="false" outlineLevel="0" collapsed="false">
      <c r="A396" s="4" t="n">
        <v>1875</v>
      </c>
      <c r="B396" s="4" t="n">
        <v>480</v>
      </c>
      <c r="C396" s="27" t="s">
        <v>1269</v>
      </c>
      <c r="D396" s="31" t="n">
        <v>489</v>
      </c>
      <c r="E396" s="32" t="n">
        <v>230311458</v>
      </c>
      <c r="F396" s="8" t="s">
        <v>1270</v>
      </c>
      <c r="G396" s="22" t="s">
        <v>368</v>
      </c>
      <c r="H396" s="22" t="s">
        <v>129</v>
      </c>
      <c r="I396" s="33" t="n">
        <v>2005</v>
      </c>
      <c r="J396" s="32" t="n">
        <v>75</v>
      </c>
      <c r="K396" s="32" t="n">
        <v>73</v>
      </c>
      <c r="L396" s="34" t="n">
        <f aca="false">(K396*70)/100</f>
        <v>51.1</v>
      </c>
      <c r="M396" s="34" t="n">
        <f aca="false">ROUNDUP(L396,0)</f>
        <v>52</v>
      </c>
      <c r="N396" s="32" t="n">
        <v>26</v>
      </c>
      <c r="O396" s="34" t="n">
        <f aca="false">N396+L396</f>
        <v>77.1</v>
      </c>
      <c r="P396" s="34" t="n">
        <f aca="false">N396+M396</f>
        <v>78</v>
      </c>
      <c r="Q396" s="32" t="n">
        <v>64</v>
      </c>
      <c r="R396" s="32" t="n">
        <v>68</v>
      </c>
      <c r="S396" s="34" t="n">
        <f aca="false">(R396*70)/100</f>
        <v>47.6</v>
      </c>
      <c r="T396" s="34" t="n">
        <f aca="false">ROUNDUP(S396,0)</f>
        <v>48</v>
      </c>
      <c r="U396" s="32" t="n">
        <v>29</v>
      </c>
      <c r="V396" s="34" t="n">
        <f aca="false">U396+S396</f>
        <v>76.6</v>
      </c>
      <c r="W396" s="34" t="n">
        <f aca="false">U396+T396</f>
        <v>77</v>
      </c>
      <c r="X396" s="32" t="n">
        <v>63</v>
      </c>
      <c r="Y396" s="34" t="n">
        <f aca="false">(X396*70)/100</f>
        <v>44.1</v>
      </c>
      <c r="Z396" s="34" t="n">
        <f aca="false">ROUNDUP(Y396,0)</f>
        <v>45</v>
      </c>
      <c r="AA396" s="32" t="n">
        <v>26</v>
      </c>
      <c r="AB396" s="34" t="n">
        <f aca="false">AA396+Y396</f>
        <v>70.1</v>
      </c>
      <c r="AC396" s="34" t="n">
        <f aca="false">AA396+Z396</f>
        <v>71</v>
      </c>
      <c r="AD396" s="32" t="n">
        <f aca="false">X396+R396+Q396+K396+J396</f>
        <v>343</v>
      </c>
      <c r="AE396" s="16" t="n">
        <f aca="false">AD396/5</f>
        <v>68.6</v>
      </c>
      <c r="AF396" s="16" t="n">
        <v>78</v>
      </c>
      <c r="AG396" s="16" t="n">
        <v>94</v>
      </c>
      <c r="AH396" s="16" t="n">
        <v>85</v>
      </c>
      <c r="AI396" s="16" t="n">
        <v>92</v>
      </c>
      <c r="AJ396" s="16" t="n">
        <f aca="false">(AI396*70)/100</f>
        <v>64.4</v>
      </c>
      <c r="AK396" s="35" t="n">
        <f aca="false">ROUNDUP(AJ396,0)</f>
        <v>65</v>
      </c>
      <c r="AL396" s="16" t="n">
        <v>28</v>
      </c>
      <c r="AM396" s="16" t="n">
        <f aca="false">AL396+AJ396</f>
        <v>92.4</v>
      </c>
      <c r="AN396" s="16" t="n">
        <f aca="false">AL396+AK396</f>
        <v>93</v>
      </c>
      <c r="AO396" s="16" t="n">
        <v>71</v>
      </c>
      <c r="AP396" s="36" t="n">
        <f aca="false">(AO396*70)/100</f>
        <v>49.7</v>
      </c>
      <c r="AQ396" s="37" t="n">
        <f aca="false">ROUNDUP(AP396,0)</f>
        <v>50</v>
      </c>
      <c r="AR396" s="16" t="n">
        <v>23</v>
      </c>
      <c r="AS396" s="16" t="n">
        <f aca="false">AR396+AP396</f>
        <v>72.7</v>
      </c>
      <c r="AT396" s="16" t="n">
        <f aca="false">AR396+AQ396</f>
        <v>73</v>
      </c>
      <c r="AU396" s="16" t="n">
        <f aca="false">AO396+AF396+AI396+AH396+AG396</f>
        <v>420</v>
      </c>
      <c r="AV396" s="16" t="n">
        <f aca="false">(AO396+AF396+AI396+AH396+AG396)/5</f>
        <v>84</v>
      </c>
      <c r="AW396" s="36" t="n">
        <f aca="false">(AO396+AF396+AI396+AH396+AG396+X396+R396+Q396+K396+J396)</f>
        <v>763</v>
      </c>
      <c r="AX396" s="16" t="n">
        <f aca="false">AW396/10</f>
        <v>76.3</v>
      </c>
      <c r="AY396" s="16" t="n">
        <f aca="false">AS396+AF396+AM396+AH396+AG396+AB396+V396+Q396+O396+J396</f>
        <v>784.9</v>
      </c>
      <c r="AZ396" s="16" t="n">
        <f aca="false">AT396+AF396+AN396+AH396+AG396+AC396+W396+Q396+P396+J396</f>
        <v>788</v>
      </c>
      <c r="BA396" s="16" t="n">
        <f aca="false">AY396/10</f>
        <v>78.49</v>
      </c>
      <c r="BB396" s="16" t="n">
        <f aca="false">AZ396/10</f>
        <v>78.8</v>
      </c>
      <c r="BC396" s="16" t="n">
        <v>2385</v>
      </c>
      <c r="BD396" s="16" t="n">
        <f aca="false">RANK(AX396,$AX$2:$AX$881,0)</f>
        <v>593</v>
      </c>
      <c r="BE396" s="54" t="n">
        <f aca="false">((BC396*100)/2400)*0.4+(AX396*0.6)</f>
        <v>85.53</v>
      </c>
      <c r="BF396" s="16" t="n">
        <f aca="false">RANK(BE396,$BE$2:$BE$881,0)</f>
        <v>498</v>
      </c>
      <c r="BG396" s="39" t="n">
        <f aca="false">RANK(BB396,$BB$2:$BB$881,0)</f>
        <v>472</v>
      </c>
      <c r="BH396" s="39" t="n">
        <f aca="false">RANK(BC396,$BC$2:$BC$881,0)</f>
        <v>93</v>
      </c>
      <c r="BI396" s="22" t="s">
        <v>130</v>
      </c>
      <c r="BJ396" s="22" t="s">
        <v>129</v>
      </c>
      <c r="BK396" s="40" t="s">
        <v>509</v>
      </c>
      <c r="BL396" s="41" t="n">
        <v>26</v>
      </c>
      <c r="BM396" s="41" t="n">
        <v>62</v>
      </c>
      <c r="BN396" s="41" t="n">
        <v>88</v>
      </c>
      <c r="BO396" s="42" t="n">
        <v>23</v>
      </c>
      <c r="BP396" s="43" t="n">
        <v>65</v>
      </c>
      <c r="BQ396" s="44" t="n">
        <v>88</v>
      </c>
      <c r="BR396" s="42" t="n">
        <v>22</v>
      </c>
      <c r="BS396" s="45" t="n">
        <v>60</v>
      </c>
      <c r="BT396" s="45" t="n">
        <v>82</v>
      </c>
      <c r="BU396" s="46" t="n">
        <v>99</v>
      </c>
      <c r="BV396" s="47" t="n">
        <v>92</v>
      </c>
      <c r="BW396" s="42" t="n">
        <v>96</v>
      </c>
      <c r="BX396" s="48" t="n">
        <v>98</v>
      </c>
      <c r="BY396" s="32" t="n">
        <v>25</v>
      </c>
      <c r="BZ396" s="32" t="n">
        <v>54</v>
      </c>
      <c r="CA396" s="32" t="n">
        <v>79</v>
      </c>
      <c r="CB396" s="32" t="n">
        <v>23</v>
      </c>
      <c r="CC396" s="32" t="n">
        <v>50</v>
      </c>
      <c r="CD396" s="32" t="n">
        <v>73</v>
      </c>
      <c r="CE396" s="32" t="n">
        <v>25</v>
      </c>
      <c r="CF396" s="32" t="n">
        <v>47</v>
      </c>
      <c r="CG396" s="32" t="n">
        <v>72</v>
      </c>
      <c r="CH396" s="32" t="n">
        <v>96</v>
      </c>
      <c r="CI396" s="32" t="n">
        <v>95</v>
      </c>
      <c r="CJ396" s="49" t="n">
        <v>23</v>
      </c>
      <c r="CK396" s="49" t="n">
        <v>0</v>
      </c>
      <c r="CL396" s="76" t="n">
        <v>23</v>
      </c>
      <c r="CM396" s="49" t="n">
        <v>24</v>
      </c>
      <c r="CN396" s="49" t="n">
        <v>52</v>
      </c>
      <c r="CO396" s="49" t="n">
        <v>76</v>
      </c>
      <c r="CP396" s="25" t="n">
        <f aca="false">BX396+BW396+BV396+BU396+BT396+BQ396+BN396</f>
        <v>643</v>
      </c>
      <c r="CQ396" s="25" t="n">
        <f aca="false">CO396+CL396+CI396+CH396+CG396+CD396+CA396</f>
        <v>514</v>
      </c>
      <c r="CR396" s="26" t="n">
        <f aca="false">CP396/7</f>
        <v>91.8571428571429</v>
      </c>
      <c r="CS396" s="26" t="n">
        <f aca="false">CQ396/7</f>
        <v>73.4285714285714</v>
      </c>
      <c r="CT396" s="24" t="n">
        <f aca="false">RANK(CR396,$CR$2:$CR$881,0)</f>
        <v>97</v>
      </c>
      <c r="CU396" s="25" t="n">
        <f aca="false">RANK(CS396,$CS$2:$CS$881,0)</f>
        <v>474</v>
      </c>
      <c r="CV396" s="26" t="n">
        <f aca="false">(CS396+CR396)/2</f>
        <v>82.6428571428571</v>
      </c>
      <c r="CW396" s="25" t="n">
        <f aca="false">RANK(CV396,$CV$2:$CV$881,0)</f>
        <v>311</v>
      </c>
      <c r="CX396" s="50" t="n">
        <f aca="false">(CV396+BB396)/2</f>
        <v>80.7214285714286</v>
      </c>
      <c r="CY396" s="50" t="n">
        <v>338</v>
      </c>
      <c r="CZ396" s="27" t="s">
        <v>132</v>
      </c>
      <c r="DA396" s="27" t="s">
        <v>202</v>
      </c>
      <c r="DB396" s="27" t="s">
        <v>202</v>
      </c>
      <c r="DC396" s="27" t="s">
        <v>134</v>
      </c>
      <c r="DD396" s="27" t="s">
        <v>182</v>
      </c>
      <c r="DE396" s="27" t="s">
        <v>136</v>
      </c>
      <c r="DF396" s="27" t="s">
        <v>178</v>
      </c>
      <c r="DG396" s="27" t="s">
        <v>134</v>
      </c>
      <c r="DH396" s="27" t="s">
        <v>174</v>
      </c>
      <c r="DI396" s="27" t="s">
        <v>220</v>
      </c>
      <c r="DJ396" s="27" t="s">
        <v>305</v>
      </c>
      <c r="DK396" s="27" t="s">
        <v>134</v>
      </c>
      <c r="DL396" s="27" t="s">
        <v>182</v>
      </c>
      <c r="DM396" s="27" t="s">
        <v>447</v>
      </c>
      <c r="DN396" s="27" t="s">
        <v>382</v>
      </c>
      <c r="DO396" s="27" t="s">
        <v>134</v>
      </c>
      <c r="DP396" s="27" t="n">
        <v>19</v>
      </c>
      <c r="DQ396" s="27" t="n">
        <v>0</v>
      </c>
      <c r="DR396" s="27" t="n">
        <v>19</v>
      </c>
      <c r="DS396" s="27" t="s">
        <v>480</v>
      </c>
      <c r="DT396" s="27" t="s">
        <v>164</v>
      </c>
      <c r="DU396" s="27" t="s">
        <v>306</v>
      </c>
      <c r="DV396" s="27" t="s">
        <v>205</v>
      </c>
      <c r="DW396" s="27" t="s">
        <v>160</v>
      </c>
      <c r="DX396" s="27" t="s">
        <v>155</v>
      </c>
      <c r="DY396" s="27" t="s">
        <v>145</v>
      </c>
      <c r="DZ396" s="27" t="n">
        <f aca="false">DY396+DV396+DR396+DN396+DJ396+DF396+DB396</f>
        <v>527</v>
      </c>
      <c r="EA396" s="28" t="n">
        <f aca="false">DZ396/7</f>
        <v>75.2857142857143</v>
      </c>
      <c r="EB396" s="27" t="n">
        <f aca="false">RANK(EA396,$EA$2:$EA$881,0)</f>
        <v>533</v>
      </c>
      <c r="EC396" s="29" t="n">
        <f aca="false">DZ396+CQ396+CP396+AZ396</f>
        <v>2472</v>
      </c>
      <c r="ED396" s="30" t="n">
        <f aca="false">(EA396+CV396+BB396)/3</f>
        <v>78.9095238095238</v>
      </c>
      <c r="EE396" s="51" t="n">
        <f aca="false">ROUND(BE396,3)</f>
        <v>85.53</v>
      </c>
      <c r="EF396" s="51" t="n">
        <f aca="false">ROUND(CR396,3)</f>
        <v>91.857</v>
      </c>
      <c r="EG396" s="51" t="n">
        <f aca="false">ROUND(CS396,3)</f>
        <v>73.429</v>
      </c>
      <c r="EH396" s="51" t="n">
        <f aca="false">ROUND(EA396,3)</f>
        <v>75.286</v>
      </c>
      <c r="EI396" s="51" t="n">
        <f aca="false">ROUND(ED396,3)</f>
        <v>78.91</v>
      </c>
      <c r="EJ396" s="51" t="n">
        <f aca="false">ROUND(CV396,3)</f>
        <v>82.643</v>
      </c>
      <c r="EK396" s="0" t="n">
        <f aca="false">RANK(EI396,$EI$2:$EI$881,0)</f>
        <v>395</v>
      </c>
    </row>
    <row r="397" customFormat="false" ht="15" hidden="false" customHeight="false" outlineLevel="0" collapsed="false">
      <c r="A397" s="4" t="n">
        <v>8846</v>
      </c>
      <c r="B397" s="4" t="n">
        <v>583</v>
      </c>
      <c r="C397" s="27" t="s">
        <v>1271</v>
      </c>
      <c r="D397" s="31" t="n">
        <v>588</v>
      </c>
      <c r="E397" s="16" t="n">
        <v>230125808</v>
      </c>
      <c r="F397" s="56" t="s">
        <v>1272</v>
      </c>
      <c r="G397" s="22" t="s">
        <v>280</v>
      </c>
      <c r="H397" s="22" t="s">
        <v>326</v>
      </c>
      <c r="I397" s="57"/>
      <c r="J397" s="16" t="n">
        <v>90</v>
      </c>
      <c r="K397" s="16" t="n">
        <v>79</v>
      </c>
      <c r="L397" s="34" t="n">
        <f aca="false">(K397*70)/100</f>
        <v>55.3</v>
      </c>
      <c r="M397" s="34" t="n">
        <f aca="false">ROUNDUP(L397,0)</f>
        <v>56</v>
      </c>
      <c r="N397" s="16" t="n">
        <v>17</v>
      </c>
      <c r="O397" s="34" t="n">
        <f aca="false">N397+L397</f>
        <v>72.3</v>
      </c>
      <c r="P397" s="34" t="n">
        <f aca="false">N397+M397</f>
        <v>73</v>
      </c>
      <c r="Q397" s="16" t="n">
        <v>72</v>
      </c>
      <c r="R397" s="16" t="n">
        <v>80</v>
      </c>
      <c r="S397" s="34" t="n">
        <f aca="false">(R397*70)/100</f>
        <v>56</v>
      </c>
      <c r="T397" s="34" t="n">
        <f aca="false">ROUNDUP(S397,0)</f>
        <v>56</v>
      </c>
      <c r="U397" s="16" t="n">
        <v>26</v>
      </c>
      <c r="V397" s="34" t="n">
        <f aca="false">U397+S397</f>
        <v>82</v>
      </c>
      <c r="W397" s="34" t="n">
        <f aca="false">U397+T397</f>
        <v>82</v>
      </c>
      <c r="X397" s="16" t="n">
        <v>70</v>
      </c>
      <c r="Y397" s="34" t="n">
        <f aca="false">(X397*70)/100</f>
        <v>49</v>
      </c>
      <c r="Z397" s="34" t="n">
        <f aca="false">ROUNDUP(Y397,0)</f>
        <v>49</v>
      </c>
      <c r="AA397" s="16" t="n">
        <v>25</v>
      </c>
      <c r="AB397" s="34" t="n">
        <f aca="false">AA397+Y397</f>
        <v>74</v>
      </c>
      <c r="AC397" s="34" t="n">
        <f aca="false">AA397+Z397</f>
        <v>74</v>
      </c>
      <c r="AD397" s="32" t="n">
        <f aca="false">X397+R397+Q397+K397+J397</f>
        <v>391</v>
      </c>
      <c r="AE397" s="16" t="n">
        <f aca="false">AD397/5</f>
        <v>78.2</v>
      </c>
      <c r="AF397" s="16" t="n">
        <v>73</v>
      </c>
      <c r="AG397" s="16" t="n">
        <v>99</v>
      </c>
      <c r="AH397" s="16" t="n">
        <v>85</v>
      </c>
      <c r="AI397" s="16" t="n">
        <v>92</v>
      </c>
      <c r="AJ397" s="16" t="n">
        <f aca="false">(AI397*70)/100</f>
        <v>64.4</v>
      </c>
      <c r="AK397" s="35" t="n">
        <f aca="false">ROUNDUP(AJ397,0)</f>
        <v>65</v>
      </c>
      <c r="AL397" s="16" t="n">
        <v>26</v>
      </c>
      <c r="AM397" s="16" t="n">
        <f aca="false">AL397+AJ397</f>
        <v>90.4</v>
      </c>
      <c r="AN397" s="16" t="n">
        <f aca="false">AL397+AK397</f>
        <v>91</v>
      </c>
      <c r="AO397" s="16" t="n">
        <v>66</v>
      </c>
      <c r="AP397" s="36" t="n">
        <f aca="false">(AO397*70)/100</f>
        <v>46.2</v>
      </c>
      <c r="AQ397" s="37" t="n">
        <f aca="false">ROUNDUP(AP397,0)</f>
        <v>47</v>
      </c>
      <c r="AR397" s="16" t="n">
        <v>22</v>
      </c>
      <c r="AS397" s="16" t="n">
        <f aca="false">AR397+AP397</f>
        <v>68.2</v>
      </c>
      <c r="AT397" s="16" t="n">
        <f aca="false">AR397+AQ397</f>
        <v>69</v>
      </c>
      <c r="AU397" s="16" t="n">
        <f aca="false">AO397+AF397+AI397+AH397+AG397</f>
        <v>415</v>
      </c>
      <c r="AV397" s="16" t="n">
        <f aca="false">(AO397+AF397+AI397+AH397+AG397)/5</f>
        <v>83</v>
      </c>
      <c r="AW397" s="36" t="n">
        <f aca="false">(AO397+AF397+AI397+AH397+AG397+X397+R397+Q397+K397+J397)</f>
        <v>806</v>
      </c>
      <c r="AX397" s="16" t="n">
        <f aca="false">AW397/10</f>
        <v>80.6</v>
      </c>
      <c r="AY397" s="16" t="n">
        <f aca="false">AS397+AF397+AM397+AH397+AG397+AB397+V397+Q397+O397+J397</f>
        <v>805.9</v>
      </c>
      <c r="AZ397" s="16" t="n">
        <f aca="false">AT397+AF397+AN397+AH397+AG397+AC397+W397+Q397+P397+J397</f>
        <v>808</v>
      </c>
      <c r="BA397" s="16" t="n">
        <f aca="false">AY397/10</f>
        <v>80.59</v>
      </c>
      <c r="BB397" s="16" t="n">
        <f aca="false">AZ397/10</f>
        <v>80.8</v>
      </c>
      <c r="BC397" s="16" t="n">
        <v>2362</v>
      </c>
      <c r="BD397" s="16" t="n">
        <f aca="false">RANK(AX397,$AX$2:$AX$881,0)</f>
        <v>228</v>
      </c>
      <c r="BE397" s="54" t="n">
        <f aca="false">((BC397*100)/2400)*0.4+(AX397*0.6)</f>
        <v>87.7266666666667</v>
      </c>
      <c r="BF397" s="16" t="n">
        <f aca="false">RANK(BE397,$BE$2:$BE$881,0)</f>
        <v>229</v>
      </c>
      <c r="BG397" s="39" t="n">
        <f aca="false">RANK(BB397,$BB$2:$BB$881,0)</f>
        <v>290</v>
      </c>
      <c r="BH397" s="39" t="n">
        <f aca="false">RANK(BC397,$BC$2:$BC$881,0)</f>
        <v>367</v>
      </c>
      <c r="BI397" s="22" t="s">
        <v>130</v>
      </c>
      <c r="BJ397" s="22" t="s">
        <v>129</v>
      </c>
      <c r="BK397" s="40" t="s">
        <v>131</v>
      </c>
      <c r="BL397" s="41" t="n">
        <v>16</v>
      </c>
      <c r="BM397" s="41" t="n">
        <v>58</v>
      </c>
      <c r="BN397" s="41" t="n">
        <v>74</v>
      </c>
      <c r="BO397" s="42" t="n">
        <v>20</v>
      </c>
      <c r="BP397" s="43" t="n">
        <v>50</v>
      </c>
      <c r="BQ397" s="44" t="n">
        <v>70</v>
      </c>
      <c r="BR397" s="42" t="n">
        <v>21</v>
      </c>
      <c r="BS397" s="45" t="n">
        <v>48</v>
      </c>
      <c r="BT397" s="45" t="n">
        <v>69</v>
      </c>
      <c r="BU397" s="77" t="n">
        <v>100</v>
      </c>
      <c r="BV397" s="47" t="n">
        <v>92</v>
      </c>
      <c r="BW397" s="43" t="n">
        <v>99</v>
      </c>
      <c r="BX397" s="48" t="n">
        <v>92</v>
      </c>
      <c r="BY397" s="32" t="n">
        <v>14</v>
      </c>
      <c r="BZ397" s="32" t="n">
        <v>54</v>
      </c>
      <c r="CA397" s="48" t="n">
        <v>68</v>
      </c>
      <c r="CB397" s="32" t="n">
        <v>18</v>
      </c>
      <c r="CC397" s="32" t="n">
        <v>32</v>
      </c>
      <c r="CD397" s="69" t="n">
        <v>50</v>
      </c>
      <c r="CE397" s="32" t="n">
        <v>16</v>
      </c>
      <c r="CF397" s="32" t="n">
        <v>45</v>
      </c>
      <c r="CG397" s="32" t="n">
        <v>61</v>
      </c>
      <c r="CH397" s="32" t="n">
        <v>99</v>
      </c>
      <c r="CI397" s="32" t="n">
        <v>98</v>
      </c>
      <c r="CJ397" s="83" t="n">
        <v>8</v>
      </c>
      <c r="CK397" s="60"/>
      <c r="CL397" s="61"/>
      <c r="CM397" s="49" t="n">
        <v>23</v>
      </c>
      <c r="CN397" s="49" t="n">
        <v>52</v>
      </c>
      <c r="CO397" s="49" t="n">
        <v>75</v>
      </c>
      <c r="CP397" s="25" t="n">
        <f aca="false">BX397+BW397+BV397+BU397+BT397+BQ397+BN397</f>
        <v>596</v>
      </c>
      <c r="CQ397" s="25" t="n">
        <f aca="false">CO397+CL397+CI397+CH397+CG397+CD397+CA397</f>
        <v>451</v>
      </c>
      <c r="CR397" s="26" t="n">
        <f aca="false">CP397/7</f>
        <v>85.1428571428571</v>
      </c>
      <c r="CS397" s="26" t="n">
        <f aca="false">CQ397/7</f>
        <v>64.4285714285714</v>
      </c>
      <c r="CT397" s="24" t="n">
        <f aca="false">RANK(CR397,$CR$2:$CR$881,0)</f>
        <v>431</v>
      </c>
      <c r="CU397" s="25" t="n">
        <f aca="false">RANK(CS397,$CS$2:$CS$881,0)</f>
        <v>634</v>
      </c>
      <c r="CV397" s="26" t="n">
        <f aca="false">(CS397+CR397)/2</f>
        <v>74.7857142857143</v>
      </c>
      <c r="CW397" s="25" t="n">
        <f aca="false">RANK(CV397,$CV$2:$CV$881,0)</f>
        <v>562</v>
      </c>
      <c r="CX397" s="50" t="n">
        <f aca="false">(CV397+BB397)/2</f>
        <v>77.7928571428571</v>
      </c>
      <c r="CY397" s="50" t="n">
        <v>494</v>
      </c>
      <c r="CZ397" s="27" t="s">
        <v>132</v>
      </c>
      <c r="DA397" s="27" t="s">
        <v>169</v>
      </c>
      <c r="DB397" s="27" t="s">
        <v>169</v>
      </c>
      <c r="DC397" s="27" t="s">
        <v>134</v>
      </c>
      <c r="DD397" s="27" t="s">
        <v>164</v>
      </c>
      <c r="DE397" s="27" t="s">
        <v>204</v>
      </c>
      <c r="DF397" s="27" t="s">
        <v>202</v>
      </c>
      <c r="DG397" s="27" t="s">
        <v>134</v>
      </c>
      <c r="DH397" s="27" t="s">
        <v>135</v>
      </c>
      <c r="DI397" s="27" t="s">
        <v>203</v>
      </c>
      <c r="DJ397" s="27" t="s">
        <v>178</v>
      </c>
      <c r="DK397" s="27" t="s">
        <v>134</v>
      </c>
      <c r="DL397" s="27" t="s">
        <v>264</v>
      </c>
      <c r="DM397" s="27" t="s">
        <v>313</v>
      </c>
      <c r="DN397" s="27" t="s">
        <v>416</v>
      </c>
      <c r="DO397" s="27" t="s">
        <v>134</v>
      </c>
      <c r="DP397" s="27" t="s">
        <v>706</v>
      </c>
      <c r="DQ397" s="27" t="s">
        <v>220</v>
      </c>
      <c r="DR397" s="27" t="s">
        <v>416</v>
      </c>
      <c r="DS397" s="27" t="s">
        <v>134</v>
      </c>
      <c r="DT397" s="27" t="s">
        <v>191</v>
      </c>
      <c r="DU397" s="27" t="s">
        <v>220</v>
      </c>
      <c r="DV397" s="27" t="s">
        <v>443</v>
      </c>
      <c r="DW397" s="27" t="s">
        <v>135</v>
      </c>
      <c r="DX397" s="27" t="s">
        <v>138</v>
      </c>
      <c r="DY397" s="27" t="s">
        <v>156</v>
      </c>
      <c r="DZ397" s="27" t="n">
        <f aca="false">DY397+DV397+DR397+DN397+DJ397+DF397+DB397</f>
        <v>568</v>
      </c>
      <c r="EA397" s="28" t="n">
        <f aca="false">DZ397/7</f>
        <v>81.1428571428571</v>
      </c>
      <c r="EB397" s="27" t="n">
        <f aca="false">RANK(EA397,$EA$2:$EA$881,0)</f>
        <v>342</v>
      </c>
      <c r="EC397" s="29" t="n">
        <f aca="false">DZ397+CQ397+CP397+AZ397</f>
        <v>2423</v>
      </c>
      <c r="ED397" s="30" t="n">
        <f aca="false">(EA397+CV397+BB397)/3</f>
        <v>78.9095238095238</v>
      </c>
      <c r="EE397" s="51" t="n">
        <f aca="false">ROUND(BE397,3)</f>
        <v>87.727</v>
      </c>
      <c r="EF397" s="51" t="n">
        <f aca="false">ROUND(CR397,3)</f>
        <v>85.143</v>
      </c>
      <c r="EG397" s="51" t="n">
        <f aca="false">ROUND(CS397,3)</f>
        <v>64.429</v>
      </c>
      <c r="EH397" s="51" t="n">
        <f aca="false">ROUND(EA397,3)</f>
        <v>81.143</v>
      </c>
      <c r="EI397" s="51" t="n">
        <f aca="false">ROUND(ED397,3)</f>
        <v>78.91</v>
      </c>
      <c r="EJ397" s="51" t="n">
        <f aca="false">ROUND(CV397,3)</f>
        <v>74.786</v>
      </c>
      <c r="EK397" s="0" t="n">
        <f aca="false">RANK(EI397,$EI$2:$EI$881,0)</f>
        <v>395</v>
      </c>
    </row>
    <row r="398" customFormat="false" ht="15" hidden="false" customHeight="false" outlineLevel="0" collapsed="false">
      <c r="A398" s="4" t="n">
        <v>8923</v>
      </c>
      <c r="B398" s="4" t="n">
        <v>445</v>
      </c>
      <c r="C398" s="27" t="s">
        <v>1273</v>
      </c>
      <c r="D398" s="31" t="n">
        <v>451</v>
      </c>
      <c r="E398" s="32" t="n">
        <v>230320047</v>
      </c>
      <c r="F398" s="8" t="s">
        <v>1274</v>
      </c>
      <c r="G398" s="22" t="s">
        <v>1275</v>
      </c>
      <c r="H398" s="22" t="s">
        <v>129</v>
      </c>
      <c r="I398" s="33" t="n">
        <v>2005</v>
      </c>
      <c r="J398" s="32" t="n">
        <v>82</v>
      </c>
      <c r="K398" s="32" t="n">
        <v>87</v>
      </c>
      <c r="L398" s="34" t="n">
        <f aca="false">(K398*70)/100</f>
        <v>60.9</v>
      </c>
      <c r="M398" s="34" t="n">
        <f aca="false">ROUNDUP(L398,0)</f>
        <v>61</v>
      </c>
      <c r="N398" s="32" t="n">
        <v>24</v>
      </c>
      <c r="O398" s="34" t="n">
        <f aca="false">N398+L398</f>
        <v>84.9</v>
      </c>
      <c r="P398" s="34" t="n">
        <f aca="false">N398+M398</f>
        <v>85</v>
      </c>
      <c r="Q398" s="32" t="n">
        <v>71</v>
      </c>
      <c r="R398" s="32" t="n">
        <v>68</v>
      </c>
      <c r="S398" s="34" t="n">
        <f aca="false">(R398*70)/100</f>
        <v>47.6</v>
      </c>
      <c r="T398" s="34" t="n">
        <f aca="false">ROUNDUP(S398,0)</f>
        <v>48</v>
      </c>
      <c r="U398" s="32" t="n">
        <v>22</v>
      </c>
      <c r="V398" s="34" t="n">
        <f aca="false">U398+S398</f>
        <v>69.6</v>
      </c>
      <c r="W398" s="34" t="n">
        <f aca="false">U398+T398</f>
        <v>70</v>
      </c>
      <c r="X398" s="32" t="n">
        <v>67</v>
      </c>
      <c r="Y398" s="34" t="n">
        <f aca="false">(X398*70)/100</f>
        <v>46.9</v>
      </c>
      <c r="Z398" s="34" t="n">
        <f aca="false">ROUNDUP(Y398,0)</f>
        <v>47</v>
      </c>
      <c r="AA398" s="32" t="n">
        <v>25</v>
      </c>
      <c r="AB398" s="34" t="n">
        <f aca="false">AA398+Y398</f>
        <v>71.9</v>
      </c>
      <c r="AC398" s="34" t="n">
        <f aca="false">AA398+Z398</f>
        <v>72</v>
      </c>
      <c r="AD398" s="32" t="n">
        <f aca="false">X398+R398+Q398+K398+J398</f>
        <v>375</v>
      </c>
      <c r="AE398" s="16" t="n">
        <f aca="false">AD398/5</f>
        <v>75</v>
      </c>
      <c r="AF398" s="16" t="n">
        <v>80</v>
      </c>
      <c r="AG398" s="16" t="n">
        <v>89</v>
      </c>
      <c r="AH398" s="16" t="n">
        <v>94</v>
      </c>
      <c r="AI398" s="16" t="n">
        <v>88</v>
      </c>
      <c r="AJ398" s="16" t="n">
        <f aca="false">(AI398*70)/100</f>
        <v>61.6</v>
      </c>
      <c r="AK398" s="35" t="n">
        <f aca="false">ROUNDUP(AJ398,0)</f>
        <v>62</v>
      </c>
      <c r="AL398" s="16" t="n">
        <v>29</v>
      </c>
      <c r="AM398" s="16" t="n">
        <f aca="false">AL398+AJ398</f>
        <v>90.6</v>
      </c>
      <c r="AN398" s="16" t="n">
        <f aca="false">AL398+AK398</f>
        <v>91</v>
      </c>
      <c r="AO398" s="16" t="n">
        <v>77</v>
      </c>
      <c r="AP398" s="36" t="n">
        <f aca="false">(AO398*70)/100</f>
        <v>53.9</v>
      </c>
      <c r="AQ398" s="37" t="n">
        <f aca="false">ROUNDUP(AP398,0)</f>
        <v>54</v>
      </c>
      <c r="AR398" s="16" t="n">
        <v>28</v>
      </c>
      <c r="AS398" s="16" t="n">
        <f aca="false">AR398+AP398</f>
        <v>81.9</v>
      </c>
      <c r="AT398" s="16" t="n">
        <f aca="false">AR398+AQ398</f>
        <v>82</v>
      </c>
      <c r="AU398" s="16" t="n">
        <f aca="false">AO398+AF398+AI398+AH398+AG398</f>
        <v>428</v>
      </c>
      <c r="AV398" s="16" t="n">
        <f aca="false">(AO398+AF398+AI398+AH398+AG398)/5</f>
        <v>85.6</v>
      </c>
      <c r="AW398" s="36" t="n">
        <f aca="false">(AO398+AF398+AI398+AH398+AG398+X398+R398+Q398+K398+J398)</f>
        <v>803</v>
      </c>
      <c r="AX398" s="16" t="n">
        <f aca="false">AW398/10</f>
        <v>80.3</v>
      </c>
      <c r="AY398" s="16" t="n">
        <f aca="false">AS398+AF398+AM398+AH398+AG398+AB398+V398+Q398+O398+J398</f>
        <v>814.9</v>
      </c>
      <c r="AZ398" s="16" t="n">
        <f aca="false">AT398+AF398+AN398+AH398+AG398+AC398+W398+Q398+P398+J398</f>
        <v>816</v>
      </c>
      <c r="BA398" s="16" t="n">
        <f aca="false">AY398/10</f>
        <v>81.49</v>
      </c>
      <c r="BB398" s="16" t="n">
        <f aca="false">AZ398/10</f>
        <v>81.6</v>
      </c>
      <c r="BC398" s="16" t="n">
        <v>2327</v>
      </c>
      <c r="BD398" s="16" t="n">
        <f aca="false">RANK(AX398,$AX$2:$AX$881,0)</f>
        <v>245</v>
      </c>
      <c r="BE398" s="54" t="n">
        <f aca="false">((BC398*100)/2400)*0.4+(AX398*0.6)</f>
        <v>86.9633333333333</v>
      </c>
      <c r="BF398" s="16" t="n">
        <f aca="false">RANK(BE398,$BE$2:$BE$881,0)</f>
        <v>299</v>
      </c>
      <c r="BG398" s="39" t="n">
        <f aca="false">RANK(BB398,$BB$2:$BB$881,0)</f>
        <v>240</v>
      </c>
      <c r="BH398" s="39" t="n">
        <f aca="false">RANK(BC398,$BC$2:$BC$881,0)</f>
        <v>751</v>
      </c>
      <c r="BI398" s="22" t="s">
        <v>130</v>
      </c>
      <c r="BJ398" s="22" t="s">
        <v>129</v>
      </c>
      <c r="BK398" s="40" t="s">
        <v>131</v>
      </c>
      <c r="BL398" s="41" t="n">
        <v>25</v>
      </c>
      <c r="BM398" s="41" t="n">
        <v>48</v>
      </c>
      <c r="BN398" s="41" t="n">
        <v>73</v>
      </c>
      <c r="BO398" s="42" t="n">
        <v>27</v>
      </c>
      <c r="BP398" s="43" t="n">
        <v>63</v>
      </c>
      <c r="BQ398" s="44" t="n">
        <v>90</v>
      </c>
      <c r="BR398" s="42" t="n">
        <v>23</v>
      </c>
      <c r="BS398" s="45" t="n">
        <v>52</v>
      </c>
      <c r="BT398" s="45" t="n">
        <v>75</v>
      </c>
      <c r="BU398" s="46" t="n">
        <v>96</v>
      </c>
      <c r="BV398" s="47" t="n">
        <v>84</v>
      </c>
      <c r="BW398" s="42" t="n">
        <v>98</v>
      </c>
      <c r="BX398" s="48" t="n">
        <v>98</v>
      </c>
      <c r="BY398" s="32" t="n">
        <v>25</v>
      </c>
      <c r="BZ398" s="32" t="n">
        <v>45</v>
      </c>
      <c r="CA398" s="32" t="n">
        <v>70</v>
      </c>
      <c r="CB398" s="32" t="n">
        <v>17</v>
      </c>
      <c r="CC398" s="32" t="n">
        <v>37</v>
      </c>
      <c r="CD398" s="69" t="n">
        <v>54</v>
      </c>
      <c r="CE398" s="32" t="n">
        <v>24</v>
      </c>
      <c r="CF398" s="32" t="n">
        <v>43</v>
      </c>
      <c r="CG398" s="32" t="n">
        <v>67</v>
      </c>
      <c r="CH398" s="32" t="n">
        <v>99</v>
      </c>
      <c r="CI398" s="32" t="n">
        <v>93</v>
      </c>
      <c r="CJ398" s="49" t="n">
        <v>24</v>
      </c>
      <c r="CK398" s="49" t="n">
        <v>45</v>
      </c>
      <c r="CL398" s="49" t="n">
        <v>69</v>
      </c>
      <c r="CM398" s="49" t="n">
        <v>22</v>
      </c>
      <c r="CN398" s="49" t="n">
        <v>49</v>
      </c>
      <c r="CO398" s="49" t="n">
        <v>71</v>
      </c>
      <c r="CP398" s="25" t="n">
        <f aca="false">BX398+BW398+BV398+BU398+BT398+BQ398+BN398</f>
        <v>614</v>
      </c>
      <c r="CQ398" s="25" t="n">
        <f aca="false">CO398+CL398+CI398+CH398+CG398+CD398+CA398</f>
        <v>523</v>
      </c>
      <c r="CR398" s="26" t="n">
        <f aca="false">CP398/7</f>
        <v>87.7142857142857</v>
      </c>
      <c r="CS398" s="26" t="n">
        <f aca="false">CQ398/7</f>
        <v>74.7142857142857</v>
      </c>
      <c r="CT398" s="24" t="n">
        <f aca="false">RANK(CR398,$CR$2:$CR$881,0)</f>
        <v>323</v>
      </c>
      <c r="CU398" s="25" t="n">
        <f aca="false">RANK(CS398,$CS$2:$CS$881,0)</f>
        <v>437</v>
      </c>
      <c r="CV398" s="26" t="n">
        <f aca="false">(CS398+CR398)/2</f>
        <v>81.2142857142857</v>
      </c>
      <c r="CW398" s="25" t="n">
        <f aca="false">RANK(CV398,$CV$2:$CV$881,0)</f>
        <v>373</v>
      </c>
      <c r="CX398" s="50" t="n">
        <f aca="false">(CV398+BB398)/2</f>
        <v>81.4071428571428</v>
      </c>
      <c r="CY398" s="50" t="n">
        <v>297</v>
      </c>
      <c r="CZ398" s="27" t="s">
        <v>132</v>
      </c>
      <c r="DA398" s="27" t="s">
        <v>169</v>
      </c>
      <c r="DB398" s="27" t="s">
        <v>169</v>
      </c>
      <c r="DC398" s="27" t="s">
        <v>134</v>
      </c>
      <c r="DD398" s="27" t="s">
        <v>137</v>
      </c>
      <c r="DE398" s="27" t="s">
        <v>375</v>
      </c>
      <c r="DF398" s="27" t="s">
        <v>443</v>
      </c>
      <c r="DG398" s="27" t="s">
        <v>134</v>
      </c>
      <c r="DH398" s="27" t="s">
        <v>137</v>
      </c>
      <c r="DI398" s="27" t="s">
        <v>645</v>
      </c>
      <c r="DJ398" s="27" t="s">
        <v>155</v>
      </c>
      <c r="DK398" s="27" t="s">
        <v>134</v>
      </c>
      <c r="DL398" s="27" t="s">
        <v>174</v>
      </c>
      <c r="DM398" s="27" t="s">
        <v>220</v>
      </c>
      <c r="DN398" s="27" t="s">
        <v>305</v>
      </c>
      <c r="DO398" s="27" t="s">
        <v>134</v>
      </c>
      <c r="DP398" s="27" t="s">
        <v>485</v>
      </c>
      <c r="DQ398" s="27" t="s">
        <v>681</v>
      </c>
      <c r="DR398" s="27" t="s">
        <v>136</v>
      </c>
      <c r="DS398" s="27" t="s">
        <v>134</v>
      </c>
      <c r="DT398" s="27" t="s">
        <v>135</v>
      </c>
      <c r="DU398" s="27" t="s">
        <v>160</v>
      </c>
      <c r="DV398" s="27" t="s">
        <v>447</v>
      </c>
      <c r="DW398" s="27" t="s">
        <v>137</v>
      </c>
      <c r="DX398" s="27" t="s">
        <v>141</v>
      </c>
      <c r="DY398" s="27" t="s">
        <v>151</v>
      </c>
      <c r="DZ398" s="27" t="n">
        <f aca="false">DY398+DV398+DR398+DN398+DJ398+DF398+DB398</f>
        <v>516</v>
      </c>
      <c r="EA398" s="28" t="n">
        <f aca="false">DZ398/7</f>
        <v>73.7142857142857</v>
      </c>
      <c r="EB398" s="27" t="n">
        <f aca="false">RANK(EA398,$EA$2:$EA$881,0)</f>
        <v>573</v>
      </c>
      <c r="EC398" s="29" t="n">
        <f aca="false">DZ398+CQ398+CP398+AZ398</f>
        <v>2469</v>
      </c>
      <c r="ED398" s="30" t="n">
        <f aca="false">(EA398+CV398+BB398)/3</f>
        <v>78.8428571428571</v>
      </c>
      <c r="EE398" s="51" t="n">
        <f aca="false">ROUND(BE398,3)</f>
        <v>86.963</v>
      </c>
      <c r="EF398" s="51" t="n">
        <f aca="false">ROUND(CR398,3)</f>
        <v>87.714</v>
      </c>
      <c r="EG398" s="51" t="n">
        <f aca="false">ROUND(CS398,3)</f>
        <v>74.714</v>
      </c>
      <c r="EH398" s="51" t="n">
        <f aca="false">ROUND(EA398,3)</f>
        <v>73.714</v>
      </c>
      <c r="EI398" s="51" t="n">
        <f aca="false">ROUND(ED398,3)</f>
        <v>78.843</v>
      </c>
      <c r="EJ398" s="51" t="n">
        <f aca="false">ROUND(CV398,3)</f>
        <v>81.214</v>
      </c>
      <c r="EK398" s="0" t="n">
        <f aca="false">RANK(EI398,$EI$2:$EI$881,0)</f>
        <v>397</v>
      </c>
    </row>
    <row r="399" customFormat="false" ht="16.85" hidden="false" customHeight="false" outlineLevel="0" collapsed="false">
      <c r="A399" s="4" t="n">
        <v>9061</v>
      </c>
      <c r="B399" s="4" t="n">
        <v>87</v>
      </c>
      <c r="C399" s="27" t="s">
        <v>1276</v>
      </c>
      <c r="D399" s="52" t="n">
        <v>88</v>
      </c>
      <c r="E399" s="16" t="n">
        <v>230118810</v>
      </c>
      <c r="F399" s="56" t="s">
        <v>1277</v>
      </c>
      <c r="G399" s="22" t="s">
        <v>1249</v>
      </c>
      <c r="H399" s="22" t="s">
        <v>326</v>
      </c>
      <c r="I399" s="57"/>
      <c r="J399" s="16" t="n">
        <v>72</v>
      </c>
      <c r="K399" s="16" t="n">
        <v>74</v>
      </c>
      <c r="L399" s="34" t="n">
        <f aca="false">(K399*70)/100</f>
        <v>51.8</v>
      </c>
      <c r="M399" s="34" t="n">
        <f aca="false">ROUNDUP(L399,0)</f>
        <v>52</v>
      </c>
      <c r="N399" s="16" t="n">
        <v>27</v>
      </c>
      <c r="O399" s="34" t="n">
        <f aca="false">N399+L399</f>
        <v>78.8</v>
      </c>
      <c r="P399" s="34" t="n">
        <f aca="false">N399+M399</f>
        <v>79</v>
      </c>
      <c r="Q399" s="16" t="n">
        <v>77</v>
      </c>
      <c r="R399" s="16" t="n">
        <v>84</v>
      </c>
      <c r="S399" s="34" t="n">
        <f aca="false">(R399*70)/100</f>
        <v>58.8</v>
      </c>
      <c r="T399" s="34" t="n">
        <f aca="false">ROUNDUP(S399,0)</f>
        <v>59</v>
      </c>
      <c r="U399" s="16" t="n">
        <v>24</v>
      </c>
      <c r="V399" s="34" t="n">
        <f aca="false">U399+S399</f>
        <v>82.8</v>
      </c>
      <c r="W399" s="34" t="n">
        <f aca="false">U399+T399</f>
        <v>83</v>
      </c>
      <c r="X399" s="16" t="n">
        <v>78</v>
      </c>
      <c r="Y399" s="34" t="n">
        <f aca="false">(X399*70)/100</f>
        <v>54.6</v>
      </c>
      <c r="Z399" s="34" t="n">
        <f aca="false">ROUNDUP(Y399,0)</f>
        <v>55</v>
      </c>
      <c r="AA399" s="16" t="n">
        <v>22</v>
      </c>
      <c r="AB399" s="34" t="n">
        <f aca="false">AA399+Y399</f>
        <v>76.6</v>
      </c>
      <c r="AC399" s="34" t="n">
        <f aca="false">AA399+Z399</f>
        <v>77</v>
      </c>
      <c r="AD399" s="32" t="n">
        <f aca="false">X399+R399+Q399+K399+J399</f>
        <v>385</v>
      </c>
      <c r="AE399" s="16" t="n">
        <f aca="false">AD399/5</f>
        <v>77</v>
      </c>
      <c r="AF399" s="16" t="n">
        <v>69</v>
      </c>
      <c r="AG399" s="16" t="n">
        <v>76</v>
      </c>
      <c r="AH399" s="16" t="n">
        <v>94</v>
      </c>
      <c r="AI399" s="16" t="n">
        <v>92</v>
      </c>
      <c r="AJ399" s="16" t="n">
        <f aca="false">(AI399*70)/100</f>
        <v>64.4</v>
      </c>
      <c r="AK399" s="35" t="n">
        <f aca="false">ROUNDUP(AJ399,0)</f>
        <v>65</v>
      </c>
      <c r="AL399" s="16" t="n">
        <v>16</v>
      </c>
      <c r="AM399" s="16" t="n">
        <f aca="false">AL399+AJ399</f>
        <v>80.4</v>
      </c>
      <c r="AN399" s="16" t="n">
        <f aca="false">AL399+AK399</f>
        <v>81</v>
      </c>
      <c r="AO399" s="16" t="n">
        <v>74</v>
      </c>
      <c r="AP399" s="36" t="n">
        <f aca="false">(AO399*70)/100</f>
        <v>51.8</v>
      </c>
      <c r="AQ399" s="37" t="n">
        <f aca="false">ROUNDUP(AP399,0)</f>
        <v>52</v>
      </c>
      <c r="AR399" s="16" t="n">
        <v>26</v>
      </c>
      <c r="AS399" s="16" t="n">
        <f aca="false">AR399+AP399</f>
        <v>77.8</v>
      </c>
      <c r="AT399" s="16" t="n">
        <f aca="false">AR399+AQ399</f>
        <v>78</v>
      </c>
      <c r="AU399" s="16" t="n">
        <f aca="false">AO399+AF399+AI399+AH399+AG399</f>
        <v>405</v>
      </c>
      <c r="AV399" s="16" t="n">
        <f aca="false">(AO399+AF399+AI399+AH399+AG399)/5</f>
        <v>81</v>
      </c>
      <c r="AW399" s="36" t="n">
        <f aca="false">(AO399+AF399+AI399+AH399+AG399+X399+R399+Q399+K399+J399)</f>
        <v>790</v>
      </c>
      <c r="AX399" s="16" t="n">
        <f aca="false">AW399/10</f>
        <v>79</v>
      </c>
      <c r="AY399" s="16" t="n">
        <f aca="false">AS399+AF399+AM399+AH399+AG399+AB399+V399+Q399+O399+J399</f>
        <v>784.4</v>
      </c>
      <c r="AZ399" s="16" t="n">
        <f aca="false">AT399+AF399+AN399+AH399+AG399+AC399+W399+Q399+P399+J399</f>
        <v>786</v>
      </c>
      <c r="BA399" s="16" t="n">
        <f aca="false">AY399/10</f>
        <v>78.44</v>
      </c>
      <c r="BB399" s="16" t="n">
        <f aca="false">AZ399/10</f>
        <v>78.6</v>
      </c>
      <c r="BC399" s="16" t="n">
        <v>2391</v>
      </c>
      <c r="BD399" s="16" t="n">
        <f aca="false">RANK(AX399,$AX$2:$AX$881,0)</f>
        <v>330</v>
      </c>
      <c r="BE399" s="54" t="n">
        <f aca="false">((BC399*100)/2400)*0.4+(AX399*0.6)</f>
        <v>87.25</v>
      </c>
      <c r="BF399" s="16" t="n">
        <f aca="false">RANK(BE399,$BE$2:$BE$881,0)</f>
        <v>276</v>
      </c>
      <c r="BG399" s="39" t="n">
        <f aca="false">RANK(BB399,$BB$2:$BB$881,0)</f>
        <v>494</v>
      </c>
      <c r="BH399" s="39" t="n">
        <f aca="false">RANK(BC399,$BC$2:$BC$881,0)</f>
        <v>37</v>
      </c>
      <c r="BI399" s="22" t="s">
        <v>130</v>
      </c>
      <c r="BJ399" s="22" t="s">
        <v>129</v>
      </c>
      <c r="BK399" s="40" t="s">
        <v>131</v>
      </c>
      <c r="BL399" s="41" t="n">
        <v>16</v>
      </c>
      <c r="BM399" s="41" t="n">
        <v>54</v>
      </c>
      <c r="BN399" s="41" t="n">
        <v>70</v>
      </c>
      <c r="BO399" s="42" t="n">
        <v>21</v>
      </c>
      <c r="BP399" s="43" t="n">
        <v>62</v>
      </c>
      <c r="BQ399" s="44" t="n">
        <v>83</v>
      </c>
      <c r="BR399" s="42" t="n">
        <v>23</v>
      </c>
      <c r="BS399" s="45" t="n">
        <v>64</v>
      </c>
      <c r="BT399" s="45" t="n">
        <v>87</v>
      </c>
      <c r="BU399" s="46" t="n">
        <v>99</v>
      </c>
      <c r="BV399" s="47" t="n">
        <v>72</v>
      </c>
      <c r="BW399" s="42" t="n">
        <v>96</v>
      </c>
      <c r="BX399" s="48" t="n">
        <v>90</v>
      </c>
      <c r="BY399" s="32" t="n">
        <v>24</v>
      </c>
      <c r="BZ399" s="32" t="n">
        <v>51</v>
      </c>
      <c r="CA399" s="48" t="n">
        <v>75</v>
      </c>
      <c r="CB399" s="32" t="n">
        <v>18</v>
      </c>
      <c r="CC399" s="32" t="n">
        <v>36</v>
      </c>
      <c r="CD399" s="69" t="n">
        <v>54</v>
      </c>
      <c r="CE399" s="32" t="n">
        <v>20</v>
      </c>
      <c r="CF399" s="32" t="n">
        <v>45</v>
      </c>
      <c r="CG399" s="32" t="n">
        <v>65</v>
      </c>
      <c r="CH399" s="32" t="n">
        <v>88</v>
      </c>
      <c r="CI399" s="32" t="n">
        <v>98</v>
      </c>
      <c r="CJ399" s="49" t="n">
        <v>15</v>
      </c>
      <c r="CK399" s="49" t="n">
        <v>51</v>
      </c>
      <c r="CL399" s="49" t="n">
        <v>66</v>
      </c>
      <c r="CM399" s="49" t="n">
        <v>20</v>
      </c>
      <c r="CN399" s="49" t="n">
        <v>49</v>
      </c>
      <c r="CO399" s="49" t="n">
        <v>69</v>
      </c>
      <c r="CP399" s="25" t="n">
        <f aca="false">BX399+BW399+BV399+BU399+BT399+BQ399+BN399</f>
        <v>597</v>
      </c>
      <c r="CQ399" s="25" t="n">
        <f aca="false">CO399+CL399+CI399+CH399+CG399+CD399+CA399</f>
        <v>515</v>
      </c>
      <c r="CR399" s="26" t="n">
        <f aca="false">CP399/7</f>
        <v>85.2857142857143</v>
      </c>
      <c r="CS399" s="26" t="n">
        <f aca="false">CQ399/7</f>
        <v>73.5714285714286</v>
      </c>
      <c r="CT399" s="24" t="n">
        <f aca="false">RANK(CR399,$CR$2:$CR$881,0)</f>
        <v>425</v>
      </c>
      <c r="CU399" s="25" t="n">
        <f aca="false">RANK(CS399,$CS$2:$CS$881,0)</f>
        <v>471</v>
      </c>
      <c r="CV399" s="26" t="n">
        <f aca="false">(CS399+CR399)/2</f>
        <v>79.4285714285714</v>
      </c>
      <c r="CW399" s="25" t="n">
        <f aca="false">RANK(CV399,$CV$2:$CV$881,0)</f>
        <v>451</v>
      </c>
      <c r="CX399" s="50" t="n">
        <f aca="false">(CV399+BB399)/2</f>
        <v>79.0142857142857</v>
      </c>
      <c r="CY399" s="50" t="n">
        <v>456</v>
      </c>
      <c r="CZ399" s="27" t="s">
        <v>132</v>
      </c>
      <c r="DA399" s="27" t="s">
        <v>219</v>
      </c>
      <c r="DB399" s="27" t="s">
        <v>219</v>
      </c>
      <c r="DC399" s="27" t="s">
        <v>134</v>
      </c>
      <c r="DD399" s="27" t="s">
        <v>135</v>
      </c>
      <c r="DE399" s="27" t="s">
        <v>152</v>
      </c>
      <c r="DF399" s="27" t="s">
        <v>162</v>
      </c>
      <c r="DG399" s="27" t="s">
        <v>134</v>
      </c>
      <c r="DH399" s="27" t="s">
        <v>154</v>
      </c>
      <c r="DI399" s="27" t="s">
        <v>304</v>
      </c>
      <c r="DJ399" s="27" t="s">
        <v>382</v>
      </c>
      <c r="DK399" s="27" t="s">
        <v>134</v>
      </c>
      <c r="DL399" s="27" t="s">
        <v>182</v>
      </c>
      <c r="DM399" s="27" t="s">
        <v>447</v>
      </c>
      <c r="DN399" s="27" t="s">
        <v>382</v>
      </c>
      <c r="DO399" s="27" t="s">
        <v>134</v>
      </c>
      <c r="DP399" s="27" t="s">
        <v>1000</v>
      </c>
      <c r="DQ399" s="27" t="s">
        <v>442</v>
      </c>
      <c r="DR399" s="27" t="s">
        <v>136</v>
      </c>
      <c r="DS399" s="27" t="s">
        <v>134</v>
      </c>
      <c r="DT399" s="27" t="s">
        <v>182</v>
      </c>
      <c r="DU399" s="27" t="s">
        <v>375</v>
      </c>
      <c r="DV399" s="27" t="s">
        <v>372</v>
      </c>
      <c r="DW399" s="27" t="s">
        <v>174</v>
      </c>
      <c r="DX399" s="27" t="s">
        <v>141</v>
      </c>
      <c r="DY399" s="27" t="s">
        <v>162</v>
      </c>
      <c r="DZ399" s="27" t="n">
        <f aca="false">DY399+DV399+DR399+DN399+DJ399+DF399+DB399</f>
        <v>549</v>
      </c>
      <c r="EA399" s="28" t="n">
        <f aca="false">DZ399/7</f>
        <v>78.4285714285714</v>
      </c>
      <c r="EB399" s="27" t="n">
        <f aca="false">RANK(EA399,$EA$2:$EA$881,0)</f>
        <v>444</v>
      </c>
      <c r="EC399" s="29" t="n">
        <f aca="false">DZ399+CQ399+CP399+AZ399</f>
        <v>2447</v>
      </c>
      <c r="ED399" s="30" t="n">
        <f aca="false">(EA399+CV399+BB399)/3</f>
        <v>78.8190476190476</v>
      </c>
      <c r="EE399" s="51" t="n">
        <f aca="false">ROUND(BE399,3)</f>
        <v>87.25</v>
      </c>
      <c r="EF399" s="51" t="n">
        <f aca="false">ROUND(CR399,3)</f>
        <v>85.286</v>
      </c>
      <c r="EG399" s="51" t="n">
        <f aca="false">ROUND(CS399,3)</f>
        <v>73.571</v>
      </c>
      <c r="EH399" s="51" t="n">
        <f aca="false">ROUND(EA399,3)</f>
        <v>78.429</v>
      </c>
      <c r="EI399" s="51" t="n">
        <f aca="false">ROUND(ED399,3)</f>
        <v>78.819</v>
      </c>
      <c r="EJ399" s="51" t="n">
        <f aca="false">ROUND(CV399,3)</f>
        <v>79.429</v>
      </c>
      <c r="EK399" s="0" t="n">
        <f aca="false">RANK(EI399,$EI$2:$EI$881,0)</f>
        <v>398</v>
      </c>
    </row>
    <row r="400" customFormat="false" ht="15" hidden="false" customHeight="false" outlineLevel="0" collapsed="false">
      <c r="A400" s="4" t="n">
        <v>8840</v>
      </c>
      <c r="B400" s="4" t="n">
        <v>565</v>
      </c>
      <c r="C400" s="27" t="s">
        <v>1278</v>
      </c>
      <c r="D400" s="31" t="n">
        <v>569</v>
      </c>
      <c r="E400" s="32" t="n">
        <v>230507829</v>
      </c>
      <c r="F400" s="8" t="s">
        <v>1279</v>
      </c>
      <c r="G400" s="66" t="s">
        <v>345</v>
      </c>
      <c r="H400" s="22" t="s">
        <v>465</v>
      </c>
      <c r="I400" s="67" t="s">
        <v>466</v>
      </c>
      <c r="J400" s="32" t="n">
        <v>94</v>
      </c>
      <c r="K400" s="32" t="n">
        <v>77</v>
      </c>
      <c r="L400" s="34" t="n">
        <f aca="false">(K400*70)/100</f>
        <v>53.9</v>
      </c>
      <c r="M400" s="34" t="n">
        <f aca="false">ROUNDUP(L400,0)</f>
        <v>54</v>
      </c>
      <c r="N400" s="32" t="n">
        <v>26</v>
      </c>
      <c r="O400" s="34" t="n">
        <f aca="false">N400+L400</f>
        <v>79.9</v>
      </c>
      <c r="P400" s="34" t="n">
        <f aca="false">N400+M400</f>
        <v>80</v>
      </c>
      <c r="Q400" s="32" t="n">
        <v>82</v>
      </c>
      <c r="R400" s="32" t="n">
        <v>78</v>
      </c>
      <c r="S400" s="34" t="n">
        <f aca="false">(R400*70)/100</f>
        <v>54.6</v>
      </c>
      <c r="T400" s="34" t="n">
        <f aca="false">ROUNDUP(S400,0)</f>
        <v>55</v>
      </c>
      <c r="U400" s="32" t="n">
        <v>19</v>
      </c>
      <c r="V400" s="34" t="n">
        <f aca="false">U400+S400</f>
        <v>73.6</v>
      </c>
      <c r="W400" s="34" t="n">
        <f aca="false">U400+T400</f>
        <v>74</v>
      </c>
      <c r="X400" s="32" t="n">
        <v>66</v>
      </c>
      <c r="Y400" s="34" t="n">
        <f aca="false">(X400*70)/100</f>
        <v>46.2</v>
      </c>
      <c r="Z400" s="34" t="n">
        <f aca="false">ROUNDUP(Y400,0)</f>
        <v>47</v>
      </c>
      <c r="AA400" s="32" t="n">
        <v>23</v>
      </c>
      <c r="AB400" s="34" t="n">
        <f aca="false">AA400+Y400</f>
        <v>69.2</v>
      </c>
      <c r="AC400" s="34" t="n">
        <f aca="false">AA400+Z400</f>
        <v>70</v>
      </c>
      <c r="AD400" s="32" t="n">
        <f aca="false">X400+R400+Q400+K400+J400</f>
        <v>397</v>
      </c>
      <c r="AE400" s="16" t="n">
        <f aca="false">AD400/5</f>
        <v>79.4</v>
      </c>
      <c r="AF400" s="16" t="n">
        <v>72</v>
      </c>
      <c r="AG400" s="16" t="n">
        <v>96</v>
      </c>
      <c r="AH400" s="16" t="n">
        <v>80</v>
      </c>
      <c r="AI400" s="16" t="n">
        <v>97</v>
      </c>
      <c r="AJ400" s="16" t="n">
        <f aca="false">(AI400*70)/100</f>
        <v>67.9</v>
      </c>
      <c r="AK400" s="35" t="n">
        <f aca="false">ROUNDUP(AJ400,0)</f>
        <v>68</v>
      </c>
      <c r="AL400" s="16" t="n">
        <v>21</v>
      </c>
      <c r="AM400" s="16" t="n">
        <f aca="false">AL400+AJ400</f>
        <v>88.9</v>
      </c>
      <c r="AN400" s="16" t="n">
        <f aca="false">AL400+AK400</f>
        <v>89</v>
      </c>
      <c r="AO400" s="16" t="n">
        <v>81</v>
      </c>
      <c r="AP400" s="36" t="n">
        <f aca="false">(AO400*70)/100</f>
        <v>56.7</v>
      </c>
      <c r="AQ400" s="37" t="n">
        <f aca="false">ROUNDUP(AP400,0)</f>
        <v>57</v>
      </c>
      <c r="AR400" s="16" t="n">
        <v>26</v>
      </c>
      <c r="AS400" s="16" t="n">
        <f aca="false">AR400+AP400</f>
        <v>82.7</v>
      </c>
      <c r="AT400" s="16" t="n">
        <f aca="false">AR400+AQ400</f>
        <v>83</v>
      </c>
      <c r="AU400" s="16" t="n">
        <f aca="false">AO400+AF400+AI400+AH400+AG400</f>
        <v>426</v>
      </c>
      <c r="AV400" s="16" t="n">
        <f aca="false">(AO400+AF400+AI400+AH400+AG400)/5</f>
        <v>85.2</v>
      </c>
      <c r="AW400" s="36" t="n">
        <f aca="false">(AO400+AF400+AI400+AH400+AG400+X400+R400+Q400+K400+J400)</f>
        <v>823</v>
      </c>
      <c r="AX400" s="16" t="n">
        <f aca="false">AW400/10</f>
        <v>82.3</v>
      </c>
      <c r="AY400" s="16" t="n">
        <f aca="false">AS400+AF400+AM400+AH400+AG400+AB400+V400+Q400+O400+J400</f>
        <v>818.3</v>
      </c>
      <c r="AZ400" s="16" t="n">
        <f aca="false">AT400+AF400+AN400+AH400+AG400+AC400+W400+Q400+P400+J400</f>
        <v>820</v>
      </c>
      <c r="BA400" s="16" t="n">
        <f aca="false">AY400/10</f>
        <v>81.83</v>
      </c>
      <c r="BB400" s="16" t="n">
        <f aca="false">AZ400/10</f>
        <v>82</v>
      </c>
      <c r="BC400" s="24" t="n">
        <v>2354</v>
      </c>
      <c r="BD400" s="16" t="n">
        <f aca="false">RANK(AX400,$AX$2:$AX$881,0)</f>
        <v>151</v>
      </c>
      <c r="BE400" s="54" t="n">
        <f aca="false">((BC400*100)/2400)*0.4+(AX400*0.6)</f>
        <v>88.6133333333333</v>
      </c>
      <c r="BF400" s="16" t="n">
        <f aca="false">RANK(BE400,$BE$2:$BE$881,0)</f>
        <v>152</v>
      </c>
      <c r="BG400" s="39" t="n">
        <f aca="false">RANK(BB400,$BB$2:$BB$881,0)</f>
        <v>212</v>
      </c>
      <c r="BH400" s="39" t="n">
        <f aca="false">RANK(BC400,$BC$2:$BC$881,0)</f>
        <v>490</v>
      </c>
      <c r="BI400" s="22" t="s">
        <v>130</v>
      </c>
      <c r="BJ400" s="22" t="s">
        <v>129</v>
      </c>
      <c r="BK400" s="40" t="s">
        <v>131</v>
      </c>
      <c r="BL400" s="41" t="n">
        <v>24</v>
      </c>
      <c r="BM400" s="41" t="n">
        <v>58</v>
      </c>
      <c r="BN400" s="41" t="n">
        <v>82</v>
      </c>
      <c r="BO400" s="42" t="n">
        <v>24</v>
      </c>
      <c r="BP400" s="43" t="n">
        <v>60</v>
      </c>
      <c r="BQ400" s="44" t="n">
        <v>84</v>
      </c>
      <c r="BR400" s="42" t="n">
        <v>24</v>
      </c>
      <c r="BS400" s="45" t="n">
        <v>61</v>
      </c>
      <c r="BT400" s="45" t="n">
        <v>85</v>
      </c>
      <c r="BU400" s="46" t="n">
        <v>100</v>
      </c>
      <c r="BV400" s="47" t="n">
        <v>88</v>
      </c>
      <c r="BW400" s="42" t="n">
        <v>99</v>
      </c>
      <c r="BX400" s="48" t="n">
        <v>92</v>
      </c>
      <c r="BY400" s="32" t="n">
        <v>27</v>
      </c>
      <c r="BZ400" s="32" t="n">
        <v>52</v>
      </c>
      <c r="CA400" s="32" t="n">
        <v>79</v>
      </c>
      <c r="CB400" s="32" t="n">
        <v>20</v>
      </c>
      <c r="CC400" s="32" t="n">
        <v>33</v>
      </c>
      <c r="CD400" s="69" t="n">
        <v>53</v>
      </c>
      <c r="CE400" s="32" t="n">
        <v>24</v>
      </c>
      <c r="CF400" s="32" t="n">
        <v>45</v>
      </c>
      <c r="CG400" s="32" t="n">
        <v>69</v>
      </c>
      <c r="CH400" s="32" t="n">
        <v>95</v>
      </c>
      <c r="CI400" s="32" t="n">
        <v>98</v>
      </c>
      <c r="CJ400" s="49" t="n">
        <v>19</v>
      </c>
      <c r="CK400" s="49" t="n">
        <v>53</v>
      </c>
      <c r="CL400" s="49" t="n">
        <v>72</v>
      </c>
      <c r="CM400" s="49" t="n">
        <v>24</v>
      </c>
      <c r="CN400" s="49" t="n">
        <v>50</v>
      </c>
      <c r="CO400" s="49" t="n">
        <v>74</v>
      </c>
      <c r="CP400" s="25" t="n">
        <f aca="false">BX400+BW400+BV400+BU400+BT400+BQ400+BN400</f>
        <v>630</v>
      </c>
      <c r="CQ400" s="25" t="n">
        <f aca="false">CO400+CL400+CI400+CH400+CG400+CD400+CA400</f>
        <v>540</v>
      </c>
      <c r="CR400" s="26" t="n">
        <f aca="false">CP400/7</f>
        <v>90</v>
      </c>
      <c r="CS400" s="26" t="n">
        <f aca="false">CQ400/7</f>
        <v>77.1428571428571</v>
      </c>
      <c r="CT400" s="24" t="n">
        <f aca="false">RANK(CR400,$CR$2:$CR$881,0)</f>
        <v>182</v>
      </c>
      <c r="CU400" s="25" t="n">
        <f aca="false">RANK(CS400,$CS$2:$CS$881,0)</f>
        <v>359</v>
      </c>
      <c r="CV400" s="26" t="n">
        <f aca="false">(CS400+CR400)/2</f>
        <v>83.5714285714286</v>
      </c>
      <c r="CW400" s="25" t="n">
        <f aca="false">RANK(CV400,$CV$2:$CV$881,0)</f>
        <v>274</v>
      </c>
      <c r="CX400" s="50" t="n">
        <f aca="false">(CV400+BB400)/2</f>
        <v>82.7857142857143</v>
      </c>
      <c r="CY400" s="50" t="n">
        <v>219</v>
      </c>
      <c r="CZ400" s="27" t="s">
        <v>132</v>
      </c>
      <c r="DA400" s="27" t="s">
        <v>205</v>
      </c>
      <c r="DB400" s="27" t="s">
        <v>205</v>
      </c>
      <c r="DC400" s="27" t="s">
        <v>134</v>
      </c>
      <c r="DD400" s="27" t="s">
        <v>264</v>
      </c>
      <c r="DE400" s="27" t="s">
        <v>442</v>
      </c>
      <c r="DF400" s="27" t="s">
        <v>143</v>
      </c>
      <c r="DG400" s="27" t="s">
        <v>134</v>
      </c>
      <c r="DH400" s="27" t="s">
        <v>154</v>
      </c>
      <c r="DI400" s="27" t="s">
        <v>447</v>
      </c>
      <c r="DJ400" s="27" t="s">
        <v>443</v>
      </c>
      <c r="DK400" s="27" t="s">
        <v>134</v>
      </c>
      <c r="DL400" s="27" t="s">
        <v>191</v>
      </c>
      <c r="DM400" s="27" t="s">
        <v>989</v>
      </c>
      <c r="DN400" s="27" t="s">
        <v>203</v>
      </c>
      <c r="DO400" s="27" t="s">
        <v>134</v>
      </c>
      <c r="DP400" s="27" t="s">
        <v>604</v>
      </c>
      <c r="DQ400" s="27" t="s">
        <v>638</v>
      </c>
      <c r="DR400" s="27" t="s">
        <v>161</v>
      </c>
      <c r="DS400" s="27" t="s">
        <v>134</v>
      </c>
      <c r="DT400" s="27" t="s">
        <v>174</v>
      </c>
      <c r="DU400" s="27" t="s">
        <v>673</v>
      </c>
      <c r="DV400" s="27" t="s">
        <v>136</v>
      </c>
      <c r="DW400" s="27" t="s">
        <v>485</v>
      </c>
      <c r="DX400" s="27" t="s">
        <v>141</v>
      </c>
      <c r="DY400" s="27" t="s">
        <v>209</v>
      </c>
      <c r="DZ400" s="27" t="n">
        <f aca="false">DY400+DV400+DR400+DN400+DJ400+DF400+DB400</f>
        <v>496</v>
      </c>
      <c r="EA400" s="28" t="n">
        <f aca="false">DZ400/7</f>
        <v>70.8571428571429</v>
      </c>
      <c r="EB400" s="27" t="n">
        <f aca="false">RANK(EA400,$EA$2:$EA$881,0)</f>
        <v>632</v>
      </c>
      <c r="EC400" s="29" t="n">
        <f aca="false">DZ400+CQ400+CP400+AZ400</f>
        <v>2486</v>
      </c>
      <c r="ED400" s="30" t="n">
        <f aca="false">(EA400+CV400+BB400)/3</f>
        <v>78.8095238095238</v>
      </c>
      <c r="EE400" s="51" t="n">
        <f aca="false">ROUND(BE400,3)</f>
        <v>88.613</v>
      </c>
      <c r="EF400" s="51" t="n">
        <f aca="false">ROUND(CR400,3)</f>
        <v>90</v>
      </c>
      <c r="EG400" s="51" t="n">
        <f aca="false">ROUND(CS400,3)</f>
        <v>77.143</v>
      </c>
      <c r="EH400" s="51" t="n">
        <f aca="false">ROUND(EA400,3)</f>
        <v>70.857</v>
      </c>
      <c r="EI400" s="51" t="n">
        <f aca="false">ROUND(ED400,3)</f>
        <v>78.81</v>
      </c>
      <c r="EJ400" s="51" t="n">
        <f aca="false">ROUND(CV400,3)</f>
        <v>83.571</v>
      </c>
      <c r="EK400" s="0" t="n">
        <f aca="false">RANK(EI400,$EI$2:$EI$881,0)</f>
        <v>399</v>
      </c>
    </row>
    <row r="401" customFormat="false" ht="17.45" hidden="false" customHeight="false" outlineLevel="0" collapsed="false">
      <c r="A401" s="4" t="n">
        <v>2101</v>
      </c>
      <c r="B401" s="4" t="n">
        <v>313</v>
      </c>
      <c r="C401" s="27" t="s">
        <v>1280</v>
      </c>
      <c r="D401" s="31" t="n">
        <v>314</v>
      </c>
      <c r="E401" s="16" t="n">
        <v>234300123</v>
      </c>
      <c r="F401" s="56" t="s">
        <v>1281</v>
      </c>
      <c r="G401" s="22" t="s">
        <v>186</v>
      </c>
      <c r="H401" s="22" t="s">
        <v>129</v>
      </c>
      <c r="I401" s="57"/>
      <c r="J401" s="16" t="n">
        <v>65</v>
      </c>
      <c r="K401" s="16" t="n">
        <v>82</v>
      </c>
      <c r="L401" s="34" t="n">
        <f aca="false">(K401*70)/100</f>
        <v>57.4</v>
      </c>
      <c r="M401" s="34" t="n">
        <f aca="false">ROUNDUP(L401,0)</f>
        <v>58</v>
      </c>
      <c r="N401" s="16" t="n">
        <v>26</v>
      </c>
      <c r="O401" s="34" t="n">
        <f aca="false">N401+L401</f>
        <v>83.4</v>
      </c>
      <c r="P401" s="34" t="n">
        <f aca="false">N401+M401</f>
        <v>84</v>
      </c>
      <c r="Q401" s="16" t="n">
        <v>85</v>
      </c>
      <c r="R401" s="16" t="n">
        <v>74</v>
      </c>
      <c r="S401" s="34" t="n">
        <f aca="false">(R401*70)/100</f>
        <v>51.8</v>
      </c>
      <c r="T401" s="34" t="n">
        <f aca="false">ROUNDUP(S401,0)</f>
        <v>52</v>
      </c>
      <c r="U401" s="16" t="n">
        <v>26</v>
      </c>
      <c r="V401" s="34" t="n">
        <f aca="false">U401+S401</f>
        <v>77.8</v>
      </c>
      <c r="W401" s="34" t="n">
        <f aca="false">U401+T401</f>
        <v>78</v>
      </c>
      <c r="X401" s="16" t="n">
        <v>63</v>
      </c>
      <c r="Y401" s="34" t="n">
        <f aca="false">(X401*70)/100</f>
        <v>44.1</v>
      </c>
      <c r="Z401" s="34" t="n">
        <f aca="false">ROUNDUP(Y401,0)</f>
        <v>45</v>
      </c>
      <c r="AA401" s="16" t="n">
        <v>22</v>
      </c>
      <c r="AB401" s="34" t="n">
        <f aca="false">AA401+Y401</f>
        <v>66.1</v>
      </c>
      <c r="AC401" s="34" t="n">
        <f aca="false">AA401+Z401</f>
        <v>67</v>
      </c>
      <c r="AD401" s="32" t="n">
        <f aca="false">X401+R401+Q401+K401+J401</f>
        <v>369</v>
      </c>
      <c r="AE401" s="16" t="n">
        <f aca="false">AD401/5</f>
        <v>73.8</v>
      </c>
      <c r="AF401" s="71" t="n">
        <v>54</v>
      </c>
      <c r="AG401" s="16" t="n">
        <v>73</v>
      </c>
      <c r="AH401" s="16" t="n">
        <v>78</v>
      </c>
      <c r="AI401" s="16" t="n">
        <v>74</v>
      </c>
      <c r="AJ401" s="16" t="n">
        <f aca="false">(AI401*70)/100</f>
        <v>51.8</v>
      </c>
      <c r="AK401" s="35" t="n">
        <f aca="false">ROUNDUP(AJ401,0)</f>
        <v>52</v>
      </c>
      <c r="AL401" s="16" t="n">
        <v>23</v>
      </c>
      <c r="AM401" s="16" t="n">
        <f aca="false">AL401+AJ401</f>
        <v>74.8</v>
      </c>
      <c r="AN401" s="16" t="n">
        <f aca="false">AL401+AK401</f>
        <v>75</v>
      </c>
      <c r="AO401" s="16" t="n">
        <v>55</v>
      </c>
      <c r="AP401" s="36" t="n">
        <f aca="false">(AO401*70)/100</f>
        <v>38.5</v>
      </c>
      <c r="AQ401" s="37" t="n">
        <f aca="false">ROUNDUP(AP401,0)</f>
        <v>39</v>
      </c>
      <c r="AR401" s="16" t="n">
        <v>27</v>
      </c>
      <c r="AS401" s="16" t="n">
        <f aca="false">AR401+AP401</f>
        <v>65.5</v>
      </c>
      <c r="AT401" s="16" t="n">
        <f aca="false">AR401+AQ401</f>
        <v>66</v>
      </c>
      <c r="AU401" s="16" t="n">
        <f aca="false">AO401+AF401+AI401+AH401+AG401</f>
        <v>334</v>
      </c>
      <c r="AV401" s="16" t="n">
        <f aca="false">(AO401+AF401+AI401+AH401+AG401)/5</f>
        <v>66.8</v>
      </c>
      <c r="AW401" s="36" t="n">
        <f aca="false">(AO401+AF401+AI401+AH401+AG401+X401+R401+Q401+K401+J401)</f>
        <v>703</v>
      </c>
      <c r="AX401" s="16" t="n">
        <f aca="false">AW401/10</f>
        <v>70.3</v>
      </c>
      <c r="AY401" s="16" t="n">
        <f aca="false">AS401+AF401+AM401+AH401+AG401+AB401+V401+Q401+O401+J401</f>
        <v>722.6</v>
      </c>
      <c r="AZ401" s="16" t="n">
        <f aca="false">AT401+AF401+AN401+AH401+AG401+AC401+W401+Q401+P401+J401</f>
        <v>725</v>
      </c>
      <c r="BA401" s="16" t="n">
        <f aca="false">AY401/10</f>
        <v>72.26</v>
      </c>
      <c r="BB401" s="16" t="n">
        <f aca="false">AZ401/10</f>
        <v>72.5</v>
      </c>
      <c r="BC401" s="72" t="n">
        <v>0</v>
      </c>
      <c r="BD401" s="16" t="n">
        <f aca="false">RANK(AX401,$AX$2:$AX$881,0)</f>
        <v>734</v>
      </c>
      <c r="BE401" s="78" t="n">
        <f aca="false">AX401</f>
        <v>70.3</v>
      </c>
      <c r="BF401" s="16" t="n">
        <f aca="false">RANK(BE401,$BE$2:$BE$881,0)</f>
        <v>790</v>
      </c>
      <c r="BG401" s="39" t="n">
        <f aca="false">RANK(BB401,$BB$2:$BB$881,0)</f>
        <v>722</v>
      </c>
      <c r="BH401" s="39" t="n">
        <f aca="false">RANK(BC401,$BC$2:$BC$881,0)</f>
        <v>780</v>
      </c>
      <c r="BI401" s="22" t="s">
        <v>130</v>
      </c>
      <c r="BJ401" s="22" t="s">
        <v>129</v>
      </c>
      <c r="BK401" s="22" t="s">
        <v>526</v>
      </c>
      <c r="BL401" s="41" t="n">
        <v>20</v>
      </c>
      <c r="BM401" s="41" t="n">
        <v>48</v>
      </c>
      <c r="BN401" s="41" t="n">
        <v>68</v>
      </c>
      <c r="BO401" s="42" t="n">
        <v>27</v>
      </c>
      <c r="BP401" s="43" t="n">
        <v>59</v>
      </c>
      <c r="BQ401" s="44" t="n">
        <v>86</v>
      </c>
      <c r="BR401" s="42" t="n">
        <v>24</v>
      </c>
      <c r="BS401" s="45" t="n">
        <v>55</v>
      </c>
      <c r="BT401" s="45" t="n">
        <v>79</v>
      </c>
      <c r="BU401" s="46" t="n">
        <v>98</v>
      </c>
      <c r="BV401" s="47" t="n">
        <v>76</v>
      </c>
      <c r="BW401" s="42" t="n">
        <v>100</v>
      </c>
      <c r="BX401" s="48" t="n">
        <v>100</v>
      </c>
      <c r="BY401" s="32" t="n">
        <v>25</v>
      </c>
      <c r="BZ401" s="32" t="n">
        <v>48</v>
      </c>
      <c r="CA401" s="32" t="n">
        <v>73</v>
      </c>
      <c r="CB401" s="32" t="n">
        <v>18</v>
      </c>
      <c r="CC401" s="32" t="n">
        <v>31</v>
      </c>
      <c r="CD401" s="69" t="n">
        <v>49</v>
      </c>
      <c r="CE401" s="32" t="n">
        <v>20</v>
      </c>
      <c r="CF401" s="32" t="n">
        <v>49</v>
      </c>
      <c r="CG401" s="32" t="n">
        <v>69</v>
      </c>
      <c r="CH401" s="32" t="n">
        <v>93</v>
      </c>
      <c r="CI401" s="32" t="n">
        <v>93</v>
      </c>
      <c r="CJ401" s="49" t="n">
        <v>22</v>
      </c>
      <c r="CK401" s="49" t="n">
        <v>57</v>
      </c>
      <c r="CL401" s="49" t="n">
        <v>79</v>
      </c>
      <c r="CM401" s="49" t="n">
        <v>21</v>
      </c>
      <c r="CN401" s="49" t="n">
        <v>60</v>
      </c>
      <c r="CO401" s="49" t="n">
        <v>81</v>
      </c>
      <c r="CP401" s="25" t="n">
        <f aca="false">BX401+BW401+BV401+BU401+BT401+BQ401+BN401</f>
        <v>607</v>
      </c>
      <c r="CQ401" s="25" t="n">
        <f aca="false">CO401+CL401+CI401+CH401+CG401+CD401+CA401</f>
        <v>537</v>
      </c>
      <c r="CR401" s="26" t="n">
        <f aca="false">CP401/7</f>
        <v>86.7142857142857</v>
      </c>
      <c r="CS401" s="26" t="n">
        <f aca="false">CQ401/7</f>
        <v>76.7142857142857</v>
      </c>
      <c r="CT401" s="24" t="n">
        <f aca="false">RANK(CR401,$CR$2:$CR$881,0)</f>
        <v>367</v>
      </c>
      <c r="CU401" s="25" t="n">
        <f aca="false">RANK(CS401,$CS$2:$CS$881,0)</f>
        <v>375</v>
      </c>
      <c r="CV401" s="26" t="n">
        <f aca="false">(CS401+CR401)/2</f>
        <v>81.7142857142857</v>
      </c>
      <c r="CW401" s="25" t="n">
        <f aca="false">RANK(CV401,$CV$2:$CV$881,0)</f>
        <v>359</v>
      </c>
      <c r="CX401" s="50" t="n">
        <f aca="false">(CV401+BB401)/2</f>
        <v>77.1071428571429</v>
      </c>
      <c r="CY401" s="50" t="n">
        <v>500</v>
      </c>
      <c r="CZ401" s="27" t="s">
        <v>132</v>
      </c>
      <c r="DA401" s="27" t="s">
        <v>133</v>
      </c>
      <c r="DB401" s="27" t="s">
        <v>133</v>
      </c>
      <c r="DC401" s="27" t="s">
        <v>134</v>
      </c>
      <c r="DD401" s="27" t="s">
        <v>154</v>
      </c>
      <c r="DE401" s="27" t="s">
        <v>183</v>
      </c>
      <c r="DF401" s="27" t="s">
        <v>196</v>
      </c>
      <c r="DG401" s="27" t="s">
        <v>134</v>
      </c>
      <c r="DH401" s="27" t="s">
        <v>137</v>
      </c>
      <c r="DI401" s="27" t="s">
        <v>220</v>
      </c>
      <c r="DJ401" s="27" t="s">
        <v>205</v>
      </c>
      <c r="DK401" s="27" t="s">
        <v>134</v>
      </c>
      <c r="DL401" s="27" t="s">
        <v>164</v>
      </c>
      <c r="DM401" s="27" t="s">
        <v>638</v>
      </c>
      <c r="DN401" s="27" t="s">
        <v>398</v>
      </c>
      <c r="DO401" s="27" t="s">
        <v>134</v>
      </c>
      <c r="DP401" s="27" t="s">
        <v>174</v>
      </c>
      <c r="DQ401" s="27" t="s">
        <v>313</v>
      </c>
      <c r="DR401" s="27" t="s">
        <v>372</v>
      </c>
      <c r="DS401" s="27" t="s">
        <v>134</v>
      </c>
      <c r="DT401" s="27" t="s">
        <v>154</v>
      </c>
      <c r="DU401" s="27" t="s">
        <v>220</v>
      </c>
      <c r="DV401" s="27" t="s">
        <v>272</v>
      </c>
      <c r="DW401" s="27" t="s">
        <v>146</v>
      </c>
      <c r="DX401" s="27" t="s">
        <v>138</v>
      </c>
      <c r="DY401" s="27" t="s">
        <v>147</v>
      </c>
      <c r="DZ401" s="27" t="n">
        <f aca="false">DY401+DV401+DR401+DN401+DJ401+DF401+DB401</f>
        <v>575</v>
      </c>
      <c r="EA401" s="28" t="n">
        <f aca="false">DZ401/7</f>
        <v>82.1428571428571</v>
      </c>
      <c r="EB401" s="27" t="n">
        <f aca="false">RANK(EA401,$EA$2:$EA$881,0)</f>
        <v>308</v>
      </c>
      <c r="EC401" s="29" t="n">
        <f aca="false">DZ401+CQ401+CP401+AZ401</f>
        <v>2444</v>
      </c>
      <c r="ED401" s="30" t="n">
        <f aca="false">(EA401+CV401+BB401)/3</f>
        <v>78.7857142857143</v>
      </c>
      <c r="EE401" s="51" t="n">
        <f aca="false">ROUND(BE401,3)</f>
        <v>70.3</v>
      </c>
      <c r="EF401" s="51" t="n">
        <f aca="false">ROUND(CR401,3)</f>
        <v>86.714</v>
      </c>
      <c r="EG401" s="51" t="n">
        <f aca="false">ROUND(CS401,3)</f>
        <v>76.714</v>
      </c>
      <c r="EH401" s="51" t="n">
        <f aca="false">ROUND(EA401,3)</f>
        <v>82.143</v>
      </c>
      <c r="EI401" s="51" t="n">
        <f aca="false">ROUND(ED401,3)</f>
        <v>78.786</v>
      </c>
      <c r="EJ401" s="51" t="n">
        <f aca="false">ROUND(CV401,3)</f>
        <v>81.714</v>
      </c>
      <c r="EK401" s="0" t="n">
        <f aca="false">RANK(EI401,$EI$2:$EI$881,0)</f>
        <v>400</v>
      </c>
    </row>
    <row r="402" customFormat="false" ht="15" hidden="false" customHeight="false" outlineLevel="0" collapsed="false">
      <c r="A402" s="4" t="n">
        <v>8644</v>
      </c>
      <c r="B402" s="4" t="n">
        <v>497</v>
      </c>
      <c r="C402" s="27" t="s">
        <v>1282</v>
      </c>
      <c r="D402" s="31" t="n">
        <v>504</v>
      </c>
      <c r="E402" s="32" t="n">
        <v>230315875</v>
      </c>
      <c r="F402" s="8" t="s">
        <v>1283</v>
      </c>
      <c r="G402" s="22" t="s">
        <v>1284</v>
      </c>
      <c r="H402" s="22" t="s">
        <v>129</v>
      </c>
      <c r="I402" s="33" t="n">
        <v>2006</v>
      </c>
      <c r="J402" s="70" t="n">
        <v>58</v>
      </c>
      <c r="K402" s="32" t="n">
        <v>73</v>
      </c>
      <c r="L402" s="34" t="n">
        <f aca="false">(K402*70)/100</f>
        <v>51.1</v>
      </c>
      <c r="M402" s="34" t="n">
        <f aca="false">ROUNDUP(L402,0)</f>
        <v>52</v>
      </c>
      <c r="N402" s="32" t="n">
        <v>23</v>
      </c>
      <c r="O402" s="34" t="n">
        <f aca="false">N402+L402</f>
        <v>74.1</v>
      </c>
      <c r="P402" s="34" t="n">
        <f aca="false">N402+M402</f>
        <v>75</v>
      </c>
      <c r="Q402" s="32" t="n">
        <v>71</v>
      </c>
      <c r="R402" s="32" t="n">
        <v>73</v>
      </c>
      <c r="S402" s="34" t="n">
        <f aca="false">(R402*70)/100</f>
        <v>51.1</v>
      </c>
      <c r="T402" s="34" t="n">
        <f aca="false">ROUNDUP(S402,0)</f>
        <v>52</v>
      </c>
      <c r="U402" s="32" t="n">
        <v>23</v>
      </c>
      <c r="V402" s="34" t="n">
        <f aca="false">U402+S402</f>
        <v>74.1</v>
      </c>
      <c r="W402" s="34" t="n">
        <f aca="false">U402+T402</f>
        <v>75</v>
      </c>
      <c r="X402" s="32" t="n">
        <v>69</v>
      </c>
      <c r="Y402" s="34" t="n">
        <f aca="false">(X402*70)/100</f>
        <v>48.3</v>
      </c>
      <c r="Z402" s="34" t="n">
        <f aca="false">ROUNDUP(Y402,0)</f>
        <v>49</v>
      </c>
      <c r="AA402" s="32" t="n">
        <v>24</v>
      </c>
      <c r="AB402" s="34" t="n">
        <f aca="false">AA402+Y402</f>
        <v>72.3</v>
      </c>
      <c r="AC402" s="34" t="n">
        <f aca="false">AA402+Z402</f>
        <v>73</v>
      </c>
      <c r="AD402" s="32" t="n">
        <f aca="false">X402+R402+Q402+K402+J402</f>
        <v>344</v>
      </c>
      <c r="AE402" s="16" t="n">
        <f aca="false">AD402/5</f>
        <v>68.8</v>
      </c>
      <c r="AF402" s="16" t="n">
        <v>80</v>
      </c>
      <c r="AG402" s="16" t="n">
        <v>75</v>
      </c>
      <c r="AH402" s="16" t="n">
        <v>83</v>
      </c>
      <c r="AI402" s="16" t="n">
        <v>91</v>
      </c>
      <c r="AJ402" s="16" t="n">
        <f aca="false">(AI402*70)/100</f>
        <v>63.7</v>
      </c>
      <c r="AK402" s="35" t="n">
        <f aca="false">ROUNDUP(AJ402,0)</f>
        <v>64</v>
      </c>
      <c r="AL402" s="16" t="n">
        <v>25</v>
      </c>
      <c r="AM402" s="16" t="n">
        <f aca="false">AL402+AJ402</f>
        <v>88.7</v>
      </c>
      <c r="AN402" s="16" t="n">
        <f aca="false">AL402+AK402</f>
        <v>89</v>
      </c>
      <c r="AO402" s="16" t="n">
        <v>72</v>
      </c>
      <c r="AP402" s="36" t="n">
        <f aca="false">(AO402*70)/100</f>
        <v>50.4</v>
      </c>
      <c r="AQ402" s="37" t="n">
        <f aca="false">ROUNDUP(AP402,0)</f>
        <v>51</v>
      </c>
      <c r="AR402" s="16" t="n">
        <v>27</v>
      </c>
      <c r="AS402" s="16" t="n">
        <f aca="false">AR402+AP402</f>
        <v>77.4</v>
      </c>
      <c r="AT402" s="16" t="n">
        <f aca="false">AR402+AQ402</f>
        <v>78</v>
      </c>
      <c r="AU402" s="16" t="n">
        <f aca="false">AO402+AF402+AI402+AH402+AG402</f>
        <v>401</v>
      </c>
      <c r="AV402" s="16" t="n">
        <f aca="false">(AO402+AF402+AI402+AH402+AG402)/5</f>
        <v>80.2</v>
      </c>
      <c r="AW402" s="36" t="n">
        <f aca="false">(AO402+AF402+AI402+AH402+AG402+X402+R402+Q402+K402+J402)</f>
        <v>745</v>
      </c>
      <c r="AX402" s="16" t="n">
        <f aca="false">AW402/10</f>
        <v>74.5</v>
      </c>
      <c r="AY402" s="16" t="n">
        <f aca="false">AS402+AF402+AM402+AH402+AG402+AB402+V402+Q402+O402+J402</f>
        <v>753.6</v>
      </c>
      <c r="AZ402" s="16" t="n">
        <f aca="false">AT402+AF402+AN402+AH402+AG402+AC402+W402+Q402+P402+J402</f>
        <v>757</v>
      </c>
      <c r="BA402" s="16" t="n">
        <f aca="false">AY402/10</f>
        <v>75.36</v>
      </c>
      <c r="BB402" s="16" t="n">
        <f aca="false">AZ402/10</f>
        <v>75.7</v>
      </c>
      <c r="BC402" s="16" t="n">
        <v>2338</v>
      </c>
      <c r="BD402" s="16" t="n">
        <f aca="false">RANK(AX402,$AX$2:$AX$881,0)</f>
        <v>695</v>
      </c>
      <c r="BE402" s="73" t="n">
        <f aca="false">((BC402*100)/2400)*0.4+(AX402*0.6)</f>
        <v>83.6666666666667</v>
      </c>
      <c r="BF402" s="16" t="n">
        <f aca="false">RANK(BE402,$BE$2:$BE$881,0)</f>
        <v>690</v>
      </c>
      <c r="BG402" s="39" t="n">
        <f aca="false">RANK(BB402,$BB$2:$BB$881,0)</f>
        <v>684</v>
      </c>
      <c r="BH402" s="39" t="n">
        <f aca="false">RANK(BC402,$BC$2:$BC$881,0)</f>
        <v>649</v>
      </c>
      <c r="BI402" s="22" t="s">
        <v>130</v>
      </c>
      <c r="BJ402" s="22" t="s">
        <v>129</v>
      </c>
      <c r="BK402" s="40" t="s">
        <v>702</v>
      </c>
      <c r="BL402" s="41" t="n">
        <v>20</v>
      </c>
      <c r="BM402" s="41" t="n">
        <v>54</v>
      </c>
      <c r="BN402" s="41" t="n">
        <v>74</v>
      </c>
      <c r="BO402" s="42" t="n">
        <v>19</v>
      </c>
      <c r="BP402" s="43" t="n">
        <v>52</v>
      </c>
      <c r="BQ402" s="44" t="n">
        <v>71</v>
      </c>
      <c r="BR402" s="42" t="n">
        <v>18</v>
      </c>
      <c r="BS402" s="45" t="n">
        <v>53</v>
      </c>
      <c r="BT402" s="45" t="n">
        <v>71</v>
      </c>
      <c r="BU402" s="46" t="n">
        <v>98</v>
      </c>
      <c r="BV402" s="47" t="n">
        <v>92</v>
      </c>
      <c r="BW402" s="42" t="n">
        <v>90</v>
      </c>
      <c r="BX402" s="48" t="n">
        <v>92</v>
      </c>
      <c r="BY402" s="32" t="n">
        <v>26</v>
      </c>
      <c r="BZ402" s="32" t="n">
        <v>46</v>
      </c>
      <c r="CA402" s="32" t="n">
        <v>72</v>
      </c>
      <c r="CB402" s="32" t="n">
        <v>25</v>
      </c>
      <c r="CC402" s="32" t="n">
        <v>38</v>
      </c>
      <c r="CD402" s="32" t="n">
        <v>63</v>
      </c>
      <c r="CE402" s="32" t="n">
        <v>25</v>
      </c>
      <c r="CF402" s="32" t="n">
        <v>54</v>
      </c>
      <c r="CG402" s="32" t="n">
        <v>79</v>
      </c>
      <c r="CH402" s="32" t="n">
        <v>99</v>
      </c>
      <c r="CI402" s="32" t="n">
        <v>90</v>
      </c>
      <c r="CJ402" s="49" t="n">
        <v>20</v>
      </c>
      <c r="CK402" s="49" t="n">
        <v>41</v>
      </c>
      <c r="CL402" s="49" t="n">
        <v>61</v>
      </c>
      <c r="CM402" s="49" t="n">
        <v>20</v>
      </c>
      <c r="CN402" s="49" t="n">
        <v>47</v>
      </c>
      <c r="CO402" s="49" t="n">
        <v>67</v>
      </c>
      <c r="CP402" s="25" t="n">
        <f aca="false">BX402+BW402+BV402+BU402+BT402+BQ402+BN402</f>
        <v>588</v>
      </c>
      <c r="CQ402" s="25" t="n">
        <f aca="false">CO402+CL402+CI402+CH402+CG402+CD402+CA402</f>
        <v>531</v>
      </c>
      <c r="CR402" s="26" t="n">
        <f aca="false">CP402/7</f>
        <v>84</v>
      </c>
      <c r="CS402" s="26" t="n">
        <f aca="false">CQ402/7</f>
        <v>75.8571428571429</v>
      </c>
      <c r="CT402" s="24" t="n">
        <f aca="false">RANK(CR402,$CR$2:$CR$881,0)</f>
        <v>487</v>
      </c>
      <c r="CU402" s="25" t="n">
        <f aca="false">RANK(CS402,$CS$2:$CS$881,0)</f>
        <v>401</v>
      </c>
      <c r="CV402" s="26" t="n">
        <f aca="false">(CS402+CR402)/2</f>
        <v>79.9285714285714</v>
      </c>
      <c r="CW402" s="25" t="n">
        <f aca="false">RANK(CV402,$CV$2:$CV$881,0)</f>
        <v>428</v>
      </c>
      <c r="CX402" s="50" t="n">
        <f aca="false">(CV402+BB402)/2</f>
        <v>77.8142857142857</v>
      </c>
      <c r="CY402" s="50" t="n">
        <v>476</v>
      </c>
      <c r="CZ402" s="27" t="s">
        <v>132</v>
      </c>
      <c r="DA402" s="27" t="s">
        <v>133</v>
      </c>
      <c r="DB402" s="27" t="s">
        <v>133</v>
      </c>
      <c r="DC402" s="27" t="s">
        <v>134</v>
      </c>
      <c r="DD402" s="27" t="s">
        <v>195</v>
      </c>
      <c r="DE402" s="27" t="s">
        <v>177</v>
      </c>
      <c r="DF402" s="27" t="s">
        <v>196</v>
      </c>
      <c r="DG402" s="27" t="s">
        <v>134</v>
      </c>
      <c r="DH402" s="27" t="s">
        <v>154</v>
      </c>
      <c r="DI402" s="27" t="s">
        <v>313</v>
      </c>
      <c r="DJ402" s="27" t="s">
        <v>441</v>
      </c>
      <c r="DK402" s="27" t="s">
        <v>134</v>
      </c>
      <c r="DL402" s="27" t="s">
        <v>135</v>
      </c>
      <c r="DM402" s="27" t="s">
        <v>306</v>
      </c>
      <c r="DN402" s="27" t="s">
        <v>219</v>
      </c>
      <c r="DO402" s="27" t="s">
        <v>134</v>
      </c>
      <c r="DP402" s="27" t="s">
        <v>264</v>
      </c>
      <c r="DQ402" s="27" t="s">
        <v>415</v>
      </c>
      <c r="DR402" s="27" t="s">
        <v>187</v>
      </c>
      <c r="DS402" s="27" t="s">
        <v>134</v>
      </c>
      <c r="DT402" s="27" t="s">
        <v>140</v>
      </c>
      <c r="DU402" s="27" t="s">
        <v>375</v>
      </c>
      <c r="DV402" s="27" t="s">
        <v>272</v>
      </c>
      <c r="DW402" s="27" t="s">
        <v>137</v>
      </c>
      <c r="DX402" s="27" t="s">
        <v>155</v>
      </c>
      <c r="DY402" s="27" t="s">
        <v>142</v>
      </c>
      <c r="DZ402" s="27" t="n">
        <f aca="false">DY402+DV402+DR402+DN402+DJ402+DF402+DB402</f>
        <v>565</v>
      </c>
      <c r="EA402" s="28" t="n">
        <f aca="false">DZ402/7</f>
        <v>80.7142857142857</v>
      </c>
      <c r="EB402" s="27" t="n">
        <f aca="false">RANK(EA402,$EA$2:$EA$881,0)</f>
        <v>361</v>
      </c>
      <c r="EC402" s="29" t="n">
        <f aca="false">DZ402+CQ402+CP402+AZ402</f>
        <v>2441</v>
      </c>
      <c r="ED402" s="30" t="n">
        <f aca="false">(EA402+CV402+BB402)/3</f>
        <v>78.7809523809524</v>
      </c>
      <c r="EE402" s="51" t="n">
        <f aca="false">ROUND(BE402,3)</f>
        <v>83.667</v>
      </c>
      <c r="EF402" s="51" t="n">
        <f aca="false">ROUND(CR402,3)</f>
        <v>84</v>
      </c>
      <c r="EG402" s="51" t="n">
        <f aca="false">ROUND(CS402,3)</f>
        <v>75.857</v>
      </c>
      <c r="EH402" s="51" t="n">
        <f aca="false">ROUND(EA402,3)</f>
        <v>80.714</v>
      </c>
      <c r="EI402" s="51" t="n">
        <f aca="false">ROUND(ED402,3)</f>
        <v>78.781</v>
      </c>
      <c r="EJ402" s="51" t="n">
        <f aca="false">ROUND(CV402,3)</f>
        <v>79.929</v>
      </c>
      <c r="EK402" s="0" t="n">
        <f aca="false">RANK(EI402,$EI$2:$EI$881,0)</f>
        <v>401</v>
      </c>
    </row>
    <row r="403" customFormat="false" ht="15" hidden="false" customHeight="false" outlineLevel="0" collapsed="false">
      <c r="A403" s="4" t="n">
        <v>8863</v>
      </c>
      <c r="B403" s="4" t="n">
        <v>859</v>
      </c>
      <c r="C403" s="27" t="s">
        <v>1285</v>
      </c>
      <c r="D403" s="31" t="n">
        <v>879</v>
      </c>
      <c r="E403" s="16" t="n">
        <v>230124478</v>
      </c>
      <c r="F403" s="56" t="s">
        <v>1286</v>
      </c>
      <c r="G403" s="22" t="s">
        <v>201</v>
      </c>
      <c r="H403" s="22" t="s">
        <v>326</v>
      </c>
      <c r="I403" s="57"/>
      <c r="J403" s="16" t="n">
        <v>70</v>
      </c>
      <c r="K403" s="16" t="n">
        <v>86</v>
      </c>
      <c r="L403" s="34" t="n">
        <f aca="false">(K403*70)/100</f>
        <v>60.2</v>
      </c>
      <c r="M403" s="34" t="n">
        <f aca="false">ROUNDUP(L403,0)</f>
        <v>61</v>
      </c>
      <c r="N403" s="16" t="n">
        <v>28</v>
      </c>
      <c r="O403" s="34" t="n">
        <f aca="false">N403+L403</f>
        <v>88.2</v>
      </c>
      <c r="P403" s="34" t="n">
        <f aca="false">N403+M403</f>
        <v>89</v>
      </c>
      <c r="Q403" s="16" t="n">
        <v>83</v>
      </c>
      <c r="R403" s="16" t="n">
        <v>77</v>
      </c>
      <c r="S403" s="34" t="n">
        <f aca="false">(R403*70)/100</f>
        <v>53.9</v>
      </c>
      <c r="T403" s="34" t="n">
        <f aca="false">ROUNDUP(S403,0)</f>
        <v>54</v>
      </c>
      <c r="U403" s="16" t="n">
        <v>25</v>
      </c>
      <c r="V403" s="34" t="n">
        <f aca="false">U403+S403</f>
        <v>78.9</v>
      </c>
      <c r="W403" s="34" t="n">
        <f aca="false">U403+T403</f>
        <v>79</v>
      </c>
      <c r="X403" s="16" t="n">
        <v>70</v>
      </c>
      <c r="Y403" s="34" t="n">
        <f aca="false">(X403*70)/100</f>
        <v>49</v>
      </c>
      <c r="Z403" s="34" t="n">
        <f aca="false">ROUNDUP(Y403,0)</f>
        <v>49</v>
      </c>
      <c r="AA403" s="16" t="n">
        <v>26</v>
      </c>
      <c r="AB403" s="34" t="n">
        <f aca="false">AA403+Y403</f>
        <v>75</v>
      </c>
      <c r="AC403" s="34" t="n">
        <f aca="false">AA403+Z403</f>
        <v>75</v>
      </c>
      <c r="AD403" s="32" t="n">
        <f aca="false">X403+R403+Q403+K403+J403</f>
        <v>386</v>
      </c>
      <c r="AE403" s="16" t="n">
        <f aca="false">AD403/5</f>
        <v>77.2</v>
      </c>
      <c r="AF403" s="16" t="n">
        <v>75</v>
      </c>
      <c r="AG403" s="16" t="n">
        <v>86</v>
      </c>
      <c r="AH403" s="16" t="n">
        <v>91</v>
      </c>
      <c r="AI403" s="16" t="n">
        <v>82</v>
      </c>
      <c r="AJ403" s="16" t="n">
        <f aca="false">(AI403*70)/100</f>
        <v>57.4</v>
      </c>
      <c r="AK403" s="35" t="n">
        <f aca="false">ROUNDUP(AJ403,0)</f>
        <v>58</v>
      </c>
      <c r="AL403" s="16" t="n">
        <v>28</v>
      </c>
      <c r="AM403" s="16" t="n">
        <f aca="false">AL403+AJ403</f>
        <v>85.4</v>
      </c>
      <c r="AN403" s="16" t="n">
        <f aca="false">AL403+AK403</f>
        <v>86</v>
      </c>
      <c r="AO403" s="16" t="n">
        <v>73</v>
      </c>
      <c r="AP403" s="36" t="n">
        <f aca="false">(AO403*70)/100</f>
        <v>51.1</v>
      </c>
      <c r="AQ403" s="37" t="n">
        <f aca="false">ROUNDUP(AP403,0)</f>
        <v>52</v>
      </c>
      <c r="AR403" s="16" t="n">
        <v>28</v>
      </c>
      <c r="AS403" s="16" t="n">
        <f aca="false">AR403+AP403</f>
        <v>79.1</v>
      </c>
      <c r="AT403" s="16" t="n">
        <f aca="false">AR403+AQ403</f>
        <v>80</v>
      </c>
      <c r="AU403" s="16" t="n">
        <f aca="false">AO403+AF403+AI403+AH403+AG403</f>
        <v>407</v>
      </c>
      <c r="AV403" s="16" t="n">
        <f aca="false">(AO403+AF403+AI403+AH403+AG403)/5</f>
        <v>81.4</v>
      </c>
      <c r="AW403" s="36" t="n">
        <f aca="false">(AO403+AF403+AI403+AH403+AG403+X403+R403+Q403+K403+J403)</f>
        <v>793</v>
      </c>
      <c r="AX403" s="16" t="n">
        <f aca="false">AW403/10</f>
        <v>79.3</v>
      </c>
      <c r="AY403" s="16" t="n">
        <f aca="false">AS403+AF403+AM403+AH403+AG403+AB403+V403+Q403+O403+J403</f>
        <v>811.6</v>
      </c>
      <c r="AZ403" s="16" t="n">
        <f aca="false">AT403+AF403+AN403+AH403+AG403+AC403+W403+Q403+P403+J403</f>
        <v>814</v>
      </c>
      <c r="BA403" s="16" t="n">
        <f aca="false">AY403/10</f>
        <v>81.16</v>
      </c>
      <c r="BB403" s="16" t="n">
        <f aca="false">AZ403/10</f>
        <v>81.4</v>
      </c>
      <c r="BC403" s="16" t="n">
        <v>2339</v>
      </c>
      <c r="BD403" s="16" t="n">
        <f aca="false">RANK(AX403,$AX$2:$AX$881,0)</f>
        <v>309</v>
      </c>
      <c r="BE403" s="54" t="n">
        <f aca="false">((BC403*100)/2400)*0.4+(AX403*0.6)</f>
        <v>86.5633333333333</v>
      </c>
      <c r="BF403" s="16" t="n">
        <f aca="false">RANK(BE403,$BE$2:$BE$881,0)</f>
        <v>345</v>
      </c>
      <c r="BG403" s="39" t="n">
        <f aca="false">RANK(BB403,$BB$2:$BB$881,0)</f>
        <v>252</v>
      </c>
      <c r="BH403" s="39" t="n">
        <f aca="false">RANK(BC403,$BC$2:$BC$881,0)</f>
        <v>640</v>
      </c>
      <c r="BI403" s="22" t="s">
        <v>130</v>
      </c>
      <c r="BJ403" s="22" t="s">
        <v>129</v>
      </c>
      <c r="BK403" s="40" t="s">
        <v>131</v>
      </c>
      <c r="BL403" s="41" t="n">
        <v>26</v>
      </c>
      <c r="BM403" s="41" t="n">
        <v>49</v>
      </c>
      <c r="BN403" s="41" t="n">
        <v>75</v>
      </c>
      <c r="BO403" s="42" t="n">
        <v>25</v>
      </c>
      <c r="BP403" s="43" t="n">
        <v>59</v>
      </c>
      <c r="BQ403" s="44" t="n">
        <v>84</v>
      </c>
      <c r="BR403" s="42" t="n">
        <v>26</v>
      </c>
      <c r="BS403" s="45" t="n">
        <v>64</v>
      </c>
      <c r="BT403" s="45" t="n">
        <v>90</v>
      </c>
      <c r="BU403" s="46" t="n">
        <v>100</v>
      </c>
      <c r="BV403" s="47" t="n">
        <v>78</v>
      </c>
      <c r="BW403" s="42" t="n">
        <v>92</v>
      </c>
      <c r="BX403" s="48" t="n">
        <v>92</v>
      </c>
      <c r="BY403" s="32" t="n">
        <v>28</v>
      </c>
      <c r="BZ403" s="32" t="n">
        <v>40</v>
      </c>
      <c r="CA403" s="32" t="n">
        <v>68</v>
      </c>
      <c r="CB403" s="32" t="n">
        <v>25</v>
      </c>
      <c r="CC403" s="32" t="n">
        <v>44</v>
      </c>
      <c r="CD403" s="32" t="n">
        <v>69</v>
      </c>
      <c r="CE403" s="32" t="n">
        <v>25</v>
      </c>
      <c r="CF403" s="32" t="n">
        <v>39</v>
      </c>
      <c r="CG403" s="32" t="n">
        <v>64</v>
      </c>
      <c r="CH403" s="32" t="n">
        <v>95</v>
      </c>
      <c r="CI403" s="25" t="n">
        <v>95</v>
      </c>
      <c r="CJ403" s="49" t="n">
        <v>25</v>
      </c>
      <c r="CK403" s="49" t="n">
        <v>51</v>
      </c>
      <c r="CL403" s="49" t="n">
        <v>76</v>
      </c>
      <c r="CM403" s="49" t="n">
        <v>24</v>
      </c>
      <c r="CN403" s="49" t="n">
        <v>53</v>
      </c>
      <c r="CO403" s="49" t="n">
        <v>77</v>
      </c>
      <c r="CP403" s="25" t="n">
        <f aca="false">BX403+BW403+BV403+BU403+BT403+BQ403+BN403</f>
        <v>611</v>
      </c>
      <c r="CQ403" s="25" t="n">
        <f aca="false">CO403+CL403+CI403+CH403+CG403+CD403+CA403</f>
        <v>544</v>
      </c>
      <c r="CR403" s="26" t="n">
        <f aca="false">CP403/7</f>
        <v>87.2857142857143</v>
      </c>
      <c r="CS403" s="26" t="n">
        <f aca="false">CQ403/7</f>
        <v>77.7142857142857</v>
      </c>
      <c r="CT403" s="24" t="n">
        <f aca="false">RANK(CR403,$CR$2:$CR$881,0)</f>
        <v>346</v>
      </c>
      <c r="CU403" s="25" t="n">
        <f aca="false">RANK(CS403,$CS$2:$CS$881,0)</f>
        <v>344</v>
      </c>
      <c r="CV403" s="26" t="n">
        <f aca="false">(CS403+CR403)/2</f>
        <v>82.5</v>
      </c>
      <c r="CW403" s="25" t="n">
        <f aca="false">RANK(CV403,$CV$2:$CV$881,0)</f>
        <v>317</v>
      </c>
      <c r="CX403" s="50" t="n">
        <f aca="false">(CV403+BB403)/2</f>
        <v>81.95</v>
      </c>
      <c r="CY403" s="50" t="n">
        <v>270</v>
      </c>
      <c r="CZ403" s="27" t="s">
        <v>132</v>
      </c>
      <c r="DA403" s="27" t="s">
        <v>133</v>
      </c>
      <c r="DB403" s="27" t="s">
        <v>133</v>
      </c>
      <c r="DC403" s="27" t="s">
        <v>134</v>
      </c>
      <c r="DD403" s="27" t="s">
        <v>137</v>
      </c>
      <c r="DE403" s="27" t="s">
        <v>183</v>
      </c>
      <c r="DF403" s="27" t="s">
        <v>209</v>
      </c>
      <c r="DG403" s="27" t="s">
        <v>134</v>
      </c>
      <c r="DH403" s="27" t="s">
        <v>154</v>
      </c>
      <c r="DI403" s="27" t="s">
        <v>177</v>
      </c>
      <c r="DJ403" s="27" t="s">
        <v>169</v>
      </c>
      <c r="DK403" s="27" t="s">
        <v>134</v>
      </c>
      <c r="DL403" s="27" t="s">
        <v>264</v>
      </c>
      <c r="DM403" s="27" t="s">
        <v>177</v>
      </c>
      <c r="DN403" s="27" t="s">
        <v>272</v>
      </c>
      <c r="DO403" s="27" t="s">
        <v>134</v>
      </c>
      <c r="DP403" s="27"/>
      <c r="DQ403" s="27"/>
      <c r="DR403" s="27"/>
      <c r="DS403" s="27"/>
      <c r="DT403" s="27" t="s">
        <v>135</v>
      </c>
      <c r="DU403" s="27" t="s">
        <v>183</v>
      </c>
      <c r="DV403" s="27" t="s">
        <v>169</v>
      </c>
      <c r="DW403" s="27" t="s">
        <v>182</v>
      </c>
      <c r="DX403" s="27" t="s">
        <v>187</v>
      </c>
      <c r="DY403" s="27" t="s">
        <v>153</v>
      </c>
      <c r="DZ403" s="27" t="n">
        <f aca="false">DY403+DV403+DR403+DN403+DJ403+DF403+DB403</f>
        <v>507</v>
      </c>
      <c r="EA403" s="28" t="n">
        <f aca="false">DZ403/7</f>
        <v>72.4285714285714</v>
      </c>
      <c r="EB403" s="27" t="n">
        <f aca="false">RANK(EA403,$EA$2:$EA$881,0)</f>
        <v>602</v>
      </c>
      <c r="EC403" s="29" t="n">
        <f aca="false">DZ403+CQ403+CP403+AZ403</f>
        <v>2476</v>
      </c>
      <c r="ED403" s="30" t="n">
        <f aca="false">(EA403+CV403+BB403)/3</f>
        <v>78.7761904761905</v>
      </c>
      <c r="EE403" s="51" t="n">
        <f aca="false">ROUND(BE403,3)</f>
        <v>86.563</v>
      </c>
      <c r="EF403" s="51" t="n">
        <f aca="false">ROUND(CR403,3)</f>
        <v>87.286</v>
      </c>
      <c r="EG403" s="51" t="n">
        <f aca="false">ROUND(CS403,3)</f>
        <v>77.714</v>
      </c>
      <c r="EH403" s="51" t="n">
        <f aca="false">ROUND(EA403,3)</f>
        <v>72.429</v>
      </c>
      <c r="EI403" s="51" t="n">
        <f aca="false">ROUND(ED403,3)</f>
        <v>78.776</v>
      </c>
      <c r="EJ403" s="51" t="n">
        <f aca="false">ROUND(CV403,3)</f>
        <v>82.5</v>
      </c>
      <c r="EK403" s="0" t="n">
        <f aca="false">RANK(EI403,$EI$2:$EI$881,0)</f>
        <v>402</v>
      </c>
    </row>
    <row r="404" customFormat="false" ht="15" hidden="false" customHeight="false" outlineLevel="0" collapsed="false">
      <c r="A404" s="4" t="n">
        <v>1901</v>
      </c>
      <c r="B404" s="4" t="n">
        <v>533</v>
      </c>
      <c r="C404" s="27" t="s">
        <v>1287</v>
      </c>
      <c r="D404" s="31" t="n">
        <v>538</v>
      </c>
      <c r="E404" s="16" t="n">
        <v>230120933</v>
      </c>
      <c r="F404" s="56" t="s">
        <v>1288</v>
      </c>
      <c r="G404" s="22" t="s">
        <v>186</v>
      </c>
      <c r="H404" s="22" t="s">
        <v>326</v>
      </c>
      <c r="I404" s="57"/>
      <c r="J404" s="16" t="n">
        <v>76</v>
      </c>
      <c r="K404" s="16" t="n">
        <v>62</v>
      </c>
      <c r="L404" s="34" t="n">
        <f aca="false">(K404*70)/100</f>
        <v>43.4</v>
      </c>
      <c r="M404" s="34" t="n">
        <f aca="false">ROUNDUP(L404,0)</f>
        <v>44</v>
      </c>
      <c r="N404" s="16" t="n">
        <v>21</v>
      </c>
      <c r="O404" s="34" t="n">
        <f aca="false">N404+L404</f>
        <v>64.4</v>
      </c>
      <c r="P404" s="34" t="n">
        <f aca="false">N404+M404</f>
        <v>65</v>
      </c>
      <c r="Q404" s="16" t="n">
        <v>68</v>
      </c>
      <c r="R404" s="16" t="n">
        <v>71</v>
      </c>
      <c r="S404" s="34" t="n">
        <f aca="false">(R404*70)/100</f>
        <v>49.7</v>
      </c>
      <c r="T404" s="34" t="n">
        <f aca="false">ROUNDUP(S404,0)</f>
        <v>50</v>
      </c>
      <c r="U404" s="16" t="n">
        <v>26</v>
      </c>
      <c r="V404" s="34" t="n">
        <f aca="false">U404+S404</f>
        <v>75.7</v>
      </c>
      <c r="W404" s="34" t="n">
        <f aca="false">U404+T404</f>
        <v>76</v>
      </c>
      <c r="X404" s="16" t="n">
        <v>75</v>
      </c>
      <c r="Y404" s="34" t="n">
        <f aca="false">(X404*70)/100</f>
        <v>52.5</v>
      </c>
      <c r="Z404" s="34" t="n">
        <f aca="false">ROUNDUP(Y404,0)</f>
        <v>53</v>
      </c>
      <c r="AA404" s="16" t="n">
        <v>28</v>
      </c>
      <c r="AB404" s="34" t="n">
        <f aca="false">AA404+Y404</f>
        <v>80.5</v>
      </c>
      <c r="AC404" s="34" t="n">
        <f aca="false">AA404+Z404</f>
        <v>81</v>
      </c>
      <c r="AD404" s="32" t="n">
        <f aca="false">X404+R404+Q404+K404+J404</f>
        <v>352</v>
      </c>
      <c r="AE404" s="16" t="n">
        <f aca="false">AD404/5</f>
        <v>70.4</v>
      </c>
      <c r="AF404" s="16" t="n">
        <v>85</v>
      </c>
      <c r="AG404" s="16" t="n">
        <v>87</v>
      </c>
      <c r="AH404" s="16" t="n">
        <v>78</v>
      </c>
      <c r="AI404" s="16" t="n">
        <v>89</v>
      </c>
      <c r="AJ404" s="16" t="n">
        <f aca="false">(AI404*70)/100</f>
        <v>62.3</v>
      </c>
      <c r="AK404" s="35" t="n">
        <f aca="false">ROUNDUP(AJ404,0)</f>
        <v>63</v>
      </c>
      <c r="AL404" s="16" t="n">
        <v>23</v>
      </c>
      <c r="AM404" s="16" t="n">
        <f aca="false">AL404+AJ404</f>
        <v>85.3</v>
      </c>
      <c r="AN404" s="16" t="n">
        <f aca="false">AL404+AK404</f>
        <v>86</v>
      </c>
      <c r="AO404" s="16" t="n">
        <v>73</v>
      </c>
      <c r="AP404" s="36" t="n">
        <f aca="false">(AO404*70)/100</f>
        <v>51.1</v>
      </c>
      <c r="AQ404" s="37" t="n">
        <f aca="false">ROUNDUP(AP404,0)</f>
        <v>52</v>
      </c>
      <c r="AR404" s="16" t="n">
        <v>25</v>
      </c>
      <c r="AS404" s="16" t="n">
        <f aca="false">AR404+AP404</f>
        <v>76.1</v>
      </c>
      <c r="AT404" s="16" t="n">
        <f aca="false">AR404+AQ404</f>
        <v>77</v>
      </c>
      <c r="AU404" s="16" t="n">
        <f aca="false">AO404+AF404+AI404+AH404+AG404</f>
        <v>412</v>
      </c>
      <c r="AV404" s="16" t="n">
        <f aca="false">(AO404+AF404+AI404+AH404+AG404)/5</f>
        <v>82.4</v>
      </c>
      <c r="AW404" s="36" t="n">
        <f aca="false">(AO404+AF404+AI404+AH404+AG404+X404+R404+Q404+K404+J404)</f>
        <v>764</v>
      </c>
      <c r="AX404" s="16" t="n">
        <f aca="false">AW404/10</f>
        <v>76.4</v>
      </c>
      <c r="AY404" s="16" t="n">
        <f aca="false">AS404+AF404+AM404+AH404+AG404+AB404+V404+Q404+O404+J404</f>
        <v>776</v>
      </c>
      <c r="AZ404" s="16" t="n">
        <f aca="false">AT404+AF404+AN404+AH404+AG404+AC404+W404+Q404+P404+J404</f>
        <v>779</v>
      </c>
      <c r="BA404" s="16" t="n">
        <f aca="false">AY404/10</f>
        <v>77.6</v>
      </c>
      <c r="BB404" s="16" t="n">
        <f aca="false">AZ404/10</f>
        <v>77.9</v>
      </c>
      <c r="BC404" s="16" t="n">
        <v>2362</v>
      </c>
      <c r="BD404" s="16" t="n">
        <f aca="false">RANK(AX404,$AX$2:$AX$881,0)</f>
        <v>577</v>
      </c>
      <c r="BE404" s="54" t="n">
        <f aca="false">((BC404*100)/2400)*0.4+(AX404*0.6)</f>
        <v>85.2066666666667</v>
      </c>
      <c r="BF404" s="16" t="n">
        <f aca="false">RANK(BE404,$BE$2:$BE$881,0)</f>
        <v>562</v>
      </c>
      <c r="BG404" s="39" t="n">
        <f aca="false">RANK(BB404,$BB$2:$BB$881,0)</f>
        <v>569</v>
      </c>
      <c r="BH404" s="39" t="n">
        <f aca="false">RANK(BC404,$BC$2:$BC$881,0)</f>
        <v>367</v>
      </c>
      <c r="BI404" s="22" t="s">
        <v>130</v>
      </c>
      <c r="BJ404" s="22" t="s">
        <v>129</v>
      </c>
      <c r="BK404" s="40" t="s">
        <v>509</v>
      </c>
      <c r="BL404" s="41" t="n">
        <v>12</v>
      </c>
      <c r="BM404" s="41" t="n">
        <v>51</v>
      </c>
      <c r="BN404" s="41" t="n">
        <v>63</v>
      </c>
      <c r="BO404" s="42" t="n">
        <v>21</v>
      </c>
      <c r="BP404" s="43" t="n">
        <v>58</v>
      </c>
      <c r="BQ404" s="44" t="n">
        <v>79</v>
      </c>
      <c r="BR404" s="42" t="n">
        <v>16</v>
      </c>
      <c r="BS404" s="45" t="n">
        <v>60</v>
      </c>
      <c r="BT404" s="45" t="n">
        <v>76</v>
      </c>
      <c r="BU404" s="46" t="n">
        <v>100</v>
      </c>
      <c r="BV404" s="47" t="n">
        <v>88</v>
      </c>
      <c r="BW404" s="42" t="n">
        <v>99</v>
      </c>
      <c r="BX404" s="48" t="n">
        <v>88</v>
      </c>
      <c r="BY404" s="32" t="n">
        <v>20</v>
      </c>
      <c r="BZ404" s="32" t="n">
        <v>50</v>
      </c>
      <c r="CA404" s="32" t="n">
        <v>70</v>
      </c>
      <c r="CB404" s="32" t="n">
        <v>18</v>
      </c>
      <c r="CC404" s="32" t="n">
        <v>35</v>
      </c>
      <c r="CD404" s="69" t="n">
        <v>53</v>
      </c>
      <c r="CE404" s="32" t="n">
        <v>27</v>
      </c>
      <c r="CF404" s="32" t="n">
        <v>36</v>
      </c>
      <c r="CG404" s="32" t="n">
        <v>63</v>
      </c>
      <c r="CH404" s="32" t="n">
        <v>93</v>
      </c>
      <c r="CI404" s="32" t="n">
        <v>93</v>
      </c>
      <c r="CJ404" s="49" t="n">
        <v>22</v>
      </c>
      <c r="CK404" s="49" t="n">
        <v>40</v>
      </c>
      <c r="CL404" s="49" t="n">
        <v>62</v>
      </c>
      <c r="CM404" s="49" t="n">
        <v>20</v>
      </c>
      <c r="CN404" s="49" t="n">
        <v>47</v>
      </c>
      <c r="CO404" s="49" t="n">
        <v>67</v>
      </c>
      <c r="CP404" s="25" t="n">
        <f aca="false">BX404+BW404+BV404+BU404+BT404+BQ404+BN404</f>
        <v>593</v>
      </c>
      <c r="CQ404" s="25" t="n">
        <f aca="false">CO404+CL404+CI404+CH404+CG404+CD404+CA404</f>
        <v>501</v>
      </c>
      <c r="CR404" s="26" t="n">
        <f aca="false">CP404/7</f>
        <v>84.7142857142857</v>
      </c>
      <c r="CS404" s="26" t="n">
        <f aca="false">CQ404/7</f>
        <v>71.5714285714286</v>
      </c>
      <c r="CT404" s="24" t="n">
        <f aca="false">RANK(CR404,$CR$2:$CR$881,0)</f>
        <v>447</v>
      </c>
      <c r="CU404" s="25" t="n">
        <f aca="false">RANK(CS404,$CS$2:$CS$881,0)</f>
        <v>521</v>
      </c>
      <c r="CV404" s="26" t="n">
        <f aca="false">(CS404+CR404)/2</f>
        <v>78.1428571428571</v>
      </c>
      <c r="CW404" s="25" t="n">
        <f aca="false">RANK(CV404,$CV$2:$CV$881,0)</f>
        <v>491</v>
      </c>
      <c r="CX404" s="50" t="n">
        <f aca="false">(CV404+BB404)/2</f>
        <v>78.0214285714286</v>
      </c>
      <c r="CY404" s="50" t="n">
        <v>466</v>
      </c>
      <c r="CZ404" s="27" t="s">
        <v>132</v>
      </c>
      <c r="DA404" s="27" t="s">
        <v>202</v>
      </c>
      <c r="DB404" s="27" t="s">
        <v>202</v>
      </c>
      <c r="DC404" s="27" t="s">
        <v>134</v>
      </c>
      <c r="DD404" s="27" t="s">
        <v>174</v>
      </c>
      <c r="DE404" s="27" t="s">
        <v>220</v>
      </c>
      <c r="DF404" s="27" t="s">
        <v>305</v>
      </c>
      <c r="DG404" s="27" t="s">
        <v>134</v>
      </c>
      <c r="DH404" s="27" t="s">
        <v>135</v>
      </c>
      <c r="DI404" s="27" t="s">
        <v>313</v>
      </c>
      <c r="DJ404" s="27" t="s">
        <v>382</v>
      </c>
      <c r="DK404" s="27" t="s">
        <v>134</v>
      </c>
      <c r="DL404" s="27" t="s">
        <v>137</v>
      </c>
      <c r="DM404" s="27" t="s">
        <v>399</v>
      </c>
      <c r="DN404" s="27" t="s">
        <v>372</v>
      </c>
      <c r="DO404" s="27" t="s">
        <v>134</v>
      </c>
      <c r="DP404" s="27" t="s">
        <v>135</v>
      </c>
      <c r="DQ404" s="27" t="s">
        <v>412</v>
      </c>
      <c r="DR404" s="27" t="s">
        <v>443</v>
      </c>
      <c r="DS404" s="27" t="s">
        <v>134</v>
      </c>
      <c r="DT404" s="27" t="s">
        <v>164</v>
      </c>
      <c r="DU404" s="27" t="s">
        <v>447</v>
      </c>
      <c r="DV404" s="27" t="s">
        <v>219</v>
      </c>
      <c r="DW404" s="27" t="s">
        <v>195</v>
      </c>
      <c r="DX404" s="27" t="s">
        <v>155</v>
      </c>
      <c r="DY404" s="27" t="s">
        <v>170</v>
      </c>
      <c r="DZ404" s="27" t="n">
        <f aca="false">DY404+DV404+DR404+DN404+DJ404+DF404+DB404</f>
        <v>562</v>
      </c>
      <c r="EA404" s="28" t="n">
        <f aca="false">DZ404/7</f>
        <v>80.2857142857143</v>
      </c>
      <c r="EB404" s="27" t="n">
        <f aca="false">RANK(EA404,$EA$2:$EA$881,0)</f>
        <v>380</v>
      </c>
      <c r="EC404" s="29" t="n">
        <f aca="false">DZ404+CQ404+CP404+AZ404</f>
        <v>2435</v>
      </c>
      <c r="ED404" s="30" t="n">
        <f aca="false">(EA404+CV404+BB404)/3</f>
        <v>78.7761904761905</v>
      </c>
      <c r="EE404" s="51" t="n">
        <f aca="false">ROUND(BE404,3)</f>
        <v>85.207</v>
      </c>
      <c r="EF404" s="51" t="n">
        <f aca="false">ROUND(CR404,3)</f>
        <v>84.714</v>
      </c>
      <c r="EG404" s="51" t="n">
        <f aca="false">ROUND(CS404,3)</f>
        <v>71.571</v>
      </c>
      <c r="EH404" s="51" t="n">
        <f aca="false">ROUND(EA404,3)</f>
        <v>80.286</v>
      </c>
      <c r="EI404" s="51" t="n">
        <f aca="false">ROUND(ED404,3)</f>
        <v>78.776</v>
      </c>
      <c r="EJ404" s="51" t="n">
        <f aca="false">ROUND(CV404,3)</f>
        <v>78.143</v>
      </c>
      <c r="EK404" s="0" t="n">
        <f aca="false">RANK(EI404,$EI$2:$EI$881,0)</f>
        <v>402</v>
      </c>
    </row>
    <row r="405" customFormat="false" ht="17.45" hidden="false" customHeight="false" outlineLevel="0" collapsed="false">
      <c r="A405" s="4" t="n">
        <v>1923</v>
      </c>
      <c r="B405" s="4" t="n">
        <v>261</v>
      </c>
      <c r="C405" s="27" t="s">
        <v>1289</v>
      </c>
      <c r="D405" s="31" t="n">
        <v>261</v>
      </c>
      <c r="E405" s="32" t="n">
        <v>230319561</v>
      </c>
      <c r="F405" s="55" t="s">
        <v>1290</v>
      </c>
      <c r="G405" s="22" t="s">
        <v>535</v>
      </c>
      <c r="H405" s="22" t="s">
        <v>129</v>
      </c>
      <c r="I405" s="33" t="n">
        <v>2005</v>
      </c>
      <c r="J405" s="32" t="n">
        <v>73</v>
      </c>
      <c r="K405" s="32" t="n">
        <v>70</v>
      </c>
      <c r="L405" s="34" t="n">
        <f aca="false">(K405*70)/100</f>
        <v>49</v>
      </c>
      <c r="M405" s="34" t="n">
        <f aca="false">ROUNDUP(L405,0)</f>
        <v>49</v>
      </c>
      <c r="N405" s="32" t="n">
        <v>24</v>
      </c>
      <c r="O405" s="34" t="n">
        <f aca="false">N405+L405</f>
        <v>73</v>
      </c>
      <c r="P405" s="34" t="n">
        <f aca="false">N405+M405</f>
        <v>73</v>
      </c>
      <c r="Q405" s="32" t="n">
        <v>77</v>
      </c>
      <c r="R405" s="32" t="n">
        <v>72</v>
      </c>
      <c r="S405" s="34" t="n">
        <f aca="false">(R405*70)/100</f>
        <v>50.4</v>
      </c>
      <c r="T405" s="34" t="n">
        <f aca="false">ROUNDUP(S405,0)</f>
        <v>51</v>
      </c>
      <c r="U405" s="32" t="n">
        <v>26</v>
      </c>
      <c r="V405" s="34" t="n">
        <f aca="false">U405+S405</f>
        <v>76.4</v>
      </c>
      <c r="W405" s="34" t="n">
        <f aca="false">U405+T405</f>
        <v>77</v>
      </c>
      <c r="X405" s="32" t="n">
        <v>71</v>
      </c>
      <c r="Y405" s="34" t="n">
        <f aca="false">(X405*70)/100</f>
        <v>49.7</v>
      </c>
      <c r="Z405" s="34" t="n">
        <f aca="false">ROUNDUP(Y405,0)</f>
        <v>50</v>
      </c>
      <c r="AA405" s="32" t="n">
        <v>25</v>
      </c>
      <c r="AB405" s="34" t="n">
        <f aca="false">AA405+Y405</f>
        <v>74.7</v>
      </c>
      <c r="AC405" s="34" t="n">
        <f aca="false">AA405+Z405</f>
        <v>75</v>
      </c>
      <c r="AD405" s="32" t="n">
        <f aca="false">X405+R405+Q405+K405+J405</f>
        <v>363</v>
      </c>
      <c r="AE405" s="16" t="n">
        <f aca="false">AD405/5</f>
        <v>72.6</v>
      </c>
      <c r="AF405" s="16" t="n">
        <v>69</v>
      </c>
      <c r="AG405" s="16" t="n">
        <v>87</v>
      </c>
      <c r="AH405" s="16" t="n">
        <v>86</v>
      </c>
      <c r="AI405" s="16" t="n">
        <v>90</v>
      </c>
      <c r="AJ405" s="16" t="n">
        <f aca="false">(AI405*70)/100</f>
        <v>63</v>
      </c>
      <c r="AK405" s="35" t="n">
        <f aca="false">ROUNDUP(AJ405,0)</f>
        <v>63</v>
      </c>
      <c r="AL405" s="16" t="n">
        <v>23</v>
      </c>
      <c r="AM405" s="16" t="n">
        <f aca="false">AL405+AJ405</f>
        <v>86</v>
      </c>
      <c r="AN405" s="16" t="n">
        <f aca="false">AL405+AK405</f>
        <v>86</v>
      </c>
      <c r="AO405" s="16" t="n">
        <v>60</v>
      </c>
      <c r="AP405" s="36" t="n">
        <f aca="false">(AO405*70)/100</f>
        <v>42</v>
      </c>
      <c r="AQ405" s="37" t="n">
        <f aca="false">ROUNDUP(AP405,0)</f>
        <v>42</v>
      </c>
      <c r="AR405" s="16" t="n">
        <v>26</v>
      </c>
      <c r="AS405" s="16" t="n">
        <f aca="false">AR405+AP405</f>
        <v>68</v>
      </c>
      <c r="AT405" s="16" t="n">
        <f aca="false">AR405+AQ405</f>
        <v>68</v>
      </c>
      <c r="AU405" s="16" t="n">
        <f aca="false">AO405+AF405+AI405+AH405+AG405</f>
        <v>392</v>
      </c>
      <c r="AV405" s="16" t="n">
        <f aca="false">(AO405+AF405+AI405+AH405+AG405)/5</f>
        <v>78.4</v>
      </c>
      <c r="AW405" s="36" t="n">
        <f aca="false">(AO405+AF405+AI405+AH405+AG405+X405+R405+Q405+K405+J405)</f>
        <v>755</v>
      </c>
      <c r="AX405" s="16" t="n">
        <f aca="false">AW405/10</f>
        <v>75.5</v>
      </c>
      <c r="AY405" s="16" t="n">
        <f aca="false">AS405+AF405+AM405+AH405+AG405+AB405+V405+Q405+O405+J405</f>
        <v>770.1</v>
      </c>
      <c r="AZ405" s="16" t="n">
        <f aca="false">AT405+AF405+AN405+AH405+AG405+AC405+W405+Q405+P405+J405</f>
        <v>771</v>
      </c>
      <c r="BA405" s="16" t="n">
        <f aca="false">AY405/10</f>
        <v>77.01</v>
      </c>
      <c r="BB405" s="16" t="n">
        <f aca="false">AZ405/10</f>
        <v>77.1</v>
      </c>
      <c r="BC405" s="16" t="n">
        <v>2373</v>
      </c>
      <c r="BD405" s="16" t="n">
        <f aca="false">RANK(AX405,$AX$2:$AX$881,0)</f>
        <v>659</v>
      </c>
      <c r="BE405" s="73" t="n">
        <f aca="false">((BC405*100)/2400)*0.4+(AX405*0.6)</f>
        <v>84.85</v>
      </c>
      <c r="BF405" s="16" t="n">
        <f aca="false">RANK(BE405,$BE$2:$BE$881,0)</f>
        <v>643</v>
      </c>
      <c r="BG405" s="39" t="n">
        <f aca="false">RANK(BB405,$BB$2:$BB$881,0)</f>
        <v>632</v>
      </c>
      <c r="BH405" s="39" t="n">
        <f aca="false">RANK(BC405,$BC$2:$BC$881,0)</f>
        <v>233</v>
      </c>
      <c r="BI405" s="22" t="s">
        <v>130</v>
      </c>
      <c r="BJ405" s="22" t="s">
        <v>129</v>
      </c>
      <c r="BK405" s="22" t="s">
        <v>509</v>
      </c>
      <c r="BL405" s="41" t="n">
        <v>18</v>
      </c>
      <c r="BM405" s="41" t="n">
        <v>48</v>
      </c>
      <c r="BN405" s="41" t="n">
        <v>66</v>
      </c>
      <c r="BO405" s="42" t="n">
        <v>27</v>
      </c>
      <c r="BP405" s="43" t="n">
        <v>58</v>
      </c>
      <c r="BQ405" s="44" t="n">
        <v>85</v>
      </c>
      <c r="BR405" s="42" t="n">
        <v>17</v>
      </c>
      <c r="BS405" s="45" t="n">
        <v>62</v>
      </c>
      <c r="BT405" s="45" t="n">
        <v>79</v>
      </c>
      <c r="BU405" s="46" t="n">
        <v>100</v>
      </c>
      <c r="BV405" s="47" t="n">
        <v>94</v>
      </c>
      <c r="BW405" s="42" t="n">
        <v>99</v>
      </c>
      <c r="BX405" s="48" t="n">
        <v>100</v>
      </c>
      <c r="BY405" s="32" t="n">
        <v>24</v>
      </c>
      <c r="BZ405" s="32" t="n">
        <v>39</v>
      </c>
      <c r="CA405" s="32" t="n">
        <v>63</v>
      </c>
      <c r="CB405" s="32" t="n">
        <v>18</v>
      </c>
      <c r="CC405" s="32" t="n">
        <v>46</v>
      </c>
      <c r="CD405" s="32" t="n">
        <v>64</v>
      </c>
      <c r="CE405" s="32" t="n">
        <v>29</v>
      </c>
      <c r="CF405" s="32" t="n">
        <v>51</v>
      </c>
      <c r="CG405" s="32" t="n">
        <v>80</v>
      </c>
      <c r="CH405" s="32" t="n">
        <v>99</v>
      </c>
      <c r="CI405" s="32" t="n">
        <v>100</v>
      </c>
      <c r="CJ405" s="49" t="n">
        <v>22</v>
      </c>
      <c r="CK405" s="49" t="n">
        <v>60</v>
      </c>
      <c r="CL405" s="49" t="n">
        <v>82</v>
      </c>
      <c r="CM405" s="49" t="n">
        <v>21</v>
      </c>
      <c r="CN405" s="49" t="n">
        <v>54</v>
      </c>
      <c r="CO405" s="49" t="n">
        <v>75</v>
      </c>
      <c r="CP405" s="25" t="n">
        <f aca="false">BX405+BW405+BV405+BU405+BT405+BQ405+BN405</f>
        <v>623</v>
      </c>
      <c r="CQ405" s="25" t="n">
        <f aca="false">CO405+CL405+CI405+CH405+CG405+CD405+CA405</f>
        <v>563</v>
      </c>
      <c r="CR405" s="26" t="n">
        <f aca="false">CP405/7</f>
        <v>89</v>
      </c>
      <c r="CS405" s="26" t="n">
        <f aca="false">CQ405/7</f>
        <v>80.4285714285714</v>
      </c>
      <c r="CT405" s="24" t="n">
        <f aca="false">RANK(CR405,$CR$2:$CR$881,0)</f>
        <v>244</v>
      </c>
      <c r="CU405" s="25" t="n">
        <f aca="false">RANK(CS405,$CS$2:$CS$881,0)</f>
        <v>245</v>
      </c>
      <c r="CV405" s="26" t="n">
        <f aca="false">(CS405+CR405)/2</f>
        <v>84.7142857142857</v>
      </c>
      <c r="CW405" s="25" t="n">
        <f aca="false">RANK(CV405,$CV$2:$CV$881,0)</f>
        <v>228</v>
      </c>
      <c r="CX405" s="50" t="n">
        <f aca="false">(CV405+BB405)/2</f>
        <v>80.9071428571429</v>
      </c>
      <c r="CY405" s="50" t="n">
        <v>324</v>
      </c>
      <c r="CZ405" s="27" t="s">
        <v>132</v>
      </c>
      <c r="DA405" s="27" t="s">
        <v>151</v>
      </c>
      <c r="DB405" s="27" t="s">
        <v>151</v>
      </c>
      <c r="DC405" s="27" t="s">
        <v>134</v>
      </c>
      <c r="DD405" s="27" t="s">
        <v>182</v>
      </c>
      <c r="DE405" s="27" t="s">
        <v>204</v>
      </c>
      <c r="DF405" s="27" t="s">
        <v>169</v>
      </c>
      <c r="DG405" s="27" t="s">
        <v>134</v>
      </c>
      <c r="DH405" s="27" t="s">
        <v>154</v>
      </c>
      <c r="DI405" s="27" t="s">
        <v>218</v>
      </c>
      <c r="DJ405" s="27" t="s">
        <v>219</v>
      </c>
      <c r="DK405" s="27" t="s">
        <v>134</v>
      </c>
      <c r="DL405" s="27" t="s">
        <v>174</v>
      </c>
      <c r="DM405" s="27" t="s">
        <v>161</v>
      </c>
      <c r="DN405" s="27" t="s">
        <v>169</v>
      </c>
      <c r="DO405" s="27" t="s">
        <v>134</v>
      </c>
      <c r="DP405" s="27" t="s">
        <v>706</v>
      </c>
      <c r="DQ405" s="27" t="s">
        <v>619</v>
      </c>
      <c r="DR405" s="27" t="s">
        <v>706</v>
      </c>
      <c r="DS405" s="27" t="s">
        <v>480</v>
      </c>
      <c r="DT405" s="27" t="s">
        <v>182</v>
      </c>
      <c r="DU405" s="27" t="s">
        <v>220</v>
      </c>
      <c r="DV405" s="27" t="s">
        <v>219</v>
      </c>
      <c r="DW405" s="27" t="s">
        <v>386</v>
      </c>
      <c r="DX405" s="27" t="s">
        <v>138</v>
      </c>
      <c r="DY405" s="27" t="s">
        <v>178</v>
      </c>
      <c r="DZ405" s="27" t="n">
        <f aca="false">DY405+DV405+DR405+DN405+DJ405+DF405+DB405</f>
        <v>521</v>
      </c>
      <c r="EA405" s="28" t="n">
        <f aca="false">DZ405/7</f>
        <v>74.4285714285714</v>
      </c>
      <c r="EB405" s="27" t="n">
        <f aca="false">RANK(EA405,$EA$2:$EA$881,0)</f>
        <v>552</v>
      </c>
      <c r="EC405" s="29" t="n">
        <f aca="false">DZ405+CQ405+CP405+AZ405</f>
        <v>2478</v>
      </c>
      <c r="ED405" s="30" t="n">
        <f aca="false">(EA405+CV405+BB405)/3</f>
        <v>78.7476190476191</v>
      </c>
      <c r="EE405" s="51" t="n">
        <f aca="false">ROUND(BE405,3)</f>
        <v>84.85</v>
      </c>
      <c r="EF405" s="51" t="n">
        <f aca="false">ROUND(CR405,3)</f>
        <v>89</v>
      </c>
      <c r="EG405" s="51" t="n">
        <f aca="false">ROUND(CS405,3)</f>
        <v>80.429</v>
      </c>
      <c r="EH405" s="51" t="n">
        <f aca="false">ROUND(EA405,3)</f>
        <v>74.429</v>
      </c>
      <c r="EI405" s="51" t="n">
        <f aca="false">ROUND(ED405,3)</f>
        <v>78.748</v>
      </c>
      <c r="EJ405" s="51" t="n">
        <f aca="false">ROUND(CV405,3)</f>
        <v>84.714</v>
      </c>
      <c r="EK405" s="0" t="n">
        <f aca="false">RANK(EI405,$EI$2:$EI$881,0)</f>
        <v>404</v>
      </c>
    </row>
    <row r="406" customFormat="false" ht="15" hidden="false" customHeight="false" outlineLevel="0" collapsed="false">
      <c r="A406" s="4" t="n">
        <v>1898</v>
      </c>
      <c r="B406" s="4" t="n">
        <v>688</v>
      </c>
      <c r="C406" s="27" t="s">
        <v>1291</v>
      </c>
      <c r="D406" s="31" t="n">
        <v>702</v>
      </c>
      <c r="E406" s="16" t="n">
        <v>230225369</v>
      </c>
      <c r="F406" s="56" t="s">
        <v>1292</v>
      </c>
      <c r="G406" s="22" t="s">
        <v>1293</v>
      </c>
      <c r="H406" s="22" t="s">
        <v>326</v>
      </c>
      <c r="I406" s="57"/>
      <c r="J406" s="16" t="n">
        <v>72</v>
      </c>
      <c r="K406" s="16" t="n">
        <v>81</v>
      </c>
      <c r="L406" s="34" t="n">
        <f aca="false">(K406*70)/100</f>
        <v>56.7</v>
      </c>
      <c r="M406" s="34" t="n">
        <f aca="false">ROUNDUP(L406,0)</f>
        <v>57</v>
      </c>
      <c r="N406" s="16" t="n">
        <v>19</v>
      </c>
      <c r="O406" s="34" t="n">
        <f aca="false">N406+L406</f>
        <v>75.7</v>
      </c>
      <c r="P406" s="34" t="n">
        <f aca="false">N406+M406</f>
        <v>76</v>
      </c>
      <c r="Q406" s="16" t="n">
        <v>77</v>
      </c>
      <c r="R406" s="16" t="n">
        <v>86</v>
      </c>
      <c r="S406" s="34" t="n">
        <f aca="false">(R406*70)/100</f>
        <v>60.2</v>
      </c>
      <c r="T406" s="34" t="n">
        <f aca="false">ROUNDUP(S406,0)</f>
        <v>61</v>
      </c>
      <c r="U406" s="16" t="n">
        <v>26</v>
      </c>
      <c r="V406" s="34" t="n">
        <f aca="false">U406+S406</f>
        <v>86.2</v>
      </c>
      <c r="W406" s="34" t="n">
        <f aca="false">U406+T406</f>
        <v>87</v>
      </c>
      <c r="X406" s="16" t="n">
        <v>70</v>
      </c>
      <c r="Y406" s="34" t="n">
        <f aca="false">(X406*70)/100</f>
        <v>49</v>
      </c>
      <c r="Z406" s="34" t="n">
        <f aca="false">ROUNDUP(Y406,0)</f>
        <v>49</v>
      </c>
      <c r="AA406" s="16" t="n">
        <v>25</v>
      </c>
      <c r="AB406" s="34" t="n">
        <f aca="false">AA406+Y406</f>
        <v>74</v>
      </c>
      <c r="AC406" s="34" t="n">
        <f aca="false">AA406+Z406</f>
        <v>74</v>
      </c>
      <c r="AD406" s="32" t="n">
        <f aca="false">X406+R406+Q406+K406+J406</f>
        <v>386</v>
      </c>
      <c r="AE406" s="16" t="n">
        <f aca="false">AD406/5</f>
        <v>77.2</v>
      </c>
      <c r="AF406" s="16" t="n">
        <v>73</v>
      </c>
      <c r="AG406" s="16" t="n">
        <v>75</v>
      </c>
      <c r="AH406" s="16" t="n">
        <v>83</v>
      </c>
      <c r="AI406" s="16" t="n">
        <v>84</v>
      </c>
      <c r="AJ406" s="16" t="n">
        <f aca="false">(AI406*70)/100</f>
        <v>58.8</v>
      </c>
      <c r="AK406" s="35" t="n">
        <f aca="false">ROUNDUP(AJ406,0)</f>
        <v>59</v>
      </c>
      <c r="AL406" s="16" t="n">
        <v>24</v>
      </c>
      <c r="AM406" s="16" t="n">
        <f aca="false">AL406+AJ406</f>
        <v>82.8</v>
      </c>
      <c r="AN406" s="16" t="n">
        <f aca="false">AL406+AK406</f>
        <v>83</v>
      </c>
      <c r="AO406" s="16" t="n">
        <v>78</v>
      </c>
      <c r="AP406" s="36" t="n">
        <f aca="false">(AO406*70)/100</f>
        <v>54.6</v>
      </c>
      <c r="AQ406" s="37" t="n">
        <f aca="false">ROUNDUP(AP406,0)</f>
        <v>55</v>
      </c>
      <c r="AR406" s="16" t="n">
        <v>29</v>
      </c>
      <c r="AS406" s="16" t="n">
        <f aca="false">AR406+AP406</f>
        <v>83.6</v>
      </c>
      <c r="AT406" s="16" t="n">
        <f aca="false">AR406+AQ406</f>
        <v>84</v>
      </c>
      <c r="AU406" s="16" t="n">
        <f aca="false">AO406+AF406+AI406+AH406+AG406</f>
        <v>393</v>
      </c>
      <c r="AV406" s="16" t="n">
        <f aca="false">(AO406+AF406+AI406+AH406+AG406)/5</f>
        <v>78.6</v>
      </c>
      <c r="AW406" s="36" t="n">
        <f aca="false">(AO406+AF406+AI406+AH406+AG406+X406+R406+Q406+K406+J406)</f>
        <v>779</v>
      </c>
      <c r="AX406" s="16" t="n">
        <f aca="false">AW406/10</f>
        <v>77.9</v>
      </c>
      <c r="AY406" s="16" t="n">
        <f aca="false">AS406+AF406+AM406+AH406+AG406+AB406+V406+Q406+O406+J406</f>
        <v>782.3</v>
      </c>
      <c r="AZ406" s="16" t="n">
        <f aca="false">AT406+AF406+AN406+AH406+AG406+AC406+W406+Q406+P406+J406</f>
        <v>784</v>
      </c>
      <c r="BA406" s="16" t="n">
        <f aca="false">AY406/10</f>
        <v>78.23</v>
      </c>
      <c r="BB406" s="16" t="n">
        <f aca="false">AZ406/10</f>
        <v>78.4</v>
      </c>
      <c r="BC406" s="16" t="n">
        <v>2360</v>
      </c>
      <c r="BD406" s="16" t="n">
        <f aca="false">RANK(AX406,$AX$2:$AX$881,0)</f>
        <v>414</v>
      </c>
      <c r="BE406" s="54" t="n">
        <f aca="false">((BC406*100)/2400)*0.4+(AX406*0.6)</f>
        <v>86.0733333333333</v>
      </c>
      <c r="BF406" s="16" t="n">
        <f aca="false">RANK(BE406,$BE$2:$BE$881,0)</f>
        <v>426</v>
      </c>
      <c r="BG406" s="39" t="n">
        <f aca="false">RANK(BB406,$BB$2:$BB$881,0)</f>
        <v>520</v>
      </c>
      <c r="BH406" s="39" t="n">
        <f aca="false">RANK(BC406,$BC$2:$BC$881,0)</f>
        <v>402</v>
      </c>
      <c r="BI406" s="22" t="s">
        <v>130</v>
      </c>
      <c r="BJ406" s="22" t="s">
        <v>129</v>
      </c>
      <c r="BK406" s="40" t="s">
        <v>509</v>
      </c>
      <c r="BL406" s="41" t="n">
        <v>24</v>
      </c>
      <c r="BM406" s="41" t="n">
        <v>46</v>
      </c>
      <c r="BN406" s="41" t="n">
        <v>70</v>
      </c>
      <c r="BO406" s="42" t="n">
        <v>27</v>
      </c>
      <c r="BP406" s="43" t="n">
        <v>58</v>
      </c>
      <c r="BQ406" s="44" t="n">
        <v>85</v>
      </c>
      <c r="BR406" s="42" t="n">
        <v>26</v>
      </c>
      <c r="BS406" s="45" t="n">
        <v>61</v>
      </c>
      <c r="BT406" s="45" t="n">
        <v>87</v>
      </c>
      <c r="BU406" s="46" t="n">
        <v>100</v>
      </c>
      <c r="BV406" s="47" t="n">
        <v>84</v>
      </c>
      <c r="BW406" s="42" t="n">
        <v>99</v>
      </c>
      <c r="BX406" s="48" t="n">
        <v>86</v>
      </c>
      <c r="BY406" s="32" t="n">
        <v>27</v>
      </c>
      <c r="BZ406" s="32" t="n">
        <v>50</v>
      </c>
      <c r="CA406" s="32" t="n">
        <v>77</v>
      </c>
      <c r="CB406" s="32" t="n">
        <v>22</v>
      </c>
      <c r="CC406" s="32" t="n">
        <v>41</v>
      </c>
      <c r="CD406" s="32" t="n">
        <v>63</v>
      </c>
      <c r="CE406" s="32" t="n">
        <v>15</v>
      </c>
      <c r="CF406" s="32" t="n">
        <v>55</v>
      </c>
      <c r="CG406" s="32" t="n">
        <v>70</v>
      </c>
      <c r="CH406" s="32" t="n">
        <v>93</v>
      </c>
      <c r="CI406" s="32" t="n">
        <v>86</v>
      </c>
      <c r="CJ406" s="49" t="n">
        <v>20</v>
      </c>
      <c r="CK406" s="49" t="n">
        <v>50</v>
      </c>
      <c r="CL406" s="49" t="n">
        <v>70</v>
      </c>
      <c r="CM406" s="49" t="n">
        <v>24</v>
      </c>
      <c r="CN406" s="49" t="n">
        <v>54</v>
      </c>
      <c r="CO406" s="49" t="n">
        <v>78</v>
      </c>
      <c r="CP406" s="25" t="n">
        <f aca="false">BX406+BW406+BV406+BU406+BT406+BQ406+BN406</f>
        <v>611</v>
      </c>
      <c r="CQ406" s="25" t="n">
        <f aca="false">CO406+CL406+CI406+CH406+CG406+CD406+CA406</f>
        <v>537</v>
      </c>
      <c r="CR406" s="26" t="n">
        <f aca="false">CP406/7</f>
        <v>87.2857142857143</v>
      </c>
      <c r="CS406" s="26" t="n">
        <f aca="false">CQ406/7</f>
        <v>76.7142857142857</v>
      </c>
      <c r="CT406" s="24" t="n">
        <f aca="false">RANK(CR406,$CR$2:$CR$881,0)</f>
        <v>346</v>
      </c>
      <c r="CU406" s="25" t="n">
        <f aca="false">RANK(CS406,$CS$2:$CS$881,0)</f>
        <v>375</v>
      </c>
      <c r="CV406" s="26" t="n">
        <f aca="false">(CS406+CR406)/2</f>
        <v>82</v>
      </c>
      <c r="CW406" s="25" t="n">
        <f aca="false">RANK(CV406,$CV$2:$CV$881,0)</f>
        <v>340</v>
      </c>
      <c r="CX406" s="50" t="n">
        <f aca="false">(CV406+BB406)/2</f>
        <v>80.2</v>
      </c>
      <c r="CY406" s="50" t="n">
        <v>366</v>
      </c>
      <c r="CZ406" s="27" t="s">
        <v>132</v>
      </c>
      <c r="DA406" s="27" t="s">
        <v>305</v>
      </c>
      <c r="DB406" s="27" t="s">
        <v>305</v>
      </c>
      <c r="DC406" s="27" t="s">
        <v>134</v>
      </c>
      <c r="DD406" s="27" t="s">
        <v>195</v>
      </c>
      <c r="DE406" s="27" t="s">
        <v>204</v>
      </c>
      <c r="DF406" s="27" t="s">
        <v>219</v>
      </c>
      <c r="DG406" s="27" t="s">
        <v>134</v>
      </c>
      <c r="DH406" s="27" t="s">
        <v>174</v>
      </c>
      <c r="DI406" s="27" t="s">
        <v>204</v>
      </c>
      <c r="DJ406" s="27" t="s">
        <v>196</v>
      </c>
      <c r="DK406" s="27" t="s">
        <v>134</v>
      </c>
      <c r="DL406" s="27" t="s">
        <v>191</v>
      </c>
      <c r="DM406" s="27" t="s">
        <v>313</v>
      </c>
      <c r="DN406" s="27" t="s">
        <v>398</v>
      </c>
      <c r="DO406" s="27" t="s">
        <v>134</v>
      </c>
      <c r="DP406" s="27" t="s">
        <v>191</v>
      </c>
      <c r="DQ406" s="27" t="s">
        <v>442</v>
      </c>
      <c r="DR406" s="27" t="s">
        <v>138</v>
      </c>
      <c r="DS406" s="27" t="s">
        <v>134</v>
      </c>
      <c r="DT406" s="27" t="s">
        <v>135</v>
      </c>
      <c r="DU406" s="27" t="s">
        <v>479</v>
      </c>
      <c r="DV406" s="27" t="s">
        <v>152</v>
      </c>
      <c r="DW406" s="27" t="s">
        <v>195</v>
      </c>
      <c r="DX406" s="27" t="s">
        <v>163</v>
      </c>
      <c r="DY406" s="27" t="s">
        <v>202</v>
      </c>
      <c r="DZ406" s="27" t="n">
        <f aca="false">DY406+DV406+DR406+DN406+DJ406+DF406+DB406</f>
        <v>530</v>
      </c>
      <c r="EA406" s="28" t="n">
        <f aca="false">DZ406/7</f>
        <v>75.7142857142857</v>
      </c>
      <c r="EB406" s="27" t="n">
        <f aca="false">RANK(EA406,$EA$2:$EA$881,0)</f>
        <v>527</v>
      </c>
      <c r="EC406" s="29" t="n">
        <f aca="false">DZ406+CQ406+CP406+AZ406</f>
        <v>2462</v>
      </c>
      <c r="ED406" s="30" t="n">
        <f aca="false">(EA406+CV406+BB406)/3</f>
        <v>78.7047619047619</v>
      </c>
      <c r="EE406" s="51" t="n">
        <f aca="false">ROUND(BE406,3)</f>
        <v>86.073</v>
      </c>
      <c r="EF406" s="51" t="n">
        <f aca="false">ROUND(CR406,3)</f>
        <v>87.286</v>
      </c>
      <c r="EG406" s="51" t="n">
        <f aca="false">ROUND(CS406,3)</f>
        <v>76.714</v>
      </c>
      <c r="EH406" s="51" t="n">
        <f aca="false">ROUND(EA406,3)</f>
        <v>75.714</v>
      </c>
      <c r="EI406" s="51" t="n">
        <f aca="false">ROUND(ED406,3)</f>
        <v>78.705</v>
      </c>
      <c r="EJ406" s="51" t="n">
        <f aca="false">ROUND(CV406,3)</f>
        <v>82</v>
      </c>
      <c r="EK406" s="0" t="n">
        <f aca="false">RANK(EI406,$EI$2:$EI$881,0)</f>
        <v>405</v>
      </c>
    </row>
    <row r="407" customFormat="false" ht="15" hidden="false" customHeight="false" outlineLevel="0" collapsed="false">
      <c r="A407" s="4" t="n">
        <v>1809</v>
      </c>
      <c r="B407" s="4" t="n">
        <v>366</v>
      </c>
      <c r="C407" s="27" t="s">
        <v>1294</v>
      </c>
      <c r="D407" s="31" t="n">
        <v>371</v>
      </c>
      <c r="E407" s="16" t="n">
        <v>230912401</v>
      </c>
      <c r="F407" s="56" t="s">
        <v>1295</v>
      </c>
      <c r="G407" s="22" t="s">
        <v>217</v>
      </c>
      <c r="H407" s="22" t="s">
        <v>326</v>
      </c>
      <c r="I407" s="57"/>
      <c r="J407" s="16" t="n">
        <v>80</v>
      </c>
      <c r="K407" s="16" t="n">
        <v>79</v>
      </c>
      <c r="L407" s="34" t="n">
        <f aca="false">(K407*70)/100</f>
        <v>55.3</v>
      </c>
      <c r="M407" s="34" t="n">
        <f aca="false">ROUNDUP(L407,0)</f>
        <v>56</v>
      </c>
      <c r="N407" s="16" t="n">
        <v>25</v>
      </c>
      <c r="O407" s="34" t="n">
        <f aca="false">N407+L407</f>
        <v>80.3</v>
      </c>
      <c r="P407" s="34" t="n">
        <f aca="false">N407+M407</f>
        <v>81</v>
      </c>
      <c r="Q407" s="16" t="n">
        <v>71</v>
      </c>
      <c r="R407" s="16" t="n">
        <v>75</v>
      </c>
      <c r="S407" s="34" t="n">
        <f aca="false">(R407*70)/100</f>
        <v>52.5</v>
      </c>
      <c r="T407" s="34" t="n">
        <f aca="false">ROUNDUP(S407,0)</f>
        <v>53</v>
      </c>
      <c r="U407" s="16" t="n">
        <v>25</v>
      </c>
      <c r="V407" s="34" t="n">
        <f aca="false">U407+S407</f>
        <v>77.5</v>
      </c>
      <c r="W407" s="34" t="n">
        <f aca="false">U407+T407</f>
        <v>78</v>
      </c>
      <c r="X407" s="16" t="n">
        <v>65</v>
      </c>
      <c r="Y407" s="34" t="n">
        <f aca="false">(X407*70)/100</f>
        <v>45.5</v>
      </c>
      <c r="Z407" s="34" t="n">
        <f aca="false">ROUNDUP(Y407,0)</f>
        <v>46</v>
      </c>
      <c r="AA407" s="16" t="n">
        <v>28</v>
      </c>
      <c r="AB407" s="34" t="n">
        <f aca="false">AA407+Y407</f>
        <v>73.5</v>
      </c>
      <c r="AC407" s="34" t="n">
        <f aca="false">AA407+Z407</f>
        <v>74</v>
      </c>
      <c r="AD407" s="32" t="n">
        <f aca="false">X407+R407+Q407+K407+J407</f>
        <v>370</v>
      </c>
      <c r="AE407" s="16" t="n">
        <f aca="false">AD407/5</f>
        <v>74</v>
      </c>
      <c r="AF407" s="16" t="n">
        <v>70</v>
      </c>
      <c r="AG407" s="16" t="n">
        <v>85</v>
      </c>
      <c r="AH407" s="16" t="n">
        <v>84</v>
      </c>
      <c r="AI407" s="16" t="n">
        <v>78</v>
      </c>
      <c r="AJ407" s="16" t="n">
        <f aca="false">(AI407*70)/100</f>
        <v>54.6</v>
      </c>
      <c r="AK407" s="35" t="n">
        <f aca="false">ROUNDUP(AJ407,0)</f>
        <v>55</v>
      </c>
      <c r="AL407" s="16" t="n">
        <v>21</v>
      </c>
      <c r="AM407" s="16" t="n">
        <f aca="false">AL407+AJ407</f>
        <v>75.6</v>
      </c>
      <c r="AN407" s="16" t="n">
        <f aca="false">AL407+AK407</f>
        <v>76</v>
      </c>
      <c r="AO407" s="16" t="n">
        <v>73</v>
      </c>
      <c r="AP407" s="36" t="n">
        <f aca="false">(AO407*70)/100</f>
        <v>51.1</v>
      </c>
      <c r="AQ407" s="37" t="n">
        <f aca="false">ROUNDUP(AP407,0)</f>
        <v>52</v>
      </c>
      <c r="AR407" s="16" t="n">
        <v>25</v>
      </c>
      <c r="AS407" s="16" t="n">
        <f aca="false">AR407+AP407</f>
        <v>76.1</v>
      </c>
      <c r="AT407" s="16" t="n">
        <f aca="false">AR407+AQ407</f>
        <v>77</v>
      </c>
      <c r="AU407" s="16" t="n">
        <f aca="false">AO407+AF407+AI407+AH407+AG407</f>
        <v>390</v>
      </c>
      <c r="AV407" s="16" t="n">
        <f aca="false">(AO407+AF407+AI407+AH407+AG407)/5</f>
        <v>78</v>
      </c>
      <c r="AW407" s="36" t="n">
        <f aca="false">(AO407+AF407+AI407+AH407+AG407+X407+R407+Q407+K407+J407)</f>
        <v>760</v>
      </c>
      <c r="AX407" s="16" t="n">
        <f aca="false">AW407/10</f>
        <v>76</v>
      </c>
      <c r="AY407" s="16" t="n">
        <f aca="false">AS407+AF407+AM407+AH407+AG407+AB407+V407+Q407+O407+J407</f>
        <v>773</v>
      </c>
      <c r="AZ407" s="16" t="n">
        <f aca="false">AT407+AF407+AN407+AH407+AG407+AC407+W407+Q407+P407+J407</f>
        <v>776</v>
      </c>
      <c r="BA407" s="16" t="n">
        <f aca="false">AY407/10</f>
        <v>77.3</v>
      </c>
      <c r="BB407" s="16" t="n">
        <f aca="false">AZ407/10</f>
        <v>77.6</v>
      </c>
      <c r="BC407" s="16" t="n">
        <v>2351</v>
      </c>
      <c r="BD407" s="16" t="n">
        <f aca="false">RANK(AX407,$AX$2:$AX$881,0)</f>
        <v>616</v>
      </c>
      <c r="BE407" s="73" t="n">
        <f aca="false">((BC407*100)/2400)*0.4+(AX407*0.6)</f>
        <v>84.7833333333333</v>
      </c>
      <c r="BF407" s="16" t="n">
        <f aca="false">RANK(BE407,$BE$2:$BE$881,0)</f>
        <v>663</v>
      </c>
      <c r="BG407" s="39" t="n">
        <f aca="false">RANK(BB407,$BB$2:$BB$881,0)</f>
        <v>596</v>
      </c>
      <c r="BH407" s="39" t="n">
        <f aca="false">RANK(BC407,$BC$2:$BC$881,0)</f>
        <v>520</v>
      </c>
      <c r="BI407" s="22" t="s">
        <v>130</v>
      </c>
      <c r="BJ407" s="22" t="s">
        <v>129</v>
      </c>
      <c r="BK407" s="22" t="s">
        <v>509</v>
      </c>
      <c r="BL407" s="41" t="n">
        <v>19</v>
      </c>
      <c r="BM407" s="41" t="n">
        <v>41</v>
      </c>
      <c r="BN407" s="41" t="n">
        <v>60</v>
      </c>
      <c r="BO407" s="42" t="n">
        <v>24</v>
      </c>
      <c r="BP407" s="43" t="n">
        <v>47</v>
      </c>
      <c r="BQ407" s="44" t="n">
        <v>71</v>
      </c>
      <c r="BR407" s="42" t="n">
        <v>25</v>
      </c>
      <c r="BS407" s="45" t="n">
        <v>54</v>
      </c>
      <c r="BT407" s="45" t="n">
        <v>79</v>
      </c>
      <c r="BU407" s="46" t="n">
        <v>100</v>
      </c>
      <c r="BV407" s="47" t="n">
        <v>90</v>
      </c>
      <c r="BW407" s="42" t="n">
        <v>95</v>
      </c>
      <c r="BX407" s="24" t="n">
        <v>92</v>
      </c>
      <c r="BY407" s="32" t="n">
        <v>27</v>
      </c>
      <c r="BZ407" s="32" t="n">
        <v>39</v>
      </c>
      <c r="CA407" s="32" t="n">
        <v>66</v>
      </c>
      <c r="CB407" s="32" t="n">
        <v>16</v>
      </c>
      <c r="CC407" s="32" t="n">
        <v>30</v>
      </c>
      <c r="CD407" s="69" t="n">
        <v>46</v>
      </c>
      <c r="CE407" s="32" t="n">
        <v>28</v>
      </c>
      <c r="CF407" s="32" t="n">
        <v>47</v>
      </c>
      <c r="CG407" s="32" t="n">
        <v>75</v>
      </c>
      <c r="CH407" s="32" t="n">
        <v>98</v>
      </c>
      <c r="CI407" s="32" t="n">
        <v>95</v>
      </c>
      <c r="CJ407" s="25" t="n">
        <v>18</v>
      </c>
      <c r="CK407" s="25" t="n">
        <v>48</v>
      </c>
      <c r="CL407" s="24" t="n">
        <v>66</v>
      </c>
      <c r="CM407" s="49" t="n">
        <v>24</v>
      </c>
      <c r="CN407" s="49" t="n">
        <v>44</v>
      </c>
      <c r="CO407" s="49" t="n">
        <v>68</v>
      </c>
      <c r="CP407" s="25" t="n">
        <f aca="false">BX407+BW407+BV407+BU407+BT407+BQ407+BN407</f>
        <v>587</v>
      </c>
      <c r="CQ407" s="25" t="n">
        <f aca="false">CO407+CL407+CI407+CH407+CG407+CD407+CA407</f>
        <v>514</v>
      </c>
      <c r="CR407" s="26" t="n">
        <f aca="false">CP407/7</f>
        <v>83.8571428571429</v>
      </c>
      <c r="CS407" s="26" t="n">
        <f aca="false">CQ407/7</f>
        <v>73.4285714285714</v>
      </c>
      <c r="CT407" s="24" t="n">
        <f aca="false">RANK(CR407,$CR$2:$CR$881,0)</f>
        <v>492</v>
      </c>
      <c r="CU407" s="25" t="n">
        <f aca="false">RANK(CS407,$CS$2:$CS$881,0)</f>
        <v>474</v>
      </c>
      <c r="CV407" s="26" t="n">
        <f aca="false">(CS407+CR407)/2</f>
        <v>78.6428571428571</v>
      </c>
      <c r="CW407" s="25" t="n">
        <f aca="false">RANK(CV407,$CV$2:$CV$881,0)</f>
        <v>476</v>
      </c>
      <c r="CX407" s="50" t="n">
        <f aca="false">(CV407+BB407)/2</f>
        <v>78.1214285714286</v>
      </c>
      <c r="CY407" s="50" t="n">
        <v>483</v>
      </c>
      <c r="CZ407" s="27" t="s">
        <v>132</v>
      </c>
      <c r="DA407" s="27" t="s">
        <v>202</v>
      </c>
      <c r="DB407" s="27" t="s">
        <v>202</v>
      </c>
      <c r="DC407" s="27" t="s">
        <v>134</v>
      </c>
      <c r="DD407" s="27" t="s">
        <v>135</v>
      </c>
      <c r="DE407" s="27" t="s">
        <v>306</v>
      </c>
      <c r="DF407" s="27" t="s">
        <v>219</v>
      </c>
      <c r="DG407" s="27" t="s">
        <v>134</v>
      </c>
      <c r="DH407" s="27" t="s">
        <v>164</v>
      </c>
      <c r="DI407" s="27" t="s">
        <v>183</v>
      </c>
      <c r="DJ407" s="27" t="s">
        <v>175</v>
      </c>
      <c r="DK407" s="27" t="s">
        <v>134</v>
      </c>
      <c r="DL407" s="27" t="s">
        <v>137</v>
      </c>
      <c r="DM407" s="27" t="s">
        <v>447</v>
      </c>
      <c r="DN407" s="27" t="s">
        <v>272</v>
      </c>
      <c r="DO407" s="27" t="s">
        <v>134</v>
      </c>
      <c r="DP407" s="27" t="s">
        <v>174</v>
      </c>
      <c r="DQ407" s="27" t="s">
        <v>681</v>
      </c>
      <c r="DR407" s="27" t="s">
        <v>143</v>
      </c>
      <c r="DS407" s="27" t="s">
        <v>134</v>
      </c>
      <c r="DT407" s="27" t="s">
        <v>160</v>
      </c>
      <c r="DU407" s="27" t="s">
        <v>906</v>
      </c>
      <c r="DV407" s="27" t="s">
        <v>187</v>
      </c>
      <c r="DW407" s="27" t="s">
        <v>164</v>
      </c>
      <c r="DX407" s="27" t="s">
        <v>143</v>
      </c>
      <c r="DY407" s="27" t="s">
        <v>139</v>
      </c>
      <c r="DZ407" s="27" t="n">
        <f aca="false">DY407+DV407+DR407+DN407+DJ407+DF407+DB407</f>
        <v>559</v>
      </c>
      <c r="EA407" s="28" t="n">
        <f aca="false">DZ407/7</f>
        <v>79.8571428571429</v>
      </c>
      <c r="EB407" s="27" t="n">
        <f aca="false">RANK(EA407,$EA$2:$EA$881,0)</f>
        <v>399</v>
      </c>
      <c r="EC407" s="29" t="n">
        <f aca="false">DZ407+CQ407+CP407+AZ407</f>
        <v>2436</v>
      </c>
      <c r="ED407" s="30" t="n">
        <f aca="false">(EA407+CV407+BB407)/3</f>
        <v>78.7</v>
      </c>
      <c r="EE407" s="51" t="n">
        <f aca="false">ROUND(BE407,3)</f>
        <v>84.783</v>
      </c>
      <c r="EF407" s="51" t="n">
        <f aca="false">ROUND(CR407,3)</f>
        <v>83.857</v>
      </c>
      <c r="EG407" s="51" t="n">
        <f aca="false">ROUND(CS407,3)</f>
        <v>73.429</v>
      </c>
      <c r="EH407" s="51" t="n">
        <f aca="false">ROUND(EA407,3)</f>
        <v>79.857</v>
      </c>
      <c r="EI407" s="51" t="n">
        <f aca="false">ROUND(ED407,3)</f>
        <v>78.7</v>
      </c>
      <c r="EJ407" s="51" t="n">
        <f aca="false">ROUND(CV407,3)</f>
        <v>78.643</v>
      </c>
      <c r="EK407" s="0" t="n">
        <f aca="false">RANK(EI407,$EI$2:$EI$881,0)</f>
        <v>406</v>
      </c>
    </row>
    <row r="408" customFormat="false" ht="15" hidden="false" customHeight="false" outlineLevel="0" collapsed="false">
      <c r="A408" s="4" t="n">
        <v>9103</v>
      </c>
      <c r="B408" s="4" t="n">
        <v>576</v>
      </c>
      <c r="C408" s="27" t="s">
        <v>1296</v>
      </c>
      <c r="D408" s="31" t="n">
        <v>581</v>
      </c>
      <c r="E408" s="16" t="n">
        <v>230247447</v>
      </c>
      <c r="F408" s="56" t="s">
        <v>1297</v>
      </c>
      <c r="G408" s="22" t="s">
        <v>553</v>
      </c>
      <c r="H408" s="22" t="s">
        <v>326</v>
      </c>
      <c r="I408" s="57"/>
      <c r="J408" s="16" t="n">
        <v>83</v>
      </c>
      <c r="K408" s="16" t="n">
        <v>69</v>
      </c>
      <c r="L408" s="34" t="n">
        <f aca="false">(K408*70)/100</f>
        <v>48.3</v>
      </c>
      <c r="M408" s="34" t="n">
        <f aca="false">ROUNDUP(L408,0)</f>
        <v>49</v>
      </c>
      <c r="N408" s="16" t="n">
        <v>27</v>
      </c>
      <c r="O408" s="34" t="n">
        <f aca="false">N408+L408</f>
        <v>75.3</v>
      </c>
      <c r="P408" s="34" t="n">
        <f aca="false">N408+M408</f>
        <v>76</v>
      </c>
      <c r="Q408" s="16" t="n">
        <v>84</v>
      </c>
      <c r="R408" s="16" t="n">
        <v>75</v>
      </c>
      <c r="S408" s="34" t="n">
        <f aca="false">(R408*70)/100</f>
        <v>52.5</v>
      </c>
      <c r="T408" s="34" t="n">
        <f aca="false">ROUNDUP(S408,0)</f>
        <v>53</v>
      </c>
      <c r="U408" s="16" t="n">
        <v>25</v>
      </c>
      <c r="V408" s="34" t="n">
        <f aca="false">U408+S408</f>
        <v>77.5</v>
      </c>
      <c r="W408" s="34" t="n">
        <f aca="false">U408+T408</f>
        <v>78</v>
      </c>
      <c r="X408" s="16" t="n">
        <v>65</v>
      </c>
      <c r="Y408" s="34" t="n">
        <f aca="false">(X408*70)/100</f>
        <v>45.5</v>
      </c>
      <c r="Z408" s="34" t="n">
        <f aca="false">ROUNDUP(Y408,0)</f>
        <v>46</v>
      </c>
      <c r="AA408" s="16" t="n">
        <v>28</v>
      </c>
      <c r="AB408" s="34" t="n">
        <f aca="false">AA408+Y408</f>
        <v>73.5</v>
      </c>
      <c r="AC408" s="34" t="n">
        <f aca="false">AA408+Z408</f>
        <v>74</v>
      </c>
      <c r="AD408" s="32" t="n">
        <f aca="false">X408+R408+Q408+K408+J408</f>
        <v>376</v>
      </c>
      <c r="AE408" s="16" t="n">
        <f aca="false">AD408/5</f>
        <v>75.2</v>
      </c>
      <c r="AF408" s="16" t="n">
        <v>76</v>
      </c>
      <c r="AG408" s="16" t="n">
        <v>94</v>
      </c>
      <c r="AH408" s="16" t="n">
        <v>86</v>
      </c>
      <c r="AI408" s="16" t="n">
        <v>89</v>
      </c>
      <c r="AJ408" s="16" t="n">
        <f aca="false">(AI408*70)/100</f>
        <v>62.3</v>
      </c>
      <c r="AK408" s="35" t="n">
        <f aca="false">ROUNDUP(AJ408,0)</f>
        <v>63</v>
      </c>
      <c r="AL408" s="16" t="n">
        <v>30</v>
      </c>
      <c r="AM408" s="16" t="n">
        <f aca="false">AL408+AJ408</f>
        <v>92.3</v>
      </c>
      <c r="AN408" s="16" t="n">
        <f aca="false">AL408+AK408</f>
        <v>93</v>
      </c>
      <c r="AO408" s="16" t="n">
        <v>74</v>
      </c>
      <c r="AP408" s="36" t="n">
        <f aca="false">(AO408*70)/100</f>
        <v>51.8</v>
      </c>
      <c r="AQ408" s="37" t="n">
        <f aca="false">ROUNDUP(AP408,0)</f>
        <v>52</v>
      </c>
      <c r="AR408" s="16" t="n">
        <v>30</v>
      </c>
      <c r="AS408" s="16" t="n">
        <f aca="false">AR408+AP408</f>
        <v>81.8</v>
      </c>
      <c r="AT408" s="16" t="n">
        <f aca="false">AR408+AQ408</f>
        <v>82</v>
      </c>
      <c r="AU408" s="16" t="n">
        <f aca="false">AO408+AF408+AI408+AH408+AG408</f>
        <v>419</v>
      </c>
      <c r="AV408" s="16" t="n">
        <f aca="false">(AO408+AF408+AI408+AH408+AG408)/5</f>
        <v>83.8</v>
      </c>
      <c r="AW408" s="36" t="n">
        <f aca="false">(AO408+AF408+AI408+AH408+AG408+X408+R408+Q408+K408+J408)</f>
        <v>795</v>
      </c>
      <c r="AX408" s="16" t="n">
        <f aca="false">AW408/10</f>
        <v>79.5</v>
      </c>
      <c r="AY408" s="16" t="n">
        <f aca="false">AS408+AF408+AM408+AH408+AG408+AB408+V408+Q408+O408+J408</f>
        <v>823.4</v>
      </c>
      <c r="AZ408" s="16" t="n">
        <f aca="false">AT408+AF408+AN408+AH408+AG408+AC408+W408+Q408+P408+J408</f>
        <v>826</v>
      </c>
      <c r="BA408" s="16" t="n">
        <f aca="false">AY408/10</f>
        <v>82.34</v>
      </c>
      <c r="BB408" s="16" t="n">
        <f aca="false">AZ408/10</f>
        <v>82.6</v>
      </c>
      <c r="BC408" s="16" t="n">
        <v>2364</v>
      </c>
      <c r="BD408" s="16" t="n">
        <f aca="false">RANK(AX408,$AX$2:$AX$881,0)</f>
        <v>300</v>
      </c>
      <c r="BE408" s="54" t="n">
        <f aca="false">((BC408*100)/2400)*0.4+(AX408*0.6)</f>
        <v>87.1</v>
      </c>
      <c r="BF408" s="16" t="n">
        <f aca="false">RANK(BE408,$BE$2:$BE$881,0)</f>
        <v>290</v>
      </c>
      <c r="BG408" s="39" t="n">
        <f aca="false">RANK(BB408,$BB$2:$BB$881,0)</f>
        <v>178</v>
      </c>
      <c r="BH408" s="39" t="n">
        <f aca="false">RANK(BC408,$BC$2:$BC$881,0)</f>
        <v>347</v>
      </c>
      <c r="BI408" s="22" t="s">
        <v>130</v>
      </c>
      <c r="BJ408" s="22" t="s">
        <v>129</v>
      </c>
      <c r="BK408" s="40" t="s">
        <v>131</v>
      </c>
      <c r="BL408" s="41" t="n">
        <v>25</v>
      </c>
      <c r="BM408" s="41" t="n">
        <v>60</v>
      </c>
      <c r="BN408" s="41" t="n">
        <v>85</v>
      </c>
      <c r="BO408" s="42" t="n">
        <v>22</v>
      </c>
      <c r="BP408" s="43" t="n">
        <v>57</v>
      </c>
      <c r="BQ408" s="44" t="n">
        <v>79</v>
      </c>
      <c r="BR408" s="42" t="n">
        <v>28</v>
      </c>
      <c r="BS408" s="45" t="n">
        <v>59</v>
      </c>
      <c r="BT408" s="45" t="n">
        <v>87</v>
      </c>
      <c r="BU408" s="46" t="n">
        <v>98</v>
      </c>
      <c r="BV408" s="47" t="n">
        <v>90</v>
      </c>
      <c r="BW408" s="42" t="n">
        <v>96</v>
      </c>
      <c r="BX408" s="48" t="n">
        <v>94</v>
      </c>
      <c r="BY408" s="32" t="n">
        <v>25</v>
      </c>
      <c r="BZ408" s="32" t="n">
        <v>48</v>
      </c>
      <c r="CA408" s="32" t="n">
        <v>73</v>
      </c>
      <c r="CB408" s="32" t="n">
        <v>22</v>
      </c>
      <c r="CC408" s="32" t="n">
        <v>46</v>
      </c>
      <c r="CD408" s="32" t="n">
        <v>68</v>
      </c>
      <c r="CE408" s="32" t="n">
        <v>26</v>
      </c>
      <c r="CF408" s="32" t="n">
        <v>60</v>
      </c>
      <c r="CG408" s="32" t="n">
        <v>86</v>
      </c>
      <c r="CH408" s="32" t="n">
        <v>98</v>
      </c>
      <c r="CI408" s="32" t="n">
        <v>99</v>
      </c>
      <c r="CJ408" s="49" t="n">
        <v>16</v>
      </c>
      <c r="CK408" s="49" t="n">
        <v>54</v>
      </c>
      <c r="CL408" s="49" t="n">
        <v>70</v>
      </c>
      <c r="CM408" s="49" t="n">
        <v>18</v>
      </c>
      <c r="CN408" s="49" t="n">
        <v>47</v>
      </c>
      <c r="CO408" s="49" t="n">
        <v>65</v>
      </c>
      <c r="CP408" s="25" t="n">
        <f aca="false">BX408+BW408+BV408+BU408+BT408+BQ408+BN408</f>
        <v>629</v>
      </c>
      <c r="CQ408" s="25" t="n">
        <f aca="false">CO408+CL408+CI408+CH408+CG408+CD408+CA408</f>
        <v>559</v>
      </c>
      <c r="CR408" s="26" t="n">
        <f aca="false">CP408/7</f>
        <v>89.8571428571429</v>
      </c>
      <c r="CS408" s="26" t="n">
        <f aca="false">CQ408/7</f>
        <v>79.8571428571429</v>
      </c>
      <c r="CT408" s="24" t="n">
        <f aca="false">RANK(CR408,$CR$2:$CR$881,0)</f>
        <v>193</v>
      </c>
      <c r="CU408" s="25" t="n">
        <f aca="false">RANK(CS408,$CS$2:$CS$881,0)</f>
        <v>270</v>
      </c>
      <c r="CV408" s="26" t="n">
        <f aca="false">(CS408+CR408)/2</f>
        <v>84.8571428571429</v>
      </c>
      <c r="CW408" s="25" t="n">
        <f aca="false">RANK(CV408,$CV$2:$CV$881,0)</f>
        <v>220</v>
      </c>
      <c r="CX408" s="50" t="n">
        <f aca="false">(CV408+BB408)/2</f>
        <v>83.7285714285714</v>
      </c>
      <c r="CY408" s="50" t="n">
        <v>173</v>
      </c>
      <c r="CZ408" s="27" t="s">
        <v>132</v>
      </c>
      <c r="DA408" s="27" t="s">
        <v>202</v>
      </c>
      <c r="DB408" s="27" t="s">
        <v>202</v>
      </c>
      <c r="DC408" s="27" t="s">
        <v>134</v>
      </c>
      <c r="DD408" s="27" t="s">
        <v>182</v>
      </c>
      <c r="DE408" s="27" t="s">
        <v>304</v>
      </c>
      <c r="DF408" s="27" t="s">
        <v>305</v>
      </c>
      <c r="DG408" s="27" t="s">
        <v>134</v>
      </c>
      <c r="DH408" s="27"/>
      <c r="DI408" s="27"/>
      <c r="DJ408" s="27"/>
      <c r="DK408" s="27"/>
      <c r="DL408" s="27" t="s">
        <v>135</v>
      </c>
      <c r="DM408" s="27" t="s">
        <v>177</v>
      </c>
      <c r="DN408" s="27" t="s">
        <v>175</v>
      </c>
      <c r="DO408" s="27" t="s">
        <v>134</v>
      </c>
      <c r="DP408" s="27" t="s">
        <v>1000</v>
      </c>
      <c r="DQ408" s="27" t="s">
        <v>313</v>
      </c>
      <c r="DR408" s="27" t="s">
        <v>187</v>
      </c>
      <c r="DS408" s="27" t="s">
        <v>134</v>
      </c>
      <c r="DT408" s="27" t="s">
        <v>140</v>
      </c>
      <c r="DU408" s="27" t="s">
        <v>442</v>
      </c>
      <c r="DV408" s="27" t="s">
        <v>305</v>
      </c>
      <c r="DW408" s="27" t="s">
        <v>174</v>
      </c>
      <c r="DX408" s="27" t="s">
        <v>163</v>
      </c>
      <c r="DY408" s="27" t="s">
        <v>178</v>
      </c>
      <c r="DZ408" s="27" t="n">
        <f aca="false">DY408+DV408+DR408+DN408+DJ408+DF408+DB408</f>
        <v>480</v>
      </c>
      <c r="EA408" s="28" t="n">
        <f aca="false">DZ408/7</f>
        <v>68.5714285714286</v>
      </c>
      <c r="EB408" s="27" t="n">
        <f aca="false">RANK(EA408,$EA$2:$EA$881,0)</f>
        <v>682</v>
      </c>
      <c r="EC408" s="29" t="n">
        <f aca="false">DZ408+CQ408+CP408+AZ408</f>
        <v>2494</v>
      </c>
      <c r="ED408" s="30" t="n">
        <f aca="false">(EA408+CV408+BB408)/3</f>
        <v>78.6761904761905</v>
      </c>
      <c r="EE408" s="51" t="n">
        <f aca="false">ROUND(BE408,3)</f>
        <v>87.1</v>
      </c>
      <c r="EF408" s="51" t="n">
        <f aca="false">ROUND(CR408,3)</f>
        <v>89.857</v>
      </c>
      <c r="EG408" s="51" t="n">
        <f aca="false">ROUND(CS408,3)</f>
        <v>79.857</v>
      </c>
      <c r="EH408" s="51" t="n">
        <f aca="false">ROUND(EA408,3)</f>
        <v>68.571</v>
      </c>
      <c r="EI408" s="51" t="n">
        <f aca="false">ROUND(ED408,3)</f>
        <v>78.676</v>
      </c>
      <c r="EJ408" s="51" t="n">
        <f aca="false">ROUND(CV408,3)</f>
        <v>84.857</v>
      </c>
      <c r="EK408" s="0" t="n">
        <f aca="false">RANK(EI408,$EI$2:$EI$881,0)</f>
        <v>407</v>
      </c>
    </row>
    <row r="409" customFormat="false" ht="15" hidden="false" customHeight="false" outlineLevel="0" collapsed="false">
      <c r="A409" s="4" t="n">
        <v>8918</v>
      </c>
      <c r="B409" s="4" t="n">
        <v>562</v>
      </c>
      <c r="C409" s="27" t="s">
        <v>1298</v>
      </c>
      <c r="D409" s="31" t="n">
        <v>566</v>
      </c>
      <c r="E409" s="32" t="n">
        <v>230312569</v>
      </c>
      <c r="F409" s="8" t="s">
        <v>1299</v>
      </c>
      <c r="G409" s="22" t="s">
        <v>352</v>
      </c>
      <c r="H409" s="22" t="s">
        <v>129</v>
      </c>
      <c r="I409" s="33" t="n">
        <v>2006</v>
      </c>
      <c r="J409" s="32" t="n">
        <v>76</v>
      </c>
      <c r="K409" s="32" t="n">
        <v>91</v>
      </c>
      <c r="L409" s="34" t="n">
        <f aca="false">(K409*70)/100</f>
        <v>63.7</v>
      </c>
      <c r="M409" s="34" t="n">
        <f aca="false">ROUNDUP(L409,0)</f>
        <v>64</v>
      </c>
      <c r="N409" s="32" t="n">
        <v>24</v>
      </c>
      <c r="O409" s="34" t="n">
        <f aca="false">N409+L409</f>
        <v>87.7</v>
      </c>
      <c r="P409" s="34" t="n">
        <f aca="false">N409+M409</f>
        <v>88</v>
      </c>
      <c r="Q409" s="32" t="n">
        <v>75</v>
      </c>
      <c r="R409" s="32" t="n">
        <v>77</v>
      </c>
      <c r="S409" s="34" t="n">
        <f aca="false">(R409*70)/100</f>
        <v>53.9</v>
      </c>
      <c r="T409" s="34" t="n">
        <f aca="false">ROUNDUP(S409,0)</f>
        <v>54</v>
      </c>
      <c r="U409" s="32" t="n">
        <v>21</v>
      </c>
      <c r="V409" s="34" t="n">
        <f aca="false">U409+S409</f>
        <v>74.9</v>
      </c>
      <c r="W409" s="34" t="n">
        <f aca="false">U409+T409</f>
        <v>75</v>
      </c>
      <c r="X409" s="32" t="n">
        <v>79</v>
      </c>
      <c r="Y409" s="34" t="n">
        <f aca="false">(X409*70)/100</f>
        <v>55.3</v>
      </c>
      <c r="Z409" s="34" t="n">
        <f aca="false">ROUNDUP(Y409,0)</f>
        <v>56</v>
      </c>
      <c r="AA409" s="32" t="n">
        <v>24</v>
      </c>
      <c r="AB409" s="34" t="n">
        <f aca="false">AA409+Y409</f>
        <v>79.3</v>
      </c>
      <c r="AC409" s="34" t="n">
        <f aca="false">AA409+Z409</f>
        <v>80</v>
      </c>
      <c r="AD409" s="32" t="n">
        <f aca="false">X409+R409+Q409+K409+J409</f>
        <v>398</v>
      </c>
      <c r="AE409" s="16" t="n">
        <f aca="false">AD409/5</f>
        <v>79.6</v>
      </c>
      <c r="AF409" s="16" t="n">
        <v>78</v>
      </c>
      <c r="AG409" s="16" t="n">
        <v>82</v>
      </c>
      <c r="AH409" s="16" t="n">
        <v>89</v>
      </c>
      <c r="AI409" s="16" t="n">
        <v>84</v>
      </c>
      <c r="AJ409" s="16" t="n">
        <f aca="false">(AI409*70)/100</f>
        <v>58.8</v>
      </c>
      <c r="AK409" s="35" t="n">
        <f aca="false">ROUNDUP(AJ409,0)</f>
        <v>59</v>
      </c>
      <c r="AL409" s="16" t="n">
        <v>21</v>
      </c>
      <c r="AM409" s="16" t="n">
        <f aca="false">AL409+AJ409</f>
        <v>79.8</v>
      </c>
      <c r="AN409" s="16" t="n">
        <f aca="false">AL409+AK409</f>
        <v>80</v>
      </c>
      <c r="AO409" s="16" t="n">
        <v>61</v>
      </c>
      <c r="AP409" s="36" t="n">
        <f aca="false">(AO409*70)/100</f>
        <v>42.7</v>
      </c>
      <c r="AQ409" s="37" t="n">
        <f aca="false">ROUNDUP(AP409,0)</f>
        <v>43</v>
      </c>
      <c r="AR409" s="16" t="n">
        <v>23</v>
      </c>
      <c r="AS409" s="16" t="n">
        <f aca="false">AR409+AP409</f>
        <v>65.7</v>
      </c>
      <c r="AT409" s="16" t="n">
        <f aca="false">AR409+AQ409</f>
        <v>66</v>
      </c>
      <c r="AU409" s="16" t="n">
        <f aca="false">AO409+AF409+AI409+AH409+AG409</f>
        <v>394</v>
      </c>
      <c r="AV409" s="16" t="n">
        <f aca="false">(AO409+AF409+AI409+AH409+AG409)/5</f>
        <v>78.8</v>
      </c>
      <c r="AW409" s="36" t="n">
        <f aca="false">(AO409+AF409+AI409+AH409+AG409+X409+R409+Q409+K409+J409)</f>
        <v>792</v>
      </c>
      <c r="AX409" s="16" t="n">
        <f aca="false">AW409/10</f>
        <v>79.2</v>
      </c>
      <c r="AY409" s="16" t="n">
        <f aca="false">AS409+AF409+AM409+AH409+AG409+AB409+V409+Q409+O409+J409</f>
        <v>787.4</v>
      </c>
      <c r="AZ409" s="16" t="n">
        <f aca="false">AT409+AF409+AN409+AH409+AG409+AC409+W409+Q409+P409+J409</f>
        <v>789</v>
      </c>
      <c r="BA409" s="16" t="n">
        <f aca="false">AY409/10</f>
        <v>78.74</v>
      </c>
      <c r="BB409" s="16" t="n">
        <f aca="false">AZ409/10</f>
        <v>78.9</v>
      </c>
      <c r="BC409" s="16" t="n">
        <v>2384</v>
      </c>
      <c r="BD409" s="16" t="n">
        <f aca="false">RANK(AX409,$AX$2:$AX$881,0)</f>
        <v>316</v>
      </c>
      <c r="BE409" s="54" t="n">
        <f aca="false">((BC409*100)/2400)*0.4+(AX409*0.6)</f>
        <v>87.2533333333333</v>
      </c>
      <c r="BF409" s="16" t="n">
        <f aca="false">RANK(BE409,$BE$2:$BE$881,0)</f>
        <v>274</v>
      </c>
      <c r="BG409" s="39" t="n">
        <f aca="false">RANK(BB409,$BB$2:$BB$881,0)</f>
        <v>463</v>
      </c>
      <c r="BH409" s="39" t="n">
        <f aca="false">RANK(BC409,$BC$2:$BC$881,0)</f>
        <v>109</v>
      </c>
      <c r="BI409" s="22" t="s">
        <v>130</v>
      </c>
      <c r="BJ409" s="22" t="s">
        <v>129</v>
      </c>
      <c r="BK409" s="40" t="s">
        <v>131</v>
      </c>
      <c r="BL409" s="41" t="n">
        <v>25</v>
      </c>
      <c r="BM409" s="41" t="n">
        <v>48</v>
      </c>
      <c r="BN409" s="41" t="n">
        <v>73</v>
      </c>
      <c r="BO409" s="42" t="n">
        <v>22</v>
      </c>
      <c r="BP409" s="43" t="n">
        <v>52</v>
      </c>
      <c r="BQ409" s="44" t="n">
        <v>74</v>
      </c>
      <c r="BR409" s="42" t="n">
        <v>26</v>
      </c>
      <c r="BS409" s="45" t="n">
        <v>46</v>
      </c>
      <c r="BT409" s="45" t="n">
        <v>72</v>
      </c>
      <c r="BU409" s="46" t="n">
        <v>99</v>
      </c>
      <c r="BV409" s="47" t="n">
        <v>92</v>
      </c>
      <c r="BW409" s="42" t="n">
        <v>98</v>
      </c>
      <c r="BX409" s="48" t="n">
        <v>96</v>
      </c>
      <c r="BY409" s="32" t="n">
        <v>23</v>
      </c>
      <c r="BZ409" s="32" t="n">
        <v>45</v>
      </c>
      <c r="CA409" s="32" t="n">
        <v>68</v>
      </c>
      <c r="CB409" s="32" t="n">
        <v>19</v>
      </c>
      <c r="CC409" s="32" t="n">
        <v>34</v>
      </c>
      <c r="CD409" s="69" t="n">
        <v>53</v>
      </c>
      <c r="CE409" s="32" t="n">
        <v>21</v>
      </c>
      <c r="CF409" s="32" t="n">
        <v>51</v>
      </c>
      <c r="CG409" s="32" t="n">
        <v>72</v>
      </c>
      <c r="CH409" s="32" t="n">
        <v>88</v>
      </c>
      <c r="CI409" s="32" t="n">
        <v>92</v>
      </c>
      <c r="CJ409" s="49" t="n">
        <v>25</v>
      </c>
      <c r="CK409" s="49" t="n">
        <v>47</v>
      </c>
      <c r="CL409" s="49" t="n">
        <v>72</v>
      </c>
      <c r="CM409" s="49" t="n">
        <v>19</v>
      </c>
      <c r="CN409" s="49" t="n">
        <v>49</v>
      </c>
      <c r="CO409" s="49" t="n">
        <v>68</v>
      </c>
      <c r="CP409" s="25" t="n">
        <f aca="false">BX409+BW409+BV409+BU409+BT409+BQ409+BN409</f>
        <v>604</v>
      </c>
      <c r="CQ409" s="25" t="n">
        <f aca="false">CO409+CL409+CI409+CH409+CG409+CD409+CA409</f>
        <v>513</v>
      </c>
      <c r="CR409" s="26" t="n">
        <f aca="false">CP409/7</f>
        <v>86.2857142857143</v>
      </c>
      <c r="CS409" s="26" t="n">
        <f aca="false">CQ409/7</f>
        <v>73.2857142857143</v>
      </c>
      <c r="CT409" s="24" t="n">
        <f aca="false">RANK(CR409,$CR$2:$CR$881,0)</f>
        <v>383</v>
      </c>
      <c r="CU409" s="25" t="n">
        <f aca="false">RANK(CS409,$CS$2:$CS$881,0)</f>
        <v>478</v>
      </c>
      <c r="CV409" s="26" t="n">
        <f aca="false">(CS409+CR409)/2</f>
        <v>79.7857142857143</v>
      </c>
      <c r="CW409" s="25" t="n">
        <f aca="false">RANK(CV409,$CV$2:$CV$881,0)</f>
        <v>436</v>
      </c>
      <c r="CX409" s="50" t="n">
        <f aca="false">(CV409+BB409)/2</f>
        <v>79.3428571428572</v>
      </c>
      <c r="CY409" s="50" t="n">
        <v>408</v>
      </c>
      <c r="CZ409" s="27" t="s">
        <v>132</v>
      </c>
      <c r="DA409" s="27" t="s">
        <v>133</v>
      </c>
      <c r="DB409" s="27" t="s">
        <v>133</v>
      </c>
      <c r="DC409" s="27" t="s">
        <v>134</v>
      </c>
      <c r="DD409" s="27" t="s">
        <v>154</v>
      </c>
      <c r="DE409" s="27" t="s">
        <v>220</v>
      </c>
      <c r="DF409" s="27" t="s">
        <v>272</v>
      </c>
      <c r="DG409" s="27" t="s">
        <v>134</v>
      </c>
      <c r="DH409" s="27" t="s">
        <v>191</v>
      </c>
      <c r="DI409" s="27" t="s">
        <v>218</v>
      </c>
      <c r="DJ409" s="27" t="s">
        <v>382</v>
      </c>
      <c r="DK409" s="27" t="s">
        <v>134</v>
      </c>
      <c r="DL409" s="27" t="s">
        <v>137</v>
      </c>
      <c r="DM409" s="27" t="s">
        <v>313</v>
      </c>
      <c r="DN409" s="27" t="s">
        <v>305</v>
      </c>
      <c r="DO409" s="27" t="s">
        <v>134</v>
      </c>
      <c r="DP409" s="27" t="s">
        <v>718</v>
      </c>
      <c r="DQ409" s="27" t="s">
        <v>638</v>
      </c>
      <c r="DR409" s="27" t="s">
        <v>218</v>
      </c>
      <c r="DS409" s="27" t="s">
        <v>480</v>
      </c>
      <c r="DT409" s="27" t="s">
        <v>604</v>
      </c>
      <c r="DU409" s="27" t="s">
        <v>218</v>
      </c>
      <c r="DV409" s="27" t="s">
        <v>486</v>
      </c>
      <c r="DW409" s="27" t="s">
        <v>154</v>
      </c>
      <c r="DX409" s="27" t="s">
        <v>187</v>
      </c>
      <c r="DY409" s="27" t="s">
        <v>162</v>
      </c>
      <c r="DZ409" s="27" t="n">
        <f aca="false">DY409+DV409+DR409+DN409+DJ409+DF409+DB409</f>
        <v>541</v>
      </c>
      <c r="EA409" s="28" t="n">
        <f aca="false">DZ409/7</f>
        <v>77.2857142857143</v>
      </c>
      <c r="EB409" s="27" t="n">
        <f aca="false">RANK(EA409,$EA$2:$EA$881,0)</f>
        <v>482</v>
      </c>
      <c r="EC409" s="29" t="n">
        <f aca="false">DZ409+CQ409+CP409+AZ409</f>
        <v>2447</v>
      </c>
      <c r="ED409" s="30" t="n">
        <f aca="false">(EA409+CV409+BB409)/3</f>
        <v>78.6571428571429</v>
      </c>
      <c r="EE409" s="51" t="n">
        <f aca="false">ROUND(BE409,3)</f>
        <v>87.253</v>
      </c>
      <c r="EF409" s="51" t="n">
        <f aca="false">ROUND(CR409,3)</f>
        <v>86.286</v>
      </c>
      <c r="EG409" s="51" t="n">
        <f aca="false">ROUND(CS409,3)</f>
        <v>73.286</v>
      </c>
      <c r="EH409" s="51" t="n">
        <f aca="false">ROUND(EA409,3)</f>
        <v>77.286</v>
      </c>
      <c r="EI409" s="51" t="n">
        <f aca="false">ROUND(ED409,3)</f>
        <v>78.657</v>
      </c>
      <c r="EJ409" s="51" t="n">
        <f aca="false">ROUND(CV409,3)</f>
        <v>79.786</v>
      </c>
      <c r="EK409" s="0" t="n">
        <f aca="false">RANK(EI409,$EI$2:$EI$881,0)</f>
        <v>408</v>
      </c>
    </row>
    <row r="410" customFormat="false" ht="15" hidden="false" customHeight="false" outlineLevel="0" collapsed="false">
      <c r="A410" s="4" t="n">
        <v>2070</v>
      </c>
      <c r="B410" s="4" t="n">
        <v>461</v>
      </c>
      <c r="C410" s="27" t="s">
        <v>1300</v>
      </c>
      <c r="D410" s="31" t="n">
        <v>467</v>
      </c>
      <c r="E410" s="16" t="n">
        <v>230411163</v>
      </c>
      <c r="F410" s="56" t="s">
        <v>1301</v>
      </c>
      <c r="G410" s="22" t="s">
        <v>1302</v>
      </c>
      <c r="H410" s="22" t="s">
        <v>271</v>
      </c>
      <c r="I410" s="57"/>
      <c r="J410" s="16" t="n">
        <v>94</v>
      </c>
      <c r="K410" s="16" t="n">
        <v>63</v>
      </c>
      <c r="L410" s="34" t="n">
        <f aca="false">(K410*70)/100</f>
        <v>44.1</v>
      </c>
      <c r="M410" s="34" t="n">
        <f aca="false">ROUNDUP(L410,0)</f>
        <v>45</v>
      </c>
      <c r="N410" s="16" t="n">
        <v>21</v>
      </c>
      <c r="O410" s="34" t="n">
        <f aca="false">N410+L410</f>
        <v>65.1</v>
      </c>
      <c r="P410" s="34" t="n">
        <f aca="false">N410+M410</f>
        <v>66</v>
      </c>
      <c r="Q410" s="71" t="n">
        <v>59</v>
      </c>
      <c r="R410" s="16" t="n">
        <v>68</v>
      </c>
      <c r="S410" s="34" t="n">
        <f aca="false">(R410*70)/100</f>
        <v>47.6</v>
      </c>
      <c r="T410" s="34" t="n">
        <f aca="false">ROUNDUP(S410,0)</f>
        <v>48</v>
      </c>
      <c r="U410" s="16" t="n">
        <v>25</v>
      </c>
      <c r="V410" s="34" t="n">
        <f aca="false">U410+S410</f>
        <v>72.6</v>
      </c>
      <c r="W410" s="34" t="n">
        <f aca="false">U410+T410</f>
        <v>73</v>
      </c>
      <c r="X410" s="16" t="n">
        <v>64</v>
      </c>
      <c r="Y410" s="34" t="n">
        <f aca="false">(X410*70)/100</f>
        <v>44.8</v>
      </c>
      <c r="Z410" s="34" t="n">
        <f aca="false">ROUNDUP(Y410,0)</f>
        <v>45</v>
      </c>
      <c r="AA410" s="16" t="n">
        <v>23</v>
      </c>
      <c r="AB410" s="34" t="n">
        <f aca="false">AA410+Y410</f>
        <v>67.8</v>
      </c>
      <c r="AC410" s="34" t="n">
        <f aca="false">AA410+Z410</f>
        <v>68</v>
      </c>
      <c r="AD410" s="32" t="n">
        <f aca="false">X410+R410+Q410+K410+J410</f>
        <v>348</v>
      </c>
      <c r="AE410" s="16" t="n">
        <f aca="false">AD410/5</f>
        <v>69.6</v>
      </c>
      <c r="AF410" s="16" t="n">
        <v>76</v>
      </c>
      <c r="AG410" s="16" t="n">
        <v>92</v>
      </c>
      <c r="AH410" s="16" t="n">
        <v>83</v>
      </c>
      <c r="AI410" s="16" t="n">
        <v>86</v>
      </c>
      <c r="AJ410" s="16" t="n">
        <f aca="false">(AI410*70)/100</f>
        <v>60.2</v>
      </c>
      <c r="AK410" s="35" t="n">
        <f aca="false">ROUNDUP(AJ410,0)</f>
        <v>61</v>
      </c>
      <c r="AL410" s="16" t="n">
        <v>21</v>
      </c>
      <c r="AM410" s="16" t="n">
        <f aca="false">AL410+AJ410</f>
        <v>81.2</v>
      </c>
      <c r="AN410" s="16" t="n">
        <f aca="false">AL410+AK410</f>
        <v>82</v>
      </c>
      <c r="AO410" s="16" t="n">
        <v>76</v>
      </c>
      <c r="AP410" s="36" t="n">
        <f aca="false">(AO410*70)/100</f>
        <v>53.2</v>
      </c>
      <c r="AQ410" s="37" t="n">
        <f aca="false">ROUNDUP(AP410,0)</f>
        <v>54</v>
      </c>
      <c r="AR410" s="16" t="n">
        <v>19</v>
      </c>
      <c r="AS410" s="16" t="n">
        <f aca="false">AR410+AP410</f>
        <v>72.2</v>
      </c>
      <c r="AT410" s="16" t="n">
        <f aca="false">AR410+AQ410</f>
        <v>73</v>
      </c>
      <c r="AU410" s="16" t="n">
        <f aca="false">AO410+AF410+AI410+AH410+AG410</f>
        <v>413</v>
      </c>
      <c r="AV410" s="16" t="n">
        <f aca="false">(AO410+AF410+AI410+AH410+AG410)/5</f>
        <v>82.6</v>
      </c>
      <c r="AW410" s="36" t="n">
        <f aca="false">(AO410+AF410+AI410+AH410+AG410+X410+R410+Q410+K410+J410)</f>
        <v>761</v>
      </c>
      <c r="AX410" s="16" t="n">
        <f aca="false">AW410/10</f>
        <v>76.1</v>
      </c>
      <c r="AY410" s="16" t="n">
        <f aca="false">AS410+AF410+AM410+AH410+AG410+AB410+V410+Q410+O410+J410</f>
        <v>762.9</v>
      </c>
      <c r="AZ410" s="16" t="n">
        <f aca="false">AT410+AF410+AN410+AH410+AG410+AC410+W410+Q410+P410+J410</f>
        <v>766</v>
      </c>
      <c r="BA410" s="16" t="n">
        <f aca="false">AY410/10</f>
        <v>76.29</v>
      </c>
      <c r="BB410" s="16" t="n">
        <f aca="false">AZ410/10</f>
        <v>76.6</v>
      </c>
      <c r="BC410" s="16" t="n">
        <v>2374</v>
      </c>
      <c r="BD410" s="16" t="n">
        <f aca="false">RANK(AX410,$AX$2:$AX$881,0)</f>
        <v>609</v>
      </c>
      <c r="BE410" s="54" t="n">
        <f aca="false">((BC410*100)/2400)*0.4+(AX410*0.6)</f>
        <v>85.2266666666667</v>
      </c>
      <c r="BF410" s="16" t="n">
        <f aca="false">RANK(BE410,$BE$2:$BE$881,0)</f>
        <v>559</v>
      </c>
      <c r="BG410" s="39" t="n">
        <f aca="false">RANK(BB410,$BB$2:$BB$881,0)</f>
        <v>661</v>
      </c>
      <c r="BH410" s="39" t="n">
        <f aca="false">RANK(BC410,$BC$2:$BC$881,0)</f>
        <v>222</v>
      </c>
      <c r="BI410" s="22" t="s">
        <v>130</v>
      </c>
      <c r="BJ410" s="22" t="s">
        <v>129</v>
      </c>
      <c r="BK410" s="40" t="s">
        <v>509</v>
      </c>
      <c r="BL410" s="41" t="n">
        <v>14</v>
      </c>
      <c r="BM410" s="41" t="n">
        <v>35</v>
      </c>
      <c r="BN410" s="98" t="n">
        <v>49</v>
      </c>
      <c r="BO410" s="42" t="n">
        <v>20</v>
      </c>
      <c r="BP410" s="43" t="n">
        <v>46</v>
      </c>
      <c r="BQ410" s="44" t="n">
        <v>66</v>
      </c>
      <c r="BR410" s="42" t="n">
        <v>22</v>
      </c>
      <c r="BS410" s="45" t="n">
        <v>64</v>
      </c>
      <c r="BT410" s="45" t="n">
        <v>86</v>
      </c>
      <c r="BU410" s="46" t="n">
        <v>98</v>
      </c>
      <c r="BV410" s="47" t="n">
        <v>82</v>
      </c>
      <c r="BW410" s="42" t="n">
        <v>89</v>
      </c>
      <c r="BX410" s="48" t="n">
        <v>84</v>
      </c>
      <c r="BY410" s="32" t="n">
        <v>22</v>
      </c>
      <c r="BZ410" s="32" t="n">
        <v>45</v>
      </c>
      <c r="CA410" s="32" t="n">
        <v>67</v>
      </c>
      <c r="CB410" s="32" t="n">
        <v>27</v>
      </c>
      <c r="CC410" s="32" t="n">
        <v>37</v>
      </c>
      <c r="CD410" s="32" t="n">
        <v>64</v>
      </c>
      <c r="CE410" s="32" t="n">
        <v>25</v>
      </c>
      <c r="CF410" s="32" t="n">
        <v>57</v>
      </c>
      <c r="CG410" s="32" t="n">
        <v>82</v>
      </c>
      <c r="CH410" s="32" t="n">
        <v>96</v>
      </c>
      <c r="CI410" s="32" t="n">
        <v>100</v>
      </c>
      <c r="CJ410" s="49" t="n">
        <v>20</v>
      </c>
      <c r="CK410" s="49" t="n">
        <v>53</v>
      </c>
      <c r="CL410" s="49" t="n">
        <v>73</v>
      </c>
      <c r="CM410" s="49" t="n">
        <v>20</v>
      </c>
      <c r="CN410" s="49" t="n">
        <v>56</v>
      </c>
      <c r="CO410" s="49" t="n">
        <v>76</v>
      </c>
      <c r="CP410" s="25" t="n">
        <f aca="false">BX410+BW410+BV410+BU410+BT410+BQ410+BN410</f>
        <v>554</v>
      </c>
      <c r="CQ410" s="25" t="n">
        <f aca="false">CO410+CL410+CI410+CH410+CG410+CD410+CA410</f>
        <v>558</v>
      </c>
      <c r="CR410" s="26" t="n">
        <f aca="false">CP410/7</f>
        <v>79.1428571428571</v>
      </c>
      <c r="CS410" s="26" t="n">
        <f aca="false">CQ410/7</f>
        <v>79.7142857142857</v>
      </c>
      <c r="CT410" s="24" t="n">
        <f aca="false">RANK(CR410,$CR$2:$CR$881,0)</f>
        <v>601</v>
      </c>
      <c r="CU410" s="25" t="n">
        <f aca="false">RANK(CS410,$CS$2:$CS$881,0)</f>
        <v>275</v>
      </c>
      <c r="CV410" s="26" t="n">
        <f aca="false">(CS410+CR410)/2</f>
        <v>79.4285714285714</v>
      </c>
      <c r="CW410" s="25" t="n">
        <f aca="false">RANK(CV410,$CV$2:$CV$881,0)</f>
        <v>454</v>
      </c>
      <c r="CX410" s="50" t="n">
        <f aca="false">(CV410+BB410)/2</f>
        <v>78.0142857142857</v>
      </c>
      <c r="CY410" s="50" t="n">
        <v>467</v>
      </c>
      <c r="CZ410" s="27" t="s">
        <v>132</v>
      </c>
      <c r="DA410" s="27" t="s">
        <v>133</v>
      </c>
      <c r="DB410" s="27" t="s">
        <v>133</v>
      </c>
      <c r="DC410" s="27" t="s">
        <v>134</v>
      </c>
      <c r="DD410" s="27" t="s">
        <v>164</v>
      </c>
      <c r="DE410" s="27" t="s">
        <v>204</v>
      </c>
      <c r="DF410" s="27" t="s">
        <v>202</v>
      </c>
      <c r="DG410" s="27" t="s">
        <v>134</v>
      </c>
      <c r="DH410" s="27" t="s">
        <v>195</v>
      </c>
      <c r="DI410" s="27" t="s">
        <v>218</v>
      </c>
      <c r="DJ410" s="27" t="s">
        <v>305</v>
      </c>
      <c r="DK410" s="27" t="s">
        <v>134</v>
      </c>
      <c r="DL410" s="27" t="s">
        <v>195</v>
      </c>
      <c r="DM410" s="27" t="s">
        <v>375</v>
      </c>
      <c r="DN410" s="27" t="s">
        <v>416</v>
      </c>
      <c r="DO410" s="27" t="s">
        <v>134</v>
      </c>
      <c r="DP410" s="27" t="s">
        <v>386</v>
      </c>
      <c r="DQ410" s="27" t="s">
        <v>306</v>
      </c>
      <c r="DR410" s="27" t="s">
        <v>486</v>
      </c>
      <c r="DS410" s="27" t="s">
        <v>134</v>
      </c>
      <c r="DT410" s="27" t="s">
        <v>195</v>
      </c>
      <c r="DU410" s="27" t="s">
        <v>375</v>
      </c>
      <c r="DV410" s="27" t="s">
        <v>416</v>
      </c>
      <c r="DW410" s="27" t="s">
        <v>135</v>
      </c>
      <c r="DX410" s="27" t="s">
        <v>187</v>
      </c>
      <c r="DY410" s="27" t="s">
        <v>170</v>
      </c>
      <c r="DZ410" s="27" t="n">
        <f aca="false">DY410+DV410+DR410+DN410+DJ410+DF410+DB410</f>
        <v>558</v>
      </c>
      <c r="EA410" s="28" t="n">
        <f aca="false">DZ410/7</f>
        <v>79.7142857142857</v>
      </c>
      <c r="EB410" s="27" t="n">
        <f aca="false">RANK(EA410,$EA$2:$EA$881,0)</f>
        <v>404</v>
      </c>
      <c r="EC410" s="29" t="n">
        <f aca="false">DZ410+CQ410+CP410+AZ410</f>
        <v>2436</v>
      </c>
      <c r="ED410" s="30" t="n">
        <f aca="false">(EA410+CV410+BB410)/3</f>
        <v>78.5809523809524</v>
      </c>
      <c r="EE410" s="51" t="n">
        <f aca="false">ROUND(BE410,3)</f>
        <v>85.227</v>
      </c>
      <c r="EF410" s="51" t="n">
        <f aca="false">ROUND(CR410,3)</f>
        <v>79.143</v>
      </c>
      <c r="EG410" s="51" t="n">
        <f aca="false">ROUND(CS410,3)</f>
        <v>79.714</v>
      </c>
      <c r="EH410" s="51" t="n">
        <f aca="false">ROUND(EA410,3)</f>
        <v>79.714</v>
      </c>
      <c r="EI410" s="51" t="n">
        <f aca="false">ROUND(ED410,3)</f>
        <v>78.581</v>
      </c>
      <c r="EJ410" s="51" t="n">
        <f aca="false">ROUND(CV410,3)</f>
        <v>79.429</v>
      </c>
      <c r="EK410" s="0" t="n">
        <f aca="false">RANK(EI410,$EI$2:$EI$881,0)</f>
        <v>409</v>
      </c>
    </row>
    <row r="411" customFormat="false" ht="15" hidden="false" customHeight="false" outlineLevel="0" collapsed="false">
      <c r="A411" s="4" t="n">
        <v>8646</v>
      </c>
      <c r="B411" s="4" t="n">
        <v>8</v>
      </c>
      <c r="C411" s="27" t="s">
        <v>1303</v>
      </c>
      <c r="D411" s="52" t="n">
        <v>10</v>
      </c>
      <c r="E411" s="16" t="n">
        <v>230222827</v>
      </c>
      <c r="F411" s="56" t="s">
        <v>1304</v>
      </c>
      <c r="G411" s="22" t="s">
        <v>1268</v>
      </c>
      <c r="H411" s="22" t="s">
        <v>326</v>
      </c>
      <c r="I411" s="57"/>
      <c r="J411" s="16" t="n">
        <v>73</v>
      </c>
      <c r="K411" s="16" t="n">
        <v>88</v>
      </c>
      <c r="L411" s="34" t="n">
        <f aca="false">(K411*70)/100</f>
        <v>61.6</v>
      </c>
      <c r="M411" s="34" t="n">
        <f aca="false">ROUNDUP(L411,0)</f>
        <v>62</v>
      </c>
      <c r="N411" s="16" t="n">
        <v>23</v>
      </c>
      <c r="O411" s="34" t="n">
        <f aca="false">N411+L411</f>
        <v>84.6</v>
      </c>
      <c r="P411" s="34" t="n">
        <f aca="false">N411+M411</f>
        <v>85</v>
      </c>
      <c r="Q411" s="16" t="n">
        <v>62</v>
      </c>
      <c r="R411" s="16" t="n">
        <v>78</v>
      </c>
      <c r="S411" s="34" t="n">
        <f aca="false">(R411*70)/100</f>
        <v>54.6</v>
      </c>
      <c r="T411" s="34" t="n">
        <f aca="false">ROUNDUP(S411,0)</f>
        <v>55</v>
      </c>
      <c r="U411" s="16" t="n">
        <v>26</v>
      </c>
      <c r="V411" s="34" t="n">
        <f aca="false">U411+S411</f>
        <v>80.6</v>
      </c>
      <c r="W411" s="34" t="n">
        <f aca="false">U411+T411</f>
        <v>81</v>
      </c>
      <c r="X411" s="16" t="n">
        <v>69</v>
      </c>
      <c r="Y411" s="34" t="n">
        <f aca="false">(X411*70)/100</f>
        <v>48.3</v>
      </c>
      <c r="Z411" s="34" t="n">
        <f aca="false">ROUNDUP(Y411,0)</f>
        <v>49</v>
      </c>
      <c r="AA411" s="16" t="n">
        <v>24</v>
      </c>
      <c r="AB411" s="34" t="n">
        <f aca="false">AA411+Y411</f>
        <v>72.3</v>
      </c>
      <c r="AC411" s="34" t="n">
        <f aca="false">AA411+Z411</f>
        <v>73</v>
      </c>
      <c r="AD411" s="32" t="n">
        <f aca="false">X411+R411+Q411+K411+J411</f>
        <v>370</v>
      </c>
      <c r="AE411" s="16" t="n">
        <f aca="false">AD411/5</f>
        <v>74</v>
      </c>
      <c r="AF411" s="16" t="n">
        <v>80</v>
      </c>
      <c r="AG411" s="16" t="n">
        <v>79</v>
      </c>
      <c r="AH411" s="16" t="n">
        <v>92</v>
      </c>
      <c r="AI411" s="16" t="n">
        <v>89</v>
      </c>
      <c r="AJ411" s="16" t="n">
        <f aca="false">(AI411*70)/100</f>
        <v>62.3</v>
      </c>
      <c r="AK411" s="35" t="n">
        <f aca="false">ROUNDUP(AJ411,0)</f>
        <v>63</v>
      </c>
      <c r="AL411" s="16" t="n">
        <v>18</v>
      </c>
      <c r="AM411" s="16" t="n">
        <f aca="false">AL411+AJ411</f>
        <v>80.3</v>
      </c>
      <c r="AN411" s="16" t="n">
        <f aca="false">AL411+AK411</f>
        <v>81</v>
      </c>
      <c r="AO411" s="16" t="n">
        <v>86</v>
      </c>
      <c r="AP411" s="36" t="n">
        <f aca="false">(AO411*70)/100</f>
        <v>60.2</v>
      </c>
      <c r="AQ411" s="37" t="n">
        <f aca="false">ROUNDUP(AP411,0)</f>
        <v>61</v>
      </c>
      <c r="AR411" s="16" t="n">
        <v>18</v>
      </c>
      <c r="AS411" s="16" t="n">
        <f aca="false">AR411+AP411</f>
        <v>78.2</v>
      </c>
      <c r="AT411" s="16" t="n">
        <f aca="false">AR411+AQ411</f>
        <v>79</v>
      </c>
      <c r="AU411" s="16" t="n">
        <f aca="false">AO411+AF411+AI411+AH411+AG411</f>
        <v>426</v>
      </c>
      <c r="AV411" s="16" t="n">
        <f aca="false">(AO411+AF411+AI411+AH411+AG411)/5</f>
        <v>85.2</v>
      </c>
      <c r="AW411" s="36" t="n">
        <f aca="false">(AO411+AF411+AI411+AH411+AG411+X411+R411+Q411+K411+J411)</f>
        <v>796</v>
      </c>
      <c r="AX411" s="16" t="n">
        <f aca="false">AW411/10</f>
        <v>79.6</v>
      </c>
      <c r="AY411" s="16" t="n">
        <f aca="false">AS411+AF411+AM411+AH411+AG411+AB411+V411+Q411+O411+J411</f>
        <v>782</v>
      </c>
      <c r="AZ411" s="16" t="n">
        <f aca="false">AT411+AF411+AN411+AH411+AG411+AC411+W411+Q411+P411+J411</f>
        <v>785</v>
      </c>
      <c r="BA411" s="16" t="n">
        <f aca="false">AY411/10</f>
        <v>78.2</v>
      </c>
      <c r="BB411" s="16" t="n">
        <f aca="false">AZ411/10</f>
        <v>78.5</v>
      </c>
      <c r="BC411" s="16" t="n">
        <v>2335</v>
      </c>
      <c r="BD411" s="16" t="n">
        <f aca="false">RANK(AX411,$AX$2:$AX$881,0)</f>
        <v>296</v>
      </c>
      <c r="BE411" s="54" t="n">
        <f aca="false">((BC411*100)/2400)*0.4+(AX411*0.6)</f>
        <v>86.6766666666667</v>
      </c>
      <c r="BF411" s="16" t="n">
        <f aca="false">RANK(BE411,$BE$2:$BE$881,0)</f>
        <v>333</v>
      </c>
      <c r="BG411" s="39" t="n">
        <f aca="false">RANK(BB411,$BB$2:$BB$881,0)</f>
        <v>505</v>
      </c>
      <c r="BH411" s="39" t="n">
        <f aca="false">RANK(BC411,$BC$2:$BC$881,0)</f>
        <v>681</v>
      </c>
      <c r="BI411" s="22" t="s">
        <v>130</v>
      </c>
      <c r="BJ411" s="22" t="s">
        <v>129</v>
      </c>
      <c r="BK411" s="40" t="s">
        <v>131</v>
      </c>
      <c r="BL411" s="41" t="n">
        <v>21</v>
      </c>
      <c r="BM411" s="41" t="n">
        <v>58</v>
      </c>
      <c r="BN411" s="41" t="n">
        <v>79</v>
      </c>
      <c r="BO411" s="42" t="n">
        <v>18</v>
      </c>
      <c r="BP411" s="53" t="n">
        <v>58</v>
      </c>
      <c r="BQ411" s="44" t="n">
        <v>76</v>
      </c>
      <c r="BR411" s="42" t="n">
        <v>19</v>
      </c>
      <c r="BS411" s="45" t="n">
        <v>55</v>
      </c>
      <c r="BT411" s="45" t="n">
        <v>74</v>
      </c>
      <c r="BU411" s="46" t="n">
        <v>100</v>
      </c>
      <c r="BV411" s="47" t="n">
        <v>82</v>
      </c>
      <c r="BW411" s="42" t="n">
        <v>96</v>
      </c>
      <c r="BX411" s="48" t="n">
        <v>86</v>
      </c>
      <c r="BY411" s="32" t="n">
        <v>23</v>
      </c>
      <c r="BZ411" s="32" t="n">
        <v>45</v>
      </c>
      <c r="CA411" s="32" t="n">
        <v>68</v>
      </c>
      <c r="CB411" s="32" t="n">
        <v>20</v>
      </c>
      <c r="CC411" s="32" t="n">
        <v>32</v>
      </c>
      <c r="CD411" s="69" t="n">
        <v>52</v>
      </c>
      <c r="CE411" s="32" t="n">
        <v>23</v>
      </c>
      <c r="CF411" s="32" t="n">
        <v>55</v>
      </c>
      <c r="CG411" s="32" t="n">
        <v>78</v>
      </c>
      <c r="CH411" s="32" t="n">
        <v>95</v>
      </c>
      <c r="CI411" s="32" t="n">
        <v>93</v>
      </c>
      <c r="CJ411" s="49" t="n">
        <v>24</v>
      </c>
      <c r="CK411" s="49" t="n">
        <v>54</v>
      </c>
      <c r="CL411" s="49" t="n">
        <v>78</v>
      </c>
      <c r="CM411" s="49" t="n">
        <v>22</v>
      </c>
      <c r="CN411" s="49" t="n">
        <v>48</v>
      </c>
      <c r="CO411" s="49" t="n">
        <v>70</v>
      </c>
      <c r="CP411" s="25" t="n">
        <f aca="false">BX411+BW411+BV411+BU411+BT411+BQ411+BN411</f>
        <v>593</v>
      </c>
      <c r="CQ411" s="25" t="n">
        <f aca="false">CO411+CL411+CI411+CH411+CG411+CD411+CA411</f>
        <v>534</v>
      </c>
      <c r="CR411" s="26" t="n">
        <f aca="false">CP411/7</f>
        <v>84.7142857142857</v>
      </c>
      <c r="CS411" s="26" t="n">
        <f aca="false">CQ411/7</f>
        <v>76.2857142857143</v>
      </c>
      <c r="CT411" s="24" t="n">
        <f aca="false">RANK(CR411,$CR$2:$CR$881,0)</f>
        <v>447</v>
      </c>
      <c r="CU411" s="25" t="n">
        <f aca="false">RANK(CS411,$CS$2:$CS$881,0)</f>
        <v>391</v>
      </c>
      <c r="CV411" s="26" t="n">
        <f aca="false">(CS411+CR411)/2</f>
        <v>80.5</v>
      </c>
      <c r="CW411" s="25" t="n">
        <f aca="false">RANK(CV411,$CV$2:$CV$881,0)</f>
        <v>409</v>
      </c>
      <c r="CX411" s="50" t="n">
        <f aca="false">(CV411+BB411)/2</f>
        <v>79.5</v>
      </c>
      <c r="CY411" s="50" t="n">
        <v>395</v>
      </c>
      <c r="CZ411" s="27" t="s">
        <v>132</v>
      </c>
      <c r="DA411" s="27" t="s">
        <v>175</v>
      </c>
      <c r="DB411" s="27" t="s">
        <v>175</v>
      </c>
      <c r="DC411" s="27" t="s">
        <v>134</v>
      </c>
      <c r="DD411" s="27" t="s">
        <v>485</v>
      </c>
      <c r="DE411" s="27" t="s">
        <v>681</v>
      </c>
      <c r="DF411" s="27" t="s">
        <v>136</v>
      </c>
      <c r="DG411" s="27" t="s">
        <v>134</v>
      </c>
      <c r="DH411" s="27" t="s">
        <v>164</v>
      </c>
      <c r="DI411" s="27" t="s">
        <v>177</v>
      </c>
      <c r="DJ411" s="27" t="s">
        <v>178</v>
      </c>
      <c r="DK411" s="27" t="s">
        <v>134</v>
      </c>
      <c r="DL411" s="27" t="s">
        <v>182</v>
      </c>
      <c r="DM411" s="27" t="s">
        <v>442</v>
      </c>
      <c r="DN411" s="27" t="s">
        <v>486</v>
      </c>
      <c r="DO411" s="27" t="s">
        <v>134</v>
      </c>
      <c r="DP411" s="27" t="s">
        <v>174</v>
      </c>
      <c r="DQ411" s="27" t="s">
        <v>313</v>
      </c>
      <c r="DR411" s="27" t="s">
        <v>372</v>
      </c>
      <c r="DS411" s="27" t="s">
        <v>134</v>
      </c>
      <c r="DT411" s="27" t="s">
        <v>137</v>
      </c>
      <c r="DU411" s="27" t="s">
        <v>442</v>
      </c>
      <c r="DV411" s="27" t="s">
        <v>441</v>
      </c>
      <c r="DW411" s="27" t="s">
        <v>264</v>
      </c>
      <c r="DX411" s="27" t="s">
        <v>161</v>
      </c>
      <c r="DY411" s="27" t="s">
        <v>219</v>
      </c>
      <c r="DZ411" s="27" t="n">
        <f aca="false">DY411+DV411+DR411+DN411+DJ411+DF411+DB411</f>
        <v>537</v>
      </c>
      <c r="EA411" s="28" t="n">
        <f aca="false">DZ411/7</f>
        <v>76.7142857142857</v>
      </c>
      <c r="EB411" s="27" t="n">
        <f aca="false">RANK(EA411,$EA$2:$EA$881,0)</f>
        <v>496</v>
      </c>
      <c r="EC411" s="29" t="n">
        <f aca="false">DZ411+CQ411+CP411+AZ411</f>
        <v>2449</v>
      </c>
      <c r="ED411" s="30" t="n">
        <f aca="false">(EA411+CV411+BB411)/3</f>
        <v>78.5714285714286</v>
      </c>
      <c r="EE411" s="51" t="n">
        <f aca="false">ROUND(BE411,3)</f>
        <v>86.677</v>
      </c>
      <c r="EF411" s="51" t="n">
        <f aca="false">ROUND(CR411,3)</f>
        <v>84.714</v>
      </c>
      <c r="EG411" s="51" t="n">
        <f aca="false">ROUND(CS411,3)</f>
        <v>76.286</v>
      </c>
      <c r="EH411" s="51" t="n">
        <f aca="false">ROUND(EA411,3)</f>
        <v>76.714</v>
      </c>
      <c r="EI411" s="51" t="n">
        <f aca="false">ROUND(ED411,3)</f>
        <v>78.571</v>
      </c>
      <c r="EJ411" s="51" t="n">
        <f aca="false">ROUND(CV411,3)</f>
        <v>80.5</v>
      </c>
      <c r="EK411" s="0" t="n">
        <f aca="false">RANK(EI411,$EI$2:$EI$881,0)</f>
        <v>410</v>
      </c>
    </row>
    <row r="412" customFormat="false" ht="15" hidden="false" customHeight="false" outlineLevel="0" collapsed="false">
      <c r="A412" s="4" t="n">
        <v>9019</v>
      </c>
      <c r="B412" s="4" t="n">
        <v>349</v>
      </c>
      <c r="C412" s="27" t="s">
        <v>1305</v>
      </c>
      <c r="D412" s="31" t="n">
        <v>353</v>
      </c>
      <c r="E412" s="16" t="n">
        <v>230419088</v>
      </c>
      <c r="F412" s="56" t="s">
        <v>1306</v>
      </c>
      <c r="G412" s="22" t="s">
        <v>885</v>
      </c>
      <c r="H412" s="22" t="s">
        <v>271</v>
      </c>
      <c r="I412" s="57"/>
      <c r="J412" s="16" t="n">
        <v>77</v>
      </c>
      <c r="K412" s="16" t="n">
        <v>88</v>
      </c>
      <c r="L412" s="34" t="n">
        <f aca="false">(K412*70)/100</f>
        <v>61.6</v>
      </c>
      <c r="M412" s="34" t="n">
        <f aca="false">ROUNDUP(L412,0)</f>
        <v>62</v>
      </c>
      <c r="N412" s="16" t="n">
        <v>24</v>
      </c>
      <c r="O412" s="34" t="n">
        <f aca="false">N412+L412</f>
        <v>85.6</v>
      </c>
      <c r="P412" s="34" t="n">
        <f aca="false">N412+M412</f>
        <v>86</v>
      </c>
      <c r="Q412" s="16" t="n">
        <v>62</v>
      </c>
      <c r="R412" s="16" t="n">
        <v>73</v>
      </c>
      <c r="S412" s="34" t="n">
        <f aca="false">(R412*70)/100</f>
        <v>51.1</v>
      </c>
      <c r="T412" s="34" t="n">
        <f aca="false">ROUNDUP(S412,0)</f>
        <v>52</v>
      </c>
      <c r="U412" s="16" t="n">
        <v>24</v>
      </c>
      <c r="V412" s="34" t="n">
        <f aca="false">U412+S412</f>
        <v>75.1</v>
      </c>
      <c r="W412" s="34" t="n">
        <f aca="false">U412+T412</f>
        <v>76</v>
      </c>
      <c r="X412" s="16" t="n">
        <v>73</v>
      </c>
      <c r="Y412" s="34" t="n">
        <f aca="false">(X412*70)/100</f>
        <v>51.1</v>
      </c>
      <c r="Z412" s="34" t="n">
        <f aca="false">ROUNDUP(Y412,0)</f>
        <v>52</v>
      </c>
      <c r="AA412" s="16" t="n">
        <v>25</v>
      </c>
      <c r="AB412" s="34" t="n">
        <f aca="false">AA412+Y412</f>
        <v>76.1</v>
      </c>
      <c r="AC412" s="34" t="n">
        <f aca="false">AA412+Z412</f>
        <v>77</v>
      </c>
      <c r="AD412" s="32" t="n">
        <f aca="false">X412+R412+Q412+K412+J412</f>
        <v>373</v>
      </c>
      <c r="AE412" s="16" t="n">
        <f aca="false">AD412/5</f>
        <v>74.6</v>
      </c>
      <c r="AF412" s="16" t="n">
        <v>74</v>
      </c>
      <c r="AG412" s="16" t="n">
        <v>87</v>
      </c>
      <c r="AH412" s="16" t="n">
        <v>94</v>
      </c>
      <c r="AI412" s="16" t="n">
        <v>93</v>
      </c>
      <c r="AJ412" s="16" t="n">
        <f aca="false">(AI412*70)/100</f>
        <v>65.1</v>
      </c>
      <c r="AK412" s="35" t="n">
        <f aca="false">ROUNDUP(AJ412,0)</f>
        <v>66</v>
      </c>
      <c r="AL412" s="16" t="n">
        <v>24</v>
      </c>
      <c r="AM412" s="16" t="n">
        <f aca="false">AL412+AJ412</f>
        <v>89.1</v>
      </c>
      <c r="AN412" s="16" t="n">
        <f aca="false">AL412+AK412</f>
        <v>90</v>
      </c>
      <c r="AO412" s="16" t="n">
        <v>83</v>
      </c>
      <c r="AP412" s="36" t="n">
        <f aca="false">(AO412*70)/100</f>
        <v>58.1</v>
      </c>
      <c r="AQ412" s="37" t="n">
        <f aca="false">ROUNDUP(AP412,0)</f>
        <v>59</v>
      </c>
      <c r="AR412" s="16" t="n">
        <v>22</v>
      </c>
      <c r="AS412" s="16" t="n">
        <f aca="false">AR412+AP412</f>
        <v>80.1</v>
      </c>
      <c r="AT412" s="16" t="n">
        <f aca="false">AR412+AQ412</f>
        <v>81</v>
      </c>
      <c r="AU412" s="16" t="n">
        <f aca="false">AO412+AF412+AI412+AH412+AG412</f>
        <v>431</v>
      </c>
      <c r="AV412" s="16" t="n">
        <f aca="false">(AO412+AF412+AI412+AH412+AG412)/5</f>
        <v>86.2</v>
      </c>
      <c r="AW412" s="36" t="n">
        <f aca="false">(AO412+AF412+AI412+AH412+AG412+X412+R412+Q412+K412+J412)</f>
        <v>804</v>
      </c>
      <c r="AX412" s="16" t="n">
        <f aca="false">AW412/10</f>
        <v>80.4</v>
      </c>
      <c r="AY412" s="16" t="n">
        <f aca="false">AS412+AF412+AM412+AH412+AG412+AB412+V412+Q412+O412+J412</f>
        <v>800</v>
      </c>
      <c r="AZ412" s="16" t="n">
        <f aca="false">AT412+AF412+AN412+AH412+AG412+AC412+W412+Q412+P412+J412</f>
        <v>804</v>
      </c>
      <c r="BA412" s="16" t="n">
        <f aca="false">AY412/10</f>
        <v>80</v>
      </c>
      <c r="BB412" s="16" t="n">
        <f aca="false">AZ412/10</f>
        <v>80.4</v>
      </c>
      <c r="BC412" s="16" t="n">
        <v>2369</v>
      </c>
      <c r="BD412" s="16" t="n">
        <f aca="false">RANK(AX412,$AX$2:$AX$881,0)</f>
        <v>238</v>
      </c>
      <c r="BE412" s="54" t="n">
        <f aca="false">((BC412*100)/2400)*0.4+(AX412*0.6)</f>
        <v>87.7233333333333</v>
      </c>
      <c r="BF412" s="16" t="n">
        <f aca="false">RANK(BE412,$BE$2:$BE$881,0)</f>
        <v>230</v>
      </c>
      <c r="BG412" s="39" t="n">
        <f aca="false">RANK(BB412,$BB$2:$BB$881,0)</f>
        <v>318</v>
      </c>
      <c r="BH412" s="39" t="n">
        <f aca="false">RANK(BC412,$BC$2:$BC$881,0)</f>
        <v>283</v>
      </c>
      <c r="BI412" s="22" t="s">
        <v>130</v>
      </c>
      <c r="BJ412" s="22" t="s">
        <v>129</v>
      </c>
      <c r="BK412" s="40" t="s">
        <v>131</v>
      </c>
      <c r="BL412" s="41" t="n">
        <v>26</v>
      </c>
      <c r="BM412" s="41" t="n">
        <v>59</v>
      </c>
      <c r="BN412" s="41" t="n">
        <v>85</v>
      </c>
      <c r="BO412" s="42" t="n">
        <v>25</v>
      </c>
      <c r="BP412" s="43" t="n">
        <v>61</v>
      </c>
      <c r="BQ412" s="44" t="n">
        <v>86</v>
      </c>
      <c r="BR412" s="42" t="n">
        <v>27</v>
      </c>
      <c r="BS412" s="45" t="n">
        <v>59</v>
      </c>
      <c r="BT412" s="45" t="n">
        <v>86</v>
      </c>
      <c r="BU412" s="46" t="n">
        <v>100</v>
      </c>
      <c r="BV412" s="47" t="n">
        <v>94</v>
      </c>
      <c r="BW412" s="42" t="n">
        <v>98</v>
      </c>
      <c r="BX412" s="48" t="n">
        <v>90</v>
      </c>
      <c r="BY412" s="32" t="n">
        <v>25</v>
      </c>
      <c r="BZ412" s="58" t="n">
        <v>58</v>
      </c>
      <c r="CA412" s="58" t="n">
        <v>83</v>
      </c>
      <c r="CB412" s="32" t="n">
        <v>28</v>
      </c>
      <c r="CC412" s="32" t="n">
        <v>48</v>
      </c>
      <c r="CD412" s="32" t="n">
        <v>76</v>
      </c>
      <c r="CE412" s="32" t="n">
        <v>26</v>
      </c>
      <c r="CF412" s="32" t="n">
        <v>64</v>
      </c>
      <c r="CG412" s="32" t="n">
        <v>90</v>
      </c>
      <c r="CH412" s="32" t="n">
        <v>98</v>
      </c>
      <c r="CI412" s="32" t="n">
        <v>99</v>
      </c>
      <c r="CJ412" s="49" t="n">
        <v>28</v>
      </c>
      <c r="CK412" s="49" t="n">
        <v>48</v>
      </c>
      <c r="CL412" s="49" t="n">
        <v>76</v>
      </c>
      <c r="CM412" s="49" t="n">
        <v>22</v>
      </c>
      <c r="CN412" s="49" t="n">
        <v>41</v>
      </c>
      <c r="CO412" s="49" t="n">
        <v>63</v>
      </c>
      <c r="CP412" s="25" t="n">
        <f aca="false">BX412+BW412+BV412+BU412+BT412+BQ412+BN412</f>
        <v>639</v>
      </c>
      <c r="CQ412" s="25" t="n">
        <f aca="false">CO412+CL412+CI412+CH412+CG412+CD412+CA412</f>
        <v>585</v>
      </c>
      <c r="CR412" s="26" t="n">
        <f aca="false">CP412/7</f>
        <v>91.2857142857143</v>
      </c>
      <c r="CS412" s="26" t="n">
        <f aca="false">CQ412/7</f>
        <v>83.5714285714286</v>
      </c>
      <c r="CT412" s="24" t="n">
        <f aca="false">RANK(CR412,$CR$2:$CR$881,0)</f>
        <v>114</v>
      </c>
      <c r="CU412" s="25" t="n">
        <f aca="false">RANK(CS412,$CS$2:$CS$881,0)</f>
        <v>135</v>
      </c>
      <c r="CV412" s="26" t="n">
        <f aca="false">(CS412+CR412)/2</f>
        <v>87.4285714285714</v>
      </c>
      <c r="CW412" s="25" t="n">
        <f aca="false">RANK(CV412,$CV$2:$CV$881,0)</f>
        <v>121</v>
      </c>
      <c r="CX412" s="50" t="n">
        <f aca="false">(CV412+BB412)/2</f>
        <v>83.9142857142857</v>
      </c>
      <c r="CY412" s="50" t="n">
        <v>320</v>
      </c>
      <c r="CZ412" s="27" t="s">
        <v>132</v>
      </c>
      <c r="DA412" s="27" t="s">
        <v>219</v>
      </c>
      <c r="DB412" s="27" t="s">
        <v>219</v>
      </c>
      <c r="DC412" s="27" t="s">
        <v>134</v>
      </c>
      <c r="DD412" s="27"/>
      <c r="DE412" s="27"/>
      <c r="DF412" s="27"/>
      <c r="DG412" s="27"/>
      <c r="DH412" s="27" t="s">
        <v>182</v>
      </c>
      <c r="DI412" s="27" t="s">
        <v>136</v>
      </c>
      <c r="DJ412" s="27" t="s">
        <v>178</v>
      </c>
      <c r="DK412" s="27" t="s">
        <v>134</v>
      </c>
      <c r="DL412" s="27" t="s">
        <v>135</v>
      </c>
      <c r="DM412" s="27" t="s">
        <v>177</v>
      </c>
      <c r="DN412" s="27" t="s">
        <v>175</v>
      </c>
      <c r="DO412" s="27" t="s">
        <v>134</v>
      </c>
      <c r="DP412" s="27" t="s">
        <v>195</v>
      </c>
      <c r="DQ412" s="27" t="s">
        <v>306</v>
      </c>
      <c r="DR412" s="27" t="s">
        <v>443</v>
      </c>
      <c r="DS412" s="27" t="s">
        <v>134</v>
      </c>
      <c r="DT412" s="27" t="s">
        <v>160</v>
      </c>
      <c r="DU412" s="27" t="s">
        <v>1151</v>
      </c>
      <c r="DV412" s="27" t="s">
        <v>177</v>
      </c>
      <c r="DW412" s="27" t="s">
        <v>195</v>
      </c>
      <c r="DX412" s="27" t="s">
        <v>187</v>
      </c>
      <c r="DY412" s="27" t="s">
        <v>178</v>
      </c>
      <c r="DZ412" s="27" t="n">
        <f aca="false">DY412+DV412+DR412+DN412+DJ412+DF412+DB412</f>
        <v>475</v>
      </c>
      <c r="EA412" s="28" t="n">
        <f aca="false">DZ412/7</f>
        <v>67.8571428571429</v>
      </c>
      <c r="EB412" s="27" t="n">
        <f aca="false">RANK(EA412,$EA$2:$EA$881,0)</f>
        <v>693</v>
      </c>
      <c r="EC412" s="29" t="n">
        <f aca="false">DZ412+CQ412+CP412+AZ412</f>
        <v>2503</v>
      </c>
      <c r="ED412" s="30" t="n">
        <f aca="false">(EA412+CV412+BB412)/3</f>
        <v>78.5619047619048</v>
      </c>
      <c r="EE412" s="51" t="n">
        <f aca="false">ROUND(BE412,3)</f>
        <v>87.723</v>
      </c>
      <c r="EF412" s="51" t="n">
        <f aca="false">ROUND(CR412,3)</f>
        <v>91.286</v>
      </c>
      <c r="EG412" s="51" t="n">
        <f aca="false">ROUND(CS412,3)</f>
        <v>83.571</v>
      </c>
      <c r="EH412" s="51" t="n">
        <f aca="false">ROUND(EA412,3)</f>
        <v>67.857</v>
      </c>
      <c r="EI412" s="51" t="n">
        <f aca="false">ROUND(ED412,3)</f>
        <v>78.562</v>
      </c>
      <c r="EJ412" s="51" t="n">
        <f aca="false">ROUND(CV412,3)</f>
        <v>87.429</v>
      </c>
      <c r="EK412" s="0" t="n">
        <f aca="false">RANK(EI412,$EI$2:$EI$881,0)</f>
        <v>411</v>
      </c>
    </row>
    <row r="413" customFormat="false" ht="15" hidden="false" customHeight="false" outlineLevel="0" collapsed="false">
      <c r="A413" s="4" t="n">
        <v>8813</v>
      </c>
      <c r="B413" s="4" t="n">
        <v>186</v>
      </c>
      <c r="C413" s="27" t="s">
        <v>1307</v>
      </c>
      <c r="D413" s="31" t="n">
        <v>187</v>
      </c>
      <c r="E413" s="32" t="n">
        <v>230321371</v>
      </c>
      <c r="F413" s="8" t="s">
        <v>1308</v>
      </c>
      <c r="G413" s="22" t="s">
        <v>289</v>
      </c>
      <c r="H413" s="22" t="s">
        <v>129</v>
      </c>
      <c r="I413" s="33" t="n">
        <v>2005</v>
      </c>
      <c r="J413" s="32" t="n">
        <v>83</v>
      </c>
      <c r="K413" s="32" t="n">
        <v>80</v>
      </c>
      <c r="L413" s="34" t="n">
        <f aca="false">(K413*70)/100</f>
        <v>56</v>
      </c>
      <c r="M413" s="34" t="n">
        <f aca="false">ROUNDUP(L413,0)</f>
        <v>56</v>
      </c>
      <c r="N413" s="32" t="n">
        <v>25</v>
      </c>
      <c r="O413" s="34" t="n">
        <f aca="false">N413+L413</f>
        <v>81</v>
      </c>
      <c r="P413" s="34" t="n">
        <f aca="false">N413+M413</f>
        <v>81</v>
      </c>
      <c r="Q413" s="32" t="n">
        <v>73</v>
      </c>
      <c r="R413" s="32" t="n">
        <v>77</v>
      </c>
      <c r="S413" s="34" t="n">
        <f aca="false">(R413*70)/100</f>
        <v>53.9</v>
      </c>
      <c r="T413" s="34" t="n">
        <f aca="false">ROUNDUP(S413,0)</f>
        <v>54</v>
      </c>
      <c r="U413" s="32" t="n">
        <v>24</v>
      </c>
      <c r="V413" s="34" t="n">
        <f aca="false">U413+S413</f>
        <v>77.9</v>
      </c>
      <c r="W413" s="34" t="n">
        <f aca="false">U413+T413</f>
        <v>78</v>
      </c>
      <c r="X413" s="32" t="n">
        <v>58</v>
      </c>
      <c r="Y413" s="34" t="n">
        <f aca="false">(X413*70)/100</f>
        <v>40.6</v>
      </c>
      <c r="Z413" s="34" t="n">
        <f aca="false">ROUNDUP(Y413,0)</f>
        <v>41</v>
      </c>
      <c r="AA413" s="32" t="n">
        <v>25</v>
      </c>
      <c r="AB413" s="34" t="n">
        <f aca="false">AA413+Y413</f>
        <v>65.6</v>
      </c>
      <c r="AC413" s="34" t="n">
        <f aca="false">AA413+Z413</f>
        <v>66</v>
      </c>
      <c r="AD413" s="32" t="n">
        <f aca="false">X413+R413+Q413+K413+J413</f>
        <v>371</v>
      </c>
      <c r="AE413" s="16" t="n">
        <f aca="false">AD413/5</f>
        <v>74.2</v>
      </c>
      <c r="AF413" s="16" t="n">
        <v>68</v>
      </c>
      <c r="AG413" s="16" t="n">
        <v>88</v>
      </c>
      <c r="AH413" s="16" t="n">
        <v>92</v>
      </c>
      <c r="AI413" s="16" t="n">
        <v>88</v>
      </c>
      <c r="AJ413" s="16" t="n">
        <f aca="false">(AI413*70)/100</f>
        <v>61.6</v>
      </c>
      <c r="AK413" s="35" t="n">
        <f aca="false">ROUNDUP(AJ413,0)</f>
        <v>62</v>
      </c>
      <c r="AL413" s="16" t="n">
        <v>26</v>
      </c>
      <c r="AM413" s="16" t="n">
        <f aca="false">AL413+AJ413</f>
        <v>87.6</v>
      </c>
      <c r="AN413" s="16" t="n">
        <f aca="false">AL413+AK413</f>
        <v>88</v>
      </c>
      <c r="AO413" s="16" t="n">
        <v>76</v>
      </c>
      <c r="AP413" s="36" t="n">
        <f aca="false">(AO413*70)/100</f>
        <v>53.2</v>
      </c>
      <c r="AQ413" s="37" t="n">
        <f aca="false">ROUNDUP(AP413,0)</f>
        <v>54</v>
      </c>
      <c r="AR413" s="16" t="n">
        <v>28</v>
      </c>
      <c r="AS413" s="16" t="n">
        <f aca="false">AR413+AP413</f>
        <v>81.2</v>
      </c>
      <c r="AT413" s="16" t="n">
        <f aca="false">AR413+AQ413</f>
        <v>82</v>
      </c>
      <c r="AU413" s="16" t="n">
        <f aca="false">AO413+AF413+AI413+AH413+AG413</f>
        <v>412</v>
      </c>
      <c r="AV413" s="16" t="n">
        <f aca="false">(AO413+AF413+AI413+AH413+AG413)/5</f>
        <v>82.4</v>
      </c>
      <c r="AW413" s="36" t="n">
        <f aca="false">(AO413+AF413+AI413+AH413+AG413+X413+R413+Q413+K413+J413)</f>
        <v>783</v>
      </c>
      <c r="AX413" s="16" t="n">
        <f aca="false">AW413/10</f>
        <v>78.3</v>
      </c>
      <c r="AY413" s="16" t="n">
        <f aca="false">AS413+AF413+AM413+AH413+AG413+AB413+V413+Q413+O413+J413</f>
        <v>797.3</v>
      </c>
      <c r="AZ413" s="16" t="n">
        <f aca="false">AT413+AF413+AN413+AH413+AG413+AC413+W413+Q413+P413+J413</f>
        <v>799</v>
      </c>
      <c r="BA413" s="16" t="n">
        <f aca="false">AY413/10</f>
        <v>79.73</v>
      </c>
      <c r="BB413" s="16" t="n">
        <f aca="false">AZ413/10</f>
        <v>79.9</v>
      </c>
      <c r="BC413" s="16" t="n">
        <v>2359</v>
      </c>
      <c r="BD413" s="16" t="n">
        <f aca="false">RANK(AX413,$AX$2:$AX$881,0)</f>
        <v>392</v>
      </c>
      <c r="BE413" s="54" t="n">
        <f aca="false">((BC413*100)/2400)*0.4+(AX413*0.6)</f>
        <v>86.2966666666667</v>
      </c>
      <c r="BF413" s="16" t="n">
        <f aca="false">RANK(BE413,$BE$2:$BE$881,0)</f>
        <v>387</v>
      </c>
      <c r="BG413" s="39" t="n">
        <f aca="false">RANK(BB413,$BB$2:$BB$881,0)</f>
        <v>356</v>
      </c>
      <c r="BH413" s="39" t="n">
        <f aca="false">RANK(BC413,$BC$2:$BC$881,0)</f>
        <v>414</v>
      </c>
      <c r="BI413" s="22" t="s">
        <v>130</v>
      </c>
      <c r="BJ413" s="22" t="s">
        <v>129</v>
      </c>
      <c r="BK413" s="40" t="s">
        <v>131</v>
      </c>
      <c r="BL413" s="41" t="n">
        <v>20</v>
      </c>
      <c r="BM413" s="41" t="n">
        <v>47</v>
      </c>
      <c r="BN413" s="41" t="n">
        <v>67</v>
      </c>
      <c r="BO413" s="42" t="n">
        <v>25</v>
      </c>
      <c r="BP413" s="43" t="n">
        <v>63</v>
      </c>
      <c r="BQ413" s="44" t="n">
        <v>88</v>
      </c>
      <c r="BR413" s="42" t="n">
        <v>24</v>
      </c>
      <c r="BS413" s="45" t="n">
        <v>54</v>
      </c>
      <c r="BT413" s="45" t="n">
        <v>78</v>
      </c>
      <c r="BU413" s="46" t="n">
        <v>99</v>
      </c>
      <c r="BV413" s="47" t="n">
        <v>72</v>
      </c>
      <c r="BW413" s="42" t="n">
        <v>99</v>
      </c>
      <c r="BX413" s="48" t="n">
        <v>92</v>
      </c>
      <c r="BY413" s="32" t="n">
        <v>22</v>
      </c>
      <c r="BZ413" s="32" t="n">
        <v>50</v>
      </c>
      <c r="CA413" s="32" t="n">
        <v>72</v>
      </c>
      <c r="CB413" s="32" t="n">
        <v>17</v>
      </c>
      <c r="CC413" s="32" t="n">
        <v>33</v>
      </c>
      <c r="CD413" s="69" t="n">
        <v>50</v>
      </c>
      <c r="CE413" s="32" t="n">
        <v>27</v>
      </c>
      <c r="CF413" s="32" t="n">
        <v>50</v>
      </c>
      <c r="CG413" s="32" t="n">
        <v>77</v>
      </c>
      <c r="CH413" s="32" t="n">
        <v>92</v>
      </c>
      <c r="CI413" s="32" t="n">
        <v>95</v>
      </c>
      <c r="CJ413" s="49" t="n">
        <v>19</v>
      </c>
      <c r="CK413" s="49" t="n">
        <v>48</v>
      </c>
      <c r="CL413" s="49" t="n">
        <v>67</v>
      </c>
      <c r="CM413" s="49" t="n">
        <v>22</v>
      </c>
      <c r="CN413" s="49" t="n">
        <v>44</v>
      </c>
      <c r="CO413" s="49" t="n">
        <v>66</v>
      </c>
      <c r="CP413" s="25" t="n">
        <f aca="false">BX413+BW413+BV413+BU413+BT413+BQ413+BN413</f>
        <v>595</v>
      </c>
      <c r="CQ413" s="25" t="n">
        <f aca="false">CO413+CL413+CI413+CH413+CG413+CD413+CA413</f>
        <v>519</v>
      </c>
      <c r="CR413" s="26" t="n">
        <f aca="false">CP413/7</f>
        <v>85</v>
      </c>
      <c r="CS413" s="26" t="n">
        <f aca="false">CQ413/7</f>
        <v>74.1428571428571</v>
      </c>
      <c r="CT413" s="24" t="n">
        <f aca="false">RANK(CR413,$CR$2:$CR$881,0)</f>
        <v>437</v>
      </c>
      <c r="CU413" s="25" t="n">
        <f aca="false">RANK(CS413,$CS$2:$CS$881,0)</f>
        <v>451</v>
      </c>
      <c r="CV413" s="26" t="n">
        <f aca="false">(CS413+CR413)/2</f>
        <v>79.5714285714286</v>
      </c>
      <c r="CW413" s="25" t="n">
        <f aca="false">RANK(CV413,$CV$2:$CV$881,0)</f>
        <v>447</v>
      </c>
      <c r="CX413" s="50" t="n">
        <f aca="false">(CV413+BB413)/2</f>
        <v>79.7357142857143</v>
      </c>
      <c r="CY413" s="50" t="n">
        <v>382</v>
      </c>
      <c r="CZ413" s="27" t="s">
        <v>132</v>
      </c>
      <c r="DA413" s="27" t="s">
        <v>202</v>
      </c>
      <c r="DB413" s="27" t="s">
        <v>202</v>
      </c>
      <c r="DC413" s="27" t="s">
        <v>134</v>
      </c>
      <c r="DD413" s="27" t="s">
        <v>135</v>
      </c>
      <c r="DE413" s="27" t="s">
        <v>220</v>
      </c>
      <c r="DF413" s="27" t="s">
        <v>196</v>
      </c>
      <c r="DG413" s="27" t="s">
        <v>134</v>
      </c>
      <c r="DH413" s="27" t="s">
        <v>182</v>
      </c>
      <c r="DI413" s="27" t="s">
        <v>399</v>
      </c>
      <c r="DJ413" s="27" t="s">
        <v>398</v>
      </c>
      <c r="DK413" s="27" t="s">
        <v>134</v>
      </c>
      <c r="DL413" s="27" t="s">
        <v>137</v>
      </c>
      <c r="DM413" s="27" t="s">
        <v>220</v>
      </c>
      <c r="DN413" s="27" t="s">
        <v>205</v>
      </c>
      <c r="DO413" s="27" t="s">
        <v>134</v>
      </c>
      <c r="DP413" s="27" t="s">
        <v>604</v>
      </c>
      <c r="DQ413" s="27" t="s">
        <v>681</v>
      </c>
      <c r="DR413" s="27" t="s">
        <v>203</v>
      </c>
      <c r="DS413" s="27" t="s">
        <v>134</v>
      </c>
      <c r="DT413" s="27" t="s">
        <v>182</v>
      </c>
      <c r="DU413" s="27" t="s">
        <v>1309</v>
      </c>
      <c r="DV413" s="27" t="s">
        <v>204</v>
      </c>
      <c r="DW413" s="27" t="s">
        <v>182</v>
      </c>
      <c r="DX413" s="27" t="s">
        <v>141</v>
      </c>
      <c r="DY413" s="27" t="s">
        <v>170</v>
      </c>
      <c r="DZ413" s="27" t="n">
        <f aca="false">DY413+DV413+DR413+DN413+DJ413+DF413+DB413</f>
        <v>533</v>
      </c>
      <c r="EA413" s="28" t="n">
        <f aca="false">DZ413/7</f>
        <v>76.1428571428571</v>
      </c>
      <c r="EB413" s="27" t="n">
        <f aca="false">RANK(EA413,$EA$2:$EA$881,0)</f>
        <v>519</v>
      </c>
      <c r="EC413" s="29" t="n">
        <f aca="false">DZ413+CQ413+CP413+AZ413</f>
        <v>2446</v>
      </c>
      <c r="ED413" s="30" t="n">
        <f aca="false">(EA413+CV413+BB413)/3</f>
        <v>78.5380952380952</v>
      </c>
      <c r="EE413" s="51" t="n">
        <f aca="false">ROUND(BE413,3)</f>
        <v>86.297</v>
      </c>
      <c r="EF413" s="51" t="n">
        <f aca="false">ROUND(CR413,3)</f>
        <v>85</v>
      </c>
      <c r="EG413" s="51" t="n">
        <f aca="false">ROUND(CS413,3)</f>
        <v>74.143</v>
      </c>
      <c r="EH413" s="51" t="n">
        <f aca="false">ROUND(EA413,3)</f>
        <v>76.143</v>
      </c>
      <c r="EI413" s="51" t="n">
        <f aca="false">ROUND(ED413,3)</f>
        <v>78.538</v>
      </c>
      <c r="EJ413" s="51" t="n">
        <f aca="false">ROUND(CV413,3)</f>
        <v>79.571</v>
      </c>
      <c r="EK413" s="0" t="n">
        <f aca="false">RANK(EI413,$EI$2:$EI$881,0)</f>
        <v>412</v>
      </c>
    </row>
    <row r="414" customFormat="false" ht="15" hidden="false" customHeight="false" outlineLevel="0" collapsed="false">
      <c r="A414" s="4" t="n">
        <v>2015</v>
      </c>
      <c r="B414" s="4" t="n">
        <v>192</v>
      </c>
      <c r="C414" s="27" t="s">
        <v>1310</v>
      </c>
      <c r="D414" s="31" t="n">
        <v>193</v>
      </c>
      <c r="E414" s="16" t="n">
        <v>230506054</v>
      </c>
      <c r="F414" s="56" t="s">
        <v>1311</v>
      </c>
      <c r="G414" s="22" t="s">
        <v>297</v>
      </c>
      <c r="H414" s="22" t="s">
        <v>465</v>
      </c>
      <c r="I414" s="57"/>
      <c r="J414" s="16" t="n">
        <v>74</v>
      </c>
      <c r="K414" s="16" t="n">
        <v>82</v>
      </c>
      <c r="L414" s="34" t="n">
        <f aca="false">(K414*70)/100</f>
        <v>57.4</v>
      </c>
      <c r="M414" s="34" t="n">
        <f aca="false">ROUNDUP(L414,0)</f>
        <v>58</v>
      </c>
      <c r="N414" s="16" t="n">
        <v>30</v>
      </c>
      <c r="O414" s="34" t="n">
        <f aca="false">N414+L414</f>
        <v>87.4</v>
      </c>
      <c r="P414" s="34" t="n">
        <f aca="false">N414+M414</f>
        <v>88</v>
      </c>
      <c r="Q414" s="16" t="n">
        <v>82</v>
      </c>
      <c r="R414" s="16" t="n">
        <v>80</v>
      </c>
      <c r="S414" s="34" t="n">
        <f aca="false">(R414*70)/100</f>
        <v>56</v>
      </c>
      <c r="T414" s="34" t="n">
        <f aca="false">ROUNDUP(S414,0)</f>
        <v>56</v>
      </c>
      <c r="U414" s="16" t="n">
        <v>21</v>
      </c>
      <c r="V414" s="34" t="n">
        <f aca="false">U414+S414</f>
        <v>77</v>
      </c>
      <c r="W414" s="34" t="n">
        <f aca="false">U414+T414</f>
        <v>77</v>
      </c>
      <c r="X414" s="16" t="n">
        <v>70</v>
      </c>
      <c r="Y414" s="34" t="n">
        <f aca="false">(X414*70)/100</f>
        <v>49</v>
      </c>
      <c r="Z414" s="34" t="n">
        <f aca="false">ROUNDUP(Y414,0)</f>
        <v>49</v>
      </c>
      <c r="AA414" s="16" t="n">
        <v>26</v>
      </c>
      <c r="AB414" s="34" t="n">
        <f aca="false">AA414+Y414</f>
        <v>75</v>
      </c>
      <c r="AC414" s="34" t="n">
        <f aca="false">AA414+Z414</f>
        <v>75</v>
      </c>
      <c r="AD414" s="32" t="n">
        <f aca="false">X414+R414+Q414+K414+J414</f>
        <v>388</v>
      </c>
      <c r="AE414" s="16" t="n">
        <f aca="false">AD414/5</f>
        <v>77.6</v>
      </c>
      <c r="AF414" s="16" t="n">
        <v>61</v>
      </c>
      <c r="AG414" s="16" t="n">
        <v>78</v>
      </c>
      <c r="AH414" s="16" t="n">
        <v>84</v>
      </c>
      <c r="AI414" s="16" t="n">
        <v>80</v>
      </c>
      <c r="AJ414" s="16" t="n">
        <f aca="false">(AI414*70)/100</f>
        <v>56</v>
      </c>
      <c r="AK414" s="35" t="n">
        <f aca="false">ROUNDUP(AJ414,0)</f>
        <v>56</v>
      </c>
      <c r="AL414" s="16" t="n">
        <v>23</v>
      </c>
      <c r="AM414" s="16" t="n">
        <f aca="false">AL414+AJ414</f>
        <v>79</v>
      </c>
      <c r="AN414" s="16" t="n">
        <f aca="false">AL414+AK414</f>
        <v>79</v>
      </c>
      <c r="AO414" s="16" t="n">
        <v>68</v>
      </c>
      <c r="AP414" s="36" t="n">
        <f aca="false">(AO414*70)/100</f>
        <v>47.6</v>
      </c>
      <c r="AQ414" s="37" t="n">
        <f aca="false">ROUNDUP(AP414,0)</f>
        <v>48</v>
      </c>
      <c r="AR414" s="16" t="n">
        <v>25</v>
      </c>
      <c r="AS414" s="16" t="n">
        <f aca="false">AR414+AP414</f>
        <v>72.6</v>
      </c>
      <c r="AT414" s="16" t="n">
        <f aca="false">AR414+AQ414</f>
        <v>73</v>
      </c>
      <c r="AU414" s="16" t="n">
        <f aca="false">AO414+AF414+AI414+AH414+AG414</f>
        <v>371</v>
      </c>
      <c r="AV414" s="16" t="n">
        <f aca="false">(AO414+AF414+AI414+AH414+AG414)/5</f>
        <v>74.2</v>
      </c>
      <c r="AW414" s="36" t="n">
        <f aca="false">(AO414+AF414+AI414+AH414+AG414+X414+R414+Q414+K414+J414)</f>
        <v>759</v>
      </c>
      <c r="AX414" s="16" t="n">
        <f aca="false">AW414/10</f>
        <v>75.9</v>
      </c>
      <c r="AY414" s="16" t="n">
        <f aca="false">AS414+AF414+AM414+AH414+AG414+AB414+V414+Q414+O414+J414</f>
        <v>770</v>
      </c>
      <c r="AZ414" s="16" t="n">
        <f aca="false">AT414+AF414+AN414+AH414+AG414+AC414+W414+Q414+P414+J414</f>
        <v>771</v>
      </c>
      <c r="BA414" s="16" t="n">
        <f aca="false">AY414/10</f>
        <v>77</v>
      </c>
      <c r="BB414" s="16" t="n">
        <f aca="false">AZ414/10</f>
        <v>77.1</v>
      </c>
      <c r="BC414" s="16" t="n">
        <v>2377</v>
      </c>
      <c r="BD414" s="16" t="n">
        <f aca="false">RANK(AX414,$AX$2:$AX$881,0)</f>
        <v>628</v>
      </c>
      <c r="BE414" s="54" t="n">
        <f aca="false">((BC414*100)/2400)*0.4+(AX414*0.6)</f>
        <v>85.1566666666667</v>
      </c>
      <c r="BF414" s="16" t="n">
        <f aca="false">RANK(BE414,$BE$2:$BE$881,0)</f>
        <v>574</v>
      </c>
      <c r="BG414" s="39" t="n">
        <f aca="false">RANK(BB414,$BB$2:$BB$881,0)</f>
        <v>632</v>
      </c>
      <c r="BH414" s="39" t="n">
        <f aca="false">RANK(BC414,$BC$2:$BC$881,0)</f>
        <v>189</v>
      </c>
      <c r="BI414" s="22" t="s">
        <v>130</v>
      </c>
      <c r="BJ414" s="22" t="s">
        <v>129</v>
      </c>
      <c r="BK414" s="40" t="s">
        <v>509</v>
      </c>
      <c r="BL414" s="41" t="n">
        <v>15</v>
      </c>
      <c r="BM414" s="41" t="n">
        <v>51</v>
      </c>
      <c r="BN414" s="41" t="n">
        <v>66</v>
      </c>
      <c r="BO414" s="42" t="n">
        <v>27</v>
      </c>
      <c r="BP414" s="43" t="n">
        <v>57</v>
      </c>
      <c r="BQ414" s="44" t="n">
        <v>84</v>
      </c>
      <c r="BR414" s="42" t="n">
        <v>21</v>
      </c>
      <c r="BS414" s="45" t="n">
        <v>54</v>
      </c>
      <c r="BT414" s="45" t="n">
        <v>75</v>
      </c>
      <c r="BU414" s="46" t="n">
        <v>100</v>
      </c>
      <c r="BV414" s="47" t="n">
        <v>80</v>
      </c>
      <c r="BW414" s="42" t="n">
        <v>98</v>
      </c>
      <c r="BX414" s="48" t="n">
        <v>100</v>
      </c>
      <c r="BY414" s="32" t="n">
        <v>25</v>
      </c>
      <c r="BZ414" s="32" t="n">
        <v>55</v>
      </c>
      <c r="CA414" s="32" t="n">
        <v>80</v>
      </c>
      <c r="CB414" s="32" t="n">
        <v>19</v>
      </c>
      <c r="CC414" s="32" t="n">
        <v>33</v>
      </c>
      <c r="CD414" s="69" t="n">
        <v>52</v>
      </c>
      <c r="CE414" s="32" t="n">
        <v>28</v>
      </c>
      <c r="CF414" s="32" t="n">
        <v>43</v>
      </c>
      <c r="CG414" s="32" t="n">
        <v>71</v>
      </c>
      <c r="CH414" s="32" t="n">
        <v>95</v>
      </c>
      <c r="CI414" s="32" t="n">
        <v>96</v>
      </c>
      <c r="CJ414" s="49" t="n">
        <v>16</v>
      </c>
      <c r="CK414" s="49" t="n">
        <v>40</v>
      </c>
      <c r="CL414" s="76" t="n">
        <v>56</v>
      </c>
      <c r="CM414" s="49" t="n">
        <v>24</v>
      </c>
      <c r="CN414" s="49" t="n">
        <v>42</v>
      </c>
      <c r="CO414" s="49" t="n">
        <v>66</v>
      </c>
      <c r="CP414" s="25" t="n">
        <f aca="false">BX414+BW414+BV414+BU414+BT414+BQ414+BN414</f>
        <v>603</v>
      </c>
      <c r="CQ414" s="25" t="n">
        <f aca="false">CO414+CL414+CI414+CH414+CG414+CD414+CA414</f>
        <v>516</v>
      </c>
      <c r="CR414" s="26" t="n">
        <f aca="false">CP414/7</f>
        <v>86.1428571428571</v>
      </c>
      <c r="CS414" s="26" t="n">
        <f aca="false">CQ414/7</f>
        <v>73.7142857142857</v>
      </c>
      <c r="CT414" s="24" t="n">
        <f aca="false">RANK(CR414,$CR$2:$CR$881,0)</f>
        <v>396</v>
      </c>
      <c r="CU414" s="25" t="n">
        <f aca="false">RANK(CS414,$CS$2:$CS$881,0)</f>
        <v>465</v>
      </c>
      <c r="CV414" s="26" t="n">
        <f aca="false">(CS414+CR414)/2</f>
        <v>79.9285714285714</v>
      </c>
      <c r="CW414" s="25" t="n">
        <f aca="false">RANK(CV414,$CV$2:$CV$881,0)</f>
        <v>430</v>
      </c>
      <c r="CX414" s="50" t="n">
        <f aca="false">(CV414+BB414)/2</f>
        <v>78.5142857142857</v>
      </c>
      <c r="CY414" s="50" t="n">
        <v>446</v>
      </c>
      <c r="CZ414" s="27" t="s">
        <v>132</v>
      </c>
      <c r="DA414" s="27" t="s">
        <v>169</v>
      </c>
      <c r="DB414" s="27" t="s">
        <v>169</v>
      </c>
      <c r="DC414" s="27" t="s">
        <v>134</v>
      </c>
      <c r="DD414" s="27" t="s">
        <v>135</v>
      </c>
      <c r="DE414" s="27" t="s">
        <v>218</v>
      </c>
      <c r="DF414" s="27" t="s">
        <v>205</v>
      </c>
      <c r="DG414" s="27" t="s">
        <v>134</v>
      </c>
      <c r="DH414" s="27" t="s">
        <v>135</v>
      </c>
      <c r="DI414" s="27" t="s">
        <v>412</v>
      </c>
      <c r="DJ414" s="27" t="s">
        <v>443</v>
      </c>
      <c r="DK414" s="27" t="s">
        <v>134</v>
      </c>
      <c r="DL414" s="27" t="s">
        <v>137</v>
      </c>
      <c r="DM414" s="27" t="s">
        <v>313</v>
      </c>
      <c r="DN414" s="27" t="s">
        <v>305</v>
      </c>
      <c r="DO414" s="27" t="s">
        <v>134</v>
      </c>
      <c r="DP414" s="27" t="s">
        <v>264</v>
      </c>
      <c r="DQ414" s="27" t="s">
        <v>442</v>
      </c>
      <c r="DR414" s="27" t="s">
        <v>143</v>
      </c>
      <c r="DS414" s="27" t="s">
        <v>134</v>
      </c>
      <c r="DT414" s="27" t="s">
        <v>195</v>
      </c>
      <c r="DU414" s="27" t="s">
        <v>399</v>
      </c>
      <c r="DV414" s="27" t="s">
        <v>138</v>
      </c>
      <c r="DW414" s="27" t="s">
        <v>135</v>
      </c>
      <c r="DX414" s="27" t="s">
        <v>138</v>
      </c>
      <c r="DY414" s="27" t="s">
        <v>156</v>
      </c>
      <c r="DZ414" s="27" t="n">
        <f aca="false">DY414+DV414+DR414+DN414+DJ414+DF414+DB414</f>
        <v>550</v>
      </c>
      <c r="EA414" s="28" t="n">
        <f aca="false">DZ414/7</f>
        <v>78.5714285714286</v>
      </c>
      <c r="EB414" s="27" t="n">
        <f aca="false">RANK(EA414,$EA$2:$EA$881,0)</f>
        <v>436</v>
      </c>
      <c r="EC414" s="29" t="n">
        <f aca="false">DZ414+CQ414+CP414+AZ414</f>
        <v>2440</v>
      </c>
      <c r="ED414" s="30" t="n">
        <f aca="false">(EA414+CV414+BB414)/3</f>
        <v>78.5333333333333</v>
      </c>
      <c r="EE414" s="51" t="n">
        <f aca="false">ROUND(BE414,3)</f>
        <v>85.157</v>
      </c>
      <c r="EF414" s="51" t="n">
        <f aca="false">ROUND(CR414,3)</f>
        <v>86.143</v>
      </c>
      <c r="EG414" s="51" t="n">
        <f aca="false">ROUND(CS414,3)</f>
        <v>73.714</v>
      </c>
      <c r="EH414" s="51" t="n">
        <f aca="false">ROUND(EA414,3)</f>
        <v>78.571</v>
      </c>
      <c r="EI414" s="51" t="n">
        <f aca="false">ROUND(ED414,3)</f>
        <v>78.533</v>
      </c>
      <c r="EJ414" s="51" t="n">
        <f aca="false">ROUND(CV414,3)</f>
        <v>79.929</v>
      </c>
      <c r="EK414" s="0" t="n">
        <f aca="false">RANK(EI414,$EI$2:$EI$881,0)</f>
        <v>413</v>
      </c>
    </row>
    <row r="415" customFormat="false" ht="15" hidden="false" customHeight="false" outlineLevel="0" collapsed="false">
      <c r="A415" s="4" t="n">
        <v>1840</v>
      </c>
      <c r="B415" s="4" t="n">
        <v>434</v>
      </c>
      <c r="C415" s="27" t="s">
        <v>1312</v>
      </c>
      <c r="D415" s="31" t="n">
        <v>440</v>
      </c>
      <c r="E415" s="16" t="n">
        <v>230247169</v>
      </c>
      <c r="F415" s="56" t="s">
        <v>1313</v>
      </c>
      <c r="G415" s="22" t="s">
        <v>395</v>
      </c>
      <c r="H415" s="22" t="s">
        <v>326</v>
      </c>
      <c r="I415" s="57"/>
      <c r="J415" s="16" t="n">
        <v>90</v>
      </c>
      <c r="K415" s="16" t="n">
        <v>77</v>
      </c>
      <c r="L415" s="34" t="n">
        <f aca="false">(K415*70)/100</f>
        <v>53.9</v>
      </c>
      <c r="M415" s="34" t="n">
        <f aca="false">ROUNDUP(L415,0)</f>
        <v>54</v>
      </c>
      <c r="N415" s="16" t="n">
        <v>28</v>
      </c>
      <c r="O415" s="34" t="n">
        <f aca="false">N415+L415</f>
        <v>81.9</v>
      </c>
      <c r="P415" s="34" t="n">
        <f aca="false">N415+M415</f>
        <v>82</v>
      </c>
      <c r="Q415" s="16" t="n">
        <v>80</v>
      </c>
      <c r="R415" s="16" t="n">
        <v>69</v>
      </c>
      <c r="S415" s="34" t="n">
        <f aca="false">(R415*70)/100</f>
        <v>48.3</v>
      </c>
      <c r="T415" s="34" t="n">
        <f aca="false">ROUNDUP(S415,0)</f>
        <v>49</v>
      </c>
      <c r="U415" s="16" t="n">
        <v>25</v>
      </c>
      <c r="V415" s="34" t="n">
        <f aca="false">U415+S415</f>
        <v>73.3</v>
      </c>
      <c r="W415" s="34" t="n">
        <f aca="false">U415+T415</f>
        <v>74</v>
      </c>
      <c r="X415" s="16" t="n">
        <v>71</v>
      </c>
      <c r="Y415" s="34" t="n">
        <f aca="false">(X415*70)/100</f>
        <v>49.7</v>
      </c>
      <c r="Z415" s="34" t="n">
        <f aca="false">ROUNDUP(Y415,0)</f>
        <v>50</v>
      </c>
      <c r="AA415" s="16" t="n">
        <v>27</v>
      </c>
      <c r="AB415" s="34" t="n">
        <f aca="false">AA415+Y415</f>
        <v>76.7</v>
      </c>
      <c r="AC415" s="34" t="n">
        <f aca="false">AA415+Z415</f>
        <v>77</v>
      </c>
      <c r="AD415" s="32" t="n">
        <f aca="false">X415+R415+Q415+K415+J415</f>
        <v>387</v>
      </c>
      <c r="AE415" s="16" t="n">
        <f aca="false">AD415/5</f>
        <v>77.4</v>
      </c>
      <c r="AF415" s="16" t="n">
        <v>62</v>
      </c>
      <c r="AG415" s="16" t="n">
        <v>89</v>
      </c>
      <c r="AH415" s="16" t="n">
        <v>88</v>
      </c>
      <c r="AI415" s="16" t="n">
        <v>79</v>
      </c>
      <c r="AJ415" s="16" t="n">
        <f aca="false">(AI415*70)/100</f>
        <v>55.3</v>
      </c>
      <c r="AK415" s="35" t="n">
        <f aca="false">ROUNDUP(AJ415,0)</f>
        <v>56</v>
      </c>
      <c r="AL415" s="16" t="n">
        <v>30</v>
      </c>
      <c r="AM415" s="16" t="n">
        <f aca="false">AL415+AJ415</f>
        <v>85.3</v>
      </c>
      <c r="AN415" s="16" t="n">
        <f aca="false">AL415+AK415</f>
        <v>86</v>
      </c>
      <c r="AO415" s="16" t="n">
        <v>68</v>
      </c>
      <c r="AP415" s="36" t="n">
        <f aca="false">(AO415*70)/100</f>
        <v>47.6</v>
      </c>
      <c r="AQ415" s="37" t="n">
        <f aca="false">ROUNDUP(AP415,0)</f>
        <v>48</v>
      </c>
      <c r="AR415" s="16" t="n">
        <v>16</v>
      </c>
      <c r="AS415" s="16" t="n">
        <f aca="false">AR415+AP415</f>
        <v>63.6</v>
      </c>
      <c r="AT415" s="16" t="n">
        <f aca="false">AR415+AQ415</f>
        <v>64</v>
      </c>
      <c r="AU415" s="16" t="n">
        <f aca="false">AO415+AF415+AI415+AH415+AG415</f>
        <v>386</v>
      </c>
      <c r="AV415" s="16" t="n">
        <f aca="false">(AO415+AF415+AI415+AH415+AG415)/5</f>
        <v>77.2</v>
      </c>
      <c r="AW415" s="36" t="n">
        <f aca="false">(AO415+AF415+AI415+AH415+AG415+X415+R415+Q415+K415+J415)</f>
        <v>773</v>
      </c>
      <c r="AX415" s="16" t="n">
        <f aca="false">AW415/10</f>
        <v>77.3</v>
      </c>
      <c r="AY415" s="16" t="n">
        <f aca="false">AS415+AF415+AM415+AH415+AG415+AB415+V415+Q415+O415+J415</f>
        <v>789.8</v>
      </c>
      <c r="AZ415" s="16" t="n">
        <f aca="false">AT415+AF415+AN415+AH415+AG415+AC415+W415+Q415+P415+J415</f>
        <v>792</v>
      </c>
      <c r="BA415" s="16" t="n">
        <f aca="false">AY415/10</f>
        <v>78.98</v>
      </c>
      <c r="BB415" s="16" t="n">
        <f aca="false">AZ415/10</f>
        <v>79.2</v>
      </c>
      <c r="BC415" s="16" t="n">
        <v>2373</v>
      </c>
      <c r="BD415" s="16" t="n">
        <f aca="false">RANK(AX415,$AX$2:$AX$881,0)</f>
        <v>472</v>
      </c>
      <c r="BE415" s="54" t="n">
        <f aca="false">((BC415*100)/2400)*0.4+(AX415*0.6)</f>
        <v>85.93</v>
      </c>
      <c r="BF415" s="16" t="n">
        <f aca="false">RANK(BE415,$BE$2:$BE$881,0)</f>
        <v>444</v>
      </c>
      <c r="BG415" s="39" t="n">
        <f aca="false">RANK(BB415,$BB$2:$BB$881,0)</f>
        <v>434</v>
      </c>
      <c r="BH415" s="39" t="n">
        <f aca="false">RANK(BC415,$BC$2:$BC$881,0)</f>
        <v>233</v>
      </c>
      <c r="BI415" s="22" t="s">
        <v>130</v>
      </c>
      <c r="BJ415" s="22" t="s">
        <v>129</v>
      </c>
      <c r="BK415" s="40" t="s">
        <v>509</v>
      </c>
      <c r="BL415" s="41" t="n">
        <v>23</v>
      </c>
      <c r="BM415" s="41" t="n">
        <v>50</v>
      </c>
      <c r="BN415" s="41" t="n">
        <v>73</v>
      </c>
      <c r="BO415" s="42" t="n">
        <v>25</v>
      </c>
      <c r="BP415" s="43" t="n">
        <v>62</v>
      </c>
      <c r="BQ415" s="44" t="n">
        <v>87</v>
      </c>
      <c r="BR415" s="42" t="n">
        <v>25</v>
      </c>
      <c r="BS415" s="45" t="n">
        <v>50</v>
      </c>
      <c r="BT415" s="45" t="n">
        <v>75</v>
      </c>
      <c r="BU415" s="46" t="n">
        <v>100</v>
      </c>
      <c r="BV415" s="47" t="n">
        <v>82</v>
      </c>
      <c r="BW415" s="42" t="n">
        <v>100</v>
      </c>
      <c r="BX415" s="48" t="n">
        <v>92</v>
      </c>
      <c r="BY415" s="32" t="n">
        <v>27</v>
      </c>
      <c r="BZ415" s="32" t="n">
        <v>38</v>
      </c>
      <c r="CA415" s="32" t="n">
        <v>65</v>
      </c>
      <c r="CB415" s="32" t="n">
        <v>19</v>
      </c>
      <c r="CC415" s="32" t="n">
        <v>31</v>
      </c>
      <c r="CD415" s="69" t="n">
        <v>50</v>
      </c>
      <c r="CE415" s="32" t="n">
        <v>25</v>
      </c>
      <c r="CF415" s="32" t="n">
        <v>38</v>
      </c>
      <c r="CG415" s="32" t="n">
        <v>63</v>
      </c>
      <c r="CH415" s="32" t="n">
        <v>99</v>
      </c>
      <c r="CI415" s="32" t="n">
        <v>96</v>
      </c>
      <c r="CJ415" s="49" t="n">
        <v>22</v>
      </c>
      <c r="CK415" s="49" t="n">
        <v>48</v>
      </c>
      <c r="CL415" s="49" t="n">
        <v>70</v>
      </c>
      <c r="CM415" s="49" t="n">
        <v>23</v>
      </c>
      <c r="CN415" s="49" t="n">
        <v>42</v>
      </c>
      <c r="CO415" s="49" t="n">
        <v>65</v>
      </c>
      <c r="CP415" s="25" t="n">
        <f aca="false">BX415+BW415+BV415+BU415+BT415+BQ415+BN415</f>
        <v>609</v>
      </c>
      <c r="CQ415" s="25" t="n">
        <f aca="false">CO415+CL415+CI415+CH415+CG415+CD415+CA415</f>
        <v>508</v>
      </c>
      <c r="CR415" s="26" t="n">
        <f aca="false">CP415/7</f>
        <v>87</v>
      </c>
      <c r="CS415" s="26" t="n">
        <f aca="false">CQ415/7</f>
        <v>72.5714285714286</v>
      </c>
      <c r="CT415" s="24" t="n">
        <f aca="false">RANK(CR415,$CR$2:$CR$881,0)</f>
        <v>358</v>
      </c>
      <c r="CU415" s="25" t="n">
        <f aca="false">RANK(CS415,$CS$2:$CS$881,0)</f>
        <v>492</v>
      </c>
      <c r="CV415" s="26" t="n">
        <f aca="false">(CS415+CR415)/2</f>
        <v>79.7857142857143</v>
      </c>
      <c r="CW415" s="25" t="n">
        <f aca="false">RANK(CV415,$CV$2:$CV$881,0)</f>
        <v>437</v>
      </c>
      <c r="CX415" s="50" t="n">
        <f aca="false">(CV415+BB415)/2</f>
        <v>79.4928571428571</v>
      </c>
      <c r="CY415" s="50" t="n">
        <v>396</v>
      </c>
      <c r="CZ415" s="27" t="s">
        <v>132</v>
      </c>
      <c r="DA415" s="27" t="s">
        <v>219</v>
      </c>
      <c r="DB415" s="27" t="s">
        <v>219</v>
      </c>
      <c r="DC415" s="27" t="s">
        <v>134</v>
      </c>
      <c r="DD415" s="27" t="s">
        <v>604</v>
      </c>
      <c r="DE415" s="27" t="s">
        <v>304</v>
      </c>
      <c r="DF415" s="27" t="s">
        <v>155</v>
      </c>
      <c r="DG415" s="27" t="s">
        <v>134</v>
      </c>
      <c r="DH415" s="27" t="s">
        <v>182</v>
      </c>
      <c r="DI415" s="27" t="s">
        <v>218</v>
      </c>
      <c r="DJ415" s="27" t="s">
        <v>196</v>
      </c>
      <c r="DK415" s="27" t="s">
        <v>134</v>
      </c>
      <c r="DL415" s="27" t="s">
        <v>164</v>
      </c>
      <c r="DM415" s="27" t="s">
        <v>313</v>
      </c>
      <c r="DN415" s="27" t="s">
        <v>272</v>
      </c>
      <c r="DO415" s="27" t="s">
        <v>134</v>
      </c>
      <c r="DP415" s="27" t="s">
        <v>195</v>
      </c>
      <c r="DQ415" s="27" t="s">
        <v>673</v>
      </c>
      <c r="DR415" s="27" t="s">
        <v>203</v>
      </c>
      <c r="DS415" s="27" t="s">
        <v>134</v>
      </c>
      <c r="DT415" s="27" t="s">
        <v>164</v>
      </c>
      <c r="DU415" s="27" t="s">
        <v>479</v>
      </c>
      <c r="DV415" s="27" t="s">
        <v>187</v>
      </c>
      <c r="DW415" s="27" t="s">
        <v>160</v>
      </c>
      <c r="DX415" s="27" t="s">
        <v>155</v>
      </c>
      <c r="DY415" s="27" t="s">
        <v>145</v>
      </c>
      <c r="DZ415" s="27" t="n">
        <f aca="false">DY415+DV415+DR415+DN415+DJ415+DF415+DB415</f>
        <v>536</v>
      </c>
      <c r="EA415" s="28" t="n">
        <f aca="false">DZ415/7</f>
        <v>76.5714285714286</v>
      </c>
      <c r="EB415" s="27" t="n">
        <f aca="false">RANK(EA415,$EA$2:$EA$881,0)</f>
        <v>501</v>
      </c>
      <c r="EC415" s="29" t="n">
        <f aca="false">DZ415+CQ415+CP415+AZ415</f>
        <v>2445</v>
      </c>
      <c r="ED415" s="30" t="n">
        <f aca="false">(EA415+CV415+BB415)/3</f>
        <v>78.5190476190476</v>
      </c>
      <c r="EE415" s="51" t="n">
        <f aca="false">ROUND(BE415,3)</f>
        <v>85.93</v>
      </c>
      <c r="EF415" s="51" t="n">
        <f aca="false">ROUND(CR415,3)</f>
        <v>87</v>
      </c>
      <c r="EG415" s="51" t="n">
        <f aca="false">ROUND(CS415,3)</f>
        <v>72.571</v>
      </c>
      <c r="EH415" s="51" t="n">
        <f aca="false">ROUND(EA415,3)</f>
        <v>76.571</v>
      </c>
      <c r="EI415" s="51" t="n">
        <f aca="false">ROUND(ED415,3)</f>
        <v>78.519</v>
      </c>
      <c r="EJ415" s="51" t="n">
        <f aca="false">ROUND(CV415,3)</f>
        <v>79.786</v>
      </c>
      <c r="EK415" s="0" t="n">
        <f aca="false">RANK(EI415,$EI$2:$EI$881,0)</f>
        <v>414</v>
      </c>
    </row>
    <row r="416" customFormat="false" ht="15" hidden="false" customHeight="false" outlineLevel="0" collapsed="false">
      <c r="A416" s="4" t="n">
        <v>1985</v>
      </c>
      <c r="B416" s="4" t="n">
        <v>447</v>
      </c>
      <c r="C416" s="27" t="s">
        <v>1314</v>
      </c>
      <c r="D416" s="31" t="n">
        <v>452</v>
      </c>
      <c r="E416" s="32" t="n">
        <v>230319760</v>
      </c>
      <c r="F416" s="8" t="s">
        <v>1315</v>
      </c>
      <c r="G416" s="22" t="s">
        <v>778</v>
      </c>
      <c r="H416" s="22" t="s">
        <v>129</v>
      </c>
      <c r="I416" s="33" t="n">
        <v>2006</v>
      </c>
      <c r="J416" s="32" t="n">
        <v>94</v>
      </c>
      <c r="K416" s="32" t="n">
        <v>69</v>
      </c>
      <c r="L416" s="34" t="n">
        <f aca="false">(K416*70)/100</f>
        <v>48.3</v>
      </c>
      <c r="M416" s="34" t="n">
        <f aca="false">ROUNDUP(L416,0)</f>
        <v>49</v>
      </c>
      <c r="N416" s="32" t="n">
        <v>24</v>
      </c>
      <c r="O416" s="34" t="n">
        <f aca="false">N416+L416</f>
        <v>72.3</v>
      </c>
      <c r="P416" s="34" t="n">
        <f aca="false">N416+M416</f>
        <v>73</v>
      </c>
      <c r="Q416" s="32" t="n">
        <v>73</v>
      </c>
      <c r="R416" s="32" t="n">
        <v>67</v>
      </c>
      <c r="S416" s="34" t="n">
        <f aca="false">(R416*70)/100</f>
        <v>46.9</v>
      </c>
      <c r="T416" s="34" t="n">
        <f aca="false">ROUNDUP(S416,0)</f>
        <v>47</v>
      </c>
      <c r="U416" s="32" t="n">
        <v>18</v>
      </c>
      <c r="V416" s="34" t="n">
        <f aca="false">U416+S416</f>
        <v>64.9</v>
      </c>
      <c r="W416" s="34" t="n">
        <f aca="false">U416+T416</f>
        <v>65</v>
      </c>
      <c r="X416" s="32" t="n">
        <v>62</v>
      </c>
      <c r="Y416" s="34" t="n">
        <f aca="false">(X416*70)/100</f>
        <v>43.4</v>
      </c>
      <c r="Z416" s="34" t="n">
        <f aca="false">ROUNDUP(Y416,0)</f>
        <v>44</v>
      </c>
      <c r="AA416" s="32" t="n">
        <v>27</v>
      </c>
      <c r="AB416" s="34" t="n">
        <f aca="false">AA416+Y416</f>
        <v>70.4</v>
      </c>
      <c r="AC416" s="34" t="n">
        <f aca="false">AA416+Z416</f>
        <v>71</v>
      </c>
      <c r="AD416" s="32" t="n">
        <f aca="false">X416+R416+Q416+K416+J416</f>
        <v>365</v>
      </c>
      <c r="AE416" s="16" t="n">
        <f aca="false">AD416/5</f>
        <v>73</v>
      </c>
      <c r="AF416" s="71" t="n">
        <v>58</v>
      </c>
      <c r="AG416" s="16" t="n">
        <v>97</v>
      </c>
      <c r="AH416" s="16" t="n">
        <v>81</v>
      </c>
      <c r="AI416" s="16" t="n">
        <v>92</v>
      </c>
      <c r="AJ416" s="16" t="n">
        <f aca="false">(AI416*70)/100</f>
        <v>64.4</v>
      </c>
      <c r="AK416" s="35" t="n">
        <f aca="false">ROUNDUP(AJ416,0)</f>
        <v>65</v>
      </c>
      <c r="AL416" s="16" t="n">
        <v>24</v>
      </c>
      <c r="AM416" s="16" t="n">
        <f aca="false">AL416+AJ416</f>
        <v>88.4</v>
      </c>
      <c r="AN416" s="16" t="n">
        <f aca="false">AL416+AK416</f>
        <v>89</v>
      </c>
      <c r="AO416" s="16" t="n">
        <v>63</v>
      </c>
      <c r="AP416" s="36" t="n">
        <f aca="false">(AO416*70)/100</f>
        <v>44.1</v>
      </c>
      <c r="AQ416" s="37" t="n">
        <f aca="false">ROUNDUP(AP416,0)</f>
        <v>45</v>
      </c>
      <c r="AR416" s="16" t="n">
        <v>24</v>
      </c>
      <c r="AS416" s="16" t="n">
        <f aca="false">AR416+AP416</f>
        <v>68.1</v>
      </c>
      <c r="AT416" s="16" t="n">
        <f aca="false">AR416+AQ416</f>
        <v>69</v>
      </c>
      <c r="AU416" s="16" t="n">
        <f aca="false">AO416+AF416+AI416+AH416+AG416</f>
        <v>391</v>
      </c>
      <c r="AV416" s="16" t="n">
        <f aca="false">(AO416+AF416+AI416+AH416+AG416)/5</f>
        <v>78.2</v>
      </c>
      <c r="AW416" s="36" t="n">
        <f aca="false">(AO416+AF416+AI416+AH416+AG416+X416+R416+Q416+K416+J416)</f>
        <v>756</v>
      </c>
      <c r="AX416" s="16" t="n">
        <f aca="false">AW416/10</f>
        <v>75.6</v>
      </c>
      <c r="AY416" s="16" t="n">
        <f aca="false">AS416+AF416+AM416+AH416+AG416+AB416+V416+Q416+O416+J416</f>
        <v>767.1</v>
      </c>
      <c r="AZ416" s="16" t="n">
        <f aca="false">AT416+AF416+AN416+AH416+AG416+AC416+W416+Q416+P416+J416</f>
        <v>770</v>
      </c>
      <c r="BA416" s="16" t="n">
        <f aca="false">AY416/10</f>
        <v>76.71</v>
      </c>
      <c r="BB416" s="16" t="n">
        <f aca="false">AZ416/10</f>
        <v>77</v>
      </c>
      <c r="BC416" s="16" t="n">
        <v>2387</v>
      </c>
      <c r="BD416" s="16" t="n">
        <f aca="false">RANK(AX416,$AX$2:$AX$881,0)</f>
        <v>652</v>
      </c>
      <c r="BE416" s="54" t="n">
        <f aca="false">((BC416*100)/2400)*0.4+(AX416*0.6)</f>
        <v>85.1433333333333</v>
      </c>
      <c r="BF416" s="16" t="n">
        <f aca="false">RANK(BE416,$BE$2:$BE$881,0)</f>
        <v>580</v>
      </c>
      <c r="BG416" s="39" t="n">
        <f aca="false">RANK(BB416,$BB$2:$BB$881,0)</f>
        <v>644</v>
      </c>
      <c r="BH416" s="39" t="n">
        <f aca="false">RANK(BC416,$BC$2:$BC$881,0)</f>
        <v>76</v>
      </c>
      <c r="BI416" s="22" t="s">
        <v>130</v>
      </c>
      <c r="BJ416" s="22" t="s">
        <v>129</v>
      </c>
      <c r="BK416" s="40" t="s">
        <v>509</v>
      </c>
      <c r="BL416" s="41" t="n">
        <v>17</v>
      </c>
      <c r="BM416" s="41" t="n">
        <v>46</v>
      </c>
      <c r="BN416" s="41" t="n">
        <v>63</v>
      </c>
      <c r="BO416" s="42" t="n">
        <v>24</v>
      </c>
      <c r="BP416" s="43" t="n">
        <v>58</v>
      </c>
      <c r="BQ416" s="44" t="n">
        <v>82</v>
      </c>
      <c r="BR416" s="42" t="n">
        <v>21</v>
      </c>
      <c r="BS416" s="45" t="n">
        <v>49</v>
      </c>
      <c r="BT416" s="45" t="n">
        <v>70</v>
      </c>
      <c r="BU416" s="46" t="n">
        <v>99</v>
      </c>
      <c r="BV416" s="47" t="n">
        <v>86</v>
      </c>
      <c r="BW416" s="42" t="n">
        <v>95</v>
      </c>
      <c r="BX416" s="48" t="n">
        <v>94</v>
      </c>
      <c r="BY416" s="32" t="n">
        <v>23</v>
      </c>
      <c r="BZ416" s="32" t="n">
        <v>45</v>
      </c>
      <c r="CA416" s="32" t="n">
        <v>68</v>
      </c>
      <c r="CB416" s="32" t="n">
        <v>22</v>
      </c>
      <c r="CC416" s="32" t="n">
        <v>40</v>
      </c>
      <c r="CD416" s="32" t="n">
        <v>62</v>
      </c>
      <c r="CE416" s="32" t="n">
        <v>26</v>
      </c>
      <c r="CF416" s="32" t="n">
        <v>44</v>
      </c>
      <c r="CG416" s="32" t="n">
        <v>70</v>
      </c>
      <c r="CH416" s="32" t="n">
        <v>95</v>
      </c>
      <c r="CI416" s="32" t="n">
        <v>100</v>
      </c>
      <c r="CJ416" s="49" t="n">
        <v>18</v>
      </c>
      <c r="CK416" s="49" t="n">
        <v>43</v>
      </c>
      <c r="CL416" s="49" t="n">
        <v>61</v>
      </c>
      <c r="CM416" s="49" t="n">
        <v>21</v>
      </c>
      <c r="CN416" s="49" t="n">
        <v>52</v>
      </c>
      <c r="CO416" s="49" t="n">
        <v>73</v>
      </c>
      <c r="CP416" s="25" t="n">
        <f aca="false">BX416+BW416+BV416+BU416+BT416+BQ416+BN416</f>
        <v>589</v>
      </c>
      <c r="CQ416" s="25" t="n">
        <f aca="false">CO416+CL416+CI416+CH416+CG416+CD416+CA416</f>
        <v>529</v>
      </c>
      <c r="CR416" s="26" t="n">
        <f aca="false">CP416/7</f>
        <v>84.1428571428571</v>
      </c>
      <c r="CS416" s="26" t="n">
        <f aca="false">CQ416/7</f>
        <v>75.5714285714286</v>
      </c>
      <c r="CT416" s="24" t="n">
        <f aca="false">RANK(CR416,$CR$2:$CR$881,0)</f>
        <v>474</v>
      </c>
      <c r="CU416" s="25" t="n">
        <f aca="false">RANK(CS416,$CS$2:$CS$881,0)</f>
        <v>412</v>
      </c>
      <c r="CV416" s="26" t="n">
        <f aca="false">(CS416+CR416)/2</f>
        <v>79.8571428571429</v>
      </c>
      <c r="CW416" s="25" t="n">
        <f aca="false">RANK(CV416,$CV$2:$CV$881,0)</f>
        <v>432</v>
      </c>
      <c r="CX416" s="50" t="n">
        <f aca="false">(CV416+BB416)/2</f>
        <v>78.4285714285714</v>
      </c>
      <c r="CY416" s="50" t="n">
        <v>449</v>
      </c>
      <c r="CZ416" s="27" t="s">
        <v>132</v>
      </c>
      <c r="DA416" s="27" t="s">
        <v>153</v>
      </c>
      <c r="DB416" s="27" t="s">
        <v>153</v>
      </c>
      <c r="DC416" s="27" t="s">
        <v>134</v>
      </c>
      <c r="DD416" s="27" t="s">
        <v>182</v>
      </c>
      <c r="DE416" s="27" t="s">
        <v>220</v>
      </c>
      <c r="DF416" s="27" t="s">
        <v>219</v>
      </c>
      <c r="DG416" s="27" t="s">
        <v>134</v>
      </c>
      <c r="DH416" s="27" t="s">
        <v>135</v>
      </c>
      <c r="DI416" s="27" t="s">
        <v>442</v>
      </c>
      <c r="DJ416" s="27" t="s">
        <v>372</v>
      </c>
      <c r="DK416" s="27" t="s">
        <v>134</v>
      </c>
      <c r="DL416" s="27" t="s">
        <v>164</v>
      </c>
      <c r="DM416" s="27" t="s">
        <v>183</v>
      </c>
      <c r="DN416" s="27" t="s">
        <v>175</v>
      </c>
      <c r="DO416" s="27" t="s">
        <v>134</v>
      </c>
      <c r="DP416" s="27" t="s">
        <v>386</v>
      </c>
      <c r="DQ416" s="27" t="s">
        <v>681</v>
      </c>
      <c r="DR416" s="27" t="s">
        <v>152</v>
      </c>
      <c r="DS416" s="27" t="s">
        <v>134</v>
      </c>
      <c r="DT416" s="27" t="s">
        <v>174</v>
      </c>
      <c r="DU416" s="27" t="s">
        <v>897</v>
      </c>
      <c r="DV416" s="27" t="s">
        <v>163</v>
      </c>
      <c r="DW416" s="27" t="s">
        <v>164</v>
      </c>
      <c r="DX416" s="27" t="s">
        <v>163</v>
      </c>
      <c r="DY416" s="27" t="s">
        <v>176</v>
      </c>
      <c r="DZ416" s="27" t="n">
        <f aca="false">DY416+DV416+DR416+DN416+DJ416+DF416+DB416</f>
        <v>550</v>
      </c>
      <c r="EA416" s="28" t="n">
        <f aca="false">DZ416/7</f>
        <v>78.5714285714286</v>
      </c>
      <c r="EB416" s="27" t="n">
        <f aca="false">RANK(EA416,$EA$2:$EA$881,0)</f>
        <v>436</v>
      </c>
      <c r="EC416" s="29" t="n">
        <f aca="false">DZ416+CQ416+CP416+AZ416</f>
        <v>2438</v>
      </c>
      <c r="ED416" s="30" t="n">
        <f aca="false">(EA416+CV416+BB416)/3</f>
        <v>78.4761904761905</v>
      </c>
      <c r="EE416" s="51" t="n">
        <f aca="false">ROUND(BE416,3)</f>
        <v>85.143</v>
      </c>
      <c r="EF416" s="51" t="n">
        <f aca="false">ROUND(CR416,3)</f>
        <v>84.143</v>
      </c>
      <c r="EG416" s="51" t="n">
        <f aca="false">ROUND(CS416,3)</f>
        <v>75.571</v>
      </c>
      <c r="EH416" s="51" t="n">
        <f aca="false">ROUND(EA416,3)</f>
        <v>78.571</v>
      </c>
      <c r="EI416" s="51" t="n">
        <f aca="false">ROUND(ED416,3)</f>
        <v>78.476</v>
      </c>
      <c r="EJ416" s="51" t="n">
        <f aca="false">ROUND(CV416,3)</f>
        <v>79.857</v>
      </c>
      <c r="EK416" s="0" t="n">
        <f aca="false">RANK(EI416,$EI$2:$EI$881,0)</f>
        <v>415</v>
      </c>
    </row>
    <row r="417" customFormat="false" ht="15" hidden="false" customHeight="false" outlineLevel="0" collapsed="false">
      <c r="A417" s="4" t="n">
        <v>1915</v>
      </c>
      <c r="B417" s="4" t="n">
        <v>193</v>
      </c>
      <c r="C417" s="27" t="s">
        <v>1316</v>
      </c>
      <c r="D417" s="31" t="n">
        <v>194</v>
      </c>
      <c r="E417" s="16" t="n">
        <v>230409604</v>
      </c>
      <c r="F417" s="56" t="s">
        <v>1317</v>
      </c>
      <c r="G417" s="22" t="s">
        <v>1318</v>
      </c>
      <c r="H417" s="22" t="s">
        <v>271</v>
      </c>
      <c r="I417" s="57"/>
      <c r="J417" s="16" t="n">
        <v>78</v>
      </c>
      <c r="K417" s="16" t="n">
        <v>80</v>
      </c>
      <c r="L417" s="34" t="n">
        <f aca="false">(K417*70)/100</f>
        <v>56</v>
      </c>
      <c r="M417" s="34" t="n">
        <f aca="false">ROUNDUP(L417,0)</f>
        <v>56</v>
      </c>
      <c r="N417" s="16" t="n">
        <v>22</v>
      </c>
      <c r="O417" s="34" t="n">
        <f aca="false">N417+L417</f>
        <v>78</v>
      </c>
      <c r="P417" s="34" t="n">
        <f aca="false">N417+M417</f>
        <v>78</v>
      </c>
      <c r="Q417" s="16" t="n">
        <v>63</v>
      </c>
      <c r="R417" s="16" t="n">
        <v>79</v>
      </c>
      <c r="S417" s="34" t="n">
        <f aca="false">(R417*70)/100</f>
        <v>55.3</v>
      </c>
      <c r="T417" s="34" t="n">
        <f aca="false">ROUNDUP(S417,0)</f>
        <v>56</v>
      </c>
      <c r="U417" s="16" t="n">
        <v>25</v>
      </c>
      <c r="V417" s="34" t="n">
        <f aca="false">U417+S417</f>
        <v>80.3</v>
      </c>
      <c r="W417" s="34" t="n">
        <f aca="false">U417+T417</f>
        <v>81</v>
      </c>
      <c r="X417" s="16" t="n">
        <v>78</v>
      </c>
      <c r="Y417" s="34" t="n">
        <f aca="false">(X417*70)/100</f>
        <v>54.6</v>
      </c>
      <c r="Z417" s="34" t="n">
        <f aca="false">ROUNDUP(Y417,0)</f>
        <v>55</v>
      </c>
      <c r="AA417" s="16" t="n">
        <v>26</v>
      </c>
      <c r="AB417" s="34" t="n">
        <f aca="false">AA417+Y417</f>
        <v>80.6</v>
      </c>
      <c r="AC417" s="34" t="n">
        <f aca="false">AA417+Z417</f>
        <v>81</v>
      </c>
      <c r="AD417" s="32" t="n">
        <f aca="false">X417+R417+Q417+K417+J417</f>
        <v>378</v>
      </c>
      <c r="AE417" s="16" t="n">
        <f aca="false">AD417/5</f>
        <v>75.6</v>
      </c>
      <c r="AF417" s="16" t="n">
        <v>79</v>
      </c>
      <c r="AG417" s="16" t="n">
        <v>82</v>
      </c>
      <c r="AH417" s="16" t="n">
        <v>90</v>
      </c>
      <c r="AI417" s="16" t="n">
        <v>61</v>
      </c>
      <c r="AJ417" s="16" t="n">
        <f aca="false">(AI417*70)/100</f>
        <v>42.7</v>
      </c>
      <c r="AK417" s="35" t="n">
        <f aca="false">ROUNDUP(AJ417,0)</f>
        <v>43</v>
      </c>
      <c r="AL417" s="16" t="n">
        <v>22</v>
      </c>
      <c r="AM417" s="16" t="n">
        <f aca="false">AL417+AJ417</f>
        <v>64.7</v>
      </c>
      <c r="AN417" s="16" t="n">
        <f aca="false">AL417+AK417</f>
        <v>65</v>
      </c>
      <c r="AO417" s="16" t="n">
        <v>68</v>
      </c>
      <c r="AP417" s="36" t="n">
        <f aca="false">(AO417*70)/100</f>
        <v>47.6</v>
      </c>
      <c r="AQ417" s="37" t="n">
        <f aca="false">ROUNDUP(AP417,0)</f>
        <v>48</v>
      </c>
      <c r="AR417" s="16" t="n">
        <v>17</v>
      </c>
      <c r="AS417" s="16" t="n">
        <f aca="false">AR417+AP417</f>
        <v>64.6</v>
      </c>
      <c r="AT417" s="16" t="n">
        <f aca="false">AR417+AQ417</f>
        <v>65</v>
      </c>
      <c r="AU417" s="16" t="n">
        <f aca="false">AO417+AF417+AI417+AH417+AG417</f>
        <v>380</v>
      </c>
      <c r="AV417" s="16" t="n">
        <f aca="false">(AO417+AF417+AI417+AH417+AG417)/5</f>
        <v>76</v>
      </c>
      <c r="AW417" s="36" t="n">
        <f aca="false">(AO417+AF417+AI417+AH417+AG417+X417+R417+Q417+K417+J417)</f>
        <v>758</v>
      </c>
      <c r="AX417" s="16" t="n">
        <f aca="false">AW417/10</f>
        <v>75.8</v>
      </c>
      <c r="AY417" s="16" t="n">
        <f aca="false">AS417+AF417+AM417+AH417+AG417+AB417+V417+Q417+O417+J417</f>
        <v>760.2</v>
      </c>
      <c r="AZ417" s="16" t="n">
        <f aca="false">AT417+AF417+AN417+AH417+AG417+AC417+W417+Q417+P417+J417</f>
        <v>762</v>
      </c>
      <c r="BA417" s="16" t="n">
        <f aca="false">AY417/10</f>
        <v>76.02</v>
      </c>
      <c r="BB417" s="16" t="n">
        <f aca="false">AZ417/10</f>
        <v>76.2</v>
      </c>
      <c r="BC417" s="16" t="n">
        <v>2361</v>
      </c>
      <c r="BD417" s="16" t="n">
        <f aca="false">RANK(AX417,$AX$2:$AX$881,0)</f>
        <v>635</v>
      </c>
      <c r="BE417" s="73" t="n">
        <f aca="false">((BC417*100)/2400)*0.4+(AX417*0.6)</f>
        <v>84.83</v>
      </c>
      <c r="BF417" s="16" t="n">
        <f aca="false">RANK(BE417,$BE$2:$BE$881,0)</f>
        <v>650</v>
      </c>
      <c r="BG417" s="39" t="n">
        <f aca="false">RANK(BB417,$BB$2:$BB$881,0)</f>
        <v>672</v>
      </c>
      <c r="BH417" s="39" t="n">
        <f aca="false">RANK(BC417,$BC$2:$BC$881,0)</f>
        <v>382</v>
      </c>
      <c r="BI417" s="22" t="s">
        <v>130</v>
      </c>
      <c r="BJ417" s="22" t="s">
        <v>129</v>
      </c>
      <c r="BK417" s="22" t="s">
        <v>509</v>
      </c>
      <c r="BL417" s="41" t="n">
        <v>21</v>
      </c>
      <c r="BM417" s="41" t="n">
        <v>43</v>
      </c>
      <c r="BN417" s="41" t="n">
        <v>64</v>
      </c>
      <c r="BO417" s="42" t="n">
        <v>27</v>
      </c>
      <c r="BP417" s="43" t="n">
        <v>56</v>
      </c>
      <c r="BQ417" s="44" t="n">
        <v>83</v>
      </c>
      <c r="BR417" s="42" t="n">
        <v>23</v>
      </c>
      <c r="BS417" s="45" t="n">
        <v>53</v>
      </c>
      <c r="BT417" s="45" t="n">
        <v>76</v>
      </c>
      <c r="BU417" s="46" t="n">
        <v>100</v>
      </c>
      <c r="BV417" s="47" t="n">
        <v>82</v>
      </c>
      <c r="BW417" s="42" t="n">
        <v>92</v>
      </c>
      <c r="BX417" s="48" t="n">
        <v>90</v>
      </c>
      <c r="BY417" s="32" t="n">
        <v>24</v>
      </c>
      <c r="BZ417" s="32" t="n">
        <v>38</v>
      </c>
      <c r="CA417" s="32" t="n">
        <v>62</v>
      </c>
      <c r="CB417" s="32" t="n">
        <v>23</v>
      </c>
      <c r="CC417" s="32" t="n">
        <v>30</v>
      </c>
      <c r="CD417" s="69" t="n">
        <v>53</v>
      </c>
      <c r="CE417" s="32" t="n">
        <v>27</v>
      </c>
      <c r="CF417" s="32" t="n">
        <v>48</v>
      </c>
      <c r="CG417" s="32" t="n">
        <v>75</v>
      </c>
      <c r="CH417" s="32" t="n">
        <v>95</v>
      </c>
      <c r="CI417" s="32" t="n">
        <v>96</v>
      </c>
      <c r="CJ417" s="49" t="n">
        <v>24</v>
      </c>
      <c r="CK417" s="49" t="n">
        <v>45</v>
      </c>
      <c r="CL417" s="49" t="n">
        <v>69</v>
      </c>
      <c r="CM417" s="49" t="n">
        <v>24</v>
      </c>
      <c r="CN417" s="49" t="n">
        <v>52</v>
      </c>
      <c r="CO417" s="49" t="n">
        <v>76</v>
      </c>
      <c r="CP417" s="25" t="n">
        <f aca="false">BX417+BW417+BV417+BU417+BT417+BQ417+BN417</f>
        <v>587</v>
      </c>
      <c r="CQ417" s="25" t="n">
        <f aca="false">CO417+CL417+CI417+CH417+CG417+CD417+CA417</f>
        <v>526</v>
      </c>
      <c r="CR417" s="26" t="n">
        <f aca="false">CP417/7</f>
        <v>83.8571428571429</v>
      </c>
      <c r="CS417" s="26" t="n">
        <f aca="false">CQ417/7</f>
        <v>75.1428571428571</v>
      </c>
      <c r="CT417" s="24" t="n">
        <f aca="false">RANK(CR417,$CR$2:$CR$881,0)</f>
        <v>492</v>
      </c>
      <c r="CU417" s="25" t="n">
        <f aca="false">RANK(CS417,$CS$2:$CS$881,0)</f>
        <v>426</v>
      </c>
      <c r="CV417" s="26" t="n">
        <f aca="false">(CS417+CR417)/2</f>
        <v>79.5</v>
      </c>
      <c r="CW417" s="25" t="n">
        <f aca="false">RANK(CV417,$CV$2:$CV$881,0)</f>
        <v>449</v>
      </c>
      <c r="CX417" s="50" t="n">
        <f aca="false">(CV417+BB417)/2</f>
        <v>77.85</v>
      </c>
      <c r="CY417" s="50" t="n">
        <v>472</v>
      </c>
      <c r="CZ417" s="27" t="s">
        <v>132</v>
      </c>
      <c r="DA417" s="27" t="s">
        <v>219</v>
      </c>
      <c r="DB417" s="27" t="s">
        <v>219</v>
      </c>
      <c r="DC417" s="27" t="s">
        <v>134</v>
      </c>
      <c r="DD417" s="27" t="s">
        <v>140</v>
      </c>
      <c r="DE417" s="27" t="s">
        <v>447</v>
      </c>
      <c r="DF417" s="27" t="s">
        <v>205</v>
      </c>
      <c r="DG417" s="27" t="s">
        <v>134</v>
      </c>
      <c r="DH417" s="27" t="s">
        <v>135</v>
      </c>
      <c r="DI417" s="27" t="s">
        <v>412</v>
      </c>
      <c r="DJ417" s="27" t="s">
        <v>443</v>
      </c>
      <c r="DK417" s="27" t="s">
        <v>134</v>
      </c>
      <c r="DL417" s="27" t="s">
        <v>182</v>
      </c>
      <c r="DM417" s="27" t="s">
        <v>375</v>
      </c>
      <c r="DN417" s="27" t="s">
        <v>372</v>
      </c>
      <c r="DO417" s="27" t="s">
        <v>134</v>
      </c>
      <c r="DP417" s="27" t="s">
        <v>137</v>
      </c>
      <c r="DQ417" s="27" t="s">
        <v>415</v>
      </c>
      <c r="DR417" s="27" t="s">
        <v>486</v>
      </c>
      <c r="DS417" s="27" t="s">
        <v>134</v>
      </c>
      <c r="DT417" s="27" t="s">
        <v>182</v>
      </c>
      <c r="DU417" s="27" t="s">
        <v>447</v>
      </c>
      <c r="DV417" s="27" t="s">
        <v>382</v>
      </c>
      <c r="DW417" s="27" t="s">
        <v>164</v>
      </c>
      <c r="DX417" s="27" t="s">
        <v>138</v>
      </c>
      <c r="DY417" s="27" t="s">
        <v>142</v>
      </c>
      <c r="DZ417" s="27" t="n">
        <f aca="false">DY417+DV417+DR417+DN417+DJ417+DF417+DB417</f>
        <v>558</v>
      </c>
      <c r="EA417" s="28" t="n">
        <f aca="false">DZ417/7</f>
        <v>79.7142857142857</v>
      </c>
      <c r="EB417" s="27" t="n">
        <f aca="false">RANK(EA417,$EA$2:$EA$881,0)</f>
        <v>404</v>
      </c>
      <c r="EC417" s="29" t="n">
        <f aca="false">DZ417+CQ417+CP417+AZ417</f>
        <v>2433</v>
      </c>
      <c r="ED417" s="30" t="n">
        <f aca="false">(EA417+CV417+BB417)/3</f>
        <v>78.4714285714286</v>
      </c>
      <c r="EE417" s="51" t="n">
        <f aca="false">ROUND(BE417,3)</f>
        <v>84.83</v>
      </c>
      <c r="EF417" s="51" t="n">
        <f aca="false">ROUND(CR417,3)</f>
        <v>83.857</v>
      </c>
      <c r="EG417" s="51" t="n">
        <f aca="false">ROUND(CS417,3)</f>
        <v>75.143</v>
      </c>
      <c r="EH417" s="51" t="n">
        <f aca="false">ROUND(EA417,3)</f>
        <v>79.714</v>
      </c>
      <c r="EI417" s="51" t="n">
        <f aca="false">ROUND(ED417,3)</f>
        <v>78.471</v>
      </c>
      <c r="EJ417" s="51" t="n">
        <f aca="false">ROUND(CV417,3)</f>
        <v>79.5</v>
      </c>
      <c r="EK417" s="0" t="n">
        <f aca="false">RANK(EI417,$EI$2:$EI$881,0)</f>
        <v>416</v>
      </c>
    </row>
    <row r="418" customFormat="false" ht="15" hidden="false" customHeight="false" outlineLevel="0" collapsed="false">
      <c r="A418" s="4" t="n">
        <v>1900</v>
      </c>
      <c r="B418" s="4" t="n">
        <v>88</v>
      </c>
      <c r="C418" s="27" t="s">
        <v>1319</v>
      </c>
      <c r="D418" s="52" t="n">
        <v>89</v>
      </c>
      <c r="E418" s="16" t="n">
        <v>230122045</v>
      </c>
      <c r="F418" s="56" t="s">
        <v>1320</v>
      </c>
      <c r="G418" s="22" t="s">
        <v>312</v>
      </c>
      <c r="H418" s="22" t="s">
        <v>326</v>
      </c>
      <c r="I418" s="57"/>
      <c r="J418" s="16" t="n">
        <v>62</v>
      </c>
      <c r="K418" s="16" t="n">
        <v>78</v>
      </c>
      <c r="L418" s="34" t="n">
        <f aca="false">(K418*70)/100</f>
        <v>54.6</v>
      </c>
      <c r="M418" s="34" t="n">
        <f aca="false">ROUNDUP(L418,0)</f>
        <v>55</v>
      </c>
      <c r="N418" s="16" t="n">
        <v>25</v>
      </c>
      <c r="O418" s="34" t="n">
        <f aca="false">N418+L418</f>
        <v>79.6</v>
      </c>
      <c r="P418" s="34" t="n">
        <f aca="false">N418+M418</f>
        <v>80</v>
      </c>
      <c r="Q418" s="16" t="n">
        <v>67</v>
      </c>
      <c r="R418" s="16" t="n">
        <v>70</v>
      </c>
      <c r="S418" s="34" t="n">
        <f aca="false">(R418*70)/100</f>
        <v>49</v>
      </c>
      <c r="T418" s="34" t="n">
        <f aca="false">ROUNDUP(S418,0)</f>
        <v>49</v>
      </c>
      <c r="U418" s="16" t="n">
        <v>26</v>
      </c>
      <c r="V418" s="34" t="n">
        <f aca="false">U418+S418</f>
        <v>75</v>
      </c>
      <c r="W418" s="34" t="n">
        <f aca="false">U418+T418</f>
        <v>75</v>
      </c>
      <c r="X418" s="16" t="n">
        <v>66</v>
      </c>
      <c r="Y418" s="34" t="n">
        <f aca="false">(X418*70)/100</f>
        <v>46.2</v>
      </c>
      <c r="Z418" s="34" t="n">
        <f aca="false">ROUNDUP(Y418,0)</f>
        <v>47</v>
      </c>
      <c r="AA418" s="16" t="n">
        <v>28</v>
      </c>
      <c r="AB418" s="34" t="n">
        <f aca="false">AA418+Y418</f>
        <v>74.2</v>
      </c>
      <c r="AC418" s="34" t="n">
        <f aca="false">AA418+Z418</f>
        <v>75</v>
      </c>
      <c r="AD418" s="32" t="n">
        <f aca="false">X418+R418+Q418+K418+J418</f>
        <v>343</v>
      </c>
      <c r="AE418" s="16" t="n">
        <f aca="false">AD418/5</f>
        <v>68.6</v>
      </c>
      <c r="AF418" s="16" t="n">
        <v>79</v>
      </c>
      <c r="AG418" s="16" t="n">
        <v>88</v>
      </c>
      <c r="AH418" s="16" t="n">
        <v>96</v>
      </c>
      <c r="AI418" s="16" t="n">
        <v>92</v>
      </c>
      <c r="AJ418" s="16" t="n">
        <f aca="false">(AI418*70)/100</f>
        <v>64.4</v>
      </c>
      <c r="AK418" s="35" t="n">
        <f aca="false">ROUNDUP(AJ418,0)</f>
        <v>65</v>
      </c>
      <c r="AL418" s="16" t="n">
        <v>21</v>
      </c>
      <c r="AM418" s="16" t="n">
        <f aca="false">AL418+AJ418</f>
        <v>85.4</v>
      </c>
      <c r="AN418" s="16" t="n">
        <f aca="false">AL418+AK418</f>
        <v>86</v>
      </c>
      <c r="AO418" s="16" t="n">
        <v>80</v>
      </c>
      <c r="AP418" s="36" t="n">
        <f aca="false">(AO418*70)/100</f>
        <v>56</v>
      </c>
      <c r="AQ418" s="37" t="n">
        <f aca="false">ROUNDUP(AP418,0)</f>
        <v>56</v>
      </c>
      <c r="AR418" s="16" t="n">
        <v>27</v>
      </c>
      <c r="AS418" s="16" t="n">
        <f aca="false">AR418+AP418</f>
        <v>83</v>
      </c>
      <c r="AT418" s="16" t="n">
        <f aca="false">AR418+AQ418</f>
        <v>83</v>
      </c>
      <c r="AU418" s="16" t="n">
        <f aca="false">AO418+AF418+AI418+AH418+AG418</f>
        <v>435</v>
      </c>
      <c r="AV418" s="16" t="n">
        <f aca="false">(AO418+AF418+AI418+AH418+AG418)/5</f>
        <v>87</v>
      </c>
      <c r="AW418" s="36" t="n">
        <f aca="false">(AO418+AF418+AI418+AH418+AG418+X418+R418+Q418+K418+J418)</f>
        <v>778</v>
      </c>
      <c r="AX418" s="16" t="n">
        <f aca="false">AW418/10</f>
        <v>77.8</v>
      </c>
      <c r="AY418" s="16" t="n">
        <f aca="false">AS418+AF418+AM418+AH418+AG418+AB418+V418+Q418+O418+J418</f>
        <v>789.2</v>
      </c>
      <c r="AZ418" s="16" t="n">
        <f aca="false">AT418+AF418+AN418+AH418+AG418+AC418+W418+Q418+P418+J418</f>
        <v>791</v>
      </c>
      <c r="BA418" s="16" t="n">
        <f aca="false">AY418/10</f>
        <v>78.92</v>
      </c>
      <c r="BB418" s="16" t="n">
        <f aca="false">AZ418/10</f>
        <v>79.1</v>
      </c>
      <c r="BC418" s="16" t="n">
        <v>2344</v>
      </c>
      <c r="BD418" s="16" t="n">
        <f aca="false">RANK(AX418,$AX$2:$AX$881,0)</f>
        <v>424</v>
      </c>
      <c r="BE418" s="54" t="n">
        <f aca="false">((BC418*100)/2400)*0.4+(AX418*0.6)</f>
        <v>85.7466666666667</v>
      </c>
      <c r="BF418" s="16" t="n">
        <f aca="false">RANK(BE418,$BE$2:$BE$881,0)</f>
        <v>475</v>
      </c>
      <c r="BG418" s="39" t="n">
        <f aca="false">RANK(BB418,$BB$2:$BB$881,0)</f>
        <v>449</v>
      </c>
      <c r="BH418" s="39" t="n">
        <f aca="false">RANK(BC418,$BC$2:$BC$881,0)</f>
        <v>598</v>
      </c>
      <c r="BI418" s="22" t="s">
        <v>130</v>
      </c>
      <c r="BJ418" s="22" t="s">
        <v>129</v>
      </c>
      <c r="BK418" s="40" t="s">
        <v>509</v>
      </c>
      <c r="BL418" s="41" t="n">
        <v>24</v>
      </c>
      <c r="BM418" s="41" t="n">
        <v>57</v>
      </c>
      <c r="BN418" s="41" t="n">
        <v>81</v>
      </c>
      <c r="BO418" s="42" t="n">
        <v>25</v>
      </c>
      <c r="BP418" s="43" t="n">
        <v>65</v>
      </c>
      <c r="BQ418" s="44" t="n">
        <v>90</v>
      </c>
      <c r="BR418" s="42" t="n">
        <v>28</v>
      </c>
      <c r="BS418" s="45" t="n">
        <v>62</v>
      </c>
      <c r="BT418" s="45" t="n">
        <v>90</v>
      </c>
      <c r="BU418" s="46" t="n">
        <v>99</v>
      </c>
      <c r="BV418" s="47" t="n">
        <v>86</v>
      </c>
      <c r="BW418" s="42" t="n">
        <v>96</v>
      </c>
      <c r="BX418" s="48" t="n">
        <v>94</v>
      </c>
      <c r="BY418" s="32" t="n">
        <v>25</v>
      </c>
      <c r="BZ418" s="32" t="n">
        <v>43</v>
      </c>
      <c r="CA418" s="32" t="n">
        <v>68</v>
      </c>
      <c r="CB418" s="32" t="n">
        <v>23</v>
      </c>
      <c r="CC418" s="32" t="n">
        <v>49</v>
      </c>
      <c r="CD418" s="32" t="n">
        <v>72</v>
      </c>
      <c r="CE418" s="32" t="n">
        <v>21</v>
      </c>
      <c r="CF418" s="32" t="n">
        <v>57</v>
      </c>
      <c r="CG418" s="32" t="n">
        <v>78</v>
      </c>
      <c r="CH418" s="32" t="n">
        <v>99</v>
      </c>
      <c r="CI418" s="32" t="n">
        <v>96</v>
      </c>
      <c r="CJ418" s="49" t="n">
        <v>19</v>
      </c>
      <c r="CK418" s="49" t="n">
        <v>57</v>
      </c>
      <c r="CL418" s="49" t="n">
        <v>76</v>
      </c>
      <c r="CM418" s="49" t="n">
        <v>22</v>
      </c>
      <c r="CN418" s="49" t="n">
        <v>47</v>
      </c>
      <c r="CO418" s="49" t="n">
        <v>69</v>
      </c>
      <c r="CP418" s="25" t="n">
        <f aca="false">BX418+BW418+BV418+BU418+BT418+BQ418+BN418</f>
        <v>636</v>
      </c>
      <c r="CQ418" s="25" t="n">
        <f aca="false">CO418+CL418+CI418+CH418+CG418+CD418+CA418</f>
        <v>558</v>
      </c>
      <c r="CR418" s="26" t="n">
        <f aca="false">CP418/7</f>
        <v>90.8571428571429</v>
      </c>
      <c r="CS418" s="26" t="n">
        <f aca="false">CQ418/7</f>
        <v>79.7142857142857</v>
      </c>
      <c r="CT418" s="24" t="n">
        <f aca="false">RANK(CR418,$CR$2:$CR$881,0)</f>
        <v>135</v>
      </c>
      <c r="CU418" s="25" t="n">
        <f aca="false">RANK(CS418,$CS$2:$CS$881,0)</f>
        <v>275</v>
      </c>
      <c r="CV418" s="26" t="n">
        <f aca="false">(CS418+CR418)/2</f>
        <v>85.2857142857143</v>
      </c>
      <c r="CW418" s="25" t="n">
        <f aca="false">RANK(CV418,$CV$2:$CV$881,0)</f>
        <v>200</v>
      </c>
      <c r="CX418" s="50" t="n">
        <f aca="false">(CV418+BB418)/2</f>
        <v>82.1928571428571</v>
      </c>
      <c r="CY418" s="50" t="n">
        <v>256</v>
      </c>
      <c r="CZ418" s="27" t="s">
        <v>132</v>
      </c>
      <c r="DA418" s="27" t="s">
        <v>169</v>
      </c>
      <c r="DB418" s="27" t="s">
        <v>169</v>
      </c>
      <c r="DC418" s="27" t="s">
        <v>134</v>
      </c>
      <c r="DD418" s="27" t="s">
        <v>182</v>
      </c>
      <c r="DE418" s="27" t="s">
        <v>161</v>
      </c>
      <c r="DF418" s="27" t="s">
        <v>175</v>
      </c>
      <c r="DG418" s="27" t="s">
        <v>134</v>
      </c>
      <c r="DH418" s="27" t="s">
        <v>160</v>
      </c>
      <c r="DI418" s="27" t="s">
        <v>304</v>
      </c>
      <c r="DJ418" s="27" t="s">
        <v>205</v>
      </c>
      <c r="DK418" s="27" t="s">
        <v>134</v>
      </c>
      <c r="DL418" s="27" t="s">
        <v>135</v>
      </c>
      <c r="DM418" s="27" t="s">
        <v>412</v>
      </c>
      <c r="DN418" s="27" t="s">
        <v>443</v>
      </c>
      <c r="DO418" s="27" t="s">
        <v>134</v>
      </c>
      <c r="DP418" s="27"/>
      <c r="DQ418" s="27"/>
      <c r="DR418" s="27"/>
      <c r="DS418" s="27"/>
      <c r="DT418" s="27" t="s">
        <v>137</v>
      </c>
      <c r="DU418" s="27" t="s">
        <v>442</v>
      </c>
      <c r="DV418" s="27" t="s">
        <v>441</v>
      </c>
      <c r="DW418" s="27" t="s">
        <v>140</v>
      </c>
      <c r="DX418" s="27" t="s">
        <v>141</v>
      </c>
      <c r="DY418" s="27" t="s">
        <v>142</v>
      </c>
      <c r="DZ418" s="27" t="n">
        <f aca="false">DY418+DV418+DR418+DN418+DJ418+DF418+DB418</f>
        <v>497</v>
      </c>
      <c r="EA418" s="28" t="n">
        <f aca="false">DZ418/7</f>
        <v>71</v>
      </c>
      <c r="EB418" s="27" t="n">
        <f aca="false">RANK(EA418,$EA$2:$EA$881,0)</f>
        <v>625</v>
      </c>
      <c r="EC418" s="29" t="n">
        <f aca="false">DZ418+CQ418+CP418+AZ418</f>
        <v>2482</v>
      </c>
      <c r="ED418" s="30" t="n">
        <f aca="false">(EA418+CV418+BB418)/3</f>
        <v>78.4619047619048</v>
      </c>
      <c r="EE418" s="51" t="n">
        <f aca="false">ROUND(BE418,3)</f>
        <v>85.747</v>
      </c>
      <c r="EF418" s="51" t="n">
        <f aca="false">ROUND(CR418,3)</f>
        <v>90.857</v>
      </c>
      <c r="EG418" s="51" t="n">
        <f aca="false">ROUND(CS418,3)</f>
        <v>79.714</v>
      </c>
      <c r="EH418" s="51" t="n">
        <f aca="false">ROUND(EA418,3)</f>
        <v>71</v>
      </c>
      <c r="EI418" s="51" t="n">
        <f aca="false">ROUND(ED418,3)</f>
        <v>78.462</v>
      </c>
      <c r="EJ418" s="51" t="n">
        <f aca="false">ROUND(CV418,3)</f>
        <v>85.286</v>
      </c>
      <c r="EK418" s="0" t="n">
        <f aca="false">RANK(EI418,$EI$2:$EI$881,0)</f>
        <v>417</v>
      </c>
    </row>
    <row r="419" customFormat="false" ht="15" hidden="false" customHeight="false" outlineLevel="0" collapsed="false">
      <c r="A419" s="4" t="n">
        <v>8632</v>
      </c>
      <c r="B419" s="4" t="n">
        <v>564</v>
      </c>
      <c r="C419" s="27" t="s">
        <v>1321</v>
      </c>
      <c r="D419" s="31" t="n">
        <v>568</v>
      </c>
      <c r="E419" s="32" t="n">
        <v>230312425</v>
      </c>
      <c r="F419" s="8" t="s">
        <v>1322</v>
      </c>
      <c r="G419" s="22" t="s">
        <v>1323</v>
      </c>
      <c r="H419" s="22" t="s">
        <v>129</v>
      </c>
      <c r="I419" s="33" t="n">
        <v>2006</v>
      </c>
      <c r="J419" s="32" t="n">
        <v>73</v>
      </c>
      <c r="K419" s="32" t="n">
        <v>78</v>
      </c>
      <c r="L419" s="34" t="n">
        <f aca="false">(K419*70)/100</f>
        <v>54.6</v>
      </c>
      <c r="M419" s="34" t="n">
        <f aca="false">ROUNDUP(L419,0)</f>
        <v>55</v>
      </c>
      <c r="N419" s="32" t="n">
        <v>27</v>
      </c>
      <c r="O419" s="34" t="n">
        <f aca="false">N419+L419</f>
        <v>81.6</v>
      </c>
      <c r="P419" s="34" t="n">
        <f aca="false">N419+M419</f>
        <v>82</v>
      </c>
      <c r="Q419" s="32" t="n">
        <v>72</v>
      </c>
      <c r="R419" s="32" t="n">
        <v>81</v>
      </c>
      <c r="S419" s="34" t="n">
        <f aca="false">(R419*70)/100</f>
        <v>56.7</v>
      </c>
      <c r="T419" s="34" t="n">
        <f aca="false">ROUNDUP(S419,0)</f>
        <v>57</v>
      </c>
      <c r="U419" s="32" t="n">
        <v>20</v>
      </c>
      <c r="V419" s="34" t="n">
        <f aca="false">U419+S419</f>
        <v>76.7</v>
      </c>
      <c r="W419" s="34" t="n">
        <f aca="false">U419+T419</f>
        <v>77</v>
      </c>
      <c r="X419" s="32" t="n">
        <v>76</v>
      </c>
      <c r="Y419" s="34" t="n">
        <f aca="false">(X419*70)/100</f>
        <v>53.2</v>
      </c>
      <c r="Z419" s="34" t="n">
        <f aca="false">ROUNDUP(Y419,0)</f>
        <v>54</v>
      </c>
      <c r="AA419" s="32" t="n">
        <v>25</v>
      </c>
      <c r="AB419" s="34" t="n">
        <f aca="false">AA419+Y419</f>
        <v>78.2</v>
      </c>
      <c r="AC419" s="34" t="n">
        <f aca="false">AA419+Z419</f>
        <v>79</v>
      </c>
      <c r="AD419" s="32" t="n">
        <f aca="false">X419+R419+Q419+K419+J419</f>
        <v>380</v>
      </c>
      <c r="AE419" s="16" t="n">
        <f aca="false">AD419/5</f>
        <v>76</v>
      </c>
      <c r="AF419" s="16" t="n">
        <v>76</v>
      </c>
      <c r="AG419" s="16" t="n">
        <v>84</v>
      </c>
      <c r="AH419" s="16" t="n">
        <v>91</v>
      </c>
      <c r="AI419" s="16" t="n">
        <v>87</v>
      </c>
      <c r="AJ419" s="16" t="n">
        <f aca="false">(AI419*70)/100</f>
        <v>60.9</v>
      </c>
      <c r="AK419" s="35" t="n">
        <f aca="false">ROUNDUP(AJ419,0)</f>
        <v>61</v>
      </c>
      <c r="AL419" s="16" t="n">
        <v>30</v>
      </c>
      <c r="AM419" s="16" t="n">
        <f aca="false">AL419+AJ419</f>
        <v>90.9</v>
      </c>
      <c r="AN419" s="16" t="n">
        <f aca="false">AL419+AK419</f>
        <v>91</v>
      </c>
      <c r="AO419" s="16" t="n">
        <v>76</v>
      </c>
      <c r="AP419" s="36" t="n">
        <f aca="false">(AO419*70)/100</f>
        <v>53.2</v>
      </c>
      <c r="AQ419" s="37" t="n">
        <f aca="false">ROUNDUP(AP419,0)</f>
        <v>54</v>
      </c>
      <c r="AR419" s="16" t="n">
        <v>28</v>
      </c>
      <c r="AS419" s="16" t="n">
        <f aca="false">AR419+AP419</f>
        <v>81.2</v>
      </c>
      <c r="AT419" s="16" t="n">
        <f aca="false">AR419+AQ419</f>
        <v>82</v>
      </c>
      <c r="AU419" s="16" t="n">
        <f aca="false">AO419+AF419+AI419+AH419+AG419</f>
        <v>414</v>
      </c>
      <c r="AV419" s="16" t="n">
        <f aca="false">(AO419+AF419+AI419+AH419+AG419)/5</f>
        <v>82.8</v>
      </c>
      <c r="AW419" s="36" t="n">
        <f aca="false">(AO419+AF419+AI419+AH419+AG419+X419+R419+Q419+K419+J419)</f>
        <v>794</v>
      </c>
      <c r="AX419" s="16" t="n">
        <f aca="false">AW419/10</f>
        <v>79.4</v>
      </c>
      <c r="AY419" s="16" t="n">
        <f aca="false">AS419+AF419+AM419+AH419+AG419+AB419+V419+Q419+O419+J419</f>
        <v>804.6</v>
      </c>
      <c r="AZ419" s="16" t="n">
        <f aca="false">AT419+AF419+AN419+AH419+AG419+AC419+W419+Q419+P419+J419</f>
        <v>807</v>
      </c>
      <c r="BA419" s="16" t="n">
        <f aca="false">AY419/10</f>
        <v>80.46</v>
      </c>
      <c r="BB419" s="16" t="n">
        <f aca="false">AZ419/10</f>
        <v>80.7</v>
      </c>
      <c r="BC419" s="16" t="n">
        <v>2337</v>
      </c>
      <c r="BD419" s="16" t="n">
        <f aca="false">RANK(AX419,$AX$2:$AX$881,0)</f>
        <v>306</v>
      </c>
      <c r="BE419" s="54" t="n">
        <f aca="false">((BC419*100)/2400)*0.4+(AX419*0.6)</f>
        <v>86.59</v>
      </c>
      <c r="BF419" s="16" t="n">
        <f aca="false">RANK(BE419,$BE$2:$BE$881,0)</f>
        <v>337</v>
      </c>
      <c r="BG419" s="39" t="n">
        <f aca="false">RANK(BB419,$BB$2:$BB$881,0)</f>
        <v>298</v>
      </c>
      <c r="BH419" s="39" t="n">
        <f aca="false">RANK(BC419,$BC$2:$BC$881,0)</f>
        <v>658</v>
      </c>
      <c r="BI419" s="22" t="s">
        <v>130</v>
      </c>
      <c r="BJ419" s="22" t="s">
        <v>129</v>
      </c>
      <c r="BK419" s="40" t="s">
        <v>131</v>
      </c>
      <c r="BL419" s="41" t="n">
        <v>23</v>
      </c>
      <c r="BM419" s="41" t="n">
        <v>51</v>
      </c>
      <c r="BN419" s="41" t="n">
        <v>74</v>
      </c>
      <c r="BO419" s="42" t="n">
        <v>24</v>
      </c>
      <c r="BP419" s="43" t="n">
        <v>45</v>
      </c>
      <c r="BQ419" s="44" t="n">
        <v>69</v>
      </c>
      <c r="BR419" s="42" t="n">
        <v>25</v>
      </c>
      <c r="BS419" s="45" t="n">
        <v>58</v>
      </c>
      <c r="BT419" s="45" t="n">
        <v>83</v>
      </c>
      <c r="BU419" s="46" t="n">
        <v>100</v>
      </c>
      <c r="BV419" s="47" t="n">
        <v>88</v>
      </c>
      <c r="BW419" s="42" t="n">
        <v>95</v>
      </c>
      <c r="BX419" s="48" t="n">
        <v>84</v>
      </c>
      <c r="BY419" s="32" t="n">
        <v>25</v>
      </c>
      <c r="BZ419" s="32" t="n">
        <v>39</v>
      </c>
      <c r="CA419" s="32" t="n">
        <v>64</v>
      </c>
      <c r="CB419" s="32" t="n">
        <v>23</v>
      </c>
      <c r="CC419" s="32" t="n">
        <v>35</v>
      </c>
      <c r="CD419" s="69" t="n">
        <v>58</v>
      </c>
      <c r="CE419" s="32" t="n">
        <v>27</v>
      </c>
      <c r="CF419" s="32" t="n">
        <v>53</v>
      </c>
      <c r="CG419" s="32" t="n">
        <v>80</v>
      </c>
      <c r="CH419" s="32" t="n">
        <v>99</v>
      </c>
      <c r="CI419" s="32" t="n">
        <v>96</v>
      </c>
      <c r="CJ419" s="49" t="n">
        <v>23</v>
      </c>
      <c r="CK419" s="49" t="n">
        <v>42</v>
      </c>
      <c r="CL419" s="49" t="n">
        <v>65</v>
      </c>
      <c r="CM419" s="49" t="n">
        <v>22</v>
      </c>
      <c r="CN419" s="49" t="n">
        <v>54</v>
      </c>
      <c r="CO419" s="49" t="n">
        <v>76</v>
      </c>
      <c r="CP419" s="25" t="n">
        <f aca="false">BX419+BW419+BV419+BU419+BT419+BQ419+BN419</f>
        <v>593</v>
      </c>
      <c r="CQ419" s="25" t="n">
        <f aca="false">CO419+CL419+CI419+CH419+CG419+CD419+CA419</f>
        <v>538</v>
      </c>
      <c r="CR419" s="26" t="n">
        <f aca="false">CP419/7</f>
        <v>84.7142857142857</v>
      </c>
      <c r="CS419" s="26" t="n">
        <f aca="false">CQ419/7</f>
        <v>76.8571428571429</v>
      </c>
      <c r="CT419" s="24" t="n">
        <f aca="false">RANK(CR419,$CR$2:$CR$881,0)</f>
        <v>447</v>
      </c>
      <c r="CU419" s="25" t="n">
        <f aca="false">RANK(CS419,$CS$2:$CS$881,0)</f>
        <v>370</v>
      </c>
      <c r="CV419" s="26" t="n">
        <f aca="false">(CS419+CR419)/2</f>
        <v>80.7857142857143</v>
      </c>
      <c r="CW419" s="25" t="n">
        <f aca="false">RANK(CV419,$CV$2:$CV$881,0)</f>
        <v>394</v>
      </c>
      <c r="CX419" s="50" t="n">
        <f aca="false">(CV419+BB419)/2</f>
        <v>80.7428571428571</v>
      </c>
      <c r="CY419" s="50" t="n">
        <v>337</v>
      </c>
      <c r="CZ419" s="27" t="s">
        <v>132</v>
      </c>
      <c r="DA419" s="27" t="s">
        <v>133</v>
      </c>
      <c r="DB419" s="27" t="s">
        <v>133</v>
      </c>
      <c r="DC419" s="27" t="s">
        <v>134</v>
      </c>
      <c r="DD419" s="27" t="s">
        <v>137</v>
      </c>
      <c r="DE419" s="27" t="s">
        <v>681</v>
      </c>
      <c r="DF419" s="27" t="s">
        <v>398</v>
      </c>
      <c r="DG419" s="27" t="s">
        <v>134</v>
      </c>
      <c r="DH419" s="27" t="s">
        <v>191</v>
      </c>
      <c r="DI419" s="27" t="s">
        <v>313</v>
      </c>
      <c r="DJ419" s="27" t="s">
        <v>398</v>
      </c>
      <c r="DK419" s="27" t="s">
        <v>134</v>
      </c>
      <c r="DL419" s="27" t="s">
        <v>485</v>
      </c>
      <c r="DM419" s="27" t="s">
        <v>415</v>
      </c>
      <c r="DN419" s="27" t="s">
        <v>152</v>
      </c>
      <c r="DO419" s="27" t="s">
        <v>134</v>
      </c>
      <c r="DP419" s="27" t="s">
        <v>264</v>
      </c>
      <c r="DQ419" s="27" t="s">
        <v>306</v>
      </c>
      <c r="DR419" s="27" t="s">
        <v>372</v>
      </c>
      <c r="DS419" s="27" t="s">
        <v>134</v>
      </c>
      <c r="DT419" s="27" t="s">
        <v>182</v>
      </c>
      <c r="DU419" s="27" t="s">
        <v>1064</v>
      </c>
      <c r="DV419" s="27" t="s">
        <v>177</v>
      </c>
      <c r="DW419" s="27" t="s">
        <v>154</v>
      </c>
      <c r="DX419" s="27" t="s">
        <v>136</v>
      </c>
      <c r="DY419" s="27" t="s">
        <v>202</v>
      </c>
      <c r="DZ419" s="27" t="n">
        <f aca="false">DY419+DV419+DR419+DN419+DJ419+DF419+DB419</f>
        <v>516</v>
      </c>
      <c r="EA419" s="28" t="n">
        <f aca="false">DZ419/7</f>
        <v>73.7142857142857</v>
      </c>
      <c r="EB419" s="27" t="n">
        <f aca="false">RANK(EA419,$EA$2:$EA$881,0)</f>
        <v>573</v>
      </c>
      <c r="EC419" s="29" t="n">
        <f aca="false">DZ419+CQ419+CP419+AZ419</f>
        <v>2454</v>
      </c>
      <c r="ED419" s="30" t="n">
        <f aca="false">(EA419+CV419+BB419)/3</f>
        <v>78.4</v>
      </c>
      <c r="EE419" s="51" t="n">
        <f aca="false">ROUND(BE419,3)</f>
        <v>86.59</v>
      </c>
      <c r="EF419" s="51" t="n">
        <f aca="false">ROUND(CR419,3)</f>
        <v>84.714</v>
      </c>
      <c r="EG419" s="51" t="n">
        <f aca="false">ROUND(CS419,3)</f>
        <v>76.857</v>
      </c>
      <c r="EH419" s="51" t="n">
        <f aca="false">ROUND(EA419,3)</f>
        <v>73.714</v>
      </c>
      <c r="EI419" s="51" t="n">
        <f aca="false">ROUND(ED419,3)</f>
        <v>78.4</v>
      </c>
      <c r="EJ419" s="51" t="n">
        <f aca="false">ROUND(CV419,3)</f>
        <v>80.786</v>
      </c>
      <c r="EK419" s="0" t="n">
        <f aca="false">RANK(EI419,$EI$2:$EI$881,0)</f>
        <v>418</v>
      </c>
    </row>
    <row r="420" customFormat="false" ht="15" hidden="false" customHeight="false" outlineLevel="0" collapsed="false">
      <c r="A420" s="4" t="n">
        <v>8792</v>
      </c>
      <c r="B420" s="4" t="n">
        <v>362</v>
      </c>
      <c r="C420" s="27" t="s">
        <v>1324</v>
      </c>
      <c r="D420" s="31" t="n">
        <v>367</v>
      </c>
      <c r="E420" s="32" t="n">
        <v>230319745</v>
      </c>
      <c r="F420" s="8" t="s">
        <v>1325</v>
      </c>
      <c r="G420" s="22" t="s">
        <v>312</v>
      </c>
      <c r="H420" s="22" t="s">
        <v>129</v>
      </c>
      <c r="I420" s="33" t="n">
        <v>2005</v>
      </c>
      <c r="J420" s="32" t="n">
        <v>78</v>
      </c>
      <c r="K420" s="32" t="n">
        <v>96</v>
      </c>
      <c r="L420" s="34" t="n">
        <f aca="false">(K420*70)/100</f>
        <v>67.2</v>
      </c>
      <c r="M420" s="34" t="n">
        <f aca="false">ROUNDUP(L420,0)</f>
        <v>68</v>
      </c>
      <c r="N420" s="32" t="n">
        <v>25</v>
      </c>
      <c r="O420" s="34" t="n">
        <f aca="false">N420+L420</f>
        <v>92.2</v>
      </c>
      <c r="P420" s="34" t="n">
        <f aca="false">N420+M420</f>
        <v>93</v>
      </c>
      <c r="Q420" s="32" t="n">
        <v>83</v>
      </c>
      <c r="R420" s="32" t="n">
        <v>84</v>
      </c>
      <c r="S420" s="34" t="n">
        <f aca="false">(R420*70)/100</f>
        <v>58.8</v>
      </c>
      <c r="T420" s="34" t="n">
        <f aca="false">ROUNDUP(S420,0)</f>
        <v>59</v>
      </c>
      <c r="U420" s="32" t="n">
        <v>19</v>
      </c>
      <c r="V420" s="34" t="n">
        <f aca="false">U420+S420</f>
        <v>77.8</v>
      </c>
      <c r="W420" s="34" t="n">
        <f aca="false">U420+T420</f>
        <v>78</v>
      </c>
      <c r="X420" s="32" t="n">
        <v>84</v>
      </c>
      <c r="Y420" s="34" t="n">
        <f aca="false">(X420*70)/100</f>
        <v>58.8</v>
      </c>
      <c r="Z420" s="34" t="n">
        <f aca="false">ROUNDUP(Y420,0)</f>
        <v>59</v>
      </c>
      <c r="AA420" s="32" t="n">
        <v>26</v>
      </c>
      <c r="AB420" s="34" t="n">
        <f aca="false">AA420+Y420</f>
        <v>84.8</v>
      </c>
      <c r="AC420" s="34" t="n">
        <f aca="false">AA420+Z420</f>
        <v>85</v>
      </c>
      <c r="AD420" s="32" t="n">
        <f aca="false">X420+R420+Q420+K420+J420</f>
        <v>425</v>
      </c>
      <c r="AE420" s="16" t="n">
        <f aca="false">AD420/5</f>
        <v>85</v>
      </c>
      <c r="AF420" s="16" t="n">
        <v>69</v>
      </c>
      <c r="AG420" s="16" t="n">
        <v>83</v>
      </c>
      <c r="AH420" s="16" t="n">
        <v>89</v>
      </c>
      <c r="AI420" s="16" t="n">
        <v>89</v>
      </c>
      <c r="AJ420" s="16" t="n">
        <f aca="false">(AI420*70)/100</f>
        <v>62.3</v>
      </c>
      <c r="AK420" s="35" t="n">
        <f aca="false">ROUNDUP(AJ420,0)</f>
        <v>63</v>
      </c>
      <c r="AL420" s="16" t="n">
        <v>26</v>
      </c>
      <c r="AM420" s="16" t="n">
        <f aca="false">AL420+AJ420</f>
        <v>88.3</v>
      </c>
      <c r="AN420" s="16" t="n">
        <f aca="false">AL420+AK420</f>
        <v>89</v>
      </c>
      <c r="AO420" s="16" t="n">
        <v>79</v>
      </c>
      <c r="AP420" s="36" t="n">
        <f aca="false">(AO420*70)/100</f>
        <v>55.3</v>
      </c>
      <c r="AQ420" s="37" t="n">
        <f aca="false">ROUNDUP(AP420,0)</f>
        <v>56</v>
      </c>
      <c r="AR420" s="16" t="n">
        <v>28</v>
      </c>
      <c r="AS420" s="16" t="n">
        <f aca="false">AR420+AP420</f>
        <v>83.3</v>
      </c>
      <c r="AT420" s="16" t="n">
        <f aca="false">AR420+AQ420</f>
        <v>84</v>
      </c>
      <c r="AU420" s="16" t="n">
        <f aca="false">AO420+AF420+AI420+AH420+AG420</f>
        <v>409</v>
      </c>
      <c r="AV420" s="16" t="n">
        <f aca="false">(AO420+AF420+AI420+AH420+AG420)/5</f>
        <v>81.8</v>
      </c>
      <c r="AW420" s="36" t="n">
        <f aca="false">(AO420+AF420+AI420+AH420+AG420+X420+R420+Q420+K420+J420)</f>
        <v>834</v>
      </c>
      <c r="AX420" s="16" t="n">
        <f aca="false">AW420/10</f>
        <v>83.4</v>
      </c>
      <c r="AY420" s="16" t="n">
        <f aca="false">AS420+AF420+AM420+AH420+AG420+AB420+V420+Q420+O420+J420</f>
        <v>828.4</v>
      </c>
      <c r="AZ420" s="16" t="n">
        <f aca="false">AT420+AF420+AN420+AH420+AG420+AC420+W420+Q420+P420+J420</f>
        <v>831</v>
      </c>
      <c r="BA420" s="16" t="n">
        <f aca="false">AY420/10</f>
        <v>82.84</v>
      </c>
      <c r="BB420" s="16" t="n">
        <f aca="false">AZ420/10</f>
        <v>83.1</v>
      </c>
      <c r="BC420" s="16" t="n">
        <v>2361</v>
      </c>
      <c r="BD420" s="16" t="n">
        <f aca="false">RANK(AX420,$AX$2:$AX$881,0)</f>
        <v>120</v>
      </c>
      <c r="BE420" s="54" t="n">
        <f aca="false">((BC420*100)/2400)*0.4+(AX420*0.6)</f>
        <v>89.39</v>
      </c>
      <c r="BF420" s="16" t="n">
        <f aca="false">RANK(BE420,$BE$2:$BE$881,0)</f>
        <v>124</v>
      </c>
      <c r="BG420" s="39" t="n">
        <f aca="false">RANK(BB420,$BB$2:$BB$881,0)</f>
        <v>156</v>
      </c>
      <c r="BH420" s="39" t="n">
        <f aca="false">RANK(BC420,$BC$2:$BC$881,0)</f>
        <v>382</v>
      </c>
      <c r="BI420" s="22" t="s">
        <v>130</v>
      </c>
      <c r="BJ420" s="22" t="s">
        <v>129</v>
      </c>
      <c r="BK420" s="40" t="s">
        <v>131</v>
      </c>
      <c r="BL420" s="41" t="n">
        <v>12</v>
      </c>
      <c r="BM420" s="61"/>
      <c r="BN420" s="61"/>
      <c r="BO420" s="42" t="n">
        <v>24</v>
      </c>
      <c r="BP420" s="43" t="n">
        <v>43</v>
      </c>
      <c r="BQ420" s="44" t="n">
        <v>67</v>
      </c>
      <c r="BR420" s="42" t="n">
        <v>17</v>
      </c>
      <c r="BS420" s="45" t="n">
        <v>50</v>
      </c>
      <c r="BT420" s="45" t="n">
        <v>67</v>
      </c>
      <c r="BU420" s="46" t="n">
        <v>99</v>
      </c>
      <c r="BV420" s="47" t="n">
        <v>76</v>
      </c>
      <c r="BW420" s="42" t="n">
        <v>96</v>
      </c>
      <c r="BX420" s="48" t="n">
        <v>88</v>
      </c>
      <c r="BY420" s="32" t="n">
        <v>23</v>
      </c>
      <c r="BZ420" s="32" t="n">
        <v>54</v>
      </c>
      <c r="CA420" s="32" t="n">
        <v>77</v>
      </c>
      <c r="CB420" s="32" t="n">
        <v>18</v>
      </c>
      <c r="CC420" s="32" t="n">
        <v>37</v>
      </c>
      <c r="CD420" s="69" t="n">
        <v>55</v>
      </c>
      <c r="CE420" s="32" t="n">
        <v>24</v>
      </c>
      <c r="CF420" s="32" t="n">
        <v>54</v>
      </c>
      <c r="CG420" s="32" t="n">
        <v>78</v>
      </c>
      <c r="CH420" s="32" t="n">
        <v>96</v>
      </c>
      <c r="CI420" s="32" t="n">
        <v>98</v>
      </c>
      <c r="CJ420" s="49" t="n">
        <v>15</v>
      </c>
      <c r="CK420" s="58" t="n">
        <v>53</v>
      </c>
      <c r="CL420" s="59" t="n">
        <v>68</v>
      </c>
      <c r="CM420" s="49" t="n">
        <v>23</v>
      </c>
      <c r="CN420" s="49" t="n">
        <v>49</v>
      </c>
      <c r="CO420" s="49" t="n">
        <v>72</v>
      </c>
      <c r="CP420" s="25" t="n">
        <f aca="false">BX420+BW420+BV420+BU420+BT420+BQ420+BN420</f>
        <v>493</v>
      </c>
      <c r="CQ420" s="25" t="n">
        <f aca="false">CO420+CL420+CI420+CH420+CG420+CD420+CA420</f>
        <v>544</v>
      </c>
      <c r="CR420" s="26" t="n">
        <f aca="false">CP420/7</f>
        <v>70.4285714285714</v>
      </c>
      <c r="CS420" s="26" t="n">
        <f aca="false">CQ420/7</f>
        <v>77.7142857142857</v>
      </c>
      <c r="CT420" s="24" t="n">
        <f aca="false">RANK(CR420,$CR$2:$CR$881,0)</f>
        <v>682</v>
      </c>
      <c r="CU420" s="25" t="n">
        <f aca="false">RANK(CS420,$CS$2:$CS$881,0)</f>
        <v>344</v>
      </c>
      <c r="CV420" s="26" t="n">
        <f aca="false">(CS420+CR420)/2</f>
        <v>74.0714285714286</v>
      </c>
      <c r="CW420" s="25" t="n">
        <f aca="false">RANK(CV420,$CV$2:$CV$881,0)</f>
        <v>582</v>
      </c>
      <c r="CX420" s="50" t="n">
        <f aca="false">(CV420+BB420)/2</f>
        <v>78.5857142857143</v>
      </c>
      <c r="CY420" s="50" t="n">
        <v>526</v>
      </c>
      <c r="CZ420" s="27" t="s">
        <v>132</v>
      </c>
      <c r="DA420" s="27" t="s">
        <v>169</v>
      </c>
      <c r="DB420" s="27" t="s">
        <v>169</v>
      </c>
      <c r="DC420" s="27" t="s">
        <v>134</v>
      </c>
      <c r="DD420" s="27" t="s">
        <v>485</v>
      </c>
      <c r="DE420" s="27" t="s">
        <v>218</v>
      </c>
      <c r="DF420" s="27" t="s">
        <v>372</v>
      </c>
      <c r="DG420" s="27" t="s">
        <v>134</v>
      </c>
      <c r="DH420" s="27" t="s">
        <v>195</v>
      </c>
      <c r="DI420" s="27" t="s">
        <v>204</v>
      </c>
      <c r="DJ420" s="27" t="s">
        <v>219</v>
      </c>
      <c r="DK420" s="27" t="s">
        <v>134</v>
      </c>
      <c r="DL420" s="27" t="s">
        <v>164</v>
      </c>
      <c r="DM420" s="27" t="s">
        <v>897</v>
      </c>
      <c r="DN420" s="27" t="s">
        <v>155</v>
      </c>
      <c r="DO420" s="27" t="s">
        <v>134</v>
      </c>
      <c r="DP420" s="27" t="s">
        <v>264</v>
      </c>
      <c r="DQ420" s="27" t="s">
        <v>306</v>
      </c>
      <c r="DR420" s="27" t="s">
        <v>372</v>
      </c>
      <c r="DS420" s="27" t="s">
        <v>134</v>
      </c>
      <c r="DT420" s="27" t="s">
        <v>137</v>
      </c>
      <c r="DU420" s="27" t="s">
        <v>183</v>
      </c>
      <c r="DV420" s="27" t="s">
        <v>209</v>
      </c>
      <c r="DW420" s="27" t="s">
        <v>386</v>
      </c>
      <c r="DX420" s="27" t="s">
        <v>136</v>
      </c>
      <c r="DY420" s="27" t="s">
        <v>196</v>
      </c>
      <c r="DZ420" s="27" t="n">
        <f aca="false">DY420+DV420+DR420+DN420+DJ420+DF420+DB420</f>
        <v>546</v>
      </c>
      <c r="EA420" s="28" t="n">
        <f aca="false">DZ420/7</f>
        <v>78</v>
      </c>
      <c r="EB420" s="27" t="n">
        <f aca="false">RANK(EA420,$EA$2:$EA$881,0)</f>
        <v>456</v>
      </c>
      <c r="EC420" s="29" t="n">
        <f aca="false">DZ420+CQ420+CP420+AZ420</f>
        <v>2414</v>
      </c>
      <c r="ED420" s="30" t="n">
        <f aca="false">(EA420+CV420+BB420)/3</f>
        <v>78.3904761904762</v>
      </c>
      <c r="EE420" s="51" t="n">
        <f aca="false">ROUND(BE420,3)</f>
        <v>89.39</v>
      </c>
      <c r="EF420" s="51" t="n">
        <f aca="false">ROUND(CR420,3)</f>
        <v>70.429</v>
      </c>
      <c r="EG420" s="51" t="n">
        <f aca="false">ROUND(CS420,3)</f>
        <v>77.714</v>
      </c>
      <c r="EH420" s="51" t="n">
        <f aca="false">ROUND(EA420,3)</f>
        <v>78</v>
      </c>
      <c r="EI420" s="51" t="n">
        <f aca="false">ROUND(ED420,3)</f>
        <v>78.39</v>
      </c>
      <c r="EJ420" s="51" t="n">
        <f aca="false">ROUND(CV420,3)</f>
        <v>74.071</v>
      </c>
      <c r="EK420" s="0" t="n">
        <f aca="false">RANK(EI420,$EI$2:$EI$881,0)</f>
        <v>419</v>
      </c>
    </row>
    <row r="421" customFormat="false" ht="15" hidden="false" customHeight="false" outlineLevel="0" collapsed="false">
      <c r="A421" s="4" t="n">
        <v>8901</v>
      </c>
      <c r="B421" s="4" t="n">
        <v>234</v>
      </c>
      <c r="C421" s="27" t="s">
        <v>1326</v>
      </c>
      <c r="D421" s="31" t="n">
        <v>235</v>
      </c>
      <c r="E421" s="32" t="n">
        <v>230312514</v>
      </c>
      <c r="F421" s="8" t="s">
        <v>1327</v>
      </c>
      <c r="G421" s="22" t="s">
        <v>312</v>
      </c>
      <c r="H421" s="22" t="s">
        <v>129</v>
      </c>
      <c r="I421" s="33" t="n">
        <v>2005</v>
      </c>
      <c r="J421" s="32" t="n">
        <v>90</v>
      </c>
      <c r="K421" s="32" t="n">
        <v>69</v>
      </c>
      <c r="L421" s="34" t="n">
        <f aca="false">(K421*70)/100</f>
        <v>48.3</v>
      </c>
      <c r="M421" s="34" t="n">
        <f aca="false">ROUNDUP(L421,0)</f>
        <v>49</v>
      </c>
      <c r="N421" s="32" t="n">
        <v>26</v>
      </c>
      <c r="O421" s="34" t="n">
        <f aca="false">N421+L421</f>
        <v>74.3</v>
      </c>
      <c r="P421" s="34" t="n">
        <f aca="false">N421+M421</f>
        <v>75</v>
      </c>
      <c r="Q421" s="32" t="n">
        <v>81</v>
      </c>
      <c r="R421" s="32" t="n">
        <v>73</v>
      </c>
      <c r="S421" s="34" t="n">
        <f aca="false">(R421*70)/100</f>
        <v>51.1</v>
      </c>
      <c r="T421" s="34" t="n">
        <f aca="false">ROUNDUP(S421,0)</f>
        <v>52</v>
      </c>
      <c r="U421" s="32" t="n">
        <v>22</v>
      </c>
      <c r="V421" s="34" t="n">
        <f aca="false">U421+S421</f>
        <v>73.1</v>
      </c>
      <c r="W421" s="34" t="n">
        <f aca="false">U421+T421</f>
        <v>74</v>
      </c>
      <c r="X421" s="32" t="n">
        <v>66</v>
      </c>
      <c r="Y421" s="34" t="n">
        <f aca="false">(X421*70)/100</f>
        <v>46.2</v>
      </c>
      <c r="Z421" s="34" t="n">
        <f aca="false">ROUNDUP(Y421,0)</f>
        <v>47</v>
      </c>
      <c r="AA421" s="32" t="n">
        <v>21</v>
      </c>
      <c r="AB421" s="34" t="n">
        <f aca="false">AA421+Y421</f>
        <v>67.2</v>
      </c>
      <c r="AC421" s="34" t="n">
        <f aca="false">AA421+Z421</f>
        <v>68</v>
      </c>
      <c r="AD421" s="32" t="n">
        <f aca="false">X421+R421+Q421+K421+J421</f>
        <v>379</v>
      </c>
      <c r="AE421" s="16" t="n">
        <f aca="false">AD421/5</f>
        <v>75.8</v>
      </c>
      <c r="AF421" s="16" t="n">
        <v>60</v>
      </c>
      <c r="AG421" s="16" t="n">
        <v>90</v>
      </c>
      <c r="AH421" s="16" t="n">
        <v>86</v>
      </c>
      <c r="AI421" s="16" t="n">
        <v>87</v>
      </c>
      <c r="AJ421" s="16" t="n">
        <f aca="false">(AI421*70)/100</f>
        <v>60.9</v>
      </c>
      <c r="AK421" s="35" t="n">
        <f aca="false">ROUNDUP(AJ421,0)</f>
        <v>61</v>
      </c>
      <c r="AL421" s="16" t="n">
        <v>25</v>
      </c>
      <c r="AM421" s="16" t="n">
        <f aca="false">AL421+AJ421</f>
        <v>85.9</v>
      </c>
      <c r="AN421" s="16" t="n">
        <f aca="false">AL421+AK421</f>
        <v>86</v>
      </c>
      <c r="AO421" s="16" t="n">
        <v>64</v>
      </c>
      <c r="AP421" s="36" t="n">
        <f aca="false">(AO421*70)/100</f>
        <v>44.8</v>
      </c>
      <c r="AQ421" s="37" t="n">
        <f aca="false">ROUNDUP(AP421,0)</f>
        <v>45</v>
      </c>
      <c r="AR421" s="16" t="n">
        <v>28</v>
      </c>
      <c r="AS421" s="16" t="n">
        <f aca="false">AR421+AP421</f>
        <v>72.8</v>
      </c>
      <c r="AT421" s="16" t="n">
        <f aca="false">AR421+AQ421</f>
        <v>73</v>
      </c>
      <c r="AU421" s="16" t="n">
        <f aca="false">AO421+AF421+AI421+AH421+AG421</f>
        <v>387</v>
      </c>
      <c r="AV421" s="16" t="n">
        <f aca="false">(AO421+AF421+AI421+AH421+AG421)/5</f>
        <v>77.4</v>
      </c>
      <c r="AW421" s="36" t="n">
        <f aca="false">(AO421+AF421+AI421+AH421+AG421+X421+R421+Q421+K421+J421)</f>
        <v>766</v>
      </c>
      <c r="AX421" s="16" t="n">
        <f aca="false">AW421/10</f>
        <v>76.6</v>
      </c>
      <c r="AY421" s="16" t="n">
        <f aca="false">AS421+AF421+AM421+AH421+AG421+AB421+V421+Q421+O421+J421</f>
        <v>780.3</v>
      </c>
      <c r="AZ421" s="16" t="n">
        <f aca="false">AT421+AF421+AN421+AH421+AG421+AC421+W421+Q421+P421+J421</f>
        <v>783</v>
      </c>
      <c r="BA421" s="16" t="n">
        <f aca="false">AY421/10</f>
        <v>78.03</v>
      </c>
      <c r="BB421" s="16" t="n">
        <f aca="false">AZ421/10</f>
        <v>78.3</v>
      </c>
      <c r="BC421" s="16" t="n">
        <v>2302</v>
      </c>
      <c r="BD421" s="16" t="n">
        <f aca="false">RANK(AX421,$AX$2:$AX$881,0)</f>
        <v>547</v>
      </c>
      <c r="BE421" s="73" t="n">
        <f aca="false">((BC421*100)/2400)*0.4+(AX421*0.6)</f>
        <v>84.3266666666667</v>
      </c>
      <c r="BF421" s="16" t="n">
        <f aca="false">RANK(BE421,$BE$2:$BE$881,0)</f>
        <v>675</v>
      </c>
      <c r="BG421" s="39" t="n">
        <f aca="false">RANK(BB421,$BB$2:$BB$881,0)</f>
        <v>534</v>
      </c>
      <c r="BH421" s="39" t="n">
        <f aca="false">RANK(BC421,$BC$2:$BC$881,0)</f>
        <v>759</v>
      </c>
      <c r="BI421" s="22" t="s">
        <v>130</v>
      </c>
      <c r="BJ421" s="22" t="s">
        <v>129</v>
      </c>
      <c r="BK421" s="40" t="s">
        <v>702</v>
      </c>
      <c r="BL421" s="41" t="n">
        <v>16</v>
      </c>
      <c r="BM421" s="41" t="n">
        <v>46</v>
      </c>
      <c r="BN421" s="41" t="n">
        <v>62</v>
      </c>
      <c r="BO421" s="42" t="n">
        <v>21</v>
      </c>
      <c r="BP421" s="43" t="n">
        <v>55</v>
      </c>
      <c r="BQ421" s="44" t="n">
        <v>76</v>
      </c>
      <c r="BR421" s="42" t="n">
        <v>21</v>
      </c>
      <c r="BS421" s="45" t="n">
        <v>48</v>
      </c>
      <c r="BT421" s="45" t="n">
        <v>69</v>
      </c>
      <c r="BU421" s="46" t="n">
        <v>100</v>
      </c>
      <c r="BV421" s="47" t="n">
        <v>76</v>
      </c>
      <c r="BW421" s="42" t="n">
        <v>93</v>
      </c>
      <c r="BX421" s="48" t="n">
        <v>90</v>
      </c>
      <c r="BY421" s="32" t="n">
        <v>23</v>
      </c>
      <c r="BZ421" s="32" t="n">
        <v>40</v>
      </c>
      <c r="CA421" s="32" t="n">
        <v>63</v>
      </c>
      <c r="CB421" s="32" t="n">
        <v>18</v>
      </c>
      <c r="CC421" s="32" t="n">
        <v>38</v>
      </c>
      <c r="CD421" s="69" t="n">
        <v>56</v>
      </c>
      <c r="CE421" s="32" t="n">
        <v>24</v>
      </c>
      <c r="CF421" s="32" t="n">
        <v>44</v>
      </c>
      <c r="CG421" s="32" t="n">
        <v>68</v>
      </c>
      <c r="CH421" s="32" t="n">
        <v>92</v>
      </c>
      <c r="CI421" s="32" t="n">
        <v>95</v>
      </c>
      <c r="CJ421" s="49" t="n">
        <v>19</v>
      </c>
      <c r="CK421" s="49" t="n">
        <v>51</v>
      </c>
      <c r="CL421" s="84" t="n">
        <v>70</v>
      </c>
      <c r="CM421" s="49" t="n">
        <v>18</v>
      </c>
      <c r="CN421" s="49" t="n">
        <v>59</v>
      </c>
      <c r="CO421" s="75" t="n">
        <v>77</v>
      </c>
      <c r="CP421" s="25" t="n">
        <f aca="false">BX421+BW421+BV421+BU421+BT421+BQ421+BN421</f>
        <v>566</v>
      </c>
      <c r="CQ421" s="25" t="n">
        <f aca="false">CO421+CL421+CI421+CH421+CG421+CD421+CA421</f>
        <v>521</v>
      </c>
      <c r="CR421" s="26" t="n">
        <f aca="false">CP421/7</f>
        <v>80.8571428571429</v>
      </c>
      <c r="CS421" s="26" t="n">
        <f aca="false">CQ421/7</f>
        <v>74.4285714285714</v>
      </c>
      <c r="CT421" s="24" t="n">
        <f aca="false">RANK(CR421,$CR$2:$CR$881,0)</f>
        <v>569</v>
      </c>
      <c r="CU421" s="25" t="n">
        <f aca="false">RANK(CS421,$CS$2:$CS$881,0)</f>
        <v>443</v>
      </c>
      <c r="CV421" s="26" t="n">
        <f aca="false">(CS421+CR421)/2</f>
        <v>77.6428571428571</v>
      </c>
      <c r="CW421" s="25" t="n">
        <f aca="false">RANK(CV421,$CV$2:$CV$881,0)</f>
        <v>503</v>
      </c>
      <c r="CX421" s="50" t="n">
        <f aca="false">(CV421+BB421)/2</f>
        <v>77.9714285714286</v>
      </c>
      <c r="CY421" s="50" t="n">
        <v>507</v>
      </c>
      <c r="CZ421" s="27" t="s">
        <v>132</v>
      </c>
      <c r="DA421" s="27" t="s">
        <v>205</v>
      </c>
      <c r="DB421" s="27" t="s">
        <v>205</v>
      </c>
      <c r="DC421" s="27" t="s">
        <v>134</v>
      </c>
      <c r="DD421" s="27" t="s">
        <v>182</v>
      </c>
      <c r="DE421" s="27" t="s">
        <v>447</v>
      </c>
      <c r="DF421" s="27" t="s">
        <v>382</v>
      </c>
      <c r="DG421" s="27" t="s">
        <v>134</v>
      </c>
      <c r="DH421" s="27" t="s">
        <v>154</v>
      </c>
      <c r="DI421" s="27" t="s">
        <v>447</v>
      </c>
      <c r="DJ421" s="27" t="s">
        <v>443</v>
      </c>
      <c r="DK421" s="27" t="s">
        <v>134</v>
      </c>
      <c r="DL421" s="27" t="s">
        <v>195</v>
      </c>
      <c r="DM421" s="27" t="s">
        <v>220</v>
      </c>
      <c r="DN421" s="27" t="s">
        <v>382</v>
      </c>
      <c r="DO421" s="27" t="s">
        <v>134</v>
      </c>
      <c r="DP421" s="27" t="s">
        <v>195</v>
      </c>
      <c r="DQ421" s="27" t="s">
        <v>399</v>
      </c>
      <c r="DR421" s="27" t="s">
        <v>138</v>
      </c>
      <c r="DS421" s="27" t="s">
        <v>134</v>
      </c>
      <c r="DT421" s="27" t="s">
        <v>135</v>
      </c>
      <c r="DU421" s="27" t="s">
        <v>412</v>
      </c>
      <c r="DV421" s="27" t="s">
        <v>443</v>
      </c>
      <c r="DW421" s="27" t="s">
        <v>160</v>
      </c>
      <c r="DX421" s="27" t="s">
        <v>138</v>
      </c>
      <c r="DY421" s="27" t="s">
        <v>144</v>
      </c>
      <c r="DZ421" s="27" t="n">
        <f aca="false">DY421+DV421+DR421+DN421+DJ421+DF421+DB421</f>
        <v>554</v>
      </c>
      <c r="EA421" s="28" t="n">
        <f aca="false">DZ421/7</f>
        <v>79.1428571428571</v>
      </c>
      <c r="EB421" s="27" t="n">
        <f aca="false">RANK(EA421,$EA$2:$EA$881,0)</f>
        <v>426</v>
      </c>
      <c r="EC421" s="29" t="n">
        <f aca="false">DZ421+CQ421+CP421+AZ421</f>
        <v>2424</v>
      </c>
      <c r="ED421" s="30" t="n">
        <f aca="false">(EA421+CV421+BB421)/3</f>
        <v>78.3619047619048</v>
      </c>
      <c r="EE421" s="51" t="n">
        <f aca="false">ROUND(BE421,3)</f>
        <v>84.327</v>
      </c>
      <c r="EF421" s="51" t="n">
        <f aca="false">ROUND(CR421,3)</f>
        <v>80.857</v>
      </c>
      <c r="EG421" s="51" t="n">
        <f aca="false">ROUND(CS421,3)</f>
        <v>74.429</v>
      </c>
      <c r="EH421" s="51" t="n">
        <f aca="false">ROUND(EA421,3)</f>
        <v>79.143</v>
      </c>
      <c r="EI421" s="51" t="n">
        <f aca="false">ROUND(ED421,3)</f>
        <v>78.362</v>
      </c>
      <c r="EJ421" s="51" t="n">
        <f aca="false">ROUND(CV421,3)</f>
        <v>77.643</v>
      </c>
      <c r="EK421" s="0" t="n">
        <f aca="false">RANK(EI421,$EI$2:$EI$881,0)</f>
        <v>420</v>
      </c>
    </row>
    <row r="422" customFormat="false" ht="15" hidden="false" customHeight="false" outlineLevel="0" collapsed="false">
      <c r="A422" s="4" t="n">
        <v>8587</v>
      </c>
      <c r="B422" s="4" t="n">
        <v>298</v>
      </c>
      <c r="C422" s="27" t="s">
        <v>1328</v>
      </c>
      <c r="D422" s="31" t="n">
        <v>297</v>
      </c>
      <c r="E422" s="32" t="n">
        <v>230312893</v>
      </c>
      <c r="F422" s="8" t="s">
        <v>1329</v>
      </c>
      <c r="G422" s="22" t="s">
        <v>404</v>
      </c>
      <c r="H422" s="22" t="s">
        <v>129</v>
      </c>
      <c r="I422" s="33" t="n">
        <v>2005</v>
      </c>
      <c r="J422" s="32" t="n">
        <v>78</v>
      </c>
      <c r="K422" s="32" t="n">
        <v>92</v>
      </c>
      <c r="L422" s="34" t="n">
        <f aca="false">(K422*70)/100</f>
        <v>64.4</v>
      </c>
      <c r="M422" s="34" t="n">
        <f aca="false">ROUNDUP(L422,0)</f>
        <v>65</v>
      </c>
      <c r="N422" s="32" t="n">
        <v>26</v>
      </c>
      <c r="O422" s="34" t="n">
        <f aca="false">N422+L422</f>
        <v>90.4</v>
      </c>
      <c r="P422" s="34" t="n">
        <f aca="false">N422+M422</f>
        <v>91</v>
      </c>
      <c r="Q422" s="32" t="n">
        <v>84</v>
      </c>
      <c r="R422" s="32" t="n">
        <v>83</v>
      </c>
      <c r="S422" s="34" t="n">
        <f aca="false">(R422*70)/100</f>
        <v>58.1</v>
      </c>
      <c r="T422" s="34" t="n">
        <f aca="false">ROUNDUP(S422,0)</f>
        <v>59</v>
      </c>
      <c r="U422" s="32" t="n">
        <v>25</v>
      </c>
      <c r="V422" s="34" t="n">
        <f aca="false">U422+S422</f>
        <v>83.1</v>
      </c>
      <c r="W422" s="34" t="n">
        <f aca="false">U422+T422</f>
        <v>84</v>
      </c>
      <c r="X422" s="32" t="n">
        <v>77</v>
      </c>
      <c r="Y422" s="34" t="n">
        <f aca="false">(X422*70)/100</f>
        <v>53.9</v>
      </c>
      <c r="Z422" s="34" t="n">
        <f aca="false">ROUNDUP(Y422,0)</f>
        <v>54</v>
      </c>
      <c r="AA422" s="32" t="n">
        <v>26</v>
      </c>
      <c r="AB422" s="34" t="n">
        <f aca="false">AA422+Y422</f>
        <v>79.9</v>
      </c>
      <c r="AC422" s="34" t="n">
        <f aca="false">AA422+Z422</f>
        <v>80</v>
      </c>
      <c r="AD422" s="32" t="n">
        <f aca="false">X422+R422+Q422+K422+J422</f>
        <v>414</v>
      </c>
      <c r="AE422" s="16" t="n">
        <f aca="false">AD422/5</f>
        <v>82.8</v>
      </c>
      <c r="AF422" s="16" t="n">
        <v>84</v>
      </c>
      <c r="AG422" s="16" t="n">
        <v>80</v>
      </c>
      <c r="AH422" s="16" t="n">
        <v>93</v>
      </c>
      <c r="AI422" s="16" t="n">
        <v>93</v>
      </c>
      <c r="AJ422" s="16" t="n">
        <f aca="false">(AI422*70)/100</f>
        <v>65.1</v>
      </c>
      <c r="AK422" s="35" t="n">
        <f aca="false">ROUNDUP(AJ422,0)</f>
        <v>66</v>
      </c>
      <c r="AL422" s="16" t="n">
        <v>26</v>
      </c>
      <c r="AM422" s="16" t="n">
        <f aca="false">AL422+AJ422</f>
        <v>91.1</v>
      </c>
      <c r="AN422" s="16" t="n">
        <f aca="false">AL422+AK422</f>
        <v>92</v>
      </c>
      <c r="AO422" s="16" t="n">
        <v>87</v>
      </c>
      <c r="AP422" s="36" t="n">
        <f aca="false">(AO422*70)/100</f>
        <v>60.9</v>
      </c>
      <c r="AQ422" s="37" t="n">
        <f aca="false">ROUNDUP(AP422,0)</f>
        <v>61</v>
      </c>
      <c r="AR422" s="16" t="n">
        <v>27</v>
      </c>
      <c r="AS422" s="16" t="n">
        <f aca="false">AR422+AP422</f>
        <v>87.9</v>
      </c>
      <c r="AT422" s="16" t="n">
        <f aca="false">AR422+AQ422</f>
        <v>88</v>
      </c>
      <c r="AU422" s="16" t="n">
        <f aca="false">AO422+AF422+AI422+AH422+AG422</f>
        <v>437</v>
      </c>
      <c r="AV422" s="16" t="n">
        <f aca="false">(AO422+AF422+AI422+AH422+AG422)/5</f>
        <v>87.4</v>
      </c>
      <c r="AW422" s="36" t="n">
        <f aca="false">(AO422+AF422+AI422+AH422+AG422+X422+R422+Q422+K422+J422)</f>
        <v>851</v>
      </c>
      <c r="AX422" s="16" t="n">
        <f aca="false">AW422/10</f>
        <v>85.1</v>
      </c>
      <c r="AY422" s="16" t="n">
        <f aca="false">AS422+AF422+AM422+AH422+AG422+AB422+V422+Q422+O422+J422</f>
        <v>851.4</v>
      </c>
      <c r="AZ422" s="16" t="n">
        <f aca="false">AT422+AF422+AN422+AH422+AG422+AC422+W422+Q422+P422+J422</f>
        <v>854</v>
      </c>
      <c r="BA422" s="16" t="n">
        <f aca="false">AY422/10</f>
        <v>85.14</v>
      </c>
      <c r="BB422" s="16" t="n">
        <f aca="false">AZ422/10</f>
        <v>85.4</v>
      </c>
      <c r="BC422" s="16" t="n">
        <v>2372</v>
      </c>
      <c r="BD422" s="16" t="n">
        <f aca="false">RANK(AX422,$AX$2:$AX$881,0)</f>
        <v>88</v>
      </c>
      <c r="BE422" s="38" t="n">
        <f aca="false">((BC422*100)/2400)*0.4+(AX422*0.6)</f>
        <v>90.5933333333333</v>
      </c>
      <c r="BF422" s="16" t="n">
        <f aca="false">RANK(BE422,$BE$2:$BE$881,0)</f>
        <v>85</v>
      </c>
      <c r="BG422" s="39" t="n">
        <f aca="false">RANK(BB422,$BB$2:$BB$881,0)</f>
        <v>97</v>
      </c>
      <c r="BH422" s="39" t="n">
        <f aca="false">RANK(BC422,$BC$2:$BC$881,0)</f>
        <v>246</v>
      </c>
      <c r="BI422" s="22" t="s">
        <v>130</v>
      </c>
      <c r="BJ422" s="22" t="s">
        <v>129</v>
      </c>
      <c r="BK422" s="40" t="s">
        <v>131</v>
      </c>
      <c r="BL422" s="41" t="n">
        <v>23</v>
      </c>
      <c r="BM422" s="41" t="n">
        <v>59</v>
      </c>
      <c r="BN422" s="41" t="n">
        <v>82</v>
      </c>
      <c r="BO422" s="42" t="n">
        <v>28</v>
      </c>
      <c r="BP422" s="43" t="n">
        <v>66</v>
      </c>
      <c r="BQ422" s="44" t="n">
        <v>94</v>
      </c>
      <c r="BR422" s="42" t="n">
        <v>26</v>
      </c>
      <c r="BS422" s="45" t="n">
        <v>63</v>
      </c>
      <c r="BT422" s="45" t="n">
        <v>89</v>
      </c>
      <c r="BU422" s="46" t="n">
        <v>99</v>
      </c>
      <c r="BV422" s="47" t="n">
        <v>84</v>
      </c>
      <c r="BW422" s="42" t="n">
        <v>100</v>
      </c>
      <c r="BX422" s="24" t="n">
        <v>82</v>
      </c>
      <c r="BY422" s="32" t="n">
        <v>27</v>
      </c>
      <c r="BZ422" s="32" t="n">
        <v>55</v>
      </c>
      <c r="CA422" s="32" t="n">
        <v>82</v>
      </c>
      <c r="CB422" s="32" t="n">
        <v>24</v>
      </c>
      <c r="CC422" s="32" t="n">
        <v>39</v>
      </c>
      <c r="CD422" s="32" t="n">
        <v>63</v>
      </c>
      <c r="CE422" s="32" t="n">
        <v>29</v>
      </c>
      <c r="CF422" s="60"/>
      <c r="CG422" s="60"/>
      <c r="CH422" s="32" t="n">
        <v>89</v>
      </c>
      <c r="CI422" s="32" t="n">
        <v>92</v>
      </c>
      <c r="CJ422" s="25" t="n">
        <v>27</v>
      </c>
      <c r="CK422" s="25" t="n">
        <v>43</v>
      </c>
      <c r="CL422" s="25" t="n">
        <v>70</v>
      </c>
      <c r="CM422" s="49" t="n">
        <v>22</v>
      </c>
      <c r="CN422" s="49" t="n">
        <v>46</v>
      </c>
      <c r="CO422" s="49" t="n">
        <v>68</v>
      </c>
      <c r="CP422" s="25" t="n">
        <f aca="false">BX422+BW422+BV422+BU422+BT422+BQ422+BN422</f>
        <v>630</v>
      </c>
      <c r="CQ422" s="25" t="n">
        <f aca="false">CO422+CL422+CI422+CH422+CG422+CD422+CA422</f>
        <v>464</v>
      </c>
      <c r="CR422" s="26" t="n">
        <f aca="false">CP422/7</f>
        <v>90</v>
      </c>
      <c r="CS422" s="26" t="n">
        <f aca="false">CQ422/7</f>
        <v>66.2857142857143</v>
      </c>
      <c r="CT422" s="24" t="n">
        <f aca="false">RANK(CR422,$CR$2:$CR$881,0)</f>
        <v>182</v>
      </c>
      <c r="CU422" s="25" t="n">
        <f aca="false">RANK(CS422,$CS$2:$CS$881,0)</f>
        <v>609</v>
      </c>
      <c r="CV422" s="26" t="n">
        <f aca="false">(CS422+CR422)/2</f>
        <v>78.1428571428571</v>
      </c>
      <c r="CW422" s="25" t="n">
        <f aca="false">RANK(CV422,$CV$2:$CV$881,0)</f>
        <v>491</v>
      </c>
      <c r="CX422" s="50" t="n">
        <f aca="false">(CV422+BB422)/2</f>
        <v>81.7714285714286</v>
      </c>
      <c r="CY422" s="50" t="n">
        <v>282</v>
      </c>
      <c r="CZ422" s="27" t="s">
        <v>132</v>
      </c>
      <c r="DA422" s="27" t="s">
        <v>202</v>
      </c>
      <c r="DB422" s="27" t="s">
        <v>202</v>
      </c>
      <c r="DC422" s="27" t="s">
        <v>134</v>
      </c>
      <c r="DD422" s="27" t="s">
        <v>160</v>
      </c>
      <c r="DE422" s="27" t="s">
        <v>442</v>
      </c>
      <c r="DF422" s="27" t="s">
        <v>382</v>
      </c>
      <c r="DG422" s="27" t="s">
        <v>134</v>
      </c>
      <c r="DH422" s="27" t="s">
        <v>174</v>
      </c>
      <c r="DI422" s="27" t="s">
        <v>220</v>
      </c>
      <c r="DJ422" s="27" t="s">
        <v>305</v>
      </c>
      <c r="DK422" s="27" t="s">
        <v>134</v>
      </c>
      <c r="DL422" s="27"/>
      <c r="DM422" s="27"/>
      <c r="DN422" s="27"/>
      <c r="DO422" s="27"/>
      <c r="DP422" s="27" t="s">
        <v>174</v>
      </c>
      <c r="DQ422" s="27" t="s">
        <v>304</v>
      </c>
      <c r="DR422" s="27" t="s">
        <v>443</v>
      </c>
      <c r="DS422" s="27" t="s">
        <v>134</v>
      </c>
      <c r="DT422" s="27" t="s">
        <v>160</v>
      </c>
      <c r="DU422" s="27" t="s">
        <v>218</v>
      </c>
      <c r="DV422" s="27" t="s">
        <v>175</v>
      </c>
      <c r="DW422" s="27" t="s">
        <v>137</v>
      </c>
      <c r="DX422" s="27" t="s">
        <v>155</v>
      </c>
      <c r="DY422" s="27" t="s">
        <v>142</v>
      </c>
      <c r="DZ422" s="27" t="n">
        <f aca="false">DY422+DV422+DR422+DN422+DJ422+DF422+DB422</f>
        <v>498</v>
      </c>
      <c r="EA422" s="28" t="n">
        <f aca="false">DZ422/7</f>
        <v>71.1428571428571</v>
      </c>
      <c r="EB422" s="27" t="n">
        <f aca="false">RANK(EA422,$EA$2:$EA$881,0)</f>
        <v>623</v>
      </c>
      <c r="EC422" s="29" t="n">
        <f aca="false">DZ422+CQ422+CP422+AZ422</f>
        <v>2446</v>
      </c>
      <c r="ED422" s="30" t="n">
        <f aca="false">(EA422+CV422+BB422)/3</f>
        <v>78.2285714285714</v>
      </c>
      <c r="EE422" s="51" t="n">
        <f aca="false">ROUND(BE422,3)</f>
        <v>90.593</v>
      </c>
      <c r="EF422" s="51" t="n">
        <f aca="false">ROUND(CR422,3)</f>
        <v>90</v>
      </c>
      <c r="EG422" s="51" t="n">
        <f aca="false">ROUND(CS422,3)</f>
        <v>66.286</v>
      </c>
      <c r="EH422" s="51" t="n">
        <f aca="false">ROUND(EA422,3)</f>
        <v>71.143</v>
      </c>
      <c r="EI422" s="51" t="n">
        <f aca="false">ROUND(ED422,3)</f>
        <v>78.229</v>
      </c>
      <c r="EJ422" s="51" t="n">
        <f aca="false">ROUND(CV422,3)</f>
        <v>78.143</v>
      </c>
      <c r="EK422" s="0" t="n">
        <f aca="false">RANK(EI422,$EI$2:$EI$881,0)</f>
        <v>421</v>
      </c>
    </row>
    <row r="423" customFormat="false" ht="15" hidden="false" customHeight="false" outlineLevel="0" collapsed="false">
      <c r="A423" s="4" t="n">
        <v>1951</v>
      </c>
      <c r="B423" s="4" t="n">
        <v>171</v>
      </c>
      <c r="C423" s="27" t="s">
        <v>1330</v>
      </c>
      <c r="D423" s="31" t="n">
        <v>172</v>
      </c>
      <c r="E423" s="16" t="n">
        <v>230249063</v>
      </c>
      <c r="F423" s="56" t="s">
        <v>1331</v>
      </c>
      <c r="G423" s="22" t="s">
        <v>1332</v>
      </c>
      <c r="H423" s="22" t="s">
        <v>326</v>
      </c>
      <c r="I423" s="57"/>
      <c r="J423" s="16" t="n">
        <v>80</v>
      </c>
      <c r="K423" s="16" t="n">
        <v>87</v>
      </c>
      <c r="L423" s="34" t="n">
        <f aca="false">(K423*70)/100</f>
        <v>60.9</v>
      </c>
      <c r="M423" s="34" t="n">
        <f aca="false">ROUNDUP(L423,0)</f>
        <v>61</v>
      </c>
      <c r="N423" s="16" t="n">
        <v>21</v>
      </c>
      <c r="O423" s="34" t="n">
        <f aca="false">N423+L423</f>
        <v>81.9</v>
      </c>
      <c r="P423" s="34" t="n">
        <f aca="false">N423+M423</f>
        <v>82</v>
      </c>
      <c r="Q423" s="16" t="n">
        <v>77</v>
      </c>
      <c r="R423" s="16" t="n">
        <v>77</v>
      </c>
      <c r="S423" s="34" t="n">
        <f aca="false">(R423*70)/100</f>
        <v>53.9</v>
      </c>
      <c r="T423" s="34" t="n">
        <f aca="false">ROUNDUP(S423,0)</f>
        <v>54</v>
      </c>
      <c r="U423" s="16" t="n">
        <v>25</v>
      </c>
      <c r="V423" s="34" t="n">
        <f aca="false">U423+S423</f>
        <v>78.9</v>
      </c>
      <c r="W423" s="34" t="n">
        <f aca="false">U423+T423</f>
        <v>79</v>
      </c>
      <c r="X423" s="16" t="n">
        <v>70</v>
      </c>
      <c r="Y423" s="34" t="n">
        <f aca="false">(X423*70)/100</f>
        <v>49</v>
      </c>
      <c r="Z423" s="34" t="n">
        <f aca="false">ROUNDUP(Y423,0)</f>
        <v>49</v>
      </c>
      <c r="AA423" s="16" t="n">
        <v>28</v>
      </c>
      <c r="AB423" s="34" t="n">
        <f aca="false">AA423+Y423</f>
        <v>77</v>
      </c>
      <c r="AC423" s="34" t="n">
        <f aca="false">AA423+Z423</f>
        <v>77</v>
      </c>
      <c r="AD423" s="32" t="n">
        <f aca="false">X423+R423+Q423+K423+J423</f>
        <v>391</v>
      </c>
      <c r="AE423" s="16" t="n">
        <f aca="false">AD423/5</f>
        <v>78.2</v>
      </c>
      <c r="AF423" s="16" t="n">
        <v>74</v>
      </c>
      <c r="AG423" s="16" t="n">
        <v>83</v>
      </c>
      <c r="AH423" s="16" t="n">
        <v>80</v>
      </c>
      <c r="AI423" s="16" t="n">
        <v>80</v>
      </c>
      <c r="AJ423" s="16" t="n">
        <f aca="false">(AI423*70)/100</f>
        <v>56</v>
      </c>
      <c r="AK423" s="35" t="n">
        <f aca="false">ROUNDUP(AJ423,0)</f>
        <v>56</v>
      </c>
      <c r="AL423" s="16" t="n">
        <v>27</v>
      </c>
      <c r="AM423" s="16" t="n">
        <f aca="false">AL423+AJ423</f>
        <v>83</v>
      </c>
      <c r="AN423" s="16" t="n">
        <f aca="false">AL423+AK423</f>
        <v>83</v>
      </c>
      <c r="AO423" s="16" t="n">
        <v>72</v>
      </c>
      <c r="AP423" s="36" t="n">
        <f aca="false">(AO423*70)/100</f>
        <v>50.4</v>
      </c>
      <c r="AQ423" s="37" t="n">
        <f aca="false">ROUNDUP(AP423,0)</f>
        <v>51</v>
      </c>
      <c r="AR423" s="16" t="n">
        <v>25</v>
      </c>
      <c r="AS423" s="16" t="n">
        <f aca="false">AR423+AP423</f>
        <v>75.4</v>
      </c>
      <c r="AT423" s="16" t="n">
        <f aca="false">AR423+AQ423</f>
        <v>76</v>
      </c>
      <c r="AU423" s="16" t="n">
        <f aca="false">AO423+AF423+AI423+AH423+AG423</f>
        <v>389</v>
      </c>
      <c r="AV423" s="16" t="n">
        <f aca="false">(AO423+AF423+AI423+AH423+AG423)/5</f>
        <v>77.8</v>
      </c>
      <c r="AW423" s="36" t="n">
        <f aca="false">(AO423+AF423+AI423+AH423+AG423+X423+R423+Q423+K423+J423)</f>
        <v>780</v>
      </c>
      <c r="AX423" s="16" t="n">
        <f aca="false">AW423/10</f>
        <v>78</v>
      </c>
      <c r="AY423" s="16" t="n">
        <f aca="false">AS423+AF423+AM423+AH423+AG423+AB423+V423+Q423+O423+J423</f>
        <v>790.2</v>
      </c>
      <c r="AZ423" s="16" t="n">
        <f aca="false">AT423+AF423+AN423+AH423+AG423+AC423+W423+Q423+P423+J423</f>
        <v>791</v>
      </c>
      <c r="BA423" s="16" t="n">
        <f aca="false">AY423/10</f>
        <v>79.02</v>
      </c>
      <c r="BB423" s="16" t="n">
        <f aca="false">AZ423/10</f>
        <v>79.1</v>
      </c>
      <c r="BC423" s="16" t="n">
        <v>2351</v>
      </c>
      <c r="BD423" s="16" t="n">
        <f aca="false">RANK(AX423,$AX$2:$AX$881,0)</f>
        <v>408</v>
      </c>
      <c r="BE423" s="54" t="n">
        <f aca="false">((BC423*100)/2400)*0.4+(AX423*0.6)</f>
        <v>85.9833333333333</v>
      </c>
      <c r="BF423" s="16" t="n">
        <f aca="false">RANK(BE423,$BE$2:$BE$881,0)</f>
        <v>436</v>
      </c>
      <c r="BG423" s="39" t="n">
        <f aca="false">RANK(BB423,$BB$2:$BB$881,0)</f>
        <v>449</v>
      </c>
      <c r="BH423" s="39" t="n">
        <f aca="false">RANK(BC423,$BC$2:$BC$881,0)</f>
        <v>520</v>
      </c>
      <c r="BI423" s="22" t="s">
        <v>130</v>
      </c>
      <c r="BJ423" s="22" t="s">
        <v>129</v>
      </c>
      <c r="BK423" s="40" t="s">
        <v>509</v>
      </c>
      <c r="BL423" s="41" t="n">
        <v>17</v>
      </c>
      <c r="BM423" s="41" t="n">
        <v>55</v>
      </c>
      <c r="BN423" s="41" t="n">
        <v>72</v>
      </c>
      <c r="BO423" s="42" t="n">
        <v>20</v>
      </c>
      <c r="BP423" s="43" t="n">
        <v>51</v>
      </c>
      <c r="BQ423" s="44" t="n">
        <v>71</v>
      </c>
      <c r="BR423" s="42" t="n">
        <v>21</v>
      </c>
      <c r="BS423" s="45" t="n">
        <v>59</v>
      </c>
      <c r="BT423" s="45" t="n">
        <v>80</v>
      </c>
      <c r="BU423" s="46" t="n">
        <v>100</v>
      </c>
      <c r="BV423" s="47" t="n">
        <v>70</v>
      </c>
      <c r="BW423" s="42" t="n">
        <v>98</v>
      </c>
      <c r="BX423" s="48" t="n">
        <v>84</v>
      </c>
      <c r="BY423" s="32" t="n">
        <v>24</v>
      </c>
      <c r="BZ423" s="32" t="n">
        <v>52</v>
      </c>
      <c r="CA423" s="32" t="n">
        <v>76</v>
      </c>
      <c r="CB423" s="32" t="n">
        <v>13</v>
      </c>
      <c r="CC423" s="32" t="n">
        <v>44</v>
      </c>
      <c r="CD423" s="69" t="n">
        <v>57</v>
      </c>
      <c r="CE423" s="32" t="n">
        <v>21</v>
      </c>
      <c r="CF423" s="32" t="n">
        <v>51</v>
      </c>
      <c r="CG423" s="32" t="n">
        <v>72</v>
      </c>
      <c r="CH423" s="32" t="n">
        <v>93</v>
      </c>
      <c r="CI423" s="32" t="n">
        <v>98</v>
      </c>
      <c r="CJ423" s="83" t="n">
        <v>11</v>
      </c>
      <c r="CK423" s="60"/>
      <c r="CL423" s="61"/>
      <c r="CM423" s="49" t="n">
        <v>21</v>
      </c>
      <c r="CN423" s="49" t="n">
        <v>49</v>
      </c>
      <c r="CO423" s="49" t="n">
        <v>70</v>
      </c>
      <c r="CP423" s="25" t="n">
        <f aca="false">BX423+BW423+BV423+BU423+BT423+BQ423+BN423</f>
        <v>575</v>
      </c>
      <c r="CQ423" s="25" t="n">
        <f aca="false">CO423+CL423+CI423+CH423+CG423+CD423+CA423</f>
        <v>466</v>
      </c>
      <c r="CR423" s="26" t="n">
        <f aca="false">CP423/7</f>
        <v>82.1428571428571</v>
      </c>
      <c r="CS423" s="26" t="n">
        <f aca="false">CQ423/7</f>
        <v>66.5714285714286</v>
      </c>
      <c r="CT423" s="24" t="n">
        <f aca="false">RANK(CR423,$CR$2:$CR$881,0)</f>
        <v>536</v>
      </c>
      <c r="CU423" s="25" t="n">
        <f aca="false">RANK(CS423,$CS$2:$CS$881,0)</f>
        <v>606</v>
      </c>
      <c r="CV423" s="26" t="n">
        <f aca="false">(CS423+CR423)/2</f>
        <v>74.3571428571429</v>
      </c>
      <c r="CW423" s="25" t="n">
        <f aca="false">RANK(CV423,$CV$2:$CV$881,0)</f>
        <v>576</v>
      </c>
      <c r="CX423" s="50" t="n">
        <f aca="false">(CV423+BB423)/2</f>
        <v>76.7285714285714</v>
      </c>
      <c r="CY423" s="50" t="n">
        <v>512</v>
      </c>
      <c r="CZ423" s="27" t="s">
        <v>132</v>
      </c>
      <c r="DA423" s="27" t="s">
        <v>205</v>
      </c>
      <c r="DB423" s="27" t="s">
        <v>205</v>
      </c>
      <c r="DC423" s="27" t="s">
        <v>134</v>
      </c>
      <c r="DD423" s="27" t="s">
        <v>135</v>
      </c>
      <c r="DE423" s="27" t="s">
        <v>306</v>
      </c>
      <c r="DF423" s="27" t="s">
        <v>219</v>
      </c>
      <c r="DG423" s="27" t="s">
        <v>134</v>
      </c>
      <c r="DH423" s="27" t="s">
        <v>164</v>
      </c>
      <c r="DI423" s="27" t="s">
        <v>183</v>
      </c>
      <c r="DJ423" s="27" t="s">
        <v>175</v>
      </c>
      <c r="DK423" s="27" t="s">
        <v>134</v>
      </c>
      <c r="DL423" s="27" t="s">
        <v>137</v>
      </c>
      <c r="DM423" s="27" t="s">
        <v>304</v>
      </c>
      <c r="DN423" s="27" t="s">
        <v>219</v>
      </c>
      <c r="DO423" s="27" t="s">
        <v>134</v>
      </c>
      <c r="DP423" s="27" t="s">
        <v>191</v>
      </c>
      <c r="DQ423" s="27" t="s">
        <v>375</v>
      </c>
      <c r="DR423" s="27" t="s">
        <v>155</v>
      </c>
      <c r="DS423" s="27" t="s">
        <v>134</v>
      </c>
      <c r="DT423" s="27" t="s">
        <v>140</v>
      </c>
      <c r="DU423" s="27" t="s">
        <v>399</v>
      </c>
      <c r="DV423" s="27" t="s">
        <v>382</v>
      </c>
      <c r="DW423" s="27" t="s">
        <v>160</v>
      </c>
      <c r="DX423" s="27" t="s">
        <v>187</v>
      </c>
      <c r="DY423" s="27" t="s">
        <v>156</v>
      </c>
      <c r="DZ423" s="27" t="n">
        <f aca="false">DY423+DV423+DR423+DN423+DJ423+DF423+DB423</f>
        <v>568</v>
      </c>
      <c r="EA423" s="28" t="n">
        <f aca="false">DZ423/7</f>
        <v>81.1428571428571</v>
      </c>
      <c r="EB423" s="27" t="n">
        <f aca="false">RANK(EA423,$EA$2:$EA$881,0)</f>
        <v>342</v>
      </c>
      <c r="EC423" s="29" t="n">
        <f aca="false">DZ423+CQ423+CP423+AZ423</f>
        <v>2400</v>
      </c>
      <c r="ED423" s="30" t="n">
        <f aca="false">(EA423+CV423+BB423)/3</f>
        <v>78.2</v>
      </c>
      <c r="EE423" s="51" t="n">
        <f aca="false">ROUND(BE423,3)</f>
        <v>85.983</v>
      </c>
      <c r="EF423" s="51" t="n">
        <f aca="false">ROUND(CR423,3)</f>
        <v>82.143</v>
      </c>
      <c r="EG423" s="51" t="n">
        <f aca="false">ROUND(CS423,3)</f>
        <v>66.571</v>
      </c>
      <c r="EH423" s="51" t="n">
        <f aca="false">ROUND(EA423,3)</f>
        <v>81.143</v>
      </c>
      <c r="EI423" s="51" t="n">
        <f aca="false">ROUND(ED423,3)</f>
        <v>78.2</v>
      </c>
      <c r="EJ423" s="51" t="n">
        <f aca="false">ROUND(CV423,3)</f>
        <v>74.357</v>
      </c>
      <c r="EK423" s="0" t="n">
        <f aca="false">RANK(EI423,$EI$2:$EI$881,0)</f>
        <v>422</v>
      </c>
    </row>
    <row r="424" customFormat="false" ht="15" hidden="false" customHeight="false" outlineLevel="0" collapsed="false">
      <c r="A424" s="4" t="n">
        <v>8580</v>
      </c>
      <c r="B424" s="4" t="n">
        <v>748</v>
      </c>
      <c r="C424" s="27" t="s">
        <v>1333</v>
      </c>
      <c r="D424" s="31" t="n">
        <v>763</v>
      </c>
      <c r="E424" s="16" t="n">
        <v>230324093</v>
      </c>
      <c r="F424" s="56" t="s">
        <v>1334</v>
      </c>
      <c r="G424" s="22" t="s">
        <v>1335</v>
      </c>
      <c r="H424" s="22" t="s">
        <v>129</v>
      </c>
      <c r="I424" s="57"/>
      <c r="J424" s="16" t="n">
        <v>75</v>
      </c>
      <c r="K424" s="16" t="n">
        <v>51</v>
      </c>
      <c r="L424" s="34" t="n">
        <f aca="false">(K424*70)/100</f>
        <v>35.7</v>
      </c>
      <c r="M424" s="34" t="n">
        <f aca="false">ROUNDUP(L424,0)</f>
        <v>36</v>
      </c>
      <c r="N424" s="16" t="n">
        <v>26</v>
      </c>
      <c r="O424" s="34" t="n">
        <f aca="false">N424+L424</f>
        <v>61.7</v>
      </c>
      <c r="P424" s="34" t="n">
        <f aca="false">N424+M424</f>
        <v>62</v>
      </c>
      <c r="Q424" s="16" t="n">
        <v>60</v>
      </c>
      <c r="R424" s="16" t="n">
        <v>76</v>
      </c>
      <c r="S424" s="34" t="n">
        <f aca="false">(R424*70)/100</f>
        <v>53.2</v>
      </c>
      <c r="T424" s="34" t="n">
        <f aca="false">ROUNDUP(S424,0)</f>
        <v>54</v>
      </c>
      <c r="U424" s="16" t="n">
        <v>27</v>
      </c>
      <c r="V424" s="34" t="n">
        <f aca="false">U424+S424</f>
        <v>80.2</v>
      </c>
      <c r="W424" s="34" t="n">
        <f aca="false">U424+T424</f>
        <v>81</v>
      </c>
      <c r="X424" s="16" t="n">
        <v>65</v>
      </c>
      <c r="Y424" s="34" t="n">
        <f aca="false">(X424*70)/100</f>
        <v>45.5</v>
      </c>
      <c r="Z424" s="34" t="n">
        <f aca="false">ROUNDUP(Y424,0)</f>
        <v>46</v>
      </c>
      <c r="AA424" s="16" t="n">
        <v>26</v>
      </c>
      <c r="AB424" s="34" t="n">
        <f aca="false">AA424+Y424</f>
        <v>71.5</v>
      </c>
      <c r="AC424" s="34" t="n">
        <f aca="false">AA424+Z424</f>
        <v>72</v>
      </c>
      <c r="AD424" s="32" t="n">
        <f aca="false">X424+R424+Q424+K424+J424</f>
        <v>327</v>
      </c>
      <c r="AE424" s="16" t="n">
        <f aca="false">AD424/5</f>
        <v>65.4</v>
      </c>
      <c r="AF424" s="71" t="n">
        <v>59</v>
      </c>
      <c r="AG424" s="16" t="n">
        <v>76</v>
      </c>
      <c r="AH424" s="16" t="n">
        <v>79</v>
      </c>
      <c r="AI424" s="16" t="n">
        <v>80</v>
      </c>
      <c r="AJ424" s="16" t="n">
        <f aca="false">(AI424*70)/100</f>
        <v>56</v>
      </c>
      <c r="AK424" s="35" t="n">
        <f aca="false">ROUNDUP(AJ424,0)</f>
        <v>56</v>
      </c>
      <c r="AL424" s="16" t="n">
        <v>27</v>
      </c>
      <c r="AM424" s="16" t="n">
        <f aca="false">AL424+AJ424</f>
        <v>83</v>
      </c>
      <c r="AN424" s="16" t="n">
        <f aca="false">AL424+AK424</f>
        <v>83</v>
      </c>
      <c r="AO424" s="16" t="n">
        <v>63</v>
      </c>
      <c r="AP424" s="36" t="n">
        <f aca="false">(AO424*70)/100</f>
        <v>44.1</v>
      </c>
      <c r="AQ424" s="37" t="n">
        <f aca="false">ROUNDUP(AP424,0)</f>
        <v>45</v>
      </c>
      <c r="AR424" s="16" t="n">
        <v>25</v>
      </c>
      <c r="AS424" s="16" t="n">
        <f aca="false">AR424+AP424</f>
        <v>69.1</v>
      </c>
      <c r="AT424" s="16" t="n">
        <f aca="false">AR424+AQ424</f>
        <v>70</v>
      </c>
      <c r="AU424" s="16" t="n">
        <f aca="false">AO424+AF424+AI424+AH424+AG424</f>
        <v>357</v>
      </c>
      <c r="AV424" s="16" t="n">
        <f aca="false">(AO424+AF424+AI424+AH424+AG424)/5</f>
        <v>71.4</v>
      </c>
      <c r="AW424" s="36" t="n">
        <f aca="false">(AO424+AF424+AI424+AH424+AG424+X424+R424+Q424+K424+J424)</f>
        <v>684</v>
      </c>
      <c r="AX424" s="16" t="n">
        <f aca="false">AW424/10</f>
        <v>68.4</v>
      </c>
      <c r="AY424" s="16" t="n">
        <f aca="false">AS424+AF424+AM424+AH424+AG424+AB424+V424+Q424+O424+J424</f>
        <v>714.5</v>
      </c>
      <c r="AZ424" s="16" t="n">
        <f aca="false">AT424+AF424+AN424+AH424+AG424+AC424+W424+Q424+P424+J424</f>
        <v>717</v>
      </c>
      <c r="BA424" s="16" t="n">
        <f aca="false">AY424/10</f>
        <v>71.45</v>
      </c>
      <c r="BB424" s="16" t="n">
        <f aca="false">AZ424/10</f>
        <v>71.7</v>
      </c>
      <c r="BC424" s="16" t="n">
        <v>2345</v>
      </c>
      <c r="BD424" s="16" t="n">
        <f aca="false">RANK(AX424,$AX$2:$AX$881,0)</f>
        <v>748</v>
      </c>
      <c r="BE424" s="73" t="n">
        <f aca="false">((BC424*100)/2400)*0.4+(AX424*0.6)</f>
        <v>80.1233333333333</v>
      </c>
      <c r="BF424" s="16" t="n">
        <f aca="false">RANK(BE424,$BE$2:$BE$881,0)</f>
        <v>727</v>
      </c>
      <c r="BG424" s="39" t="n">
        <f aca="false">RANK(BB424,$BB$2:$BB$881,0)</f>
        <v>731</v>
      </c>
      <c r="BH424" s="39" t="n">
        <f aca="false">RANK(BC424,$BC$2:$BC$881,0)</f>
        <v>585</v>
      </c>
      <c r="BI424" s="22" t="s">
        <v>130</v>
      </c>
      <c r="BJ424" s="22" t="s">
        <v>129</v>
      </c>
      <c r="BK424" s="40" t="s">
        <v>702</v>
      </c>
      <c r="BL424" s="41" t="n">
        <v>23</v>
      </c>
      <c r="BM424" s="41" t="n">
        <v>55</v>
      </c>
      <c r="BN424" s="41" t="n">
        <v>78</v>
      </c>
      <c r="BO424" s="42" t="n">
        <v>28</v>
      </c>
      <c r="BP424" s="43" t="n">
        <v>60</v>
      </c>
      <c r="BQ424" s="44" t="n">
        <v>88</v>
      </c>
      <c r="BR424" s="42" t="n">
        <v>28</v>
      </c>
      <c r="BS424" s="45" t="n">
        <v>57</v>
      </c>
      <c r="BT424" s="45" t="n">
        <v>85</v>
      </c>
      <c r="BU424" s="46" t="n">
        <v>100</v>
      </c>
      <c r="BV424" s="47" t="n">
        <v>94</v>
      </c>
      <c r="BW424" s="42" t="n">
        <v>92</v>
      </c>
      <c r="BX424" s="48" t="n">
        <v>92</v>
      </c>
      <c r="BY424" s="32" t="n">
        <v>27</v>
      </c>
      <c r="BZ424" s="32" t="n">
        <v>48</v>
      </c>
      <c r="CA424" s="32" t="n">
        <v>75</v>
      </c>
      <c r="CB424" s="32" t="n">
        <v>26</v>
      </c>
      <c r="CC424" s="32" t="n">
        <v>41</v>
      </c>
      <c r="CD424" s="32" t="n">
        <v>67</v>
      </c>
      <c r="CE424" s="32" t="n">
        <v>22</v>
      </c>
      <c r="CF424" s="32" t="n">
        <v>54</v>
      </c>
      <c r="CG424" s="32" t="n">
        <v>76</v>
      </c>
      <c r="CH424" s="32" t="n">
        <v>99</v>
      </c>
      <c r="CI424" s="32" t="n">
        <v>96</v>
      </c>
      <c r="CJ424" s="49" t="n">
        <v>24</v>
      </c>
      <c r="CK424" s="49" t="n">
        <v>53</v>
      </c>
      <c r="CL424" s="49" t="n">
        <v>77</v>
      </c>
      <c r="CM424" s="49" t="n">
        <v>23</v>
      </c>
      <c r="CN424" s="49" t="n">
        <v>48</v>
      </c>
      <c r="CO424" s="49" t="n">
        <v>71</v>
      </c>
      <c r="CP424" s="25" t="n">
        <f aca="false">BX424+BW424+BV424+BU424+BT424+BQ424+BN424</f>
        <v>629</v>
      </c>
      <c r="CQ424" s="25" t="n">
        <f aca="false">CO424+CL424+CI424+CH424+CG424+CD424+CA424</f>
        <v>561</v>
      </c>
      <c r="CR424" s="26" t="n">
        <f aca="false">CP424/7</f>
        <v>89.8571428571429</v>
      </c>
      <c r="CS424" s="26" t="n">
        <f aca="false">CQ424/7</f>
        <v>80.1428571428571</v>
      </c>
      <c r="CT424" s="24" t="n">
        <f aca="false">RANK(CR424,$CR$2:$CR$881,0)</f>
        <v>193</v>
      </c>
      <c r="CU424" s="25" t="n">
        <f aca="false">RANK(CS424,$CS$2:$CS$881,0)</f>
        <v>258</v>
      </c>
      <c r="CV424" s="26" t="n">
        <f aca="false">(CS424+CR424)/2</f>
        <v>85</v>
      </c>
      <c r="CW424" s="25" t="n">
        <f aca="false">RANK(CV424,$CV$2:$CV$881,0)</f>
        <v>213</v>
      </c>
      <c r="CX424" s="50" t="n">
        <f aca="false">(CV424+BB424)/2</f>
        <v>78.35</v>
      </c>
      <c r="CY424" s="50" t="n">
        <v>454</v>
      </c>
      <c r="CZ424" s="27" t="s">
        <v>132</v>
      </c>
      <c r="DA424" s="27" t="s">
        <v>205</v>
      </c>
      <c r="DB424" s="27" t="s">
        <v>205</v>
      </c>
      <c r="DC424" s="27" t="s">
        <v>134</v>
      </c>
      <c r="DD424" s="27" t="s">
        <v>485</v>
      </c>
      <c r="DE424" s="27" t="s">
        <v>375</v>
      </c>
      <c r="DF424" s="27" t="s">
        <v>141</v>
      </c>
      <c r="DG424" s="27" t="s">
        <v>134</v>
      </c>
      <c r="DH424" s="27" t="s">
        <v>154</v>
      </c>
      <c r="DI424" s="27" t="s">
        <v>218</v>
      </c>
      <c r="DJ424" s="27" t="s">
        <v>219</v>
      </c>
      <c r="DK424" s="27" t="s">
        <v>134</v>
      </c>
      <c r="DL424" s="27" t="s">
        <v>137</v>
      </c>
      <c r="DM424" s="27" t="s">
        <v>447</v>
      </c>
      <c r="DN424" s="27" t="s">
        <v>272</v>
      </c>
      <c r="DO424" s="27" t="s">
        <v>134</v>
      </c>
      <c r="DP424" s="27" t="s">
        <v>154</v>
      </c>
      <c r="DQ424" s="27" t="s">
        <v>681</v>
      </c>
      <c r="DR424" s="27" t="s">
        <v>138</v>
      </c>
      <c r="DS424" s="27" t="s">
        <v>134</v>
      </c>
      <c r="DT424" s="27" t="s">
        <v>140</v>
      </c>
      <c r="DU424" s="27" t="s">
        <v>638</v>
      </c>
      <c r="DV424" s="27" t="s">
        <v>372</v>
      </c>
      <c r="DW424" s="27" t="s">
        <v>154</v>
      </c>
      <c r="DX424" s="27" t="s">
        <v>155</v>
      </c>
      <c r="DY424" s="27" t="s">
        <v>151</v>
      </c>
      <c r="DZ424" s="27" t="n">
        <f aca="false">DY424+DV424+DR424+DN424+DJ424+DF424+DB424</f>
        <v>544</v>
      </c>
      <c r="EA424" s="28" t="n">
        <f aca="false">DZ424/7</f>
        <v>77.7142857142857</v>
      </c>
      <c r="EB424" s="27" t="n">
        <f aca="false">RANK(EA424,$EA$2:$EA$881,0)</f>
        <v>467</v>
      </c>
      <c r="EC424" s="29" t="n">
        <f aca="false">DZ424+CQ424+CP424+AZ424</f>
        <v>2451</v>
      </c>
      <c r="ED424" s="30" t="n">
        <f aca="false">(EA424+CV424+BB424)/3</f>
        <v>78.1380952380952</v>
      </c>
      <c r="EE424" s="51" t="n">
        <f aca="false">ROUND(BE424,3)</f>
        <v>80.123</v>
      </c>
      <c r="EF424" s="51" t="n">
        <f aca="false">ROUND(CR424,3)</f>
        <v>89.857</v>
      </c>
      <c r="EG424" s="51" t="n">
        <f aca="false">ROUND(CS424,3)</f>
        <v>80.143</v>
      </c>
      <c r="EH424" s="51" t="n">
        <f aca="false">ROUND(EA424,3)</f>
        <v>77.714</v>
      </c>
      <c r="EI424" s="51" t="n">
        <f aca="false">ROUND(ED424,3)</f>
        <v>78.138</v>
      </c>
      <c r="EJ424" s="51" t="n">
        <f aca="false">ROUND(CV424,3)</f>
        <v>85</v>
      </c>
      <c r="EK424" s="0" t="n">
        <f aca="false">RANK(EI424,$EI$2:$EI$881,0)</f>
        <v>423</v>
      </c>
    </row>
    <row r="425" customFormat="false" ht="15" hidden="false" customHeight="false" outlineLevel="0" collapsed="false">
      <c r="A425" s="4" t="n">
        <v>9136</v>
      </c>
      <c r="B425" s="4" t="n">
        <v>433</v>
      </c>
      <c r="C425" s="27" t="s">
        <v>1336</v>
      </c>
      <c r="D425" s="31" t="n">
        <v>438</v>
      </c>
      <c r="E425" s="16" t="n">
        <v>230133708</v>
      </c>
      <c r="F425" s="56" t="s">
        <v>1337</v>
      </c>
      <c r="G425" s="22" t="s">
        <v>1338</v>
      </c>
      <c r="H425" s="22" t="s">
        <v>326</v>
      </c>
      <c r="I425" s="57"/>
      <c r="J425" s="16" t="n">
        <v>83</v>
      </c>
      <c r="K425" s="16" t="n">
        <v>77</v>
      </c>
      <c r="L425" s="34" t="n">
        <f aca="false">(K425*70)/100</f>
        <v>53.9</v>
      </c>
      <c r="M425" s="34" t="n">
        <f aca="false">ROUNDUP(L425,0)</f>
        <v>54</v>
      </c>
      <c r="N425" s="16" t="n">
        <v>26</v>
      </c>
      <c r="O425" s="34" t="n">
        <f aca="false">N425+L425</f>
        <v>79.9</v>
      </c>
      <c r="P425" s="34" t="n">
        <f aca="false">N425+M425</f>
        <v>80</v>
      </c>
      <c r="Q425" s="16" t="n">
        <v>71</v>
      </c>
      <c r="R425" s="16" t="n">
        <v>76</v>
      </c>
      <c r="S425" s="34" t="n">
        <f aca="false">(R425*70)/100</f>
        <v>53.2</v>
      </c>
      <c r="T425" s="34" t="n">
        <f aca="false">ROUNDUP(S425,0)</f>
        <v>54</v>
      </c>
      <c r="U425" s="16" t="n">
        <v>26</v>
      </c>
      <c r="V425" s="34" t="n">
        <f aca="false">U425+S425</f>
        <v>79.2</v>
      </c>
      <c r="W425" s="34" t="n">
        <f aca="false">U425+T425</f>
        <v>80</v>
      </c>
      <c r="X425" s="16" t="n">
        <v>70</v>
      </c>
      <c r="Y425" s="34" t="n">
        <f aca="false">(X425*70)/100</f>
        <v>49</v>
      </c>
      <c r="Z425" s="34" t="n">
        <f aca="false">ROUNDUP(Y425,0)</f>
        <v>49</v>
      </c>
      <c r="AA425" s="16" t="n">
        <v>27</v>
      </c>
      <c r="AB425" s="34" t="n">
        <f aca="false">AA425+Y425</f>
        <v>76</v>
      </c>
      <c r="AC425" s="34" t="n">
        <f aca="false">AA425+Z425</f>
        <v>76</v>
      </c>
      <c r="AD425" s="32" t="n">
        <f aca="false">X425+R425+Q425+K425+J425</f>
        <v>377</v>
      </c>
      <c r="AE425" s="16" t="n">
        <f aca="false">AD425/5</f>
        <v>75.4</v>
      </c>
      <c r="AF425" s="16" t="n">
        <v>76</v>
      </c>
      <c r="AG425" s="16" t="n">
        <v>86</v>
      </c>
      <c r="AH425" s="16" t="n">
        <v>92</v>
      </c>
      <c r="AI425" s="16" t="n">
        <v>89</v>
      </c>
      <c r="AJ425" s="16" t="n">
        <f aca="false">(AI425*70)/100</f>
        <v>62.3</v>
      </c>
      <c r="AK425" s="35" t="n">
        <f aca="false">ROUNDUP(AJ425,0)</f>
        <v>63</v>
      </c>
      <c r="AL425" s="16" t="n">
        <v>19</v>
      </c>
      <c r="AM425" s="16" t="n">
        <f aca="false">AL425+AJ425</f>
        <v>81.3</v>
      </c>
      <c r="AN425" s="16" t="n">
        <f aca="false">AL425+AK425</f>
        <v>82</v>
      </c>
      <c r="AO425" s="16" t="n">
        <v>75</v>
      </c>
      <c r="AP425" s="36" t="n">
        <f aca="false">(AO425*70)/100</f>
        <v>52.5</v>
      </c>
      <c r="AQ425" s="37" t="n">
        <f aca="false">ROUNDUP(AP425,0)</f>
        <v>53</v>
      </c>
      <c r="AR425" s="16" t="n">
        <v>23</v>
      </c>
      <c r="AS425" s="16" t="n">
        <f aca="false">AR425+AP425</f>
        <v>75.5</v>
      </c>
      <c r="AT425" s="16" t="n">
        <f aca="false">AR425+AQ425</f>
        <v>76</v>
      </c>
      <c r="AU425" s="16" t="n">
        <f aca="false">AO425+AF425+AI425+AH425+AG425</f>
        <v>418</v>
      </c>
      <c r="AV425" s="16" t="n">
        <f aca="false">(AO425+AF425+AI425+AH425+AG425)/5</f>
        <v>83.6</v>
      </c>
      <c r="AW425" s="36" t="n">
        <f aca="false">(AO425+AF425+AI425+AH425+AG425+X425+R425+Q425+K425+J425)</f>
        <v>795</v>
      </c>
      <c r="AX425" s="16" t="n">
        <f aca="false">AW425/10</f>
        <v>79.5</v>
      </c>
      <c r="AY425" s="16" t="n">
        <f aca="false">AS425+AF425+AM425+AH425+AG425+AB425+V425+Q425+O425+J425</f>
        <v>799.9</v>
      </c>
      <c r="AZ425" s="16" t="n">
        <f aca="false">AT425+AF425+AN425+AH425+AG425+AC425+W425+Q425+P425+J425</f>
        <v>802</v>
      </c>
      <c r="BA425" s="16" t="n">
        <f aca="false">AY425/10</f>
        <v>79.99</v>
      </c>
      <c r="BB425" s="16" t="n">
        <f aca="false">AZ425/10</f>
        <v>80.2</v>
      </c>
      <c r="BC425" s="16" t="n">
        <v>2345</v>
      </c>
      <c r="BD425" s="16" t="n">
        <f aca="false">RANK(AX425,$AX$2:$AX$881,0)</f>
        <v>300</v>
      </c>
      <c r="BE425" s="54" t="n">
        <f aca="false">((BC425*100)/2400)*0.4+(AX425*0.6)</f>
        <v>86.7833333333333</v>
      </c>
      <c r="BF425" s="16" t="n">
        <f aca="false">RANK(BE425,$BE$2:$BE$881,0)</f>
        <v>324</v>
      </c>
      <c r="BG425" s="39" t="n">
        <f aca="false">RANK(BB425,$BB$2:$BB$881,0)</f>
        <v>338</v>
      </c>
      <c r="BH425" s="39" t="n">
        <f aca="false">RANK(BC425,$BC$2:$BC$881,0)</f>
        <v>585</v>
      </c>
      <c r="BI425" s="22" t="s">
        <v>130</v>
      </c>
      <c r="BJ425" s="22" t="s">
        <v>129</v>
      </c>
      <c r="BK425" s="40" t="s">
        <v>131</v>
      </c>
      <c r="BL425" s="41" t="n">
        <v>18</v>
      </c>
      <c r="BM425" s="41" t="n">
        <v>53</v>
      </c>
      <c r="BN425" s="41" t="n">
        <v>71</v>
      </c>
      <c r="BO425" s="42" t="n">
        <v>18</v>
      </c>
      <c r="BP425" s="43" t="n">
        <v>47</v>
      </c>
      <c r="BQ425" s="44" t="n">
        <v>65</v>
      </c>
      <c r="BR425" s="42" t="n">
        <v>18</v>
      </c>
      <c r="BS425" s="45" t="n">
        <v>46</v>
      </c>
      <c r="BT425" s="45" t="n">
        <v>64</v>
      </c>
      <c r="BU425" s="46" t="n">
        <v>100</v>
      </c>
      <c r="BV425" s="47" t="n">
        <v>88</v>
      </c>
      <c r="BW425" s="42" t="n">
        <v>96</v>
      </c>
      <c r="BX425" s="48" t="n">
        <v>90</v>
      </c>
      <c r="BY425" s="32" t="n">
        <v>22</v>
      </c>
      <c r="BZ425" s="32" t="n">
        <v>50</v>
      </c>
      <c r="CA425" s="48" t="n">
        <v>72</v>
      </c>
      <c r="CB425" s="32" t="n">
        <v>22</v>
      </c>
      <c r="CC425" s="32" t="n">
        <v>32</v>
      </c>
      <c r="CD425" s="69" t="n">
        <v>54</v>
      </c>
      <c r="CE425" s="32" t="n">
        <v>24</v>
      </c>
      <c r="CF425" s="32" t="n">
        <v>46</v>
      </c>
      <c r="CG425" s="32" t="n">
        <v>70</v>
      </c>
      <c r="CH425" s="32" t="n">
        <v>98</v>
      </c>
      <c r="CI425" s="32" t="n">
        <v>98</v>
      </c>
      <c r="CJ425" s="49" t="n">
        <v>12</v>
      </c>
      <c r="CK425" s="49" t="n">
        <v>33</v>
      </c>
      <c r="CL425" s="76" t="n">
        <v>45</v>
      </c>
      <c r="CM425" s="60"/>
      <c r="CN425" s="60"/>
      <c r="CO425" s="60"/>
      <c r="CP425" s="25" t="n">
        <f aca="false">BX425+BW425+BV425+BU425+BT425+BQ425+BN425</f>
        <v>574</v>
      </c>
      <c r="CQ425" s="25" t="n">
        <f aca="false">CO425+CL425+CI425+CH425+CG425+CD425+CA425</f>
        <v>437</v>
      </c>
      <c r="CR425" s="26" t="n">
        <f aca="false">CP425/7</f>
        <v>82</v>
      </c>
      <c r="CS425" s="26" t="n">
        <f aca="false">CQ425/7</f>
        <v>62.4285714285714</v>
      </c>
      <c r="CT425" s="24" t="n">
        <f aca="false">RANK(CR425,$CR$2:$CR$881,0)</f>
        <v>542</v>
      </c>
      <c r="CU425" s="25" t="n">
        <f aca="false">RANK(CS425,$CS$2:$CS$881,0)</f>
        <v>662</v>
      </c>
      <c r="CV425" s="26" t="n">
        <f aca="false">(CS425+CR425)/2</f>
        <v>72.2142857142857</v>
      </c>
      <c r="CW425" s="25" t="n">
        <f aca="false">RANK(CV425,$CV$2:$CV$881,0)</f>
        <v>611</v>
      </c>
      <c r="CX425" s="50" t="n">
        <f aca="false">(CV425+BB425)/2</f>
        <v>76.2071428571429</v>
      </c>
      <c r="CY425" s="50" t="n">
        <v>542</v>
      </c>
      <c r="CZ425" s="27" t="s">
        <v>132</v>
      </c>
      <c r="DA425" s="27" t="s">
        <v>162</v>
      </c>
      <c r="DB425" s="27" t="s">
        <v>162</v>
      </c>
      <c r="DC425" s="27" t="s">
        <v>134</v>
      </c>
      <c r="DD425" s="27" t="s">
        <v>182</v>
      </c>
      <c r="DE425" s="27" t="s">
        <v>220</v>
      </c>
      <c r="DF425" s="27" t="s">
        <v>219</v>
      </c>
      <c r="DG425" s="27" t="s">
        <v>134</v>
      </c>
      <c r="DH425" s="27" t="s">
        <v>137</v>
      </c>
      <c r="DI425" s="27" t="s">
        <v>442</v>
      </c>
      <c r="DJ425" s="27" t="s">
        <v>441</v>
      </c>
      <c r="DK425" s="27" t="s">
        <v>134</v>
      </c>
      <c r="DL425" s="27" t="s">
        <v>154</v>
      </c>
      <c r="DM425" s="27" t="s">
        <v>399</v>
      </c>
      <c r="DN425" s="27" t="s">
        <v>416</v>
      </c>
      <c r="DO425" s="27" t="s">
        <v>134</v>
      </c>
      <c r="DP425" s="27" t="s">
        <v>174</v>
      </c>
      <c r="DQ425" s="27" t="s">
        <v>220</v>
      </c>
      <c r="DR425" s="27" t="s">
        <v>305</v>
      </c>
      <c r="DS425" s="27" t="s">
        <v>134</v>
      </c>
      <c r="DT425" s="27" t="s">
        <v>164</v>
      </c>
      <c r="DU425" s="27" t="s">
        <v>218</v>
      </c>
      <c r="DV425" s="27" t="s">
        <v>209</v>
      </c>
      <c r="DW425" s="27" t="s">
        <v>160</v>
      </c>
      <c r="DX425" s="27" t="s">
        <v>138</v>
      </c>
      <c r="DY425" s="27" t="s">
        <v>144</v>
      </c>
      <c r="DZ425" s="27" t="n">
        <f aca="false">DY425+DV425+DR425+DN425+DJ425+DF425+DB425</f>
        <v>574</v>
      </c>
      <c r="EA425" s="28" t="n">
        <f aca="false">DZ425/7</f>
        <v>82</v>
      </c>
      <c r="EB425" s="27" t="n">
        <f aca="false">RANK(EA425,$EA$2:$EA$881,0)</f>
        <v>311</v>
      </c>
      <c r="EC425" s="29" t="n">
        <f aca="false">DZ425+CQ425+CP425+AZ425</f>
        <v>2387</v>
      </c>
      <c r="ED425" s="30" t="n">
        <f aca="false">(EA425+CV425+BB425)/3</f>
        <v>78.1380952380952</v>
      </c>
      <c r="EE425" s="51" t="n">
        <f aca="false">ROUND(BE425,3)</f>
        <v>86.783</v>
      </c>
      <c r="EF425" s="51" t="n">
        <f aca="false">ROUND(CR425,3)</f>
        <v>82</v>
      </c>
      <c r="EG425" s="51" t="n">
        <f aca="false">ROUND(CS425,3)</f>
        <v>62.429</v>
      </c>
      <c r="EH425" s="51" t="n">
        <f aca="false">ROUND(EA425,3)</f>
        <v>82</v>
      </c>
      <c r="EI425" s="51" t="n">
        <f aca="false">ROUND(ED425,3)</f>
        <v>78.138</v>
      </c>
      <c r="EJ425" s="51" t="n">
        <f aca="false">ROUND(CV425,3)</f>
        <v>72.214</v>
      </c>
      <c r="EK425" s="0" t="n">
        <f aca="false">RANK(EI425,$EI$2:$EI$881,0)</f>
        <v>423</v>
      </c>
    </row>
    <row r="426" customFormat="false" ht="15" hidden="false" customHeight="false" outlineLevel="0" collapsed="false">
      <c r="A426" s="4" t="n">
        <v>8713</v>
      </c>
      <c r="B426" s="4" t="n">
        <v>484</v>
      </c>
      <c r="C426" s="27" t="s">
        <v>1339</v>
      </c>
      <c r="D426" s="31" t="n">
        <v>493</v>
      </c>
      <c r="E426" s="16" t="n">
        <v>230119618</v>
      </c>
      <c r="F426" s="56" t="s">
        <v>1340</v>
      </c>
      <c r="G426" s="22" t="s">
        <v>1341</v>
      </c>
      <c r="H426" s="22" t="s">
        <v>326</v>
      </c>
      <c r="I426" s="57"/>
      <c r="J426" s="16" t="n">
        <v>72</v>
      </c>
      <c r="K426" s="16" t="n">
        <v>67</v>
      </c>
      <c r="L426" s="34" t="n">
        <f aca="false">(K426*70)/100</f>
        <v>46.9</v>
      </c>
      <c r="M426" s="34" t="n">
        <f aca="false">ROUNDUP(L426,0)</f>
        <v>47</v>
      </c>
      <c r="N426" s="16" t="n">
        <v>24</v>
      </c>
      <c r="O426" s="34" t="n">
        <f aca="false">N426+L426</f>
        <v>70.9</v>
      </c>
      <c r="P426" s="34" t="n">
        <f aca="false">N426+M426</f>
        <v>71</v>
      </c>
      <c r="Q426" s="16" t="n">
        <v>72</v>
      </c>
      <c r="R426" s="16" t="n">
        <v>79</v>
      </c>
      <c r="S426" s="34" t="n">
        <f aca="false">(R426*70)/100</f>
        <v>55.3</v>
      </c>
      <c r="T426" s="34" t="n">
        <f aca="false">ROUNDUP(S426,0)</f>
        <v>56</v>
      </c>
      <c r="U426" s="16" t="n">
        <v>26</v>
      </c>
      <c r="V426" s="34" t="n">
        <f aca="false">U426+S426</f>
        <v>81.3</v>
      </c>
      <c r="W426" s="34" t="n">
        <f aca="false">U426+T426</f>
        <v>82</v>
      </c>
      <c r="X426" s="16" t="n">
        <v>68</v>
      </c>
      <c r="Y426" s="34" t="n">
        <f aca="false">(X426*70)/100</f>
        <v>47.6</v>
      </c>
      <c r="Z426" s="34" t="n">
        <f aca="false">ROUNDUP(Y426,0)</f>
        <v>48</v>
      </c>
      <c r="AA426" s="16" t="n">
        <v>28</v>
      </c>
      <c r="AB426" s="34" t="n">
        <f aca="false">AA426+Y426</f>
        <v>75.6</v>
      </c>
      <c r="AC426" s="34" t="n">
        <f aca="false">AA426+Z426</f>
        <v>76</v>
      </c>
      <c r="AD426" s="32" t="n">
        <f aca="false">X426+R426+Q426+K426+J426</f>
        <v>358</v>
      </c>
      <c r="AE426" s="16" t="n">
        <f aca="false">AD426/5</f>
        <v>71.6</v>
      </c>
      <c r="AF426" s="16" t="n">
        <v>85</v>
      </c>
      <c r="AG426" s="16" t="n">
        <v>87</v>
      </c>
      <c r="AH426" s="16" t="n">
        <v>94</v>
      </c>
      <c r="AI426" s="16" t="n">
        <v>94</v>
      </c>
      <c r="AJ426" s="16" t="n">
        <f aca="false">(AI426*70)/100</f>
        <v>65.8</v>
      </c>
      <c r="AK426" s="35" t="n">
        <f aca="false">ROUNDUP(AJ426,0)</f>
        <v>66</v>
      </c>
      <c r="AL426" s="16" t="n">
        <v>26</v>
      </c>
      <c r="AM426" s="16" t="n">
        <f aca="false">AL426+AJ426</f>
        <v>91.8</v>
      </c>
      <c r="AN426" s="16" t="n">
        <f aca="false">AL426+AK426</f>
        <v>92</v>
      </c>
      <c r="AO426" s="16" t="n">
        <v>83</v>
      </c>
      <c r="AP426" s="36" t="n">
        <f aca="false">(AO426*70)/100</f>
        <v>58.1</v>
      </c>
      <c r="AQ426" s="37" t="n">
        <f aca="false">ROUNDUP(AP426,0)</f>
        <v>59</v>
      </c>
      <c r="AR426" s="16" t="n">
        <v>29</v>
      </c>
      <c r="AS426" s="16" t="n">
        <f aca="false">AR426+AP426</f>
        <v>87.1</v>
      </c>
      <c r="AT426" s="16" t="n">
        <f aca="false">AR426+AQ426</f>
        <v>88</v>
      </c>
      <c r="AU426" s="16" t="n">
        <f aca="false">AO426+AF426+AI426+AH426+AG426</f>
        <v>443</v>
      </c>
      <c r="AV426" s="16" t="n">
        <f aca="false">(AO426+AF426+AI426+AH426+AG426)/5</f>
        <v>88.6</v>
      </c>
      <c r="AW426" s="36" t="n">
        <f aca="false">(AO426+AF426+AI426+AH426+AG426+X426+R426+Q426+K426+J426)</f>
        <v>801</v>
      </c>
      <c r="AX426" s="16" t="n">
        <f aca="false">AW426/10</f>
        <v>80.1</v>
      </c>
      <c r="AY426" s="16" t="n">
        <f aca="false">AS426+AF426+AM426+AH426+AG426+AB426+V426+Q426+O426+J426</f>
        <v>816.7</v>
      </c>
      <c r="AZ426" s="16" t="n">
        <f aca="false">AT426+AF426+AN426+AH426+AG426+AC426+W426+Q426+P426+J426</f>
        <v>819</v>
      </c>
      <c r="BA426" s="16" t="n">
        <f aca="false">AY426/10</f>
        <v>81.67</v>
      </c>
      <c r="BB426" s="16" t="n">
        <f aca="false">AZ426/10</f>
        <v>81.9</v>
      </c>
      <c r="BC426" s="16" t="n">
        <v>2361</v>
      </c>
      <c r="BD426" s="16" t="n">
        <f aca="false">RANK(AX426,$AX$2:$AX$881,0)</f>
        <v>257</v>
      </c>
      <c r="BE426" s="54" t="n">
        <f aca="false">((BC426*100)/2400)*0.4+(AX426*0.6)</f>
        <v>87.41</v>
      </c>
      <c r="BF426" s="16" t="n">
        <f aca="false">RANK(BE426,$BE$2:$BE$881,0)</f>
        <v>259</v>
      </c>
      <c r="BG426" s="39" t="n">
        <f aca="false">RANK(BB426,$BB$2:$BB$881,0)</f>
        <v>218</v>
      </c>
      <c r="BH426" s="39" t="n">
        <f aca="false">RANK(BC426,$BC$2:$BC$881,0)</f>
        <v>382</v>
      </c>
      <c r="BI426" s="22" t="s">
        <v>130</v>
      </c>
      <c r="BJ426" s="22" t="s">
        <v>129</v>
      </c>
      <c r="BK426" s="40" t="s">
        <v>131</v>
      </c>
      <c r="BL426" s="41" t="n">
        <v>20</v>
      </c>
      <c r="BM426" s="41" t="n">
        <v>55</v>
      </c>
      <c r="BN426" s="41" t="n">
        <v>75</v>
      </c>
      <c r="BO426" s="42" t="n">
        <v>24</v>
      </c>
      <c r="BP426" s="43" t="n">
        <v>49</v>
      </c>
      <c r="BQ426" s="44" t="n">
        <v>73</v>
      </c>
      <c r="BR426" s="42" t="n">
        <v>28</v>
      </c>
      <c r="BS426" s="45" t="n">
        <v>59</v>
      </c>
      <c r="BT426" s="45" t="n">
        <v>87</v>
      </c>
      <c r="BU426" s="46" t="n">
        <v>100</v>
      </c>
      <c r="BV426" s="47" t="n">
        <v>90</v>
      </c>
      <c r="BW426" s="42" t="n">
        <v>90</v>
      </c>
      <c r="BX426" s="48" t="n">
        <v>96</v>
      </c>
      <c r="BY426" s="32" t="n">
        <v>24</v>
      </c>
      <c r="BZ426" s="32" t="n">
        <v>54</v>
      </c>
      <c r="CA426" s="32" t="n">
        <v>78</v>
      </c>
      <c r="CB426" s="32" t="n">
        <v>24</v>
      </c>
      <c r="CC426" s="32" t="n">
        <v>40</v>
      </c>
      <c r="CD426" s="32" t="n">
        <v>64</v>
      </c>
      <c r="CE426" s="32" t="n">
        <v>20</v>
      </c>
      <c r="CF426" s="32" t="n">
        <v>45</v>
      </c>
      <c r="CG426" s="32" t="n">
        <v>65</v>
      </c>
      <c r="CH426" s="32" t="n">
        <v>98</v>
      </c>
      <c r="CI426" s="32" t="n">
        <v>98</v>
      </c>
      <c r="CJ426" s="49" t="n">
        <v>16</v>
      </c>
      <c r="CK426" s="49" t="n">
        <v>57</v>
      </c>
      <c r="CL426" s="49" t="n">
        <v>73</v>
      </c>
      <c r="CM426" s="49" t="n">
        <v>22</v>
      </c>
      <c r="CN426" s="49" t="n">
        <v>55</v>
      </c>
      <c r="CO426" s="49" t="n">
        <v>77</v>
      </c>
      <c r="CP426" s="25" t="n">
        <f aca="false">BX426+BW426+BV426+BU426+BT426+BQ426+BN426</f>
        <v>611</v>
      </c>
      <c r="CQ426" s="25" t="n">
        <f aca="false">CO426+CL426+CI426+CH426+CG426+CD426+CA426</f>
        <v>553</v>
      </c>
      <c r="CR426" s="26" t="n">
        <f aca="false">CP426/7</f>
        <v>87.2857142857143</v>
      </c>
      <c r="CS426" s="26" t="n">
        <f aca="false">CQ426/7</f>
        <v>79</v>
      </c>
      <c r="CT426" s="24" t="n">
        <f aca="false">RANK(CR426,$CR$2:$CR$881,0)</f>
        <v>346</v>
      </c>
      <c r="CU426" s="25" t="n">
        <f aca="false">RANK(CS426,$CS$2:$CS$881,0)</f>
        <v>300</v>
      </c>
      <c r="CV426" s="26" t="n">
        <f aca="false">(CS426+CR426)/2</f>
        <v>83.1428571428571</v>
      </c>
      <c r="CW426" s="25" t="n">
        <f aca="false">RANK(CV426,$CV$2:$CV$881,0)</f>
        <v>289</v>
      </c>
      <c r="CX426" s="50" t="n">
        <f aca="false">(CV426+BB426)/2</f>
        <v>82.5214285714286</v>
      </c>
      <c r="CY426" s="50" t="n">
        <v>233</v>
      </c>
      <c r="CZ426" s="27" t="s">
        <v>132</v>
      </c>
      <c r="DA426" s="27" t="s">
        <v>153</v>
      </c>
      <c r="DB426" s="27" t="s">
        <v>153</v>
      </c>
      <c r="DC426" s="27" t="s">
        <v>134</v>
      </c>
      <c r="DD426" s="27" t="s">
        <v>191</v>
      </c>
      <c r="DE426" s="27" t="s">
        <v>638</v>
      </c>
      <c r="DF426" s="27" t="s">
        <v>163</v>
      </c>
      <c r="DG426" s="27" t="s">
        <v>134</v>
      </c>
      <c r="DH426" s="27" t="s">
        <v>195</v>
      </c>
      <c r="DI426" s="27" t="s">
        <v>304</v>
      </c>
      <c r="DJ426" s="27" t="s">
        <v>441</v>
      </c>
      <c r="DK426" s="27" t="s">
        <v>134</v>
      </c>
      <c r="DL426" s="27" t="s">
        <v>164</v>
      </c>
      <c r="DM426" s="27" t="s">
        <v>306</v>
      </c>
      <c r="DN426" s="27" t="s">
        <v>205</v>
      </c>
      <c r="DO426" s="27" t="s">
        <v>134</v>
      </c>
      <c r="DP426" s="27"/>
      <c r="DQ426" s="27"/>
      <c r="DR426" s="27"/>
      <c r="DS426" s="27"/>
      <c r="DT426" s="27" t="s">
        <v>195</v>
      </c>
      <c r="DU426" s="27" t="s">
        <v>304</v>
      </c>
      <c r="DV426" s="27" t="s">
        <v>441</v>
      </c>
      <c r="DW426" s="27" t="s">
        <v>164</v>
      </c>
      <c r="DX426" s="27" t="s">
        <v>155</v>
      </c>
      <c r="DY426" s="27" t="s">
        <v>144</v>
      </c>
      <c r="DZ426" s="27" t="n">
        <f aca="false">DY426+DV426+DR426+DN426+DJ426+DF426+DB426</f>
        <v>484</v>
      </c>
      <c r="EA426" s="28" t="n">
        <f aca="false">DZ426/7</f>
        <v>69.1428571428571</v>
      </c>
      <c r="EB426" s="27" t="n">
        <f aca="false">RANK(EA426,$EA$2:$EA$881,0)</f>
        <v>669</v>
      </c>
      <c r="EC426" s="29" t="n">
        <f aca="false">DZ426+CQ426+CP426+AZ426</f>
        <v>2467</v>
      </c>
      <c r="ED426" s="30" t="n">
        <f aca="false">(EA426+CV426+BB426)/3</f>
        <v>78.0619047619048</v>
      </c>
      <c r="EE426" s="51" t="n">
        <f aca="false">ROUND(BE426,3)</f>
        <v>87.41</v>
      </c>
      <c r="EF426" s="51" t="n">
        <f aca="false">ROUND(CR426,3)</f>
        <v>87.286</v>
      </c>
      <c r="EG426" s="51" t="n">
        <f aca="false">ROUND(CS426,3)</f>
        <v>79</v>
      </c>
      <c r="EH426" s="51" t="n">
        <f aca="false">ROUND(EA426,3)</f>
        <v>69.143</v>
      </c>
      <c r="EI426" s="51" t="n">
        <f aca="false">ROUND(ED426,3)</f>
        <v>78.062</v>
      </c>
      <c r="EJ426" s="51" t="n">
        <f aca="false">ROUND(CV426,3)</f>
        <v>83.143</v>
      </c>
      <c r="EK426" s="0" t="n">
        <f aca="false">RANK(EI426,$EI$2:$EI$881,0)</f>
        <v>425</v>
      </c>
    </row>
    <row r="427" customFormat="false" ht="15" hidden="false" customHeight="false" outlineLevel="0" collapsed="false">
      <c r="A427" s="4" t="n">
        <v>1954</v>
      </c>
      <c r="B427" s="4" t="n">
        <v>584</v>
      </c>
      <c r="C427" s="27" t="s">
        <v>1342</v>
      </c>
      <c r="D427" s="31" t="n">
        <v>589</v>
      </c>
      <c r="E427" s="32" t="n">
        <v>230322608</v>
      </c>
      <c r="F427" s="8" t="s">
        <v>1343</v>
      </c>
      <c r="G427" s="22" t="s">
        <v>280</v>
      </c>
      <c r="H427" s="22" t="s">
        <v>129</v>
      </c>
      <c r="I427" s="33" t="n">
        <v>2004</v>
      </c>
      <c r="J427" s="32" t="n">
        <v>83</v>
      </c>
      <c r="K427" s="32" t="n">
        <v>59</v>
      </c>
      <c r="L427" s="34" t="n">
        <f aca="false">(K427*70)/100</f>
        <v>41.3</v>
      </c>
      <c r="M427" s="34" t="n">
        <f aca="false">ROUNDUP(L427,0)</f>
        <v>42</v>
      </c>
      <c r="N427" s="32" t="n">
        <v>26</v>
      </c>
      <c r="O427" s="34" t="n">
        <f aca="false">N427+L427</f>
        <v>67.3</v>
      </c>
      <c r="P427" s="34" t="n">
        <f aca="false">N427+M427</f>
        <v>68</v>
      </c>
      <c r="Q427" s="32" t="n">
        <v>60</v>
      </c>
      <c r="R427" s="32" t="n">
        <v>70</v>
      </c>
      <c r="S427" s="34" t="n">
        <f aca="false">(R427*70)/100</f>
        <v>49</v>
      </c>
      <c r="T427" s="34" t="n">
        <f aca="false">ROUNDUP(S427,0)</f>
        <v>49</v>
      </c>
      <c r="U427" s="32" t="n">
        <v>22</v>
      </c>
      <c r="V427" s="34" t="n">
        <f aca="false">U427+S427</f>
        <v>71</v>
      </c>
      <c r="W427" s="34" t="n">
        <f aca="false">U427+T427</f>
        <v>71</v>
      </c>
      <c r="X427" s="32" t="n">
        <v>71</v>
      </c>
      <c r="Y427" s="34" t="n">
        <f aca="false">(X427*70)/100</f>
        <v>49.7</v>
      </c>
      <c r="Z427" s="34" t="n">
        <f aca="false">ROUNDUP(Y427,0)</f>
        <v>50</v>
      </c>
      <c r="AA427" s="32" t="n">
        <v>27</v>
      </c>
      <c r="AB427" s="34" t="n">
        <f aca="false">AA427+Y427</f>
        <v>76.7</v>
      </c>
      <c r="AC427" s="34" t="n">
        <f aca="false">AA427+Z427</f>
        <v>77</v>
      </c>
      <c r="AD427" s="32" t="n">
        <f aca="false">X427+R427+Q427+K427+J427</f>
        <v>343</v>
      </c>
      <c r="AE427" s="16" t="n">
        <f aca="false">AD427/5</f>
        <v>68.6</v>
      </c>
      <c r="AF427" s="16" t="n">
        <v>66</v>
      </c>
      <c r="AG427" s="16" t="n">
        <v>94</v>
      </c>
      <c r="AH427" s="16" t="n">
        <v>88</v>
      </c>
      <c r="AI427" s="16" t="n">
        <v>94</v>
      </c>
      <c r="AJ427" s="16" t="n">
        <f aca="false">(AI427*70)/100</f>
        <v>65.8</v>
      </c>
      <c r="AK427" s="35" t="n">
        <f aca="false">ROUNDUP(AJ427,0)</f>
        <v>66</v>
      </c>
      <c r="AL427" s="16" t="n">
        <v>25</v>
      </c>
      <c r="AM427" s="16" t="n">
        <f aca="false">AL427+AJ427</f>
        <v>90.8</v>
      </c>
      <c r="AN427" s="16" t="n">
        <f aca="false">AL427+AK427</f>
        <v>91</v>
      </c>
      <c r="AO427" s="16" t="n">
        <v>67</v>
      </c>
      <c r="AP427" s="36" t="n">
        <f aca="false">(AO427*70)/100</f>
        <v>46.9</v>
      </c>
      <c r="AQ427" s="37" t="n">
        <f aca="false">ROUNDUP(AP427,0)</f>
        <v>47</v>
      </c>
      <c r="AR427" s="16" t="n">
        <v>29</v>
      </c>
      <c r="AS427" s="16" t="n">
        <f aca="false">AR427+AP427</f>
        <v>75.9</v>
      </c>
      <c r="AT427" s="16" t="n">
        <f aca="false">AR427+AQ427</f>
        <v>76</v>
      </c>
      <c r="AU427" s="16" t="n">
        <f aca="false">AO427+AF427+AI427+AH427+AG427</f>
        <v>409</v>
      </c>
      <c r="AV427" s="16" t="n">
        <f aca="false">(AO427+AF427+AI427+AH427+AG427)/5</f>
        <v>81.8</v>
      </c>
      <c r="AW427" s="36" t="n">
        <f aca="false">(AO427+AF427+AI427+AH427+AG427+X427+R427+Q427+K427+J427)</f>
        <v>752</v>
      </c>
      <c r="AX427" s="16" t="n">
        <f aca="false">AW427/10</f>
        <v>75.2</v>
      </c>
      <c r="AY427" s="16" t="n">
        <f aca="false">AS427+AF427+AM427+AH427+AG427+AB427+V427+Q427+O427+J427</f>
        <v>772.7</v>
      </c>
      <c r="AZ427" s="16" t="n">
        <f aca="false">AT427+AF427+AN427+AH427+AG427+AC427+W427+Q427+P427+J427</f>
        <v>774</v>
      </c>
      <c r="BA427" s="16" t="n">
        <f aca="false">AY427/10</f>
        <v>77.27</v>
      </c>
      <c r="BB427" s="16" t="n">
        <f aca="false">AZ427/10</f>
        <v>77.4</v>
      </c>
      <c r="BC427" s="16" t="n">
        <v>2385</v>
      </c>
      <c r="BD427" s="16" t="n">
        <f aca="false">RANK(AX427,$AX$2:$AX$881,0)</f>
        <v>675</v>
      </c>
      <c r="BE427" s="73" t="n">
        <f aca="false">((BC427*100)/2400)*0.4+(AX427*0.6)</f>
        <v>84.87</v>
      </c>
      <c r="BF427" s="16" t="n">
        <f aca="false">RANK(BE427,$BE$2:$BE$881,0)</f>
        <v>641</v>
      </c>
      <c r="BG427" s="39" t="n">
        <f aca="false">RANK(BB427,$BB$2:$BB$881,0)</f>
        <v>613</v>
      </c>
      <c r="BH427" s="39" t="n">
        <f aca="false">RANK(BC427,$BC$2:$BC$881,0)</f>
        <v>93</v>
      </c>
      <c r="BI427" s="22" t="s">
        <v>130</v>
      </c>
      <c r="BJ427" s="22" t="s">
        <v>129</v>
      </c>
      <c r="BK427" s="22" t="s">
        <v>509</v>
      </c>
      <c r="BL427" s="41" t="n">
        <v>23</v>
      </c>
      <c r="BM427" s="41" t="n">
        <v>62</v>
      </c>
      <c r="BN427" s="41" t="n">
        <v>85</v>
      </c>
      <c r="BO427" s="42" t="n">
        <v>29</v>
      </c>
      <c r="BP427" s="43" t="n">
        <v>61</v>
      </c>
      <c r="BQ427" s="44" t="n">
        <v>90</v>
      </c>
      <c r="BR427" s="42" t="n">
        <v>22</v>
      </c>
      <c r="BS427" s="45" t="n">
        <v>59</v>
      </c>
      <c r="BT427" s="45" t="n">
        <v>81</v>
      </c>
      <c r="BU427" s="46" t="n">
        <v>100</v>
      </c>
      <c r="BV427" s="47" t="n">
        <v>86</v>
      </c>
      <c r="BW427" s="42" t="n">
        <v>90</v>
      </c>
      <c r="BX427" s="48" t="n">
        <v>98</v>
      </c>
      <c r="BY427" s="32" t="n">
        <v>28</v>
      </c>
      <c r="BZ427" s="32" t="n">
        <v>67</v>
      </c>
      <c r="CA427" s="32" t="n">
        <v>95</v>
      </c>
      <c r="CB427" s="32" t="n">
        <v>24</v>
      </c>
      <c r="CC427" s="32" t="n">
        <v>44</v>
      </c>
      <c r="CD427" s="32" t="n">
        <v>68</v>
      </c>
      <c r="CE427" s="32" t="n">
        <v>25</v>
      </c>
      <c r="CF427" s="60"/>
      <c r="CG427" s="60"/>
      <c r="CH427" s="32" t="n">
        <v>99</v>
      </c>
      <c r="CI427" s="32" t="n">
        <v>100</v>
      </c>
      <c r="CJ427" s="49" t="n">
        <v>29</v>
      </c>
      <c r="CK427" s="49" t="n">
        <v>55</v>
      </c>
      <c r="CL427" s="49" t="n">
        <v>84</v>
      </c>
      <c r="CM427" s="49" t="n">
        <v>25</v>
      </c>
      <c r="CN427" s="49" t="n">
        <v>48</v>
      </c>
      <c r="CO427" s="49" t="n">
        <v>73</v>
      </c>
      <c r="CP427" s="25" t="n">
        <f aca="false">BX427+BW427+BV427+BU427+BT427+BQ427+BN427</f>
        <v>630</v>
      </c>
      <c r="CQ427" s="25" t="n">
        <f aca="false">CO427+CL427+CI427+CH427+CG427+CD427+CA427</f>
        <v>519</v>
      </c>
      <c r="CR427" s="26" t="n">
        <f aca="false">CP427/7</f>
        <v>90</v>
      </c>
      <c r="CS427" s="26" t="n">
        <f aca="false">CQ427/7</f>
        <v>74.1428571428571</v>
      </c>
      <c r="CT427" s="24" t="n">
        <f aca="false">RANK(CR427,$CR$2:$CR$881,0)</f>
        <v>182</v>
      </c>
      <c r="CU427" s="25" t="n">
        <f aca="false">RANK(CS427,$CS$2:$CS$881,0)</f>
        <v>451</v>
      </c>
      <c r="CV427" s="26" t="n">
        <f aca="false">(CS427+CR427)/2</f>
        <v>82.0714285714286</v>
      </c>
      <c r="CW427" s="25" t="n">
        <f aca="false">RANK(CV427,$CV$2:$CV$881,0)</f>
        <v>338</v>
      </c>
      <c r="CX427" s="50" t="n">
        <f aca="false">(CV427+BB427)/2</f>
        <v>79.7357142857143</v>
      </c>
      <c r="CY427" s="50" t="n">
        <v>381</v>
      </c>
      <c r="CZ427" s="27" t="s">
        <v>132</v>
      </c>
      <c r="DA427" s="27" t="s">
        <v>142</v>
      </c>
      <c r="DB427" s="27" t="s">
        <v>142</v>
      </c>
      <c r="DC427" s="27" t="s">
        <v>134</v>
      </c>
      <c r="DD427" s="27" t="s">
        <v>137</v>
      </c>
      <c r="DE427" s="27" t="s">
        <v>218</v>
      </c>
      <c r="DF427" s="27" t="s">
        <v>169</v>
      </c>
      <c r="DG427" s="27" t="s">
        <v>134</v>
      </c>
      <c r="DH427" s="27" t="s">
        <v>174</v>
      </c>
      <c r="DI427" s="27" t="s">
        <v>306</v>
      </c>
      <c r="DJ427" s="27" t="s">
        <v>382</v>
      </c>
      <c r="DK427" s="27" t="s">
        <v>134</v>
      </c>
      <c r="DL427" s="27" t="s">
        <v>164</v>
      </c>
      <c r="DM427" s="27" t="s">
        <v>203</v>
      </c>
      <c r="DN427" s="27" t="s">
        <v>162</v>
      </c>
      <c r="DO427" s="27" t="s">
        <v>134</v>
      </c>
      <c r="DP427" s="27"/>
      <c r="DQ427" s="27"/>
      <c r="DR427" s="27"/>
      <c r="DS427" s="27"/>
      <c r="DT427" s="27" t="s">
        <v>140</v>
      </c>
      <c r="DU427" s="27" t="s">
        <v>313</v>
      </c>
      <c r="DV427" s="27" t="s">
        <v>196</v>
      </c>
      <c r="DW427" s="27" t="s">
        <v>164</v>
      </c>
      <c r="DX427" s="27" t="s">
        <v>155</v>
      </c>
      <c r="DY427" s="27" t="s">
        <v>144</v>
      </c>
      <c r="DZ427" s="27" t="n">
        <f aca="false">DY427+DV427+DR427+DN427+DJ427+DF427+DB427</f>
        <v>523</v>
      </c>
      <c r="EA427" s="28" t="n">
        <f aca="false">DZ427/7</f>
        <v>74.7142857142857</v>
      </c>
      <c r="EB427" s="27" t="n">
        <f aca="false">RANK(EA427,$EA$2:$EA$881,0)</f>
        <v>545</v>
      </c>
      <c r="EC427" s="29" t="n">
        <f aca="false">DZ427+CQ427+CP427+AZ427</f>
        <v>2446</v>
      </c>
      <c r="ED427" s="30" t="n">
        <f aca="false">(EA427+CV427+BB427)/3</f>
        <v>78.0619047619048</v>
      </c>
      <c r="EE427" s="51" t="n">
        <f aca="false">ROUND(BE427,3)</f>
        <v>84.87</v>
      </c>
      <c r="EF427" s="51" t="n">
        <f aca="false">ROUND(CR427,3)</f>
        <v>90</v>
      </c>
      <c r="EG427" s="51" t="n">
        <f aca="false">ROUND(CS427,3)</f>
        <v>74.143</v>
      </c>
      <c r="EH427" s="51" t="n">
        <f aca="false">ROUND(EA427,3)</f>
        <v>74.714</v>
      </c>
      <c r="EI427" s="51" t="n">
        <f aca="false">ROUND(ED427,3)</f>
        <v>78.062</v>
      </c>
      <c r="EJ427" s="51" t="n">
        <f aca="false">ROUND(CV427,3)</f>
        <v>82.071</v>
      </c>
      <c r="EK427" s="0" t="n">
        <f aca="false">RANK(EI427,$EI$2:$EI$881,0)</f>
        <v>425</v>
      </c>
    </row>
    <row r="428" customFormat="false" ht="16.85" hidden="false" customHeight="false" outlineLevel="0" collapsed="false">
      <c r="A428" s="4" t="n">
        <v>8749</v>
      </c>
      <c r="B428" s="4" t="n">
        <v>15</v>
      </c>
      <c r="C428" s="27" t="s">
        <v>1344</v>
      </c>
      <c r="D428" s="52" t="n">
        <v>17</v>
      </c>
      <c r="E428" s="32" t="n">
        <v>230312545</v>
      </c>
      <c r="F428" s="8" t="s">
        <v>1345</v>
      </c>
      <c r="G428" s="22" t="s">
        <v>505</v>
      </c>
      <c r="H428" s="22" t="s">
        <v>129</v>
      </c>
      <c r="I428" s="33" t="n">
        <v>2006</v>
      </c>
      <c r="J428" s="32" t="n">
        <v>95</v>
      </c>
      <c r="K428" s="32" t="n">
        <v>87</v>
      </c>
      <c r="L428" s="34" t="n">
        <f aca="false">(K428*70)/100</f>
        <v>60.9</v>
      </c>
      <c r="M428" s="34" t="n">
        <f aca="false">ROUNDUP(L428,0)</f>
        <v>61</v>
      </c>
      <c r="N428" s="32" t="n">
        <v>29</v>
      </c>
      <c r="O428" s="34" t="n">
        <f aca="false">N428+L428</f>
        <v>89.9</v>
      </c>
      <c r="P428" s="34" t="n">
        <f aca="false">N428+M428</f>
        <v>90</v>
      </c>
      <c r="Q428" s="32" t="n">
        <v>73</v>
      </c>
      <c r="R428" s="32" t="n">
        <v>83</v>
      </c>
      <c r="S428" s="34" t="n">
        <f aca="false">(R428*70)/100</f>
        <v>58.1</v>
      </c>
      <c r="T428" s="34" t="n">
        <f aca="false">ROUNDUP(S428,0)</f>
        <v>59</v>
      </c>
      <c r="U428" s="32" t="n">
        <v>27</v>
      </c>
      <c r="V428" s="34" t="n">
        <f aca="false">U428+S428</f>
        <v>85.1</v>
      </c>
      <c r="W428" s="34" t="n">
        <f aca="false">U428+T428</f>
        <v>86</v>
      </c>
      <c r="X428" s="32" t="n">
        <v>75</v>
      </c>
      <c r="Y428" s="34" t="n">
        <f aca="false">(X428*70)/100</f>
        <v>52.5</v>
      </c>
      <c r="Z428" s="34" t="n">
        <f aca="false">ROUNDUP(Y428,0)</f>
        <v>53</v>
      </c>
      <c r="AA428" s="32" t="n">
        <v>27</v>
      </c>
      <c r="AB428" s="34" t="n">
        <f aca="false">AA428+Y428</f>
        <v>79.5</v>
      </c>
      <c r="AC428" s="34" t="n">
        <f aca="false">AA428+Z428</f>
        <v>80</v>
      </c>
      <c r="AD428" s="32" t="n">
        <f aca="false">X428+R428+Q428+K428+J428</f>
        <v>413</v>
      </c>
      <c r="AE428" s="16" t="n">
        <f aca="false">AD428/5</f>
        <v>82.6</v>
      </c>
      <c r="AF428" s="16" t="n">
        <v>83</v>
      </c>
      <c r="AG428" s="16" t="n">
        <v>95</v>
      </c>
      <c r="AH428" s="16" t="n">
        <v>87</v>
      </c>
      <c r="AI428" s="16" t="n">
        <v>70</v>
      </c>
      <c r="AJ428" s="16" t="n">
        <f aca="false">(AI428*70)/100</f>
        <v>49</v>
      </c>
      <c r="AK428" s="35" t="n">
        <f aca="false">ROUNDUP(AJ428,0)</f>
        <v>49</v>
      </c>
      <c r="AL428" s="16" t="n">
        <v>21</v>
      </c>
      <c r="AM428" s="16" t="n">
        <f aca="false">AL428+AJ428</f>
        <v>70</v>
      </c>
      <c r="AN428" s="16" t="n">
        <f aca="false">AL428+AK428</f>
        <v>70</v>
      </c>
      <c r="AO428" s="16" t="n">
        <v>69</v>
      </c>
      <c r="AP428" s="36" t="n">
        <f aca="false">(AO428*70)/100</f>
        <v>48.3</v>
      </c>
      <c r="AQ428" s="37" t="n">
        <f aca="false">ROUNDUP(AP428,0)</f>
        <v>49</v>
      </c>
      <c r="AR428" s="16" t="n">
        <v>29</v>
      </c>
      <c r="AS428" s="16" t="n">
        <f aca="false">AR428+AP428</f>
        <v>77.3</v>
      </c>
      <c r="AT428" s="16" t="n">
        <f aca="false">AR428+AQ428</f>
        <v>78</v>
      </c>
      <c r="AU428" s="16" t="n">
        <f aca="false">AO428+AF428+AI428+AH428+AG428</f>
        <v>404</v>
      </c>
      <c r="AV428" s="16" t="n">
        <f aca="false">(AO428+AF428+AI428+AH428+AG428)/5</f>
        <v>80.8</v>
      </c>
      <c r="AW428" s="36" t="n">
        <f aca="false">(AO428+AF428+AI428+AH428+AG428+X428+R428+Q428+K428+J428)</f>
        <v>817</v>
      </c>
      <c r="AX428" s="16" t="n">
        <f aca="false">AW428/10</f>
        <v>81.7</v>
      </c>
      <c r="AY428" s="16" t="n">
        <f aca="false">AS428+AF428+AM428+AH428+AG428+AB428+V428+Q428+O428+J428</f>
        <v>834.8</v>
      </c>
      <c r="AZ428" s="16" t="n">
        <f aca="false">AT428+AF428+AN428+AH428+AG428+AC428+W428+Q428+P428+J428</f>
        <v>837</v>
      </c>
      <c r="BA428" s="16" t="n">
        <f aca="false">AY428/10</f>
        <v>83.48</v>
      </c>
      <c r="BB428" s="16" t="n">
        <f aca="false">AZ428/10</f>
        <v>83.7</v>
      </c>
      <c r="BC428" s="16" t="n">
        <v>2364</v>
      </c>
      <c r="BD428" s="16" t="n">
        <f aca="false">RANK(AX428,$AX$2:$AX$881,0)</f>
        <v>179</v>
      </c>
      <c r="BE428" s="54" t="n">
        <f aca="false">((BC428*100)/2400)*0.4+(AX428*0.6)</f>
        <v>88.42</v>
      </c>
      <c r="BF428" s="16" t="n">
        <f aca="false">RANK(BE428,$BE$2:$BE$881,0)</f>
        <v>168</v>
      </c>
      <c r="BG428" s="39" t="n">
        <f aca="false">RANK(BB428,$BB$2:$BB$881,0)</f>
        <v>133</v>
      </c>
      <c r="BH428" s="39" t="n">
        <f aca="false">RANK(BC428,$BC$2:$BC$881,0)</f>
        <v>347</v>
      </c>
      <c r="BI428" s="22" t="s">
        <v>130</v>
      </c>
      <c r="BJ428" s="22" t="s">
        <v>129</v>
      </c>
      <c r="BK428" s="40" t="s">
        <v>131</v>
      </c>
      <c r="BL428" s="41" t="n">
        <v>25</v>
      </c>
      <c r="BM428" s="41" t="n">
        <v>58</v>
      </c>
      <c r="BN428" s="41" t="n">
        <v>83</v>
      </c>
      <c r="BO428" s="42" t="n">
        <v>18</v>
      </c>
      <c r="BP428" s="42" t="n">
        <v>57</v>
      </c>
      <c r="BQ428" s="42" t="n">
        <v>75</v>
      </c>
      <c r="BR428" s="42" t="n">
        <v>21</v>
      </c>
      <c r="BS428" s="45" t="n">
        <v>43</v>
      </c>
      <c r="BT428" s="45" t="n">
        <v>64</v>
      </c>
      <c r="BU428" s="46" t="n">
        <v>100</v>
      </c>
      <c r="BV428" s="47" t="n">
        <v>94</v>
      </c>
      <c r="BW428" s="42" t="n">
        <v>90</v>
      </c>
      <c r="BX428" s="48" t="n">
        <v>92</v>
      </c>
      <c r="BY428" s="32" t="n">
        <v>25</v>
      </c>
      <c r="BZ428" s="32" t="n">
        <v>45</v>
      </c>
      <c r="CA428" s="48" t="n">
        <v>70</v>
      </c>
      <c r="CB428" s="32" t="n">
        <v>22</v>
      </c>
      <c r="CC428" s="32" t="n">
        <v>28</v>
      </c>
      <c r="CD428" s="69" t="n">
        <v>50</v>
      </c>
      <c r="CE428" s="32" t="n">
        <v>24</v>
      </c>
      <c r="CF428" s="32" t="n">
        <v>40</v>
      </c>
      <c r="CG428" s="32" t="n">
        <v>64</v>
      </c>
      <c r="CH428" s="32" t="n">
        <v>96</v>
      </c>
      <c r="CI428" s="32" t="n">
        <v>100</v>
      </c>
      <c r="CJ428" s="49" t="n">
        <v>29</v>
      </c>
      <c r="CK428" s="49" t="n">
        <v>46</v>
      </c>
      <c r="CL428" s="49" t="n">
        <v>75</v>
      </c>
      <c r="CM428" s="49" t="n">
        <v>19</v>
      </c>
      <c r="CN428" s="49" t="n">
        <v>46</v>
      </c>
      <c r="CO428" s="49" t="n">
        <v>65</v>
      </c>
      <c r="CP428" s="25" t="n">
        <f aca="false">BX428+BW428+BV428+BU428+BT428+BQ428+BN428</f>
        <v>598</v>
      </c>
      <c r="CQ428" s="25" t="n">
        <f aca="false">CO428+CL428+CI428+CH428+CG428+CD428+CA428</f>
        <v>520</v>
      </c>
      <c r="CR428" s="26" t="n">
        <f aca="false">CP428/7</f>
        <v>85.4285714285714</v>
      </c>
      <c r="CS428" s="26" t="n">
        <f aca="false">CQ428/7</f>
        <v>74.2857142857143</v>
      </c>
      <c r="CT428" s="24" t="n">
        <f aca="false">RANK(CR428,$CR$2:$CR$881,0)</f>
        <v>420</v>
      </c>
      <c r="CU428" s="25" t="n">
        <f aca="false">RANK(CS428,$CS$2:$CS$881,0)</f>
        <v>448</v>
      </c>
      <c r="CV428" s="26" t="n">
        <f aca="false">(CS428+CR428)/2</f>
        <v>79.8571428571429</v>
      </c>
      <c r="CW428" s="25" t="n">
        <f aca="false">RANK(CV428,$CV$2:$CV$881,0)</f>
        <v>432</v>
      </c>
      <c r="CX428" s="50" t="n">
        <f aca="false">(CV428+BB428)/2</f>
        <v>81.7785714285714</v>
      </c>
      <c r="CY428" s="50" t="n">
        <v>299</v>
      </c>
      <c r="CZ428" s="27" t="s">
        <v>132</v>
      </c>
      <c r="DA428" s="27" t="s">
        <v>202</v>
      </c>
      <c r="DB428" s="27" t="s">
        <v>202</v>
      </c>
      <c r="DC428" s="27" t="s">
        <v>134</v>
      </c>
      <c r="DD428" s="27" t="s">
        <v>264</v>
      </c>
      <c r="DE428" s="27" t="s">
        <v>177</v>
      </c>
      <c r="DF428" s="27" t="s">
        <v>272</v>
      </c>
      <c r="DG428" s="27" t="s">
        <v>134</v>
      </c>
      <c r="DH428" s="27" t="s">
        <v>135</v>
      </c>
      <c r="DI428" s="27" t="s">
        <v>220</v>
      </c>
      <c r="DJ428" s="27" t="s">
        <v>196</v>
      </c>
      <c r="DK428" s="27" t="s">
        <v>134</v>
      </c>
      <c r="DL428" s="27" t="s">
        <v>154</v>
      </c>
      <c r="DM428" s="27" t="s">
        <v>313</v>
      </c>
      <c r="DN428" s="27" t="s">
        <v>441</v>
      </c>
      <c r="DO428" s="27" t="s">
        <v>134</v>
      </c>
      <c r="DP428" s="27"/>
      <c r="DQ428" s="27"/>
      <c r="DR428" s="27"/>
      <c r="DS428" s="27"/>
      <c r="DT428" s="27" t="s">
        <v>135</v>
      </c>
      <c r="DU428" s="27" t="s">
        <v>399</v>
      </c>
      <c r="DV428" s="27" t="s">
        <v>486</v>
      </c>
      <c r="DW428" s="27" t="s">
        <v>146</v>
      </c>
      <c r="DX428" s="27" t="s">
        <v>155</v>
      </c>
      <c r="DY428" s="27" t="s">
        <v>165</v>
      </c>
      <c r="DZ428" s="27" t="n">
        <f aca="false">DY428+DV428+DR428+DN428+DJ428+DF428+DB428</f>
        <v>494</v>
      </c>
      <c r="EA428" s="28" t="n">
        <f aca="false">DZ428/7</f>
        <v>70.5714285714286</v>
      </c>
      <c r="EB428" s="27" t="n">
        <f aca="false">RANK(EA428,$EA$2:$EA$881,0)</f>
        <v>643</v>
      </c>
      <c r="EC428" s="29" t="n">
        <f aca="false">DZ428+CQ428+CP428+AZ428</f>
        <v>2449</v>
      </c>
      <c r="ED428" s="30" t="n">
        <f aca="false">(EA428+CV428+BB428)/3</f>
        <v>78.0428571428571</v>
      </c>
      <c r="EE428" s="51" t="n">
        <f aca="false">ROUND(BE428,3)</f>
        <v>88.42</v>
      </c>
      <c r="EF428" s="51" t="n">
        <f aca="false">ROUND(CR428,3)</f>
        <v>85.429</v>
      </c>
      <c r="EG428" s="51" t="n">
        <f aca="false">ROUND(CS428,3)</f>
        <v>74.286</v>
      </c>
      <c r="EH428" s="51" t="n">
        <f aca="false">ROUND(EA428,3)</f>
        <v>70.571</v>
      </c>
      <c r="EI428" s="51" t="n">
        <f aca="false">ROUND(ED428,3)</f>
        <v>78.043</v>
      </c>
      <c r="EJ428" s="51" t="n">
        <f aca="false">ROUND(CV428,3)</f>
        <v>79.857</v>
      </c>
      <c r="EK428" s="0" t="n">
        <f aca="false">RANK(EI428,$EI$2:$EI$881,0)</f>
        <v>427</v>
      </c>
    </row>
    <row r="429" customFormat="false" ht="16.85" hidden="false" customHeight="false" outlineLevel="0" collapsed="false">
      <c r="A429" s="4" t="n">
        <v>8763</v>
      </c>
      <c r="B429" s="4" t="n">
        <v>360</v>
      </c>
      <c r="C429" s="27" t="s">
        <v>1346</v>
      </c>
      <c r="D429" s="31" t="n">
        <v>365</v>
      </c>
      <c r="E429" s="16" t="n">
        <v>230236645</v>
      </c>
      <c r="F429" s="56" t="s">
        <v>1347</v>
      </c>
      <c r="G429" s="22" t="s">
        <v>573</v>
      </c>
      <c r="H429" s="22" t="s">
        <v>326</v>
      </c>
      <c r="I429" s="57"/>
      <c r="J429" s="16" t="n">
        <v>67</v>
      </c>
      <c r="K429" s="16" t="n">
        <v>93</v>
      </c>
      <c r="L429" s="34" t="n">
        <f aca="false">(K429*70)/100</f>
        <v>65.1</v>
      </c>
      <c r="M429" s="34" t="n">
        <f aca="false">ROUNDUP(L429,0)</f>
        <v>66</v>
      </c>
      <c r="N429" s="16" t="n">
        <v>26</v>
      </c>
      <c r="O429" s="34" t="n">
        <f aca="false">N429+L429</f>
        <v>91.1</v>
      </c>
      <c r="P429" s="34" t="n">
        <f aca="false">N429+M429</f>
        <v>92</v>
      </c>
      <c r="Q429" s="16" t="n">
        <v>81</v>
      </c>
      <c r="R429" s="16" t="n">
        <v>83</v>
      </c>
      <c r="S429" s="34" t="n">
        <f aca="false">(R429*70)/100</f>
        <v>58.1</v>
      </c>
      <c r="T429" s="34" t="n">
        <f aca="false">ROUNDUP(S429,0)</f>
        <v>59</v>
      </c>
      <c r="U429" s="16" t="n">
        <v>25</v>
      </c>
      <c r="V429" s="34" t="n">
        <f aca="false">U429+S429</f>
        <v>83.1</v>
      </c>
      <c r="W429" s="34" t="n">
        <f aca="false">U429+T429</f>
        <v>84</v>
      </c>
      <c r="X429" s="16" t="n">
        <v>63</v>
      </c>
      <c r="Y429" s="34" t="n">
        <f aca="false">(X429*70)/100</f>
        <v>44.1</v>
      </c>
      <c r="Z429" s="34" t="n">
        <f aca="false">ROUNDUP(Y429,0)</f>
        <v>45</v>
      </c>
      <c r="AA429" s="16" t="n">
        <v>27</v>
      </c>
      <c r="AB429" s="34" t="n">
        <f aca="false">AA429+Y429</f>
        <v>71.1</v>
      </c>
      <c r="AC429" s="34" t="n">
        <f aca="false">AA429+Z429</f>
        <v>72</v>
      </c>
      <c r="AD429" s="32" t="n">
        <f aca="false">X429+R429+Q429+K429+J429</f>
        <v>387</v>
      </c>
      <c r="AE429" s="16" t="n">
        <f aca="false">AD429/5</f>
        <v>77.4</v>
      </c>
      <c r="AF429" s="16" t="n">
        <v>69</v>
      </c>
      <c r="AG429" s="16" t="n">
        <v>70</v>
      </c>
      <c r="AH429" s="16" t="n">
        <v>96</v>
      </c>
      <c r="AI429" s="16" t="n">
        <v>86</v>
      </c>
      <c r="AJ429" s="16" t="n">
        <f aca="false">(AI429*70)/100</f>
        <v>60.2</v>
      </c>
      <c r="AK429" s="35" t="n">
        <f aca="false">ROUNDUP(AJ429,0)</f>
        <v>61</v>
      </c>
      <c r="AL429" s="16" t="n">
        <v>21</v>
      </c>
      <c r="AM429" s="16" t="n">
        <f aca="false">AL429+AJ429</f>
        <v>81.2</v>
      </c>
      <c r="AN429" s="16" t="n">
        <f aca="false">AL429+AK429</f>
        <v>82</v>
      </c>
      <c r="AO429" s="16" t="n">
        <v>80</v>
      </c>
      <c r="AP429" s="36" t="n">
        <f aca="false">(AO429*70)/100</f>
        <v>56</v>
      </c>
      <c r="AQ429" s="37" t="n">
        <f aca="false">ROUNDUP(AP429,0)</f>
        <v>56</v>
      </c>
      <c r="AR429" s="16" t="n">
        <v>25</v>
      </c>
      <c r="AS429" s="16" t="n">
        <f aca="false">AR429+AP429</f>
        <v>81</v>
      </c>
      <c r="AT429" s="16" t="n">
        <f aca="false">AR429+AQ429</f>
        <v>81</v>
      </c>
      <c r="AU429" s="16" t="n">
        <f aca="false">AO429+AF429+AI429+AH429+AG429</f>
        <v>401</v>
      </c>
      <c r="AV429" s="16" t="n">
        <f aca="false">(AO429+AF429+AI429+AH429+AG429)/5</f>
        <v>80.2</v>
      </c>
      <c r="AW429" s="36" t="n">
        <f aca="false">(AO429+AF429+AI429+AH429+AG429+X429+R429+Q429+K429+J429)</f>
        <v>788</v>
      </c>
      <c r="AX429" s="16" t="n">
        <f aca="false">AW429/10</f>
        <v>78.8</v>
      </c>
      <c r="AY429" s="16" t="n">
        <f aca="false">AS429+AF429+AM429+AH429+AG429+AB429+V429+Q429+O429+J429</f>
        <v>790.5</v>
      </c>
      <c r="AZ429" s="16" t="n">
        <f aca="false">AT429+AF429+AN429+AH429+AG429+AC429+W429+Q429+P429+J429</f>
        <v>794</v>
      </c>
      <c r="BA429" s="16" t="n">
        <f aca="false">AY429/10</f>
        <v>79.05</v>
      </c>
      <c r="BB429" s="16" t="n">
        <f aca="false">AZ429/10</f>
        <v>79.4</v>
      </c>
      <c r="BC429" s="16" t="n">
        <v>2358</v>
      </c>
      <c r="BD429" s="16" t="n">
        <f aca="false">RANK(AX429,$AX$2:$AX$881,0)</f>
        <v>351</v>
      </c>
      <c r="BE429" s="54" t="n">
        <f aca="false">((BC429*100)/2400)*0.4+(AX429*0.6)</f>
        <v>86.58</v>
      </c>
      <c r="BF429" s="16" t="n">
        <f aca="false">RANK(BE429,$BE$2:$BE$881,0)</f>
        <v>340</v>
      </c>
      <c r="BG429" s="39" t="n">
        <f aca="false">RANK(BB429,$BB$2:$BB$881,0)</f>
        <v>414</v>
      </c>
      <c r="BH429" s="39" t="n">
        <f aca="false">RANK(BC429,$BC$2:$BC$881,0)</f>
        <v>429</v>
      </c>
      <c r="BI429" s="22" t="s">
        <v>130</v>
      </c>
      <c r="BJ429" s="22" t="s">
        <v>129</v>
      </c>
      <c r="BK429" s="40" t="s">
        <v>131</v>
      </c>
      <c r="BL429" s="41" t="n">
        <v>22</v>
      </c>
      <c r="BM429" s="41" t="n">
        <v>58</v>
      </c>
      <c r="BN429" s="41" t="n">
        <v>80</v>
      </c>
      <c r="BO429" s="42" t="n">
        <v>21</v>
      </c>
      <c r="BP429" s="43" t="n">
        <v>62</v>
      </c>
      <c r="BQ429" s="44" t="n">
        <v>83</v>
      </c>
      <c r="BR429" s="42" t="n">
        <v>29</v>
      </c>
      <c r="BS429" s="45" t="n">
        <v>63</v>
      </c>
      <c r="BT429" s="45" t="n">
        <v>92</v>
      </c>
      <c r="BU429" s="46" t="n">
        <v>100</v>
      </c>
      <c r="BV429" s="47" t="n">
        <v>96</v>
      </c>
      <c r="BW429" s="42" t="n">
        <v>100</v>
      </c>
      <c r="BX429" s="48" t="n">
        <v>98</v>
      </c>
      <c r="BY429" s="32" t="n">
        <v>26</v>
      </c>
      <c r="BZ429" s="32" t="n">
        <v>49</v>
      </c>
      <c r="CA429" s="32" t="n">
        <v>75</v>
      </c>
      <c r="CB429" s="32" t="n">
        <v>22</v>
      </c>
      <c r="CC429" s="32" t="n">
        <v>34</v>
      </c>
      <c r="CD429" s="69" t="n">
        <v>56</v>
      </c>
      <c r="CE429" s="32" t="n">
        <v>25</v>
      </c>
      <c r="CF429" s="32" t="n">
        <v>57</v>
      </c>
      <c r="CG429" s="32" t="n">
        <v>82</v>
      </c>
      <c r="CH429" s="32" t="n">
        <v>99</v>
      </c>
      <c r="CI429" s="32" t="n">
        <v>73</v>
      </c>
      <c r="CJ429" s="49" t="n">
        <v>24</v>
      </c>
      <c r="CK429" s="49" t="n">
        <v>47</v>
      </c>
      <c r="CL429" s="49" t="n">
        <v>71</v>
      </c>
      <c r="CM429" s="49" t="n">
        <v>26</v>
      </c>
      <c r="CN429" s="49" t="n">
        <v>55</v>
      </c>
      <c r="CO429" s="49" t="n">
        <v>81</v>
      </c>
      <c r="CP429" s="25" t="n">
        <f aca="false">BX429+BW429+BV429+BU429+BT429+BQ429+BN429</f>
        <v>649</v>
      </c>
      <c r="CQ429" s="25" t="n">
        <f aca="false">CO429+CL429+CI429+CH429+CG429+CD429+CA429</f>
        <v>537</v>
      </c>
      <c r="CR429" s="26" t="n">
        <f aca="false">CP429/7</f>
        <v>92.7142857142857</v>
      </c>
      <c r="CS429" s="26" t="n">
        <f aca="false">CQ429/7</f>
        <v>76.7142857142857</v>
      </c>
      <c r="CT429" s="24" t="n">
        <f aca="false">RANK(CR429,$CR$2:$CR$881,0)</f>
        <v>58</v>
      </c>
      <c r="CU429" s="25" t="n">
        <f aca="false">RANK(CS429,$CS$2:$CS$881,0)</f>
        <v>375</v>
      </c>
      <c r="CV429" s="26" t="n">
        <f aca="false">(CS429+CR429)/2</f>
        <v>84.7142857142857</v>
      </c>
      <c r="CW429" s="25" t="n">
        <f aca="false">RANK(CV429,$CV$2:$CV$881,0)</f>
        <v>233</v>
      </c>
      <c r="CX429" s="50" t="n">
        <f aca="false">(CV429+BB429)/2</f>
        <v>82.0571428571429</v>
      </c>
      <c r="CY429" s="50" t="n">
        <v>261</v>
      </c>
      <c r="CZ429" s="27" t="s">
        <v>132</v>
      </c>
      <c r="DA429" s="27" t="s">
        <v>169</v>
      </c>
      <c r="DB429" s="27" t="s">
        <v>169</v>
      </c>
      <c r="DC429" s="27" t="s">
        <v>134</v>
      </c>
      <c r="DD429" s="27" t="s">
        <v>174</v>
      </c>
      <c r="DE429" s="27" t="s">
        <v>447</v>
      </c>
      <c r="DF429" s="27" t="s">
        <v>441</v>
      </c>
      <c r="DG429" s="27" t="s">
        <v>134</v>
      </c>
      <c r="DH429" s="27" t="s">
        <v>140</v>
      </c>
      <c r="DI429" s="27" t="s">
        <v>204</v>
      </c>
      <c r="DJ429" s="27" t="s">
        <v>133</v>
      </c>
      <c r="DK429" s="27" t="s">
        <v>134</v>
      </c>
      <c r="DL429" s="27" t="s">
        <v>135</v>
      </c>
      <c r="DM429" s="27" t="s">
        <v>304</v>
      </c>
      <c r="DN429" s="27" t="s">
        <v>272</v>
      </c>
      <c r="DO429" s="27" t="s">
        <v>134</v>
      </c>
      <c r="DP429" s="27"/>
      <c r="DQ429" s="27"/>
      <c r="DR429" s="27"/>
      <c r="DS429" s="27"/>
      <c r="DT429" s="27" t="s">
        <v>140</v>
      </c>
      <c r="DU429" s="27" t="s">
        <v>681</v>
      </c>
      <c r="DV429" s="27" t="s">
        <v>441</v>
      </c>
      <c r="DW429" s="27" t="s">
        <v>264</v>
      </c>
      <c r="DX429" s="27" t="s">
        <v>155</v>
      </c>
      <c r="DY429" s="27" t="s">
        <v>162</v>
      </c>
      <c r="DZ429" s="27" t="n">
        <f aca="false">DY429+DV429+DR429+DN429+DJ429+DF429+DB429</f>
        <v>489</v>
      </c>
      <c r="EA429" s="28" t="n">
        <f aca="false">DZ429/7</f>
        <v>69.8571428571429</v>
      </c>
      <c r="EB429" s="27" t="n">
        <f aca="false">RANK(EA429,$EA$2:$EA$881,0)</f>
        <v>658</v>
      </c>
      <c r="EC429" s="29" t="n">
        <f aca="false">DZ429+CQ429+CP429+AZ429</f>
        <v>2469</v>
      </c>
      <c r="ED429" s="30" t="n">
        <f aca="false">(EA429+CV429+BB429)/3</f>
        <v>77.9904761904762</v>
      </c>
      <c r="EE429" s="51" t="n">
        <f aca="false">ROUND(BE429,3)</f>
        <v>86.58</v>
      </c>
      <c r="EF429" s="51" t="n">
        <f aca="false">ROUND(CR429,3)</f>
        <v>92.714</v>
      </c>
      <c r="EG429" s="51" t="n">
        <f aca="false">ROUND(CS429,3)</f>
        <v>76.714</v>
      </c>
      <c r="EH429" s="51" t="n">
        <f aca="false">ROUND(EA429,3)</f>
        <v>69.857</v>
      </c>
      <c r="EI429" s="51" t="n">
        <f aca="false">ROUND(ED429,3)</f>
        <v>77.99</v>
      </c>
      <c r="EJ429" s="51" t="n">
        <f aca="false">ROUND(CV429,3)</f>
        <v>84.714</v>
      </c>
      <c r="EK429" s="0" t="n">
        <f aca="false">RANK(EI429,$EI$2:$EI$881,0)</f>
        <v>428</v>
      </c>
    </row>
    <row r="430" customFormat="false" ht="15" hidden="false" customHeight="false" outlineLevel="0" collapsed="false">
      <c r="A430" s="4" t="n">
        <v>8940</v>
      </c>
      <c r="B430" s="4" t="n">
        <v>102</v>
      </c>
      <c r="C430" s="27" t="s">
        <v>1348</v>
      </c>
      <c r="D430" s="52" t="n">
        <v>102</v>
      </c>
      <c r="E430" s="16" t="n">
        <v>230225984</v>
      </c>
      <c r="F430" s="56" t="s">
        <v>1349</v>
      </c>
      <c r="G430" s="22" t="s">
        <v>1350</v>
      </c>
      <c r="H430" s="22" t="s">
        <v>326</v>
      </c>
      <c r="I430" s="57"/>
      <c r="J430" s="16" t="n">
        <v>96</v>
      </c>
      <c r="K430" s="16" t="n">
        <v>79</v>
      </c>
      <c r="L430" s="34" t="n">
        <f aca="false">(K430*70)/100</f>
        <v>55.3</v>
      </c>
      <c r="M430" s="34" t="n">
        <f aca="false">ROUNDUP(L430,0)</f>
        <v>56</v>
      </c>
      <c r="N430" s="16" t="n">
        <v>28</v>
      </c>
      <c r="O430" s="34" t="n">
        <f aca="false">N430+L430</f>
        <v>83.3</v>
      </c>
      <c r="P430" s="34" t="n">
        <f aca="false">N430+M430</f>
        <v>84</v>
      </c>
      <c r="Q430" s="16" t="n">
        <v>71</v>
      </c>
      <c r="R430" s="16" t="n">
        <v>80</v>
      </c>
      <c r="S430" s="34" t="n">
        <f aca="false">(R430*70)/100</f>
        <v>56</v>
      </c>
      <c r="T430" s="34" t="n">
        <f aca="false">ROUNDUP(S430,0)</f>
        <v>56</v>
      </c>
      <c r="U430" s="16" t="n">
        <v>26</v>
      </c>
      <c r="V430" s="34" t="n">
        <f aca="false">U430+S430</f>
        <v>82</v>
      </c>
      <c r="W430" s="34" t="n">
        <f aca="false">U430+T430</f>
        <v>82</v>
      </c>
      <c r="X430" s="16" t="n">
        <v>74</v>
      </c>
      <c r="Y430" s="34" t="n">
        <f aca="false">(X430*70)/100</f>
        <v>51.8</v>
      </c>
      <c r="Z430" s="34" t="n">
        <f aca="false">ROUNDUP(Y430,0)</f>
        <v>52</v>
      </c>
      <c r="AA430" s="16" t="n">
        <v>25</v>
      </c>
      <c r="AB430" s="34" t="n">
        <f aca="false">AA430+Y430</f>
        <v>76.8</v>
      </c>
      <c r="AC430" s="34" t="n">
        <f aca="false">AA430+Z430</f>
        <v>77</v>
      </c>
      <c r="AD430" s="32" t="n">
        <f aca="false">X430+R430+Q430+K430+J430</f>
        <v>400</v>
      </c>
      <c r="AE430" s="16" t="n">
        <f aca="false">AD430/5</f>
        <v>80</v>
      </c>
      <c r="AF430" s="16" t="n">
        <v>80</v>
      </c>
      <c r="AG430" s="16" t="n">
        <v>97</v>
      </c>
      <c r="AH430" s="16" t="n">
        <v>84</v>
      </c>
      <c r="AI430" s="16" t="n">
        <v>85</v>
      </c>
      <c r="AJ430" s="16" t="n">
        <f aca="false">(AI430*70)/100</f>
        <v>59.5</v>
      </c>
      <c r="AK430" s="35" t="n">
        <f aca="false">ROUNDUP(AJ430,0)</f>
        <v>60</v>
      </c>
      <c r="AL430" s="16" t="n">
        <v>21</v>
      </c>
      <c r="AM430" s="16" t="n">
        <f aca="false">AL430+AJ430</f>
        <v>80.5</v>
      </c>
      <c r="AN430" s="16" t="n">
        <f aca="false">AL430+AK430</f>
        <v>81</v>
      </c>
      <c r="AO430" s="16" t="n">
        <v>59</v>
      </c>
      <c r="AP430" s="36" t="n">
        <f aca="false">(AO430*70)/100</f>
        <v>41.3</v>
      </c>
      <c r="AQ430" s="37" t="n">
        <f aca="false">ROUNDUP(AP430,0)</f>
        <v>42</v>
      </c>
      <c r="AR430" s="16" t="n">
        <v>23</v>
      </c>
      <c r="AS430" s="16" t="n">
        <f aca="false">AR430+AP430</f>
        <v>64.3</v>
      </c>
      <c r="AT430" s="16" t="n">
        <f aca="false">AR430+AQ430</f>
        <v>65</v>
      </c>
      <c r="AU430" s="16" t="n">
        <f aca="false">AO430+AF430+AI430+AH430+AG430</f>
        <v>405</v>
      </c>
      <c r="AV430" s="16" t="n">
        <f aca="false">(AO430+AF430+AI430+AH430+AG430)/5</f>
        <v>81</v>
      </c>
      <c r="AW430" s="36" t="n">
        <f aca="false">(AO430+AF430+AI430+AH430+AG430+X430+R430+Q430+K430+J430)</f>
        <v>805</v>
      </c>
      <c r="AX430" s="16" t="n">
        <f aca="false">AW430/10</f>
        <v>80.5</v>
      </c>
      <c r="AY430" s="16" t="n">
        <f aca="false">AS430+AF430+AM430+AH430+AG430+AB430+V430+Q430+O430+J430</f>
        <v>814.9</v>
      </c>
      <c r="AZ430" s="16" t="n">
        <f aca="false">AT430+AF430+AN430+AH430+AG430+AC430+W430+Q430+P430+J430</f>
        <v>817</v>
      </c>
      <c r="BA430" s="16" t="n">
        <f aca="false">AY430/10</f>
        <v>81.49</v>
      </c>
      <c r="BB430" s="16" t="n">
        <f aca="false">AZ430/10</f>
        <v>81.7</v>
      </c>
      <c r="BC430" s="16" t="n">
        <v>2366</v>
      </c>
      <c r="BD430" s="16" t="n">
        <f aca="false">RANK(AX430,$AX$2:$AX$881,0)</f>
        <v>234</v>
      </c>
      <c r="BE430" s="54" t="n">
        <f aca="false">((BC430*100)/2400)*0.4+(AX430*0.6)</f>
        <v>87.7333333333333</v>
      </c>
      <c r="BF430" s="16" t="n">
        <f aca="false">RANK(BE430,$BE$2:$BE$881,0)</f>
        <v>227</v>
      </c>
      <c r="BG430" s="39" t="n">
        <f aca="false">RANK(BB430,$BB$2:$BB$881,0)</f>
        <v>229</v>
      </c>
      <c r="BH430" s="39" t="n">
        <f aca="false">RANK(BC430,$BC$2:$BC$881,0)</f>
        <v>319</v>
      </c>
      <c r="BI430" s="22" t="s">
        <v>130</v>
      </c>
      <c r="BJ430" s="22" t="s">
        <v>129</v>
      </c>
      <c r="BK430" s="40" t="s">
        <v>131</v>
      </c>
      <c r="BL430" s="41" t="n">
        <v>19</v>
      </c>
      <c r="BM430" s="41" t="n">
        <v>49</v>
      </c>
      <c r="BN430" s="41" t="n">
        <v>68</v>
      </c>
      <c r="BO430" s="42" t="n">
        <v>20</v>
      </c>
      <c r="BP430" s="43" t="n">
        <v>47</v>
      </c>
      <c r="BQ430" s="44" t="n">
        <v>67</v>
      </c>
      <c r="BR430" s="42" t="n">
        <v>21</v>
      </c>
      <c r="BS430" s="45" t="n">
        <v>52</v>
      </c>
      <c r="BT430" s="45" t="n">
        <v>73</v>
      </c>
      <c r="BU430" s="46" t="n">
        <v>86</v>
      </c>
      <c r="BV430" s="47" t="n">
        <v>80</v>
      </c>
      <c r="BW430" s="42" t="n">
        <v>85</v>
      </c>
      <c r="BX430" s="48" t="n">
        <v>86</v>
      </c>
      <c r="BY430" s="32" t="n">
        <v>24</v>
      </c>
      <c r="BZ430" s="32" t="n">
        <v>23</v>
      </c>
      <c r="CA430" s="69" t="n">
        <v>47</v>
      </c>
      <c r="CB430" s="32" t="n">
        <v>19</v>
      </c>
      <c r="CC430" s="32" t="n">
        <v>34</v>
      </c>
      <c r="CD430" s="69" t="n">
        <v>53</v>
      </c>
      <c r="CE430" s="32" t="n">
        <v>21</v>
      </c>
      <c r="CF430" s="32" t="n">
        <v>34</v>
      </c>
      <c r="CG430" s="69" t="n">
        <v>55</v>
      </c>
      <c r="CH430" s="32" t="n">
        <v>95</v>
      </c>
      <c r="CI430" s="32" t="n">
        <v>98</v>
      </c>
      <c r="CJ430" s="49" t="n">
        <v>24</v>
      </c>
      <c r="CK430" s="49" t="n">
        <v>46</v>
      </c>
      <c r="CL430" s="49" t="n">
        <v>70</v>
      </c>
      <c r="CM430" s="49" t="n">
        <v>17</v>
      </c>
      <c r="CN430" s="49" t="n">
        <v>56</v>
      </c>
      <c r="CO430" s="49" t="n">
        <v>73</v>
      </c>
      <c r="CP430" s="25" t="n">
        <f aca="false">BX430+BW430+BV430+BU430+BT430+BQ430+BN430</f>
        <v>545</v>
      </c>
      <c r="CQ430" s="25" t="n">
        <f aca="false">CO430+CL430+CI430+CH430+CG430+CD430+CA430</f>
        <v>491</v>
      </c>
      <c r="CR430" s="26" t="n">
        <f aca="false">CP430/7</f>
        <v>77.8571428571429</v>
      </c>
      <c r="CS430" s="26" t="n">
        <f aca="false">CQ430/7</f>
        <v>70.1428571428571</v>
      </c>
      <c r="CT430" s="24" t="n">
        <f aca="false">RANK(CR430,$CR$2:$CR$881,0)</f>
        <v>613</v>
      </c>
      <c r="CU430" s="25" t="n">
        <f aca="false">RANK(CS430,$CS$2:$CS$881,0)</f>
        <v>552</v>
      </c>
      <c r="CV430" s="26" t="n">
        <f aca="false">(CS430+CR430)/2</f>
        <v>74</v>
      </c>
      <c r="CW430" s="25" t="n">
        <f aca="false">RANK(CV430,$CV$2:$CV$881,0)</f>
        <v>584</v>
      </c>
      <c r="CX430" s="50" t="n">
        <f aca="false">(CV430+BB430)/2</f>
        <v>77.85</v>
      </c>
      <c r="CY430" s="50" t="n">
        <v>474</v>
      </c>
      <c r="CZ430" s="27" t="s">
        <v>132</v>
      </c>
      <c r="DA430" s="27" t="s">
        <v>133</v>
      </c>
      <c r="DB430" s="27" t="s">
        <v>133</v>
      </c>
      <c r="DC430" s="27" t="s">
        <v>134</v>
      </c>
      <c r="DD430" s="27" t="s">
        <v>135</v>
      </c>
      <c r="DE430" s="27" t="s">
        <v>306</v>
      </c>
      <c r="DF430" s="27" t="s">
        <v>219</v>
      </c>
      <c r="DG430" s="27" t="s">
        <v>134</v>
      </c>
      <c r="DH430" s="27" t="s">
        <v>137</v>
      </c>
      <c r="DI430" s="27" t="s">
        <v>204</v>
      </c>
      <c r="DJ430" s="27" t="s">
        <v>175</v>
      </c>
      <c r="DK430" s="27" t="s">
        <v>134</v>
      </c>
      <c r="DL430" s="27" t="s">
        <v>164</v>
      </c>
      <c r="DM430" s="27" t="s">
        <v>313</v>
      </c>
      <c r="DN430" s="27" t="s">
        <v>272</v>
      </c>
      <c r="DO430" s="27" t="s">
        <v>134</v>
      </c>
      <c r="DP430" s="27" t="s">
        <v>706</v>
      </c>
      <c r="DQ430" s="27" t="s">
        <v>412</v>
      </c>
      <c r="DR430" s="27" t="s">
        <v>187</v>
      </c>
      <c r="DS430" s="27" t="s">
        <v>134</v>
      </c>
      <c r="DT430" s="27" t="s">
        <v>137</v>
      </c>
      <c r="DU430" s="27" t="s">
        <v>140</v>
      </c>
      <c r="DV430" s="27" t="s">
        <v>306</v>
      </c>
      <c r="DW430" s="27" t="s">
        <v>140</v>
      </c>
      <c r="DX430" s="27" t="s">
        <v>163</v>
      </c>
      <c r="DY430" s="27" t="s">
        <v>156</v>
      </c>
      <c r="DZ430" s="27" t="n">
        <f aca="false">DY430+DV430+DR430+DN430+DJ430+DF430+DB430</f>
        <v>547</v>
      </c>
      <c r="EA430" s="28" t="n">
        <f aca="false">DZ430/7</f>
        <v>78.1428571428571</v>
      </c>
      <c r="EB430" s="27" t="n">
        <f aca="false">RANK(EA430,$EA$2:$EA$881,0)</f>
        <v>453</v>
      </c>
      <c r="EC430" s="29" t="n">
        <f aca="false">DZ430+CQ430+CP430+AZ430</f>
        <v>2400</v>
      </c>
      <c r="ED430" s="30" t="n">
        <f aca="false">(EA430+CV430+BB430)/3</f>
        <v>77.9476190476191</v>
      </c>
      <c r="EE430" s="51" t="n">
        <f aca="false">ROUND(BE430,3)</f>
        <v>87.733</v>
      </c>
      <c r="EF430" s="51" t="n">
        <f aca="false">ROUND(CR430,3)</f>
        <v>77.857</v>
      </c>
      <c r="EG430" s="51" t="n">
        <f aca="false">ROUND(CS430,3)</f>
        <v>70.143</v>
      </c>
      <c r="EH430" s="51" t="n">
        <f aca="false">ROUND(EA430,3)</f>
        <v>78.143</v>
      </c>
      <c r="EI430" s="51" t="n">
        <f aca="false">ROUND(ED430,3)</f>
        <v>77.948</v>
      </c>
      <c r="EJ430" s="51" t="n">
        <f aca="false">ROUND(CV430,3)</f>
        <v>74</v>
      </c>
      <c r="EK430" s="0" t="n">
        <f aca="false">RANK(EI430,$EI$2:$EI$881,0)</f>
        <v>429</v>
      </c>
    </row>
    <row r="431" customFormat="false" ht="15" hidden="false" customHeight="false" outlineLevel="0" collapsed="false">
      <c r="A431" s="4" t="n">
        <v>2099</v>
      </c>
      <c r="B431" s="4" t="n">
        <v>64</v>
      </c>
      <c r="C431" s="27" t="s">
        <v>1351</v>
      </c>
      <c r="D431" s="52" t="n">
        <v>67</v>
      </c>
      <c r="E431" s="16" t="n">
        <v>234300144</v>
      </c>
      <c r="F431" s="56" t="s">
        <v>1352</v>
      </c>
      <c r="G431" s="22" t="s">
        <v>1353</v>
      </c>
      <c r="H431" s="22" t="s">
        <v>271</v>
      </c>
      <c r="I431" s="57"/>
      <c r="J431" s="71" t="n">
        <v>56</v>
      </c>
      <c r="K431" s="16" t="n">
        <v>82</v>
      </c>
      <c r="L431" s="34" t="n">
        <f aca="false">(K431*70)/100</f>
        <v>57.4</v>
      </c>
      <c r="M431" s="34" t="n">
        <f aca="false">ROUNDUP(L431,0)</f>
        <v>58</v>
      </c>
      <c r="N431" s="16" t="n">
        <v>28</v>
      </c>
      <c r="O431" s="34" t="n">
        <f aca="false">N431+L431</f>
        <v>85.4</v>
      </c>
      <c r="P431" s="34" t="n">
        <f aca="false">N431+M431</f>
        <v>86</v>
      </c>
      <c r="Q431" s="16" t="n">
        <v>67</v>
      </c>
      <c r="R431" s="16" t="n">
        <v>68</v>
      </c>
      <c r="S431" s="34" t="n">
        <f aca="false">(R431*70)/100</f>
        <v>47.6</v>
      </c>
      <c r="T431" s="34" t="n">
        <f aca="false">ROUNDUP(S431,0)</f>
        <v>48</v>
      </c>
      <c r="U431" s="16" t="n">
        <v>22</v>
      </c>
      <c r="V431" s="34" t="n">
        <f aca="false">U431+S431</f>
        <v>69.6</v>
      </c>
      <c r="W431" s="34" t="n">
        <f aca="false">U431+T431</f>
        <v>70</v>
      </c>
      <c r="X431" s="16" t="n">
        <v>59</v>
      </c>
      <c r="Y431" s="34" t="n">
        <f aca="false">(X431*70)/100</f>
        <v>41.3</v>
      </c>
      <c r="Z431" s="34" t="n">
        <f aca="false">ROUNDUP(Y431,0)</f>
        <v>42</v>
      </c>
      <c r="AA431" s="16" t="n">
        <v>28</v>
      </c>
      <c r="AB431" s="34" t="n">
        <f aca="false">AA431+Y431</f>
        <v>69.3</v>
      </c>
      <c r="AC431" s="34" t="n">
        <f aca="false">AA431+Z431</f>
        <v>70</v>
      </c>
      <c r="AD431" s="32" t="n">
        <f aca="false">X431+R431+Q431+K431+J431</f>
        <v>332</v>
      </c>
      <c r="AE431" s="16" t="n">
        <f aca="false">AD431/5</f>
        <v>66.4</v>
      </c>
      <c r="AF431" s="16" t="n">
        <v>65</v>
      </c>
      <c r="AG431" s="71" t="n">
        <v>59</v>
      </c>
      <c r="AH431" s="16" t="n">
        <v>71</v>
      </c>
      <c r="AI431" s="16" t="n">
        <v>71</v>
      </c>
      <c r="AJ431" s="16" t="n">
        <f aca="false">(AI431*70)/100</f>
        <v>49.7</v>
      </c>
      <c r="AK431" s="35" t="n">
        <f aca="false">ROUNDUP(AJ431,0)</f>
        <v>50</v>
      </c>
      <c r="AL431" s="16" t="n">
        <v>28</v>
      </c>
      <c r="AM431" s="16" t="n">
        <f aca="false">AL431+AJ431</f>
        <v>77.7</v>
      </c>
      <c r="AN431" s="16" t="n">
        <f aca="false">AL431+AK431</f>
        <v>78</v>
      </c>
      <c r="AO431" s="16" t="n">
        <v>61</v>
      </c>
      <c r="AP431" s="36" t="n">
        <f aca="false">(AO431*70)/100</f>
        <v>42.7</v>
      </c>
      <c r="AQ431" s="37" t="n">
        <f aca="false">ROUNDUP(AP431,0)</f>
        <v>43</v>
      </c>
      <c r="AR431" s="16" t="n">
        <v>23</v>
      </c>
      <c r="AS431" s="16" t="n">
        <f aca="false">AR431+AP431</f>
        <v>65.7</v>
      </c>
      <c r="AT431" s="16" t="n">
        <f aca="false">AR431+AQ431</f>
        <v>66</v>
      </c>
      <c r="AU431" s="16" t="n">
        <f aca="false">AO431+AF431+AI431+AH431+AG431</f>
        <v>327</v>
      </c>
      <c r="AV431" s="16" t="n">
        <f aca="false">(AO431+AF431+AI431+AH431+AG431)/5</f>
        <v>65.4</v>
      </c>
      <c r="AW431" s="36" t="n">
        <f aca="false">(AO431+AF431+AI431+AH431+AG431+X431+R431+Q431+K431+J431)</f>
        <v>659</v>
      </c>
      <c r="AX431" s="16" t="n">
        <f aca="false">AW431/10</f>
        <v>65.9</v>
      </c>
      <c r="AY431" s="16" t="n">
        <f aca="false">AS431+AF431+AM431+AH431+AG431+AB431+V431+Q431+O431+J431</f>
        <v>685.7</v>
      </c>
      <c r="AZ431" s="16" t="n">
        <f aca="false">AT431+AF431+AN431+AH431+AG431+AC431+W431+Q431+P431+J431</f>
        <v>688</v>
      </c>
      <c r="BA431" s="16" t="n">
        <f aca="false">AY431/10</f>
        <v>68.57</v>
      </c>
      <c r="BB431" s="16" t="n">
        <f aca="false">AZ431/10</f>
        <v>68.8</v>
      </c>
      <c r="BC431" s="72" t="n">
        <v>0</v>
      </c>
      <c r="BD431" s="16" t="n">
        <f aca="false">RANK(AX431,$AX$2:$AX$881,0)</f>
        <v>757</v>
      </c>
      <c r="BE431" s="78" t="n">
        <f aca="false">AX431</f>
        <v>65.9</v>
      </c>
      <c r="BF431" s="16" t="n">
        <f aca="false">RANK(BE431,$BE$2:$BE$881,0)</f>
        <v>797</v>
      </c>
      <c r="BG431" s="39" t="n">
        <f aca="false">RANK(BB431,$BB$2:$BB$881,0)</f>
        <v>751</v>
      </c>
      <c r="BH431" s="39" t="n">
        <f aca="false">RANK(BC431,$BC$2:$BC$881,0)</f>
        <v>780</v>
      </c>
      <c r="BI431" s="22" t="s">
        <v>130</v>
      </c>
      <c r="BJ431" s="22" t="s">
        <v>129</v>
      </c>
      <c r="BK431" s="22" t="s">
        <v>526</v>
      </c>
      <c r="BL431" s="41" t="n">
        <v>15</v>
      </c>
      <c r="BM431" s="41" t="n">
        <v>52</v>
      </c>
      <c r="BN431" s="41" t="n">
        <v>67</v>
      </c>
      <c r="BO431" s="42" t="n">
        <v>25</v>
      </c>
      <c r="BP431" s="43" t="n">
        <v>52</v>
      </c>
      <c r="BQ431" s="44" t="n">
        <v>77</v>
      </c>
      <c r="BR431" s="42" t="n">
        <v>24</v>
      </c>
      <c r="BS431" s="45" t="n">
        <v>58</v>
      </c>
      <c r="BT431" s="45" t="n">
        <v>82</v>
      </c>
      <c r="BU431" s="46" t="n">
        <v>99</v>
      </c>
      <c r="BV431" s="47" t="n">
        <v>70</v>
      </c>
      <c r="BW431" s="42" t="n">
        <v>86</v>
      </c>
      <c r="BX431" s="48" t="n">
        <v>94</v>
      </c>
      <c r="BY431" s="32" t="n">
        <v>27</v>
      </c>
      <c r="BZ431" s="32" t="n">
        <v>54</v>
      </c>
      <c r="CA431" s="32" t="n">
        <v>81</v>
      </c>
      <c r="CB431" s="32" t="n">
        <v>22</v>
      </c>
      <c r="CC431" s="32" t="n">
        <v>37</v>
      </c>
      <c r="CD431" s="69" t="n">
        <v>59</v>
      </c>
      <c r="CE431" s="32" t="n">
        <v>22</v>
      </c>
      <c r="CF431" s="32" t="n">
        <v>56</v>
      </c>
      <c r="CG431" s="32" t="n">
        <v>78</v>
      </c>
      <c r="CH431" s="32" t="n">
        <v>99</v>
      </c>
      <c r="CI431" s="32" t="n">
        <v>88</v>
      </c>
      <c r="CJ431" s="49" t="n">
        <v>26</v>
      </c>
      <c r="CK431" s="49" t="n">
        <v>46</v>
      </c>
      <c r="CL431" s="49" t="n">
        <v>72</v>
      </c>
      <c r="CM431" s="49" t="n">
        <v>27</v>
      </c>
      <c r="CN431" s="49" t="n">
        <v>55</v>
      </c>
      <c r="CO431" s="49" t="n">
        <v>82</v>
      </c>
      <c r="CP431" s="25" t="n">
        <f aca="false">BX431+BW431+BV431+BU431+BT431+BQ431+BN431</f>
        <v>575</v>
      </c>
      <c r="CQ431" s="25" t="n">
        <f aca="false">CO431+CL431+CI431+CH431+CG431+CD431+CA431</f>
        <v>559</v>
      </c>
      <c r="CR431" s="26" t="n">
        <f aca="false">CP431/7</f>
        <v>82.1428571428571</v>
      </c>
      <c r="CS431" s="26" t="n">
        <f aca="false">CQ431/7</f>
        <v>79.8571428571429</v>
      </c>
      <c r="CT431" s="24" t="n">
        <f aca="false">RANK(CR431,$CR$2:$CR$881,0)</f>
        <v>536</v>
      </c>
      <c r="CU431" s="25" t="n">
        <f aca="false">RANK(CS431,$CS$2:$CS$881,0)</f>
        <v>270</v>
      </c>
      <c r="CV431" s="26" t="n">
        <f aca="false">(CS431+CR431)/2</f>
        <v>81</v>
      </c>
      <c r="CW431" s="25" t="n">
        <f aca="false">RANK(CV431,$CV$2:$CV$881,0)</f>
        <v>381</v>
      </c>
      <c r="CX431" s="50" t="n">
        <f aca="false">(CV431+BB431)/2</f>
        <v>74.9</v>
      </c>
      <c r="CY431" s="50" t="n">
        <v>558</v>
      </c>
      <c r="CZ431" s="27" t="s">
        <v>132</v>
      </c>
      <c r="DA431" s="27" t="s">
        <v>176</v>
      </c>
      <c r="DB431" s="27" t="s">
        <v>176</v>
      </c>
      <c r="DC431" s="27" t="s">
        <v>134</v>
      </c>
      <c r="DD431" s="27" t="s">
        <v>164</v>
      </c>
      <c r="DE431" s="27" t="s">
        <v>304</v>
      </c>
      <c r="DF431" s="27" t="s">
        <v>196</v>
      </c>
      <c r="DG431" s="27" t="s">
        <v>134</v>
      </c>
      <c r="DH431" s="27" t="s">
        <v>137</v>
      </c>
      <c r="DI431" s="27" t="s">
        <v>220</v>
      </c>
      <c r="DJ431" s="27" t="s">
        <v>205</v>
      </c>
      <c r="DK431" s="27" t="s">
        <v>134</v>
      </c>
      <c r="DL431" s="27" t="s">
        <v>164</v>
      </c>
      <c r="DM431" s="27" t="s">
        <v>152</v>
      </c>
      <c r="DN431" s="27" t="s">
        <v>170</v>
      </c>
      <c r="DO431" s="27" t="s">
        <v>134</v>
      </c>
      <c r="DP431" s="27" t="s">
        <v>264</v>
      </c>
      <c r="DQ431" s="27" t="s">
        <v>399</v>
      </c>
      <c r="DR431" s="27" t="s">
        <v>141</v>
      </c>
      <c r="DS431" s="27" t="s">
        <v>134</v>
      </c>
      <c r="DT431" s="27" t="s">
        <v>140</v>
      </c>
      <c r="DU431" s="27" t="s">
        <v>313</v>
      </c>
      <c r="DV431" s="27" t="s">
        <v>196</v>
      </c>
      <c r="DW431" s="27" t="s">
        <v>135</v>
      </c>
      <c r="DX431" s="27" t="s">
        <v>138</v>
      </c>
      <c r="DY431" s="27" t="s">
        <v>156</v>
      </c>
      <c r="DZ431" s="27" t="n">
        <f aca="false">DY431+DV431+DR431+DN431+DJ431+DF431+DB431</f>
        <v>588</v>
      </c>
      <c r="EA431" s="28" t="n">
        <f aca="false">DZ431/7</f>
        <v>84</v>
      </c>
      <c r="EB431" s="27" t="n">
        <f aca="false">RANK(EA431,$EA$2:$EA$881,0)</f>
        <v>223</v>
      </c>
      <c r="EC431" s="29" t="n">
        <f aca="false">DZ431+CQ431+CP431+AZ431</f>
        <v>2410</v>
      </c>
      <c r="ED431" s="30" t="n">
        <f aca="false">(EA431+CV431+BB431)/3</f>
        <v>77.9333333333333</v>
      </c>
      <c r="EE431" s="51" t="n">
        <f aca="false">ROUND(BE431,3)</f>
        <v>65.9</v>
      </c>
      <c r="EF431" s="51" t="n">
        <f aca="false">ROUND(CR431,3)</f>
        <v>82.143</v>
      </c>
      <c r="EG431" s="51" t="n">
        <f aca="false">ROUND(CS431,3)</f>
        <v>79.857</v>
      </c>
      <c r="EH431" s="51" t="n">
        <f aca="false">ROUND(EA431,3)</f>
        <v>84</v>
      </c>
      <c r="EI431" s="51" t="n">
        <f aca="false">ROUND(ED431,3)</f>
        <v>77.933</v>
      </c>
      <c r="EJ431" s="51" t="n">
        <f aca="false">ROUND(CV431,3)</f>
        <v>81</v>
      </c>
      <c r="EK431" s="0" t="n">
        <f aca="false">RANK(EI431,$EI$2:$EI$881,0)</f>
        <v>430</v>
      </c>
    </row>
    <row r="432" customFormat="false" ht="16.85" hidden="false" customHeight="false" outlineLevel="0" collapsed="false">
      <c r="A432" s="4" t="n">
        <v>8856</v>
      </c>
      <c r="B432" s="4" t="n">
        <v>17</v>
      </c>
      <c r="C432" s="27" t="s">
        <v>1354</v>
      </c>
      <c r="D432" s="52" t="n">
        <v>19</v>
      </c>
      <c r="E432" s="32" t="n">
        <v>230311231</v>
      </c>
      <c r="F432" s="8" t="s">
        <v>1355</v>
      </c>
      <c r="G432" s="22" t="s">
        <v>532</v>
      </c>
      <c r="H432" s="22" t="s">
        <v>129</v>
      </c>
      <c r="I432" s="33" t="n">
        <v>2006</v>
      </c>
      <c r="J432" s="32" t="n">
        <v>68</v>
      </c>
      <c r="K432" s="32" t="n">
        <v>81</v>
      </c>
      <c r="L432" s="34" t="n">
        <f aca="false">(K432*70)/100</f>
        <v>56.7</v>
      </c>
      <c r="M432" s="34" t="n">
        <f aca="false">ROUNDUP(L432,0)</f>
        <v>57</v>
      </c>
      <c r="N432" s="32" t="n">
        <v>28</v>
      </c>
      <c r="O432" s="34" t="n">
        <f aca="false">N432+L432</f>
        <v>84.7</v>
      </c>
      <c r="P432" s="34" t="n">
        <f aca="false">N432+M432</f>
        <v>85</v>
      </c>
      <c r="Q432" s="32" t="n">
        <v>68</v>
      </c>
      <c r="R432" s="32" t="n">
        <v>78</v>
      </c>
      <c r="S432" s="34" t="n">
        <f aca="false">(R432*70)/100</f>
        <v>54.6</v>
      </c>
      <c r="T432" s="34" t="n">
        <f aca="false">ROUNDUP(S432,0)</f>
        <v>55</v>
      </c>
      <c r="U432" s="32" t="n">
        <v>27</v>
      </c>
      <c r="V432" s="34" t="n">
        <f aca="false">U432+S432</f>
        <v>81.6</v>
      </c>
      <c r="W432" s="34" t="n">
        <f aca="false">U432+T432</f>
        <v>82</v>
      </c>
      <c r="X432" s="32" t="n">
        <v>71</v>
      </c>
      <c r="Y432" s="34" t="n">
        <f aca="false">(X432*70)/100</f>
        <v>49.7</v>
      </c>
      <c r="Z432" s="34" t="n">
        <f aca="false">ROUNDUP(Y432,0)</f>
        <v>50</v>
      </c>
      <c r="AA432" s="32" t="n">
        <v>26</v>
      </c>
      <c r="AB432" s="34" t="n">
        <f aca="false">AA432+Y432</f>
        <v>75.7</v>
      </c>
      <c r="AC432" s="34" t="n">
        <f aca="false">AA432+Z432</f>
        <v>76</v>
      </c>
      <c r="AD432" s="32" t="n">
        <f aca="false">X432+R432+Q432+K432+J432</f>
        <v>366</v>
      </c>
      <c r="AE432" s="16" t="n">
        <f aca="false">AD432/5</f>
        <v>73.2</v>
      </c>
      <c r="AF432" s="16" t="n">
        <v>86</v>
      </c>
      <c r="AG432" s="16" t="n">
        <v>69</v>
      </c>
      <c r="AH432" s="16" t="n">
        <v>89</v>
      </c>
      <c r="AI432" s="16" t="n">
        <v>94</v>
      </c>
      <c r="AJ432" s="16" t="n">
        <f aca="false">(AI432*70)/100</f>
        <v>65.8</v>
      </c>
      <c r="AK432" s="35" t="n">
        <f aca="false">ROUNDUP(AJ432,0)</f>
        <v>66</v>
      </c>
      <c r="AL432" s="16" t="n">
        <v>24</v>
      </c>
      <c r="AM432" s="16" t="n">
        <f aca="false">AL432+AJ432</f>
        <v>89.8</v>
      </c>
      <c r="AN432" s="16" t="n">
        <f aca="false">AL432+AK432</f>
        <v>90</v>
      </c>
      <c r="AO432" s="16" t="n">
        <v>83</v>
      </c>
      <c r="AP432" s="36" t="n">
        <f aca="false">(AO432*70)/100</f>
        <v>58.1</v>
      </c>
      <c r="AQ432" s="37" t="n">
        <f aca="false">ROUNDUP(AP432,0)</f>
        <v>59</v>
      </c>
      <c r="AR432" s="16" t="n">
        <v>30</v>
      </c>
      <c r="AS432" s="16" t="n">
        <f aca="false">AR432+AP432</f>
        <v>88.1</v>
      </c>
      <c r="AT432" s="16" t="n">
        <f aca="false">AR432+AQ432</f>
        <v>89</v>
      </c>
      <c r="AU432" s="16" t="n">
        <f aca="false">AO432+AF432+AI432+AH432+AG432</f>
        <v>421</v>
      </c>
      <c r="AV432" s="16" t="n">
        <f aca="false">(AO432+AF432+AI432+AH432+AG432)/5</f>
        <v>84.2</v>
      </c>
      <c r="AW432" s="36" t="n">
        <f aca="false">(AO432+AF432+AI432+AH432+AG432+X432+R432+Q432+K432+J432)</f>
        <v>787</v>
      </c>
      <c r="AX432" s="16" t="n">
        <f aca="false">AW432/10</f>
        <v>78.7</v>
      </c>
      <c r="AY432" s="16" t="n">
        <f aca="false">AS432+AF432+AM432+AH432+AG432+AB432+V432+Q432+O432+J432</f>
        <v>799.9</v>
      </c>
      <c r="AZ432" s="16" t="n">
        <f aca="false">AT432+AF432+AN432+AH432+AG432+AC432+W432+Q432+P432+J432</f>
        <v>802</v>
      </c>
      <c r="BA432" s="16" t="n">
        <f aca="false">AY432/10</f>
        <v>79.99</v>
      </c>
      <c r="BB432" s="16" t="n">
        <f aca="false">AZ432/10</f>
        <v>80.2</v>
      </c>
      <c r="BC432" s="16" t="n">
        <v>2387</v>
      </c>
      <c r="BD432" s="16" t="n">
        <f aca="false">RANK(AX432,$AX$2:$AX$881,0)</f>
        <v>358</v>
      </c>
      <c r="BE432" s="54" t="n">
        <f aca="false">((BC432*100)/2400)*0.4+(AX432*0.6)</f>
        <v>87.0033333333333</v>
      </c>
      <c r="BF432" s="16" t="n">
        <f aca="false">RANK(BE432,$BE$2:$BE$881,0)</f>
        <v>295</v>
      </c>
      <c r="BG432" s="39" t="n">
        <f aca="false">RANK(BB432,$BB$2:$BB$881,0)</f>
        <v>338</v>
      </c>
      <c r="BH432" s="39" t="n">
        <f aca="false">RANK(BC432,$BC$2:$BC$881,0)</f>
        <v>76</v>
      </c>
      <c r="BI432" s="22" t="s">
        <v>130</v>
      </c>
      <c r="BJ432" s="22" t="s">
        <v>129</v>
      </c>
      <c r="BK432" s="40" t="s">
        <v>131</v>
      </c>
      <c r="BL432" s="41" t="n">
        <v>20</v>
      </c>
      <c r="BM432" s="41" t="n">
        <v>59</v>
      </c>
      <c r="BN432" s="41" t="n">
        <v>79</v>
      </c>
      <c r="BO432" s="42" t="n">
        <v>28</v>
      </c>
      <c r="BP432" s="43" t="n">
        <v>62</v>
      </c>
      <c r="BQ432" s="44" t="n">
        <v>90</v>
      </c>
      <c r="BR432" s="42" t="n">
        <v>26</v>
      </c>
      <c r="BS432" s="45" t="n">
        <v>64</v>
      </c>
      <c r="BT432" s="45" t="n">
        <v>90</v>
      </c>
      <c r="BU432" s="46" t="n">
        <v>100</v>
      </c>
      <c r="BV432" s="47" t="n">
        <v>78</v>
      </c>
      <c r="BW432" s="42" t="n">
        <v>98</v>
      </c>
      <c r="BX432" s="48" t="n">
        <v>82</v>
      </c>
      <c r="BY432" s="32" t="n">
        <v>28</v>
      </c>
      <c r="BZ432" s="32" t="n">
        <v>54</v>
      </c>
      <c r="CA432" s="32" t="n">
        <v>82</v>
      </c>
      <c r="CB432" s="32" t="n">
        <v>25</v>
      </c>
      <c r="CC432" s="32" t="n">
        <v>41</v>
      </c>
      <c r="CD432" s="32" t="n">
        <v>66</v>
      </c>
      <c r="CE432" s="32" t="n">
        <v>26</v>
      </c>
      <c r="CF432" s="32" t="n">
        <v>50</v>
      </c>
      <c r="CG432" s="32" t="n">
        <v>76</v>
      </c>
      <c r="CH432" s="32" t="n">
        <v>88</v>
      </c>
      <c r="CI432" s="32" t="n">
        <v>88</v>
      </c>
      <c r="CJ432" s="49" t="n">
        <v>25</v>
      </c>
      <c r="CK432" s="49" t="n">
        <v>48</v>
      </c>
      <c r="CL432" s="49" t="n">
        <v>73</v>
      </c>
      <c r="CM432" s="49" t="n">
        <v>27</v>
      </c>
      <c r="CN432" s="49" t="n">
        <v>47</v>
      </c>
      <c r="CO432" s="49" t="n">
        <v>74</v>
      </c>
      <c r="CP432" s="25" t="n">
        <f aca="false">BX432+BW432+BV432+BU432+BT432+BQ432+BN432</f>
        <v>617</v>
      </c>
      <c r="CQ432" s="25" t="n">
        <f aca="false">CO432+CL432+CI432+CH432+CG432+CD432+CA432</f>
        <v>547</v>
      </c>
      <c r="CR432" s="26" t="n">
        <f aca="false">CP432/7</f>
        <v>88.1428571428571</v>
      </c>
      <c r="CS432" s="26" t="n">
        <f aca="false">CQ432/7</f>
        <v>78.1428571428571</v>
      </c>
      <c r="CT432" s="24" t="n">
        <f aca="false">RANK(CR432,$CR$2:$CR$881,0)</f>
        <v>297</v>
      </c>
      <c r="CU432" s="25" t="n">
        <f aca="false">RANK(CS432,$CS$2:$CS$881,0)</f>
        <v>327</v>
      </c>
      <c r="CV432" s="26" t="n">
        <f aca="false">(CS432+CR432)/2</f>
        <v>83.1428571428571</v>
      </c>
      <c r="CW432" s="25" t="n">
        <f aca="false">RANK(CV432,$CV$2:$CV$881,0)</f>
        <v>289</v>
      </c>
      <c r="CX432" s="50" t="n">
        <f aca="false">(CV432+BB432)/2</f>
        <v>81.6714285714286</v>
      </c>
      <c r="CY432" s="50" t="n">
        <v>284</v>
      </c>
      <c r="CZ432" s="27" t="s">
        <v>132</v>
      </c>
      <c r="DA432" s="27" t="s">
        <v>443</v>
      </c>
      <c r="DB432" s="27" t="s">
        <v>443</v>
      </c>
      <c r="DC432" s="27" t="s">
        <v>134</v>
      </c>
      <c r="DD432" s="27" t="s">
        <v>182</v>
      </c>
      <c r="DE432" s="27" t="s">
        <v>447</v>
      </c>
      <c r="DF432" s="27" t="s">
        <v>382</v>
      </c>
      <c r="DG432" s="27" t="s">
        <v>134</v>
      </c>
      <c r="DH432" s="27" t="s">
        <v>174</v>
      </c>
      <c r="DI432" s="27" t="s">
        <v>399</v>
      </c>
      <c r="DJ432" s="27" t="s">
        <v>155</v>
      </c>
      <c r="DK432" s="27" t="s">
        <v>134</v>
      </c>
      <c r="DL432" s="27" t="s">
        <v>182</v>
      </c>
      <c r="DM432" s="27" t="s">
        <v>399</v>
      </c>
      <c r="DN432" s="27" t="s">
        <v>398</v>
      </c>
      <c r="DO432" s="27" t="s">
        <v>134</v>
      </c>
      <c r="DP432" s="27" t="s">
        <v>706</v>
      </c>
      <c r="DQ432" s="27" t="s">
        <v>906</v>
      </c>
      <c r="DR432" s="27" t="s">
        <v>447</v>
      </c>
      <c r="DS432" s="27" t="s">
        <v>480</v>
      </c>
      <c r="DT432" s="27" t="s">
        <v>137</v>
      </c>
      <c r="DU432" s="27" t="s">
        <v>481</v>
      </c>
      <c r="DV432" s="27" t="s">
        <v>136</v>
      </c>
      <c r="DW432" s="27" t="s">
        <v>135</v>
      </c>
      <c r="DX432" s="27" t="s">
        <v>218</v>
      </c>
      <c r="DY432" s="27" t="s">
        <v>205</v>
      </c>
      <c r="DZ432" s="27" t="n">
        <f aca="false">DY432+DV432+DR432+DN432+DJ432+DF432+DB432</f>
        <v>493</v>
      </c>
      <c r="EA432" s="28" t="n">
        <f aca="false">DZ432/7</f>
        <v>70.4285714285714</v>
      </c>
      <c r="EB432" s="27" t="n">
        <f aca="false">RANK(EA432,$EA$2:$EA$881,0)</f>
        <v>647</v>
      </c>
      <c r="EC432" s="29" t="n">
        <f aca="false">DZ432+CQ432+CP432+AZ432</f>
        <v>2459</v>
      </c>
      <c r="ED432" s="30" t="n">
        <f aca="false">(EA432+CV432+BB432)/3</f>
        <v>77.9238095238095</v>
      </c>
      <c r="EE432" s="51" t="n">
        <f aca="false">ROUND(BE432,3)</f>
        <v>87.003</v>
      </c>
      <c r="EF432" s="51" t="n">
        <f aca="false">ROUND(CR432,3)</f>
        <v>88.143</v>
      </c>
      <c r="EG432" s="51" t="n">
        <f aca="false">ROUND(CS432,3)</f>
        <v>78.143</v>
      </c>
      <c r="EH432" s="51" t="n">
        <f aca="false">ROUND(EA432,3)</f>
        <v>70.429</v>
      </c>
      <c r="EI432" s="51" t="n">
        <f aca="false">ROUND(ED432,3)</f>
        <v>77.924</v>
      </c>
      <c r="EJ432" s="51" t="n">
        <f aca="false">ROUND(CV432,3)</f>
        <v>83.143</v>
      </c>
      <c r="EK432" s="0" t="n">
        <f aca="false">RANK(EI432,$EI$2:$EI$881,0)</f>
        <v>431</v>
      </c>
    </row>
    <row r="433" customFormat="false" ht="15" hidden="false" customHeight="false" outlineLevel="0" collapsed="false">
      <c r="A433" s="4" t="n">
        <v>9066</v>
      </c>
      <c r="B433" s="4" t="n">
        <v>701</v>
      </c>
      <c r="C433" s="27" t="s">
        <v>1356</v>
      </c>
      <c r="D433" s="31" t="n">
        <v>715</v>
      </c>
      <c r="E433" s="62" t="n">
        <v>230312442</v>
      </c>
      <c r="F433" s="8" t="s">
        <v>1357</v>
      </c>
      <c r="G433" s="63" t="s">
        <v>573</v>
      </c>
      <c r="H433" s="22" t="s">
        <v>129</v>
      </c>
      <c r="I433" s="64" t="n">
        <v>2005</v>
      </c>
      <c r="J433" s="32" t="n">
        <v>66</v>
      </c>
      <c r="K433" s="32" t="n">
        <v>75</v>
      </c>
      <c r="L433" s="34" t="n">
        <f aca="false">(K433*70)/100</f>
        <v>52.5</v>
      </c>
      <c r="M433" s="34" t="n">
        <f aca="false">ROUNDUP(L433,0)</f>
        <v>53</v>
      </c>
      <c r="N433" s="32" t="n">
        <v>23</v>
      </c>
      <c r="O433" s="34" t="n">
        <f aca="false">N433+L433</f>
        <v>75.5</v>
      </c>
      <c r="P433" s="34" t="n">
        <f aca="false">N433+M433</f>
        <v>76</v>
      </c>
      <c r="Q433" s="32" t="n">
        <v>80</v>
      </c>
      <c r="R433" s="32" t="n">
        <v>72</v>
      </c>
      <c r="S433" s="34" t="n">
        <f aca="false">(R433*70)/100</f>
        <v>50.4</v>
      </c>
      <c r="T433" s="34" t="n">
        <f aca="false">ROUNDUP(S433,0)</f>
        <v>51</v>
      </c>
      <c r="U433" s="32" t="n">
        <v>19</v>
      </c>
      <c r="V433" s="34" t="n">
        <f aca="false">U433+S433</f>
        <v>69.4</v>
      </c>
      <c r="W433" s="34" t="n">
        <f aca="false">U433+T433</f>
        <v>70</v>
      </c>
      <c r="X433" s="32" t="n">
        <v>70</v>
      </c>
      <c r="Y433" s="34" t="n">
        <f aca="false">(X433*70)/100</f>
        <v>49</v>
      </c>
      <c r="Z433" s="34" t="n">
        <f aca="false">ROUNDUP(Y433,0)</f>
        <v>49</v>
      </c>
      <c r="AA433" s="32" t="n">
        <v>22</v>
      </c>
      <c r="AB433" s="34" t="n">
        <f aca="false">AA433+Y433</f>
        <v>71</v>
      </c>
      <c r="AC433" s="34" t="n">
        <f aca="false">AA433+Z433</f>
        <v>71</v>
      </c>
      <c r="AD433" s="32" t="n">
        <f aca="false">X433+R433+Q433+K433+J433</f>
        <v>363</v>
      </c>
      <c r="AE433" s="16" t="n">
        <f aca="false">AD433/5</f>
        <v>72.6</v>
      </c>
      <c r="AF433" s="16" t="n">
        <v>69</v>
      </c>
      <c r="AG433" s="16" t="n">
        <v>77</v>
      </c>
      <c r="AH433" s="16" t="n">
        <v>92</v>
      </c>
      <c r="AI433" s="16" t="n">
        <v>87</v>
      </c>
      <c r="AJ433" s="16" t="n">
        <f aca="false">(AI433*70)/100</f>
        <v>60.9</v>
      </c>
      <c r="AK433" s="35" t="n">
        <f aca="false">ROUNDUP(AJ433,0)</f>
        <v>61</v>
      </c>
      <c r="AL433" s="16" t="n">
        <v>23</v>
      </c>
      <c r="AM433" s="16" t="n">
        <f aca="false">AL433+AJ433</f>
        <v>83.9</v>
      </c>
      <c r="AN433" s="16" t="n">
        <f aca="false">AL433+AK433</f>
        <v>84</v>
      </c>
      <c r="AO433" s="16" t="n">
        <v>82</v>
      </c>
      <c r="AP433" s="36" t="n">
        <f aca="false">(AO433*70)/100</f>
        <v>57.4</v>
      </c>
      <c r="AQ433" s="37" t="n">
        <f aca="false">ROUNDUP(AP433,0)</f>
        <v>58</v>
      </c>
      <c r="AR433" s="16" t="n">
        <v>28</v>
      </c>
      <c r="AS433" s="16" t="n">
        <f aca="false">AR433+AP433</f>
        <v>85.4</v>
      </c>
      <c r="AT433" s="16" t="n">
        <f aca="false">AR433+AQ433</f>
        <v>86</v>
      </c>
      <c r="AU433" s="16" t="n">
        <f aca="false">AO433+AF433+AI433+AH433+AG433</f>
        <v>407</v>
      </c>
      <c r="AV433" s="16" t="n">
        <f aca="false">(AO433+AF433+AI433+AH433+AG433)/5</f>
        <v>81.4</v>
      </c>
      <c r="AW433" s="36" t="n">
        <f aca="false">(AO433+AF433+AI433+AH433+AG433+X433+R433+Q433+K433+J433)</f>
        <v>770</v>
      </c>
      <c r="AX433" s="16" t="n">
        <f aca="false">AW433/10</f>
        <v>77</v>
      </c>
      <c r="AY433" s="16" t="n">
        <f aca="false">AS433+AF433+AM433+AH433+AG433+AB433+V433+Q433+O433+J433</f>
        <v>769.2</v>
      </c>
      <c r="AZ433" s="16" t="n">
        <f aca="false">AT433+AF433+AN433+AH433+AG433+AC433+W433+Q433+P433+J433</f>
        <v>771</v>
      </c>
      <c r="BA433" s="16" t="n">
        <f aca="false">AY433/10</f>
        <v>76.92</v>
      </c>
      <c r="BB433" s="16" t="n">
        <f aca="false">AZ433/10</f>
        <v>77.1</v>
      </c>
      <c r="BC433" s="16" t="n">
        <v>2267</v>
      </c>
      <c r="BD433" s="16" t="n">
        <f aca="false">RANK(AX433,$AX$2:$AX$881,0)</f>
        <v>508</v>
      </c>
      <c r="BE433" s="73" t="n">
        <f aca="false">((BC433*100)/2400)*0.4+(AX433*0.6)</f>
        <v>83.9833333333333</v>
      </c>
      <c r="BF433" s="16" t="n">
        <f aca="false">RANK(BE433,$BE$2:$BE$881,0)</f>
        <v>685</v>
      </c>
      <c r="BG433" s="39" t="n">
        <f aca="false">RANK(BB433,$BB$2:$BB$881,0)</f>
        <v>632</v>
      </c>
      <c r="BH433" s="39" t="n">
        <f aca="false">RANK(BC433,$BC$2:$BC$881,0)</f>
        <v>765</v>
      </c>
      <c r="BI433" s="22" t="s">
        <v>130</v>
      </c>
      <c r="BJ433" s="22" t="s">
        <v>129</v>
      </c>
      <c r="BK433" s="40" t="s">
        <v>702</v>
      </c>
      <c r="BL433" s="44" t="n">
        <v>17</v>
      </c>
      <c r="BM433" s="44" t="n">
        <v>48</v>
      </c>
      <c r="BN433" s="44" t="n">
        <v>65</v>
      </c>
      <c r="BO433" s="44" t="n">
        <v>21</v>
      </c>
      <c r="BP433" s="43" t="n">
        <v>59</v>
      </c>
      <c r="BQ433" s="44" t="n">
        <v>80</v>
      </c>
      <c r="BR433" s="44" t="n">
        <v>18</v>
      </c>
      <c r="BS433" s="45" t="n">
        <v>59</v>
      </c>
      <c r="BT433" s="45" t="n">
        <v>77</v>
      </c>
      <c r="BU433" s="46" t="n">
        <v>100</v>
      </c>
      <c r="BV433" s="42" t="n">
        <v>78</v>
      </c>
      <c r="BW433" s="44" t="n">
        <v>98</v>
      </c>
      <c r="BX433" s="48" t="n">
        <v>82</v>
      </c>
      <c r="BY433" s="32" t="n">
        <v>26</v>
      </c>
      <c r="BZ433" s="32" t="n">
        <v>46</v>
      </c>
      <c r="CA433" s="32" t="n">
        <v>72</v>
      </c>
      <c r="CB433" s="32" t="n">
        <v>18</v>
      </c>
      <c r="CC433" s="32" t="n">
        <v>42</v>
      </c>
      <c r="CD433" s="32" t="n">
        <v>60</v>
      </c>
      <c r="CE433" s="32" t="n">
        <v>27</v>
      </c>
      <c r="CF433" s="32" t="n">
        <v>48</v>
      </c>
      <c r="CG433" s="32" t="n">
        <v>75</v>
      </c>
      <c r="CH433" s="32" t="n">
        <v>92</v>
      </c>
      <c r="CI433" s="32" t="n">
        <v>93</v>
      </c>
      <c r="CJ433" s="49" t="n">
        <v>22</v>
      </c>
      <c r="CK433" s="49" t="n">
        <v>54</v>
      </c>
      <c r="CL433" s="49" t="n">
        <v>76</v>
      </c>
      <c r="CM433" s="49" t="n">
        <v>20</v>
      </c>
      <c r="CN433" s="49" t="n">
        <v>53</v>
      </c>
      <c r="CO433" s="49" t="n">
        <v>73</v>
      </c>
      <c r="CP433" s="25" t="n">
        <f aca="false">BX433+BW433+BV433+BU433+BT433+BQ433+BN433</f>
        <v>580</v>
      </c>
      <c r="CQ433" s="25" t="n">
        <f aca="false">CO433+CL433+CI433+CH433+CG433+CD433+CA433</f>
        <v>541</v>
      </c>
      <c r="CR433" s="26" t="n">
        <f aca="false">CP433/7</f>
        <v>82.8571428571429</v>
      </c>
      <c r="CS433" s="26" t="n">
        <f aca="false">CQ433/7</f>
        <v>77.2857142857143</v>
      </c>
      <c r="CT433" s="24" t="n">
        <f aca="false">RANK(CR433,$CR$2:$CR$881,0)</f>
        <v>522</v>
      </c>
      <c r="CU433" s="25" t="n">
        <f aca="false">RANK(CS433,$CS$2:$CS$881,0)</f>
        <v>356</v>
      </c>
      <c r="CV433" s="26" t="n">
        <f aca="false">(CS433+CR433)/2</f>
        <v>80.0714285714286</v>
      </c>
      <c r="CW433" s="25" t="n">
        <f aca="false">RANK(CV433,$CV$2:$CV$881,0)</f>
        <v>421</v>
      </c>
      <c r="CX433" s="50" t="n">
        <f aca="false">(CV433+BB433)/2</f>
        <v>78.5857142857143</v>
      </c>
      <c r="CY433" s="50" t="n">
        <v>444</v>
      </c>
      <c r="CZ433" s="27" t="s">
        <v>132</v>
      </c>
      <c r="DA433" s="27" t="s">
        <v>305</v>
      </c>
      <c r="DB433" s="27" t="s">
        <v>305</v>
      </c>
      <c r="DC433" s="27" t="s">
        <v>134</v>
      </c>
      <c r="DD433" s="27" t="s">
        <v>182</v>
      </c>
      <c r="DE433" s="27" t="s">
        <v>306</v>
      </c>
      <c r="DF433" s="27" t="s">
        <v>272</v>
      </c>
      <c r="DG433" s="27" t="s">
        <v>134</v>
      </c>
      <c r="DH433" s="27" t="s">
        <v>137</v>
      </c>
      <c r="DI433" s="27" t="s">
        <v>447</v>
      </c>
      <c r="DJ433" s="27" t="s">
        <v>272</v>
      </c>
      <c r="DK433" s="27" t="s">
        <v>134</v>
      </c>
      <c r="DL433" s="27" t="s">
        <v>174</v>
      </c>
      <c r="DM433" s="27" t="s">
        <v>399</v>
      </c>
      <c r="DN433" s="27" t="s">
        <v>155</v>
      </c>
      <c r="DO433" s="27" t="s">
        <v>134</v>
      </c>
      <c r="DP433" s="27" t="s">
        <v>1000</v>
      </c>
      <c r="DQ433" s="27" t="s">
        <v>415</v>
      </c>
      <c r="DR433" s="27" t="s">
        <v>161</v>
      </c>
      <c r="DS433" s="27" t="s">
        <v>134</v>
      </c>
      <c r="DT433" s="27" t="s">
        <v>137</v>
      </c>
      <c r="DU433" s="27" t="s">
        <v>313</v>
      </c>
      <c r="DV433" s="27" t="s">
        <v>305</v>
      </c>
      <c r="DW433" s="27" t="s">
        <v>182</v>
      </c>
      <c r="DX433" s="27" t="s">
        <v>141</v>
      </c>
      <c r="DY433" s="27" t="s">
        <v>170</v>
      </c>
      <c r="DZ433" s="27" t="n">
        <f aca="false">DY433+DV433+DR433+DN433+DJ433+DF433+DB433</f>
        <v>536</v>
      </c>
      <c r="EA433" s="28" t="n">
        <f aca="false">DZ433/7</f>
        <v>76.5714285714286</v>
      </c>
      <c r="EB433" s="27" t="n">
        <f aca="false">RANK(EA433,$EA$2:$EA$881,0)</f>
        <v>501</v>
      </c>
      <c r="EC433" s="29" t="n">
        <f aca="false">DZ433+CQ433+CP433+AZ433</f>
        <v>2428</v>
      </c>
      <c r="ED433" s="30" t="n">
        <f aca="false">(EA433+CV433+BB433)/3</f>
        <v>77.9142857142857</v>
      </c>
      <c r="EE433" s="51" t="n">
        <f aca="false">ROUND(BE433,3)</f>
        <v>83.983</v>
      </c>
      <c r="EF433" s="51" t="n">
        <f aca="false">ROUND(CR433,3)</f>
        <v>82.857</v>
      </c>
      <c r="EG433" s="51" t="n">
        <f aca="false">ROUND(CS433,3)</f>
        <v>77.286</v>
      </c>
      <c r="EH433" s="51" t="n">
        <f aca="false">ROUND(EA433,3)</f>
        <v>76.571</v>
      </c>
      <c r="EI433" s="51" t="n">
        <f aca="false">ROUND(ED433,3)</f>
        <v>77.914</v>
      </c>
      <c r="EJ433" s="51" t="n">
        <f aca="false">ROUND(CV433,3)</f>
        <v>80.071</v>
      </c>
      <c r="EK433" s="0" t="n">
        <f aca="false">RANK(EI433,$EI$2:$EI$881,0)</f>
        <v>432</v>
      </c>
    </row>
    <row r="434" customFormat="false" ht="15" hidden="false" customHeight="false" outlineLevel="0" collapsed="false">
      <c r="A434" s="4" t="n">
        <v>8684</v>
      </c>
      <c r="B434" s="4" t="n">
        <v>314</v>
      </c>
      <c r="C434" s="27" t="s">
        <v>1358</v>
      </c>
      <c r="D434" s="31" t="n">
        <v>315</v>
      </c>
      <c r="E434" s="16" t="n">
        <v>230324164</v>
      </c>
      <c r="F434" s="56" t="s">
        <v>1359</v>
      </c>
      <c r="G434" s="22" t="s">
        <v>1360</v>
      </c>
      <c r="H434" s="22" t="s">
        <v>129</v>
      </c>
      <c r="I434" s="57"/>
      <c r="J434" s="16" t="n">
        <v>80</v>
      </c>
      <c r="K434" s="16" t="n">
        <v>72</v>
      </c>
      <c r="L434" s="34" t="n">
        <f aca="false">(K434*70)/100</f>
        <v>50.4</v>
      </c>
      <c r="M434" s="34" t="n">
        <f aca="false">ROUNDUP(L434,0)</f>
        <v>51</v>
      </c>
      <c r="N434" s="16" t="n">
        <v>27</v>
      </c>
      <c r="O434" s="34" t="n">
        <f aca="false">N434+L434</f>
        <v>77.4</v>
      </c>
      <c r="P434" s="34" t="n">
        <f aca="false">N434+M434</f>
        <v>78</v>
      </c>
      <c r="Q434" s="16" t="n">
        <v>76</v>
      </c>
      <c r="R434" s="16" t="n">
        <v>70</v>
      </c>
      <c r="S434" s="34" t="n">
        <f aca="false">(R434*70)/100</f>
        <v>49</v>
      </c>
      <c r="T434" s="34" t="n">
        <f aca="false">ROUNDUP(S434,0)</f>
        <v>49</v>
      </c>
      <c r="U434" s="16" t="n">
        <v>28</v>
      </c>
      <c r="V434" s="34" t="n">
        <f aca="false">U434+S434</f>
        <v>77</v>
      </c>
      <c r="W434" s="34" t="n">
        <f aca="false">U434+T434</f>
        <v>77</v>
      </c>
      <c r="X434" s="16" t="n">
        <v>64</v>
      </c>
      <c r="Y434" s="34" t="n">
        <f aca="false">(X434*70)/100</f>
        <v>44.8</v>
      </c>
      <c r="Z434" s="34" t="n">
        <f aca="false">ROUNDUP(Y434,0)</f>
        <v>45</v>
      </c>
      <c r="AA434" s="16" t="n">
        <v>24</v>
      </c>
      <c r="AB434" s="34" t="n">
        <f aca="false">AA434+Y434</f>
        <v>68.8</v>
      </c>
      <c r="AC434" s="34" t="n">
        <f aca="false">AA434+Z434</f>
        <v>69</v>
      </c>
      <c r="AD434" s="32" t="n">
        <f aca="false">X434+R434+Q434+K434+J434</f>
        <v>362</v>
      </c>
      <c r="AE434" s="16" t="n">
        <f aca="false">AD434/5</f>
        <v>72.4</v>
      </c>
      <c r="AF434" s="16" t="n">
        <v>63</v>
      </c>
      <c r="AG434" s="16" t="n">
        <v>73</v>
      </c>
      <c r="AH434" s="16" t="n">
        <v>80</v>
      </c>
      <c r="AI434" s="16" t="n">
        <v>66</v>
      </c>
      <c r="AJ434" s="16" t="n">
        <f aca="false">(AI434*70)/100</f>
        <v>46.2</v>
      </c>
      <c r="AK434" s="35" t="n">
        <f aca="false">ROUNDUP(AJ434,0)</f>
        <v>47</v>
      </c>
      <c r="AL434" s="16" t="n">
        <v>28</v>
      </c>
      <c r="AM434" s="16" t="n">
        <f aca="false">AL434+AJ434</f>
        <v>74.2</v>
      </c>
      <c r="AN434" s="16" t="n">
        <f aca="false">AL434+AK434</f>
        <v>75</v>
      </c>
      <c r="AO434" s="16" t="n">
        <v>67</v>
      </c>
      <c r="AP434" s="36" t="n">
        <f aca="false">(AO434*70)/100</f>
        <v>46.9</v>
      </c>
      <c r="AQ434" s="37" t="n">
        <f aca="false">ROUNDUP(AP434,0)</f>
        <v>47</v>
      </c>
      <c r="AR434" s="16" t="n">
        <v>27</v>
      </c>
      <c r="AS434" s="16" t="n">
        <f aca="false">AR434+AP434</f>
        <v>73.9</v>
      </c>
      <c r="AT434" s="16" t="n">
        <f aca="false">AR434+AQ434</f>
        <v>74</v>
      </c>
      <c r="AU434" s="16" t="n">
        <f aca="false">AO434+AF434+AI434+AH434+AG434</f>
        <v>349</v>
      </c>
      <c r="AV434" s="16" t="n">
        <f aca="false">(AO434+AF434+AI434+AH434+AG434)/5</f>
        <v>69.8</v>
      </c>
      <c r="AW434" s="36" t="n">
        <f aca="false">(AO434+AF434+AI434+AH434+AG434+X434+R434+Q434+K434+J434)</f>
        <v>711</v>
      </c>
      <c r="AX434" s="16" t="n">
        <f aca="false">AW434/10</f>
        <v>71.1</v>
      </c>
      <c r="AY434" s="16" t="n">
        <f aca="false">AS434+AF434+AM434+AH434+AG434+AB434+V434+Q434+O434+J434</f>
        <v>743.3</v>
      </c>
      <c r="AZ434" s="16" t="n">
        <f aca="false">AT434+AF434+AN434+AH434+AG434+AC434+W434+Q434+P434+J434</f>
        <v>745</v>
      </c>
      <c r="BA434" s="16" t="n">
        <f aca="false">AY434/10</f>
        <v>74.33</v>
      </c>
      <c r="BB434" s="16" t="n">
        <f aca="false">AZ434/10</f>
        <v>74.5</v>
      </c>
      <c r="BC434" s="16" t="n">
        <v>2354</v>
      </c>
      <c r="BD434" s="16" t="n">
        <f aca="false">RANK(AX434,$AX$2:$AX$881,0)</f>
        <v>728</v>
      </c>
      <c r="BE434" s="73" t="n">
        <f aca="false">((BC434*100)/2400)*0.4+(AX434*0.6)</f>
        <v>81.8933333333333</v>
      </c>
      <c r="BF434" s="16" t="n">
        <f aca="false">RANK(BE434,$BE$2:$BE$881,0)</f>
        <v>715</v>
      </c>
      <c r="BG434" s="39" t="n">
        <f aca="false">RANK(BB434,$BB$2:$BB$881,0)</f>
        <v>706</v>
      </c>
      <c r="BH434" s="39" t="n">
        <f aca="false">RANK(BC434,$BC$2:$BC$881,0)</f>
        <v>490</v>
      </c>
      <c r="BI434" s="22" t="s">
        <v>130</v>
      </c>
      <c r="BJ434" s="22" t="s">
        <v>129</v>
      </c>
      <c r="BK434" s="40" t="s">
        <v>702</v>
      </c>
      <c r="BL434" s="41" t="n">
        <v>25</v>
      </c>
      <c r="BM434" s="41" t="n">
        <v>55</v>
      </c>
      <c r="BN434" s="41" t="n">
        <v>80</v>
      </c>
      <c r="BO434" s="42" t="n">
        <v>26</v>
      </c>
      <c r="BP434" s="43" t="n">
        <v>52</v>
      </c>
      <c r="BQ434" s="44" t="n">
        <v>78</v>
      </c>
      <c r="BR434" s="42" t="n">
        <v>25</v>
      </c>
      <c r="BS434" s="45" t="n">
        <v>57</v>
      </c>
      <c r="BT434" s="45" t="n">
        <v>82</v>
      </c>
      <c r="BU434" s="46" t="n">
        <v>100</v>
      </c>
      <c r="BV434" s="47" t="n">
        <v>86</v>
      </c>
      <c r="BW434" s="42" t="n">
        <v>100</v>
      </c>
      <c r="BX434" s="48" t="n">
        <v>90</v>
      </c>
      <c r="BY434" s="32" t="n">
        <v>26</v>
      </c>
      <c r="BZ434" s="32" t="n">
        <v>48</v>
      </c>
      <c r="CA434" s="32" t="n">
        <v>74</v>
      </c>
      <c r="CB434" s="32" t="n">
        <v>21</v>
      </c>
      <c r="CC434" s="32" t="n">
        <v>32</v>
      </c>
      <c r="CD434" s="69" t="n">
        <v>53</v>
      </c>
      <c r="CE434" s="32" t="n">
        <v>26</v>
      </c>
      <c r="CF434" s="32" t="n">
        <v>55</v>
      </c>
      <c r="CG434" s="32" t="n">
        <v>81</v>
      </c>
      <c r="CH434" s="32" t="n">
        <v>99</v>
      </c>
      <c r="CI434" s="32" t="n">
        <v>93</v>
      </c>
      <c r="CJ434" s="49" t="n">
        <v>27</v>
      </c>
      <c r="CK434" s="49" t="n">
        <v>43</v>
      </c>
      <c r="CL434" s="49" t="n">
        <v>70</v>
      </c>
      <c r="CM434" s="49" t="n">
        <v>22</v>
      </c>
      <c r="CN434" s="49" t="n">
        <v>55</v>
      </c>
      <c r="CO434" s="49" t="n">
        <v>77</v>
      </c>
      <c r="CP434" s="25" t="n">
        <f aca="false">BX434+BW434+BV434+BU434+BT434+BQ434+BN434</f>
        <v>616</v>
      </c>
      <c r="CQ434" s="25" t="n">
        <f aca="false">CO434+CL434+CI434+CH434+CG434+CD434+CA434</f>
        <v>547</v>
      </c>
      <c r="CR434" s="26" t="n">
        <f aca="false">CP434/7</f>
        <v>88</v>
      </c>
      <c r="CS434" s="26" t="n">
        <f aca="false">CQ434/7</f>
        <v>78.1428571428571</v>
      </c>
      <c r="CT434" s="24" t="n">
        <f aca="false">RANK(CR434,$CR$2:$CR$881,0)</f>
        <v>304</v>
      </c>
      <c r="CU434" s="25" t="n">
        <f aca="false">RANK(CS434,$CS$2:$CS$881,0)</f>
        <v>327</v>
      </c>
      <c r="CV434" s="26" t="n">
        <f aca="false">(CS434+CR434)/2</f>
        <v>83.0714285714286</v>
      </c>
      <c r="CW434" s="25" t="n">
        <f aca="false">RANK(CV434,$CV$2:$CV$881,0)</f>
        <v>293</v>
      </c>
      <c r="CX434" s="50" t="n">
        <f aca="false">(CV434+BB434)/2</f>
        <v>78.7857142857143</v>
      </c>
      <c r="CY434" s="50" t="n">
        <v>429</v>
      </c>
      <c r="CZ434" s="27" t="s">
        <v>132</v>
      </c>
      <c r="DA434" s="27" t="s">
        <v>133</v>
      </c>
      <c r="DB434" s="27" t="s">
        <v>133</v>
      </c>
      <c r="DC434" s="27" t="s">
        <v>134</v>
      </c>
      <c r="DD434" s="27" t="s">
        <v>137</v>
      </c>
      <c r="DE434" s="27" t="s">
        <v>415</v>
      </c>
      <c r="DF434" s="27" t="s">
        <v>486</v>
      </c>
      <c r="DG434" s="27" t="s">
        <v>134</v>
      </c>
      <c r="DH434" s="27" t="s">
        <v>135</v>
      </c>
      <c r="DI434" s="27" t="s">
        <v>442</v>
      </c>
      <c r="DJ434" s="27" t="s">
        <v>372</v>
      </c>
      <c r="DK434" s="27" t="s">
        <v>134</v>
      </c>
      <c r="DL434" s="27" t="s">
        <v>174</v>
      </c>
      <c r="DM434" s="27" t="s">
        <v>645</v>
      </c>
      <c r="DN434" s="27" t="s">
        <v>187</v>
      </c>
      <c r="DO434" s="27" t="s">
        <v>134</v>
      </c>
      <c r="DP434" s="27" t="s">
        <v>182</v>
      </c>
      <c r="DQ434" s="27" t="s">
        <v>415</v>
      </c>
      <c r="DR434" s="27" t="s">
        <v>416</v>
      </c>
      <c r="DS434" s="27" t="s">
        <v>134</v>
      </c>
      <c r="DT434" s="27" t="s">
        <v>164</v>
      </c>
      <c r="DU434" s="27" t="s">
        <v>989</v>
      </c>
      <c r="DV434" s="27" t="s">
        <v>138</v>
      </c>
      <c r="DW434" s="27" t="s">
        <v>182</v>
      </c>
      <c r="DX434" s="27" t="s">
        <v>143</v>
      </c>
      <c r="DY434" s="27" t="s">
        <v>176</v>
      </c>
      <c r="DZ434" s="27" t="n">
        <f aca="false">DY434+DV434+DR434+DN434+DJ434+DF434+DB434</f>
        <v>533</v>
      </c>
      <c r="EA434" s="28" t="n">
        <f aca="false">DZ434/7</f>
        <v>76.1428571428571</v>
      </c>
      <c r="EB434" s="27" t="n">
        <f aca="false">RANK(EA434,$EA$2:$EA$881,0)</f>
        <v>519</v>
      </c>
      <c r="EC434" s="29" t="n">
        <f aca="false">DZ434+CQ434+CP434+AZ434</f>
        <v>2441</v>
      </c>
      <c r="ED434" s="30" t="n">
        <f aca="false">(EA434+CV434+BB434)/3</f>
        <v>77.9047619047619</v>
      </c>
      <c r="EE434" s="51" t="n">
        <f aca="false">ROUND(BE434,3)</f>
        <v>81.893</v>
      </c>
      <c r="EF434" s="51" t="n">
        <f aca="false">ROUND(CR434,3)</f>
        <v>88</v>
      </c>
      <c r="EG434" s="51" t="n">
        <f aca="false">ROUND(CS434,3)</f>
        <v>78.143</v>
      </c>
      <c r="EH434" s="51" t="n">
        <f aca="false">ROUND(EA434,3)</f>
        <v>76.143</v>
      </c>
      <c r="EI434" s="51" t="n">
        <f aca="false">ROUND(ED434,3)</f>
        <v>77.905</v>
      </c>
      <c r="EJ434" s="51" t="n">
        <f aca="false">ROUND(CV434,3)</f>
        <v>83.071</v>
      </c>
      <c r="EK434" s="0" t="n">
        <f aca="false">RANK(EI434,$EI$2:$EI$881,0)</f>
        <v>433</v>
      </c>
    </row>
    <row r="435" customFormat="false" ht="15" hidden="false" customHeight="false" outlineLevel="0" collapsed="false">
      <c r="A435" s="4" t="n">
        <v>1852</v>
      </c>
      <c r="B435" s="4" t="n">
        <v>624</v>
      </c>
      <c r="C435" s="27" t="s">
        <v>1361</v>
      </c>
      <c r="D435" s="31" t="n">
        <v>632</v>
      </c>
      <c r="E435" s="32" t="n">
        <v>230320373</v>
      </c>
      <c r="F435" s="8" t="s">
        <v>1362</v>
      </c>
      <c r="G435" s="22" t="s">
        <v>654</v>
      </c>
      <c r="H435" s="22" t="s">
        <v>129</v>
      </c>
      <c r="I435" s="33" t="n">
        <v>2005</v>
      </c>
      <c r="J435" s="32" t="n">
        <v>69</v>
      </c>
      <c r="K435" s="32" t="n">
        <v>73</v>
      </c>
      <c r="L435" s="34" t="n">
        <f aca="false">(K435*70)/100</f>
        <v>51.1</v>
      </c>
      <c r="M435" s="34" t="n">
        <f aca="false">ROUNDUP(L435,0)</f>
        <v>52</v>
      </c>
      <c r="N435" s="32" t="n">
        <v>29</v>
      </c>
      <c r="O435" s="34" t="n">
        <f aca="false">N435+L435</f>
        <v>80.1</v>
      </c>
      <c r="P435" s="34" t="n">
        <f aca="false">N435+M435</f>
        <v>81</v>
      </c>
      <c r="Q435" s="32" t="n">
        <v>82</v>
      </c>
      <c r="R435" s="32" t="n">
        <v>76</v>
      </c>
      <c r="S435" s="34" t="n">
        <f aca="false">(R435*70)/100</f>
        <v>53.2</v>
      </c>
      <c r="T435" s="34" t="n">
        <f aca="false">ROUNDUP(S435,0)</f>
        <v>54</v>
      </c>
      <c r="U435" s="32" t="n">
        <v>25</v>
      </c>
      <c r="V435" s="34" t="n">
        <f aca="false">U435+S435</f>
        <v>78.2</v>
      </c>
      <c r="W435" s="34" t="n">
        <f aca="false">U435+T435</f>
        <v>79</v>
      </c>
      <c r="X435" s="32" t="n">
        <v>65</v>
      </c>
      <c r="Y435" s="34" t="n">
        <f aca="false">(X435*70)/100</f>
        <v>45.5</v>
      </c>
      <c r="Z435" s="34" t="n">
        <f aca="false">ROUNDUP(Y435,0)</f>
        <v>46</v>
      </c>
      <c r="AA435" s="32" t="n">
        <v>23</v>
      </c>
      <c r="AB435" s="34" t="n">
        <f aca="false">AA435+Y435</f>
        <v>68.5</v>
      </c>
      <c r="AC435" s="34" t="n">
        <f aca="false">AA435+Z435</f>
        <v>69</v>
      </c>
      <c r="AD435" s="32" t="n">
        <f aca="false">X435+R435+Q435+K435+J435</f>
        <v>365</v>
      </c>
      <c r="AE435" s="16" t="n">
        <f aca="false">AD435/5</f>
        <v>73</v>
      </c>
      <c r="AF435" s="16" t="n">
        <v>84</v>
      </c>
      <c r="AG435" s="16" t="n">
        <v>72</v>
      </c>
      <c r="AH435" s="16" t="n">
        <v>86</v>
      </c>
      <c r="AI435" s="16" t="n">
        <v>74</v>
      </c>
      <c r="AJ435" s="16" t="n">
        <f aca="false">(AI435*70)/100</f>
        <v>51.8</v>
      </c>
      <c r="AK435" s="35" t="n">
        <f aca="false">ROUNDUP(AJ435,0)</f>
        <v>52</v>
      </c>
      <c r="AL435" s="16" t="n">
        <v>27</v>
      </c>
      <c r="AM435" s="16" t="n">
        <f aca="false">AL435+AJ435</f>
        <v>78.8</v>
      </c>
      <c r="AN435" s="16" t="n">
        <f aca="false">AL435+AK435</f>
        <v>79</v>
      </c>
      <c r="AO435" s="16" t="n">
        <v>79</v>
      </c>
      <c r="AP435" s="36" t="n">
        <f aca="false">(AO435*70)/100</f>
        <v>55.3</v>
      </c>
      <c r="AQ435" s="37" t="n">
        <f aca="false">ROUNDUP(AP435,0)</f>
        <v>56</v>
      </c>
      <c r="AR435" s="16" t="n">
        <v>30</v>
      </c>
      <c r="AS435" s="16" t="n">
        <f aca="false">AR435+AP435</f>
        <v>85.3</v>
      </c>
      <c r="AT435" s="16" t="n">
        <f aca="false">AR435+AQ435</f>
        <v>86</v>
      </c>
      <c r="AU435" s="16" t="n">
        <f aca="false">AO435+AF435+AI435+AH435+AG435</f>
        <v>395</v>
      </c>
      <c r="AV435" s="16" t="n">
        <f aca="false">(AO435+AF435+AI435+AH435+AG435)/5</f>
        <v>79</v>
      </c>
      <c r="AW435" s="36" t="n">
        <f aca="false">(AO435+AF435+AI435+AH435+AG435+X435+R435+Q435+K435+J435)</f>
        <v>760</v>
      </c>
      <c r="AX435" s="16" t="n">
        <f aca="false">AW435/10</f>
        <v>76</v>
      </c>
      <c r="AY435" s="16" t="n">
        <f aca="false">AS435+AF435+AM435+AH435+AG435+AB435+V435+Q435+O435+J435</f>
        <v>783.9</v>
      </c>
      <c r="AZ435" s="16" t="n">
        <f aca="false">AT435+AF435+AN435+AH435+AG435+AC435+W435+Q435+P435+J435</f>
        <v>787</v>
      </c>
      <c r="BA435" s="16" t="n">
        <f aca="false">AY435/10</f>
        <v>78.39</v>
      </c>
      <c r="BB435" s="16" t="n">
        <f aca="false">AZ435/10</f>
        <v>78.7</v>
      </c>
      <c r="BC435" s="16" t="n">
        <v>2360</v>
      </c>
      <c r="BD435" s="16" t="n">
        <f aca="false">RANK(AX435,$AX$2:$AX$881,0)</f>
        <v>616</v>
      </c>
      <c r="BE435" s="73" t="n">
        <f aca="false">((BC435*100)/2400)*0.4+(AX435*0.6)</f>
        <v>84.9333333333333</v>
      </c>
      <c r="BF435" s="16" t="n">
        <f aca="false">RANK(BE435,$BE$2:$BE$881,0)</f>
        <v>629</v>
      </c>
      <c r="BG435" s="39" t="n">
        <f aca="false">RANK(BB435,$BB$2:$BB$881,0)</f>
        <v>482</v>
      </c>
      <c r="BH435" s="39" t="n">
        <f aca="false">RANK(BC435,$BC$2:$BC$881,0)</f>
        <v>402</v>
      </c>
      <c r="BI435" s="22" t="s">
        <v>130</v>
      </c>
      <c r="BJ435" s="22" t="s">
        <v>129</v>
      </c>
      <c r="BK435" s="22" t="s">
        <v>509</v>
      </c>
      <c r="BL435" s="41" t="n">
        <v>23</v>
      </c>
      <c r="BM435" s="41" t="n">
        <v>51</v>
      </c>
      <c r="BN435" s="41" t="n">
        <v>74</v>
      </c>
      <c r="BO435" s="42" t="n">
        <v>28</v>
      </c>
      <c r="BP435" s="43" t="n">
        <v>55</v>
      </c>
      <c r="BQ435" s="44" t="n">
        <v>83</v>
      </c>
      <c r="BR435" s="42" t="n">
        <v>23</v>
      </c>
      <c r="BS435" s="45" t="n">
        <v>44</v>
      </c>
      <c r="BT435" s="45" t="n">
        <v>67</v>
      </c>
      <c r="BU435" s="46" t="n">
        <v>100</v>
      </c>
      <c r="BV435" s="47" t="n">
        <v>82</v>
      </c>
      <c r="BW435" s="42" t="n">
        <v>100</v>
      </c>
      <c r="BX435" s="48" t="n">
        <v>90</v>
      </c>
      <c r="BY435" s="32" t="n">
        <v>27</v>
      </c>
      <c r="BZ435" s="32" t="n">
        <v>43</v>
      </c>
      <c r="CA435" s="32" t="n">
        <v>70</v>
      </c>
      <c r="CB435" s="32" t="n">
        <v>28</v>
      </c>
      <c r="CC435" s="32" t="n">
        <v>46</v>
      </c>
      <c r="CD435" s="32" t="n">
        <v>74</v>
      </c>
      <c r="CE435" s="32" t="n">
        <v>26</v>
      </c>
      <c r="CF435" s="32" t="n">
        <v>53</v>
      </c>
      <c r="CG435" s="32" t="n">
        <v>79</v>
      </c>
      <c r="CH435" s="32" t="n">
        <v>100</v>
      </c>
      <c r="CI435" s="32" t="n">
        <v>100</v>
      </c>
      <c r="CJ435" s="49" t="n">
        <v>28</v>
      </c>
      <c r="CK435" s="49" t="n">
        <v>53</v>
      </c>
      <c r="CL435" s="49" t="n">
        <v>81</v>
      </c>
      <c r="CM435" s="49" t="n">
        <v>22</v>
      </c>
      <c r="CN435" s="49" t="n">
        <v>48</v>
      </c>
      <c r="CO435" s="49" t="n">
        <v>70</v>
      </c>
      <c r="CP435" s="25" t="n">
        <f aca="false">BX435+BW435+BV435+BU435+BT435+BQ435+BN435</f>
        <v>596</v>
      </c>
      <c r="CQ435" s="25" t="n">
        <f aca="false">CO435+CL435+CI435+CH435+CG435+CD435+CA435</f>
        <v>574</v>
      </c>
      <c r="CR435" s="26" t="n">
        <f aca="false">CP435/7</f>
        <v>85.1428571428571</v>
      </c>
      <c r="CS435" s="26" t="n">
        <f aca="false">CQ435/7</f>
        <v>82</v>
      </c>
      <c r="CT435" s="24" t="n">
        <f aca="false">RANK(CR435,$CR$2:$CR$881,0)</f>
        <v>431</v>
      </c>
      <c r="CU435" s="25" t="n">
        <f aca="false">RANK(CS435,$CS$2:$CS$881,0)</f>
        <v>192</v>
      </c>
      <c r="CV435" s="26" t="n">
        <f aca="false">(CS435+CR435)/2</f>
        <v>83.5714285714286</v>
      </c>
      <c r="CW435" s="25" t="n">
        <f aca="false">RANK(CV435,$CV$2:$CV$881,0)</f>
        <v>274</v>
      </c>
      <c r="CX435" s="50" t="n">
        <f aca="false">(CV435+BB435)/2</f>
        <v>81.1357142857143</v>
      </c>
      <c r="CY435" s="50" t="n">
        <v>312</v>
      </c>
      <c r="CZ435" s="27" t="s">
        <v>132</v>
      </c>
      <c r="DA435" s="27" t="s">
        <v>169</v>
      </c>
      <c r="DB435" s="27" t="s">
        <v>169</v>
      </c>
      <c r="DC435" s="27" t="s">
        <v>134</v>
      </c>
      <c r="DD435" s="27" t="s">
        <v>164</v>
      </c>
      <c r="DE435" s="27" t="s">
        <v>161</v>
      </c>
      <c r="DF435" s="27" t="s">
        <v>133</v>
      </c>
      <c r="DG435" s="27" t="s">
        <v>134</v>
      </c>
      <c r="DH435" s="27" t="s">
        <v>164</v>
      </c>
      <c r="DI435" s="27" t="s">
        <v>1363</v>
      </c>
      <c r="DJ435" s="27"/>
      <c r="DK435" s="27"/>
      <c r="DL435" s="27" t="s">
        <v>182</v>
      </c>
      <c r="DM435" s="27" t="s">
        <v>218</v>
      </c>
      <c r="DN435" s="27" t="s">
        <v>196</v>
      </c>
      <c r="DO435" s="27" t="s">
        <v>134</v>
      </c>
      <c r="DP435" s="27" t="s">
        <v>264</v>
      </c>
      <c r="DQ435" s="27" t="s">
        <v>161</v>
      </c>
      <c r="DR435" s="27" t="s">
        <v>219</v>
      </c>
      <c r="DS435" s="27" t="s">
        <v>134</v>
      </c>
      <c r="DT435" s="27" t="s">
        <v>140</v>
      </c>
      <c r="DU435" s="27" t="s">
        <v>412</v>
      </c>
      <c r="DV435" s="27" t="s">
        <v>219</v>
      </c>
      <c r="DW435" s="27" t="s">
        <v>195</v>
      </c>
      <c r="DX435" s="27" t="s">
        <v>187</v>
      </c>
      <c r="DY435" s="27" t="s">
        <v>178</v>
      </c>
      <c r="DZ435" s="27" t="n">
        <f aca="false">DY435+DV435+DR435+DN435+DJ435+DF435+DB435</f>
        <v>499</v>
      </c>
      <c r="EA435" s="28" t="n">
        <f aca="false">DZ435/7</f>
        <v>71.2857142857143</v>
      </c>
      <c r="EB435" s="27" t="n">
        <f aca="false">RANK(EA435,$EA$2:$EA$881,0)</f>
        <v>620</v>
      </c>
      <c r="EC435" s="29" t="n">
        <f aca="false">DZ435+CQ435+CP435+AZ435</f>
        <v>2456</v>
      </c>
      <c r="ED435" s="30" t="n">
        <f aca="false">(EA435+CV435+BB435)/3</f>
        <v>77.852380952381</v>
      </c>
      <c r="EE435" s="51" t="n">
        <f aca="false">ROUND(BE435,3)</f>
        <v>84.933</v>
      </c>
      <c r="EF435" s="51" t="n">
        <f aca="false">ROUND(CR435,3)</f>
        <v>85.143</v>
      </c>
      <c r="EG435" s="51" t="n">
        <f aca="false">ROUND(CS435,3)</f>
        <v>82</v>
      </c>
      <c r="EH435" s="51" t="n">
        <f aca="false">ROUND(EA435,3)</f>
        <v>71.286</v>
      </c>
      <c r="EI435" s="51" t="n">
        <f aca="false">ROUND(ED435,3)</f>
        <v>77.852</v>
      </c>
      <c r="EJ435" s="51" t="n">
        <f aca="false">ROUND(CV435,3)</f>
        <v>83.571</v>
      </c>
      <c r="EK435" s="0" t="n">
        <f aca="false">RANK(EI435,$EI$2:$EI$881,0)</f>
        <v>434</v>
      </c>
    </row>
    <row r="436" customFormat="false" ht="15" hidden="false" customHeight="false" outlineLevel="0" collapsed="false">
      <c r="A436" s="4" t="n">
        <v>8861</v>
      </c>
      <c r="B436" s="4" t="n">
        <v>545</v>
      </c>
      <c r="C436" s="27" t="s">
        <v>1364</v>
      </c>
      <c r="D436" s="31" t="n">
        <v>550</v>
      </c>
      <c r="E436" s="32" t="n">
        <v>230312568</v>
      </c>
      <c r="F436" s="8" t="s">
        <v>1365</v>
      </c>
      <c r="G436" s="22" t="s">
        <v>1366</v>
      </c>
      <c r="H436" s="22" t="s">
        <v>129</v>
      </c>
      <c r="I436" s="33" t="n">
        <v>2005</v>
      </c>
      <c r="J436" s="32" t="n">
        <v>82</v>
      </c>
      <c r="K436" s="32" t="n">
        <v>67</v>
      </c>
      <c r="L436" s="34" t="n">
        <f aca="false">(K436*70)/100</f>
        <v>46.9</v>
      </c>
      <c r="M436" s="34" t="n">
        <f aca="false">ROUNDUP(L436,0)</f>
        <v>47</v>
      </c>
      <c r="N436" s="32" t="n">
        <v>26</v>
      </c>
      <c r="O436" s="34" t="n">
        <f aca="false">N436+L436</f>
        <v>72.9</v>
      </c>
      <c r="P436" s="34" t="n">
        <f aca="false">N436+M436</f>
        <v>73</v>
      </c>
      <c r="Q436" s="32" t="n">
        <v>78</v>
      </c>
      <c r="R436" s="32" t="n">
        <v>84</v>
      </c>
      <c r="S436" s="34" t="n">
        <f aca="false">(R436*70)/100</f>
        <v>58.8</v>
      </c>
      <c r="T436" s="34" t="n">
        <f aca="false">ROUNDUP(S436,0)</f>
        <v>59</v>
      </c>
      <c r="U436" s="32" t="n">
        <v>21</v>
      </c>
      <c r="V436" s="34" t="n">
        <f aca="false">U436+S436</f>
        <v>79.8</v>
      </c>
      <c r="W436" s="34" t="n">
        <f aca="false">U436+T436</f>
        <v>80</v>
      </c>
      <c r="X436" s="32" t="n">
        <v>65</v>
      </c>
      <c r="Y436" s="34" t="n">
        <f aca="false">(X436*70)/100</f>
        <v>45.5</v>
      </c>
      <c r="Z436" s="34" t="n">
        <f aca="false">ROUNDUP(Y436,0)</f>
        <v>46</v>
      </c>
      <c r="AA436" s="32" t="n">
        <v>23</v>
      </c>
      <c r="AB436" s="34" t="n">
        <f aca="false">AA436+Y436</f>
        <v>68.5</v>
      </c>
      <c r="AC436" s="34" t="n">
        <f aca="false">AA436+Z436</f>
        <v>69</v>
      </c>
      <c r="AD436" s="32" t="n">
        <f aca="false">X436+R436+Q436+K436+J436</f>
        <v>376</v>
      </c>
      <c r="AE436" s="16" t="n">
        <f aca="false">AD436/5</f>
        <v>75.2</v>
      </c>
      <c r="AF436" s="16" t="n">
        <v>83</v>
      </c>
      <c r="AG436" s="16" t="n">
        <v>80</v>
      </c>
      <c r="AH436" s="16" t="n">
        <v>90</v>
      </c>
      <c r="AI436" s="16" t="n">
        <v>81</v>
      </c>
      <c r="AJ436" s="16" t="n">
        <f aca="false">(AI436*70)/100</f>
        <v>56.7</v>
      </c>
      <c r="AK436" s="35" t="n">
        <f aca="false">ROUNDUP(AJ436,0)</f>
        <v>57</v>
      </c>
      <c r="AL436" s="16" t="n">
        <v>24</v>
      </c>
      <c r="AM436" s="16" t="n">
        <f aca="false">AL436+AJ436</f>
        <v>80.7</v>
      </c>
      <c r="AN436" s="16" t="n">
        <f aca="false">AL436+AK436</f>
        <v>81</v>
      </c>
      <c r="AO436" s="16" t="n">
        <v>79</v>
      </c>
      <c r="AP436" s="36" t="n">
        <f aca="false">(AO436*70)/100</f>
        <v>55.3</v>
      </c>
      <c r="AQ436" s="37" t="n">
        <f aca="false">ROUNDUP(AP436,0)</f>
        <v>56</v>
      </c>
      <c r="AR436" s="16" t="n">
        <v>25</v>
      </c>
      <c r="AS436" s="16" t="n">
        <f aca="false">AR436+AP436</f>
        <v>80.3</v>
      </c>
      <c r="AT436" s="16" t="n">
        <f aca="false">AR436+AQ436</f>
        <v>81</v>
      </c>
      <c r="AU436" s="16" t="n">
        <f aca="false">AO436+AF436+AI436+AH436+AG436</f>
        <v>413</v>
      </c>
      <c r="AV436" s="16" t="n">
        <f aca="false">(AO436+AF436+AI436+AH436+AG436)/5</f>
        <v>82.6</v>
      </c>
      <c r="AW436" s="36" t="n">
        <f aca="false">(AO436+AF436+AI436+AH436+AG436+X436+R436+Q436+K436+J436)</f>
        <v>789</v>
      </c>
      <c r="AX436" s="16" t="n">
        <f aca="false">AW436/10</f>
        <v>78.9</v>
      </c>
      <c r="AY436" s="16" t="n">
        <f aca="false">AS436+AF436+AM436+AH436+AG436+AB436+V436+Q436+O436+J436</f>
        <v>795.2</v>
      </c>
      <c r="AZ436" s="16" t="n">
        <f aca="false">AT436+AF436+AN436+AH436+AG436+AC436+W436+Q436+P436+J436</f>
        <v>797</v>
      </c>
      <c r="BA436" s="16" t="n">
        <f aca="false">AY436/10</f>
        <v>79.52</v>
      </c>
      <c r="BB436" s="16" t="n">
        <f aca="false">AZ436/10</f>
        <v>79.7</v>
      </c>
      <c r="BC436" s="16" t="n">
        <v>2378</v>
      </c>
      <c r="BD436" s="16" t="n">
        <f aca="false">RANK(AX436,$AX$2:$AX$881,0)</f>
        <v>339</v>
      </c>
      <c r="BE436" s="54" t="n">
        <f aca="false">((BC436*100)/2400)*0.4+(AX436*0.6)</f>
        <v>86.9733333333333</v>
      </c>
      <c r="BF436" s="16" t="n">
        <f aca="false">RANK(BE436,$BE$2:$BE$881,0)</f>
        <v>296</v>
      </c>
      <c r="BG436" s="39" t="n">
        <f aca="false">RANK(BB436,$BB$2:$BB$881,0)</f>
        <v>381</v>
      </c>
      <c r="BH436" s="39" t="n">
        <f aca="false">RANK(BC436,$BC$2:$BC$881,0)</f>
        <v>173</v>
      </c>
      <c r="BI436" s="22" t="s">
        <v>130</v>
      </c>
      <c r="BJ436" s="22" t="s">
        <v>129</v>
      </c>
      <c r="BK436" s="40" t="s">
        <v>131</v>
      </c>
      <c r="BL436" s="41" t="n">
        <v>15</v>
      </c>
      <c r="BM436" s="41" t="n">
        <v>51</v>
      </c>
      <c r="BN436" s="41" t="n">
        <v>66</v>
      </c>
      <c r="BO436" s="42" t="n">
        <v>19</v>
      </c>
      <c r="BP436" s="43" t="n">
        <v>55</v>
      </c>
      <c r="BQ436" s="44" t="n">
        <v>74</v>
      </c>
      <c r="BR436" s="42" t="n">
        <v>22</v>
      </c>
      <c r="BS436" s="45" t="n">
        <v>59</v>
      </c>
      <c r="BT436" s="45" t="n">
        <v>81</v>
      </c>
      <c r="BU436" s="46" t="n">
        <v>99</v>
      </c>
      <c r="BV436" s="47" t="n">
        <v>96</v>
      </c>
      <c r="BW436" s="42" t="n">
        <v>99</v>
      </c>
      <c r="BX436" s="48" t="n">
        <v>92</v>
      </c>
      <c r="BY436" s="32" t="n">
        <v>22</v>
      </c>
      <c r="BZ436" s="32" t="n">
        <v>55</v>
      </c>
      <c r="CA436" s="32" t="n">
        <v>77</v>
      </c>
      <c r="CB436" s="32" t="n">
        <v>15</v>
      </c>
      <c r="CC436" s="32" t="n">
        <v>35</v>
      </c>
      <c r="CD436" s="69" t="n">
        <v>50</v>
      </c>
      <c r="CE436" s="32" t="n">
        <v>27</v>
      </c>
      <c r="CF436" s="32" t="n">
        <v>51</v>
      </c>
      <c r="CG436" s="32" t="n">
        <v>78</v>
      </c>
      <c r="CH436" s="32" t="n">
        <v>98</v>
      </c>
      <c r="CI436" s="32" t="n">
        <v>79</v>
      </c>
      <c r="CJ436" s="49" t="n">
        <v>20</v>
      </c>
      <c r="CK436" s="49" t="n">
        <v>47</v>
      </c>
      <c r="CL436" s="49" t="n">
        <v>67</v>
      </c>
      <c r="CM436" s="49" t="n">
        <v>21</v>
      </c>
      <c r="CN436" s="49" t="n">
        <v>50</v>
      </c>
      <c r="CO436" s="49" t="n">
        <v>71</v>
      </c>
      <c r="CP436" s="25" t="n">
        <f aca="false">BX436+BW436+BV436+BU436+BT436+BQ436+BN436</f>
        <v>607</v>
      </c>
      <c r="CQ436" s="25" t="n">
        <f aca="false">CO436+CL436+CI436+CH436+CG436+CD436+CA436</f>
        <v>520</v>
      </c>
      <c r="CR436" s="26" t="n">
        <f aca="false">CP436/7</f>
        <v>86.7142857142857</v>
      </c>
      <c r="CS436" s="26" t="n">
        <f aca="false">CQ436/7</f>
        <v>74.2857142857143</v>
      </c>
      <c r="CT436" s="24" t="n">
        <f aca="false">RANK(CR436,$CR$2:$CR$881,0)</f>
        <v>367</v>
      </c>
      <c r="CU436" s="25" t="n">
        <f aca="false">RANK(CS436,$CS$2:$CS$881,0)</f>
        <v>448</v>
      </c>
      <c r="CV436" s="26" t="n">
        <f aca="false">(CS436+CR436)/2</f>
        <v>80.5</v>
      </c>
      <c r="CW436" s="25" t="n">
        <f aca="false">RANK(CV436,$CV$2:$CV$881,0)</f>
        <v>409</v>
      </c>
      <c r="CX436" s="50" t="n">
        <f aca="false">(CV436+BB436)/2</f>
        <v>80.1</v>
      </c>
      <c r="CY436" s="50" t="n">
        <v>371</v>
      </c>
      <c r="CZ436" s="27" t="s">
        <v>132</v>
      </c>
      <c r="DA436" s="27" t="s">
        <v>272</v>
      </c>
      <c r="DB436" s="27" t="s">
        <v>272</v>
      </c>
      <c r="DC436" s="27" t="s">
        <v>134</v>
      </c>
      <c r="DD436" s="27" t="s">
        <v>195</v>
      </c>
      <c r="DE436" s="27" t="s">
        <v>375</v>
      </c>
      <c r="DF436" s="27" t="s">
        <v>416</v>
      </c>
      <c r="DG436" s="27" t="s">
        <v>134</v>
      </c>
      <c r="DH436" s="27" t="s">
        <v>164</v>
      </c>
      <c r="DI436" s="27" t="s">
        <v>442</v>
      </c>
      <c r="DJ436" s="27" t="s">
        <v>443</v>
      </c>
      <c r="DK436" s="27" t="s">
        <v>134</v>
      </c>
      <c r="DL436" s="27" t="s">
        <v>154</v>
      </c>
      <c r="DM436" s="27" t="s">
        <v>375</v>
      </c>
      <c r="DN436" s="27" t="s">
        <v>486</v>
      </c>
      <c r="DO436" s="27" t="s">
        <v>134</v>
      </c>
      <c r="DP436" s="27" t="s">
        <v>718</v>
      </c>
      <c r="DQ436" s="27" t="s">
        <v>673</v>
      </c>
      <c r="DR436" s="27" t="s">
        <v>447</v>
      </c>
      <c r="DS436" s="27" t="s">
        <v>480</v>
      </c>
      <c r="DT436" s="27" t="s">
        <v>174</v>
      </c>
      <c r="DU436" s="27" t="s">
        <v>442</v>
      </c>
      <c r="DV436" s="27" t="s">
        <v>416</v>
      </c>
      <c r="DW436" s="27" t="s">
        <v>154</v>
      </c>
      <c r="DX436" s="27" t="s">
        <v>141</v>
      </c>
      <c r="DY436" s="27" t="s">
        <v>153</v>
      </c>
      <c r="DZ436" s="27" t="n">
        <f aca="false">DY436+DV436+DR436+DN436+DJ436+DF436+DB436</f>
        <v>513</v>
      </c>
      <c r="EA436" s="28" t="n">
        <f aca="false">DZ436/7</f>
        <v>73.2857142857143</v>
      </c>
      <c r="EB436" s="27" t="n">
        <f aca="false">RANK(EA436,$EA$2:$EA$881,0)</f>
        <v>590</v>
      </c>
      <c r="EC436" s="29" t="n">
        <f aca="false">DZ436+CQ436+CP436+AZ436</f>
        <v>2437</v>
      </c>
      <c r="ED436" s="30" t="n">
        <f aca="false">(EA436+CV436+BB436)/3</f>
        <v>77.8285714285714</v>
      </c>
      <c r="EE436" s="51" t="n">
        <f aca="false">ROUND(BE436,3)</f>
        <v>86.973</v>
      </c>
      <c r="EF436" s="51" t="n">
        <f aca="false">ROUND(CR436,3)</f>
        <v>86.714</v>
      </c>
      <c r="EG436" s="51" t="n">
        <f aca="false">ROUND(CS436,3)</f>
        <v>74.286</v>
      </c>
      <c r="EH436" s="51" t="n">
        <f aca="false">ROUND(EA436,3)</f>
        <v>73.286</v>
      </c>
      <c r="EI436" s="51" t="n">
        <f aca="false">ROUND(ED436,3)</f>
        <v>77.829</v>
      </c>
      <c r="EJ436" s="51" t="n">
        <f aca="false">ROUND(CV436,3)</f>
        <v>80.5</v>
      </c>
      <c r="EK436" s="0" t="n">
        <f aca="false">RANK(EI436,$EI$2:$EI$881,0)</f>
        <v>435</v>
      </c>
    </row>
    <row r="437" customFormat="false" ht="15" hidden="false" customHeight="false" outlineLevel="0" collapsed="false">
      <c r="A437" s="4" t="n">
        <v>8700</v>
      </c>
      <c r="B437" s="4" t="n">
        <v>809</v>
      </c>
      <c r="C437" s="27" t="s">
        <v>1367</v>
      </c>
      <c r="D437" s="31" t="n">
        <v>828</v>
      </c>
      <c r="E437" s="32" t="n">
        <v>230324927</v>
      </c>
      <c r="F437" s="8" t="s">
        <v>1368</v>
      </c>
      <c r="G437" s="22" t="s">
        <v>900</v>
      </c>
      <c r="H437" s="22" t="s">
        <v>129</v>
      </c>
      <c r="I437" s="33" t="n">
        <v>2005</v>
      </c>
      <c r="J437" s="32" t="n">
        <v>73</v>
      </c>
      <c r="K437" s="32" t="n">
        <v>86</v>
      </c>
      <c r="L437" s="34" t="n">
        <f aca="false">(K437*70)/100</f>
        <v>60.2</v>
      </c>
      <c r="M437" s="34" t="n">
        <f aca="false">ROUNDUP(L437,0)</f>
        <v>61</v>
      </c>
      <c r="N437" s="32" t="n">
        <v>24</v>
      </c>
      <c r="O437" s="34" t="n">
        <f aca="false">N437+L437</f>
        <v>84.2</v>
      </c>
      <c r="P437" s="34" t="n">
        <f aca="false">N437+M437</f>
        <v>85</v>
      </c>
      <c r="Q437" s="32" t="n">
        <v>81</v>
      </c>
      <c r="R437" s="32" t="n">
        <v>77</v>
      </c>
      <c r="S437" s="34" t="n">
        <f aca="false">(R437*70)/100</f>
        <v>53.9</v>
      </c>
      <c r="T437" s="34" t="n">
        <f aca="false">ROUNDUP(S437,0)</f>
        <v>54</v>
      </c>
      <c r="U437" s="32" t="n">
        <v>23</v>
      </c>
      <c r="V437" s="34" t="n">
        <f aca="false">U437+S437</f>
        <v>76.9</v>
      </c>
      <c r="W437" s="34" t="n">
        <f aca="false">U437+T437</f>
        <v>77</v>
      </c>
      <c r="X437" s="32" t="n">
        <v>64</v>
      </c>
      <c r="Y437" s="34" t="n">
        <f aca="false">(X437*70)/100</f>
        <v>44.8</v>
      </c>
      <c r="Z437" s="34" t="n">
        <f aca="false">ROUNDUP(Y437,0)</f>
        <v>45</v>
      </c>
      <c r="AA437" s="32" t="n">
        <v>24</v>
      </c>
      <c r="AB437" s="34" t="n">
        <f aca="false">AA437+Y437</f>
        <v>68.8</v>
      </c>
      <c r="AC437" s="34" t="n">
        <f aca="false">AA437+Z437</f>
        <v>69</v>
      </c>
      <c r="AD437" s="32" t="n">
        <f aca="false">X437+R437+Q437+K437+J437</f>
        <v>381</v>
      </c>
      <c r="AE437" s="16" t="n">
        <f aca="false">AD437/5</f>
        <v>76.2</v>
      </c>
      <c r="AF437" s="16" t="n">
        <v>66</v>
      </c>
      <c r="AG437" s="16" t="n">
        <v>88</v>
      </c>
      <c r="AH437" s="16" t="n">
        <v>86</v>
      </c>
      <c r="AI437" s="16" t="n">
        <v>95</v>
      </c>
      <c r="AJ437" s="16" t="n">
        <f aca="false">(AI437*70)/100</f>
        <v>66.5</v>
      </c>
      <c r="AK437" s="35" t="n">
        <f aca="false">ROUNDUP(AJ437,0)</f>
        <v>67</v>
      </c>
      <c r="AL437" s="16" t="n">
        <v>28</v>
      </c>
      <c r="AM437" s="16" t="n">
        <f aca="false">AL437+AJ437</f>
        <v>94.5</v>
      </c>
      <c r="AN437" s="16" t="n">
        <f aca="false">AL437+AK437</f>
        <v>95</v>
      </c>
      <c r="AO437" s="16" t="n">
        <v>77</v>
      </c>
      <c r="AP437" s="36" t="n">
        <f aca="false">(AO437*70)/100</f>
        <v>53.9</v>
      </c>
      <c r="AQ437" s="37" t="n">
        <f aca="false">ROUNDUP(AP437,0)</f>
        <v>54</v>
      </c>
      <c r="AR437" s="16" t="n">
        <v>25</v>
      </c>
      <c r="AS437" s="16" t="n">
        <f aca="false">AR437+AP437</f>
        <v>78.9</v>
      </c>
      <c r="AT437" s="16" t="n">
        <f aca="false">AR437+AQ437</f>
        <v>79</v>
      </c>
      <c r="AU437" s="16" t="n">
        <f aca="false">AO437+AF437+AI437+AH437+AG437</f>
        <v>412</v>
      </c>
      <c r="AV437" s="16" t="n">
        <f aca="false">(AO437+AF437+AI437+AH437+AG437)/5</f>
        <v>82.4</v>
      </c>
      <c r="AW437" s="36" t="n">
        <f aca="false">(AO437+AF437+AI437+AH437+AG437+X437+R437+Q437+K437+J437)</f>
        <v>793</v>
      </c>
      <c r="AX437" s="16" t="n">
        <f aca="false">AW437/10</f>
        <v>79.3</v>
      </c>
      <c r="AY437" s="16" t="n">
        <f aca="false">AS437+AF437+AM437+AH437+AG437+AB437+V437+Q437+O437+J437</f>
        <v>797.3</v>
      </c>
      <c r="AZ437" s="16" t="n">
        <f aca="false">AT437+AF437+AN437+AH437+AG437+AC437+W437+Q437+P437+J437</f>
        <v>799</v>
      </c>
      <c r="BA437" s="16" t="n">
        <f aca="false">AY437/10</f>
        <v>79.73</v>
      </c>
      <c r="BB437" s="16" t="n">
        <f aca="false">AZ437/10</f>
        <v>79.9</v>
      </c>
      <c r="BC437" s="16" t="n">
        <v>2380</v>
      </c>
      <c r="BD437" s="16" t="n">
        <f aca="false">RANK(AX437,$AX$2:$AX$881,0)</f>
        <v>309</v>
      </c>
      <c r="BE437" s="54" t="n">
        <f aca="false">((BC437*100)/2400)*0.4+(AX437*0.6)</f>
        <v>87.2466666666667</v>
      </c>
      <c r="BF437" s="16" t="n">
        <f aca="false">RANK(BE437,$BE$2:$BE$881,0)</f>
        <v>278</v>
      </c>
      <c r="BG437" s="39" t="n">
        <f aca="false">RANK(BB437,$BB$2:$BB$881,0)</f>
        <v>356</v>
      </c>
      <c r="BH437" s="39" t="n">
        <f aca="false">RANK(BC437,$BC$2:$BC$881,0)</f>
        <v>148</v>
      </c>
      <c r="BI437" s="22" t="s">
        <v>130</v>
      </c>
      <c r="BJ437" s="22" t="s">
        <v>129</v>
      </c>
      <c r="BK437" s="40" t="s">
        <v>131</v>
      </c>
      <c r="BL437" s="41" t="n">
        <v>26</v>
      </c>
      <c r="BM437" s="41" t="n">
        <v>50</v>
      </c>
      <c r="BN437" s="41" t="n">
        <v>76</v>
      </c>
      <c r="BO437" s="42" t="n">
        <v>24</v>
      </c>
      <c r="BP437" s="43" t="n">
        <v>40</v>
      </c>
      <c r="BQ437" s="44" t="n">
        <v>64</v>
      </c>
      <c r="BR437" s="42" t="n">
        <v>26</v>
      </c>
      <c r="BS437" s="45" t="n">
        <v>60</v>
      </c>
      <c r="BT437" s="45" t="n">
        <v>86</v>
      </c>
      <c r="BU437" s="46" t="n">
        <v>100</v>
      </c>
      <c r="BV437" s="47" t="n">
        <v>90</v>
      </c>
      <c r="BW437" s="42" t="n">
        <v>80</v>
      </c>
      <c r="BX437" s="48" t="n">
        <v>92</v>
      </c>
      <c r="BY437" s="32" t="n">
        <v>26</v>
      </c>
      <c r="BZ437" s="32" t="n">
        <v>56</v>
      </c>
      <c r="CA437" s="48" t="n">
        <v>82</v>
      </c>
      <c r="CB437" s="32" t="n">
        <v>24</v>
      </c>
      <c r="CC437" s="32" t="n">
        <v>44</v>
      </c>
      <c r="CD437" s="32" t="n">
        <v>68</v>
      </c>
      <c r="CE437" s="32" t="n">
        <v>25</v>
      </c>
      <c r="CF437" s="32" t="n">
        <v>50</v>
      </c>
      <c r="CG437" s="32" t="n">
        <v>75</v>
      </c>
      <c r="CH437" s="32" t="n">
        <v>98</v>
      </c>
      <c r="CI437" s="32" t="n">
        <v>99</v>
      </c>
      <c r="CJ437" s="83" t="n">
        <v>11</v>
      </c>
      <c r="CK437" s="60"/>
      <c r="CL437" s="61"/>
      <c r="CM437" s="49" t="n">
        <v>22</v>
      </c>
      <c r="CN437" s="49" t="n">
        <v>52</v>
      </c>
      <c r="CO437" s="49" t="n">
        <v>74</v>
      </c>
      <c r="CP437" s="25" t="n">
        <f aca="false">BX437+BW437+BV437+BU437+BT437+BQ437+BN437</f>
        <v>588</v>
      </c>
      <c r="CQ437" s="25" t="n">
        <f aca="false">CO437+CL437+CI437+CH437+CG437+CD437+CA437</f>
        <v>496</v>
      </c>
      <c r="CR437" s="26" t="n">
        <f aca="false">CP437/7</f>
        <v>84</v>
      </c>
      <c r="CS437" s="26" t="n">
        <f aca="false">CQ437/7</f>
        <v>70.8571428571429</v>
      </c>
      <c r="CT437" s="24" t="n">
        <f aca="false">RANK(CR437,$CR$2:$CR$881,0)</f>
        <v>487</v>
      </c>
      <c r="CU437" s="25" t="n">
        <f aca="false">RANK(CS437,$CS$2:$CS$881,0)</f>
        <v>541</v>
      </c>
      <c r="CV437" s="26" t="n">
        <f aca="false">(CS437+CR437)/2</f>
        <v>77.4285714285714</v>
      </c>
      <c r="CW437" s="25" t="n">
        <f aca="false">RANK(CV437,$CV$2:$CV$881,0)</f>
        <v>508</v>
      </c>
      <c r="CX437" s="50" t="n">
        <f aca="false">(CV437+BB437)/2</f>
        <v>78.6642857142857</v>
      </c>
      <c r="CY437" s="50" t="n">
        <v>478</v>
      </c>
      <c r="CZ437" s="27" t="s">
        <v>132</v>
      </c>
      <c r="DA437" s="27" t="s">
        <v>202</v>
      </c>
      <c r="DB437" s="27" t="s">
        <v>202</v>
      </c>
      <c r="DC437" s="27" t="s">
        <v>134</v>
      </c>
      <c r="DD437" s="27" t="s">
        <v>182</v>
      </c>
      <c r="DE437" s="27" t="s">
        <v>375</v>
      </c>
      <c r="DF437" s="27" t="s">
        <v>372</v>
      </c>
      <c r="DG437" s="27" t="s">
        <v>134</v>
      </c>
      <c r="DH437" s="27" t="s">
        <v>135</v>
      </c>
      <c r="DI437" s="27" t="s">
        <v>304</v>
      </c>
      <c r="DJ437" s="27" t="s">
        <v>272</v>
      </c>
      <c r="DK437" s="27" t="s">
        <v>134</v>
      </c>
      <c r="DL437" s="27" t="s">
        <v>164</v>
      </c>
      <c r="DM437" s="27" t="s">
        <v>897</v>
      </c>
      <c r="DN437" s="27" t="s">
        <v>155</v>
      </c>
      <c r="DO437" s="27" t="s">
        <v>134</v>
      </c>
      <c r="DP437" s="27" t="s">
        <v>485</v>
      </c>
      <c r="DQ437" s="27" t="s">
        <v>375</v>
      </c>
      <c r="DR437" s="27" t="s">
        <v>141</v>
      </c>
      <c r="DS437" s="27" t="s">
        <v>134</v>
      </c>
      <c r="DT437" s="27" t="s">
        <v>137</v>
      </c>
      <c r="DU437" s="27" t="s">
        <v>638</v>
      </c>
      <c r="DV437" s="27" t="s">
        <v>416</v>
      </c>
      <c r="DW437" s="27" t="s">
        <v>195</v>
      </c>
      <c r="DX437" s="27" t="s">
        <v>163</v>
      </c>
      <c r="DY437" s="27" t="s">
        <v>202</v>
      </c>
      <c r="DZ437" s="27" t="n">
        <f aca="false">DY437+DV437+DR437+DN437+DJ437+DF437+DB437</f>
        <v>533</v>
      </c>
      <c r="EA437" s="28" t="n">
        <f aca="false">DZ437/7</f>
        <v>76.1428571428571</v>
      </c>
      <c r="EB437" s="27" t="n">
        <f aca="false">RANK(EA437,$EA$2:$EA$881,0)</f>
        <v>519</v>
      </c>
      <c r="EC437" s="29" t="n">
        <f aca="false">DZ437+CQ437+CP437+AZ437</f>
        <v>2416</v>
      </c>
      <c r="ED437" s="30" t="n">
        <f aca="false">(EA437+CV437+BB437)/3</f>
        <v>77.8238095238095</v>
      </c>
      <c r="EE437" s="51" t="n">
        <f aca="false">ROUND(BE437,3)</f>
        <v>87.247</v>
      </c>
      <c r="EF437" s="51" t="n">
        <f aca="false">ROUND(CR437,3)</f>
        <v>84</v>
      </c>
      <c r="EG437" s="51" t="n">
        <f aca="false">ROUND(CS437,3)</f>
        <v>70.857</v>
      </c>
      <c r="EH437" s="51" t="n">
        <f aca="false">ROUND(EA437,3)</f>
        <v>76.143</v>
      </c>
      <c r="EI437" s="51" t="n">
        <f aca="false">ROUND(ED437,3)</f>
        <v>77.824</v>
      </c>
      <c r="EJ437" s="51" t="n">
        <f aca="false">ROUND(CV437,3)</f>
        <v>77.429</v>
      </c>
      <c r="EK437" s="0" t="n">
        <f aca="false">RANK(EI437,$EI$2:$EI$881,0)</f>
        <v>436</v>
      </c>
    </row>
    <row r="438" customFormat="false" ht="15" hidden="false" customHeight="false" outlineLevel="0" collapsed="false">
      <c r="A438" s="4" t="n">
        <v>9086</v>
      </c>
      <c r="B438" s="4" t="n">
        <v>478</v>
      </c>
      <c r="C438" s="27" t="s">
        <v>1369</v>
      </c>
      <c r="D438" s="31" t="n">
        <v>487</v>
      </c>
      <c r="E438" s="32" t="n">
        <v>230315705</v>
      </c>
      <c r="F438" s="8" t="s">
        <v>1370</v>
      </c>
      <c r="G438" s="22" t="s">
        <v>493</v>
      </c>
      <c r="H438" s="22" t="s">
        <v>129</v>
      </c>
      <c r="I438" s="33" t="n">
        <v>2005</v>
      </c>
      <c r="J438" s="32" t="n">
        <v>80</v>
      </c>
      <c r="K438" s="32" t="n">
        <v>64</v>
      </c>
      <c r="L438" s="34" t="n">
        <f aca="false">(K438*70)/100</f>
        <v>44.8</v>
      </c>
      <c r="M438" s="34" t="n">
        <f aca="false">ROUNDUP(L438,0)</f>
        <v>45</v>
      </c>
      <c r="N438" s="32" t="n">
        <v>22</v>
      </c>
      <c r="O438" s="34" t="n">
        <f aca="false">N438+L438</f>
        <v>66.8</v>
      </c>
      <c r="P438" s="34" t="n">
        <f aca="false">N438+M438</f>
        <v>67</v>
      </c>
      <c r="Q438" s="32" t="n">
        <v>72</v>
      </c>
      <c r="R438" s="32" t="n">
        <v>69</v>
      </c>
      <c r="S438" s="34" t="n">
        <f aca="false">(R438*70)/100</f>
        <v>48.3</v>
      </c>
      <c r="T438" s="34" t="n">
        <f aca="false">ROUNDUP(S438,0)</f>
        <v>49</v>
      </c>
      <c r="U438" s="32" t="n">
        <v>19</v>
      </c>
      <c r="V438" s="34" t="n">
        <f aca="false">U438+S438</f>
        <v>67.3</v>
      </c>
      <c r="W438" s="34" t="n">
        <f aca="false">U438+T438</f>
        <v>68</v>
      </c>
      <c r="X438" s="32" t="n">
        <v>72</v>
      </c>
      <c r="Y438" s="34" t="n">
        <f aca="false">(X438*70)/100</f>
        <v>50.4</v>
      </c>
      <c r="Z438" s="34" t="n">
        <f aca="false">ROUNDUP(Y438,0)</f>
        <v>51</v>
      </c>
      <c r="AA438" s="32" t="n">
        <v>27</v>
      </c>
      <c r="AB438" s="34" t="n">
        <f aca="false">AA438+Y438</f>
        <v>77.4</v>
      </c>
      <c r="AC438" s="34" t="n">
        <f aca="false">AA438+Z438</f>
        <v>78</v>
      </c>
      <c r="AD438" s="32" t="n">
        <f aca="false">X438+R438+Q438+K438+J438</f>
        <v>357</v>
      </c>
      <c r="AE438" s="16" t="n">
        <f aca="false">AD438/5</f>
        <v>71.4</v>
      </c>
      <c r="AF438" s="16" t="n">
        <v>78</v>
      </c>
      <c r="AG438" s="16" t="n">
        <v>85</v>
      </c>
      <c r="AH438" s="16" t="n">
        <v>93</v>
      </c>
      <c r="AI438" s="16" t="n">
        <v>93</v>
      </c>
      <c r="AJ438" s="16" t="n">
        <f aca="false">(AI438*70)/100</f>
        <v>65.1</v>
      </c>
      <c r="AK438" s="35" t="n">
        <f aca="false">ROUNDUP(AJ438,0)</f>
        <v>66</v>
      </c>
      <c r="AL438" s="16" t="n">
        <v>18</v>
      </c>
      <c r="AM438" s="16" t="n">
        <f aca="false">AL438+AJ438</f>
        <v>83.1</v>
      </c>
      <c r="AN438" s="16" t="n">
        <f aca="false">AL438+AK438</f>
        <v>84</v>
      </c>
      <c r="AO438" s="16" t="n">
        <v>87</v>
      </c>
      <c r="AP438" s="36" t="n">
        <f aca="false">(AO438*70)/100</f>
        <v>60.9</v>
      </c>
      <c r="AQ438" s="37" t="n">
        <f aca="false">ROUNDUP(AP438,0)</f>
        <v>61</v>
      </c>
      <c r="AR438" s="16" t="n">
        <v>26</v>
      </c>
      <c r="AS438" s="16" t="n">
        <f aca="false">AR438+AP438</f>
        <v>86.9</v>
      </c>
      <c r="AT438" s="16" t="n">
        <f aca="false">AR438+AQ438</f>
        <v>87</v>
      </c>
      <c r="AU438" s="16" t="n">
        <f aca="false">AO438+AF438+AI438+AH438+AG438</f>
        <v>436</v>
      </c>
      <c r="AV438" s="16" t="n">
        <f aca="false">(AO438+AF438+AI438+AH438+AG438)/5</f>
        <v>87.2</v>
      </c>
      <c r="AW438" s="36" t="n">
        <f aca="false">(AO438+AF438+AI438+AH438+AG438+X438+R438+Q438+K438+J438)</f>
        <v>793</v>
      </c>
      <c r="AX438" s="16" t="n">
        <f aca="false">AW438/10</f>
        <v>79.3</v>
      </c>
      <c r="AY438" s="16" t="n">
        <f aca="false">AS438+AF438+AM438+AH438+AG438+AB438+V438+Q438+O438+J438</f>
        <v>789.5</v>
      </c>
      <c r="AZ438" s="16" t="n">
        <f aca="false">AT438+AF438+AN438+AH438+AG438+AC438+W438+Q438+P438+J438</f>
        <v>792</v>
      </c>
      <c r="BA438" s="16" t="n">
        <f aca="false">AY438/10</f>
        <v>78.95</v>
      </c>
      <c r="BB438" s="16" t="n">
        <f aca="false">AZ438/10</f>
        <v>79.2</v>
      </c>
      <c r="BC438" s="16" t="n">
        <v>2372</v>
      </c>
      <c r="BD438" s="16" t="n">
        <f aca="false">RANK(AX438,$AX$2:$AX$881,0)</f>
        <v>309</v>
      </c>
      <c r="BE438" s="54" t="n">
        <f aca="false">((BC438*100)/2400)*0.4+(AX438*0.6)</f>
        <v>87.1133333333333</v>
      </c>
      <c r="BF438" s="16" t="n">
        <f aca="false">RANK(BE438,$BE$2:$BE$881,0)</f>
        <v>288</v>
      </c>
      <c r="BG438" s="39" t="n">
        <f aca="false">RANK(BB438,$BB$2:$BB$881,0)</f>
        <v>434</v>
      </c>
      <c r="BH438" s="39" t="n">
        <f aca="false">RANK(BC438,$BC$2:$BC$881,0)</f>
        <v>246</v>
      </c>
      <c r="BI438" s="22" t="s">
        <v>130</v>
      </c>
      <c r="BJ438" s="22" t="s">
        <v>129</v>
      </c>
      <c r="BK438" s="40" t="s">
        <v>131</v>
      </c>
      <c r="BL438" s="41" t="n">
        <v>16</v>
      </c>
      <c r="BM438" s="41" t="n">
        <v>50</v>
      </c>
      <c r="BN438" s="41" t="n">
        <v>66</v>
      </c>
      <c r="BO438" s="42" t="n">
        <v>19</v>
      </c>
      <c r="BP438" s="43" t="n">
        <v>50</v>
      </c>
      <c r="BQ438" s="44" t="n">
        <v>69</v>
      </c>
      <c r="BR438" s="42" t="n">
        <v>18</v>
      </c>
      <c r="BS438" s="45" t="n">
        <v>57</v>
      </c>
      <c r="BT438" s="45" t="n">
        <v>75</v>
      </c>
      <c r="BU438" s="46" t="n">
        <v>98</v>
      </c>
      <c r="BV438" s="47" t="n">
        <v>92</v>
      </c>
      <c r="BW438" s="42" t="n">
        <v>90</v>
      </c>
      <c r="BX438" s="48" t="n">
        <v>88</v>
      </c>
      <c r="BY438" s="32" t="n">
        <v>24</v>
      </c>
      <c r="BZ438" s="32" t="n">
        <v>43</v>
      </c>
      <c r="CA438" s="32" t="n">
        <v>67</v>
      </c>
      <c r="CB438" s="32" t="n">
        <v>16</v>
      </c>
      <c r="CC438" s="68" t="n">
        <v>0</v>
      </c>
      <c r="CD438" s="69" t="n">
        <v>16</v>
      </c>
      <c r="CE438" s="32" t="n">
        <v>22</v>
      </c>
      <c r="CF438" s="32" t="n">
        <v>48</v>
      </c>
      <c r="CG438" s="32" t="n">
        <v>70</v>
      </c>
      <c r="CH438" s="32" t="n">
        <v>98</v>
      </c>
      <c r="CI438" s="32" t="n">
        <v>95</v>
      </c>
      <c r="CJ438" s="49" t="n">
        <v>18</v>
      </c>
      <c r="CK438" s="49" t="n">
        <v>54</v>
      </c>
      <c r="CL438" s="49" t="n">
        <v>72</v>
      </c>
      <c r="CM438" s="49" t="n">
        <v>20</v>
      </c>
      <c r="CN438" s="49" t="n">
        <v>55</v>
      </c>
      <c r="CO438" s="49" t="n">
        <v>75</v>
      </c>
      <c r="CP438" s="25" t="n">
        <f aca="false">BX438+BW438+BV438+BU438+BT438+BQ438+BN438</f>
        <v>578</v>
      </c>
      <c r="CQ438" s="25" t="n">
        <f aca="false">CO438+CL438+CI438+CH438+CG438+CD438+CA438</f>
        <v>493</v>
      </c>
      <c r="CR438" s="26" t="n">
        <f aca="false">CP438/7</f>
        <v>82.5714285714286</v>
      </c>
      <c r="CS438" s="26" t="n">
        <f aca="false">CQ438/7</f>
        <v>70.4285714285714</v>
      </c>
      <c r="CT438" s="24" t="n">
        <f aca="false">RANK(CR438,$CR$2:$CR$881,0)</f>
        <v>528</v>
      </c>
      <c r="CU438" s="25" t="n">
        <f aca="false">RANK(CS438,$CS$2:$CS$881,0)</f>
        <v>549</v>
      </c>
      <c r="CV438" s="26" t="n">
        <f aca="false">(CS438+CR438)/2</f>
        <v>76.5</v>
      </c>
      <c r="CW438" s="25" t="n">
        <f aca="false">RANK(CV438,$CV$2:$CV$881,0)</f>
        <v>527</v>
      </c>
      <c r="CX438" s="50" t="n">
        <f aca="false">(CV438+BB438)/2</f>
        <v>77.85</v>
      </c>
      <c r="CY438" s="50" t="n">
        <v>473</v>
      </c>
      <c r="CZ438" s="27" t="s">
        <v>132</v>
      </c>
      <c r="DA438" s="27" t="s">
        <v>219</v>
      </c>
      <c r="DB438" s="27" t="s">
        <v>219</v>
      </c>
      <c r="DC438" s="27" t="s">
        <v>134</v>
      </c>
      <c r="DD438" s="27" t="s">
        <v>191</v>
      </c>
      <c r="DE438" s="27" t="s">
        <v>203</v>
      </c>
      <c r="DF438" s="27" t="s">
        <v>205</v>
      </c>
      <c r="DG438" s="27" t="s">
        <v>134</v>
      </c>
      <c r="DH438" s="27" t="s">
        <v>174</v>
      </c>
      <c r="DI438" s="27" t="s">
        <v>183</v>
      </c>
      <c r="DJ438" s="27" t="s">
        <v>219</v>
      </c>
      <c r="DK438" s="27" t="s">
        <v>134</v>
      </c>
      <c r="DL438" s="27" t="s">
        <v>135</v>
      </c>
      <c r="DM438" s="27" t="s">
        <v>399</v>
      </c>
      <c r="DN438" s="27" t="s">
        <v>486</v>
      </c>
      <c r="DO438" s="27" t="s">
        <v>134</v>
      </c>
      <c r="DP438" s="27" t="s">
        <v>485</v>
      </c>
      <c r="DQ438" s="27" t="s">
        <v>313</v>
      </c>
      <c r="DR438" s="27" t="s">
        <v>138</v>
      </c>
      <c r="DS438" s="27" t="s">
        <v>134</v>
      </c>
      <c r="DT438" s="27" t="s">
        <v>164</v>
      </c>
      <c r="DU438" s="27" t="s">
        <v>218</v>
      </c>
      <c r="DV438" s="27" t="s">
        <v>209</v>
      </c>
      <c r="DW438" s="27" t="s">
        <v>174</v>
      </c>
      <c r="DX438" s="27" t="s">
        <v>304</v>
      </c>
      <c r="DY438" s="27" t="s">
        <v>443</v>
      </c>
      <c r="DZ438" s="27" t="n">
        <f aca="false">DY438+DV438+DR438+DN438+DJ438+DF438+DB438</f>
        <v>544</v>
      </c>
      <c r="EA438" s="28" t="n">
        <f aca="false">DZ438/7</f>
        <v>77.7142857142857</v>
      </c>
      <c r="EB438" s="27" t="n">
        <f aca="false">RANK(EA438,$EA$2:$EA$881,0)</f>
        <v>467</v>
      </c>
      <c r="EC438" s="29" t="n">
        <f aca="false">DZ438+CQ438+CP438+AZ438</f>
        <v>2407</v>
      </c>
      <c r="ED438" s="30" t="n">
        <f aca="false">(EA438+CV438+BB438)/3</f>
        <v>77.8047619047619</v>
      </c>
      <c r="EE438" s="51" t="n">
        <f aca="false">ROUND(BE438,3)</f>
        <v>87.113</v>
      </c>
      <c r="EF438" s="51" t="n">
        <f aca="false">ROUND(CR438,3)</f>
        <v>82.571</v>
      </c>
      <c r="EG438" s="51" t="n">
        <f aca="false">ROUND(CS438,3)</f>
        <v>70.429</v>
      </c>
      <c r="EH438" s="51" t="n">
        <f aca="false">ROUND(EA438,3)</f>
        <v>77.714</v>
      </c>
      <c r="EI438" s="51" t="n">
        <f aca="false">ROUND(ED438,3)</f>
        <v>77.805</v>
      </c>
      <c r="EJ438" s="51" t="n">
        <f aca="false">ROUND(CV438,3)</f>
        <v>76.5</v>
      </c>
      <c r="EK438" s="0" t="n">
        <f aca="false">RANK(EI438,$EI$2:$EI$881,0)</f>
        <v>437</v>
      </c>
    </row>
    <row r="439" customFormat="false" ht="15" hidden="false" customHeight="false" outlineLevel="0" collapsed="false">
      <c r="A439" s="4" t="n">
        <v>9153</v>
      </c>
      <c r="B439" s="4" t="n">
        <v>603</v>
      </c>
      <c r="C439" s="27" t="s">
        <v>1371</v>
      </c>
      <c r="D439" s="31" t="n">
        <v>610</v>
      </c>
      <c r="E439" s="32" t="n">
        <v>230320945</v>
      </c>
      <c r="F439" s="8" t="s">
        <v>1372</v>
      </c>
      <c r="G439" s="22" t="s">
        <v>1373</v>
      </c>
      <c r="H439" s="22" t="s">
        <v>129</v>
      </c>
      <c r="I439" s="33" t="n">
        <v>2005</v>
      </c>
      <c r="J439" s="32" t="n">
        <v>88</v>
      </c>
      <c r="K439" s="32" t="n">
        <v>78</v>
      </c>
      <c r="L439" s="34" t="n">
        <f aca="false">(K439*70)/100</f>
        <v>54.6</v>
      </c>
      <c r="M439" s="34" t="n">
        <f aca="false">ROUNDUP(L439,0)</f>
        <v>55</v>
      </c>
      <c r="N439" s="32" t="n">
        <v>23</v>
      </c>
      <c r="O439" s="34" t="n">
        <f aca="false">N439+L439</f>
        <v>77.6</v>
      </c>
      <c r="P439" s="34" t="n">
        <f aca="false">N439+M439</f>
        <v>78</v>
      </c>
      <c r="Q439" s="32" t="n">
        <v>72</v>
      </c>
      <c r="R439" s="32" t="n">
        <v>77</v>
      </c>
      <c r="S439" s="34" t="n">
        <f aca="false">(R439*70)/100</f>
        <v>53.9</v>
      </c>
      <c r="T439" s="34" t="n">
        <f aca="false">ROUNDUP(S439,0)</f>
        <v>54</v>
      </c>
      <c r="U439" s="32" t="n">
        <v>13</v>
      </c>
      <c r="V439" s="34" t="n">
        <f aca="false">U439+S439</f>
        <v>66.9</v>
      </c>
      <c r="W439" s="34" t="n">
        <f aca="false">U439+T439</f>
        <v>67</v>
      </c>
      <c r="X439" s="32" t="n">
        <v>69</v>
      </c>
      <c r="Y439" s="34" t="n">
        <f aca="false">(X439*70)/100</f>
        <v>48.3</v>
      </c>
      <c r="Z439" s="34" t="n">
        <f aca="false">ROUNDUP(Y439,0)</f>
        <v>49</v>
      </c>
      <c r="AA439" s="32" t="n">
        <v>22</v>
      </c>
      <c r="AB439" s="34" t="n">
        <f aca="false">AA439+Y439</f>
        <v>70.3</v>
      </c>
      <c r="AC439" s="34" t="n">
        <f aca="false">AA439+Z439</f>
        <v>71</v>
      </c>
      <c r="AD439" s="32" t="n">
        <f aca="false">X439+R439+Q439+K439+J439</f>
        <v>384</v>
      </c>
      <c r="AE439" s="16" t="n">
        <f aca="false">AD439/5</f>
        <v>76.8</v>
      </c>
      <c r="AF439" s="16" t="n">
        <v>68</v>
      </c>
      <c r="AG439" s="16" t="n">
        <v>94</v>
      </c>
      <c r="AH439" s="16" t="n">
        <v>84</v>
      </c>
      <c r="AI439" s="16" t="n">
        <v>88</v>
      </c>
      <c r="AJ439" s="16" t="n">
        <f aca="false">(AI439*70)/100</f>
        <v>61.6</v>
      </c>
      <c r="AK439" s="35" t="n">
        <f aca="false">ROUNDUP(AJ439,0)</f>
        <v>62</v>
      </c>
      <c r="AL439" s="16" t="n">
        <v>25</v>
      </c>
      <c r="AM439" s="16" t="n">
        <f aca="false">AL439+AJ439</f>
        <v>86.6</v>
      </c>
      <c r="AN439" s="16" t="n">
        <f aca="false">AL439+AK439</f>
        <v>87</v>
      </c>
      <c r="AO439" s="16" t="n">
        <v>77</v>
      </c>
      <c r="AP439" s="36" t="n">
        <f aca="false">(AO439*70)/100</f>
        <v>53.9</v>
      </c>
      <c r="AQ439" s="37" t="n">
        <f aca="false">ROUNDUP(AP439,0)</f>
        <v>54</v>
      </c>
      <c r="AR439" s="16" t="n">
        <v>24</v>
      </c>
      <c r="AS439" s="16" t="n">
        <f aca="false">AR439+AP439</f>
        <v>77.9</v>
      </c>
      <c r="AT439" s="16" t="n">
        <f aca="false">AR439+AQ439</f>
        <v>78</v>
      </c>
      <c r="AU439" s="16" t="n">
        <f aca="false">AO439+AF439+AI439+AH439+AG439</f>
        <v>411</v>
      </c>
      <c r="AV439" s="16" t="n">
        <f aca="false">(AO439+AF439+AI439+AH439+AG439)/5</f>
        <v>82.2</v>
      </c>
      <c r="AW439" s="36" t="n">
        <f aca="false">(AO439+AF439+AI439+AH439+AG439+X439+R439+Q439+K439+J439)</f>
        <v>795</v>
      </c>
      <c r="AX439" s="16" t="n">
        <f aca="false">AW439/10</f>
        <v>79.5</v>
      </c>
      <c r="AY439" s="16" t="n">
        <f aca="false">AS439+AF439+AM439+AH439+AG439+AB439+V439+Q439+O439+J439</f>
        <v>785.3</v>
      </c>
      <c r="AZ439" s="16" t="n">
        <f aca="false">AT439+AF439+AN439+AH439+AG439+AC439+W439+Q439+P439+J439</f>
        <v>787</v>
      </c>
      <c r="BA439" s="16" t="n">
        <f aca="false">AY439/10</f>
        <v>78.53</v>
      </c>
      <c r="BB439" s="16" t="n">
        <f aca="false">AZ439/10</f>
        <v>78.7</v>
      </c>
      <c r="BC439" s="16" t="n">
        <v>2377</v>
      </c>
      <c r="BD439" s="16" t="n">
        <f aca="false">RANK(AX439,$AX$2:$AX$881,0)</f>
        <v>300</v>
      </c>
      <c r="BE439" s="54" t="n">
        <f aca="false">((BC439*100)/2400)*0.4+(AX439*0.6)</f>
        <v>87.3166666666667</v>
      </c>
      <c r="BF439" s="16" t="n">
        <f aca="false">RANK(BE439,$BE$2:$BE$881,0)</f>
        <v>267</v>
      </c>
      <c r="BG439" s="39" t="n">
        <f aca="false">RANK(BB439,$BB$2:$BB$881,0)</f>
        <v>482</v>
      </c>
      <c r="BH439" s="39" t="n">
        <f aca="false">RANK(BC439,$BC$2:$BC$881,0)</f>
        <v>189</v>
      </c>
      <c r="BI439" s="22" t="s">
        <v>130</v>
      </c>
      <c r="BJ439" s="22" t="s">
        <v>129</v>
      </c>
      <c r="BK439" s="40" t="s">
        <v>131</v>
      </c>
      <c r="BL439" s="41" t="n">
        <v>19</v>
      </c>
      <c r="BM439" s="41" t="n">
        <v>57</v>
      </c>
      <c r="BN439" s="41" t="n">
        <v>76</v>
      </c>
      <c r="BO439" s="42" t="n">
        <v>18</v>
      </c>
      <c r="BP439" s="43" t="n">
        <v>57</v>
      </c>
      <c r="BQ439" s="44" t="n">
        <v>75</v>
      </c>
      <c r="BR439" s="42" t="n">
        <v>19</v>
      </c>
      <c r="BS439" s="45" t="n">
        <v>51</v>
      </c>
      <c r="BT439" s="45" t="n">
        <v>70</v>
      </c>
      <c r="BU439" s="46" t="n">
        <v>100</v>
      </c>
      <c r="BV439" s="47" t="n">
        <v>90</v>
      </c>
      <c r="BW439" s="42" t="n">
        <v>99</v>
      </c>
      <c r="BX439" s="48" t="n">
        <v>88</v>
      </c>
      <c r="BY439" s="32" t="n">
        <v>26</v>
      </c>
      <c r="BZ439" s="32" t="n">
        <v>44</v>
      </c>
      <c r="CA439" s="32" t="n">
        <v>70</v>
      </c>
      <c r="CB439" s="32" t="n">
        <v>22</v>
      </c>
      <c r="CC439" s="32" t="n">
        <v>42</v>
      </c>
      <c r="CD439" s="32" t="n">
        <v>64</v>
      </c>
      <c r="CE439" s="32" t="n">
        <v>30</v>
      </c>
      <c r="CF439" s="32" t="n">
        <v>41</v>
      </c>
      <c r="CG439" s="32" t="n">
        <v>71</v>
      </c>
      <c r="CH439" s="32" t="n">
        <v>96</v>
      </c>
      <c r="CI439" s="32" t="n">
        <v>96</v>
      </c>
      <c r="CJ439" s="49" t="n">
        <v>21</v>
      </c>
      <c r="CK439" s="49" t="n">
        <v>44</v>
      </c>
      <c r="CL439" s="49" t="n">
        <v>65</v>
      </c>
      <c r="CM439" s="49" t="n">
        <v>22</v>
      </c>
      <c r="CN439" s="49" t="n">
        <v>53</v>
      </c>
      <c r="CO439" s="49" t="n">
        <v>75</v>
      </c>
      <c r="CP439" s="25" t="n">
        <f aca="false">BX439+BW439+BV439+BU439+BT439+BQ439+BN439</f>
        <v>598</v>
      </c>
      <c r="CQ439" s="25" t="n">
        <f aca="false">CO439+CL439+CI439+CH439+CG439+CD439+CA439</f>
        <v>537</v>
      </c>
      <c r="CR439" s="26" t="n">
        <f aca="false">CP439/7</f>
        <v>85.4285714285714</v>
      </c>
      <c r="CS439" s="26" t="n">
        <f aca="false">CQ439/7</f>
        <v>76.7142857142857</v>
      </c>
      <c r="CT439" s="24" t="n">
        <f aca="false">RANK(CR439,$CR$2:$CR$881,0)</f>
        <v>420</v>
      </c>
      <c r="CU439" s="25" t="n">
        <f aca="false">RANK(CS439,$CS$2:$CS$881,0)</f>
        <v>375</v>
      </c>
      <c r="CV439" s="26" t="n">
        <f aca="false">(CS439+CR439)/2</f>
        <v>81.0714285714286</v>
      </c>
      <c r="CW439" s="25" t="n">
        <f aca="false">RANK(CV439,$CV$2:$CV$881,0)</f>
        <v>379</v>
      </c>
      <c r="CX439" s="50" t="n">
        <f aca="false">(CV439+BB439)/2</f>
        <v>79.8857142857143</v>
      </c>
      <c r="CY439" s="50" t="n">
        <v>376</v>
      </c>
      <c r="CZ439" s="27" t="s">
        <v>132</v>
      </c>
      <c r="DA439" s="27" t="s">
        <v>305</v>
      </c>
      <c r="DB439" s="27" t="s">
        <v>305</v>
      </c>
      <c r="DC439" s="27" t="s">
        <v>134</v>
      </c>
      <c r="DD439" s="27" t="s">
        <v>195</v>
      </c>
      <c r="DE439" s="27" t="s">
        <v>177</v>
      </c>
      <c r="DF439" s="27" t="s">
        <v>196</v>
      </c>
      <c r="DG439" s="27" t="s">
        <v>134</v>
      </c>
      <c r="DH439" s="27" t="s">
        <v>146</v>
      </c>
      <c r="DI439" s="27" t="s">
        <v>681</v>
      </c>
      <c r="DJ439" s="27" t="s">
        <v>443</v>
      </c>
      <c r="DK439" s="27" t="s">
        <v>134</v>
      </c>
      <c r="DL439" s="27" t="s">
        <v>154</v>
      </c>
      <c r="DM439" s="27" t="s">
        <v>479</v>
      </c>
      <c r="DN439" s="27" t="s">
        <v>203</v>
      </c>
      <c r="DO439" s="27" t="s">
        <v>134</v>
      </c>
      <c r="DP439" s="27" t="s">
        <v>604</v>
      </c>
      <c r="DQ439" s="27" t="s">
        <v>897</v>
      </c>
      <c r="DR439" s="27" t="s">
        <v>204</v>
      </c>
      <c r="DS439" s="27" t="s">
        <v>480</v>
      </c>
      <c r="DT439" s="27" t="s">
        <v>135</v>
      </c>
      <c r="DU439" s="27" t="s">
        <v>415</v>
      </c>
      <c r="DV439" s="27" t="s">
        <v>398</v>
      </c>
      <c r="DW439" s="27" t="s">
        <v>191</v>
      </c>
      <c r="DX439" s="27" t="s">
        <v>141</v>
      </c>
      <c r="DY439" s="27" t="s">
        <v>178</v>
      </c>
      <c r="DZ439" s="27" t="n">
        <f aca="false">DY439+DV439+DR439+DN439+DJ439+DF439+DB439</f>
        <v>515</v>
      </c>
      <c r="EA439" s="28" t="n">
        <f aca="false">DZ439/7</f>
        <v>73.5714285714286</v>
      </c>
      <c r="EB439" s="27" t="n">
        <f aca="false">RANK(EA439,$EA$2:$EA$881,0)</f>
        <v>582</v>
      </c>
      <c r="EC439" s="29" t="n">
        <f aca="false">DZ439+CQ439+CP439+AZ439</f>
        <v>2437</v>
      </c>
      <c r="ED439" s="30" t="n">
        <f aca="false">(EA439+CV439+BB439)/3</f>
        <v>77.7809523809524</v>
      </c>
      <c r="EE439" s="51" t="n">
        <f aca="false">ROUND(BE439,3)</f>
        <v>87.317</v>
      </c>
      <c r="EF439" s="51" t="n">
        <f aca="false">ROUND(CR439,3)</f>
        <v>85.429</v>
      </c>
      <c r="EG439" s="51" t="n">
        <f aca="false">ROUND(CS439,3)</f>
        <v>76.714</v>
      </c>
      <c r="EH439" s="51" t="n">
        <f aca="false">ROUND(EA439,3)</f>
        <v>73.571</v>
      </c>
      <c r="EI439" s="51" t="n">
        <f aca="false">ROUND(ED439,3)</f>
        <v>77.781</v>
      </c>
      <c r="EJ439" s="51" t="n">
        <f aca="false">ROUND(CV439,3)</f>
        <v>81.071</v>
      </c>
      <c r="EK439" s="0" t="n">
        <f aca="false">RANK(EI439,$EI$2:$EI$881,0)</f>
        <v>438</v>
      </c>
    </row>
    <row r="440" customFormat="false" ht="17.45" hidden="false" customHeight="false" outlineLevel="0" collapsed="false">
      <c r="A440" s="4" t="n">
        <v>1865</v>
      </c>
      <c r="B440" s="4" t="n">
        <v>696</v>
      </c>
      <c r="C440" s="27" t="s">
        <v>1374</v>
      </c>
      <c r="D440" s="31" t="n">
        <v>710</v>
      </c>
      <c r="E440" s="16" t="n">
        <v>230129916</v>
      </c>
      <c r="F440" s="56" t="s">
        <v>1375</v>
      </c>
      <c r="G440" s="22" t="s">
        <v>289</v>
      </c>
      <c r="H440" s="22" t="s">
        <v>326</v>
      </c>
      <c r="I440" s="57"/>
      <c r="J440" s="16" t="n">
        <v>63</v>
      </c>
      <c r="K440" s="16" t="n">
        <v>77</v>
      </c>
      <c r="L440" s="34" t="n">
        <f aca="false">(K440*70)/100</f>
        <v>53.9</v>
      </c>
      <c r="M440" s="34" t="n">
        <f aca="false">ROUNDUP(L440,0)</f>
        <v>54</v>
      </c>
      <c r="N440" s="16" t="n">
        <v>18</v>
      </c>
      <c r="O440" s="34" t="n">
        <f aca="false">N440+L440</f>
        <v>71.9</v>
      </c>
      <c r="P440" s="34" t="n">
        <f aca="false">N440+M440</f>
        <v>72</v>
      </c>
      <c r="Q440" s="16" t="n">
        <v>64</v>
      </c>
      <c r="R440" s="16" t="n">
        <v>77</v>
      </c>
      <c r="S440" s="34" t="n">
        <f aca="false">(R440*70)/100</f>
        <v>53.9</v>
      </c>
      <c r="T440" s="34" t="n">
        <f aca="false">ROUNDUP(S440,0)</f>
        <v>54</v>
      </c>
      <c r="U440" s="16" t="n">
        <v>25</v>
      </c>
      <c r="V440" s="34" t="n">
        <f aca="false">U440+S440</f>
        <v>78.9</v>
      </c>
      <c r="W440" s="34" t="n">
        <f aca="false">U440+T440</f>
        <v>79</v>
      </c>
      <c r="X440" s="16" t="n">
        <v>69</v>
      </c>
      <c r="Y440" s="34" t="n">
        <f aca="false">(X440*70)/100</f>
        <v>48.3</v>
      </c>
      <c r="Z440" s="34" t="n">
        <f aca="false">ROUNDUP(Y440,0)</f>
        <v>49</v>
      </c>
      <c r="AA440" s="16" t="n">
        <v>28</v>
      </c>
      <c r="AB440" s="34" t="n">
        <f aca="false">AA440+Y440</f>
        <v>76.3</v>
      </c>
      <c r="AC440" s="34" t="n">
        <f aca="false">AA440+Z440</f>
        <v>77</v>
      </c>
      <c r="AD440" s="32" t="n">
        <f aca="false">X440+R440+Q440+K440+J440</f>
        <v>350</v>
      </c>
      <c r="AE440" s="16" t="n">
        <f aca="false">AD440/5</f>
        <v>70</v>
      </c>
      <c r="AF440" s="16" t="n">
        <v>81</v>
      </c>
      <c r="AG440" s="16" t="n">
        <v>74</v>
      </c>
      <c r="AH440" s="16" t="n">
        <v>95</v>
      </c>
      <c r="AI440" s="16" t="n">
        <v>93</v>
      </c>
      <c r="AJ440" s="16" t="n">
        <f aca="false">(AI440*70)/100</f>
        <v>65.1</v>
      </c>
      <c r="AK440" s="35" t="n">
        <f aca="false">ROUNDUP(AJ440,0)</f>
        <v>66</v>
      </c>
      <c r="AL440" s="16" t="n">
        <v>22</v>
      </c>
      <c r="AM440" s="16" t="n">
        <f aca="false">AL440+AJ440</f>
        <v>87.1</v>
      </c>
      <c r="AN440" s="16" t="n">
        <f aca="false">AL440+AK440</f>
        <v>88</v>
      </c>
      <c r="AO440" s="16" t="n">
        <v>79</v>
      </c>
      <c r="AP440" s="36" t="n">
        <f aca="false">(AO440*70)/100</f>
        <v>55.3</v>
      </c>
      <c r="AQ440" s="37" t="n">
        <f aca="false">ROUNDUP(AP440,0)</f>
        <v>56</v>
      </c>
      <c r="AR440" s="16" t="n">
        <v>22</v>
      </c>
      <c r="AS440" s="16" t="n">
        <f aca="false">AR440+AP440</f>
        <v>77.3</v>
      </c>
      <c r="AT440" s="16" t="n">
        <f aca="false">AR440+AQ440</f>
        <v>78</v>
      </c>
      <c r="AU440" s="16" t="n">
        <f aca="false">AO440+AF440+AI440+AH440+AG440</f>
        <v>422</v>
      </c>
      <c r="AV440" s="16" t="n">
        <f aca="false">(AO440+AF440+AI440+AH440+AG440)/5</f>
        <v>84.4</v>
      </c>
      <c r="AW440" s="36" t="n">
        <f aca="false">(AO440+AF440+AI440+AH440+AG440+X440+R440+Q440+K440+J440)</f>
        <v>772</v>
      </c>
      <c r="AX440" s="16" t="n">
        <f aca="false">AW440/10</f>
        <v>77.2</v>
      </c>
      <c r="AY440" s="16" t="n">
        <f aca="false">AS440+AF440+AM440+AH440+AG440+AB440+V440+Q440+O440+J440</f>
        <v>768.5</v>
      </c>
      <c r="AZ440" s="16" t="n">
        <f aca="false">AT440+AF440+AN440+AH440+AG440+AC440+W440+Q440+P440+J440</f>
        <v>771</v>
      </c>
      <c r="BA440" s="16" t="n">
        <f aca="false">AY440/10</f>
        <v>76.85</v>
      </c>
      <c r="BB440" s="16" t="n">
        <f aca="false">AZ440/10</f>
        <v>77.1</v>
      </c>
      <c r="BC440" s="16" t="n">
        <v>2356</v>
      </c>
      <c r="BD440" s="16" t="n">
        <f aca="false">RANK(AX440,$AX$2:$AX$881,0)</f>
        <v>482</v>
      </c>
      <c r="BE440" s="54" t="n">
        <f aca="false">((BC440*100)/2400)*0.4+(AX440*0.6)</f>
        <v>85.5866666666667</v>
      </c>
      <c r="BF440" s="16" t="n">
        <f aca="false">RANK(BE440,$BE$2:$BE$881,0)</f>
        <v>490</v>
      </c>
      <c r="BG440" s="39" t="n">
        <f aca="false">RANK(BB440,$BB$2:$BB$881,0)</f>
        <v>632</v>
      </c>
      <c r="BH440" s="39" t="n">
        <f aca="false">RANK(BC440,$BC$2:$BC$881,0)</f>
        <v>462</v>
      </c>
      <c r="BI440" s="22" t="s">
        <v>130</v>
      </c>
      <c r="BJ440" s="22" t="s">
        <v>129</v>
      </c>
      <c r="BK440" s="40" t="s">
        <v>509</v>
      </c>
      <c r="BL440" s="41" t="n">
        <v>17</v>
      </c>
      <c r="BM440" s="41" t="n">
        <v>50</v>
      </c>
      <c r="BN440" s="41" t="n">
        <v>67</v>
      </c>
      <c r="BO440" s="42" t="n">
        <v>22</v>
      </c>
      <c r="BP440" s="43" t="n">
        <v>47</v>
      </c>
      <c r="BQ440" s="44" t="n">
        <v>69</v>
      </c>
      <c r="BR440" s="42" t="n">
        <v>21</v>
      </c>
      <c r="BS440" s="45" t="n">
        <v>59</v>
      </c>
      <c r="BT440" s="45" t="n">
        <v>80</v>
      </c>
      <c r="BU440" s="46" t="n">
        <v>99</v>
      </c>
      <c r="BV440" s="47" t="n">
        <v>62</v>
      </c>
      <c r="BW440" s="42" t="n">
        <v>82</v>
      </c>
      <c r="BX440" s="48" t="n">
        <v>88</v>
      </c>
      <c r="BY440" s="32" t="n">
        <v>23</v>
      </c>
      <c r="BZ440" s="32" t="n">
        <v>48</v>
      </c>
      <c r="CA440" s="32" t="n">
        <v>71</v>
      </c>
      <c r="CB440" s="32" t="n">
        <v>25</v>
      </c>
      <c r="CC440" s="32" t="n">
        <v>52</v>
      </c>
      <c r="CD440" s="32" t="n">
        <v>77</v>
      </c>
      <c r="CE440" s="32" t="n">
        <v>27</v>
      </c>
      <c r="CF440" s="32" t="n">
        <v>55</v>
      </c>
      <c r="CG440" s="32" t="n">
        <v>82</v>
      </c>
      <c r="CH440" s="32" t="n">
        <v>92</v>
      </c>
      <c r="CI440" s="32" t="n">
        <v>96</v>
      </c>
      <c r="CJ440" s="83" t="n">
        <v>11</v>
      </c>
      <c r="CK440" s="60"/>
      <c r="CL440" s="61"/>
      <c r="CM440" s="49" t="n">
        <v>14</v>
      </c>
      <c r="CN440" s="49" t="n">
        <v>50</v>
      </c>
      <c r="CO440" s="49" t="n">
        <v>64</v>
      </c>
      <c r="CP440" s="25" t="n">
        <f aca="false">BX440+BW440+BV440+BU440+BT440+BQ440+BN440</f>
        <v>547</v>
      </c>
      <c r="CQ440" s="25" t="n">
        <f aca="false">CO440+CL440+CI440+CH440+CG440+CD440+CA440</f>
        <v>482</v>
      </c>
      <c r="CR440" s="26" t="n">
        <f aca="false">CP440/7</f>
        <v>78.1428571428571</v>
      </c>
      <c r="CS440" s="26" t="n">
        <f aca="false">CQ440/7</f>
        <v>68.8571428571429</v>
      </c>
      <c r="CT440" s="24" t="n">
        <f aca="false">RANK(CR440,$CR$2:$CR$881,0)</f>
        <v>611</v>
      </c>
      <c r="CU440" s="25" t="n">
        <f aca="false">RANK(CS440,$CS$2:$CS$881,0)</f>
        <v>572</v>
      </c>
      <c r="CV440" s="26" t="n">
        <f aca="false">(CS440+CR440)/2</f>
        <v>73.5</v>
      </c>
      <c r="CW440" s="25" t="n">
        <f aca="false">RANK(CV440,$CV$2:$CV$881,0)</f>
        <v>592</v>
      </c>
      <c r="CX440" s="50" t="n">
        <f aca="false">(CV440+BB440)/2</f>
        <v>75.3</v>
      </c>
      <c r="CY440" s="50" t="n">
        <v>552</v>
      </c>
      <c r="CZ440" s="27" t="s">
        <v>132</v>
      </c>
      <c r="DA440" s="27" t="s">
        <v>162</v>
      </c>
      <c r="DB440" s="27" t="s">
        <v>162</v>
      </c>
      <c r="DC440" s="27" t="s">
        <v>134</v>
      </c>
      <c r="DD440" s="27" t="s">
        <v>154</v>
      </c>
      <c r="DE440" s="27" t="s">
        <v>204</v>
      </c>
      <c r="DF440" s="27" t="s">
        <v>205</v>
      </c>
      <c r="DG440" s="27" t="s">
        <v>134</v>
      </c>
      <c r="DH440" s="27" t="s">
        <v>164</v>
      </c>
      <c r="DI440" s="27" t="s">
        <v>177</v>
      </c>
      <c r="DJ440" s="27" t="s">
        <v>178</v>
      </c>
      <c r="DK440" s="27" t="s">
        <v>134</v>
      </c>
      <c r="DL440" s="27" t="s">
        <v>182</v>
      </c>
      <c r="DM440" s="27" t="s">
        <v>220</v>
      </c>
      <c r="DN440" s="27" t="s">
        <v>219</v>
      </c>
      <c r="DO440" s="27" t="s">
        <v>134</v>
      </c>
      <c r="DP440" s="27" t="s">
        <v>485</v>
      </c>
      <c r="DQ440" s="27" t="s">
        <v>412</v>
      </c>
      <c r="DR440" s="27" t="s">
        <v>143</v>
      </c>
      <c r="DS440" s="27" t="s">
        <v>134</v>
      </c>
      <c r="DT440" s="27" t="s">
        <v>135</v>
      </c>
      <c r="DU440" s="27" t="s">
        <v>375</v>
      </c>
      <c r="DV440" s="27" t="s">
        <v>441</v>
      </c>
      <c r="DW440" s="27" t="s">
        <v>160</v>
      </c>
      <c r="DX440" s="27" t="s">
        <v>155</v>
      </c>
      <c r="DY440" s="27" t="s">
        <v>145</v>
      </c>
      <c r="DZ440" s="27" t="n">
        <f aca="false">DY440+DV440+DR440+DN440+DJ440+DF440+DB440</f>
        <v>579</v>
      </c>
      <c r="EA440" s="28" t="n">
        <f aca="false">DZ440/7</f>
        <v>82.7142857142857</v>
      </c>
      <c r="EB440" s="27" t="n">
        <f aca="false">RANK(EA440,$EA$2:$EA$881,0)</f>
        <v>282</v>
      </c>
      <c r="EC440" s="29" t="n">
        <f aca="false">DZ440+CQ440+CP440+AZ440</f>
        <v>2379</v>
      </c>
      <c r="ED440" s="30" t="n">
        <f aca="false">(EA440+CV440+BB440)/3</f>
        <v>77.7714285714286</v>
      </c>
      <c r="EE440" s="51" t="n">
        <f aca="false">ROUND(BE440,3)</f>
        <v>85.587</v>
      </c>
      <c r="EF440" s="51" t="n">
        <f aca="false">ROUND(CR440,3)</f>
        <v>78.143</v>
      </c>
      <c r="EG440" s="51" t="n">
        <f aca="false">ROUND(CS440,3)</f>
        <v>68.857</v>
      </c>
      <c r="EH440" s="51" t="n">
        <f aca="false">ROUND(EA440,3)</f>
        <v>82.714</v>
      </c>
      <c r="EI440" s="51" t="n">
        <f aca="false">ROUND(ED440,3)</f>
        <v>77.771</v>
      </c>
      <c r="EJ440" s="51" t="n">
        <f aca="false">ROUND(CV440,3)</f>
        <v>73.5</v>
      </c>
      <c r="EK440" s="0" t="n">
        <f aca="false">RANK(EI440,$EI$2:$EI$881,0)</f>
        <v>439</v>
      </c>
    </row>
    <row r="441" customFormat="false" ht="15" hidden="false" customHeight="false" outlineLevel="0" collapsed="false">
      <c r="A441" s="4" t="n">
        <v>8959</v>
      </c>
      <c r="B441" s="4" t="n">
        <v>333</v>
      </c>
      <c r="C441" s="27" t="s">
        <v>1376</v>
      </c>
      <c r="D441" s="31" t="n">
        <v>335</v>
      </c>
      <c r="E441" s="32" t="n">
        <v>230322464</v>
      </c>
      <c r="F441" s="8" t="s">
        <v>1377</v>
      </c>
      <c r="G441" s="22" t="s">
        <v>1378</v>
      </c>
      <c r="H441" s="22" t="s">
        <v>129</v>
      </c>
      <c r="I441" s="33" t="n">
        <v>2006</v>
      </c>
      <c r="J441" s="32" t="n">
        <v>83</v>
      </c>
      <c r="K441" s="32" t="n">
        <v>89</v>
      </c>
      <c r="L441" s="34" t="n">
        <f aca="false">(K441*70)/100</f>
        <v>62.3</v>
      </c>
      <c r="M441" s="34" t="n">
        <f aca="false">ROUNDUP(L441,0)</f>
        <v>63</v>
      </c>
      <c r="N441" s="32" t="n">
        <v>26</v>
      </c>
      <c r="O441" s="34" t="n">
        <f aca="false">N441+L441</f>
        <v>88.3</v>
      </c>
      <c r="P441" s="34" t="n">
        <f aca="false">N441+M441</f>
        <v>89</v>
      </c>
      <c r="Q441" s="32" t="n">
        <v>79</v>
      </c>
      <c r="R441" s="32" t="n">
        <v>75</v>
      </c>
      <c r="S441" s="34" t="n">
        <f aca="false">(R441*70)/100</f>
        <v>52.5</v>
      </c>
      <c r="T441" s="34" t="n">
        <f aca="false">ROUNDUP(S441,0)</f>
        <v>53</v>
      </c>
      <c r="U441" s="32" t="n">
        <v>27</v>
      </c>
      <c r="V441" s="34" t="n">
        <f aca="false">U441+S441</f>
        <v>79.5</v>
      </c>
      <c r="W441" s="34" t="n">
        <f aca="false">U441+T441</f>
        <v>80</v>
      </c>
      <c r="X441" s="32" t="n">
        <v>78</v>
      </c>
      <c r="Y441" s="34" t="n">
        <f aca="false">(X441*70)/100</f>
        <v>54.6</v>
      </c>
      <c r="Z441" s="34" t="n">
        <f aca="false">ROUNDUP(Y441,0)</f>
        <v>55</v>
      </c>
      <c r="AA441" s="32" t="n">
        <v>28</v>
      </c>
      <c r="AB441" s="34" t="n">
        <f aca="false">AA441+Y441</f>
        <v>82.6</v>
      </c>
      <c r="AC441" s="34" t="n">
        <f aca="false">AA441+Z441</f>
        <v>83</v>
      </c>
      <c r="AD441" s="32" t="n">
        <f aca="false">X441+R441+Q441+K441+J441</f>
        <v>404</v>
      </c>
      <c r="AE441" s="16" t="n">
        <f aca="false">AD441/5</f>
        <v>80.8</v>
      </c>
      <c r="AF441" s="16" t="n">
        <v>77</v>
      </c>
      <c r="AG441" s="16" t="n">
        <v>89</v>
      </c>
      <c r="AH441" s="16" t="n">
        <v>91</v>
      </c>
      <c r="AI441" s="16" t="n">
        <v>92</v>
      </c>
      <c r="AJ441" s="16" t="n">
        <f aca="false">(AI441*70)/100</f>
        <v>64.4</v>
      </c>
      <c r="AK441" s="35" t="n">
        <f aca="false">ROUNDUP(AJ441,0)</f>
        <v>65</v>
      </c>
      <c r="AL441" s="16" t="n">
        <v>26</v>
      </c>
      <c r="AM441" s="16" t="n">
        <f aca="false">AL441+AJ441</f>
        <v>90.4</v>
      </c>
      <c r="AN441" s="16" t="n">
        <f aca="false">AL441+AK441</f>
        <v>91</v>
      </c>
      <c r="AO441" s="16" t="n">
        <v>71</v>
      </c>
      <c r="AP441" s="36" t="n">
        <f aca="false">(AO441*70)/100</f>
        <v>49.7</v>
      </c>
      <c r="AQ441" s="37" t="n">
        <f aca="false">ROUNDUP(AP441,0)</f>
        <v>50</v>
      </c>
      <c r="AR441" s="16" t="n">
        <v>25</v>
      </c>
      <c r="AS441" s="16" t="n">
        <f aca="false">AR441+AP441</f>
        <v>74.7</v>
      </c>
      <c r="AT441" s="16" t="n">
        <f aca="false">AR441+AQ441</f>
        <v>75</v>
      </c>
      <c r="AU441" s="16" t="n">
        <f aca="false">AO441+AF441+AI441+AH441+AG441</f>
        <v>420</v>
      </c>
      <c r="AV441" s="16" t="n">
        <f aca="false">(AO441+AF441+AI441+AH441+AG441)/5</f>
        <v>84</v>
      </c>
      <c r="AW441" s="36" t="n">
        <f aca="false">(AO441+AF441+AI441+AH441+AG441+X441+R441+Q441+K441+J441)</f>
        <v>824</v>
      </c>
      <c r="AX441" s="16" t="n">
        <f aca="false">AW441/10</f>
        <v>82.4</v>
      </c>
      <c r="AY441" s="16" t="n">
        <f aca="false">AS441+AF441+AM441+AH441+AG441+AB441+V441+Q441+O441+J441</f>
        <v>834.5</v>
      </c>
      <c r="AZ441" s="16" t="n">
        <f aca="false">AT441+AF441+AN441+AH441+AG441+AC441+W441+Q441+P441+J441</f>
        <v>837</v>
      </c>
      <c r="BA441" s="16" t="n">
        <f aca="false">AY441/10</f>
        <v>83.45</v>
      </c>
      <c r="BB441" s="16" t="n">
        <f aca="false">AZ441/10</f>
        <v>83.7</v>
      </c>
      <c r="BC441" s="16" t="n">
        <v>2338</v>
      </c>
      <c r="BD441" s="16" t="n">
        <f aca="false">RANK(AX441,$AX$2:$AX$881,0)</f>
        <v>143</v>
      </c>
      <c r="BE441" s="54" t="n">
        <f aca="false">((BC441*100)/2400)*0.4+(AX441*0.6)</f>
        <v>88.4066666666667</v>
      </c>
      <c r="BF441" s="16" t="n">
        <f aca="false">RANK(BE441,$BE$2:$BE$881,0)</f>
        <v>170</v>
      </c>
      <c r="BG441" s="39" t="n">
        <f aca="false">RANK(BB441,$BB$2:$BB$881,0)</f>
        <v>133</v>
      </c>
      <c r="BH441" s="39" t="n">
        <f aca="false">RANK(BC441,$BC$2:$BC$881,0)</f>
        <v>649</v>
      </c>
      <c r="BI441" s="22" t="s">
        <v>130</v>
      </c>
      <c r="BJ441" s="22" t="s">
        <v>129</v>
      </c>
      <c r="BK441" s="40" t="s">
        <v>131</v>
      </c>
      <c r="BL441" s="41" t="n">
        <v>23</v>
      </c>
      <c r="BM441" s="41" t="n">
        <v>59</v>
      </c>
      <c r="BN441" s="41" t="n">
        <v>82</v>
      </c>
      <c r="BO441" s="42" t="n">
        <v>22</v>
      </c>
      <c r="BP441" s="43" t="n">
        <v>66</v>
      </c>
      <c r="BQ441" s="44" t="n">
        <v>88</v>
      </c>
      <c r="BR441" s="42" t="n">
        <v>23</v>
      </c>
      <c r="BS441" s="45" t="n">
        <v>56</v>
      </c>
      <c r="BT441" s="45" t="n">
        <v>79</v>
      </c>
      <c r="BU441" s="46" t="n">
        <v>100</v>
      </c>
      <c r="BV441" s="47" t="n">
        <v>92</v>
      </c>
      <c r="BW441" s="42" t="n">
        <v>99</v>
      </c>
      <c r="BX441" s="48" t="n">
        <v>94</v>
      </c>
      <c r="BY441" s="32" t="n">
        <v>25</v>
      </c>
      <c r="BZ441" s="32" t="n">
        <v>53</v>
      </c>
      <c r="CA441" s="32" t="n">
        <v>78</v>
      </c>
      <c r="CB441" s="32" t="n">
        <v>27</v>
      </c>
      <c r="CC441" s="68" t="n">
        <v>0</v>
      </c>
      <c r="CD441" s="69" t="n">
        <v>27</v>
      </c>
      <c r="CE441" s="32" t="n">
        <v>25</v>
      </c>
      <c r="CF441" s="32" t="n">
        <v>42</v>
      </c>
      <c r="CG441" s="32" t="n">
        <v>67</v>
      </c>
      <c r="CH441" s="32" t="n">
        <v>95</v>
      </c>
      <c r="CI441" s="32" t="n">
        <v>98</v>
      </c>
      <c r="CJ441" s="49" t="n">
        <v>26</v>
      </c>
      <c r="CK441" s="49" t="n">
        <v>41</v>
      </c>
      <c r="CL441" s="49" t="n">
        <v>67</v>
      </c>
      <c r="CM441" s="49" t="n">
        <v>23</v>
      </c>
      <c r="CN441" s="49" t="n">
        <v>47</v>
      </c>
      <c r="CO441" s="49" t="n">
        <v>70</v>
      </c>
      <c r="CP441" s="25" t="n">
        <f aca="false">BX441+BW441+BV441+BU441+BT441+BQ441+BN441</f>
        <v>634</v>
      </c>
      <c r="CQ441" s="25" t="n">
        <f aca="false">CO441+CL441+CI441+CH441+CG441+CD441+CA441</f>
        <v>502</v>
      </c>
      <c r="CR441" s="26" t="n">
        <f aca="false">CP441/7</f>
        <v>90.5714285714286</v>
      </c>
      <c r="CS441" s="26" t="n">
        <f aca="false">CQ441/7</f>
        <v>71.7142857142857</v>
      </c>
      <c r="CT441" s="24" t="n">
        <f aca="false">RANK(CR441,$CR$2:$CR$881,0)</f>
        <v>147</v>
      </c>
      <c r="CU441" s="25" t="n">
        <f aca="false">RANK(CS441,$CS$2:$CS$881,0)</f>
        <v>517</v>
      </c>
      <c r="CV441" s="26" t="n">
        <f aca="false">(CS441+CR441)/2</f>
        <v>81.1428571428571</v>
      </c>
      <c r="CW441" s="25" t="n">
        <f aca="false">RANK(CV441,$CV$2:$CV$881,0)</f>
        <v>375</v>
      </c>
      <c r="CX441" s="50" t="n">
        <f aca="false">(CV441+BB441)/2</f>
        <v>82.4214285714286</v>
      </c>
      <c r="CY441" s="50" t="n">
        <v>239</v>
      </c>
      <c r="CZ441" s="27" t="s">
        <v>132</v>
      </c>
      <c r="DA441" s="27" t="s">
        <v>133</v>
      </c>
      <c r="DB441" s="27" t="s">
        <v>133</v>
      </c>
      <c r="DC441" s="27" t="s">
        <v>134</v>
      </c>
      <c r="DD441" s="27" t="s">
        <v>485</v>
      </c>
      <c r="DE441" s="27" t="s">
        <v>220</v>
      </c>
      <c r="DF441" s="27" t="s">
        <v>486</v>
      </c>
      <c r="DG441" s="27" t="s">
        <v>134</v>
      </c>
      <c r="DH441" s="27" t="s">
        <v>160</v>
      </c>
      <c r="DI441" s="27" t="s">
        <v>204</v>
      </c>
      <c r="DJ441" s="27" t="s">
        <v>178</v>
      </c>
      <c r="DK441" s="27" t="s">
        <v>134</v>
      </c>
      <c r="DL441" s="27" t="s">
        <v>182</v>
      </c>
      <c r="DM441" s="27" t="s">
        <v>447</v>
      </c>
      <c r="DN441" s="27" t="s">
        <v>382</v>
      </c>
      <c r="DO441" s="27" t="s">
        <v>134</v>
      </c>
      <c r="DP441" s="27"/>
      <c r="DQ441" s="27"/>
      <c r="DR441" s="27"/>
      <c r="DS441" s="27"/>
      <c r="DT441" s="27" t="s">
        <v>182</v>
      </c>
      <c r="DU441" s="27" t="s">
        <v>479</v>
      </c>
      <c r="DV441" s="27" t="s">
        <v>136</v>
      </c>
      <c r="DW441" s="27" t="s">
        <v>174</v>
      </c>
      <c r="DX441" s="27" t="s">
        <v>138</v>
      </c>
      <c r="DY441" s="27" t="s">
        <v>170</v>
      </c>
      <c r="DZ441" s="27" t="n">
        <f aca="false">DY441+DV441+DR441+DN441+DJ441+DF441+DB441</f>
        <v>479</v>
      </c>
      <c r="EA441" s="28" t="n">
        <f aca="false">DZ441/7</f>
        <v>68.4285714285714</v>
      </c>
      <c r="EB441" s="27" t="n">
        <f aca="false">RANK(EA441,$EA$2:$EA$881,0)</f>
        <v>684</v>
      </c>
      <c r="EC441" s="29" t="n">
        <f aca="false">DZ441+CQ441+CP441+AZ441</f>
        <v>2452</v>
      </c>
      <c r="ED441" s="30" t="n">
        <f aca="false">(EA441+CV441+BB441)/3</f>
        <v>77.7571428571429</v>
      </c>
      <c r="EE441" s="51" t="n">
        <f aca="false">ROUND(BE441,3)</f>
        <v>88.407</v>
      </c>
      <c r="EF441" s="51" t="n">
        <f aca="false">ROUND(CR441,3)</f>
        <v>90.571</v>
      </c>
      <c r="EG441" s="51" t="n">
        <f aca="false">ROUND(CS441,3)</f>
        <v>71.714</v>
      </c>
      <c r="EH441" s="51" t="n">
        <f aca="false">ROUND(EA441,3)</f>
        <v>68.429</v>
      </c>
      <c r="EI441" s="51" t="n">
        <f aca="false">ROUND(ED441,3)</f>
        <v>77.757</v>
      </c>
      <c r="EJ441" s="51" t="n">
        <f aca="false">ROUND(CV441,3)</f>
        <v>81.143</v>
      </c>
      <c r="EK441" s="0" t="n">
        <f aca="false">RANK(EI441,$EI$2:$EI$881,0)</f>
        <v>440</v>
      </c>
    </row>
    <row r="442" customFormat="false" ht="15" hidden="false" customHeight="false" outlineLevel="0" collapsed="false">
      <c r="A442" s="4" t="n">
        <v>8911</v>
      </c>
      <c r="B442" s="4" t="n">
        <v>169</v>
      </c>
      <c r="C442" s="27" t="s">
        <v>1379</v>
      </c>
      <c r="D442" s="31" t="n">
        <v>170</v>
      </c>
      <c r="E442" s="16" t="n">
        <v>230324874</v>
      </c>
      <c r="F442" s="56" t="s">
        <v>1380</v>
      </c>
      <c r="G442" s="22" t="s">
        <v>280</v>
      </c>
      <c r="H442" s="22" t="s">
        <v>129</v>
      </c>
      <c r="I442" s="57"/>
      <c r="J442" s="16" t="n">
        <v>70</v>
      </c>
      <c r="K442" s="16" t="n">
        <v>74</v>
      </c>
      <c r="L442" s="34" t="n">
        <f aca="false">(K442*70)/100</f>
        <v>51.8</v>
      </c>
      <c r="M442" s="34" t="n">
        <f aca="false">ROUNDUP(L442,0)</f>
        <v>52</v>
      </c>
      <c r="N442" s="16" t="n">
        <v>24</v>
      </c>
      <c r="O442" s="34" t="n">
        <f aca="false">N442+L442</f>
        <v>75.8</v>
      </c>
      <c r="P442" s="34" t="n">
        <f aca="false">N442+M442</f>
        <v>76</v>
      </c>
      <c r="Q442" s="16" t="n">
        <v>77</v>
      </c>
      <c r="R442" s="16" t="n">
        <v>69</v>
      </c>
      <c r="S442" s="34" t="n">
        <f aca="false">(R442*70)/100</f>
        <v>48.3</v>
      </c>
      <c r="T442" s="34" t="n">
        <f aca="false">ROUNDUP(S442,0)</f>
        <v>49</v>
      </c>
      <c r="U442" s="16" t="n">
        <v>23</v>
      </c>
      <c r="V442" s="34" t="n">
        <f aca="false">U442+S442</f>
        <v>71.3</v>
      </c>
      <c r="W442" s="34" t="n">
        <f aca="false">U442+T442</f>
        <v>72</v>
      </c>
      <c r="X442" s="16" t="n">
        <v>70</v>
      </c>
      <c r="Y442" s="34" t="n">
        <f aca="false">(X442*70)/100</f>
        <v>49</v>
      </c>
      <c r="Z442" s="34" t="n">
        <f aca="false">ROUNDUP(Y442,0)</f>
        <v>49</v>
      </c>
      <c r="AA442" s="16" t="n">
        <v>25</v>
      </c>
      <c r="AB442" s="34" t="n">
        <f aca="false">AA442+Y442</f>
        <v>74</v>
      </c>
      <c r="AC442" s="34" t="n">
        <f aca="false">AA442+Z442</f>
        <v>74</v>
      </c>
      <c r="AD442" s="32" t="n">
        <f aca="false">X442+R442+Q442+K442+J442</f>
        <v>360</v>
      </c>
      <c r="AE442" s="16" t="n">
        <f aca="false">AD442/5</f>
        <v>72</v>
      </c>
      <c r="AF442" s="16" t="n">
        <v>70</v>
      </c>
      <c r="AG442" s="16" t="n">
        <v>75</v>
      </c>
      <c r="AH442" s="16" t="n">
        <v>78</v>
      </c>
      <c r="AI442" s="16" t="n">
        <v>87</v>
      </c>
      <c r="AJ442" s="16" t="n">
        <f aca="false">(AI442*70)/100</f>
        <v>60.9</v>
      </c>
      <c r="AK442" s="35" t="n">
        <f aca="false">ROUNDUP(AJ442,0)</f>
        <v>61</v>
      </c>
      <c r="AL442" s="16" t="n">
        <v>25</v>
      </c>
      <c r="AM442" s="16" t="n">
        <f aca="false">AL442+AJ442</f>
        <v>85.9</v>
      </c>
      <c r="AN442" s="16" t="n">
        <f aca="false">AL442+AK442</f>
        <v>86</v>
      </c>
      <c r="AO442" s="16" t="n">
        <v>70</v>
      </c>
      <c r="AP442" s="36" t="n">
        <f aca="false">(AO442*70)/100</f>
        <v>49</v>
      </c>
      <c r="AQ442" s="37" t="n">
        <f aca="false">ROUNDUP(AP442,0)</f>
        <v>49</v>
      </c>
      <c r="AR442" s="16" t="n">
        <v>27</v>
      </c>
      <c r="AS442" s="16" t="n">
        <f aca="false">AR442+AP442</f>
        <v>76</v>
      </c>
      <c r="AT442" s="16" t="n">
        <f aca="false">AR442+AQ442</f>
        <v>76</v>
      </c>
      <c r="AU442" s="16" t="n">
        <f aca="false">AO442+AF442+AI442+AH442+AG442</f>
        <v>380</v>
      </c>
      <c r="AV442" s="16" t="n">
        <f aca="false">(AO442+AF442+AI442+AH442+AG442)/5</f>
        <v>76</v>
      </c>
      <c r="AW442" s="36" t="n">
        <f aca="false">(AO442+AF442+AI442+AH442+AG442+X442+R442+Q442+K442+J442)</f>
        <v>740</v>
      </c>
      <c r="AX442" s="16" t="n">
        <f aca="false">AW442/10</f>
        <v>74</v>
      </c>
      <c r="AY442" s="16" t="n">
        <f aca="false">AS442+AF442+AM442+AH442+AG442+AB442+V442+Q442+O442+J442</f>
        <v>753</v>
      </c>
      <c r="AZ442" s="16" t="n">
        <f aca="false">AT442+AF442+AN442+AH442+AG442+AC442+W442+Q442+P442+J442</f>
        <v>754</v>
      </c>
      <c r="BA442" s="16" t="n">
        <f aca="false">AY442/10</f>
        <v>75.3</v>
      </c>
      <c r="BB442" s="16" t="n">
        <f aca="false">AZ442/10</f>
        <v>75.4</v>
      </c>
      <c r="BC442" s="16" t="n">
        <v>2297</v>
      </c>
      <c r="BD442" s="16" t="n">
        <f aca="false">RANK(AX442,$AX$2:$AX$881,0)</f>
        <v>701</v>
      </c>
      <c r="BE442" s="73" t="n">
        <f aca="false">((BC442*100)/2400)*0.4+(AX442*0.6)</f>
        <v>82.6833333333333</v>
      </c>
      <c r="BF442" s="16" t="n">
        <f aca="false">RANK(BE442,$BE$2:$BE$881,0)</f>
        <v>704</v>
      </c>
      <c r="BG442" s="39" t="n">
        <f aca="false">RANK(BB442,$BB$2:$BB$881,0)</f>
        <v>695</v>
      </c>
      <c r="BH442" s="39" t="n">
        <f aca="false">RANK(BC442,$BC$2:$BC$881,0)</f>
        <v>760</v>
      </c>
      <c r="BI442" s="22" t="s">
        <v>130</v>
      </c>
      <c r="BJ442" s="22" t="s">
        <v>129</v>
      </c>
      <c r="BK442" s="22" t="s">
        <v>1381</v>
      </c>
      <c r="BL442" s="41" t="n">
        <v>13</v>
      </c>
      <c r="BM442" s="41" t="n">
        <v>48</v>
      </c>
      <c r="BN442" s="41" t="n">
        <v>61</v>
      </c>
      <c r="BO442" s="42" t="n">
        <v>22</v>
      </c>
      <c r="BP442" s="43" t="n">
        <v>55</v>
      </c>
      <c r="BQ442" s="44" t="n">
        <v>77</v>
      </c>
      <c r="BR442" s="42" t="n">
        <v>20</v>
      </c>
      <c r="BS442" s="45" t="n">
        <v>51</v>
      </c>
      <c r="BT442" s="45" t="n">
        <v>71</v>
      </c>
      <c r="BU442" s="46" t="n">
        <v>99</v>
      </c>
      <c r="BV442" s="47" t="n">
        <v>72</v>
      </c>
      <c r="BW442" s="42" t="n">
        <v>99</v>
      </c>
      <c r="BX442" s="48" t="n">
        <v>84</v>
      </c>
      <c r="BY442" s="32" t="n">
        <v>22</v>
      </c>
      <c r="BZ442" s="32" t="n">
        <v>45</v>
      </c>
      <c r="CA442" s="32" t="n">
        <v>67</v>
      </c>
      <c r="CB442" s="32" t="n">
        <v>20</v>
      </c>
      <c r="CC442" s="32" t="n">
        <v>40</v>
      </c>
      <c r="CD442" s="32" t="n">
        <v>60</v>
      </c>
      <c r="CE442" s="32" t="n">
        <v>20</v>
      </c>
      <c r="CF442" s="32" t="n">
        <v>52</v>
      </c>
      <c r="CG442" s="32" t="n">
        <v>72</v>
      </c>
      <c r="CH442" s="32" t="n">
        <v>92</v>
      </c>
      <c r="CI442" s="32" t="n">
        <v>98</v>
      </c>
      <c r="CJ442" s="49" t="n">
        <v>16</v>
      </c>
      <c r="CK442" s="49" t="n">
        <v>52</v>
      </c>
      <c r="CL442" s="49" t="n">
        <v>68</v>
      </c>
      <c r="CM442" s="49" t="n">
        <v>21</v>
      </c>
      <c r="CN442" s="49" t="n">
        <v>47</v>
      </c>
      <c r="CO442" s="49" t="n">
        <v>68</v>
      </c>
      <c r="CP442" s="25" t="n">
        <f aca="false">BX442+BW442+BV442+BU442+BT442+BQ442+BN442</f>
        <v>563</v>
      </c>
      <c r="CQ442" s="25" t="n">
        <f aca="false">CO442+CL442+CI442+CH442+CG442+CD442+CA442</f>
        <v>525</v>
      </c>
      <c r="CR442" s="26" t="n">
        <f aca="false">CP442/7</f>
        <v>80.4285714285714</v>
      </c>
      <c r="CS442" s="26" t="n">
        <f aca="false">CQ442/7</f>
        <v>75</v>
      </c>
      <c r="CT442" s="24" t="n">
        <f aca="false">RANK(CR442,$CR$2:$CR$881,0)</f>
        <v>579</v>
      </c>
      <c r="CU442" s="25" t="n">
        <f aca="false">RANK(CS442,$CS$2:$CS$881,0)</f>
        <v>431</v>
      </c>
      <c r="CV442" s="26" t="n">
        <f aca="false">(CS442+CR442)/2</f>
        <v>77.7142857142857</v>
      </c>
      <c r="CW442" s="25" t="n">
        <f aca="false">RANK(CV442,$CV$2:$CV$881,0)</f>
        <v>501</v>
      </c>
      <c r="CX442" s="50" t="n">
        <f aca="false">(CV442+BB442)/2</f>
        <v>76.5571428571429</v>
      </c>
      <c r="CY442" s="50" t="n">
        <v>518</v>
      </c>
      <c r="CZ442" s="27" t="s">
        <v>132</v>
      </c>
      <c r="DA442" s="27" t="s">
        <v>202</v>
      </c>
      <c r="DB442" s="27" t="s">
        <v>202</v>
      </c>
      <c r="DC442" s="27" t="s">
        <v>134</v>
      </c>
      <c r="DD442" s="27" t="s">
        <v>154</v>
      </c>
      <c r="DE442" s="27" t="s">
        <v>220</v>
      </c>
      <c r="DF442" s="27" t="s">
        <v>272</v>
      </c>
      <c r="DG442" s="27" t="s">
        <v>134</v>
      </c>
      <c r="DH442" s="27" t="s">
        <v>154</v>
      </c>
      <c r="DI442" s="27" t="s">
        <v>183</v>
      </c>
      <c r="DJ442" s="27" t="s">
        <v>196</v>
      </c>
      <c r="DK442" s="27" t="s">
        <v>134</v>
      </c>
      <c r="DL442" s="27" t="s">
        <v>137</v>
      </c>
      <c r="DM442" s="27" t="s">
        <v>399</v>
      </c>
      <c r="DN442" s="27" t="s">
        <v>372</v>
      </c>
      <c r="DO442" s="27" t="s">
        <v>134</v>
      </c>
      <c r="DP442" s="27" t="s">
        <v>706</v>
      </c>
      <c r="DQ442" s="27" t="s">
        <v>306</v>
      </c>
      <c r="DR442" s="27" t="s">
        <v>155</v>
      </c>
      <c r="DS442" s="27" t="s">
        <v>134</v>
      </c>
      <c r="DT442" s="27" t="s">
        <v>182</v>
      </c>
      <c r="DU442" s="27" t="s">
        <v>306</v>
      </c>
      <c r="DV442" s="27" t="s">
        <v>272</v>
      </c>
      <c r="DW442" s="27" t="s">
        <v>135</v>
      </c>
      <c r="DX442" s="27" t="s">
        <v>141</v>
      </c>
      <c r="DY442" s="27" t="s">
        <v>176</v>
      </c>
      <c r="DZ442" s="27" t="n">
        <f aca="false">DY442+DV442+DR442+DN442+DJ442+DF442+DB442</f>
        <v>561</v>
      </c>
      <c r="EA442" s="28" t="n">
        <f aca="false">DZ442/7</f>
        <v>80.1428571428571</v>
      </c>
      <c r="EB442" s="27" t="n">
        <f aca="false">RANK(EA442,$EA$2:$EA$881,0)</f>
        <v>386</v>
      </c>
      <c r="EC442" s="29" t="n">
        <f aca="false">DZ442+CQ442+CP442+AZ442</f>
        <v>2403</v>
      </c>
      <c r="ED442" s="30" t="n">
        <f aca="false">(EA442+CV442+BB442)/3</f>
        <v>77.752380952381</v>
      </c>
      <c r="EE442" s="51" t="n">
        <f aca="false">ROUND(BE442,3)</f>
        <v>82.683</v>
      </c>
      <c r="EF442" s="51" t="n">
        <f aca="false">ROUND(CR442,3)</f>
        <v>80.429</v>
      </c>
      <c r="EG442" s="51" t="n">
        <f aca="false">ROUND(CS442,3)</f>
        <v>75</v>
      </c>
      <c r="EH442" s="51" t="n">
        <f aca="false">ROUND(EA442,3)</f>
        <v>80.143</v>
      </c>
      <c r="EI442" s="51" t="n">
        <f aca="false">ROUND(ED442,3)</f>
        <v>77.752</v>
      </c>
      <c r="EJ442" s="51" t="n">
        <f aca="false">ROUND(CV442,3)</f>
        <v>77.714</v>
      </c>
      <c r="EK442" s="0" t="n">
        <f aca="false">RANK(EI442,$EI$2:$EI$881,0)</f>
        <v>441</v>
      </c>
    </row>
    <row r="443" customFormat="false" ht="15" hidden="false" customHeight="false" outlineLevel="0" collapsed="false">
      <c r="A443" s="4" t="n">
        <v>8762</v>
      </c>
      <c r="B443" s="4" t="n">
        <v>35</v>
      </c>
      <c r="C443" s="27" t="s">
        <v>1382</v>
      </c>
      <c r="D443" s="52" t="n">
        <v>37</v>
      </c>
      <c r="E443" s="32" t="n">
        <v>230313893</v>
      </c>
      <c r="F443" s="8" t="s">
        <v>1383</v>
      </c>
      <c r="G443" s="22" t="s">
        <v>1384</v>
      </c>
      <c r="H443" s="22" t="s">
        <v>129</v>
      </c>
      <c r="I443" s="33" t="n">
        <v>2005</v>
      </c>
      <c r="J443" s="32" t="n">
        <v>90</v>
      </c>
      <c r="K443" s="32" t="n">
        <v>84</v>
      </c>
      <c r="L443" s="34" t="n">
        <f aca="false">(K443*70)/100</f>
        <v>58.8</v>
      </c>
      <c r="M443" s="34" t="n">
        <f aca="false">ROUNDUP(L443,0)</f>
        <v>59</v>
      </c>
      <c r="N443" s="32" t="n">
        <v>22</v>
      </c>
      <c r="O443" s="34" t="n">
        <f aca="false">N443+L443</f>
        <v>80.8</v>
      </c>
      <c r="P443" s="34" t="n">
        <f aca="false">N443+M443</f>
        <v>81</v>
      </c>
      <c r="Q443" s="32" t="n">
        <v>72</v>
      </c>
      <c r="R443" s="32" t="n">
        <v>86</v>
      </c>
      <c r="S443" s="34" t="n">
        <f aca="false">(R443*70)/100</f>
        <v>60.2</v>
      </c>
      <c r="T443" s="34" t="n">
        <f aca="false">ROUNDUP(S443,0)</f>
        <v>61</v>
      </c>
      <c r="U443" s="32" t="n">
        <v>18</v>
      </c>
      <c r="V443" s="34" t="n">
        <f aca="false">U443+S443</f>
        <v>78.2</v>
      </c>
      <c r="W443" s="34" t="n">
        <f aca="false">U443+T443</f>
        <v>79</v>
      </c>
      <c r="X443" s="32" t="n">
        <v>76</v>
      </c>
      <c r="Y443" s="34" t="n">
        <f aca="false">(X443*70)/100</f>
        <v>53.2</v>
      </c>
      <c r="Z443" s="34" t="n">
        <f aca="false">ROUNDUP(Y443,0)</f>
        <v>54</v>
      </c>
      <c r="AA443" s="32" t="n">
        <v>25</v>
      </c>
      <c r="AB443" s="34" t="n">
        <f aca="false">AA443+Y443</f>
        <v>78.2</v>
      </c>
      <c r="AC443" s="34" t="n">
        <f aca="false">AA443+Z443</f>
        <v>79</v>
      </c>
      <c r="AD443" s="32" t="n">
        <f aca="false">X443+R443+Q443+K443+J443</f>
        <v>408</v>
      </c>
      <c r="AE443" s="16" t="n">
        <f aca="false">AD443/5</f>
        <v>81.6</v>
      </c>
      <c r="AF443" s="16" t="n">
        <v>72</v>
      </c>
      <c r="AG443" s="16" t="n">
        <v>85</v>
      </c>
      <c r="AH443" s="16" t="n">
        <v>86</v>
      </c>
      <c r="AI443" s="16" t="n">
        <v>87</v>
      </c>
      <c r="AJ443" s="16" t="n">
        <f aca="false">(AI443*70)/100</f>
        <v>60.9</v>
      </c>
      <c r="AK443" s="35" t="n">
        <f aca="false">ROUNDUP(AJ443,0)</f>
        <v>61</v>
      </c>
      <c r="AL443" s="16" t="n">
        <v>26</v>
      </c>
      <c r="AM443" s="16" t="n">
        <f aca="false">AL443+AJ443</f>
        <v>86.9</v>
      </c>
      <c r="AN443" s="16" t="n">
        <f aca="false">AL443+AK443</f>
        <v>87</v>
      </c>
      <c r="AO443" s="16" t="n">
        <v>73</v>
      </c>
      <c r="AP443" s="36" t="n">
        <f aca="false">(AO443*70)/100</f>
        <v>51.1</v>
      </c>
      <c r="AQ443" s="37" t="n">
        <f aca="false">ROUNDUP(AP443,0)</f>
        <v>52</v>
      </c>
      <c r="AR443" s="16" t="n">
        <v>21</v>
      </c>
      <c r="AS443" s="16" t="n">
        <f aca="false">AR443+AP443</f>
        <v>72.1</v>
      </c>
      <c r="AT443" s="16" t="n">
        <f aca="false">AR443+AQ443</f>
        <v>73</v>
      </c>
      <c r="AU443" s="16" t="n">
        <f aca="false">AO443+AF443+AI443+AH443+AG443</f>
        <v>403</v>
      </c>
      <c r="AV443" s="16" t="n">
        <f aca="false">(AO443+AF443+AI443+AH443+AG443)/5</f>
        <v>80.6</v>
      </c>
      <c r="AW443" s="36" t="n">
        <f aca="false">(AO443+AF443+AI443+AH443+AG443+X443+R443+Q443+K443+J443)</f>
        <v>811</v>
      </c>
      <c r="AX443" s="16" t="n">
        <f aca="false">AW443/10</f>
        <v>81.1</v>
      </c>
      <c r="AY443" s="16" t="n">
        <f aca="false">AS443+AF443+AM443+AH443+AG443+AB443+V443+Q443+O443+J443</f>
        <v>801.2</v>
      </c>
      <c r="AZ443" s="16" t="n">
        <f aca="false">AT443+AF443+AN443+AH443+AG443+AC443+W443+Q443+P443+J443</f>
        <v>804</v>
      </c>
      <c r="BA443" s="16" t="n">
        <f aca="false">AY443/10</f>
        <v>80.12</v>
      </c>
      <c r="BB443" s="16" t="n">
        <f aca="false">AZ443/10</f>
        <v>80.4</v>
      </c>
      <c r="BC443" s="16" t="n">
        <v>2359</v>
      </c>
      <c r="BD443" s="16" t="n">
        <f aca="false">RANK(AX443,$AX$2:$AX$881,0)</f>
        <v>206</v>
      </c>
      <c r="BE443" s="54" t="n">
        <f aca="false">((BC443*100)/2400)*0.4+(AX443*0.6)</f>
        <v>87.9766666666667</v>
      </c>
      <c r="BF443" s="16" t="n">
        <f aca="false">RANK(BE443,$BE$2:$BE$881,0)</f>
        <v>204</v>
      </c>
      <c r="BG443" s="39" t="n">
        <f aca="false">RANK(BB443,$BB$2:$BB$881,0)</f>
        <v>318</v>
      </c>
      <c r="BH443" s="39" t="n">
        <f aca="false">RANK(BC443,$BC$2:$BC$881,0)</f>
        <v>414</v>
      </c>
      <c r="BI443" s="22" t="s">
        <v>130</v>
      </c>
      <c r="BJ443" s="22" t="s">
        <v>129</v>
      </c>
      <c r="BK443" s="40" t="s">
        <v>131</v>
      </c>
      <c r="BL443" s="41" t="n">
        <v>24</v>
      </c>
      <c r="BM443" s="41" t="n">
        <v>55</v>
      </c>
      <c r="BN443" s="41" t="n">
        <v>79</v>
      </c>
      <c r="BO443" s="42" t="n">
        <v>25</v>
      </c>
      <c r="BP443" s="43" t="n">
        <v>61</v>
      </c>
      <c r="BQ443" s="44" t="n">
        <v>86</v>
      </c>
      <c r="BR443" s="42" t="n">
        <v>21</v>
      </c>
      <c r="BS443" s="45" t="n">
        <v>57</v>
      </c>
      <c r="BT443" s="45" t="n">
        <v>78</v>
      </c>
      <c r="BU443" s="46" t="n">
        <v>100</v>
      </c>
      <c r="BV443" s="47" t="n">
        <v>94</v>
      </c>
      <c r="BW443" s="42" t="n">
        <v>95</v>
      </c>
      <c r="BX443" s="48" t="n">
        <v>92</v>
      </c>
      <c r="BY443" s="32" t="n">
        <v>24</v>
      </c>
      <c r="BZ443" s="32" t="n">
        <v>31</v>
      </c>
      <c r="CA443" s="69" t="n">
        <v>55</v>
      </c>
      <c r="CB443" s="32" t="n">
        <v>25</v>
      </c>
      <c r="CC443" s="32" t="n">
        <v>44</v>
      </c>
      <c r="CD443" s="32" t="n">
        <v>69</v>
      </c>
      <c r="CE443" s="25" t="n">
        <v>26</v>
      </c>
      <c r="CF443" s="25" t="n">
        <v>51</v>
      </c>
      <c r="CG443" s="25" t="n">
        <v>77</v>
      </c>
      <c r="CH443" s="32" t="n">
        <v>98</v>
      </c>
      <c r="CI443" s="32" t="n">
        <v>100</v>
      </c>
      <c r="CJ443" s="49" t="n">
        <v>26</v>
      </c>
      <c r="CK443" s="49" t="n">
        <v>52</v>
      </c>
      <c r="CL443" s="49" t="n">
        <v>78</v>
      </c>
      <c r="CM443" s="25" t="n">
        <v>21</v>
      </c>
      <c r="CN443" s="25" t="n">
        <v>49</v>
      </c>
      <c r="CO443" s="25" t="n">
        <v>70</v>
      </c>
      <c r="CP443" s="25" t="n">
        <f aca="false">BX443+BW443+BV443+BU443+BT443+BQ443+BN443</f>
        <v>624</v>
      </c>
      <c r="CQ443" s="25" t="n">
        <f aca="false">CO443+CL443+CI443+CH443+CG443+CD443+CA443</f>
        <v>547</v>
      </c>
      <c r="CR443" s="26" t="n">
        <f aca="false">CP443/7</f>
        <v>89.1428571428571</v>
      </c>
      <c r="CS443" s="26" t="n">
        <f aca="false">CQ443/7</f>
        <v>78.1428571428571</v>
      </c>
      <c r="CT443" s="24" t="n">
        <f aca="false">RANK(CR443,$CR$2:$CR$881,0)</f>
        <v>235</v>
      </c>
      <c r="CU443" s="25" t="n">
        <f aca="false">RANK(CS443,$CS$2:$CS$881,0)</f>
        <v>327</v>
      </c>
      <c r="CV443" s="26" t="n">
        <f aca="false">(CS443+CR443)/2</f>
        <v>83.6428571428571</v>
      </c>
      <c r="CW443" s="25" t="n">
        <f aca="false">RANK(CV443,$CV$2:$CV$881,0)</f>
        <v>270</v>
      </c>
      <c r="CX443" s="50" t="n">
        <f aca="false">(CV443+BB443)/2</f>
        <v>82.0214285714286</v>
      </c>
      <c r="CY443" s="50" t="n">
        <v>264</v>
      </c>
      <c r="CZ443" s="27" t="s">
        <v>132</v>
      </c>
      <c r="DA443" s="27" t="s">
        <v>151</v>
      </c>
      <c r="DB443" s="27" t="s">
        <v>151</v>
      </c>
      <c r="DC443" s="27" t="s">
        <v>134</v>
      </c>
      <c r="DD443" s="27" t="s">
        <v>160</v>
      </c>
      <c r="DE443" s="27" t="s">
        <v>220</v>
      </c>
      <c r="DF443" s="27" t="s">
        <v>209</v>
      </c>
      <c r="DG443" s="27" t="s">
        <v>134</v>
      </c>
      <c r="DH443" s="27" t="s">
        <v>154</v>
      </c>
      <c r="DI443" s="27" t="s">
        <v>177</v>
      </c>
      <c r="DJ443" s="27" t="s">
        <v>169</v>
      </c>
      <c r="DK443" s="27" t="s">
        <v>134</v>
      </c>
      <c r="DL443" s="27" t="s">
        <v>164</v>
      </c>
      <c r="DM443" s="27" t="s">
        <v>447</v>
      </c>
      <c r="DN443" s="27" t="s">
        <v>219</v>
      </c>
      <c r="DO443" s="27" t="s">
        <v>134</v>
      </c>
      <c r="DP443" s="27" t="s">
        <v>825</v>
      </c>
      <c r="DQ443" s="27" t="s">
        <v>447</v>
      </c>
      <c r="DR443" s="27" t="s">
        <v>187</v>
      </c>
      <c r="DS443" s="27" t="s">
        <v>134</v>
      </c>
      <c r="DT443" s="27" t="s">
        <v>160</v>
      </c>
      <c r="DU443" s="27" t="s">
        <v>375</v>
      </c>
      <c r="DV443" s="27" t="s">
        <v>305</v>
      </c>
      <c r="DW443" s="27"/>
      <c r="DX443" s="27"/>
      <c r="DY443" s="27"/>
      <c r="DZ443" s="27" t="n">
        <f aca="false">DY443+DV443+DR443+DN443+DJ443+DF443+DB443</f>
        <v>484</v>
      </c>
      <c r="EA443" s="28" t="n">
        <f aca="false">DZ443/7</f>
        <v>69.1428571428571</v>
      </c>
      <c r="EB443" s="27" t="n">
        <f aca="false">RANK(EA443,$EA$2:$EA$881,0)</f>
        <v>669</v>
      </c>
      <c r="EC443" s="29" t="n">
        <f aca="false">DZ443+CQ443+CP443+AZ443</f>
        <v>2459</v>
      </c>
      <c r="ED443" s="30" t="n">
        <f aca="false">(EA443+CV443+BB443)/3</f>
        <v>77.7285714285714</v>
      </c>
      <c r="EE443" s="51" t="n">
        <f aca="false">ROUND(BE443,3)</f>
        <v>87.977</v>
      </c>
      <c r="EF443" s="51" t="n">
        <f aca="false">ROUND(CR443,3)</f>
        <v>89.143</v>
      </c>
      <c r="EG443" s="51" t="n">
        <f aca="false">ROUND(CS443,3)</f>
        <v>78.143</v>
      </c>
      <c r="EH443" s="51" t="n">
        <f aca="false">ROUND(EA443,3)</f>
        <v>69.143</v>
      </c>
      <c r="EI443" s="51" t="n">
        <f aca="false">ROUND(ED443,3)</f>
        <v>77.729</v>
      </c>
      <c r="EJ443" s="51" t="n">
        <f aca="false">ROUND(CV443,3)</f>
        <v>83.643</v>
      </c>
      <c r="EK443" s="0" t="n">
        <f aca="false">RANK(EI443,$EI$2:$EI$881,0)</f>
        <v>442</v>
      </c>
    </row>
    <row r="444" customFormat="false" ht="15" hidden="false" customHeight="false" outlineLevel="0" collapsed="false">
      <c r="A444" s="4" t="n">
        <v>8776</v>
      </c>
      <c r="B444" s="4" t="n">
        <v>242</v>
      </c>
      <c r="C444" s="27" t="s">
        <v>1385</v>
      </c>
      <c r="D444" s="31" t="n">
        <v>243</v>
      </c>
      <c r="E444" s="32" t="n">
        <v>230311558</v>
      </c>
      <c r="F444" s="8" t="s">
        <v>1386</v>
      </c>
      <c r="G444" s="22" t="s">
        <v>1387</v>
      </c>
      <c r="H444" s="22" t="s">
        <v>129</v>
      </c>
      <c r="I444" s="33" t="n">
        <v>2006</v>
      </c>
      <c r="J444" s="32" t="n">
        <v>90</v>
      </c>
      <c r="K444" s="32" t="n">
        <v>89</v>
      </c>
      <c r="L444" s="34" t="n">
        <f aca="false">(K444*70)/100</f>
        <v>62.3</v>
      </c>
      <c r="M444" s="34" t="n">
        <f aca="false">ROUNDUP(L444,0)</f>
        <v>63</v>
      </c>
      <c r="N444" s="32" t="n">
        <v>28</v>
      </c>
      <c r="O444" s="34" t="n">
        <f aca="false">N444+L444</f>
        <v>90.3</v>
      </c>
      <c r="P444" s="34" t="n">
        <f aca="false">N444+M444</f>
        <v>91</v>
      </c>
      <c r="Q444" s="32" t="n">
        <v>83</v>
      </c>
      <c r="R444" s="32" t="n">
        <v>78</v>
      </c>
      <c r="S444" s="34" t="n">
        <f aca="false">(R444*70)/100</f>
        <v>54.6</v>
      </c>
      <c r="T444" s="34" t="n">
        <f aca="false">ROUNDUP(S444,0)</f>
        <v>55</v>
      </c>
      <c r="U444" s="32" t="n">
        <v>22</v>
      </c>
      <c r="V444" s="34" t="n">
        <f aca="false">U444+S444</f>
        <v>76.6</v>
      </c>
      <c r="W444" s="34" t="n">
        <f aca="false">U444+T444</f>
        <v>77</v>
      </c>
      <c r="X444" s="32" t="n">
        <v>77</v>
      </c>
      <c r="Y444" s="34" t="n">
        <f aca="false">(X444*70)/100</f>
        <v>53.9</v>
      </c>
      <c r="Z444" s="34" t="n">
        <f aca="false">ROUNDUP(Y444,0)</f>
        <v>54</v>
      </c>
      <c r="AA444" s="32" t="n">
        <v>23</v>
      </c>
      <c r="AB444" s="34" t="n">
        <f aca="false">AA444+Y444</f>
        <v>76.9</v>
      </c>
      <c r="AC444" s="34" t="n">
        <f aca="false">AA444+Z444</f>
        <v>77</v>
      </c>
      <c r="AD444" s="32" t="n">
        <f aca="false">X444+R444+Q444+K444+J444</f>
        <v>417</v>
      </c>
      <c r="AE444" s="16" t="n">
        <f aca="false">AD444/5</f>
        <v>83.4</v>
      </c>
      <c r="AF444" s="71" t="n">
        <v>57</v>
      </c>
      <c r="AG444" s="16" t="n">
        <v>87</v>
      </c>
      <c r="AH444" s="16" t="n">
        <v>86</v>
      </c>
      <c r="AI444" s="16" t="n">
        <v>87</v>
      </c>
      <c r="AJ444" s="16" t="n">
        <f aca="false">(AI444*70)/100</f>
        <v>60.9</v>
      </c>
      <c r="AK444" s="35" t="n">
        <f aca="false">ROUNDUP(AJ444,0)</f>
        <v>61</v>
      </c>
      <c r="AL444" s="16" t="n">
        <v>25</v>
      </c>
      <c r="AM444" s="16" t="n">
        <f aca="false">AL444+AJ444</f>
        <v>85.9</v>
      </c>
      <c r="AN444" s="16" t="n">
        <f aca="false">AL444+AK444</f>
        <v>86</v>
      </c>
      <c r="AO444" s="16" t="n">
        <v>67</v>
      </c>
      <c r="AP444" s="36" t="n">
        <f aca="false">(AO444*70)/100</f>
        <v>46.9</v>
      </c>
      <c r="AQ444" s="37" t="n">
        <f aca="false">ROUNDUP(AP444,0)</f>
        <v>47</v>
      </c>
      <c r="AR444" s="16" t="n">
        <v>27</v>
      </c>
      <c r="AS444" s="16" t="n">
        <f aca="false">AR444+AP444</f>
        <v>73.9</v>
      </c>
      <c r="AT444" s="16" t="n">
        <f aca="false">AR444+AQ444</f>
        <v>74</v>
      </c>
      <c r="AU444" s="16" t="n">
        <f aca="false">AO444+AF444+AI444+AH444+AG444</f>
        <v>384</v>
      </c>
      <c r="AV444" s="16" t="n">
        <f aca="false">(AO444+AF444+AI444+AH444+AG444)/5</f>
        <v>76.8</v>
      </c>
      <c r="AW444" s="36" t="n">
        <f aca="false">(AO444+AF444+AI444+AH444+AG444+X444+R444+Q444+K444+J444)</f>
        <v>801</v>
      </c>
      <c r="AX444" s="16" t="n">
        <f aca="false">AW444/10</f>
        <v>80.1</v>
      </c>
      <c r="AY444" s="16" t="n">
        <f aca="false">AS444+AF444+AM444+AH444+AG444+AB444+V444+Q444+O444+J444</f>
        <v>806.6</v>
      </c>
      <c r="AZ444" s="16" t="n">
        <f aca="false">AT444+AF444+AN444+AH444+AG444+AC444+W444+Q444+P444+J444</f>
        <v>808</v>
      </c>
      <c r="BA444" s="16" t="n">
        <f aca="false">AY444/10</f>
        <v>80.66</v>
      </c>
      <c r="BB444" s="16" t="n">
        <f aca="false">AZ444/10</f>
        <v>80.8</v>
      </c>
      <c r="BC444" s="16" t="n">
        <v>2352</v>
      </c>
      <c r="BD444" s="16" t="n">
        <f aca="false">RANK(AX444,$AX$2:$AX$881,0)</f>
        <v>257</v>
      </c>
      <c r="BE444" s="54" t="n">
        <f aca="false">((BC444*100)/2400)*0.4+(AX444*0.6)</f>
        <v>87.26</v>
      </c>
      <c r="BF444" s="16" t="n">
        <f aca="false">RANK(BE444,$BE$2:$BE$881,0)</f>
        <v>273</v>
      </c>
      <c r="BG444" s="39" t="n">
        <f aca="false">RANK(BB444,$BB$2:$BB$881,0)</f>
        <v>290</v>
      </c>
      <c r="BH444" s="39" t="n">
        <f aca="false">RANK(BC444,$BC$2:$BC$881,0)</f>
        <v>515</v>
      </c>
      <c r="BI444" s="22" t="s">
        <v>130</v>
      </c>
      <c r="BJ444" s="22" t="s">
        <v>129</v>
      </c>
      <c r="BK444" s="40" t="s">
        <v>131</v>
      </c>
      <c r="BL444" s="41" t="n">
        <v>24</v>
      </c>
      <c r="BM444" s="41" t="n">
        <v>55</v>
      </c>
      <c r="BN444" s="41" t="n">
        <v>79</v>
      </c>
      <c r="BO444" s="42" t="n">
        <v>22</v>
      </c>
      <c r="BP444" s="43" t="n">
        <v>53</v>
      </c>
      <c r="BQ444" s="44" t="n">
        <v>75</v>
      </c>
      <c r="BR444" s="42" t="n">
        <v>20</v>
      </c>
      <c r="BS444" s="45" t="n">
        <v>54</v>
      </c>
      <c r="BT444" s="45" t="n">
        <v>74</v>
      </c>
      <c r="BU444" s="46" t="n">
        <v>99</v>
      </c>
      <c r="BV444" s="47" t="n">
        <v>84</v>
      </c>
      <c r="BW444" s="42" t="n">
        <v>90</v>
      </c>
      <c r="BX444" s="48" t="n">
        <v>92</v>
      </c>
      <c r="BY444" s="32" t="n">
        <v>22</v>
      </c>
      <c r="BZ444" s="32" t="n">
        <v>41</v>
      </c>
      <c r="CA444" s="32" t="n">
        <v>63</v>
      </c>
      <c r="CB444" s="32" t="n">
        <v>22</v>
      </c>
      <c r="CC444" s="32" t="n">
        <v>35</v>
      </c>
      <c r="CD444" s="69" t="n">
        <v>57</v>
      </c>
      <c r="CE444" s="32" t="n">
        <v>29</v>
      </c>
      <c r="CF444" s="32" t="n">
        <v>40</v>
      </c>
      <c r="CG444" s="32" t="n">
        <v>69</v>
      </c>
      <c r="CH444" s="32" t="n">
        <v>96</v>
      </c>
      <c r="CI444" s="32" t="n">
        <v>95</v>
      </c>
      <c r="CJ444" s="49" t="n">
        <v>16</v>
      </c>
      <c r="CK444" s="49" t="n">
        <v>39</v>
      </c>
      <c r="CL444" s="76" t="n">
        <v>55</v>
      </c>
      <c r="CM444" s="49" t="n">
        <v>21</v>
      </c>
      <c r="CN444" s="49" t="n">
        <v>44</v>
      </c>
      <c r="CO444" s="49" t="n">
        <v>65</v>
      </c>
      <c r="CP444" s="25" t="n">
        <f aca="false">BX444+BW444+BV444+BU444+BT444+BQ444+BN444</f>
        <v>593</v>
      </c>
      <c r="CQ444" s="25" t="n">
        <f aca="false">CO444+CL444+CI444+CH444+CG444+CD444+CA444</f>
        <v>500</v>
      </c>
      <c r="CR444" s="26" t="n">
        <f aca="false">CP444/7</f>
        <v>84.7142857142857</v>
      </c>
      <c r="CS444" s="26" t="n">
        <f aca="false">CQ444/7</f>
        <v>71.4285714285714</v>
      </c>
      <c r="CT444" s="24" t="n">
        <f aca="false">RANK(CR444,$CR$2:$CR$881,0)</f>
        <v>447</v>
      </c>
      <c r="CU444" s="25" t="n">
        <f aca="false">RANK(CS444,$CS$2:$CS$881,0)</f>
        <v>528</v>
      </c>
      <c r="CV444" s="26" t="n">
        <f aca="false">(CS444+CR444)/2</f>
        <v>78.0714285714286</v>
      </c>
      <c r="CW444" s="25" t="n">
        <f aca="false">RANK(CV444,$CV$2:$CV$881,0)</f>
        <v>494</v>
      </c>
      <c r="CX444" s="50" t="n">
        <f aca="false">(CV444+BB444)/2</f>
        <v>79.4357142857143</v>
      </c>
      <c r="CY444" s="50" t="n">
        <v>403</v>
      </c>
      <c r="CZ444" s="27" t="s">
        <v>132</v>
      </c>
      <c r="DA444" s="27" t="s">
        <v>205</v>
      </c>
      <c r="DB444" s="27" t="s">
        <v>205</v>
      </c>
      <c r="DC444" s="27" t="s">
        <v>134</v>
      </c>
      <c r="DD444" s="27" t="s">
        <v>182</v>
      </c>
      <c r="DE444" s="27" t="s">
        <v>447</v>
      </c>
      <c r="DF444" s="27" t="s">
        <v>382</v>
      </c>
      <c r="DG444" s="27" t="s">
        <v>134</v>
      </c>
      <c r="DH444" s="27" t="s">
        <v>154</v>
      </c>
      <c r="DI444" s="27" t="s">
        <v>313</v>
      </c>
      <c r="DJ444" s="27" t="s">
        <v>441</v>
      </c>
      <c r="DK444" s="27" t="s">
        <v>134</v>
      </c>
      <c r="DL444" s="27" t="s">
        <v>174</v>
      </c>
      <c r="DM444" s="27" t="s">
        <v>399</v>
      </c>
      <c r="DN444" s="27" t="s">
        <v>155</v>
      </c>
      <c r="DO444" s="27" t="s">
        <v>134</v>
      </c>
      <c r="DP444" s="27" t="s">
        <v>182</v>
      </c>
      <c r="DQ444" s="27" t="s">
        <v>1388</v>
      </c>
      <c r="DR444" s="27" t="s">
        <v>218</v>
      </c>
      <c r="DS444" s="27" t="s">
        <v>480</v>
      </c>
      <c r="DT444" s="27" t="s">
        <v>174</v>
      </c>
      <c r="DU444" s="27" t="s">
        <v>638</v>
      </c>
      <c r="DV444" s="27" t="s">
        <v>141</v>
      </c>
      <c r="DW444" s="27" t="s">
        <v>164</v>
      </c>
      <c r="DX444" s="27" t="s">
        <v>152</v>
      </c>
      <c r="DY444" s="27" t="s">
        <v>170</v>
      </c>
      <c r="DZ444" s="27" t="n">
        <f aca="false">DY444+DV444+DR444+DN444+DJ444+DF444+DB444</f>
        <v>519</v>
      </c>
      <c r="EA444" s="28" t="n">
        <f aca="false">DZ444/7</f>
        <v>74.1428571428571</v>
      </c>
      <c r="EB444" s="27" t="n">
        <f aca="false">RANK(EA444,$EA$2:$EA$881,0)</f>
        <v>560</v>
      </c>
      <c r="EC444" s="29" t="n">
        <f aca="false">DZ444+CQ444+CP444+AZ444</f>
        <v>2420</v>
      </c>
      <c r="ED444" s="30" t="n">
        <f aca="false">(EA444+CV444+BB444)/3</f>
        <v>77.6714285714286</v>
      </c>
      <c r="EE444" s="51" t="n">
        <f aca="false">ROUND(BE444,3)</f>
        <v>87.26</v>
      </c>
      <c r="EF444" s="51" t="n">
        <f aca="false">ROUND(CR444,3)</f>
        <v>84.714</v>
      </c>
      <c r="EG444" s="51" t="n">
        <f aca="false">ROUND(CS444,3)</f>
        <v>71.429</v>
      </c>
      <c r="EH444" s="51" t="n">
        <f aca="false">ROUND(EA444,3)</f>
        <v>74.143</v>
      </c>
      <c r="EI444" s="51" t="n">
        <f aca="false">ROUND(ED444,3)</f>
        <v>77.671</v>
      </c>
      <c r="EJ444" s="51" t="n">
        <f aca="false">ROUND(CV444,3)</f>
        <v>78.071</v>
      </c>
      <c r="EK444" s="0" t="n">
        <f aca="false">RANK(EI444,$EI$2:$EI$881,0)</f>
        <v>443</v>
      </c>
    </row>
    <row r="445" customFormat="false" ht="15" hidden="false" customHeight="false" outlineLevel="0" collapsed="false">
      <c r="A445" s="4" t="n">
        <v>1874</v>
      </c>
      <c r="B445" s="4" t="n">
        <v>176</v>
      </c>
      <c r="C445" s="27" t="s">
        <v>1389</v>
      </c>
      <c r="D445" s="31" t="n">
        <v>177</v>
      </c>
      <c r="E445" s="16" t="n">
        <v>234300150</v>
      </c>
      <c r="F445" s="56" t="s">
        <v>1390</v>
      </c>
      <c r="G445" s="22" t="s">
        <v>368</v>
      </c>
      <c r="H445" s="22" t="s">
        <v>271</v>
      </c>
      <c r="I445" s="57"/>
      <c r="J445" s="16" t="n">
        <v>85</v>
      </c>
      <c r="K445" s="16" t="n">
        <v>60</v>
      </c>
      <c r="L445" s="34" t="n">
        <f aca="false">(K445*70)/100</f>
        <v>42</v>
      </c>
      <c r="M445" s="34" t="n">
        <f aca="false">ROUNDUP(L445,0)</f>
        <v>42</v>
      </c>
      <c r="N445" s="16" t="n">
        <v>19</v>
      </c>
      <c r="O445" s="34" t="n">
        <f aca="false">N445+L445</f>
        <v>61</v>
      </c>
      <c r="P445" s="34" t="n">
        <f aca="false">N445+M445</f>
        <v>61</v>
      </c>
      <c r="Q445" s="16" t="n">
        <v>75</v>
      </c>
      <c r="R445" s="16" t="n">
        <v>72</v>
      </c>
      <c r="S445" s="34" t="n">
        <f aca="false">(R445*70)/100</f>
        <v>50.4</v>
      </c>
      <c r="T445" s="34" t="n">
        <f aca="false">ROUNDUP(S445,0)</f>
        <v>51</v>
      </c>
      <c r="U445" s="16" t="n">
        <v>19</v>
      </c>
      <c r="V445" s="34" t="n">
        <f aca="false">U445+S445</f>
        <v>69.4</v>
      </c>
      <c r="W445" s="34" t="n">
        <f aca="false">U445+T445</f>
        <v>70</v>
      </c>
      <c r="X445" s="16" t="n">
        <v>69</v>
      </c>
      <c r="Y445" s="34" t="n">
        <f aca="false">(X445*70)/100</f>
        <v>48.3</v>
      </c>
      <c r="Z445" s="34" t="n">
        <f aca="false">ROUNDUP(Y445,0)</f>
        <v>49</v>
      </c>
      <c r="AA445" s="16" t="n">
        <v>25</v>
      </c>
      <c r="AB445" s="34" t="n">
        <f aca="false">AA445+Y445</f>
        <v>73.3</v>
      </c>
      <c r="AC445" s="34" t="n">
        <f aca="false">AA445+Z445</f>
        <v>74</v>
      </c>
      <c r="AD445" s="32" t="n">
        <f aca="false">X445+R445+Q445+K445+J445</f>
        <v>361</v>
      </c>
      <c r="AE445" s="16" t="n">
        <f aca="false">AD445/5</f>
        <v>72.2</v>
      </c>
      <c r="AF445" s="16" t="n">
        <v>65</v>
      </c>
      <c r="AG445" s="16" t="n">
        <v>80</v>
      </c>
      <c r="AH445" s="16" t="n">
        <v>77</v>
      </c>
      <c r="AI445" s="16" t="n">
        <v>80</v>
      </c>
      <c r="AJ445" s="16" t="n">
        <f aca="false">(AI445*70)/100</f>
        <v>56</v>
      </c>
      <c r="AK445" s="35" t="n">
        <f aca="false">ROUNDUP(AJ445,0)</f>
        <v>56</v>
      </c>
      <c r="AL445" s="16" t="n">
        <v>19</v>
      </c>
      <c r="AM445" s="16" t="n">
        <f aca="false">AL445+AJ445</f>
        <v>75</v>
      </c>
      <c r="AN445" s="16" t="n">
        <f aca="false">AL445+AK445</f>
        <v>75</v>
      </c>
      <c r="AO445" s="16" t="n">
        <v>50</v>
      </c>
      <c r="AP445" s="36" t="n">
        <f aca="false">(AO445*70)/100</f>
        <v>35</v>
      </c>
      <c r="AQ445" s="37" t="n">
        <f aca="false">ROUNDUP(AP445,0)</f>
        <v>35</v>
      </c>
      <c r="AR445" s="16" t="n">
        <v>19</v>
      </c>
      <c r="AS445" s="16" t="n">
        <f aca="false">AR445+AP445</f>
        <v>54</v>
      </c>
      <c r="AT445" s="71" t="n">
        <f aca="false">AR445+AQ445</f>
        <v>54</v>
      </c>
      <c r="AU445" s="16" t="n">
        <f aca="false">AO445+AF445+AI445+AH445+AG445</f>
        <v>352</v>
      </c>
      <c r="AV445" s="16" t="n">
        <f aca="false">(AO445+AF445+AI445+AH445+AG445)/5</f>
        <v>70.4</v>
      </c>
      <c r="AW445" s="36" t="n">
        <f aca="false">(AO445+AF445+AI445+AH445+AG445+X445+R445+Q445+K445+J445)</f>
        <v>713</v>
      </c>
      <c r="AX445" s="16" t="n">
        <f aca="false">AW445/10</f>
        <v>71.3</v>
      </c>
      <c r="AY445" s="16" t="n">
        <f aca="false">AS445+AF445+AM445+AH445+AG445+AB445+V445+Q445+O445+J445</f>
        <v>714.7</v>
      </c>
      <c r="AZ445" s="16" t="n">
        <f aca="false">AT445+AF445+AN445+AH445+AG445+AC445+W445+Q445+P445+J445</f>
        <v>716</v>
      </c>
      <c r="BA445" s="16" t="n">
        <f aca="false">AY445/10</f>
        <v>71.47</v>
      </c>
      <c r="BB445" s="16" t="n">
        <f aca="false">AZ445/10</f>
        <v>71.6</v>
      </c>
      <c r="BC445" s="72" t="n">
        <v>0</v>
      </c>
      <c r="BD445" s="16" t="n">
        <f aca="false">RANK(AX445,$AX$2:$AX$881,0)</f>
        <v>724</v>
      </c>
      <c r="BE445" s="78" t="n">
        <f aca="false">AX445</f>
        <v>71.3</v>
      </c>
      <c r="BF445" s="16" t="n">
        <f aca="false">RANK(BE445,$BE$2:$BE$881,0)</f>
        <v>787</v>
      </c>
      <c r="BG445" s="39" t="n">
        <f aca="false">RANK(BB445,$BB$2:$BB$881,0)</f>
        <v>732</v>
      </c>
      <c r="BH445" s="39" t="n">
        <f aca="false">RANK(BC445,$BC$2:$BC$881,0)</f>
        <v>780</v>
      </c>
      <c r="BI445" s="22" t="s">
        <v>130</v>
      </c>
      <c r="BJ445" s="22" t="s">
        <v>129</v>
      </c>
      <c r="BK445" s="22" t="s">
        <v>526</v>
      </c>
      <c r="BL445" s="41" t="n">
        <v>16</v>
      </c>
      <c r="BM445" s="41" t="n">
        <v>48</v>
      </c>
      <c r="BN445" s="41" t="n">
        <v>64</v>
      </c>
      <c r="BO445" s="42" t="n">
        <v>20</v>
      </c>
      <c r="BP445" s="43" t="n">
        <v>52</v>
      </c>
      <c r="BQ445" s="44" t="n">
        <v>72</v>
      </c>
      <c r="BR445" s="42" t="n">
        <v>21</v>
      </c>
      <c r="BS445" s="45" t="n">
        <v>47</v>
      </c>
      <c r="BT445" s="45" t="n">
        <v>68</v>
      </c>
      <c r="BU445" s="46" t="n">
        <v>99</v>
      </c>
      <c r="BV445" s="81" t="n">
        <v>62</v>
      </c>
      <c r="BW445" s="42" t="n">
        <v>96</v>
      </c>
      <c r="BX445" s="48" t="n">
        <v>100</v>
      </c>
      <c r="BY445" s="32" t="n">
        <v>26</v>
      </c>
      <c r="BZ445" s="32" t="n">
        <v>48</v>
      </c>
      <c r="CA445" s="32" t="n">
        <v>74</v>
      </c>
      <c r="CB445" s="32" t="n">
        <v>12</v>
      </c>
      <c r="CC445" s="32" t="n">
        <v>37</v>
      </c>
      <c r="CD445" s="69" t="n">
        <v>49</v>
      </c>
      <c r="CE445" s="32" t="n">
        <v>22</v>
      </c>
      <c r="CF445" s="32" t="n">
        <v>47</v>
      </c>
      <c r="CG445" s="32" t="n">
        <v>69</v>
      </c>
      <c r="CH445" s="32" t="n">
        <v>96</v>
      </c>
      <c r="CI445" s="32" t="n">
        <v>95</v>
      </c>
      <c r="CJ445" s="49" t="n">
        <v>19</v>
      </c>
      <c r="CK445" s="49" t="n">
        <v>48</v>
      </c>
      <c r="CL445" s="49" t="n">
        <v>67</v>
      </c>
      <c r="CM445" s="49" t="n">
        <v>19</v>
      </c>
      <c r="CN445" s="49" t="n">
        <v>49</v>
      </c>
      <c r="CO445" s="49" t="n">
        <v>68</v>
      </c>
      <c r="CP445" s="25" t="n">
        <f aca="false">BX445+BW445+BV445+BU445+BT445+BQ445+BN445</f>
        <v>561</v>
      </c>
      <c r="CQ445" s="25" t="n">
        <f aca="false">CO445+CL445+CI445+CH445+CG445+CD445+CA445</f>
        <v>518</v>
      </c>
      <c r="CR445" s="26" t="n">
        <f aca="false">CP445/7</f>
        <v>80.1428571428571</v>
      </c>
      <c r="CS445" s="26" t="n">
        <f aca="false">CQ445/7</f>
        <v>74</v>
      </c>
      <c r="CT445" s="24" t="n">
        <f aca="false">RANK(CR445,$CR$2:$CR$881,0)</f>
        <v>582</v>
      </c>
      <c r="CU445" s="25" t="n">
        <f aca="false">RANK(CS445,$CS$2:$CS$881,0)</f>
        <v>459</v>
      </c>
      <c r="CV445" s="26" t="n">
        <f aca="false">(CS445+CR445)/2</f>
        <v>77.0714285714286</v>
      </c>
      <c r="CW445" s="25" t="n">
        <f aca="false">RANK(CV445,$CV$2:$CV$881,0)</f>
        <v>514</v>
      </c>
      <c r="CX445" s="50" t="n">
        <f aca="false">(CV445+BB445)/2</f>
        <v>74.3357142857143</v>
      </c>
      <c r="CY445" s="50" t="n">
        <v>565</v>
      </c>
      <c r="CZ445" s="27" t="s">
        <v>132</v>
      </c>
      <c r="DA445" s="27" t="s">
        <v>153</v>
      </c>
      <c r="DB445" s="27" t="s">
        <v>153</v>
      </c>
      <c r="DC445" s="27" t="s">
        <v>134</v>
      </c>
      <c r="DD445" s="27" t="s">
        <v>137</v>
      </c>
      <c r="DE445" s="27" t="s">
        <v>306</v>
      </c>
      <c r="DF445" s="27" t="s">
        <v>196</v>
      </c>
      <c r="DG445" s="27" t="s">
        <v>134</v>
      </c>
      <c r="DH445" s="27" t="s">
        <v>164</v>
      </c>
      <c r="DI445" s="27" t="s">
        <v>304</v>
      </c>
      <c r="DJ445" s="27" t="s">
        <v>196</v>
      </c>
      <c r="DK445" s="27" t="s">
        <v>134</v>
      </c>
      <c r="DL445" s="27" t="s">
        <v>154</v>
      </c>
      <c r="DM445" s="27" t="s">
        <v>306</v>
      </c>
      <c r="DN445" s="27" t="s">
        <v>305</v>
      </c>
      <c r="DO445" s="27" t="s">
        <v>134</v>
      </c>
      <c r="DP445" s="27" t="s">
        <v>191</v>
      </c>
      <c r="DQ445" s="27" t="s">
        <v>306</v>
      </c>
      <c r="DR445" s="27" t="s">
        <v>441</v>
      </c>
      <c r="DS445" s="27" t="s">
        <v>134</v>
      </c>
      <c r="DT445" s="27" t="s">
        <v>140</v>
      </c>
      <c r="DU445" s="27" t="s">
        <v>161</v>
      </c>
      <c r="DV445" s="27" t="s">
        <v>153</v>
      </c>
      <c r="DW445" s="27" t="s">
        <v>135</v>
      </c>
      <c r="DX445" s="27" t="s">
        <v>155</v>
      </c>
      <c r="DY445" s="27" t="s">
        <v>139</v>
      </c>
      <c r="DZ445" s="27" t="n">
        <f aca="false">DY445+DV445+DR445+DN445+DJ445+DF445+DB445</f>
        <v>590</v>
      </c>
      <c r="EA445" s="28" t="n">
        <f aca="false">DZ445/7</f>
        <v>84.2857142857143</v>
      </c>
      <c r="EB445" s="27" t="n">
        <f aca="false">RANK(EA445,$EA$2:$EA$881,0)</f>
        <v>210</v>
      </c>
      <c r="EC445" s="29" t="n">
        <f aca="false">DZ445+CQ445+CP445+AZ445</f>
        <v>2385</v>
      </c>
      <c r="ED445" s="30" t="n">
        <f aca="false">(EA445+CV445+BB445)/3</f>
        <v>77.652380952381</v>
      </c>
      <c r="EE445" s="51" t="n">
        <f aca="false">ROUND(BE445,3)</f>
        <v>71.3</v>
      </c>
      <c r="EF445" s="51" t="n">
        <f aca="false">ROUND(CR445,3)</f>
        <v>80.143</v>
      </c>
      <c r="EG445" s="51" t="n">
        <f aca="false">ROUND(CS445,3)</f>
        <v>74</v>
      </c>
      <c r="EH445" s="51" t="n">
        <f aca="false">ROUND(EA445,3)</f>
        <v>84.286</v>
      </c>
      <c r="EI445" s="51" t="n">
        <f aca="false">ROUND(ED445,3)</f>
        <v>77.652</v>
      </c>
      <c r="EJ445" s="51" t="n">
        <f aca="false">ROUND(CV445,3)</f>
        <v>77.071</v>
      </c>
      <c r="EK445" s="0" t="n">
        <f aca="false">RANK(EI445,$EI$2:$EI$881,0)</f>
        <v>444</v>
      </c>
    </row>
    <row r="446" customFormat="false" ht="15" hidden="false" customHeight="false" outlineLevel="0" collapsed="false">
      <c r="A446" s="4" t="n">
        <v>1967</v>
      </c>
      <c r="B446" s="4" t="n">
        <v>806</v>
      </c>
      <c r="C446" s="27" t="s">
        <v>1391</v>
      </c>
      <c r="D446" s="31" t="n">
        <v>825</v>
      </c>
      <c r="E446" s="16" t="n">
        <v>230619491</v>
      </c>
      <c r="F446" s="56" t="s">
        <v>1392</v>
      </c>
      <c r="G446" s="22" t="s">
        <v>217</v>
      </c>
      <c r="H446" s="22" t="s">
        <v>558</v>
      </c>
      <c r="I446" s="57"/>
      <c r="J446" s="16" t="n">
        <v>75</v>
      </c>
      <c r="K446" s="16" t="n">
        <v>78</v>
      </c>
      <c r="L446" s="34" t="n">
        <f aca="false">(K446*70)/100</f>
        <v>54.6</v>
      </c>
      <c r="M446" s="34" t="n">
        <f aca="false">ROUNDUP(L446,0)</f>
        <v>55</v>
      </c>
      <c r="N446" s="16" t="n">
        <v>21</v>
      </c>
      <c r="O446" s="34" t="n">
        <f aca="false">N446+L446</f>
        <v>75.6</v>
      </c>
      <c r="P446" s="34" t="n">
        <f aca="false">N446+M446</f>
        <v>76</v>
      </c>
      <c r="Q446" s="16" t="n">
        <v>60</v>
      </c>
      <c r="R446" s="16" t="n">
        <v>81</v>
      </c>
      <c r="S446" s="34" t="n">
        <f aca="false">(R446*70)/100</f>
        <v>56.7</v>
      </c>
      <c r="T446" s="34" t="n">
        <f aca="false">ROUNDUP(S446,0)</f>
        <v>57</v>
      </c>
      <c r="U446" s="16" t="n">
        <v>29</v>
      </c>
      <c r="V446" s="34" t="n">
        <f aca="false">U446+S446</f>
        <v>85.7</v>
      </c>
      <c r="W446" s="34" t="n">
        <f aca="false">U446+T446</f>
        <v>86</v>
      </c>
      <c r="X446" s="16" t="n">
        <v>70</v>
      </c>
      <c r="Y446" s="34" t="n">
        <f aca="false">(X446*70)/100</f>
        <v>49</v>
      </c>
      <c r="Z446" s="34" t="n">
        <f aca="false">ROUNDUP(Y446,0)</f>
        <v>49</v>
      </c>
      <c r="AA446" s="16" t="n">
        <v>24</v>
      </c>
      <c r="AB446" s="34" t="n">
        <f aca="false">AA446+Y446</f>
        <v>73</v>
      </c>
      <c r="AC446" s="34" t="n">
        <f aca="false">AA446+Z446</f>
        <v>73</v>
      </c>
      <c r="AD446" s="32" t="n">
        <f aca="false">X446+R446+Q446+K446+J446</f>
        <v>364</v>
      </c>
      <c r="AE446" s="16" t="n">
        <f aca="false">AD446/5</f>
        <v>72.8</v>
      </c>
      <c r="AF446" s="16" t="n">
        <v>75</v>
      </c>
      <c r="AG446" s="16" t="n">
        <v>86</v>
      </c>
      <c r="AH446" s="16" t="n">
        <v>88</v>
      </c>
      <c r="AI446" s="16" t="n">
        <v>81</v>
      </c>
      <c r="AJ446" s="16" t="n">
        <f aca="false">(AI446*70)/100</f>
        <v>56.7</v>
      </c>
      <c r="AK446" s="35" t="n">
        <f aca="false">ROUNDUP(AJ446,0)</f>
        <v>57</v>
      </c>
      <c r="AL446" s="16" t="n">
        <v>27</v>
      </c>
      <c r="AM446" s="16" t="n">
        <f aca="false">AL446+AJ446</f>
        <v>83.7</v>
      </c>
      <c r="AN446" s="16" t="n">
        <f aca="false">AL446+AK446</f>
        <v>84</v>
      </c>
      <c r="AO446" s="16" t="n">
        <v>75</v>
      </c>
      <c r="AP446" s="36" t="n">
        <f aca="false">(AO446*70)/100</f>
        <v>52.5</v>
      </c>
      <c r="AQ446" s="37" t="n">
        <f aca="false">ROUNDUP(AP446,0)</f>
        <v>53</v>
      </c>
      <c r="AR446" s="16" t="n">
        <v>26</v>
      </c>
      <c r="AS446" s="16" t="n">
        <f aca="false">AR446+AP446</f>
        <v>78.5</v>
      </c>
      <c r="AT446" s="16" t="n">
        <f aca="false">AR446+AQ446</f>
        <v>79</v>
      </c>
      <c r="AU446" s="16" t="n">
        <f aca="false">AO446+AF446+AI446+AH446+AG446</f>
        <v>405</v>
      </c>
      <c r="AV446" s="16" t="n">
        <f aca="false">(AO446+AF446+AI446+AH446+AG446)/5</f>
        <v>81</v>
      </c>
      <c r="AW446" s="36" t="n">
        <f aca="false">(AO446+AF446+AI446+AH446+AG446+X446+R446+Q446+K446+J446)</f>
        <v>769</v>
      </c>
      <c r="AX446" s="16" t="n">
        <f aca="false">AW446/10</f>
        <v>76.9</v>
      </c>
      <c r="AY446" s="16" t="n">
        <f aca="false">AS446+AF446+AM446+AH446+AG446+AB446+V446+Q446+O446+J446</f>
        <v>780.5</v>
      </c>
      <c r="AZ446" s="16" t="n">
        <f aca="false">AT446+AF446+AN446+AH446+AG446+AC446+W446+Q446+P446+J446</f>
        <v>782</v>
      </c>
      <c r="BA446" s="16" t="n">
        <f aca="false">AY446/10</f>
        <v>78.05</v>
      </c>
      <c r="BB446" s="16" t="n">
        <f aca="false">AZ446/10</f>
        <v>78.2</v>
      </c>
      <c r="BC446" s="16" t="n">
        <v>2385</v>
      </c>
      <c r="BD446" s="16" t="n">
        <f aca="false">RANK(AX446,$AX$2:$AX$881,0)</f>
        <v>519</v>
      </c>
      <c r="BE446" s="54" t="n">
        <f aca="false">((BC446*100)/2400)*0.4+(AX446*0.6)</f>
        <v>85.89</v>
      </c>
      <c r="BF446" s="16" t="n">
        <f aca="false">RANK(BE446,$BE$2:$BE$881,0)</f>
        <v>449</v>
      </c>
      <c r="BG446" s="39" t="n">
        <f aca="false">RANK(BB446,$BB$2:$BB$881,0)</f>
        <v>541</v>
      </c>
      <c r="BH446" s="39" t="n">
        <f aca="false">RANK(BC446,$BC$2:$BC$881,0)</f>
        <v>93</v>
      </c>
      <c r="BI446" s="22" t="s">
        <v>130</v>
      </c>
      <c r="BJ446" s="22" t="s">
        <v>129</v>
      </c>
      <c r="BK446" s="40" t="s">
        <v>509</v>
      </c>
      <c r="BL446" s="41" t="n">
        <v>18</v>
      </c>
      <c r="BM446" s="41" t="n">
        <v>42</v>
      </c>
      <c r="BN446" s="41" t="n">
        <v>60</v>
      </c>
      <c r="BO446" s="42" t="n">
        <v>22</v>
      </c>
      <c r="BP446" s="102" t="n">
        <v>69</v>
      </c>
      <c r="BQ446" s="103" t="n">
        <v>91</v>
      </c>
      <c r="BR446" s="42" t="n">
        <v>13</v>
      </c>
      <c r="BS446" s="45" t="n">
        <v>53</v>
      </c>
      <c r="BT446" s="24" t="n">
        <v>66</v>
      </c>
      <c r="BU446" s="46" t="n">
        <v>100</v>
      </c>
      <c r="BV446" s="47" t="n">
        <v>84</v>
      </c>
      <c r="BW446" s="42" t="n">
        <v>73</v>
      </c>
      <c r="BX446" s="62" t="n">
        <v>86</v>
      </c>
      <c r="BY446" s="62" t="n">
        <v>29</v>
      </c>
      <c r="BZ446" s="62" t="n">
        <v>50</v>
      </c>
      <c r="CA446" s="62" t="n">
        <v>79</v>
      </c>
      <c r="CB446" s="62" t="n">
        <v>22</v>
      </c>
      <c r="CC446" s="58"/>
      <c r="CD446" s="58"/>
      <c r="CE446" s="62" t="n">
        <v>27</v>
      </c>
      <c r="CF446" s="62" t="n">
        <v>62</v>
      </c>
      <c r="CG446" s="62" t="n">
        <v>89</v>
      </c>
      <c r="CH446" s="62" t="n">
        <v>99</v>
      </c>
      <c r="CI446" s="62" t="n">
        <v>98</v>
      </c>
      <c r="CJ446" s="75" t="n">
        <v>27</v>
      </c>
      <c r="CK446" s="75" t="n">
        <v>50</v>
      </c>
      <c r="CL446" s="75" t="n">
        <v>77</v>
      </c>
      <c r="CM446" s="49" t="n">
        <v>25</v>
      </c>
      <c r="CN446" s="49" t="n">
        <v>51</v>
      </c>
      <c r="CO446" s="49" t="n">
        <v>76</v>
      </c>
      <c r="CP446" s="25" t="n">
        <f aca="false">BX446+BW446+BV446+BU446+BT446+BQ446+BN446</f>
        <v>560</v>
      </c>
      <c r="CQ446" s="25" t="n">
        <f aca="false">CO446+CL446+CI446+CH446+CG446+CD446+CA446</f>
        <v>518</v>
      </c>
      <c r="CR446" s="26" t="n">
        <f aca="false">CP446/7</f>
        <v>80</v>
      </c>
      <c r="CS446" s="26" t="n">
        <f aca="false">CQ446/7</f>
        <v>74</v>
      </c>
      <c r="CT446" s="24" t="n">
        <f aca="false">RANK(CR446,$CR$2:$CR$881,0)</f>
        <v>585</v>
      </c>
      <c r="CU446" s="25" t="n">
        <f aca="false">RANK(CS446,$CS$2:$CS$881,0)</f>
        <v>459</v>
      </c>
      <c r="CV446" s="26" t="n">
        <f aca="false">(CS446+CR446)/2</f>
        <v>77</v>
      </c>
      <c r="CW446" s="25" t="n">
        <f aca="false">RANK(CV446,$CV$2:$CV$881,0)</f>
        <v>517</v>
      </c>
      <c r="CX446" s="50" t="n">
        <f aca="false">(CV446+BB446)/2</f>
        <v>77.6</v>
      </c>
      <c r="CY446" s="50" t="n">
        <v>485</v>
      </c>
      <c r="CZ446" s="27" t="s">
        <v>132</v>
      </c>
      <c r="DA446" s="27" t="s">
        <v>153</v>
      </c>
      <c r="DB446" s="27" t="s">
        <v>153</v>
      </c>
      <c r="DC446" s="27" t="s">
        <v>134</v>
      </c>
      <c r="DD446" s="27" t="s">
        <v>174</v>
      </c>
      <c r="DE446" s="27" t="s">
        <v>183</v>
      </c>
      <c r="DF446" s="27" t="s">
        <v>219</v>
      </c>
      <c r="DG446" s="27" t="s">
        <v>134</v>
      </c>
      <c r="DH446" s="27" t="s">
        <v>140</v>
      </c>
      <c r="DI446" s="27" t="s">
        <v>163</v>
      </c>
      <c r="DJ446" s="27" t="s">
        <v>156</v>
      </c>
      <c r="DK446" s="27" t="s">
        <v>134</v>
      </c>
      <c r="DL446" s="27" t="s">
        <v>164</v>
      </c>
      <c r="DM446" s="27" t="s">
        <v>136</v>
      </c>
      <c r="DN446" s="27" t="s">
        <v>153</v>
      </c>
      <c r="DO446" s="27" t="s">
        <v>134</v>
      </c>
      <c r="DP446" s="27"/>
      <c r="DQ446" s="27"/>
      <c r="DR446" s="27"/>
      <c r="DS446" s="27"/>
      <c r="DT446" s="27" t="s">
        <v>137</v>
      </c>
      <c r="DU446" s="27" t="s">
        <v>152</v>
      </c>
      <c r="DV446" s="27" t="s">
        <v>153</v>
      </c>
      <c r="DW446" s="27" t="s">
        <v>146</v>
      </c>
      <c r="DX446" s="27" t="s">
        <v>155</v>
      </c>
      <c r="DY446" s="27" t="s">
        <v>165</v>
      </c>
      <c r="DZ446" s="27" t="n">
        <f aca="false">DY446+DV446+DR446+DN446+DJ446+DF446+DB446</f>
        <v>544</v>
      </c>
      <c r="EA446" s="28" t="n">
        <f aca="false">DZ446/7</f>
        <v>77.7142857142857</v>
      </c>
      <c r="EB446" s="27" t="n">
        <f aca="false">RANK(EA446,$EA$2:$EA$881,0)</f>
        <v>467</v>
      </c>
      <c r="EC446" s="29" t="n">
        <f aca="false">DZ446+CQ446+CP446+AZ446</f>
        <v>2404</v>
      </c>
      <c r="ED446" s="30" t="n">
        <f aca="false">(EA446+CV446+BB446)/3</f>
        <v>77.6380952380952</v>
      </c>
      <c r="EE446" s="51" t="n">
        <f aca="false">ROUND(BE446,3)</f>
        <v>85.89</v>
      </c>
      <c r="EF446" s="51" t="n">
        <f aca="false">ROUND(CR446,3)</f>
        <v>80</v>
      </c>
      <c r="EG446" s="51" t="n">
        <f aca="false">ROUND(CS446,3)</f>
        <v>74</v>
      </c>
      <c r="EH446" s="51" t="n">
        <f aca="false">ROUND(EA446,3)</f>
        <v>77.714</v>
      </c>
      <c r="EI446" s="51" t="n">
        <f aca="false">ROUND(ED446,3)</f>
        <v>77.638</v>
      </c>
      <c r="EJ446" s="51" t="n">
        <f aca="false">ROUND(CV446,3)</f>
        <v>77</v>
      </c>
      <c r="EK446" s="0" t="n">
        <f aca="false">RANK(EI446,$EI$2:$EI$881,0)</f>
        <v>445</v>
      </c>
    </row>
    <row r="447" customFormat="false" ht="15" hidden="false" customHeight="false" outlineLevel="0" collapsed="false">
      <c r="A447" s="4" t="n">
        <v>8624</v>
      </c>
      <c r="B447" s="4" t="n">
        <v>622</v>
      </c>
      <c r="C447" s="27" t="s">
        <v>1393</v>
      </c>
      <c r="D447" s="31" t="n">
        <v>630</v>
      </c>
      <c r="E447" s="16" t="n">
        <v>231305234</v>
      </c>
      <c r="F447" s="56" t="s">
        <v>1394</v>
      </c>
      <c r="G447" s="22" t="s">
        <v>201</v>
      </c>
      <c r="H447" s="22" t="s">
        <v>326</v>
      </c>
      <c r="I447" s="57"/>
      <c r="J447" s="16" t="n">
        <v>64</v>
      </c>
      <c r="K447" s="16" t="n">
        <v>68</v>
      </c>
      <c r="L447" s="34" t="n">
        <f aca="false">(K447*70)/100</f>
        <v>47.6</v>
      </c>
      <c r="M447" s="34" t="n">
        <f aca="false">ROUNDUP(L447,0)</f>
        <v>48</v>
      </c>
      <c r="N447" s="16" t="n">
        <v>25</v>
      </c>
      <c r="O447" s="34" t="n">
        <f aca="false">N447+L447</f>
        <v>72.6</v>
      </c>
      <c r="P447" s="34" t="n">
        <f aca="false">N447+M447</f>
        <v>73</v>
      </c>
      <c r="Q447" s="16" t="n">
        <v>87</v>
      </c>
      <c r="R447" s="16" t="n">
        <v>75</v>
      </c>
      <c r="S447" s="34" t="n">
        <f aca="false">(R447*70)/100</f>
        <v>52.5</v>
      </c>
      <c r="T447" s="34" t="n">
        <f aca="false">ROUNDUP(S447,0)</f>
        <v>53</v>
      </c>
      <c r="U447" s="16" t="n">
        <v>23</v>
      </c>
      <c r="V447" s="34" t="n">
        <f aca="false">U447+S447</f>
        <v>75.5</v>
      </c>
      <c r="W447" s="34" t="n">
        <f aca="false">U447+T447</f>
        <v>76</v>
      </c>
      <c r="X447" s="16" t="n">
        <v>73</v>
      </c>
      <c r="Y447" s="34" t="n">
        <f aca="false">(X447*70)/100</f>
        <v>51.1</v>
      </c>
      <c r="Z447" s="34" t="n">
        <f aca="false">ROUNDUP(Y447,0)</f>
        <v>52</v>
      </c>
      <c r="AA447" s="16" t="n">
        <v>26</v>
      </c>
      <c r="AB447" s="34" t="n">
        <f aca="false">AA447+Y447</f>
        <v>77.1</v>
      </c>
      <c r="AC447" s="34" t="n">
        <f aca="false">AA447+Z447</f>
        <v>78</v>
      </c>
      <c r="AD447" s="32" t="n">
        <f aca="false">X447+R447+Q447+K447+J447</f>
        <v>367</v>
      </c>
      <c r="AE447" s="16" t="n">
        <f aca="false">AD447/5</f>
        <v>73.4</v>
      </c>
      <c r="AF447" s="16" t="n">
        <v>72</v>
      </c>
      <c r="AG447" s="16" t="n">
        <v>82</v>
      </c>
      <c r="AH447" s="16" t="n">
        <v>95</v>
      </c>
      <c r="AI447" s="16" t="n">
        <v>96</v>
      </c>
      <c r="AJ447" s="16" t="n">
        <f aca="false">(AI447*70)/100</f>
        <v>67.2</v>
      </c>
      <c r="AK447" s="35" t="n">
        <f aca="false">ROUNDUP(AJ447,0)</f>
        <v>68</v>
      </c>
      <c r="AL447" s="16" t="n">
        <v>28</v>
      </c>
      <c r="AM447" s="16" t="n">
        <f aca="false">AL447+AJ447</f>
        <v>95.2</v>
      </c>
      <c r="AN447" s="16" t="n">
        <f aca="false">AL447+AK447</f>
        <v>96</v>
      </c>
      <c r="AO447" s="16" t="n">
        <v>86</v>
      </c>
      <c r="AP447" s="36" t="n">
        <f aca="false">(AO447*70)/100</f>
        <v>60.2</v>
      </c>
      <c r="AQ447" s="37" t="n">
        <f aca="false">ROUNDUP(AP447,0)</f>
        <v>61</v>
      </c>
      <c r="AR447" s="16" t="n">
        <v>27</v>
      </c>
      <c r="AS447" s="16" t="n">
        <f aca="false">AR447+AP447</f>
        <v>87.2</v>
      </c>
      <c r="AT447" s="16" t="n">
        <f aca="false">AR447+AQ447</f>
        <v>88</v>
      </c>
      <c r="AU447" s="16" t="n">
        <f aca="false">AO447+AF447+AI447+AH447+AG447</f>
        <v>431</v>
      </c>
      <c r="AV447" s="16" t="n">
        <f aca="false">(AO447+AF447+AI447+AH447+AG447)/5</f>
        <v>86.2</v>
      </c>
      <c r="AW447" s="36" t="n">
        <f aca="false">(AO447+AF447+AI447+AH447+AG447+X447+R447+Q447+K447+J447)</f>
        <v>798</v>
      </c>
      <c r="AX447" s="16" t="n">
        <f aca="false">AW447/10</f>
        <v>79.8</v>
      </c>
      <c r="AY447" s="16" t="n">
        <f aca="false">AS447+AF447+AM447+AH447+AG447+AB447+V447+Q447+O447+J447</f>
        <v>807.6</v>
      </c>
      <c r="AZ447" s="16" t="n">
        <f aca="false">AT447+AF447+AN447+AH447+AG447+AC447+W447+Q447+P447+J447</f>
        <v>811</v>
      </c>
      <c r="BA447" s="16" t="n">
        <f aca="false">AY447/10</f>
        <v>80.76</v>
      </c>
      <c r="BB447" s="16" t="n">
        <f aca="false">AZ447/10</f>
        <v>81.1</v>
      </c>
      <c r="BC447" s="16" t="n">
        <v>2354</v>
      </c>
      <c r="BD447" s="16" t="n">
        <f aca="false">RANK(AX447,$AX$2:$AX$881,0)</f>
        <v>281</v>
      </c>
      <c r="BE447" s="54" t="n">
        <f aca="false">((BC447*100)/2400)*0.4+(AX447*0.6)</f>
        <v>87.1133333333333</v>
      </c>
      <c r="BF447" s="16" t="n">
        <f aca="false">RANK(BE447,$BE$2:$BE$881,0)</f>
        <v>288</v>
      </c>
      <c r="BG447" s="39" t="n">
        <f aca="false">RANK(BB447,$BB$2:$BB$881,0)</f>
        <v>271</v>
      </c>
      <c r="BH447" s="39" t="n">
        <f aca="false">RANK(BC447,$BC$2:$BC$881,0)</f>
        <v>490</v>
      </c>
      <c r="BI447" s="22" t="s">
        <v>130</v>
      </c>
      <c r="BJ447" s="22" t="s">
        <v>129</v>
      </c>
      <c r="BK447" s="40" t="s">
        <v>131</v>
      </c>
      <c r="BL447" s="41" t="n">
        <v>25</v>
      </c>
      <c r="BM447" s="41" t="n">
        <v>57</v>
      </c>
      <c r="BN447" s="41" t="n">
        <v>82</v>
      </c>
      <c r="BO447" s="42" t="n">
        <v>22</v>
      </c>
      <c r="BP447" s="43" t="n">
        <v>53</v>
      </c>
      <c r="BQ447" s="44" t="n">
        <v>75</v>
      </c>
      <c r="BR447" s="42" t="n">
        <v>25</v>
      </c>
      <c r="BS447" s="45" t="n">
        <v>61</v>
      </c>
      <c r="BT447" s="45" t="n">
        <v>86</v>
      </c>
      <c r="BU447" s="46" t="n">
        <v>100</v>
      </c>
      <c r="BV447" s="47" t="n">
        <v>70</v>
      </c>
      <c r="BW447" s="42" t="n">
        <v>93</v>
      </c>
      <c r="BX447" s="24" t="n">
        <v>92</v>
      </c>
      <c r="BY447" s="32" t="n">
        <v>27</v>
      </c>
      <c r="BZ447" s="32" t="n">
        <v>39</v>
      </c>
      <c r="CA447" s="32" t="n">
        <v>66</v>
      </c>
      <c r="CB447" s="32" t="n">
        <v>22</v>
      </c>
      <c r="CC447" s="32" t="n">
        <v>37</v>
      </c>
      <c r="CD447" s="69" t="n">
        <v>59</v>
      </c>
      <c r="CE447" s="32" t="n">
        <v>24</v>
      </c>
      <c r="CF447" s="32" t="n">
        <v>47</v>
      </c>
      <c r="CG447" s="32" t="n">
        <v>71</v>
      </c>
      <c r="CH447" s="32" t="n">
        <v>93</v>
      </c>
      <c r="CI447" s="32" t="n">
        <v>96</v>
      </c>
      <c r="CJ447" s="25" t="n">
        <v>17</v>
      </c>
      <c r="CK447" s="25" t="n">
        <v>50</v>
      </c>
      <c r="CL447" s="25" t="n">
        <v>67</v>
      </c>
      <c r="CM447" s="49" t="n">
        <v>16</v>
      </c>
      <c r="CN447" s="49" t="n">
        <v>50</v>
      </c>
      <c r="CO447" s="49" t="n">
        <v>66</v>
      </c>
      <c r="CP447" s="25" t="n">
        <f aca="false">BX447+BW447+BV447+BU447+BT447+BQ447+BN447</f>
        <v>598</v>
      </c>
      <c r="CQ447" s="25" t="n">
        <f aca="false">CO447+CL447+CI447+CH447+CG447+CD447+CA447</f>
        <v>518</v>
      </c>
      <c r="CR447" s="26" t="n">
        <f aca="false">CP447/7</f>
        <v>85.4285714285714</v>
      </c>
      <c r="CS447" s="26" t="n">
        <f aca="false">CQ447/7</f>
        <v>74</v>
      </c>
      <c r="CT447" s="24" t="n">
        <f aca="false">RANK(CR447,$CR$2:$CR$881,0)</f>
        <v>420</v>
      </c>
      <c r="CU447" s="25" t="n">
        <f aca="false">RANK(CS447,$CS$2:$CS$881,0)</f>
        <v>459</v>
      </c>
      <c r="CV447" s="26" t="n">
        <f aca="false">(CS447+CR447)/2</f>
        <v>79.7142857142857</v>
      </c>
      <c r="CW447" s="25" t="n">
        <f aca="false">RANK(CV447,$CV$2:$CV$881,0)</f>
        <v>440</v>
      </c>
      <c r="CX447" s="50" t="n">
        <f aca="false">(CV447+BB447)/2</f>
        <v>80.4071428571429</v>
      </c>
      <c r="CY447" s="50" t="n">
        <v>350</v>
      </c>
      <c r="CZ447" s="27" t="s">
        <v>132</v>
      </c>
      <c r="DA447" s="27" t="s">
        <v>219</v>
      </c>
      <c r="DB447" s="27" t="s">
        <v>219</v>
      </c>
      <c r="DC447" s="27" t="s">
        <v>134</v>
      </c>
      <c r="DD447" s="27" t="s">
        <v>137</v>
      </c>
      <c r="DE447" s="27" t="s">
        <v>304</v>
      </c>
      <c r="DF447" s="27" t="s">
        <v>219</v>
      </c>
      <c r="DG447" s="27" t="s">
        <v>134</v>
      </c>
      <c r="DH447" s="27" t="s">
        <v>135</v>
      </c>
      <c r="DI447" s="27" t="s">
        <v>638</v>
      </c>
      <c r="DJ447" s="27" t="s">
        <v>155</v>
      </c>
      <c r="DK447" s="27" t="s">
        <v>134</v>
      </c>
      <c r="DL447" s="27" t="s">
        <v>154</v>
      </c>
      <c r="DM447" s="27" t="s">
        <v>681</v>
      </c>
      <c r="DN447" s="27" t="s">
        <v>138</v>
      </c>
      <c r="DO447" s="27" t="s">
        <v>134</v>
      </c>
      <c r="DP447" s="27" t="s">
        <v>825</v>
      </c>
      <c r="DQ447" s="27" t="s">
        <v>681</v>
      </c>
      <c r="DR447" s="27" t="s">
        <v>204</v>
      </c>
      <c r="DS447" s="27" t="s">
        <v>480</v>
      </c>
      <c r="DT447" s="27" t="s">
        <v>135</v>
      </c>
      <c r="DU447" s="27" t="s">
        <v>1395</v>
      </c>
      <c r="DV447" s="27" t="s">
        <v>204</v>
      </c>
      <c r="DW447" s="27" t="s">
        <v>195</v>
      </c>
      <c r="DX447" s="27" t="s">
        <v>187</v>
      </c>
      <c r="DY447" s="27" t="s">
        <v>178</v>
      </c>
      <c r="DZ447" s="27" t="n">
        <f aca="false">DY447+DV447+DR447+DN447+DJ447+DF447+DB447</f>
        <v>504</v>
      </c>
      <c r="EA447" s="28" t="n">
        <f aca="false">DZ447/7</f>
        <v>72</v>
      </c>
      <c r="EB447" s="27" t="n">
        <f aca="false">RANK(EA447,$EA$2:$EA$881,0)</f>
        <v>609</v>
      </c>
      <c r="EC447" s="29" t="n">
        <f aca="false">DZ447+CQ447+CP447+AZ447</f>
        <v>2431</v>
      </c>
      <c r="ED447" s="30" t="n">
        <f aca="false">(EA447+CV447+BB447)/3</f>
        <v>77.6047619047619</v>
      </c>
      <c r="EE447" s="51" t="n">
        <f aca="false">ROUND(BE447,3)</f>
        <v>87.113</v>
      </c>
      <c r="EF447" s="51" t="n">
        <f aca="false">ROUND(CR447,3)</f>
        <v>85.429</v>
      </c>
      <c r="EG447" s="51" t="n">
        <f aca="false">ROUND(CS447,3)</f>
        <v>74</v>
      </c>
      <c r="EH447" s="51" t="n">
        <f aca="false">ROUND(EA447,3)</f>
        <v>72</v>
      </c>
      <c r="EI447" s="51" t="n">
        <f aca="false">ROUND(ED447,3)</f>
        <v>77.605</v>
      </c>
      <c r="EJ447" s="51" t="n">
        <f aca="false">ROUND(CV447,3)</f>
        <v>79.714</v>
      </c>
      <c r="EK447" s="0" t="n">
        <f aca="false">RANK(EI447,$EI$2:$EI$881,0)</f>
        <v>446</v>
      </c>
    </row>
    <row r="448" customFormat="false" ht="33.7" hidden="false" customHeight="false" outlineLevel="0" collapsed="false">
      <c r="A448" s="4" t="n">
        <v>9067</v>
      </c>
      <c r="B448" s="4" t="n">
        <v>569</v>
      </c>
      <c r="C448" s="27" t="s">
        <v>1396</v>
      </c>
      <c r="D448" s="31" t="n">
        <v>574</v>
      </c>
      <c r="E448" s="16" t="n">
        <v>230617690</v>
      </c>
      <c r="F448" s="56" t="s">
        <v>1397</v>
      </c>
      <c r="G448" s="22" t="s">
        <v>419</v>
      </c>
      <c r="H448" s="22" t="s">
        <v>558</v>
      </c>
      <c r="I448" s="57"/>
      <c r="J448" s="16" t="n">
        <v>62</v>
      </c>
      <c r="K448" s="16" t="n">
        <v>92</v>
      </c>
      <c r="L448" s="34" t="n">
        <f aca="false">(K448*70)/100</f>
        <v>64.4</v>
      </c>
      <c r="M448" s="34" t="n">
        <f aca="false">ROUNDUP(L448,0)</f>
        <v>65</v>
      </c>
      <c r="N448" s="16" t="n">
        <v>23</v>
      </c>
      <c r="O448" s="34" t="n">
        <f aca="false">N448+L448</f>
        <v>87.4</v>
      </c>
      <c r="P448" s="34" t="n">
        <f aca="false">N448+M448</f>
        <v>88</v>
      </c>
      <c r="Q448" s="71" t="n">
        <v>57</v>
      </c>
      <c r="R448" s="16" t="n">
        <v>78</v>
      </c>
      <c r="S448" s="34" t="n">
        <f aca="false">(R448*70)/100</f>
        <v>54.6</v>
      </c>
      <c r="T448" s="34" t="n">
        <f aca="false">ROUNDUP(S448,0)</f>
        <v>55</v>
      </c>
      <c r="U448" s="16" t="n">
        <v>29</v>
      </c>
      <c r="V448" s="34" t="n">
        <f aca="false">U448+S448</f>
        <v>83.6</v>
      </c>
      <c r="W448" s="34" t="n">
        <f aca="false">U448+T448</f>
        <v>84</v>
      </c>
      <c r="X448" s="16" t="n">
        <v>79</v>
      </c>
      <c r="Y448" s="34" t="n">
        <f aca="false">(X448*70)/100</f>
        <v>55.3</v>
      </c>
      <c r="Z448" s="34" t="n">
        <f aca="false">ROUNDUP(Y448,0)</f>
        <v>56</v>
      </c>
      <c r="AA448" s="16" t="n">
        <v>29</v>
      </c>
      <c r="AB448" s="34" t="n">
        <f aca="false">AA448+Y448</f>
        <v>84.3</v>
      </c>
      <c r="AC448" s="34" t="n">
        <f aca="false">AA448+Z448</f>
        <v>85</v>
      </c>
      <c r="AD448" s="32" t="n">
        <f aca="false">X448+R448+Q448+K448+J448</f>
        <v>368</v>
      </c>
      <c r="AE448" s="16" t="n">
        <f aca="false">AD448/5</f>
        <v>73.6</v>
      </c>
      <c r="AF448" s="16" t="n">
        <v>83</v>
      </c>
      <c r="AG448" s="16" t="n">
        <v>68</v>
      </c>
      <c r="AH448" s="16" t="n">
        <v>95</v>
      </c>
      <c r="AI448" s="16" t="n">
        <v>92</v>
      </c>
      <c r="AJ448" s="16" t="n">
        <f aca="false">(AI448*70)/100</f>
        <v>64.4</v>
      </c>
      <c r="AK448" s="35" t="n">
        <f aca="false">ROUNDUP(AJ448,0)</f>
        <v>65</v>
      </c>
      <c r="AL448" s="16" t="n">
        <v>23</v>
      </c>
      <c r="AM448" s="16" t="n">
        <f aca="false">AL448+AJ448</f>
        <v>87.4</v>
      </c>
      <c r="AN448" s="16" t="n">
        <f aca="false">AL448+AK448</f>
        <v>88</v>
      </c>
      <c r="AO448" s="16" t="n">
        <v>72</v>
      </c>
      <c r="AP448" s="36" t="n">
        <f aca="false">(AO448*70)/100</f>
        <v>50.4</v>
      </c>
      <c r="AQ448" s="37" t="n">
        <f aca="false">ROUNDUP(AP448,0)</f>
        <v>51</v>
      </c>
      <c r="AR448" s="16" t="n">
        <v>29</v>
      </c>
      <c r="AS448" s="16" t="n">
        <f aca="false">AR448+AP448</f>
        <v>79.4</v>
      </c>
      <c r="AT448" s="16" t="n">
        <f aca="false">AR448+AQ448</f>
        <v>80</v>
      </c>
      <c r="AU448" s="16" t="n">
        <f aca="false">AO448+AF448+AI448+AH448+AG448</f>
        <v>410</v>
      </c>
      <c r="AV448" s="16" t="n">
        <f aca="false">(AO448+AF448+AI448+AH448+AG448)/5</f>
        <v>82</v>
      </c>
      <c r="AW448" s="36" t="n">
        <f aca="false">(AO448+AF448+AI448+AH448+AG448+X448+R448+Q448+K448+J448)</f>
        <v>778</v>
      </c>
      <c r="AX448" s="16" t="n">
        <f aca="false">AW448/10</f>
        <v>77.8</v>
      </c>
      <c r="AY448" s="16" t="n">
        <f aca="false">AS448+AF448+AM448+AH448+AG448+AB448+V448+Q448+O448+J448</f>
        <v>787.1</v>
      </c>
      <c r="AZ448" s="16" t="n">
        <f aca="false">AT448+AF448+AN448+AH448+AG448+AC448+W448+Q448+P448+J448</f>
        <v>790</v>
      </c>
      <c r="BA448" s="16" t="n">
        <f aca="false">AY448/10</f>
        <v>78.71</v>
      </c>
      <c r="BB448" s="16" t="n">
        <f aca="false">AZ448/10</f>
        <v>79</v>
      </c>
      <c r="BC448" s="16" t="n">
        <v>2367</v>
      </c>
      <c r="BD448" s="16" t="n">
        <f aca="false">RANK(AX448,$AX$2:$AX$881,0)</f>
        <v>424</v>
      </c>
      <c r="BE448" s="54" t="n">
        <f aca="false">((BC448*100)/2400)*0.4+(AX448*0.6)</f>
        <v>86.13</v>
      </c>
      <c r="BF448" s="16" t="n">
        <f aca="false">RANK(BE448,$BE$2:$BE$881,0)</f>
        <v>416</v>
      </c>
      <c r="BG448" s="39" t="n">
        <f aca="false">RANK(BB448,$BB$2:$BB$881,0)</f>
        <v>457</v>
      </c>
      <c r="BH448" s="39" t="n">
        <f aca="false">RANK(BC448,$BC$2:$BC$881,0)</f>
        <v>308</v>
      </c>
      <c r="BI448" s="22" t="s">
        <v>130</v>
      </c>
      <c r="BJ448" s="22" t="s">
        <v>129</v>
      </c>
      <c r="BK448" s="40" t="s">
        <v>131</v>
      </c>
      <c r="BL448" s="41" t="n">
        <v>25</v>
      </c>
      <c r="BM448" s="41" t="n">
        <v>53</v>
      </c>
      <c r="BN448" s="41" t="n">
        <v>78</v>
      </c>
      <c r="BO448" s="42" t="n">
        <v>26</v>
      </c>
      <c r="BP448" s="43" t="n">
        <v>65</v>
      </c>
      <c r="BQ448" s="44" t="n">
        <v>91</v>
      </c>
      <c r="BR448" s="42" t="n">
        <v>23</v>
      </c>
      <c r="BS448" s="45" t="n">
        <v>52</v>
      </c>
      <c r="BT448" s="24" t="n">
        <v>75</v>
      </c>
      <c r="BU448" s="46" t="n">
        <v>100</v>
      </c>
      <c r="BV448" s="47" t="n">
        <v>82</v>
      </c>
      <c r="BW448" s="42" t="n">
        <v>95</v>
      </c>
      <c r="BX448" s="88" t="n">
        <v>92</v>
      </c>
      <c r="BY448" s="65" t="n">
        <v>30</v>
      </c>
      <c r="BZ448" s="58" t="n">
        <v>57</v>
      </c>
      <c r="CA448" s="58" t="n">
        <v>87</v>
      </c>
      <c r="CB448" s="59" t="n">
        <v>22</v>
      </c>
      <c r="CC448" s="58" t="n">
        <v>57</v>
      </c>
      <c r="CD448" s="58" t="n">
        <v>79</v>
      </c>
      <c r="CE448" s="58" t="n">
        <v>23</v>
      </c>
      <c r="CF448" s="58" t="n">
        <v>46</v>
      </c>
      <c r="CG448" s="58" t="n">
        <v>69</v>
      </c>
      <c r="CH448" s="58" t="n">
        <v>86</v>
      </c>
      <c r="CI448" s="58" t="n">
        <v>99</v>
      </c>
      <c r="CJ448" s="58" t="n">
        <v>25</v>
      </c>
      <c r="CK448" s="58" t="n">
        <v>63</v>
      </c>
      <c r="CL448" s="59" t="n">
        <v>88</v>
      </c>
      <c r="CM448" s="60"/>
      <c r="CN448" s="60"/>
      <c r="CO448" s="60"/>
      <c r="CP448" s="25" t="n">
        <f aca="false">BX448+BW448+BV448+BU448+BT448+BQ448+BN448</f>
        <v>613</v>
      </c>
      <c r="CQ448" s="25" t="n">
        <f aca="false">CO448+CL448+CI448+CH448+CG448+CD448+CA448</f>
        <v>508</v>
      </c>
      <c r="CR448" s="26" t="n">
        <f aca="false">CP448/7</f>
        <v>87.5714285714286</v>
      </c>
      <c r="CS448" s="26" t="n">
        <f aca="false">CQ448/7</f>
        <v>72.5714285714286</v>
      </c>
      <c r="CT448" s="24" t="n">
        <f aca="false">RANK(CR448,$CR$2:$CR$881,0)</f>
        <v>329</v>
      </c>
      <c r="CU448" s="25" t="n">
        <f aca="false">RANK(CS448,$CS$2:$CS$881,0)</f>
        <v>492</v>
      </c>
      <c r="CV448" s="26" t="n">
        <f aca="false">(CS448+CR448)/2</f>
        <v>80.0714285714286</v>
      </c>
      <c r="CW448" s="25" t="n">
        <f aca="false">RANK(CV448,$CV$2:$CV$881,0)</f>
        <v>422</v>
      </c>
      <c r="CX448" s="50" t="n">
        <f aca="false">(CV448+BB448)/2</f>
        <v>79.5357142857143</v>
      </c>
      <c r="CY448" s="50" t="n">
        <v>655</v>
      </c>
      <c r="CZ448" s="27" t="s">
        <v>132</v>
      </c>
      <c r="DA448" s="27" t="s">
        <v>133</v>
      </c>
      <c r="DB448" s="27" t="s">
        <v>133</v>
      </c>
      <c r="DC448" s="27" t="s">
        <v>134</v>
      </c>
      <c r="DD448" s="27" t="s">
        <v>154</v>
      </c>
      <c r="DE448" s="27" t="s">
        <v>204</v>
      </c>
      <c r="DF448" s="27" t="s">
        <v>205</v>
      </c>
      <c r="DG448" s="27" t="s">
        <v>134</v>
      </c>
      <c r="DH448" s="27" t="s">
        <v>135</v>
      </c>
      <c r="DI448" s="27" t="s">
        <v>136</v>
      </c>
      <c r="DJ448" s="27" t="s">
        <v>133</v>
      </c>
      <c r="DK448" s="27" t="s">
        <v>134</v>
      </c>
      <c r="DL448" s="27" t="s">
        <v>195</v>
      </c>
      <c r="DM448" s="27" t="s">
        <v>220</v>
      </c>
      <c r="DN448" s="27" t="s">
        <v>382</v>
      </c>
      <c r="DO448" s="27" t="s">
        <v>134</v>
      </c>
      <c r="DP448" s="27" t="s">
        <v>1000</v>
      </c>
      <c r="DQ448" s="27" t="s">
        <v>313</v>
      </c>
      <c r="DR448" s="27" t="s">
        <v>187</v>
      </c>
      <c r="DS448" s="27" t="s">
        <v>134</v>
      </c>
      <c r="DT448" s="27" t="s">
        <v>160</v>
      </c>
      <c r="DU448" s="27" t="s">
        <v>619</v>
      </c>
      <c r="DV448" s="27" t="s">
        <v>160</v>
      </c>
      <c r="DW448" s="27" t="s">
        <v>485</v>
      </c>
      <c r="DX448" s="27" t="s">
        <v>155</v>
      </c>
      <c r="DY448" s="27" t="s">
        <v>178</v>
      </c>
      <c r="DZ448" s="27" t="n">
        <f aca="false">DY448+DV448+DR448+DN448+DJ448+DF448+DB448</f>
        <v>516</v>
      </c>
      <c r="EA448" s="28" t="n">
        <f aca="false">DZ448/7</f>
        <v>73.7142857142857</v>
      </c>
      <c r="EB448" s="27" t="n">
        <f aca="false">RANK(EA448,$EA$2:$EA$881,0)</f>
        <v>573</v>
      </c>
      <c r="EC448" s="29" t="n">
        <f aca="false">DZ448+CQ448+CP448+AZ448</f>
        <v>2427</v>
      </c>
      <c r="ED448" s="30" t="n">
        <f aca="false">(EA448+CV448+BB448)/3</f>
        <v>77.5952380952381</v>
      </c>
      <c r="EE448" s="51" t="n">
        <f aca="false">ROUND(BE448,3)</f>
        <v>86.13</v>
      </c>
      <c r="EF448" s="51" t="n">
        <f aca="false">ROUND(CR448,3)</f>
        <v>87.571</v>
      </c>
      <c r="EG448" s="51" t="n">
        <f aca="false">ROUND(CS448,3)</f>
        <v>72.571</v>
      </c>
      <c r="EH448" s="51" t="n">
        <f aca="false">ROUND(EA448,3)</f>
        <v>73.714</v>
      </c>
      <c r="EI448" s="51" t="n">
        <f aca="false">ROUND(ED448,3)</f>
        <v>77.595</v>
      </c>
      <c r="EJ448" s="51" t="n">
        <f aca="false">ROUND(CV448,3)</f>
        <v>80.071</v>
      </c>
      <c r="EK448" s="0" t="n">
        <f aca="false">RANK(EI448,$EI$2:$EI$881,0)</f>
        <v>447</v>
      </c>
    </row>
    <row r="449" customFormat="false" ht="15" hidden="false" customHeight="false" outlineLevel="0" collapsed="false">
      <c r="A449" s="4" t="n">
        <v>8566</v>
      </c>
      <c r="B449" s="4" t="n">
        <v>844</v>
      </c>
      <c r="C449" s="27" t="s">
        <v>1398</v>
      </c>
      <c r="D449" s="31" t="n">
        <v>863</v>
      </c>
      <c r="E449" s="16" t="n">
        <v>230239281</v>
      </c>
      <c r="F449" s="56" t="s">
        <v>1399</v>
      </c>
      <c r="G449" s="22" t="s">
        <v>1400</v>
      </c>
      <c r="H449" s="22" t="s">
        <v>326</v>
      </c>
      <c r="I449" s="57"/>
      <c r="J449" s="16" t="n">
        <v>83</v>
      </c>
      <c r="K449" s="16" t="n">
        <v>79</v>
      </c>
      <c r="L449" s="34" t="n">
        <f aca="false">(K449*70)/100</f>
        <v>55.3</v>
      </c>
      <c r="M449" s="34" t="n">
        <f aca="false">ROUNDUP(L449,0)</f>
        <v>56</v>
      </c>
      <c r="N449" s="16" t="n">
        <v>28</v>
      </c>
      <c r="O449" s="34" t="n">
        <f aca="false">N449+L449</f>
        <v>83.3</v>
      </c>
      <c r="P449" s="34" t="n">
        <f aca="false">N449+M449</f>
        <v>84</v>
      </c>
      <c r="Q449" s="16" t="n">
        <v>62</v>
      </c>
      <c r="R449" s="16" t="n">
        <v>77</v>
      </c>
      <c r="S449" s="34" t="n">
        <f aca="false">(R449*70)/100</f>
        <v>53.9</v>
      </c>
      <c r="T449" s="34" t="n">
        <f aca="false">ROUNDUP(S449,0)</f>
        <v>54</v>
      </c>
      <c r="U449" s="16" t="n">
        <v>23</v>
      </c>
      <c r="V449" s="34" t="n">
        <f aca="false">U449+S449</f>
        <v>76.9</v>
      </c>
      <c r="W449" s="34" t="n">
        <f aca="false">U449+T449</f>
        <v>77</v>
      </c>
      <c r="X449" s="16" t="n">
        <v>70</v>
      </c>
      <c r="Y449" s="34" t="n">
        <f aca="false">(X449*70)/100</f>
        <v>49</v>
      </c>
      <c r="Z449" s="34" t="n">
        <f aca="false">ROUNDUP(Y449,0)</f>
        <v>49</v>
      </c>
      <c r="AA449" s="16" t="n">
        <v>26</v>
      </c>
      <c r="AB449" s="34" t="n">
        <f aca="false">AA449+Y449</f>
        <v>75</v>
      </c>
      <c r="AC449" s="34" t="n">
        <f aca="false">AA449+Z449</f>
        <v>75</v>
      </c>
      <c r="AD449" s="32" t="n">
        <f aca="false">X449+R449+Q449+K449+J449</f>
        <v>371</v>
      </c>
      <c r="AE449" s="16" t="n">
        <f aca="false">AD449/5</f>
        <v>74.2</v>
      </c>
      <c r="AF449" s="16" t="n">
        <v>82</v>
      </c>
      <c r="AG449" s="16" t="n">
        <v>86</v>
      </c>
      <c r="AH449" s="16" t="n">
        <v>83</v>
      </c>
      <c r="AI449" s="16" t="n">
        <v>91</v>
      </c>
      <c r="AJ449" s="16" t="n">
        <f aca="false">(AI449*70)/100</f>
        <v>63.7</v>
      </c>
      <c r="AK449" s="35" t="n">
        <f aca="false">ROUNDUP(AJ449,0)</f>
        <v>64</v>
      </c>
      <c r="AL449" s="16" t="n">
        <v>21</v>
      </c>
      <c r="AM449" s="16" t="n">
        <f aca="false">AL449+AJ449</f>
        <v>84.7</v>
      </c>
      <c r="AN449" s="16" t="n">
        <f aca="false">AL449+AK449</f>
        <v>85</v>
      </c>
      <c r="AO449" s="16" t="n">
        <v>84</v>
      </c>
      <c r="AP449" s="36" t="n">
        <f aca="false">(AO449*70)/100</f>
        <v>58.8</v>
      </c>
      <c r="AQ449" s="37" t="n">
        <f aca="false">ROUNDUP(AP449,0)</f>
        <v>59</v>
      </c>
      <c r="AR449" s="16" t="n">
        <v>20</v>
      </c>
      <c r="AS449" s="16" t="n">
        <f aca="false">AR449+AP449</f>
        <v>78.8</v>
      </c>
      <c r="AT449" s="16" t="n">
        <f aca="false">AR449+AQ449</f>
        <v>79</v>
      </c>
      <c r="AU449" s="16" t="n">
        <f aca="false">AO449+AF449+AI449+AH449+AG449</f>
        <v>426</v>
      </c>
      <c r="AV449" s="16" t="n">
        <f aca="false">(AO449+AF449+AI449+AH449+AG449)/5</f>
        <v>85.2</v>
      </c>
      <c r="AW449" s="36" t="n">
        <f aca="false">(AO449+AF449+AI449+AH449+AG449+X449+R449+Q449+K449+J449)</f>
        <v>797</v>
      </c>
      <c r="AX449" s="16" t="n">
        <f aca="false">AW449/10</f>
        <v>79.7</v>
      </c>
      <c r="AY449" s="16" t="n">
        <f aca="false">AS449+AF449+AM449+AH449+AG449+AB449+V449+Q449+O449+J449</f>
        <v>794.7</v>
      </c>
      <c r="AZ449" s="16" t="n">
        <f aca="false">AT449+AF449+AN449+AH449+AG449+AC449+W449+Q449+P449+J449</f>
        <v>796</v>
      </c>
      <c r="BA449" s="16" t="n">
        <f aca="false">AY449/10</f>
        <v>79.47</v>
      </c>
      <c r="BB449" s="16" t="n">
        <f aca="false">AZ449/10</f>
        <v>79.6</v>
      </c>
      <c r="BC449" s="16" t="n">
        <v>2366</v>
      </c>
      <c r="BD449" s="16" t="n">
        <f aca="false">RANK(AX449,$AX$2:$AX$881,0)</f>
        <v>288</v>
      </c>
      <c r="BE449" s="54" t="n">
        <f aca="false">((BC449*100)/2400)*0.4+(AX449*0.6)</f>
        <v>87.2533333333333</v>
      </c>
      <c r="BF449" s="16" t="n">
        <f aca="false">RANK(BE449,$BE$2:$BE$881,0)</f>
        <v>274</v>
      </c>
      <c r="BG449" s="39" t="n">
        <f aca="false">RANK(BB449,$BB$2:$BB$881,0)</f>
        <v>392</v>
      </c>
      <c r="BH449" s="39" t="n">
        <f aca="false">RANK(BC449,$BC$2:$BC$881,0)</f>
        <v>319</v>
      </c>
      <c r="BI449" s="22" t="s">
        <v>130</v>
      </c>
      <c r="BJ449" s="22" t="s">
        <v>129</v>
      </c>
      <c r="BK449" s="40" t="s">
        <v>131</v>
      </c>
      <c r="BL449" s="41" t="n">
        <v>16</v>
      </c>
      <c r="BM449" s="41" t="n">
        <v>54</v>
      </c>
      <c r="BN449" s="41" t="n">
        <v>70</v>
      </c>
      <c r="BO449" s="42" t="n">
        <v>18</v>
      </c>
      <c r="BP449" s="43" t="n">
        <v>53</v>
      </c>
      <c r="BQ449" s="44" t="n">
        <v>71</v>
      </c>
      <c r="BR449" s="42" t="n">
        <v>25</v>
      </c>
      <c r="BS449" s="45" t="n">
        <v>54</v>
      </c>
      <c r="BT449" s="45" t="n">
        <v>79</v>
      </c>
      <c r="BU449" s="46" t="n">
        <v>100</v>
      </c>
      <c r="BV449" s="47" t="n">
        <v>78</v>
      </c>
      <c r="BW449" s="42" t="n">
        <v>96</v>
      </c>
      <c r="BX449" s="48" t="n">
        <v>92</v>
      </c>
      <c r="BY449" s="32" t="n">
        <v>23</v>
      </c>
      <c r="BZ449" s="58" t="n">
        <v>56</v>
      </c>
      <c r="CA449" s="58" t="n">
        <v>79</v>
      </c>
      <c r="CB449" s="32" t="n">
        <v>19</v>
      </c>
      <c r="CC449" s="32" t="n">
        <v>29</v>
      </c>
      <c r="CD449" s="69" t="n">
        <v>48</v>
      </c>
      <c r="CE449" s="32" t="n">
        <v>23</v>
      </c>
      <c r="CF449" s="32" t="n">
        <v>57</v>
      </c>
      <c r="CG449" s="32" t="n">
        <v>80</v>
      </c>
      <c r="CH449" s="32" t="n">
        <v>99</v>
      </c>
      <c r="CI449" s="32" t="n">
        <v>99</v>
      </c>
      <c r="CJ449" s="83" t="n">
        <v>4</v>
      </c>
      <c r="CK449" s="60"/>
      <c r="CL449" s="61"/>
      <c r="CM449" s="49" t="n">
        <v>24</v>
      </c>
      <c r="CN449" s="49" t="n">
        <v>52</v>
      </c>
      <c r="CO449" s="49" t="n">
        <v>76</v>
      </c>
      <c r="CP449" s="25" t="n">
        <f aca="false">BX449+BW449+BV449+BU449+BT449+BQ449+BN449</f>
        <v>586</v>
      </c>
      <c r="CQ449" s="25" t="n">
        <f aca="false">CO449+CL449+CI449+CH449+CG449+CD449+CA449</f>
        <v>481</v>
      </c>
      <c r="CR449" s="26" t="n">
        <f aca="false">CP449/7</f>
        <v>83.7142857142857</v>
      </c>
      <c r="CS449" s="26" t="n">
        <f aca="false">CQ449/7</f>
        <v>68.7142857142857</v>
      </c>
      <c r="CT449" s="24" t="n">
        <f aca="false">RANK(CR449,$CR$2:$CR$881,0)</f>
        <v>495</v>
      </c>
      <c r="CU449" s="25" t="n">
        <f aca="false">RANK(CS449,$CS$2:$CS$881,0)</f>
        <v>576</v>
      </c>
      <c r="CV449" s="26" t="n">
        <f aca="false">(CS449+CR449)/2</f>
        <v>76.2142857142857</v>
      </c>
      <c r="CW449" s="25" t="n">
        <f aca="false">RANK(CV449,$CV$2:$CV$881,0)</f>
        <v>535</v>
      </c>
      <c r="CX449" s="50" t="n">
        <f aca="false">(CV449+BB449)/2</f>
        <v>77.9071428571428</v>
      </c>
      <c r="CY449" s="50" t="n">
        <v>557</v>
      </c>
      <c r="CZ449" s="27" t="s">
        <v>132</v>
      </c>
      <c r="DA449" s="27" t="s">
        <v>219</v>
      </c>
      <c r="DB449" s="27" t="s">
        <v>219</v>
      </c>
      <c r="DC449" s="27" t="s">
        <v>134</v>
      </c>
      <c r="DD449" s="27" t="s">
        <v>135</v>
      </c>
      <c r="DE449" s="27" t="s">
        <v>218</v>
      </c>
      <c r="DF449" s="27" t="s">
        <v>205</v>
      </c>
      <c r="DG449" s="27" t="s">
        <v>134</v>
      </c>
      <c r="DH449" s="27" t="s">
        <v>135</v>
      </c>
      <c r="DI449" s="27" t="s">
        <v>306</v>
      </c>
      <c r="DJ449" s="27" t="s">
        <v>219</v>
      </c>
      <c r="DK449" s="27" t="s">
        <v>134</v>
      </c>
      <c r="DL449" s="27" t="s">
        <v>137</v>
      </c>
      <c r="DM449" s="27" t="s">
        <v>681</v>
      </c>
      <c r="DN449" s="27" t="s">
        <v>398</v>
      </c>
      <c r="DO449" s="27" t="s">
        <v>134</v>
      </c>
      <c r="DP449" s="27" t="s">
        <v>1000</v>
      </c>
      <c r="DQ449" s="27" t="s">
        <v>412</v>
      </c>
      <c r="DR449" s="27" t="s">
        <v>163</v>
      </c>
      <c r="DS449" s="27" t="s">
        <v>134</v>
      </c>
      <c r="DT449" s="27" t="s">
        <v>164</v>
      </c>
      <c r="DU449" s="27" t="s">
        <v>681</v>
      </c>
      <c r="DV449" s="27" t="s">
        <v>486</v>
      </c>
      <c r="DW449" s="27" t="s">
        <v>386</v>
      </c>
      <c r="DX449" s="27" t="s">
        <v>143</v>
      </c>
      <c r="DY449" s="27" t="s">
        <v>202</v>
      </c>
      <c r="DZ449" s="27" t="n">
        <f aca="false">DY449+DV449+DR449+DN449+DJ449+DF449+DB449</f>
        <v>538</v>
      </c>
      <c r="EA449" s="28" t="n">
        <f aca="false">DZ449/7</f>
        <v>76.8571428571429</v>
      </c>
      <c r="EB449" s="27" t="n">
        <f aca="false">RANK(EA449,$EA$2:$EA$881,0)</f>
        <v>493</v>
      </c>
      <c r="EC449" s="29" t="n">
        <f aca="false">DZ449+CQ449+CP449+AZ449</f>
        <v>2401</v>
      </c>
      <c r="ED449" s="30" t="n">
        <f aca="false">(EA449+CV449+BB449)/3</f>
        <v>77.5571428571429</v>
      </c>
      <c r="EE449" s="51" t="n">
        <f aca="false">ROUND(BE449,3)</f>
        <v>87.253</v>
      </c>
      <c r="EF449" s="51" t="n">
        <f aca="false">ROUND(CR449,3)</f>
        <v>83.714</v>
      </c>
      <c r="EG449" s="51" t="n">
        <f aca="false">ROUND(CS449,3)</f>
        <v>68.714</v>
      </c>
      <c r="EH449" s="51" t="n">
        <f aca="false">ROUND(EA449,3)</f>
        <v>76.857</v>
      </c>
      <c r="EI449" s="51" t="n">
        <f aca="false">ROUND(ED449,3)</f>
        <v>77.557</v>
      </c>
      <c r="EJ449" s="51" t="n">
        <f aca="false">ROUND(CV449,3)</f>
        <v>76.214</v>
      </c>
      <c r="EK449" s="0" t="n">
        <f aca="false">RANK(EI449,$EI$2:$EI$881,0)</f>
        <v>448</v>
      </c>
    </row>
    <row r="450" customFormat="false" ht="15" hidden="false" customHeight="false" outlineLevel="0" collapsed="false">
      <c r="A450" s="4" t="n">
        <v>8825</v>
      </c>
      <c r="B450" s="4" t="n">
        <v>604</v>
      </c>
      <c r="C450" s="27" t="s">
        <v>1401</v>
      </c>
      <c r="D450" s="31" t="n">
        <v>611</v>
      </c>
      <c r="E450" s="32" t="n">
        <v>230323709</v>
      </c>
      <c r="F450" s="8" t="s">
        <v>1402</v>
      </c>
      <c r="G450" s="22" t="s">
        <v>1403</v>
      </c>
      <c r="H450" s="22" t="s">
        <v>129</v>
      </c>
      <c r="I450" s="33" t="n">
        <v>2005</v>
      </c>
      <c r="J450" s="32" t="n">
        <v>60</v>
      </c>
      <c r="K450" s="32" t="n">
        <v>75</v>
      </c>
      <c r="L450" s="34" t="n">
        <f aca="false">(K450*70)/100</f>
        <v>52.5</v>
      </c>
      <c r="M450" s="34" t="n">
        <f aca="false">ROUNDUP(L450,0)</f>
        <v>53</v>
      </c>
      <c r="N450" s="32" t="n">
        <v>26</v>
      </c>
      <c r="O450" s="34" t="n">
        <f aca="false">N450+L450</f>
        <v>78.5</v>
      </c>
      <c r="P450" s="34" t="n">
        <f aca="false">N450+M450</f>
        <v>79</v>
      </c>
      <c r="Q450" s="32" t="n">
        <v>67</v>
      </c>
      <c r="R450" s="32" t="n">
        <v>61</v>
      </c>
      <c r="S450" s="34" t="n">
        <f aca="false">(R450*70)/100</f>
        <v>42.7</v>
      </c>
      <c r="T450" s="34" t="n">
        <f aca="false">ROUNDUP(S450,0)</f>
        <v>43</v>
      </c>
      <c r="U450" s="32" t="n">
        <v>23</v>
      </c>
      <c r="V450" s="34" t="n">
        <f aca="false">U450+S450</f>
        <v>65.7</v>
      </c>
      <c r="W450" s="34" t="n">
        <f aca="false">U450+T450</f>
        <v>66</v>
      </c>
      <c r="X450" s="32" t="n">
        <v>62</v>
      </c>
      <c r="Y450" s="34" t="n">
        <f aca="false">(X450*70)/100</f>
        <v>43.4</v>
      </c>
      <c r="Z450" s="34" t="n">
        <f aca="false">ROUNDUP(Y450,0)</f>
        <v>44</v>
      </c>
      <c r="AA450" s="32" t="n">
        <v>22</v>
      </c>
      <c r="AB450" s="34" t="n">
        <f aca="false">AA450+Y450</f>
        <v>65.4</v>
      </c>
      <c r="AC450" s="34" t="n">
        <f aca="false">AA450+Z450</f>
        <v>66</v>
      </c>
      <c r="AD450" s="32" t="n">
        <f aca="false">X450+R450+Q450+K450+J450</f>
        <v>325</v>
      </c>
      <c r="AE450" s="16" t="n">
        <f aca="false">AD450/5</f>
        <v>65</v>
      </c>
      <c r="AF450" s="16" t="n">
        <v>63</v>
      </c>
      <c r="AG450" s="16" t="n">
        <v>70</v>
      </c>
      <c r="AH450" s="16" t="n">
        <v>84</v>
      </c>
      <c r="AI450" s="16" t="n">
        <v>90</v>
      </c>
      <c r="AJ450" s="16" t="n">
        <f aca="false">(AI450*70)/100</f>
        <v>63</v>
      </c>
      <c r="AK450" s="35" t="n">
        <f aca="false">ROUNDUP(AJ450,0)</f>
        <v>63</v>
      </c>
      <c r="AL450" s="16" t="n">
        <v>28</v>
      </c>
      <c r="AM450" s="16" t="n">
        <f aca="false">AL450+AJ450</f>
        <v>91</v>
      </c>
      <c r="AN450" s="16" t="n">
        <f aca="false">AL450+AK450</f>
        <v>91</v>
      </c>
      <c r="AO450" s="16" t="n">
        <v>63</v>
      </c>
      <c r="AP450" s="36" t="n">
        <f aca="false">(AO450*70)/100</f>
        <v>44.1</v>
      </c>
      <c r="AQ450" s="37" t="n">
        <f aca="false">ROUNDUP(AP450,0)</f>
        <v>45</v>
      </c>
      <c r="AR450" s="16" t="n">
        <v>28</v>
      </c>
      <c r="AS450" s="16" t="n">
        <f aca="false">AR450+AP450</f>
        <v>72.1</v>
      </c>
      <c r="AT450" s="16" t="n">
        <f aca="false">AR450+AQ450</f>
        <v>73</v>
      </c>
      <c r="AU450" s="16" t="n">
        <f aca="false">AO450+AF450+AI450+AH450+AG450</f>
        <v>370</v>
      </c>
      <c r="AV450" s="16" t="n">
        <f aca="false">(AO450+AF450+AI450+AH450+AG450)/5</f>
        <v>74</v>
      </c>
      <c r="AW450" s="36" t="n">
        <f aca="false">(AO450+AF450+AI450+AH450+AG450+X450+R450+Q450+K450+J450)</f>
        <v>695</v>
      </c>
      <c r="AX450" s="16" t="n">
        <f aca="false">AW450/10</f>
        <v>69.5</v>
      </c>
      <c r="AY450" s="16" t="n">
        <f aca="false">AS450+AF450+AM450+AH450+AG450+AB450+V450+Q450+O450+J450</f>
        <v>716.7</v>
      </c>
      <c r="AZ450" s="16" t="n">
        <f aca="false">AT450+AF450+AN450+AH450+AG450+AC450+W450+Q450+P450+J450</f>
        <v>719</v>
      </c>
      <c r="BA450" s="16" t="n">
        <f aca="false">AY450/10</f>
        <v>71.67</v>
      </c>
      <c r="BB450" s="16" t="n">
        <f aca="false">AZ450/10</f>
        <v>71.9</v>
      </c>
      <c r="BC450" s="16" t="n">
        <v>2346</v>
      </c>
      <c r="BD450" s="16" t="n">
        <f aca="false">RANK(AX450,$AX$2:$AX$881,0)</f>
        <v>739</v>
      </c>
      <c r="BE450" s="73" t="n">
        <f aca="false">((BC450*100)/2400)*0.4+(AX450*0.6)</f>
        <v>80.8</v>
      </c>
      <c r="BF450" s="16" t="n">
        <f aca="false">RANK(BE450,$BE$2:$BE$881,0)</f>
        <v>721</v>
      </c>
      <c r="BG450" s="39" t="n">
        <f aca="false">RANK(BB450,$BB$2:$BB$881,0)</f>
        <v>729</v>
      </c>
      <c r="BH450" s="39" t="n">
        <f aca="false">RANK(BC450,$BC$2:$BC$881,0)</f>
        <v>571</v>
      </c>
      <c r="BI450" s="22" t="s">
        <v>130</v>
      </c>
      <c r="BJ450" s="22" t="s">
        <v>129</v>
      </c>
      <c r="BK450" s="40" t="s">
        <v>702</v>
      </c>
      <c r="BL450" s="41" t="n">
        <v>21</v>
      </c>
      <c r="BM450" s="41" t="n">
        <v>53</v>
      </c>
      <c r="BN450" s="41" t="n">
        <v>74</v>
      </c>
      <c r="BO450" s="42" t="n">
        <v>22</v>
      </c>
      <c r="BP450" s="43" t="n">
        <v>63</v>
      </c>
      <c r="BQ450" s="44" t="n">
        <v>85</v>
      </c>
      <c r="BR450" s="42" t="n">
        <v>28</v>
      </c>
      <c r="BS450" s="45" t="n">
        <v>59</v>
      </c>
      <c r="BT450" s="45" t="n">
        <v>87</v>
      </c>
      <c r="BU450" s="46" t="n">
        <v>96</v>
      </c>
      <c r="BV450" s="47" t="n">
        <v>80</v>
      </c>
      <c r="BW450" s="42" t="n">
        <v>86</v>
      </c>
      <c r="BX450" s="48" t="n">
        <v>92</v>
      </c>
      <c r="BY450" s="32" t="n">
        <v>27</v>
      </c>
      <c r="BZ450" s="32" t="n">
        <v>48</v>
      </c>
      <c r="CA450" s="32" t="n">
        <v>75</v>
      </c>
      <c r="CB450" s="32" t="n">
        <v>21</v>
      </c>
      <c r="CC450" s="32" t="n">
        <v>46</v>
      </c>
      <c r="CD450" s="32" t="n">
        <v>67</v>
      </c>
      <c r="CE450" s="32" t="n">
        <v>22</v>
      </c>
      <c r="CF450" s="32" t="n">
        <v>45</v>
      </c>
      <c r="CG450" s="32" t="n">
        <v>67</v>
      </c>
      <c r="CH450" s="32" t="n">
        <v>82</v>
      </c>
      <c r="CI450" s="32" t="n">
        <v>92</v>
      </c>
      <c r="CJ450" s="49" t="n">
        <v>23</v>
      </c>
      <c r="CK450" s="49" t="n">
        <v>48</v>
      </c>
      <c r="CL450" s="49" t="n">
        <v>71</v>
      </c>
      <c r="CM450" s="49" t="n">
        <v>23</v>
      </c>
      <c r="CN450" s="58" t="n">
        <v>54</v>
      </c>
      <c r="CO450" s="58" t="n">
        <v>77</v>
      </c>
      <c r="CP450" s="25" t="n">
        <f aca="false">BX450+BW450+BV450+BU450+BT450+BQ450+BN450</f>
        <v>600</v>
      </c>
      <c r="CQ450" s="25" t="n">
        <f aca="false">CO450+CL450+CI450+CH450+CG450+CD450+CA450</f>
        <v>531</v>
      </c>
      <c r="CR450" s="26" t="n">
        <f aca="false">CP450/7</f>
        <v>85.7142857142857</v>
      </c>
      <c r="CS450" s="26" t="n">
        <f aca="false">CQ450/7</f>
        <v>75.8571428571429</v>
      </c>
      <c r="CT450" s="24" t="n">
        <f aca="false">RANK(CR450,$CR$2:$CR$881,0)</f>
        <v>413</v>
      </c>
      <c r="CU450" s="25" t="n">
        <f aca="false">RANK(CS450,$CS$2:$CS$881,0)</f>
        <v>401</v>
      </c>
      <c r="CV450" s="26" t="n">
        <f aca="false">(CS450+CR450)/2</f>
        <v>80.7857142857143</v>
      </c>
      <c r="CW450" s="25" t="n">
        <f aca="false">RANK(CV450,$CV$2:$CV$881,0)</f>
        <v>394</v>
      </c>
      <c r="CX450" s="50" t="n">
        <f aca="false">(CV450+BB450)/2</f>
        <v>76.3428571428571</v>
      </c>
      <c r="CY450" s="50" t="n">
        <v>576</v>
      </c>
      <c r="CZ450" s="27" t="s">
        <v>132</v>
      </c>
      <c r="DA450" s="27" t="s">
        <v>169</v>
      </c>
      <c r="DB450" s="27" t="s">
        <v>169</v>
      </c>
      <c r="DC450" s="27" t="s">
        <v>134</v>
      </c>
      <c r="DD450" s="27" t="s">
        <v>154</v>
      </c>
      <c r="DE450" s="27" t="s">
        <v>161</v>
      </c>
      <c r="DF450" s="27" t="s">
        <v>209</v>
      </c>
      <c r="DG450" s="27" t="s">
        <v>134</v>
      </c>
      <c r="DH450" s="27" t="s">
        <v>174</v>
      </c>
      <c r="DI450" s="27" t="s">
        <v>177</v>
      </c>
      <c r="DJ450" s="27" t="s">
        <v>205</v>
      </c>
      <c r="DK450" s="27" t="s">
        <v>134</v>
      </c>
      <c r="DL450" s="27" t="s">
        <v>135</v>
      </c>
      <c r="DM450" s="27" t="s">
        <v>447</v>
      </c>
      <c r="DN450" s="27" t="s">
        <v>305</v>
      </c>
      <c r="DO450" s="27" t="s">
        <v>134</v>
      </c>
      <c r="DP450" s="27" t="s">
        <v>182</v>
      </c>
      <c r="DQ450" s="27" t="s">
        <v>645</v>
      </c>
      <c r="DR450" s="27" t="s">
        <v>143</v>
      </c>
      <c r="DS450" s="27" t="s">
        <v>134</v>
      </c>
      <c r="DT450" s="27" t="s">
        <v>137</v>
      </c>
      <c r="DU450" s="27" t="s">
        <v>638</v>
      </c>
      <c r="DV450" s="27" t="s">
        <v>416</v>
      </c>
      <c r="DW450" s="27" t="s">
        <v>182</v>
      </c>
      <c r="DX450" s="27" t="s">
        <v>138</v>
      </c>
      <c r="DY450" s="27" t="s">
        <v>151</v>
      </c>
      <c r="DZ450" s="27" t="n">
        <f aca="false">DY450+DV450+DR450+DN450+DJ450+DF450+DB450</f>
        <v>559</v>
      </c>
      <c r="EA450" s="28" t="n">
        <f aca="false">DZ450/7</f>
        <v>79.8571428571429</v>
      </c>
      <c r="EB450" s="27" t="n">
        <f aca="false">RANK(EA450,$EA$2:$EA$881,0)</f>
        <v>399</v>
      </c>
      <c r="EC450" s="29" t="n">
        <f aca="false">DZ450+CQ450+CP450+AZ450</f>
        <v>2409</v>
      </c>
      <c r="ED450" s="30" t="n">
        <f aca="false">(EA450+CV450+BB450)/3</f>
        <v>77.5142857142857</v>
      </c>
      <c r="EE450" s="51" t="n">
        <f aca="false">ROUND(BE450,3)</f>
        <v>80.8</v>
      </c>
      <c r="EF450" s="51" t="n">
        <f aca="false">ROUND(CR450,3)</f>
        <v>85.714</v>
      </c>
      <c r="EG450" s="51" t="n">
        <f aca="false">ROUND(CS450,3)</f>
        <v>75.857</v>
      </c>
      <c r="EH450" s="51" t="n">
        <f aca="false">ROUND(EA450,3)</f>
        <v>79.857</v>
      </c>
      <c r="EI450" s="51" t="n">
        <f aca="false">ROUND(ED450,3)</f>
        <v>77.514</v>
      </c>
      <c r="EJ450" s="51" t="n">
        <f aca="false">ROUND(CV450,3)</f>
        <v>80.786</v>
      </c>
      <c r="EK450" s="0" t="n">
        <f aca="false">RANK(EI450,$EI$2:$EI$881,0)</f>
        <v>449</v>
      </c>
    </row>
    <row r="451" customFormat="false" ht="15" hidden="false" customHeight="false" outlineLevel="0" collapsed="false">
      <c r="A451" s="4" t="n">
        <v>8964</v>
      </c>
      <c r="B451" s="4" t="n">
        <v>138</v>
      </c>
      <c r="C451" s="27" t="s">
        <v>1404</v>
      </c>
      <c r="D451" s="31" t="n">
        <v>135</v>
      </c>
      <c r="E451" s="16" t="n">
        <v>230238088</v>
      </c>
      <c r="F451" s="56" t="s">
        <v>1405</v>
      </c>
      <c r="G451" s="22" t="s">
        <v>1406</v>
      </c>
      <c r="H451" s="22" t="s">
        <v>326</v>
      </c>
      <c r="I451" s="57"/>
      <c r="J451" s="16" t="n">
        <v>89</v>
      </c>
      <c r="K451" s="16" t="n">
        <v>74</v>
      </c>
      <c r="L451" s="34" t="n">
        <f aca="false">(K451*70)/100</f>
        <v>51.8</v>
      </c>
      <c r="M451" s="34" t="n">
        <f aca="false">ROUNDUP(L451,0)</f>
        <v>52</v>
      </c>
      <c r="N451" s="16" t="n">
        <v>23</v>
      </c>
      <c r="O451" s="34" t="n">
        <f aca="false">N451+L451</f>
        <v>74.8</v>
      </c>
      <c r="P451" s="34" t="n">
        <f aca="false">N451+M451</f>
        <v>75</v>
      </c>
      <c r="Q451" s="16" t="n">
        <v>71</v>
      </c>
      <c r="R451" s="16" t="n">
        <v>80</v>
      </c>
      <c r="S451" s="34" t="n">
        <f aca="false">(R451*70)/100</f>
        <v>56</v>
      </c>
      <c r="T451" s="34" t="n">
        <f aca="false">ROUNDUP(S451,0)</f>
        <v>56</v>
      </c>
      <c r="U451" s="16" t="n">
        <v>24</v>
      </c>
      <c r="V451" s="34" t="n">
        <f aca="false">U451+S451</f>
        <v>80</v>
      </c>
      <c r="W451" s="34" t="n">
        <f aca="false">U451+T451</f>
        <v>80</v>
      </c>
      <c r="X451" s="16" t="n">
        <v>79</v>
      </c>
      <c r="Y451" s="34" t="n">
        <f aca="false">(X451*70)/100</f>
        <v>55.3</v>
      </c>
      <c r="Z451" s="34" t="n">
        <f aca="false">ROUNDUP(Y451,0)</f>
        <v>56</v>
      </c>
      <c r="AA451" s="16" t="n">
        <v>25</v>
      </c>
      <c r="AB451" s="34" t="n">
        <f aca="false">AA451+Y451</f>
        <v>80.3</v>
      </c>
      <c r="AC451" s="34" t="n">
        <f aca="false">AA451+Z451</f>
        <v>81</v>
      </c>
      <c r="AD451" s="32" t="n">
        <f aca="false">X451+R451+Q451+K451+J451</f>
        <v>393</v>
      </c>
      <c r="AE451" s="16" t="n">
        <f aca="false">AD451/5</f>
        <v>78.6</v>
      </c>
      <c r="AF451" s="16" t="n">
        <v>66</v>
      </c>
      <c r="AG451" s="16" t="n">
        <v>87</v>
      </c>
      <c r="AH451" s="16" t="n">
        <v>82</v>
      </c>
      <c r="AI451" s="16" t="n">
        <v>81</v>
      </c>
      <c r="AJ451" s="16" t="n">
        <f aca="false">(AI451*70)/100</f>
        <v>56.7</v>
      </c>
      <c r="AK451" s="35" t="n">
        <f aca="false">ROUNDUP(AJ451,0)</f>
        <v>57</v>
      </c>
      <c r="AL451" s="16" t="n">
        <v>25</v>
      </c>
      <c r="AM451" s="16" t="n">
        <f aca="false">AL451+AJ451</f>
        <v>81.7</v>
      </c>
      <c r="AN451" s="16" t="n">
        <f aca="false">AL451+AK451</f>
        <v>82</v>
      </c>
      <c r="AO451" s="16" t="n">
        <v>69</v>
      </c>
      <c r="AP451" s="36" t="n">
        <f aca="false">(AO451*70)/100</f>
        <v>48.3</v>
      </c>
      <c r="AQ451" s="37" t="n">
        <f aca="false">ROUNDUP(AP451,0)</f>
        <v>49</v>
      </c>
      <c r="AR451" s="16" t="n">
        <v>24</v>
      </c>
      <c r="AS451" s="16" t="n">
        <f aca="false">AR451+AP451</f>
        <v>72.3</v>
      </c>
      <c r="AT451" s="16" t="n">
        <f aca="false">AR451+AQ451</f>
        <v>73</v>
      </c>
      <c r="AU451" s="16" t="n">
        <f aca="false">AO451+AF451+AI451+AH451+AG451</f>
        <v>385</v>
      </c>
      <c r="AV451" s="16" t="n">
        <f aca="false">(AO451+AF451+AI451+AH451+AG451)/5</f>
        <v>77</v>
      </c>
      <c r="AW451" s="36" t="n">
        <f aca="false">(AO451+AF451+AI451+AH451+AG451+X451+R451+Q451+K451+J451)</f>
        <v>778</v>
      </c>
      <c r="AX451" s="16" t="n">
        <f aca="false">AW451/10</f>
        <v>77.8</v>
      </c>
      <c r="AY451" s="16" t="n">
        <f aca="false">AS451+AF451+AM451+AH451+AG451+AB451+V451+Q451+O451+J451</f>
        <v>784.1</v>
      </c>
      <c r="AZ451" s="16" t="n">
        <f aca="false">AT451+AF451+AN451+AH451+AG451+AC451+W451+Q451+P451+J451</f>
        <v>786</v>
      </c>
      <c r="BA451" s="16" t="n">
        <f aca="false">AY451/10</f>
        <v>78.41</v>
      </c>
      <c r="BB451" s="16" t="n">
        <f aca="false">AZ451/10</f>
        <v>78.6</v>
      </c>
      <c r="BC451" s="16" t="n">
        <v>2372</v>
      </c>
      <c r="BD451" s="16" t="n">
        <f aca="false">RANK(AX451,$AX$2:$AX$881,0)</f>
        <v>424</v>
      </c>
      <c r="BE451" s="54" t="n">
        <f aca="false">((BC451*100)/2400)*0.4+(AX451*0.6)</f>
        <v>86.2133333333333</v>
      </c>
      <c r="BF451" s="16" t="n">
        <f aca="false">RANK(BE451,$BE$2:$BE$881,0)</f>
        <v>399</v>
      </c>
      <c r="BG451" s="39" t="n">
        <f aca="false">RANK(BB451,$BB$2:$BB$881,0)</f>
        <v>494</v>
      </c>
      <c r="BH451" s="39" t="n">
        <f aca="false">RANK(BC451,$BC$2:$BC$881,0)</f>
        <v>246</v>
      </c>
      <c r="BI451" s="22" t="s">
        <v>130</v>
      </c>
      <c r="BJ451" s="22" t="s">
        <v>129</v>
      </c>
      <c r="BK451" s="40" t="s">
        <v>131</v>
      </c>
      <c r="BL451" s="41" t="n">
        <v>18</v>
      </c>
      <c r="BM451" s="41" t="n">
        <v>50</v>
      </c>
      <c r="BN451" s="41" t="n">
        <v>68</v>
      </c>
      <c r="BO451" s="42" t="n">
        <v>19</v>
      </c>
      <c r="BP451" s="43" t="n">
        <v>54</v>
      </c>
      <c r="BQ451" s="44" t="n">
        <v>73</v>
      </c>
      <c r="BR451" s="42" t="n">
        <v>24</v>
      </c>
      <c r="BS451" s="45" t="n">
        <v>43</v>
      </c>
      <c r="BT451" s="45" t="n">
        <v>67</v>
      </c>
      <c r="BU451" s="46" t="n">
        <v>99</v>
      </c>
      <c r="BV451" s="47" t="n">
        <v>88</v>
      </c>
      <c r="BW451" s="42" t="n">
        <v>99</v>
      </c>
      <c r="BX451" s="48" t="n">
        <v>80</v>
      </c>
      <c r="BY451" s="32" t="n">
        <v>18</v>
      </c>
      <c r="BZ451" s="32" t="n">
        <v>43</v>
      </c>
      <c r="CA451" s="32" t="n">
        <v>61</v>
      </c>
      <c r="CB451" s="32" t="n">
        <v>18</v>
      </c>
      <c r="CC451" s="32" t="n">
        <v>38</v>
      </c>
      <c r="CD451" s="69" t="n">
        <v>56</v>
      </c>
      <c r="CE451" s="32" t="n">
        <v>23</v>
      </c>
      <c r="CF451" s="32" t="n">
        <v>46</v>
      </c>
      <c r="CG451" s="32" t="n">
        <v>69</v>
      </c>
      <c r="CH451" s="32" t="n">
        <v>96</v>
      </c>
      <c r="CI451" s="32" t="n">
        <v>99</v>
      </c>
      <c r="CJ451" s="49" t="n">
        <v>17</v>
      </c>
      <c r="CK451" s="49" t="n">
        <v>38</v>
      </c>
      <c r="CL451" s="76" t="n">
        <v>55</v>
      </c>
      <c r="CM451" s="49" t="n">
        <v>20</v>
      </c>
      <c r="CN451" s="49" t="n">
        <v>46</v>
      </c>
      <c r="CO451" s="49" t="n">
        <v>66</v>
      </c>
      <c r="CP451" s="25" t="n">
        <f aca="false">BX451+BW451+BV451+BU451+BT451+BQ451+BN451</f>
        <v>574</v>
      </c>
      <c r="CQ451" s="25" t="n">
        <f aca="false">CO451+CL451+CI451+CH451+CG451+CD451+CA451</f>
        <v>502</v>
      </c>
      <c r="CR451" s="26" t="n">
        <f aca="false">CP451/7</f>
        <v>82</v>
      </c>
      <c r="CS451" s="26" t="n">
        <f aca="false">CQ451/7</f>
        <v>71.7142857142857</v>
      </c>
      <c r="CT451" s="24" t="n">
        <f aca="false">RANK(CR451,$CR$2:$CR$881,0)</f>
        <v>542</v>
      </c>
      <c r="CU451" s="25" t="n">
        <f aca="false">RANK(CS451,$CS$2:$CS$881,0)</f>
        <v>517</v>
      </c>
      <c r="CV451" s="26" t="n">
        <f aca="false">(CS451+CR451)/2</f>
        <v>76.8571428571429</v>
      </c>
      <c r="CW451" s="25" t="n">
        <f aca="false">RANK(CV451,$CV$2:$CV$881,0)</f>
        <v>519</v>
      </c>
      <c r="CX451" s="50" t="n">
        <f aca="false">(CV451+BB451)/2</f>
        <v>77.7285714285714</v>
      </c>
      <c r="CY451" s="50" t="n">
        <v>481</v>
      </c>
      <c r="CZ451" s="27" t="s">
        <v>132</v>
      </c>
      <c r="DA451" s="27" t="s">
        <v>175</v>
      </c>
      <c r="DB451" s="27" t="s">
        <v>175</v>
      </c>
      <c r="DC451" s="27" t="s">
        <v>134</v>
      </c>
      <c r="DD451" s="27" t="s">
        <v>154</v>
      </c>
      <c r="DE451" s="27" t="s">
        <v>375</v>
      </c>
      <c r="DF451" s="27" t="s">
        <v>486</v>
      </c>
      <c r="DG451" s="27" t="s">
        <v>134</v>
      </c>
      <c r="DH451" s="27" t="s">
        <v>154</v>
      </c>
      <c r="DI451" s="27" t="s">
        <v>218</v>
      </c>
      <c r="DJ451" s="27" t="s">
        <v>219</v>
      </c>
      <c r="DK451" s="27" t="s">
        <v>134</v>
      </c>
      <c r="DL451" s="27" t="s">
        <v>164</v>
      </c>
      <c r="DM451" s="27" t="s">
        <v>442</v>
      </c>
      <c r="DN451" s="27" t="s">
        <v>443</v>
      </c>
      <c r="DO451" s="27" t="s">
        <v>134</v>
      </c>
      <c r="DP451" s="27" t="s">
        <v>264</v>
      </c>
      <c r="DQ451" s="27" t="s">
        <v>415</v>
      </c>
      <c r="DR451" s="27" t="s">
        <v>187</v>
      </c>
      <c r="DS451" s="27" t="s">
        <v>134</v>
      </c>
      <c r="DT451" s="27" t="s">
        <v>182</v>
      </c>
      <c r="DU451" s="27" t="s">
        <v>1407</v>
      </c>
      <c r="DV451" s="27" t="s">
        <v>152</v>
      </c>
      <c r="DW451" s="27" t="s">
        <v>160</v>
      </c>
      <c r="DX451" s="27" t="s">
        <v>141</v>
      </c>
      <c r="DY451" s="27" t="s">
        <v>139</v>
      </c>
      <c r="DZ451" s="27" t="n">
        <f aca="false">DY451+DV451+DR451+DN451+DJ451+DF451+DB451</f>
        <v>539</v>
      </c>
      <c r="EA451" s="28" t="n">
        <f aca="false">DZ451/7</f>
        <v>77</v>
      </c>
      <c r="EB451" s="27" t="n">
        <f aca="false">RANK(EA451,$EA$2:$EA$881,0)</f>
        <v>488</v>
      </c>
      <c r="EC451" s="29" t="n">
        <f aca="false">DZ451+CQ451+CP451+AZ451</f>
        <v>2401</v>
      </c>
      <c r="ED451" s="30" t="n">
        <f aca="false">(EA451+CV451+BB451)/3</f>
        <v>77.4857142857143</v>
      </c>
      <c r="EE451" s="51" t="n">
        <f aca="false">ROUND(BE451,3)</f>
        <v>86.213</v>
      </c>
      <c r="EF451" s="51" t="n">
        <f aca="false">ROUND(CR451,3)</f>
        <v>82</v>
      </c>
      <c r="EG451" s="51" t="n">
        <f aca="false">ROUND(CS451,3)</f>
        <v>71.714</v>
      </c>
      <c r="EH451" s="51" t="n">
        <f aca="false">ROUND(EA451,3)</f>
        <v>77</v>
      </c>
      <c r="EI451" s="51" t="n">
        <f aca="false">ROUND(ED451,3)</f>
        <v>77.486</v>
      </c>
      <c r="EJ451" s="51" t="n">
        <f aca="false">ROUND(CV451,3)</f>
        <v>76.857</v>
      </c>
      <c r="EK451" s="0" t="n">
        <f aca="false">RANK(EI451,$EI$2:$EI$881,0)</f>
        <v>450</v>
      </c>
    </row>
    <row r="452" customFormat="false" ht="15" hidden="false" customHeight="false" outlineLevel="0" collapsed="false">
      <c r="A452" s="4" t="n">
        <v>1884</v>
      </c>
      <c r="B452" s="4" t="n">
        <v>486</v>
      </c>
      <c r="C452" s="27" t="s">
        <v>1408</v>
      </c>
      <c r="D452" s="31" t="n">
        <v>495</v>
      </c>
      <c r="E452" s="16" t="n">
        <v>230119632</v>
      </c>
      <c r="F452" s="56" t="s">
        <v>1409</v>
      </c>
      <c r="G452" s="22" t="s">
        <v>1410</v>
      </c>
      <c r="H452" s="22" t="s">
        <v>326</v>
      </c>
      <c r="I452" s="57"/>
      <c r="J452" s="16" t="n">
        <v>75</v>
      </c>
      <c r="K452" s="16" t="n">
        <v>74</v>
      </c>
      <c r="L452" s="34" t="n">
        <f aca="false">(K452*70)/100</f>
        <v>51.8</v>
      </c>
      <c r="M452" s="34" t="n">
        <f aca="false">ROUNDUP(L452,0)</f>
        <v>52</v>
      </c>
      <c r="N452" s="16" t="n">
        <v>17</v>
      </c>
      <c r="O452" s="34" t="n">
        <f aca="false">N452+L452</f>
        <v>68.8</v>
      </c>
      <c r="P452" s="34" t="n">
        <f aca="false">N452+M452</f>
        <v>69</v>
      </c>
      <c r="Q452" s="16" t="n">
        <v>77</v>
      </c>
      <c r="R452" s="16" t="n">
        <v>82</v>
      </c>
      <c r="S452" s="34" t="n">
        <f aca="false">(R452*70)/100</f>
        <v>57.4</v>
      </c>
      <c r="T452" s="34" t="n">
        <f aca="false">ROUNDUP(S452,0)</f>
        <v>58</v>
      </c>
      <c r="U452" s="16" t="n">
        <v>23</v>
      </c>
      <c r="V452" s="34" t="n">
        <f aca="false">U452+S452</f>
        <v>80.4</v>
      </c>
      <c r="W452" s="34" t="n">
        <f aca="false">U452+T452</f>
        <v>81</v>
      </c>
      <c r="X452" s="16" t="n">
        <v>73</v>
      </c>
      <c r="Y452" s="34" t="n">
        <f aca="false">(X452*70)/100</f>
        <v>51.1</v>
      </c>
      <c r="Z452" s="34" t="n">
        <f aca="false">ROUNDUP(Y452,0)</f>
        <v>52</v>
      </c>
      <c r="AA452" s="16" t="n">
        <v>24</v>
      </c>
      <c r="AB452" s="34" t="n">
        <f aca="false">AA452+Y452</f>
        <v>75.1</v>
      </c>
      <c r="AC452" s="34" t="n">
        <f aca="false">AA452+Z452</f>
        <v>76</v>
      </c>
      <c r="AD452" s="32" t="n">
        <f aca="false">X452+R452+Q452+K452+J452</f>
        <v>381</v>
      </c>
      <c r="AE452" s="16" t="n">
        <f aca="false">AD452/5</f>
        <v>76.2</v>
      </c>
      <c r="AF452" s="16" t="n">
        <v>76</v>
      </c>
      <c r="AG452" s="16" t="n">
        <v>72</v>
      </c>
      <c r="AH452" s="16" t="n">
        <v>93</v>
      </c>
      <c r="AI452" s="16" t="n">
        <v>88</v>
      </c>
      <c r="AJ452" s="16" t="n">
        <f aca="false">(AI452*70)/100</f>
        <v>61.6</v>
      </c>
      <c r="AK452" s="35" t="n">
        <f aca="false">ROUNDUP(AJ452,0)</f>
        <v>62</v>
      </c>
      <c r="AL452" s="16" t="n">
        <v>26</v>
      </c>
      <c r="AM452" s="16" t="n">
        <f aca="false">AL452+AJ452</f>
        <v>87.6</v>
      </c>
      <c r="AN452" s="16" t="n">
        <f aca="false">AL452+AK452</f>
        <v>88</v>
      </c>
      <c r="AO452" s="16" t="n">
        <v>82</v>
      </c>
      <c r="AP452" s="36" t="n">
        <f aca="false">(AO452*70)/100</f>
        <v>57.4</v>
      </c>
      <c r="AQ452" s="37" t="n">
        <f aca="false">ROUNDUP(AP452,0)</f>
        <v>58</v>
      </c>
      <c r="AR452" s="16" t="n">
        <v>27</v>
      </c>
      <c r="AS452" s="16" t="n">
        <f aca="false">AR452+AP452</f>
        <v>84.4</v>
      </c>
      <c r="AT452" s="16" t="n">
        <f aca="false">AR452+AQ452</f>
        <v>85</v>
      </c>
      <c r="AU452" s="16" t="n">
        <f aca="false">AO452+AF452+AI452+AH452+AG452</f>
        <v>411</v>
      </c>
      <c r="AV452" s="16" t="n">
        <f aca="false">(AO452+AF452+AI452+AH452+AG452)/5</f>
        <v>82.2</v>
      </c>
      <c r="AW452" s="36" t="n">
        <f aca="false">(AO452+AF452+AI452+AH452+AG452+X452+R452+Q452+K452+J452)</f>
        <v>792</v>
      </c>
      <c r="AX452" s="16" t="n">
        <f aca="false">AW452/10</f>
        <v>79.2</v>
      </c>
      <c r="AY452" s="16" t="n">
        <f aca="false">AS452+AF452+AM452+AH452+AG452+AB452+V452+Q452+O452+J452</f>
        <v>789.3</v>
      </c>
      <c r="AZ452" s="16" t="n">
        <f aca="false">AT452+AF452+AN452+AH452+AG452+AC452+W452+Q452+P452+J452</f>
        <v>792</v>
      </c>
      <c r="BA452" s="16" t="n">
        <f aca="false">AY452/10</f>
        <v>78.93</v>
      </c>
      <c r="BB452" s="16" t="n">
        <f aca="false">AZ452/10</f>
        <v>79.2</v>
      </c>
      <c r="BC452" s="16" t="n">
        <v>2344</v>
      </c>
      <c r="BD452" s="16" t="n">
        <f aca="false">RANK(AX452,$AX$2:$AX$881,0)</f>
        <v>316</v>
      </c>
      <c r="BE452" s="54" t="n">
        <f aca="false">((BC452*100)/2400)*0.4+(AX452*0.6)</f>
        <v>86.5866666666667</v>
      </c>
      <c r="BF452" s="16" t="n">
        <f aca="false">RANK(BE452,$BE$2:$BE$881,0)</f>
        <v>339</v>
      </c>
      <c r="BG452" s="39" t="n">
        <f aca="false">RANK(BB452,$BB$2:$BB$881,0)</f>
        <v>434</v>
      </c>
      <c r="BH452" s="39" t="n">
        <f aca="false">RANK(BC452,$BC$2:$BC$881,0)</f>
        <v>598</v>
      </c>
      <c r="BI452" s="22" t="s">
        <v>130</v>
      </c>
      <c r="BJ452" s="22" t="s">
        <v>129</v>
      </c>
      <c r="BK452" s="40" t="s">
        <v>509</v>
      </c>
      <c r="BL452" s="41" t="n">
        <v>17</v>
      </c>
      <c r="BM452" s="41" t="n">
        <v>47</v>
      </c>
      <c r="BN452" s="41" t="n">
        <v>64</v>
      </c>
      <c r="BO452" s="42" t="n">
        <v>18</v>
      </c>
      <c r="BP452" s="43" t="n">
        <v>63</v>
      </c>
      <c r="BQ452" s="44" t="n">
        <v>81</v>
      </c>
      <c r="BR452" s="42" t="n">
        <v>21</v>
      </c>
      <c r="BS452" s="45" t="n">
        <v>55</v>
      </c>
      <c r="BT452" s="45" t="n">
        <v>76</v>
      </c>
      <c r="BU452" s="46" t="n">
        <v>99</v>
      </c>
      <c r="BV452" s="47" t="n">
        <v>74</v>
      </c>
      <c r="BW452" s="42" t="n">
        <v>96</v>
      </c>
      <c r="BX452" s="48" t="n">
        <v>96</v>
      </c>
      <c r="BY452" s="25" t="n">
        <v>24</v>
      </c>
      <c r="BZ452" s="25" t="n">
        <v>51</v>
      </c>
      <c r="CA452" s="25" t="n">
        <v>75</v>
      </c>
      <c r="CB452" s="59" t="n">
        <v>24</v>
      </c>
      <c r="CC452" s="58" t="n">
        <v>34</v>
      </c>
      <c r="CD452" s="90" t="n">
        <v>58</v>
      </c>
      <c r="CE452" s="32" t="n">
        <v>21</v>
      </c>
      <c r="CF452" s="32" t="n">
        <v>44</v>
      </c>
      <c r="CG452" s="32" t="n">
        <v>65</v>
      </c>
      <c r="CH452" s="32" t="n">
        <v>95</v>
      </c>
      <c r="CI452" s="32" t="n">
        <v>80</v>
      </c>
      <c r="CJ452" s="49" t="n">
        <v>21</v>
      </c>
      <c r="CK452" s="49" t="n">
        <v>41</v>
      </c>
      <c r="CL452" s="49" t="n">
        <v>62</v>
      </c>
      <c r="CM452" s="49" t="n">
        <v>18</v>
      </c>
      <c r="CN452" s="49" t="n">
        <v>48</v>
      </c>
      <c r="CO452" s="49" t="n">
        <v>66</v>
      </c>
      <c r="CP452" s="25" t="n">
        <f aca="false">BX452+BW452+BV452+BU452+BT452+BQ452+BN452</f>
        <v>586</v>
      </c>
      <c r="CQ452" s="25" t="n">
        <f aca="false">CO452+CL452+CI452+CH452+CG452+CD452+CA452</f>
        <v>501</v>
      </c>
      <c r="CR452" s="26" t="n">
        <f aca="false">CP452/7</f>
        <v>83.7142857142857</v>
      </c>
      <c r="CS452" s="26" t="n">
        <f aca="false">CQ452/7</f>
        <v>71.5714285714286</v>
      </c>
      <c r="CT452" s="24" t="n">
        <f aca="false">RANK(CR452,$CR$2:$CR$881,0)</f>
        <v>495</v>
      </c>
      <c r="CU452" s="25" t="n">
        <f aca="false">RANK(CS452,$CS$2:$CS$881,0)</f>
        <v>521</v>
      </c>
      <c r="CV452" s="26" t="n">
        <f aca="false">(CS452+CR452)/2</f>
        <v>77.6428571428571</v>
      </c>
      <c r="CW452" s="25" t="n">
        <f aca="false">RANK(CV452,$CV$2:$CV$881,0)</f>
        <v>503</v>
      </c>
      <c r="CX452" s="50" t="n">
        <f aca="false">(CV452+BB452)/2</f>
        <v>78.4214285714286</v>
      </c>
      <c r="CY452" s="50" t="n">
        <v>487</v>
      </c>
      <c r="CZ452" s="27" t="s">
        <v>132</v>
      </c>
      <c r="DA452" s="27" t="s">
        <v>175</v>
      </c>
      <c r="DB452" s="27" t="s">
        <v>175</v>
      </c>
      <c r="DC452" s="27" t="s">
        <v>134</v>
      </c>
      <c r="DD452" s="27" t="s">
        <v>195</v>
      </c>
      <c r="DE452" s="27" t="s">
        <v>304</v>
      </c>
      <c r="DF452" s="27" t="s">
        <v>441</v>
      </c>
      <c r="DG452" s="27" t="s">
        <v>134</v>
      </c>
      <c r="DH452" s="27" t="s">
        <v>137</v>
      </c>
      <c r="DI452" s="27" t="s">
        <v>447</v>
      </c>
      <c r="DJ452" s="27" t="s">
        <v>272</v>
      </c>
      <c r="DK452" s="27" t="s">
        <v>134</v>
      </c>
      <c r="DL452" s="27" t="s">
        <v>191</v>
      </c>
      <c r="DM452" s="27" t="s">
        <v>447</v>
      </c>
      <c r="DN452" s="27" t="s">
        <v>486</v>
      </c>
      <c r="DO452" s="27" t="s">
        <v>134</v>
      </c>
      <c r="DP452" s="27" t="s">
        <v>264</v>
      </c>
      <c r="DQ452" s="27" t="s">
        <v>989</v>
      </c>
      <c r="DR452" s="27" t="s">
        <v>161</v>
      </c>
      <c r="DS452" s="27" t="s">
        <v>134</v>
      </c>
      <c r="DT452" s="27" t="s">
        <v>174</v>
      </c>
      <c r="DU452" s="27" t="s">
        <v>906</v>
      </c>
      <c r="DV452" s="27" t="s">
        <v>177</v>
      </c>
      <c r="DW452" s="27" t="s">
        <v>160</v>
      </c>
      <c r="DX452" s="27" t="s">
        <v>143</v>
      </c>
      <c r="DY452" s="27" t="s">
        <v>142</v>
      </c>
      <c r="DZ452" s="27" t="n">
        <f aca="false">DY452+DV452+DR452+DN452+DJ452+DF452+DB452</f>
        <v>529</v>
      </c>
      <c r="EA452" s="28" t="n">
        <f aca="false">DZ452/7</f>
        <v>75.5714285714286</v>
      </c>
      <c r="EB452" s="27" t="n">
        <f aca="false">RANK(EA452,$EA$2:$EA$881,0)</f>
        <v>529</v>
      </c>
      <c r="EC452" s="29" t="n">
        <f aca="false">DZ452+CQ452+CP452+AZ452</f>
        <v>2408</v>
      </c>
      <c r="ED452" s="30" t="n">
        <f aca="false">(EA452+CV452+BB452)/3</f>
        <v>77.4714285714286</v>
      </c>
      <c r="EE452" s="51" t="n">
        <f aca="false">ROUND(BE452,3)</f>
        <v>86.587</v>
      </c>
      <c r="EF452" s="51" t="n">
        <f aca="false">ROUND(CR452,3)</f>
        <v>83.714</v>
      </c>
      <c r="EG452" s="51" t="n">
        <f aca="false">ROUND(CS452,3)</f>
        <v>71.571</v>
      </c>
      <c r="EH452" s="51" t="n">
        <f aca="false">ROUND(EA452,3)</f>
        <v>75.571</v>
      </c>
      <c r="EI452" s="51" t="n">
        <f aca="false">ROUND(ED452,3)</f>
        <v>77.471</v>
      </c>
      <c r="EJ452" s="51" t="n">
        <f aca="false">ROUND(CV452,3)</f>
        <v>77.643</v>
      </c>
      <c r="EK452" s="0" t="n">
        <f aca="false">RANK(EI452,$EI$2:$EI$881,0)</f>
        <v>451</v>
      </c>
    </row>
    <row r="453" customFormat="false" ht="15" hidden="false" customHeight="false" outlineLevel="0" collapsed="false">
      <c r="A453" s="4" t="n">
        <v>1916</v>
      </c>
      <c r="B453" s="4" t="n">
        <v>257</v>
      </c>
      <c r="C453" s="27" t="s">
        <v>1411</v>
      </c>
      <c r="D453" s="31" t="n">
        <v>259</v>
      </c>
      <c r="E453" s="32" t="n">
        <v>230320988</v>
      </c>
      <c r="F453" s="8" t="s">
        <v>1412</v>
      </c>
      <c r="G453" s="22" t="s">
        <v>1413</v>
      </c>
      <c r="H453" s="22" t="s">
        <v>129</v>
      </c>
      <c r="I453" s="33" t="n">
        <v>2005</v>
      </c>
      <c r="J453" s="32" t="n">
        <v>94</v>
      </c>
      <c r="K453" s="32" t="n">
        <v>62</v>
      </c>
      <c r="L453" s="34" t="n">
        <f aca="false">(K453*70)/100</f>
        <v>43.4</v>
      </c>
      <c r="M453" s="34" t="n">
        <f aca="false">ROUNDUP(L453,0)</f>
        <v>44</v>
      </c>
      <c r="N453" s="32" t="n">
        <v>25</v>
      </c>
      <c r="O453" s="34" t="n">
        <f aca="false">N453+L453</f>
        <v>68.4</v>
      </c>
      <c r="P453" s="34" t="n">
        <f aca="false">N453+M453</f>
        <v>69</v>
      </c>
      <c r="Q453" s="32" t="n">
        <v>92</v>
      </c>
      <c r="R453" s="32" t="n">
        <v>72</v>
      </c>
      <c r="S453" s="34" t="n">
        <f aca="false">(R453*70)/100</f>
        <v>50.4</v>
      </c>
      <c r="T453" s="34" t="n">
        <f aca="false">ROUNDUP(S453,0)</f>
        <v>51</v>
      </c>
      <c r="U453" s="32" t="n">
        <v>24</v>
      </c>
      <c r="V453" s="34" t="n">
        <f aca="false">U453+S453</f>
        <v>74.4</v>
      </c>
      <c r="W453" s="34" t="n">
        <f aca="false">U453+T453</f>
        <v>75</v>
      </c>
      <c r="X453" s="32" t="n">
        <v>63</v>
      </c>
      <c r="Y453" s="34" t="n">
        <f aca="false">(X453*70)/100</f>
        <v>44.1</v>
      </c>
      <c r="Z453" s="34" t="n">
        <f aca="false">ROUNDUP(Y453,0)</f>
        <v>45</v>
      </c>
      <c r="AA453" s="32" t="n">
        <v>26</v>
      </c>
      <c r="AB453" s="34" t="n">
        <f aca="false">AA453+Y453</f>
        <v>70.1</v>
      </c>
      <c r="AC453" s="34" t="n">
        <f aca="false">AA453+Z453</f>
        <v>71</v>
      </c>
      <c r="AD453" s="32" t="n">
        <f aca="false">X453+R453+Q453+K453+J453</f>
        <v>383</v>
      </c>
      <c r="AE453" s="16" t="n">
        <f aca="false">AD453/5</f>
        <v>76.6</v>
      </c>
      <c r="AF453" s="16" t="n">
        <v>68</v>
      </c>
      <c r="AG453" s="16" t="n">
        <v>95</v>
      </c>
      <c r="AH453" s="16" t="n">
        <v>77</v>
      </c>
      <c r="AI453" s="16" t="n">
        <v>78</v>
      </c>
      <c r="AJ453" s="16" t="n">
        <f aca="false">(AI453*70)/100</f>
        <v>54.6</v>
      </c>
      <c r="AK453" s="35" t="n">
        <f aca="false">ROUNDUP(AJ453,0)</f>
        <v>55</v>
      </c>
      <c r="AL453" s="16" t="n">
        <v>25</v>
      </c>
      <c r="AM453" s="16" t="n">
        <f aca="false">AL453+AJ453</f>
        <v>79.6</v>
      </c>
      <c r="AN453" s="16" t="n">
        <f aca="false">AL453+AK453</f>
        <v>80</v>
      </c>
      <c r="AO453" s="16" t="n">
        <v>68</v>
      </c>
      <c r="AP453" s="36" t="n">
        <f aca="false">(AO453*70)/100</f>
        <v>47.6</v>
      </c>
      <c r="AQ453" s="37" t="n">
        <f aca="false">ROUNDUP(AP453,0)</f>
        <v>48</v>
      </c>
      <c r="AR453" s="16" t="n">
        <v>22</v>
      </c>
      <c r="AS453" s="16" t="n">
        <f aca="false">AR453+AP453</f>
        <v>69.6</v>
      </c>
      <c r="AT453" s="16" t="n">
        <f aca="false">AR453+AQ453</f>
        <v>70</v>
      </c>
      <c r="AU453" s="16" t="n">
        <f aca="false">AO453+AF453+AI453+AH453+AG453</f>
        <v>386</v>
      </c>
      <c r="AV453" s="16" t="n">
        <f aca="false">(AO453+AF453+AI453+AH453+AG453)/5</f>
        <v>77.2</v>
      </c>
      <c r="AW453" s="36" t="n">
        <f aca="false">(AO453+AF453+AI453+AH453+AG453+X453+R453+Q453+K453+J453)</f>
        <v>769</v>
      </c>
      <c r="AX453" s="16" t="n">
        <f aca="false">AW453/10</f>
        <v>76.9</v>
      </c>
      <c r="AY453" s="16" t="n">
        <f aca="false">AS453+AF453+AM453+AH453+AG453+AB453+V453+Q453+O453+J453</f>
        <v>788.1</v>
      </c>
      <c r="AZ453" s="16" t="n">
        <f aca="false">AT453+AF453+AN453+AH453+AG453+AC453+W453+Q453+P453+J453</f>
        <v>791</v>
      </c>
      <c r="BA453" s="16" t="n">
        <f aca="false">AY453/10</f>
        <v>78.81</v>
      </c>
      <c r="BB453" s="16" t="n">
        <f aca="false">AZ453/10</f>
        <v>79.1</v>
      </c>
      <c r="BC453" s="16" t="n">
        <v>2348</v>
      </c>
      <c r="BD453" s="16" t="n">
        <f aca="false">RANK(AX453,$AX$2:$AX$881,0)</f>
        <v>519</v>
      </c>
      <c r="BE453" s="54" t="n">
        <f aca="false">((BC453*100)/2400)*0.4+(AX453*0.6)</f>
        <v>85.2733333333333</v>
      </c>
      <c r="BF453" s="16" t="n">
        <f aca="false">RANK(BE453,$BE$2:$BE$881,0)</f>
        <v>548</v>
      </c>
      <c r="BG453" s="39" t="n">
        <f aca="false">RANK(BB453,$BB$2:$BB$881,0)</f>
        <v>449</v>
      </c>
      <c r="BH453" s="39" t="n">
        <f aca="false">RANK(BC453,$BC$2:$BC$881,0)</f>
        <v>551</v>
      </c>
      <c r="BI453" s="22" t="s">
        <v>130</v>
      </c>
      <c r="BJ453" s="22" t="s">
        <v>129</v>
      </c>
      <c r="BK453" s="40" t="s">
        <v>509</v>
      </c>
      <c r="BL453" s="41" t="n">
        <v>24</v>
      </c>
      <c r="BM453" s="41" t="n">
        <v>54</v>
      </c>
      <c r="BN453" s="41" t="n">
        <v>78</v>
      </c>
      <c r="BO453" s="42" t="n">
        <v>25</v>
      </c>
      <c r="BP453" s="43" t="n">
        <v>53</v>
      </c>
      <c r="BQ453" s="44" t="n">
        <v>78</v>
      </c>
      <c r="BR453" s="42" t="n">
        <v>25</v>
      </c>
      <c r="BS453" s="45" t="n">
        <v>56</v>
      </c>
      <c r="BT453" s="45" t="n">
        <v>81</v>
      </c>
      <c r="BU453" s="46" t="n">
        <v>99</v>
      </c>
      <c r="BV453" s="95" t="n">
        <v>66</v>
      </c>
      <c r="BW453" s="43" t="n">
        <v>99</v>
      </c>
      <c r="BX453" s="48" t="n">
        <v>96</v>
      </c>
      <c r="BY453" s="62" t="n">
        <v>21</v>
      </c>
      <c r="BZ453" s="58" t="n">
        <v>55</v>
      </c>
      <c r="CA453" s="58" t="n">
        <v>76</v>
      </c>
      <c r="CB453" s="32" t="n">
        <v>27</v>
      </c>
      <c r="CC453" s="32" t="n">
        <v>45</v>
      </c>
      <c r="CD453" s="32" t="n">
        <v>72</v>
      </c>
      <c r="CE453" s="32" t="n">
        <v>24</v>
      </c>
      <c r="CF453" s="32" t="n">
        <v>40</v>
      </c>
      <c r="CG453" s="32" t="n">
        <v>64</v>
      </c>
      <c r="CH453" s="32" t="n">
        <v>99</v>
      </c>
      <c r="CI453" s="32" t="n">
        <v>100</v>
      </c>
      <c r="CJ453" s="49" t="n">
        <v>26</v>
      </c>
      <c r="CK453" s="49" t="n">
        <v>47</v>
      </c>
      <c r="CL453" s="49" t="n">
        <v>73</v>
      </c>
      <c r="CM453" s="49" t="n">
        <v>23</v>
      </c>
      <c r="CN453" s="49" t="n">
        <v>52</v>
      </c>
      <c r="CO453" s="49" t="n">
        <v>75</v>
      </c>
      <c r="CP453" s="25" t="n">
        <f aca="false">BX453+BW453+BV453+BU453+BT453+BQ453+BN453</f>
        <v>597</v>
      </c>
      <c r="CQ453" s="25" t="n">
        <f aca="false">CO453+CL453+CI453+CH453+CG453+CD453+CA453</f>
        <v>559</v>
      </c>
      <c r="CR453" s="26" t="n">
        <f aca="false">CP453/7</f>
        <v>85.2857142857143</v>
      </c>
      <c r="CS453" s="26" t="n">
        <f aca="false">CQ453/7</f>
        <v>79.8571428571429</v>
      </c>
      <c r="CT453" s="24" t="n">
        <f aca="false">RANK(CR453,$CR$2:$CR$881,0)</f>
        <v>425</v>
      </c>
      <c r="CU453" s="25" t="n">
        <f aca="false">RANK(CS453,$CS$2:$CS$881,0)</f>
        <v>270</v>
      </c>
      <c r="CV453" s="26" t="n">
        <f aca="false">(CS453+CR453)/2</f>
        <v>82.5714285714286</v>
      </c>
      <c r="CW453" s="25" t="n">
        <f aca="false">RANK(CV453,$CV$2:$CV$881,0)</f>
        <v>315</v>
      </c>
      <c r="CX453" s="50" t="n">
        <f aca="false">(CV453+BB453)/2</f>
        <v>80.8357142857143</v>
      </c>
      <c r="CY453" s="50" t="n">
        <v>462</v>
      </c>
      <c r="CZ453" s="27" t="s">
        <v>132</v>
      </c>
      <c r="DA453" s="27" t="s">
        <v>153</v>
      </c>
      <c r="DB453" s="27" t="s">
        <v>153</v>
      </c>
      <c r="DC453" s="27" t="s">
        <v>134</v>
      </c>
      <c r="DD453" s="27" t="s">
        <v>182</v>
      </c>
      <c r="DE453" s="27" t="s">
        <v>204</v>
      </c>
      <c r="DF453" s="27" t="s">
        <v>169</v>
      </c>
      <c r="DG453" s="27" t="s">
        <v>134</v>
      </c>
      <c r="DH453" s="27" t="s">
        <v>137</v>
      </c>
      <c r="DI453" s="27" t="s">
        <v>989</v>
      </c>
      <c r="DJ453" s="27" t="s">
        <v>143</v>
      </c>
      <c r="DK453" s="27" t="s">
        <v>134</v>
      </c>
      <c r="DL453" s="27" t="s">
        <v>137</v>
      </c>
      <c r="DM453" s="27" t="s">
        <v>306</v>
      </c>
      <c r="DN453" s="27" t="s">
        <v>196</v>
      </c>
      <c r="DO453" s="27" t="s">
        <v>134</v>
      </c>
      <c r="DP453" s="27"/>
      <c r="DQ453" s="27"/>
      <c r="DR453" s="27"/>
      <c r="DS453" s="27"/>
      <c r="DT453" s="27" t="s">
        <v>182</v>
      </c>
      <c r="DU453" s="27" t="s">
        <v>412</v>
      </c>
      <c r="DV453" s="27" t="s">
        <v>441</v>
      </c>
      <c r="DW453" s="27" t="s">
        <v>146</v>
      </c>
      <c r="DX453" s="27" t="s">
        <v>143</v>
      </c>
      <c r="DY453" s="27" t="s">
        <v>145</v>
      </c>
      <c r="DZ453" s="27" t="n">
        <f aca="false">DY453+DV453+DR453+DN453+DJ453+DF453+DB453</f>
        <v>495</v>
      </c>
      <c r="EA453" s="28" t="n">
        <f aca="false">DZ453/7</f>
        <v>70.7142857142857</v>
      </c>
      <c r="EB453" s="27" t="n">
        <f aca="false">RANK(EA453,$EA$2:$EA$881,0)</f>
        <v>638</v>
      </c>
      <c r="EC453" s="29" t="n">
        <f aca="false">DZ453+CQ453+CP453+AZ453</f>
        <v>2442</v>
      </c>
      <c r="ED453" s="30" t="n">
        <f aca="false">(EA453+CV453+BB453)/3</f>
        <v>77.4619047619048</v>
      </c>
      <c r="EE453" s="51" t="n">
        <f aca="false">ROUND(BE453,3)</f>
        <v>85.273</v>
      </c>
      <c r="EF453" s="51" t="n">
        <f aca="false">ROUND(CR453,3)</f>
        <v>85.286</v>
      </c>
      <c r="EG453" s="51" t="n">
        <f aca="false">ROUND(CS453,3)</f>
        <v>79.857</v>
      </c>
      <c r="EH453" s="51" t="n">
        <f aca="false">ROUND(EA453,3)</f>
        <v>70.714</v>
      </c>
      <c r="EI453" s="51" t="n">
        <f aca="false">ROUND(ED453,3)</f>
        <v>77.462</v>
      </c>
      <c r="EJ453" s="51" t="n">
        <f aca="false">ROUND(CV453,3)</f>
        <v>82.571</v>
      </c>
      <c r="EK453" s="0" t="n">
        <f aca="false">RANK(EI453,$EI$2:$EI$881,0)</f>
        <v>452</v>
      </c>
    </row>
    <row r="454" customFormat="false" ht="15" hidden="false" customHeight="false" outlineLevel="0" collapsed="false">
      <c r="A454" s="4" t="n">
        <v>8576</v>
      </c>
      <c r="B454" s="4" t="n">
        <v>702</v>
      </c>
      <c r="C454" s="27" t="s">
        <v>1414</v>
      </c>
      <c r="D454" s="31" t="n">
        <v>716</v>
      </c>
      <c r="E454" s="32" t="n">
        <v>230313050</v>
      </c>
      <c r="F454" s="8" t="s">
        <v>1415</v>
      </c>
      <c r="G454" s="22" t="s">
        <v>217</v>
      </c>
      <c r="H454" s="22" t="s">
        <v>129</v>
      </c>
      <c r="I454" s="33" t="n">
        <v>2005</v>
      </c>
      <c r="J454" s="32" t="n">
        <v>64</v>
      </c>
      <c r="K454" s="32" t="n">
        <v>72</v>
      </c>
      <c r="L454" s="34" t="n">
        <f aca="false">(K454*70)/100</f>
        <v>50.4</v>
      </c>
      <c r="M454" s="34" t="n">
        <f aca="false">ROUNDUP(L454,0)</f>
        <v>51</v>
      </c>
      <c r="N454" s="32" t="n">
        <v>21</v>
      </c>
      <c r="O454" s="34" t="n">
        <f aca="false">N454+L454</f>
        <v>71.4</v>
      </c>
      <c r="P454" s="34" t="n">
        <f aca="false">N454+M454</f>
        <v>72</v>
      </c>
      <c r="Q454" s="32" t="n">
        <v>69</v>
      </c>
      <c r="R454" s="32" t="n">
        <v>67</v>
      </c>
      <c r="S454" s="34" t="n">
        <f aca="false">(R454*70)/100</f>
        <v>46.9</v>
      </c>
      <c r="T454" s="34" t="n">
        <f aca="false">ROUNDUP(S454,0)</f>
        <v>47</v>
      </c>
      <c r="U454" s="32" t="n">
        <v>30</v>
      </c>
      <c r="V454" s="34" t="n">
        <f aca="false">U454+S454</f>
        <v>76.9</v>
      </c>
      <c r="W454" s="34" t="n">
        <f aca="false">U454+T454</f>
        <v>77</v>
      </c>
      <c r="X454" s="32" t="n">
        <v>61</v>
      </c>
      <c r="Y454" s="34" t="n">
        <f aca="false">(X454*70)/100</f>
        <v>42.7</v>
      </c>
      <c r="Z454" s="34" t="n">
        <f aca="false">ROUNDUP(Y454,0)</f>
        <v>43</v>
      </c>
      <c r="AA454" s="32" t="n">
        <v>23</v>
      </c>
      <c r="AB454" s="34" t="n">
        <f aca="false">AA454+Y454</f>
        <v>65.7</v>
      </c>
      <c r="AC454" s="34" t="n">
        <f aca="false">AA454+Z454</f>
        <v>66</v>
      </c>
      <c r="AD454" s="32" t="n">
        <f aca="false">X454+R454+Q454+K454+J454</f>
        <v>333</v>
      </c>
      <c r="AE454" s="16" t="n">
        <f aca="false">AD454/5</f>
        <v>66.6</v>
      </c>
      <c r="AF454" s="71" t="n">
        <v>56</v>
      </c>
      <c r="AG454" s="16" t="n">
        <v>83</v>
      </c>
      <c r="AH454" s="16" t="n">
        <v>92</v>
      </c>
      <c r="AI454" s="16" t="n">
        <v>94</v>
      </c>
      <c r="AJ454" s="16" t="n">
        <f aca="false">(AI454*70)/100</f>
        <v>65.8</v>
      </c>
      <c r="AK454" s="35" t="n">
        <f aca="false">ROUNDUP(AJ454,0)</f>
        <v>66</v>
      </c>
      <c r="AL454" s="16" t="n">
        <v>24</v>
      </c>
      <c r="AM454" s="16" t="n">
        <f aca="false">AL454+AJ454</f>
        <v>89.8</v>
      </c>
      <c r="AN454" s="16" t="n">
        <f aca="false">AL454+AK454</f>
        <v>90</v>
      </c>
      <c r="AO454" s="16" t="n">
        <v>77</v>
      </c>
      <c r="AP454" s="36" t="n">
        <f aca="false">(AO454*70)/100</f>
        <v>53.9</v>
      </c>
      <c r="AQ454" s="37" t="n">
        <f aca="false">ROUNDUP(AP454,0)</f>
        <v>54</v>
      </c>
      <c r="AR454" s="16" t="n">
        <v>23</v>
      </c>
      <c r="AS454" s="16" t="n">
        <f aca="false">AR454+AP454</f>
        <v>76.9</v>
      </c>
      <c r="AT454" s="16" t="n">
        <f aca="false">AR454+AQ454</f>
        <v>77</v>
      </c>
      <c r="AU454" s="16" t="n">
        <f aca="false">AO454+AF454+AI454+AH454+AG454</f>
        <v>402</v>
      </c>
      <c r="AV454" s="16" t="n">
        <f aca="false">(AO454+AF454+AI454+AH454+AG454)/5</f>
        <v>80.4</v>
      </c>
      <c r="AW454" s="36" t="n">
        <f aca="false">(AO454+AF454+AI454+AH454+AG454+X454+R454+Q454+K454+J454)</f>
        <v>735</v>
      </c>
      <c r="AX454" s="16" t="n">
        <f aca="false">AW454/10</f>
        <v>73.5</v>
      </c>
      <c r="AY454" s="16" t="n">
        <f aca="false">AS454+AF454+AM454+AH454+AG454+AB454+V454+Q454+O454+J454</f>
        <v>744.7</v>
      </c>
      <c r="AZ454" s="16" t="n">
        <f aca="false">AT454+AF454+AN454+AH454+AG454+AC454+W454+Q454+P454+J454</f>
        <v>746</v>
      </c>
      <c r="BA454" s="16" t="n">
        <f aca="false">AY454/10</f>
        <v>74.47</v>
      </c>
      <c r="BB454" s="16" t="n">
        <f aca="false">AZ454/10</f>
        <v>74.6</v>
      </c>
      <c r="BC454" s="16" t="n">
        <v>1997</v>
      </c>
      <c r="BD454" s="16" t="n">
        <f aca="false">RANK(AX454,$AX$2:$AX$881,0)</f>
        <v>707</v>
      </c>
      <c r="BE454" s="78" t="n">
        <f aca="false">((BC454*100)/2400)*0.4+(AX454*0.6)</f>
        <v>77.3833333333333</v>
      </c>
      <c r="BF454" s="16" t="n">
        <f aca="false">RANK(BE454,$BE$2:$BE$881,0)</f>
        <v>757</v>
      </c>
      <c r="BG454" s="39" t="n">
        <f aca="false">RANK(BB454,$BB$2:$BB$881,0)</f>
        <v>704</v>
      </c>
      <c r="BH454" s="39" t="n">
        <f aca="false">RANK(BC454,$BC$2:$BC$881,0)</f>
        <v>776</v>
      </c>
      <c r="BI454" s="22" t="s">
        <v>130</v>
      </c>
      <c r="BJ454" s="22" t="s">
        <v>129</v>
      </c>
      <c r="BK454" s="40" t="s">
        <v>702</v>
      </c>
      <c r="BL454" s="41" t="n">
        <v>12</v>
      </c>
      <c r="BM454" s="41" t="n">
        <v>43</v>
      </c>
      <c r="BN454" s="98" t="n">
        <v>55</v>
      </c>
      <c r="BO454" s="42" t="n">
        <v>17</v>
      </c>
      <c r="BP454" s="61"/>
      <c r="BQ454" s="61"/>
      <c r="BR454" s="42" t="n">
        <v>23</v>
      </c>
      <c r="BS454" s="45" t="n">
        <v>53</v>
      </c>
      <c r="BT454" s="45" t="n">
        <v>76</v>
      </c>
      <c r="BU454" s="46" t="n">
        <v>99</v>
      </c>
      <c r="BV454" s="47" t="n">
        <v>60</v>
      </c>
      <c r="BW454" s="42" t="n">
        <v>98</v>
      </c>
      <c r="BX454" s="48" t="n">
        <v>100</v>
      </c>
      <c r="BY454" s="32" t="n">
        <v>27</v>
      </c>
      <c r="BZ454" s="32" t="n">
        <v>61</v>
      </c>
      <c r="CA454" s="32" t="n">
        <v>88</v>
      </c>
      <c r="CB454" s="32" t="n">
        <v>23</v>
      </c>
      <c r="CC454" s="32" t="n">
        <v>49</v>
      </c>
      <c r="CD454" s="32" t="n">
        <v>72</v>
      </c>
      <c r="CE454" s="32" t="n">
        <v>25</v>
      </c>
      <c r="CF454" s="32" t="n">
        <v>59</v>
      </c>
      <c r="CG454" s="32" t="n">
        <v>84</v>
      </c>
      <c r="CH454" s="32" t="n">
        <v>98</v>
      </c>
      <c r="CI454" s="32" t="n">
        <v>90</v>
      </c>
      <c r="CJ454" s="49" t="n">
        <v>23</v>
      </c>
      <c r="CK454" s="49" t="n">
        <v>51</v>
      </c>
      <c r="CL454" s="49" t="n">
        <v>74</v>
      </c>
      <c r="CM454" s="49" t="n">
        <v>21</v>
      </c>
      <c r="CN454" s="49" t="n">
        <v>55</v>
      </c>
      <c r="CO454" s="49" t="n">
        <v>76</v>
      </c>
      <c r="CP454" s="25" t="n">
        <f aca="false">BX454+BW454+BV454+BU454+BT454+BQ454+BN454</f>
        <v>488</v>
      </c>
      <c r="CQ454" s="25" t="n">
        <f aca="false">CO454+CL454+CI454+CH454+CG454+CD454+CA454</f>
        <v>582</v>
      </c>
      <c r="CR454" s="26" t="n">
        <f aca="false">CP454/7</f>
        <v>69.7142857142857</v>
      </c>
      <c r="CS454" s="26" t="n">
        <f aca="false">CQ454/7</f>
        <v>83.1428571428571</v>
      </c>
      <c r="CT454" s="24" t="n">
        <f aca="false">RANK(CR454,$CR$2:$CR$881,0)</f>
        <v>688</v>
      </c>
      <c r="CU454" s="25" t="n">
        <f aca="false">RANK(CS454,$CS$2:$CS$881,0)</f>
        <v>153</v>
      </c>
      <c r="CV454" s="26" t="n">
        <f aca="false">(CS454+CR454)/2</f>
        <v>76.4285714285714</v>
      </c>
      <c r="CW454" s="25" t="n">
        <f aca="false">RANK(CV454,$CV$2:$CV$881,0)</f>
        <v>530</v>
      </c>
      <c r="CX454" s="50" t="n">
        <f aca="false">(CV454+BB454)/2</f>
        <v>75.5142857142857</v>
      </c>
      <c r="CY454" s="50" t="n">
        <v>548</v>
      </c>
      <c r="CZ454" s="27" t="s">
        <v>132</v>
      </c>
      <c r="DA454" s="27" t="s">
        <v>183</v>
      </c>
      <c r="DB454" s="27" t="s">
        <v>183</v>
      </c>
      <c r="DC454" s="27" t="s">
        <v>480</v>
      </c>
      <c r="DD454" s="27" t="s">
        <v>182</v>
      </c>
      <c r="DE454" s="27" t="s">
        <v>161</v>
      </c>
      <c r="DF454" s="27" t="s">
        <v>175</v>
      </c>
      <c r="DG454" s="27" t="s">
        <v>134</v>
      </c>
      <c r="DH454" s="27" t="s">
        <v>154</v>
      </c>
      <c r="DI454" s="27" t="s">
        <v>177</v>
      </c>
      <c r="DJ454" s="27" t="s">
        <v>169</v>
      </c>
      <c r="DK454" s="27" t="s">
        <v>134</v>
      </c>
      <c r="DL454" s="27" t="s">
        <v>164</v>
      </c>
      <c r="DM454" s="27" t="s">
        <v>163</v>
      </c>
      <c r="DN454" s="27" t="s">
        <v>176</v>
      </c>
      <c r="DO454" s="27" t="s">
        <v>134</v>
      </c>
      <c r="DP454" s="27" t="s">
        <v>264</v>
      </c>
      <c r="DQ454" s="27" t="s">
        <v>304</v>
      </c>
      <c r="DR454" s="27" t="s">
        <v>486</v>
      </c>
      <c r="DS454" s="27" t="s">
        <v>134</v>
      </c>
      <c r="DT454" s="27" t="s">
        <v>140</v>
      </c>
      <c r="DU454" s="27" t="s">
        <v>177</v>
      </c>
      <c r="DV454" s="27" t="s">
        <v>162</v>
      </c>
      <c r="DW454" s="27" t="s">
        <v>264</v>
      </c>
      <c r="DX454" s="27" t="s">
        <v>155</v>
      </c>
      <c r="DY454" s="27" t="s">
        <v>162</v>
      </c>
      <c r="DZ454" s="27" t="n">
        <f aca="false">DY454+DV454+DR454+DN454+DJ454+DF454+DB454</f>
        <v>569</v>
      </c>
      <c r="EA454" s="28" t="n">
        <f aca="false">DZ454/7</f>
        <v>81.2857142857143</v>
      </c>
      <c r="EB454" s="27" t="n">
        <f aca="false">RANK(EA454,$EA$2:$EA$881,0)</f>
        <v>335</v>
      </c>
      <c r="EC454" s="29" t="n">
        <f aca="false">DZ454+CQ454+CP454+AZ454</f>
        <v>2385</v>
      </c>
      <c r="ED454" s="30" t="n">
        <f aca="false">(EA454+CV454+BB454)/3</f>
        <v>77.4380952380952</v>
      </c>
      <c r="EE454" s="51" t="n">
        <f aca="false">ROUND(BE454,3)</f>
        <v>77.383</v>
      </c>
      <c r="EF454" s="51" t="n">
        <f aca="false">ROUND(CR454,3)</f>
        <v>69.714</v>
      </c>
      <c r="EG454" s="51" t="n">
        <f aca="false">ROUND(CS454,3)</f>
        <v>83.143</v>
      </c>
      <c r="EH454" s="51" t="n">
        <f aca="false">ROUND(EA454,3)</f>
        <v>81.286</v>
      </c>
      <c r="EI454" s="51" t="n">
        <f aca="false">ROUND(ED454,3)</f>
        <v>77.438</v>
      </c>
      <c r="EJ454" s="51" t="n">
        <f aca="false">ROUND(CV454,3)</f>
        <v>76.429</v>
      </c>
      <c r="EK454" s="0" t="n">
        <f aca="false">RANK(EI454,$EI$2:$EI$881,0)</f>
        <v>453</v>
      </c>
    </row>
    <row r="455" customFormat="false" ht="15" hidden="false" customHeight="false" outlineLevel="0" collapsed="false">
      <c r="A455" s="4" t="n">
        <v>1918</v>
      </c>
      <c r="B455" s="4" t="n">
        <v>765</v>
      </c>
      <c r="C455" s="27" t="s">
        <v>1416</v>
      </c>
      <c r="D455" s="31" t="n">
        <v>783</v>
      </c>
      <c r="E455" s="62" t="n">
        <v>230319769</v>
      </c>
      <c r="F455" s="8" t="s">
        <v>1417</v>
      </c>
      <c r="G455" s="63" t="s">
        <v>973</v>
      </c>
      <c r="H455" s="22" t="s">
        <v>129</v>
      </c>
      <c r="I455" s="64" t="n">
        <v>2005</v>
      </c>
      <c r="J455" s="62" t="n">
        <v>72</v>
      </c>
      <c r="K455" s="62" t="n">
        <v>73</v>
      </c>
      <c r="L455" s="34" t="n">
        <f aca="false">(K455*70)/100</f>
        <v>51.1</v>
      </c>
      <c r="M455" s="34" t="n">
        <f aca="false">ROUNDUP(L455,0)</f>
        <v>52</v>
      </c>
      <c r="N455" s="62" t="n">
        <v>26</v>
      </c>
      <c r="O455" s="34" t="n">
        <f aca="false">N455+L455</f>
        <v>77.1</v>
      </c>
      <c r="P455" s="34" t="n">
        <f aca="false">N455+M455</f>
        <v>78</v>
      </c>
      <c r="Q455" s="62" t="n">
        <v>75</v>
      </c>
      <c r="R455" s="62" t="n">
        <v>68</v>
      </c>
      <c r="S455" s="34" t="n">
        <f aca="false">(R455*70)/100</f>
        <v>47.6</v>
      </c>
      <c r="T455" s="34" t="n">
        <f aca="false">ROUNDUP(S455,0)</f>
        <v>48</v>
      </c>
      <c r="U455" s="62" t="n">
        <v>30</v>
      </c>
      <c r="V455" s="34" t="n">
        <f aca="false">U455+S455</f>
        <v>77.6</v>
      </c>
      <c r="W455" s="34" t="n">
        <f aca="false">U455+T455</f>
        <v>78</v>
      </c>
      <c r="X455" s="62" t="n">
        <v>66</v>
      </c>
      <c r="Y455" s="34" t="n">
        <f aca="false">(X455*70)/100</f>
        <v>46.2</v>
      </c>
      <c r="Z455" s="34" t="n">
        <f aca="false">ROUNDUP(Y455,0)</f>
        <v>47</v>
      </c>
      <c r="AA455" s="62" t="n">
        <v>25</v>
      </c>
      <c r="AB455" s="34" t="n">
        <f aca="false">AA455+Y455</f>
        <v>71.2</v>
      </c>
      <c r="AC455" s="34" t="n">
        <f aca="false">AA455+Z455</f>
        <v>72</v>
      </c>
      <c r="AD455" s="32" t="n">
        <f aca="false">X455+R455+Q455+K455+J455</f>
        <v>354</v>
      </c>
      <c r="AE455" s="16" t="n">
        <f aca="false">AD455/5</f>
        <v>70.8</v>
      </c>
      <c r="AF455" s="65" t="n">
        <v>79</v>
      </c>
      <c r="AG455" s="65" t="n">
        <v>83</v>
      </c>
      <c r="AH455" s="65" t="n">
        <v>89</v>
      </c>
      <c r="AI455" s="65" t="n">
        <v>91</v>
      </c>
      <c r="AJ455" s="16" t="n">
        <f aca="false">(AI455*70)/100</f>
        <v>63.7</v>
      </c>
      <c r="AK455" s="35" t="n">
        <f aca="false">ROUNDUP(AJ455,0)</f>
        <v>64</v>
      </c>
      <c r="AL455" s="65" t="n">
        <v>24</v>
      </c>
      <c r="AM455" s="16" t="n">
        <f aca="false">AL455+AJ455</f>
        <v>87.7</v>
      </c>
      <c r="AN455" s="16" t="n">
        <f aca="false">AL455+AK455</f>
        <v>88</v>
      </c>
      <c r="AO455" s="65" t="n">
        <v>67</v>
      </c>
      <c r="AP455" s="36" t="n">
        <f aca="false">(AO455*70)/100</f>
        <v>46.9</v>
      </c>
      <c r="AQ455" s="37" t="n">
        <f aca="false">ROUNDUP(AP455,0)</f>
        <v>47</v>
      </c>
      <c r="AR455" s="65" t="n">
        <v>25</v>
      </c>
      <c r="AS455" s="16" t="n">
        <f aca="false">AR455+AP455</f>
        <v>71.9</v>
      </c>
      <c r="AT455" s="16" t="n">
        <f aca="false">AR455+AQ455</f>
        <v>72</v>
      </c>
      <c r="AU455" s="16" t="n">
        <f aca="false">AO455+AF455+AI455+AH455+AG455</f>
        <v>409</v>
      </c>
      <c r="AV455" s="16" t="n">
        <f aca="false">(AO455+AF455+AI455+AH455+AG455)/5</f>
        <v>81.8</v>
      </c>
      <c r="AW455" s="36" t="n">
        <f aca="false">(AO455+AF455+AI455+AH455+AG455+X455+R455+Q455+K455+J455)</f>
        <v>763</v>
      </c>
      <c r="AX455" s="16" t="n">
        <f aca="false">AW455/10</f>
        <v>76.3</v>
      </c>
      <c r="AY455" s="16" t="n">
        <f aca="false">AS455+AF455+AM455+AH455+AG455+AB455+V455+Q455+O455+J455</f>
        <v>783.5</v>
      </c>
      <c r="AZ455" s="16" t="n">
        <f aca="false">AT455+AF455+AN455+AH455+AG455+AC455+W455+Q455+P455+J455</f>
        <v>786</v>
      </c>
      <c r="BA455" s="16" t="n">
        <f aca="false">AY455/10</f>
        <v>78.35</v>
      </c>
      <c r="BB455" s="16" t="n">
        <f aca="false">AZ455/10</f>
        <v>78.6</v>
      </c>
      <c r="BC455" s="65" t="n">
        <v>2375</v>
      </c>
      <c r="BD455" s="16" t="n">
        <f aca="false">RANK(AX455,$AX$2:$AX$881,0)</f>
        <v>593</v>
      </c>
      <c r="BE455" s="54" t="n">
        <f aca="false">((BC455*100)/2400)*0.4+(AX455*0.6)</f>
        <v>85.3633333333333</v>
      </c>
      <c r="BF455" s="16" t="n">
        <f aca="false">RANK(BE455,$BE$2:$BE$881,0)</f>
        <v>534</v>
      </c>
      <c r="BG455" s="39" t="n">
        <f aca="false">RANK(BB455,$BB$2:$BB$881,0)</f>
        <v>494</v>
      </c>
      <c r="BH455" s="39" t="n">
        <f aca="false">RANK(BC455,$BC$2:$BC$881,0)</f>
        <v>211</v>
      </c>
      <c r="BI455" s="22" t="s">
        <v>130</v>
      </c>
      <c r="BJ455" s="22" t="s">
        <v>129</v>
      </c>
      <c r="BK455" s="40" t="s">
        <v>509</v>
      </c>
      <c r="BL455" s="44" t="n">
        <v>26</v>
      </c>
      <c r="BM455" s="44" t="n">
        <v>58</v>
      </c>
      <c r="BN455" s="44" t="n">
        <v>84</v>
      </c>
      <c r="BO455" s="44" t="n">
        <v>27</v>
      </c>
      <c r="BP455" s="43" t="n">
        <v>62</v>
      </c>
      <c r="BQ455" s="44" t="n">
        <v>89</v>
      </c>
      <c r="BR455" s="44" t="n">
        <v>26</v>
      </c>
      <c r="BS455" s="45" t="n">
        <v>61</v>
      </c>
      <c r="BT455" s="45" t="n">
        <v>87</v>
      </c>
      <c r="BU455" s="46" t="n">
        <v>100</v>
      </c>
      <c r="BV455" s="47" t="n">
        <v>92</v>
      </c>
      <c r="BW455" s="42" t="n">
        <v>100</v>
      </c>
      <c r="BX455" s="48" t="n">
        <v>86</v>
      </c>
      <c r="BY455" s="32" t="n">
        <v>26</v>
      </c>
      <c r="BZ455" s="32" t="n">
        <v>55</v>
      </c>
      <c r="CA455" s="32" t="n">
        <v>81</v>
      </c>
      <c r="CB455" s="32" t="n">
        <v>26</v>
      </c>
      <c r="CC455" s="32" t="n">
        <v>32</v>
      </c>
      <c r="CD455" s="69" t="n">
        <v>58</v>
      </c>
      <c r="CE455" s="32" t="n">
        <v>19</v>
      </c>
      <c r="CF455" s="32" t="n">
        <v>47</v>
      </c>
      <c r="CG455" s="104" t="n">
        <v>66</v>
      </c>
      <c r="CH455" s="32" t="n">
        <v>96</v>
      </c>
      <c r="CI455" s="32" t="n">
        <v>93</v>
      </c>
      <c r="CJ455" s="49" t="n">
        <v>25</v>
      </c>
      <c r="CK455" s="49" t="n">
        <v>49</v>
      </c>
      <c r="CL455" s="49" t="n">
        <v>74</v>
      </c>
      <c r="CM455" s="49" t="n">
        <v>26</v>
      </c>
      <c r="CN455" s="83" t="n">
        <v>0</v>
      </c>
      <c r="CO455" s="76" t="n">
        <v>26</v>
      </c>
      <c r="CP455" s="25" t="n">
        <f aca="false">BX455+BW455+BV455+BU455+BT455+BQ455+BN455</f>
        <v>638</v>
      </c>
      <c r="CQ455" s="25" t="n">
        <f aca="false">CO455+CL455+CI455+CH455+CG455+CD455+CA455</f>
        <v>494</v>
      </c>
      <c r="CR455" s="26" t="n">
        <f aca="false">CP455/7</f>
        <v>91.1428571428571</v>
      </c>
      <c r="CS455" s="26" t="n">
        <f aca="false">CQ455/7</f>
        <v>70.5714285714286</v>
      </c>
      <c r="CT455" s="24" t="n">
        <f aca="false">RANK(CR455,$CR$2:$CR$881,0)</f>
        <v>124</v>
      </c>
      <c r="CU455" s="25" t="n">
        <f aca="false">RANK(CS455,$CS$2:$CS$881,0)</f>
        <v>546</v>
      </c>
      <c r="CV455" s="26" t="n">
        <f aca="false">(CS455+CR455)/2</f>
        <v>80.8571428571429</v>
      </c>
      <c r="CW455" s="25" t="n">
        <f aca="false">RANK(CV455,$CV$2:$CV$881,0)</f>
        <v>389</v>
      </c>
      <c r="CX455" s="50" t="n">
        <f aca="false">(CV455+BB455)/2</f>
        <v>79.7285714285714</v>
      </c>
      <c r="CY455" s="50" t="n">
        <v>383</v>
      </c>
      <c r="CZ455" s="27" t="s">
        <v>132</v>
      </c>
      <c r="DA455" s="27" t="s">
        <v>205</v>
      </c>
      <c r="DB455" s="27" t="s">
        <v>205</v>
      </c>
      <c r="DC455" s="27" t="s">
        <v>134</v>
      </c>
      <c r="DD455" s="27" t="s">
        <v>135</v>
      </c>
      <c r="DE455" s="27" t="s">
        <v>306</v>
      </c>
      <c r="DF455" s="27" t="s">
        <v>219</v>
      </c>
      <c r="DG455" s="27" t="s">
        <v>134</v>
      </c>
      <c r="DH455" s="27" t="s">
        <v>154</v>
      </c>
      <c r="DI455" s="27" t="s">
        <v>183</v>
      </c>
      <c r="DJ455" s="27" t="s">
        <v>196</v>
      </c>
      <c r="DK455" s="27" t="s">
        <v>134</v>
      </c>
      <c r="DL455" s="27" t="s">
        <v>154</v>
      </c>
      <c r="DM455" s="27" t="s">
        <v>619</v>
      </c>
      <c r="DN455" s="27" t="s">
        <v>154</v>
      </c>
      <c r="DO455" s="27" t="s">
        <v>480</v>
      </c>
      <c r="DP455" s="27" t="s">
        <v>264</v>
      </c>
      <c r="DQ455" s="27" t="s">
        <v>313</v>
      </c>
      <c r="DR455" s="27" t="s">
        <v>416</v>
      </c>
      <c r="DS455" s="27" t="s">
        <v>134</v>
      </c>
      <c r="DT455" s="27" t="s">
        <v>135</v>
      </c>
      <c r="DU455" s="27" t="s">
        <v>447</v>
      </c>
      <c r="DV455" s="27" t="s">
        <v>305</v>
      </c>
      <c r="DW455" s="27" t="s">
        <v>137</v>
      </c>
      <c r="DX455" s="27" t="s">
        <v>138</v>
      </c>
      <c r="DY455" s="27" t="s">
        <v>139</v>
      </c>
      <c r="DZ455" s="27" t="n">
        <f aca="false">DY455+DV455+DR455+DN455+DJ455+DF455+DB455</f>
        <v>510</v>
      </c>
      <c r="EA455" s="28" t="n">
        <f aca="false">DZ455/7</f>
        <v>72.8571428571429</v>
      </c>
      <c r="EB455" s="27" t="n">
        <f aca="false">RANK(EA455,$EA$2:$EA$881,0)</f>
        <v>596</v>
      </c>
      <c r="EC455" s="29" t="n">
        <f aca="false">DZ455+CQ455+CP455+AZ455</f>
        <v>2428</v>
      </c>
      <c r="ED455" s="30" t="n">
        <f aca="false">(EA455+CV455+BB455)/3</f>
        <v>77.4380952380952</v>
      </c>
      <c r="EE455" s="51" t="n">
        <f aca="false">ROUND(BE455,3)</f>
        <v>85.363</v>
      </c>
      <c r="EF455" s="51" t="n">
        <f aca="false">ROUND(CR455,3)</f>
        <v>91.143</v>
      </c>
      <c r="EG455" s="51" t="n">
        <f aca="false">ROUND(CS455,3)</f>
        <v>70.571</v>
      </c>
      <c r="EH455" s="51" t="n">
        <f aca="false">ROUND(EA455,3)</f>
        <v>72.857</v>
      </c>
      <c r="EI455" s="51" t="n">
        <f aca="false">ROUND(ED455,3)</f>
        <v>77.438</v>
      </c>
      <c r="EJ455" s="51" t="n">
        <f aca="false">ROUND(CV455,3)</f>
        <v>80.857</v>
      </c>
      <c r="EK455" s="0" t="n">
        <f aca="false">RANK(EI455,$EI$2:$EI$881,0)</f>
        <v>453</v>
      </c>
    </row>
    <row r="456" customFormat="false" ht="15" hidden="false" customHeight="false" outlineLevel="0" collapsed="false">
      <c r="A456" s="4" t="n">
        <v>2078</v>
      </c>
      <c r="B456" s="4" t="n">
        <v>448</v>
      </c>
      <c r="C456" s="27" t="s">
        <v>1418</v>
      </c>
      <c r="D456" s="31" t="n">
        <v>453</v>
      </c>
      <c r="E456" s="16" t="n">
        <v>230623631</v>
      </c>
      <c r="F456" s="56" t="s">
        <v>1419</v>
      </c>
      <c r="G456" s="22" t="s">
        <v>201</v>
      </c>
      <c r="H456" s="22" t="s">
        <v>558</v>
      </c>
      <c r="I456" s="57"/>
      <c r="J456" s="16" t="n">
        <v>66</v>
      </c>
      <c r="K456" s="16" t="n">
        <v>82</v>
      </c>
      <c r="L456" s="34" t="n">
        <f aca="false">(K456*70)/100</f>
        <v>57.4</v>
      </c>
      <c r="M456" s="34" t="n">
        <f aca="false">ROUNDUP(L456,0)</f>
        <v>58</v>
      </c>
      <c r="N456" s="16" t="n">
        <v>29</v>
      </c>
      <c r="O456" s="34" t="n">
        <f aca="false">N456+L456</f>
        <v>86.4</v>
      </c>
      <c r="P456" s="34" t="n">
        <f aca="false">N456+M456</f>
        <v>87</v>
      </c>
      <c r="Q456" s="16" t="n">
        <v>76</v>
      </c>
      <c r="R456" s="16" t="n">
        <v>74</v>
      </c>
      <c r="S456" s="34" t="n">
        <f aca="false">(R456*70)/100</f>
        <v>51.8</v>
      </c>
      <c r="T456" s="34" t="n">
        <f aca="false">ROUNDUP(S456,0)</f>
        <v>52</v>
      </c>
      <c r="U456" s="16" t="n">
        <v>25</v>
      </c>
      <c r="V456" s="34" t="n">
        <f aca="false">U456+S456</f>
        <v>76.8</v>
      </c>
      <c r="W456" s="34" t="n">
        <f aca="false">U456+T456</f>
        <v>77</v>
      </c>
      <c r="X456" s="16" t="n">
        <v>64</v>
      </c>
      <c r="Y456" s="34" t="n">
        <f aca="false">(X456*70)/100</f>
        <v>44.8</v>
      </c>
      <c r="Z456" s="34" t="n">
        <f aca="false">ROUNDUP(Y456,0)</f>
        <v>45</v>
      </c>
      <c r="AA456" s="16" t="n">
        <v>24</v>
      </c>
      <c r="AB456" s="34" t="n">
        <f aca="false">AA456+Y456</f>
        <v>68.8</v>
      </c>
      <c r="AC456" s="34" t="n">
        <f aca="false">AA456+Z456</f>
        <v>69</v>
      </c>
      <c r="AD456" s="32" t="n">
        <f aca="false">X456+R456+Q456+K456+J456</f>
        <v>362</v>
      </c>
      <c r="AE456" s="16" t="n">
        <f aca="false">AD456/5</f>
        <v>72.4</v>
      </c>
      <c r="AF456" s="16" t="n">
        <v>75</v>
      </c>
      <c r="AG456" s="16" t="n">
        <v>82</v>
      </c>
      <c r="AH456" s="16" t="n">
        <v>95</v>
      </c>
      <c r="AI456" s="16" t="n">
        <v>91</v>
      </c>
      <c r="AJ456" s="16" t="n">
        <f aca="false">(AI456*70)/100</f>
        <v>63.7</v>
      </c>
      <c r="AK456" s="35" t="n">
        <f aca="false">ROUNDUP(AJ456,0)</f>
        <v>64</v>
      </c>
      <c r="AL456" s="16" t="n">
        <v>28</v>
      </c>
      <c r="AM456" s="16" t="n">
        <f aca="false">AL456+AJ456</f>
        <v>91.7</v>
      </c>
      <c r="AN456" s="16" t="n">
        <f aca="false">AL456+AK456</f>
        <v>92</v>
      </c>
      <c r="AO456" s="16" t="n">
        <v>78</v>
      </c>
      <c r="AP456" s="36" t="n">
        <f aca="false">(AO456*70)/100</f>
        <v>54.6</v>
      </c>
      <c r="AQ456" s="37" t="n">
        <f aca="false">ROUNDUP(AP456,0)</f>
        <v>55</v>
      </c>
      <c r="AR456" s="16" t="n">
        <v>29</v>
      </c>
      <c r="AS456" s="16" t="n">
        <f aca="false">AR456+AP456</f>
        <v>83.6</v>
      </c>
      <c r="AT456" s="16" t="n">
        <f aca="false">AR456+AQ456</f>
        <v>84</v>
      </c>
      <c r="AU456" s="16" t="n">
        <f aca="false">AO456+AF456+AI456+AH456+AG456</f>
        <v>421</v>
      </c>
      <c r="AV456" s="16" t="n">
        <f aca="false">(AO456+AF456+AI456+AH456+AG456)/5</f>
        <v>84.2</v>
      </c>
      <c r="AW456" s="36" t="n">
        <f aca="false">(AO456+AF456+AI456+AH456+AG456+X456+R456+Q456+K456+J456)</f>
        <v>783</v>
      </c>
      <c r="AX456" s="16" t="n">
        <f aca="false">AW456/10</f>
        <v>78.3</v>
      </c>
      <c r="AY456" s="16" t="n">
        <f aca="false">AS456+AF456+AM456+AH456+AG456+AB456+V456+Q456+O456+J456</f>
        <v>801.3</v>
      </c>
      <c r="AZ456" s="16" t="n">
        <f aca="false">AT456+AF456+AN456+AH456+AG456+AC456+W456+Q456+P456+J456</f>
        <v>803</v>
      </c>
      <c r="BA456" s="16" t="n">
        <f aca="false">AY456/10</f>
        <v>80.13</v>
      </c>
      <c r="BB456" s="16" t="n">
        <f aca="false">AZ456/10</f>
        <v>80.3</v>
      </c>
      <c r="BC456" s="16" t="n">
        <v>2328</v>
      </c>
      <c r="BD456" s="16" t="n">
        <f aca="false">RANK(AX456,$AX$2:$AX$881,0)</f>
        <v>392</v>
      </c>
      <c r="BE456" s="54" t="n">
        <f aca="false">((BC456*100)/2400)*0.4+(AX456*0.6)</f>
        <v>85.78</v>
      </c>
      <c r="BF456" s="16" t="n">
        <f aca="false">RANK(BE456,$BE$2:$BE$881,0)</f>
        <v>466</v>
      </c>
      <c r="BG456" s="39" t="n">
        <f aca="false">RANK(BB456,$BB$2:$BB$881,0)</f>
        <v>327</v>
      </c>
      <c r="BH456" s="39" t="n">
        <f aca="false">RANK(BC456,$BC$2:$BC$881,0)</f>
        <v>745</v>
      </c>
      <c r="BI456" s="22" t="s">
        <v>130</v>
      </c>
      <c r="BJ456" s="22" t="s">
        <v>129</v>
      </c>
      <c r="BK456" s="40" t="s">
        <v>509</v>
      </c>
      <c r="BL456" s="105" t="n">
        <v>25</v>
      </c>
      <c r="BM456" s="59" t="n">
        <v>63</v>
      </c>
      <c r="BN456" s="59" t="n">
        <v>88</v>
      </c>
      <c r="BO456" s="42" t="n">
        <v>29</v>
      </c>
      <c r="BP456" s="59" t="n">
        <v>57</v>
      </c>
      <c r="BQ456" s="59" t="n">
        <v>86</v>
      </c>
      <c r="BR456" s="74" t="n">
        <v>9</v>
      </c>
      <c r="BS456" s="80"/>
      <c r="BT456" s="80"/>
      <c r="BU456" s="88" t="n">
        <v>81</v>
      </c>
      <c r="BV456" s="58" t="n">
        <v>72</v>
      </c>
      <c r="BW456" s="106"/>
      <c r="BX456" s="88" t="n">
        <v>86</v>
      </c>
      <c r="BY456" s="65" t="n">
        <v>30</v>
      </c>
      <c r="BZ456" s="58" t="n">
        <v>52</v>
      </c>
      <c r="CA456" s="58" t="n">
        <v>82</v>
      </c>
      <c r="CB456" s="59" t="n">
        <v>21</v>
      </c>
      <c r="CC456" s="58" t="n">
        <v>61</v>
      </c>
      <c r="CD456" s="58" t="n">
        <v>82</v>
      </c>
      <c r="CE456" s="58" t="n">
        <v>21</v>
      </c>
      <c r="CF456" s="58" t="n">
        <v>46</v>
      </c>
      <c r="CG456" s="58" t="n">
        <v>67</v>
      </c>
      <c r="CH456" s="58" t="n">
        <v>93</v>
      </c>
      <c r="CI456" s="58" t="n">
        <v>91</v>
      </c>
      <c r="CJ456" s="58" t="n">
        <v>27</v>
      </c>
      <c r="CK456" s="58" t="n">
        <v>61</v>
      </c>
      <c r="CL456" s="59" t="n">
        <v>88</v>
      </c>
      <c r="CM456" s="60"/>
      <c r="CN456" s="60"/>
      <c r="CO456" s="60"/>
      <c r="CP456" s="25" t="n">
        <f aca="false">BX456+BW456+BV456+BU456+BT456+BQ456+BN456</f>
        <v>413</v>
      </c>
      <c r="CQ456" s="25" t="n">
        <f aca="false">CO456+CL456+CI456+CH456+CG456+CD456+CA456</f>
        <v>503</v>
      </c>
      <c r="CR456" s="26" t="n">
        <f aca="false">CP456/7</f>
        <v>59</v>
      </c>
      <c r="CS456" s="26" t="n">
        <f aca="false">CQ456/7</f>
        <v>71.8571428571429</v>
      </c>
      <c r="CT456" s="24" t="n">
        <f aca="false">RANK(CR456,$CR$2:$CR$881,0)</f>
        <v>722</v>
      </c>
      <c r="CU456" s="25" t="n">
        <f aca="false">RANK(CS456,$CS$2:$CS$881,0)</f>
        <v>516</v>
      </c>
      <c r="CV456" s="26" t="n">
        <f aca="false">(CS456+CR456)/2</f>
        <v>65.4285714285714</v>
      </c>
      <c r="CW456" s="25" t="n">
        <f aca="false">RANK(CV456,$CV$2:$CV$881,0)</f>
        <v>674</v>
      </c>
      <c r="CX456" s="50" t="n">
        <f aca="false">(CV456+BB456)/2</f>
        <v>72.8642857142857</v>
      </c>
      <c r="CY456" s="50" t="n">
        <v>756</v>
      </c>
      <c r="CZ456" s="27" t="s">
        <v>132</v>
      </c>
      <c r="DA456" s="27" t="s">
        <v>162</v>
      </c>
      <c r="DB456" s="27" t="s">
        <v>162</v>
      </c>
      <c r="DC456" s="27" t="s">
        <v>134</v>
      </c>
      <c r="DD456" s="27" t="s">
        <v>154</v>
      </c>
      <c r="DE456" s="27" t="s">
        <v>177</v>
      </c>
      <c r="DF456" s="27" t="s">
        <v>169</v>
      </c>
      <c r="DG456" s="27" t="s">
        <v>134</v>
      </c>
      <c r="DH456" s="27" t="s">
        <v>160</v>
      </c>
      <c r="DI456" s="27" t="s">
        <v>161</v>
      </c>
      <c r="DJ456" s="27" t="s">
        <v>162</v>
      </c>
      <c r="DK456" s="27" t="s">
        <v>134</v>
      </c>
      <c r="DL456" s="27" t="s">
        <v>135</v>
      </c>
      <c r="DM456" s="27" t="s">
        <v>163</v>
      </c>
      <c r="DN456" s="27" t="s">
        <v>153</v>
      </c>
      <c r="DO456" s="27" t="s">
        <v>134</v>
      </c>
      <c r="DP456" s="27" t="s">
        <v>191</v>
      </c>
      <c r="DQ456" s="27" t="s">
        <v>203</v>
      </c>
      <c r="DR456" s="27" t="s">
        <v>205</v>
      </c>
      <c r="DS456" s="27" t="s">
        <v>134</v>
      </c>
      <c r="DT456" s="27" t="s">
        <v>140</v>
      </c>
      <c r="DU456" s="27" t="s">
        <v>447</v>
      </c>
      <c r="DV456" s="27" t="s">
        <v>205</v>
      </c>
      <c r="DW456" s="27" t="s">
        <v>195</v>
      </c>
      <c r="DX456" s="27" t="s">
        <v>155</v>
      </c>
      <c r="DY456" s="27" t="s">
        <v>170</v>
      </c>
      <c r="DZ456" s="27" t="n">
        <f aca="false">DY456+DV456+DR456+DN456+DJ456+DF456+DB456</f>
        <v>606</v>
      </c>
      <c r="EA456" s="28" t="n">
        <f aca="false">DZ456/7</f>
        <v>86.5714285714286</v>
      </c>
      <c r="EB456" s="27" t="n">
        <f aca="false">RANK(EA456,$EA$2:$EA$881,0)</f>
        <v>140</v>
      </c>
      <c r="EC456" s="29" t="n">
        <f aca="false">DZ456+CQ456+CP456+AZ456</f>
        <v>2325</v>
      </c>
      <c r="ED456" s="30" t="n">
        <f aca="false">(EA456+CV456+BB456)/3</f>
        <v>77.4333333333333</v>
      </c>
      <c r="EE456" s="51" t="n">
        <f aca="false">ROUND(BE456,3)</f>
        <v>85.78</v>
      </c>
      <c r="EF456" s="51" t="n">
        <f aca="false">ROUND(CR456,3)</f>
        <v>59</v>
      </c>
      <c r="EG456" s="51" t="n">
        <f aca="false">ROUND(CS456,3)</f>
        <v>71.857</v>
      </c>
      <c r="EH456" s="51" t="n">
        <f aca="false">ROUND(EA456,3)</f>
        <v>86.571</v>
      </c>
      <c r="EI456" s="51" t="n">
        <f aca="false">ROUND(ED456,3)</f>
        <v>77.433</v>
      </c>
      <c r="EJ456" s="51" t="n">
        <f aca="false">ROUND(CV456,3)</f>
        <v>65.429</v>
      </c>
      <c r="EK456" s="0" t="n">
        <f aca="false">RANK(EI456,$EI$2:$EI$881,0)</f>
        <v>455</v>
      </c>
    </row>
    <row r="457" customFormat="false" ht="15" hidden="false" customHeight="false" outlineLevel="0" collapsed="false">
      <c r="A457" s="4" t="n">
        <v>9114</v>
      </c>
      <c r="B457" s="4" t="n">
        <v>670</v>
      </c>
      <c r="C457" s="27" t="s">
        <v>1420</v>
      </c>
      <c r="D457" s="31" t="n">
        <v>683</v>
      </c>
      <c r="E457" s="62" t="n">
        <v>230311472</v>
      </c>
      <c r="F457" s="55" t="s">
        <v>1421</v>
      </c>
      <c r="G457" s="63" t="s">
        <v>1422</v>
      </c>
      <c r="H457" s="22" t="s">
        <v>129</v>
      </c>
      <c r="I457" s="64" t="n">
        <v>2006</v>
      </c>
      <c r="J457" s="62" t="n">
        <v>98</v>
      </c>
      <c r="K457" s="62" t="n">
        <v>87</v>
      </c>
      <c r="L457" s="34" t="n">
        <f aca="false">(K457*70)/100</f>
        <v>60.9</v>
      </c>
      <c r="M457" s="34" t="n">
        <f aca="false">ROUNDUP(L457,0)</f>
        <v>61</v>
      </c>
      <c r="N457" s="62" t="n">
        <v>27</v>
      </c>
      <c r="O457" s="34" t="n">
        <f aca="false">N457+L457</f>
        <v>87.9</v>
      </c>
      <c r="P457" s="34" t="n">
        <f aca="false">N457+M457</f>
        <v>88</v>
      </c>
      <c r="Q457" s="62" t="n">
        <v>68</v>
      </c>
      <c r="R457" s="62" t="n">
        <v>80</v>
      </c>
      <c r="S457" s="34" t="n">
        <f aca="false">(R457*70)/100</f>
        <v>56</v>
      </c>
      <c r="T457" s="34" t="n">
        <f aca="false">ROUNDUP(S457,0)</f>
        <v>56</v>
      </c>
      <c r="U457" s="62" t="n">
        <v>28</v>
      </c>
      <c r="V457" s="34" t="n">
        <f aca="false">U457+S457</f>
        <v>84</v>
      </c>
      <c r="W457" s="34" t="n">
        <f aca="false">U457+T457</f>
        <v>84</v>
      </c>
      <c r="X457" s="62" t="n">
        <v>78</v>
      </c>
      <c r="Y457" s="34" t="n">
        <f aca="false">(X457*70)/100</f>
        <v>54.6</v>
      </c>
      <c r="Z457" s="34" t="n">
        <f aca="false">ROUNDUP(Y457,0)</f>
        <v>55</v>
      </c>
      <c r="AA457" s="62" t="n">
        <v>25</v>
      </c>
      <c r="AB457" s="34" t="n">
        <f aca="false">AA457+Y457</f>
        <v>79.6</v>
      </c>
      <c r="AC457" s="34" t="n">
        <f aca="false">AA457+Z457</f>
        <v>80</v>
      </c>
      <c r="AD457" s="32" t="n">
        <f aca="false">X457+R457+Q457+K457+J457</f>
        <v>411</v>
      </c>
      <c r="AE457" s="16" t="n">
        <f aca="false">AD457/5</f>
        <v>82.2</v>
      </c>
      <c r="AF457" s="65" t="n">
        <v>87</v>
      </c>
      <c r="AG457" s="65" t="n">
        <v>95</v>
      </c>
      <c r="AH457" s="65" t="n">
        <v>88</v>
      </c>
      <c r="AI457" s="65" t="n">
        <v>77</v>
      </c>
      <c r="AJ457" s="16" t="n">
        <f aca="false">(AI457*70)/100</f>
        <v>53.9</v>
      </c>
      <c r="AK457" s="35" t="n">
        <f aca="false">ROUNDUP(AJ457,0)</f>
        <v>54</v>
      </c>
      <c r="AL457" s="65" t="n">
        <v>24</v>
      </c>
      <c r="AM457" s="16" t="n">
        <f aca="false">AL457+AJ457</f>
        <v>77.9</v>
      </c>
      <c r="AN457" s="16" t="n">
        <f aca="false">AL457+AK457</f>
        <v>78</v>
      </c>
      <c r="AO457" s="65" t="n">
        <v>76</v>
      </c>
      <c r="AP457" s="36" t="n">
        <f aca="false">(AO457*70)/100</f>
        <v>53.2</v>
      </c>
      <c r="AQ457" s="37" t="n">
        <f aca="false">ROUNDUP(AP457,0)</f>
        <v>54</v>
      </c>
      <c r="AR457" s="65" t="n">
        <v>26</v>
      </c>
      <c r="AS457" s="16" t="n">
        <f aca="false">AR457+AP457</f>
        <v>79.2</v>
      </c>
      <c r="AT457" s="16" t="n">
        <f aca="false">AR457+AQ457</f>
        <v>80</v>
      </c>
      <c r="AU457" s="16" t="n">
        <f aca="false">AO457+AF457+AI457+AH457+AG457</f>
        <v>423</v>
      </c>
      <c r="AV457" s="16" t="n">
        <f aca="false">(AO457+AF457+AI457+AH457+AG457)/5</f>
        <v>84.6</v>
      </c>
      <c r="AW457" s="36" t="n">
        <f aca="false">(AO457+AF457+AI457+AH457+AG457+X457+R457+Q457+K457+J457)</f>
        <v>834</v>
      </c>
      <c r="AX457" s="16" t="n">
        <f aca="false">AW457/10</f>
        <v>83.4</v>
      </c>
      <c r="AY457" s="16" t="n">
        <f aca="false">AS457+AF457+AM457+AH457+AG457+AB457+V457+Q457+O457+J457</f>
        <v>844.6</v>
      </c>
      <c r="AZ457" s="16" t="n">
        <f aca="false">AT457+AF457+AN457+AH457+AG457+AC457+W457+Q457+P457+J457</f>
        <v>846</v>
      </c>
      <c r="BA457" s="16" t="n">
        <f aca="false">AY457/10</f>
        <v>84.46</v>
      </c>
      <c r="BB457" s="16" t="n">
        <f aca="false">AZ457/10</f>
        <v>84.6</v>
      </c>
      <c r="BC457" s="65" t="n">
        <v>2396</v>
      </c>
      <c r="BD457" s="16" t="n">
        <f aca="false">RANK(AX457,$AX$2:$AX$881,0)</f>
        <v>120</v>
      </c>
      <c r="BE457" s="54" t="n">
        <f aca="false">((BC457*100)/2400)*0.4+(AX457*0.6)</f>
        <v>89.9733333333333</v>
      </c>
      <c r="BF457" s="16" t="n">
        <f aca="false">RANK(BE457,$BE$2:$BE$881,0)</f>
        <v>104</v>
      </c>
      <c r="BG457" s="39" t="n">
        <f aca="false">RANK(BB457,$BB$2:$BB$881,0)</f>
        <v>107</v>
      </c>
      <c r="BH457" s="39" t="n">
        <f aca="false">RANK(BC457,$BC$2:$BC$881,0)</f>
        <v>12</v>
      </c>
      <c r="BI457" s="22" t="s">
        <v>130</v>
      </c>
      <c r="BJ457" s="22" t="s">
        <v>129</v>
      </c>
      <c r="BK457" s="40" t="s">
        <v>131</v>
      </c>
      <c r="BL457" s="41" t="n">
        <v>13</v>
      </c>
      <c r="BM457" s="41" t="n">
        <v>57</v>
      </c>
      <c r="BN457" s="41" t="n">
        <v>70</v>
      </c>
      <c r="BO457" s="42" t="n">
        <v>25</v>
      </c>
      <c r="BP457" s="43" t="n">
        <v>60</v>
      </c>
      <c r="BQ457" s="44" t="n">
        <v>85</v>
      </c>
      <c r="BR457" s="42" t="n">
        <v>19</v>
      </c>
      <c r="BS457" s="45" t="n">
        <v>62</v>
      </c>
      <c r="BT457" s="45" t="n">
        <v>81</v>
      </c>
      <c r="BU457" s="46" t="n">
        <v>99</v>
      </c>
      <c r="BV457" s="47" t="n">
        <v>90</v>
      </c>
      <c r="BW457" s="42" t="n">
        <v>100</v>
      </c>
      <c r="BX457" s="48" t="n">
        <v>88</v>
      </c>
      <c r="BY457" s="32" t="n">
        <v>24</v>
      </c>
      <c r="BZ457" s="32" t="n">
        <v>30</v>
      </c>
      <c r="CA457" s="69" t="n">
        <v>54</v>
      </c>
      <c r="CB457" s="32" t="n">
        <v>20</v>
      </c>
      <c r="CC457" s="32" t="n">
        <v>30</v>
      </c>
      <c r="CD457" s="69" t="n">
        <v>50</v>
      </c>
      <c r="CE457" s="32" t="n">
        <v>23</v>
      </c>
      <c r="CF457" s="32" t="n">
        <v>49</v>
      </c>
      <c r="CG457" s="32" t="n">
        <v>72</v>
      </c>
      <c r="CH457" s="32" t="n">
        <v>98</v>
      </c>
      <c r="CI457" s="32" t="n">
        <v>98</v>
      </c>
      <c r="CJ457" s="49" t="n">
        <v>13</v>
      </c>
      <c r="CK457" s="49" t="n">
        <v>39</v>
      </c>
      <c r="CL457" s="76" t="n">
        <v>52</v>
      </c>
      <c r="CM457" s="49" t="n">
        <v>14</v>
      </c>
      <c r="CN457" s="49" t="n">
        <v>46</v>
      </c>
      <c r="CO457" s="49" t="n">
        <v>60</v>
      </c>
      <c r="CP457" s="25" t="n">
        <f aca="false">BX457+BW457+BV457+BU457+BT457+BQ457+BN457</f>
        <v>613</v>
      </c>
      <c r="CQ457" s="25" t="n">
        <f aca="false">CO457+CL457+CI457+CH457+CG457+CD457+CA457</f>
        <v>484</v>
      </c>
      <c r="CR457" s="26" t="n">
        <f aca="false">CP457/7</f>
        <v>87.5714285714286</v>
      </c>
      <c r="CS457" s="26" t="n">
        <f aca="false">CQ457/7</f>
        <v>69.1428571428571</v>
      </c>
      <c r="CT457" s="24" t="n">
        <f aca="false">RANK(CR457,$CR$2:$CR$881,0)</f>
        <v>329</v>
      </c>
      <c r="CU457" s="25" t="n">
        <f aca="false">RANK(CS457,$CS$2:$CS$881,0)</f>
        <v>569</v>
      </c>
      <c r="CV457" s="26" t="n">
        <f aca="false">(CS457+CR457)/2</f>
        <v>78.3571428571429</v>
      </c>
      <c r="CW457" s="25" t="n">
        <f aca="false">RANK(CV457,$CV$2:$CV$881,0)</f>
        <v>483</v>
      </c>
      <c r="CX457" s="50" t="n">
        <f aca="false">(CV457+BB457)/2</f>
        <v>81.4785714285714</v>
      </c>
      <c r="CY457" s="50" t="n">
        <v>293</v>
      </c>
      <c r="CZ457" s="27" t="s">
        <v>132</v>
      </c>
      <c r="DA457" s="27" t="s">
        <v>202</v>
      </c>
      <c r="DB457" s="27" t="s">
        <v>202</v>
      </c>
      <c r="DC457" s="27" t="s">
        <v>134</v>
      </c>
      <c r="DD457" s="27" t="s">
        <v>191</v>
      </c>
      <c r="DE457" s="27" t="s">
        <v>313</v>
      </c>
      <c r="DF457" s="27" t="s">
        <v>398</v>
      </c>
      <c r="DG457" s="27" t="s">
        <v>134</v>
      </c>
      <c r="DH457" s="27" t="s">
        <v>174</v>
      </c>
      <c r="DI457" s="27" t="s">
        <v>375</v>
      </c>
      <c r="DJ457" s="27" t="s">
        <v>398</v>
      </c>
      <c r="DK457" s="27" t="s">
        <v>134</v>
      </c>
      <c r="DL457" s="27" t="s">
        <v>137</v>
      </c>
      <c r="DM457" s="27" t="s">
        <v>638</v>
      </c>
      <c r="DN457" s="27" t="s">
        <v>416</v>
      </c>
      <c r="DO457" s="27" t="s">
        <v>134</v>
      </c>
      <c r="DP457" s="27" t="s">
        <v>718</v>
      </c>
      <c r="DQ457" s="27" t="s">
        <v>1423</v>
      </c>
      <c r="DR457" s="27" t="s">
        <v>897</v>
      </c>
      <c r="DS457" s="27" t="s">
        <v>480</v>
      </c>
      <c r="DT457" s="27" t="s">
        <v>135</v>
      </c>
      <c r="DU457" s="27" t="s">
        <v>164</v>
      </c>
      <c r="DV457" s="27" t="s">
        <v>313</v>
      </c>
      <c r="DW457" s="27" t="s">
        <v>154</v>
      </c>
      <c r="DX457" s="27" t="s">
        <v>187</v>
      </c>
      <c r="DY457" s="27" t="s">
        <v>162</v>
      </c>
      <c r="DZ457" s="27" t="n">
        <f aca="false">DY457+DV457+DR457+DN457+DJ457+DF457+DB457</f>
        <v>485</v>
      </c>
      <c r="EA457" s="28" t="n">
        <f aca="false">DZ457/7</f>
        <v>69.2857142857143</v>
      </c>
      <c r="EB457" s="27" t="n">
        <f aca="false">RANK(EA457,$EA$2:$EA$881,0)</f>
        <v>666</v>
      </c>
      <c r="EC457" s="29" t="n">
        <f aca="false">DZ457+CQ457+CP457+AZ457</f>
        <v>2428</v>
      </c>
      <c r="ED457" s="30" t="n">
        <f aca="false">(EA457+CV457+BB457)/3</f>
        <v>77.4142857142857</v>
      </c>
      <c r="EE457" s="51" t="n">
        <f aca="false">ROUND(BE457,3)</f>
        <v>89.973</v>
      </c>
      <c r="EF457" s="51" t="n">
        <f aca="false">ROUND(CR457,3)</f>
        <v>87.571</v>
      </c>
      <c r="EG457" s="51" t="n">
        <f aca="false">ROUND(CS457,3)</f>
        <v>69.143</v>
      </c>
      <c r="EH457" s="51" t="n">
        <f aca="false">ROUND(EA457,3)</f>
        <v>69.286</v>
      </c>
      <c r="EI457" s="51" t="n">
        <f aca="false">ROUND(ED457,3)</f>
        <v>77.414</v>
      </c>
      <c r="EJ457" s="51" t="n">
        <f aca="false">ROUND(CV457,3)</f>
        <v>78.357</v>
      </c>
      <c r="EK457" s="0" t="n">
        <f aca="false">RANK(EI457,$EI$2:$EI$881,0)</f>
        <v>456</v>
      </c>
    </row>
    <row r="458" customFormat="false" ht="15" hidden="false" customHeight="false" outlineLevel="0" collapsed="false">
      <c r="A458" s="4" t="n">
        <v>2080</v>
      </c>
      <c r="B458" s="4" t="n">
        <v>405</v>
      </c>
      <c r="C458" s="27" t="s">
        <v>1424</v>
      </c>
      <c r="D458" s="31" t="n">
        <v>410</v>
      </c>
      <c r="E458" s="16" t="n">
        <v>230242871</v>
      </c>
      <c r="F458" s="56" t="s">
        <v>1425</v>
      </c>
      <c r="G458" s="22" t="s">
        <v>1426</v>
      </c>
      <c r="H458" s="22" t="s">
        <v>326</v>
      </c>
      <c r="I458" s="57"/>
      <c r="J458" s="16" t="n">
        <v>86</v>
      </c>
      <c r="K458" s="16" t="n">
        <v>89</v>
      </c>
      <c r="L458" s="34" t="n">
        <f aca="false">(K458*70)/100</f>
        <v>62.3</v>
      </c>
      <c r="M458" s="34" t="n">
        <f aca="false">ROUNDUP(L458,0)</f>
        <v>63</v>
      </c>
      <c r="N458" s="16" t="n">
        <v>27</v>
      </c>
      <c r="O458" s="34" t="n">
        <f aca="false">N458+L458</f>
        <v>89.3</v>
      </c>
      <c r="P458" s="34" t="n">
        <f aca="false">N458+M458</f>
        <v>90</v>
      </c>
      <c r="Q458" s="16" t="n">
        <v>72</v>
      </c>
      <c r="R458" s="16" t="n">
        <v>79</v>
      </c>
      <c r="S458" s="34" t="n">
        <f aca="false">(R458*70)/100</f>
        <v>55.3</v>
      </c>
      <c r="T458" s="34" t="n">
        <f aca="false">ROUNDUP(S458,0)</f>
        <v>56</v>
      </c>
      <c r="U458" s="16" t="n">
        <v>26</v>
      </c>
      <c r="V458" s="34" t="n">
        <f aca="false">U458+S458</f>
        <v>81.3</v>
      </c>
      <c r="W458" s="34" t="n">
        <f aca="false">U458+T458</f>
        <v>82</v>
      </c>
      <c r="X458" s="16" t="n">
        <v>74</v>
      </c>
      <c r="Y458" s="34" t="n">
        <f aca="false">(X458*70)/100</f>
        <v>51.8</v>
      </c>
      <c r="Z458" s="34" t="n">
        <f aca="false">ROUNDUP(Y458,0)</f>
        <v>52</v>
      </c>
      <c r="AA458" s="16" t="n">
        <v>23</v>
      </c>
      <c r="AB458" s="34" t="n">
        <f aca="false">AA458+Y458</f>
        <v>74.8</v>
      </c>
      <c r="AC458" s="34" t="n">
        <f aca="false">AA458+Z458</f>
        <v>75</v>
      </c>
      <c r="AD458" s="32" t="n">
        <f aca="false">X458+R458+Q458+K458+J458</f>
        <v>400</v>
      </c>
      <c r="AE458" s="16" t="n">
        <f aca="false">AD458/5</f>
        <v>80</v>
      </c>
      <c r="AF458" s="71" t="n">
        <v>54</v>
      </c>
      <c r="AG458" s="16" t="n">
        <v>84</v>
      </c>
      <c r="AH458" s="16" t="n">
        <v>84</v>
      </c>
      <c r="AI458" s="16" t="n">
        <v>78</v>
      </c>
      <c r="AJ458" s="16" t="n">
        <f aca="false">(AI458*70)/100</f>
        <v>54.6</v>
      </c>
      <c r="AK458" s="35" t="n">
        <f aca="false">ROUNDUP(AJ458,0)</f>
        <v>55</v>
      </c>
      <c r="AL458" s="16" t="n">
        <v>28</v>
      </c>
      <c r="AM458" s="16" t="n">
        <f aca="false">AL458+AJ458</f>
        <v>82.6</v>
      </c>
      <c r="AN458" s="16" t="n">
        <f aca="false">AL458+AK458</f>
        <v>83</v>
      </c>
      <c r="AO458" s="16" t="n">
        <v>70</v>
      </c>
      <c r="AP458" s="36" t="n">
        <f aca="false">(AO458*70)/100</f>
        <v>49</v>
      </c>
      <c r="AQ458" s="37" t="n">
        <f aca="false">ROUNDUP(AP458,0)</f>
        <v>49</v>
      </c>
      <c r="AR458" s="16" t="n">
        <v>26</v>
      </c>
      <c r="AS458" s="16" t="n">
        <f aca="false">AR458+AP458</f>
        <v>75</v>
      </c>
      <c r="AT458" s="16" t="n">
        <f aca="false">AR458+AQ458</f>
        <v>75</v>
      </c>
      <c r="AU458" s="16" t="n">
        <f aca="false">AO458+AF458+AI458+AH458+AG458</f>
        <v>370</v>
      </c>
      <c r="AV458" s="16" t="n">
        <f aca="false">(AO458+AF458+AI458+AH458+AG458)/5</f>
        <v>74</v>
      </c>
      <c r="AW458" s="36" t="n">
        <f aca="false">(AO458+AF458+AI458+AH458+AG458+X458+R458+Q458+K458+J458)</f>
        <v>770</v>
      </c>
      <c r="AX458" s="16" t="n">
        <f aca="false">AW458/10</f>
        <v>77</v>
      </c>
      <c r="AY458" s="16" t="n">
        <f aca="false">AS458+AF458+AM458+AH458+AG458+AB458+V458+Q458+O458+J458</f>
        <v>783</v>
      </c>
      <c r="AZ458" s="16" t="n">
        <f aca="false">AT458+AF458+AN458+AH458+AG458+AC458+W458+Q458+P458+J458</f>
        <v>785</v>
      </c>
      <c r="BA458" s="16" t="n">
        <f aca="false">AY458/10</f>
        <v>78.3</v>
      </c>
      <c r="BB458" s="16" t="n">
        <f aca="false">AZ458/10</f>
        <v>78.5</v>
      </c>
      <c r="BC458" s="16" t="n">
        <v>2334</v>
      </c>
      <c r="BD458" s="16" t="n">
        <f aca="false">RANK(AX458,$AX$2:$AX$881,0)</f>
        <v>508</v>
      </c>
      <c r="BE458" s="54" t="n">
        <f aca="false">((BC458*100)/2400)*0.4+(AX458*0.6)</f>
        <v>85.1</v>
      </c>
      <c r="BF458" s="16" t="n">
        <f aca="false">RANK(BE458,$BE$2:$BE$881,0)</f>
        <v>586</v>
      </c>
      <c r="BG458" s="39" t="n">
        <f aca="false">RANK(BB458,$BB$2:$BB$881,0)</f>
        <v>505</v>
      </c>
      <c r="BH458" s="39" t="n">
        <f aca="false">RANK(BC458,$BC$2:$BC$881,0)</f>
        <v>687</v>
      </c>
      <c r="BI458" s="22" t="s">
        <v>130</v>
      </c>
      <c r="BJ458" s="22" t="s">
        <v>129</v>
      </c>
      <c r="BK458" s="40" t="s">
        <v>509</v>
      </c>
      <c r="BL458" s="41" t="n">
        <v>27</v>
      </c>
      <c r="BM458" s="61"/>
      <c r="BN458" s="61"/>
      <c r="BO458" s="42" t="n">
        <v>28</v>
      </c>
      <c r="BP458" s="43" t="n">
        <v>52</v>
      </c>
      <c r="BQ458" s="44" t="n">
        <v>80</v>
      </c>
      <c r="BR458" s="42" t="n">
        <v>27</v>
      </c>
      <c r="BS458" s="45" t="n">
        <v>60</v>
      </c>
      <c r="BT458" s="45" t="n">
        <v>87</v>
      </c>
      <c r="BU458" s="46" t="n">
        <v>99</v>
      </c>
      <c r="BV458" s="95" t="n">
        <v>80</v>
      </c>
      <c r="BW458" s="43" t="n">
        <v>93</v>
      </c>
      <c r="BX458" s="48" t="n">
        <v>94</v>
      </c>
      <c r="BY458" s="32" t="n">
        <v>22</v>
      </c>
      <c r="BZ458" s="32" t="n">
        <v>40</v>
      </c>
      <c r="CA458" s="32" t="n">
        <v>62</v>
      </c>
      <c r="CB458" s="32" t="n">
        <v>12</v>
      </c>
      <c r="CC458" s="60"/>
      <c r="CD458" s="60"/>
      <c r="CE458" s="32" t="n">
        <v>29</v>
      </c>
      <c r="CF458" s="32" t="n">
        <v>57</v>
      </c>
      <c r="CG458" s="32" t="n">
        <v>86</v>
      </c>
      <c r="CH458" s="32" t="n">
        <v>100</v>
      </c>
      <c r="CI458" s="32" t="n">
        <v>98</v>
      </c>
      <c r="CJ458" s="49" t="n">
        <v>30</v>
      </c>
      <c r="CK458" s="60"/>
      <c r="CL458" s="61"/>
      <c r="CM458" s="49" t="n">
        <v>19</v>
      </c>
      <c r="CN458" s="49" t="n">
        <v>56</v>
      </c>
      <c r="CO458" s="49" t="n">
        <v>75</v>
      </c>
      <c r="CP458" s="25" t="n">
        <f aca="false">BX458+BW458+BV458+BU458+BT458+BQ458+BN458</f>
        <v>533</v>
      </c>
      <c r="CQ458" s="25" t="n">
        <f aca="false">CO458+CL458+CI458+CH458+CG458+CD458+CA458</f>
        <v>421</v>
      </c>
      <c r="CR458" s="26" t="n">
        <f aca="false">CP458/7</f>
        <v>76.1428571428571</v>
      </c>
      <c r="CS458" s="26" t="n">
        <f aca="false">CQ458/7</f>
        <v>60.1428571428571</v>
      </c>
      <c r="CT458" s="24" t="n">
        <f aca="false">RANK(CR458,$CR$2:$CR$881,0)</f>
        <v>634</v>
      </c>
      <c r="CU458" s="25" t="n">
        <f aca="false">RANK(CS458,$CS$2:$CS$881,0)</f>
        <v>682</v>
      </c>
      <c r="CV458" s="26" t="n">
        <f aca="false">(CS458+CR458)/2</f>
        <v>68.1428571428571</v>
      </c>
      <c r="CW458" s="25" t="n">
        <f aca="false">RANK(CV458,$CV$2:$CV$881,0)</f>
        <v>651</v>
      </c>
      <c r="CX458" s="50" t="n">
        <f aca="false">(CV458+BB458)/2</f>
        <v>73.3214285714286</v>
      </c>
      <c r="CY458" s="50" t="n">
        <v>578</v>
      </c>
      <c r="CZ458" s="27" t="s">
        <v>132</v>
      </c>
      <c r="DA458" s="27" t="s">
        <v>162</v>
      </c>
      <c r="DB458" s="27" t="s">
        <v>162</v>
      </c>
      <c r="DC458" s="27" t="s">
        <v>134</v>
      </c>
      <c r="DD458" s="27" t="s">
        <v>135</v>
      </c>
      <c r="DE458" s="27" t="s">
        <v>204</v>
      </c>
      <c r="DF458" s="27" t="s">
        <v>209</v>
      </c>
      <c r="DG458" s="27" t="s">
        <v>134</v>
      </c>
      <c r="DH458" s="27" t="s">
        <v>135</v>
      </c>
      <c r="DI458" s="27" t="s">
        <v>218</v>
      </c>
      <c r="DJ458" s="27" t="s">
        <v>205</v>
      </c>
      <c r="DK458" s="27" t="s">
        <v>134</v>
      </c>
      <c r="DL458" s="27" t="s">
        <v>164</v>
      </c>
      <c r="DM458" s="27" t="s">
        <v>447</v>
      </c>
      <c r="DN458" s="27" t="s">
        <v>219</v>
      </c>
      <c r="DO458" s="27" t="s">
        <v>134</v>
      </c>
      <c r="DP458" s="27" t="s">
        <v>154</v>
      </c>
      <c r="DQ458" s="27" t="s">
        <v>304</v>
      </c>
      <c r="DR458" s="27" t="s">
        <v>382</v>
      </c>
      <c r="DS458" s="27" t="s">
        <v>134</v>
      </c>
      <c r="DT458" s="27" t="s">
        <v>137</v>
      </c>
      <c r="DU458" s="27" t="s">
        <v>136</v>
      </c>
      <c r="DV458" s="27" t="s">
        <v>162</v>
      </c>
      <c r="DW458" s="27" t="s">
        <v>160</v>
      </c>
      <c r="DX458" s="27" t="s">
        <v>155</v>
      </c>
      <c r="DY458" s="27" t="s">
        <v>145</v>
      </c>
      <c r="DZ458" s="27" t="n">
        <f aca="false">DY458+DV458+DR458+DN458+DJ458+DF458+DB458</f>
        <v>599</v>
      </c>
      <c r="EA458" s="28" t="n">
        <f aca="false">DZ458/7</f>
        <v>85.5714285714286</v>
      </c>
      <c r="EB458" s="27" t="n">
        <f aca="false">RANK(EA458,$EA$2:$EA$881,0)</f>
        <v>166</v>
      </c>
      <c r="EC458" s="29" t="n">
        <f aca="false">DZ458+CQ458+CP458+AZ458</f>
        <v>2338</v>
      </c>
      <c r="ED458" s="30" t="n">
        <f aca="false">(EA458+CV458+BB458)/3</f>
        <v>77.4047619047619</v>
      </c>
      <c r="EE458" s="51" t="n">
        <f aca="false">ROUND(BE458,3)</f>
        <v>85.1</v>
      </c>
      <c r="EF458" s="51" t="n">
        <f aca="false">ROUND(CR458,3)</f>
        <v>76.143</v>
      </c>
      <c r="EG458" s="51" t="n">
        <f aca="false">ROUND(CS458,3)</f>
        <v>60.143</v>
      </c>
      <c r="EH458" s="51" t="n">
        <f aca="false">ROUND(EA458,3)</f>
        <v>85.571</v>
      </c>
      <c r="EI458" s="51" t="n">
        <f aca="false">ROUND(ED458,3)</f>
        <v>77.405</v>
      </c>
      <c r="EJ458" s="51" t="n">
        <f aca="false">ROUND(CV458,3)</f>
        <v>68.143</v>
      </c>
      <c r="EK458" s="0" t="n">
        <f aca="false">RANK(EI458,$EI$2:$EI$881,0)</f>
        <v>457</v>
      </c>
    </row>
    <row r="459" customFormat="false" ht="15" hidden="false" customHeight="false" outlineLevel="0" collapsed="false">
      <c r="A459" s="4" t="n">
        <v>8738</v>
      </c>
      <c r="B459" s="4" t="n">
        <v>466</v>
      </c>
      <c r="C459" s="27" t="s">
        <v>1427</v>
      </c>
      <c r="D459" s="31" t="n">
        <v>472</v>
      </c>
      <c r="E459" s="16" t="n">
        <v>230913329</v>
      </c>
      <c r="F459" s="56" t="s">
        <v>1428</v>
      </c>
      <c r="G459" s="22" t="s">
        <v>532</v>
      </c>
      <c r="H459" s="22" t="s">
        <v>326</v>
      </c>
      <c r="I459" s="57"/>
      <c r="J459" s="16" t="n">
        <v>75</v>
      </c>
      <c r="K459" s="16" t="n">
        <v>83</v>
      </c>
      <c r="L459" s="34" t="n">
        <f aca="false">(K459*70)/100</f>
        <v>58.1</v>
      </c>
      <c r="M459" s="34" t="n">
        <f aca="false">ROUNDUP(L459,0)</f>
        <v>59</v>
      </c>
      <c r="N459" s="16" t="n">
        <v>28</v>
      </c>
      <c r="O459" s="34" t="n">
        <f aca="false">N459+L459</f>
        <v>86.1</v>
      </c>
      <c r="P459" s="34" t="n">
        <f aca="false">N459+M459</f>
        <v>87</v>
      </c>
      <c r="Q459" s="16" t="n">
        <v>74</v>
      </c>
      <c r="R459" s="16" t="n">
        <v>75</v>
      </c>
      <c r="S459" s="34" t="n">
        <f aca="false">(R459*70)/100</f>
        <v>52.5</v>
      </c>
      <c r="T459" s="34" t="n">
        <f aca="false">ROUNDUP(S459,0)</f>
        <v>53</v>
      </c>
      <c r="U459" s="16" t="n">
        <v>25</v>
      </c>
      <c r="V459" s="34" t="n">
        <f aca="false">U459+S459</f>
        <v>77.5</v>
      </c>
      <c r="W459" s="34" t="n">
        <f aca="false">U459+T459</f>
        <v>78</v>
      </c>
      <c r="X459" s="16" t="n">
        <v>73</v>
      </c>
      <c r="Y459" s="34" t="n">
        <f aca="false">(X459*70)/100</f>
        <v>51.1</v>
      </c>
      <c r="Z459" s="34" t="n">
        <f aca="false">ROUNDUP(Y459,0)</f>
        <v>52</v>
      </c>
      <c r="AA459" s="16" t="n">
        <v>25</v>
      </c>
      <c r="AB459" s="34" t="n">
        <f aca="false">AA459+Y459</f>
        <v>76.1</v>
      </c>
      <c r="AC459" s="34" t="n">
        <f aca="false">AA459+Z459</f>
        <v>77</v>
      </c>
      <c r="AD459" s="32" t="n">
        <f aca="false">X459+R459+Q459+K459+J459</f>
        <v>380</v>
      </c>
      <c r="AE459" s="16" t="n">
        <f aca="false">AD459/5</f>
        <v>76</v>
      </c>
      <c r="AF459" s="16" t="n">
        <v>73</v>
      </c>
      <c r="AG459" s="16" t="n">
        <v>80</v>
      </c>
      <c r="AH459" s="16" t="n">
        <v>93</v>
      </c>
      <c r="AI459" s="16" t="n">
        <v>86</v>
      </c>
      <c r="AJ459" s="16" t="n">
        <f aca="false">(AI459*70)/100</f>
        <v>60.2</v>
      </c>
      <c r="AK459" s="35" t="n">
        <f aca="false">ROUNDUP(AJ459,0)</f>
        <v>61</v>
      </c>
      <c r="AL459" s="16" t="n">
        <v>16</v>
      </c>
      <c r="AM459" s="16" t="n">
        <f aca="false">AL459+AJ459</f>
        <v>76.2</v>
      </c>
      <c r="AN459" s="16" t="n">
        <f aca="false">AL459+AK459</f>
        <v>77</v>
      </c>
      <c r="AO459" s="16" t="n">
        <v>73</v>
      </c>
      <c r="AP459" s="36" t="n">
        <f aca="false">(AO459*70)/100</f>
        <v>51.1</v>
      </c>
      <c r="AQ459" s="37" t="n">
        <f aca="false">ROUNDUP(AP459,0)</f>
        <v>52</v>
      </c>
      <c r="AR459" s="16" t="n">
        <v>21</v>
      </c>
      <c r="AS459" s="16" t="n">
        <f aca="false">AR459+AP459</f>
        <v>72.1</v>
      </c>
      <c r="AT459" s="16" t="n">
        <f aca="false">AR459+AQ459</f>
        <v>73</v>
      </c>
      <c r="AU459" s="16" t="n">
        <f aca="false">AO459+AF459+AI459+AH459+AG459</f>
        <v>405</v>
      </c>
      <c r="AV459" s="16" t="n">
        <f aca="false">(AO459+AF459+AI459+AH459+AG459)/5</f>
        <v>81</v>
      </c>
      <c r="AW459" s="36" t="n">
        <f aca="false">(AO459+AF459+AI459+AH459+AG459+X459+R459+Q459+K459+J459)</f>
        <v>785</v>
      </c>
      <c r="AX459" s="16" t="n">
        <f aca="false">AW459/10</f>
        <v>78.5</v>
      </c>
      <c r="AY459" s="16" t="n">
        <f aca="false">AS459+AF459+AM459+AH459+AG459+AB459+V459+Q459+O459+J459</f>
        <v>783</v>
      </c>
      <c r="AZ459" s="16" t="n">
        <f aca="false">AT459+AF459+AN459+AH459+AG459+AC459+W459+Q459+P459+J459</f>
        <v>787</v>
      </c>
      <c r="BA459" s="16" t="n">
        <f aca="false">AY459/10</f>
        <v>78.3</v>
      </c>
      <c r="BB459" s="16" t="n">
        <f aca="false">AZ459/10</f>
        <v>78.7</v>
      </c>
      <c r="BC459" s="16" t="n">
        <v>2357</v>
      </c>
      <c r="BD459" s="16" t="n">
        <f aca="false">RANK(AX459,$AX$2:$AX$881,0)</f>
        <v>375</v>
      </c>
      <c r="BE459" s="54" t="n">
        <f aca="false">((BC459*100)/2400)*0.4+(AX459*0.6)</f>
        <v>86.3833333333333</v>
      </c>
      <c r="BF459" s="16" t="n">
        <f aca="false">RANK(BE459,$BE$2:$BE$881,0)</f>
        <v>366</v>
      </c>
      <c r="BG459" s="39" t="n">
        <f aca="false">RANK(BB459,$BB$2:$BB$881,0)</f>
        <v>482</v>
      </c>
      <c r="BH459" s="39" t="n">
        <f aca="false">RANK(BC459,$BC$2:$BC$881,0)</f>
        <v>444</v>
      </c>
      <c r="BI459" s="22" t="s">
        <v>130</v>
      </c>
      <c r="BJ459" s="22" t="s">
        <v>129</v>
      </c>
      <c r="BK459" s="40" t="s">
        <v>131</v>
      </c>
      <c r="BL459" s="41" t="n">
        <v>23</v>
      </c>
      <c r="BM459" s="41" t="n">
        <v>44</v>
      </c>
      <c r="BN459" s="41" t="n">
        <v>67</v>
      </c>
      <c r="BO459" s="42" t="n">
        <v>18</v>
      </c>
      <c r="BP459" s="43" t="n">
        <v>54</v>
      </c>
      <c r="BQ459" s="44" t="n">
        <v>72</v>
      </c>
      <c r="BR459" s="42" t="n">
        <v>18</v>
      </c>
      <c r="BS459" s="45" t="n">
        <v>49</v>
      </c>
      <c r="BT459" s="45" t="n">
        <v>67</v>
      </c>
      <c r="BU459" s="46" t="n">
        <v>98</v>
      </c>
      <c r="BV459" s="47" t="n">
        <v>94</v>
      </c>
      <c r="BW459" s="42" t="n">
        <v>98</v>
      </c>
      <c r="BX459" s="48" t="n">
        <v>88</v>
      </c>
      <c r="BY459" s="32" t="n">
        <v>22</v>
      </c>
      <c r="BZ459" s="32" t="n">
        <v>41</v>
      </c>
      <c r="CA459" s="32" t="n">
        <v>63</v>
      </c>
      <c r="CB459" s="32" t="n">
        <v>14</v>
      </c>
      <c r="CC459" s="32" t="n">
        <v>37</v>
      </c>
      <c r="CD459" s="69" t="n">
        <v>51</v>
      </c>
      <c r="CE459" s="32" t="n">
        <v>28</v>
      </c>
      <c r="CF459" s="32" t="n">
        <v>39</v>
      </c>
      <c r="CG459" s="32" t="n">
        <v>67</v>
      </c>
      <c r="CH459" s="32" t="n">
        <v>96</v>
      </c>
      <c r="CI459" s="32" t="n">
        <v>90</v>
      </c>
      <c r="CJ459" s="49" t="n">
        <v>18</v>
      </c>
      <c r="CK459" s="49" t="n">
        <v>35</v>
      </c>
      <c r="CL459" s="76" t="n">
        <v>53</v>
      </c>
      <c r="CM459" s="49" t="n">
        <v>18</v>
      </c>
      <c r="CN459" s="49" t="n">
        <v>44</v>
      </c>
      <c r="CO459" s="49" t="n">
        <v>62</v>
      </c>
      <c r="CP459" s="25" t="n">
        <f aca="false">BX459+BW459+BV459+BU459+BT459+BQ459+BN459</f>
        <v>584</v>
      </c>
      <c r="CQ459" s="25" t="n">
        <f aca="false">CO459+CL459+CI459+CH459+CG459+CD459+CA459</f>
        <v>482</v>
      </c>
      <c r="CR459" s="26" t="n">
        <f aca="false">CP459/7</f>
        <v>83.4285714285714</v>
      </c>
      <c r="CS459" s="26" t="n">
        <f aca="false">CQ459/7</f>
        <v>68.8571428571429</v>
      </c>
      <c r="CT459" s="24" t="n">
        <f aca="false">RANK(CR459,$CR$2:$CR$881,0)</f>
        <v>502</v>
      </c>
      <c r="CU459" s="25" t="n">
        <f aca="false">RANK(CS459,$CS$2:$CS$881,0)</f>
        <v>572</v>
      </c>
      <c r="CV459" s="26" t="n">
        <f aca="false">(CS459+CR459)/2</f>
        <v>76.1428571428571</v>
      </c>
      <c r="CW459" s="25" t="n">
        <f aca="false">RANK(CV459,$CV$2:$CV$881,0)</f>
        <v>536</v>
      </c>
      <c r="CX459" s="50" t="n">
        <f aca="false">(CV459+BB459)/2</f>
        <v>77.4214285714286</v>
      </c>
      <c r="CY459" s="50" t="n">
        <v>491</v>
      </c>
      <c r="CZ459" s="27" t="s">
        <v>132</v>
      </c>
      <c r="DA459" s="27" t="s">
        <v>219</v>
      </c>
      <c r="DB459" s="27" t="s">
        <v>219</v>
      </c>
      <c r="DC459" s="27" t="s">
        <v>134</v>
      </c>
      <c r="DD459" s="27" t="s">
        <v>154</v>
      </c>
      <c r="DE459" s="27" t="s">
        <v>447</v>
      </c>
      <c r="DF459" s="27" t="s">
        <v>443</v>
      </c>
      <c r="DG459" s="27" t="s">
        <v>134</v>
      </c>
      <c r="DH459" s="27" t="s">
        <v>182</v>
      </c>
      <c r="DI459" s="27" t="s">
        <v>415</v>
      </c>
      <c r="DJ459" s="27" t="s">
        <v>416</v>
      </c>
      <c r="DK459" s="27" t="s">
        <v>134</v>
      </c>
      <c r="DL459" s="27" t="s">
        <v>137</v>
      </c>
      <c r="DM459" s="27" t="s">
        <v>442</v>
      </c>
      <c r="DN459" s="27" t="s">
        <v>441</v>
      </c>
      <c r="DO459" s="27" t="s">
        <v>134</v>
      </c>
      <c r="DP459" s="27" t="s">
        <v>191</v>
      </c>
      <c r="DQ459" s="27" t="s">
        <v>412</v>
      </c>
      <c r="DR459" s="27" t="s">
        <v>416</v>
      </c>
      <c r="DS459" s="27" t="s">
        <v>134</v>
      </c>
      <c r="DT459" s="27" t="s">
        <v>137</v>
      </c>
      <c r="DU459" s="27" t="s">
        <v>681</v>
      </c>
      <c r="DV459" s="27" t="s">
        <v>398</v>
      </c>
      <c r="DW459" s="27" t="s">
        <v>164</v>
      </c>
      <c r="DX459" s="27" t="s">
        <v>138</v>
      </c>
      <c r="DY459" s="27" t="s">
        <v>142</v>
      </c>
      <c r="DZ459" s="27" t="n">
        <f aca="false">DY459+DV459+DR459+DN459+DJ459+DF459+DB459</f>
        <v>541</v>
      </c>
      <c r="EA459" s="28" t="n">
        <f aca="false">DZ459/7</f>
        <v>77.2857142857143</v>
      </c>
      <c r="EB459" s="27" t="n">
        <f aca="false">RANK(EA459,$EA$2:$EA$881,0)</f>
        <v>482</v>
      </c>
      <c r="EC459" s="29" t="n">
        <f aca="false">DZ459+CQ459+CP459+AZ459</f>
        <v>2394</v>
      </c>
      <c r="ED459" s="30" t="n">
        <f aca="false">(EA459+CV459+BB459)/3</f>
        <v>77.3761904761905</v>
      </c>
      <c r="EE459" s="51" t="n">
        <f aca="false">ROUND(BE459,3)</f>
        <v>86.383</v>
      </c>
      <c r="EF459" s="51" t="n">
        <f aca="false">ROUND(CR459,3)</f>
        <v>83.429</v>
      </c>
      <c r="EG459" s="51" t="n">
        <f aca="false">ROUND(CS459,3)</f>
        <v>68.857</v>
      </c>
      <c r="EH459" s="51" t="n">
        <f aca="false">ROUND(EA459,3)</f>
        <v>77.286</v>
      </c>
      <c r="EI459" s="51" t="n">
        <f aca="false">ROUND(ED459,3)</f>
        <v>77.376</v>
      </c>
      <c r="EJ459" s="51" t="n">
        <f aca="false">ROUND(CV459,3)</f>
        <v>76.143</v>
      </c>
      <c r="EK459" s="0" t="n">
        <f aca="false">RANK(EI459,$EI$2:$EI$881,0)</f>
        <v>458</v>
      </c>
    </row>
    <row r="460" customFormat="false" ht="15" hidden="false" customHeight="false" outlineLevel="0" collapsed="false">
      <c r="A460" s="4" t="n">
        <v>8954</v>
      </c>
      <c r="B460" s="4" t="n">
        <v>554</v>
      </c>
      <c r="C460" s="27" t="s">
        <v>1429</v>
      </c>
      <c r="D460" s="31" t="n">
        <v>559</v>
      </c>
      <c r="E460" s="62" t="n">
        <v>230319761</v>
      </c>
      <c r="F460" s="8" t="s">
        <v>1430</v>
      </c>
      <c r="G460" s="63" t="s">
        <v>535</v>
      </c>
      <c r="H460" s="22" t="s">
        <v>129</v>
      </c>
      <c r="I460" s="64" t="n">
        <v>2006</v>
      </c>
      <c r="J460" s="62" t="n">
        <v>83</v>
      </c>
      <c r="K460" s="62" t="n">
        <v>76</v>
      </c>
      <c r="L460" s="34" t="n">
        <f aca="false">(K460*70)/100</f>
        <v>53.2</v>
      </c>
      <c r="M460" s="34" t="n">
        <f aca="false">ROUNDUP(L460,0)</f>
        <v>54</v>
      </c>
      <c r="N460" s="62" t="n">
        <v>26</v>
      </c>
      <c r="O460" s="34" t="n">
        <f aca="false">N460+L460</f>
        <v>79.2</v>
      </c>
      <c r="P460" s="34" t="n">
        <f aca="false">N460+M460</f>
        <v>80</v>
      </c>
      <c r="Q460" s="62" t="n">
        <v>84</v>
      </c>
      <c r="R460" s="62" t="n">
        <v>78</v>
      </c>
      <c r="S460" s="34" t="n">
        <f aca="false">(R460*70)/100</f>
        <v>54.6</v>
      </c>
      <c r="T460" s="34" t="n">
        <f aca="false">ROUNDUP(S460,0)</f>
        <v>55</v>
      </c>
      <c r="U460" s="62" t="n">
        <v>24</v>
      </c>
      <c r="V460" s="34" t="n">
        <f aca="false">U460+S460</f>
        <v>78.6</v>
      </c>
      <c r="W460" s="34" t="n">
        <f aca="false">U460+T460</f>
        <v>79</v>
      </c>
      <c r="X460" s="62" t="n">
        <v>70</v>
      </c>
      <c r="Y460" s="34" t="n">
        <f aca="false">(X460*70)/100</f>
        <v>49</v>
      </c>
      <c r="Z460" s="34" t="n">
        <f aca="false">ROUNDUP(Y460,0)</f>
        <v>49</v>
      </c>
      <c r="AA460" s="62" t="n">
        <v>26</v>
      </c>
      <c r="AB460" s="34" t="n">
        <f aca="false">AA460+Y460</f>
        <v>75</v>
      </c>
      <c r="AC460" s="34" t="n">
        <f aca="false">AA460+Z460</f>
        <v>75</v>
      </c>
      <c r="AD460" s="32" t="n">
        <f aca="false">X460+R460+Q460+K460+J460</f>
        <v>391</v>
      </c>
      <c r="AE460" s="16" t="n">
        <f aca="false">AD460/5</f>
        <v>78.2</v>
      </c>
      <c r="AF460" s="65" t="n">
        <v>75</v>
      </c>
      <c r="AG460" s="65" t="n">
        <v>89</v>
      </c>
      <c r="AH460" s="65" t="n">
        <v>87</v>
      </c>
      <c r="AI460" s="65" t="n">
        <v>79</v>
      </c>
      <c r="AJ460" s="16" t="n">
        <f aca="false">(AI460*70)/100</f>
        <v>55.3</v>
      </c>
      <c r="AK460" s="35" t="n">
        <f aca="false">ROUNDUP(AJ460,0)</f>
        <v>56</v>
      </c>
      <c r="AL460" s="65" t="n">
        <v>25</v>
      </c>
      <c r="AM460" s="16" t="n">
        <f aca="false">AL460+AJ460</f>
        <v>80.3</v>
      </c>
      <c r="AN460" s="16" t="n">
        <f aca="false">AL460+AK460</f>
        <v>81</v>
      </c>
      <c r="AO460" s="65" t="n">
        <v>70</v>
      </c>
      <c r="AP460" s="36" t="n">
        <f aca="false">(AO460*70)/100</f>
        <v>49</v>
      </c>
      <c r="AQ460" s="37" t="n">
        <f aca="false">ROUNDUP(AP460,0)</f>
        <v>49</v>
      </c>
      <c r="AR460" s="65" t="n">
        <v>27</v>
      </c>
      <c r="AS460" s="16" t="n">
        <f aca="false">AR460+AP460</f>
        <v>76</v>
      </c>
      <c r="AT460" s="16" t="n">
        <f aca="false">AR460+AQ460</f>
        <v>76</v>
      </c>
      <c r="AU460" s="16" t="n">
        <f aca="false">AO460+AF460+AI460+AH460+AG460</f>
        <v>400</v>
      </c>
      <c r="AV460" s="16" t="n">
        <f aca="false">(AO460+AF460+AI460+AH460+AG460)/5</f>
        <v>80</v>
      </c>
      <c r="AW460" s="36" t="n">
        <f aca="false">(AO460+AF460+AI460+AH460+AG460+X460+R460+Q460+K460+J460)</f>
        <v>791</v>
      </c>
      <c r="AX460" s="16" t="n">
        <f aca="false">AW460/10</f>
        <v>79.1</v>
      </c>
      <c r="AY460" s="16" t="n">
        <f aca="false">AS460+AF460+AM460+AH460+AG460+AB460+V460+Q460+O460+J460</f>
        <v>807.1</v>
      </c>
      <c r="AZ460" s="16" t="n">
        <f aca="false">AT460+AF460+AN460+AH460+AG460+AC460+W460+Q460+P460+J460</f>
        <v>809</v>
      </c>
      <c r="BA460" s="16" t="n">
        <f aca="false">AY460/10</f>
        <v>80.71</v>
      </c>
      <c r="BB460" s="16" t="n">
        <f aca="false">AZ460/10</f>
        <v>80.9</v>
      </c>
      <c r="BC460" s="65" t="n">
        <v>2343</v>
      </c>
      <c r="BD460" s="16" t="n">
        <f aca="false">RANK(AX460,$AX$2:$AX$881,0)</f>
        <v>324</v>
      </c>
      <c r="BE460" s="54" t="n">
        <f aca="false">((BC460*100)/2400)*0.4+(AX460*0.6)</f>
        <v>86.51</v>
      </c>
      <c r="BF460" s="16" t="n">
        <f aca="false">RANK(BE460,$BE$2:$BE$881,0)</f>
        <v>350</v>
      </c>
      <c r="BG460" s="39" t="n">
        <f aca="false">RANK(BB460,$BB$2:$BB$881,0)</f>
        <v>282</v>
      </c>
      <c r="BH460" s="39" t="n">
        <f aca="false">RANK(BC460,$BC$2:$BC$881,0)</f>
        <v>613</v>
      </c>
      <c r="BI460" s="22" t="s">
        <v>130</v>
      </c>
      <c r="BJ460" s="22" t="s">
        <v>129</v>
      </c>
      <c r="BK460" s="40" t="s">
        <v>131</v>
      </c>
      <c r="BL460" s="41" t="n">
        <v>20</v>
      </c>
      <c r="BM460" s="41" t="n">
        <v>52</v>
      </c>
      <c r="BN460" s="41" t="n">
        <v>72</v>
      </c>
      <c r="BO460" s="42" t="n">
        <v>24</v>
      </c>
      <c r="BP460" s="43" t="n">
        <v>52</v>
      </c>
      <c r="BQ460" s="44" t="n">
        <v>76</v>
      </c>
      <c r="BR460" s="42" t="n">
        <v>22</v>
      </c>
      <c r="BS460" s="45" t="n">
        <v>50</v>
      </c>
      <c r="BT460" s="45" t="n">
        <v>72</v>
      </c>
      <c r="BU460" s="46" t="n">
        <v>99</v>
      </c>
      <c r="BV460" s="47" t="n">
        <v>84</v>
      </c>
      <c r="BW460" s="42" t="n">
        <v>96</v>
      </c>
      <c r="BX460" s="48" t="n">
        <v>90</v>
      </c>
      <c r="BY460" s="32" t="n">
        <v>24</v>
      </c>
      <c r="BZ460" s="32" t="n">
        <v>34</v>
      </c>
      <c r="CA460" s="69" t="n">
        <v>58</v>
      </c>
      <c r="CB460" s="32" t="n">
        <v>19</v>
      </c>
      <c r="CC460" s="32" t="n">
        <v>36</v>
      </c>
      <c r="CD460" s="69" t="n">
        <v>55</v>
      </c>
      <c r="CE460" s="32" t="n">
        <v>22</v>
      </c>
      <c r="CF460" s="32" t="n">
        <v>40</v>
      </c>
      <c r="CG460" s="32" t="n">
        <v>62</v>
      </c>
      <c r="CH460" s="32" t="n">
        <v>98</v>
      </c>
      <c r="CI460" s="32" t="n">
        <v>96</v>
      </c>
      <c r="CJ460" s="49" t="n">
        <v>24</v>
      </c>
      <c r="CK460" s="49" t="n">
        <v>41</v>
      </c>
      <c r="CL460" s="49" t="n">
        <v>65</v>
      </c>
      <c r="CM460" s="49" t="n">
        <v>22</v>
      </c>
      <c r="CN460" s="49" t="n">
        <v>48</v>
      </c>
      <c r="CO460" s="49" t="n">
        <v>70</v>
      </c>
      <c r="CP460" s="25" t="n">
        <f aca="false">BX460+BW460+BV460+BU460+BT460+BQ460+BN460</f>
        <v>589</v>
      </c>
      <c r="CQ460" s="25" t="n">
        <f aca="false">CO460+CL460+CI460+CH460+CG460+CD460+CA460</f>
        <v>504</v>
      </c>
      <c r="CR460" s="26" t="n">
        <f aca="false">CP460/7</f>
        <v>84.1428571428571</v>
      </c>
      <c r="CS460" s="26" t="n">
        <f aca="false">CQ460/7</f>
        <v>72</v>
      </c>
      <c r="CT460" s="24" t="n">
        <f aca="false">RANK(CR460,$CR$2:$CR$881,0)</f>
        <v>474</v>
      </c>
      <c r="CU460" s="25" t="n">
        <f aca="false">RANK(CS460,$CS$2:$CS$881,0)</f>
        <v>509</v>
      </c>
      <c r="CV460" s="26" t="n">
        <f aca="false">(CS460+CR460)/2</f>
        <v>78.0714285714286</v>
      </c>
      <c r="CW460" s="25" t="n">
        <f aca="false">RANK(CV460,$CV$2:$CV$881,0)</f>
        <v>494</v>
      </c>
      <c r="CX460" s="50" t="n">
        <f aca="false">(CV460+BB460)/2</f>
        <v>79.4857142857143</v>
      </c>
      <c r="CY460" s="50" t="n">
        <v>397</v>
      </c>
      <c r="CZ460" s="27" t="s">
        <v>132</v>
      </c>
      <c r="DA460" s="27" t="s">
        <v>175</v>
      </c>
      <c r="DB460" s="27" t="s">
        <v>175</v>
      </c>
      <c r="DC460" s="27" t="s">
        <v>134</v>
      </c>
      <c r="DD460" s="27" t="s">
        <v>154</v>
      </c>
      <c r="DE460" s="27" t="s">
        <v>218</v>
      </c>
      <c r="DF460" s="27" t="s">
        <v>219</v>
      </c>
      <c r="DG460" s="27" t="s">
        <v>134</v>
      </c>
      <c r="DH460" s="27" t="s">
        <v>154</v>
      </c>
      <c r="DI460" s="27" t="s">
        <v>1388</v>
      </c>
      <c r="DJ460" s="27" t="s">
        <v>220</v>
      </c>
      <c r="DK460" s="27" t="s">
        <v>480</v>
      </c>
      <c r="DL460" s="27" t="s">
        <v>174</v>
      </c>
      <c r="DM460" s="27" t="s">
        <v>645</v>
      </c>
      <c r="DN460" s="27" t="s">
        <v>187</v>
      </c>
      <c r="DO460" s="27" t="s">
        <v>134</v>
      </c>
      <c r="DP460" s="27" t="s">
        <v>191</v>
      </c>
      <c r="DQ460" s="27" t="s">
        <v>415</v>
      </c>
      <c r="DR460" s="27" t="s">
        <v>141</v>
      </c>
      <c r="DS460" s="27" t="s">
        <v>134</v>
      </c>
      <c r="DT460" s="27" t="s">
        <v>135</v>
      </c>
      <c r="DU460" s="27" t="s">
        <v>989</v>
      </c>
      <c r="DV460" s="27" t="s">
        <v>141</v>
      </c>
      <c r="DW460" s="27" t="s">
        <v>182</v>
      </c>
      <c r="DX460" s="27" t="s">
        <v>141</v>
      </c>
      <c r="DY460" s="27" t="s">
        <v>170</v>
      </c>
      <c r="DZ460" s="27" t="n">
        <f aca="false">DY460+DV460+DR460+DN460+DJ460+DF460+DB460</f>
        <v>512</v>
      </c>
      <c r="EA460" s="28" t="n">
        <f aca="false">DZ460/7</f>
        <v>73.1428571428571</v>
      </c>
      <c r="EB460" s="27" t="n">
        <f aca="false">RANK(EA460,$EA$2:$EA$881,0)</f>
        <v>592</v>
      </c>
      <c r="EC460" s="29" t="n">
        <f aca="false">DZ460+CQ460+CP460+AZ460</f>
        <v>2414</v>
      </c>
      <c r="ED460" s="30" t="n">
        <f aca="false">(EA460+CV460+BB460)/3</f>
        <v>77.3714285714286</v>
      </c>
      <c r="EE460" s="51" t="n">
        <f aca="false">ROUND(BE460,3)</f>
        <v>86.51</v>
      </c>
      <c r="EF460" s="51" t="n">
        <f aca="false">ROUND(CR460,3)</f>
        <v>84.143</v>
      </c>
      <c r="EG460" s="51" t="n">
        <f aca="false">ROUND(CS460,3)</f>
        <v>72</v>
      </c>
      <c r="EH460" s="51" t="n">
        <f aca="false">ROUND(EA460,3)</f>
        <v>73.143</v>
      </c>
      <c r="EI460" s="51" t="n">
        <f aca="false">ROUND(ED460,3)</f>
        <v>77.371</v>
      </c>
      <c r="EJ460" s="51" t="n">
        <f aca="false">ROUND(CV460,3)</f>
        <v>78.071</v>
      </c>
      <c r="EK460" s="0" t="n">
        <f aca="false">RANK(EI460,$EI$2:$EI$881,0)</f>
        <v>459</v>
      </c>
    </row>
    <row r="461" customFormat="false" ht="15" hidden="false" customHeight="false" outlineLevel="0" collapsed="false">
      <c r="A461" s="4" t="n">
        <v>1931</v>
      </c>
      <c r="B461" s="4" t="n">
        <v>593</v>
      </c>
      <c r="C461" s="27" t="s">
        <v>1431</v>
      </c>
      <c r="D461" s="31" t="n">
        <v>601</v>
      </c>
      <c r="E461" s="16" t="n">
        <v>230415079</v>
      </c>
      <c r="F461" s="56" t="s">
        <v>1432</v>
      </c>
      <c r="G461" s="22" t="s">
        <v>866</v>
      </c>
      <c r="H461" s="22" t="s">
        <v>271</v>
      </c>
      <c r="I461" s="57"/>
      <c r="J461" s="16" t="n">
        <v>85</v>
      </c>
      <c r="K461" s="16" t="n">
        <v>71</v>
      </c>
      <c r="L461" s="34" t="n">
        <f aca="false">(K461*70)/100</f>
        <v>49.7</v>
      </c>
      <c r="M461" s="34" t="n">
        <f aca="false">ROUNDUP(L461,0)</f>
        <v>50</v>
      </c>
      <c r="N461" s="16" t="n">
        <v>21</v>
      </c>
      <c r="O461" s="34" t="n">
        <f aca="false">N461+L461</f>
        <v>70.7</v>
      </c>
      <c r="P461" s="34" t="n">
        <f aca="false">N461+M461</f>
        <v>71</v>
      </c>
      <c r="Q461" s="16" t="n">
        <v>69</v>
      </c>
      <c r="R461" s="16" t="n">
        <v>71</v>
      </c>
      <c r="S461" s="34" t="n">
        <f aca="false">(R461*70)/100</f>
        <v>49.7</v>
      </c>
      <c r="T461" s="34" t="n">
        <f aca="false">ROUNDUP(S461,0)</f>
        <v>50</v>
      </c>
      <c r="U461" s="16" t="n">
        <v>19</v>
      </c>
      <c r="V461" s="34" t="n">
        <f aca="false">U461+S461</f>
        <v>68.7</v>
      </c>
      <c r="W461" s="34" t="n">
        <f aca="false">U461+T461</f>
        <v>69</v>
      </c>
      <c r="X461" s="16" t="n">
        <v>66</v>
      </c>
      <c r="Y461" s="34" t="n">
        <f aca="false">(X461*70)/100</f>
        <v>46.2</v>
      </c>
      <c r="Z461" s="34" t="n">
        <f aca="false">ROUNDUP(Y461,0)</f>
        <v>47</v>
      </c>
      <c r="AA461" s="16" t="n">
        <v>22</v>
      </c>
      <c r="AB461" s="34" t="n">
        <f aca="false">AA461+Y461</f>
        <v>68.2</v>
      </c>
      <c r="AC461" s="34" t="n">
        <f aca="false">AA461+Z461</f>
        <v>69</v>
      </c>
      <c r="AD461" s="32" t="n">
        <f aca="false">X461+R461+Q461+K461+J461</f>
        <v>362</v>
      </c>
      <c r="AE461" s="16" t="n">
        <f aca="false">AD461/5</f>
        <v>72.4</v>
      </c>
      <c r="AF461" s="16" t="n">
        <v>73</v>
      </c>
      <c r="AG461" s="16" t="n">
        <v>90</v>
      </c>
      <c r="AH461" s="16" t="n">
        <v>84</v>
      </c>
      <c r="AI461" s="16" t="n">
        <v>87</v>
      </c>
      <c r="AJ461" s="16" t="n">
        <f aca="false">(AI461*70)/100</f>
        <v>60.9</v>
      </c>
      <c r="AK461" s="35" t="n">
        <f aca="false">ROUNDUP(AJ461,0)</f>
        <v>61</v>
      </c>
      <c r="AL461" s="16" t="n">
        <v>21</v>
      </c>
      <c r="AM461" s="16" t="n">
        <f aca="false">AL461+AJ461</f>
        <v>81.9</v>
      </c>
      <c r="AN461" s="16" t="n">
        <f aca="false">AL461+AK461</f>
        <v>82</v>
      </c>
      <c r="AO461" s="16" t="n">
        <v>71</v>
      </c>
      <c r="AP461" s="36" t="n">
        <f aca="false">(AO461*70)/100</f>
        <v>49.7</v>
      </c>
      <c r="AQ461" s="37" t="n">
        <f aca="false">ROUNDUP(AP461,0)</f>
        <v>50</v>
      </c>
      <c r="AR461" s="16" t="n">
        <v>20</v>
      </c>
      <c r="AS461" s="16" t="n">
        <f aca="false">AR461+AP461</f>
        <v>69.7</v>
      </c>
      <c r="AT461" s="16" t="n">
        <f aca="false">AR461+AQ461</f>
        <v>70</v>
      </c>
      <c r="AU461" s="16" t="n">
        <f aca="false">AO461+AF461+AI461+AH461+AG461</f>
        <v>405</v>
      </c>
      <c r="AV461" s="16" t="n">
        <f aca="false">(AO461+AF461+AI461+AH461+AG461)/5</f>
        <v>81</v>
      </c>
      <c r="AW461" s="36" t="n">
        <f aca="false">(AO461+AF461+AI461+AH461+AG461+X461+R461+Q461+K461+J461)</f>
        <v>767</v>
      </c>
      <c r="AX461" s="16" t="n">
        <f aca="false">AW461/10</f>
        <v>76.7</v>
      </c>
      <c r="AY461" s="16" t="n">
        <f aca="false">AS461+AF461+AM461+AH461+AG461+AB461+V461+Q461+O461+J461</f>
        <v>760.2</v>
      </c>
      <c r="AZ461" s="16" t="n">
        <f aca="false">AT461+AF461+AN461+AH461+AG461+AC461+W461+Q461+P461+J461</f>
        <v>762</v>
      </c>
      <c r="BA461" s="16" t="n">
        <f aca="false">AY461/10</f>
        <v>76.02</v>
      </c>
      <c r="BB461" s="16" t="n">
        <f aca="false">AZ461/10</f>
        <v>76.2</v>
      </c>
      <c r="BC461" s="16" t="n">
        <v>2342</v>
      </c>
      <c r="BD461" s="16" t="n">
        <f aca="false">RANK(AX461,$AX$2:$AX$881,0)</f>
        <v>536</v>
      </c>
      <c r="BE461" s="54" t="n">
        <f aca="false">((BC461*100)/2400)*0.4+(AX461*0.6)</f>
        <v>85.0533333333333</v>
      </c>
      <c r="BF461" s="16" t="n">
        <f aca="false">RANK(BE461,$BE$2:$BE$881,0)</f>
        <v>604</v>
      </c>
      <c r="BG461" s="39" t="n">
        <f aca="false">RANK(BB461,$BB$2:$BB$881,0)</f>
        <v>672</v>
      </c>
      <c r="BH461" s="39" t="n">
        <f aca="false">RANK(BC461,$BC$2:$BC$881,0)</f>
        <v>621</v>
      </c>
      <c r="BI461" s="22" t="s">
        <v>130</v>
      </c>
      <c r="BJ461" s="22" t="s">
        <v>129</v>
      </c>
      <c r="BK461" s="22" t="s">
        <v>509</v>
      </c>
      <c r="BL461" s="41" t="n">
        <v>23</v>
      </c>
      <c r="BM461" s="41" t="n">
        <v>42</v>
      </c>
      <c r="BN461" s="41" t="n">
        <v>65</v>
      </c>
      <c r="BO461" s="42" t="n">
        <v>17</v>
      </c>
      <c r="BP461" s="43" t="n">
        <v>49</v>
      </c>
      <c r="BQ461" s="44" t="n">
        <v>66</v>
      </c>
      <c r="BR461" s="42" t="n">
        <v>22</v>
      </c>
      <c r="BS461" s="45" t="n">
        <v>52</v>
      </c>
      <c r="BT461" s="45" t="n">
        <v>74</v>
      </c>
      <c r="BU461" s="46" t="n">
        <v>100</v>
      </c>
      <c r="BV461" s="47" t="n">
        <v>84</v>
      </c>
      <c r="BW461" s="42" t="n">
        <v>90</v>
      </c>
      <c r="BX461" s="48" t="n">
        <v>88</v>
      </c>
      <c r="BY461" s="32" t="n">
        <v>22</v>
      </c>
      <c r="BZ461" s="32" t="n">
        <v>45</v>
      </c>
      <c r="CA461" s="32" t="n">
        <v>67</v>
      </c>
      <c r="CB461" s="32" t="n">
        <v>19</v>
      </c>
      <c r="CC461" s="32" t="n">
        <v>34</v>
      </c>
      <c r="CD461" s="69" t="n">
        <v>53</v>
      </c>
      <c r="CE461" s="32" t="n">
        <v>20</v>
      </c>
      <c r="CF461" s="32" t="n">
        <v>51</v>
      </c>
      <c r="CG461" s="32" t="n">
        <v>71</v>
      </c>
      <c r="CH461" s="32" t="n">
        <v>100</v>
      </c>
      <c r="CI461" s="32" t="n">
        <v>96</v>
      </c>
      <c r="CJ461" s="49" t="n">
        <v>23</v>
      </c>
      <c r="CK461" s="49" t="n">
        <v>45</v>
      </c>
      <c r="CL461" s="49" t="n">
        <v>68</v>
      </c>
      <c r="CM461" s="49" t="n">
        <v>23</v>
      </c>
      <c r="CN461" s="49" t="n">
        <v>49</v>
      </c>
      <c r="CO461" s="49" t="n">
        <v>72</v>
      </c>
      <c r="CP461" s="25" t="n">
        <f aca="false">BX461+BW461+BV461+BU461+BT461+BQ461+BN461</f>
        <v>567</v>
      </c>
      <c r="CQ461" s="25" t="n">
        <f aca="false">CO461+CL461+CI461+CH461+CG461+CD461+CA461</f>
        <v>527</v>
      </c>
      <c r="CR461" s="26" t="n">
        <f aca="false">CP461/7</f>
        <v>81</v>
      </c>
      <c r="CS461" s="26" t="n">
        <f aca="false">CQ461/7</f>
        <v>75.2857142857143</v>
      </c>
      <c r="CT461" s="24" t="n">
        <f aca="false">RANK(CR461,$CR$2:$CR$881,0)</f>
        <v>565</v>
      </c>
      <c r="CU461" s="25" t="n">
        <f aca="false">RANK(CS461,$CS$2:$CS$881,0)</f>
        <v>423</v>
      </c>
      <c r="CV461" s="26" t="n">
        <f aca="false">(CS461+CR461)/2</f>
        <v>78.1428571428571</v>
      </c>
      <c r="CW461" s="25" t="n">
        <f aca="false">RANK(CV461,$CV$2:$CV$881,0)</f>
        <v>491</v>
      </c>
      <c r="CX461" s="50" t="n">
        <f aca="false">(CV461+BB461)/2</f>
        <v>77.1714285714286</v>
      </c>
      <c r="CY461" s="50" t="n">
        <v>499</v>
      </c>
      <c r="CZ461" s="27" t="s">
        <v>132</v>
      </c>
      <c r="DA461" s="27" t="s">
        <v>175</v>
      </c>
      <c r="DB461" s="27" t="s">
        <v>175</v>
      </c>
      <c r="DC461" s="27" t="s">
        <v>134</v>
      </c>
      <c r="DD461" s="27" t="s">
        <v>137</v>
      </c>
      <c r="DE461" s="27" t="s">
        <v>304</v>
      </c>
      <c r="DF461" s="27" t="s">
        <v>219</v>
      </c>
      <c r="DG461" s="27" t="s">
        <v>134</v>
      </c>
      <c r="DH461" s="27" t="s">
        <v>182</v>
      </c>
      <c r="DI461" s="27" t="s">
        <v>412</v>
      </c>
      <c r="DJ461" s="27" t="s">
        <v>441</v>
      </c>
      <c r="DK461" s="27" t="s">
        <v>134</v>
      </c>
      <c r="DL461" s="27" t="s">
        <v>174</v>
      </c>
      <c r="DM461" s="27" t="s">
        <v>447</v>
      </c>
      <c r="DN461" s="27" t="s">
        <v>441</v>
      </c>
      <c r="DO461" s="27" t="s">
        <v>134</v>
      </c>
      <c r="DP461" s="27" t="s">
        <v>604</v>
      </c>
      <c r="DQ461" s="27" t="s">
        <v>412</v>
      </c>
      <c r="DR461" s="27" t="s">
        <v>141</v>
      </c>
      <c r="DS461" s="27" t="s">
        <v>134</v>
      </c>
      <c r="DT461" s="27" t="s">
        <v>137</v>
      </c>
      <c r="DU461" s="27" t="s">
        <v>313</v>
      </c>
      <c r="DV461" s="27" t="s">
        <v>305</v>
      </c>
      <c r="DW461" s="27" t="s">
        <v>1000</v>
      </c>
      <c r="DX461" s="27" t="s">
        <v>155</v>
      </c>
      <c r="DY461" s="27" t="s">
        <v>209</v>
      </c>
      <c r="DZ461" s="27" t="n">
        <f aca="false">DY461+DV461+DR461+DN461+DJ461+DF461+DB461</f>
        <v>544</v>
      </c>
      <c r="EA461" s="28" t="n">
        <f aca="false">DZ461/7</f>
        <v>77.7142857142857</v>
      </c>
      <c r="EB461" s="27" t="n">
        <f aca="false">RANK(EA461,$EA$2:$EA$881,0)</f>
        <v>467</v>
      </c>
      <c r="EC461" s="29" t="n">
        <f aca="false">DZ461+CQ461+CP461+AZ461</f>
        <v>2400</v>
      </c>
      <c r="ED461" s="30" t="n">
        <f aca="false">(EA461+CV461+BB461)/3</f>
        <v>77.3523809523809</v>
      </c>
      <c r="EE461" s="51" t="n">
        <f aca="false">ROUND(BE461,3)</f>
        <v>85.053</v>
      </c>
      <c r="EF461" s="51" t="n">
        <f aca="false">ROUND(CR461,3)</f>
        <v>81</v>
      </c>
      <c r="EG461" s="51" t="n">
        <f aca="false">ROUND(CS461,3)</f>
        <v>75.286</v>
      </c>
      <c r="EH461" s="51" t="n">
        <f aca="false">ROUND(EA461,3)</f>
        <v>77.714</v>
      </c>
      <c r="EI461" s="51" t="n">
        <f aca="false">ROUND(ED461,3)</f>
        <v>77.352</v>
      </c>
      <c r="EJ461" s="51" t="n">
        <f aca="false">ROUND(CV461,3)</f>
        <v>78.143</v>
      </c>
      <c r="EK461" s="0" t="n">
        <f aca="false">RANK(EI461,$EI$2:$EI$881,0)</f>
        <v>460</v>
      </c>
    </row>
    <row r="462" customFormat="false" ht="15" hidden="false" customHeight="false" outlineLevel="0" collapsed="false">
      <c r="A462" s="4" t="n">
        <v>1959</v>
      </c>
      <c r="B462" s="4" t="n">
        <v>821</v>
      </c>
      <c r="C462" s="27" t="s">
        <v>1433</v>
      </c>
      <c r="D462" s="31" t="n">
        <v>843</v>
      </c>
      <c r="E462" s="16" t="n">
        <v>230419492</v>
      </c>
      <c r="F462" s="56" t="s">
        <v>1434</v>
      </c>
      <c r="G462" s="22" t="s">
        <v>342</v>
      </c>
      <c r="H462" s="22" t="s">
        <v>271</v>
      </c>
      <c r="I462" s="57"/>
      <c r="J462" s="16" t="n">
        <v>69</v>
      </c>
      <c r="K462" s="16" t="n">
        <v>59</v>
      </c>
      <c r="L462" s="34" t="n">
        <f aca="false">(K462*70)/100</f>
        <v>41.3</v>
      </c>
      <c r="M462" s="34" t="n">
        <f aca="false">ROUNDUP(L462,0)</f>
        <v>42</v>
      </c>
      <c r="N462" s="16" t="n">
        <v>27</v>
      </c>
      <c r="O462" s="34" t="n">
        <f aca="false">N462+L462</f>
        <v>68.3</v>
      </c>
      <c r="P462" s="34" t="n">
        <f aca="false">N462+M462</f>
        <v>69</v>
      </c>
      <c r="Q462" s="16" t="n">
        <v>80</v>
      </c>
      <c r="R462" s="16" t="n">
        <v>71</v>
      </c>
      <c r="S462" s="34" t="n">
        <f aca="false">(R462*70)/100</f>
        <v>49.7</v>
      </c>
      <c r="T462" s="34" t="n">
        <f aca="false">ROUNDUP(S462,0)</f>
        <v>50</v>
      </c>
      <c r="U462" s="16" t="n">
        <v>26</v>
      </c>
      <c r="V462" s="34" t="n">
        <f aca="false">U462+S462</f>
        <v>75.7</v>
      </c>
      <c r="W462" s="34" t="n">
        <f aca="false">U462+T462</f>
        <v>76</v>
      </c>
      <c r="X462" s="16" t="n">
        <v>75</v>
      </c>
      <c r="Y462" s="34" t="n">
        <f aca="false">(X462*70)/100</f>
        <v>52.5</v>
      </c>
      <c r="Z462" s="34" t="n">
        <f aca="false">ROUNDUP(Y462,0)</f>
        <v>53</v>
      </c>
      <c r="AA462" s="16" t="n">
        <v>29</v>
      </c>
      <c r="AB462" s="34" t="n">
        <f aca="false">AA462+Y462</f>
        <v>81.5</v>
      </c>
      <c r="AC462" s="34" t="n">
        <f aca="false">AA462+Z462</f>
        <v>82</v>
      </c>
      <c r="AD462" s="32" t="n">
        <f aca="false">X462+R462+Q462+K462+J462</f>
        <v>354</v>
      </c>
      <c r="AE462" s="16" t="n">
        <f aca="false">AD462/5</f>
        <v>70.8</v>
      </c>
      <c r="AF462" s="16" t="n">
        <v>77</v>
      </c>
      <c r="AG462" s="16" t="n">
        <v>75</v>
      </c>
      <c r="AH462" s="16" t="n">
        <v>88</v>
      </c>
      <c r="AI462" s="16" t="n">
        <v>94</v>
      </c>
      <c r="AJ462" s="16" t="n">
        <f aca="false">(AI462*70)/100</f>
        <v>65.8</v>
      </c>
      <c r="AK462" s="35" t="n">
        <f aca="false">ROUNDUP(AJ462,0)</f>
        <v>66</v>
      </c>
      <c r="AL462" s="16" t="n">
        <v>27</v>
      </c>
      <c r="AM462" s="16" t="n">
        <f aca="false">AL462+AJ462</f>
        <v>92.8</v>
      </c>
      <c r="AN462" s="16" t="n">
        <f aca="false">AL462+AK462</f>
        <v>93</v>
      </c>
      <c r="AO462" s="16" t="n">
        <v>78</v>
      </c>
      <c r="AP462" s="36" t="n">
        <f aca="false">(AO462*70)/100</f>
        <v>54.6</v>
      </c>
      <c r="AQ462" s="37" t="n">
        <f aca="false">ROUNDUP(AP462,0)</f>
        <v>55</v>
      </c>
      <c r="AR462" s="16" t="n">
        <v>23</v>
      </c>
      <c r="AS462" s="16" t="n">
        <f aca="false">AR462+AP462</f>
        <v>77.6</v>
      </c>
      <c r="AT462" s="16" t="n">
        <f aca="false">AR462+AQ462</f>
        <v>78</v>
      </c>
      <c r="AU462" s="16" t="n">
        <f aca="false">AO462+AF462+AI462+AH462+AG462</f>
        <v>412</v>
      </c>
      <c r="AV462" s="16" t="n">
        <f aca="false">(AO462+AF462+AI462+AH462+AG462)/5</f>
        <v>82.4</v>
      </c>
      <c r="AW462" s="36" t="n">
        <f aca="false">(AO462+AF462+AI462+AH462+AG462+X462+R462+Q462+K462+J462)</f>
        <v>766</v>
      </c>
      <c r="AX462" s="16" t="n">
        <f aca="false">AW462/10</f>
        <v>76.6</v>
      </c>
      <c r="AY462" s="16" t="n">
        <f aca="false">AS462+AF462+AM462+AH462+AG462+AB462+V462+Q462+O462+J462</f>
        <v>784.9</v>
      </c>
      <c r="AZ462" s="16" t="n">
        <f aca="false">AT462+AF462+AN462+AH462+AG462+AC462+W462+Q462+P462+J462</f>
        <v>787</v>
      </c>
      <c r="BA462" s="16" t="n">
        <f aca="false">AY462/10</f>
        <v>78.49</v>
      </c>
      <c r="BB462" s="16" t="n">
        <f aca="false">AZ462/10</f>
        <v>78.7</v>
      </c>
      <c r="BC462" s="16" t="n">
        <v>2358</v>
      </c>
      <c r="BD462" s="16" t="n">
        <f aca="false">RANK(AX462,$AX$2:$AX$881,0)</f>
        <v>547</v>
      </c>
      <c r="BE462" s="54" t="n">
        <f aca="false">((BC462*100)/2400)*0.4+(AX462*0.6)</f>
        <v>85.26</v>
      </c>
      <c r="BF462" s="16" t="n">
        <f aca="false">RANK(BE462,$BE$2:$BE$881,0)</f>
        <v>550</v>
      </c>
      <c r="BG462" s="39" t="n">
        <f aca="false">RANK(BB462,$BB$2:$BB$881,0)</f>
        <v>482</v>
      </c>
      <c r="BH462" s="39" t="n">
        <f aca="false">RANK(BC462,$BC$2:$BC$881,0)</f>
        <v>429</v>
      </c>
      <c r="BI462" s="22" t="s">
        <v>130</v>
      </c>
      <c r="BJ462" s="22" t="s">
        <v>129</v>
      </c>
      <c r="BK462" s="40" t="s">
        <v>509</v>
      </c>
      <c r="BL462" s="41" t="n">
        <v>16</v>
      </c>
      <c r="BM462" s="41" t="n">
        <v>45</v>
      </c>
      <c r="BN462" s="41" t="n">
        <v>61</v>
      </c>
      <c r="BO462" s="42" t="n">
        <v>22</v>
      </c>
      <c r="BP462" s="43" t="n">
        <v>53</v>
      </c>
      <c r="BQ462" s="44" t="n">
        <v>75</v>
      </c>
      <c r="BR462" s="42" t="n">
        <v>21</v>
      </c>
      <c r="BS462" s="45" t="n">
        <v>51</v>
      </c>
      <c r="BT462" s="45" t="n">
        <v>72</v>
      </c>
      <c r="BU462" s="46" t="n">
        <v>100</v>
      </c>
      <c r="BV462" s="47" t="n">
        <v>92</v>
      </c>
      <c r="BW462" s="42" t="n">
        <v>83</v>
      </c>
      <c r="BX462" s="48" t="n">
        <v>92</v>
      </c>
      <c r="BY462" s="32" t="n">
        <v>19</v>
      </c>
      <c r="BZ462" s="32" t="n">
        <v>46</v>
      </c>
      <c r="CA462" s="32" t="n">
        <v>65</v>
      </c>
      <c r="CB462" s="32" t="n">
        <v>17</v>
      </c>
      <c r="CC462" s="32" t="n">
        <v>40</v>
      </c>
      <c r="CD462" s="69" t="n">
        <v>57</v>
      </c>
      <c r="CE462" s="32" t="n">
        <v>24</v>
      </c>
      <c r="CF462" s="32" t="n">
        <v>33</v>
      </c>
      <c r="CG462" s="69" t="n">
        <v>57</v>
      </c>
      <c r="CH462" s="32" t="n">
        <v>95</v>
      </c>
      <c r="CI462" s="32" t="n">
        <v>89</v>
      </c>
      <c r="CJ462" s="49" t="n">
        <v>17</v>
      </c>
      <c r="CK462" s="49" t="n">
        <v>44</v>
      </c>
      <c r="CL462" s="84" t="n">
        <v>61</v>
      </c>
      <c r="CM462" s="49" t="n">
        <v>23</v>
      </c>
      <c r="CN462" s="49" t="n">
        <v>54</v>
      </c>
      <c r="CO462" s="49" t="n">
        <v>77</v>
      </c>
      <c r="CP462" s="25" t="n">
        <f aca="false">BX462+BW462+BV462+BU462+BT462+BQ462+BN462</f>
        <v>575</v>
      </c>
      <c r="CQ462" s="25" t="n">
        <f aca="false">CO462+CL462+CI462+CH462+CG462+CD462+CA462</f>
        <v>501</v>
      </c>
      <c r="CR462" s="26" t="n">
        <f aca="false">CP462/7</f>
        <v>82.1428571428571</v>
      </c>
      <c r="CS462" s="26" t="n">
        <f aca="false">CQ462/7</f>
        <v>71.5714285714286</v>
      </c>
      <c r="CT462" s="24" t="n">
        <f aca="false">RANK(CR462,$CR$2:$CR$881,0)</f>
        <v>536</v>
      </c>
      <c r="CU462" s="25" t="n">
        <f aca="false">RANK(CS462,$CS$2:$CS$881,0)</f>
        <v>521</v>
      </c>
      <c r="CV462" s="26" t="n">
        <f aca="false">(CS462+CR462)/2</f>
        <v>76.8571428571429</v>
      </c>
      <c r="CW462" s="25" t="n">
        <f aca="false">RANK(CV462,$CV$2:$CV$881,0)</f>
        <v>519</v>
      </c>
      <c r="CX462" s="50" t="n">
        <f aca="false">(CV462+BB462)/2</f>
        <v>77.7785714285714</v>
      </c>
      <c r="CY462" s="50" t="n">
        <v>489</v>
      </c>
      <c r="CZ462" s="27" t="s">
        <v>132</v>
      </c>
      <c r="DA462" s="27" t="s">
        <v>133</v>
      </c>
      <c r="DB462" s="27" t="s">
        <v>133</v>
      </c>
      <c r="DC462" s="27" t="s">
        <v>134</v>
      </c>
      <c r="DD462" s="27" t="s">
        <v>191</v>
      </c>
      <c r="DE462" s="27" t="s">
        <v>220</v>
      </c>
      <c r="DF462" s="27" t="s">
        <v>443</v>
      </c>
      <c r="DG462" s="27" t="s">
        <v>134</v>
      </c>
      <c r="DH462" s="27" t="s">
        <v>135</v>
      </c>
      <c r="DI462" s="27" t="s">
        <v>412</v>
      </c>
      <c r="DJ462" s="27" t="s">
        <v>443</v>
      </c>
      <c r="DK462" s="27" t="s">
        <v>134</v>
      </c>
      <c r="DL462" s="27" t="s">
        <v>195</v>
      </c>
      <c r="DM462" s="27" t="s">
        <v>220</v>
      </c>
      <c r="DN462" s="27" t="s">
        <v>382</v>
      </c>
      <c r="DO462" s="27" t="s">
        <v>134</v>
      </c>
      <c r="DP462" s="27" t="s">
        <v>825</v>
      </c>
      <c r="DQ462" s="27" t="s">
        <v>412</v>
      </c>
      <c r="DR462" s="27" t="s">
        <v>152</v>
      </c>
      <c r="DS462" s="27" t="s">
        <v>134</v>
      </c>
      <c r="DT462" s="27" t="s">
        <v>135</v>
      </c>
      <c r="DU462" s="27" t="s">
        <v>1395</v>
      </c>
      <c r="DV462" s="27" t="s">
        <v>204</v>
      </c>
      <c r="DW462" s="27" t="s">
        <v>135</v>
      </c>
      <c r="DX462" s="27" t="s">
        <v>155</v>
      </c>
      <c r="DY462" s="27" t="s">
        <v>139</v>
      </c>
      <c r="DZ462" s="27" t="n">
        <f aca="false">DY462+DV462+DR462+DN462+DJ462+DF462+DB462</f>
        <v>535</v>
      </c>
      <c r="EA462" s="28" t="n">
        <f aca="false">DZ462/7</f>
        <v>76.4285714285714</v>
      </c>
      <c r="EB462" s="27" t="n">
        <f aca="false">RANK(EA462,$EA$2:$EA$881,0)</f>
        <v>506</v>
      </c>
      <c r="EC462" s="29" t="n">
        <f aca="false">DZ462+CQ462+CP462+AZ462</f>
        <v>2398</v>
      </c>
      <c r="ED462" s="30" t="n">
        <f aca="false">(EA462+CV462+BB462)/3</f>
        <v>77.3285714285714</v>
      </c>
      <c r="EE462" s="51" t="n">
        <f aca="false">ROUND(BE462,3)</f>
        <v>85.26</v>
      </c>
      <c r="EF462" s="51" t="n">
        <f aca="false">ROUND(CR462,3)</f>
        <v>82.143</v>
      </c>
      <c r="EG462" s="51" t="n">
        <f aca="false">ROUND(CS462,3)</f>
        <v>71.571</v>
      </c>
      <c r="EH462" s="51" t="n">
        <f aca="false">ROUND(EA462,3)</f>
        <v>76.429</v>
      </c>
      <c r="EI462" s="51" t="n">
        <f aca="false">ROUND(ED462,3)</f>
        <v>77.329</v>
      </c>
      <c r="EJ462" s="51" t="n">
        <f aca="false">ROUND(CV462,3)</f>
        <v>76.857</v>
      </c>
      <c r="EK462" s="0" t="n">
        <f aca="false">RANK(EI462,$EI$2:$EI$881,0)</f>
        <v>461</v>
      </c>
    </row>
    <row r="463" customFormat="false" ht="15" hidden="false" customHeight="false" outlineLevel="0" collapsed="false">
      <c r="A463" s="4" t="n">
        <v>1872</v>
      </c>
      <c r="B463" s="4" t="n">
        <v>219</v>
      </c>
      <c r="C463" s="27" t="s">
        <v>1435</v>
      </c>
      <c r="D463" s="31" t="n">
        <v>220</v>
      </c>
      <c r="E463" s="32" t="n">
        <v>231405321</v>
      </c>
      <c r="F463" s="8" t="s">
        <v>1436</v>
      </c>
      <c r="G463" s="66" t="s">
        <v>1437</v>
      </c>
      <c r="H463" s="66" t="s">
        <v>129</v>
      </c>
      <c r="I463" s="67" t="s">
        <v>1438</v>
      </c>
      <c r="J463" s="32" t="n">
        <v>74</v>
      </c>
      <c r="K463" s="32" t="n">
        <v>59</v>
      </c>
      <c r="L463" s="34" t="n">
        <f aca="false">(K463*70)/100</f>
        <v>41.3</v>
      </c>
      <c r="M463" s="34" t="n">
        <f aca="false">ROUNDUP(L463,0)</f>
        <v>42</v>
      </c>
      <c r="N463" s="32" t="n">
        <v>24</v>
      </c>
      <c r="O463" s="34" t="n">
        <f aca="false">N463+L463</f>
        <v>65.3</v>
      </c>
      <c r="P463" s="34" t="n">
        <f aca="false">N463+M463</f>
        <v>66</v>
      </c>
      <c r="Q463" s="32" t="n">
        <v>66</v>
      </c>
      <c r="R463" s="32" t="n">
        <v>77</v>
      </c>
      <c r="S463" s="34" t="n">
        <f aca="false">(R463*70)/100</f>
        <v>53.9</v>
      </c>
      <c r="T463" s="34" t="n">
        <f aca="false">ROUNDUP(S463,0)</f>
        <v>54</v>
      </c>
      <c r="U463" s="32" t="n">
        <v>23</v>
      </c>
      <c r="V463" s="34" t="n">
        <f aca="false">U463+S463</f>
        <v>76.9</v>
      </c>
      <c r="W463" s="34" t="n">
        <f aca="false">U463+T463</f>
        <v>77</v>
      </c>
      <c r="X463" s="32" t="n">
        <v>67</v>
      </c>
      <c r="Y463" s="34" t="n">
        <f aca="false">(X463*70)/100</f>
        <v>46.9</v>
      </c>
      <c r="Z463" s="34" t="n">
        <f aca="false">ROUNDUP(Y463,0)</f>
        <v>47</v>
      </c>
      <c r="AA463" s="32" t="n">
        <v>13</v>
      </c>
      <c r="AB463" s="34" t="n">
        <f aca="false">AA463+Y463</f>
        <v>59.9</v>
      </c>
      <c r="AC463" s="34" t="n">
        <f aca="false">AA463+Z463</f>
        <v>60</v>
      </c>
      <c r="AD463" s="32" t="n">
        <f aca="false">X463+R463+Q463+K463+J463</f>
        <v>343</v>
      </c>
      <c r="AE463" s="16" t="n">
        <f aca="false">AD463/5</f>
        <v>68.6</v>
      </c>
      <c r="AF463" s="16" t="n">
        <v>79</v>
      </c>
      <c r="AG463" s="16" t="n">
        <v>88</v>
      </c>
      <c r="AH463" s="16" t="n">
        <v>88</v>
      </c>
      <c r="AI463" s="16" t="n">
        <v>90</v>
      </c>
      <c r="AJ463" s="16" t="n">
        <f aca="false">(AI463*70)/100</f>
        <v>63</v>
      </c>
      <c r="AK463" s="35" t="n">
        <f aca="false">ROUNDUP(AJ463,0)</f>
        <v>63</v>
      </c>
      <c r="AL463" s="16" t="n">
        <v>19</v>
      </c>
      <c r="AM463" s="16" t="n">
        <f aca="false">AL463+AJ463</f>
        <v>82</v>
      </c>
      <c r="AN463" s="16" t="n">
        <f aca="false">AL463+AK463</f>
        <v>82</v>
      </c>
      <c r="AO463" s="16" t="n">
        <v>72</v>
      </c>
      <c r="AP463" s="36" t="n">
        <f aca="false">(AO463*70)/100</f>
        <v>50.4</v>
      </c>
      <c r="AQ463" s="37" t="n">
        <f aca="false">ROUNDUP(AP463,0)</f>
        <v>51</v>
      </c>
      <c r="AR463" s="16" t="n">
        <v>29</v>
      </c>
      <c r="AS463" s="16" t="n">
        <f aca="false">AR463+AP463</f>
        <v>79.4</v>
      </c>
      <c r="AT463" s="16" t="n">
        <f aca="false">AR463+AQ463</f>
        <v>80</v>
      </c>
      <c r="AU463" s="16" t="n">
        <f aca="false">AO463+AF463+AI463+AH463+AG463</f>
        <v>417</v>
      </c>
      <c r="AV463" s="16" t="n">
        <f aca="false">(AO463+AF463+AI463+AH463+AG463)/5</f>
        <v>83.4</v>
      </c>
      <c r="AW463" s="36" t="n">
        <f aca="false">(AO463+AF463+AI463+AH463+AG463+X463+R463+Q463+K463+J463)</f>
        <v>760</v>
      </c>
      <c r="AX463" s="16" t="n">
        <f aca="false">AW463/10</f>
        <v>76</v>
      </c>
      <c r="AY463" s="16" t="n">
        <f aca="false">AS463+AF463+AM463+AH463+AG463+AB463+V463+Q463+O463+J463</f>
        <v>758.5</v>
      </c>
      <c r="AZ463" s="16" t="n">
        <f aca="false">AT463+AF463+AN463+AH463+AG463+AC463+W463+Q463+P463+J463</f>
        <v>760</v>
      </c>
      <c r="BA463" s="16" t="n">
        <f aca="false">AY463/10</f>
        <v>75.85</v>
      </c>
      <c r="BB463" s="16" t="n">
        <f aca="false">AZ463/10</f>
        <v>76</v>
      </c>
      <c r="BC463" s="24" t="n">
        <v>2359</v>
      </c>
      <c r="BD463" s="16" t="n">
        <f aca="false">RANK(AX463,$AX$2:$AX$881,0)</f>
        <v>616</v>
      </c>
      <c r="BE463" s="73" t="n">
        <f aca="false">((BC463*100)/2400)*0.4+(AX463*0.6)</f>
        <v>84.9166666666667</v>
      </c>
      <c r="BF463" s="16" t="n">
        <f aca="false">RANK(BE463,$BE$2:$BE$881,0)</f>
        <v>633</v>
      </c>
      <c r="BG463" s="39" t="n">
        <f aca="false">RANK(BB463,$BB$2:$BB$881,0)</f>
        <v>678</v>
      </c>
      <c r="BH463" s="39" t="n">
        <f aca="false">RANK(BC463,$BC$2:$BC$881,0)</f>
        <v>414</v>
      </c>
      <c r="BI463" s="22" t="s">
        <v>130</v>
      </c>
      <c r="BJ463" s="22" t="s">
        <v>129</v>
      </c>
      <c r="BK463" s="22" t="s">
        <v>509</v>
      </c>
      <c r="BL463" s="41" t="n">
        <v>15</v>
      </c>
      <c r="BM463" s="41" t="n">
        <v>56</v>
      </c>
      <c r="BN463" s="41" t="n">
        <v>71</v>
      </c>
      <c r="BO463" s="42" t="n">
        <v>19</v>
      </c>
      <c r="BP463" s="43" t="n">
        <v>55</v>
      </c>
      <c r="BQ463" s="44" t="n">
        <v>74</v>
      </c>
      <c r="BR463" s="42" t="n">
        <v>19</v>
      </c>
      <c r="BS463" s="45" t="n">
        <v>57</v>
      </c>
      <c r="BT463" s="45" t="n">
        <v>76</v>
      </c>
      <c r="BU463" s="46" t="n">
        <v>93</v>
      </c>
      <c r="BV463" s="47" t="n">
        <v>86</v>
      </c>
      <c r="BW463" s="42" t="n">
        <v>98</v>
      </c>
      <c r="BX463" s="48" t="n">
        <v>88</v>
      </c>
      <c r="BY463" s="32" t="n">
        <v>25</v>
      </c>
      <c r="BZ463" s="32" t="n">
        <v>54</v>
      </c>
      <c r="CA463" s="32" t="n">
        <v>79</v>
      </c>
      <c r="CB463" s="32" t="n">
        <v>20</v>
      </c>
      <c r="CC463" s="32" t="n">
        <v>43</v>
      </c>
      <c r="CD463" s="32" t="n">
        <v>63</v>
      </c>
      <c r="CE463" s="32" t="n">
        <v>28</v>
      </c>
      <c r="CF463" s="32" t="n">
        <v>57</v>
      </c>
      <c r="CG463" s="32" t="n">
        <v>85</v>
      </c>
      <c r="CH463" s="32" t="n">
        <v>93</v>
      </c>
      <c r="CI463" s="32" t="n">
        <v>92</v>
      </c>
      <c r="CJ463" s="49" t="n">
        <v>21</v>
      </c>
      <c r="CK463" s="49" t="n">
        <v>56</v>
      </c>
      <c r="CL463" s="49" t="n">
        <v>77</v>
      </c>
      <c r="CM463" s="49" t="n">
        <v>22</v>
      </c>
      <c r="CN463" s="49" t="n">
        <v>52</v>
      </c>
      <c r="CO463" s="49" t="n">
        <v>74</v>
      </c>
      <c r="CP463" s="25" t="n">
        <f aca="false">BX463+BW463+BV463+BU463+BT463+BQ463+BN463</f>
        <v>586</v>
      </c>
      <c r="CQ463" s="25" t="n">
        <f aca="false">CO463+CL463+CI463+CH463+CG463+CD463+CA463</f>
        <v>563</v>
      </c>
      <c r="CR463" s="26" t="n">
        <f aca="false">CP463/7</f>
        <v>83.7142857142857</v>
      </c>
      <c r="CS463" s="26" t="n">
        <f aca="false">CQ463/7</f>
        <v>80.4285714285714</v>
      </c>
      <c r="CT463" s="24" t="n">
        <f aca="false">RANK(CR463,$CR$2:$CR$881,0)</f>
        <v>495</v>
      </c>
      <c r="CU463" s="25" t="n">
        <f aca="false">RANK(CS463,$CS$2:$CS$881,0)</f>
        <v>245</v>
      </c>
      <c r="CV463" s="26" t="n">
        <f aca="false">(CS463+CR463)/2</f>
        <v>82.0714285714286</v>
      </c>
      <c r="CW463" s="25" t="n">
        <f aca="false">RANK(CV463,$CV$2:$CV$881,0)</f>
        <v>338</v>
      </c>
      <c r="CX463" s="50" t="n">
        <f aca="false">(CV463+BB463)/2</f>
        <v>79.0357142857143</v>
      </c>
      <c r="CY463" s="50" t="n">
        <v>420</v>
      </c>
      <c r="CZ463" s="27" t="s">
        <v>132</v>
      </c>
      <c r="DA463" s="27" t="s">
        <v>305</v>
      </c>
      <c r="DB463" s="27" t="s">
        <v>305</v>
      </c>
      <c r="DC463" s="27" t="s">
        <v>134</v>
      </c>
      <c r="DD463" s="27" t="s">
        <v>182</v>
      </c>
      <c r="DE463" s="27" t="s">
        <v>375</v>
      </c>
      <c r="DF463" s="27" t="s">
        <v>372</v>
      </c>
      <c r="DG463" s="27" t="s">
        <v>134</v>
      </c>
      <c r="DH463" s="27" t="s">
        <v>182</v>
      </c>
      <c r="DI463" s="27" t="s">
        <v>412</v>
      </c>
      <c r="DJ463" s="27" t="s">
        <v>441</v>
      </c>
      <c r="DK463" s="27" t="s">
        <v>134</v>
      </c>
      <c r="DL463" s="27" t="s">
        <v>174</v>
      </c>
      <c r="DM463" s="27" t="s">
        <v>415</v>
      </c>
      <c r="DN463" s="27" t="s">
        <v>138</v>
      </c>
      <c r="DO463" s="27" t="s">
        <v>134</v>
      </c>
      <c r="DP463" s="27" t="s">
        <v>174</v>
      </c>
      <c r="DQ463" s="27" t="s">
        <v>645</v>
      </c>
      <c r="DR463" s="27" t="s">
        <v>187</v>
      </c>
      <c r="DS463" s="27" t="s">
        <v>134</v>
      </c>
      <c r="DT463" s="27" t="s">
        <v>137</v>
      </c>
      <c r="DU463" s="27" t="s">
        <v>673</v>
      </c>
      <c r="DV463" s="27" t="s">
        <v>141</v>
      </c>
      <c r="DW463" s="27" t="s">
        <v>174</v>
      </c>
      <c r="DX463" s="27" t="s">
        <v>187</v>
      </c>
      <c r="DY463" s="27" t="s">
        <v>133</v>
      </c>
      <c r="DZ463" s="27" t="n">
        <f aca="false">DY463+DV463+DR463+DN463+DJ463+DF463+DB463</f>
        <v>517</v>
      </c>
      <c r="EA463" s="28" t="n">
        <f aca="false">DZ463/7</f>
        <v>73.8571428571429</v>
      </c>
      <c r="EB463" s="27" t="n">
        <f aca="false">RANK(EA463,$EA$2:$EA$881,0)</f>
        <v>567</v>
      </c>
      <c r="EC463" s="29" t="n">
        <f aca="false">DZ463+CQ463+CP463+AZ463</f>
        <v>2426</v>
      </c>
      <c r="ED463" s="30" t="n">
        <f aca="false">(EA463+CV463+BB463)/3</f>
        <v>77.3095238095238</v>
      </c>
      <c r="EE463" s="51" t="n">
        <f aca="false">ROUND(BE463,3)</f>
        <v>84.917</v>
      </c>
      <c r="EF463" s="51" t="n">
        <f aca="false">ROUND(CR463,3)</f>
        <v>83.714</v>
      </c>
      <c r="EG463" s="51" t="n">
        <f aca="false">ROUND(CS463,3)</f>
        <v>80.429</v>
      </c>
      <c r="EH463" s="51" t="n">
        <f aca="false">ROUND(EA463,3)</f>
        <v>73.857</v>
      </c>
      <c r="EI463" s="51" t="n">
        <f aca="false">ROUND(ED463,3)</f>
        <v>77.31</v>
      </c>
      <c r="EJ463" s="51" t="n">
        <f aca="false">ROUND(CV463,3)</f>
        <v>82.071</v>
      </c>
      <c r="EK463" s="0" t="n">
        <f aca="false">RANK(EI463,$EI$2:$EI$881,0)</f>
        <v>462</v>
      </c>
    </row>
    <row r="464" customFormat="false" ht="15" hidden="false" customHeight="false" outlineLevel="0" collapsed="false">
      <c r="A464" s="4" t="n">
        <v>2022</v>
      </c>
      <c r="B464" s="4" t="n">
        <v>588</v>
      </c>
      <c r="C464" s="27" t="s">
        <v>1439</v>
      </c>
      <c r="D464" s="31" t="n">
        <v>593</v>
      </c>
      <c r="E464" s="16" t="n">
        <v>230613614</v>
      </c>
      <c r="F464" s="56" t="s">
        <v>1440</v>
      </c>
      <c r="G464" s="22" t="s">
        <v>529</v>
      </c>
      <c r="H464" s="22" t="s">
        <v>558</v>
      </c>
      <c r="I464" s="57"/>
      <c r="J464" s="16" t="n">
        <v>77</v>
      </c>
      <c r="K464" s="16" t="n">
        <v>79</v>
      </c>
      <c r="L464" s="34" t="n">
        <f aca="false">(K464*70)/100</f>
        <v>55.3</v>
      </c>
      <c r="M464" s="34" t="n">
        <f aca="false">ROUNDUP(L464,0)</f>
        <v>56</v>
      </c>
      <c r="N464" s="16" t="n">
        <v>30</v>
      </c>
      <c r="O464" s="34" t="n">
        <f aca="false">N464+L464</f>
        <v>85.3</v>
      </c>
      <c r="P464" s="34" t="n">
        <f aca="false">N464+M464</f>
        <v>86</v>
      </c>
      <c r="Q464" s="16" t="n">
        <v>68</v>
      </c>
      <c r="R464" s="16" t="n">
        <v>78</v>
      </c>
      <c r="S464" s="34" t="n">
        <f aca="false">(R464*70)/100</f>
        <v>54.6</v>
      </c>
      <c r="T464" s="34" t="n">
        <f aca="false">ROUNDUP(S464,0)</f>
        <v>55</v>
      </c>
      <c r="U464" s="16" t="n">
        <v>25</v>
      </c>
      <c r="V464" s="34" t="n">
        <f aca="false">U464+S464</f>
        <v>79.6</v>
      </c>
      <c r="W464" s="34" t="n">
        <f aca="false">U464+T464</f>
        <v>80</v>
      </c>
      <c r="X464" s="16" t="n">
        <v>61</v>
      </c>
      <c r="Y464" s="34" t="n">
        <f aca="false">(X464*70)/100</f>
        <v>42.7</v>
      </c>
      <c r="Z464" s="34" t="n">
        <f aca="false">ROUNDUP(Y464,0)</f>
        <v>43</v>
      </c>
      <c r="AA464" s="16" t="n">
        <v>25</v>
      </c>
      <c r="AB464" s="34" t="n">
        <f aca="false">AA464+Y464</f>
        <v>67.7</v>
      </c>
      <c r="AC464" s="34" t="n">
        <f aca="false">AA464+Z464</f>
        <v>68</v>
      </c>
      <c r="AD464" s="32" t="n">
        <f aca="false">X464+R464+Q464+K464+J464</f>
        <v>363</v>
      </c>
      <c r="AE464" s="16" t="n">
        <f aca="false">AD464/5</f>
        <v>72.6</v>
      </c>
      <c r="AF464" s="16" t="n">
        <v>68</v>
      </c>
      <c r="AG464" s="16" t="n">
        <v>87</v>
      </c>
      <c r="AH464" s="16" t="n">
        <v>92</v>
      </c>
      <c r="AI464" s="16" t="n">
        <v>85</v>
      </c>
      <c r="AJ464" s="16" t="n">
        <f aca="false">(AI464*70)/100</f>
        <v>59.5</v>
      </c>
      <c r="AK464" s="35" t="n">
        <f aca="false">ROUNDUP(AJ464,0)</f>
        <v>60</v>
      </c>
      <c r="AL464" s="16" t="n">
        <v>27</v>
      </c>
      <c r="AM464" s="16" t="n">
        <f aca="false">AL464+AJ464</f>
        <v>86.5</v>
      </c>
      <c r="AN464" s="16" t="n">
        <f aca="false">AL464+AK464</f>
        <v>87</v>
      </c>
      <c r="AO464" s="16" t="n">
        <v>72</v>
      </c>
      <c r="AP464" s="36" t="n">
        <f aca="false">(AO464*70)/100</f>
        <v>50.4</v>
      </c>
      <c r="AQ464" s="37" t="n">
        <f aca="false">ROUNDUP(AP464,0)</f>
        <v>51</v>
      </c>
      <c r="AR464" s="16" t="n">
        <v>25</v>
      </c>
      <c r="AS464" s="16" t="n">
        <f aca="false">AR464+AP464</f>
        <v>75.4</v>
      </c>
      <c r="AT464" s="16" t="n">
        <f aca="false">AR464+AQ464</f>
        <v>76</v>
      </c>
      <c r="AU464" s="16" t="n">
        <f aca="false">AO464+AF464+AI464+AH464+AG464</f>
        <v>404</v>
      </c>
      <c r="AV464" s="16" t="n">
        <f aca="false">(AO464+AF464+AI464+AH464+AG464)/5</f>
        <v>80.8</v>
      </c>
      <c r="AW464" s="36" t="n">
        <f aca="false">(AO464+AF464+AI464+AH464+AG464+X464+R464+Q464+K464+J464)</f>
        <v>767</v>
      </c>
      <c r="AX464" s="16" t="n">
        <f aca="false">AW464/10</f>
        <v>76.7</v>
      </c>
      <c r="AY464" s="16" t="n">
        <f aca="false">AS464+AF464+AM464+AH464+AG464+AB464+V464+Q464+O464+J464</f>
        <v>786.5</v>
      </c>
      <c r="AZ464" s="16" t="n">
        <f aca="false">AT464+AF464+AN464+AH464+AG464+AC464+W464+Q464+P464+J464</f>
        <v>789</v>
      </c>
      <c r="BA464" s="16" t="n">
        <f aca="false">AY464/10</f>
        <v>78.65</v>
      </c>
      <c r="BB464" s="16" t="n">
        <f aca="false">AZ464/10</f>
        <v>78.9</v>
      </c>
      <c r="BC464" s="16" t="n">
        <v>2344</v>
      </c>
      <c r="BD464" s="16" t="n">
        <f aca="false">RANK(AX464,$AX$2:$AX$881,0)</f>
        <v>536</v>
      </c>
      <c r="BE464" s="54" t="n">
        <f aca="false">((BC464*100)/2400)*0.4+(AX464*0.6)</f>
        <v>85.0866666666667</v>
      </c>
      <c r="BF464" s="16" t="n">
        <f aca="false">RANK(BE464,$BE$2:$BE$881,0)</f>
        <v>595</v>
      </c>
      <c r="BG464" s="39" t="n">
        <f aca="false">RANK(BB464,$BB$2:$BB$881,0)</f>
        <v>463</v>
      </c>
      <c r="BH464" s="39" t="n">
        <f aca="false">RANK(BC464,$BC$2:$BC$881,0)</f>
        <v>598</v>
      </c>
      <c r="BI464" s="22" t="s">
        <v>130</v>
      </c>
      <c r="BJ464" s="22" t="s">
        <v>129</v>
      </c>
      <c r="BK464" s="22" t="s">
        <v>509</v>
      </c>
      <c r="BL464" s="41" t="n">
        <v>15</v>
      </c>
      <c r="BM464" s="41" t="n">
        <v>52</v>
      </c>
      <c r="BN464" s="41" t="n">
        <v>67</v>
      </c>
      <c r="BO464" s="42" t="n">
        <v>22</v>
      </c>
      <c r="BP464" s="43" t="n">
        <v>51</v>
      </c>
      <c r="BQ464" s="44" t="n">
        <v>73</v>
      </c>
      <c r="BR464" s="42" t="n">
        <v>27</v>
      </c>
      <c r="BS464" s="45" t="n">
        <v>50</v>
      </c>
      <c r="BT464" s="45" t="n">
        <v>77</v>
      </c>
      <c r="BU464" s="88" t="n">
        <v>72</v>
      </c>
      <c r="BV464" s="47" t="n">
        <v>92</v>
      </c>
      <c r="BW464" s="43" t="n">
        <v>98</v>
      </c>
      <c r="BX464" s="65" t="n">
        <v>90</v>
      </c>
      <c r="BY464" s="65" t="n">
        <v>23</v>
      </c>
      <c r="BZ464" s="58" t="n">
        <v>50</v>
      </c>
      <c r="CA464" s="58" t="n">
        <v>73</v>
      </c>
      <c r="CB464" s="59" t="n">
        <v>22</v>
      </c>
      <c r="CC464" s="58" t="n">
        <v>48</v>
      </c>
      <c r="CD464" s="58" t="n">
        <v>70</v>
      </c>
      <c r="CE464" s="58" t="n">
        <v>16</v>
      </c>
      <c r="CF464" s="58" t="n">
        <v>42</v>
      </c>
      <c r="CG464" s="90" t="n">
        <v>58</v>
      </c>
      <c r="CH464" s="58" t="n">
        <v>89</v>
      </c>
      <c r="CI464" s="58" t="n">
        <v>70</v>
      </c>
      <c r="CJ464" s="58" t="n">
        <v>14</v>
      </c>
      <c r="CK464" s="58" t="n">
        <v>63</v>
      </c>
      <c r="CL464" s="59" t="n">
        <v>77</v>
      </c>
      <c r="CM464" s="60"/>
      <c r="CN464" s="60"/>
      <c r="CO464" s="60"/>
      <c r="CP464" s="25" t="n">
        <f aca="false">BX464+BW464+BV464+BU464+BT464+BQ464+BN464</f>
        <v>569</v>
      </c>
      <c r="CQ464" s="25" t="n">
        <f aca="false">CO464+CL464+CI464+CH464+CG464+CD464+CA464</f>
        <v>437</v>
      </c>
      <c r="CR464" s="26" t="n">
        <f aca="false">CP464/7</f>
        <v>81.2857142857143</v>
      </c>
      <c r="CS464" s="26" t="n">
        <f aca="false">CQ464/7</f>
        <v>62.4285714285714</v>
      </c>
      <c r="CT464" s="24" t="n">
        <f aca="false">RANK(CR464,$CR$2:$CR$881,0)</f>
        <v>560</v>
      </c>
      <c r="CU464" s="25" t="n">
        <f aca="false">RANK(CS464,$CS$2:$CS$881,0)</f>
        <v>662</v>
      </c>
      <c r="CV464" s="26" t="n">
        <f aca="false">(CS464+CR464)/2</f>
        <v>71.8571428571429</v>
      </c>
      <c r="CW464" s="25" t="n">
        <f aca="false">RANK(CV464,$CV$2:$CV$881,0)</f>
        <v>614</v>
      </c>
      <c r="CX464" s="50" t="n">
        <f aca="false">(CV464+BB464)/2</f>
        <v>75.3785714285714</v>
      </c>
      <c r="CY464" s="50" t="n">
        <v>686</v>
      </c>
      <c r="CZ464" s="27" t="s">
        <v>132</v>
      </c>
      <c r="DA464" s="27" t="s">
        <v>153</v>
      </c>
      <c r="DB464" s="27" t="s">
        <v>153</v>
      </c>
      <c r="DC464" s="27" t="s">
        <v>134</v>
      </c>
      <c r="DD464" s="27" t="s">
        <v>182</v>
      </c>
      <c r="DE464" s="27" t="s">
        <v>161</v>
      </c>
      <c r="DF464" s="27" t="s">
        <v>175</v>
      </c>
      <c r="DG464" s="27" t="s">
        <v>134</v>
      </c>
      <c r="DH464" s="27" t="s">
        <v>164</v>
      </c>
      <c r="DI464" s="27" t="s">
        <v>204</v>
      </c>
      <c r="DJ464" s="27" t="s">
        <v>202</v>
      </c>
      <c r="DK464" s="27" t="s">
        <v>134</v>
      </c>
      <c r="DL464" s="27" t="s">
        <v>174</v>
      </c>
      <c r="DM464" s="27" t="s">
        <v>220</v>
      </c>
      <c r="DN464" s="27" t="s">
        <v>305</v>
      </c>
      <c r="DO464" s="27" t="s">
        <v>134</v>
      </c>
      <c r="DP464" s="27" t="s">
        <v>1000</v>
      </c>
      <c r="DQ464" s="27" t="s">
        <v>415</v>
      </c>
      <c r="DR464" s="27" t="s">
        <v>161</v>
      </c>
      <c r="DS464" s="27" t="s">
        <v>134</v>
      </c>
      <c r="DT464" s="27" t="s">
        <v>174</v>
      </c>
      <c r="DU464" s="27" t="s">
        <v>412</v>
      </c>
      <c r="DV464" s="27" t="s">
        <v>486</v>
      </c>
      <c r="DW464" s="27" t="s">
        <v>137</v>
      </c>
      <c r="DX464" s="27" t="s">
        <v>138</v>
      </c>
      <c r="DY464" s="27" t="s">
        <v>139</v>
      </c>
      <c r="DZ464" s="27" t="n">
        <f aca="false">DY464+DV464+DR464+DN464+DJ464+DF464+DB464</f>
        <v>568</v>
      </c>
      <c r="EA464" s="28" t="n">
        <f aca="false">DZ464/7</f>
        <v>81.1428571428571</v>
      </c>
      <c r="EB464" s="27" t="n">
        <f aca="false">RANK(EA464,$EA$2:$EA$881,0)</f>
        <v>342</v>
      </c>
      <c r="EC464" s="29" t="n">
        <f aca="false">DZ464+CQ464+CP464+AZ464</f>
        <v>2363</v>
      </c>
      <c r="ED464" s="30" t="n">
        <f aca="false">(EA464+CV464+BB464)/3</f>
        <v>77.3</v>
      </c>
      <c r="EE464" s="51" t="n">
        <f aca="false">ROUND(BE464,3)</f>
        <v>85.087</v>
      </c>
      <c r="EF464" s="51" t="n">
        <f aca="false">ROUND(CR464,3)</f>
        <v>81.286</v>
      </c>
      <c r="EG464" s="51" t="n">
        <f aca="false">ROUND(CS464,3)</f>
        <v>62.429</v>
      </c>
      <c r="EH464" s="51" t="n">
        <f aca="false">ROUND(EA464,3)</f>
        <v>81.143</v>
      </c>
      <c r="EI464" s="51" t="n">
        <f aca="false">ROUND(ED464,3)</f>
        <v>77.3</v>
      </c>
      <c r="EJ464" s="51" t="n">
        <f aca="false">ROUND(CV464,3)</f>
        <v>71.857</v>
      </c>
      <c r="EK464" s="0" t="n">
        <f aca="false">RANK(EI464,$EI$2:$EI$881,0)</f>
        <v>463</v>
      </c>
    </row>
    <row r="465" customFormat="false" ht="15" hidden="false" customHeight="false" outlineLevel="0" collapsed="false">
      <c r="A465" s="4" t="n">
        <v>8612</v>
      </c>
      <c r="B465" s="4" t="n">
        <v>655</v>
      </c>
      <c r="C465" s="27" t="s">
        <v>1441</v>
      </c>
      <c r="D465" s="31" t="n">
        <v>666</v>
      </c>
      <c r="E465" s="16" t="n">
        <v>230119790</v>
      </c>
      <c r="F465" s="56" t="s">
        <v>1442</v>
      </c>
      <c r="G465" s="22" t="s">
        <v>1443</v>
      </c>
      <c r="H465" s="22" t="s">
        <v>326</v>
      </c>
      <c r="I465" s="57"/>
      <c r="J465" s="16" t="n">
        <v>79</v>
      </c>
      <c r="K465" s="16" t="n">
        <v>73</v>
      </c>
      <c r="L465" s="34" t="n">
        <f aca="false">(K465*70)/100</f>
        <v>51.1</v>
      </c>
      <c r="M465" s="34" t="n">
        <f aca="false">ROUNDUP(L465,0)</f>
        <v>52</v>
      </c>
      <c r="N465" s="16" t="n">
        <v>23</v>
      </c>
      <c r="O465" s="34" t="n">
        <f aca="false">N465+L465</f>
        <v>74.1</v>
      </c>
      <c r="P465" s="34" t="n">
        <f aca="false">N465+M465</f>
        <v>75</v>
      </c>
      <c r="Q465" s="16" t="n">
        <v>74</v>
      </c>
      <c r="R465" s="16" t="n">
        <v>79</v>
      </c>
      <c r="S465" s="34" t="n">
        <f aca="false">(R465*70)/100</f>
        <v>55.3</v>
      </c>
      <c r="T465" s="34" t="n">
        <f aca="false">ROUNDUP(S465,0)</f>
        <v>56</v>
      </c>
      <c r="U465" s="16" t="n">
        <v>26</v>
      </c>
      <c r="V465" s="34" t="n">
        <f aca="false">U465+S465</f>
        <v>81.3</v>
      </c>
      <c r="W465" s="34" t="n">
        <f aca="false">U465+T465</f>
        <v>82</v>
      </c>
      <c r="X465" s="16" t="n">
        <v>69</v>
      </c>
      <c r="Y465" s="34" t="n">
        <f aca="false">(X465*70)/100</f>
        <v>48.3</v>
      </c>
      <c r="Z465" s="34" t="n">
        <f aca="false">ROUNDUP(Y465,0)</f>
        <v>49</v>
      </c>
      <c r="AA465" s="16" t="n">
        <v>26</v>
      </c>
      <c r="AB465" s="34" t="n">
        <f aca="false">AA465+Y465</f>
        <v>74.3</v>
      </c>
      <c r="AC465" s="34" t="n">
        <f aca="false">AA465+Z465</f>
        <v>75</v>
      </c>
      <c r="AD465" s="32" t="n">
        <f aca="false">X465+R465+Q465+K465+J465</f>
        <v>374</v>
      </c>
      <c r="AE465" s="16" t="n">
        <f aca="false">AD465/5</f>
        <v>74.8</v>
      </c>
      <c r="AF465" s="16" t="n">
        <v>75</v>
      </c>
      <c r="AG465" s="16" t="n">
        <v>78</v>
      </c>
      <c r="AH465" s="16" t="n">
        <v>97</v>
      </c>
      <c r="AI465" s="16" t="n">
        <v>90</v>
      </c>
      <c r="AJ465" s="16" t="n">
        <f aca="false">(AI465*70)/100</f>
        <v>63</v>
      </c>
      <c r="AK465" s="35" t="n">
        <f aca="false">ROUNDUP(AJ465,0)</f>
        <v>63</v>
      </c>
      <c r="AL465" s="16" t="n">
        <v>21</v>
      </c>
      <c r="AM465" s="16" t="n">
        <f aca="false">AL465+AJ465</f>
        <v>84</v>
      </c>
      <c r="AN465" s="16" t="n">
        <f aca="false">AL465+AK465</f>
        <v>84</v>
      </c>
      <c r="AO465" s="16" t="n">
        <v>68</v>
      </c>
      <c r="AP465" s="36" t="n">
        <f aca="false">(AO465*70)/100</f>
        <v>47.6</v>
      </c>
      <c r="AQ465" s="37" t="n">
        <f aca="false">ROUNDUP(AP465,0)</f>
        <v>48</v>
      </c>
      <c r="AR465" s="16" t="n">
        <v>27</v>
      </c>
      <c r="AS465" s="16" t="n">
        <f aca="false">AR465+AP465</f>
        <v>74.6</v>
      </c>
      <c r="AT465" s="16" t="n">
        <f aca="false">AR465+AQ465</f>
        <v>75</v>
      </c>
      <c r="AU465" s="16" t="n">
        <f aca="false">AO465+AF465+AI465+AH465+AG465</f>
        <v>408</v>
      </c>
      <c r="AV465" s="16" t="n">
        <f aca="false">(AO465+AF465+AI465+AH465+AG465)/5</f>
        <v>81.6</v>
      </c>
      <c r="AW465" s="36" t="n">
        <f aca="false">(AO465+AF465+AI465+AH465+AG465+X465+R465+Q465+K465+J465)</f>
        <v>782</v>
      </c>
      <c r="AX465" s="16" t="n">
        <f aca="false">AW465/10</f>
        <v>78.2</v>
      </c>
      <c r="AY465" s="16" t="n">
        <f aca="false">AS465+AF465+AM465+AH465+AG465+AB465+V465+Q465+O465+J465</f>
        <v>791.3</v>
      </c>
      <c r="AZ465" s="16" t="n">
        <f aca="false">AT465+AF465+AN465+AH465+AG465+AC465+W465+Q465+P465+J465</f>
        <v>794</v>
      </c>
      <c r="BA465" s="16" t="n">
        <f aca="false">AY465/10</f>
        <v>79.13</v>
      </c>
      <c r="BB465" s="16" t="n">
        <f aca="false">AZ465/10</f>
        <v>79.4</v>
      </c>
      <c r="BC465" s="16" t="n">
        <v>2368</v>
      </c>
      <c r="BD465" s="16" t="n">
        <f aca="false">RANK(AX465,$AX$2:$AX$881,0)</f>
        <v>396</v>
      </c>
      <c r="BE465" s="54" t="n">
        <f aca="false">((BC465*100)/2400)*0.4+(AX465*0.6)</f>
        <v>86.3866666666667</v>
      </c>
      <c r="BF465" s="16" t="n">
        <f aca="false">RANK(BE465,$BE$2:$BE$881,0)</f>
        <v>364</v>
      </c>
      <c r="BG465" s="39" t="n">
        <f aca="false">RANK(BB465,$BB$2:$BB$881,0)</f>
        <v>414</v>
      </c>
      <c r="BH465" s="39" t="n">
        <f aca="false">RANK(BC465,$BC$2:$BC$881,0)</f>
        <v>295</v>
      </c>
      <c r="BI465" s="22" t="s">
        <v>130</v>
      </c>
      <c r="BJ465" s="22" t="s">
        <v>129</v>
      </c>
      <c r="BK465" s="40" t="s">
        <v>131</v>
      </c>
      <c r="BL465" s="41" t="n">
        <v>21</v>
      </c>
      <c r="BM465" s="41" t="n">
        <v>60</v>
      </c>
      <c r="BN465" s="41" t="n">
        <v>81</v>
      </c>
      <c r="BO465" s="42" t="n">
        <v>29</v>
      </c>
      <c r="BP465" s="42" t="n">
        <v>64</v>
      </c>
      <c r="BQ465" s="42" t="n">
        <v>93</v>
      </c>
      <c r="BR465" s="42" t="n">
        <v>17</v>
      </c>
      <c r="BS465" s="45" t="n">
        <v>58</v>
      </c>
      <c r="BT465" s="45" t="n">
        <v>75</v>
      </c>
      <c r="BU465" s="46" t="n">
        <v>100</v>
      </c>
      <c r="BV465" s="47" t="n">
        <v>94</v>
      </c>
      <c r="BW465" s="42" t="n">
        <v>100</v>
      </c>
      <c r="BX465" s="107"/>
      <c r="BY465" s="32" t="n">
        <v>28</v>
      </c>
      <c r="BZ465" s="32" t="n">
        <v>62</v>
      </c>
      <c r="CA465" s="32" t="n">
        <v>90</v>
      </c>
      <c r="CB465" s="32" t="n">
        <v>24</v>
      </c>
      <c r="CC465" s="68" t="n">
        <v>0</v>
      </c>
      <c r="CD465" s="69" t="n">
        <v>24</v>
      </c>
      <c r="CE465" s="32" t="n">
        <v>24</v>
      </c>
      <c r="CF465" s="32" t="n">
        <v>60</v>
      </c>
      <c r="CG465" s="32" t="n">
        <v>84</v>
      </c>
      <c r="CH465" s="32" t="n">
        <v>99</v>
      </c>
      <c r="CI465" s="32" t="n">
        <v>100</v>
      </c>
      <c r="CJ465" s="49" t="n">
        <v>26</v>
      </c>
      <c r="CK465" s="49" t="n">
        <v>46</v>
      </c>
      <c r="CL465" s="49" t="n">
        <v>72</v>
      </c>
      <c r="CM465" s="49" t="n">
        <v>24</v>
      </c>
      <c r="CN465" s="49" t="n">
        <v>53</v>
      </c>
      <c r="CO465" s="49" t="n">
        <v>77</v>
      </c>
      <c r="CP465" s="25" t="n">
        <f aca="false">BX465+BW465+BV465+BU465+BT465+BQ465+BN465</f>
        <v>543</v>
      </c>
      <c r="CQ465" s="25" t="n">
        <f aca="false">CO465+CL465+CI465+CH465+CG465+CD465+CA465</f>
        <v>546</v>
      </c>
      <c r="CR465" s="26" t="n">
        <f aca="false">CP465/7</f>
        <v>77.5714285714286</v>
      </c>
      <c r="CS465" s="26" t="n">
        <f aca="false">CQ465/7</f>
        <v>78</v>
      </c>
      <c r="CT465" s="24" t="n">
        <f aca="false">RANK(CR465,$CR$2:$CR$881,0)</f>
        <v>618</v>
      </c>
      <c r="CU465" s="25" t="n">
        <f aca="false">RANK(CS465,$CS$2:$CS$881,0)</f>
        <v>333</v>
      </c>
      <c r="CV465" s="26" t="n">
        <f aca="false">(CS465+CR465)/2</f>
        <v>77.7857142857143</v>
      </c>
      <c r="CW465" s="25" t="n">
        <f aca="false">RANK(CV465,$CV$2:$CV$881,0)</f>
        <v>499</v>
      </c>
      <c r="CX465" s="50" t="n">
        <f aca="false">(CV465+BB465)/2</f>
        <v>78.5928571428571</v>
      </c>
      <c r="CY465" s="50" t="n">
        <v>443</v>
      </c>
      <c r="CZ465" s="27" t="s">
        <v>132</v>
      </c>
      <c r="DA465" s="27" t="s">
        <v>169</v>
      </c>
      <c r="DB465" s="27" t="s">
        <v>169</v>
      </c>
      <c r="DC465" s="27" t="s">
        <v>134</v>
      </c>
      <c r="DD465" s="27" t="s">
        <v>164</v>
      </c>
      <c r="DE465" s="27" t="s">
        <v>203</v>
      </c>
      <c r="DF465" s="27" t="s">
        <v>162</v>
      </c>
      <c r="DG465" s="27" t="s">
        <v>134</v>
      </c>
      <c r="DH465" s="27" t="s">
        <v>164</v>
      </c>
      <c r="DI465" s="27" t="s">
        <v>177</v>
      </c>
      <c r="DJ465" s="27" t="s">
        <v>178</v>
      </c>
      <c r="DK465" s="27" t="s">
        <v>134</v>
      </c>
      <c r="DL465" s="27" t="s">
        <v>137</v>
      </c>
      <c r="DM465" s="27" t="s">
        <v>218</v>
      </c>
      <c r="DN465" s="27" t="s">
        <v>169</v>
      </c>
      <c r="DO465" s="27" t="s">
        <v>134</v>
      </c>
      <c r="DP465" s="27"/>
      <c r="DQ465" s="27"/>
      <c r="DR465" s="27"/>
      <c r="DS465" s="27"/>
      <c r="DT465" s="27" t="s">
        <v>160</v>
      </c>
      <c r="DU465" s="27" t="s">
        <v>306</v>
      </c>
      <c r="DV465" s="27" t="s">
        <v>169</v>
      </c>
      <c r="DW465" s="27" t="s">
        <v>160</v>
      </c>
      <c r="DX465" s="27" t="s">
        <v>138</v>
      </c>
      <c r="DY465" s="27" t="s">
        <v>144</v>
      </c>
      <c r="DZ465" s="27" t="n">
        <f aca="false">DY465+DV465+DR465+DN465+DJ465+DF465+DB465</f>
        <v>522</v>
      </c>
      <c r="EA465" s="28" t="n">
        <f aca="false">DZ465/7</f>
        <v>74.5714285714286</v>
      </c>
      <c r="EB465" s="27" t="n">
        <f aca="false">RANK(EA465,$EA$2:$EA$881,0)</f>
        <v>547</v>
      </c>
      <c r="EC465" s="29" t="n">
        <f aca="false">DZ465+CQ465+CP465+AZ465</f>
        <v>2405</v>
      </c>
      <c r="ED465" s="30" t="n">
        <f aca="false">(EA465+CV465+BB465)/3</f>
        <v>77.252380952381</v>
      </c>
      <c r="EE465" s="51" t="n">
        <f aca="false">ROUND(BE465,3)</f>
        <v>86.387</v>
      </c>
      <c r="EF465" s="51" t="n">
        <f aca="false">ROUND(CR465,3)</f>
        <v>77.571</v>
      </c>
      <c r="EG465" s="51" t="n">
        <f aca="false">ROUND(CS465,3)</f>
        <v>78</v>
      </c>
      <c r="EH465" s="51" t="n">
        <f aca="false">ROUND(EA465,3)</f>
        <v>74.571</v>
      </c>
      <c r="EI465" s="51" t="n">
        <f aca="false">ROUND(ED465,3)</f>
        <v>77.252</v>
      </c>
      <c r="EJ465" s="51" t="n">
        <f aca="false">ROUND(CV465,3)</f>
        <v>77.786</v>
      </c>
      <c r="EK465" s="0" t="n">
        <f aca="false">RANK(EI465,$EI$2:$EI$881,0)</f>
        <v>464</v>
      </c>
    </row>
    <row r="466" customFormat="false" ht="15" hidden="false" customHeight="false" outlineLevel="0" collapsed="false">
      <c r="A466" s="4" t="n">
        <v>8892</v>
      </c>
      <c r="B466" s="4" t="n">
        <v>108</v>
      </c>
      <c r="C466" s="27" t="s">
        <v>1444</v>
      </c>
      <c r="D466" s="52" t="n">
        <v>108</v>
      </c>
      <c r="E466" s="16" t="n">
        <v>230243588</v>
      </c>
      <c r="F466" s="56" t="s">
        <v>1445</v>
      </c>
      <c r="G466" s="22" t="s">
        <v>1446</v>
      </c>
      <c r="H466" s="22" t="s">
        <v>326</v>
      </c>
      <c r="I466" s="57"/>
      <c r="J466" s="16" t="n">
        <v>79</v>
      </c>
      <c r="K466" s="16" t="n">
        <v>75</v>
      </c>
      <c r="L466" s="34" t="n">
        <f aca="false">(K466*70)/100</f>
        <v>52.5</v>
      </c>
      <c r="M466" s="34" t="n">
        <f aca="false">ROUNDUP(L466,0)</f>
        <v>53</v>
      </c>
      <c r="N466" s="16" t="n">
        <v>15</v>
      </c>
      <c r="O466" s="34" t="n">
        <f aca="false">N466+L466</f>
        <v>67.5</v>
      </c>
      <c r="P466" s="34" t="n">
        <f aca="false">N466+M466</f>
        <v>68</v>
      </c>
      <c r="Q466" s="16" t="n">
        <v>62</v>
      </c>
      <c r="R466" s="16" t="n">
        <v>73</v>
      </c>
      <c r="S466" s="34" t="n">
        <f aca="false">(R466*70)/100</f>
        <v>51.1</v>
      </c>
      <c r="T466" s="34" t="n">
        <f aca="false">ROUNDUP(S466,0)</f>
        <v>52</v>
      </c>
      <c r="U466" s="16" t="n">
        <v>25</v>
      </c>
      <c r="V466" s="34" t="n">
        <f aca="false">U466+S466</f>
        <v>76.1</v>
      </c>
      <c r="W466" s="34" t="n">
        <f aca="false">U466+T466</f>
        <v>77</v>
      </c>
      <c r="X466" s="16" t="n">
        <v>68</v>
      </c>
      <c r="Y466" s="34" t="n">
        <f aca="false">(X466*70)/100</f>
        <v>47.6</v>
      </c>
      <c r="Z466" s="34" t="n">
        <f aca="false">ROUNDUP(Y466,0)</f>
        <v>48</v>
      </c>
      <c r="AA466" s="16" t="n">
        <v>23</v>
      </c>
      <c r="AB466" s="34" t="n">
        <f aca="false">AA466+Y466</f>
        <v>70.6</v>
      </c>
      <c r="AC466" s="34" t="n">
        <f aca="false">AA466+Z466</f>
        <v>71</v>
      </c>
      <c r="AD466" s="32" t="n">
        <f aca="false">X466+R466+Q466+K466+J466</f>
        <v>357</v>
      </c>
      <c r="AE466" s="16" t="n">
        <f aca="false">AD466/5</f>
        <v>71.4</v>
      </c>
      <c r="AF466" s="16" t="n">
        <v>79</v>
      </c>
      <c r="AG466" s="16" t="n">
        <v>88</v>
      </c>
      <c r="AH466" s="16" t="n">
        <v>90</v>
      </c>
      <c r="AI466" s="16" t="n">
        <v>92</v>
      </c>
      <c r="AJ466" s="16" t="n">
        <f aca="false">(AI466*70)/100</f>
        <v>64.4</v>
      </c>
      <c r="AK466" s="35" t="n">
        <f aca="false">ROUNDUP(AJ466,0)</f>
        <v>65</v>
      </c>
      <c r="AL466" s="16" t="n">
        <v>26</v>
      </c>
      <c r="AM466" s="16" t="n">
        <f aca="false">AL466+AJ466</f>
        <v>90.4</v>
      </c>
      <c r="AN466" s="16" t="n">
        <f aca="false">AL466+AK466</f>
        <v>91</v>
      </c>
      <c r="AO466" s="16" t="n">
        <v>78</v>
      </c>
      <c r="AP466" s="36" t="n">
        <f aca="false">(AO466*70)/100</f>
        <v>54.6</v>
      </c>
      <c r="AQ466" s="37" t="n">
        <f aca="false">ROUNDUP(AP466,0)</f>
        <v>55</v>
      </c>
      <c r="AR466" s="16" t="n">
        <v>22</v>
      </c>
      <c r="AS466" s="16" t="n">
        <f aca="false">AR466+AP466</f>
        <v>76.6</v>
      </c>
      <c r="AT466" s="16" t="n">
        <f aca="false">AR466+AQ466</f>
        <v>77</v>
      </c>
      <c r="AU466" s="16" t="n">
        <f aca="false">AO466+AF466+AI466+AH466+AG466</f>
        <v>427</v>
      </c>
      <c r="AV466" s="16" t="n">
        <f aca="false">(AO466+AF466+AI466+AH466+AG466)/5</f>
        <v>85.4</v>
      </c>
      <c r="AW466" s="36" t="n">
        <f aca="false">(AO466+AF466+AI466+AH466+AG466+X466+R466+Q466+K466+J466)</f>
        <v>784</v>
      </c>
      <c r="AX466" s="16" t="n">
        <f aca="false">AW466/10</f>
        <v>78.4</v>
      </c>
      <c r="AY466" s="16" t="n">
        <f aca="false">AS466+AF466+AM466+AH466+AG466+AB466+V466+Q466+O466+J466</f>
        <v>779.2</v>
      </c>
      <c r="AZ466" s="16" t="n">
        <f aca="false">AT466+AF466+AN466+AH466+AG466+AC466+W466+Q466+P466+J466</f>
        <v>782</v>
      </c>
      <c r="BA466" s="16" t="n">
        <f aca="false">AY466/10</f>
        <v>77.92</v>
      </c>
      <c r="BB466" s="16" t="n">
        <f aca="false">AZ466/10</f>
        <v>78.2</v>
      </c>
      <c r="BC466" s="16" t="n">
        <v>2393</v>
      </c>
      <c r="BD466" s="16" t="n">
        <f aca="false">RANK(AX466,$AX$2:$AX$881,0)</f>
        <v>385</v>
      </c>
      <c r="BE466" s="54" t="n">
        <f aca="false">((BC466*100)/2400)*0.4+(AX466*0.6)</f>
        <v>86.9233333333333</v>
      </c>
      <c r="BF466" s="16" t="n">
        <f aca="false">RANK(BE466,$BE$2:$BE$881,0)</f>
        <v>306</v>
      </c>
      <c r="BG466" s="39" t="n">
        <f aca="false">RANK(BB466,$BB$2:$BB$881,0)</f>
        <v>541</v>
      </c>
      <c r="BH466" s="39" t="n">
        <f aca="false">RANK(BC466,$BC$2:$BC$881,0)</f>
        <v>21</v>
      </c>
      <c r="BI466" s="22" t="s">
        <v>130</v>
      </c>
      <c r="BJ466" s="22" t="s">
        <v>129</v>
      </c>
      <c r="BK466" s="40" t="s">
        <v>131</v>
      </c>
      <c r="BL466" s="41" t="n">
        <v>15</v>
      </c>
      <c r="BM466" s="41" t="n">
        <v>57</v>
      </c>
      <c r="BN466" s="41" t="n">
        <v>72</v>
      </c>
      <c r="BO466" s="42" t="n">
        <v>22</v>
      </c>
      <c r="BP466" s="43" t="n">
        <v>60</v>
      </c>
      <c r="BQ466" s="44" t="n">
        <v>82</v>
      </c>
      <c r="BR466" s="42" t="n">
        <v>20</v>
      </c>
      <c r="BS466" s="45" t="n">
        <v>47</v>
      </c>
      <c r="BT466" s="45" t="n">
        <v>67</v>
      </c>
      <c r="BU466" s="46" t="n">
        <v>100</v>
      </c>
      <c r="BV466" s="47" t="n">
        <v>82</v>
      </c>
      <c r="BW466" s="42" t="n">
        <v>96</v>
      </c>
      <c r="BX466" s="48" t="n">
        <v>90</v>
      </c>
      <c r="BY466" s="32" t="n">
        <v>25</v>
      </c>
      <c r="BZ466" s="32" t="n">
        <v>51</v>
      </c>
      <c r="CA466" s="32" t="n">
        <v>76</v>
      </c>
      <c r="CB466" s="32" t="n">
        <v>23</v>
      </c>
      <c r="CC466" s="32" t="n">
        <v>31</v>
      </c>
      <c r="CD466" s="69" t="n">
        <v>54</v>
      </c>
      <c r="CE466" s="32" t="n">
        <v>25</v>
      </c>
      <c r="CF466" s="32" t="n">
        <v>38</v>
      </c>
      <c r="CG466" s="32" t="n">
        <v>63</v>
      </c>
      <c r="CH466" s="32" t="n">
        <v>95</v>
      </c>
      <c r="CI466" s="32" t="n">
        <v>90</v>
      </c>
      <c r="CJ466" s="49" t="n">
        <v>20</v>
      </c>
      <c r="CK466" s="49" t="n">
        <v>47</v>
      </c>
      <c r="CL466" s="49" t="n">
        <v>67</v>
      </c>
      <c r="CM466" s="49" t="n">
        <v>25</v>
      </c>
      <c r="CN466" s="49" t="n">
        <v>40</v>
      </c>
      <c r="CO466" s="49" t="n">
        <v>65</v>
      </c>
      <c r="CP466" s="25" t="n">
        <f aca="false">BX466+BW466+BV466+BU466+BT466+BQ466+BN466</f>
        <v>589</v>
      </c>
      <c r="CQ466" s="25" t="n">
        <f aca="false">CO466+CL466+CI466+CH466+CG466+CD466+CA466</f>
        <v>510</v>
      </c>
      <c r="CR466" s="26" t="n">
        <f aca="false">CP466/7</f>
        <v>84.1428571428571</v>
      </c>
      <c r="CS466" s="26" t="n">
        <f aca="false">CQ466/7</f>
        <v>72.8571428571429</v>
      </c>
      <c r="CT466" s="24" t="n">
        <f aca="false">RANK(CR466,$CR$2:$CR$881,0)</f>
        <v>474</v>
      </c>
      <c r="CU466" s="25" t="n">
        <f aca="false">RANK(CS466,$CS$2:$CS$881,0)</f>
        <v>486</v>
      </c>
      <c r="CV466" s="26" t="n">
        <f aca="false">(CS466+CR466)/2</f>
        <v>78.5</v>
      </c>
      <c r="CW466" s="25" t="n">
        <f aca="false">RANK(CV466,$CV$2:$CV$881,0)</f>
        <v>479</v>
      </c>
      <c r="CX466" s="50" t="n">
        <f aca="false">(CV466+BB466)/2</f>
        <v>78.35</v>
      </c>
      <c r="CY466" s="50" t="n">
        <v>455</v>
      </c>
      <c r="CZ466" s="27" t="s">
        <v>132</v>
      </c>
      <c r="DA466" s="27" t="s">
        <v>398</v>
      </c>
      <c r="DB466" s="27" t="s">
        <v>398</v>
      </c>
      <c r="DC466" s="27" t="s">
        <v>134</v>
      </c>
      <c r="DD466" s="27" t="s">
        <v>264</v>
      </c>
      <c r="DE466" s="27" t="s">
        <v>306</v>
      </c>
      <c r="DF466" s="27" t="s">
        <v>372</v>
      </c>
      <c r="DG466" s="27" t="s">
        <v>134</v>
      </c>
      <c r="DH466" s="27" t="s">
        <v>137</v>
      </c>
      <c r="DI466" s="27" t="s">
        <v>442</v>
      </c>
      <c r="DJ466" s="27" t="s">
        <v>441</v>
      </c>
      <c r="DK466" s="27" t="s">
        <v>134</v>
      </c>
      <c r="DL466" s="27" t="s">
        <v>154</v>
      </c>
      <c r="DM466" s="27" t="s">
        <v>304</v>
      </c>
      <c r="DN466" s="27" t="s">
        <v>382</v>
      </c>
      <c r="DO466" s="27" t="s">
        <v>134</v>
      </c>
      <c r="DP466" s="27" t="s">
        <v>604</v>
      </c>
      <c r="DQ466" s="27" t="s">
        <v>447</v>
      </c>
      <c r="DR466" s="27" t="s">
        <v>138</v>
      </c>
      <c r="DS466" s="27" t="s">
        <v>134</v>
      </c>
      <c r="DT466" s="27" t="s">
        <v>164</v>
      </c>
      <c r="DU466" s="27" t="s">
        <v>989</v>
      </c>
      <c r="DV466" s="27" t="s">
        <v>138</v>
      </c>
      <c r="DW466" s="27" t="s">
        <v>174</v>
      </c>
      <c r="DX466" s="27" t="s">
        <v>141</v>
      </c>
      <c r="DY466" s="27" t="s">
        <v>162</v>
      </c>
      <c r="DZ466" s="27" t="n">
        <f aca="false">DY466+DV466+DR466+DN466+DJ466+DF466+DB466</f>
        <v>525</v>
      </c>
      <c r="EA466" s="28" t="n">
        <f aca="false">DZ466/7</f>
        <v>75</v>
      </c>
      <c r="EB466" s="27" t="n">
        <f aca="false">RANK(EA466,$EA$2:$EA$881,0)</f>
        <v>540</v>
      </c>
      <c r="EC466" s="29" t="n">
        <f aca="false">DZ466+CQ466+CP466+AZ466</f>
        <v>2406</v>
      </c>
      <c r="ED466" s="30" t="n">
        <f aca="false">(EA466+CV466+BB466)/3</f>
        <v>77.2333333333333</v>
      </c>
      <c r="EE466" s="51" t="n">
        <f aca="false">ROUND(BE466,3)</f>
        <v>86.923</v>
      </c>
      <c r="EF466" s="51" t="n">
        <f aca="false">ROUND(CR466,3)</f>
        <v>84.143</v>
      </c>
      <c r="EG466" s="51" t="n">
        <f aca="false">ROUND(CS466,3)</f>
        <v>72.857</v>
      </c>
      <c r="EH466" s="51" t="n">
        <f aca="false">ROUND(EA466,3)</f>
        <v>75</v>
      </c>
      <c r="EI466" s="51" t="n">
        <f aca="false">ROUND(ED466,3)</f>
        <v>77.233</v>
      </c>
      <c r="EJ466" s="51" t="n">
        <f aca="false">ROUND(CV466,3)</f>
        <v>78.5</v>
      </c>
      <c r="EK466" s="0" t="n">
        <f aca="false">RANK(EI466,$EI$2:$EI$881,0)</f>
        <v>465</v>
      </c>
    </row>
    <row r="467" customFormat="false" ht="15" hidden="false" customHeight="false" outlineLevel="0" collapsed="false">
      <c r="A467" s="4" t="n">
        <v>1866</v>
      </c>
      <c r="B467" s="4" t="n">
        <v>323</v>
      </c>
      <c r="C467" s="27" t="s">
        <v>1447</v>
      </c>
      <c r="D467" s="31" t="n">
        <v>325</v>
      </c>
      <c r="E467" s="16" t="n">
        <v>230617546</v>
      </c>
      <c r="F467" s="56" t="s">
        <v>1448</v>
      </c>
      <c r="G467" s="22" t="s">
        <v>1449</v>
      </c>
      <c r="H467" s="22" t="s">
        <v>558</v>
      </c>
      <c r="I467" s="57"/>
      <c r="J467" s="16" t="n">
        <v>75</v>
      </c>
      <c r="K467" s="16" t="n">
        <v>70</v>
      </c>
      <c r="L467" s="34" t="n">
        <f aca="false">(K467*70)/100</f>
        <v>49</v>
      </c>
      <c r="M467" s="34" t="n">
        <f aca="false">ROUNDUP(L467,0)</f>
        <v>49</v>
      </c>
      <c r="N467" s="16" t="n">
        <v>28</v>
      </c>
      <c r="O467" s="34" t="n">
        <f aca="false">N467+L467</f>
        <v>77</v>
      </c>
      <c r="P467" s="34" t="n">
        <f aca="false">N467+M467</f>
        <v>77</v>
      </c>
      <c r="Q467" s="16" t="n">
        <v>71</v>
      </c>
      <c r="R467" s="16" t="n">
        <v>71</v>
      </c>
      <c r="S467" s="34" t="n">
        <f aca="false">(R467*70)/100</f>
        <v>49.7</v>
      </c>
      <c r="T467" s="34" t="n">
        <f aca="false">ROUNDUP(S467,0)</f>
        <v>50</v>
      </c>
      <c r="U467" s="16" t="n">
        <v>28</v>
      </c>
      <c r="V467" s="34" t="n">
        <f aca="false">U467+S467</f>
        <v>77.7</v>
      </c>
      <c r="W467" s="34" t="n">
        <f aca="false">U467+T467</f>
        <v>78</v>
      </c>
      <c r="X467" s="16" t="n">
        <v>64</v>
      </c>
      <c r="Y467" s="34" t="n">
        <f aca="false">(X467*70)/100</f>
        <v>44.8</v>
      </c>
      <c r="Z467" s="34" t="n">
        <f aca="false">ROUNDUP(Y467,0)</f>
        <v>45</v>
      </c>
      <c r="AA467" s="16" t="n">
        <v>29</v>
      </c>
      <c r="AB467" s="34" t="n">
        <f aca="false">AA467+Y467</f>
        <v>73.8</v>
      </c>
      <c r="AC467" s="34" t="n">
        <f aca="false">AA467+Z467</f>
        <v>74</v>
      </c>
      <c r="AD467" s="32" t="n">
        <f aca="false">X467+R467+Q467+K467+J467</f>
        <v>351</v>
      </c>
      <c r="AE467" s="16" t="n">
        <f aca="false">AD467/5</f>
        <v>70.2</v>
      </c>
      <c r="AF467" s="16" t="n">
        <v>72</v>
      </c>
      <c r="AG467" s="16" t="n">
        <v>83</v>
      </c>
      <c r="AH467" s="16" t="n">
        <v>96</v>
      </c>
      <c r="AI467" s="16" t="n">
        <v>90</v>
      </c>
      <c r="AJ467" s="16" t="n">
        <f aca="false">(AI467*70)/100</f>
        <v>63</v>
      </c>
      <c r="AK467" s="35" t="n">
        <f aca="false">ROUNDUP(AJ467,0)</f>
        <v>63</v>
      </c>
      <c r="AL467" s="16" t="n">
        <v>25</v>
      </c>
      <c r="AM467" s="16" t="n">
        <f aca="false">AL467+AJ467</f>
        <v>88</v>
      </c>
      <c r="AN467" s="16" t="n">
        <f aca="false">AL467+AK467</f>
        <v>88</v>
      </c>
      <c r="AO467" s="16" t="n">
        <v>75</v>
      </c>
      <c r="AP467" s="36" t="n">
        <f aca="false">(AO467*70)/100</f>
        <v>52.5</v>
      </c>
      <c r="AQ467" s="37" t="n">
        <f aca="false">ROUNDUP(AP467,0)</f>
        <v>53</v>
      </c>
      <c r="AR467" s="16" t="n">
        <v>27</v>
      </c>
      <c r="AS467" s="16" t="n">
        <f aca="false">AR467+AP467</f>
        <v>79.5</v>
      </c>
      <c r="AT467" s="16" t="n">
        <f aca="false">AR467+AQ467</f>
        <v>80</v>
      </c>
      <c r="AU467" s="16" t="n">
        <f aca="false">AO467+AF467+AI467+AH467+AG467</f>
        <v>416</v>
      </c>
      <c r="AV467" s="16" t="n">
        <f aca="false">(AO467+AF467+AI467+AH467+AG467)/5</f>
        <v>83.2</v>
      </c>
      <c r="AW467" s="36" t="n">
        <f aca="false">(AO467+AF467+AI467+AH467+AG467+X467+R467+Q467+K467+J467)</f>
        <v>767</v>
      </c>
      <c r="AX467" s="16" t="n">
        <f aca="false">AW467/10</f>
        <v>76.7</v>
      </c>
      <c r="AY467" s="16" t="n">
        <f aca="false">AS467+AF467+AM467+AH467+AG467+AB467+V467+Q467+O467+J467</f>
        <v>793</v>
      </c>
      <c r="AZ467" s="16" t="n">
        <f aca="false">AT467+AF467+AN467+AH467+AG467+AC467+W467+Q467+P467+J467</f>
        <v>794</v>
      </c>
      <c r="BA467" s="16" t="n">
        <f aca="false">AY467/10</f>
        <v>79.3</v>
      </c>
      <c r="BB467" s="16" t="n">
        <f aca="false">AZ467/10</f>
        <v>79.4</v>
      </c>
      <c r="BC467" s="16" t="n">
        <v>2382</v>
      </c>
      <c r="BD467" s="16" t="n">
        <f aca="false">RANK(AX467,$AX$2:$AX$881,0)</f>
        <v>536</v>
      </c>
      <c r="BE467" s="54" t="n">
        <f aca="false">((BC467*100)/2400)*0.4+(AX467*0.6)</f>
        <v>85.72</v>
      </c>
      <c r="BF467" s="16" t="n">
        <f aca="false">RANK(BE467,$BE$2:$BE$881,0)</f>
        <v>477</v>
      </c>
      <c r="BG467" s="39" t="n">
        <f aca="false">RANK(BB467,$BB$2:$BB$881,0)</f>
        <v>414</v>
      </c>
      <c r="BH467" s="39" t="n">
        <f aca="false">RANK(BC467,$BC$2:$BC$881,0)</f>
        <v>124</v>
      </c>
      <c r="BI467" s="22" t="s">
        <v>130</v>
      </c>
      <c r="BJ467" s="22" t="s">
        <v>129</v>
      </c>
      <c r="BK467" s="40" t="s">
        <v>509</v>
      </c>
      <c r="BL467" s="41" t="n">
        <v>17</v>
      </c>
      <c r="BM467" s="41" t="n">
        <v>52</v>
      </c>
      <c r="BN467" s="41" t="n">
        <v>69</v>
      </c>
      <c r="BO467" s="42" t="n">
        <v>26</v>
      </c>
      <c r="BP467" s="43" t="n">
        <v>49</v>
      </c>
      <c r="BQ467" s="44" t="n">
        <v>75</v>
      </c>
      <c r="BR467" s="42" t="n">
        <v>24</v>
      </c>
      <c r="BS467" s="45" t="n">
        <v>52</v>
      </c>
      <c r="BT467" s="45" t="n">
        <v>76</v>
      </c>
      <c r="BU467" s="46" t="n">
        <v>100</v>
      </c>
      <c r="BV467" s="47" t="n">
        <v>88</v>
      </c>
      <c r="BW467" s="42" t="n">
        <v>98</v>
      </c>
      <c r="BX467" s="88" t="n">
        <v>90</v>
      </c>
      <c r="BY467" s="65" t="n">
        <v>25</v>
      </c>
      <c r="BZ467" s="58" t="n">
        <v>65</v>
      </c>
      <c r="CA467" s="108" t="n">
        <v>90</v>
      </c>
      <c r="CB467" s="59" t="n">
        <v>9</v>
      </c>
      <c r="CC467" s="58" t="n">
        <v>18</v>
      </c>
      <c r="CD467" s="58" t="n">
        <v>27</v>
      </c>
      <c r="CE467" s="58" t="n">
        <v>23</v>
      </c>
      <c r="CF467" s="58" t="n">
        <v>44</v>
      </c>
      <c r="CG467" s="58" t="n">
        <v>67</v>
      </c>
      <c r="CH467" s="58" t="n">
        <v>98</v>
      </c>
      <c r="CI467" s="58" t="n">
        <v>96</v>
      </c>
      <c r="CJ467" s="58" t="n">
        <v>21</v>
      </c>
      <c r="CK467" s="58" t="n">
        <v>63</v>
      </c>
      <c r="CL467" s="59" t="n">
        <v>84</v>
      </c>
      <c r="CM467" s="60"/>
      <c r="CN467" s="60"/>
      <c r="CO467" s="60"/>
      <c r="CP467" s="25" t="n">
        <f aca="false">BX467+BW467+BV467+BU467+BT467+BQ467+BN467</f>
        <v>596</v>
      </c>
      <c r="CQ467" s="25" t="n">
        <f aca="false">CO467+CL467+CI467+CH467+CG467+CD467+CA467</f>
        <v>462</v>
      </c>
      <c r="CR467" s="26" t="n">
        <f aca="false">CP467/7</f>
        <v>85.1428571428571</v>
      </c>
      <c r="CS467" s="26" t="n">
        <f aca="false">CQ467/7</f>
        <v>66</v>
      </c>
      <c r="CT467" s="24" t="n">
        <f aca="false">RANK(CR467,$CR$2:$CR$881,0)</f>
        <v>431</v>
      </c>
      <c r="CU467" s="25" t="n">
        <f aca="false">RANK(CS467,$CS$2:$CS$881,0)</f>
        <v>613</v>
      </c>
      <c r="CV467" s="26" t="n">
        <f aca="false">(CS467+CR467)/2</f>
        <v>75.5714285714286</v>
      </c>
      <c r="CW467" s="25" t="n">
        <f aca="false">RANK(CV467,$CV$2:$CV$881,0)</f>
        <v>548</v>
      </c>
      <c r="CX467" s="50" t="n">
        <f aca="false">(CV467+BB467)/2</f>
        <v>77.4857142857143</v>
      </c>
      <c r="CY467" s="50" t="n">
        <v>656</v>
      </c>
      <c r="CZ467" s="27" t="s">
        <v>132</v>
      </c>
      <c r="DA467" s="27" t="s">
        <v>142</v>
      </c>
      <c r="DB467" s="27" t="s">
        <v>142</v>
      </c>
      <c r="DC467" s="27" t="s">
        <v>134</v>
      </c>
      <c r="DD467" s="27" t="s">
        <v>195</v>
      </c>
      <c r="DE467" s="27" t="s">
        <v>136</v>
      </c>
      <c r="DF467" s="27" t="s">
        <v>209</v>
      </c>
      <c r="DG467" s="27" t="s">
        <v>134</v>
      </c>
      <c r="DH467" s="27" t="s">
        <v>140</v>
      </c>
      <c r="DI467" s="27" t="s">
        <v>163</v>
      </c>
      <c r="DJ467" s="27" t="s">
        <v>156</v>
      </c>
      <c r="DK467" s="27" t="s">
        <v>134</v>
      </c>
      <c r="DL467" s="27" t="s">
        <v>182</v>
      </c>
      <c r="DM467" s="27" t="s">
        <v>313</v>
      </c>
      <c r="DN467" s="27" t="s">
        <v>443</v>
      </c>
      <c r="DO467" s="27" t="s">
        <v>134</v>
      </c>
      <c r="DP467" s="27"/>
      <c r="DQ467" s="27"/>
      <c r="DR467" s="27"/>
      <c r="DS467" s="27"/>
      <c r="DT467" s="27" t="s">
        <v>137</v>
      </c>
      <c r="DU467" s="27" t="s">
        <v>161</v>
      </c>
      <c r="DV467" s="27" t="s">
        <v>178</v>
      </c>
      <c r="DW467" s="27" t="s">
        <v>146</v>
      </c>
      <c r="DX467" s="27" t="s">
        <v>155</v>
      </c>
      <c r="DY467" s="27" t="s">
        <v>165</v>
      </c>
      <c r="DZ467" s="27" t="n">
        <f aca="false">DY467+DV467+DR467+DN467+DJ467+DF467+DB467</f>
        <v>537</v>
      </c>
      <c r="EA467" s="28" t="n">
        <f aca="false">DZ467/7</f>
        <v>76.7142857142857</v>
      </c>
      <c r="EB467" s="27" t="n">
        <f aca="false">RANK(EA467,$EA$2:$EA$881,0)</f>
        <v>496</v>
      </c>
      <c r="EC467" s="29" t="n">
        <f aca="false">DZ467+CQ467+CP467+AZ467</f>
        <v>2389</v>
      </c>
      <c r="ED467" s="30" t="n">
        <f aca="false">(EA467+CV467+BB467)/3</f>
        <v>77.2285714285714</v>
      </c>
      <c r="EE467" s="51" t="n">
        <f aca="false">ROUND(BE467,3)</f>
        <v>85.72</v>
      </c>
      <c r="EF467" s="51" t="n">
        <f aca="false">ROUND(CR467,3)</f>
        <v>85.143</v>
      </c>
      <c r="EG467" s="51" t="n">
        <f aca="false">ROUND(CS467,3)</f>
        <v>66</v>
      </c>
      <c r="EH467" s="51" t="n">
        <f aca="false">ROUND(EA467,3)</f>
        <v>76.714</v>
      </c>
      <c r="EI467" s="51" t="n">
        <f aca="false">ROUND(ED467,3)</f>
        <v>77.229</v>
      </c>
      <c r="EJ467" s="51" t="n">
        <f aca="false">ROUND(CV467,3)</f>
        <v>75.571</v>
      </c>
      <c r="EK467" s="0" t="n">
        <f aca="false">RANK(EI467,$EI$2:$EI$881,0)</f>
        <v>466</v>
      </c>
    </row>
    <row r="468" customFormat="false" ht="15" hidden="false" customHeight="false" outlineLevel="0" collapsed="false">
      <c r="A468" s="4" t="n">
        <v>9091</v>
      </c>
      <c r="B468" s="4" t="n">
        <v>28</v>
      </c>
      <c r="C468" s="27" t="s">
        <v>1450</v>
      </c>
      <c r="D468" s="52" t="n">
        <v>28</v>
      </c>
      <c r="E468" s="32" t="n">
        <v>230312789</v>
      </c>
      <c r="F468" s="8" t="s">
        <v>1451</v>
      </c>
      <c r="G468" s="22" t="s">
        <v>1452</v>
      </c>
      <c r="H468" s="22" t="s">
        <v>129</v>
      </c>
      <c r="I468" s="33" t="n">
        <v>2006</v>
      </c>
      <c r="J468" s="32" t="n">
        <v>69</v>
      </c>
      <c r="K468" s="32" t="n">
        <v>60</v>
      </c>
      <c r="L468" s="34" t="n">
        <f aca="false">(K468*70)/100</f>
        <v>42</v>
      </c>
      <c r="M468" s="34" t="n">
        <f aca="false">ROUNDUP(L468,0)</f>
        <v>42</v>
      </c>
      <c r="N468" s="32" t="n">
        <v>23</v>
      </c>
      <c r="O468" s="34" t="n">
        <f aca="false">N468+L468</f>
        <v>65</v>
      </c>
      <c r="P468" s="34" t="n">
        <f aca="false">N468+M468</f>
        <v>65</v>
      </c>
      <c r="Q468" s="68" t="n">
        <v>59</v>
      </c>
      <c r="R468" s="32" t="n">
        <v>70</v>
      </c>
      <c r="S468" s="34" t="n">
        <f aca="false">(R468*70)/100</f>
        <v>49</v>
      </c>
      <c r="T468" s="34" t="n">
        <f aca="false">ROUNDUP(S468,0)</f>
        <v>49</v>
      </c>
      <c r="U468" s="32" t="n">
        <v>15</v>
      </c>
      <c r="V468" s="34" t="n">
        <f aca="false">U468+S468</f>
        <v>64</v>
      </c>
      <c r="W468" s="34" t="n">
        <f aca="false">U468+T468</f>
        <v>64</v>
      </c>
      <c r="X468" s="32" t="n">
        <v>63</v>
      </c>
      <c r="Y468" s="34" t="n">
        <f aca="false">(X468*70)/100</f>
        <v>44.1</v>
      </c>
      <c r="Z468" s="34" t="n">
        <f aca="false">ROUNDUP(Y468,0)</f>
        <v>45</v>
      </c>
      <c r="AA468" s="32" t="n">
        <v>25</v>
      </c>
      <c r="AB468" s="34" t="n">
        <f aca="false">AA468+Y468</f>
        <v>69.1</v>
      </c>
      <c r="AC468" s="34" t="n">
        <f aca="false">AA468+Z468</f>
        <v>70</v>
      </c>
      <c r="AD468" s="32" t="n">
        <f aca="false">X468+R468+Q468+K468+J468</f>
        <v>321</v>
      </c>
      <c r="AE468" s="16" t="n">
        <f aca="false">AD468/5</f>
        <v>64.2</v>
      </c>
      <c r="AF468" s="16" t="n">
        <v>74</v>
      </c>
      <c r="AG468" s="71" t="n">
        <v>58</v>
      </c>
      <c r="AH468" s="16" t="n">
        <v>81</v>
      </c>
      <c r="AI468" s="16" t="n">
        <v>93</v>
      </c>
      <c r="AJ468" s="16" t="n">
        <f aca="false">(AI468*70)/100</f>
        <v>65.1</v>
      </c>
      <c r="AK468" s="35" t="n">
        <f aca="false">ROUNDUP(AJ468,0)</f>
        <v>66</v>
      </c>
      <c r="AL468" s="16" t="n">
        <v>25</v>
      </c>
      <c r="AM468" s="16" t="n">
        <f aca="false">AL468+AJ468</f>
        <v>90.1</v>
      </c>
      <c r="AN468" s="16" t="n">
        <f aca="false">AL468+AK468</f>
        <v>91</v>
      </c>
      <c r="AO468" s="16" t="n">
        <v>62</v>
      </c>
      <c r="AP468" s="36" t="n">
        <f aca="false">(AO468*70)/100</f>
        <v>43.4</v>
      </c>
      <c r="AQ468" s="37" t="n">
        <f aca="false">ROUNDUP(AP468,0)</f>
        <v>44</v>
      </c>
      <c r="AR468" s="16" t="n">
        <v>26</v>
      </c>
      <c r="AS468" s="16" t="n">
        <f aca="false">AR468+AP468</f>
        <v>69.4</v>
      </c>
      <c r="AT468" s="16" t="n">
        <f aca="false">AR468+AQ468</f>
        <v>70</v>
      </c>
      <c r="AU468" s="16" t="n">
        <f aca="false">AO468+AF468+AI468+AH468+AG468</f>
        <v>368</v>
      </c>
      <c r="AV468" s="16" t="n">
        <f aca="false">(AO468+AF468+AI468+AH468+AG468)/5</f>
        <v>73.6</v>
      </c>
      <c r="AW468" s="36" t="n">
        <f aca="false">(AO468+AF468+AI468+AH468+AG468+X468+R468+Q468+K468+J468)</f>
        <v>689</v>
      </c>
      <c r="AX468" s="16" t="n">
        <f aca="false">AW468/10</f>
        <v>68.9</v>
      </c>
      <c r="AY468" s="16" t="n">
        <f aca="false">AS468+AF468+AM468+AH468+AG468+AB468+V468+Q468+O468+J468</f>
        <v>698.6</v>
      </c>
      <c r="AZ468" s="16" t="n">
        <f aca="false">AT468+AF468+AN468+AH468+AG468+AC468+W468+Q468+P468+J468</f>
        <v>701</v>
      </c>
      <c r="BA468" s="16" t="n">
        <f aca="false">AY468/10</f>
        <v>69.86</v>
      </c>
      <c r="BB468" s="16" t="n">
        <f aca="false">AZ468/10</f>
        <v>70.1</v>
      </c>
      <c r="BC468" s="16" t="n">
        <v>2179</v>
      </c>
      <c r="BD468" s="16" t="n">
        <f aca="false">RANK(AX468,$AX$2:$AX$881,0)</f>
        <v>743</v>
      </c>
      <c r="BE468" s="78" t="n">
        <f aca="false">((BC468*100)/2400)*0.4+(AX468*0.6)</f>
        <v>77.6566666666667</v>
      </c>
      <c r="BF468" s="16" t="n">
        <f aca="false">RANK(BE468,$BE$2:$BE$881,0)</f>
        <v>752</v>
      </c>
      <c r="BG468" s="39" t="n">
        <f aca="false">RANK(BB468,$BB$2:$BB$881,0)</f>
        <v>743</v>
      </c>
      <c r="BH468" s="39" t="n">
        <f aca="false">RANK(BC468,$BC$2:$BC$881,0)</f>
        <v>771</v>
      </c>
      <c r="BI468" s="22" t="s">
        <v>130</v>
      </c>
      <c r="BJ468" s="22" t="s">
        <v>129</v>
      </c>
      <c r="BK468" s="40" t="s">
        <v>702</v>
      </c>
      <c r="BL468" s="41" t="n">
        <v>17</v>
      </c>
      <c r="BM468" s="41" t="n">
        <v>59</v>
      </c>
      <c r="BN468" s="41" t="n">
        <v>76</v>
      </c>
      <c r="BO468" s="42" t="n">
        <v>25</v>
      </c>
      <c r="BP468" s="43" t="n">
        <v>62</v>
      </c>
      <c r="BQ468" s="44" t="n">
        <v>87</v>
      </c>
      <c r="BR468" s="42" t="n">
        <v>22</v>
      </c>
      <c r="BS468" s="45" t="n">
        <v>57</v>
      </c>
      <c r="BT468" s="45" t="n">
        <v>79</v>
      </c>
      <c r="BU468" s="46" t="n">
        <v>100</v>
      </c>
      <c r="BV468" s="47" t="n">
        <v>66</v>
      </c>
      <c r="BW468" s="42" t="n">
        <v>98</v>
      </c>
      <c r="BX468" s="48" t="n">
        <v>80</v>
      </c>
      <c r="BY468" s="32" t="n">
        <v>20</v>
      </c>
      <c r="BZ468" s="32" t="n">
        <v>53</v>
      </c>
      <c r="CA468" s="32" t="n">
        <v>73</v>
      </c>
      <c r="CB468" s="32" t="n">
        <v>25</v>
      </c>
      <c r="CC468" s="32" t="n">
        <v>41</v>
      </c>
      <c r="CD468" s="32" t="n">
        <v>66</v>
      </c>
      <c r="CE468" s="32" t="n">
        <v>23</v>
      </c>
      <c r="CF468" s="32" t="n">
        <v>51</v>
      </c>
      <c r="CG468" s="32" t="n">
        <v>74</v>
      </c>
      <c r="CH468" s="32" t="n">
        <v>96</v>
      </c>
      <c r="CI468" s="32" t="n">
        <v>93</v>
      </c>
      <c r="CJ468" s="49" t="n">
        <v>13</v>
      </c>
      <c r="CK468" s="49" t="n">
        <v>51</v>
      </c>
      <c r="CL468" s="49" t="n">
        <v>64</v>
      </c>
      <c r="CM468" s="49" t="n">
        <v>22</v>
      </c>
      <c r="CN468" s="49" t="n">
        <v>49</v>
      </c>
      <c r="CO468" s="49" t="n">
        <v>71</v>
      </c>
      <c r="CP468" s="25" t="n">
        <f aca="false">BX468+BW468+BV468+BU468+BT468+BQ468+BN468</f>
        <v>586</v>
      </c>
      <c r="CQ468" s="25" t="n">
        <f aca="false">CO468+CL468+CI468+CH468+CG468+CD468+CA468</f>
        <v>537</v>
      </c>
      <c r="CR468" s="26" t="n">
        <f aca="false">CP468/7</f>
        <v>83.7142857142857</v>
      </c>
      <c r="CS468" s="26" t="n">
        <f aca="false">CQ468/7</f>
        <v>76.7142857142857</v>
      </c>
      <c r="CT468" s="24" t="n">
        <f aca="false">RANK(CR468,$CR$2:$CR$881,0)</f>
        <v>495</v>
      </c>
      <c r="CU468" s="25" t="n">
        <f aca="false">RANK(CS468,$CS$2:$CS$881,0)</f>
        <v>375</v>
      </c>
      <c r="CV468" s="26" t="n">
        <f aca="false">(CS468+CR468)/2</f>
        <v>80.2142857142857</v>
      </c>
      <c r="CW468" s="25" t="n">
        <f aca="false">RANK(CV468,$CV$2:$CV$881,0)</f>
        <v>419</v>
      </c>
      <c r="CX468" s="50" t="n">
        <f aca="false">(CV468+BB468)/2</f>
        <v>75.1571428571428</v>
      </c>
      <c r="CY468" s="50" t="n">
        <v>555</v>
      </c>
      <c r="CZ468" s="27" t="s">
        <v>132</v>
      </c>
      <c r="DA468" s="27" t="s">
        <v>169</v>
      </c>
      <c r="DB468" s="27" t="s">
        <v>169</v>
      </c>
      <c r="DC468" s="27" t="s">
        <v>134</v>
      </c>
      <c r="DD468" s="27" t="s">
        <v>182</v>
      </c>
      <c r="DE468" s="27" t="s">
        <v>304</v>
      </c>
      <c r="DF468" s="27" t="s">
        <v>305</v>
      </c>
      <c r="DG468" s="27" t="s">
        <v>134</v>
      </c>
      <c r="DH468" s="27" t="s">
        <v>154</v>
      </c>
      <c r="DI468" s="27" t="s">
        <v>412</v>
      </c>
      <c r="DJ468" s="27" t="s">
        <v>372</v>
      </c>
      <c r="DK468" s="27" t="s">
        <v>134</v>
      </c>
      <c r="DL468" s="27" t="s">
        <v>164</v>
      </c>
      <c r="DM468" s="27" t="s">
        <v>304</v>
      </c>
      <c r="DN468" s="27" t="s">
        <v>196</v>
      </c>
      <c r="DO468" s="27" t="s">
        <v>134</v>
      </c>
      <c r="DP468" s="27" t="s">
        <v>386</v>
      </c>
      <c r="DQ468" s="27" t="s">
        <v>306</v>
      </c>
      <c r="DR468" s="27" t="s">
        <v>486</v>
      </c>
      <c r="DS468" s="27" t="s">
        <v>134</v>
      </c>
      <c r="DT468" s="27" t="s">
        <v>140</v>
      </c>
      <c r="DU468" s="27" t="s">
        <v>447</v>
      </c>
      <c r="DV468" s="27" t="s">
        <v>205</v>
      </c>
      <c r="DW468" s="27" t="s">
        <v>140</v>
      </c>
      <c r="DX468" s="27" t="s">
        <v>143</v>
      </c>
      <c r="DY468" s="27" t="s">
        <v>144</v>
      </c>
      <c r="DZ468" s="27" t="n">
        <f aca="false">DY468+DV468+DR468+DN468+DJ468+DF468+DB468</f>
        <v>568</v>
      </c>
      <c r="EA468" s="28" t="n">
        <f aca="false">DZ468/7</f>
        <v>81.1428571428571</v>
      </c>
      <c r="EB468" s="27" t="n">
        <f aca="false">RANK(EA468,$EA$2:$EA$881,0)</f>
        <v>342</v>
      </c>
      <c r="EC468" s="29" t="n">
        <f aca="false">DZ468+CQ468+CP468+AZ468</f>
        <v>2392</v>
      </c>
      <c r="ED468" s="30" t="n">
        <f aca="false">(EA468+CV468+BB468)/3</f>
        <v>77.1523809523809</v>
      </c>
      <c r="EE468" s="51" t="n">
        <f aca="false">ROUND(BE468,3)</f>
        <v>77.657</v>
      </c>
      <c r="EF468" s="51" t="n">
        <f aca="false">ROUND(CR468,3)</f>
        <v>83.714</v>
      </c>
      <c r="EG468" s="51" t="n">
        <f aca="false">ROUND(CS468,3)</f>
        <v>76.714</v>
      </c>
      <c r="EH468" s="51" t="n">
        <f aca="false">ROUND(EA468,3)</f>
        <v>81.143</v>
      </c>
      <c r="EI468" s="51" t="n">
        <f aca="false">ROUND(ED468,3)</f>
        <v>77.152</v>
      </c>
      <c r="EJ468" s="51" t="n">
        <f aca="false">ROUND(CV468,3)</f>
        <v>80.214</v>
      </c>
      <c r="EK468" s="0" t="n">
        <f aca="false">RANK(EI468,$EI$2:$EI$881,0)</f>
        <v>467</v>
      </c>
    </row>
    <row r="469" customFormat="false" ht="15" hidden="false" customHeight="false" outlineLevel="0" collapsed="false">
      <c r="A469" s="4" t="n">
        <v>1976</v>
      </c>
      <c r="B469" s="4" t="n">
        <v>743</v>
      </c>
      <c r="C469" s="27" t="s">
        <v>1453</v>
      </c>
      <c r="D469" s="31" t="n">
        <v>758</v>
      </c>
      <c r="E469" s="16" t="n">
        <v>230617751</v>
      </c>
      <c r="F469" s="56" t="s">
        <v>1454</v>
      </c>
      <c r="G469" s="22" t="s">
        <v>1455</v>
      </c>
      <c r="H469" s="22" t="s">
        <v>558</v>
      </c>
      <c r="I469" s="57"/>
      <c r="J469" s="16" t="n">
        <v>85</v>
      </c>
      <c r="K469" s="16" t="n">
        <v>78</v>
      </c>
      <c r="L469" s="34" t="n">
        <f aca="false">(K469*70)/100</f>
        <v>54.6</v>
      </c>
      <c r="M469" s="34" t="n">
        <f aca="false">ROUNDUP(L469,0)</f>
        <v>55</v>
      </c>
      <c r="N469" s="16" t="n">
        <v>24</v>
      </c>
      <c r="O469" s="34" t="n">
        <f aca="false">N469+L469</f>
        <v>78.6</v>
      </c>
      <c r="P469" s="34" t="n">
        <f aca="false">N469+M469</f>
        <v>79</v>
      </c>
      <c r="Q469" s="16" t="n">
        <v>75</v>
      </c>
      <c r="R469" s="16" t="n">
        <v>69</v>
      </c>
      <c r="S469" s="34" t="n">
        <f aca="false">(R469*70)/100</f>
        <v>48.3</v>
      </c>
      <c r="T469" s="34" t="n">
        <f aca="false">ROUNDUP(S469,0)</f>
        <v>49</v>
      </c>
      <c r="U469" s="16" t="n">
        <v>29</v>
      </c>
      <c r="V469" s="34" t="n">
        <f aca="false">U469+S469</f>
        <v>77.3</v>
      </c>
      <c r="W469" s="34" t="n">
        <f aca="false">U469+T469</f>
        <v>78</v>
      </c>
      <c r="X469" s="16" t="n">
        <v>68</v>
      </c>
      <c r="Y469" s="34" t="n">
        <f aca="false">(X469*70)/100</f>
        <v>47.6</v>
      </c>
      <c r="Z469" s="34" t="n">
        <f aca="false">ROUNDUP(Y469,0)</f>
        <v>48</v>
      </c>
      <c r="AA469" s="16" t="n">
        <v>25</v>
      </c>
      <c r="AB469" s="34" t="n">
        <f aca="false">AA469+Y469</f>
        <v>72.6</v>
      </c>
      <c r="AC469" s="34" t="n">
        <f aca="false">AA469+Z469</f>
        <v>73</v>
      </c>
      <c r="AD469" s="32" t="n">
        <f aca="false">X469+R469+Q469+K469+J469</f>
        <v>375</v>
      </c>
      <c r="AE469" s="16" t="n">
        <f aca="false">AD469/5</f>
        <v>75</v>
      </c>
      <c r="AF469" s="16" t="n">
        <v>69</v>
      </c>
      <c r="AG469" s="16" t="n">
        <v>85</v>
      </c>
      <c r="AH469" s="16" t="n">
        <v>82</v>
      </c>
      <c r="AI469" s="16" t="n">
        <v>81</v>
      </c>
      <c r="AJ469" s="16" t="n">
        <f aca="false">(AI469*70)/100</f>
        <v>56.7</v>
      </c>
      <c r="AK469" s="35" t="n">
        <f aca="false">ROUNDUP(AJ469,0)</f>
        <v>57</v>
      </c>
      <c r="AL469" s="16" t="n">
        <v>22</v>
      </c>
      <c r="AM469" s="16" t="n">
        <f aca="false">AL469+AJ469</f>
        <v>78.7</v>
      </c>
      <c r="AN469" s="16" t="n">
        <f aca="false">AL469+AK469</f>
        <v>79</v>
      </c>
      <c r="AO469" s="16" t="n">
        <v>65</v>
      </c>
      <c r="AP469" s="36" t="n">
        <f aca="false">(AO469*70)/100</f>
        <v>45.5</v>
      </c>
      <c r="AQ469" s="37" t="n">
        <f aca="false">ROUNDUP(AP469,0)</f>
        <v>46</v>
      </c>
      <c r="AR469" s="16" t="n">
        <v>28</v>
      </c>
      <c r="AS469" s="16" t="n">
        <f aca="false">AR469+AP469</f>
        <v>73.5</v>
      </c>
      <c r="AT469" s="16" t="n">
        <f aca="false">AR469+AQ469</f>
        <v>74</v>
      </c>
      <c r="AU469" s="16" t="n">
        <f aca="false">AO469+AF469+AI469+AH469+AG469</f>
        <v>382</v>
      </c>
      <c r="AV469" s="16" t="n">
        <f aca="false">(AO469+AF469+AI469+AH469+AG469)/5</f>
        <v>76.4</v>
      </c>
      <c r="AW469" s="36" t="n">
        <f aca="false">(AO469+AF469+AI469+AH469+AG469+X469+R469+Q469+K469+J469)</f>
        <v>757</v>
      </c>
      <c r="AX469" s="16" t="n">
        <f aca="false">AW469/10</f>
        <v>75.7</v>
      </c>
      <c r="AY469" s="16" t="n">
        <f aca="false">AS469+AF469+AM469+AH469+AG469+AB469+V469+Q469+O469+J469</f>
        <v>776.7</v>
      </c>
      <c r="AZ469" s="16" t="n">
        <f aca="false">AT469+AF469+AN469+AH469+AG469+AC469+W469+Q469+P469+J469</f>
        <v>779</v>
      </c>
      <c r="BA469" s="16" t="n">
        <f aca="false">AY469/10</f>
        <v>77.67</v>
      </c>
      <c r="BB469" s="16" t="n">
        <f aca="false">AZ469/10</f>
        <v>77.9</v>
      </c>
      <c r="BC469" s="16" t="n">
        <v>2379</v>
      </c>
      <c r="BD469" s="16" t="n">
        <f aca="false">RANK(AX469,$AX$2:$AX$881,0)</f>
        <v>640</v>
      </c>
      <c r="BE469" s="54" t="n">
        <f aca="false">((BC469*100)/2400)*0.4+(AX469*0.6)</f>
        <v>85.07</v>
      </c>
      <c r="BF469" s="16" t="n">
        <f aca="false">RANK(BE469,$BE$2:$BE$881,0)</f>
        <v>600</v>
      </c>
      <c r="BG469" s="39" t="n">
        <f aca="false">RANK(BB469,$BB$2:$BB$881,0)</f>
        <v>569</v>
      </c>
      <c r="BH469" s="39" t="n">
        <f aca="false">RANK(BC469,$BC$2:$BC$881,0)</f>
        <v>160</v>
      </c>
      <c r="BI469" s="22" t="s">
        <v>130</v>
      </c>
      <c r="BJ469" s="22" t="s">
        <v>129</v>
      </c>
      <c r="BK469" s="22" t="s">
        <v>509</v>
      </c>
      <c r="BL469" s="41" t="n">
        <v>18</v>
      </c>
      <c r="BM469" s="41" t="n">
        <v>48</v>
      </c>
      <c r="BN469" s="41" t="n">
        <v>66</v>
      </c>
      <c r="BO469" s="42" t="n">
        <v>25</v>
      </c>
      <c r="BP469" s="43" t="n">
        <v>51</v>
      </c>
      <c r="BQ469" s="44" t="n">
        <v>76</v>
      </c>
      <c r="BR469" s="42" t="n">
        <v>23</v>
      </c>
      <c r="BS469" s="45" t="n">
        <v>44</v>
      </c>
      <c r="BT469" s="45" t="n">
        <v>67</v>
      </c>
      <c r="BU469" s="46" t="n">
        <v>100</v>
      </c>
      <c r="BV469" s="47" t="n">
        <v>84</v>
      </c>
      <c r="BW469" s="42" t="n">
        <v>95</v>
      </c>
      <c r="BX469" s="88" t="n">
        <v>94</v>
      </c>
      <c r="BY469" s="65" t="n">
        <v>27</v>
      </c>
      <c r="BZ469" s="58" t="n">
        <v>44</v>
      </c>
      <c r="CA469" s="58" t="n">
        <v>71</v>
      </c>
      <c r="CB469" s="59" t="n">
        <v>14</v>
      </c>
      <c r="CC469" s="58" t="n">
        <v>50</v>
      </c>
      <c r="CD469" s="58" t="n">
        <v>64</v>
      </c>
      <c r="CE469" s="58" t="n">
        <v>22</v>
      </c>
      <c r="CF469" s="58" t="n">
        <v>34</v>
      </c>
      <c r="CG469" s="90" t="n">
        <v>56</v>
      </c>
      <c r="CH469" s="58" t="n">
        <v>84</v>
      </c>
      <c r="CI469" s="58" t="n">
        <v>88</v>
      </c>
      <c r="CJ469" s="58" t="n">
        <v>20</v>
      </c>
      <c r="CK469" s="58" t="n">
        <v>60</v>
      </c>
      <c r="CL469" s="59" t="n">
        <v>80</v>
      </c>
      <c r="CM469" s="60"/>
      <c r="CN469" s="60"/>
      <c r="CO469" s="60"/>
      <c r="CP469" s="25" t="n">
        <f aca="false">BX469+BW469+BV469+BU469+BT469+BQ469+BN469</f>
        <v>582</v>
      </c>
      <c r="CQ469" s="25" t="n">
        <f aca="false">CO469+CL469+CI469+CH469+CG469+CD469+CA469</f>
        <v>443</v>
      </c>
      <c r="CR469" s="26" t="n">
        <f aca="false">CP469/7</f>
        <v>83.1428571428571</v>
      </c>
      <c r="CS469" s="26" t="n">
        <f aca="false">CQ469/7</f>
        <v>63.2857142857143</v>
      </c>
      <c r="CT469" s="24" t="n">
        <f aca="false">RANK(CR469,$CR$2:$CR$881,0)</f>
        <v>514</v>
      </c>
      <c r="CU469" s="25" t="n">
        <f aca="false">RANK(CS469,$CS$2:$CS$881,0)</f>
        <v>647</v>
      </c>
      <c r="CV469" s="26" t="n">
        <f aca="false">(CS469+CR469)/2</f>
        <v>73.2142857142857</v>
      </c>
      <c r="CW469" s="25" t="n">
        <f aca="false">RANK(CV469,$CV$2:$CV$881,0)</f>
        <v>601</v>
      </c>
      <c r="CX469" s="50" t="n">
        <f aca="false">(CV469+BB469)/2</f>
        <v>75.5571428571429</v>
      </c>
      <c r="CY469" s="50" t="n">
        <v>667</v>
      </c>
      <c r="CZ469" s="27" t="s">
        <v>132</v>
      </c>
      <c r="DA469" s="27" t="s">
        <v>162</v>
      </c>
      <c r="DB469" s="27" t="s">
        <v>162</v>
      </c>
      <c r="DC469" s="27" t="s">
        <v>134</v>
      </c>
      <c r="DD469" s="27" t="s">
        <v>386</v>
      </c>
      <c r="DE469" s="27" t="s">
        <v>220</v>
      </c>
      <c r="DF469" s="27" t="s">
        <v>372</v>
      </c>
      <c r="DG469" s="27" t="s">
        <v>134</v>
      </c>
      <c r="DH469" s="27" t="s">
        <v>160</v>
      </c>
      <c r="DI469" s="27" t="s">
        <v>412</v>
      </c>
      <c r="DJ469" s="27" t="s">
        <v>272</v>
      </c>
      <c r="DK469" s="27" t="s">
        <v>134</v>
      </c>
      <c r="DL469" s="27" t="s">
        <v>135</v>
      </c>
      <c r="DM469" s="27" t="s">
        <v>218</v>
      </c>
      <c r="DN469" s="27" t="s">
        <v>205</v>
      </c>
      <c r="DO469" s="27" t="s">
        <v>134</v>
      </c>
      <c r="DP469" s="27" t="s">
        <v>604</v>
      </c>
      <c r="DQ469" s="27" t="s">
        <v>375</v>
      </c>
      <c r="DR469" s="27" t="s">
        <v>187</v>
      </c>
      <c r="DS469" s="27" t="s">
        <v>134</v>
      </c>
      <c r="DT469" s="27" t="s">
        <v>164</v>
      </c>
      <c r="DU469" s="27" t="s">
        <v>447</v>
      </c>
      <c r="DV469" s="27" t="s">
        <v>219</v>
      </c>
      <c r="DW469" s="27" t="s">
        <v>182</v>
      </c>
      <c r="DX469" s="27" t="s">
        <v>143</v>
      </c>
      <c r="DY469" s="27" t="s">
        <v>176</v>
      </c>
      <c r="DZ469" s="27" t="n">
        <f aca="false">DY469+DV469+DR469+DN469+DJ469+DF469+DB469</f>
        <v>562</v>
      </c>
      <c r="EA469" s="28" t="n">
        <f aca="false">DZ469/7</f>
        <v>80.2857142857143</v>
      </c>
      <c r="EB469" s="27" t="n">
        <f aca="false">RANK(EA469,$EA$2:$EA$881,0)</f>
        <v>380</v>
      </c>
      <c r="EC469" s="29" t="n">
        <f aca="false">DZ469+CQ469+CP469+AZ469</f>
        <v>2366</v>
      </c>
      <c r="ED469" s="30" t="n">
        <f aca="false">(EA469+CV469+BB469)/3</f>
        <v>77.1333333333333</v>
      </c>
      <c r="EE469" s="51" t="n">
        <f aca="false">ROUND(BE469,3)</f>
        <v>85.07</v>
      </c>
      <c r="EF469" s="51" t="n">
        <f aca="false">ROUND(CR469,3)</f>
        <v>83.143</v>
      </c>
      <c r="EG469" s="51" t="n">
        <f aca="false">ROUND(CS469,3)</f>
        <v>63.286</v>
      </c>
      <c r="EH469" s="51" t="n">
        <f aca="false">ROUND(EA469,3)</f>
        <v>80.286</v>
      </c>
      <c r="EI469" s="51" t="n">
        <f aca="false">ROUND(ED469,3)</f>
        <v>77.133</v>
      </c>
      <c r="EJ469" s="51" t="n">
        <f aca="false">ROUND(CV469,3)</f>
        <v>73.214</v>
      </c>
      <c r="EK469" s="0" t="n">
        <f aca="false">RANK(EI469,$EI$2:$EI$881,0)</f>
        <v>468</v>
      </c>
    </row>
    <row r="470" customFormat="false" ht="15" hidden="false" customHeight="false" outlineLevel="0" collapsed="false">
      <c r="A470" s="4" t="n">
        <v>8654</v>
      </c>
      <c r="B470" s="4" t="n">
        <v>780</v>
      </c>
      <c r="C470" s="27" t="s">
        <v>1456</v>
      </c>
      <c r="D470" s="31" t="n">
        <v>797</v>
      </c>
      <c r="E470" s="32" t="n">
        <v>230323886</v>
      </c>
      <c r="F470" s="8" t="s">
        <v>1457</v>
      </c>
      <c r="G470" s="22" t="s">
        <v>1323</v>
      </c>
      <c r="H470" s="22" t="s">
        <v>129</v>
      </c>
      <c r="I470" s="33" t="n">
        <v>2005</v>
      </c>
      <c r="J470" s="32" t="n">
        <v>80</v>
      </c>
      <c r="K470" s="32" t="n">
        <v>79</v>
      </c>
      <c r="L470" s="34" t="n">
        <f aca="false">(K470*70)/100</f>
        <v>55.3</v>
      </c>
      <c r="M470" s="34" t="n">
        <f aca="false">ROUNDUP(L470,0)</f>
        <v>56</v>
      </c>
      <c r="N470" s="32" t="n">
        <v>23</v>
      </c>
      <c r="O470" s="34" t="n">
        <f aca="false">N470+L470</f>
        <v>78.3</v>
      </c>
      <c r="P470" s="34" t="n">
        <f aca="false">N470+M470</f>
        <v>79</v>
      </c>
      <c r="Q470" s="32" t="n">
        <v>76</v>
      </c>
      <c r="R470" s="32" t="n">
        <v>75</v>
      </c>
      <c r="S470" s="34" t="n">
        <f aca="false">(R470*70)/100</f>
        <v>52.5</v>
      </c>
      <c r="T470" s="34" t="n">
        <f aca="false">ROUNDUP(S470,0)</f>
        <v>53</v>
      </c>
      <c r="U470" s="32" t="n">
        <v>24</v>
      </c>
      <c r="V470" s="34" t="n">
        <f aca="false">U470+S470</f>
        <v>76.5</v>
      </c>
      <c r="W470" s="34" t="n">
        <f aca="false">U470+T470</f>
        <v>77</v>
      </c>
      <c r="X470" s="32" t="n">
        <v>68</v>
      </c>
      <c r="Y470" s="34" t="n">
        <f aca="false">(X470*70)/100</f>
        <v>47.6</v>
      </c>
      <c r="Z470" s="34" t="n">
        <f aca="false">ROUNDUP(Y470,0)</f>
        <v>48</v>
      </c>
      <c r="AA470" s="32" t="n">
        <v>24</v>
      </c>
      <c r="AB470" s="34" t="n">
        <f aca="false">AA470+Y470</f>
        <v>71.6</v>
      </c>
      <c r="AC470" s="34" t="n">
        <f aca="false">AA470+Z470</f>
        <v>72</v>
      </c>
      <c r="AD470" s="32" t="n">
        <f aca="false">X470+R470+Q470+K470+J470</f>
        <v>378</v>
      </c>
      <c r="AE470" s="16" t="n">
        <f aca="false">AD470/5</f>
        <v>75.6</v>
      </c>
      <c r="AF470" s="16" t="n">
        <v>79</v>
      </c>
      <c r="AG470" s="16" t="n">
        <v>90</v>
      </c>
      <c r="AH470" s="16" t="n">
        <v>90</v>
      </c>
      <c r="AI470" s="16" t="n">
        <v>77</v>
      </c>
      <c r="AJ470" s="16" t="n">
        <f aca="false">(AI470*70)/100</f>
        <v>53.9</v>
      </c>
      <c r="AK470" s="35" t="n">
        <f aca="false">ROUNDUP(AJ470,0)</f>
        <v>54</v>
      </c>
      <c r="AL470" s="16" t="n">
        <v>25</v>
      </c>
      <c r="AM470" s="16" t="n">
        <f aca="false">AL470+AJ470</f>
        <v>78.9</v>
      </c>
      <c r="AN470" s="16" t="n">
        <f aca="false">AL470+AK470</f>
        <v>79</v>
      </c>
      <c r="AO470" s="16" t="n">
        <v>75</v>
      </c>
      <c r="AP470" s="36" t="n">
        <f aca="false">(AO470*70)/100</f>
        <v>52.5</v>
      </c>
      <c r="AQ470" s="37" t="n">
        <f aca="false">ROUNDUP(AP470,0)</f>
        <v>53</v>
      </c>
      <c r="AR470" s="16" t="n">
        <v>28</v>
      </c>
      <c r="AS470" s="16" t="n">
        <f aca="false">AR470+AP470</f>
        <v>80.5</v>
      </c>
      <c r="AT470" s="16" t="n">
        <f aca="false">AR470+AQ470</f>
        <v>81</v>
      </c>
      <c r="AU470" s="16" t="n">
        <f aca="false">AO470+AF470+AI470+AH470+AG470</f>
        <v>411</v>
      </c>
      <c r="AV470" s="16" t="n">
        <f aca="false">(AO470+AF470+AI470+AH470+AG470)/5</f>
        <v>82.2</v>
      </c>
      <c r="AW470" s="36" t="n">
        <f aca="false">(AO470+AF470+AI470+AH470+AG470+X470+R470+Q470+K470+J470)</f>
        <v>789</v>
      </c>
      <c r="AX470" s="16" t="n">
        <f aca="false">AW470/10</f>
        <v>78.9</v>
      </c>
      <c r="AY470" s="16" t="n">
        <f aca="false">AS470+AF470+AM470+AH470+AG470+AB470+V470+Q470+O470+J470</f>
        <v>800.8</v>
      </c>
      <c r="AZ470" s="16" t="n">
        <f aca="false">AT470+AF470+AN470+AH470+AG470+AC470+W470+Q470+P470+J470</f>
        <v>803</v>
      </c>
      <c r="BA470" s="16" t="n">
        <f aca="false">AY470/10</f>
        <v>80.08</v>
      </c>
      <c r="BB470" s="16" t="n">
        <f aca="false">AZ470/10</f>
        <v>80.3</v>
      </c>
      <c r="BC470" s="16" t="n">
        <v>2331</v>
      </c>
      <c r="BD470" s="16" t="n">
        <f aca="false">RANK(AX470,$AX$2:$AX$881,0)</f>
        <v>339</v>
      </c>
      <c r="BE470" s="54" t="n">
        <f aca="false">((BC470*100)/2400)*0.4+(AX470*0.6)</f>
        <v>86.19</v>
      </c>
      <c r="BF470" s="16" t="n">
        <f aca="false">RANK(BE470,$BE$2:$BE$881,0)</f>
        <v>404</v>
      </c>
      <c r="BG470" s="39" t="n">
        <f aca="false">RANK(BB470,$BB$2:$BB$881,0)</f>
        <v>327</v>
      </c>
      <c r="BH470" s="39" t="n">
        <f aca="false">RANK(BC470,$BC$2:$BC$881,0)</f>
        <v>716</v>
      </c>
      <c r="BI470" s="22" t="s">
        <v>130</v>
      </c>
      <c r="BJ470" s="22" t="s">
        <v>129</v>
      </c>
      <c r="BK470" s="40" t="s">
        <v>131</v>
      </c>
      <c r="BL470" s="41" t="n">
        <v>23</v>
      </c>
      <c r="BM470" s="41" t="n">
        <v>54</v>
      </c>
      <c r="BN470" s="41" t="n">
        <v>77</v>
      </c>
      <c r="BO470" s="42" t="n">
        <v>25</v>
      </c>
      <c r="BP470" s="43" t="n">
        <v>57</v>
      </c>
      <c r="BQ470" s="44" t="n">
        <v>82</v>
      </c>
      <c r="BR470" s="42" t="n">
        <v>19</v>
      </c>
      <c r="BS470" s="45" t="n">
        <v>63</v>
      </c>
      <c r="BT470" s="45" t="n">
        <v>82</v>
      </c>
      <c r="BU470" s="46" t="n">
        <v>100</v>
      </c>
      <c r="BV470" s="47" t="n">
        <v>82</v>
      </c>
      <c r="BW470" s="42" t="n">
        <v>99</v>
      </c>
      <c r="BX470" s="48" t="n">
        <v>94</v>
      </c>
      <c r="BY470" s="32" t="n">
        <v>27</v>
      </c>
      <c r="BZ470" s="32" t="n">
        <v>44</v>
      </c>
      <c r="CA470" s="32" t="n">
        <v>71</v>
      </c>
      <c r="CB470" s="32" t="n">
        <v>19</v>
      </c>
      <c r="CC470" s="32" t="n">
        <v>22</v>
      </c>
      <c r="CD470" s="69" t="n">
        <v>41</v>
      </c>
      <c r="CE470" s="32" t="n">
        <v>24</v>
      </c>
      <c r="CF470" s="32" t="n">
        <v>46</v>
      </c>
      <c r="CG470" s="32" t="n">
        <v>70</v>
      </c>
      <c r="CH470" s="32" t="n">
        <v>92</v>
      </c>
      <c r="CI470" s="32" t="n">
        <v>93</v>
      </c>
      <c r="CJ470" s="49" t="n">
        <v>20</v>
      </c>
      <c r="CK470" s="49" t="n">
        <v>47</v>
      </c>
      <c r="CL470" s="49" t="n">
        <v>67</v>
      </c>
      <c r="CM470" s="49" t="n">
        <v>23</v>
      </c>
      <c r="CN470" s="49" t="n">
        <v>48</v>
      </c>
      <c r="CO470" s="49" t="n">
        <v>71</v>
      </c>
      <c r="CP470" s="25" t="n">
        <f aca="false">BX470+BW470+BV470+BU470+BT470+BQ470+BN470</f>
        <v>616</v>
      </c>
      <c r="CQ470" s="25" t="n">
        <f aca="false">CO470+CL470+CI470+CH470+CG470+CD470+CA470</f>
        <v>505</v>
      </c>
      <c r="CR470" s="26" t="n">
        <f aca="false">CP470/7</f>
        <v>88</v>
      </c>
      <c r="CS470" s="26" t="n">
        <f aca="false">CQ470/7</f>
        <v>72.1428571428571</v>
      </c>
      <c r="CT470" s="24" t="n">
        <f aca="false">RANK(CR470,$CR$2:$CR$881,0)</f>
        <v>304</v>
      </c>
      <c r="CU470" s="25" t="n">
        <f aca="false">RANK(CS470,$CS$2:$CS$881,0)</f>
        <v>505</v>
      </c>
      <c r="CV470" s="26" t="n">
        <f aca="false">(CS470+CR470)/2</f>
        <v>80.0714285714286</v>
      </c>
      <c r="CW470" s="25" t="n">
        <f aca="false">RANK(CV470,$CV$2:$CV$881,0)</f>
        <v>422</v>
      </c>
      <c r="CX470" s="50" t="n">
        <f aca="false">(CV470+BB470)/2</f>
        <v>80.1857142857143</v>
      </c>
      <c r="CY470" s="50" t="n">
        <v>369</v>
      </c>
      <c r="CZ470" s="27" t="s">
        <v>132</v>
      </c>
      <c r="DA470" s="27" t="s">
        <v>155</v>
      </c>
      <c r="DB470" s="27" t="s">
        <v>155</v>
      </c>
      <c r="DC470" s="27" t="s">
        <v>134</v>
      </c>
      <c r="DD470" s="27" t="s">
        <v>135</v>
      </c>
      <c r="DE470" s="27" t="s">
        <v>375</v>
      </c>
      <c r="DF470" s="27" t="s">
        <v>441</v>
      </c>
      <c r="DG470" s="27" t="s">
        <v>134</v>
      </c>
      <c r="DH470" s="27" t="s">
        <v>154</v>
      </c>
      <c r="DI470" s="27" t="s">
        <v>638</v>
      </c>
      <c r="DJ470" s="27" t="s">
        <v>143</v>
      </c>
      <c r="DK470" s="27" t="s">
        <v>134</v>
      </c>
      <c r="DL470" s="27" t="s">
        <v>195</v>
      </c>
      <c r="DM470" s="27" t="s">
        <v>375</v>
      </c>
      <c r="DN470" s="27" t="s">
        <v>416</v>
      </c>
      <c r="DO470" s="27" t="s">
        <v>134</v>
      </c>
      <c r="DP470" s="27" t="s">
        <v>825</v>
      </c>
      <c r="DQ470" s="27" t="s">
        <v>447</v>
      </c>
      <c r="DR470" s="27" t="s">
        <v>187</v>
      </c>
      <c r="DS470" s="27" t="s">
        <v>134</v>
      </c>
      <c r="DT470" s="27" t="s">
        <v>191</v>
      </c>
      <c r="DU470" s="27" t="s">
        <v>906</v>
      </c>
      <c r="DV470" s="27" t="s">
        <v>183</v>
      </c>
      <c r="DW470" s="27" t="s">
        <v>182</v>
      </c>
      <c r="DX470" s="27" t="s">
        <v>163</v>
      </c>
      <c r="DY470" s="27" t="s">
        <v>162</v>
      </c>
      <c r="DZ470" s="27" t="n">
        <f aca="false">DY470+DV470+DR470+DN470+DJ470+DF470+DB470</f>
        <v>497</v>
      </c>
      <c r="EA470" s="28" t="n">
        <f aca="false">DZ470/7</f>
        <v>71</v>
      </c>
      <c r="EB470" s="27" t="n">
        <f aca="false">RANK(EA470,$EA$2:$EA$881,0)</f>
        <v>625</v>
      </c>
      <c r="EC470" s="29" t="n">
        <f aca="false">DZ470+CQ470+CP470+AZ470</f>
        <v>2421</v>
      </c>
      <c r="ED470" s="30" t="n">
        <f aca="false">(EA470+CV470+BB470)/3</f>
        <v>77.1238095238095</v>
      </c>
      <c r="EE470" s="51" t="n">
        <f aca="false">ROUND(BE470,3)</f>
        <v>86.19</v>
      </c>
      <c r="EF470" s="51" t="n">
        <f aca="false">ROUND(CR470,3)</f>
        <v>88</v>
      </c>
      <c r="EG470" s="51" t="n">
        <f aca="false">ROUND(CS470,3)</f>
        <v>72.143</v>
      </c>
      <c r="EH470" s="51" t="n">
        <f aca="false">ROUND(EA470,3)</f>
        <v>71</v>
      </c>
      <c r="EI470" s="51" t="n">
        <f aca="false">ROUND(ED470,3)</f>
        <v>77.124</v>
      </c>
      <c r="EJ470" s="51" t="n">
        <f aca="false">ROUND(CV470,3)</f>
        <v>80.071</v>
      </c>
      <c r="EK470" s="0" t="n">
        <f aca="false">RANK(EI470,$EI$2:$EI$881,0)</f>
        <v>469</v>
      </c>
    </row>
    <row r="471" customFormat="false" ht="15" hidden="false" customHeight="false" outlineLevel="0" collapsed="false">
      <c r="A471" s="4" t="n">
        <v>9157</v>
      </c>
      <c r="B471" s="4" t="n">
        <v>221</v>
      </c>
      <c r="C471" s="27" t="s">
        <v>1458</v>
      </c>
      <c r="D471" s="31" t="n">
        <v>222</v>
      </c>
      <c r="E471" s="16" t="n">
        <v>230119525</v>
      </c>
      <c r="F471" s="56" t="s">
        <v>1459</v>
      </c>
      <c r="G471" s="22" t="s">
        <v>1460</v>
      </c>
      <c r="H471" s="22" t="s">
        <v>326</v>
      </c>
      <c r="I471" s="57"/>
      <c r="J471" s="16" t="n">
        <v>73</v>
      </c>
      <c r="K471" s="16" t="n">
        <v>84</v>
      </c>
      <c r="L471" s="34" t="n">
        <f aca="false">(K471*70)/100</f>
        <v>58.8</v>
      </c>
      <c r="M471" s="34" t="n">
        <f aca="false">ROUNDUP(L471,0)</f>
        <v>59</v>
      </c>
      <c r="N471" s="16" t="n">
        <v>19</v>
      </c>
      <c r="O471" s="34" t="n">
        <f aca="false">N471+L471</f>
        <v>77.8</v>
      </c>
      <c r="P471" s="34" t="n">
        <f aca="false">N471+M471</f>
        <v>78</v>
      </c>
      <c r="Q471" s="16" t="n">
        <v>82</v>
      </c>
      <c r="R471" s="16" t="n">
        <v>80</v>
      </c>
      <c r="S471" s="34" t="n">
        <f aca="false">(R471*70)/100</f>
        <v>56</v>
      </c>
      <c r="T471" s="34" t="n">
        <f aca="false">ROUNDUP(S471,0)</f>
        <v>56</v>
      </c>
      <c r="U471" s="16" t="n">
        <v>24</v>
      </c>
      <c r="V471" s="34" t="n">
        <f aca="false">U471+S471</f>
        <v>80</v>
      </c>
      <c r="W471" s="34" t="n">
        <f aca="false">U471+T471</f>
        <v>80</v>
      </c>
      <c r="X471" s="16" t="n">
        <v>86</v>
      </c>
      <c r="Y471" s="34" t="n">
        <f aca="false">(X471*70)/100</f>
        <v>60.2</v>
      </c>
      <c r="Z471" s="34" t="n">
        <f aca="false">ROUNDUP(Y471,0)</f>
        <v>61</v>
      </c>
      <c r="AA471" s="16" t="n">
        <v>28</v>
      </c>
      <c r="AB471" s="34" t="n">
        <f aca="false">AA471+Y471</f>
        <v>88.2</v>
      </c>
      <c r="AC471" s="34" t="n">
        <f aca="false">AA471+Z471</f>
        <v>89</v>
      </c>
      <c r="AD471" s="32" t="n">
        <f aca="false">X471+R471+Q471+K471+J471</f>
        <v>405</v>
      </c>
      <c r="AE471" s="16" t="n">
        <f aca="false">AD471/5</f>
        <v>81</v>
      </c>
      <c r="AF471" s="16" t="n">
        <v>73</v>
      </c>
      <c r="AG471" s="16" t="n">
        <v>82</v>
      </c>
      <c r="AH471" s="16" t="n">
        <v>90</v>
      </c>
      <c r="AI471" s="16" t="n">
        <v>77</v>
      </c>
      <c r="AJ471" s="16" t="n">
        <f aca="false">(AI471*70)/100</f>
        <v>53.9</v>
      </c>
      <c r="AK471" s="35" t="n">
        <f aca="false">ROUNDUP(AJ471,0)</f>
        <v>54</v>
      </c>
      <c r="AL471" s="16" t="n">
        <v>21</v>
      </c>
      <c r="AM471" s="16" t="n">
        <f aca="false">AL471+AJ471</f>
        <v>74.9</v>
      </c>
      <c r="AN471" s="16" t="n">
        <f aca="false">AL471+AK471</f>
        <v>75</v>
      </c>
      <c r="AO471" s="16" t="n">
        <v>88</v>
      </c>
      <c r="AP471" s="36" t="n">
        <f aca="false">(AO471*70)/100</f>
        <v>61.6</v>
      </c>
      <c r="AQ471" s="37" t="n">
        <f aca="false">ROUNDUP(AP471,0)</f>
        <v>62</v>
      </c>
      <c r="AR471" s="16" t="n">
        <v>27</v>
      </c>
      <c r="AS471" s="16" t="n">
        <f aca="false">AR471+AP471</f>
        <v>88.6</v>
      </c>
      <c r="AT471" s="16" t="n">
        <f aca="false">AR471+AQ471</f>
        <v>89</v>
      </c>
      <c r="AU471" s="16" t="n">
        <f aca="false">AO471+AF471+AI471+AH471+AG471</f>
        <v>410</v>
      </c>
      <c r="AV471" s="16" t="n">
        <f aca="false">(AO471+AF471+AI471+AH471+AG471)/5</f>
        <v>82</v>
      </c>
      <c r="AW471" s="36" t="n">
        <f aca="false">(AO471+AF471+AI471+AH471+AG471+X471+R471+Q471+K471+J471)</f>
        <v>815</v>
      </c>
      <c r="AX471" s="16" t="n">
        <f aca="false">AW471/10</f>
        <v>81.5</v>
      </c>
      <c r="AY471" s="16" t="n">
        <f aca="false">AS471+AF471+AM471+AH471+AG471+AB471+V471+Q471+O471+J471</f>
        <v>809.5</v>
      </c>
      <c r="AZ471" s="16" t="n">
        <f aca="false">AT471+AF471+AN471+AH471+AG471+AC471+W471+Q471+P471+J471</f>
        <v>811</v>
      </c>
      <c r="BA471" s="16" t="n">
        <f aca="false">AY471/10</f>
        <v>80.95</v>
      </c>
      <c r="BB471" s="16" t="n">
        <f aca="false">AZ471/10</f>
        <v>81.1</v>
      </c>
      <c r="BC471" s="16" t="n">
        <v>2356</v>
      </c>
      <c r="BD471" s="16" t="n">
        <f aca="false">RANK(AX471,$AX$2:$AX$881,0)</f>
        <v>188</v>
      </c>
      <c r="BE471" s="54" t="n">
        <f aca="false">((BC471*100)/2400)*0.4+(AX471*0.6)</f>
        <v>88.1666666666667</v>
      </c>
      <c r="BF471" s="16" t="n">
        <f aca="false">RANK(BE471,$BE$2:$BE$881,0)</f>
        <v>193</v>
      </c>
      <c r="BG471" s="39" t="n">
        <f aca="false">RANK(BB471,$BB$2:$BB$881,0)</f>
        <v>271</v>
      </c>
      <c r="BH471" s="39" t="n">
        <f aca="false">RANK(BC471,$BC$2:$BC$881,0)</f>
        <v>462</v>
      </c>
      <c r="BI471" s="22" t="s">
        <v>130</v>
      </c>
      <c r="BJ471" s="22" t="s">
        <v>129</v>
      </c>
      <c r="BK471" s="40" t="s">
        <v>131</v>
      </c>
      <c r="BL471" s="41" t="n">
        <v>12</v>
      </c>
      <c r="BM471" s="41" t="n">
        <v>56</v>
      </c>
      <c r="BN471" s="41" t="n">
        <v>68</v>
      </c>
      <c r="BO471" s="42" t="n">
        <v>17</v>
      </c>
      <c r="BP471" s="43" t="n">
        <v>58</v>
      </c>
      <c r="BQ471" s="44" t="n">
        <v>75</v>
      </c>
      <c r="BR471" s="42" t="n">
        <v>23</v>
      </c>
      <c r="BS471" s="45" t="n">
        <v>61</v>
      </c>
      <c r="BT471" s="45" t="n">
        <v>84</v>
      </c>
      <c r="BU471" s="46" t="n">
        <v>100</v>
      </c>
      <c r="BV471" s="47" t="n">
        <v>72</v>
      </c>
      <c r="BW471" s="42" t="n">
        <v>98</v>
      </c>
      <c r="BX471" s="48" t="n">
        <v>92</v>
      </c>
      <c r="BY471" s="32" t="n">
        <v>24</v>
      </c>
      <c r="BZ471" s="32" t="n">
        <v>58</v>
      </c>
      <c r="CA471" s="32" t="n">
        <v>82</v>
      </c>
      <c r="CB471" s="32" t="n">
        <v>20</v>
      </c>
      <c r="CC471" s="32" t="n">
        <v>36</v>
      </c>
      <c r="CD471" s="69" t="n">
        <v>56</v>
      </c>
      <c r="CE471" s="32" t="n">
        <v>26</v>
      </c>
      <c r="CF471" s="32" t="n">
        <v>60</v>
      </c>
      <c r="CG471" s="32" t="n">
        <v>86</v>
      </c>
      <c r="CH471" s="32" t="n">
        <v>98</v>
      </c>
      <c r="CI471" s="32" t="n">
        <v>95</v>
      </c>
      <c r="CJ471" s="49" t="n">
        <v>13</v>
      </c>
      <c r="CK471" s="49" t="n">
        <v>50</v>
      </c>
      <c r="CL471" s="49" t="n">
        <v>63</v>
      </c>
      <c r="CM471" s="49" t="n">
        <v>23</v>
      </c>
      <c r="CN471" s="49" t="n">
        <v>52</v>
      </c>
      <c r="CO471" s="49" t="n">
        <v>75</v>
      </c>
      <c r="CP471" s="25" t="n">
        <f aca="false">BX471+BW471+BV471+BU471+BT471+BQ471+BN471</f>
        <v>589</v>
      </c>
      <c r="CQ471" s="25" t="n">
        <f aca="false">CO471+CL471+CI471+CH471+CG471+CD471+CA471</f>
        <v>555</v>
      </c>
      <c r="CR471" s="26" t="n">
        <f aca="false">CP471/7</f>
        <v>84.1428571428571</v>
      </c>
      <c r="CS471" s="26" t="n">
        <f aca="false">CQ471/7</f>
        <v>79.2857142857143</v>
      </c>
      <c r="CT471" s="24" t="n">
        <f aca="false">RANK(CR471,$CR$2:$CR$881,0)</f>
        <v>474</v>
      </c>
      <c r="CU471" s="25" t="n">
        <f aca="false">RANK(CS471,$CS$2:$CS$881,0)</f>
        <v>292</v>
      </c>
      <c r="CV471" s="26" t="n">
        <f aca="false">(CS471+CR471)/2</f>
        <v>81.7142857142857</v>
      </c>
      <c r="CW471" s="25" t="n">
        <f aca="false">RANK(CV471,$CV$2:$CV$881,0)</f>
        <v>357</v>
      </c>
      <c r="CX471" s="50" t="n">
        <f aca="false">(CV471+BB471)/2</f>
        <v>81.4071428571429</v>
      </c>
      <c r="CY471" s="50" t="n">
        <v>296</v>
      </c>
      <c r="CZ471" s="27" t="s">
        <v>132</v>
      </c>
      <c r="DA471" s="27" t="s">
        <v>202</v>
      </c>
      <c r="DB471" s="27" t="s">
        <v>202</v>
      </c>
      <c r="DC471" s="27" t="s">
        <v>134</v>
      </c>
      <c r="DD471" s="27" t="s">
        <v>485</v>
      </c>
      <c r="DE471" s="27" t="s">
        <v>306</v>
      </c>
      <c r="DF471" s="27" t="s">
        <v>398</v>
      </c>
      <c r="DG471" s="27" t="s">
        <v>134</v>
      </c>
      <c r="DH471" s="27" t="s">
        <v>154</v>
      </c>
      <c r="DI471" s="27" t="s">
        <v>203</v>
      </c>
      <c r="DJ471" s="27" t="s">
        <v>175</v>
      </c>
      <c r="DK471" s="27" t="s">
        <v>134</v>
      </c>
      <c r="DL471" s="27" t="s">
        <v>195</v>
      </c>
      <c r="DM471" s="27" t="s">
        <v>218</v>
      </c>
      <c r="DN471" s="27" t="s">
        <v>305</v>
      </c>
      <c r="DO471" s="27" t="s">
        <v>134</v>
      </c>
      <c r="DP471" s="27"/>
      <c r="DQ471" s="27"/>
      <c r="DR471" s="27"/>
      <c r="DS471" s="27"/>
      <c r="DT471" s="27" t="s">
        <v>164</v>
      </c>
      <c r="DU471" s="27" t="s">
        <v>681</v>
      </c>
      <c r="DV471" s="27" t="s">
        <v>486</v>
      </c>
      <c r="DW471" s="27" t="s">
        <v>195</v>
      </c>
      <c r="DX471" s="27" t="s">
        <v>152</v>
      </c>
      <c r="DY471" s="27" t="s">
        <v>175</v>
      </c>
      <c r="DZ471" s="27" t="n">
        <f aca="false">DY471+DV471+DR471+DN471+DJ471+DF471+DB471</f>
        <v>479</v>
      </c>
      <c r="EA471" s="28" t="n">
        <f aca="false">DZ471/7</f>
        <v>68.4285714285714</v>
      </c>
      <c r="EB471" s="27" t="n">
        <f aca="false">RANK(EA471,$EA$2:$EA$881,0)</f>
        <v>684</v>
      </c>
      <c r="EC471" s="29" t="n">
        <f aca="false">DZ471+CQ471+CP471+AZ471</f>
        <v>2434</v>
      </c>
      <c r="ED471" s="30" t="n">
        <f aca="false">(EA471+CV471+BB471)/3</f>
        <v>77.0809523809524</v>
      </c>
      <c r="EE471" s="51" t="n">
        <f aca="false">ROUND(BE471,3)</f>
        <v>88.167</v>
      </c>
      <c r="EF471" s="51" t="n">
        <f aca="false">ROUND(CR471,3)</f>
        <v>84.143</v>
      </c>
      <c r="EG471" s="51" t="n">
        <f aca="false">ROUND(CS471,3)</f>
        <v>79.286</v>
      </c>
      <c r="EH471" s="51" t="n">
        <f aca="false">ROUND(EA471,3)</f>
        <v>68.429</v>
      </c>
      <c r="EI471" s="51" t="n">
        <f aca="false">ROUND(ED471,3)</f>
        <v>77.081</v>
      </c>
      <c r="EJ471" s="51" t="n">
        <f aca="false">ROUND(CV471,3)</f>
        <v>81.714</v>
      </c>
      <c r="EK471" s="0" t="n">
        <f aca="false">RANK(EI471,$EI$2:$EI$881,0)</f>
        <v>470</v>
      </c>
    </row>
    <row r="472" customFormat="false" ht="15" hidden="false" customHeight="false" outlineLevel="0" collapsed="false">
      <c r="A472" s="4" t="n">
        <v>1850</v>
      </c>
      <c r="B472" s="4" t="n">
        <v>222</v>
      </c>
      <c r="C472" s="27" t="s">
        <v>1461</v>
      </c>
      <c r="D472" s="31" t="n">
        <v>224</v>
      </c>
      <c r="E472" s="16" t="n">
        <v>230120300</v>
      </c>
      <c r="F472" s="56" t="s">
        <v>1462</v>
      </c>
      <c r="G472" s="22" t="s">
        <v>1463</v>
      </c>
      <c r="H472" s="22" t="s">
        <v>326</v>
      </c>
      <c r="I472" s="57"/>
      <c r="J472" s="16" t="n">
        <v>79</v>
      </c>
      <c r="K472" s="16" t="n">
        <v>72</v>
      </c>
      <c r="L472" s="34" t="n">
        <f aca="false">(K472*70)/100</f>
        <v>50.4</v>
      </c>
      <c r="M472" s="34" t="n">
        <f aca="false">ROUNDUP(L472,0)</f>
        <v>51</v>
      </c>
      <c r="N472" s="16" t="n">
        <v>20</v>
      </c>
      <c r="O472" s="34" t="n">
        <f aca="false">N472+L472</f>
        <v>70.4</v>
      </c>
      <c r="P472" s="34" t="n">
        <f aca="false">N472+M472</f>
        <v>71</v>
      </c>
      <c r="Q472" s="16" t="n">
        <v>66</v>
      </c>
      <c r="R472" s="16" t="n">
        <v>71</v>
      </c>
      <c r="S472" s="34" t="n">
        <f aca="false">(R472*70)/100</f>
        <v>49.7</v>
      </c>
      <c r="T472" s="34" t="n">
        <f aca="false">ROUNDUP(S472,0)</f>
        <v>50</v>
      </c>
      <c r="U472" s="16" t="n">
        <v>29</v>
      </c>
      <c r="V472" s="34" t="n">
        <f aca="false">U472+S472</f>
        <v>78.7</v>
      </c>
      <c r="W472" s="34" t="n">
        <f aca="false">U472+T472</f>
        <v>79</v>
      </c>
      <c r="X472" s="16" t="n">
        <v>69</v>
      </c>
      <c r="Y472" s="34" t="n">
        <f aca="false">(X472*70)/100</f>
        <v>48.3</v>
      </c>
      <c r="Z472" s="34" t="n">
        <f aca="false">ROUNDUP(Y472,0)</f>
        <v>49</v>
      </c>
      <c r="AA472" s="16" t="n">
        <v>25</v>
      </c>
      <c r="AB472" s="34" t="n">
        <f aca="false">AA472+Y472</f>
        <v>73.3</v>
      </c>
      <c r="AC472" s="34" t="n">
        <f aca="false">AA472+Z472</f>
        <v>74</v>
      </c>
      <c r="AD472" s="32" t="n">
        <f aca="false">X472+R472+Q472+K472+J472</f>
        <v>357</v>
      </c>
      <c r="AE472" s="16" t="n">
        <f aca="false">AD472/5</f>
        <v>71.4</v>
      </c>
      <c r="AF472" s="16" t="n">
        <v>74</v>
      </c>
      <c r="AG472" s="16" t="n">
        <v>85</v>
      </c>
      <c r="AH472" s="16" t="n">
        <v>91</v>
      </c>
      <c r="AI472" s="16" t="n">
        <v>80</v>
      </c>
      <c r="AJ472" s="16" t="n">
        <f aca="false">(AI472*70)/100</f>
        <v>56</v>
      </c>
      <c r="AK472" s="35" t="n">
        <f aca="false">ROUNDUP(AJ472,0)</f>
        <v>56</v>
      </c>
      <c r="AL472" s="16" t="n">
        <v>23</v>
      </c>
      <c r="AM472" s="16" t="n">
        <f aca="false">AL472+AJ472</f>
        <v>79</v>
      </c>
      <c r="AN472" s="16" t="n">
        <f aca="false">AL472+AK472</f>
        <v>79</v>
      </c>
      <c r="AO472" s="16" t="n">
        <v>78</v>
      </c>
      <c r="AP472" s="36" t="n">
        <f aca="false">(AO472*70)/100</f>
        <v>54.6</v>
      </c>
      <c r="AQ472" s="37" t="n">
        <f aca="false">ROUNDUP(AP472,0)</f>
        <v>55</v>
      </c>
      <c r="AR472" s="16" t="n">
        <v>21</v>
      </c>
      <c r="AS472" s="16" t="n">
        <f aca="false">AR472+AP472</f>
        <v>75.6</v>
      </c>
      <c r="AT472" s="16" t="n">
        <f aca="false">AR472+AQ472</f>
        <v>76</v>
      </c>
      <c r="AU472" s="16" t="n">
        <f aca="false">AO472+AF472+AI472+AH472+AG472</f>
        <v>408</v>
      </c>
      <c r="AV472" s="16" t="n">
        <f aca="false">(AO472+AF472+AI472+AH472+AG472)/5</f>
        <v>81.6</v>
      </c>
      <c r="AW472" s="36" t="n">
        <f aca="false">(AO472+AF472+AI472+AH472+AG472+X472+R472+Q472+K472+J472)</f>
        <v>765</v>
      </c>
      <c r="AX472" s="16" t="n">
        <f aca="false">AW472/10</f>
        <v>76.5</v>
      </c>
      <c r="AY472" s="16" t="n">
        <f aca="false">AS472+AF472+AM472+AH472+AG472+AB472+V472+Q472+O472+J472</f>
        <v>772</v>
      </c>
      <c r="AZ472" s="16" t="n">
        <f aca="false">AT472+AF472+AN472+AH472+AG472+AC472+W472+Q472+P472+J472</f>
        <v>774</v>
      </c>
      <c r="BA472" s="16" t="n">
        <f aca="false">AY472/10</f>
        <v>77.2</v>
      </c>
      <c r="BB472" s="16" t="n">
        <f aca="false">AZ472/10</f>
        <v>77.4</v>
      </c>
      <c r="BC472" s="16" t="n">
        <v>2350</v>
      </c>
      <c r="BD472" s="16" t="n">
        <f aca="false">RANK(AX472,$AX$2:$AX$881,0)</f>
        <v>562</v>
      </c>
      <c r="BE472" s="54" t="n">
        <f aca="false">((BC472*100)/2400)*0.4+(AX472*0.6)</f>
        <v>85.0666666666667</v>
      </c>
      <c r="BF472" s="16" t="n">
        <f aca="false">RANK(BE472,$BE$2:$BE$881,0)</f>
        <v>601</v>
      </c>
      <c r="BG472" s="39" t="n">
        <f aca="false">RANK(BB472,$BB$2:$BB$881,0)</f>
        <v>613</v>
      </c>
      <c r="BH472" s="39" t="n">
        <f aca="false">RANK(BC472,$BC$2:$BC$881,0)</f>
        <v>532</v>
      </c>
      <c r="BI472" s="22" t="s">
        <v>130</v>
      </c>
      <c r="BJ472" s="22" t="s">
        <v>129</v>
      </c>
      <c r="BK472" s="22" t="s">
        <v>509</v>
      </c>
      <c r="BL472" s="41" t="n">
        <v>14</v>
      </c>
      <c r="BM472" s="41" t="n">
        <v>52</v>
      </c>
      <c r="BN472" s="41" t="n">
        <v>66</v>
      </c>
      <c r="BO472" s="42" t="n">
        <v>19</v>
      </c>
      <c r="BP472" s="43" t="n">
        <v>57</v>
      </c>
      <c r="BQ472" s="44" t="n">
        <v>76</v>
      </c>
      <c r="BR472" s="42" t="n">
        <v>24</v>
      </c>
      <c r="BS472" s="45" t="n">
        <v>53</v>
      </c>
      <c r="BT472" s="45" t="n">
        <v>77</v>
      </c>
      <c r="BU472" s="46" t="n">
        <v>100</v>
      </c>
      <c r="BV472" s="47" t="n">
        <v>90</v>
      </c>
      <c r="BW472" s="42" t="n">
        <v>96</v>
      </c>
      <c r="BX472" s="48" t="n">
        <v>86</v>
      </c>
      <c r="BY472" s="32" t="n">
        <v>20</v>
      </c>
      <c r="BZ472" s="32" t="n">
        <v>42</v>
      </c>
      <c r="CA472" s="32" t="n">
        <v>62</v>
      </c>
      <c r="CB472" s="32" t="n">
        <v>17</v>
      </c>
      <c r="CC472" s="32" t="n">
        <v>35</v>
      </c>
      <c r="CD472" s="69" t="n">
        <v>52</v>
      </c>
      <c r="CE472" s="32" t="n">
        <v>23</v>
      </c>
      <c r="CF472" s="32" t="n">
        <v>49</v>
      </c>
      <c r="CG472" s="32" t="n">
        <v>72</v>
      </c>
      <c r="CH472" s="32" t="n">
        <v>95</v>
      </c>
      <c r="CI472" s="32" t="n">
        <v>95</v>
      </c>
      <c r="CJ472" s="83" t="n">
        <v>10</v>
      </c>
      <c r="CK472" s="60"/>
      <c r="CL472" s="61"/>
      <c r="CM472" s="49" t="n">
        <v>20</v>
      </c>
      <c r="CN472" s="49" t="n">
        <v>56</v>
      </c>
      <c r="CO472" s="49" t="n">
        <v>76</v>
      </c>
      <c r="CP472" s="25" t="n">
        <f aca="false">BX472+BW472+BV472+BU472+BT472+BQ472+BN472</f>
        <v>591</v>
      </c>
      <c r="CQ472" s="25" t="n">
        <f aca="false">CO472+CL472+CI472+CH472+CG472+CD472+CA472</f>
        <v>452</v>
      </c>
      <c r="CR472" s="26" t="n">
        <f aca="false">CP472/7</f>
        <v>84.4285714285714</v>
      </c>
      <c r="CS472" s="26" t="n">
        <f aca="false">CQ472/7</f>
        <v>64.5714285714286</v>
      </c>
      <c r="CT472" s="24" t="n">
        <f aca="false">RANK(CR472,$CR$2:$CR$881,0)</f>
        <v>459</v>
      </c>
      <c r="CU472" s="25" t="n">
        <f aca="false">RANK(CS472,$CS$2:$CS$881,0)</f>
        <v>631</v>
      </c>
      <c r="CV472" s="26" t="n">
        <f aca="false">(CS472+CR472)/2</f>
        <v>74.5</v>
      </c>
      <c r="CW472" s="25" t="n">
        <f aca="false">RANK(CV472,$CV$2:$CV$881,0)</f>
        <v>571</v>
      </c>
      <c r="CX472" s="50" t="n">
        <f aca="false">(CV472+BB472)/2</f>
        <v>75.95</v>
      </c>
      <c r="CY472" s="50" t="n">
        <v>535</v>
      </c>
      <c r="CZ472" s="27" t="s">
        <v>132</v>
      </c>
      <c r="DA472" s="27" t="s">
        <v>205</v>
      </c>
      <c r="DB472" s="27" t="s">
        <v>205</v>
      </c>
      <c r="DC472" s="27" t="s">
        <v>134</v>
      </c>
      <c r="DD472" s="27" t="s">
        <v>182</v>
      </c>
      <c r="DE472" s="27" t="s">
        <v>218</v>
      </c>
      <c r="DF472" s="27" t="s">
        <v>196</v>
      </c>
      <c r="DG472" s="27" t="s">
        <v>134</v>
      </c>
      <c r="DH472" s="27" t="s">
        <v>164</v>
      </c>
      <c r="DI472" s="27" t="s">
        <v>204</v>
      </c>
      <c r="DJ472" s="27" t="s">
        <v>202</v>
      </c>
      <c r="DK472" s="27" t="s">
        <v>134</v>
      </c>
      <c r="DL472" s="27" t="s">
        <v>195</v>
      </c>
      <c r="DM472" s="27" t="s">
        <v>447</v>
      </c>
      <c r="DN472" s="27" t="s">
        <v>372</v>
      </c>
      <c r="DO472" s="27" t="s">
        <v>134</v>
      </c>
      <c r="DP472" s="27" t="s">
        <v>174</v>
      </c>
      <c r="DQ472" s="27" t="s">
        <v>218</v>
      </c>
      <c r="DR472" s="27" t="s">
        <v>272</v>
      </c>
      <c r="DS472" s="27" t="s">
        <v>134</v>
      </c>
      <c r="DT472" s="27" t="s">
        <v>182</v>
      </c>
      <c r="DU472" s="27" t="s">
        <v>146</v>
      </c>
      <c r="DV472" s="27" t="s">
        <v>304</v>
      </c>
      <c r="DW472" s="27" t="s">
        <v>146</v>
      </c>
      <c r="DX472" s="27" t="s">
        <v>138</v>
      </c>
      <c r="DY472" s="27" t="s">
        <v>147</v>
      </c>
      <c r="DZ472" s="27" t="n">
        <f aca="false">DY472+DV472+DR472+DN472+DJ472+DF472+DB472</f>
        <v>555</v>
      </c>
      <c r="EA472" s="28" t="n">
        <f aca="false">DZ472/7</f>
        <v>79.2857142857143</v>
      </c>
      <c r="EB472" s="27" t="n">
        <f aca="false">RANK(EA472,$EA$2:$EA$881,0)</f>
        <v>421</v>
      </c>
      <c r="EC472" s="29" t="n">
        <f aca="false">DZ472+CQ472+CP472+AZ472</f>
        <v>2372</v>
      </c>
      <c r="ED472" s="30" t="n">
        <f aca="false">(EA472+CV472+BB472)/3</f>
        <v>77.0619047619048</v>
      </c>
      <c r="EE472" s="51" t="n">
        <f aca="false">ROUND(BE472,3)</f>
        <v>85.067</v>
      </c>
      <c r="EF472" s="51" t="n">
        <f aca="false">ROUND(CR472,3)</f>
        <v>84.429</v>
      </c>
      <c r="EG472" s="51" t="n">
        <f aca="false">ROUND(CS472,3)</f>
        <v>64.571</v>
      </c>
      <c r="EH472" s="51" t="n">
        <f aca="false">ROUND(EA472,3)</f>
        <v>79.286</v>
      </c>
      <c r="EI472" s="51" t="n">
        <f aca="false">ROUND(ED472,3)</f>
        <v>77.062</v>
      </c>
      <c r="EJ472" s="51" t="n">
        <f aca="false">ROUND(CV472,3)</f>
        <v>74.5</v>
      </c>
      <c r="EK472" s="0" t="n">
        <f aca="false">RANK(EI472,$EI$2:$EI$881,0)</f>
        <v>471</v>
      </c>
    </row>
    <row r="473" customFormat="false" ht="15" hidden="false" customHeight="false" outlineLevel="0" collapsed="false">
      <c r="A473" s="4" t="n">
        <v>8843</v>
      </c>
      <c r="B473" s="4" t="n">
        <v>729</v>
      </c>
      <c r="C473" s="27" t="s">
        <v>1464</v>
      </c>
      <c r="D473" s="31" t="n">
        <v>744</v>
      </c>
      <c r="E473" s="16" t="n">
        <v>230134373</v>
      </c>
      <c r="F473" s="56" t="s">
        <v>1465</v>
      </c>
      <c r="G473" s="22" t="s">
        <v>450</v>
      </c>
      <c r="H473" s="22" t="s">
        <v>326</v>
      </c>
      <c r="I473" s="57"/>
      <c r="J473" s="16" t="n">
        <v>79</v>
      </c>
      <c r="K473" s="16" t="n">
        <v>78</v>
      </c>
      <c r="L473" s="34" t="n">
        <f aca="false">(K473*70)/100</f>
        <v>54.6</v>
      </c>
      <c r="M473" s="34" t="n">
        <f aca="false">ROUNDUP(L473,0)</f>
        <v>55</v>
      </c>
      <c r="N473" s="16" t="n">
        <v>26</v>
      </c>
      <c r="O473" s="34" t="n">
        <f aca="false">N473+L473</f>
        <v>80.6</v>
      </c>
      <c r="P473" s="34" t="n">
        <f aca="false">N473+M473</f>
        <v>81</v>
      </c>
      <c r="Q473" s="71" t="n">
        <v>56</v>
      </c>
      <c r="R473" s="16" t="n">
        <v>70</v>
      </c>
      <c r="S473" s="34" t="n">
        <f aca="false">(R473*70)/100</f>
        <v>49</v>
      </c>
      <c r="T473" s="34" t="n">
        <f aca="false">ROUNDUP(S473,0)</f>
        <v>49</v>
      </c>
      <c r="U473" s="16" t="n">
        <v>23</v>
      </c>
      <c r="V473" s="34" t="n">
        <f aca="false">U473+S473</f>
        <v>72</v>
      </c>
      <c r="W473" s="34" t="n">
        <f aca="false">U473+T473</f>
        <v>72</v>
      </c>
      <c r="X473" s="16" t="n">
        <v>66</v>
      </c>
      <c r="Y473" s="34" t="n">
        <f aca="false">(X473*70)/100</f>
        <v>46.2</v>
      </c>
      <c r="Z473" s="34" t="n">
        <f aca="false">ROUNDUP(Y473,0)</f>
        <v>47</v>
      </c>
      <c r="AA473" s="16" t="n">
        <v>27</v>
      </c>
      <c r="AB473" s="34" t="n">
        <f aca="false">AA473+Y473</f>
        <v>73.2</v>
      </c>
      <c r="AC473" s="34" t="n">
        <f aca="false">AA473+Z473</f>
        <v>74</v>
      </c>
      <c r="AD473" s="32" t="n">
        <f aca="false">X473+R473+Q473+K473+J473</f>
        <v>349</v>
      </c>
      <c r="AE473" s="16" t="n">
        <f aca="false">AD473/5</f>
        <v>69.8</v>
      </c>
      <c r="AF473" s="16" t="n">
        <v>76</v>
      </c>
      <c r="AG473" s="16" t="n">
        <v>86</v>
      </c>
      <c r="AH473" s="16" t="n">
        <v>89</v>
      </c>
      <c r="AI473" s="16" t="n">
        <v>95</v>
      </c>
      <c r="AJ473" s="16" t="n">
        <f aca="false">(AI473*70)/100</f>
        <v>66.5</v>
      </c>
      <c r="AK473" s="35" t="n">
        <f aca="false">ROUNDUP(AJ473,0)</f>
        <v>67</v>
      </c>
      <c r="AL473" s="16" t="n">
        <v>20</v>
      </c>
      <c r="AM473" s="16" t="n">
        <f aca="false">AL473+AJ473</f>
        <v>86.5</v>
      </c>
      <c r="AN473" s="16" t="n">
        <f aca="false">AL473+AK473</f>
        <v>87</v>
      </c>
      <c r="AO473" s="16" t="n">
        <v>81</v>
      </c>
      <c r="AP473" s="36" t="n">
        <f aca="false">(AO473*70)/100</f>
        <v>56.7</v>
      </c>
      <c r="AQ473" s="37" t="n">
        <f aca="false">ROUNDUP(AP473,0)</f>
        <v>57</v>
      </c>
      <c r="AR473" s="16" t="n">
        <v>28</v>
      </c>
      <c r="AS473" s="16" t="n">
        <f aca="false">AR473+AP473</f>
        <v>84.7</v>
      </c>
      <c r="AT473" s="16" t="n">
        <f aca="false">AR473+AQ473</f>
        <v>85</v>
      </c>
      <c r="AU473" s="16" t="n">
        <f aca="false">AO473+AF473+AI473+AH473+AG473</f>
        <v>427</v>
      </c>
      <c r="AV473" s="16" t="n">
        <f aca="false">(AO473+AF473+AI473+AH473+AG473)/5</f>
        <v>85.4</v>
      </c>
      <c r="AW473" s="36" t="n">
        <f aca="false">(AO473+AF473+AI473+AH473+AG473+X473+R473+Q473+K473+J473)</f>
        <v>776</v>
      </c>
      <c r="AX473" s="16" t="n">
        <f aca="false">AW473/10</f>
        <v>77.6</v>
      </c>
      <c r="AY473" s="16" t="n">
        <f aca="false">AS473+AF473+AM473+AH473+AG473+AB473+V473+Q473+O473+J473</f>
        <v>783</v>
      </c>
      <c r="AZ473" s="16" t="n">
        <f aca="false">AT473+AF473+AN473+AH473+AG473+AC473+W473+Q473+P473+J473</f>
        <v>785</v>
      </c>
      <c r="BA473" s="16" t="n">
        <f aca="false">AY473/10</f>
        <v>78.3</v>
      </c>
      <c r="BB473" s="16" t="n">
        <f aca="false">AZ473/10</f>
        <v>78.5</v>
      </c>
      <c r="BC473" s="16" t="n">
        <v>2386</v>
      </c>
      <c r="BD473" s="16" t="n">
        <f aca="false">RANK(AX473,$AX$2:$AX$881,0)</f>
        <v>444</v>
      </c>
      <c r="BE473" s="54" t="n">
        <f aca="false">((BC473*100)/2400)*0.4+(AX473*0.6)</f>
        <v>86.3266666666667</v>
      </c>
      <c r="BF473" s="16" t="n">
        <f aca="false">RANK(BE473,$BE$2:$BE$881,0)</f>
        <v>373</v>
      </c>
      <c r="BG473" s="39" t="n">
        <f aca="false">RANK(BB473,$BB$2:$BB$881,0)</f>
        <v>505</v>
      </c>
      <c r="BH473" s="39" t="n">
        <f aca="false">RANK(BC473,$BC$2:$BC$881,0)</f>
        <v>86</v>
      </c>
      <c r="BI473" s="22" t="s">
        <v>130</v>
      </c>
      <c r="BJ473" s="22" t="s">
        <v>129</v>
      </c>
      <c r="BK473" s="40" t="s">
        <v>131</v>
      </c>
      <c r="BL473" s="41" t="n">
        <v>17</v>
      </c>
      <c r="BM473" s="41" t="n">
        <v>55</v>
      </c>
      <c r="BN473" s="41" t="n">
        <v>72</v>
      </c>
      <c r="BO473" s="42" t="n">
        <v>26</v>
      </c>
      <c r="BP473" s="43" t="n">
        <v>62</v>
      </c>
      <c r="BQ473" s="44" t="n">
        <v>88</v>
      </c>
      <c r="BR473" s="42" t="n">
        <v>20</v>
      </c>
      <c r="BS473" s="45" t="n">
        <v>59</v>
      </c>
      <c r="BT473" s="45" t="n">
        <v>79</v>
      </c>
      <c r="BU473" s="77" t="n">
        <v>100</v>
      </c>
      <c r="BV473" s="47" t="n">
        <v>82</v>
      </c>
      <c r="BW473" s="43" t="n">
        <v>99</v>
      </c>
      <c r="BX473" s="48" t="n">
        <v>92</v>
      </c>
      <c r="BY473" s="32" t="n">
        <v>27</v>
      </c>
      <c r="BZ473" s="32" t="n">
        <v>57</v>
      </c>
      <c r="CA473" s="32" t="n">
        <v>84</v>
      </c>
      <c r="CB473" s="32" t="n">
        <v>15</v>
      </c>
      <c r="CC473" s="32" t="n">
        <v>34</v>
      </c>
      <c r="CD473" s="69" t="n">
        <v>49</v>
      </c>
      <c r="CE473" s="32" t="n">
        <v>28</v>
      </c>
      <c r="CF473" s="32" t="n">
        <v>45</v>
      </c>
      <c r="CG473" s="32" t="n">
        <v>73</v>
      </c>
      <c r="CH473" s="32" t="n">
        <v>99</v>
      </c>
      <c r="CI473" s="32" t="n">
        <v>90</v>
      </c>
      <c r="CJ473" s="49" t="n">
        <v>20</v>
      </c>
      <c r="CK473" s="49" t="n">
        <v>48</v>
      </c>
      <c r="CL473" s="49" t="n">
        <v>68</v>
      </c>
      <c r="CM473" s="49" t="n">
        <v>22</v>
      </c>
      <c r="CN473" s="49" t="n">
        <v>50</v>
      </c>
      <c r="CO473" s="49" t="n">
        <v>72</v>
      </c>
      <c r="CP473" s="25" t="n">
        <f aca="false">BX473+BW473+BV473+BU473+BT473+BQ473+BN473</f>
        <v>612</v>
      </c>
      <c r="CQ473" s="25" t="n">
        <f aca="false">CO473+CL473+CI473+CH473+CG473+CD473+CA473</f>
        <v>535</v>
      </c>
      <c r="CR473" s="26" t="n">
        <f aca="false">CP473/7</f>
        <v>87.4285714285714</v>
      </c>
      <c r="CS473" s="26" t="n">
        <f aca="false">CQ473/7</f>
        <v>76.4285714285714</v>
      </c>
      <c r="CT473" s="24" t="n">
        <f aca="false">RANK(CR473,$CR$2:$CR$881,0)</f>
        <v>340</v>
      </c>
      <c r="CU473" s="25" t="n">
        <f aca="false">RANK(CS473,$CS$2:$CS$881,0)</f>
        <v>385</v>
      </c>
      <c r="CV473" s="26" t="n">
        <f aca="false">(CS473+CR473)/2</f>
        <v>81.9285714285714</v>
      </c>
      <c r="CW473" s="25" t="n">
        <f aca="false">RANK(CV473,$CV$2:$CV$881,0)</f>
        <v>346</v>
      </c>
      <c r="CX473" s="50" t="n">
        <f aca="false">(CV473+BB473)/2</f>
        <v>80.2142857142857</v>
      </c>
      <c r="CY473" s="50" t="n">
        <v>365</v>
      </c>
      <c r="CZ473" s="27" t="s">
        <v>132</v>
      </c>
      <c r="DA473" s="27" t="s">
        <v>175</v>
      </c>
      <c r="DB473" s="27" t="s">
        <v>175</v>
      </c>
      <c r="DC473" s="27" t="s">
        <v>134</v>
      </c>
      <c r="DD473" s="27" t="s">
        <v>154</v>
      </c>
      <c r="DE473" s="27" t="s">
        <v>218</v>
      </c>
      <c r="DF473" s="27" t="s">
        <v>219</v>
      </c>
      <c r="DG473" s="27" t="s">
        <v>134</v>
      </c>
      <c r="DH473" s="27" t="s">
        <v>164</v>
      </c>
      <c r="DI473" s="27" t="s">
        <v>306</v>
      </c>
      <c r="DJ473" s="27" t="s">
        <v>205</v>
      </c>
      <c r="DK473" s="27" t="s">
        <v>134</v>
      </c>
      <c r="DL473" s="27" t="s">
        <v>164</v>
      </c>
      <c r="DM473" s="27" t="s">
        <v>306</v>
      </c>
      <c r="DN473" s="27" t="s">
        <v>205</v>
      </c>
      <c r="DO473" s="27" t="s">
        <v>134</v>
      </c>
      <c r="DP473" s="27"/>
      <c r="DQ473" s="27"/>
      <c r="DR473" s="27"/>
      <c r="DS473" s="27"/>
      <c r="DT473" s="27" t="s">
        <v>174</v>
      </c>
      <c r="DU473" s="27" t="s">
        <v>681</v>
      </c>
      <c r="DV473" s="27" t="s">
        <v>143</v>
      </c>
      <c r="DW473" s="27" t="s">
        <v>160</v>
      </c>
      <c r="DX473" s="27" t="s">
        <v>155</v>
      </c>
      <c r="DY473" s="27" t="s">
        <v>145</v>
      </c>
      <c r="DZ473" s="27" t="n">
        <f aca="false">DY473+DV473+DR473+DN473+DJ473+DF473+DB473</f>
        <v>495</v>
      </c>
      <c r="EA473" s="28" t="n">
        <f aca="false">DZ473/7</f>
        <v>70.7142857142857</v>
      </c>
      <c r="EB473" s="27" t="n">
        <f aca="false">RANK(EA473,$EA$2:$EA$881,0)</f>
        <v>638</v>
      </c>
      <c r="EC473" s="29" t="n">
        <f aca="false">DZ473+CQ473+CP473+AZ473</f>
        <v>2427</v>
      </c>
      <c r="ED473" s="30" t="n">
        <f aca="false">(EA473+CV473+BB473)/3</f>
        <v>77.0476190476191</v>
      </c>
      <c r="EE473" s="51" t="n">
        <f aca="false">ROUND(BE473,3)</f>
        <v>86.327</v>
      </c>
      <c r="EF473" s="51" t="n">
        <f aca="false">ROUND(CR473,3)</f>
        <v>87.429</v>
      </c>
      <c r="EG473" s="51" t="n">
        <f aca="false">ROUND(CS473,3)</f>
        <v>76.429</v>
      </c>
      <c r="EH473" s="51" t="n">
        <f aca="false">ROUND(EA473,3)</f>
        <v>70.714</v>
      </c>
      <c r="EI473" s="51" t="n">
        <f aca="false">ROUND(ED473,3)</f>
        <v>77.048</v>
      </c>
      <c r="EJ473" s="51" t="n">
        <f aca="false">ROUND(CV473,3)</f>
        <v>81.929</v>
      </c>
      <c r="EK473" s="0" t="n">
        <f aca="false">RANK(EI473,$EI$2:$EI$881,0)</f>
        <v>472</v>
      </c>
    </row>
    <row r="474" customFormat="false" ht="15" hidden="false" customHeight="false" outlineLevel="0" collapsed="false">
      <c r="A474" s="4" t="n">
        <v>8969</v>
      </c>
      <c r="B474" s="4" t="n">
        <v>44</v>
      </c>
      <c r="C474" s="27" t="s">
        <v>1466</v>
      </c>
      <c r="D474" s="52" t="n">
        <v>46</v>
      </c>
      <c r="E474" s="109" t="n">
        <v>230320444</v>
      </c>
      <c r="F474" s="110" t="s">
        <v>1467</v>
      </c>
      <c r="G474" s="109" t="s">
        <v>493</v>
      </c>
      <c r="H474" s="109" t="s">
        <v>129</v>
      </c>
      <c r="I474" s="19" t="n">
        <v>2005</v>
      </c>
      <c r="J474" s="111" t="n">
        <v>62</v>
      </c>
      <c r="K474" s="111" t="n">
        <v>67</v>
      </c>
      <c r="L474" s="112" t="n">
        <f aca="false">(K474*70)/100</f>
        <v>46.9</v>
      </c>
      <c r="M474" s="112" t="n">
        <f aca="false">ROUNDUP(L474,0)</f>
        <v>47</v>
      </c>
      <c r="N474" s="111" t="n">
        <v>26</v>
      </c>
      <c r="O474" s="112" t="n">
        <f aca="false">N474+L474</f>
        <v>72.9</v>
      </c>
      <c r="P474" s="112" t="n">
        <f aca="false">N474+M474</f>
        <v>73</v>
      </c>
      <c r="Q474" s="113" t="n">
        <v>59</v>
      </c>
      <c r="R474" s="111" t="n">
        <v>62</v>
      </c>
      <c r="S474" s="112" t="n">
        <f aca="false">(R474*70)/100</f>
        <v>43.4</v>
      </c>
      <c r="T474" s="112" t="n">
        <f aca="false">ROUNDUP(S474,0)</f>
        <v>44</v>
      </c>
      <c r="U474" s="111" t="n">
        <v>27</v>
      </c>
      <c r="V474" s="112" t="n">
        <f aca="false">U474+S474</f>
        <v>70.4</v>
      </c>
      <c r="W474" s="112" t="n">
        <f aca="false">U474+T474</f>
        <v>71</v>
      </c>
      <c r="X474" s="111" t="n">
        <v>50</v>
      </c>
      <c r="Y474" s="112" t="n">
        <f aca="false">(X474*70)/100</f>
        <v>35</v>
      </c>
      <c r="Z474" s="112" t="n">
        <f aca="false">ROUNDUP(Y474,0)</f>
        <v>35</v>
      </c>
      <c r="AA474" s="111" t="n">
        <v>24</v>
      </c>
      <c r="AB474" s="112" t="n">
        <f aca="false">AA474+Y474</f>
        <v>59</v>
      </c>
      <c r="AC474" s="112" t="n">
        <f aca="false">AA474+Z474</f>
        <v>59</v>
      </c>
      <c r="AD474" s="111" t="n">
        <f aca="false">X474+R474+Q474+K474+J474</f>
        <v>300</v>
      </c>
      <c r="AE474" s="114" t="n">
        <v>60</v>
      </c>
      <c r="AF474" s="19" t="n">
        <v>60</v>
      </c>
      <c r="AG474" s="19" t="n">
        <v>78</v>
      </c>
      <c r="AH474" s="19" t="n">
        <v>76</v>
      </c>
      <c r="AI474" s="19" t="n">
        <v>82</v>
      </c>
      <c r="AJ474" s="19" t="n">
        <f aca="false">(AI474*70)/100</f>
        <v>57.4</v>
      </c>
      <c r="AK474" s="115" t="n">
        <f aca="false">ROUNDUP(AJ474,0)</f>
        <v>58</v>
      </c>
      <c r="AL474" s="19" t="n">
        <v>21</v>
      </c>
      <c r="AM474" s="19" t="n">
        <f aca="false">AL474+AJ474</f>
        <v>78.4</v>
      </c>
      <c r="AN474" s="19" t="n">
        <f aca="false">AL474+AK474</f>
        <v>79</v>
      </c>
      <c r="AO474" s="19" t="n">
        <v>63</v>
      </c>
      <c r="AP474" s="116" t="n">
        <f aca="false">(AO474*70)/100</f>
        <v>44.1</v>
      </c>
      <c r="AQ474" s="117" t="n">
        <f aca="false">ROUNDUP(AP474,0)</f>
        <v>45</v>
      </c>
      <c r="AR474" s="19" t="n">
        <v>28</v>
      </c>
      <c r="AS474" s="19" t="n">
        <f aca="false">AR474+AP474</f>
        <v>72.1</v>
      </c>
      <c r="AT474" s="19" t="n">
        <f aca="false">AR474+AQ474</f>
        <v>73</v>
      </c>
      <c r="AU474" s="19" t="n">
        <f aca="false">AO474+AF474+AI474+AH474+AG474</f>
        <v>359</v>
      </c>
      <c r="AV474" s="19" t="n">
        <f aca="false">(AO474+AF474+AI474+AH474+AG474)/5</f>
        <v>71.8</v>
      </c>
      <c r="AW474" s="116" t="n">
        <f aca="false">(AO474+AF474+AI474+AH474+AG474+X474+R474+Q474+K474+J474)</f>
        <v>659</v>
      </c>
      <c r="AX474" s="16" t="n">
        <f aca="false">AW474/10</f>
        <v>65.9</v>
      </c>
      <c r="AY474" s="16" t="n">
        <f aca="false">AS474+AF474+AM474+AH474+AG474+AB474+V474+Q474+O474+J474</f>
        <v>687.8</v>
      </c>
      <c r="AZ474" s="16" t="n">
        <f aca="false">AT474+AF474+AN474+AH474+AG474+AC474+W474+Q474+P474+J474</f>
        <v>690</v>
      </c>
      <c r="BA474" s="16" t="n">
        <f aca="false">AY474/10</f>
        <v>68.78</v>
      </c>
      <c r="BB474" s="16" t="n">
        <f aca="false">AZ474/10</f>
        <v>69</v>
      </c>
      <c r="BC474" s="16" t="n">
        <v>2356</v>
      </c>
      <c r="BD474" s="16" t="n">
        <f aca="false">RANK(AX474,$AX$2:$AX$881,0)</f>
        <v>757</v>
      </c>
      <c r="BE474" s="118" t="n">
        <f aca="false">((BC474*100)/2400)*0.4+(AX474*0.6)</f>
        <v>78.8066666666667</v>
      </c>
      <c r="BF474" s="16" t="n">
        <f aca="false">RANK(BE474,$BE$2:$BE$881,0)</f>
        <v>738</v>
      </c>
      <c r="BG474" s="39" t="n">
        <f aca="false">RANK(BB474,$BB$2:$BB$881,0)</f>
        <v>749</v>
      </c>
      <c r="BH474" s="39" t="n">
        <f aca="false">RANK(BC474,$BC$2:$BC$881,0)</f>
        <v>462</v>
      </c>
      <c r="BI474" s="19" t="s">
        <v>130</v>
      </c>
      <c r="BJ474" s="19" t="s">
        <v>129</v>
      </c>
      <c r="BK474" s="109" t="s">
        <v>702</v>
      </c>
      <c r="BL474" s="41" t="n">
        <v>21</v>
      </c>
      <c r="BM474" s="41" t="n">
        <v>53</v>
      </c>
      <c r="BN474" s="41" t="n">
        <v>74</v>
      </c>
      <c r="BO474" s="42" t="n">
        <v>23</v>
      </c>
      <c r="BP474" s="43" t="n">
        <v>63</v>
      </c>
      <c r="BQ474" s="44" t="n">
        <v>86</v>
      </c>
      <c r="BR474" s="42" t="n">
        <v>25</v>
      </c>
      <c r="BS474" s="45" t="n">
        <v>56</v>
      </c>
      <c r="BT474" s="45" t="n">
        <v>81</v>
      </c>
      <c r="BU474" s="46" t="n">
        <v>100</v>
      </c>
      <c r="BV474" s="47" t="n">
        <v>80</v>
      </c>
      <c r="BW474" s="42" t="n">
        <v>98</v>
      </c>
      <c r="BX474" s="48" t="n">
        <v>94</v>
      </c>
      <c r="BY474" s="32" t="n">
        <v>26</v>
      </c>
      <c r="BZ474" s="32" t="n">
        <v>54</v>
      </c>
      <c r="CA474" s="32" t="n">
        <v>80</v>
      </c>
      <c r="CB474" s="32" t="n">
        <v>24</v>
      </c>
      <c r="CC474" s="32" t="n">
        <v>37</v>
      </c>
      <c r="CD474" s="32" t="n">
        <v>61</v>
      </c>
      <c r="CE474" s="32" t="n">
        <v>23</v>
      </c>
      <c r="CF474" s="32" t="n">
        <v>46</v>
      </c>
      <c r="CG474" s="32" t="n">
        <v>69</v>
      </c>
      <c r="CH474" s="32" t="n">
        <v>92</v>
      </c>
      <c r="CI474" s="32" t="n">
        <v>89</v>
      </c>
      <c r="CJ474" s="49" t="n">
        <v>24</v>
      </c>
      <c r="CK474" s="49" t="n">
        <v>55</v>
      </c>
      <c r="CL474" s="49" t="n">
        <v>79</v>
      </c>
      <c r="CM474" s="49" t="n">
        <v>21</v>
      </c>
      <c r="CN474" s="49" t="n">
        <v>47</v>
      </c>
      <c r="CO474" s="49" t="n">
        <v>68</v>
      </c>
      <c r="CP474" s="25" t="n">
        <f aca="false">BX474+BW474+BV474+BU474+BT474+BQ474+BN474</f>
        <v>613</v>
      </c>
      <c r="CQ474" s="25" t="n">
        <f aca="false">CO474+CL474+CI474+CH474+CG474+CD474+CA474</f>
        <v>538</v>
      </c>
      <c r="CR474" s="26" t="n">
        <f aca="false">CP474/7</f>
        <v>87.5714285714286</v>
      </c>
      <c r="CS474" s="26" t="n">
        <f aca="false">CQ474/7</f>
        <v>76.8571428571429</v>
      </c>
      <c r="CT474" s="24" t="n">
        <f aca="false">RANK(CR474,$CR$2:$CR$881,0)</f>
        <v>329</v>
      </c>
      <c r="CU474" s="25" t="n">
        <f aca="false">RANK(CS474,$CS$2:$CS$881,0)</f>
        <v>370</v>
      </c>
      <c r="CV474" s="26" t="n">
        <f aca="false">(CS474+CR474)/2</f>
        <v>82.2142857142857</v>
      </c>
      <c r="CW474" s="25" t="n">
        <f aca="false">RANK(CV474,$CV$2:$CV$881,0)</f>
        <v>328</v>
      </c>
      <c r="CX474" s="50" t="n">
        <f aca="false">(CV474+BB474)/2</f>
        <v>75.6071428571429</v>
      </c>
      <c r="CY474" s="50" t="n">
        <v>541</v>
      </c>
      <c r="CZ474" s="27" t="s">
        <v>132</v>
      </c>
      <c r="DA474" s="27" t="s">
        <v>305</v>
      </c>
      <c r="DB474" s="27" t="s">
        <v>305</v>
      </c>
      <c r="DC474" s="27" t="s">
        <v>134</v>
      </c>
      <c r="DD474" s="27" t="s">
        <v>154</v>
      </c>
      <c r="DE474" s="27" t="s">
        <v>412</v>
      </c>
      <c r="DF474" s="27" t="s">
        <v>372</v>
      </c>
      <c r="DG474" s="27" t="s">
        <v>134</v>
      </c>
      <c r="DH474" s="27" t="s">
        <v>182</v>
      </c>
      <c r="DI474" s="27" t="s">
        <v>220</v>
      </c>
      <c r="DJ474" s="27" t="s">
        <v>219</v>
      </c>
      <c r="DK474" s="27" t="s">
        <v>134</v>
      </c>
      <c r="DL474" s="27" t="s">
        <v>164</v>
      </c>
      <c r="DM474" s="27" t="s">
        <v>447</v>
      </c>
      <c r="DN474" s="27" t="s">
        <v>219</v>
      </c>
      <c r="DO474" s="27" t="s">
        <v>134</v>
      </c>
      <c r="DP474" s="27" t="s">
        <v>485</v>
      </c>
      <c r="DQ474" s="27" t="s">
        <v>218</v>
      </c>
      <c r="DR474" s="27" t="s">
        <v>372</v>
      </c>
      <c r="DS474" s="27" t="s">
        <v>134</v>
      </c>
      <c r="DT474" s="27" t="s">
        <v>137</v>
      </c>
      <c r="DU474" s="27" t="s">
        <v>375</v>
      </c>
      <c r="DV474" s="27" t="s">
        <v>443</v>
      </c>
      <c r="DW474" s="27" t="s">
        <v>135</v>
      </c>
      <c r="DX474" s="27" t="s">
        <v>155</v>
      </c>
      <c r="DY474" s="27" t="s">
        <v>139</v>
      </c>
      <c r="DZ474" s="27" t="n">
        <f aca="false">DY474+DV474+DR474+DN474+DJ474+DF474+DB474</f>
        <v>557</v>
      </c>
      <c r="EA474" s="28" t="n">
        <f aca="false">DZ474/7</f>
        <v>79.5714285714286</v>
      </c>
      <c r="EB474" s="27" t="n">
        <f aca="false">RANK(EA474,$EA$2:$EA$881,0)</f>
        <v>410</v>
      </c>
      <c r="EC474" s="29" t="n">
        <f aca="false">DZ474+CQ474+CP474+AZ474</f>
        <v>2398</v>
      </c>
      <c r="ED474" s="30" t="n">
        <f aca="false">(EA474+CV474+BB474)/3</f>
        <v>76.9285714285714</v>
      </c>
      <c r="EE474" s="51" t="n">
        <f aca="false">ROUND(BE474,3)</f>
        <v>78.807</v>
      </c>
      <c r="EF474" s="51" t="n">
        <f aca="false">ROUND(CR474,3)</f>
        <v>87.571</v>
      </c>
      <c r="EG474" s="51" t="n">
        <f aca="false">ROUND(CS474,3)</f>
        <v>76.857</v>
      </c>
      <c r="EH474" s="51" t="n">
        <f aca="false">ROUND(EA474,3)</f>
        <v>79.571</v>
      </c>
      <c r="EI474" s="51" t="n">
        <f aca="false">ROUND(ED474,3)</f>
        <v>76.929</v>
      </c>
      <c r="EJ474" s="51" t="n">
        <f aca="false">ROUND(CV474,3)</f>
        <v>82.214</v>
      </c>
      <c r="EK474" s="0" t="n">
        <f aca="false">RANK(EI474,$EI$2:$EI$881,0)</f>
        <v>473</v>
      </c>
    </row>
    <row r="475" customFormat="false" ht="15" hidden="false" customHeight="false" outlineLevel="0" collapsed="false">
      <c r="A475" s="4" t="n">
        <v>8690</v>
      </c>
      <c r="B475" s="4" t="n">
        <v>616</v>
      </c>
      <c r="C475" s="27" t="s">
        <v>1468</v>
      </c>
      <c r="D475" s="31" t="n">
        <v>624</v>
      </c>
      <c r="E475" s="32" t="n">
        <v>230119744</v>
      </c>
      <c r="F475" s="8" t="s">
        <v>1469</v>
      </c>
      <c r="G475" s="66" t="s">
        <v>368</v>
      </c>
      <c r="H475" s="22" t="s">
        <v>129</v>
      </c>
      <c r="I475" s="67" t="s">
        <v>1470</v>
      </c>
      <c r="J475" s="32" t="n">
        <v>86</v>
      </c>
      <c r="K475" s="32" t="n">
        <v>77</v>
      </c>
      <c r="L475" s="34" t="n">
        <f aca="false">(K475*70)/100</f>
        <v>53.9</v>
      </c>
      <c r="M475" s="34" t="n">
        <f aca="false">ROUNDUP(L475,0)</f>
        <v>54</v>
      </c>
      <c r="N475" s="32" t="n">
        <v>24</v>
      </c>
      <c r="O475" s="34" t="n">
        <f aca="false">N475+L475</f>
        <v>77.9</v>
      </c>
      <c r="P475" s="34" t="n">
        <f aca="false">N475+M475</f>
        <v>78</v>
      </c>
      <c r="Q475" s="68" t="n">
        <v>53</v>
      </c>
      <c r="R475" s="32" t="n">
        <v>79</v>
      </c>
      <c r="S475" s="34" t="n">
        <f aca="false">(R475*70)/100</f>
        <v>55.3</v>
      </c>
      <c r="T475" s="34" t="n">
        <f aca="false">ROUNDUP(S475,0)</f>
        <v>56</v>
      </c>
      <c r="U475" s="32" t="n">
        <v>20</v>
      </c>
      <c r="V475" s="34" t="n">
        <f aca="false">U475+S475</f>
        <v>75.3</v>
      </c>
      <c r="W475" s="34" t="n">
        <f aca="false">U475+T475</f>
        <v>76</v>
      </c>
      <c r="X475" s="32" t="n">
        <v>69</v>
      </c>
      <c r="Y475" s="34" t="n">
        <f aca="false">(X475*70)/100</f>
        <v>48.3</v>
      </c>
      <c r="Z475" s="34" t="n">
        <f aca="false">ROUNDUP(Y475,0)</f>
        <v>49</v>
      </c>
      <c r="AA475" s="32" t="n">
        <v>28</v>
      </c>
      <c r="AB475" s="34" t="n">
        <f aca="false">AA475+Y475</f>
        <v>76.3</v>
      </c>
      <c r="AC475" s="34" t="n">
        <f aca="false">AA475+Z475</f>
        <v>77</v>
      </c>
      <c r="AD475" s="32" t="n">
        <f aca="false">X475+R475+Q475+K475+J475</f>
        <v>364</v>
      </c>
      <c r="AE475" s="16" t="n">
        <f aca="false">AD475/5</f>
        <v>72.8</v>
      </c>
      <c r="AF475" s="16" t="n">
        <v>80</v>
      </c>
      <c r="AG475" s="16" t="n">
        <v>98</v>
      </c>
      <c r="AH475" s="16" t="n">
        <v>89</v>
      </c>
      <c r="AI475" s="16" t="n">
        <v>89</v>
      </c>
      <c r="AJ475" s="16" t="n">
        <f aca="false">(AI475*70)/100</f>
        <v>62.3</v>
      </c>
      <c r="AK475" s="35" t="n">
        <f aca="false">ROUNDUP(AJ475,0)</f>
        <v>63</v>
      </c>
      <c r="AL475" s="16" t="n">
        <v>26</v>
      </c>
      <c r="AM475" s="16" t="n">
        <f aca="false">AL475+AJ475</f>
        <v>88.3</v>
      </c>
      <c r="AN475" s="16" t="n">
        <f aca="false">AL475+AK475</f>
        <v>89</v>
      </c>
      <c r="AO475" s="16" t="n">
        <v>75</v>
      </c>
      <c r="AP475" s="36" t="n">
        <f aca="false">(AO475*70)/100</f>
        <v>52.5</v>
      </c>
      <c r="AQ475" s="37" t="n">
        <f aca="false">ROUNDUP(AP475,0)</f>
        <v>53</v>
      </c>
      <c r="AR475" s="16" t="n">
        <v>29</v>
      </c>
      <c r="AS475" s="16" t="n">
        <f aca="false">AR475+AP475</f>
        <v>81.5</v>
      </c>
      <c r="AT475" s="16" t="n">
        <f aca="false">AR475+AQ475</f>
        <v>82</v>
      </c>
      <c r="AU475" s="16" t="n">
        <f aca="false">AO475+AF475+AI475+AH475+AG475</f>
        <v>431</v>
      </c>
      <c r="AV475" s="16" t="n">
        <f aca="false">(AO475+AF475+AI475+AH475+AG475)/5</f>
        <v>86.2</v>
      </c>
      <c r="AW475" s="36" t="n">
        <f aca="false">(AO475+AF475+AI475+AH475+AG475+X475+R475+Q475+K475+J475)</f>
        <v>795</v>
      </c>
      <c r="AX475" s="16" t="n">
        <f aca="false">AW475/10</f>
        <v>79.5</v>
      </c>
      <c r="AY475" s="16" t="n">
        <f aca="false">AS475+AF475+AM475+AH475+AG475+AB475+V475+Q475+O475+J475</f>
        <v>805.3</v>
      </c>
      <c r="AZ475" s="16" t="n">
        <f aca="false">AT475+AF475+AN475+AH475+AG475+AC475+W475+Q475+P475+J475</f>
        <v>808</v>
      </c>
      <c r="BA475" s="16" t="n">
        <f aca="false">AY475/10</f>
        <v>80.53</v>
      </c>
      <c r="BB475" s="16" t="n">
        <f aca="false">AZ475/10</f>
        <v>80.8</v>
      </c>
      <c r="BC475" s="24" t="n">
        <v>2368</v>
      </c>
      <c r="BD475" s="16" t="n">
        <f aca="false">RANK(AX475,$AX$2:$AX$881,0)</f>
        <v>300</v>
      </c>
      <c r="BE475" s="54" t="n">
        <f aca="false">((BC475*100)/2400)*0.4+(AX475*0.6)</f>
        <v>87.1666666666667</v>
      </c>
      <c r="BF475" s="16" t="n">
        <f aca="false">RANK(BE475,$BE$2:$BE$881,0)</f>
        <v>285</v>
      </c>
      <c r="BG475" s="39" t="n">
        <f aca="false">RANK(BB475,$BB$2:$BB$881,0)</f>
        <v>290</v>
      </c>
      <c r="BH475" s="39" t="n">
        <f aca="false">RANK(BC475,$BC$2:$BC$881,0)</f>
        <v>295</v>
      </c>
      <c r="BI475" s="22" t="s">
        <v>130</v>
      </c>
      <c r="BJ475" s="22" t="s">
        <v>129</v>
      </c>
      <c r="BK475" s="40" t="s">
        <v>131</v>
      </c>
      <c r="BL475" s="41" t="n">
        <v>20</v>
      </c>
      <c r="BM475" s="41" t="n">
        <v>56</v>
      </c>
      <c r="BN475" s="41" t="n">
        <v>76</v>
      </c>
      <c r="BO475" s="42" t="n">
        <v>23</v>
      </c>
      <c r="BP475" s="43" t="n">
        <v>41</v>
      </c>
      <c r="BQ475" s="44" t="n">
        <v>64</v>
      </c>
      <c r="BR475" s="42" t="n">
        <v>19</v>
      </c>
      <c r="BS475" s="45" t="n">
        <v>42</v>
      </c>
      <c r="BT475" s="45" t="n">
        <v>61</v>
      </c>
      <c r="BU475" s="46" t="n">
        <v>100</v>
      </c>
      <c r="BV475" s="47" t="n">
        <v>96</v>
      </c>
      <c r="BW475" s="42" t="n">
        <v>99</v>
      </c>
      <c r="BX475" s="48" t="n">
        <v>88</v>
      </c>
      <c r="BY475" s="32" t="n">
        <v>28</v>
      </c>
      <c r="BZ475" s="32" t="n">
        <v>53</v>
      </c>
      <c r="CA475" s="32" t="n">
        <v>81</v>
      </c>
      <c r="CB475" s="32" t="n">
        <v>25</v>
      </c>
      <c r="CC475" s="32" t="n">
        <v>49</v>
      </c>
      <c r="CD475" s="32" t="n">
        <v>74</v>
      </c>
      <c r="CE475" s="32" t="n">
        <v>27</v>
      </c>
      <c r="CF475" s="32" t="n">
        <v>47</v>
      </c>
      <c r="CG475" s="32" t="n">
        <v>74</v>
      </c>
      <c r="CH475" s="32" t="n">
        <v>99</v>
      </c>
      <c r="CI475" s="32" t="n">
        <v>100</v>
      </c>
      <c r="CJ475" s="49" t="n">
        <v>27</v>
      </c>
      <c r="CK475" s="49" t="n">
        <v>50</v>
      </c>
      <c r="CL475" s="49" t="n">
        <v>77</v>
      </c>
      <c r="CM475" s="49" t="n">
        <v>23</v>
      </c>
      <c r="CN475" s="49" t="n">
        <v>51</v>
      </c>
      <c r="CO475" s="49" t="n">
        <v>74</v>
      </c>
      <c r="CP475" s="25" t="n">
        <f aca="false">BX475+BW475+BV475+BU475+BT475+BQ475+BN475</f>
        <v>584</v>
      </c>
      <c r="CQ475" s="25" t="n">
        <f aca="false">CO475+CL475+CI475+CH475+CG475+CD475+CA475</f>
        <v>579</v>
      </c>
      <c r="CR475" s="26" t="n">
        <f aca="false">CP475/7</f>
        <v>83.4285714285714</v>
      </c>
      <c r="CS475" s="26" t="n">
        <f aca="false">CQ475/7</f>
        <v>82.7142857142857</v>
      </c>
      <c r="CT475" s="24" t="n">
        <f aca="false">RANK(CR475,$CR$2:$CR$881,0)</f>
        <v>502</v>
      </c>
      <c r="CU475" s="25" t="n">
        <f aca="false">RANK(CS475,$CS$2:$CS$881,0)</f>
        <v>167</v>
      </c>
      <c r="CV475" s="26" t="n">
        <f aca="false">(CS475+CR475)/2</f>
        <v>83.0714285714286</v>
      </c>
      <c r="CW475" s="25" t="n">
        <f aca="false">RANK(CV475,$CV$2:$CV$881,0)</f>
        <v>293</v>
      </c>
      <c r="CX475" s="50" t="n">
        <f aca="false">(CV475+BB475)/2</f>
        <v>81.9357142857143</v>
      </c>
      <c r="CY475" s="50" t="n">
        <v>272</v>
      </c>
      <c r="CZ475" s="27" t="s">
        <v>132</v>
      </c>
      <c r="DA475" s="27" t="s">
        <v>175</v>
      </c>
      <c r="DB475" s="27" t="s">
        <v>175</v>
      </c>
      <c r="DC475" s="27" t="s">
        <v>134</v>
      </c>
      <c r="DD475" s="27" t="s">
        <v>174</v>
      </c>
      <c r="DE475" s="27" t="s">
        <v>204</v>
      </c>
      <c r="DF475" s="27" t="s">
        <v>196</v>
      </c>
      <c r="DG475" s="27" t="s">
        <v>134</v>
      </c>
      <c r="DH475" s="27" t="s">
        <v>135</v>
      </c>
      <c r="DI475" s="27" t="s">
        <v>304</v>
      </c>
      <c r="DJ475" s="27" t="s">
        <v>272</v>
      </c>
      <c r="DK475" s="27" t="s">
        <v>134</v>
      </c>
      <c r="DL475" s="27" t="s">
        <v>154</v>
      </c>
      <c r="DM475" s="27" t="s">
        <v>447</v>
      </c>
      <c r="DN475" s="27" t="s">
        <v>443</v>
      </c>
      <c r="DO475" s="27" t="s">
        <v>134</v>
      </c>
      <c r="DP475" s="27"/>
      <c r="DQ475" s="27"/>
      <c r="DR475" s="27"/>
      <c r="DS475" s="27"/>
      <c r="DT475" s="27" t="s">
        <v>182</v>
      </c>
      <c r="DU475" s="27" t="s">
        <v>1309</v>
      </c>
      <c r="DV475" s="27" t="s">
        <v>204</v>
      </c>
      <c r="DW475" s="27" t="s">
        <v>137</v>
      </c>
      <c r="DX475" s="27" t="s">
        <v>203</v>
      </c>
      <c r="DY475" s="27" t="s">
        <v>133</v>
      </c>
      <c r="DZ475" s="27" t="n">
        <f aca="false">DY475+DV475+DR475+DN475+DJ475+DF475+DB475</f>
        <v>468</v>
      </c>
      <c r="EA475" s="28" t="n">
        <f aca="false">DZ475/7</f>
        <v>66.8571428571429</v>
      </c>
      <c r="EB475" s="27" t="n">
        <f aca="false">RANK(EA475,$EA$2:$EA$881,0)</f>
        <v>705</v>
      </c>
      <c r="EC475" s="29" t="n">
        <f aca="false">DZ475+CQ475+CP475+AZ475</f>
        <v>2439</v>
      </c>
      <c r="ED475" s="30" t="n">
        <f aca="false">(EA475+CV475+BB475)/3</f>
        <v>76.9095238095238</v>
      </c>
      <c r="EE475" s="51" t="n">
        <f aca="false">ROUND(BE475,3)</f>
        <v>87.167</v>
      </c>
      <c r="EF475" s="51" t="n">
        <f aca="false">ROUND(CR475,3)</f>
        <v>83.429</v>
      </c>
      <c r="EG475" s="51" t="n">
        <f aca="false">ROUND(CS475,3)</f>
        <v>82.714</v>
      </c>
      <c r="EH475" s="51" t="n">
        <f aca="false">ROUND(EA475,3)</f>
        <v>66.857</v>
      </c>
      <c r="EI475" s="51" t="n">
        <f aca="false">ROUND(ED475,3)</f>
        <v>76.91</v>
      </c>
      <c r="EJ475" s="51" t="n">
        <f aca="false">ROUND(CV475,3)</f>
        <v>83.071</v>
      </c>
      <c r="EK475" s="0" t="n">
        <f aca="false">RANK(EI475,$EI$2:$EI$881,0)</f>
        <v>474</v>
      </c>
    </row>
    <row r="476" customFormat="false" ht="15" hidden="false" customHeight="false" outlineLevel="0" collapsed="false">
      <c r="A476" s="4" t="n">
        <v>9001</v>
      </c>
      <c r="B476" s="4" t="n">
        <v>106</v>
      </c>
      <c r="C476" s="27" t="s">
        <v>1471</v>
      </c>
      <c r="D476" s="52" t="n">
        <v>106</v>
      </c>
      <c r="E476" s="16" t="n">
        <v>230137295</v>
      </c>
      <c r="F476" s="56" t="s">
        <v>1472</v>
      </c>
      <c r="G476" s="22" t="s">
        <v>128</v>
      </c>
      <c r="H476" s="22" t="s">
        <v>326</v>
      </c>
      <c r="I476" s="57"/>
      <c r="J476" s="16" t="n">
        <v>84</v>
      </c>
      <c r="K476" s="16" t="n">
        <v>68</v>
      </c>
      <c r="L476" s="34" t="n">
        <f aca="false">(K476*70)/100</f>
        <v>47.6</v>
      </c>
      <c r="M476" s="34" t="n">
        <f aca="false">ROUNDUP(L476,0)</f>
        <v>48</v>
      </c>
      <c r="N476" s="16" t="n">
        <v>27</v>
      </c>
      <c r="O476" s="34" t="n">
        <f aca="false">N476+L476</f>
        <v>74.6</v>
      </c>
      <c r="P476" s="34" t="n">
        <f aca="false">N476+M476</f>
        <v>75</v>
      </c>
      <c r="Q476" s="16" t="n">
        <v>69</v>
      </c>
      <c r="R476" s="16" t="n">
        <v>71</v>
      </c>
      <c r="S476" s="34" t="n">
        <f aca="false">(R476*70)/100</f>
        <v>49.7</v>
      </c>
      <c r="T476" s="34" t="n">
        <f aca="false">ROUNDUP(S476,0)</f>
        <v>50</v>
      </c>
      <c r="U476" s="16" t="n">
        <v>24</v>
      </c>
      <c r="V476" s="34" t="n">
        <f aca="false">U476+S476</f>
        <v>73.7</v>
      </c>
      <c r="W476" s="34" t="n">
        <f aca="false">U476+T476</f>
        <v>74</v>
      </c>
      <c r="X476" s="16" t="n">
        <v>71</v>
      </c>
      <c r="Y476" s="34" t="n">
        <f aca="false">(X476*70)/100</f>
        <v>49.7</v>
      </c>
      <c r="Z476" s="34" t="n">
        <f aca="false">ROUNDUP(Y476,0)</f>
        <v>50</v>
      </c>
      <c r="AA476" s="16" t="n">
        <v>21</v>
      </c>
      <c r="AB476" s="34" t="n">
        <f aca="false">AA476+Y476</f>
        <v>70.7</v>
      </c>
      <c r="AC476" s="34" t="n">
        <f aca="false">AA476+Z476</f>
        <v>71</v>
      </c>
      <c r="AD476" s="32" t="n">
        <f aca="false">X476+R476+Q476+K476+J476</f>
        <v>363</v>
      </c>
      <c r="AE476" s="16" t="n">
        <f aca="false">AD476/5</f>
        <v>72.6</v>
      </c>
      <c r="AF476" s="16" t="n">
        <v>77</v>
      </c>
      <c r="AG476" s="16" t="n">
        <v>88</v>
      </c>
      <c r="AH476" s="16" t="n">
        <v>90</v>
      </c>
      <c r="AI476" s="16" t="n">
        <v>93</v>
      </c>
      <c r="AJ476" s="16" t="n">
        <f aca="false">(AI476*70)/100</f>
        <v>65.1</v>
      </c>
      <c r="AK476" s="35" t="n">
        <f aca="false">ROUNDUP(AJ476,0)</f>
        <v>66</v>
      </c>
      <c r="AL476" s="16" t="n">
        <v>25</v>
      </c>
      <c r="AM476" s="16" t="n">
        <f aca="false">AL476+AJ476</f>
        <v>90.1</v>
      </c>
      <c r="AN476" s="16" t="n">
        <f aca="false">AL476+AK476</f>
        <v>91</v>
      </c>
      <c r="AO476" s="16" t="n">
        <v>76</v>
      </c>
      <c r="AP476" s="36" t="n">
        <f aca="false">(AO476*70)/100</f>
        <v>53.2</v>
      </c>
      <c r="AQ476" s="37" t="n">
        <f aca="false">ROUNDUP(AP476,0)</f>
        <v>54</v>
      </c>
      <c r="AR476" s="16" t="n">
        <v>25</v>
      </c>
      <c r="AS476" s="16" t="n">
        <f aca="false">AR476+AP476</f>
        <v>78.2</v>
      </c>
      <c r="AT476" s="16" t="n">
        <f aca="false">AR476+AQ476</f>
        <v>79</v>
      </c>
      <c r="AU476" s="16" t="n">
        <f aca="false">AO476+AF476+AI476+AH476+AG476</f>
        <v>424</v>
      </c>
      <c r="AV476" s="16" t="n">
        <f aca="false">(AO476+AF476+AI476+AH476+AG476)/5</f>
        <v>84.8</v>
      </c>
      <c r="AW476" s="36" t="n">
        <f aca="false">(AO476+AF476+AI476+AH476+AG476+X476+R476+Q476+K476+J476)</f>
        <v>787</v>
      </c>
      <c r="AX476" s="16" t="n">
        <f aca="false">AW476/10</f>
        <v>78.7</v>
      </c>
      <c r="AY476" s="16" t="n">
        <f aca="false">AS476+AF476+AM476+AH476+AG476+AB476+V476+Q476+O476+J476</f>
        <v>795.3</v>
      </c>
      <c r="AZ476" s="16" t="n">
        <f aca="false">AT476+AF476+AN476+AH476+AG476+AC476+W476+Q476+P476+J476</f>
        <v>798</v>
      </c>
      <c r="BA476" s="16" t="n">
        <f aca="false">AY476/10</f>
        <v>79.53</v>
      </c>
      <c r="BB476" s="16" t="n">
        <f aca="false">AZ476/10</f>
        <v>79.8</v>
      </c>
      <c r="BC476" s="16" t="n">
        <v>2333</v>
      </c>
      <c r="BD476" s="16" t="n">
        <f aca="false">RANK(AX476,$AX$2:$AX$881,0)</f>
        <v>358</v>
      </c>
      <c r="BE476" s="54" t="n">
        <f aca="false">((BC476*100)/2400)*0.4+(AX476*0.6)</f>
        <v>86.1033333333333</v>
      </c>
      <c r="BF476" s="16" t="n">
        <f aca="false">RANK(BE476,$BE$2:$BE$881,0)</f>
        <v>418</v>
      </c>
      <c r="BG476" s="39" t="n">
        <f aca="false">RANK(BB476,$BB$2:$BB$881,0)</f>
        <v>369</v>
      </c>
      <c r="BH476" s="39" t="n">
        <f aca="false">RANK(BC476,$BC$2:$BC$881,0)</f>
        <v>697</v>
      </c>
      <c r="BI476" s="22" t="s">
        <v>130</v>
      </c>
      <c r="BJ476" s="22" t="s">
        <v>129</v>
      </c>
      <c r="BK476" s="40" t="s">
        <v>131</v>
      </c>
      <c r="BL476" s="41" t="n">
        <v>17</v>
      </c>
      <c r="BM476" s="41" t="n">
        <v>53</v>
      </c>
      <c r="BN476" s="41" t="n">
        <v>70</v>
      </c>
      <c r="BO476" s="42" t="n">
        <v>24</v>
      </c>
      <c r="BP476" s="43" t="n">
        <v>65</v>
      </c>
      <c r="BQ476" s="44" t="n">
        <v>89</v>
      </c>
      <c r="BR476" s="42" t="n">
        <v>26</v>
      </c>
      <c r="BS476" s="45" t="n">
        <v>58</v>
      </c>
      <c r="BT476" s="45" t="n">
        <v>84</v>
      </c>
      <c r="BU476" s="46" t="n">
        <v>100</v>
      </c>
      <c r="BV476" s="47" t="n">
        <v>78</v>
      </c>
      <c r="BW476" s="42" t="n">
        <v>95</v>
      </c>
      <c r="BX476" s="48" t="n">
        <v>88</v>
      </c>
      <c r="BY476" s="32" t="n">
        <v>21</v>
      </c>
      <c r="BZ476" s="32" t="n">
        <v>48</v>
      </c>
      <c r="CA476" s="32" t="n">
        <v>69</v>
      </c>
      <c r="CB476" s="32" t="n">
        <v>23</v>
      </c>
      <c r="CC476" s="32" t="n">
        <v>32</v>
      </c>
      <c r="CD476" s="69" t="n">
        <v>55</v>
      </c>
      <c r="CE476" s="32" t="n">
        <v>25</v>
      </c>
      <c r="CF476" s="32" t="n">
        <v>40</v>
      </c>
      <c r="CG476" s="32" t="n">
        <v>65</v>
      </c>
      <c r="CH476" s="32" t="n">
        <v>95</v>
      </c>
      <c r="CI476" s="32" t="n">
        <v>99</v>
      </c>
      <c r="CJ476" s="83" t="n">
        <v>10</v>
      </c>
      <c r="CK476" s="60"/>
      <c r="CL476" s="61"/>
      <c r="CM476" s="49" t="n">
        <v>22</v>
      </c>
      <c r="CN476" s="49" t="n">
        <v>54</v>
      </c>
      <c r="CO476" s="49" t="n">
        <v>76</v>
      </c>
      <c r="CP476" s="25" t="n">
        <f aca="false">BX476+BW476+BV476+BU476+BT476+BQ476+BN476</f>
        <v>604</v>
      </c>
      <c r="CQ476" s="25" t="n">
        <f aca="false">CO476+CL476+CI476+CH476+CG476+CD476+CA476</f>
        <v>459</v>
      </c>
      <c r="CR476" s="26" t="n">
        <f aca="false">CP476/7</f>
        <v>86.2857142857143</v>
      </c>
      <c r="CS476" s="26" t="n">
        <f aca="false">CQ476/7</f>
        <v>65.5714285714286</v>
      </c>
      <c r="CT476" s="24" t="n">
        <f aca="false">RANK(CR476,$CR$2:$CR$881,0)</f>
        <v>383</v>
      </c>
      <c r="CU476" s="25" t="n">
        <f aca="false">RANK(CS476,$CS$2:$CS$881,0)</f>
        <v>618</v>
      </c>
      <c r="CV476" s="26" t="n">
        <f aca="false">(CS476+CR476)/2</f>
        <v>75.9285714285714</v>
      </c>
      <c r="CW476" s="25" t="n">
        <f aca="false">RANK(CV476,$CV$2:$CV$881,0)</f>
        <v>542</v>
      </c>
      <c r="CX476" s="50" t="n">
        <f aca="false">(CV476+BB476)/2</f>
        <v>77.8642857142857</v>
      </c>
      <c r="CY476" s="50" t="n">
        <v>469</v>
      </c>
      <c r="CZ476" s="27" t="s">
        <v>132</v>
      </c>
      <c r="DA476" s="27" t="s">
        <v>305</v>
      </c>
      <c r="DB476" s="27" t="s">
        <v>305</v>
      </c>
      <c r="DC476" s="27" t="s">
        <v>134</v>
      </c>
      <c r="DD476" s="27" t="s">
        <v>191</v>
      </c>
      <c r="DE476" s="27" t="s">
        <v>442</v>
      </c>
      <c r="DF476" s="27" t="s">
        <v>138</v>
      </c>
      <c r="DG476" s="27" t="s">
        <v>134</v>
      </c>
      <c r="DH476" s="27" t="s">
        <v>160</v>
      </c>
      <c r="DI476" s="27" t="s">
        <v>412</v>
      </c>
      <c r="DJ476" s="27" t="s">
        <v>272</v>
      </c>
      <c r="DK476" s="27" t="s">
        <v>134</v>
      </c>
      <c r="DL476" s="27" t="s">
        <v>195</v>
      </c>
      <c r="DM476" s="27" t="s">
        <v>306</v>
      </c>
      <c r="DN476" s="27" t="s">
        <v>443</v>
      </c>
      <c r="DO476" s="27" t="s">
        <v>134</v>
      </c>
      <c r="DP476" s="27" t="s">
        <v>191</v>
      </c>
      <c r="DQ476" s="27" t="s">
        <v>399</v>
      </c>
      <c r="DR476" s="27" t="s">
        <v>143</v>
      </c>
      <c r="DS476" s="27" t="s">
        <v>134</v>
      </c>
      <c r="DT476" s="27" t="s">
        <v>160</v>
      </c>
      <c r="DU476" s="27" t="s">
        <v>681</v>
      </c>
      <c r="DV476" s="27" t="s">
        <v>372</v>
      </c>
      <c r="DW476" s="27" t="s">
        <v>174</v>
      </c>
      <c r="DX476" s="27" t="s">
        <v>183</v>
      </c>
      <c r="DY476" s="27" t="s">
        <v>219</v>
      </c>
      <c r="DZ476" s="27" t="n">
        <f aca="false">DY476+DV476+DR476+DN476+DJ476+DF476+DB476</f>
        <v>524</v>
      </c>
      <c r="EA476" s="28" t="n">
        <f aca="false">DZ476/7</f>
        <v>74.8571428571429</v>
      </c>
      <c r="EB476" s="27" t="n">
        <f aca="false">RANK(EA476,$EA$2:$EA$881,0)</f>
        <v>543</v>
      </c>
      <c r="EC476" s="29" t="n">
        <f aca="false">DZ476+CQ476+CP476+AZ476</f>
        <v>2385</v>
      </c>
      <c r="ED476" s="30" t="n">
        <f aca="false">(EA476+CV476+BB476)/3</f>
        <v>76.8619047619048</v>
      </c>
      <c r="EE476" s="51" t="n">
        <f aca="false">ROUND(BE476,3)</f>
        <v>86.103</v>
      </c>
      <c r="EF476" s="51" t="n">
        <f aca="false">ROUND(CR476,3)</f>
        <v>86.286</v>
      </c>
      <c r="EG476" s="51" t="n">
        <f aca="false">ROUND(CS476,3)</f>
        <v>65.571</v>
      </c>
      <c r="EH476" s="51" t="n">
        <f aca="false">ROUND(EA476,3)</f>
        <v>74.857</v>
      </c>
      <c r="EI476" s="51" t="n">
        <f aca="false">ROUND(ED476,3)</f>
        <v>76.862</v>
      </c>
      <c r="EJ476" s="51" t="n">
        <f aca="false">ROUND(CV476,3)</f>
        <v>75.929</v>
      </c>
      <c r="EK476" s="0" t="n">
        <f aca="false">RANK(EI476,$EI$2:$EI$881,0)</f>
        <v>475</v>
      </c>
    </row>
    <row r="477" customFormat="false" ht="15" hidden="false" customHeight="false" outlineLevel="0" collapsed="false">
      <c r="A477" s="4" t="n">
        <v>1838</v>
      </c>
      <c r="B477" s="4" t="n">
        <v>14</v>
      </c>
      <c r="C477" s="27" t="s">
        <v>1473</v>
      </c>
      <c r="D477" s="52" t="n">
        <v>16</v>
      </c>
      <c r="E477" s="16" t="n">
        <v>230119379</v>
      </c>
      <c r="F477" s="56" t="s">
        <v>1474</v>
      </c>
      <c r="G477" s="22" t="s">
        <v>1475</v>
      </c>
      <c r="H477" s="22" t="s">
        <v>326</v>
      </c>
      <c r="I477" s="57"/>
      <c r="J477" s="16" t="n">
        <v>73</v>
      </c>
      <c r="K477" s="16" t="n">
        <v>65</v>
      </c>
      <c r="L477" s="34" t="n">
        <f aca="false">(K477*70)/100</f>
        <v>45.5</v>
      </c>
      <c r="M477" s="34" t="n">
        <f aca="false">ROUNDUP(L477,0)</f>
        <v>46</v>
      </c>
      <c r="N477" s="16" t="n">
        <v>21</v>
      </c>
      <c r="O477" s="34" t="n">
        <f aca="false">N477+L477</f>
        <v>66.5</v>
      </c>
      <c r="P477" s="34" t="n">
        <f aca="false">N477+M477</f>
        <v>67</v>
      </c>
      <c r="Q477" s="16" t="n">
        <v>82</v>
      </c>
      <c r="R477" s="16" t="n">
        <v>69</v>
      </c>
      <c r="S477" s="34" t="n">
        <f aca="false">(R477*70)/100</f>
        <v>48.3</v>
      </c>
      <c r="T477" s="34" t="n">
        <f aca="false">ROUNDUP(S477,0)</f>
        <v>49</v>
      </c>
      <c r="U477" s="16" t="n">
        <v>26</v>
      </c>
      <c r="V477" s="34" t="n">
        <f aca="false">U477+S477</f>
        <v>74.3</v>
      </c>
      <c r="W477" s="34" t="n">
        <f aca="false">U477+T477</f>
        <v>75</v>
      </c>
      <c r="X477" s="16" t="n">
        <v>53</v>
      </c>
      <c r="Y477" s="34" t="n">
        <f aca="false">(X477*70)/100</f>
        <v>37.1</v>
      </c>
      <c r="Z477" s="34" t="n">
        <f aca="false">ROUNDUP(Y477,0)</f>
        <v>38</v>
      </c>
      <c r="AA477" s="16" t="n">
        <v>24</v>
      </c>
      <c r="AB477" s="34" t="n">
        <f aca="false">AA477+Y477</f>
        <v>61.1</v>
      </c>
      <c r="AC477" s="34" t="n">
        <f aca="false">AA477+Z477</f>
        <v>62</v>
      </c>
      <c r="AD477" s="32" t="n">
        <f aca="false">X477+R477+Q477+K477+J477</f>
        <v>342</v>
      </c>
      <c r="AE477" s="16" t="n">
        <f aca="false">AD477/5</f>
        <v>68.4</v>
      </c>
      <c r="AF477" s="16" t="n">
        <v>80</v>
      </c>
      <c r="AG477" s="16" t="n">
        <v>83</v>
      </c>
      <c r="AH477" s="16" t="n">
        <v>93</v>
      </c>
      <c r="AI477" s="16" t="n">
        <v>90</v>
      </c>
      <c r="AJ477" s="16" t="n">
        <f aca="false">(AI477*70)/100</f>
        <v>63</v>
      </c>
      <c r="AK477" s="35" t="n">
        <f aca="false">ROUNDUP(AJ477,0)</f>
        <v>63</v>
      </c>
      <c r="AL477" s="16" t="n">
        <v>20</v>
      </c>
      <c r="AM477" s="16" t="n">
        <f aca="false">AL477+AJ477</f>
        <v>83</v>
      </c>
      <c r="AN477" s="16" t="n">
        <f aca="false">AL477+AK477</f>
        <v>83</v>
      </c>
      <c r="AO477" s="16" t="n">
        <v>85</v>
      </c>
      <c r="AP477" s="36" t="n">
        <f aca="false">(AO477*70)/100</f>
        <v>59.5</v>
      </c>
      <c r="AQ477" s="37" t="n">
        <f aca="false">ROUNDUP(AP477,0)</f>
        <v>60</v>
      </c>
      <c r="AR477" s="16" t="n">
        <v>12</v>
      </c>
      <c r="AS477" s="16" t="n">
        <f aca="false">AR477+AP477</f>
        <v>71.5</v>
      </c>
      <c r="AT477" s="16" t="n">
        <f aca="false">AR477+AQ477</f>
        <v>72</v>
      </c>
      <c r="AU477" s="16" t="n">
        <f aca="false">AO477+AF477+AI477+AH477+AG477</f>
        <v>431</v>
      </c>
      <c r="AV477" s="16" t="n">
        <f aca="false">(AO477+AF477+AI477+AH477+AG477)/5</f>
        <v>86.2</v>
      </c>
      <c r="AW477" s="36" t="n">
        <f aca="false">(AO477+AF477+AI477+AH477+AG477+X477+R477+Q477+K477+J477)</f>
        <v>773</v>
      </c>
      <c r="AX477" s="16" t="n">
        <f aca="false">AW477/10</f>
        <v>77.3</v>
      </c>
      <c r="AY477" s="16" t="n">
        <f aca="false">AS477+AF477+AM477+AH477+AG477+AB477+V477+Q477+O477+J477</f>
        <v>767.4</v>
      </c>
      <c r="AZ477" s="16" t="n">
        <f aca="false">AT477+AF477+AN477+AH477+AG477+AC477+W477+Q477+P477+J477</f>
        <v>770</v>
      </c>
      <c r="BA477" s="16" t="n">
        <f aca="false">AY477/10</f>
        <v>76.74</v>
      </c>
      <c r="BB477" s="16" t="n">
        <f aca="false">AZ477/10</f>
        <v>77</v>
      </c>
      <c r="BC477" s="16" t="n">
        <v>2361</v>
      </c>
      <c r="BD477" s="16" t="n">
        <f aca="false">RANK(AX477,$AX$2:$AX$881,0)</f>
        <v>472</v>
      </c>
      <c r="BE477" s="54" t="n">
        <f aca="false">((BC477*100)/2400)*0.4+(AX477*0.6)</f>
        <v>85.73</v>
      </c>
      <c r="BF477" s="16" t="n">
        <f aca="false">RANK(BE477,$BE$2:$BE$881,0)</f>
        <v>476</v>
      </c>
      <c r="BG477" s="39" t="n">
        <f aca="false">RANK(BB477,$BB$2:$BB$881,0)</f>
        <v>644</v>
      </c>
      <c r="BH477" s="39" t="n">
        <f aca="false">RANK(BC477,$BC$2:$BC$881,0)</f>
        <v>382</v>
      </c>
      <c r="BI477" s="22" t="s">
        <v>130</v>
      </c>
      <c r="BJ477" s="22" t="s">
        <v>129</v>
      </c>
      <c r="BK477" s="40" t="s">
        <v>509</v>
      </c>
      <c r="BL477" s="98" t="n">
        <v>7</v>
      </c>
      <c r="BM477" s="61"/>
      <c r="BN477" s="61"/>
      <c r="BO477" s="42" t="n">
        <v>18</v>
      </c>
      <c r="BP477" s="42" t="n">
        <v>57</v>
      </c>
      <c r="BQ477" s="42" t="n">
        <v>75</v>
      </c>
      <c r="BR477" s="42" t="n">
        <v>20</v>
      </c>
      <c r="BS477" s="45" t="n">
        <v>52</v>
      </c>
      <c r="BT477" s="45" t="n">
        <v>72</v>
      </c>
      <c r="BU477" s="46" t="n">
        <v>100</v>
      </c>
      <c r="BV477" s="47" t="n">
        <v>84</v>
      </c>
      <c r="BW477" s="42" t="n">
        <v>95</v>
      </c>
      <c r="BX477" s="48" t="n">
        <v>96</v>
      </c>
      <c r="BY477" s="32" t="n">
        <v>24</v>
      </c>
      <c r="BZ477" s="32" t="n">
        <v>48</v>
      </c>
      <c r="CA477" s="32" t="n">
        <v>72</v>
      </c>
      <c r="CB477" s="32" t="n">
        <v>23</v>
      </c>
      <c r="CC477" s="32" t="n">
        <v>33</v>
      </c>
      <c r="CD477" s="69" t="n">
        <v>56</v>
      </c>
      <c r="CE477" s="32" t="n">
        <v>23</v>
      </c>
      <c r="CF477" s="32" t="n">
        <v>61</v>
      </c>
      <c r="CG477" s="32" t="n">
        <v>84</v>
      </c>
      <c r="CH477" s="32" t="n">
        <v>96</v>
      </c>
      <c r="CI477" s="32" t="n">
        <v>93</v>
      </c>
      <c r="CJ477" s="49" t="n">
        <v>20</v>
      </c>
      <c r="CK477" s="49" t="n">
        <v>53</v>
      </c>
      <c r="CL477" s="49" t="n">
        <v>73</v>
      </c>
      <c r="CM477" s="49" t="n">
        <v>23</v>
      </c>
      <c r="CN477" s="49" t="n">
        <v>53</v>
      </c>
      <c r="CO477" s="49" t="n">
        <v>76</v>
      </c>
      <c r="CP477" s="25" t="n">
        <f aca="false">BX477+BW477+BV477+BU477+BT477+BQ477+BN477</f>
        <v>522</v>
      </c>
      <c r="CQ477" s="25" t="n">
        <f aca="false">CO477+CL477+CI477+CH477+CG477+CD477+CA477</f>
        <v>550</v>
      </c>
      <c r="CR477" s="26" t="n">
        <f aca="false">CP477/7</f>
        <v>74.5714285714286</v>
      </c>
      <c r="CS477" s="26" t="n">
        <f aca="false">CQ477/7</f>
        <v>78.5714285714286</v>
      </c>
      <c r="CT477" s="24" t="n">
        <f aca="false">RANK(CR477,$CR$2:$CR$881,0)</f>
        <v>651</v>
      </c>
      <c r="CU477" s="25" t="n">
        <f aca="false">RANK(CS477,$CS$2:$CS$881,0)</f>
        <v>317</v>
      </c>
      <c r="CV477" s="26" t="n">
        <f aca="false">(CS477+CR477)/2</f>
        <v>76.5714285714286</v>
      </c>
      <c r="CW477" s="25" t="n">
        <f aca="false">RANK(CV477,$CV$2:$CV$881,0)</f>
        <v>526</v>
      </c>
      <c r="CX477" s="50" t="n">
        <f aca="false">(CV477+BB477)/2</f>
        <v>76.7857142857143</v>
      </c>
      <c r="CY477" s="50" t="n">
        <v>508</v>
      </c>
      <c r="CZ477" s="27" t="s">
        <v>132</v>
      </c>
      <c r="DA477" s="27" t="s">
        <v>175</v>
      </c>
      <c r="DB477" s="27" t="s">
        <v>175</v>
      </c>
      <c r="DC477" s="27" t="s">
        <v>134</v>
      </c>
      <c r="DD477" s="27" t="s">
        <v>191</v>
      </c>
      <c r="DE477" s="27" t="s">
        <v>306</v>
      </c>
      <c r="DF477" s="27" t="s">
        <v>441</v>
      </c>
      <c r="DG477" s="27" t="s">
        <v>134</v>
      </c>
      <c r="DH477" s="27" t="s">
        <v>164</v>
      </c>
      <c r="DI477" s="27" t="s">
        <v>161</v>
      </c>
      <c r="DJ477" s="27" t="s">
        <v>133</v>
      </c>
      <c r="DK477" s="27" t="s">
        <v>134</v>
      </c>
      <c r="DL477" s="27" t="s">
        <v>164</v>
      </c>
      <c r="DM477" s="27" t="s">
        <v>673</v>
      </c>
      <c r="DN477" s="27" t="s">
        <v>143</v>
      </c>
      <c r="DO477" s="27" t="s">
        <v>134</v>
      </c>
      <c r="DP477" s="27" t="s">
        <v>264</v>
      </c>
      <c r="DQ477" s="27" t="s">
        <v>304</v>
      </c>
      <c r="DR477" s="27" t="s">
        <v>486</v>
      </c>
      <c r="DS477" s="27" t="s">
        <v>134</v>
      </c>
      <c r="DT477" s="27" t="s">
        <v>182</v>
      </c>
      <c r="DU477" s="27" t="s">
        <v>481</v>
      </c>
      <c r="DV477" s="27" t="s">
        <v>161</v>
      </c>
      <c r="DW477" s="27" t="s">
        <v>191</v>
      </c>
      <c r="DX477" s="27" t="s">
        <v>138</v>
      </c>
      <c r="DY477" s="27" t="s">
        <v>162</v>
      </c>
      <c r="DZ477" s="27" t="n">
        <f aca="false">DY477+DV477+DR477+DN477+DJ477+DF477+DB477</f>
        <v>539</v>
      </c>
      <c r="EA477" s="28" t="n">
        <f aca="false">DZ477/7</f>
        <v>77</v>
      </c>
      <c r="EB477" s="27" t="n">
        <f aca="false">RANK(EA477,$EA$2:$EA$881,0)</f>
        <v>488</v>
      </c>
      <c r="EC477" s="29" t="n">
        <f aca="false">DZ477+CQ477+CP477+AZ477</f>
        <v>2381</v>
      </c>
      <c r="ED477" s="30" t="n">
        <f aca="false">(EA477+CV477+BB477)/3</f>
        <v>76.8571428571429</v>
      </c>
      <c r="EE477" s="51" t="n">
        <f aca="false">ROUND(BE477,3)</f>
        <v>85.73</v>
      </c>
      <c r="EF477" s="51" t="n">
        <f aca="false">ROUND(CR477,3)</f>
        <v>74.571</v>
      </c>
      <c r="EG477" s="51" t="n">
        <f aca="false">ROUND(CS477,3)</f>
        <v>78.571</v>
      </c>
      <c r="EH477" s="51" t="n">
        <f aca="false">ROUND(EA477,3)</f>
        <v>77</v>
      </c>
      <c r="EI477" s="51" t="n">
        <f aca="false">ROUND(ED477,3)</f>
        <v>76.857</v>
      </c>
      <c r="EJ477" s="51" t="n">
        <f aca="false">ROUND(CV477,3)</f>
        <v>76.571</v>
      </c>
      <c r="EK477" s="0" t="n">
        <f aca="false">RANK(EI477,$EI$2:$EI$881,0)</f>
        <v>476</v>
      </c>
    </row>
    <row r="478" customFormat="false" ht="15" hidden="false" customHeight="false" outlineLevel="0" collapsed="false">
      <c r="A478" s="4" t="n">
        <v>8709</v>
      </c>
      <c r="B478" s="4" t="n">
        <v>857</v>
      </c>
      <c r="C478" s="27" t="s">
        <v>1476</v>
      </c>
      <c r="D478" s="31" t="n">
        <v>877</v>
      </c>
      <c r="E478" s="16" t="n">
        <v>230120040</v>
      </c>
      <c r="F478" s="56" t="s">
        <v>1477</v>
      </c>
      <c r="G478" s="22" t="s">
        <v>1478</v>
      </c>
      <c r="H478" s="22" t="s">
        <v>326</v>
      </c>
      <c r="I478" s="57"/>
      <c r="J478" s="16" t="n">
        <v>92</v>
      </c>
      <c r="K478" s="16" t="n">
        <v>65</v>
      </c>
      <c r="L478" s="34" t="n">
        <f aca="false">(K478*70)/100</f>
        <v>45.5</v>
      </c>
      <c r="M478" s="34" t="n">
        <f aca="false">ROUNDUP(L478,0)</f>
        <v>46</v>
      </c>
      <c r="N478" s="16" t="n">
        <v>23</v>
      </c>
      <c r="O478" s="34" t="n">
        <f aca="false">N478+L478</f>
        <v>68.5</v>
      </c>
      <c r="P478" s="34" t="n">
        <f aca="false">N478+M478</f>
        <v>69</v>
      </c>
      <c r="Q478" s="16" t="n">
        <v>75</v>
      </c>
      <c r="R478" s="16" t="n">
        <v>72</v>
      </c>
      <c r="S478" s="34" t="n">
        <f aca="false">(R478*70)/100</f>
        <v>50.4</v>
      </c>
      <c r="T478" s="34" t="n">
        <f aca="false">ROUNDUP(S478,0)</f>
        <v>51</v>
      </c>
      <c r="U478" s="16" t="n">
        <v>26</v>
      </c>
      <c r="V478" s="34" t="n">
        <f aca="false">U478+S478</f>
        <v>76.4</v>
      </c>
      <c r="W478" s="34" t="n">
        <f aca="false">U478+T478</f>
        <v>77</v>
      </c>
      <c r="X478" s="16" t="n">
        <v>69</v>
      </c>
      <c r="Y478" s="34" t="n">
        <f aca="false">(X478*70)/100</f>
        <v>48.3</v>
      </c>
      <c r="Z478" s="34" t="n">
        <f aca="false">ROUNDUP(Y478,0)</f>
        <v>49</v>
      </c>
      <c r="AA478" s="16" t="n">
        <v>24</v>
      </c>
      <c r="AB478" s="34" t="n">
        <f aca="false">AA478+Y478</f>
        <v>72.3</v>
      </c>
      <c r="AC478" s="34" t="n">
        <f aca="false">AA478+Z478</f>
        <v>73</v>
      </c>
      <c r="AD478" s="32" t="n">
        <f aca="false">X478+R478+Q478+K478+J478</f>
        <v>373</v>
      </c>
      <c r="AE478" s="16" t="n">
        <f aca="false">AD478/5</f>
        <v>74.6</v>
      </c>
      <c r="AF478" s="16" t="n">
        <v>60</v>
      </c>
      <c r="AG478" s="16" t="n">
        <v>87</v>
      </c>
      <c r="AH478" s="16" t="n">
        <v>94</v>
      </c>
      <c r="AI478" s="16" t="n">
        <v>89</v>
      </c>
      <c r="AJ478" s="16" t="n">
        <f aca="false">(AI478*70)/100</f>
        <v>62.3</v>
      </c>
      <c r="AK478" s="35" t="n">
        <f aca="false">ROUNDUP(AJ478,0)</f>
        <v>63</v>
      </c>
      <c r="AL478" s="16" t="n">
        <v>24</v>
      </c>
      <c r="AM478" s="16" t="n">
        <f aca="false">AL478+AJ478</f>
        <v>86.3</v>
      </c>
      <c r="AN478" s="16" t="n">
        <f aca="false">AL478+AK478</f>
        <v>87</v>
      </c>
      <c r="AO478" s="16" t="n">
        <v>81</v>
      </c>
      <c r="AP478" s="36" t="n">
        <f aca="false">(AO478*70)/100</f>
        <v>56.7</v>
      </c>
      <c r="AQ478" s="37" t="n">
        <f aca="false">ROUNDUP(AP478,0)</f>
        <v>57</v>
      </c>
      <c r="AR478" s="16" t="n">
        <v>25</v>
      </c>
      <c r="AS478" s="16" t="n">
        <f aca="false">AR478+AP478</f>
        <v>81.7</v>
      </c>
      <c r="AT478" s="16" t="n">
        <f aca="false">AR478+AQ478</f>
        <v>82</v>
      </c>
      <c r="AU478" s="16" t="n">
        <f aca="false">AO478+AF478+AI478+AH478+AG478</f>
        <v>411</v>
      </c>
      <c r="AV478" s="16" t="n">
        <f aca="false">(AO478+AF478+AI478+AH478+AG478)/5</f>
        <v>82.2</v>
      </c>
      <c r="AW478" s="36" t="n">
        <f aca="false">(AO478+AF478+AI478+AH478+AG478+X478+R478+Q478+K478+J478)</f>
        <v>784</v>
      </c>
      <c r="AX478" s="16" t="n">
        <f aca="false">AW478/10</f>
        <v>78.4</v>
      </c>
      <c r="AY478" s="16" t="n">
        <f aca="false">AS478+AF478+AM478+AH478+AG478+AB478+V478+Q478+O478+J478</f>
        <v>793.2</v>
      </c>
      <c r="AZ478" s="16" t="n">
        <f aca="false">AT478+AF478+AN478+AH478+AG478+AC478+W478+Q478+P478+J478</f>
        <v>796</v>
      </c>
      <c r="BA478" s="16" t="n">
        <f aca="false">AY478/10</f>
        <v>79.32</v>
      </c>
      <c r="BB478" s="16" t="n">
        <f aca="false">AZ478/10</f>
        <v>79.6</v>
      </c>
      <c r="BC478" s="16" t="n">
        <v>2343</v>
      </c>
      <c r="BD478" s="16" t="n">
        <f aca="false">RANK(AX478,$AX$2:$AX$881,0)</f>
        <v>385</v>
      </c>
      <c r="BE478" s="54" t="n">
        <f aca="false">((BC478*100)/2400)*0.4+(AX478*0.6)</f>
        <v>86.09</v>
      </c>
      <c r="BF478" s="16" t="n">
        <f aca="false">RANK(BE478,$BE$2:$BE$881,0)</f>
        <v>420</v>
      </c>
      <c r="BG478" s="39" t="n">
        <f aca="false">RANK(BB478,$BB$2:$BB$881,0)</f>
        <v>392</v>
      </c>
      <c r="BH478" s="39" t="n">
        <f aca="false">RANK(BC478,$BC$2:$BC$881,0)</f>
        <v>613</v>
      </c>
      <c r="BI478" s="22" t="s">
        <v>130</v>
      </c>
      <c r="BJ478" s="22" t="s">
        <v>129</v>
      </c>
      <c r="BK478" s="40" t="s">
        <v>131</v>
      </c>
      <c r="BL478" s="41" t="n">
        <v>18</v>
      </c>
      <c r="BM478" s="41" t="n">
        <v>48</v>
      </c>
      <c r="BN478" s="41" t="n">
        <v>66</v>
      </c>
      <c r="BO478" s="42" t="n">
        <v>22</v>
      </c>
      <c r="BP478" s="43" t="n">
        <v>57</v>
      </c>
      <c r="BQ478" s="44" t="n">
        <v>79</v>
      </c>
      <c r="BR478" s="42" t="n">
        <v>20</v>
      </c>
      <c r="BS478" s="45" t="n">
        <v>56</v>
      </c>
      <c r="BT478" s="45" t="n">
        <v>76</v>
      </c>
      <c r="BU478" s="46" t="n">
        <v>99</v>
      </c>
      <c r="BV478" s="47" t="n">
        <v>78</v>
      </c>
      <c r="BW478" s="42" t="n">
        <v>98</v>
      </c>
      <c r="BX478" s="48" t="n">
        <v>94</v>
      </c>
      <c r="BY478" s="32" t="n">
        <v>24</v>
      </c>
      <c r="BZ478" s="32" t="n">
        <v>52</v>
      </c>
      <c r="CA478" s="32" t="n">
        <v>76</v>
      </c>
      <c r="CB478" s="32" t="n">
        <v>20</v>
      </c>
      <c r="CC478" s="32" t="n">
        <v>44</v>
      </c>
      <c r="CD478" s="32" t="n">
        <v>64</v>
      </c>
      <c r="CE478" s="32" t="n">
        <v>27</v>
      </c>
      <c r="CF478" s="32" t="n">
        <v>47</v>
      </c>
      <c r="CG478" s="32" t="n">
        <v>74</v>
      </c>
      <c r="CH478" s="32" t="n">
        <v>92</v>
      </c>
      <c r="CI478" s="25" t="n">
        <v>95</v>
      </c>
      <c r="CJ478" s="49" t="n">
        <v>13</v>
      </c>
      <c r="CK478" s="49" t="n">
        <v>44</v>
      </c>
      <c r="CL478" s="76" t="n">
        <v>57</v>
      </c>
      <c r="CM478" s="49" t="n">
        <v>22</v>
      </c>
      <c r="CN478" s="49" t="n">
        <v>48</v>
      </c>
      <c r="CO478" s="49" t="n">
        <v>70</v>
      </c>
      <c r="CP478" s="25" t="n">
        <f aca="false">BX478+BW478+BV478+BU478+BT478+BQ478+BN478</f>
        <v>590</v>
      </c>
      <c r="CQ478" s="25" t="n">
        <f aca="false">CO478+CL478+CI478+CH478+CG478+CD478+CA478</f>
        <v>528</v>
      </c>
      <c r="CR478" s="26" t="n">
        <f aca="false">CP478/7</f>
        <v>84.2857142857143</v>
      </c>
      <c r="CS478" s="26" t="n">
        <f aca="false">CQ478/7</f>
        <v>75.4285714285714</v>
      </c>
      <c r="CT478" s="24" t="n">
        <f aca="false">RANK(CR478,$CR$2:$CR$881,0)</f>
        <v>467</v>
      </c>
      <c r="CU478" s="25" t="n">
        <f aca="false">RANK(CS478,$CS$2:$CS$881,0)</f>
        <v>417</v>
      </c>
      <c r="CV478" s="26" t="n">
        <f aca="false">(CS478+CR478)/2</f>
        <v>79.8571428571429</v>
      </c>
      <c r="CW478" s="25" t="n">
        <f aca="false">RANK(CV478,$CV$2:$CV$881,0)</f>
        <v>432</v>
      </c>
      <c r="CX478" s="50" t="n">
        <f aca="false">(CV478+BB478)/2</f>
        <v>79.7285714285714</v>
      </c>
      <c r="CY478" s="50" t="n">
        <v>384</v>
      </c>
      <c r="CZ478" s="27" t="s">
        <v>132</v>
      </c>
      <c r="DA478" s="27" t="s">
        <v>175</v>
      </c>
      <c r="DB478" s="27" t="s">
        <v>175</v>
      </c>
      <c r="DC478" s="27" t="s">
        <v>134</v>
      </c>
      <c r="DD478" s="27" t="s">
        <v>154</v>
      </c>
      <c r="DE478" s="27" t="s">
        <v>220</v>
      </c>
      <c r="DF478" s="27" t="s">
        <v>272</v>
      </c>
      <c r="DG478" s="27" t="s">
        <v>134</v>
      </c>
      <c r="DH478" s="27" t="s">
        <v>164</v>
      </c>
      <c r="DI478" s="27" t="s">
        <v>204</v>
      </c>
      <c r="DJ478" s="27" t="s">
        <v>202</v>
      </c>
      <c r="DK478" s="27" t="s">
        <v>134</v>
      </c>
      <c r="DL478" s="27" t="s">
        <v>137</v>
      </c>
      <c r="DM478" s="27" t="s">
        <v>218</v>
      </c>
      <c r="DN478" s="27" t="s">
        <v>169</v>
      </c>
      <c r="DO478" s="27" t="s">
        <v>134</v>
      </c>
      <c r="DP478" s="27"/>
      <c r="DQ478" s="27"/>
      <c r="DR478" s="27"/>
      <c r="DS478" s="27"/>
      <c r="DT478" s="27" t="s">
        <v>135</v>
      </c>
      <c r="DU478" s="27" t="s">
        <v>306</v>
      </c>
      <c r="DV478" s="27" t="s">
        <v>219</v>
      </c>
      <c r="DW478" s="27" t="s">
        <v>195</v>
      </c>
      <c r="DX478" s="27" t="s">
        <v>136</v>
      </c>
      <c r="DY478" s="27" t="s">
        <v>209</v>
      </c>
      <c r="DZ478" s="27" t="n">
        <f aca="false">DY478+DV478+DR478+DN478+DJ478+DF478+DB478</f>
        <v>497</v>
      </c>
      <c r="EA478" s="28" t="n">
        <f aca="false">DZ478/7</f>
        <v>71</v>
      </c>
      <c r="EB478" s="27" t="n">
        <f aca="false">RANK(EA478,$EA$2:$EA$881,0)</f>
        <v>625</v>
      </c>
      <c r="EC478" s="29" t="n">
        <f aca="false">DZ478+CQ478+CP478+AZ478</f>
        <v>2411</v>
      </c>
      <c r="ED478" s="30" t="n">
        <f aca="false">(EA478+CV478+BB478)/3</f>
        <v>76.8190476190476</v>
      </c>
      <c r="EE478" s="51" t="n">
        <f aca="false">ROUND(BE478,3)</f>
        <v>86.09</v>
      </c>
      <c r="EF478" s="51" t="n">
        <f aca="false">ROUND(CR478,3)</f>
        <v>84.286</v>
      </c>
      <c r="EG478" s="51" t="n">
        <f aca="false">ROUND(CS478,3)</f>
        <v>75.429</v>
      </c>
      <c r="EH478" s="51" t="n">
        <f aca="false">ROUND(EA478,3)</f>
        <v>71</v>
      </c>
      <c r="EI478" s="51" t="n">
        <f aca="false">ROUND(ED478,3)</f>
        <v>76.819</v>
      </c>
      <c r="EJ478" s="51" t="n">
        <f aca="false">ROUND(CV478,3)</f>
        <v>79.857</v>
      </c>
      <c r="EK478" s="0" t="n">
        <f aca="false">RANK(EI478,$EI$2:$EI$881,0)</f>
        <v>477</v>
      </c>
    </row>
    <row r="479" customFormat="false" ht="15" hidden="false" customHeight="false" outlineLevel="0" collapsed="false">
      <c r="A479" s="4" t="n">
        <v>2049</v>
      </c>
      <c r="B479" s="4" t="n">
        <v>282</v>
      </c>
      <c r="C479" s="27" t="s">
        <v>1479</v>
      </c>
      <c r="D479" s="31" t="n">
        <v>282</v>
      </c>
      <c r="E479" s="24" t="n">
        <v>231500062</v>
      </c>
      <c r="F479" s="56" t="s">
        <v>1480</v>
      </c>
      <c r="G479" s="22" t="s">
        <v>1481</v>
      </c>
      <c r="H479" s="22" t="s">
        <v>271</v>
      </c>
      <c r="I479" s="57"/>
      <c r="J479" s="16" t="n">
        <v>69</v>
      </c>
      <c r="K479" s="16" t="n">
        <v>57</v>
      </c>
      <c r="L479" s="34" t="n">
        <f aca="false">(K479*70)/100</f>
        <v>39.9</v>
      </c>
      <c r="M479" s="34" t="n">
        <f aca="false">ROUNDUP(L479,0)</f>
        <v>40</v>
      </c>
      <c r="N479" s="16" t="n">
        <v>20</v>
      </c>
      <c r="O479" s="34" t="n">
        <f aca="false">N479+L479</f>
        <v>59.9</v>
      </c>
      <c r="P479" s="34" t="n">
        <f aca="false">N479+M479</f>
        <v>60</v>
      </c>
      <c r="Q479" s="71" t="n">
        <v>54</v>
      </c>
      <c r="R479" s="16" t="n">
        <v>74</v>
      </c>
      <c r="S479" s="34" t="n">
        <f aca="false">(R479*70)/100</f>
        <v>51.8</v>
      </c>
      <c r="T479" s="34" t="n">
        <f aca="false">ROUNDUP(S479,0)</f>
        <v>52</v>
      </c>
      <c r="U479" s="16" t="n">
        <v>23</v>
      </c>
      <c r="V479" s="34" t="n">
        <f aca="false">U479+S479</f>
        <v>74.8</v>
      </c>
      <c r="W479" s="34" t="n">
        <f aca="false">U479+T479</f>
        <v>75</v>
      </c>
      <c r="X479" s="16" t="n">
        <v>61</v>
      </c>
      <c r="Y479" s="34" t="n">
        <f aca="false">(X479*70)/100</f>
        <v>42.7</v>
      </c>
      <c r="Z479" s="34" t="n">
        <f aca="false">ROUNDUP(Y479,0)</f>
        <v>43</v>
      </c>
      <c r="AA479" s="16" t="n">
        <v>26</v>
      </c>
      <c r="AB479" s="34" t="n">
        <f aca="false">AA479+Y479</f>
        <v>68.7</v>
      </c>
      <c r="AC479" s="34" t="n">
        <f aca="false">AA479+Z479</f>
        <v>69</v>
      </c>
      <c r="AD479" s="32" t="n">
        <f aca="false">X479+R479+Q479+K479+J479</f>
        <v>315</v>
      </c>
      <c r="AE479" s="16" t="n">
        <f aca="false">AD479/5</f>
        <v>63</v>
      </c>
      <c r="AF479" s="16" t="n">
        <v>77</v>
      </c>
      <c r="AG479" s="16" t="n">
        <v>82</v>
      </c>
      <c r="AH479" s="16" t="n">
        <v>81</v>
      </c>
      <c r="AI479" s="16" t="n">
        <v>79</v>
      </c>
      <c r="AJ479" s="16" t="n">
        <f aca="false">(AI479*70)/100</f>
        <v>55.3</v>
      </c>
      <c r="AK479" s="35" t="n">
        <f aca="false">ROUNDUP(AJ479,0)</f>
        <v>56</v>
      </c>
      <c r="AL479" s="16" t="n">
        <v>20</v>
      </c>
      <c r="AM479" s="16" t="n">
        <f aca="false">AL479+AJ479</f>
        <v>75.3</v>
      </c>
      <c r="AN479" s="16" t="n">
        <f aca="false">AL479+AK479</f>
        <v>76</v>
      </c>
      <c r="AO479" s="16" t="n">
        <v>60</v>
      </c>
      <c r="AP479" s="36" t="n">
        <f aca="false">(AO479*70)/100</f>
        <v>42</v>
      </c>
      <c r="AQ479" s="37" t="n">
        <f aca="false">ROUNDUP(AP479,0)</f>
        <v>42</v>
      </c>
      <c r="AR479" s="16" t="n">
        <v>24</v>
      </c>
      <c r="AS479" s="16" t="n">
        <f aca="false">AR479+AP479</f>
        <v>66</v>
      </c>
      <c r="AT479" s="16" t="n">
        <f aca="false">AR479+AQ479</f>
        <v>66</v>
      </c>
      <c r="AU479" s="16" t="n">
        <f aca="false">AO479+AF479+AI479+AH479+AG479</f>
        <v>379</v>
      </c>
      <c r="AV479" s="16" t="n">
        <f aca="false">(AO479+AF479+AI479+AH479+AG479)/5</f>
        <v>75.8</v>
      </c>
      <c r="AW479" s="36" t="n">
        <f aca="false">(AO479+AF479+AI479+AH479+AG479+X479+R479+Q479+K479+J479)</f>
        <v>694</v>
      </c>
      <c r="AX479" s="16" t="n">
        <f aca="false">AW479/10</f>
        <v>69.4</v>
      </c>
      <c r="AY479" s="16" t="n">
        <f aca="false">AS479+AF479+AM479+AH479+AG479+AB479+V479+Q479+O479+J479</f>
        <v>707.7</v>
      </c>
      <c r="AZ479" s="16" t="n">
        <f aca="false">AT479+AF479+AN479+AH479+AG479+AC479+W479+Q479+P479+J479</f>
        <v>709</v>
      </c>
      <c r="BA479" s="16" t="n">
        <f aca="false">AY479/10</f>
        <v>70.77</v>
      </c>
      <c r="BB479" s="16" t="n">
        <f aca="false">AZ479/10</f>
        <v>70.9</v>
      </c>
      <c r="BC479" s="72" t="n">
        <v>0</v>
      </c>
      <c r="BD479" s="16" t="n">
        <f aca="false">RANK(AX479,$AX$2:$AX$881,0)</f>
        <v>740</v>
      </c>
      <c r="BE479" s="78" t="n">
        <f aca="false">AX479</f>
        <v>69.4</v>
      </c>
      <c r="BF479" s="16" t="n">
        <f aca="false">RANK(BE479,$BE$2:$BE$881,0)</f>
        <v>791</v>
      </c>
      <c r="BG479" s="39" t="n">
        <f aca="false">RANK(BB479,$BB$2:$BB$881,0)</f>
        <v>739</v>
      </c>
      <c r="BH479" s="39" t="n">
        <f aca="false">RANK(BC479,$BC$2:$BC$881,0)</f>
        <v>780</v>
      </c>
      <c r="BI479" s="22" t="s">
        <v>130</v>
      </c>
      <c r="BJ479" s="22" t="s">
        <v>129</v>
      </c>
      <c r="BK479" s="22" t="s">
        <v>526</v>
      </c>
      <c r="BL479" s="41" t="n">
        <v>22</v>
      </c>
      <c r="BM479" s="41" t="n">
        <v>61</v>
      </c>
      <c r="BN479" s="41" t="n">
        <v>83</v>
      </c>
      <c r="BO479" s="42" t="n">
        <v>19</v>
      </c>
      <c r="BP479" s="43" t="n">
        <v>65</v>
      </c>
      <c r="BQ479" s="44" t="n">
        <v>84</v>
      </c>
      <c r="BR479" s="42" t="n">
        <v>27</v>
      </c>
      <c r="BS479" s="45" t="n">
        <v>54</v>
      </c>
      <c r="BT479" s="45" t="n">
        <v>81</v>
      </c>
      <c r="BU479" s="46" t="n">
        <v>100</v>
      </c>
      <c r="BV479" s="47" t="n">
        <v>64</v>
      </c>
      <c r="BW479" s="42" t="n">
        <v>100</v>
      </c>
      <c r="BX479" s="48" t="n">
        <v>98</v>
      </c>
      <c r="BY479" s="32" t="n">
        <v>22</v>
      </c>
      <c r="BZ479" s="32" t="n">
        <v>61</v>
      </c>
      <c r="CA479" s="32" t="n">
        <v>83</v>
      </c>
      <c r="CB479" s="32" t="n">
        <v>20</v>
      </c>
      <c r="CC479" s="32" t="n">
        <v>39</v>
      </c>
      <c r="CD479" s="69" t="n">
        <v>59</v>
      </c>
      <c r="CE479" s="32" t="n">
        <v>22</v>
      </c>
      <c r="CF479" s="32" t="n">
        <v>48</v>
      </c>
      <c r="CG479" s="32" t="n">
        <v>70</v>
      </c>
      <c r="CH479" s="32" t="n">
        <v>99</v>
      </c>
      <c r="CI479" s="32" t="n">
        <v>95</v>
      </c>
      <c r="CJ479" s="49" t="n">
        <v>25</v>
      </c>
      <c r="CK479" s="49" t="n">
        <v>44</v>
      </c>
      <c r="CL479" s="49" t="n">
        <v>69</v>
      </c>
      <c r="CM479" s="49" t="n">
        <v>21</v>
      </c>
      <c r="CN479" s="49" t="n">
        <v>46</v>
      </c>
      <c r="CO479" s="49" t="n">
        <v>67</v>
      </c>
      <c r="CP479" s="25" t="n">
        <f aca="false">BX479+BW479+BV479+BU479+BT479+BQ479+BN479</f>
        <v>610</v>
      </c>
      <c r="CQ479" s="25" t="n">
        <f aca="false">CO479+CL479+CI479+CH479+CG479+CD479+CA479</f>
        <v>542</v>
      </c>
      <c r="CR479" s="26" t="n">
        <f aca="false">CP479/7</f>
        <v>87.1428571428571</v>
      </c>
      <c r="CS479" s="26" t="n">
        <f aca="false">CQ479/7</f>
        <v>77.4285714285714</v>
      </c>
      <c r="CT479" s="24" t="n">
        <f aca="false">RANK(CR479,$CR$2:$CR$881,0)</f>
        <v>353</v>
      </c>
      <c r="CU479" s="25" t="n">
        <f aca="false">RANK(CS479,$CS$2:$CS$881,0)</f>
        <v>354</v>
      </c>
      <c r="CV479" s="26" t="n">
        <f aca="false">(CS479+CR479)/2</f>
        <v>82.2857142857143</v>
      </c>
      <c r="CW479" s="25" t="n">
        <f aca="false">RANK(CV479,$CV$2:$CV$881,0)</f>
        <v>324</v>
      </c>
      <c r="CX479" s="50" t="n">
        <f aca="false">(CV479+BB479)/2</f>
        <v>76.5928571428571</v>
      </c>
      <c r="CY479" s="50" t="n">
        <v>517</v>
      </c>
      <c r="CZ479" s="27" t="s">
        <v>132</v>
      </c>
      <c r="DA479" s="27" t="s">
        <v>202</v>
      </c>
      <c r="DB479" s="27" t="s">
        <v>202</v>
      </c>
      <c r="DC479" s="27" t="s">
        <v>134</v>
      </c>
      <c r="DD479" s="27" t="s">
        <v>174</v>
      </c>
      <c r="DE479" s="27" t="s">
        <v>481</v>
      </c>
      <c r="DF479" s="27" t="s">
        <v>204</v>
      </c>
      <c r="DG479" s="27" t="s">
        <v>480</v>
      </c>
      <c r="DH479" s="27" t="s">
        <v>164</v>
      </c>
      <c r="DI479" s="27" t="s">
        <v>304</v>
      </c>
      <c r="DJ479" s="27" t="s">
        <v>196</v>
      </c>
      <c r="DK479" s="27" t="s">
        <v>134</v>
      </c>
      <c r="DL479" s="27" t="s">
        <v>137</v>
      </c>
      <c r="DM479" s="27" t="s">
        <v>306</v>
      </c>
      <c r="DN479" s="27" t="s">
        <v>196</v>
      </c>
      <c r="DO479" s="27" t="s">
        <v>134</v>
      </c>
      <c r="DP479" s="27" t="s">
        <v>191</v>
      </c>
      <c r="DQ479" s="27" t="s">
        <v>412</v>
      </c>
      <c r="DR479" s="27" t="s">
        <v>416</v>
      </c>
      <c r="DS479" s="27" t="s">
        <v>134</v>
      </c>
      <c r="DT479" s="27" t="s">
        <v>164</v>
      </c>
      <c r="DU479" s="27" t="s">
        <v>645</v>
      </c>
      <c r="DV479" s="27" t="s">
        <v>416</v>
      </c>
      <c r="DW479" s="27" t="s">
        <v>154</v>
      </c>
      <c r="DX479" s="27" t="s">
        <v>143</v>
      </c>
      <c r="DY479" s="27" t="s">
        <v>170</v>
      </c>
      <c r="DZ479" s="27" t="n">
        <f aca="false">DY479+DV479+DR479+DN479+DJ479+DF479+DB479</f>
        <v>540</v>
      </c>
      <c r="EA479" s="28" t="n">
        <f aca="false">DZ479/7</f>
        <v>77.1428571428571</v>
      </c>
      <c r="EB479" s="27" t="n">
        <f aca="false">RANK(EA479,$EA$2:$EA$881,0)</f>
        <v>485</v>
      </c>
      <c r="EC479" s="29" t="n">
        <f aca="false">DZ479+CQ479+CP479+AZ479</f>
        <v>2401</v>
      </c>
      <c r="ED479" s="30" t="n">
        <f aca="false">(EA479+CV479+BB479)/3</f>
        <v>76.7761904761905</v>
      </c>
      <c r="EE479" s="51" t="n">
        <f aca="false">ROUND(BE479,3)</f>
        <v>69.4</v>
      </c>
      <c r="EF479" s="51" t="n">
        <f aca="false">ROUND(CR479,3)</f>
        <v>87.143</v>
      </c>
      <c r="EG479" s="51" t="n">
        <f aca="false">ROUND(CS479,3)</f>
        <v>77.429</v>
      </c>
      <c r="EH479" s="51" t="n">
        <f aca="false">ROUND(EA479,3)</f>
        <v>77.143</v>
      </c>
      <c r="EI479" s="51" t="n">
        <f aca="false">ROUND(ED479,3)</f>
        <v>76.776</v>
      </c>
      <c r="EJ479" s="51" t="n">
        <f aca="false">ROUND(CV479,3)</f>
        <v>82.286</v>
      </c>
      <c r="EK479" s="0" t="n">
        <f aca="false">RANK(EI479,$EI$2:$EI$881,0)</f>
        <v>478</v>
      </c>
    </row>
    <row r="480" customFormat="false" ht="15" hidden="false" customHeight="false" outlineLevel="0" collapsed="false">
      <c r="A480" s="4" t="n">
        <v>8990</v>
      </c>
      <c r="B480" s="4" t="n">
        <v>753</v>
      </c>
      <c r="C480" s="27" t="s">
        <v>1482</v>
      </c>
      <c r="D480" s="31" t="n">
        <v>768</v>
      </c>
      <c r="E480" s="16" t="n">
        <v>230239058</v>
      </c>
      <c r="F480" s="56" t="s">
        <v>1483</v>
      </c>
      <c r="G480" s="22" t="s">
        <v>1484</v>
      </c>
      <c r="H480" s="22" t="s">
        <v>326</v>
      </c>
      <c r="I480" s="57"/>
      <c r="J480" s="16" t="n">
        <v>64</v>
      </c>
      <c r="K480" s="16" t="n">
        <v>79</v>
      </c>
      <c r="L480" s="34" t="n">
        <f aca="false">(K480*70)/100</f>
        <v>55.3</v>
      </c>
      <c r="M480" s="34" t="n">
        <f aca="false">ROUNDUP(L480,0)</f>
        <v>56</v>
      </c>
      <c r="N480" s="16" t="n">
        <v>22</v>
      </c>
      <c r="O480" s="34" t="n">
        <f aca="false">N480+L480</f>
        <v>77.3</v>
      </c>
      <c r="P480" s="34" t="n">
        <f aca="false">N480+M480</f>
        <v>78</v>
      </c>
      <c r="Q480" s="16" t="n">
        <v>60</v>
      </c>
      <c r="R480" s="16" t="n">
        <v>82</v>
      </c>
      <c r="S480" s="34" t="n">
        <f aca="false">(R480*70)/100</f>
        <v>57.4</v>
      </c>
      <c r="T480" s="34" t="n">
        <f aca="false">ROUNDUP(S480,0)</f>
        <v>58</v>
      </c>
      <c r="U480" s="16" t="n">
        <v>22</v>
      </c>
      <c r="V480" s="34" t="n">
        <f aca="false">U480+S480</f>
        <v>79.4</v>
      </c>
      <c r="W480" s="34" t="n">
        <f aca="false">U480+T480</f>
        <v>80</v>
      </c>
      <c r="X480" s="16" t="n">
        <v>77</v>
      </c>
      <c r="Y480" s="34" t="n">
        <f aca="false">(X480*70)/100</f>
        <v>53.9</v>
      </c>
      <c r="Z480" s="34" t="n">
        <f aca="false">ROUNDUP(Y480,0)</f>
        <v>54</v>
      </c>
      <c r="AA480" s="16" t="n">
        <v>27</v>
      </c>
      <c r="AB480" s="34" t="n">
        <f aca="false">AA480+Y480</f>
        <v>80.9</v>
      </c>
      <c r="AC480" s="34" t="n">
        <f aca="false">AA480+Z480</f>
        <v>81</v>
      </c>
      <c r="AD480" s="32" t="n">
        <f aca="false">X480+R480+Q480+K480+J480</f>
        <v>362</v>
      </c>
      <c r="AE480" s="16" t="n">
        <f aca="false">AD480/5</f>
        <v>72.4</v>
      </c>
      <c r="AF480" s="16" t="n">
        <v>77</v>
      </c>
      <c r="AG480" s="16" t="n">
        <v>79</v>
      </c>
      <c r="AH480" s="16" t="n">
        <v>92</v>
      </c>
      <c r="AI480" s="16" t="n">
        <v>92</v>
      </c>
      <c r="AJ480" s="16" t="n">
        <f aca="false">(AI480*70)/100</f>
        <v>64.4</v>
      </c>
      <c r="AK480" s="35" t="n">
        <f aca="false">ROUNDUP(AJ480,0)</f>
        <v>65</v>
      </c>
      <c r="AL480" s="16" t="n">
        <v>21</v>
      </c>
      <c r="AM480" s="16" t="n">
        <f aca="false">AL480+AJ480</f>
        <v>85.4</v>
      </c>
      <c r="AN480" s="16" t="n">
        <f aca="false">AL480+AK480</f>
        <v>86</v>
      </c>
      <c r="AO480" s="16" t="n">
        <v>80</v>
      </c>
      <c r="AP480" s="36" t="n">
        <f aca="false">(AO480*70)/100</f>
        <v>56</v>
      </c>
      <c r="AQ480" s="37" t="n">
        <f aca="false">ROUNDUP(AP480,0)</f>
        <v>56</v>
      </c>
      <c r="AR480" s="16" t="n">
        <v>22</v>
      </c>
      <c r="AS480" s="16" t="n">
        <f aca="false">AR480+AP480</f>
        <v>78</v>
      </c>
      <c r="AT480" s="16" t="n">
        <f aca="false">AR480+AQ480</f>
        <v>78</v>
      </c>
      <c r="AU480" s="16" t="n">
        <f aca="false">AO480+AF480+AI480+AH480+AG480</f>
        <v>420</v>
      </c>
      <c r="AV480" s="16" t="n">
        <f aca="false">(AO480+AF480+AI480+AH480+AG480)/5</f>
        <v>84</v>
      </c>
      <c r="AW480" s="36" t="n">
        <f aca="false">(AO480+AF480+AI480+AH480+AG480+X480+R480+Q480+K480+J480)</f>
        <v>782</v>
      </c>
      <c r="AX480" s="16" t="n">
        <f aca="false">AW480/10</f>
        <v>78.2</v>
      </c>
      <c r="AY480" s="16" t="n">
        <f aca="false">AS480+AF480+AM480+AH480+AG480+AB480+V480+Q480+O480+J480</f>
        <v>773</v>
      </c>
      <c r="AZ480" s="16" t="n">
        <f aca="false">AT480+AF480+AN480+AH480+AG480+AC480+W480+Q480+P480+J480</f>
        <v>775</v>
      </c>
      <c r="BA480" s="16" t="n">
        <f aca="false">AY480/10</f>
        <v>77.3</v>
      </c>
      <c r="BB480" s="16" t="n">
        <f aca="false">AZ480/10</f>
        <v>77.5</v>
      </c>
      <c r="BC480" s="16" t="n">
        <v>2373</v>
      </c>
      <c r="BD480" s="16" t="n">
        <f aca="false">RANK(AX480,$AX$2:$AX$881,0)</f>
        <v>396</v>
      </c>
      <c r="BE480" s="54" t="n">
        <f aca="false">((BC480*100)/2400)*0.4+(AX480*0.6)</f>
        <v>86.47</v>
      </c>
      <c r="BF480" s="16" t="n">
        <f aca="false">RANK(BE480,$BE$2:$BE$881,0)</f>
        <v>355</v>
      </c>
      <c r="BG480" s="39" t="n">
        <f aca="false">RANK(BB480,$BB$2:$BB$881,0)</f>
        <v>603</v>
      </c>
      <c r="BH480" s="39" t="n">
        <f aca="false">RANK(BC480,$BC$2:$BC$881,0)</f>
        <v>233</v>
      </c>
      <c r="BI480" s="22" t="s">
        <v>130</v>
      </c>
      <c r="BJ480" s="22" t="s">
        <v>129</v>
      </c>
      <c r="BK480" s="40" t="s">
        <v>131</v>
      </c>
      <c r="BL480" s="41" t="n">
        <v>26</v>
      </c>
      <c r="BM480" s="41" t="n">
        <v>54</v>
      </c>
      <c r="BN480" s="41" t="n">
        <v>80</v>
      </c>
      <c r="BO480" s="42" t="n">
        <v>25</v>
      </c>
      <c r="BP480" s="43" t="n">
        <v>64</v>
      </c>
      <c r="BQ480" s="44" t="n">
        <v>89</v>
      </c>
      <c r="BR480" s="42" t="n">
        <v>29</v>
      </c>
      <c r="BS480" s="45" t="n">
        <v>60</v>
      </c>
      <c r="BT480" s="45" t="n">
        <v>89</v>
      </c>
      <c r="BU480" s="46" t="n">
        <v>100</v>
      </c>
      <c r="BV480" s="47" t="n">
        <v>90</v>
      </c>
      <c r="BW480" s="42" t="n">
        <v>95</v>
      </c>
      <c r="BX480" s="48" t="n">
        <v>88</v>
      </c>
      <c r="BY480" s="32" t="n">
        <v>27</v>
      </c>
      <c r="BZ480" s="32" t="n">
        <v>45</v>
      </c>
      <c r="CA480" s="32" t="n">
        <v>72</v>
      </c>
      <c r="CB480" s="32" t="n">
        <v>25</v>
      </c>
      <c r="CC480" s="32" t="n">
        <v>38</v>
      </c>
      <c r="CD480" s="32" t="n">
        <v>63</v>
      </c>
      <c r="CE480" s="32" t="n">
        <v>22</v>
      </c>
      <c r="CF480" s="32" t="n">
        <v>41</v>
      </c>
      <c r="CG480" s="32" t="n">
        <v>63</v>
      </c>
      <c r="CH480" s="32" t="n">
        <v>96</v>
      </c>
      <c r="CI480" s="32" t="n">
        <v>90</v>
      </c>
      <c r="CJ480" s="49" t="n">
        <v>24</v>
      </c>
      <c r="CK480" s="49" t="n">
        <v>39</v>
      </c>
      <c r="CL480" s="49" t="n">
        <v>63</v>
      </c>
      <c r="CM480" s="49" t="n">
        <v>23</v>
      </c>
      <c r="CN480" s="49" t="n">
        <v>46</v>
      </c>
      <c r="CO480" s="49" t="n">
        <v>69</v>
      </c>
      <c r="CP480" s="25" t="n">
        <f aca="false">BX480+BW480+BV480+BU480+BT480+BQ480+BN480</f>
        <v>631</v>
      </c>
      <c r="CQ480" s="25" t="n">
        <f aca="false">CO480+CL480+CI480+CH480+CG480+CD480+CA480</f>
        <v>516</v>
      </c>
      <c r="CR480" s="26" t="n">
        <f aca="false">CP480/7</f>
        <v>90.1428571428571</v>
      </c>
      <c r="CS480" s="26" t="n">
        <f aca="false">CQ480/7</f>
        <v>73.7142857142857</v>
      </c>
      <c r="CT480" s="24" t="n">
        <f aca="false">RANK(CR480,$CR$2:$CR$881,0)</f>
        <v>172</v>
      </c>
      <c r="CU480" s="25" t="n">
        <f aca="false">RANK(CS480,$CS$2:$CS$881,0)</f>
        <v>465</v>
      </c>
      <c r="CV480" s="26" t="n">
        <f aca="false">(CS480+CR480)/2</f>
        <v>81.9285714285714</v>
      </c>
      <c r="CW480" s="25" t="n">
        <f aca="false">RANK(CV480,$CV$2:$CV$881,0)</f>
        <v>351</v>
      </c>
      <c r="CX480" s="50" t="n">
        <f aca="false">(CV480+BB480)/2</f>
        <v>79.7142857142857</v>
      </c>
      <c r="CY480" s="50" t="n">
        <v>386</v>
      </c>
      <c r="CZ480" s="27" t="s">
        <v>132</v>
      </c>
      <c r="DA480" s="27" t="s">
        <v>169</v>
      </c>
      <c r="DB480" s="27" t="s">
        <v>169</v>
      </c>
      <c r="DC480" s="27" t="s">
        <v>134</v>
      </c>
      <c r="DD480" s="27" t="s">
        <v>135</v>
      </c>
      <c r="DE480" s="27" t="s">
        <v>897</v>
      </c>
      <c r="DF480" s="27" t="s">
        <v>143</v>
      </c>
      <c r="DG480" s="27" t="s">
        <v>134</v>
      </c>
      <c r="DH480" s="27" t="s">
        <v>135</v>
      </c>
      <c r="DI480" s="27" t="s">
        <v>304</v>
      </c>
      <c r="DJ480" s="27" t="s">
        <v>272</v>
      </c>
      <c r="DK480" s="27" t="s">
        <v>134</v>
      </c>
      <c r="DL480" s="27" t="s">
        <v>195</v>
      </c>
      <c r="DM480" s="27" t="s">
        <v>313</v>
      </c>
      <c r="DN480" s="27" t="s">
        <v>486</v>
      </c>
      <c r="DO480" s="27" t="s">
        <v>134</v>
      </c>
      <c r="DP480" s="27" t="s">
        <v>825</v>
      </c>
      <c r="DQ480" s="27" t="s">
        <v>146</v>
      </c>
      <c r="DR480" s="27" t="s">
        <v>897</v>
      </c>
      <c r="DS480" s="27" t="s">
        <v>480</v>
      </c>
      <c r="DT480" s="27" t="s">
        <v>135</v>
      </c>
      <c r="DU480" s="27" t="s">
        <v>146</v>
      </c>
      <c r="DV480" s="27" t="s">
        <v>306</v>
      </c>
      <c r="DW480" s="27" t="s">
        <v>164</v>
      </c>
      <c r="DX480" s="27" t="s">
        <v>143</v>
      </c>
      <c r="DY480" s="27" t="s">
        <v>139</v>
      </c>
      <c r="DZ480" s="27" t="n">
        <f aca="false">DY480+DV480+DR480+DN480+DJ480+DF480+DB480</f>
        <v>496</v>
      </c>
      <c r="EA480" s="28" t="n">
        <f aca="false">DZ480/7</f>
        <v>70.8571428571429</v>
      </c>
      <c r="EB480" s="27" t="n">
        <f aca="false">RANK(EA480,$EA$2:$EA$881,0)</f>
        <v>632</v>
      </c>
      <c r="EC480" s="29" t="n">
        <f aca="false">DZ480+CQ480+CP480+AZ480</f>
        <v>2418</v>
      </c>
      <c r="ED480" s="30" t="n">
        <f aca="false">(EA480+CV480+BB480)/3</f>
        <v>76.7619047619048</v>
      </c>
      <c r="EE480" s="51" t="n">
        <f aca="false">ROUND(BE480,3)</f>
        <v>86.47</v>
      </c>
      <c r="EF480" s="51" t="n">
        <f aca="false">ROUND(CR480,3)</f>
        <v>90.143</v>
      </c>
      <c r="EG480" s="51" t="n">
        <f aca="false">ROUND(CS480,3)</f>
        <v>73.714</v>
      </c>
      <c r="EH480" s="51" t="n">
        <f aca="false">ROUND(EA480,3)</f>
        <v>70.857</v>
      </c>
      <c r="EI480" s="51" t="n">
        <f aca="false">ROUND(ED480,3)</f>
        <v>76.762</v>
      </c>
      <c r="EJ480" s="51" t="n">
        <f aca="false">ROUND(CV480,3)</f>
        <v>81.929</v>
      </c>
      <c r="EK480" s="0" t="n">
        <f aca="false">RANK(EI480,$EI$2:$EI$881,0)</f>
        <v>479</v>
      </c>
    </row>
    <row r="481" customFormat="false" ht="15" hidden="false" customHeight="false" outlineLevel="0" collapsed="false">
      <c r="A481" s="4" t="n">
        <v>8608</v>
      </c>
      <c r="B481" s="4" t="n">
        <v>648</v>
      </c>
      <c r="C481" s="27" t="s">
        <v>1485</v>
      </c>
      <c r="D481" s="31" t="n">
        <v>658</v>
      </c>
      <c r="E481" s="16" t="n">
        <v>230224060</v>
      </c>
      <c r="F481" s="56" t="s">
        <v>1486</v>
      </c>
      <c r="G481" s="22" t="s">
        <v>357</v>
      </c>
      <c r="H481" s="22" t="s">
        <v>326</v>
      </c>
      <c r="I481" s="57"/>
      <c r="J481" s="16" t="n">
        <v>95</v>
      </c>
      <c r="K481" s="16" t="n">
        <v>76</v>
      </c>
      <c r="L481" s="34" t="n">
        <f aca="false">(K481*70)/100</f>
        <v>53.2</v>
      </c>
      <c r="M481" s="34" t="n">
        <f aca="false">ROUNDUP(L481,0)</f>
        <v>54</v>
      </c>
      <c r="N481" s="16" t="n">
        <v>24</v>
      </c>
      <c r="O481" s="34" t="n">
        <f aca="false">N481+L481</f>
        <v>77.2</v>
      </c>
      <c r="P481" s="34" t="n">
        <f aca="false">N481+M481</f>
        <v>78</v>
      </c>
      <c r="Q481" s="16" t="n">
        <v>75</v>
      </c>
      <c r="R481" s="16" t="n">
        <v>85</v>
      </c>
      <c r="S481" s="34" t="n">
        <f aca="false">(R481*70)/100</f>
        <v>59.5</v>
      </c>
      <c r="T481" s="34" t="n">
        <f aca="false">ROUNDUP(S481,0)</f>
        <v>60</v>
      </c>
      <c r="U481" s="16" t="n">
        <v>23</v>
      </c>
      <c r="V481" s="34" t="n">
        <f aca="false">U481+S481</f>
        <v>82.5</v>
      </c>
      <c r="W481" s="34" t="n">
        <f aca="false">U481+T481</f>
        <v>83</v>
      </c>
      <c r="X481" s="16" t="n">
        <v>64</v>
      </c>
      <c r="Y481" s="34" t="n">
        <f aca="false">(X481*70)/100</f>
        <v>44.8</v>
      </c>
      <c r="Z481" s="34" t="n">
        <f aca="false">ROUNDUP(Y481,0)</f>
        <v>45</v>
      </c>
      <c r="AA481" s="16" t="n">
        <v>24</v>
      </c>
      <c r="AB481" s="34" t="n">
        <f aca="false">AA481+Y481</f>
        <v>68.8</v>
      </c>
      <c r="AC481" s="34" t="n">
        <f aca="false">AA481+Z481</f>
        <v>69</v>
      </c>
      <c r="AD481" s="32" t="n">
        <f aca="false">X481+R481+Q481+K481+J481</f>
        <v>395</v>
      </c>
      <c r="AE481" s="16" t="n">
        <f aca="false">AD481/5</f>
        <v>79</v>
      </c>
      <c r="AF481" s="16" t="n">
        <v>70</v>
      </c>
      <c r="AG481" s="16" t="n">
        <v>93</v>
      </c>
      <c r="AH481" s="16" t="n">
        <v>88</v>
      </c>
      <c r="AI481" s="16" t="n">
        <v>77</v>
      </c>
      <c r="AJ481" s="16" t="n">
        <f aca="false">(AI481*70)/100</f>
        <v>53.9</v>
      </c>
      <c r="AK481" s="35" t="n">
        <f aca="false">ROUNDUP(AJ481,0)</f>
        <v>54</v>
      </c>
      <c r="AL481" s="16" t="n">
        <v>21</v>
      </c>
      <c r="AM481" s="16" t="n">
        <f aca="false">AL481+AJ481</f>
        <v>74.9</v>
      </c>
      <c r="AN481" s="16" t="n">
        <f aca="false">AL481+AK481</f>
        <v>75</v>
      </c>
      <c r="AO481" s="16" t="n">
        <v>66</v>
      </c>
      <c r="AP481" s="36" t="n">
        <f aca="false">(AO481*70)/100</f>
        <v>46.2</v>
      </c>
      <c r="AQ481" s="37" t="n">
        <f aca="false">ROUNDUP(AP481,0)</f>
        <v>47</v>
      </c>
      <c r="AR481" s="16" t="n">
        <v>21</v>
      </c>
      <c r="AS481" s="16" t="n">
        <f aca="false">AR481+AP481</f>
        <v>67.2</v>
      </c>
      <c r="AT481" s="16" t="n">
        <f aca="false">AR481+AQ481</f>
        <v>68</v>
      </c>
      <c r="AU481" s="16" t="n">
        <f aca="false">AO481+AF481+AI481+AH481+AG481</f>
        <v>394</v>
      </c>
      <c r="AV481" s="16" t="n">
        <f aca="false">(AO481+AF481+AI481+AH481+AG481)/5</f>
        <v>78.8</v>
      </c>
      <c r="AW481" s="36" t="n">
        <f aca="false">(AO481+AF481+AI481+AH481+AG481+X481+R481+Q481+K481+J481)</f>
        <v>789</v>
      </c>
      <c r="AX481" s="16" t="n">
        <f aca="false">AW481/10</f>
        <v>78.9</v>
      </c>
      <c r="AY481" s="16" t="n">
        <f aca="false">AS481+AF481+AM481+AH481+AG481+AB481+V481+Q481+O481+J481</f>
        <v>791.6</v>
      </c>
      <c r="AZ481" s="16" t="n">
        <f aca="false">AT481+AF481+AN481+AH481+AG481+AC481+W481+Q481+P481+J481</f>
        <v>794</v>
      </c>
      <c r="BA481" s="16" t="n">
        <f aca="false">AY481/10</f>
        <v>79.16</v>
      </c>
      <c r="BB481" s="16" t="n">
        <f aca="false">AZ481/10</f>
        <v>79.4</v>
      </c>
      <c r="BC481" s="16" t="n">
        <v>2363</v>
      </c>
      <c r="BD481" s="16" t="n">
        <f aca="false">RANK(AX481,$AX$2:$AX$881,0)</f>
        <v>339</v>
      </c>
      <c r="BE481" s="54" t="n">
        <f aca="false">((BC481*100)/2400)*0.4+(AX481*0.6)</f>
        <v>86.7233333333333</v>
      </c>
      <c r="BF481" s="16" t="n">
        <f aca="false">RANK(BE481,$BE$2:$BE$881,0)</f>
        <v>330</v>
      </c>
      <c r="BG481" s="39" t="n">
        <f aca="false">RANK(BB481,$BB$2:$BB$881,0)</f>
        <v>414</v>
      </c>
      <c r="BH481" s="39" t="n">
        <f aca="false">RANK(BC481,$BC$2:$BC$881,0)</f>
        <v>356</v>
      </c>
      <c r="BI481" s="22" t="s">
        <v>130</v>
      </c>
      <c r="BJ481" s="22" t="s">
        <v>129</v>
      </c>
      <c r="BK481" s="40" t="s">
        <v>131</v>
      </c>
      <c r="BL481" s="41" t="n">
        <v>12</v>
      </c>
      <c r="BM481" s="41" t="n">
        <v>45</v>
      </c>
      <c r="BN481" s="98" t="n">
        <v>57</v>
      </c>
      <c r="BO481" s="42" t="n">
        <v>20</v>
      </c>
      <c r="BP481" s="43" t="n">
        <v>62</v>
      </c>
      <c r="BQ481" s="44" t="n">
        <v>82</v>
      </c>
      <c r="BR481" s="42" t="n">
        <v>21</v>
      </c>
      <c r="BS481" s="45" t="n">
        <v>54</v>
      </c>
      <c r="BT481" s="45" t="n">
        <v>75</v>
      </c>
      <c r="BU481" s="46" t="n">
        <v>99</v>
      </c>
      <c r="BV481" s="47" t="n">
        <v>90</v>
      </c>
      <c r="BW481" s="42" t="n">
        <v>99</v>
      </c>
      <c r="BX481" s="48" t="n">
        <v>88</v>
      </c>
      <c r="BY481" s="32" t="n">
        <v>25</v>
      </c>
      <c r="BZ481" s="32" t="n">
        <v>52</v>
      </c>
      <c r="CA481" s="32" t="n">
        <v>77</v>
      </c>
      <c r="CB481" s="32" t="n">
        <v>23</v>
      </c>
      <c r="CC481" s="32" t="n">
        <v>27</v>
      </c>
      <c r="CD481" s="69" t="n">
        <v>50</v>
      </c>
      <c r="CE481" s="32" t="n">
        <v>21</v>
      </c>
      <c r="CF481" s="32" t="n">
        <v>48</v>
      </c>
      <c r="CG481" s="32" t="n">
        <v>69</v>
      </c>
      <c r="CH481" s="32" t="n">
        <v>95</v>
      </c>
      <c r="CI481" s="32" t="n">
        <v>99</v>
      </c>
      <c r="CJ481" s="49" t="n">
        <v>17</v>
      </c>
      <c r="CK481" s="49" t="n">
        <v>46</v>
      </c>
      <c r="CL481" s="49" t="n">
        <v>63</v>
      </c>
      <c r="CM481" s="49" t="n">
        <v>24</v>
      </c>
      <c r="CN481" s="49" t="n">
        <v>53</v>
      </c>
      <c r="CO481" s="49" t="n">
        <v>77</v>
      </c>
      <c r="CP481" s="25" t="n">
        <f aca="false">BX481+BW481+BV481+BU481+BT481+BQ481+BN481</f>
        <v>590</v>
      </c>
      <c r="CQ481" s="25" t="n">
        <f aca="false">CO481+CL481+CI481+CH481+CG481+CD481+CA481</f>
        <v>530</v>
      </c>
      <c r="CR481" s="26" t="n">
        <f aca="false">CP481/7</f>
        <v>84.2857142857143</v>
      </c>
      <c r="CS481" s="26" t="n">
        <f aca="false">CQ481/7</f>
        <v>75.7142857142857</v>
      </c>
      <c r="CT481" s="24" t="n">
        <f aca="false">RANK(CR481,$CR$2:$CR$881,0)</f>
        <v>467</v>
      </c>
      <c r="CU481" s="25" t="n">
        <f aca="false">RANK(CS481,$CS$2:$CS$881,0)</f>
        <v>404</v>
      </c>
      <c r="CV481" s="26" t="n">
        <f aca="false">(CS481+CR481)/2</f>
        <v>80</v>
      </c>
      <c r="CW481" s="25" t="n">
        <f aca="false">RANK(CV481,$CV$2:$CV$881,0)</f>
        <v>427</v>
      </c>
      <c r="CX481" s="50" t="n">
        <f aca="false">(CV481+BB481)/2</f>
        <v>79.7</v>
      </c>
      <c r="CY481" s="50" t="n">
        <v>390</v>
      </c>
      <c r="CZ481" s="27" t="s">
        <v>132</v>
      </c>
      <c r="DA481" s="27" t="s">
        <v>398</v>
      </c>
      <c r="DB481" s="27" t="s">
        <v>398</v>
      </c>
      <c r="DC481" s="27" t="s">
        <v>134</v>
      </c>
      <c r="DD481" s="27" t="s">
        <v>182</v>
      </c>
      <c r="DE481" s="27" t="s">
        <v>412</v>
      </c>
      <c r="DF481" s="27" t="s">
        <v>441</v>
      </c>
      <c r="DG481" s="27" t="s">
        <v>134</v>
      </c>
      <c r="DH481" s="27" t="s">
        <v>137</v>
      </c>
      <c r="DI481" s="27" t="s">
        <v>412</v>
      </c>
      <c r="DJ481" s="27" t="s">
        <v>382</v>
      </c>
      <c r="DK481" s="27" t="s">
        <v>134</v>
      </c>
      <c r="DL481" s="27" t="s">
        <v>191</v>
      </c>
      <c r="DM481" s="27" t="s">
        <v>897</v>
      </c>
      <c r="DN481" s="27" t="s">
        <v>136</v>
      </c>
      <c r="DO481" s="27" t="s">
        <v>134</v>
      </c>
      <c r="DP481" s="27" t="s">
        <v>1000</v>
      </c>
      <c r="DQ481" s="27" t="s">
        <v>897</v>
      </c>
      <c r="DR481" s="27" t="s">
        <v>218</v>
      </c>
      <c r="DS481" s="27" t="s">
        <v>480</v>
      </c>
      <c r="DT481" s="27" t="s">
        <v>164</v>
      </c>
      <c r="DU481" s="27" t="s">
        <v>1309</v>
      </c>
      <c r="DV481" s="27" t="s">
        <v>203</v>
      </c>
      <c r="DW481" s="27" t="s">
        <v>135</v>
      </c>
      <c r="DX481" s="27" t="s">
        <v>163</v>
      </c>
      <c r="DY481" s="27" t="s">
        <v>153</v>
      </c>
      <c r="DZ481" s="27" t="n">
        <f aca="false">DY481+DV481+DR481+DN481+DJ481+DF481+DB481</f>
        <v>496</v>
      </c>
      <c r="EA481" s="28" t="n">
        <f aca="false">DZ481/7</f>
        <v>70.8571428571429</v>
      </c>
      <c r="EB481" s="27" t="n">
        <f aca="false">RANK(EA481,$EA$2:$EA$881,0)</f>
        <v>632</v>
      </c>
      <c r="EC481" s="29" t="n">
        <f aca="false">DZ481+CQ481+CP481+AZ481</f>
        <v>2410</v>
      </c>
      <c r="ED481" s="30" t="n">
        <f aca="false">(EA481+CV481+BB481)/3</f>
        <v>76.752380952381</v>
      </c>
      <c r="EE481" s="51" t="n">
        <f aca="false">ROUND(BE481,3)</f>
        <v>86.723</v>
      </c>
      <c r="EF481" s="51" t="n">
        <f aca="false">ROUND(CR481,3)</f>
        <v>84.286</v>
      </c>
      <c r="EG481" s="51" t="n">
        <f aca="false">ROUND(CS481,3)</f>
        <v>75.714</v>
      </c>
      <c r="EH481" s="51" t="n">
        <f aca="false">ROUND(EA481,3)</f>
        <v>70.857</v>
      </c>
      <c r="EI481" s="51" t="n">
        <f aca="false">ROUND(ED481,3)</f>
        <v>76.752</v>
      </c>
      <c r="EJ481" s="51" t="n">
        <f aca="false">ROUND(CV481,3)</f>
        <v>80</v>
      </c>
      <c r="EK481" s="0" t="n">
        <f aca="false">RANK(EI481,$EI$2:$EI$881,0)</f>
        <v>480</v>
      </c>
    </row>
    <row r="482" customFormat="false" ht="15" hidden="false" customHeight="false" outlineLevel="0" collapsed="false">
      <c r="A482" s="4" t="n">
        <v>8772</v>
      </c>
      <c r="B482" s="4" t="n">
        <v>431</v>
      </c>
      <c r="C482" s="27" t="s">
        <v>1487</v>
      </c>
      <c r="D482" s="31" t="n">
        <v>436</v>
      </c>
      <c r="E482" s="16" t="n">
        <v>230912470</v>
      </c>
      <c r="F482" s="56" t="s">
        <v>1488</v>
      </c>
      <c r="G482" s="22" t="s">
        <v>532</v>
      </c>
      <c r="H482" s="22" t="s">
        <v>326</v>
      </c>
      <c r="I482" s="57"/>
      <c r="J482" s="16" t="n">
        <v>69</v>
      </c>
      <c r="K482" s="16" t="n">
        <v>75</v>
      </c>
      <c r="L482" s="34" t="n">
        <f aca="false">(K482*70)/100</f>
        <v>52.5</v>
      </c>
      <c r="M482" s="34" t="n">
        <f aca="false">ROUNDUP(L482,0)</f>
        <v>53</v>
      </c>
      <c r="N482" s="16" t="n">
        <v>25</v>
      </c>
      <c r="O482" s="34" t="n">
        <f aca="false">N482+L482</f>
        <v>77.5</v>
      </c>
      <c r="P482" s="34" t="n">
        <f aca="false">N482+M482</f>
        <v>78</v>
      </c>
      <c r="Q482" s="16" t="n">
        <v>76</v>
      </c>
      <c r="R482" s="16" t="n">
        <v>73</v>
      </c>
      <c r="S482" s="34" t="n">
        <f aca="false">(R482*70)/100</f>
        <v>51.1</v>
      </c>
      <c r="T482" s="34" t="n">
        <f aca="false">ROUNDUP(S482,0)</f>
        <v>52</v>
      </c>
      <c r="U482" s="16" t="n">
        <v>26</v>
      </c>
      <c r="V482" s="34" t="n">
        <f aca="false">U482+S482</f>
        <v>77.1</v>
      </c>
      <c r="W482" s="34" t="n">
        <f aca="false">U482+T482</f>
        <v>78</v>
      </c>
      <c r="X482" s="16" t="n">
        <v>71</v>
      </c>
      <c r="Y482" s="34" t="n">
        <f aca="false">(X482*70)/100</f>
        <v>49.7</v>
      </c>
      <c r="Z482" s="34" t="n">
        <f aca="false">ROUNDUP(Y482,0)</f>
        <v>50</v>
      </c>
      <c r="AA482" s="16" t="n">
        <v>27</v>
      </c>
      <c r="AB482" s="34" t="n">
        <f aca="false">AA482+Y482</f>
        <v>76.7</v>
      </c>
      <c r="AC482" s="34" t="n">
        <f aca="false">AA482+Z482</f>
        <v>77</v>
      </c>
      <c r="AD482" s="32" t="n">
        <f aca="false">X482+R482+Q482+K482+J482</f>
        <v>364</v>
      </c>
      <c r="AE482" s="16" t="n">
        <f aca="false">AD482/5</f>
        <v>72.8</v>
      </c>
      <c r="AF482" s="16" t="n">
        <v>70</v>
      </c>
      <c r="AG482" s="16" t="n">
        <v>77</v>
      </c>
      <c r="AH482" s="16" t="n">
        <v>94</v>
      </c>
      <c r="AI482" s="16" t="n">
        <v>96</v>
      </c>
      <c r="AJ482" s="16" t="n">
        <f aca="false">(AI482*70)/100</f>
        <v>67.2</v>
      </c>
      <c r="AK482" s="35" t="n">
        <f aca="false">ROUNDUP(AJ482,0)</f>
        <v>68</v>
      </c>
      <c r="AL482" s="16" t="n">
        <v>27</v>
      </c>
      <c r="AM482" s="16" t="n">
        <f aca="false">AL482+AJ482</f>
        <v>94.2</v>
      </c>
      <c r="AN482" s="16" t="n">
        <f aca="false">AL482+AK482</f>
        <v>95</v>
      </c>
      <c r="AO482" s="16" t="n">
        <v>84</v>
      </c>
      <c r="AP482" s="36" t="n">
        <f aca="false">(AO482*70)/100</f>
        <v>58.8</v>
      </c>
      <c r="AQ482" s="37" t="n">
        <f aca="false">ROUNDUP(AP482,0)</f>
        <v>59</v>
      </c>
      <c r="AR482" s="16" t="n">
        <v>28</v>
      </c>
      <c r="AS482" s="16" t="n">
        <f aca="false">AR482+AP482</f>
        <v>86.8</v>
      </c>
      <c r="AT482" s="16" t="n">
        <f aca="false">AR482+AQ482</f>
        <v>87</v>
      </c>
      <c r="AU482" s="16" t="n">
        <f aca="false">AO482+AF482+AI482+AH482+AG482</f>
        <v>421</v>
      </c>
      <c r="AV482" s="16" t="n">
        <f aca="false">(AO482+AF482+AI482+AH482+AG482)/5</f>
        <v>84.2</v>
      </c>
      <c r="AW482" s="36" t="n">
        <f aca="false">(AO482+AF482+AI482+AH482+AG482+X482+R482+Q482+K482+J482)</f>
        <v>785</v>
      </c>
      <c r="AX482" s="16" t="n">
        <f aca="false">AW482/10</f>
        <v>78.5</v>
      </c>
      <c r="AY482" s="16" t="n">
        <f aca="false">AS482+AF482+AM482+AH482+AG482+AB482+V482+Q482+O482+J482</f>
        <v>798.3</v>
      </c>
      <c r="AZ482" s="16" t="n">
        <f aca="false">AT482+AF482+AN482+AH482+AG482+AC482+W482+Q482+P482+J482</f>
        <v>801</v>
      </c>
      <c r="BA482" s="16" t="n">
        <f aca="false">AY482/10</f>
        <v>79.83</v>
      </c>
      <c r="BB482" s="16" t="n">
        <f aca="false">AZ482/10</f>
        <v>80.1</v>
      </c>
      <c r="BC482" s="16" t="n">
        <v>2387</v>
      </c>
      <c r="BD482" s="16" t="n">
        <f aca="false">RANK(AX482,$AX$2:$AX$881,0)</f>
        <v>375</v>
      </c>
      <c r="BE482" s="54" t="n">
        <f aca="false">((BC482*100)/2400)*0.4+(AX482*0.6)</f>
        <v>86.8833333333333</v>
      </c>
      <c r="BF482" s="16" t="n">
        <f aca="false">RANK(BE482,$BE$2:$BE$881,0)</f>
        <v>312</v>
      </c>
      <c r="BG482" s="39" t="n">
        <f aca="false">RANK(BB482,$BB$2:$BB$881,0)</f>
        <v>346</v>
      </c>
      <c r="BH482" s="39" t="n">
        <f aca="false">RANK(BC482,$BC$2:$BC$881,0)</f>
        <v>76</v>
      </c>
      <c r="BI482" s="22" t="s">
        <v>130</v>
      </c>
      <c r="BJ482" s="22" t="s">
        <v>129</v>
      </c>
      <c r="BK482" s="40" t="s">
        <v>131</v>
      </c>
      <c r="BL482" s="41" t="n">
        <v>21</v>
      </c>
      <c r="BM482" s="41" t="n">
        <v>58</v>
      </c>
      <c r="BN482" s="41" t="n">
        <v>79</v>
      </c>
      <c r="BO482" s="42" t="n">
        <v>26</v>
      </c>
      <c r="BP482" s="61"/>
      <c r="BQ482" s="61"/>
      <c r="BR482" s="42" t="n">
        <v>29</v>
      </c>
      <c r="BS482" s="45" t="n">
        <v>61</v>
      </c>
      <c r="BT482" s="45" t="n">
        <v>90</v>
      </c>
      <c r="BU482" s="46" t="n">
        <v>100</v>
      </c>
      <c r="BV482" s="47" t="n">
        <v>96</v>
      </c>
      <c r="BW482" s="42" t="n">
        <v>98</v>
      </c>
      <c r="BX482" s="48" t="n">
        <v>78</v>
      </c>
      <c r="BY482" s="32" t="n">
        <v>25</v>
      </c>
      <c r="BZ482" s="32" t="n">
        <v>50</v>
      </c>
      <c r="CA482" s="32" t="n">
        <v>75</v>
      </c>
      <c r="CB482" s="32" t="n">
        <v>27</v>
      </c>
      <c r="CC482" s="32" t="n">
        <v>41</v>
      </c>
      <c r="CD482" s="32" t="n">
        <v>68</v>
      </c>
      <c r="CE482" s="32" t="n">
        <v>27</v>
      </c>
      <c r="CF482" s="32" t="n">
        <v>48</v>
      </c>
      <c r="CG482" s="32" t="n">
        <v>75</v>
      </c>
      <c r="CH482" s="58" t="n">
        <v>99</v>
      </c>
      <c r="CI482" s="32" t="n">
        <v>99</v>
      </c>
      <c r="CJ482" s="49" t="n">
        <v>26</v>
      </c>
      <c r="CK482" s="49" t="n">
        <v>53</v>
      </c>
      <c r="CL482" s="49" t="n">
        <v>79</v>
      </c>
      <c r="CM482" s="49" t="n">
        <v>22</v>
      </c>
      <c r="CN482" s="49" t="n">
        <v>49</v>
      </c>
      <c r="CO482" s="49" t="n">
        <v>71</v>
      </c>
      <c r="CP482" s="25" t="n">
        <f aca="false">BX482+BW482+BV482+BU482+BT482+BQ482+BN482</f>
        <v>541</v>
      </c>
      <c r="CQ482" s="25" t="n">
        <f aca="false">CO482+CL482+CI482+CH482+CG482+CD482+CA482</f>
        <v>566</v>
      </c>
      <c r="CR482" s="26" t="n">
        <f aca="false">CP482/7</f>
        <v>77.2857142857143</v>
      </c>
      <c r="CS482" s="26" t="n">
        <f aca="false">CQ482/7</f>
        <v>80.8571428571429</v>
      </c>
      <c r="CT482" s="24" t="n">
        <f aca="false">RANK(CR482,$CR$2:$CR$881,0)</f>
        <v>626</v>
      </c>
      <c r="CU482" s="25" t="n">
        <f aca="false">RANK(CS482,$CS$2:$CS$881,0)</f>
        <v>229</v>
      </c>
      <c r="CV482" s="26" t="n">
        <f aca="false">(CS482+CR482)/2</f>
        <v>79.0714285714286</v>
      </c>
      <c r="CW482" s="25" t="n">
        <f aca="false">RANK(CV482,$CV$2:$CV$881,0)</f>
        <v>461</v>
      </c>
      <c r="CX482" s="50" t="n">
        <f aca="false">(CV482+BB482)/2</f>
        <v>79.5857142857143</v>
      </c>
      <c r="CY482" s="50" t="n">
        <v>532</v>
      </c>
      <c r="CZ482" s="27" t="s">
        <v>132</v>
      </c>
      <c r="DA482" s="27" t="s">
        <v>169</v>
      </c>
      <c r="DB482" s="27" t="s">
        <v>169</v>
      </c>
      <c r="DC482" s="27" t="s">
        <v>134</v>
      </c>
      <c r="DD482" s="27" t="s">
        <v>135</v>
      </c>
      <c r="DE482" s="27" t="s">
        <v>183</v>
      </c>
      <c r="DF482" s="27" t="s">
        <v>169</v>
      </c>
      <c r="DG482" s="27" t="s">
        <v>134</v>
      </c>
      <c r="DH482" s="27" t="s">
        <v>174</v>
      </c>
      <c r="DI482" s="27" t="s">
        <v>204</v>
      </c>
      <c r="DJ482" s="27" t="s">
        <v>196</v>
      </c>
      <c r="DK482" s="27" t="s">
        <v>134</v>
      </c>
      <c r="DL482" s="27" t="s">
        <v>160</v>
      </c>
      <c r="DM482" s="27" t="s">
        <v>183</v>
      </c>
      <c r="DN482" s="27" t="s">
        <v>202</v>
      </c>
      <c r="DO482" s="27" t="s">
        <v>134</v>
      </c>
      <c r="DP482" s="27" t="s">
        <v>182</v>
      </c>
      <c r="DQ482" s="27" t="s">
        <v>447</v>
      </c>
      <c r="DR482" s="27" t="s">
        <v>382</v>
      </c>
      <c r="DS482" s="27" t="s">
        <v>134</v>
      </c>
      <c r="DT482" s="27" t="s">
        <v>146</v>
      </c>
      <c r="DU482" s="27" t="s">
        <v>218</v>
      </c>
      <c r="DV482" s="27" t="s">
        <v>178</v>
      </c>
      <c r="DW482" s="27"/>
      <c r="DX482" s="27"/>
      <c r="DY482" s="27"/>
      <c r="DZ482" s="27" t="n">
        <f aca="false">DY482+DV482+DR482+DN482+DJ482+DF482+DB482</f>
        <v>497</v>
      </c>
      <c r="EA482" s="28" t="n">
        <f aca="false">DZ482/7</f>
        <v>71</v>
      </c>
      <c r="EB482" s="27" t="n">
        <f aca="false">RANK(EA482,$EA$2:$EA$881,0)</f>
        <v>625</v>
      </c>
      <c r="EC482" s="29" t="n">
        <f aca="false">DZ482+CQ482+CP482+AZ482</f>
        <v>2405</v>
      </c>
      <c r="ED482" s="30" t="n">
        <f aca="false">(EA482+CV482+BB482)/3</f>
        <v>76.7238095238095</v>
      </c>
      <c r="EE482" s="51" t="n">
        <f aca="false">ROUND(BE482,3)</f>
        <v>86.883</v>
      </c>
      <c r="EF482" s="51" t="n">
        <f aca="false">ROUND(CR482,3)</f>
        <v>77.286</v>
      </c>
      <c r="EG482" s="51" t="n">
        <f aca="false">ROUND(CS482,3)</f>
        <v>80.857</v>
      </c>
      <c r="EH482" s="51" t="n">
        <f aca="false">ROUND(EA482,3)</f>
        <v>71</v>
      </c>
      <c r="EI482" s="51" t="n">
        <f aca="false">ROUND(ED482,3)</f>
        <v>76.724</v>
      </c>
      <c r="EJ482" s="51" t="n">
        <f aca="false">ROUND(CV482,3)</f>
        <v>79.071</v>
      </c>
      <c r="EK482" s="0" t="n">
        <f aca="false">RANK(EI482,$EI$2:$EI$881,0)</f>
        <v>481</v>
      </c>
    </row>
    <row r="483" customFormat="false" ht="15" hidden="false" customHeight="false" outlineLevel="0" collapsed="false">
      <c r="A483" s="4" t="n">
        <v>9105</v>
      </c>
      <c r="B483" s="4" t="n">
        <v>26</v>
      </c>
      <c r="C483" s="27" t="s">
        <v>1489</v>
      </c>
      <c r="D483" s="52" t="n">
        <v>26</v>
      </c>
      <c r="E483" s="16" t="n">
        <v>230223397</v>
      </c>
      <c r="F483" s="56" t="s">
        <v>1490</v>
      </c>
      <c r="G483" s="22" t="s">
        <v>1491</v>
      </c>
      <c r="H483" s="22" t="s">
        <v>326</v>
      </c>
      <c r="I483" s="57"/>
      <c r="J483" s="16" t="n">
        <v>89</v>
      </c>
      <c r="K483" s="16" t="n">
        <v>57</v>
      </c>
      <c r="L483" s="34" t="n">
        <f aca="false">(K483*70)/100</f>
        <v>39.9</v>
      </c>
      <c r="M483" s="34" t="n">
        <f aca="false">ROUNDUP(L483,0)</f>
        <v>40</v>
      </c>
      <c r="N483" s="16" t="n">
        <v>21</v>
      </c>
      <c r="O483" s="34" t="n">
        <f aca="false">N483+L483</f>
        <v>60.9</v>
      </c>
      <c r="P483" s="34" t="n">
        <f aca="false">N483+M483</f>
        <v>61</v>
      </c>
      <c r="Q483" s="71" t="n">
        <v>46</v>
      </c>
      <c r="R483" s="16" t="n">
        <v>50</v>
      </c>
      <c r="S483" s="34" t="n">
        <f aca="false">(R483*70)/100</f>
        <v>35</v>
      </c>
      <c r="T483" s="34" t="n">
        <f aca="false">ROUNDUP(S483,0)</f>
        <v>35</v>
      </c>
      <c r="U483" s="16" t="n">
        <v>26</v>
      </c>
      <c r="V483" s="34" t="n">
        <f aca="false">U483+S483</f>
        <v>61</v>
      </c>
      <c r="W483" s="34" t="n">
        <f aca="false">U483+T483</f>
        <v>61</v>
      </c>
      <c r="X483" s="16" t="n">
        <v>49</v>
      </c>
      <c r="Y483" s="34" t="n">
        <f aca="false">(X483*70)/100</f>
        <v>34.3</v>
      </c>
      <c r="Z483" s="34" t="n">
        <f aca="false">ROUNDUP(Y483,0)</f>
        <v>35</v>
      </c>
      <c r="AA483" s="16" t="n">
        <v>27</v>
      </c>
      <c r="AB483" s="34" t="n">
        <f aca="false">AA483+Y483</f>
        <v>61.3</v>
      </c>
      <c r="AC483" s="34" t="n">
        <f aca="false">AA483+Z483</f>
        <v>62</v>
      </c>
      <c r="AD483" s="32" t="n">
        <f aca="false">X483+R483+Q483+K483+J483</f>
        <v>291</v>
      </c>
      <c r="AE483" s="16" t="n">
        <f aca="false">AD483/5</f>
        <v>58.2</v>
      </c>
      <c r="AF483" s="16" t="n">
        <v>65</v>
      </c>
      <c r="AG483" s="16" t="n">
        <v>82</v>
      </c>
      <c r="AH483" s="16" t="n">
        <v>76</v>
      </c>
      <c r="AI483" s="16" t="n">
        <v>65</v>
      </c>
      <c r="AJ483" s="16" t="n">
        <f aca="false">(AI483*70)/100</f>
        <v>45.5</v>
      </c>
      <c r="AK483" s="35" t="n">
        <f aca="false">ROUNDUP(AJ483,0)</f>
        <v>46</v>
      </c>
      <c r="AL483" s="16" t="n">
        <v>13</v>
      </c>
      <c r="AM483" s="16" t="n">
        <f aca="false">AL483+AJ483</f>
        <v>58.5</v>
      </c>
      <c r="AN483" s="71" t="n">
        <f aca="false">AL483+AK483</f>
        <v>59</v>
      </c>
      <c r="AO483" s="16" t="n">
        <v>59</v>
      </c>
      <c r="AP483" s="36" t="n">
        <f aca="false">(AO483*70)/100</f>
        <v>41.3</v>
      </c>
      <c r="AQ483" s="37" t="n">
        <f aca="false">ROUNDUP(AP483,0)</f>
        <v>42</v>
      </c>
      <c r="AR483" s="16" t="n">
        <v>19</v>
      </c>
      <c r="AS483" s="16" t="n">
        <f aca="false">AR483+AP483</f>
        <v>60.3</v>
      </c>
      <c r="AT483" s="16" t="n">
        <f aca="false">AR483+AQ483</f>
        <v>61</v>
      </c>
      <c r="AU483" s="16" t="n">
        <f aca="false">AO483+AF483+AI483+AH483+AG483</f>
        <v>347</v>
      </c>
      <c r="AV483" s="16" t="n">
        <f aca="false">(AO483+AF483+AI483+AH483+AG483)/5</f>
        <v>69.4</v>
      </c>
      <c r="AW483" s="36" t="n">
        <f aca="false">(AO483+AF483+AI483+AH483+AG483+X483+R483+Q483+K483+J483)</f>
        <v>638</v>
      </c>
      <c r="AX483" s="16" t="n">
        <f aca="false">AW483/10</f>
        <v>63.8</v>
      </c>
      <c r="AY483" s="16" t="n">
        <f aca="false">AS483+AF483+AM483+AH483+AG483+AB483+V483+Q483+O483+J483</f>
        <v>660</v>
      </c>
      <c r="AZ483" s="16" t="n">
        <f aca="false">AT483+AF483+AN483+AH483+AG483+AC483+W483+Q483+P483+J483</f>
        <v>662</v>
      </c>
      <c r="BA483" s="16" t="n">
        <f aca="false">AY483/10</f>
        <v>66</v>
      </c>
      <c r="BB483" s="16" t="n">
        <f aca="false">AZ483/10</f>
        <v>66.2</v>
      </c>
      <c r="BC483" s="16" t="n">
        <v>2364</v>
      </c>
      <c r="BD483" s="16" t="n">
        <f aca="false">RANK(AX483,$AX$2:$AX$881,0)</f>
        <v>775</v>
      </c>
      <c r="BE483" s="78" t="n">
        <f aca="false">((BC483*100)/2400)*0.4+(AX483*0.6)</f>
        <v>77.68</v>
      </c>
      <c r="BF483" s="16" t="n">
        <f aca="false">RANK(BE483,$BE$2:$BE$881,0)</f>
        <v>750</v>
      </c>
      <c r="BG483" s="39" t="n">
        <f aca="false">RANK(BB483,$BB$2:$BB$881,0)</f>
        <v>778</v>
      </c>
      <c r="BH483" s="39" t="n">
        <f aca="false">RANK(BC483,$BC$2:$BC$881,0)</f>
        <v>347</v>
      </c>
      <c r="BI483" s="22" t="s">
        <v>130</v>
      </c>
      <c r="BJ483" s="22" t="s">
        <v>129</v>
      </c>
      <c r="BK483" s="40" t="s">
        <v>702</v>
      </c>
      <c r="BL483" s="41" t="n">
        <v>24</v>
      </c>
      <c r="BM483" s="41" t="n">
        <v>48</v>
      </c>
      <c r="BN483" s="41" t="n">
        <v>72</v>
      </c>
      <c r="BO483" s="42" t="n">
        <v>20</v>
      </c>
      <c r="BP483" s="43" t="n">
        <v>51</v>
      </c>
      <c r="BQ483" s="44" t="n">
        <v>71</v>
      </c>
      <c r="BR483" s="42" t="n">
        <v>24</v>
      </c>
      <c r="BS483" s="45" t="n">
        <v>59</v>
      </c>
      <c r="BT483" s="45" t="n">
        <v>83</v>
      </c>
      <c r="BU483" s="46" t="n">
        <v>99</v>
      </c>
      <c r="BV483" s="47" t="n">
        <v>90</v>
      </c>
      <c r="BW483" s="42" t="n">
        <v>98</v>
      </c>
      <c r="BX483" s="48" t="n">
        <v>90</v>
      </c>
      <c r="BY483" s="32" t="n">
        <v>23</v>
      </c>
      <c r="BZ483" s="32" t="n">
        <v>42</v>
      </c>
      <c r="CA483" s="32" t="n">
        <v>65</v>
      </c>
      <c r="CB483" s="32" t="n">
        <v>17</v>
      </c>
      <c r="CC483" s="32" t="n">
        <v>36</v>
      </c>
      <c r="CD483" s="69" t="n">
        <v>53</v>
      </c>
      <c r="CE483" s="32" t="n">
        <v>26</v>
      </c>
      <c r="CF483" s="32" t="n">
        <v>49</v>
      </c>
      <c r="CG483" s="32" t="n">
        <v>75</v>
      </c>
      <c r="CH483" s="32" t="n">
        <v>98</v>
      </c>
      <c r="CI483" s="32" t="n">
        <v>98</v>
      </c>
      <c r="CJ483" s="49" t="n">
        <v>22</v>
      </c>
      <c r="CK483" s="49" t="n">
        <v>48</v>
      </c>
      <c r="CL483" s="49" t="n">
        <v>70</v>
      </c>
      <c r="CM483" s="49" t="n">
        <v>23</v>
      </c>
      <c r="CN483" s="49" t="n">
        <v>52</v>
      </c>
      <c r="CO483" s="49" t="n">
        <v>75</v>
      </c>
      <c r="CP483" s="25" t="n">
        <f aca="false">BX483+BW483+BV483+BU483+BT483+BQ483+BN483</f>
        <v>603</v>
      </c>
      <c r="CQ483" s="25" t="n">
        <f aca="false">CO483+CL483+CI483+CH483+CG483+CD483+CA483</f>
        <v>534</v>
      </c>
      <c r="CR483" s="26" t="n">
        <f aca="false">CP483/7</f>
        <v>86.1428571428571</v>
      </c>
      <c r="CS483" s="26" t="n">
        <f aca="false">CQ483/7</f>
        <v>76.2857142857143</v>
      </c>
      <c r="CT483" s="24" t="n">
        <f aca="false">RANK(CR483,$CR$2:$CR$881,0)</f>
        <v>396</v>
      </c>
      <c r="CU483" s="25" t="n">
        <f aca="false">RANK(CS483,$CS$2:$CS$881,0)</f>
        <v>391</v>
      </c>
      <c r="CV483" s="26" t="n">
        <f aca="false">(CS483+CR483)/2</f>
        <v>81.2142857142857</v>
      </c>
      <c r="CW483" s="25" t="n">
        <f aca="false">RANK(CV483,$CV$2:$CV$881,0)</f>
        <v>371</v>
      </c>
      <c r="CX483" s="50" t="n">
        <f aca="false">(CV483+BB483)/2</f>
        <v>73.7071428571429</v>
      </c>
      <c r="CY483" s="50" t="n">
        <v>570</v>
      </c>
      <c r="CZ483" s="27" t="s">
        <v>132</v>
      </c>
      <c r="DA483" s="27" t="s">
        <v>162</v>
      </c>
      <c r="DB483" s="27" t="s">
        <v>162</v>
      </c>
      <c r="DC483" s="27" t="s">
        <v>134</v>
      </c>
      <c r="DD483" s="27" t="s">
        <v>386</v>
      </c>
      <c r="DE483" s="27" t="s">
        <v>177</v>
      </c>
      <c r="DF483" s="27" t="s">
        <v>305</v>
      </c>
      <c r="DG483" s="27" t="s">
        <v>134</v>
      </c>
      <c r="DH483" s="27" t="s">
        <v>182</v>
      </c>
      <c r="DI483" s="27" t="s">
        <v>177</v>
      </c>
      <c r="DJ483" s="27" t="s">
        <v>209</v>
      </c>
      <c r="DK483" s="27" t="s">
        <v>134</v>
      </c>
      <c r="DL483" s="27" t="s">
        <v>137</v>
      </c>
      <c r="DM483" s="27" t="s">
        <v>375</v>
      </c>
      <c r="DN483" s="27" t="s">
        <v>443</v>
      </c>
      <c r="DO483" s="27" t="s">
        <v>134</v>
      </c>
      <c r="DP483" s="27" t="s">
        <v>154</v>
      </c>
      <c r="DQ483" s="27" t="s">
        <v>304</v>
      </c>
      <c r="DR483" s="27" t="s">
        <v>382</v>
      </c>
      <c r="DS483" s="27" t="s">
        <v>134</v>
      </c>
      <c r="DT483" s="27" t="s">
        <v>164</v>
      </c>
      <c r="DU483" s="27" t="s">
        <v>220</v>
      </c>
      <c r="DV483" s="27" t="s">
        <v>169</v>
      </c>
      <c r="DW483" s="27" t="s">
        <v>137</v>
      </c>
      <c r="DX483" s="27" t="s">
        <v>187</v>
      </c>
      <c r="DY483" s="27" t="s">
        <v>176</v>
      </c>
      <c r="DZ483" s="27" t="n">
        <f aca="false">DY483+DV483+DR483+DN483+DJ483+DF483+DB483</f>
        <v>579</v>
      </c>
      <c r="EA483" s="28" t="n">
        <f aca="false">DZ483/7</f>
        <v>82.7142857142857</v>
      </c>
      <c r="EB483" s="27" t="n">
        <f aca="false">RANK(EA483,$EA$2:$EA$881,0)</f>
        <v>282</v>
      </c>
      <c r="EC483" s="29" t="n">
        <f aca="false">DZ483+CQ483+CP483+AZ483</f>
        <v>2378</v>
      </c>
      <c r="ED483" s="30" t="n">
        <f aca="false">(EA483+CV483+BB483)/3</f>
        <v>76.7095238095238</v>
      </c>
      <c r="EE483" s="51" t="n">
        <f aca="false">ROUND(BE483,3)</f>
        <v>77.68</v>
      </c>
      <c r="EF483" s="51" t="n">
        <f aca="false">ROUND(CR483,3)</f>
        <v>86.143</v>
      </c>
      <c r="EG483" s="51" t="n">
        <f aca="false">ROUND(CS483,3)</f>
        <v>76.286</v>
      </c>
      <c r="EH483" s="51" t="n">
        <f aca="false">ROUND(EA483,3)</f>
        <v>82.714</v>
      </c>
      <c r="EI483" s="51" t="n">
        <f aca="false">ROUND(ED483,3)</f>
        <v>76.71</v>
      </c>
      <c r="EJ483" s="51" t="n">
        <f aca="false">ROUND(CV483,3)</f>
        <v>81.214</v>
      </c>
      <c r="EK483" s="0" t="n">
        <f aca="false">RANK(EI483,$EI$2:$EI$881,0)</f>
        <v>482</v>
      </c>
    </row>
    <row r="484" customFormat="false" ht="15" hidden="false" customHeight="false" outlineLevel="0" collapsed="false">
      <c r="A484" s="4" t="n">
        <v>9095</v>
      </c>
      <c r="B484" s="4" t="n">
        <v>358</v>
      </c>
      <c r="C484" s="27" t="s">
        <v>1492</v>
      </c>
      <c r="D484" s="31" t="n">
        <v>363</v>
      </c>
      <c r="E484" s="16" t="n">
        <v>230418891</v>
      </c>
      <c r="F484" s="56" t="s">
        <v>1493</v>
      </c>
      <c r="G484" s="22" t="s">
        <v>1323</v>
      </c>
      <c r="H484" s="22" t="s">
        <v>271</v>
      </c>
      <c r="I484" s="57"/>
      <c r="J484" s="16" t="n">
        <v>63</v>
      </c>
      <c r="K484" s="16" t="n">
        <v>67</v>
      </c>
      <c r="L484" s="34" t="n">
        <f aca="false">(K484*70)/100</f>
        <v>46.9</v>
      </c>
      <c r="M484" s="34" t="n">
        <f aca="false">ROUNDUP(L484,0)</f>
        <v>47</v>
      </c>
      <c r="N484" s="16" t="n">
        <v>26</v>
      </c>
      <c r="O484" s="34" t="n">
        <f aca="false">N484+L484</f>
        <v>72.9</v>
      </c>
      <c r="P484" s="34" t="n">
        <f aca="false">N484+M484</f>
        <v>73</v>
      </c>
      <c r="Q484" s="16" t="n">
        <v>70</v>
      </c>
      <c r="R484" s="16" t="n">
        <v>74</v>
      </c>
      <c r="S484" s="34" t="n">
        <f aca="false">(R484*70)/100</f>
        <v>51.8</v>
      </c>
      <c r="T484" s="34" t="n">
        <f aca="false">ROUNDUP(S484,0)</f>
        <v>52</v>
      </c>
      <c r="U484" s="16" t="n">
        <v>24</v>
      </c>
      <c r="V484" s="34" t="n">
        <f aca="false">U484+S484</f>
        <v>75.8</v>
      </c>
      <c r="W484" s="34" t="n">
        <f aca="false">U484+T484</f>
        <v>76</v>
      </c>
      <c r="X484" s="16" t="n">
        <v>68</v>
      </c>
      <c r="Y484" s="34" t="n">
        <f aca="false">(X484*70)/100</f>
        <v>47.6</v>
      </c>
      <c r="Z484" s="34" t="n">
        <f aca="false">ROUNDUP(Y484,0)</f>
        <v>48</v>
      </c>
      <c r="AA484" s="16" t="n">
        <v>26</v>
      </c>
      <c r="AB484" s="34" t="n">
        <f aca="false">AA484+Y484</f>
        <v>73.6</v>
      </c>
      <c r="AC484" s="34" t="n">
        <f aca="false">AA484+Z484</f>
        <v>74</v>
      </c>
      <c r="AD484" s="32" t="n">
        <f aca="false">X484+R484+Q484+K484+J484</f>
        <v>342</v>
      </c>
      <c r="AE484" s="16" t="n">
        <f aca="false">AD484/5</f>
        <v>68.4</v>
      </c>
      <c r="AF484" s="71" t="n">
        <v>59</v>
      </c>
      <c r="AG484" s="16" t="n">
        <v>66</v>
      </c>
      <c r="AH484" s="16" t="n">
        <v>92</v>
      </c>
      <c r="AI484" s="16" t="n">
        <v>86</v>
      </c>
      <c r="AJ484" s="16" t="n">
        <f aca="false">(AI484*70)/100</f>
        <v>60.2</v>
      </c>
      <c r="AK484" s="35" t="n">
        <f aca="false">ROUNDUP(AJ484,0)</f>
        <v>61</v>
      </c>
      <c r="AL484" s="16" t="n">
        <v>26</v>
      </c>
      <c r="AM484" s="16" t="n">
        <f aca="false">AL484+AJ484</f>
        <v>86.2</v>
      </c>
      <c r="AN484" s="16" t="n">
        <f aca="false">AL484+AK484</f>
        <v>87</v>
      </c>
      <c r="AO484" s="16" t="n">
        <v>72</v>
      </c>
      <c r="AP484" s="36" t="n">
        <f aca="false">(AO484*70)/100</f>
        <v>50.4</v>
      </c>
      <c r="AQ484" s="37" t="n">
        <f aca="false">ROUNDUP(AP484,0)</f>
        <v>51</v>
      </c>
      <c r="AR484" s="16" t="n">
        <v>19</v>
      </c>
      <c r="AS484" s="16" t="n">
        <f aca="false">AR484+AP484</f>
        <v>69.4</v>
      </c>
      <c r="AT484" s="16" t="n">
        <f aca="false">AR484+AQ484</f>
        <v>70</v>
      </c>
      <c r="AU484" s="16" t="n">
        <f aca="false">AO484+AF484+AI484+AH484+AG484</f>
        <v>375</v>
      </c>
      <c r="AV484" s="16" t="n">
        <f aca="false">(AO484+AF484+AI484+AH484+AG484)/5</f>
        <v>75</v>
      </c>
      <c r="AW484" s="36" t="n">
        <f aca="false">(AO484+AF484+AI484+AH484+AG484+X484+R484+Q484+K484+J484)</f>
        <v>717</v>
      </c>
      <c r="AX484" s="16" t="n">
        <f aca="false">AW484/10</f>
        <v>71.7</v>
      </c>
      <c r="AY484" s="16" t="n">
        <f aca="false">AS484+AF484+AM484+AH484+AG484+AB484+V484+Q484+O484+J484</f>
        <v>727.9</v>
      </c>
      <c r="AZ484" s="16" t="n">
        <f aca="false">AT484+AF484+AN484+AH484+AG484+AC484+W484+Q484+P484+J484</f>
        <v>730</v>
      </c>
      <c r="BA484" s="16" t="n">
        <f aca="false">AY484/10</f>
        <v>72.79</v>
      </c>
      <c r="BB484" s="16" t="n">
        <f aca="false">AZ484/10</f>
        <v>73</v>
      </c>
      <c r="BC484" s="16" t="n">
        <v>2366</v>
      </c>
      <c r="BD484" s="16" t="n">
        <f aca="false">RANK(AX484,$AX$2:$AX$881,0)</f>
        <v>721</v>
      </c>
      <c r="BE484" s="73" t="n">
        <f aca="false">((BC484*100)/2400)*0.4+(AX484*0.6)</f>
        <v>82.4533333333334</v>
      </c>
      <c r="BF484" s="16" t="n">
        <f aca="false">RANK(BE484,$BE$2:$BE$881,0)</f>
        <v>707</v>
      </c>
      <c r="BG484" s="39" t="n">
        <f aca="false">RANK(BB484,$BB$2:$BB$881,0)</f>
        <v>717</v>
      </c>
      <c r="BH484" s="39" t="n">
        <f aca="false">RANK(BC484,$BC$2:$BC$881,0)</f>
        <v>319</v>
      </c>
      <c r="BI484" s="22" t="s">
        <v>130</v>
      </c>
      <c r="BJ484" s="22" t="s">
        <v>129</v>
      </c>
      <c r="BK484" s="40" t="s">
        <v>702</v>
      </c>
      <c r="BL484" s="41" t="n">
        <v>19</v>
      </c>
      <c r="BM484" s="41" t="n">
        <v>52</v>
      </c>
      <c r="BN484" s="41" t="n">
        <v>71</v>
      </c>
      <c r="BO484" s="42" t="n">
        <v>20</v>
      </c>
      <c r="BP484" s="43" t="n">
        <v>63</v>
      </c>
      <c r="BQ484" s="44" t="n">
        <v>83</v>
      </c>
      <c r="BR484" s="42" t="n">
        <v>23</v>
      </c>
      <c r="BS484" s="45" t="n">
        <v>56</v>
      </c>
      <c r="BT484" s="45" t="n">
        <v>79</v>
      </c>
      <c r="BU484" s="46" t="n">
        <v>99</v>
      </c>
      <c r="BV484" s="47" t="n">
        <v>76</v>
      </c>
      <c r="BW484" s="42" t="n">
        <v>93</v>
      </c>
      <c r="BX484" s="48" t="n">
        <v>88</v>
      </c>
      <c r="BY484" s="32" t="n">
        <v>25</v>
      </c>
      <c r="BZ484" s="32" t="n">
        <v>41</v>
      </c>
      <c r="CA484" s="32" t="n">
        <v>66</v>
      </c>
      <c r="CB484" s="32" t="n">
        <v>20</v>
      </c>
      <c r="CC484" s="32" t="n">
        <v>42</v>
      </c>
      <c r="CD484" s="32" t="n">
        <v>62</v>
      </c>
      <c r="CE484" s="32" t="n">
        <v>24</v>
      </c>
      <c r="CF484" s="32" t="n">
        <v>48</v>
      </c>
      <c r="CG484" s="32" t="n">
        <v>72</v>
      </c>
      <c r="CH484" s="32" t="n">
        <v>95</v>
      </c>
      <c r="CI484" s="32" t="n">
        <v>93</v>
      </c>
      <c r="CJ484" s="49" t="n">
        <v>20</v>
      </c>
      <c r="CK484" s="49" t="n">
        <v>53</v>
      </c>
      <c r="CL484" s="49" t="n">
        <v>73</v>
      </c>
      <c r="CM484" s="49" t="n">
        <v>21</v>
      </c>
      <c r="CN484" s="49" t="n">
        <v>39</v>
      </c>
      <c r="CO484" s="49" t="n">
        <v>60</v>
      </c>
      <c r="CP484" s="25" t="n">
        <f aca="false">BX484+BW484+BV484+BU484+BT484+BQ484+BN484</f>
        <v>589</v>
      </c>
      <c r="CQ484" s="25" t="n">
        <f aca="false">CO484+CL484+CI484+CH484+CG484+CD484+CA484</f>
        <v>521</v>
      </c>
      <c r="CR484" s="26" t="n">
        <f aca="false">CP484/7</f>
        <v>84.1428571428571</v>
      </c>
      <c r="CS484" s="26" t="n">
        <f aca="false">CQ484/7</f>
        <v>74.4285714285714</v>
      </c>
      <c r="CT484" s="24" t="n">
        <f aca="false">RANK(CR484,$CR$2:$CR$881,0)</f>
        <v>474</v>
      </c>
      <c r="CU484" s="25" t="n">
        <f aca="false">RANK(CS484,$CS$2:$CS$881,0)</f>
        <v>443</v>
      </c>
      <c r="CV484" s="26" t="n">
        <f aca="false">(CS484+CR484)/2</f>
        <v>79.2857142857143</v>
      </c>
      <c r="CW484" s="25" t="n">
        <f aca="false">RANK(CV484,$CV$2:$CV$881,0)</f>
        <v>456</v>
      </c>
      <c r="CX484" s="50" t="n">
        <f aca="false">(CV484+BB484)/2</f>
        <v>76.1428571428571</v>
      </c>
      <c r="CY484" s="50" t="n">
        <v>527</v>
      </c>
      <c r="CZ484" s="27" t="s">
        <v>132</v>
      </c>
      <c r="DA484" s="27" t="s">
        <v>202</v>
      </c>
      <c r="DB484" s="27" t="s">
        <v>202</v>
      </c>
      <c r="DC484" s="27" t="s">
        <v>134</v>
      </c>
      <c r="DD484" s="27" t="s">
        <v>154</v>
      </c>
      <c r="DE484" s="27" t="s">
        <v>183</v>
      </c>
      <c r="DF484" s="27" t="s">
        <v>196</v>
      </c>
      <c r="DG484" s="27" t="s">
        <v>134</v>
      </c>
      <c r="DH484" s="27" t="s">
        <v>137</v>
      </c>
      <c r="DI484" s="27" t="s">
        <v>412</v>
      </c>
      <c r="DJ484" s="27" t="s">
        <v>382</v>
      </c>
      <c r="DK484" s="27" t="s">
        <v>134</v>
      </c>
      <c r="DL484" s="27" t="s">
        <v>154</v>
      </c>
      <c r="DM484" s="27" t="s">
        <v>183</v>
      </c>
      <c r="DN484" s="27" t="s">
        <v>196</v>
      </c>
      <c r="DO484" s="27" t="s">
        <v>134</v>
      </c>
      <c r="DP484" s="27" t="s">
        <v>485</v>
      </c>
      <c r="DQ484" s="27" t="s">
        <v>681</v>
      </c>
      <c r="DR484" s="27" t="s">
        <v>136</v>
      </c>
      <c r="DS484" s="27" t="s">
        <v>134</v>
      </c>
      <c r="DT484" s="27" t="s">
        <v>174</v>
      </c>
      <c r="DU484" s="27" t="s">
        <v>673</v>
      </c>
      <c r="DV484" s="27" t="s">
        <v>136</v>
      </c>
      <c r="DW484" s="27" t="s">
        <v>137</v>
      </c>
      <c r="DX484" s="27" t="s">
        <v>141</v>
      </c>
      <c r="DY484" s="27" t="s">
        <v>151</v>
      </c>
      <c r="DZ484" s="27" t="n">
        <f aca="false">DY484+DV484+DR484+DN484+DJ484+DF484+DB484</f>
        <v>544</v>
      </c>
      <c r="EA484" s="28" t="n">
        <f aca="false">DZ484/7</f>
        <v>77.7142857142857</v>
      </c>
      <c r="EB484" s="27" t="n">
        <f aca="false">RANK(EA484,$EA$2:$EA$881,0)</f>
        <v>467</v>
      </c>
      <c r="EC484" s="29" t="n">
        <f aca="false">DZ484+CQ484+CP484+AZ484</f>
        <v>2384</v>
      </c>
      <c r="ED484" s="30" t="n">
        <f aca="false">(EA484+CV484+BB484)/3</f>
        <v>76.6666666666667</v>
      </c>
      <c r="EE484" s="51" t="n">
        <f aca="false">ROUND(BE484,3)</f>
        <v>82.453</v>
      </c>
      <c r="EF484" s="51" t="n">
        <f aca="false">ROUND(CR484,3)</f>
        <v>84.143</v>
      </c>
      <c r="EG484" s="51" t="n">
        <f aca="false">ROUND(CS484,3)</f>
        <v>74.429</v>
      </c>
      <c r="EH484" s="51" t="n">
        <f aca="false">ROUND(EA484,3)</f>
        <v>77.714</v>
      </c>
      <c r="EI484" s="51" t="n">
        <f aca="false">ROUND(ED484,3)</f>
        <v>76.667</v>
      </c>
      <c r="EJ484" s="51" t="n">
        <f aca="false">ROUND(CV484,3)</f>
        <v>79.286</v>
      </c>
      <c r="EK484" s="0" t="n">
        <f aca="false">RANK(EI484,$EI$2:$EI$881,0)</f>
        <v>483</v>
      </c>
    </row>
    <row r="485" customFormat="false" ht="15" hidden="false" customHeight="false" outlineLevel="0" collapsed="false">
      <c r="A485" s="4" t="n">
        <v>8770</v>
      </c>
      <c r="B485" s="4" t="n">
        <v>841</v>
      </c>
      <c r="C485" s="27" t="s">
        <v>1494</v>
      </c>
      <c r="D485" s="31" t="n">
        <v>861</v>
      </c>
      <c r="E485" s="16" t="n">
        <v>230246926</v>
      </c>
      <c r="F485" s="56" t="s">
        <v>1495</v>
      </c>
      <c r="G485" s="22" t="s">
        <v>1496</v>
      </c>
      <c r="H485" s="22" t="s">
        <v>326</v>
      </c>
      <c r="I485" s="57"/>
      <c r="J485" s="16" t="n">
        <v>69</v>
      </c>
      <c r="K485" s="16" t="n">
        <v>87</v>
      </c>
      <c r="L485" s="34" t="n">
        <f aca="false">(K485*70)/100</f>
        <v>60.9</v>
      </c>
      <c r="M485" s="34" t="n">
        <f aca="false">ROUNDUP(L485,0)</f>
        <v>61</v>
      </c>
      <c r="N485" s="16" t="n">
        <v>29</v>
      </c>
      <c r="O485" s="34" t="n">
        <f aca="false">N485+L485</f>
        <v>89.9</v>
      </c>
      <c r="P485" s="34" t="n">
        <f aca="false">N485+M485</f>
        <v>90</v>
      </c>
      <c r="Q485" s="16" t="n">
        <v>88</v>
      </c>
      <c r="R485" s="16" t="n">
        <v>76</v>
      </c>
      <c r="S485" s="34" t="n">
        <f aca="false">(R485*70)/100</f>
        <v>53.2</v>
      </c>
      <c r="T485" s="34" t="n">
        <f aca="false">ROUNDUP(S485,0)</f>
        <v>54</v>
      </c>
      <c r="U485" s="16" t="n">
        <v>26</v>
      </c>
      <c r="V485" s="34" t="n">
        <f aca="false">U485+S485</f>
        <v>79.2</v>
      </c>
      <c r="W485" s="34" t="n">
        <f aca="false">U485+T485</f>
        <v>80</v>
      </c>
      <c r="X485" s="16" t="n">
        <v>73</v>
      </c>
      <c r="Y485" s="34" t="n">
        <f aca="false">(X485*70)/100</f>
        <v>51.1</v>
      </c>
      <c r="Z485" s="34" t="n">
        <f aca="false">ROUNDUP(Y485,0)</f>
        <v>52</v>
      </c>
      <c r="AA485" s="16" t="n">
        <v>25</v>
      </c>
      <c r="AB485" s="34" t="n">
        <f aca="false">AA485+Y485</f>
        <v>76.1</v>
      </c>
      <c r="AC485" s="34" t="n">
        <f aca="false">AA485+Z485</f>
        <v>77</v>
      </c>
      <c r="AD485" s="32" t="n">
        <f aca="false">X485+R485+Q485+K485+J485</f>
        <v>393</v>
      </c>
      <c r="AE485" s="16" t="n">
        <f aca="false">AD485/5</f>
        <v>78.6</v>
      </c>
      <c r="AF485" s="16" t="n">
        <v>76</v>
      </c>
      <c r="AG485" s="16" t="n">
        <v>74</v>
      </c>
      <c r="AH485" s="16" t="n">
        <v>84</v>
      </c>
      <c r="AI485" s="16" t="n">
        <v>90</v>
      </c>
      <c r="AJ485" s="16" t="n">
        <f aca="false">(AI485*70)/100</f>
        <v>63</v>
      </c>
      <c r="AK485" s="35" t="n">
        <f aca="false">ROUNDUP(AJ485,0)</f>
        <v>63</v>
      </c>
      <c r="AL485" s="16" t="n">
        <v>20</v>
      </c>
      <c r="AM485" s="16" t="n">
        <f aca="false">AL485+AJ485</f>
        <v>83</v>
      </c>
      <c r="AN485" s="16" t="n">
        <f aca="false">AL485+AK485</f>
        <v>83</v>
      </c>
      <c r="AO485" s="16" t="n">
        <v>77</v>
      </c>
      <c r="AP485" s="36" t="n">
        <f aca="false">(AO485*70)/100</f>
        <v>53.9</v>
      </c>
      <c r="AQ485" s="37" t="n">
        <f aca="false">ROUNDUP(AP485,0)</f>
        <v>54</v>
      </c>
      <c r="AR485" s="16" t="n">
        <v>26</v>
      </c>
      <c r="AS485" s="16" t="n">
        <f aca="false">AR485+AP485</f>
        <v>79.9</v>
      </c>
      <c r="AT485" s="16" t="n">
        <f aca="false">AR485+AQ485</f>
        <v>80</v>
      </c>
      <c r="AU485" s="16" t="n">
        <f aca="false">AO485+AF485+AI485+AH485+AG485</f>
        <v>401</v>
      </c>
      <c r="AV485" s="16" t="n">
        <f aca="false">(AO485+AF485+AI485+AH485+AG485)/5</f>
        <v>80.2</v>
      </c>
      <c r="AW485" s="36" t="n">
        <f aca="false">(AO485+AF485+AI485+AH485+AG485+X485+R485+Q485+K485+J485)</f>
        <v>794</v>
      </c>
      <c r="AX485" s="16" t="n">
        <f aca="false">AW485/10</f>
        <v>79.4</v>
      </c>
      <c r="AY485" s="16" t="n">
        <f aca="false">AS485+AF485+AM485+AH485+AG485+AB485+V485+Q485+O485+J485</f>
        <v>799.1</v>
      </c>
      <c r="AZ485" s="16" t="n">
        <f aca="false">AT485+AF485+AN485+AH485+AG485+AC485+W485+Q485+P485+J485</f>
        <v>801</v>
      </c>
      <c r="BA485" s="16" t="n">
        <f aca="false">AY485/10</f>
        <v>79.91</v>
      </c>
      <c r="BB485" s="16" t="n">
        <f aca="false">AZ485/10</f>
        <v>80.1</v>
      </c>
      <c r="BC485" s="16" t="n">
        <v>2337</v>
      </c>
      <c r="BD485" s="16" t="n">
        <f aca="false">RANK(AX485,$AX$2:$AX$881,0)</f>
        <v>306</v>
      </c>
      <c r="BE485" s="54" t="n">
        <f aca="false">((BC485*100)/2400)*0.4+(AX485*0.6)</f>
        <v>86.59</v>
      </c>
      <c r="BF485" s="16" t="n">
        <f aca="false">RANK(BE485,$BE$2:$BE$881,0)</f>
        <v>337</v>
      </c>
      <c r="BG485" s="39" t="n">
        <f aca="false">RANK(BB485,$BB$2:$BB$881,0)</f>
        <v>346</v>
      </c>
      <c r="BH485" s="39" t="n">
        <f aca="false">RANK(BC485,$BC$2:$BC$881,0)</f>
        <v>658</v>
      </c>
      <c r="BI485" s="22" t="s">
        <v>130</v>
      </c>
      <c r="BJ485" s="22" t="s">
        <v>129</v>
      </c>
      <c r="BK485" s="40" t="s">
        <v>131</v>
      </c>
      <c r="BL485" s="41" t="n">
        <v>17</v>
      </c>
      <c r="BM485" s="41" t="n">
        <v>57</v>
      </c>
      <c r="BN485" s="41" t="n">
        <v>74</v>
      </c>
      <c r="BO485" s="42" t="n">
        <v>23</v>
      </c>
      <c r="BP485" s="43" t="n">
        <v>63</v>
      </c>
      <c r="BQ485" s="44" t="n">
        <v>86</v>
      </c>
      <c r="BR485" s="42" t="n">
        <v>28</v>
      </c>
      <c r="BS485" s="45" t="n">
        <v>61</v>
      </c>
      <c r="BT485" s="45" t="n">
        <v>89</v>
      </c>
      <c r="BU485" s="46" t="n">
        <v>100</v>
      </c>
      <c r="BV485" s="47" t="n">
        <v>94</v>
      </c>
      <c r="BW485" s="42" t="n">
        <v>100</v>
      </c>
      <c r="BX485" s="48" t="n">
        <v>92</v>
      </c>
      <c r="BY485" s="32" t="n">
        <v>25</v>
      </c>
      <c r="BZ485" s="32" t="n">
        <v>57</v>
      </c>
      <c r="CA485" s="32" t="n">
        <v>82</v>
      </c>
      <c r="CB485" s="32" t="n">
        <v>18</v>
      </c>
      <c r="CC485" s="32" t="n">
        <v>47</v>
      </c>
      <c r="CD485" s="32" t="n">
        <v>65</v>
      </c>
      <c r="CE485" s="32" t="n">
        <v>26</v>
      </c>
      <c r="CF485" s="32" t="n">
        <v>60</v>
      </c>
      <c r="CG485" s="32" t="n">
        <v>86</v>
      </c>
      <c r="CH485" s="32" t="n">
        <v>96</v>
      </c>
      <c r="CI485" s="32" t="n">
        <v>98</v>
      </c>
      <c r="CJ485" s="49" t="n">
        <v>17</v>
      </c>
      <c r="CK485" s="49" t="n">
        <v>50</v>
      </c>
      <c r="CL485" s="49" t="n">
        <v>67</v>
      </c>
      <c r="CM485" s="49" t="n">
        <v>23</v>
      </c>
      <c r="CN485" s="49" t="n">
        <v>52</v>
      </c>
      <c r="CO485" s="49" t="n">
        <v>75</v>
      </c>
      <c r="CP485" s="25" t="n">
        <f aca="false">BX485+BW485+BV485+BU485+BT485+BQ485+BN485</f>
        <v>635</v>
      </c>
      <c r="CQ485" s="25" t="n">
        <f aca="false">CO485+CL485+CI485+CH485+CG485+CD485+CA485</f>
        <v>569</v>
      </c>
      <c r="CR485" s="26" t="n">
        <f aca="false">CP485/7</f>
        <v>90.7142857142857</v>
      </c>
      <c r="CS485" s="26" t="n">
        <f aca="false">CQ485/7</f>
        <v>81.2857142857143</v>
      </c>
      <c r="CT485" s="24" t="n">
        <f aca="false">RANK(CR485,$CR$2:$CR$881,0)</f>
        <v>140</v>
      </c>
      <c r="CU485" s="25" t="n">
        <f aca="false">RANK(CS485,$CS$2:$CS$881,0)</f>
        <v>216</v>
      </c>
      <c r="CV485" s="26" t="n">
        <f aca="false">(CS485+CR485)/2</f>
        <v>86</v>
      </c>
      <c r="CW485" s="25" t="n">
        <f aca="false">RANK(CV485,$CV$2:$CV$881,0)</f>
        <v>172</v>
      </c>
      <c r="CX485" s="50" t="n">
        <f aca="false">(CV485+BB485)/2</f>
        <v>83.05</v>
      </c>
      <c r="CY485" s="50" t="n">
        <v>210</v>
      </c>
      <c r="CZ485" s="27" t="s">
        <v>132</v>
      </c>
      <c r="DA485" s="27" t="s">
        <v>202</v>
      </c>
      <c r="DB485" s="27" t="s">
        <v>202</v>
      </c>
      <c r="DC485" s="27" t="s">
        <v>134</v>
      </c>
      <c r="DD485" s="27" t="s">
        <v>195</v>
      </c>
      <c r="DE485" s="27" t="s">
        <v>304</v>
      </c>
      <c r="DF485" s="27" t="s">
        <v>441</v>
      </c>
      <c r="DG485" s="27" t="s">
        <v>134</v>
      </c>
      <c r="DH485" s="27" t="s">
        <v>182</v>
      </c>
      <c r="DI485" s="27" t="s">
        <v>412</v>
      </c>
      <c r="DJ485" s="27" t="s">
        <v>441</v>
      </c>
      <c r="DK485" s="27" t="s">
        <v>134</v>
      </c>
      <c r="DL485" s="27" t="s">
        <v>135</v>
      </c>
      <c r="DM485" s="27" t="s">
        <v>447</v>
      </c>
      <c r="DN485" s="27" t="s">
        <v>305</v>
      </c>
      <c r="DO485" s="27" t="s">
        <v>134</v>
      </c>
      <c r="DP485" s="27" t="s">
        <v>485</v>
      </c>
      <c r="DQ485" s="27" t="s">
        <v>313</v>
      </c>
      <c r="DR485" s="27" t="s">
        <v>138</v>
      </c>
      <c r="DS485" s="27" t="s">
        <v>134</v>
      </c>
      <c r="DT485" s="27" t="s">
        <v>182</v>
      </c>
      <c r="DU485" s="27" t="s">
        <v>1407</v>
      </c>
      <c r="DV485" s="27" t="s">
        <v>152</v>
      </c>
      <c r="DW485" s="27"/>
      <c r="DX485" s="27"/>
      <c r="DY485" s="27"/>
      <c r="DZ485" s="27" t="n">
        <f aca="false">DY485+DV485+DR485+DN485+DJ485+DF485+DB485</f>
        <v>447</v>
      </c>
      <c r="EA485" s="28" t="n">
        <f aca="false">DZ485/7</f>
        <v>63.8571428571429</v>
      </c>
      <c r="EB485" s="27" t="n">
        <f aca="false">RANK(EA485,$EA$2:$EA$881,0)</f>
        <v>749</v>
      </c>
      <c r="EC485" s="29" t="n">
        <f aca="false">DZ485+CQ485+CP485+AZ485</f>
        <v>2452</v>
      </c>
      <c r="ED485" s="30" t="n">
        <f aca="false">(EA485+CV485+BB485)/3</f>
        <v>76.652380952381</v>
      </c>
      <c r="EE485" s="51" t="n">
        <f aca="false">ROUND(BE485,3)</f>
        <v>86.59</v>
      </c>
      <c r="EF485" s="51" t="n">
        <f aca="false">ROUND(CR485,3)</f>
        <v>90.714</v>
      </c>
      <c r="EG485" s="51" t="n">
        <f aca="false">ROUND(CS485,3)</f>
        <v>81.286</v>
      </c>
      <c r="EH485" s="51" t="n">
        <f aca="false">ROUND(EA485,3)</f>
        <v>63.857</v>
      </c>
      <c r="EI485" s="51" t="n">
        <f aca="false">ROUND(ED485,3)</f>
        <v>76.652</v>
      </c>
      <c r="EJ485" s="51" t="n">
        <f aca="false">ROUND(CV485,3)</f>
        <v>86</v>
      </c>
      <c r="EK485" s="0" t="n">
        <f aca="false">RANK(EI485,$EI$2:$EI$881,0)</f>
        <v>484</v>
      </c>
    </row>
    <row r="486" customFormat="false" ht="15" hidden="false" customHeight="false" outlineLevel="0" collapsed="false">
      <c r="A486" s="4" t="n">
        <v>8699</v>
      </c>
      <c r="B486" s="4" t="n">
        <v>482</v>
      </c>
      <c r="C486" s="27" t="s">
        <v>1497</v>
      </c>
      <c r="D486" s="31" t="n">
        <v>491</v>
      </c>
      <c r="E486" s="16" t="n">
        <v>230120325</v>
      </c>
      <c r="F486" s="56" t="s">
        <v>1498</v>
      </c>
      <c r="G486" s="22" t="s">
        <v>1499</v>
      </c>
      <c r="H486" s="22" t="s">
        <v>326</v>
      </c>
      <c r="I486" s="57"/>
      <c r="J486" s="16" t="n">
        <v>70</v>
      </c>
      <c r="K486" s="16" t="n">
        <v>77</v>
      </c>
      <c r="L486" s="34" t="n">
        <f aca="false">(K486*70)/100</f>
        <v>53.9</v>
      </c>
      <c r="M486" s="34" t="n">
        <f aca="false">ROUNDUP(L486,0)</f>
        <v>54</v>
      </c>
      <c r="N486" s="16" t="n">
        <v>28</v>
      </c>
      <c r="O486" s="34" t="n">
        <f aca="false">N486+L486</f>
        <v>81.9</v>
      </c>
      <c r="P486" s="34" t="n">
        <f aca="false">N486+M486</f>
        <v>82</v>
      </c>
      <c r="Q486" s="16" t="n">
        <v>85</v>
      </c>
      <c r="R486" s="16" t="n">
        <v>74</v>
      </c>
      <c r="S486" s="34" t="n">
        <f aca="false">(R486*70)/100</f>
        <v>51.8</v>
      </c>
      <c r="T486" s="34" t="n">
        <f aca="false">ROUNDUP(S486,0)</f>
        <v>52</v>
      </c>
      <c r="U486" s="16" t="n">
        <v>26</v>
      </c>
      <c r="V486" s="34" t="n">
        <f aca="false">U486+S486</f>
        <v>77.8</v>
      </c>
      <c r="W486" s="34" t="n">
        <f aca="false">U486+T486</f>
        <v>78</v>
      </c>
      <c r="X486" s="16" t="n">
        <v>72</v>
      </c>
      <c r="Y486" s="34" t="n">
        <f aca="false">(X486*70)/100</f>
        <v>50.4</v>
      </c>
      <c r="Z486" s="34" t="n">
        <f aca="false">ROUNDUP(Y486,0)</f>
        <v>51</v>
      </c>
      <c r="AA486" s="16" t="n">
        <v>25</v>
      </c>
      <c r="AB486" s="34" t="n">
        <f aca="false">AA486+Y486</f>
        <v>75.4</v>
      </c>
      <c r="AC486" s="34" t="n">
        <f aca="false">AA486+Z486</f>
        <v>76</v>
      </c>
      <c r="AD486" s="32" t="n">
        <f aca="false">X486+R486+Q486+K486+J486</f>
        <v>378</v>
      </c>
      <c r="AE486" s="16" t="n">
        <f aca="false">AD486/5</f>
        <v>75.6</v>
      </c>
      <c r="AF486" s="16" t="n">
        <v>76</v>
      </c>
      <c r="AG486" s="16" t="n">
        <v>78</v>
      </c>
      <c r="AH486" s="16" t="n">
        <v>93</v>
      </c>
      <c r="AI486" s="16" t="n">
        <v>87</v>
      </c>
      <c r="AJ486" s="16" t="n">
        <f aca="false">(AI486*70)/100</f>
        <v>60.9</v>
      </c>
      <c r="AK486" s="35" t="n">
        <f aca="false">ROUNDUP(AJ486,0)</f>
        <v>61</v>
      </c>
      <c r="AL486" s="16" t="n">
        <v>29</v>
      </c>
      <c r="AM486" s="16" t="n">
        <f aca="false">AL486+AJ486</f>
        <v>89.9</v>
      </c>
      <c r="AN486" s="16" t="n">
        <f aca="false">AL486+AK486</f>
        <v>90</v>
      </c>
      <c r="AO486" s="16" t="n">
        <v>80</v>
      </c>
      <c r="AP486" s="36" t="n">
        <f aca="false">(AO486*70)/100</f>
        <v>56</v>
      </c>
      <c r="AQ486" s="37" t="n">
        <f aca="false">ROUNDUP(AP486,0)</f>
        <v>56</v>
      </c>
      <c r="AR486" s="16" t="n">
        <v>29</v>
      </c>
      <c r="AS486" s="16" t="n">
        <f aca="false">AR486+AP486</f>
        <v>85</v>
      </c>
      <c r="AT486" s="16" t="n">
        <f aca="false">AR486+AQ486</f>
        <v>85</v>
      </c>
      <c r="AU486" s="16" t="n">
        <f aca="false">AO486+AF486+AI486+AH486+AG486</f>
        <v>414</v>
      </c>
      <c r="AV486" s="16" t="n">
        <f aca="false">(AO486+AF486+AI486+AH486+AG486)/5</f>
        <v>82.8</v>
      </c>
      <c r="AW486" s="36" t="n">
        <f aca="false">(AO486+AF486+AI486+AH486+AG486+X486+R486+Q486+K486+J486)</f>
        <v>792</v>
      </c>
      <c r="AX486" s="16" t="n">
        <f aca="false">AW486/10</f>
        <v>79.2</v>
      </c>
      <c r="AY486" s="16" t="n">
        <f aca="false">AS486+AF486+AM486+AH486+AG486+AB486+V486+Q486+O486+J486</f>
        <v>812</v>
      </c>
      <c r="AZ486" s="16" t="n">
        <f aca="false">AT486+AF486+AN486+AH486+AG486+AC486+W486+Q486+P486+J486</f>
        <v>813</v>
      </c>
      <c r="BA486" s="16" t="n">
        <f aca="false">AY486/10</f>
        <v>81.2</v>
      </c>
      <c r="BB486" s="16" t="n">
        <f aca="false">AZ486/10</f>
        <v>81.3</v>
      </c>
      <c r="BC486" s="16" t="n">
        <v>2333</v>
      </c>
      <c r="BD486" s="16" t="n">
        <f aca="false">RANK(AX486,$AX$2:$AX$881,0)</f>
        <v>316</v>
      </c>
      <c r="BE486" s="54" t="n">
        <f aca="false">((BC486*100)/2400)*0.4+(AX486*0.6)</f>
        <v>86.4033333333333</v>
      </c>
      <c r="BF486" s="16" t="n">
        <f aca="false">RANK(BE486,$BE$2:$BE$881,0)</f>
        <v>363</v>
      </c>
      <c r="BG486" s="39" t="n">
        <f aca="false">RANK(BB486,$BB$2:$BB$881,0)</f>
        <v>257</v>
      </c>
      <c r="BH486" s="39" t="n">
        <f aca="false">RANK(BC486,$BC$2:$BC$881,0)</f>
        <v>697</v>
      </c>
      <c r="BI486" s="22" t="s">
        <v>130</v>
      </c>
      <c r="BJ486" s="22" t="s">
        <v>129</v>
      </c>
      <c r="BK486" s="40" t="s">
        <v>131</v>
      </c>
      <c r="BL486" s="41" t="n">
        <v>23</v>
      </c>
      <c r="BM486" s="41" t="n">
        <v>52</v>
      </c>
      <c r="BN486" s="41" t="n">
        <v>75</v>
      </c>
      <c r="BO486" s="42" t="n">
        <v>23</v>
      </c>
      <c r="BP486" s="43" t="n">
        <v>55</v>
      </c>
      <c r="BQ486" s="44" t="n">
        <v>78</v>
      </c>
      <c r="BR486" s="42" t="n">
        <v>24</v>
      </c>
      <c r="BS486" s="45" t="n">
        <v>50</v>
      </c>
      <c r="BT486" s="45" t="n">
        <v>74</v>
      </c>
      <c r="BU486" s="46" t="n">
        <v>100</v>
      </c>
      <c r="BV486" s="47" t="n">
        <v>96</v>
      </c>
      <c r="BW486" s="42" t="n">
        <v>95</v>
      </c>
      <c r="BX486" s="48" t="n">
        <v>92</v>
      </c>
      <c r="BY486" s="32" t="n">
        <v>25</v>
      </c>
      <c r="BZ486" s="32" t="n">
        <v>52</v>
      </c>
      <c r="CA486" s="32" t="n">
        <v>77</v>
      </c>
      <c r="CB486" s="32" t="n">
        <v>26</v>
      </c>
      <c r="CC486" s="32" t="n">
        <v>31</v>
      </c>
      <c r="CD486" s="69" t="n">
        <v>57</v>
      </c>
      <c r="CE486" s="32" t="n">
        <v>29</v>
      </c>
      <c r="CF486" s="32" t="n">
        <v>45</v>
      </c>
      <c r="CG486" s="32" t="n">
        <v>74</v>
      </c>
      <c r="CH486" s="32" t="n">
        <v>93</v>
      </c>
      <c r="CI486" s="32" t="n">
        <v>95</v>
      </c>
      <c r="CJ486" s="49" t="n">
        <v>17</v>
      </c>
      <c r="CK486" s="49" t="n">
        <v>50</v>
      </c>
      <c r="CL486" s="49" t="n">
        <v>67</v>
      </c>
      <c r="CM486" s="49" t="n">
        <v>19</v>
      </c>
      <c r="CN486" s="49" t="n">
        <v>53</v>
      </c>
      <c r="CO486" s="49" t="n">
        <v>72</v>
      </c>
      <c r="CP486" s="25" t="n">
        <f aca="false">BX486+BW486+BV486+BU486+BT486+BQ486+BN486</f>
        <v>610</v>
      </c>
      <c r="CQ486" s="25" t="n">
        <f aca="false">CO486+CL486+CI486+CH486+CG486+CD486+CA486</f>
        <v>535</v>
      </c>
      <c r="CR486" s="26" t="n">
        <f aca="false">CP486/7</f>
        <v>87.1428571428571</v>
      </c>
      <c r="CS486" s="26" t="n">
        <f aca="false">CQ486/7</f>
        <v>76.4285714285714</v>
      </c>
      <c r="CT486" s="24" t="n">
        <f aca="false">RANK(CR486,$CR$2:$CR$881,0)</f>
        <v>353</v>
      </c>
      <c r="CU486" s="25" t="n">
        <f aca="false">RANK(CS486,$CS$2:$CS$881,0)</f>
        <v>385</v>
      </c>
      <c r="CV486" s="26" t="n">
        <f aca="false">(CS486+CR486)/2</f>
        <v>81.7857142857143</v>
      </c>
      <c r="CW486" s="25" t="n">
        <f aca="false">RANK(CV486,$CV$2:$CV$881,0)</f>
        <v>356</v>
      </c>
      <c r="CX486" s="50" t="n">
        <f aca="false">(CV486+BB486)/2</f>
        <v>81.5428571428571</v>
      </c>
      <c r="CY486" s="50" t="n">
        <v>291</v>
      </c>
      <c r="CZ486" s="27" t="s">
        <v>132</v>
      </c>
      <c r="DA486" s="27" t="s">
        <v>162</v>
      </c>
      <c r="DB486" s="27" t="s">
        <v>162</v>
      </c>
      <c r="DC486" s="27" t="s">
        <v>134</v>
      </c>
      <c r="DD486" s="27" t="s">
        <v>174</v>
      </c>
      <c r="DE486" s="27" t="s">
        <v>183</v>
      </c>
      <c r="DF486" s="27" t="s">
        <v>219</v>
      </c>
      <c r="DG486" s="27" t="s">
        <v>134</v>
      </c>
      <c r="DH486" s="27" t="s">
        <v>135</v>
      </c>
      <c r="DI486" s="27" t="s">
        <v>645</v>
      </c>
      <c r="DJ486" s="27" t="s">
        <v>138</v>
      </c>
      <c r="DK486" s="27" t="s">
        <v>134</v>
      </c>
      <c r="DL486" s="27" t="s">
        <v>137</v>
      </c>
      <c r="DM486" s="27" t="s">
        <v>673</v>
      </c>
      <c r="DN486" s="27" t="s">
        <v>141</v>
      </c>
      <c r="DO486" s="27" t="s">
        <v>134</v>
      </c>
      <c r="DP486" s="27"/>
      <c r="DQ486" s="27"/>
      <c r="DR486" s="27"/>
      <c r="DS486" s="27"/>
      <c r="DT486" s="27" t="s">
        <v>195</v>
      </c>
      <c r="DU486" s="27" t="s">
        <v>220</v>
      </c>
      <c r="DV486" s="27" t="s">
        <v>382</v>
      </c>
      <c r="DW486" s="27" t="s">
        <v>137</v>
      </c>
      <c r="DX486" s="27" t="s">
        <v>177</v>
      </c>
      <c r="DY486" s="27" t="s">
        <v>202</v>
      </c>
      <c r="DZ486" s="27" t="n">
        <f aca="false">DY486+DV486+DR486+DN486+DJ486+DF486+DB486</f>
        <v>468</v>
      </c>
      <c r="EA486" s="28" t="n">
        <f aca="false">DZ486/7</f>
        <v>66.8571428571429</v>
      </c>
      <c r="EB486" s="27" t="n">
        <f aca="false">RANK(EA486,$EA$2:$EA$881,0)</f>
        <v>705</v>
      </c>
      <c r="EC486" s="29" t="n">
        <f aca="false">DZ486+CQ486+CP486+AZ486</f>
        <v>2426</v>
      </c>
      <c r="ED486" s="30" t="n">
        <f aca="false">(EA486+CV486+BB486)/3</f>
        <v>76.6476190476191</v>
      </c>
      <c r="EE486" s="51" t="n">
        <f aca="false">ROUND(BE486,3)</f>
        <v>86.403</v>
      </c>
      <c r="EF486" s="51" t="n">
        <f aca="false">ROUND(CR486,3)</f>
        <v>87.143</v>
      </c>
      <c r="EG486" s="51" t="n">
        <f aca="false">ROUND(CS486,3)</f>
        <v>76.429</v>
      </c>
      <c r="EH486" s="51" t="n">
        <f aca="false">ROUND(EA486,3)</f>
        <v>66.857</v>
      </c>
      <c r="EI486" s="51" t="n">
        <f aca="false">ROUND(ED486,3)</f>
        <v>76.648</v>
      </c>
      <c r="EJ486" s="51" t="n">
        <f aca="false">ROUND(CV486,3)</f>
        <v>81.786</v>
      </c>
      <c r="EK486" s="0" t="n">
        <f aca="false">RANK(EI486,$EI$2:$EI$881,0)</f>
        <v>485</v>
      </c>
    </row>
    <row r="487" customFormat="false" ht="15" hidden="false" customHeight="false" outlineLevel="0" collapsed="false">
      <c r="A487" s="4" t="n">
        <v>9057</v>
      </c>
      <c r="B487" s="4" t="n">
        <v>855</v>
      </c>
      <c r="C487" s="27" t="s">
        <v>1500</v>
      </c>
      <c r="D487" s="31" t="n">
        <v>875</v>
      </c>
      <c r="E487" s="16" t="n">
        <v>230120038</v>
      </c>
      <c r="F487" s="56" t="s">
        <v>1501</v>
      </c>
      <c r="G487" s="22" t="s">
        <v>804</v>
      </c>
      <c r="H487" s="22" t="s">
        <v>326</v>
      </c>
      <c r="I487" s="57"/>
      <c r="J487" s="16" t="n">
        <v>74</v>
      </c>
      <c r="K487" s="16" t="n">
        <v>93</v>
      </c>
      <c r="L487" s="34" t="n">
        <f aca="false">(K487*70)/100</f>
        <v>65.1</v>
      </c>
      <c r="M487" s="34" t="n">
        <f aca="false">ROUNDUP(L487,0)</f>
        <v>66</v>
      </c>
      <c r="N487" s="16" t="n">
        <v>27</v>
      </c>
      <c r="O487" s="34" t="n">
        <f aca="false">N487+L487</f>
        <v>92.1</v>
      </c>
      <c r="P487" s="34" t="n">
        <f aca="false">N487+M487</f>
        <v>93</v>
      </c>
      <c r="Q487" s="16" t="n">
        <v>78</v>
      </c>
      <c r="R487" s="16" t="n">
        <v>72</v>
      </c>
      <c r="S487" s="34" t="n">
        <f aca="false">(R487*70)/100</f>
        <v>50.4</v>
      </c>
      <c r="T487" s="34" t="n">
        <f aca="false">ROUNDUP(S487,0)</f>
        <v>51</v>
      </c>
      <c r="U487" s="16" t="n">
        <v>26</v>
      </c>
      <c r="V487" s="34" t="n">
        <f aca="false">U487+S487</f>
        <v>76.4</v>
      </c>
      <c r="W487" s="34" t="n">
        <f aca="false">U487+T487</f>
        <v>77</v>
      </c>
      <c r="X487" s="16" t="n">
        <v>83</v>
      </c>
      <c r="Y487" s="34" t="n">
        <f aca="false">(X487*70)/100</f>
        <v>58.1</v>
      </c>
      <c r="Z487" s="34" t="n">
        <f aca="false">ROUNDUP(Y487,0)</f>
        <v>59</v>
      </c>
      <c r="AA487" s="16" t="n">
        <v>27</v>
      </c>
      <c r="AB487" s="34" t="n">
        <f aca="false">AA487+Y487</f>
        <v>85.1</v>
      </c>
      <c r="AC487" s="34" t="n">
        <f aca="false">AA487+Z487</f>
        <v>86</v>
      </c>
      <c r="AD487" s="32" t="n">
        <f aca="false">X487+R487+Q487+K487+J487</f>
        <v>400</v>
      </c>
      <c r="AE487" s="16" t="n">
        <f aca="false">AD487/5</f>
        <v>80</v>
      </c>
      <c r="AF487" s="16" t="n">
        <v>77</v>
      </c>
      <c r="AG487" s="16" t="n">
        <v>79</v>
      </c>
      <c r="AH487" s="16" t="n">
        <v>90</v>
      </c>
      <c r="AI487" s="16" t="n">
        <v>93</v>
      </c>
      <c r="AJ487" s="16" t="n">
        <f aca="false">(AI487*70)/100</f>
        <v>65.1</v>
      </c>
      <c r="AK487" s="35" t="n">
        <f aca="false">ROUNDUP(AJ487,0)</f>
        <v>66</v>
      </c>
      <c r="AL487" s="16" t="n">
        <v>23</v>
      </c>
      <c r="AM487" s="16" t="n">
        <f aca="false">AL487+AJ487</f>
        <v>88.1</v>
      </c>
      <c r="AN487" s="16" t="n">
        <f aca="false">AL487+AK487</f>
        <v>89</v>
      </c>
      <c r="AO487" s="16" t="n">
        <v>68</v>
      </c>
      <c r="AP487" s="36" t="n">
        <f aca="false">(AO487*70)/100</f>
        <v>47.6</v>
      </c>
      <c r="AQ487" s="37" t="n">
        <f aca="false">ROUNDUP(AP487,0)</f>
        <v>48</v>
      </c>
      <c r="AR487" s="16" t="n">
        <v>21</v>
      </c>
      <c r="AS487" s="16" t="n">
        <f aca="false">AR487+AP487</f>
        <v>68.6</v>
      </c>
      <c r="AT487" s="16" t="n">
        <f aca="false">AR487+AQ487</f>
        <v>69</v>
      </c>
      <c r="AU487" s="16" t="n">
        <f aca="false">AO487+AF487+AI487+AH487+AG487</f>
        <v>407</v>
      </c>
      <c r="AV487" s="16" t="n">
        <f aca="false">(AO487+AF487+AI487+AH487+AG487)/5</f>
        <v>81.4</v>
      </c>
      <c r="AW487" s="36" t="n">
        <f aca="false">(AO487+AF487+AI487+AH487+AG487+X487+R487+Q487+K487+J487)</f>
        <v>807</v>
      </c>
      <c r="AX487" s="16" t="n">
        <f aca="false">AW487/10</f>
        <v>80.7</v>
      </c>
      <c r="AY487" s="16" t="n">
        <f aca="false">AS487+AF487+AM487+AH487+AG487+AB487+V487+Q487+O487+J487</f>
        <v>808.3</v>
      </c>
      <c r="AZ487" s="16" t="n">
        <f aca="false">AT487+AF487+AN487+AH487+AG487+AC487+W487+Q487+P487+J487</f>
        <v>812</v>
      </c>
      <c r="BA487" s="16" t="n">
        <f aca="false">AY487/10</f>
        <v>80.83</v>
      </c>
      <c r="BB487" s="16" t="n">
        <f aca="false">AZ487/10</f>
        <v>81.2</v>
      </c>
      <c r="BC487" s="16" t="n">
        <v>2356</v>
      </c>
      <c r="BD487" s="16" t="n">
        <f aca="false">RANK(AX487,$AX$2:$AX$881,0)</f>
        <v>223</v>
      </c>
      <c r="BE487" s="54" t="n">
        <f aca="false">((BC487*100)/2400)*0.4+(AX487*0.6)</f>
        <v>87.6866666666667</v>
      </c>
      <c r="BF487" s="16" t="n">
        <f aca="false">RANK(BE487,$BE$2:$BE$881,0)</f>
        <v>233</v>
      </c>
      <c r="BG487" s="39" t="n">
        <f aca="false">RANK(BB487,$BB$2:$BB$881,0)</f>
        <v>263</v>
      </c>
      <c r="BH487" s="39" t="n">
        <f aca="false">RANK(BC487,$BC$2:$BC$881,0)</f>
        <v>462</v>
      </c>
      <c r="BI487" s="22" t="s">
        <v>130</v>
      </c>
      <c r="BJ487" s="22" t="s">
        <v>129</v>
      </c>
      <c r="BK487" s="40" t="s">
        <v>131</v>
      </c>
      <c r="BL487" s="41" t="n">
        <v>14</v>
      </c>
      <c r="BM487" s="41" t="n">
        <v>55</v>
      </c>
      <c r="BN487" s="41" t="n">
        <v>69</v>
      </c>
      <c r="BO487" s="42" t="n">
        <v>24</v>
      </c>
      <c r="BP487" s="43" t="n">
        <v>34</v>
      </c>
      <c r="BQ487" s="119" t="n">
        <v>58</v>
      </c>
      <c r="BR487" s="42" t="n">
        <v>18</v>
      </c>
      <c r="BS487" s="77" t="n">
        <v>48</v>
      </c>
      <c r="BT487" s="77" t="n">
        <v>66</v>
      </c>
      <c r="BU487" s="46" t="n">
        <v>100</v>
      </c>
      <c r="BV487" s="47" t="n">
        <v>80</v>
      </c>
      <c r="BW487" s="42" t="n">
        <v>98</v>
      </c>
      <c r="BX487" s="48" t="n">
        <v>94</v>
      </c>
      <c r="BY487" s="32" t="n">
        <v>26</v>
      </c>
      <c r="BZ487" s="32" t="n">
        <v>38</v>
      </c>
      <c r="CA487" s="32" t="n">
        <v>64</v>
      </c>
      <c r="CB487" s="32" t="n">
        <v>22</v>
      </c>
      <c r="CC487" s="32" t="n">
        <v>4</v>
      </c>
      <c r="CD487" s="69" t="n">
        <v>26</v>
      </c>
      <c r="CE487" s="32" t="n">
        <v>23</v>
      </c>
      <c r="CF487" s="32" t="n">
        <v>48</v>
      </c>
      <c r="CG487" s="32" t="n">
        <v>71</v>
      </c>
      <c r="CH487" s="32" t="n">
        <v>96</v>
      </c>
      <c r="CI487" s="25" t="n">
        <v>100</v>
      </c>
      <c r="CJ487" s="49" t="n">
        <v>18</v>
      </c>
      <c r="CK487" s="49" t="n">
        <v>51</v>
      </c>
      <c r="CL487" s="49" t="n">
        <v>69</v>
      </c>
      <c r="CM487" s="49" t="n">
        <v>26</v>
      </c>
      <c r="CN487" s="49" t="n">
        <v>54</v>
      </c>
      <c r="CO487" s="49" t="n">
        <v>80</v>
      </c>
      <c r="CP487" s="25" t="n">
        <f aca="false">BX487+BW487+BV487+BU487+BT487+BQ487+BN487</f>
        <v>565</v>
      </c>
      <c r="CQ487" s="25" t="n">
        <f aca="false">CO487+CL487+CI487+CH487+CG487+CD487+CA487</f>
        <v>506</v>
      </c>
      <c r="CR487" s="26" t="n">
        <f aca="false">CP487/7</f>
        <v>80.7142857142857</v>
      </c>
      <c r="CS487" s="26" t="n">
        <f aca="false">CQ487/7</f>
        <v>72.2857142857143</v>
      </c>
      <c r="CT487" s="24" t="n">
        <f aca="false">RANK(CR487,$CR$2:$CR$881,0)</f>
        <v>572</v>
      </c>
      <c r="CU487" s="25" t="n">
        <f aca="false">RANK(CS487,$CS$2:$CS$881,0)</f>
        <v>501</v>
      </c>
      <c r="CV487" s="26" t="n">
        <f aca="false">(CS487+CR487)/2</f>
        <v>76.5</v>
      </c>
      <c r="CW487" s="25" t="n">
        <f aca="false">RANK(CV487,$CV$2:$CV$881,0)</f>
        <v>527</v>
      </c>
      <c r="CX487" s="50" t="n">
        <f aca="false">(CV487+BB487)/2</f>
        <v>78.85</v>
      </c>
      <c r="CY487" s="50" t="n">
        <v>427</v>
      </c>
      <c r="CZ487" s="27" t="s">
        <v>132</v>
      </c>
      <c r="DA487" s="27" t="s">
        <v>153</v>
      </c>
      <c r="DB487" s="27" t="s">
        <v>153</v>
      </c>
      <c r="DC487" s="27" t="s">
        <v>134</v>
      </c>
      <c r="DD487" s="27" t="s">
        <v>195</v>
      </c>
      <c r="DE487" s="27" t="s">
        <v>204</v>
      </c>
      <c r="DF487" s="27" t="s">
        <v>219</v>
      </c>
      <c r="DG487" s="27" t="s">
        <v>134</v>
      </c>
      <c r="DH487" s="27" t="s">
        <v>135</v>
      </c>
      <c r="DI487" s="27" t="s">
        <v>204</v>
      </c>
      <c r="DJ487" s="27" t="s">
        <v>209</v>
      </c>
      <c r="DK487" s="27" t="s">
        <v>134</v>
      </c>
      <c r="DL487" s="27" t="s">
        <v>135</v>
      </c>
      <c r="DM487" s="27" t="s">
        <v>220</v>
      </c>
      <c r="DN487" s="27" t="s">
        <v>196</v>
      </c>
      <c r="DO487" s="27" t="s">
        <v>134</v>
      </c>
      <c r="DP487" s="27"/>
      <c r="DQ487" s="27"/>
      <c r="DR487" s="27"/>
      <c r="DS487" s="27"/>
      <c r="DT487" s="27" t="s">
        <v>164</v>
      </c>
      <c r="DU487" s="27" t="s">
        <v>313</v>
      </c>
      <c r="DV487" s="27" t="s">
        <v>272</v>
      </c>
      <c r="DW487" s="27" t="s">
        <v>191</v>
      </c>
      <c r="DX487" s="27" t="s">
        <v>155</v>
      </c>
      <c r="DY487" s="27" t="s">
        <v>153</v>
      </c>
      <c r="DZ487" s="27" t="n">
        <f aca="false">DY487+DV487+DR487+DN487+DJ487+DF487+DB487</f>
        <v>504</v>
      </c>
      <c r="EA487" s="28" t="n">
        <f aca="false">DZ487/7</f>
        <v>72</v>
      </c>
      <c r="EB487" s="27" t="n">
        <f aca="false">RANK(EA487,$EA$2:$EA$881,0)</f>
        <v>609</v>
      </c>
      <c r="EC487" s="29" t="n">
        <f aca="false">DZ487+CQ487+CP487+AZ487</f>
        <v>2387</v>
      </c>
      <c r="ED487" s="30" t="n">
        <f aca="false">(EA487+CV487+BB487)/3</f>
        <v>76.5666666666667</v>
      </c>
      <c r="EE487" s="51" t="n">
        <f aca="false">ROUND(BE487,3)</f>
        <v>87.687</v>
      </c>
      <c r="EF487" s="51" t="n">
        <f aca="false">ROUND(CR487,3)</f>
        <v>80.714</v>
      </c>
      <c r="EG487" s="51" t="n">
        <f aca="false">ROUND(CS487,3)</f>
        <v>72.286</v>
      </c>
      <c r="EH487" s="51" t="n">
        <f aca="false">ROUND(EA487,3)</f>
        <v>72</v>
      </c>
      <c r="EI487" s="51" t="n">
        <f aca="false">ROUND(ED487,3)</f>
        <v>76.567</v>
      </c>
      <c r="EJ487" s="51" t="n">
        <f aca="false">ROUND(CV487,3)</f>
        <v>76.5</v>
      </c>
      <c r="EK487" s="0" t="n">
        <f aca="false">RANK(EI487,$EI$2:$EI$881,0)</f>
        <v>486</v>
      </c>
    </row>
    <row r="488" customFormat="false" ht="15" hidden="false" customHeight="false" outlineLevel="0" collapsed="false">
      <c r="A488" s="4" t="n">
        <v>8973</v>
      </c>
      <c r="B488" s="4" t="n">
        <v>566</v>
      </c>
      <c r="C488" s="27" t="s">
        <v>1502</v>
      </c>
      <c r="D488" s="31" t="n">
        <v>570</v>
      </c>
      <c r="E488" s="16" t="n">
        <v>230220356</v>
      </c>
      <c r="F488" s="56" t="s">
        <v>1503</v>
      </c>
      <c r="G488" s="22" t="s">
        <v>342</v>
      </c>
      <c r="H488" s="22" t="s">
        <v>326</v>
      </c>
      <c r="I488" s="57"/>
      <c r="J488" s="16" t="n">
        <v>63</v>
      </c>
      <c r="K488" s="16" t="n">
        <v>79</v>
      </c>
      <c r="L488" s="34" t="n">
        <f aca="false">(K488*70)/100</f>
        <v>55.3</v>
      </c>
      <c r="M488" s="34" t="n">
        <f aca="false">ROUNDUP(L488,0)</f>
        <v>56</v>
      </c>
      <c r="N488" s="16" t="n">
        <v>27</v>
      </c>
      <c r="O488" s="34" t="n">
        <f aca="false">N488+L488</f>
        <v>82.3</v>
      </c>
      <c r="P488" s="34" t="n">
        <f aca="false">N488+M488</f>
        <v>83</v>
      </c>
      <c r="Q488" s="16" t="n">
        <v>82</v>
      </c>
      <c r="R488" s="16" t="n">
        <v>80</v>
      </c>
      <c r="S488" s="34" t="n">
        <f aca="false">(R488*70)/100</f>
        <v>56</v>
      </c>
      <c r="T488" s="34" t="n">
        <f aca="false">ROUNDUP(S488,0)</f>
        <v>56</v>
      </c>
      <c r="U488" s="16" t="n">
        <v>26</v>
      </c>
      <c r="V488" s="34" t="n">
        <f aca="false">U488+S488</f>
        <v>82</v>
      </c>
      <c r="W488" s="34" t="n">
        <f aca="false">U488+T488</f>
        <v>82</v>
      </c>
      <c r="X488" s="16" t="n">
        <v>76</v>
      </c>
      <c r="Y488" s="34" t="n">
        <f aca="false">(X488*70)/100</f>
        <v>53.2</v>
      </c>
      <c r="Z488" s="34" t="n">
        <f aca="false">ROUNDUP(Y488,0)</f>
        <v>54</v>
      </c>
      <c r="AA488" s="16" t="n">
        <v>28</v>
      </c>
      <c r="AB488" s="34" t="n">
        <f aca="false">AA488+Y488</f>
        <v>81.2</v>
      </c>
      <c r="AC488" s="34" t="n">
        <f aca="false">AA488+Z488</f>
        <v>82</v>
      </c>
      <c r="AD488" s="32" t="n">
        <f aca="false">X488+R488+Q488+K488+J488</f>
        <v>380</v>
      </c>
      <c r="AE488" s="16" t="n">
        <f aca="false">AD488/5</f>
        <v>76</v>
      </c>
      <c r="AF488" s="16" t="n">
        <v>75</v>
      </c>
      <c r="AG488" s="16" t="n">
        <v>82</v>
      </c>
      <c r="AH488" s="16" t="n">
        <v>88</v>
      </c>
      <c r="AI488" s="16" t="n">
        <v>85</v>
      </c>
      <c r="AJ488" s="16" t="n">
        <f aca="false">(AI488*70)/100</f>
        <v>59.5</v>
      </c>
      <c r="AK488" s="35" t="n">
        <f aca="false">ROUNDUP(AJ488,0)</f>
        <v>60</v>
      </c>
      <c r="AL488" s="16" t="n">
        <v>21</v>
      </c>
      <c r="AM488" s="16" t="n">
        <f aca="false">AL488+AJ488</f>
        <v>80.5</v>
      </c>
      <c r="AN488" s="16" t="n">
        <f aca="false">AL488+AK488</f>
        <v>81</v>
      </c>
      <c r="AO488" s="16" t="n">
        <v>76</v>
      </c>
      <c r="AP488" s="36" t="n">
        <f aca="false">(AO488*70)/100</f>
        <v>53.2</v>
      </c>
      <c r="AQ488" s="37" t="n">
        <f aca="false">ROUNDUP(AP488,0)</f>
        <v>54</v>
      </c>
      <c r="AR488" s="16" t="n">
        <v>25</v>
      </c>
      <c r="AS488" s="16" t="n">
        <f aca="false">AR488+AP488</f>
        <v>78.2</v>
      </c>
      <c r="AT488" s="16" t="n">
        <f aca="false">AR488+AQ488</f>
        <v>79</v>
      </c>
      <c r="AU488" s="16" t="n">
        <f aca="false">AO488+AF488+AI488+AH488+AG488</f>
        <v>406</v>
      </c>
      <c r="AV488" s="16" t="n">
        <f aca="false">(AO488+AF488+AI488+AH488+AG488)/5</f>
        <v>81.2</v>
      </c>
      <c r="AW488" s="36" t="n">
        <f aca="false">(AO488+AF488+AI488+AH488+AG488+X488+R488+Q488+K488+J488)</f>
        <v>786</v>
      </c>
      <c r="AX488" s="16" t="n">
        <f aca="false">AW488/10</f>
        <v>78.6</v>
      </c>
      <c r="AY488" s="16" t="n">
        <f aca="false">AS488+AF488+AM488+AH488+AG488+AB488+V488+Q488+O488+J488</f>
        <v>794.2</v>
      </c>
      <c r="AZ488" s="16" t="n">
        <f aca="false">AT488+AF488+AN488+AH488+AG488+AC488+W488+Q488+P488+J488</f>
        <v>797</v>
      </c>
      <c r="BA488" s="16" t="n">
        <f aca="false">AY488/10</f>
        <v>79.42</v>
      </c>
      <c r="BB488" s="16" t="n">
        <f aca="false">AZ488/10</f>
        <v>79.7</v>
      </c>
      <c r="BC488" s="16" t="n">
        <v>2387</v>
      </c>
      <c r="BD488" s="16" t="n">
        <f aca="false">RANK(AX488,$AX$2:$AX$881,0)</f>
        <v>370</v>
      </c>
      <c r="BE488" s="54" t="n">
        <f aca="false">((BC488*100)/2400)*0.4+(AX488*0.6)</f>
        <v>86.9433333333333</v>
      </c>
      <c r="BF488" s="16" t="n">
        <f aca="false">RANK(BE488,$BE$2:$BE$881,0)</f>
        <v>303</v>
      </c>
      <c r="BG488" s="39" t="n">
        <f aca="false">RANK(BB488,$BB$2:$BB$881,0)</f>
        <v>381</v>
      </c>
      <c r="BH488" s="39" t="n">
        <f aca="false">RANK(BC488,$BC$2:$BC$881,0)</f>
        <v>76</v>
      </c>
      <c r="BI488" s="22" t="s">
        <v>130</v>
      </c>
      <c r="BJ488" s="22" t="s">
        <v>129</v>
      </c>
      <c r="BK488" s="40" t="s">
        <v>131</v>
      </c>
      <c r="BL488" s="41" t="n">
        <v>21</v>
      </c>
      <c r="BM488" s="41" t="n">
        <v>50</v>
      </c>
      <c r="BN488" s="41" t="n">
        <v>71</v>
      </c>
      <c r="BO488" s="42" t="n">
        <v>20</v>
      </c>
      <c r="BP488" s="43" t="n">
        <v>51</v>
      </c>
      <c r="BQ488" s="44" t="n">
        <v>71</v>
      </c>
      <c r="BR488" s="42" t="n">
        <v>27</v>
      </c>
      <c r="BS488" s="45" t="n">
        <v>58</v>
      </c>
      <c r="BT488" s="45" t="n">
        <v>85</v>
      </c>
      <c r="BU488" s="77" t="n">
        <v>98</v>
      </c>
      <c r="BV488" s="47" t="n">
        <v>84</v>
      </c>
      <c r="BW488" s="43" t="n">
        <v>93</v>
      </c>
      <c r="BX488" s="48" t="n">
        <v>94</v>
      </c>
      <c r="BY488" s="32" t="n">
        <v>25</v>
      </c>
      <c r="BZ488" s="32" t="n">
        <v>50</v>
      </c>
      <c r="CA488" s="32" t="n">
        <v>75</v>
      </c>
      <c r="CB488" s="32" t="n">
        <v>20</v>
      </c>
      <c r="CC488" s="32" t="n">
        <v>37</v>
      </c>
      <c r="CD488" s="69" t="n">
        <v>57</v>
      </c>
      <c r="CE488" s="32" t="n">
        <v>23</v>
      </c>
      <c r="CF488" s="32" t="n">
        <v>43</v>
      </c>
      <c r="CG488" s="32" t="n">
        <v>66</v>
      </c>
      <c r="CH488" s="32" t="n">
        <v>99</v>
      </c>
      <c r="CI488" s="32" t="n">
        <v>93</v>
      </c>
      <c r="CJ488" s="49" t="n">
        <v>15</v>
      </c>
      <c r="CK488" s="58" t="n">
        <v>52</v>
      </c>
      <c r="CL488" s="59" t="n">
        <v>67</v>
      </c>
      <c r="CM488" s="49" t="n">
        <v>20</v>
      </c>
      <c r="CN488" s="49" t="n">
        <v>55</v>
      </c>
      <c r="CO488" s="49" t="n">
        <v>75</v>
      </c>
      <c r="CP488" s="25" t="n">
        <f aca="false">BX488+BW488+BV488+BU488+BT488+BQ488+BN488</f>
        <v>596</v>
      </c>
      <c r="CQ488" s="25" t="n">
        <f aca="false">CO488+CL488+CI488+CH488+CG488+CD488+CA488</f>
        <v>532</v>
      </c>
      <c r="CR488" s="26" t="n">
        <f aca="false">CP488/7</f>
        <v>85.1428571428571</v>
      </c>
      <c r="CS488" s="26" t="n">
        <f aca="false">CQ488/7</f>
        <v>76</v>
      </c>
      <c r="CT488" s="24" t="n">
        <f aca="false">RANK(CR488,$CR$2:$CR$881,0)</f>
        <v>431</v>
      </c>
      <c r="CU488" s="25" t="n">
        <f aca="false">RANK(CS488,$CS$2:$CS$881,0)</f>
        <v>398</v>
      </c>
      <c r="CV488" s="26" t="n">
        <f aca="false">(CS488+CR488)/2</f>
        <v>80.5714285714286</v>
      </c>
      <c r="CW488" s="25" t="n">
        <f aca="false">RANK(CV488,$CV$2:$CV$881,0)</f>
        <v>407</v>
      </c>
      <c r="CX488" s="50" t="n">
        <f aca="false">(CV488+BB488)/2</f>
        <v>80.1357142857143</v>
      </c>
      <c r="CY488" s="50" t="n">
        <v>480</v>
      </c>
      <c r="CZ488" s="27" t="s">
        <v>132</v>
      </c>
      <c r="DA488" s="27" t="s">
        <v>441</v>
      </c>
      <c r="DB488" s="27" t="s">
        <v>441</v>
      </c>
      <c r="DC488" s="27" t="s">
        <v>134</v>
      </c>
      <c r="DD488" s="27" t="s">
        <v>195</v>
      </c>
      <c r="DE488" s="27" t="s">
        <v>220</v>
      </c>
      <c r="DF488" s="27" t="s">
        <v>382</v>
      </c>
      <c r="DG488" s="27" t="s">
        <v>134</v>
      </c>
      <c r="DH488" s="27" t="s">
        <v>140</v>
      </c>
      <c r="DI488" s="27" t="s">
        <v>136</v>
      </c>
      <c r="DJ488" s="27" t="s">
        <v>176</v>
      </c>
      <c r="DK488" s="27" t="s">
        <v>134</v>
      </c>
      <c r="DL488" s="27" t="s">
        <v>174</v>
      </c>
      <c r="DM488" s="27" t="s">
        <v>220</v>
      </c>
      <c r="DN488" s="27" t="s">
        <v>305</v>
      </c>
      <c r="DO488" s="27" t="s">
        <v>134</v>
      </c>
      <c r="DP488" s="27"/>
      <c r="DQ488" s="27"/>
      <c r="DR488" s="27"/>
      <c r="DS488" s="27"/>
      <c r="DT488" s="27" t="s">
        <v>182</v>
      </c>
      <c r="DU488" s="27" t="s">
        <v>415</v>
      </c>
      <c r="DV488" s="27" t="s">
        <v>416</v>
      </c>
      <c r="DW488" s="27" t="s">
        <v>182</v>
      </c>
      <c r="DX488" s="27" t="s">
        <v>138</v>
      </c>
      <c r="DY488" s="27" t="s">
        <v>151</v>
      </c>
      <c r="DZ488" s="27" t="n">
        <f aca="false">DY488+DV488+DR488+DN488+DJ488+DF488+DB488</f>
        <v>486</v>
      </c>
      <c r="EA488" s="28" t="n">
        <f aca="false">DZ488/7</f>
        <v>69.4285714285714</v>
      </c>
      <c r="EB488" s="27" t="n">
        <f aca="false">RANK(EA488,$EA$2:$EA$881,0)</f>
        <v>664</v>
      </c>
      <c r="EC488" s="29" t="n">
        <f aca="false">DZ488+CQ488+CP488+AZ488</f>
        <v>2411</v>
      </c>
      <c r="ED488" s="30" t="n">
        <f aca="false">(EA488+CV488+BB488)/3</f>
        <v>76.5666666666667</v>
      </c>
      <c r="EE488" s="51" t="n">
        <f aca="false">ROUND(BE488,3)</f>
        <v>86.943</v>
      </c>
      <c r="EF488" s="51" t="n">
        <f aca="false">ROUND(CR488,3)</f>
        <v>85.143</v>
      </c>
      <c r="EG488" s="51" t="n">
        <f aca="false">ROUND(CS488,3)</f>
        <v>76</v>
      </c>
      <c r="EH488" s="51" t="n">
        <f aca="false">ROUND(EA488,3)</f>
        <v>69.429</v>
      </c>
      <c r="EI488" s="51" t="n">
        <f aca="false">ROUND(ED488,3)</f>
        <v>76.567</v>
      </c>
      <c r="EJ488" s="51" t="n">
        <f aca="false">ROUND(CV488,3)</f>
        <v>80.571</v>
      </c>
      <c r="EK488" s="0" t="n">
        <f aca="false">RANK(EI488,$EI$2:$EI$881,0)</f>
        <v>486</v>
      </c>
    </row>
    <row r="489" customFormat="false" ht="15" hidden="false" customHeight="false" outlineLevel="0" collapsed="false">
      <c r="A489" s="4" t="n">
        <v>8798</v>
      </c>
      <c r="B489" s="4" t="n">
        <v>572</v>
      </c>
      <c r="C489" s="27" t="s">
        <v>1504</v>
      </c>
      <c r="D489" s="31" t="n">
        <v>577</v>
      </c>
      <c r="E489" s="32" t="n">
        <v>230320049</v>
      </c>
      <c r="F489" s="8" t="s">
        <v>1505</v>
      </c>
      <c r="G489" s="22" t="s">
        <v>1506</v>
      </c>
      <c r="H489" s="22" t="s">
        <v>129</v>
      </c>
      <c r="I489" s="33" t="n">
        <v>2005</v>
      </c>
      <c r="J489" s="32" t="n">
        <v>89</v>
      </c>
      <c r="K489" s="32" t="n">
        <v>76</v>
      </c>
      <c r="L489" s="34" t="n">
        <f aca="false">(K489*70)/100</f>
        <v>53.2</v>
      </c>
      <c r="M489" s="34" t="n">
        <f aca="false">ROUNDUP(L489,0)</f>
        <v>54</v>
      </c>
      <c r="N489" s="32" t="n">
        <v>20</v>
      </c>
      <c r="O489" s="34" t="n">
        <f aca="false">N489+L489</f>
        <v>73.2</v>
      </c>
      <c r="P489" s="34" t="n">
        <f aca="false">N489+M489</f>
        <v>74</v>
      </c>
      <c r="Q489" s="32" t="n">
        <v>66</v>
      </c>
      <c r="R489" s="32" t="n">
        <v>70</v>
      </c>
      <c r="S489" s="34" t="n">
        <f aca="false">(R489*70)/100</f>
        <v>49</v>
      </c>
      <c r="T489" s="34" t="n">
        <f aca="false">ROUNDUP(S489,0)</f>
        <v>49</v>
      </c>
      <c r="U489" s="32" t="n">
        <v>13</v>
      </c>
      <c r="V489" s="34" t="n">
        <f aca="false">U489+S489</f>
        <v>62</v>
      </c>
      <c r="W489" s="34" t="n">
        <f aca="false">U489+T489</f>
        <v>62</v>
      </c>
      <c r="X489" s="32" t="n">
        <v>65</v>
      </c>
      <c r="Y489" s="34" t="n">
        <f aca="false">(X489*70)/100</f>
        <v>45.5</v>
      </c>
      <c r="Z489" s="34" t="n">
        <f aca="false">ROUNDUP(Y489,0)</f>
        <v>46</v>
      </c>
      <c r="AA489" s="32" t="n">
        <v>21</v>
      </c>
      <c r="AB489" s="34" t="n">
        <f aca="false">AA489+Y489</f>
        <v>66.5</v>
      </c>
      <c r="AC489" s="34" t="n">
        <f aca="false">AA489+Z489</f>
        <v>67</v>
      </c>
      <c r="AD489" s="32" t="n">
        <f aca="false">X489+R489+Q489+K489+J489</f>
        <v>366</v>
      </c>
      <c r="AE489" s="16" t="n">
        <f aca="false">AD489/5</f>
        <v>73.2</v>
      </c>
      <c r="AF489" s="16" t="n">
        <v>69</v>
      </c>
      <c r="AG489" s="16" t="n">
        <v>96</v>
      </c>
      <c r="AH489" s="16" t="n">
        <v>89</v>
      </c>
      <c r="AI489" s="16" t="n">
        <v>91</v>
      </c>
      <c r="AJ489" s="16" t="n">
        <f aca="false">(AI489*70)/100</f>
        <v>63.7</v>
      </c>
      <c r="AK489" s="35" t="n">
        <f aca="false">ROUNDUP(AJ489,0)</f>
        <v>64</v>
      </c>
      <c r="AL489" s="16" t="n">
        <v>23</v>
      </c>
      <c r="AM489" s="16" t="n">
        <f aca="false">AL489+AJ489</f>
        <v>86.7</v>
      </c>
      <c r="AN489" s="16" t="n">
        <f aca="false">AL489+AK489</f>
        <v>87</v>
      </c>
      <c r="AO489" s="16" t="n">
        <v>81</v>
      </c>
      <c r="AP489" s="36" t="n">
        <f aca="false">(AO489*70)/100</f>
        <v>56.7</v>
      </c>
      <c r="AQ489" s="37" t="n">
        <f aca="false">ROUNDUP(AP489,0)</f>
        <v>57</v>
      </c>
      <c r="AR489" s="16" t="n">
        <v>24</v>
      </c>
      <c r="AS489" s="16" t="n">
        <f aca="false">AR489+AP489</f>
        <v>80.7</v>
      </c>
      <c r="AT489" s="16" t="n">
        <f aca="false">AR489+AQ489</f>
        <v>81</v>
      </c>
      <c r="AU489" s="16" t="n">
        <f aca="false">AO489+AF489+AI489+AH489+AG489</f>
        <v>426</v>
      </c>
      <c r="AV489" s="16" t="n">
        <f aca="false">(AO489+AF489+AI489+AH489+AG489)/5</f>
        <v>85.2</v>
      </c>
      <c r="AW489" s="36" t="n">
        <f aca="false">(AO489+AF489+AI489+AH489+AG489+X489+R489+Q489+K489+J489)</f>
        <v>792</v>
      </c>
      <c r="AX489" s="16" t="n">
        <f aca="false">AW489/10</f>
        <v>79.2</v>
      </c>
      <c r="AY489" s="16" t="n">
        <f aca="false">AS489+AF489+AM489+AH489+AG489+AB489+V489+Q489+O489+J489</f>
        <v>778.1</v>
      </c>
      <c r="AZ489" s="16" t="n">
        <f aca="false">AT489+AF489+AN489+AH489+AG489+AC489+W489+Q489+P489+J489</f>
        <v>780</v>
      </c>
      <c r="BA489" s="16" t="n">
        <f aca="false">AY489/10</f>
        <v>77.81</v>
      </c>
      <c r="BB489" s="16" t="n">
        <f aca="false">AZ489/10</f>
        <v>78</v>
      </c>
      <c r="BC489" s="16" t="n">
        <v>2353</v>
      </c>
      <c r="BD489" s="16" t="n">
        <f aca="false">RANK(AX489,$AX$2:$AX$881,0)</f>
        <v>316</v>
      </c>
      <c r="BE489" s="54" t="n">
        <f aca="false">((BC489*100)/2400)*0.4+(AX489*0.6)</f>
        <v>86.7366666666667</v>
      </c>
      <c r="BF489" s="16" t="n">
        <f aca="false">RANK(BE489,$BE$2:$BE$881,0)</f>
        <v>328</v>
      </c>
      <c r="BG489" s="39" t="n">
        <f aca="false">RANK(BB489,$BB$2:$BB$881,0)</f>
        <v>558</v>
      </c>
      <c r="BH489" s="39" t="n">
        <f aca="false">RANK(BC489,$BC$2:$BC$881,0)</f>
        <v>507</v>
      </c>
      <c r="BI489" s="22" t="s">
        <v>130</v>
      </c>
      <c r="BJ489" s="22" t="s">
        <v>129</v>
      </c>
      <c r="BK489" s="40" t="s">
        <v>131</v>
      </c>
      <c r="BL489" s="41" t="n">
        <v>17</v>
      </c>
      <c r="BM489" s="41" t="n">
        <v>48</v>
      </c>
      <c r="BN489" s="41" t="n">
        <v>65</v>
      </c>
      <c r="BO489" s="42" t="n">
        <v>22</v>
      </c>
      <c r="BP489" s="43" t="n">
        <v>56</v>
      </c>
      <c r="BQ489" s="44" t="n">
        <v>78</v>
      </c>
      <c r="BR489" s="42" t="n">
        <v>20</v>
      </c>
      <c r="BS489" s="45" t="n">
        <v>49</v>
      </c>
      <c r="BT489" s="45" t="n">
        <v>69</v>
      </c>
      <c r="BU489" s="46" t="n">
        <v>96</v>
      </c>
      <c r="BV489" s="47" t="n">
        <v>86</v>
      </c>
      <c r="BW489" s="42" t="n">
        <v>95</v>
      </c>
      <c r="BX489" s="48" t="n">
        <v>82</v>
      </c>
      <c r="BY489" s="32" t="n">
        <v>21</v>
      </c>
      <c r="BZ489" s="32" t="n">
        <v>46</v>
      </c>
      <c r="CA489" s="32" t="n">
        <v>67</v>
      </c>
      <c r="CB489" s="32" t="n">
        <v>19</v>
      </c>
      <c r="CC489" s="32" t="n">
        <v>29</v>
      </c>
      <c r="CD489" s="69" t="n">
        <v>48</v>
      </c>
      <c r="CE489" s="25" t="n">
        <v>18</v>
      </c>
      <c r="CF489" s="25" t="n">
        <v>56</v>
      </c>
      <c r="CG489" s="25" t="n">
        <v>74</v>
      </c>
      <c r="CH489" s="32" t="n">
        <v>93</v>
      </c>
      <c r="CI489" s="32" t="n">
        <v>95</v>
      </c>
      <c r="CJ489" s="49" t="n">
        <v>19</v>
      </c>
      <c r="CK489" s="49" t="n">
        <v>45</v>
      </c>
      <c r="CL489" s="84" t="n">
        <v>64</v>
      </c>
      <c r="CM489" s="25" t="n">
        <v>18</v>
      </c>
      <c r="CN489" s="25" t="n">
        <v>46</v>
      </c>
      <c r="CO489" s="25" t="n">
        <v>64</v>
      </c>
      <c r="CP489" s="25" t="n">
        <f aca="false">BX489+BW489+BV489+BU489+BT489+BQ489+BN489</f>
        <v>571</v>
      </c>
      <c r="CQ489" s="25" t="n">
        <f aca="false">CO489+CL489+CI489+CH489+CG489+CD489+CA489</f>
        <v>505</v>
      </c>
      <c r="CR489" s="26" t="n">
        <f aca="false">CP489/7</f>
        <v>81.5714285714286</v>
      </c>
      <c r="CS489" s="26" t="n">
        <f aca="false">CQ489/7</f>
        <v>72.1428571428571</v>
      </c>
      <c r="CT489" s="24" t="n">
        <f aca="false">RANK(CR489,$CR$2:$CR$881,0)</f>
        <v>552</v>
      </c>
      <c r="CU489" s="25" t="n">
        <f aca="false">RANK(CS489,$CS$2:$CS$881,0)</f>
        <v>505</v>
      </c>
      <c r="CV489" s="26" t="n">
        <f aca="false">(CS489+CR489)/2</f>
        <v>76.8571428571429</v>
      </c>
      <c r="CW489" s="25" t="n">
        <f aca="false">RANK(CV489,$CV$2:$CV$881,0)</f>
        <v>519</v>
      </c>
      <c r="CX489" s="50" t="n">
        <f aca="false">(CV489+BB489)/2</f>
        <v>77.4285714285714</v>
      </c>
      <c r="CY489" s="50" t="n">
        <v>498</v>
      </c>
      <c r="CZ489" s="27" t="s">
        <v>132</v>
      </c>
      <c r="DA489" s="27" t="s">
        <v>155</v>
      </c>
      <c r="DB489" s="27" t="s">
        <v>155</v>
      </c>
      <c r="DC489" s="27" t="s">
        <v>134</v>
      </c>
      <c r="DD489" s="27" t="s">
        <v>174</v>
      </c>
      <c r="DE489" s="27" t="s">
        <v>681</v>
      </c>
      <c r="DF489" s="27" t="s">
        <v>143</v>
      </c>
      <c r="DG489" s="27" t="s">
        <v>134</v>
      </c>
      <c r="DH489" s="27" t="s">
        <v>135</v>
      </c>
      <c r="DI489" s="27" t="s">
        <v>218</v>
      </c>
      <c r="DJ489" s="27" t="s">
        <v>205</v>
      </c>
      <c r="DK489" s="27" t="s">
        <v>134</v>
      </c>
      <c r="DL489" s="27" t="s">
        <v>174</v>
      </c>
      <c r="DM489" s="27" t="s">
        <v>412</v>
      </c>
      <c r="DN489" s="27" t="s">
        <v>486</v>
      </c>
      <c r="DO489" s="27" t="s">
        <v>134</v>
      </c>
      <c r="DP489" s="27" t="s">
        <v>191</v>
      </c>
      <c r="DQ489" s="27" t="s">
        <v>313</v>
      </c>
      <c r="DR489" s="27" t="s">
        <v>398</v>
      </c>
      <c r="DS489" s="27" t="s">
        <v>134</v>
      </c>
      <c r="DT489" s="27" t="s">
        <v>135</v>
      </c>
      <c r="DU489" s="27" t="s">
        <v>1407</v>
      </c>
      <c r="DV489" s="27" t="s">
        <v>163</v>
      </c>
      <c r="DW489" s="27" t="s">
        <v>160</v>
      </c>
      <c r="DX489" s="27" t="s">
        <v>152</v>
      </c>
      <c r="DY489" s="27" t="s">
        <v>176</v>
      </c>
      <c r="DZ489" s="27" t="n">
        <f aca="false">DY489+DV489+DR489+DN489+DJ489+DF489+DB489</f>
        <v>522</v>
      </c>
      <c r="EA489" s="28" t="n">
        <f aca="false">DZ489/7</f>
        <v>74.5714285714286</v>
      </c>
      <c r="EB489" s="27" t="n">
        <f aca="false">RANK(EA489,$EA$2:$EA$881,0)</f>
        <v>547</v>
      </c>
      <c r="EC489" s="29" t="n">
        <f aca="false">DZ489+CQ489+CP489+AZ489</f>
        <v>2378</v>
      </c>
      <c r="ED489" s="30" t="n">
        <f aca="false">(EA489+CV489+BB489)/3</f>
        <v>76.4761904761905</v>
      </c>
      <c r="EE489" s="51" t="n">
        <f aca="false">ROUND(BE489,3)</f>
        <v>86.737</v>
      </c>
      <c r="EF489" s="51" t="n">
        <f aca="false">ROUND(CR489,3)</f>
        <v>81.571</v>
      </c>
      <c r="EG489" s="51" t="n">
        <f aca="false">ROUND(CS489,3)</f>
        <v>72.143</v>
      </c>
      <c r="EH489" s="51" t="n">
        <f aca="false">ROUND(EA489,3)</f>
        <v>74.571</v>
      </c>
      <c r="EI489" s="51" t="n">
        <f aca="false">ROUND(ED489,3)</f>
        <v>76.476</v>
      </c>
      <c r="EJ489" s="51" t="n">
        <f aca="false">ROUND(CV489,3)</f>
        <v>76.857</v>
      </c>
      <c r="EK489" s="0" t="n">
        <f aca="false">RANK(EI489,$EI$2:$EI$881,0)</f>
        <v>488</v>
      </c>
    </row>
    <row r="490" customFormat="false" ht="15" hidden="false" customHeight="false" outlineLevel="0" collapsed="false">
      <c r="A490" s="4" t="n">
        <v>8742</v>
      </c>
      <c r="B490" s="4" t="n">
        <v>638</v>
      </c>
      <c r="C490" s="27" t="s">
        <v>1507</v>
      </c>
      <c r="D490" s="31" t="n">
        <v>647</v>
      </c>
      <c r="E490" s="32" t="n">
        <v>230319402</v>
      </c>
      <c r="F490" s="8" t="s">
        <v>1508</v>
      </c>
      <c r="G490" s="22" t="s">
        <v>1509</v>
      </c>
      <c r="H490" s="22" t="s">
        <v>129</v>
      </c>
      <c r="I490" s="33" t="n">
        <v>2005</v>
      </c>
      <c r="J490" s="32" t="n">
        <v>76</v>
      </c>
      <c r="K490" s="32" t="n">
        <v>73</v>
      </c>
      <c r="L490" s="34" t="n">
        <f aca="false">(K490*70)/100</f>
        <v>51.1</v>
      </c>
      <c r="M490" s="34" t="n">
        <f aca="false">ROUNDUP(L490,0)</f>
        <v>52</v>
      </c>
      <c r="N490" s="32" t="n">
        <v>27</v>
      </c>
      <c r="O490" s="34" t="n">
        <f aca="false">N490+L490</f>
        <v>78.1</v>
      </c>
      <c r="P490" s="34" t="n">
        <f aca="false">N490+M490</f>
        <v>79</v>
      </c>
      <c r="Q490" s="32" t="n">
        <v>64</v>
      </c>
      <c r="R490" s="32" t="n">
        <v>75</v>
      </c>
      <c r="S490" s="34" t="n">
        <f aca="false">(R490*70)/100</f>
        <v>52.5</v>
      </c>
      <c r="T490" s="34" t="n">
        <f aca="false">ROUNDUP(S490,0)</f>
        <v>53</v>
      </c>
      <c r="U490" s="32" t="n">
        <v>26</v>
      </c>
      <c r="V490" s="34" t="n">
        <f aca="false">U490+S490</f>
        <v>78.5</v>
      </c>
      <c r="W490" s="34" t="n">
        <f aca="false">U490+T490</f>
        <v>79</v>
      </c>
      <c r="X490" s="32" t="n">
        <v>66</v>
      </c>
      <c r="Y490" s="34" t="n">
        <f aca="false">(X490*70)/100</f>
        <v>46.2</v>
      </c>
      <c r="Z490" s="34" t="n">
        <f aca="false">ROUNDUP(Y490,0)</f>
        <v>47</v>
      </c>
      <c r="AA490" s="32" t="n">
        <v>24</v>
      </c>
      <c r="AB490" s="34" t="n">
        <f aca="false">AA490+Y490</f>
        <v>70.2</v>
      </c>
      <c r="AC490" s="34" t="n">
        <f aca="false">AA490+Z490</f>
        <v>71</v>
      </c>
      <c r="AD490" s="32" t="n">
        <f aca="false">X490+R490+Q490+K490+J490</f>
        <v>354</v>
      </c>
      <c r="AE490" s="16" t="n">
        <f aca="false">AD490/5</f>
        <v>70.8</v>
      </c>
      <c r="AF490" s="16" t="n">
        <v>60</v>
      </c>
      <c r="AG490" s="16" t="n">
        <v>88</v>
      </c>
      <c r="AH490" s="16" t="n">
        <v>76</v>
      </c>
      <c r="AI490" s="16" t="n">
        <v>93</v>
      </c>
      <c r="AJ490" s="16" t="n">
        <f aca="false">(AI490*70)/100</f>
        <v>65.1</v>
      </c>
      <c r="AK490" s="35" t="n">
        <f aca="false">ROUNDUP(AJ490,0)</f>
        <v>66</v>
      </c>
      <c r="AL490" s="16" t="n">
        <v>27</v>
      </c>
      <c r="AM490" s="16" t="n">
        <f aca="false">AL490+AJ490</f>
        <v>92.1</v>
      </c>
      <c r="AN490" s="16" t="n">
        <f aca="false">AL490+AK490</f>
        <v>93</v>
      </c>
      <c r="AO490" s="16" t="n">
        <v>54</v>
      </c>
      <c r="AP490" s="36" t="n">
        <f aca="false">(AO490*70)/100</f>
        <v>37.8</v>
      </c>
      <c r="AQ490" s="37" t="n">
        <f aca="false">ROUNDUP(AP490,0)</f>
        <v>38</v>
      </c>
      <c r="AR490" s="16" t="n">
        <v>25</v>
      </c>
      <c r="AS490" s="16" t="n">
        <f aca="false">AR490+AP490</f>
        <v>62.8</v>
      </c>
      <c r="AT490" s="16" t="n">
        <f aca="false">AR490+AQ490</f>
        <v>63</v>
      </c>
      <c r="AU490" s="16" t="n">
        <f aca="false">AO490+AF490+AI490+AH490+AG490</f>
        <v>371</v>
      </c>
      <c r="AV490" s="16" t="n">
        <f aca="false">(AO490+AF490+AI490+AH490+AG490)/5</f>
        <v>74.2</v>
      </c>
      <c r="AW490" s="36" t="n">
        <f aca="false">(AO490+AF490+AI490+AH490+AG490+X490+R490+Q490+K490+J490)</f>
        <v>725</v>
      </c>
      <c r="AX490" s="16" t="n">
        <f aca="false">AW490/10</f>
        <v>72.5</v>
      </c>
      <c r="AY490" s="16" t="n">
        <f aca="false">AS490+AF490+AM490+AH490+AG490+AB490+V490+Q490+O490+J490</f>
        <v>745.7</v>
      </c>
      <c r="AZ490" s="16" t="n">
        <f aca="false">AT490+AF490+AN490+AH490+AG490+AC490+W490+Q490+P490+J490</f>
        <v>749</v>
      </c>
      <c r="BA490" s="16" t="n">
        <f aca="false">AY490/10</f>
        <v>74.57</v>
      </c>
      <c r="BB490" s="16" t="n">
        <f aca="false">AZ490/10</f>
        <v>74.9</v>
      </c>
      <c r="BC490" s="16" t="n">
        <v>2344</v>
      </c>
      <c r="BD490" s="16" t="n">
        <f aca="false">RANK(AX490,$AX$2:$AX$881,0)</f>
        <v>716</v>
      </c>
      <c r="BE490" s="73" t="n">
        <f aca="false">((BC490*100)/2400)*0.4+(AX490*0.6)</f>
        <v>82.5666666666667</v>
      </c>
      <c r="BF490" s="16" t="n">
        <f aca="false">RANK(BE490,$BE$2:$BE$881,0)</f>
        <v>706</v>
      </c>
      <c r="BG490" s="39" t="n">
        <f aca="false">RANK(BB490,$BB$2:$BB$881,0)</f>
        <v>698</v>
      </c>
      <c r="BH490" s="39" t="n">
        <f aca="false">RANK(BC490,$BC$2:$BC$881,0)</f>
        <v>598</v>
      </c>
      <c r="BI490" s="22" t="s">
        <v>130</v>
      </c>
      <c r="BJ490" s="22" t="s">
        <v>129</v>
      </c>
      <c r="BK490" s="40" t="s">
        <v>702</v>
      </c>
      <c r="BL490" s="44" t="n">
        <v>20</v>
      </c>
      <c r="BM490" s="44" t="n">
        <v>58</v>
      </c>
      <c r="BN490" s="44" t="n">
        <v>78</v>
      </c>
      <c r="BO490" s="44" t="n">
        <v>24</v>
      </c>
      <c r="BP490" s="43" t="n">
        <v>63</v>
      </c>
      <c r="BQ490" s="44" t="n">
        <v>87</v>
      </c>
      <c r="BR490" s="44" t="n">
        <v>21</v>
      </c>
      <c r="BS490" s="45" t="n">
        <v>52</v>
      </c>
      <c r="BT490" s="45" t="n">
        <v>73</v>
      </c>
      <c r="BU490" s="46" t="n">
        <v>99</v>
      </c>
      <c r="BV490" s="42" t="n">
        <v>88</v>
      </c>
      <c r="BW490" s="44" t="n">
        <v>98</v>
      </c>
      <c r="BX490" s="48" t="n">
        <v>90</v>
      </c>
      <c r="BY490" s="25" t="n">
        <v>25</v>
      </c>
      <c r="BZ490" s="25" t="n">
        <v>59</v>
      </c>
      <c r="CA490" s="25" t="n">
        <v>84</v>
      </c>
      <c r="CB490" s="59" t="n">
        <v>21</v>
      </c>
      <c r="CC490" s="58" t="n">
        <v>34</v>
      </c>
      <c r="CD490" s="90" t="n">
        <v>55</v>
      </c>
      <c r="CE490" s="32" t="n">
        <v>24</v>
      </c>
      <c r="CF490" s="32" t="n">
        <v>42</v>
      </c>
      <c r="CG490" s="32" t="n">
        <v>66</v>
      </c>
      <c r="CH490" s="32" t="n">
        <v>80</v>
      </c>
      <c r="CI490" s="32" t="n">
        <v>93</v>
      </c>
      <c r="CJ490" s="49" t="n">
        <v>15</v>
      </c>
      <c r="CK490" s="49" t="n">
        <v>50</v>
      </c>
      <c r="CL490" s="84" t="n">
        <v>65</v>
      </c>
      <c r="CM490" s="49" t="n">
        <v>22</v>
      </c>
      <c r="CN490" s="49" t="n">
        <v>51</v>
      </c>
      <c r="CO490" s="49" t="n">
        <v>73</v>
      </c>
      <c r="CP490" s="25" t="n">
        <f aca="false">BX490+BW490+BV490+BU490+BT490+BQ490+BN490</f>
        <v>613</v>
      </c>
      <c r="CQ490" s="25" t="n">
        <f aca="false">CO490+CL490+CI490+CH490+CG490+CD490+CA490</f>
        <v>516</v>
      </c>
      <c r="CR490" s="26" t="n">
        <f aca="false">CP490/7</f>
        <v>87.5714285714286</v>
      </c>
      <c r="CS490" s="26" t="n">
        <f aca="false">CQ490/7</f>
        <v>73.7142857142857</v>
      </c>
      <c r="CT490" s="24" t="n">
        <f aca="false">RANK(CR490,$CR$2:$CR$881,0)</f>
        <v>329</v>
      </c>
      <c r="CU490" s="25" t="n">
        <f aca="false">RANK(CS490,$CS$2:$CS$881,0)</f>
        <v>465</v>
      </c>
      <c r="CV490" s="26" t="n">
        <f aca="false">(CS490+CR490)/2</f>
        <v>80.6428571428571</v>
      </c>
      <c r="CW490" s="25" t="n">
        <f aca="false">RANK(CV490,$CV$2:$CV$881,0)</f>
        <v>402</v>
      </c>
      <c r="CX490" s="50" t="n">
        <f aca="false">(CV490+BB490)/2</f>
        <v>77.7714285714286</v>
      </c>
      <c r="CY490" s="50" t="n">
        <v>492</v>
      </c>
      <c r="CZ490" s="27" t="s">
        <v>132</v>
      </c>
      <c r="DA490" s="27" t="s">
        <v>175</v>
      </c>
      <c r="DB490" s="27" t="s">
        <v>175</v>
      </c>
      <c r="DC490" s="27" t="s">
        <v>134</v>
      </c>
      <c r="DD490" s="27" t="s">
        <v>195</v>
      </c>
      <c r="DE490" s="27" t="s">
        <v>313</v>
      </c>
      <c r="DF490" s="27" t="s">
        <v>486</v>
      </c>
      <c r="DG490" s="27" t="s">
        <v>134</v>
      </c>
      <c r="DH490" s="27" t="s">
        <v>137</v>
      </c>
      <c r="DI490" s="27" t="s">
        <v>220</v>
      </c>
      <c r="DJ490" s="27" t="s">
        <v>205</v>
      </c>
      <c r="DK490" s="27" t="s">
        <v>134</v>
      </c>
      <c r="DL490" s="27" t="s">
        <v>135</v>
      </c>
      <c r="DM490" s="27" t="s">
        <v>479</v>
      </c>
      <c r="DN490" s="27" t="s">
        <v>152</v>
      </c>
      <c r="DO490" s="27" t="s">
        <v>134</v>
      </c>
      <c r="DP490" s="27" t="s">
        <v>718</v>
      </c>
      <c r="DQ490" s="27" t="s">
        <v>375</v>
      </c>
      <c r="DR490" s="27" t="s">
        <v>203</v>
      </c>
      <c r="DS490" s="27" t="s">
        <v>134</v>
      </c>
      <c r="DT490" s="27" t="s">
        <v>135</v>
      </c>
      <c r="DU490" s="27" t="s">
        <v>1064</v>
      </c>
      <c r="DV490" s="27" t="s">
        <v>161</v>
      </c>
      <c r="DW490" s="27" t="s">
        <v>164</v>
      </c>
      <c r="DX490" s="27" t="s">
        <v>136</v>
      </c>
      <c r="DY490" s="27" t="s">
        <v>153</v>
      </c>
      <c r="DZ490" s="27" t="n">
        <f aca="false">DY490+DV490+DR490+DN490+DJ490+DF490+DB490</f>
        <v>517</v>
      </c>
      <c r="EA490" s="28" t="n">
        <f aca="false">DZ490/7</f>
        <v>73.8571428571429</v>
      </c>
      <c r="EB490" s="27" t="n">
        <f aca="false">RANK(EA490,$EA$2:$EA$881,0)</f>
        <v>567</v>
      </c>
      <c r="EC490" s="29" t="n">
        <f aca="false">DZ490+CQ490+CP490+AZ490</f>
        <v>2395</v>
      </c>
      <c r="ED490" s="30" t="n">
        <f aca="false">(EA490+CV490+BB490)/3</f>
        <v>76.4666666666667</v>
      </c>
      <c r="EE490" s="51" t="n">
        <f aca="false">ROUND(BE490,3)</f>
        <v>82.567</v>
      </c>
      <c r="EF490" s="51" t="n">
        <f aca="false">ROUND(CR490,3)</f>
        <v>87.571</v>
      </c>
      <c r="EG490" s="51" t="n">
        <f aca="false">ROUND(CS490,3)</f>
        <v>73.714</v>
      </c>
      <c r="EH490" s="51" t="n">
        <f aca="false">ROUND(EA490,3)</f>
        <v>73.857</v>
      </c>
      <c r="EI490" s="51" t="n">
        <f aca="false">ROUND(ED490,3)</f>
        <v>76.467</v>
      </c>
      <c r="EJ490" s="51" t="n">
        <f aca="false">ROUND(CV490,3)</f>
        <v>80.643</v>
      </c>
      <c r="EK490" s="0" t="n">
        <f aca="false">RANK(EI490,$EI$2:$EI$881,0)</f>
        <v>489</v>
      </c>
    </row>
    <row r="491" customFormat="false" ht="15" hidden="false" customHeight="false" outlineLevel="0" collapsed="false">
      <c r="A491" s="4" t="n">
        <v>9123</v>
      </c>
      <c r="B491" s="4" t="n">
        <v>9</v>
      </c>
      <c r="C491" s="27" t="s">
        <v>1510</v>
      </c>
      <c r="D491" s="52" t="n">
        <v>11</v>
      </c>
      <c r="E491" s="32" t="n">
        <v>230312716</v>
      </c>
      <c r="F491" s="8" t="s">
        <v>1511</v>
      </c>
      <c r="G491" s="22" t="s">
        <v>1241</v>
      </c>
      <c r="H491" s="22" t="s">
        <v>129</v>
      </c>
      <c r="I491" s="33" t="n">
        <v>2006</v>
      </c>
      <c r="J491" s="32" t="n">
        <v>89</v>
      </c>
      <c r="K491" s="32" t="n">
        <v>82</v>
      </c>
      <c r="L491" s="34" t="n">
        <f aca="false">(K491*70)/100</f>
        <v>57.4</v>
      </c>
      <c r="M491" s="34" t="n">
        <f aca="false">ROUNDUP(L491,0)</f>
        <v>58</v>
      </c>
      <c r="N491" s="32" t="n">
        <v>19</v>
      </c>
      <c r="O491" s="34" t="n">
        <f aca="false">N491+L491</f>
        <v>76.4</v>
      </c>
      <c r="P491" s="34" t="n">
        <f aca="false">N491+M491</f>
        <v>77</v>
      </c>
      <c r="Q491" s="32" t="n">
        <v>81</v>
      </c>
      <c r="R491" s="32" t="n">
        <v>77</v>
      </c>
      <c r="S491" s="34" t="n">
        <f aca="false">(R491*70)/100</f>
        <v>53.9</v>
      </c>
      <c r="T491" s="34" t="n">
        <f aca="false">ROUNDUP(S491,0)</f>
        <v>54</v>
      </c>
      <c r="U491" s="32" t="n">
        <v>19</v>
      </c>
      <c r="V491" s="34" t="n">
        <f aca="false">U491+S491</f>
        <v>72.9</v>
      </c>
      <c r="W491" s="34" t="n">
        <f aca="false">U491+T491</f>
        <v>73</v>
      </c>
      <c r="X491" s="32" t="n">
        <v>65</v>
      </c>
      <c r="Y491" s="34" t="n">
        <f aca="false">(X491*70)/100</f>
        <v>45.5</v>
      </c>
      <c r="Z491" s="34" t="n">
        <f aca="false">ROUNDUP(Y491,0)</f>
        <v>46</v>
      </c>
      <c r="AA491" s="32" t="n">
        <v>25</v>
      </c>
      <c r="AB491" s="34" t="n">
        <f aca="false">AA491+Y491</f>
        <v>70.5</v>
      </c>
      <c r="AC491" s="34" t="n">
        <f aca="false">AA491+Z491</f>
        <v>71</v>
      </c>
      <c r="AD491" s="32" t="n">
        <f aca="false">X491+R491+Q491+K491+J491</f>
        <v>394</v>
      </c>
      <c r="AE491" s="16" t="n">
        <f aca="false">AD491/5</f>
        <v>78.8</v>
      </c>
      <c r="AF491" s="16" t="n">
        <v>71</v>
      </c>
      <c r="AG491" s="16" t="n">
        <v>94</v>
      </c>
      <c r="AH491" s="16" t="n">
        <v>94</v>
      </c>
      <c r="AI491" s="16" t="n">
        <v>89</v>
      </c>
      <c r="AJ491" s="16" t="n">
        <f aca="false">(AI491*70)/100</f>
        <v>62.3</v>
      </c>
      <c r="AK491" s="35" t="n">
        <f aca="false">ROUNDUP(AJ491,0)</f>
        <v>63</v>
      </c>
      <c r="AL491" s="16" t="n">
        <v>23</v>
      </c>
      <c r="AM491" s="16" t="n">
        <f aca="false">AL491+AJ491</f>
        <v>85.3</v>
      </c>
      <c r="AN491" s="16" t="n">
        <f aca="false">AL491+AK491</f>
        <v>86</v>
      </c>
      <c r="AO491" s="16" t="n">
        <v>83</v>
      </c>
      <c r="AP491" s="36" t="n">
        <f aca="false">(AO491*70)/100</f>
        <v>58.1</v>
      </c>
      <c r="AQ491" s="37" t="n">
        <f aca="false">ROUNDUP(AP491,0)</f>
        <v>59</v>
      </c>
      <c r="AR491" s="16" t="n">
        <v>28</v>
      </c>
      <c r="AS491" s="16" t="n">
        <f aca="false">AR491+AP491</f>
        <v>86.1</v>
      </c>
      <c r="AT491" s="16" t="n">
        <f aca="false">AR491+AQ491</f>
        <v>87</v>
      </c>
      <c r="AU491" s="16" t="n">
        <f aca="false">AO491+AF491+AI491+AH491+AG491</f>
        <v>431</v>
      </c>
      <c r="AV491" s="16" t="n">
        <f aca="false">(AO491+AF491+AI491+AH491+AG491)/5</f>
        <v>86.2</v>
      </c>
      <c r="AW491" s="36" t="n">
        <f aca="false">(AO491+AF491+AI491+AH491+AG491+X491+R491+Q491+K491+J491)</f>
        <v>825</v>
      </c>
      <c r="AX491" s="16" t="n">
        <f aca="false">AW491/10</f>
        <v>82.5</v>
      </c>
      <c r="AY491" s="16" t="n">
        <f aca="false">AS491+AF491+AM491+AH491+AG491+AB491+V491+Q491+O491+J491</f>
        <v>820.2</v>
      </c>
      <c r="AZ491" s="16" t="n">
        <f aca="false">AT491+AF491+AN491+AH491+AG491+AC491+W491+Q491+P491+J491</f>
        <v>823</v>
      </c>
      <c r="BA491" s="16" t="n">
        <f aca="false">AY491/10</f>
        <v>82.02</v>
      </c>
      <c r="BB491" s="16" t="n">
        <f aca="false">AZ491/10</f>
        <v>82.3</v>
      </c>
      <c r="BC491" s="16" t="n">
        <v>2357</v>
      </c>
      <c r="BD491" s="16" t="n">
        <f aca="false">RANK(AX491,$AX$2:$AX$881,0)</f>
        <v>141</v>
      </c>
      <c r="BE491" s="54" t="n">
        <f aca="false">((BC491*100)/2400)*0.4+(AX491*0.6)</f>
        <v>88.7833333333333</v>
      </c>
      <c r="BF491" s="16" t="n">
        <f aca="false">RANK(BE491,$BE$2:$BE$881,0)</f>
        <v>145</v>
      </c>
      <c r="BG491" s="39" t="n">
        <f aca="false">RANK(BB491,$BB$2:$BB$881,0)</f>
        <v>193</v>
      </c>
      <c r="BH491" s="39" t="n">
        <f aca="false">RANK(BC491,$BC$2:$BC$881,0)</f>
        <v>444</v>
      </c>
      <c r="BI491" s="22" t="s">
        <v>130</v>
      </c>
      <c r="BJ491" s="22" t="s">
        <v>129</v>
      </c>
      <c r="BK491" s="40" t="s">
        <v>131</v>
      </c>
      <c r="BL491" s="41" t="n">
        <v>18</v>
      </c>
      <c r="BM491" s="41" t="n">
        <v>53</v>
      </c>
      <c r="BN491" s="41" t="n">
        <v>71</v>
      </c>
      <c r="BO491" s="42" t="n">
        <v>16</v>
      </c>
      <c r="BP491" s="53" t="n">
        <v>60</v>
      </c>
      <c r="BQ491" s="44" t="n">
        <v>76</v>
      </c>
      <c r="BR491" s="42" t="n">
        <v>22</v>
      </c>
      <c r="BS491" s="45" t="n">
        <v>53</v>
      </c>
      <c r="BT491" s="45" t="n">
        <v>75</v>
      </c>
      <c r="BU491" s="46" t="n">
        <v>100</v>
      </c>
      <c r="BV491" s="47" t="n">
        <v>78</v>
      </c>
      <c r="BW491" s="42" t="n">
        <v>100</v>
      </c>
      <c r="BX491" s="48" t="n">
        <v>88</v>
      </c>
      <c r="BY491" s="32" t="n">
        <v>20</v>
      </c>
      <c r="BZ491" s="32" t="n">
        <v>51</v>
      </c>
      <c r="CA491" s="32" t="n">
        <v>71</v>
      </c>
      <c r="CB491" s="32" t="n">
        <v>25</v>
      </c>
      <c r="CC491" s="32" t="n">
        <v>36</v>
      </c>
      <c r="CD491" s="32" t="n">
        <v>61</v>
      </c>
      <c r="CE491" s="32" t="n">
        <v>24</v>
      </c>
      <c r="CF491" s="32" t="n">
        <v>46</v>
      </c>
      <c r="CG491" s="32" t="n">
        <v>70</v>
      </c>
      <c r="CH491" s="32" t="n">
        <v>96</v>
      </c>
      <c r="CI491" s="32" t="n">
        <v>99</v>
      </c>
      <c r="CJ491" s="49" t="n">
        <v>18</v>
      </c>
      <c r="CK491" s="49" t="n">
        <v>42</v>
      </c>
      <c r="CL491" s="49" t="n">
        <v>60</v>
      </c>
      <c r="CM491" s="49" t="n">
        <v>21</v>
      </c>
      <c r="CN491" s="49" t="n">
        <v>51</v>
      </c>
      <c r="CO491" s="49" t="n">
        <v>72</v>
      </c>
      <c r="CP491" s="25" t="n">
        <f aca="false">BX491+BW491+BV491+BU491+BT491+BQ491+BN491</f>
        <v>588</v>
      </c>
      <c r="CQ491" s="25" t="n">
        <f aca="false">CO491+CL491+CI491+CH491+CG491+CD491+CA491</f>
        <v>529</v>
      </c>
      <c r="CR491" s="26" t="n">
        <f aca="false">CP491/7</f>
        <v>84</v>
      </c>
      <c r="CS491" s="26" t="n">
        <f aca="false">CQ491/7</f>
        <v>75.5714285714286</v>
      </c>
      <c r="CT491" s="24" t="n">
        <f aca="false">RANK(CR491,$CR$2:$CR$881,0)</f>
        <v>487</v>
      </c>
      <c r="CU491" s="25" t="n">
        <f aca="false">RANK(CS491,$CS$2:$CS$881,0)</f>
        <v>412</v>
      </c>
      <c r="CV491" s="26" t="n">
        <f aca="false">(CS491+CR491)/2</f>
        <v>79.7857142857143</v>
      </c>
      <c r="CW491" s="25" t="n">
        <f aca="false">RANK(CV491,$CV$2:$CV$881,0)</f>
        <v>437</v>
      </c>
      <c r="CX491" s="50" t="n">
        <f aca="false">(CV491+BB491)/2</f>
        <v>81.0428571428571</v>
      </c>
      <c r="CY491" s="50" t="n">
        <v>315</v>
      </c>
      <c r="CZ491" s="27" t="s">
        <v>132</v>
      </c>
      <c r="DA491" s="27" t="s">
        <v>175</v>
      </c>
      <c r="DB491" s="27" t="s">
        <v>175</v>
      </c>
      <c r="DC491" s="27" t="s">
        <v>134</v>
      </c>
      <c r="DD491" s="27" t="s">
        <v>174</v>
      </c>
      <c r="DE491" s="27" t="s">
        <v>306</v>
      </c>
      <c r="DF491" s="27" t="s">
        <v>382</v>
      </c>
      <c r="DG491" s="27" t="s">
        <v>134</v>
      </c>
      <c r="DH491" s="27" t="s">
        <v>191</v>
      </c>
      <c r="DI491" s="27" t="s">
        <v>183</v>
      </c>
      <c r="DJ491" s="27" t="s">
        <v>305</v>
      </c>
      <c r="DK491" s="27" t="s">
        <v>134</v>
      </c>
      <c r="DL491" s="27" t="s">
        <v>154</v>
      </c>
      <c r="DM491" s="27" t="s">
        <v>442</v>
      </c>
      <c r="DN491" s="27" t="s">
        <v>398</v>
      </c>
      <c r="DO491" s="27" t="s">
        <v>134</v>
      </c>
      <c r="DP491" s="27"/>
      <c r="DQ491" s="27"/>
      <c r="DR491" s="27"/>
      <c r="DS491" s="27"/>
      <c r="DT491" s="27" t="s">
        <v>154</v>
      </c>
      <c r="DU491" s="27" t="s">
        <v>399</v>
      </c>
      <c r="DV491" s="27" t="s">
        <v>416</v>
      </c>
      <c r="DW491" s="27" t="s">
        <v>195</v>
      </c>
      <c r="DX491" s="27" t="s">
        <v>141</v>
      </c>
      <c r="DY491" s="27" t="s">
        <v>133</v>
      </c>
      <c r="DZ491" s="27" t="n">
        <f aca="false">DY491+DV491+DR491+DN491+DJ491+DF491+DB491</f>
        <v>471</v>
      </c>
      <c r="EA491" s="28" t="n">
        <f aca="false">DZ491/7</f>
        <v>67.2857142857143</v>
      </c>
      <c r="EB491" s="27" t="n">
        <f aca="false">RANK(EA491,$EA$2:$EA$881,0)</f>
        <v>702</v>
      </c>
      <c r="EC491" s="29" t="n">
        <f aca="false">DZ491+CQ491+CP491+AZ491</f>
        <v>2411</v>
      </c>
      <c r="ED491" s="30" t="n">
        <f aca="false">(EA491+CV491+BB491)/3</f>
        <v>76.4571428571429</v>
      </c>
      <c r="EE491" s="51" t="n">
        <f aca="false">ROUND(BE491,3)</f>
        <v>88.783</v>
      </c>
      <c r="EF491" s="51" t="n">
        <f aca="false">ROUND(CR491,3)</f>
        <v>84</v>
      </c>
      <c r="EG491" s="51" t="n">
        <f aca="false">ROUND(CS491,3)</f>
        <v>75.571</v>
      </c>
      <c r="EH491" s="51" t="n">
        <f aca="false">ROUND(EA491,3)</f>
        <v>67.286</v>
      </c>
      <c r="EI491" s="51" t="n">
        <f aca="false">ROUND(ED491,3)</f>
        <v>76.457</v>
      </c>
      <c r="EJ491" s="51" t="n">
        <f aca="false">ROUND(CV491,3)</f>
        <v>79.786</v>
      </c>
      <c r="EK491" s="0" t="n">
        <f aca="false">RANK(EI491,$EI$2:$EI$881,0)</f>
        <v>490</v>
      </c>
    </row>
    <row r="492" customFormat="false" ht="16.85" hidden="false" customHeight="false" outlineLevel="0" collapsed="false">
      <c r="A492" s="4" t="n">
        <v>8864</v>
      </c>
      <c r="B492" s="4" t="n">
        <v>436</v>
      </c>
      <c r="C492" s="27" t="s">
        <v>1512</v>
      </c>
      <c r="D492" s="31" t="n">
        <v>441</v>
      </c>
      <c r="E492" s="32" t="n">
        <v>230320635</v>
      </c>
      <c r="F492" s="8" t="s">
        <v>1513</v>
      </c>
      <c r="G492" s="22" t="s">
        <v>1514</v>
      </c>
      <c r="H492" s="22" t="s">
        <v>129</v>
      </c>
      <c r="I492" s="33" t="n">
        <v>2005</v>
      </c>
      <c r="J492" s="68" t="n">
        <v>56</v>
      </c>
      <c r="K492" s="32" t="n">
        <v>47</v>
      </c>
      <c r="L492" s="34" t="n">
        <f aca="false">(K492*70)/100</f>
        <v>32.9</v>
      </c>
      <c r="M492" s="34" t="n">
        <f aca="false">ROUNDUP(L492,0)</f>
        <v>33</v>
      </c>
      <c r="N492" s="32" t="n">
        <v>23</v>
      </c>
      <c r="O492" s="34" t="n">
        <f aca="false">N492+L492</f>
        <v>55.9</v>
      </c>
      <c r="P492" s="91" t="n">
        <f aca="false">N492+M492</f>
        <v>56</v>
      </c>
      <c r="Q492" s="68" t="n">
        <v>56</v>
      </c>
      <c r="R492" s="32" t="n">
        <v>57</v>
      </c>
      <c r="S492" s="34" t="n">
        <f aca="false">(R492*70)/100</f>
        <v>39.9</v>
      </c>
      <c r="T492" s="34" t="n">
        <f aca="false">ROUNDUP(S492,0)</f>
        <v>40</v>
      </c>
      <c r="U492" s="32" t="n">
        <v>20</v>
      </c>
      <c r="V492" s="34" t="n">
        <f aca="false">U492+S492</f>
        <v>59.9</v>
      </c>
      <c r="W492" s="34" t="n">
        <f aca="false">U492+T492</f>
        <v>60</v>
      </c>
      <c r="X492" s="32" t="n">
        <v>59</v>
      </c>
      <c r="Y492" s="34" t="n">
        <f aca="false">(X492*70)/100</f>
        <v>41.3</v>
      </c>
      <c r="Z492" s="34" t="n">
        <f aca="false">ROUNDUP(Y492,0)</f>
        <v>42</v>
      </c>
      <c r="AA492" s="32" t="n">
        <v>24</v>
      </c>
      <c r="AB492" s="34" t="n">
        <f aca="false">AA492+Y492</f>
        <v>65.3</v>
      </c>
      <c r="AC492" s="34" t="n">
        <f aca="false">AA492+Z492</f>
        <v>66</v>
      </c>
      <c r="AD492" s="32" t="n">
        <f aca="false">X492+R492+Q492+K492+J492</f>
        <v>275</v>
      </c>
      <c r="AE492" s="16" t="n">
        <f aca="false">AD492/5</f>
        <v>55</v>
      </c>
      <c r="AF492" s="16" t="n">
        <v>79</v>
      </c>
      <c r="AG492" s="16" t="n">
        <v>83</v>
      </c>
      <c r="AH492" s="16" t="n">
        <v>78</v>
      </c>
      <c r="AI492" s="16" t="n">
        <v>89</v>
      </c>
      <c r="AJ492" s="16" t="n">
        <f aca="false">(AI492*70)/100</f>
        <v>62.3</v>
      </c>
      <c r="AK492" s="35" t="n">
        <f aca="false">ROUNDUP(AJ492,0)</f>
        <v>63</v>
      </c>
      <c r="AL492" s="16" t="n">
        <v>24</v>
      </c>
      <c r="AM492" s="16" t="n">
        <f aca="false">AL492+AJ492</f>
        <v>86.3</v>
      </c>
      <c r="AN492" s="16" t="n">
        <f aca="false">AL492+AK492</f>
        <v>87</v>
      </c>
      <c r="AO492" s="16" t="n">
        <v>77</v>
      </c>
      <c r="AP492" s="36" t="n">
        <f aca="false">(AO492*70)/100</f>
        <v>53.9</v>
      </c>
      <c r="AQ492" s="37" t="n">
        <f aca="false">ROUNDUP(AP492,0)</f>
        <v>54</v>
      </c>
      <c r="AR492" s="16" t="n">
        <v>29</v>
      </c>
      <c r="AS492" s="16" t="n">
        <f aca="false">AR492+AP492</f>
        <v>82.9</v>
      </c>
      <c r="AT492" s="16" t="n">
        <f aca="false">AR492+AQ492</f>
        <v>83</v>
      </c>
      <c r="AU492" s="16" t="n">
        <f aca="false">AO492+AF492+AI492+AH492+AG492</f>
        <v>406</v>
      </c>
      <c r="AV492" s="16" t="n">
        <f aca="false">(AO492+AF492+AI492+AH492+AG492)/5</f>
        <v>81.2</v>
      </c>
      <c r="AW492" s="36" t="n">
        <f aca="false">(AO492+AF492+AI492+AH492+AG492+X492+R492+Q492+K492+J492)</f>
        <v>681</v>
      </c>
      <c r="AX492" s="16" t="n">
        <f aca="false">AW492/10</f>
        <v>68.1</v>
      </c>
      <c r="AY492" s="16" t="n">
        <f aca="false">AS492+AF492+AM492+AH492+AG492+AB492+V492+Q492+O492+J492</f>
        <v>702.3</v>
      </c>
      <c r="AZ492" s="16" t="n">
        <f aca="false">AT492+AF492+AN492+AH492+AG492+AC492+W492+Q492+P492+J492</f>
        <v>704</v>
      </c>
      <c r="BA492" s="16" t="n">
        <f aca="false">AY492/10</f>
        <v>70.23</v>
      </c>
      <c r="BB492" s="16" t="n">
        <f aca="false">AZ492/10</f>
        <v>70.4</v>
      </c>
      <c r="BC492" s="16" t="n">
        <v>2338</v>
      </c>
      <c r="BD492" s="16" t="n">
        <f aca="false">RANK(AX492,$AX$2:$AX$881,0)</f>
        <v>749</v>
      </c>
      <c r="BE492" s="78" t="n">
        <f aca="false">((BC492*100)/2400)*0.4+(AX492*0.6)</f>
        <v>79.8266666666667</v>
      </c>
      <c r="BF492" s="16" t="n">
        <f aca="false">RANK(BE492,$BE$2:$BE$881,0)</f>
        <v>732</v>
      </c>
      <c r="BG492" s="39" t="n">
        <f aca="false">RANK(BB492,$BB$2:$BB$881,0)</f>
        <v>742</v>
      </c>
      <c r="BH492" s="39" t="n">
        <f aca="false">RANK(BC492,$BC$2:$BC$881,0)</f>
        <v>649</v>
      </c>
      <c r="BI492" s="22" t="s">
        <v>130</v>
      </c>
      <c r="BJ492" s="22" t="s">
        <v>129</v>
      </c>
      <c r="BK492" s="40" t="s">
        <v>702</v>
      </c>
      <c r="BL492" s="41" t="n">
        <v>15</v>
      </c>
      <c r="BM492" s="41" t="n">
        <v>57</v>
      </c>
      <c r="BN492" s="41" t="n">
        <v>72</v>
      </c>
      <c r="BO492" s="42" t="n">
        <v>21</v>
      </c>
      <c r="BP492" s="43" t="n">
        <v>62</v>
      </c>
      <c r="BQ492" s="44" t="n">
        <v>83</v>
      </c>
      <c r="BR492" s="42" t="n">
        <v>22</v>
      </c>
      <c r="BS492" s="45" t="n">
        <v>61</v>
      </c>
      <c r="BT492" s="45" t="n">
        <v>83</v>
      </c>
      <c r="BU492" s="46" t="n">
        <v>99</v>
      </c>
      <c r="BV492" s="47" t="n">
        <v>86</v>
      </c>
      <c r="BW492" s="42" t="n">
        <v>95</v>
      </c>
      <c r="BX492" s="48" t="n">
        <v>84</v>
      </c>
      <c r="BY492" s="32" t="n">
        <v>25</v>
      </c>
      <c r="BZ492" s="32" t="n">
        <v>55</v>
      </c>
      <c r="CA492" s="32" t="n">
        <v>80</v>
      </c>
      <c r="CB492" s="32" t="n">
        <v>22</v>
      </c>
      <c r="CC492" s="32" t="n">
        <v>39</v>
      </c>
      <c r="CD492" s="32" t="n">
        <v>61</v>
      </c>
      <c r="CE492" s="32" t="n">
        <v>26</v>
      </c>
      <c r="CF492" s="32" t="n">
        <v>42</v>
      </c>
      <c r="CG492" s="32" t="n">
        <v>68</v>
      </c>
      <c r="CH492" s="32" t="n">
        <v>99</v>
      </c>
      <c r="CI492" s="32" t="n">
        <v>95</v>
      </c>
      <c r="CJ492" s="49" t="n">
        <v>20</v>
      </c>
      <c r="CK492" s="49" t="n">
        <v>49</v>
      </c>
      <c r="CL492" s="49" t="n">
        <v>69</v>
      </c>
      <c r="CM492" s="49" t="n">
        <v>21</v>
      </c>
      <c r="CN492" s="49" t="n">
        <v>43</v>
      </c>
      <c r="CO492" s="49" t="n">
        <v>64</v>
      </c>
      <c r="CP492" s="25" t="n">
        <f aca="false">BX492+BW492+BV492+BU492+BT492+BQ492+BN492</f>
        <v>602</v>
      </c>
      <c r="CQ492" s="25" t="n">
        <f aca="false">CO492+CL492+CI492+CH492+CG492+CD492+CA492</f>
        <v>536</v>
      </c>
      <c r="CR492" s="26" t="n">
        <f aca="false">CP492/7</f>
        <v>86</v>
      </c>
      <c r="CS492" s="26" t="n">
        <f aca="false">CQ492/7</f>
        <v>76.5714285714286</v>
      </c>
      <c r="CT492" s="24" t="n">
        <f aca="false">RANK(CR492,$CR$2:$CR$881,0)</f>
        <v>403</v>
      </c>
      <c r="CU492" s="25" t="n">
        <f aca="false">RANK(CS492,$CS$2:$CS$881,0)</f>
        <v>382</v>
      </c>
      <c r="CV492" s="26" t="n">
        <f aca="false">(CS492+CR492)/2</f>
        <v>81.2857142857143</v>
      </c>
      <c r="CW492" s="25" t="n">
        <f aca="false">RANK(CV492,$CV$2:$CV$881,0)</f>
        <v>369</v>
      </c>
      <c r="CX492" s="50" t="n">
        <f aca="false">(CV492+BB492)/2</f>
        <v>75.8428571428571</v>
      </c>
      <c r="CY492" s="50" t="n">
        <v>536</v>
      </c>
      <c r="CZ492" s="27" t="s">
        <v>132</v>
      </c>
      <c r="DA492" s="27" t="s">
        <v>219</v>
      </c>
      <c r="DB492" s="27" t="s">
        <v>219</v>
      </c>
      <c r="DC492" s="27" t="s">
        <v>134</v>
      </c>
      <c r="DD492" s="27" t="s">
        <v>164</v>
      </c>
      <c r="DE492" s="27" t="s">
        <v>313</v>
      </c>
      <c r="DF492" s="27" t="s">
        <v>272</v>
      </c>
      <c r="DG492" s="27" t="s">
        <v>134</v>
      </c>
      <c r="DH492" s="27" t="s">
        <v>135</v>
      </c>
      <c r="DI492" s="27" t="s">
        <v>304</v>
      </c>
      <c r="DJ492" s="27" t="s">
        <v>272</v>
      </c>
      <c r="DK492" s="27" t="s">
        <v>134</v>
      </c>
      <c r="DL492" s="27" t="s">
        <v>174</v>
      </c>
      <c r="DM492" s="27" t="s">
        <v>304</v>
      </c>
      <c r="DN492" s="27" t="s">
        <v>443</v>
      </c>
      <c r="DO492" s="27" t="s">
        <v>134</v>
      </c>
      <c r="DP492" s="27" t="s">
        <v>174</v>
      </c>
      <c r="DQ492" s="27" t="s">
        <v>375</v>
      </c>
      <c r="DR492" s="27" t="s">
        <v>398</v>
      </c>
      <c r="DS492" s="27" t="s">
        <v>134</v>
      </c>
      <c r="DT492" s="27" t="s">
        <v>154</v>
      </c>
      <c r="DU492" s="27" t="s">
        <v>989</v>
      </c>
      <c r="DV492" s="27" t="s">
        <v>163</v>
      </c>
      <c r="DW492" s="27" t="s">
        <v>164</v>
      </c>
      <c r="DX492" s="27" t="s">
        <v>163</v>
      </c>
      <c r="DY492" s="27" t="s">
        <v>176</v>
      </c>
      <c r="DZ492" s="27" t="n">
        <f aca="false">DY492+DV492+DR492+DN492+DJ492+DF492+DB492</f>
        <v>543</v>
      </c>
      <c r="EA492" s="28" t="n">
        <f aca="false">DZ492/7</f>
        <v>77.5714285714286</v>
      </c>
      <c r="EB492" s="27" t="n">
        <f aca="false">RANK(EA492,$EA$2:$EA$881,0)</f>
        <v>475</v>
      </c>
      <c r="EC492" s="29" t="n">
        <f aca="false">DZ492+CQ492+CP492+AZ492</f>
        <v>2385</v>
      </c>
      <c r="ED492" s="30" t="n">
        <f aca="false">(EA492+CV492+BB492)/3</f>
        <v>76.4190476190476</v>
      </c>
      <c r="EE492" s="51" t="n">
        <f aca="false">ROUND(BE492,3)</f>
        <v>79.827</v>
      </c>
      <c r="EF492" s="51" t="n">
        <f aca="false">ROUND(CR492,3)</f>
        <v>86</v>
      </c>
      <c r="EG492" s="51" t="n">
        <f aca="false">ROUND(CS492,3)</f>
        <v>76.571</v>
      </c>
      <c r="EH492" s="51" t="n">
        <f aca="false">ROUND(EA492,3)</f>
        <v>77.571</v>
      </c>
      <c r="EI492" s="51" t="n">
        <f aca="false">ROUND(ED492,3)</f>
        <v>76.419</v>
      </c>
      <c r="EJ492" s="51" t="n">
        <f aca="false">ROUND(CV492,3)</f>
        <v>81.286</v>
      </c>
      <c r="EK492" s="0" t="n">
        <f aca="false">RANK(EI492,$EI$2:$EI$881,0)</f>
        <v>491</v>
      </c>
    </row>
    <row r="493" customFormat="false" ht="15" hidden="false" customHeight="false" outlineLevel="0" collapsed="false">
      <c r="A493" s="4" t="n">
        <v>2098</v>
      </c>
      <c r="B493" s="4" t="n">
        <v>373</v>
      </c>
      <c r="C493" s="27" t="s">
        <v>1515</v>
      </c>
      <c r="D493" s="31" t="n">
        <v>378</v>
      </c>
      <c r="E493" s="16" t="n">
        <v>234300122</v>
      </c>
      <c r="F493" s="56" t="s">
        <v>1516</v>
      </c>
      <c r="G493" s="22" t="s">
        <v>515</v>
      </c>
      <c r="H493" s="22" t="s">
        <v>129</v>
      </c>
      <c r="I493" s="57"/>
      <c r="J493" s="120" t="n">
        <v>57</v>
      </c>
      <c r="K493" s="16" t="n">
        <v>64</v>
      </c>
      <c r="L493" s="34" t="n">
        <f aca="false">(K493*70)/100</f>
        <v>44.8</v>
      </c>
      <c r="M493" s="34" t="n">
        <f aca="false">ROUNDUP(L493,0)</f>
        <v>45</v>
      </c>
      <c r="N493" s="16" t="n">
        <v>25</v>
      </c>
      <c r="O493" s="34" t="n">
        <f aca="false">N493+L493</f>
        <v>69.8</v>
      </c>
      <c r="P493" s="34" t="n">
        <f aca="false">N493+M493</f>
        <v>70</v>
      </c>
      <c r="Q493" s="16" t="n">
        <v>69</v>
      </c>
      <c r="R493" s="16" t="n">
        <v>58</v>
      </c>
      <c r="S493" s="34" t="n">
        <f aca="false">(R493*70)/100</f>
        <v>40.6</v>
      </c>
      <c r="T493" s="34" t="n">
        <f aca="false">ROUNDUP(S493,0)</f>
        <v>41</v>
      </c>
      <c r="U493" s="16" t="n">
        <v>21</v>
      </c>
      <c r="V493" s="34" t="n">
        <f aca="false">U493+S493</f>
        <v>61.6</v>
      </c>
      <c r="W493" s="34" t="n">
        <f aca="false">U493+T493</f>
        <v>62</v>
      </c>
      <c r="X493" s="16" t="n">
        <v>49</v>
      </c>
      <c r="Y493" s="34" t="n">
        <f aca="false">(X493*70)/100</f>
        <v>34.3</v>
      </c>
      <c r="Z493" s="34" t="n">
        <f aca="false">ROUNDUP(Y493,0)</f>
        <v>35</v>
      </c>
      <c r="AA493" s="16" t="n">
        <v>24</v>
      </c>
      <c r="AB493" s="34" t="n">
        <f aca="false">AA493+Y493</f>
        <v>58.3</v>
      </c>
      <c r="AC493" s="91" t="n">
        <f aca="false">AA493+Z493</f>
        <v>59</v>
      </c>
      <c r="AD493" s="32" t="n">
        <f aca="false">X493+R493+Q493+K493+J493</f>
        <v>297</v>
      </c>
      <c r="AE493" s="16" t="n">
        <f aca="false">AD493/5</f>
        <v>59.4</v>
      </c>
      <c r="AF493" s="71" t="n">
        <v>51</v>
      </c>
      <c r="AG493" s="16" t="n">
        <v>73</v>
      </c>
      <c r="AH493" s="16" t="n">
        <v>71</v>
      </c>
      <c r="AI493" s="16" t="n">
        <v>93</v>
      </c>
      <c r="AJ493" s="16" t="n">
        <f aca="false">(AI493*70)/100</f>
        <v>65.1</v>
      </c>
      <c r="AK493" s="35" t="n">
        <f aca="false">ROUNDUP(AJ493,0)</f>
        <v>66</v>
      </c>
      <c r="AL493" s="16" t="n">
        <v>27</v>
      </c>
      <c r="AM493" s="16" t="n">
        <f aca="false">AL493+AJ493</f>
        <v>92.1</v>
      </c>
      <c r="AN493" s="16" t="n">
        <f aca="false">AL493+AK493</f>
        <v>93</v>
      </c>
      <c r="AO493" s="16" t="n">
        <v>64</v>
      </c>
      <c r="AP493" s="36" t="n">
        <f aca="false">(AO493*70)/100</f>
        <v>44.8</v>
      </c>
      <c r="AQ493" s="37" t="n">
        <f aca="false">ROUNDUP(AP493,0)</f>
        <v>45</v>
      </c>
      <c r="AR493" s="16" t="n">
        <v>25</v>
      </c>
      <c r="AS493" s="16" t="n">
        <f aca="false">AR493+AP493</f>
        <v>69.8</v>
      </c>
      <c r="AT493" s="16" t="n">
        <f aca="false">AR493+AQ493</f>
        <v>70</v>
      </c>
      <c r="AU493" s="16" t="n">
        <f aca="false">AO493+AF493+AI493+AH493+AG493</f>
        <v>352</v>
      </c>
      <c r="AV493" s="16" t="n">
        <f aca="false">(AO493+AF493+AI493+AH493+AG493)/5</f>
        <v>70.4</v>
      </c>
      <c r="AW493" s="36" t="n">
        <f aca="false">(AO493+AF493+AI493+AH493+AG493+X493+R493+Q493+K493+J493)</f>
        <v>649</v>
      </c>
      <c r="AX493" s="16" t="n">
        <f aca="false">AW493/10</f>
        <v>64.9</v>
      </c>
      <c r="AY493" s="16" t="n">
        <f aca="false">AS493+AF493+AM493+AH493+AG493+AB493+V493+Q493+O493+J493</f>
        <v>672.6</v>
      </c>
      <c r="AZ493" s="16" t="n">
        <f aca="false">AT493+AF493+AN493+AH493+AG493+AC493+W493+Q493+P493+J493</f>
        <v>675</v>
      </c>
      <c r="BA493" s="16" t="n">
        <f aca="false">AY493/10</f>
        <v>67.26</v>
      </c>
      <c r="BB493" s="16" t="n">
        <f aca="false">AZ493/10</f>
        <v>67.5</v>
      </c>
      <c r="BC493" s="72" t="n">
        <v>0</v>
      </c>
      <c r="BD493" s="16" t="n">
        <f aca="false">RANK(AX493,$AX$2:$AX$881,0)</f>
        <v>766</v>
      </c>
      <c r="BE493" s="78" t="n">
        <f aca="false">AX493</f>
        <v>64.9</v>
      </c>
      <c r="BF493" s="16" t="n">
        <f aca="false">RANK(BE493,$BE$2:$BE$881,0)</f>
        <v>798</v>
      </c>
      <c r="BG493" s="39" t="n">
        <f aca="false">RANK(BB493,$BB$2:$BB$881,0)</f>
        <v>764</v>
      </c>
      <c r="BH493" s="39" t="n">
        <f aca="false">RANK(BC493,$BC$2:$BC$881,0)</f>
        <v>780</v>
      </c>
      <c r="BI493" s="22" t="s">
        <v>130</v>
      </c>
      <c r="BJ493" s="22" t="s">
        <v>129</v>
      </c>
      <c r="BK493" s="22" t="s">
        <v>526</v>
      </c>
      <c r="BL493" s="41" t="n">
        <v>26</v>
      </c>
      <c r="BM493" s="41" t="n">
        <v>54</v>
      </c>
      <c r="BN493" s="41" t="n">
        <v>80</v>
      </c>
      <c r="BO493" s="42" t="n">
        <v>23</v>
      </c>
      <c r="BP493" s="43" t="n">
        <v>67</v>
      </c>
      <c r="BQ493" s="44" t="n">
        <v>90</v>
      </c>
      <c r="BR493" s="42" t="n">
        <v>22</v>
      </c>
      <c r="BS493" s="45" t="n">
        <v>50</v>
      </c>
      <c r="BT493" s="45" t="n">
        <v>72</v>
      </c>
      <c r="BU493" s="46" t="n">
        <v>100</v>
      </c>
      <c r="BV493" s="47" t="n">
        <v>72</v>
      </c>
      <c r="BW493" s="42" t="n">
        <v>99</v>
      </c>
      <c r="BX493" s="48" t="n">
        <v>92</v>
      </c>
      <c r="BY493" s="32" t="n">
        <v>25</v>
      </c>
      <c r="BZ493" s="32" t="n">
        <v>63</v>
      </c>
      <c r="CA493" s="32" t="n">
        <v>88</v>
      </c>
      <c r="CB493" s="32" t="n">
        <v>26</v>
      </c>
      <c r="CC493" s="32" t="n">
        <v>38</v>
      </c>
      <c r="CD493" s="32" t="n">
        <v>64</v>
      </c>
      <c r="CE493" s="32" t="n">
        <v>26</v>
      </c>
      <c r="CF493" s="32" t="n">
        <v>52</v>
      </c>
      <c r="CG493" s="32" t="n">
        <v>78</v>
      </c>
      <c r="CH493" s="32" t="n">
        <v>100</v>
      </c>
      <c r="CI493" s="32" t="n">
        <v>90</v>
      </c>
      <c r="CJ493" s="49" t="n">
        <v>29</v>
      </c>
      <c r="CK493" s="49" t="n">
        <v>51</v>
      </c>
      <c r="CL493" s="49" t="n">
        <v>80</v>
      </c>
      <c r="CM493" s="49" t="n">
        <v>21</v>
      </c>
      <c r="CN493" s="49" t="n">
        <v>40</v>
      </c>
      <c r="CO493" s="49" t="n">
        <v>61</v>
      </c>
      <c r="CP493" s="25" t="n">
        <f aca="false">BX493+BW493+BV493+BU493+BT493+BQ493+BN493</f>
        <v>605</v>
      </c>
      <c r="CQ493" s="25" t="n">
        <f aca="false">CO493+CL493+CI493+CH493+CG493+CD493+CA493</f>
        <v>561</v>
      </c>
      <c r="CR493" s="26" t="n">
        <f aca="false">CP493/7</f>
        <v>86.4285714285714</v>
      </c>
      <c r="CS493" s="26" t="n">
        <f aca="false">CQ493/7</f>
        <v>80.1428571428571</v>
      </c>
      <c r="CT493" s="24" t="n">
        <f aca="false">RANK(CR493,$CR$2:$CR$881,0)</f>
        <v>377</v>
      </c>
      <c r="CU493" s="25" t="n">
        <f aca="false">RANK(CS493,$CS$2:$CS$881,0)</f>
        <v>258</v>
      </c>
      <c r="CV493" s="26" t="n">
        <f aca="false">(CS493+CR493)/2</f>
        <v>83.2857142857143</v>
      </c>
      <c r="CW493" s="25" t="n">
        <f aca="false">RANK(CV493,$CV$2:$CV$881,0)</f>
        <v>285</v>
      </c>
      <c r="CX493" s="50" t="n">
        <f aca="false">(CV493+BB493)/2</f>
        <v>75.3928571428571</v>
      </c>
      <c r="CY493" s="50" t="n">
        <v>550</v>
      </c>
      <c r="CZ493" s="27" t="s">
        <v>132</v>
      </c>
      <c r="DA493" s="27" t="s">
        <v>133</v>
      </c>
      <c r="DB493" s="27" t="s">
        <v>133</v>
      </c>
      <c r="DC493" s="27" t="s">
        <v>134</v>
      </c>
      <c r="DD493" s="27" t="s">
        <v>191</v>
      </c>
      <c r="DE493" s="27" t="s">
        <v>220</v>
      </c>
      <c r="DF493" s="27" t="s">
        <v>443</v>
      </c>
      <c r="DG493" s="27" t="s">
        <v>134</v>
      </c>
      <c r="DH493" s="27" t="s">
        <v>264</v>
      </c>
      <c r="DI493" s="27" t="s">
        <v>415</v>
      </c>
      <c r="DJ493" s="27" t="s">
        <v>187</v>
      </c>
      <c r="DK493" s="27" t="s">
        <v>134</v>
      </c>
      <c r="DL493" s="27" t="s">
        <v>182</v>
      </c>
      <c r="DM493" s="27" t="s">
        <v>220</v>
      </c>
      <c r="DN493" s="27" t="s">
        <v>219</v>
      </c>
      <c r="DO493" s="27" t="s">
        <v>134</v>
      </c>
      <c r="DP493" s="27" t="s">
        <v>191</v>
      </c>
      <c r="DQ493" s="27" t="s">
        <v>681</v>
      </c>
      <c r="DR493" s="27" t="s">
        <v>187</v>
      </c>
      <c r="DS493" s="27" t="s">
        <v>134</v>
      </c>
      <c r="DT493" s="27" t="s">
        <v>140</v>
      </c>
      <c r="DU493" s="27" t="s">
        <v>399</v>
      </c>
      <c r="DV493" s="27" t="s">
        <v>382</v>
      </c>
      <c r="DW493" s="27" t="s">
        <v>135</v>
      </c>
      <c r="DX493" s="27" t="s">
        <v>155</v>
      </c>
      <c r="DY493" s="27" t="s">
        <v>139</v>
      </c>
      <c r="DZ493" s="27" t="n">
        <f aca="false">DY493+DV493+DR493+DN493+DJ493+DF493+DB493</f>
        <v>548</v>
      </c>
      <c r="EA493" s="28" t="n">
        <f aca="false">DZ493/7</f>
        <v>78.2857142857143</v>
      </c>
      <c r="EB493" s="27" t="n">
        <f aca="false">RANK(EA493,$EA$2:$EA$881,0)</f>
        <v>449</v>
      </c>
      <c r="EC493" s="29" t="n">
        <f aca="false">DZ493+CQ493+CP493+AZ493</f>
        <v>2389</v>
      </c>
      <c r="ED493" s="30" t="n">
        <f aca="false">(EA493+CV493+BB493)/3</f>
        <v>76.3571428571429</v>
      </c>
      <c r="EE493" s="51" t="n">
        <f aca="false">ROUND(BE493,3)</f>
        <v>64.9</v>
      </c>
      <c r="EF493" s="51" t="n">
        <f aca="false">ROUND(CR493,3)</f>
        <v>86.429</v>
      </c>
      <c r="EG493" s="51" t="n">
        <f aca="false">ROUND(CS493,3)</f>
        <v>80.143</v>
      </c>
      <c r="EH493" s="51" t="n">
        <f aca="false">ROUND(EA493,3)</f>
        <v>78.286</v>
      </c>
      <c r="EI493" s="51" t="n">
        <f aca="false">ROUND(ED493,3)</f>
        <v>76.357</v>
      </c>
      <c r="EJ493" s="51" t="n">
        <f aca="false">ROUND(CV493,3)</f>
        <v>83.286</v>
      </c>
      <c r="EK493" s="0" t="n">
        <f aca="false">RANK(EI493,$EI$2:$EI$881,0)</f>
        <v>492</v>
      </c>
    </row>
    <row r="494" customFormat="false" ht="15" hidden="false" customHeight="false" outlineLevel="0" collapsed="false">
      <c r="A494" s="4" t="n">
        <v>9125</v>
      </c>
      <c r="B494" s="4" t="n">
        <v>444</v>
      </c>
      <c r="C494" s="27" t="s">
        <v>1517</v>
      </c>
      <c r="D494" s="31" t="n">
        <v>450</v>
      </c>
      <c r="E494" s="32" t="n">
        <v>230311450</v>
      </c>
      <c r="F494" s="8" t="s">
        <v>1518</v>
      </c>
      <c r="G494" s="22" t="s">
        <v>1519</v>
      </c>
      <c r="H494" s="22" t="s">
        <v>129</v>
      </c>
      <c r="I494" s="33" t="n">
        <v>2006</v>
      </c>
      <c r="J494" s="32" t="n">
        <v>86</v>
      </c>
      <c r="K494" s="32" t="n">
        <v>89</v>
      </c>
      <c r="L494" s="34" t="n">
        <f aca="false">(K494*70)/100</f>
        <v>62.3</v>
      </c>
      <c r="M494" s="34" t="n">
        <f aca="false">ROUNDUP(L494,0)</f>
        <v>63</v>
      </c>
      <c r="N494" s="32" t="n">
        <v>24</v>
      </c>
      <c r="O494" s="34" t="n">
        <f aca="false">N494+L494</f>
        <v>86.3</v>
      </c>
      <c r="P494" s="34" t="n">
        <f aca="false">N494+M494</f>
        <v>87</v>
      </c>
      <c r="Q494" s="32" t="n">
        <v>65</v>
      </c>
      <c r="R494" s="32" t="n">
        <v>77</v>
      </c>
      <c r="S494" s="34" t="n">
        <f aca="false">(R494*70)/100</f>
        <v>53.9</v>
      </c>
      <c r="T494" s="34" t="n">
        <f aca="false">ROUNDUP(S494,0)</f>
        <v>54</v>
      </c>
      <c r="U494" s="32" t="n">
        <v>24</v>
      </c>
      <c r="V494" s="34" t="n">
        <f aca="false">U494+S494</f>
        <v>77.9</v>
      </c>
      <c r="W494" s="34" t="n">
        <f aca="false">U494+T494</f>
        <v>78</v>
      </c>
      <c r="X494" s="32" t="n">
        <v>77</v>
      </c>
      <c r="Y494" s="34" t="n">
        <f aca="false">(X494*70)/100</f>
        <v>53.9</v>
      </c>
      <c r="Z494" s="34" t="n">
        <f aca="false">ROUNDUP(Y494,0)</f>
        <v>54</v>
      </c>
      <c r="AA494" s="32" t="n">
        <v>28</v>
      </c>
      <c r="AB494" s="34" t="n">
        <f aca="false">AA494+Y494</f>
        <v>81.9</v>
      </c>
      <c r="AC494" s="34" t="n">
        <f aca="false">AA494+Z494</f>
        <v>82</v>
      </c>
      <c r="AD494" s="32" t="n">
        <f aca="false">X494+R494+Q494+K494+J494</f>
        <v>394</v>
      </c>
      <c r="AE494" s="16" t="n">
        <f aca="false">AD494/5</f>
        <v>78.8</v>
      </c>
      <c r="AF494" s="16" t="n">
        <v>84</v>
      </c>
      <c r="AG494" s="16" t="n">
        <v>96</v>
      </c>
      <c r="AH494" s="16" t="n">
        <v>93</v>
      </c>
      <c r="AI494" s="16" t="n">
        <v>84</v>
      </c>
      <c r="AJ494" s="16" t="n">
        <f aca="false">(AI494*70)/100</f>
        <v>58.8</v>
      </c>
      <c r="AK494" s="35" t="n">
        <f aca="false">ROUNDUP(AJ494,0)</f>
        <v>59</v>
      </c>
      <c r="AL494" s="16" t="n">
        <v>26</v>
      </c>
      <c r="AM494" s="16" t="n">
        <f aca="false">AL494+AJ494</f>
        <v>84.8</v>
      </c>
      <c r="AN494" s="16" t="n">
        <f aca="false">AL494+AK494</f>
        <v>85</v>
      </c>
      <c r="AO494" s="16" t="n">
        <v>76</v>
      </c>
      <c r="AP494" s="36" t="n">
        <f aca="false">(AO494*70)/100</f>
        <v>53.2</v>
      </c>
      <c r="AQ494" s="37" t="n">
        <f aca="false">ROUNDUP(AP494,0)</f>
        <v>54</v>
      </c>
      <c r="AR494" s="16" t="n">
        <v>30</v>
      </c>
      <c r="AS494" s="16" t="n">
        <f aca="false">AR494+AP494</f>
        <v>83.2</v>
      </c>
      <c r="AT494" s="16" t="n">
        <f aca="false">AR494+AQ494</f>
        <v>84</v>
      </c>
      <c r="AU494" s="16" t="n">
        <f aca="false">AO494+AF494+AI494+AH494+AG494</f>
        <v>433</v>
      </c>
      <c r="AV494" s="16" t="n">
        <f aca="false">(AO494+AF494+AI494+AH494+AG494)/5</f>
        <v>86.6</v>
      </c>
      <c r="AW494" s="36" t="n">
        <f aca="false">(AO494+AF494+AI494+AH494+AG494+X494+R494+Q494+K494+J494)</f>
        <v>827</v>
      </c>
      <c r="AX494" s="16" t="n">
        <f aca="false">AW494/10</f>
        <v>82.7</v>
      </c>
      <c r="AY494" s="16" t="n">
        <f aca="false">AS494+AF494+AM494+AH494+AG494+AB494+V494+Q494+O494+J494</f>
        <v>838.1</v>
      </c>
      <c r="AZ494" s="16" t="n">
        <f aca="false">AT494+AF494+AN494+AH494+AG494+AC494+W494+Q494+P494+J494</f>
        <v>840</v>
      </c>
      <c r="BA494" s="16" t="n">
        <f aca="false">AY494/10</f>
        <v>83.81</v>
      </c>
      <c r="BB494" s="16" t="n">
        <f aca="false">AZ494/10</f>
        <v>84</v>
      </c>
      <c r="BC494" s="16" t="n">
        <v>2383</v>
      </c>
      <c r="BD494" s="16" t="n">
        <f aca="false">RANK(AX494,$AX$2:$AX$881,0)</f>
        <v>134</v>
      </c>
      <c r="BE494" s="54" t="n">
        <f aca="false">((BC494*100)/2400)*0.4+(AX494*0.6)</f>
        <v>89.3366666666667</v>
      </c>
      <c r="BF494" s="16" t="n">
        <f aca="false">RANK(BE494,$BE$2:$BE$881,0)</f>
        <v>125</v>
      </c>
      <c r="BG494" s="39" t="n">
        <f aca="false">RANK(BB494,$BB$2:$BB$881,0)</f>
        <v>123</v>
      </c>
      <c r="BH494" s="39" t="n">
        <f aca="false">RANK(BC494,$BC$2:$BC$881,0)</f>
        <v>114</v>
      </c>
      <c r="BI494" s="22" t="s">
        <v>130</v>
      </c>
      <c r="BJ494" s="22" t="s">
        <v>129</v>
      </c>
      <c r="BK494" s="40" t="s">
        <v>131</v>
      </c>
      <c r="BL494" s="41" t="n">
        <v>19</v>
      </c>
      <c r="BM494" s="41" t="n">
        <v>45</v>
      </c>
      <c r="BN494" s="41" t="n">
        <v>64</v>
      </c>
      <c r="BO494" s="42" t="n">
        <v>21</v>
      </c>
      <c r="BP494" s="43" t="n">
        <v>54</v>
      </c>
      <c r="BQ494" s="44" t="n">
        <v>75</v>
      </c>
      <c r="BR494" s="42" t="n">
        <v>15</v>
      </c>
      <c r="BS494" s="45" t="n">
        <v>59</v>
      </c>
      <c r="BT494" s="45" t="n">
        <v>74</v>
      </c>
      <c r="BU494" s="46" t="n">
        <v>99</v>
      </c>
      <c r="BV494" s="47" t="n">
        <v>90</v>
      </c>
      <c r="BW494" s="42" t="n">
        <v>78</v>
      </c>
      <c r="BX494" s="48" t="n">
        <v>96</v>
      </c>
      <c r="BY494" s="32" t="n">
        <v>19</v>
      </c>
      <c r="BZ494" s="32" t="n">
        <v>35</v>
      </c>
      <c r="CA494" s="69" t="n">
        <v>54</v>
      </c>
      <c r="CB494" s="32" t="n">
        <v>20</v>
      </c>
      <c r="CC494" s="32" t="n">
        <v>34</v>
      </c>
      <c r="CD494" s="69" t="n">
        <v>54</v>
      </c>
      <c r="CE494" s="32" t="n">
        <v>27</v>
      </c>
      <c r="CF494" s="32" t="n">
        <v>39</v>
      </c>
      <c r="CG494" s="32" t="n">
        <v>66</v>
      </c>
      <c r="CH494" s="32" t="n">
        <v>89</v>
      </c>
      <c r="CI494" s="32" t="n">
        <v>90</v>
      </c>
      <c r="CJ494" s="49" t="n">
        <v>12</v>
      </c>
      <c r="CK494" s="49" t="n">
        <v>37</v>
      </c>
      <c r="CL494" s="76" t="n">
        <v>49</v>
      </c>
      <c r="CM494" s="49" t="n">
        <v>20</v>
      </c>
      <c r="CN494" s="49" t="n">
        <v>46</v>
      </c>
      <c r="CO494" s="49" t="n">
        <v>66</v>
      </c>
      <c r="CP494" s="25" t="n">
        <f aca="false">BX494+BW494+BV494+BU494+BT494+BQ494+BN494</f>
        <v>576</v>
      </c>
      <c r="CQ494" s="25" t="n">
        <f aca="false">CO494+CL494+CI494+CH494+CG494+CD494+CA494</f>
        <v>468</v>
      </c>
      <c r="CR494" s="26" t="n">
        <f aca="false">CP494/7</f>
        <v>82.2857142857143</v>
      </c>
      <c r="CS494" s="26" t="n">
        <f aca="false">CQ494/7</f>
        <v>66.8571428571429</v>
      </c>
      <c r="CT494" s="24" t="n">
        <f aca="false">RANK(CR494,$CR$2:$CR$881,0)</f>
        <v>532</v>
      </c>
      <c r="CU494" s="25" t="n">
        <f aca="false">RANK(CS494,$CS$2:$CS$881,0)</f>
        <v>600</v>
      </c>
      <c r="CV494" s="26" t="n">
        <f aca="false">(CS494+CR494)/2</f>
        <v>74.5714285714286</v>
      </c>
      <c r="CW494" s="25" t="n">
        <f aca="false">RANK(CV494,$CV$2:$CV$881,0)</f>
        <v>568</v>
      </c>
      <c r="CX494" s="50" t="n">
        <f aca="false">(CV494+BB494)/2</f>
        <v>79.2857142857143</v>
      </c>
      <c r="CY494" s="50" t="n">
        <v>409</v>
      </c>
      <c r="CZ494" s="27" t="s">
        <v>132</v>
      </c>
      <c r="DA494" s="27" t="s">
        <v>169</v>
      </c>
      <c r="DB494" s="27" t="s">
        <v>169</v>
      </c>
      <c r="DC494" s="27" t="s">
        <v>134</v>
      </c>
      <c r="DD494" s="27" t="s">
        <v>386</v>
      </c>
      <c r="DE494" s="27" t="s">
        <v>304</v>
      </c>
      <c r="DF494" s="27" t="s">
        <v>398</v>
      </c>
      <c r="DG494" s="27" t="s">
        <v>134</v>
      </c>
      <c r="DH494" s="27" t="s">
        <v>154</v>
      </c>
      <c r="DI494" s="27" t="s">
        <v>442</v>
      </c>
      <c r="DJ494" s="27" t="s">
        <v>398</v>
      </c>
      <c r="DK494" s="27" t="s">
        <v>134</v>
      </c>
      <c r="DL494" s="27" t="s">
        <v>154</v>
      </c>
      <c r="DM494" s="27" t="s">
        <v>645</v>
      </c>
      <c r="DN494" s="27" t="s">
        <v>141</v>
      </c>
      <c r="DO494" s="27" t="s">
        <v>134</v>
      </c>
      <c r="DP494" s="27" t="s">
        <v>604</v>
      </c>
      <c r="DQ494" s="27" t="s">
        <v>140</v>
      </c>
      <c r="DR494" s="27" t="s">
        <v>638</v>
      </c>
      <c r="DS494" s="27" t="s">
        <v>480</v>
      </c>
      <c r="DT494" s="27" t="s">
        <v>154</v>
      </c>
      <c r="DU494" s="27" t="s">
        <v>645</v>
      </c>
      <c r="DV494" s="27" t="s">
        <v>141</v>
      </c>
      <c r="DW494" s="27" t="s">
        <v>154</v>
      </c>
      <c r="DX494" s="27" t="s">
        <v>203</v>
      </c>
      <c r="DY494" s="27" t="s">
        <v>175</v>
      </c>
      <c r="DZ494" s="27" t="n">
        <f aca="false">DY494+DV494+DR494+DN494+DJ494+DF494+DB494</f>
        <v>491</v>
      </c>
      <c r="EA494" s="28" t="n">
        <f aca="false">DZ494/7</f>
        <v>70.1428571428571</v>
      </c>
      <c r="EB494" s="27" t="n">
        <f aca="false">RANK(EA494,$EA$2:$EA$881,0)</f>
        <v>651</v>
      </c>
      <c r="EC494" s="29" t="n">
        <f aca="false">DZ494+CQ494+CP494+AZ494</f>
        <v>2375</v>
      </c>
      <c r="ED494" s="30" t="n">
        <f aca="false">(EA494+CV494+BB494)/3</f>
        <v>76.2380952380952</v>
      </c>
      <c r="EE494" s="51" t="n">
        <f aca="false">ROUND(BE494,3)</f>
        <v>89.337</v>
      </c>
      <c r="EF494" s="51" t="n">
        <f aca="false">ROUND(CR494,3)</f>
        <v>82.286</v>
      </c>
      <c r="EG494" s="51" t="n">
        <f aca="false">ROUND(CS494,3)</f>
        <v>66.857</v>
      </c>
      <c r="EH494" s="51" t="n">
        <f aca="false">ROUND(EA494,3)</f>
        <v>70.143</v>
      </c>
      <c r="EI494" s="51" t="n">
        <f aca="false">ROUND(ED494,3)</f>
        <v>76.238</v>
      </c>
      <c r="EJ494" s="51" t="n">
        <f aca="false">ROUND(CV494,3)</f>
        <v>74.571</v>
      </c>
      <c r="EK494" s="0" t="n">
        <f aca="false">RANK(EI494,$EI$2:$EI$881,0)</f>
        <v>493</v>
      </c>
    </row>
    <row r="495" customFormat="false" ht="15" hidden="false" customHeight="false" outlineLevel="0" collapsed="false">
      <c r="A495" s="4" t="n">
        <v>8679</v>
      </c>
      <c r="B495" s="4" t="n">
        <v>519</v>
      </c>
      <c r="C495" s="27" t="s">
        <v>1520</v>
      </c>
      <c r="D495" s="31" t="n">
        <v>524</v>
      </c>
      <c r="E495" s="16" t="n">
        <v>230120921</v>
      </c>
      <c r="F495" s="56" t="s">
        <v>1521</v>
      </c>
      <c r="G495" s="22" t="s">
        <v>1231</v>
      </c>
      <c r="H495" s="22" t="s">
        <v>326</v>
      </c>
      <c r="I495" s="57"/>
      <c r="J495" s="71" t="n">
        <v>48</v>
      </c>
      <c r="K495" s="16" t="n">
        <v>57</v>
      </c>
      <c r="L495" s="34" t="n">
        <f aca="false">(K495*70)/100</f>
        <v>39.9</v>
      </c>
      <c r="M495" s="34" t="n">
        <f aca="false">ROUNDUP(L495,0)</f>
        <v>40</v>
      </c>
      <c r="N495" s="16" t="n">
        <v>23</v>
      </c>
      <c r="O495" s="34" t="n">
        <f aca="false">N495+L495</f>
        <v>62.9</v>
      </c>
      <c r="P495" s="34" t="n">
        <f aca="false">N495+M495</f>
        <v>63</v>
      </c>
      <c r="Q495" s="16" t="n">
        <v>76</v>
      </c>
      <c r="R495" s="16" t="n">
        <v>60</v>
      </c>
      <c r="S495" s="34" t="n">
        <f aca="false">(R495*70)/100</f>
        <v>42</v>
      </c>
      <c r="T495" s="34" t="n">
        <f aca="false">ROUNDUP(S495,0)</f>
        <v>42</v>
      </c>
      <c r="U495" s="16" t="n">
        <v>22</v>
      </c>
      <c r="V495" s="34" t="n">
        <f aca="false">U495+S495</f>
        <v>64</v>
      </c>
      <c r="W495" s="34" t="n">
        <f aca="false">U495+T495</f>
        <v>64</v>
      </c>
      <c r="X495" s="16" t="n">
        <v>50</v>
      </c>
      <c r="Y495" s="34" t="n">
        <f aca="false">(X495*70)/100</f>
        <v>35</v>
      </c>
      <c r="Z495" s="34" t="n">
        <f aca="false">ROUNDUP(Y495,0)</f>
        <v>35</v>
      </c>
      <c r="AA495" s="16" t="n">
        <v>26</v>
      </c>
      <c r="AB495" s="34" t="n">
        <f aca="false">AA495+Y495</f>
        <v>61</v>
      </c>
      <c r="AC495" s="34" t="n">
        <f aca="false">AA495+Z495</f>
        <v>61</v>
      </c>
      <c r="AD495" s="32" t="n">
        <f aca="false">X495+R495+Q495+K495+J495</f>
        <v>291</v>
      </c>
      <c r="AE495" s="16" t="n">
        <f aca="false">AD495/5</f>
        <v>58.2</v>
      </c>
      <c r="AF495" s="16" t="n">
        <v>62</v>
      </c>
      <c r="AG495" s="16" t="n">
        <v>60</v>
      </c>
      <c r="AH495" s="16" t="n">
        <v>80</v>
      </c>
      <c r="AI495" s="16" t="n">
        <v>79</v>
      </c>
      <c r="AJ495" s="16" t="n">
        <f aca="false">(AI495*70)/100</f>
        <v>55.3</v>
      </c>
      <c r="AK495" s="35" t="n">
        <f aca="false">ROUNDUP(AJ495,0)</f>
        <v>56</v>
      </c>
      <c r="AL495" s="16" t="n">
        <v>19</v>
      </c>
      <c r="AM495" s="16" t="n">
        <f aca="false">AL495+AJ495</f>
        <v>74.3</v>
      </c>
      <c r="AN495" s="16" t="n">
        <f aca="false">AL495+AK495</f>
        <v>75</v>
      </c>
      <c r="AO495" s="16" t="n">
        <v>72</v>
      </c>
      <c r="AP495" s="36" t="n">
        <f aca="false">(AO495*70)/100</f>
        <v>50.4</v>
      </c>
      <c r="AQ495" s="37" t="n">
        <f aca="false">ROUNDUP(AP495,0)</f>
        <v>51</v>
      </c>
      <c r="AR495" s="16" t="n">
        <v>26</v>
      </c>
      <c r="AS495" s="16" t="n">
        <f aca="false">AR495+AP495</f>
        <v>76.4</v>
      </c>
      <c r="AT495" s="16" t="n">
        <f aca="false">AR495+AQ495</f>
        <v>77</v>
      </c>
      <c r="AU495" s="16" t="n">
        <f aca="false">AO495+AF495+AI495+AH495+AG495</f>
        <v>353</v>
      </c>
      <c r="AV495" s="16" t="n">
        <f aca="false">(AO495+AF495+AI495+AH495+AG495)/5</f>
        <v>70.6</v>
      </c>
      <c r="AW495" s="36" t="n">
        <f aca="false">(AO495+AF495+AI495+AH495+AG495+X495+R495+Q495+K495+J495)</f>
        <v>644</v>
      </c>
      <c r="AX495" s="16" t="n">
        <f aca="false">AW495/10</f>
        <v>64.4</v>
      </c>
      <c r="AY495" s="16" t="n">
        <f aca="false">AS495+AF495+AM495+AH495+AG495+AB495+V495+Q495+O495+J495</f>
        <v>664.6</v>
      </c>
      <c r="AZ495" s="16" t="n">
        <f aca="false">AT495+AF495+AN495+AH495+AG495+AC495+W495+Q495+P495+J495</f>
        <v>666</v>
      </c>
      <c r="BA495" s="16" t="n">
        <f aca="false">AY495/10</f>
        <v>66.46</v>
      </c>
      <c r="BB495" s="16" t="n">
        <f aca="false">AZ495/10</f>
        <v>66.6</v>
      </c>
      <c r="BC495" s="16" t="n">
        <v>2333</v>
      </c>
      <c r="BD495" s="16" t="n">
        <f aca="false">RANK(AX495,$AX$2:$AX$881,0)</f>
        <v>769</v>
      </c>
      <c r="BE495" s="78" t="n">
        <f aca="false">((BC495*100)/2400)*0.4+(AX495*0.6)</f>
        <v>77.5233333333333</v>
      </c>
      <c r="BF495" s="16" t="n">
        <f aca="false">RANK(BE495,$BE$2:$BE$881,0)</f>
        <v>753</v>
      </c>
      <c r="BG495" s="39" t="n">
        <f aca="false">RANK(BB495,$BB$2:$BB$881,0)</f>
        <v>773</v>
      </c>
      <c r="BH495" s="39" t="n">
        <f aca="false">RANK(BC495,$BC$2:$BC$881,0)</f>
        <v>697</v>
      </c>
      <c r="BI495" s="22" t="s">
        <v>130</v>
      </c>
      <c r="BJ495" s="22" t="s">
        <v>129</v>
      </c>
      <c r="BK495" s="40" t="s">
        <v>702</v>
      </c>
      <c r="BL495" s="41" t="n">
        <v>22</v>
      </c>
      <c r="BM495" s="41" t="n">
        <v>55</v>
      </c>
      <c r="BN495" s="41" t="n">
        <v>77</v>
      </c>
      <c r="BO495" s="42" t="n">
        <v>24</v>
      </c>
      <c r="BP495" s="43" t="n">
        <v>60</v>
      </c>
      <c r="BQ495" s="44" t="n">
        <v>84</v>
      </c>
      <c r="BR495" s="42" t="n">
        <v>24</v>
      </c>
      <c r="BS495" s="45" t="n">
        <v>54</v>
      </c>
      <c r="BT495" s="45" t="n">
        <v>78</v>
      </c>
      <c r="BU495" s="46" t="n">
        <v>99</v>
      </c>
      <c r="BV495" s="47" t="n">
        <v>70</v>
      </c>
      <c r="BW495" s="42" t="n">
        <v>99</v>
      </c>
      <c r="BX495" s="48" t="n">
        <v>90</v>
      </c>
      <c r="BY495" s="32" t="n">
        <v>23</v>
      </c>
      <c r="BZ495" s="32" t="n">
        <v>53</v>
      </c>
      <c r="CA495" s="32" t="n">
        <v>76</v>
      </c>
      <c r="CB495" s="32" t="n">
        <v>22</v>
      </c>
      <c r="CC495" s="32" t="n">
        <v>26</v>
      </c>
      <c r="CD495" s="69" t="n">
        <v>48</v>
      </c>
      <c r="CE495" s="32" t="n">
        <v>26</v>
      </c>
      <c r="CF495" s="32" t="n">
        <v>48</v>
      </c>
      <c r="CG495" s="32" t="n">
        <v>74</v>
      </c>
      <c r="CH495" s="32" t="n">
        <v>88</v>
      </c>
      <c r="CI495" s="32" t="n">
        <v>86</v>
      </c>
      <c r="CJ495" s="49" t="n">
        <v>21</v>
      </c>
      <c r="CK495" s="49" t="n">
        <v>48</v>
      </c>
      <c r="CL495" s="49" t="n">
        <v>69</v>
      </c>
      <c r="CM495" s="49" t="n">
        <v>16</v>
      </c>
      <c r="CN495" s="49" t="n">
        <v>51</v>
      </c>
      <c r="CO495" s="49" t="n">
        <v>67</v>
      </c>
      <c r="CP495" s="25" t="n">
        <f aca="false">BX495+BW495+BV495+BU495+BT495+BQ495+BN495</f>
        <v>597</v>
      </c>
      <c r="CQ495" s="25" t="n">
        <f aca="false">CO495+CL495+CI495+CH495+CG495+CD495+CA495</f>
        <v>508</v>
      </c>
      <c r="CR495" s="26" t="n">
        <f aca="false">CP495/7</f>
        <v>85.2857142857143</v>
      </c>
      <c r="CS495" s="26" t="n">
        <f aca="false">CQ495/7</f>
        <v>72.5714285714286</v>
      </c>
      <c r="CT495" s="24" t="n">
        <f aca="false">RANK(CR495,$CR$2:$CR$881,0)</f>
        <v>425</v>
      </c>
      <c r="CU495" s="25" t="n">
        <f aca="false">RANK(CS495,$CS$2:$CS$881,0)</f>
        <v>492</v>
      </c>
      <c r="CV495" s="26" t="n">
        <f aca="false">(CS495+CR495)/2</f>
        <v>78.9285714285714</v>
      </c>
      <c r="CW495" s="25" t="n">
        <f aca="false">RANK(CV495,$CV$2:$CV$881,0)</f>
        <v>464</v>
      </c>
      <c r="CX495" s="50" t="n">
        <f aca="false">(CV495+BB495)/2</f>
        <v>72.7642857142857</v>
      </c>
      <c r="CY495" s="50" t="n">
        <v>586</v>
      </c>
      <c r="CZ495" s="27" t="s">
        <v>132</v>
      </c>
      <c r="DA495" s="27" t="s">
        <v>175</v>
      </c>
      <c r="DB495" s="27" t="s">
        <v>175</v>
      </c>
      <c r="DC495" s="27" t="s">
        <v>134</v>
      </c>
      <c r="DD495" s="27" t="s">
        <v>135</v>
      </c>
      <c r="DE495" s="27" t="s">
        <v>204</v>
      </c>
      <c r="DF495" s="27" t="s">
        <v>209</v>
      </c>
      <c r="DG495" s="27" t="s">
        <v>134</v>
      </c>
      <c r="DH495" s="27" t="s">
        <v>135</v>
      </c>
      <c r="DI495" s="27" t="s">
        <v>220</v>
      </c>
      <c r="DJ495" s="27" t="s">
        <v>196</v>
      </c>
      <c r="DK495" s="27" t="s">
        <v>134</v>
      </c>
      <c r="DL495" s="27" t="s">
        <v>154</v>
      </c>
      <c r="DM495" s="27" t="s">
        <v>177</v>
      </c>
      <c r="DN495" s="27" t="s">
        <v>169</v>
      </c>
      <c r="DO495" s="27" t="s">
        <v>134</v>
      </c>
      <c r="DP495" s="27" t="s">
        <v>191</v>
      </c>
      <c r="DQ495" s="27" t="s">
        <v>412</v>
      </c>
      <c r="DR495" s="27" t="s">
        <v>416</v>
      </c>
      <c r="DS495" s="27" t="s">
        <v>134</v>
      </c>
      <c r="DT495" s="27" t="s">
        <v>160</v>
      </c>
      <c r="DU495" s="27" t="s">
        <v>375</v>
      </c>
      <c r="DV495" s="27" t="s">
        <v>305</v>
      </c>
      <c r="DW495" s="27" t="s">
        <v>146</v>
      </c>
      <c r="DX495" s="27" t="s">
        <v>155</v>
      </c>
      <c r="DY495" s="27" t="s">
        <v>165</v>
      </c>
      <c r="DZ495" s="27" t="n">
        <f aca="false">DY495+DV495+DR495+DN495+DJ495+DF495+DB495</f>
        <v>582</v>
      </c>
      <c r="EA495" s="28" t="n">
        <f aca="false">DZ495/7</f>
        <v>83.1428571428571</v>
      </c>
      <c r="EB495" s="27" t="n">
        <f aca="false">RANK(EA495,$EA$2:$EA$881,0)</f>
        <v>268</v>
      </c>
      <c r="EC495" s="29" t="n">
        <f aca="false">DZ495+CQ495+CP495+AZ495</f>
        <v>2353</v>
      </c>
      <c r="ED495" s="30" t="n">
        <f aca="false">(EA495+CV495+BB495)/3</f>
        <v>76.2238095238095</v>
      </c>
      <c r="EE495" s="51" t="n">
        <f aca="false">ROUND(BE495,3)</f>
        <v>77.523</v>
      </c>
      <c r="EF495" s="51" t="n">
        <f aca="false">ROUND(CR495,3)</f>
        <v>85.286</v>
      </c>
      <c r="EG495" s="51" t="n">
        <f aca="false">ROUND(CS495,3)</f>
        <v>72.571</v>
      </c>
      <c r="EH495" s="51" t="n">
        <f aca="false">ROUND(EA495,3)</f>
        <v>83.143</v>
      </c>
      <c r="EI495" s="51" t="n">
        <f aca="false">ROUND(ED495,3)</f>
        <v>76.224</v>
      </c>
      <c r="EJ495" s="51" t="n">
        <f aca="false">ROUND(CV495,3)</f>
        <v>78.929</v>
      </c>
      <c r="EK495" s="0" t="n">
        <f aca="false">RANK(EI495,$EI$2:$EI$881,0)</f>
        <v>494</v>
      </c>
    </row>
    <row r="496" customFormat="false" ht="15" hidden="false" customHeight="false" outlineLevel="0" collapsed="false">
      <c r="A496" s="4" t="n">
        <v>9077</v>
      </c>
      <c r="B496" s="4" t="n">
        <v>201</v>
      </c>
      <c r="C496" s="27" t="s">
        <v>1522</v>
      </c>
      <c r="D496" s="31" t="n">
        <v>203</v>
      </c>
      <c r="E496" s="16" t="n">
        <v>230613147</v>
      </c>
      <c r="F496" s="56" t="s">
        <v>1523</v>
      </c>
      <c r="G496" s="22" t="s">
        <v>1099</v>
      </c>
      <c r="H496" s="22" t="s">
        <v>558</v>
      </c>
      <c r="I496" s="57"/>
      <c r="J496" s="16" t="n">
        <v>62</v>
      </c>
      <c r="K496" s="16" t="n">
        <v>78</v>
      </c>
      <c r="L496" s="34" t="n">
        <f aca="false">(K496*70)/100</f>
        <v>54.6</v>
      </c>
      <c r="M496" s="34" t="n">
        <f aca="false">ROUNDUP(L496,0)</f>
        <v>55</v>
      </c>
      <c r="N496" s="16" t="n">
        <v>23</v>
      </c>
      <c r="O496" s="34" t="n">
        <f aca="false">N496+L496</f>
        <v>77.6</v>
      </c>
      <c r="P496" s="34" t="n">
        <f aca="false">N496+M496</f>
        <v>78</v>
      </c>
      <c r="Q496" s="16" t="n">
        <v>75</v>
      </c>
      <c r="R496" s="16" t="n">
        <v>75</v>
      </c>
      <c r="S496" s="34" t="n">
        <f aca="false">(R496*70)/100</f>
        <v>52.5</v>
      </c>
      <c r="T496" s="34" t="n">
        <f aca="false">ROUNDUP(S496,0)</f>
        <v>53</v>
      </c>
      <c r="U496" s="16" t="n">
        <v>28</v>
      </c>
      <c r="V496" s="34" t="n">
        <f aca="false">U496+S496</f>
        <v>80.5</v>
      </c>
      <c r="W496" s="34" t="n">
        <f aca="false">U496+T496</f>
        <v>81</v>
      </c>
      <c r="X496" s="16" t="n">
        <v>69</v>
      </c>
      <c r="Y496" s="34" t="n">
        <f aca="false">(X496*70)/100</f>
        <v>48.3</v>
      </c>
      <c r="Z496" s="34" t="n">
        <f aca="false">ROUNDUP(Y496,0)</f>
        <v>49</v>
      </c>
      <c r="AA496" s="16" t="n">
        <v>22</v>
      </c>
      <c r="AB496" s="34" t="n">
        <f aca="false">AA496+Y496</f>
        <v>70.3</v>
      </c>
      <c r="AC496" s="34" t="n">
        <f aca="false">AA496+Z496</f>
        <v>71</v>
      </c>
      <c r="AD496" s="32" t="n">
        <f aca="false">X496+R496+Q496+K496+J496</f>
        <v>359</v>
      </c>
      <c r="AE496" s="16" t="n">
        <f aca="false">AD496/5</f>
        <v>71.8</v>
      </c>
      <c r="AF496" s="16" t="n">
        <v>75</v>
      </c>
      <c r="AG496" s="16" t="n">
        <v>82</v>
      </c>
      <c r="AH496" s="16" t="n">
        <v>91</v>
      </c>
      <c r="AI496" s="16" t="n">
        <v>93</v>
      </c>
      <c r="AJ496" s="16" t="n">
        <f aca="false">(AI496*70)/100</f>
        <v>65.1</v>
      </c>
      <c r="AK496" s="35" t="n">
        <f aca="false">ROUNDUP(AJ496,0)</f>
        <v>66</v>
      </c>
      <c r="AL496" s="16" t="n">
        <v>26</v>
      </c>
      <c r="AM496" s="16" t="n">
        <f aca="false">AL496+AJ496</f>
        <v>91.1</v>
      </c>
      <c r="AN496" s="16" t="n">
        <f aca="false">AL496+AK496</f>
        <v>92</v>
      </c>
      <c r="AO496" s="16" t="n">
        <v>82</v>
      </c>
      <c r="AP496" s="36" t="n">
        <f aca="false">(AO496*70)/100</f>
        <v>57.4</v>
      </c>
      <c r="AQ496" s="37" t="n">
        <f aca="false">ROUNDUP(AP496,0)</f>
        <v>58</v>
      </c>
      <c r="AR496" s="16" t="n">
        <v>28</v>
      </c>
      <c r="AS496" s="16" t="n">
        <f aca="false">AR496+AP496</f>
        <v>85.4</v>
      </c>
      <c r="AT496" s="16" t="n">
        <f aca="false">AR496+AQ496</f>
        <v>86</v>
      </c>
      <c r="AU496" s="16" t="n">
        <f aca="false">AO496+AF496+AI496+AH496+AG496</f>
        <v>423</v>
      </c>
      <c r="AV496" s="16" t="n">
        <f aca="false">(AO496+AF496+AI496+AH496+AG496)/5</f>
        <v>84.6</v>
      </c>
      <c r="AW496" s="36" t="n">
        <f aca="false">(AO496+AF496+AI496+AH496+AG496+X496+R496+Q496+K496+J496)</f>
        <v>782</v>
      </c>
      <c r="AX496" s="16" t="n">
        <f aca="false">AW496/10</f>
        <v>78.2</v>
      </c>
      <c r="AY496" s="16" t="n">
        <f aca="false">AS496+AF496+AM496+AH496+AG496+AB496+V496+Q496+O496+J496</f>
        <v>789.9</v>
      </c>
      <c r="AZ496" s="16" t="n">
        <f aca="false">AT496+AF496+AN496+AH496+AG496+AC496+W496+Q496+P496+J496</f>
        <v>793</v>
      </c>
      <c r="BA496" s="16" t="n">
        <f aca="false">AY496/10</f>
        <v>78.99</v>
      </c>
      <c r="BB496" s="16" t="n">
        <f aca="false">AZ496/10</f>
        <v>79.3</v>
      </c>
      <c r="BC496" s="16" t="n">
        <v>2353</v>
      </c>
      <c r="BD496" s="16" t="n">
        <f aca="false">RANK(AX496,$AX$2:$AX$881,0)</f>
        <v>396</v>
      </c>
      <c r="BE496" s="54" t="n">
        <f aca="false">((BC496*100)/2400)*0.4+(AX496*0.6)</f>
        <v>86.1366666666667</v>
      </c>
      <c r="BF496" s="16" t="n">
        <f aca="false">RANK(BE496,$BE$2:$BE$881,0)</f>
        <v>415</v>
      </c>
      <c r="BG496" s="39" t="n">
        <f aca="false">RANK(BB496,$BB$2:$BB$881,0)</f>
        <v>424</v>
      </c>
      <c r="BH496" s="39" t="n">
        <f aca="false">RANK(BC496,$BC$2:$BC$881,0)</f>
        <v>507</v>
      </c>
      <c r="BI496" s="22" t="s">
        <v>130</v>
      </c>
      <c r="BJ496" s="22" t="s">
        <v>129</v>
      </c>
      <c r="BK496" s="40" t="s">
        <v>131</v>
      </c>
      <c r="BL496" s="105" t="n">
        <v>14</v>
      </c>
      <c r="BM496" s="59" t="n">
        <v>64</v>
      </c>
      <c r="BN496" s="59" t="n">
        <v>78</v>
      </c>
      <c r="BO496" s="42" t="n">
        <v>30</v>
      </c>
      <c r="BP496" s="59" t="n">
        <v>54</v>
      </c>
      <c r="BQ496" s="59" t="n">
        <v>84</v>
      </c>
      <c r="BR496" s="42" t="n">
        <v>14</v>
      </c>
      <c r="BS496" s="88" t="n">
        <v>53</v>
      </c>
      <c r="BT496" s="88" t="n">
        <v>67</v>
      </c>
      <c r="BU496" s="88" t="n">
        <v>75</v>
      </c>
      <c r="BV496" s="58" t="n">
        <v>85</v>
      </c>
      <c r="BW496" s="102" t="n">
        <v>84</v>
      </c>
      <c r="BX496" s="88" t="n">
        <v>96</v>
      </c>
      <c r="BY496" s="65" t="n">
        <v>30</v>
      </c>
      <c r="BZ496" s="58" t="n">
        <v>53</v>
      </c>
      <c r="CA496" s="58" t="n">
        <v>83</v>
      </c>
      <c r="CB496" s="59" t="n">
        <v>23</v>
      </c>
      <c r="CC496" s="58" t="n">
        <v>58</v>
      </c>
      <c r="CD496" s="58" t="n">
        <v>81</v>
      </c>
      <c r="CE496" s="58" t="n">
        <v>21</v>
      </c>
      <c r="CF496" s="58" t="n">
        <v>37</v>
      </c>
      <c r="CG496" s="90" t="n">
        <v>58</v>
      </c>
      <c r="CH496" s="58" t="n">
        <v>86</v>
      </c>
      <c r="CI496" s="58" t="n">
        <v>80</v>
      </c>
      <c r="CJ496" s="58" t="n">
        <v>18</v>
      </c>
      <c r="CK496" s="58" t="n">
        <v>60</v>
      </c>
      <c r="CL496" s="59" t="n">
        <v>78</v>
      </c>
      <c r="CM496" s="60"/>
      <c r="CN496" s="60"/>
      <c r="CO496" s="60"/>
      <c r="CP496" s="25" t="n">
        <f aca="false">BX496+BW496+BV496+BU496+BT496+BQ496+BN496</f>
        <v>569</v>
      </c>
      <c r="CQ496" s="25" t="n">
        <f aca="false">CO496+CL496+CI496+CH496+CG496+CD496+CA496</f>
        <v>466</v>
      </c>
      <c r="CR496" s="26" t="n">
        <f aca="false">CP496/7</f>
        <v>81.2857142857143</v>
      </c>
      <c r="CS496" s="26" t="n">
        <f aca="false">CQ496/7</f>
        <v>66.5714285714286</v>
      </c>
      <c r="CT496" s="24" t="n">
        <f aca="false">RANK(CR496,$CR$2:$CR$881,0)</f>
        <v>560</v>
      </c>
      <c r="CU496" s="25" t="n">
        <f aca="false">RANK(CS496,$CS$2:$CS$881,0)</f>
        <v>606</v>
      </c>
      <c r="CV496" s="26" t="n">
        <f aca="false">(CS496+CR496)/2</f>
        <v>73.9285714285714</v>
      </c>
      <c r="CW496" s="25" t="n">
        <f aca="false">RANK(CV496,$CV$2:$CV$881,0)</f>
        <v>585</v>
      </c>
      <c r="CX496" s="50" t="n">
        <f aca="false">(CV496+BB496)/2</f>
        <v>76.6142857142857</v>
      </c>
      <c r="CY496" s="50" t="n">
        <v>780</v>
      </c>
      <c r="CZ496" s="27" t="s">
        <v>132</v>
      </c>
      <c r="DA496" s="27" t="s">
        <v>169</v>
      </c>
      <c r="DB496" s="27" t="s">
        <v>169</v>
      </c>
      <c r="DC496" s="27" t="s">
        <v>134</v>
      </c>
      <c r="DD496" s="27" t="s">
        <v>135</v>
      </c>
      <c r="DE496" s="27" t="s">
        <v>313</v>
      </c>
      <c r="DF496" s="27" t="s">
        <v>382</v>
      </c>
      <c r="DG496" s="27" t="s">
        <v>134</v>
      </c>
      <c r="DH496" s="27" t="s">
        <v>182</v>
      </c>
      <c r="DI496" s="27" t="s">
        <v>399</v>
      </c>
      <c r="DJ496" s="27" t="s">
        <v>398</v>
      </c>
      <c r="DK496" s="27" t="s">
        <v>134</v>
      </c>
      <c r="DL496" s="27" t="s">
        <v>195</v>
      </c>
      <c r="DM496" s="27" t="s">
        <v>218</v>
      </c>
      <c r="DN496" s="27" t="s">
        <v>305</v>
      </c>
      <c r="DO496" s="27" t="s">
        <v>134</v>
      </c>
      <c r="DP496" s="27" t="s">
        <v>154</v>
      </c>
      <c r="DQ496" s="27" t="s">
        <v>1388</v>
      </c>
      <c r="DR496" s="27" t="s">
        <v>220</v>
      </c>
      <c r="DS496" s="27" t="s">
        <v>480</v>
      </c>
      <c r="DT496" s="27" t="s">
        <v>137</v>
      </c>
      <c r="DU496" s="27" t="s">
        <v>399</v>
      </c>
      <c r="DV496" s="27" t="s">
        <v>372</v>
      </c>
      <c r="DW496" s="27" t="s">
        <v>386</v>
      </c>
      <c r="DX496" s="27" t="s">
        <v>155</v>
      </c>
      <c r="DY496" s="27" t="s">
        <v>133</v>
      </c>
      <c r="DZ496" s="27" t="n">
        <f aca="false">DY496+DV496+DR496+DN496+DJ496+DF496+DB496</f>
        <v>528</v>
      </c>
      <c r="EA496" s="28" t="n">
        <f aca="false">DZ496/7</f>
        <v>75.4285714285714</v>
      </c>
      <c r="EB496" s="27" t="n">
        <f aca="false">RANK(EA496,$EA$2:$EA$881,0)</f>
        <v>530</v>
      </c>
      <c r="EC496" s="29" t="n">
        <f aca="false">DZ496+CQ496+CP496+AZ496</f>
        <v>2356</v>
      </c>
      <c r="ED496" s="30" t="n">
        <f aca="false">(EA496+CV496+BB496)/3</f>
        <v>76.2190476190476</v>
      </c>
      <c r="EE496" s="51" t="n">
        <f aca="false">ROUND(BE496,3)</f>
        <v>86.137</v>
      </c>
      <c r="EF496" s="51" t="n">
        <f aca="false">ROUND(CR496,3)</f>
        <v>81.286</v>
      </c>
      <c r="EG496" s="51" t="n">
        <f aca="false">ROUND(CS496,3)</f>
        <v>66.571</v>
      </c>
      <c r="EH496" s="51" t="n">
        <f aca="false">ROUND(EA496,3)</f>
        <v>75.429</v>
      </c>
      <c r="EI496" s="51" t="n">
        <f aca="false">ROUND(ED496,3)</f>
        <v>76.219</v>
      </c>
      <c r="EJ496" s="51" t="n">
        <f aca="false">ROUND(CV496,3)</f>
        <v>73.929</v>
      </c>
      <c r="EK496" s="0" t="n">
        <f aca="false">RANK(EI496,$EI$2:$EI$881,0)</f>
        <v>495</v>
      </c>
    </row>
    <row r="497" customFormat="false" ht="16.85" hidden="false" customHeight="false" outlineLevel="0" collapsed="false">
      <c r="A497" s="4" t="n">
        <v>1842</v>
      </c>
      <c r="B497" s="4" t="n">
        <v>52</v>
      </c>
      <c r="C497" s="27" t="s">
        <v>1524</v>
      </c>
      <c r="D497" s="52" t="n">
        <v>54</v>
      </c>
      <c r="E497" s="16" t="n">
        <v>230621553</v>
      </c>
      <c r="F497" s="56" t="s">
        <v>1525</v>
      </c>
      <c r="G497" s="22" t="s">
        <v>1323</v>
      </c>
      <c r="H497" s="22" t="s">
        <v>558</v>
      </c>
      <c r="I497" s="57"/>
      <c r="J497" s="16" t="n">
        <v>70</v>
      </c>
      <c r="K497" s="16" t="n">
        <v>80</v>
      </c>
      <c r="L497" s="34" t="n">
        <f aca="false">(K497*70)/100</f>
        <v>56</v>
      </c>
      <c r="M497" s="34" t="n">
        <f aca="false">ROUNDUP(L497,0)</f>
        <v>56</v>
      </c>
      <c r="N497" s="16" t="n">
        <v>27</v>
      </c>
      <c r="O497" s="34" t="n">
        <f aca="false">N497+L497</f>
        <v>83</v>
      </c>
      <c r="P497" s="34" t="n">
        <f aca="false">N497+M497</f>
        <v>83</v>
      </c>
      <c r="Q497" s="16" t="n">
        <v>67</v>
      </c>
      <c r="R497" s="16" t="n">
        <v>80</v>
      </c>
      <c r="S497" s="34" t="n">
        <f aca="false">(R497*70)/100</f>
        <v>56</v>
      </c>
      <c r="T497" s="34" t="n">
        <f aca="false">ROUNDUP(S497,0)</f>
        <v>56</v>
      </c>
      <c r="U497" s="16" t="n">
        <v>29</v>
      </c>
      <c r="V497" s="34" t="n">
        <f aca="false">U497+S497</f>
        <v>85</v>
      </c>
      <c r="W497" s="34" t="n">
        <f aca="false">U497+T497</f>
        <v>85</v>
      </c>
      <c r="X497" s="16" t="n">
        <v>68</v>
      </c>
      <c r="Y497" s="34" t="n">
        <f aca="false">(X497*70)/100</f>
        <v>47.6</v>
      </c>
      <c r="Z497" s="34" t="n">
        <f aca="false">ROUNDUP(Y497,0)</f>
        <v>48</v>
      </c>
      <c r="AA497" s="16" t="n">
        <v>25</v>
      </c>
      <c r="AB497" s="34" t="n">
        <f aca="false">AA497+Y497</f>
        <v>72.6</v>
      </c>
      <c r="AC497" s="34" t="n">
        <f aca="false">AA497+Z497</f>
        <v>73</v>
      </c>
      <c r="AD497" s="32" t="n">
        <f aca="false">X497+R497+Q497+K497+J497</f>
        <v>365</v>
      </c>
      <c r="AE497" s="16" t="n">
        <f aca="false">AD497/5</f>
        <v>73</v>
      </c>
      <c r="AF497" s="16" t="n">
        <v>78</v>
      </c>
      <c r="AG497" s="16" t="n">
        <v>74</v>
      </c>
      <c r="AH497" s="16" t="n">
        <v>87</v>
      </c>
      <c r="AI497" s="16" t="n">
        <v>90</v>
      </c>
      <c r="AJ497" s="16" t="n">
        <f aca="false">(AI497*70)/100</f>
        <v>63</v>
      </c>
      <c r="AK497" s="35" t="n">
        <f aca="false">ROUNDUP(AJ497,0)</f>
        <v>63</v>
      </c>
      <c r="AL497" s="16" t="n">
        <v>28</v>
      </c>
      <c r="AM497" s="16" t="n">
        <f aca="false">AL497+AJ497</f>
        <v>91</v>
      </c>
      <c r="AN497" s="16" t="n">
        <f aca="false">AL497+AK497</f>
        <v>91</v>
      </c>
      <c r="AO497" s="16" t="n">
        <v>76</v>
      </c>
      <c r="AP497" s="36" t="n">
        <f aca="false">(AO497*70)/100</f>
        <v>53.2</v>
      </c>
      <c r="AQ497" s="37" t="n">
        <f aca="false">ROUNDUP(AP497,0)</f>
        <v>54</v>
      </c>
      <c r="AR497" s="16" t="n">
        <v>28</v>
      </c>
      <c r="AS497" s="16" t="n">
        <f aca="false">AR497+AP497</f>
        <v>81.2</v>
      </c>
      <c r="AT497" s="16" t="n">
        <f aca="false">AR497+AQ497</f>
        <v>82</v>
      </c>
      <c r="AU497" s="16" t="n">
        <f aca="false">AO497+AF497+AI497+AH497+AG497</f>
        <v>405</v>
      </c>
      <c r="AV497" s="16" t="n">
        <f aca="false">(AO497+AF497+AI497+AH497+AG497)/5</f>
        <v>81</v>
      </c>
      <c r="AW497" s="36" t="n">
        <f aca="false">(AO497+AF497+AI497+AH497+AG497+X497+R497+Q497+K497+J497)</f>
        <v>770</v>
      </c>
      <c r="AX497" s="16" t="n">
        <f aca="false">AW497/10</f>
        <v>77</v>
      </c>
      <c r="AY497" s="16" t="n">
        <f aca="false">AS497+AF497+AM497+AH497+AG497+AB497+V497+Q497+O497+J497</f>
        <v>788.8</v>
      </c>
      <c r="AZ497" s="16" t="n">
        <f aca="false">AT497+AF497+AN497+AH497+AG497+AC497+W497+Q497+P497+J497</f>
        <v>790</v>
      </c>
      <c r="BA497" s="16" t="n">
        <f aca="false">AY497/10</f>
        <v>78.88</v>
      </c>
      <c r="BB497" s="16" t="n">
        <f aca="false">AZ497/10</f>
        <v>79</v>
      </c>
      <c r="BC497" s="16" t="n">
        <v>2337</v>
      </c>
      <c r="BD497" s="16" t="n">
        <f aca="false">RANK(AX497,$AX$2:$AX$881,0)</f>
        <v>508</v>
      </c>
      <c r="BE497" s="54" t="n">
        <f aca="false">((BC497*100)/2400)*0.4+(AX497*0.6)</f>
        <v>85.15</v>
      </c>
      <c r="BF497" s="16" t="n">
        <f aca="false">RANK(BE497,$BE$2:$BE$881,0)</f>
        <v>577</v>
      </c>
      <c r="BG497" s="39" t="n">
        <f aca="false">RANK(BB497,$BB$2:$BB$881,0)</f>
        <v>457</v>
      </c>
      <c r="BH497" s="39" t="n">
        <f aca="false">RANK(BC497,$BC$2:$BC$881,0)</f>
        <v>658</v>
      </c>
      <c r="BI497" s="22" t="s">
        <v>130</v>
      </c>
      <c r="BJ497" s="22" t="s">
        <v>129</v>
      </c>
      <c r="BK497" s="40" t="s">
        <v>509</v>
      </c>
      <c r="BL497" s="41" t="n">
        <v>19</v>
      </c>
      <c r="BM497" s="41" t="n">
        <v>52</v>
      </c>
      <c r="BN497" s="41" t="n">
        <v>71</v>
      </c>
      <c r="BO497" s="42" t="n">
        <v>22</v>
      </c>
      <c r="BP497" s="43" t="n">
        <v>56</v>
      </c>
      <c r="BQ497" s="44" t="n">
        <v>78</v>
      </c>
      <c r="BR497" s="42" t="n">
        <v>23</v>
      </c>
      <c r="BS497" s="45" t="n">
        <v>56</v>
      </c>
      <c r="BT497" s="45" t="n">
        <v>79</v>
      </c>
      <c r="BU497" s="46" t="n">
        <v>98</v>
      </c>
      <c r="BV497" s="47" t="n">
        <v>74</v>
      </c>
      <c r="BW497" s="42" t="n">
        <v>88</v>
      </c>
      <c r="BX497" s="88" t="n">
        <v>86</v>
      </c>
      <c r="BY497" s="65" t="n">
        <v>29</v>
      </c>
      <c r="BZ497" s="58" t="n">
        <v>44</v>
      </c>
      <c r="CA497" s="58" t="n">
        <v>73</v>
      </c>
      <c r="CB497" s="59" t="n">
        <v>17</v>
      </c>
      <c r="CC497" s="58" t="n">
        <v>48</v>
      </c>
      <c r="CD497" s="58" t="n">
        <v>65</v>
      </c>
      <c r="CE497" s="58" t="n">
        <v>19</v>
      </c>
      <c r="CF497" s="58" t="n">
        <v>37</v>
      </c>
      <c r="CG497" s="90" t="n">
        <v>56</v>
      </c>
      <c r="CH497" s="58" t="n">
        <v>88</v>
      </c>
      <c r="CI497" s="58" t="n">
        <v>73</v>
      </c>
      <c r="CJ497" s="58" t="n">
        <v>19</v>
      </c>
      <c r="CK497" s="58" t="n">
        <v>53</v>
      </c>
      <c r="CL497" s="59" t="n">
        <v>72</v>
      </c>
      <c r="CM497" s="60"/>
      <c r="CN497" s="60"/>
      <c r="CO497" s="60"/>
      <c r="CP497" s="25" t="n">
        <f aca="false">BX497+BW497+BV497+BU497+BT497+BQ497+BN497</f>
        <v>574</v>
      </c>
      <c r="CQ497" s="25" t="n">
        <f aca="false">CO497+CL497+CI497+CH497+CG497+CD497+CA497</f>
        <v>427</v>
      </c>
      <c r="CR497" s="26" t="n">
        <f aca="false">CP497/7</f>
        <v>82</v>
      </c>
      <c r="CS497" s="26" t="n">
        <f aca="false">CQ497/7</f>
        <v>61</v>
      </c>
      <c r="CT497" s="24" t="n">
        <f aca="false">RANK(CR497,$CR$2:$CR$881,0)</f>
        <v>542</v>
      </c>
      <c r="CU497" s="25" t="n">
        <f aca="false">RANK(CS497,$CS$2:$CS$881,0)</f>
        <v>674</v>
      </c>
      <c r="CV497" s="26" t="n">
        <f aca="false">(CS497+CR497)/2</f>
        <v>71.5</v>
      </c>
      <c r="CW497" s="25" t="n">
        <f aca="false">RANK(CV497,$CV$2:$CV$881,0)</f>
        <v>622</v>
      </c>
      <c r="CX497" s="50" t="n">
        <f aca="false">(CV497+BB497)/2</f>
        <v>75.25</v>
      </c>
      <c r="CY497" s="50" t="n">
        <v>665</v>
      </c>
      <c r="CZ497" s="27" t="s">
        <v>132</v>
      </c>
      <c r="DA497" s="27" t="s">
        <v>272</v>
      </c>
      <c r="DB497" s="27" t="s">
        <v>272</v>
      </c>
      <c r="DC497" s="27" t="s">
        <v>134</v>
      </c>
      <c r="DD497" s="27" t="s">
        <v>174</v>
      </c>
      <c r="DE497" s="27" t="s">
        <v>415</v>
      </c>
      <c r="DF497" s="27" t="s">
        <v>138</v>
      </c>
      <c r="DG497" s="27" t="s">
        <v>134</v>
      </c>
      <c r="DH497" s="27" t="s">
        <v>154</v>
      </c>
      <c r="DI497" s="27" t="s">
        <v>415</v>
      </c>
      <c r="DJ497" s="27" t="s">
        <v>155</v>
      </c>
      <c r="DK497" s="27" t="s">
        <v>134</v>
      </c>
      <c r="DL497" s="27" t="s">
        <v>182</v>
      </c>
      <c r="DM497" s="27" t="s">
        <v>375</v>
      </c>
      <c r="DN497" s="27" t="s">
        <v>372</v>
      </c>
      <c r="DO497" s="27" t="s">
        <v>134</v>
      </c>
      <c r="DP497" s="27" t="s">
        <v>174</v>
      </c>
      <c r="DQ497" s="27" t="s">
        <v>313</v>
      </c>
      <c r="DR497" s="27" t="s">
        <v>372</v>
      </c>
      <c r="DS497" s="27" t="s">
        <v>134</v>
      </c>
      <c r="DT497" s="27" t="s">
        <v>137</v>
      </c>
      <c r="DU497" s="27" t="s">
        <v>220</v>
      </c>
      <c r="DV497" s="27" t="s">
        <v>205</v>
      </c>
      <c r="DW497" s="27" t="s">
        <v>160</v>
      </c>
      <c r="DX497" s="27" t="s">
        <v>155</v>
      </c>
      <c r="DY497" s="27" t="s">
        <v>145</v>
      </c>
      <c r="DZ497" s="27" t="n">
        <f aca="false">DY497+DV497+DR497+DN497+DJ497+DF497+DB497</f>
        <v>546</v>
      </c>
      <c r="EA497" s="28" t="n">
        <f aca="false">DZ497/7</f>
        <v>78</v>
      </c>
      <c r="EB497" s="27" t="n">
        <f aca="false">RANK(EA497,$EA$2:$EA$881,0)</f>
        <v>456</v>
      </c>
      <c r="EC497" s="29" t="n">
        <f aca="false">DZ497+CQ497+CP497+AZ497</f>
        <v>2337</v>
      </c>
      <c r="ED497" s="30" t="n">
        <f aca="false">(EA497+CV497+BB497)/3</f>
        <v>76.1666666666667</v>
      </c>
      <c r="EE497" s="51" t="n">
        <f aca="false">ROUND(BE497,3)</f>
        <v>85.15</v>
      </c>
      <c r="EF497" s="51" t="n">
        <f aca="false">ROUND(CR497,3)</f>
        <v>82</v>
      </c>
      <c r="EG497" s="51" t="n">
        <f aca="false">ROUND(CS497,3)</f>
        <v>61</v>
      </c>
      <c r="EH497" s="51" t="n">
        <f aca="false">ROUND(EA497,3)</f>
        <v>78</v>
      </c>
      <c r="EI497" s="51" t="n">
        <f aca="false">ROUND(ED497,3)</f>
        <v>76.167</v>
      </c>
      <c r="EJ497" s="51" t="n">
        <f aca="false">ROUND(CV497,3)</f>
        <v>71.5</v>
      </c>
      <c r="EK497" s="0" t="n">
        <f aca="false">RANK(EI497,$EI$2:$EI$881,0)</f>
        <v>496</v>
      </c>
    </row>
    <row r="498" customFormat="false" ht="15" hidden="false" customHeight="false" outlineLevel="0" collapsed="false">
      <c r="A498" s="4" t="n">
        <v>2018</v>
      </c>
      <c r="B498" s="4" t="n">
        <v>122</v>
      </c>
      <c r="C498" s="27" t="s">
        <v>1526</v>
      </c>
      <c r="D498" s="31" t="n">
        <v>120</v>
      </c>
      <c r="E498" s="16" t="n">
        <v>230118084</v>
      </c>
      <c r="F498" s="56" t="s">
        <v>1527</v>
      </c>
      <c r="G498" s="22" t="s">
        <v>1528</v>
      </c>
      <c r="H498" s="22" t="s">
        <v>326</v>
      </c>
      <c r="I498" s="57"/>
      <c r="J498" s="16" t="n">
        <v>65</v>
      </c>
      <c r="K498" s="16" t="n">
        <v>78</v>
      </c>
      <c r="L498" s="34" t="n">
        <f aca="false">(K498*70)/100</f>
        <v>54.6</v>
      </c>
      <c r="M498" s="34" t="n">
        <f aca="false">ROUNDUP(L498,0)</f>
        <v>55</v>
      </c>
      <c r="N498" s="16" t="n">
        <v>24</v>
      </c>
      <c r="O498" s="34" t="n">
        <f aca="false">N498+L498</f>
        <v>78.6</v>
      </c>
      <c r="P498" s="34" t="n">
        <f aca="false">N498+M498</f>
        <v>79</v>
      </c>
      <c r="Q498" s="16" t="n">
        <v>73</v>
      </c>
      <c r="R498" s="16" t="n">
        <v>69</v>
      </c>
      <c r="S498" s="34" t="n">
        <f aca="false">(R498*70)/100</f>
        <v>48.3</v>
      </c>
      <c r="T498" s="34" t="n">
        <f aca="false">ROUNDUP(S498,0)</f>
        <v>49</v>
      </c>
      <c r="U498" s="16" t="n">
        <v>21</v>
      </c>
      <c r="V498" s="34" t="n">
        <f aca="false">U498+S498</f>
        <v>69.3</v>
      </c>
      <c r="W498" s="34" t="n">
        <f aca="false">U498+T498</f>
        <v>70</v>
      </c>
      <c r="X498" s="16" t="n">
        <v>70</v>
      </c>
      <c r="Y498" s="34" t="n">
        <f aca="false">(X498*70)/100</f>
        <v>49</v>
      </c>
      <c r="Z498" s="34" t="n">
        <f aca="false">ROUNDUP(Y498,0)</f>
        <v>49</v>
      </c>
      <c r="AA498" s="16" t="n">
        <v>27</v>
      </c>
      <c r="AB498" s="34" t="n">
        <f aca="false">AA498+Y498</f>
        <v>76</v>
      </c>
      <c r="AC498" s="34" t="n">
        <f aca="false">AA498+Z498</f>
        <v>76</v>
      </c>
      <c r="AD498" s="32" t="n">
        <f aca="false">X498+R498+Q498+K498+J498</f>
        <v>355</v>
      </c>
      <c r="AE498" s="16" t="n">
        <f aca="false">AD498/5</f>
        <v>71</v>
      </c>
      <c r="AF498" s="16" t="n">
        <v>60</v>
      </c>
      <c r="AG498" s="16" t="n">
        <v>82</v>
      </c>
      <c r="AH498" s="16" t="n">
        <v>95</v>
      </c>
      <c r="AI498" s="16" t="n">
        <v>96</v>
      </c>
      <c r="AJ498" s="16" t="n">
        <f aca="false">(AI498*70)/100</f>
        <v>67.2</v>
      </c>
      <c r="AK498" s="35" t="n">
        <f aca="false">ROUNDUP(AJ498,0)</f>
        <v>68</v>
      </c>
      <c r="AL498" s="16" t="n">
        <v>26</v>
      </c>
      <c r="AM498" s="16" t="n">
        <f aca="false">AL498+AJ498</f>
        <v>93.2</v>
      </c>
      <c r="AN498" s="16" t="n">
        <f aca="false">AL498+AK498</f>
        <v>94</v>
      </c>
      <c r="AO498" s="16" t="n">
        <v>78</v>
      </c>
      <c r="AP498" s="36" t="n">
        <f aca="false">(AO498*70)/100</f>
        <v>54.6</v>
      </c>
      <c r="AQ498" s="37" t="n">
        <f aca="false">ROUNDUP(AP498,0)</f>
        <v>55</v>
      </c>
      <c r="AR498" s="16" t="n">
        <v>25</v>
      </c>
      <c r="AS498" s="16" t="n">
        <f aca="false">AR498+AP498</f>
        <v>79.6</v>
      </c>
      <c r="AT498" s="16" t="n">
        <f aca="false">AR498+AQ498</f>
        <v>80</v>
      </c>
      <c r="AU498" s="16" t="n">
        <f aca="false">AO498+AF498+AI498+AH498+AG498</f>
        <v>411</v>
      </c>
      <c r="AV498" s="16" t="n">
        <f aca="false">(AO498+AF498+AI498+AH498+AG498)/5</f>
        <v>82.2</v>
      </c>
      <c r="AW498" s="36" t="n">
        <f aca="false">(AO498+AF498+AI498+AH498+AG498+X498+R498+Q498+K498+J498)</f>
        <v>766</v>
      </c>
      <c r="AX498" s="16" t="n">
        <f aca="false">AW498/10</f>
        <v>76.6</v>
      </c>
      <c r="AY498" s="16" t="n">
        <f aca="false">AS498+AF498+AM498+AH498+AG498+AB498+V498+Q498+O498+J498</f>
        <v>771.7</v>
      </c>
      <c r="AZ498" s="16" t="n">
        <f aca="false">AT498+AF498+AN498+AH498+AG498+AC498+W498+Q498+P498+J498</f>
        <v>774</v>
      </c>
      <c r="BA498" s="16" t="n">
        <f aca="false">AY498/10</f>
        <v>77.17</v>
      </c>
      <c r="BB498" s="16" t="n">
        <f aca="false">AZ498/10</f>
        <v>77.4</v>
      </c>
      <c r="BC498" s="16" t="n">
        <v>2331</v>
      </c>
      <c r="BD498" s="16" t="n">
        <f aca="false">RANK(AX498,$AX$2:$AX$881,0)</f>
        <v>547</v>
      </c>
      <c r="BE498" s="73" t="n">
        <f aca="false">((BC498*100)/2400)*0.4+(AX498*0.6)</f>
        <v>84.81</v>
      </c>
      <c r="BF498" s="16" t="n">
        <f aca="false">RANK(BE498,$BE$2:$BE$881,0)</f>
        <v>658</v>
      </c>
      <c r="BG498" s="39" t="n">
        <f aca="false">RANK(BB498,$BB$2:$BB$881,0)</f>
        <v>613</v>
      </c>
      <c r="BH498" s="39" t="n">
        <f aca="false">RANK(BC498,$BC$2:$BC$881,0)</f>
        <v>716</v>
      </c>
      <c r="BI498" s="22" t="s">
        <v>130</v>
      </c>
      <c r="BJ498" s="22" t="s">
        <v>129</v>
      </c>
      <c r="BK498" s="22" t="s">
        <v>509</v>
      </c>
      <c r="BL498" s="41" t="n">
        <v>19</v>
      </c>
      <c r="BM498" s="41" t="n">
        <v>41</v>
      </c>
      <c r="BN498" s="41" t="n">
        <v>60</v>
      </c>
      <c r="BO498" s="42" t="n">
        <v>19</v>
      </c>
      <c r="BP498" s="43" t="n">
        <v>53</v>
      </c>
      <c r="BQ498" s="44" t="n">
        <v>72</v>
      </c>
      <c r="BR498" s="42" t="n">
        <v>26</v>
      </c>
      <c r="BS498" s="45" t="n">
        <v>54</v>
      </c>
      <c r="BT498" s="45" t="n">
        <v>80</v>
      </c>
      <c r="BU498" s="77" t="n">
        <v>96</v>
      </c>
      <c r="BV498" s="47" t="n">
        <v>72</v>
      </c>
      <c r="BW498" s="43" t="n">
        <v>92</v>
      </c>
      <c r="BX498" s="48" t="n">
        <v>86</v>
      </c>
      <c r="BY498" s="32" t="n">
        <v>16</v>
      </c>
      <c r="BZ498" s="32" t="n">
        <v>56</v>
      </c>
      <c r="CA498" s="48" t="n">
        <v>72</v>
      </c>
      <c r="CB498" s="32" t="n">
        <v>23</v>
      </c>
      <c r="CC498" s="32" t="n">
        <v>33</v>
      </c>
      <c r="CD498" s="69" t="n">
        <v>56</v>
      </c>
      <c r="CE498" s="32" t="n">
        <v>26</v>
      </c>
      <c r="CF498" s="32" t="n">
        <v>48</v>
      </c>
      <c r="CG498" s="32" t="n">
        <v>74</v>
      </c>
      <c r="CH498" s="32" t="n">
        <v>96</v>
      </c>
      <c r="CI498" s="32" t="n">
        <v>93</v>
      </c>
      <c r="CJ498" s="49" t="n">
        <v>13</v>
      </c>
      <c r="CK498" s="49" t="n">
        <v>57</v>
      </c>
      <c r="CL498" s="84" t="n">
        <v>70</v>
      </c>
      <c r="CM498" s="49" t="n">
        <v>19</v>
      </c>
      <c r="CN498" s="49" t="n">
        <v>45</v>
      </c>
      <c r="CO498" s="49" t="n">
        <v>64</v>
      </c>
      <c r="CP498" s="25" t="n">
        <f aca="false">BX498+BW498+BV498+BU498+BT498+BQ498+BN498</f>
        <v>558</v>
      </c>
      <c r="CQ498" s="25" t="n">
        <f aca="false">CO498+CL498+CI498+CH498+CG498+CD498+CA498</f>
        <v>525</v>
      </c>
      <c r="CR498" s="26" t="n">
        <f aca="false">CP498/7</f>
        <v>79.7142857142857</v>
      </c>
      <c r="CS498" s="26" t="n">
        <f aca="false">CQ498/7</f>
        <v>75</v>
      </c>
      <c r="CT498" s="24" t="n">
        <f aca="false">RANK(CR498,$CR$2:$CR$881,0)</f>
        <v>590</v>
      </c>
      <c r="CU498" s="25" t="n">
        <f aca="false">RANK(CS498,$CS$2:$CS$881,0)</f>
        <v>431</v>
      </c>
      <c r="CV498" s="26" t="n">
        <f aca="false">(CS498+CR498)/2</f>
        <v>77.3571428571429</v>
      </c>
      <c r="CW498" s="25" t="n">
        <f aca="false">RANK(CV498,$CV$2:$CV$881,0)</f>
        <v>511</v>
      </c>
      <c r="CX498" s="50" t="n">
        <f aca="false">(CV498+BB498)/2</f>
        <v>77.3785714285714</v>
      </c>
      <c r="CY498" s="50" t="n">
        <v>528</v>
      </c>
      <c r="CZ498" s="27" t="s">
        <v>132</v>
      </c>
      <c r="DA498" s="27" t="s">
        <v>219</v>
      </c>
      <c r="DB498" s="27" t="s">
        <v>219</v>
      </c>
      <c r="DC498" s="27" t="s">
        <v>134</v>
      </c>
      <c r="DD498" s="27" t="s">
        <v>154</v>
      </c>
      <c r="DE498" s="27" t="s">
        <v>375</v>
      </c>
      <c r="DF498" s="27" t="s">
        <v>486</v>
      </c>
      <c r="DG498" s="27" t="s">
        <v>134</v>
      </c>
      <c r="DH498" s="27" t="s">
        <v>137</v>
      </c>
      <c r="DI498" s="27" t="s">
        <v>220</v>
      </c>
      <c r="DJ498" s="27" t="s">
        <v>205</v>
      </c>
      <c r="DK498" s="27" t="s">
        <v>134</v>
      </c>
      <c r="DL498" s="27" t="s">
        <v>386</v>
      </c>
      <c r="DM498" s="27" t="s">
        <v>645</v>
      </c>
      <c r="DN498" s="27" t="s">
        <v>203</v>
      </c>
      <c r="DO498" s="27" t="s">
        <v>134</v>
      </c>
      <c r="DP498" s="27" t="s">
        <v>1000</v>
      </c>
      <c r="DQ498" s="27" t="s">
        <v>681</v>
      </c>
      <c r="DR498" s="27" t="s">
        <v>177</v>
      </c>
      <c r="DS498" s="27" t="s">
        <v>134</v>
      </c>
      <c r="DT498" s="27" t="s">
        <v>182</v>
      </c>
      <c r="DU498" s="27" t="s">
        <v>906</v>
      </c>
      <c r="DV498" s="27" t="s">
        <v>203</v>
      </c>
      <c r="DW498" s="27" t="s">
        <v>164</v>
      </c>
      <c r="DX498" s="27" t="s">
        <v>155</v>
      </c>
      <c r="DY498" s="27" t="s">
        <v>144</v>
      </c>
      <c r="DZ498" s="27" t="n">
        <f aca="false">DY498+DV498+DR498+DN498+DJ498+DF498+DB498</f>
        <v>516</v>
      </c>
      <c r="EA498" s="28" t="n">
        <f aca="false">DZ498/7</f>
        <v>73.7142857142857</v>
      </c>
      <c r="EB498" s="27" t="n">
        <f aca="false">RANK(EA498,$EA$2:$EA$881,0)</f>
        <v>573</v>
      </c>
      <c r="EC498" s="29" t="n">
        <f aca="false">DZ498+CQ498+CP498+AZ498</f>
        <v>2373</v>
      </c>
      <c r="ED498" s="30" t="n">
        <f aca="false">(EA498+CV498+BB498)/3</f>
        <v>76.1571428571429</v>
      </c>
      <c r="EE498" s="51" t="n">
        <f aca="false">ROUND(BE498,3)</f>
        <v>84.81</v>
      </c>
      <c r="EF498" s="51" t="n">
        <f aca="false">ROUND(CR498,3)</f>
        <v>79.714</v>
      </c>
      <c r="EG498" s="51" t="n">
        <f aca="false">ROUND(CS498,3)</f>
        <v>75</v>
      </c>
      <c r="EH498" s="51" t="n">
        <f aca="false">ROUND(EA498,3)</f>
        <v>73.714</v>
      </c>
      <c r="EI498" s="51" t="n">
        <f aca="false">ROUND(ED498,3)</f>
        <v>76.157</v>
      </c>
      <c r="EJ498" s="51" t="n">
        <f aca="false">ROUND(CV498,3)</f>
        <v>77.357</v>
      </c>
      <c r="EK498" s="0" t="n">
        <f aca="false">RANK(EI498,$EI$2:$EI$881,0)</f>
        <v>497</v>
      </c>
    </row>
    <row r="499" customFormat="false" ht="15" hidden="false" customHeight="false" outlineLevel="0" collapsed="false">
      <c r="A499" s="4" t="n">
        <v>9005</v>
      </c>
      <c r="B499" s="4" t="n">
        <v>336</v>
      </c>
      <c r="C499" s="27" t="s">
        <v>1529</v>
      </c>
      <c r="D499" s="31" t="n">
        <v>338</v>
      </c>
      <c r="E499" s="32" t="n">
        <v>230419679</v>
      </c>
      <c r="F499" s="8" t="s">
        <v>1530</v>
      </c>
      <c r="G499" s="66" t="s">
        <v>1531</v>
      </c>
      <c r="H499" s="66" t="s">
        <v>129</v>
      </c>
      <c r="I499" s="67" t="s">
        <v>408</v>
      </c>
      <c r="J499" s="32" t="n">
        <v>75</v>
      </c>
      <c r="K499" s="32" t="n">
        <v>65</v>
      </c>
      <c r="L499" s="34" t="n">
        <f aca="false">(K499*70)/100</f>
        <v>45.5</v>
      </c>
      <c r="M499" s="34" t="n">
        <f aca="false">ROUNDUP(L499,0)</f>
        <v>46</v>
      </c>
      <c r="N499" s="32" t="n">
        <v>27</v>
      </c>
      <c r="O499" s="34" t="n">
        <f aca="false">N499+L499</f>
        <v>72.5</v>
      </c>
      <c r="P499" s="34" t="n">
        <f aca="false">N499+M499</f>
        <v>73</v>
      </c>
      <c r="Q499" s="32" t="n">
        <v>73</v>
      </c>
      <c r="R499" s="32" t="n">
        <v>69</v>
      </c>
      <c r="S499" s="34" t="n">
        <f aca="false">(R499*70)/100</f>
        <v>48.3</v>
      </c>
      <c r="T499" s="34" t="n">
        <f aca="false">ROUNDUP(S499,0)</f>
        <v>49</v>
      </c>
      <c r="U499" s="32" t="n">
        <v>23</v>
      </c>
      <c r="V499" s="34" t="n">
        <f aca="false">U499+S499</f>
        <v>71.3</v>
      </c>
      <c r="W499" s="34" t="n">
        <f aca="false">U499+T499</f>
        <v>72</v>
      </c>
      <c r="X499" s="32" t="n">
        <v>69</v>
      </c>
      <c r="Y499" s="34" t="n">
        <f aca="false">(X499*70)/100</f>
        <v>48.3</v>
      </c>
      <c r="Z499" s="34" t="n">
        <f aca="false">ROUNDUP(Y499,0)</f>
        <v>49</v>
      </c>
      <c r="AA499" s="32" t="n">
        <v>24</v>
      </c>
      <c r="AB499" s="34" t="n">
        <f aca="false">AA499+Y499</f>
        <v>72.3</v>
      </c>
      <c r="AC499" s="34" t="n">
        <f aca="false">AA499+Z499</f>
        <v>73</v>
      </c>
      <c r="AD499" s="32" t="n">
        <f aca="false">X499+R499+Q499+K499+J499</f>
        <v>351</v>
      </c>
      <c r="AE499" s="16" t="n">
        <f aca="false">AD499/5</f>
        <v>70.2</v>
      </c>
      <c r="AF499" s="16" t="n">
        <v>65</v>
      </c>
      <c r="AG499" s="16" t="n">
        <v>73</v>
      </c>
      <c r="AH499" s="16" t="n">
        <v>77</v>
      </c>
      <c r="AI499" s="16" t="n">
        <v>78</v>
      </c>
      <c r="AJ499" s="16" t="n">
        <f aca="false">(AI499*70)/100</f>
        <v>54.6</v>
      </c>
      <c r="AK499" s="35" t="n">
        <f aca="false">ROUNDUP(AJ499,0)</f>
        <v>55</v>
      </c>
      <c r="AL499" s="16" t="n">
        <v>20</v>
      </c>
      <c r="AM499" s="16" t="n">
        <f aca="false">AL499+AJ499</f>
        <v>74.6</v>
      </c>
      <c r="AN499" s="16" t="n">
        <f aca="false">AL499+AK499</f>
        <v>75</v>
      </c>
      <c r="AO499" s="16" t="n">
        <v>62</v>
      </c>
      <c r="AP499" s="36" t="n">
        <f aca="false">(AO499*70)/100</f>
        <v>43.4</v>
      </c>
      <c r="AQ499" s="37" t="n">
        <f aca="false">ROUNDUP(AP499,0)</f>
        <v>44</v>
      </c>
      <c r="AR499" s="16" t="n">
        <v>29</v>
      </c>
      <c r="AS499" s="16" t="n">
        <f aca="false">AR499+AP499</f>
        <v>72.4</v>
      </c>
      <c r="AT499" s="16" t="n">
        <f aca="false">AR499+AQ499</f>
        <v>73</v>
      </c>
      <c r="AU499" s="16" t="n">
        <f aca="false">AO499+AF499+AI499+AH499+AG499</f>
        <v>355</v>
      </c>
      <c r="AV499" s="16" t="n">
        <f aca="false">(AO499+AF499+AI499+AH499+AG499)/5</f>
        <v>71</v>
      </c>
      <c r="AW499" s="36" t="n">
        <f aca="false">(AO499+AF499+AI499+AH499+AG499+X499+R499+Q499+K499+J499)</f>
        <v>706</v>
      </c>
      <c r="AX499" s="16" t="n">
        <f aca="false">AW499/10</f>
        <v>70.6</v>
      </c>
      <c r="AY499" s="16" t="n">
        <f aca="false">AS499+AF499+AM499+AH499+AG499+AB499+V499+Q499+O499+J499</f>
        <v>726.1</v>
      </c>
      <c r="AZ499" s="16" t="n">
        <f aca="false">AT499+AF499+AN499+AH499+AG499+AC499+W499+Q499+P499+J499</f>
        <v>729</v>
      </c>
      <c r="BA499" s="16" t="n">
        <f aca="false">AY499/10</f>
        <v>72.61</v>
      </c>
      <c r="BB499" s="16" t="n">
        <f aca="false">AZ499/10</f>
        <v>72.9</v>
      </c>
      <c r="BC499" s="24" t="n">
        <v>2337</v>
      </c>
      <c r="BD499" s="16" t="n">
        <f aca="false">RANK(AX499,$AX$2:$AX$881,0)</f>
        <v>732</v>
      </c>
      <c r="BE499" s="73" t="n">
        <f aca="false">((BC499*100)/2400)*0.4+(AX499*0.6)</f>
        <v>81.31</v>
      </c>
      <c r="BF499" s="16" t="n">
        <f aca="false">RANK(BE499,$BE$2:$BE$881,0)</f>
        <v>718</v>
      </c>
      <c r="BG499" s="39" t="n">
        <f aca="false">RANK(BB499,$BB$2:$BB$881,0)</f>
        <v>720</v>
      </c>
      <c r="BH499" s="39" t="n">
        <f aca="false">RANK(BC499,$BC$2:$BC$881,0)</f>
        <v>658</v>
      </c>
      <c r="BI499" s="22" t="s">
        <v>130</v>
      </c>
      <c r="BJ499" s="22" t="s">
        <v>129</v>
      </c>
      <c r="BK499" s="40" t="s">
        <v>702</v>
      </c>
      <c r="BL499" s="41" t="n">
        <v>24</v>
      </c>
      <c r="BM499" s="41" t="n">
        <v>51</v>
      </c>
      <c r="BN499" s="41" t="n">
        <v>75</v>
      </c>
      <c r="BO499" s="42" t="n">
        <v>22</v>
      </c>
      <c r="BP499" s="43" t="n">
        <v>56</v>
      </c>
      <c r="BQ499" s="44" t="n">
        <v>78</v>
      </c>
      <c r="BR499" s="42" t="n">
        <v>19</v>
      </c>
      <c r="BS499" s="77" t="n">
        <v>46</v>
      </c>
      <c r="BT499" s="77" t="n">
        <v>65</v>
      </c>
      <c r="BU499" s="46" t="n">
        <v>100</v>
      </c>
      <c r="BV499" s="47" t="n">
        <v>86</v>
      </c>
      <c r="BW499" s="42" t="n">
        <v>89</v>
      </c>
      <c r="BX499" s="48" t="n">
        <v>96</v>
      </c>
      <c r="BY499" s="32" t="n">
        <v>22</v>
      </c>
      <c r="BZ499" s="32" t="n">
        <v>57</v>
      </c>
      <c r="CA499" s="48" t="n">
        <v>79</v>
      </c>
      <c r="CB499" s="32" t="n">
        <v>22</v>
      </c>
      <c r="CC499" s="32" t="n">
        <v>37</v>
      </c>
      <c r="CD499" s="69" t="n">
        <v>59</v>
      </c>
      <c r="CE499" s="32" t="n">
        <v>16</v>
      </c>
      <c r="CF499" s="60"/>
      <c r="CG499" s="60"/>
      <c r="CH499" s="32" t="n">
        <v>96</v>
      </c>
      <c r="CI499" s="32" t="n">
        <v>98</v>
      </c>
      <c r="CJ499" s="49" t="n">
        <v>24</v>
      </c>
      <c r="CK499" s="49" t="n">
        <v>50</v>
      </c>
      <c r="CL499" s="49" t="n">
        <v>74</v>
      </c>
      <c r="CM499" s="49" t="n">
        <v>20</v>
      </c>
      <c r="CN499" s="49" t="n">
        <v>53</v>
      </c>
      <c r="CO499" s="49" t="n">
        <v>73</v>
      </c>
      <c r="CP499" s="25" t="n">
        <f aca="false">BX499+BW499+BV499+BU499+BT499+BQ499+BN499</f>
        <v>589</v>
      </c>
      <c r="CQ499" s="25" t="n">
        <f aca="false">CO499+CL499+CI499+CH499+CG499+CD499+CA499</f>
        <v>479</v>
      </c>
      <c r="CR499" s="26" t="n">
        <f aca="false">CP499/7</f>
        <v>84.1428571428571</v>
      </c>
      <c r="CS499" s="26" t="n">
        <f aca="false">CQ499/7</f>
        <v>68.4285714285714</v>
      </c>
      <c r="CT499" s="24" t="n">
        <f aca="false">RANK(CR499,$CR$2:$CR$881,0)</f>
        <v>474</v>
      </c>
      <c r="CU499" s="25" t="n">
        <f aca="false">RANK(CS499,$CS$2:$CS$881,0)</f>
        <v>581</v>
      </c>
      <c r="CV499" s="26" t="n">
        <f aca="false">(CS499+CR499)/2</f>
        <v>76.2857142857143</v>
      </c>
      <c r="CW499" s="25" t="n">
        <f aca="false">RANK(CV499,$CV$2:$CV$881,0)</f>
        <v>533</v>
      </c>
      <c r="CX499" s="50" t="n">
        <f aca="false">(CV499+BB499)/2</f>
        <v>74.5928571428571</v>
      </c>
      <c r="CY499" s="50" t="n">
        <v>574</v>
      </c>
      <c r="CZ499" s="27" t="s">
        <v>132</v>
      </c>
      <c r="DA499" s="27" t="s">
        <v>205</v>
      </c>
      <c r="DB499" s="27" t="s">
        <v>205</v>
      </c>
      <c r="DC499" s="27" t="s">
        <v>134</v>
      </c>
      <c r="DD499" s="27" t="s">
        <v>160</v>
      </c>
      <c r="DE499" s="27" t="s">
        <v>183</v>
      </c>
      <c r="DF499" s="27" t="s">
        <v>202</v>
      </c>
      <c r="DG499" s="27" t="s">
        <v>134</v>
      </c>
      <c r="DH499" s="27" t="s">
        <v>195</v>
      </c>
      <c r="DI499" s="27" t="s">
        <v>412</v>
      </c>
      <c r="DJ499" s="27" t="s">
        <v>398</v>
      </c>
      <c r="DK499" s="27" t="s">
        <v>134</v>
      </c>
      <c r="DL499" s="27" t="s">
        <v>174</v>
      </c>
      <c r="DM499" s="27" t="s">
        <v>412</v>
      </c>
      <c r="DN499" s="27" t="s">
        <v>486</v>
      </c>
      <c r="DO499" s="27" t="s">
        <v>134</v>
      </c>
      <c r="DP499" s="27" t="s">
        <v>386</v>
      </c>
      <c r="DQ499" s="27" t="s">
        <v>399</v>
      </c>
      <c r="DR499" s="27" t="s">
        <v>187</v>
      </c>
      <c r="DS499" s="27" t="s">
        <v>134</v>
      </c>
      <c r="DT499" s="27" t="s">
        <v>140</v>
      </c>
      <c r="DU499" s="27" t="s">
        <v>442</v>
      </c>
      <c r="DV499" s="27" t="s">
        <v>305</v>
      </c>
      <c r="DW499" s="27" t="s">
        <v>160</v>
      </c>
      <c r="DX499" s="27" t="s">
        <v>155</v>
      </c>
      <c r="DY499" s="27" t="s">
        <v>145</v>
      </c>
      <c r="DZ499" s="27" t="n">
        <f aca="false">DY499+DV499+DR499+DN499+DJ499+DF499+DB499</f>
        <v>555</v>
      </c>
      <c r="EA499" s="28" t="n">
        <f aca="false">DZ499/7</f>
        <v>79.2857142857143</v>
      </c>
      <c r="EB499" s="27" t="n">
        <f aca="false">RANK(EA499,$EA$2:$EA$881,0)</f>
        <v>421</v>
      </c>
      <c r="EC499" s="29" t="n">
        <f aca="false">DZ499+CQ499+CP499+AZ499</f>
        <v>2352</v>
      </c>
      <c r="ED499" s="30" t="n">
        <f aca="false">(EA499+CV499+BB499)/3</f>
        <v>76.1571428571429</v>
      </c>
      <c r="EE499" s="51" t="n">
        <f aca="false">ROUND(BE499,3)</f>
        <v>81.31</v>
      </c>
      <c r="EF499" s="51" t="n">
        <f aca="false">ROUND(CR499,3)</f>
        <v>84.143</v>
      </c>
      <c r="EG499" s="51" t="n">
        <f aca="false">ROUND(CS499,3)</f>
        <v>68.429</v>
      </c>
      <c r="EH499" s="51" t="n">
        <f aca="false">ROUND(EA499,3)</f>
        <v>79.286</v>
      </c>
      <c r="EI499" s="51" t="n">
        <f aca="false">ROUND(ED499,3)</f>
        <v>76.157</v>
      </c>
      <c r="EJ499" s="51" t="n">
        <f aca="false">ROUND(CV499,3)</f>
        <v>76.286</v>
      </c>
      <c r="EK499" s="0" t="n">
        <f aca="false">RANK(EI499,$EI$2:$EI$881,0)</f>
        <v>497</v>
      </c>
    </row>
    <row r="500" customFormat="false" ht="15" hidden="false" customHeight="false" outlineLevel="0" collapsed="false">
      <c r="A500" s="4" t="n">
        <v>9087</v>
      </c>
      <c r="B500" s="4" t="n">
        <v>404</v>
      </c>
      <c r="C500" s="27" t="s">
        <v>1532</v>
      </c>
      <c r="D500" s="31" t="n">
        <v>409</v>
      </c>
      <c r="E500" s="16" t="n">
        <v>230132440</v>
      </c>
      <c r="F500" s="56" t="s">
        <v>1533</v>
      </c>
      <c r="G500" s="22" t="s">
        <v>866</v>
      </c>
      <c r="H500" s="22" t="s">
        <v>326</v>
      </c>
      <c r="I500" s="57"/>
      <c r="J500" s="16" t="n">
        <v>84</v>
      </c>
      <c r="K500" s="16" t="n">
        <v>68</v>
      </c>
      <c r="L500" s="34" t="n">
        <f aca="false">(K500*70)/100</f>
        <v>47.6</v>
      </c>
      <c r="M500" s="34" t="n">
        <f aca="false">ROUNDUP(L500,0)</f>
        <v>48</v>
      </c>
      <c r="N500" s="16" t="n">
        <v>27</v>
      </c>
      <c r="O500" s="34" t="n">
        <f aca="false">N500+L500</f>
        <v>74.6</v>
      </c>
      <c r="P500" s="34" t="n">
        <f aca="false">N500+M500</f>
        <v>75</v>
      </c>
      <c r="Q500" s="16" t="n">
        <v>67</v>
      </c>
      <c r="R500" s="16" t="n">
        <v>69</v>
      </c>
      <c r="S500" s="34" t="n">
        <f aca="false">(R500*70)/100</f>
        <v>48.3</v>
      </c>
      <c r="T500" s="34" t="n">
        <f aca="false">ROUNDUP(S500,0)</f>
        <v>49</v>
      </c>
      <c r="U500" s="16" t="n">
        <v>26</v>
      </c>
      <c r="V500" s="34" t="n">
        <f aca="false">U500+S500</f>
        <v>74.3</v>
      </c>
      <c r="W500" s="34" t="n">
        <f aca="false">U500+T500</f>
        <v>75</v>
      </c>
      <c r="X500" s="16" t="n">
        <v>70</v>
      </c>
      <c r="Y500" s="34" t="n">
        <f aca="false">(X500*70)/100</f>
        <v>49</v>
      </c>
      <c r="Z500" s="34" t="n">
        <f aca="false">ROUNDUP(Y500,0)</f>
        <v>49</v>
      </c>
      <c r="AA500" s="16" t="n">
        <v>24</v>
      </c>
      <c r="AB500" s="34" t="n">
        <f aca="false">AA500+Y500</f>
        <v>73</v>
      </c>
      <c r="AC500" s="34" t="n">
        <f aca="false">AA500+Z500</f>
        <v>73</v>
      </c>
      <c r="AD500" s="32" t="n">
        <f aca="false">X500+R500+Q500+K500+J500</f>
        <v>358</v>
      </c>
      <c r="AE500" s="16" t="n">
        <f aca="false">AD500/5</f>
        <v>71.6</v>
      </c>
      <c r="AF500" s="16" t="n">
        <v>82</v>
      </c>
      <c r="AG500" s="16" t="n">
        <v>92</v>
      </c>
      <c r="AH500" s="16" t="n">
        <v>93</v>
      </c>
      <c r="AI500" s="16" t="n">
        <v>86</v>
      </c>
      <c r="AJ500" s="16" t="n">
        <f aca="false">(AI500*70)/100</f>
        <v>60.2</v>
      </c>
      <c r="AK500" s="35" t="n">
        <f aca="false">ROUNDUP(AJ500,0)</f>
        <v>61</v>
      </c>
      <c r="AL500" s="16" t="n">
        <v>23</v>
      </c>
      <c r="AM500" s="16" t="n">
        <f aca="false">AL500+AJ500</f>
        <v>83.2</v>
      </c>
      <c r="AN500" s="16" t="n">
        <f aca="false">AL500+AK500</f>
        <v>84</v>
      </c>
      <c r="AO500" s="16" t="n">
        <v>81</v>
      </c>
      <c r="AP500" s="36" t="n">
        <f aca="false">(AO500*70)/100</f>
        <v>56.7</v>
      </c>
      <c r="AQ500" s="37" t="n">
        <f aca="false">ROUNDUP(AP500,0)</f>
        <v>57</v>
      </c>
      <c r="AR500" s="16" t="n">
        <v>24</v>
      </c>
      <c r="AS500" s="16" t="n">
        <f aca="false">AR500+AP500</f>
        <v>80.7</v>
      </c>
      <c r="AT500" s="16" t="n">
        <f aca="false">AR500+AQ500</f>
        <v>81</v>
      </c>
      <c r="AU500" s="16" t="n">
        <f aca="false">AO500+AF500+AI500+AH500+AG500</f>
        <v>434</v>
      </c>
      <c r="AV500" s="16" t="n">
        <f aca="false">(AO500+AF500+AI500+AH500+AG500)/5</f>
        <v>86.8</v>
      </c>
      <c r="AW500" s="36" t="n">
        <f aca="false">(AO500+AF500+AI500+AH500+AG500+X500+R500+Q500+K500+J500)</f>
        <v>792</v>
      </c>
      <c r="AX500" s="16" t="n">
        <f aca="false">AW500/10</f>
        <v>79.2</v>
      </c>
      <c r="AY500" s="16" t="n">
        <f aca="false">AS500+AF500+AM500+AH500+AG500+AB500+V500+Q500+O500+J500</f>
        <v>803.8</v>
      </c>
      <c r="AZ500" s="16" t="n">
        <f aca="false">AT500+AF500+AN500+AH500+AG500+AC500+W500+Q500+P500+J500</f>
        <v>806</v>
      </c>
      <c r="BA500" s="16" t="n">
        <f aca="false">AY500/10</f>
        <v>80.38</v>
      </c>
      <c r="BB500" s="16" t="n">
        <f aca="false">AZ500/10</f>
        <v>80.6</v>
      </c>
      <c r="BC500" s="16" t="n">
        <v>2385</v>
      </c>
      <c r="BD500" s="16" t="n">
        <f aca="false">RANK(AX500,$AX$2:$AX$881,0)</f>
        <v>316</v>
      </c>
      <c r="BE500" s="54" t="n">
        <f aca="false">((BC500*100)/2400)*0.4+(AX500*0.6)</f>
        <v>87.27</v>
      </c>
      <c r="BF500" s="16" t="n">
        <f aca="false">RANK(BE500,$BE$2:$BE$881,0)</f>
        <v>271</v>
      </c>
      <c r="BG500" s="39" t="n">
        <f aca="false">RANK(BB500,$BB$2:$BB$881,0)</f>
        <v>309</v>
      </c>
      <c r="BH500" s="39" t="n">
        <f aca="false">RANK(BC500,$BC$2:$BC$881,0)</f>
        <v>93</v>
      </c>
      <c r="BI500" s="22" t="s">
        <v>130</v>
      </c>
      <c r="BJ500" s="22" t="s">
        <v>129</v>
      </c>
      <c r="BK500" s="40" t="s">
        <v>131</v>
      </c>
      <c r="BL500" s="44" t="n">
        <v>20</v>
      </c>
      <c r="BM500" s="44" t="n">
        <v>49</v>
      </c>
      <c r="BN500" s="44" t="n">
        <v>69</v>
      </c>
      <c r="BO500" s="44" t="n">
        <v>16</v>
      </c>
      <c r="BP500" s="43" t="n">
        <v>53</v>
      </c>
      <c r="BQ500" s="44" t="n">
        <v>69</v>
      </c>
      <c r="BR500" s="44" t="n">
        <v>24</v>
      </c>
      <c r="BS500" s="45" t="n">
        <v>56</v>
      </c>
      <c r="BT500" s="45" t="n">
        <v>80</v>
      </c>
      <c r="BU500" s="46" t="n">
        <v>100</v>
      </c>
      <c r="BV500" s="42" t="n">
        <v>92</v>
      </c>
      <c r="BW500" s="42" t="n">
        <v>95</v>
      </c>
      <c r="BX500" s="48" t="n">
        <v>94</v>
      </c>
      <c r="BY500" s="32" t="n">
        <v>24</v>
      </c>
      <c r="BZ500" s="32" t="n">
        <v>46</v>
      </c>
      <c r="CA500" s="32" t="n">
        <v>70</v>
      </c>
      <c r="CB500" s="32" t="n">
        <v>20</v>
      </c>
      <c r="CC500" s="32" t="n">
        <v>34</v>
      </c>
      <c r="CD500" s="69" t="n">
        <v>54</v>
      </c>
      <c r="CE500" s="32" t="n">
        <v>21</v>
      </c>
      <c r="CF500" s="32" t="n">
        <v>54</v>
      </c>
      <c r="CG500" s="32" t="n">
        <v>75</v>
      </c>
      <c r="CH500" s="32" t="n">
        <v>99</v>
      </c>
      <c r="CI500" s="32" t="n">
        <v>100</v>
      </c>
      <c r="CJ500" s="49" t="n">
        <v>21</v>
      </c>
      <c r="CK500" s="49" t="n">
        <v>45</v>
      </c>
      <c r="CL500" s="49" t="n">
        <v>66</v>
      </c>
      <c r="CM500" s="49" t="n">
        <v>19</v>
      </c>
      <c r="CN500" s="49" t="n">
        <v>56</v>
      </c>
      <c r="CO500" s="49" t="n">
        <v>75</v>
      </c>
      <c r="CP500" s="25" t="n">
        <f aca="false">BX500+BW500+BV500+BU500+BT500+BQ500+BN500</f>
        <v>599</v>
      </c>
      <c r="CQ500" s="25" t="n">
        <f aca="false">CO500+CL500+CI500+CH500+CG500+CD500+CA500</f>
        <v>539</v>
      </c>
      <c r="CR500" s="26" t="n">
        <f aca="false">CP500/7</f>
        <v>85.5714285714286</v>
      </c>
      <c r="CS500" s="26" t="n">
        <f aca="false">CQ500/7</f>
        <v>77</v>
      </c>
      <c r="CT500" s="24" t="n">
        <f aca="false">RANK(CR500,$CR$2:$CR$881,0)</f>
        <v>418</v>
      </c>
      <c r="CU500" s="25" t="n">
        <f aca="false">RANK(CS500,$CS$2:$CS$881,0)</f>
        <v>363</v>
      </c>
      <c r="CV500" s="26" t="n">
        <f aca="false">(CS500+CR500)/2</f>
        <v>81.2857142857143</v>
      </c>
      <c r="CW500" s="25" t="n">
        <f aca="false">RANK(CV500,$CV$2:$CV$881,0)</f>
        <v>369</v>
      </c>
      <c r="CX500" s="50" t="n">
        <f aca="false">(CV500+BB500)/2</f>
        <v>80.9428571428571</v>
      </c>
      <c r="CY500" s="50" t="n">
        <v>321</v>
      </c>
      <c r="CZ500" s="27" t="s">
        <v>132</v>
      </c>
      <c r="DA500" s="27" t="s">
        <v>133</v>
      </c>
      <c r="DB500" s="27" t="s">
        <v>133</v>
      </c>
      <c r="DC500" s="27" t="s">
        <v>134</v>
      </c>
      <c r="DD500" s="27" t="s">
        <v>154</v>
      </c>
      <c r="DE500" s="27" t="s">
        <v>218</v>
      </c>
      <c r="DF500" s="27" t="s">
        <v>219</v>
      </c>
      <c r="DG500" s="27" t="s">
        <v>134</v>
      </c>
      <c r="DH500" s="27" t="s">
        <v>195</v>
      </c>
      <c r="DI500" s="27" t="s">
        <v>447</v>
      </c>
      <c r="DJ500" s="27" t="s">
        <v>372</v>
      </c>
      <c r="DK500" s="27" t="s">
        <v>134</v>
      </c>
      <c r="DL500" s="27" t="s">
        <v>182</v>
      </c>
      <c r="DM500" s="27" t="s">
        <v>412</v>
      </c>
      <c r="DN500" s="27" t="s">
        <v>441</v>
      </c>
      <c r="DO500" s="27" t="s">
        <v>134</v>
      </c>
      <c r="DP500" s="27"/>
      <c r="DQ500" s="27"/>
      <c r="DR500" s="27"/>
      <c r="DS500" s="27"/>
      <c r="DT500" s="27" t="s">
        <v>137</v>
      </c>
      <c r="DU500" s="27" t="s">
        <v>906</v>
      </c>
      <c r="DV500" s="27" t="s">
        <v>152</v>
      </c>
      <c r="DW500" s="27" t="s">
        <v>706</v>
      </c>
      <c r="DX500" s="27" t="s">
        <v>155</v>
      </c>
      <c r="DY500" s="27" t="s">
        <v>175</v>
      </c>
      <c r="DZ500" s="27" t="n">
        <f aca="false">DY500+DV500+DR500+DN500+DJ500+DF500+DB500</f>
        <v>466</v>
      </c>
      <c r="EA500" s="28" t="n">
        <f aca="false">DZ500/7</f>
        <v>66.5714285714286</v>
      </c>
      <c r="EB500" s="27" t="n">
        <f aca="false">RANK(EA500,$EA$2:$EA$881,0)</f>
        <v>710</v>
      </c>
      <c r="EC500" s="29" t="n">
        <f aca="false">DZ500+CQ500+CP500+AZ500</f>
        <v>2410</v>
      </c>
      <c r="ED500" s="30" t="n">
        <f aca="false">(EA500+CV500+BB500)/3</f>
        <v>76.1523809523809</v>
      </c>
      <c r="EE500" s="51" t="n">
        <f aca="false">ROUND(BE500,3)</f>
        <v>87.27</v>
      </c>
      <c r="EF500" s="51" t="n">
        <f aca="false">ROUND(CR500,3)</f>
        <v>85.571</v>
      </c>
      <c r="EG500" s="51" t="n">
        <f aca="false">ROUND(CS500,3)</f>
        <v>77</v>
      </c>
      <c r="EH500" s="51" t="n">
        <f aca="false">ROUND(EA500,3)</f>
        <v>66.571</v>
      </c>
      <c r="EI500" s="51" t="n">
        <f aca="false">ROUND(ED500,3)</f>
        <v>76.152</v>
      </c>
      <c r="EJ500" s="51" t="n">
        <f aca="false">ROUND(CV500,3)</f>
        <v>81.286</v>
      </c>
      <c r="EK500" s="0" t="n">
        <f aca="false">RANK(EI500,$EI$2:$EI$881,0)</f>
        <v>499</v>
      </c>
    </row>
    <row r="501" customFormat="false" ht="15" hidden="false" customHeight="false" outlineLevel="0" collapsed="false">
      <c r="A501" s="4" t="n">
        <v>1981</v>
      </c>
      <c r="B501" s="4" t="n">
        <v>496</v>
      </c>
      <c r="C501" s="27" t="s">
        <v>1534</v>
      </c>
      <c r="D501" s="31" t="n">
        <v>503</v>
      </c>
      <c r="E501" s="16" t="n">
        <v>230119658</v>
      </c>
      <c r="F501" s="56" t="s">
        <v>1535</v>
      </c>
      <c r="G501" s="22" t="s">
        <v>1536</v>
      </c>
      <c r="H501" s="22" t="s">
        <v>326</v>
      </c>
      <c r="I501" s="57"/>
      <c r="J501" s="71" t="n">
        <v>57</v>
      </c>
      <c r="K501" s="16" t="n">
        <v>83</v>
      </c>
      <c r="L501" s="34" t="n">
        <f aca="false">(K501*70)/100</f>
        <v>58.1</v>
      </c>
      <c r="M501" s="34" t="n">
        <f aca="false">ROUNDUP(L501,0)</f>
        <v>59</v>
      </c>
      <c r="N501" s="16" t="n">
        <v>19</v>
      </c>
      <c r="O501" s="34" t="n">
        <f aca="false">N501+L501</f>
        <v>77.1</v>
      </c>
      <c r="P501" s="34" t="n">
        <f aca="false">N501+M501</f>
        <v>78</v>
      </c>
      <c r="Q501" s="16" t="n">
        <v>78</v>
      </c>
      <c r="R501" s="16" t="n">
        <v>77</v>
      </c>
      <c r="S501" s="34" t="n">
        <f aca="false">(R501*70)/100</f>
        <v>53.9</v>
      </c>
      <c r="T501" s="34" t="n">
        <f aca="false">ROUNDUP(S501,0)</f>
        <v>54</v>
      </c>
      <c r="U501" s="16" t="n">
        <v>25</v>
      </c>
      <c r="V501" s="34" t="n">
        <f aca="false">U501+S501</f>
        <v>78.9</v>
      </c>
      <c r="W501" s="34" t="n">
        <f aca="false">U501+T501</f>
        <v>79</v>
      </c>
      <c r="X501" s="16" t="n">
        <v>77</v>
      </c>
      <c r="Y501" s="34" t="n">
        <f aca="false">(X501*70)/100</f>
        <v>53.9</v>
      </c>
      <c r="Z501" s="34" t="n">
        <f aca="false">ROUNDUP(Y501,0)</f>
        <v>54</v>
      </c>
      <c r="AA501" s="16" t="n">
        <v>27</v>
      </c>
      <c r="AB501" s="34" t="n">
        <f aca="false">AA501+Y501</f>
        <v>80.9</v>
      </c>
      <c r="AC501" s="34" t="n">
        <f aca="false">AA501+Z501</f>
        <v>81</v>
      </c>
      <c r="AD501" s="32" t="n">
        <f aca="false">X501+R501+Q501+K501+J501</f>
        <v>372</v>
      </c>
      <c r="AE501" s="16" t="n">
        <f aca="false">AD501/5</f>
        <v>74.4</v>
      </c>
      <c r="AF501" s="16" t="n">
        <v>79</v>
      </c>
      <c r="AG501" s="16" t="n">
        <v>74</v>
      </c>
      <c r="AH501" s="16" t="n">
        <v>92</v>
      </c>
      <c r="AI501" s="16" t="n">
        <v>84</v>
      </c>
      <c r="AJ501" s="16" t="n">
        <f aca="false">(AI501*70)/100</f>
        <v>58.8</v>
      </c>
      <c r="AK501" s="35" t="n">
        <f aca="false">ROUNDUP(AJ501,0)</f>
        <v>59</v>
      </c>
      <c r="AL501" s="16" t="n">
        <v>21</v>
      </c>
      <c r="AM501" s="16" t="n">
        <f aca="false">AL501+AJ501</f>
        <v>79.8</v>
      </c>
      <c r="AN501" s="16" t="n">
        <f aca="false">AL501+AK501</f>
        <v>80</v>
      </c>
      <c r="AO501" s="16" t="n">
        <v>80</v>
      </c>
      <c r="AP501" s="36" t="n">
        <f aca="false">(AO501*70)/100</f>
        <v>56</v>
      </c>
      <c r="AQ501" s="37" t="n">
        <f aca="false">ROUNDUP(AP501,0)</f>
        <v>56</v>
      </c>
      <c r="AR501" s="16" t="n">
        <v>26</v>
      </c>
      <c r="AS501" s="16" t="n">
        <f aca="false">AR501+AP501</f>
        <v>82</v>
      </c>
      <c r="AT501" s="16" t="n">
        <f aca="false">AR501+AQ501</f>
        <v>82</v>
      </c>
      <c r="AU501" s="16" t="n">
        <f aca="false">AO501+AF501+AI501+AH501+AG501</f>
        <v>409</v>
      </c>
      <c r="AV501" s="16" t="n">
        <f aca="false">(AO501+AF501+AI501+AH501+AG501)/5</f>
        <v>81.8</v>
      </c>
      <c r="AW501" s="36" t="n">
        <f aca="false">(AO501+AF501+AI501+AH501+AG501+X501+R501+Q501+K501+J501)</f>
        <v>781</v>
      </c>
      <c r="AX501" s="16" t="n">
        <f aca="false">AW501/10</f>
        <v>78.1</v>
      </c>
      <c r="AY501" s="16" t="n">
        <f aca="false">AS501+AF501+AM501+AH501+AG501+AB501+V501+Q501+O501+J501</f>
        <v>778.7</v>
      </c>
      <c r="AZ501" s="16" t="n">
        <f aca="false">AT501+AF501+AN501+AH501+AG501+AC501+W501+Q501+P501+J501</f>
        <v>780</v>
      </c>
      <c r="BA501" s="16" t="n">
        <f aca="false">AY501/10</f>
        <v>77.87</v>
      </c>
      <c r="BB501" s="16" t="n">
        <f aca="false">AZ501/10</f>
        <v>78</v>
      </c>
      <c r="BC501" s="16" t="n">
        <v>2344</v>
      </c>
      <c r="BD501" s="16" t="n">
        <f aca="false">RANK(AX501,$AX$2:$AX$881,0)</f>
        <v>402</v>
      </c>
      <c r="BE501" s="54" t="n">
        <f aca="false">((BC501*100)/2400)*0.4+(AX501*0.6)</f>
        <v>85.9266666666667</v>
      </c>
      <c r="BF501" s="16" t="n">
        <f aca="false">RANK(BE501,$BE$2:$BE$881,0)</f>
        <v>445</v>
      </c>
      <c r="BG501" s="39" t="n">
        <f aca="false">RANK(BB501,$BB$2:$BB$881,0)</f>
        <v>558</v>
      </c>
      <c r="BH501" s="39" t="n">
        <f aca="false">RANK(BC501,$BC$2:$BC$881,0)</f>
        <v>598</v>
      </c>
      <c r="BI501" s="22" t="s">
        <v>130</v>
      </c>
      <c r="BJ501" s="22" t="s">
        <v>129</v>
      </c>
      <c r="BK501" s="40" t="s">
        <v>509</v>
      </c>
      <c r="BL501" s="41" t="n">
        <v>12</v>
      </c>
      <c r="BM501" s="41" t="n">
        <v>47</v>
      </c>
      <c r="BN501" s="98" t="n">
        <v>59</v>
      </c>
      <c r="BO501" s="42" t="n">
        <v>22</v>
      </c>
      <c r="BP501" s="43" t="n">
        <v>47</v>
      </c>
      <c r="BQ501" s="44" t="n">
        <v>69</v>
      </c>
      <c r="BR501" s="42" t="n">
        <v>18</v>
      </c>
      <c r="BS501" s="45" t="n">
        <v>46</v>
      </c>
      <c r="BT501" s="45" t="n">
        <v>64</v>
      </c>
      <c r="BU501" s="46" t="n">
        <v>93</v>
      </c>
      <c r="BV501" s="47" t="n">
        <v>68</v>
      </c>
      <c r="BW501" s="42" t="n">
        <v>86</v>
      </c>
      <c r="BX501" s="48" t="n">
        <v>94</v>
      </c>
      <c r="BY501" s="32" t="n">
        <v>18</v>
      </c>
      <c r="BZ501" s="32" t="n">
        <v>52</v>
      </c>
      <c r="CA501" s="48" t="n">
        <v>70</v>
      </c>
      <c r="CB501" s="32" t="n">
        <v>17</v>
      </c>
      <c r="CC501" s="32" t="n">
        <v>35</v>
      </c>
      <c r="CD501" s="69" t="n">
        <v>52</v>
      </c>
      <c r="CE501" s="32" t="n">
        <v>24</v>
      </c>
      <c r="CF501" s="32" t="n">
        <v>49</v>
      </c>
      <c r="CG501" s="32" t="n">
        <v>73</v>
      </c>
      <c r="CH501" s="32" t="n">
        <v>99</v>
      </c>
      <c r="CI501" s="32" t="n">
        <v>75</v>
      </c>
      <c r="CJ501" s="83" t="n">
        <v>11</v>
      </c>
      <c r="CK501" s="60"/>
      <c r="CL501" s="61"/>
      <c r="CM501" s="49" t="n">
        <v>19</v>
      </c>
      <c r="CN501" s="49" t="n">
        <v>51</v>
      </c>
      <c r="CO501" s="49" t="n">
        <v>70</v>
      </c>
      <c r="CP501" s="25" t="n">
        <f aca="false">BX501+BW501+BV501+BU501+BT501+BQ501+BN501</f>
        <v>533</v>
      </c>
      <c r="CQ501" s="25" t="n">
        <f aca="false">CO501+CL501+CI501+CH501+CG501+CD501+CA501</f>
        <v>439</v>
      </c>
      <c r="CR501" s="26" t="n">
        <f aca="false">CP501/7</f>
        <v>76.1428571428571</v>
      </c>
      <c r="CS501" s="26" t="n">
        <f aca="false">CQ501/7</f>
        <v>62.7142857142857</v>
      </c>
      <c r="CT501" s="24" t="n">
        <f aca="false">RANK(CR501,$CR$2:$CR$881,0)</f>
        <v>634</v>
      </c>
      <c r="CU501" s="25" t="n">
        <f aca="false">RANK(CS501,$CS$2:$CS$881,0)</f>
        <v>657</v>
      </c>
      <c r="CV501" s="26" t="n">
        <f aca="false">(CS501+CR501)/2</f>
        <v>69.4285714285714</v>
      </c>
      <c r="CW501" s="25" t="n">
        <f aca="false">RANK(CV501,$CV$2:$CV$881,0)</f>
        <v>638</v>
      </c>
      <c r="CX501" s="50" t="n">
        <f aca="false">(CV501+BB501)/2</f>
        <v>73.7142857142857</v>
      </c>
      <c r="CY501" s="50" t="n">
        <v>579</v>
      </c>
      <c r="CZ501" s="27" t="s">
        <v>132</v>
      </c>
      <c r="DA501" s="27" t="s">
        <v>219</v>
      </c>
      <c r="DB501" s="27" t="s">
        <v>219</v>
      </c>
      <c r="DC501" s="27" t="s">
        <v>134</v>
      </c>
      <c r="DD501" s="27" t="s">
        <v>174</v>
      </c>
      <c r="DE501" s="27" t="s">
        <v>313</v>
      </c>
      <c r="DF501" s="27" t="s">
        <v>372</v>
      </c>
      <c r="DG501" s="27" t="s">
        <v>134</v>
      </c>
      <c r="DH501" s="27" t="s">
        <v>135</v>
      </c>
      <c r="DI501" s="27" t="s">
        <v>161</v>
      </c>
      <c r="DJ501" s="27" t="s">
        <v>202</v>
      </c>
      <c r="DK501" s="27" t="s">
        <v>134</v>
      </c>
      <c r="DL501" s="27" t="s">
        <v>154</v>
      </c>
      <c r="DM501" s="27" t="s">
        <v>375</v>
      </c>
      <c r="DN501" s="27" t="s">
        <v>486</v>
      </c>
      <c r="DO501" s="27" t="s">
        <v>134</v>
      </c>
      <c r="DP501" s="27" t="s">
        <v>191</v>
      </c>
      <c r="DQ501" s="27" t="s">
        <v>412</v>
      </c>
      <c r="DR501" s="27" t="s">
        <v>416</v>
      </c>
      <c r="DS501" s="27" t="s">
        <v>134</v>
      </c>
      <c r="DT501" s="27" t="s">
        <v>182</v>
      </c>
      <c r="DU501" s="27" t="s">
        <v>177</v>
      </c>
      <c r="DV501" s="27" t="s">
        <v>209</v>
      </c>
      <c r="DW501" s="27" t="s">
        <v>140</v>
      </c>
      <c r="DX501" s="27" t="s">
        <v>155</v>
      </c>
      <c r="DY501" s="27" t="s">
        <v>147</v>
      </c>
      <c r="DZ501" s="27" t="n">
        <f aca="false">DY501+DV501+DR501+DN501+DJ501+DF501+DB501</f>
        <v>567</v>
      </c>
      <c r="EA501" s="28" t="n">
        <f aca="false">DZ501/7</f>
        <v>81</v>
      </c>
      <c r="EB501" s="27" t="n">
        <f aca="false">RANK(EA501,$EA$2:$EA$881,0)</f>
        <v>350</v>
      </c>
      <c r="EC501" s="29" t="n">
        <f aca="false">DZ501+CQ501+CP501+AZ501</f>
        <v>2319</v>
      </c>
      <c r="ED501" s="30" t="n">
        <f aca="false">(EA501+CV501+BB501)/3</f>
        <v>76.1428571428572</v>
      </c>
      <c r="EE501" s="51" t="n">
        <f aca="false">ROUND(BE501,3)</f>
        <v>85.927</v>
      </c>
      <c r="EF501" s="51" t="n">
        <f aca="false">ROUND(CR501,3)</f>
        <v>76.143</v>
      </c>
      <c r="EG501" s="51" t="n">
        <f aca="false">ROUND(CS501,3)</f>
        <v>62.714</v>
      </c>
      <c r="EH501" s="51" t="n">
        <f aca="false">ROUND(EA501,3)</f>
        <v>81</v>
      </c>
      <c r="EI501" s="51" t="n">
        <f aca="false">ROUND(ED501,3)</f>
        <v>76.143</v>
      </c>
      <c r="EJ501" s="51" t="n">
        <f aca="false">ROUND(CV501,3)</f>
        <v>69.429</v>
      </c>
      <c r="EK501" s="0" t="n">
        <f aca="false">RANK(EI501,$EI$2:$EI$881,0)</f>
        <v>500</v>
      </c>
    </row>
    <row r="502" customFormat="false" ht="15" hidden="false" customHeight="false" outlineLevel="0" collapsed="false">
      <c r="A502" s="4" t="n">
        <v>1962</v>
      </c>
      <c r="B502" s="4" t="n">
        <v>662</v>
      </c>
      <c r="C502" s="27" t="s">
        <v>1537</v>
      </c>
      <c r="D502" s="31" t="n">
        <v>675</v>
      </c>
      <c r="E502" s="16" t="n">
        <v>230506809</v>
      </c>
      <c r="F502" s="56" t="s">
        <v>1538</v>
      </c>
      <c r="G502" s="22" t="s">
        <v>1539</v>
      </c>
      <c r="H502" s="22" t="s">
        <v>558</v>
      </c>
      <c r="I502" s="57"/>
      <c r="J502" s="16" t="n">
        <v>79</v>
      </c>
      <c r="K502" s="16" t="n">
        <v>68</v>
      </c>
      <c r="L502" s="34" t="n">
        <f aca="false">(K502*70)/100</f>
        <v>47.6</v>
      </c>
      <c r="M502" s="34" t="n">
        <f aca="false">ROUNDUP(L502,0)</f>
        <v>48</v>
      </c>
      <c r="N502" s="16" t="n">
        <v>26</v>
      </c>
      <c r="O502" s="34" t="n">
        <f aca="false">N502+L502</f>
        <v>73.6</v>
      </c>
      <c r="P502" s="34" t="n">
        <f aca="false">N502+M502</f>
        <v>74</v>
      </c>
      <c r="Q502" s="16" t="n">
        <v>74</v>
      </c>
      <c r="R502" s="16" t="n">
        <v>75</v>
      </c>
      <c r="S502" s="34" t="n">
        <f aca="false">(R502*70)/100</f>
        <v>52.5</v>
      </c>
      <c r="T502" s="34" t="n">
        <f aca="false">ROUNDUP(S502,0)</f>
        <v>53</v>
      </c>
      <c r="U502" s="16" t="n">
        <v>29</v>
      </c>
      <c r="V502" s="34" t="n">
        <f aca="false">U502+S502</f>
        <v>81.5</v>
      </c>
      <c r="W502" s="34" t="n">
        <f aca="false">U502+T502</f>
        <v>82</v>
      </c>
      <c r="X502" s="16" t="n">
        <v>67</v>
      </c>
      <c r="Y502" s="34" t="n">
        <f aca="false">(X502*70)/100</f>
        <v>46.9</v>
      </c>
      <c r="Z502" s="34" t="n">
        <f aca="false">ROUNDUP(Y502,0)</f>
        <v>47</v>
      </c>
      <c r="AA502" s="16" t="n">
        <v>27</v>
      </c>
      <c r="AB502" s="34" t="n">
        <f aca="false">AA502+Y502</f>
        <v>73.9</v>
      </c>
      <c r="AC502" s="34" t="n">
        <f aca="false">AA502+Z502</f>
        <v>74</v>
      </c>
      <c r="AD502" s="32" t="n">
        <f aca="false">X502+R502+Q502+K502+J502</f>
        <v>363</v>
      </c>
      <c r="AE502" s="16" t="n">
        <f aca="false">AD502/5</f>
        <v>72.6</v>
      </c>
      <c r="AF502" s="16" t="n">
        <v>63</v>
      </c>
      <c r="AG502" s="16" t="n">
        <v>82</v>
      </c>
      <c r="AH502" s="16" t="n">
        <v>83</v>
      </c>
      <c r="AI502" s="16" t="n">
        <v>91</v>
      </c>
      <c r="AJ502" s="16" t="n">
        <f aca="false">(AI502*70)/100</f>
        <v>63.7</v>
      </c>
      <c r="AK502" s="35" t="n">
        <f aca="false">ROUNDUP(AJ502,0)</f>
        <v>64</v>
      </c>
      <c r="AL502" s="16" t="n">
        <v>28</v>
      </c>
      <c r="AM502" s="16" t="n">
        <f aca="false">AL502+AJ502</f>
        <v>91.7</v>
      </c>
      <c r="AN502" s="16" t="n">
        <f aca="false">AL502+AK502</f>
        <v>92</v>
      </c>
      <c r="AO502" s="16" t="n">
        <v>83</v>
      </c>
      <c r="AP502" s="36" t="n">
        <f aca="false">(AO502*70)/100</f>
        <v>58.1</v>
      </c>
      <c r="AQ502" s="37" t="n">
        <f aca="false">ROUNDUP(AP502,0)</f>
        <v>59</v>
      </c>
      <c r="AR502" s="16" t="n">
        <v>30</v>
      </c>
      <c r="AS502" s="16" t="n">
        <f aca="false">AR502+AP502</f>
        <v>88.1</v>
      </c>
      <c r="AT502" s="16" t="n">
        <f aca="false">AR502+AQ502</f>
        <v>89</v>
      </c>
      <c r="AU502" s="16" t="n">
        <f aca="false">AO502+AF502+AI502+AH502+AG502</f>
        <v>402</v>
      </c>
      <c r="AV502" s="16" t="n">
        <f aca="false">(AO502+AF502+AI502+AH502+AG502)/5</f>
        <v>80.4</v>
      </c>
      <c r="AW502" s="36" t="n">
        <f aca="false">(AO502+AF502+AI502+AH502+AG502+X502+R502+Q502+K502+J502)</f>
        <v>765</v>
      </c>
      <c r="AX502" s="16" t="n">
        <f aca="false">AW502/10</f>
        <v>76.5</v>
      </c>
      <c r="AY502" s="16" t="n">
        <f aca="false">AS502+AF502+AM502+AH502+AG502+AB502+V502+Q502+O502+J502</f>
        <v>789.8</v>
      </c>
      <c r="AZ502" s="16" t="n">
        <f aca="false">AT502+AF502+AN502+AH502+AG502+AC502+W502+Q502+P502+J502</f>
        <v>792</v>
      </c>
      <c r="BA502" s="16" t="n">
        <f aca="false">AY502/10</f>
        <v>78.98</v>
      </c>
      <c r="BB502" s="16" t="n">
        <f aca="false">AZ502/10</f>
        <v>79.2</v>
      </c>
      <c r="BC502" s="16" t="n">
        <v>2343</v>
      </c>
      <c r="BD502" s="16" t="n">
        <f aca="false">RANK(AX502,$AX$2:$AX$881,0)</f>
        <v>562</v>
      </c>
      <c r="BE502" s="73" t="n">
        <f aca="false">((BC502*100)/2400)*0.4+(AX502*0.6)</f>
        <v>84.95</v>
      </c>
      <c r="BF502" s="16" t="n">
        <f aca="false">RANK(BE502,$BE$2:$BE$881,0)</f>
        <v>627</v>
      </c>
      <c r="BG502" s="39" t="n">
        <f aca="false">RANK(BB502,$BB$2:$BB$881,0)</f>
        <v>434</v>
      </c>
      <c r="BH502" s="39" t="n">
        <f aca="false">RANK(BC502,$BC$2:$BC$881,0)</f>
        <v>613</v>
      </c>
      <c r="BI502" s="22" t="s">
        <v>130</v>
      </c>
      <c r="BJ502" s="22" t="s">
        <v>129</v>
      </c>
      <c r="BK502" s="22" t="s">
        <v>509</v>
      </c>
      <c r="BL502" s="41" t="n">
        <v>24</v>
      </c>
      <c r="BM502" s="41" t="n">
        <v>47</v>
      </c>
      <c r="BN502" s="41" t="n">
        <v>71</v>
      </c>
      <c r="BO502" s="42" t="n">
        <v>28</v>
      </c>
      <c r="BP502" s="43" t="n">
        <v>55</v>
      </c>
      <c r="BQ502" s="44" t="n">
        <v>83</v>
      </c>
      <c r="BR502" s="42" t="n">
        <v>27</v>
      </c>
      <c r="BS502" s="45" t="n">
        <v>59</v>
      </c>
      <c r="BT502" s="45" t="n">
        <v>86</v>
      </c>
      <c r="BU502" s="46" t="n">
        <v>100</v>
      </c>
      <c r="BV502" s="47" t="n">
        <v>84</v>
      </c>
      <c r="BW502" s="42" t="n">
        <v>96</v>
      </c>
      <c r="BX502" s="121" t="n">
        <v>92</v>
      </c>
      <c r="BY502" s="58" t="n">
        <v>27</v>
      </c>
      <c r="BZ502" s="58" t="n">
        <v>44</v>
      </c>
      <c r="CA502" s="58" t="n">
        <v>71</v>
      </c>
      <c r="CB502" s="58"/>
      <c r="CC502" s="58"/>
      <c r="CD502" s="58"/>
      <c r="CE502" s="62" t="n">
        <v>21</v>
      </c>
      <c r="CF502" s="58" t="n">
        <v>45</v>
      </c>
      <c r="CG502" s="58" t="n">
        <v>66</v>
      </c>
      <c r="CH502" s="58" t="n">
        <v>84</v>
      </c>
      <c r="CI502" s="58" t="n">
        <v>74</v>
      </c>
      <c r="CJ502" s="58" t="n">
        <v>17</v>
      </c>
      <c r="CK502" s="58" t="n">
        <v>65</v>
      </c>
      <c r="CL502" s="59" t="n">
        <v>82</v>
      </c>
      <c r="CM502" s="60"/>
      <c r="CN502" s="60"/>
      <c r="CO502" s="60"/>
      <c r="CP502" s="25" t="n">
        <f aca="false">BX502+BW502+BV502+BU502+BT502+BQ502+BN502</f>
        <v>612</v>
      </c>
      <c r="CQ502" s="25" t="n">
        <f aca="false">CO502+CL502+CI502+CH502+CG502+CD502+CA502</f>
        <v>377</v>
      </c>
      <c r="CR502" s="26" t="n">
        <f aca="false">CP502/7</f>
        <v>87.4285714285714</v>
      </c>
      <c r="CS502" s="26" t="n">
        <f aca="false">CQ502/7</f>
        <v>53.8571428571429</v>
      </c>
      <c r="CT502" s="24" t="n">
        <f aca="false">RANK(CR502,$CR$2:$CR$881,0)</f>
        <v>340</v>
      </c>
      <c r="CU502" s="25" t="n">
        <f aca="false">RANK(CS502,$CS$2:$CS$881,0)</f>
        <v>709</v>
      </c>
      <c r="CV502" s="26" t="n">
        <f aca="false">(CS502+CR502)/2</f>
        <v>70.6428571428571</v>
      </c>
      <c r="CW502" s="25" t="n">
        <f aca="false">RANK(CV502,$CV$2:$CV$881,0)</f>
        <v>630</v>
      </c>
      <c r="CX502" s="50" t="n">
        <f aca="false">(CV502+BB502)/2</f>
        <v>74.9214285714286</v>
      </c>
      <c r="CY502" s="50" t="n">
        <v>654</v>
      </c>
      <c r="CZ502" s="27" t="s">
        <v>132</v>
      </c>
      <c r="DA502" s="27" t="s">
        <v>219</v>
      </c>
      <c r="DB502" s="27" t="s">
        <v>219</v>
      </c>
      <c r="DC502" s="27" t="s">
        <v>134</v>
      </c>
      <c r="DD502" s="27" t="s">
        <v>135</v>
      </c>
      <c r="DE502" s="27" t="s">
        <v>183</v>
      </c>
      <c r="DF502" s="27" t="s">
        <v>169</v>
      </c>
      <c r="DG502" s="27" t="s">
        <v>134</v>
      </c>
      <c r="DH502" s="27" t="s">
        <v>182</v>
      </c>
      <c r="DI502" s="27" t="s">
        <v>183</v>
      </c>
      <c r="DJ502" s="27" t="s">
        <v>205</v>
      </c>
      <c r="DK502" s="27" t="s">
        <v>134</v>
      </c>
      <c r="DL502" s="27" t="s">
        <v>160</v>
      </c>
      <c r="DM502" s="27" t="s">
        <v>442</v>
      </c>
      <c r="DN502" s="27" t="s">
        <v>382</v>
      </c>
      <c r="DO502" s="27" t="s">
        <v>134</v>
      </c>
      <c r="DP502" s="27" t="s">
        <v>825</v>
      </c>
      <c r="DQ502" s="27" t="s">
        <v>442</v>
      </c>
      <c r="DR502" s="27" t="s">
        <v>203</v>
      </c>
      <c r="DS502" s="27" t="s">
        <v>134</v>
      </c>
      <c r="DT502" s="27" t="s">
        <v>182</v>
      </c>
      <c r="DU502" s="27" t="s">
        <v>399</v>
      </c>
      <c r="DV502" s="27" t="s">
        <v>398</v>
      </c>
      <c r="DW502" s="27" t="s">
        <v>135</v>
      </c>
      <c r="DX502" s="27" t="s">
        <v>138</v>
      </c>
      <c r="DY502" s="27" t="s">
        <v>156</v>
      </c>
      <c r="DZ502" s="27" t="n">
        <f aca="false">DY502+DV502+DR502+DN502+DJ502+DF502+DB502</f>
        <v>550</v>
      </c>
      <c r="EA502" s="28" t="n">
        <f aca="false">DZ502/7</f>
        <v>78.5714285714286</v>
      </c>
      <c r="EB502" s="27" t="n">
        <f aca="false">RANK(EA502,$EA$2:$EA$881,0)</f>
        <v>436</v>
      </c>
      <c r="EC502" s="29" t="n">
        <f aca="false">DZ502+CQ502+CP502+AZ502</f>
        <v>2331</v>
      </c>
      <c r="ED502" s="30" t="n">
        <f aca="false">(EA502+CV502+BB502)/3</f>
        <v>76.1380952380952</v>
      </c>
      <c r="EE502" s="51" t="n">
        <f aca="false">ROUND(BE502,3)</f>
        <v>84.95</v>
      </c>
      <c r="EF502" s="51" t="n">
        <f aca="false">ROUND(CR502,3)</f>
        <v>87.429</v>
      </c>
      <c r="EG502" s="51" t="n">
        <f aca="false">ROUND(CS502,3)</f>
        <v>53.857</v>
      </c>
      <c r="EH502" s="51" t="n">
        <f aca="false">ROUND(EA502,3)</f>
        <v>78.571</v>
      </c>
      <c r="EI502" s="51" t="n">
        <f aca="false">ROUND(ED502,3)</f>
        <v>76.138</v>
      </c>
      <c r="EJ502" s="51" t="n">
        <f aca="false">ROUND(CV502,3)</f>
        <v>70.643</v>
      </c>
      <c r="EK502" s="0" t="n">
        <f aca="false">RANK(EI502,$EI$2:$EI$881,0)</f>
        <v>501</v>
      </c>
    </row>
    <row r="503" customFormat="false" ht="15" hidden="false" customHeight="false" outlineLevel="0" collapsed="false">
      <c r="A503" s="4" t="n">
        <v>2102</v>
      </c>
      <c r="B503" s="4" t="n">
        <v>292</v>
      </c>
      <c r="C503" s="27" t="s">
        <v>1540</v>
      </c>
      <c r="D503" s="31" t="n">
        <v>291</v>
      </c>
      <c r="E503" s="16" t="n">
        <v>231800046</v>
      </c>
      <c r="F503" s="56" t="s">
        <v>1541</v>
      </c>
      <c r="G503" s="22" t="s">
        <v>798</v>
      </c>
      <c r="H503" s="22" t="s">
        <v>129</v>
      </c>
      <c r="I503" s="57"/>
      <c r="J503" s="16" t="n">
        <v>63</v>
      </c>
      <c r="K503" s="16" t="n">
        <v>82</v>
      </c>
      <c r="L503" s="34" t="n">
        <f aca="false">(K503*70)/100</f>
        <v>57.4</v>
      </c>
      <c r="M503" s="34" t="n">
        <f aca="false">ROUNDUP(L503,0)</f>
        <v>58</v>
      </c>
      <c r="N503" s="16" t="n">
        <v>27</v>
      </c>
      <c r="O503" s="34" t="n">
        <f aca="false">N503+L503</f>
        <v>84.4</v>
      </c>
      <c r="P503" s="34" t="n">
        <f aca="false">N503+M503</f>
        <v>85</v>
      </c>
      <c r="Q503" s="16" t="n">
        <v>75</v>
      </c>
      <c r="R503" s="16" t="n">
        <v>71</v>
      </c>
      <c r="S503" s="34" t="n">
        <f aca="false">(R503*70)/100</f>
        <v>49.7</v>
      </c>
      <c r="T503" s="34" t="n">
        <f aca="false">ROUNDUP(S503,0)</f>
        <v>50</v>
      </c>
      <c r="U503" s="16" t="n">
        <v>24</v>
      </c>
      <c r="V503" s="34" t="n">
        <f aca="false">U503+S503</f>
        <v>73.7</v>
      </c>
      <c r="W503" s="34" t="n">
        <f aca="false">U503+T503</f>
        <v>74</v>
      </c>
      <c r="X503" s="16" t="n">
        <v>65</v>
      </c>
      <c r="Y503" s="34" t="n">
        <f aca="false">(X503*70)/100</f>
        <v>45.5</v>
      </c>
      <c r="Z503" s="34" t="n">
        <f aca="false">ROUNDUP(Y503,0)</f>
        <v>46</v>
      </c>
      <c r="AA503" s="16" t="n">
        <v>23</v>
      </c>
      <c r="AB503" s="34" t="n">
        <f aca="false">AA503+Y503</f>
        <v>68.5</v>
      </c>
      <c r="AC503" s="34" t="n">
        <f aca="false">AA503+Z503</f>
        <v>69</v>
      </c>
      <c r="AD503" s="32" t="n">
        <f aca="false">X503+R503+Q503+K503+J503</f>
        <v>356</v>
      </c>
      <c r="AE503" s="16" t="n">
        <f aca="false">AD503/5</f>
        <v>71.2</v>
      </c>
      <c r="AF503" s="16" t="n">
        <v>61</v>
      </c>
      <c r="AG503" s="16" t="n">
        <v>77</v>
      </c>
      <c r="AH503" s="16" t="n">
        <v>91</v>
      </c>
      <c r="AI503" s="16" t="n">
        <v>86</v>
      </c>
      <c r="AJ503" s="16" t="n">
        <f aca="false">(AI503*70)/100</f>
        <v>60.2</v>
      </c>
      <c r="AK503" s="35" t="n">
        <f aca="false">ROUNDUP(AJ503,0)</f>
        <v>61</v>
      </c>
      <c r="AL503" s="16" t="n">
        <v>26</v>
      </c>
      <c r="AM503" s="16" t="n">
        <f aca="false">AL503+AJ503</f>
        <v>86.2</v>
      </c>
      <c r="AN503" s="16" t="n">
        <f aca="false">AL503+AK503</f>
        <v>87</v>
      </c>
      <c r="AO503" s="16" t="n">
        <v>64</v>
      </c>
      <c r="AP503" s="36" t="n">
        <f aca="false">(AO503*70)/100</f>
        <v>44.8</v>
      </c>
      <c r="AQ503" s="37" t="n">
        <f aca="false">ROUNDUP(AP503,0)</f>
        <v>45</v>
      </c>
      <c r="AR503" s="16" t="n">
        <v>24</v>
      </c>
      <c r="AS503" s="16" t="n">
        <f aca="false">AR503+AP503</f>
        <v>68.8</v>
      </c>
      <c r="AT503" s="16" t="n">
        <f aca="false">AR503+AQ503</f>
        <v>69</v>
      </c>
      <c r="AU503" s="16" t="n">
        <f aca="false">AO503+AF503+AI503+AH503+AG503</f>
        <v>379</v>
      </c>
      <c r="AV503" s="16" t="n">
        <f aca="false">(AO503+AF503+AI503+AH503+AG503)/5</f>
        <v>75.8</v>
      </c>
      <c r="AW503" s="36" t="n">
        <f aca="false">(AO503+AF503+AI503+AH503+AG503+X503+R503+Q503+K503+J503)</f>
        <v>735</v>
      </c>
      <c r="AX503" s="16" t="n">
        <f aca="false">AW503/10</f>
        <v>73.5</v>
      </c>
      <c r="AY503" s="16" t="n">
        <f aca="false">AS503+AF503+AM503+AH503+AG503+AB503+V503+Q503+O503+J503</f>
        <v>748.6</v>
      </c>
      <c r="AZ503" s="16" t="n">
        <f aca="false">AT503+AF503+AN503+AH503+AG503+AC503+W503+Q503+P503+J503</f>
        <v>751</v>
      </c>
      <c r="BA503" s="16" t="n">
        <f aca="false">AY503/10</f>
        <v>74.86</v>
      </c>
      <c r="BB503" s="16" t="n">
        <f aca="false">AZ503/10</f>
        <v>75.1</v>
      </c>
      <c r="BC503" s="72" t="n">
        <v>0</v>
      </c>
      <c r="BD503" s="16" t="n">
        <f aca="false">RANK(AX503,$AX$2:$AX$881,0)</f>
        <v>707</v>
      </c>
      <c r="BE503" s="78" t="n">
        <f aca="false">AX503</f>
        <v>73.5</v>
      </c>
      <c r="BF503" s="16" t="n">
        <f aca="false">RANK(BE503,$BE$2:$BE$881,0)</f>
        <v>778</v>
      </c>
      <c r="BG503" s="39" t="n">
        <f aca="false">RANK(BB503,$BB$2:$BB$881,0)</f>
        <v>696</v>
      </c>
      <c r="BH503" s="39" t="n">
        <f aca="false">RANK(BC503,$BC$2:$BC$881,0)</f>
        <v>780</v>
      </c>
      <c r="BI503" s="22" t="s">
        <v>130</v>
      </c>
      <c r="BJ503" s="22" t="s">
        <v>129</v>
      </c>
      <c r="BK503" s="22" t="s">
        <v>526</v>
      </c>
      <c r="BL503" s="41" t="n">
        <v>20</v>
      </c>
      <c r="BM503" s="41" t="n">
        <v>56</v>
      </c>
      <c r="BN503" s="41" t="n">
        <v>76</v>
      </c>
      <c r="BO503" s="42" t="n">
        <v>22</v>
      </c>
      <c r="BP503" s="43" t="n">
        <v>56</v>
      </c>
      <c r="BQ503" s="44" t="n">
        <v>78</v>
      </c>
      <c r="BR503" s="42" t="n">
        <v>21</v>
      </c>
      <c r="BS503" s="45" t="n">
        <v>58</v>
      </c>
      <c r="BT503" s="45" t="n">
        <v>79</v>
      </c>
      <c r="BU503" s="46" t="n">
        <v>96</v>
      </c>
      <c r="BV503" s="47" t="n">
        <v>74</v>
      </c>
      <c r="BW503" s="42" t="n">
        <v>99</v>
      </c>
      <c r="BX503" s="48" t="n">
        <v>84</v>
      </c>
      <c r="BY503" s="32" t="n">
        <v>24</v>
      </c>
      <c r="BZ503" s="32" t="n">
        <v>56</v>
      </c>
      <c r="CA503" s="32" t="n">
        <v>80</v>
      </c>
      <c r="CB503" s="32" t="n">
        <v>22</v>
      </c>
      <c r="CC503" s="32" t="n">
        <v>30</v>
      </c>
      <c r="CD503" s="69" t="n">
        <v>52</v>
      </c>
      <c r="CE503" s="32" t="n">
        <v>27</v>
      </c>
      <c r="CF503" s="32" t="n">
        <v>50</v>
      </c>
      <c r="CG503" s="32" t="n">
        <v>77</v>
      </c>
      <c r="CH503" s="32" t="n">
        <v>95</v>
      </c>
      <c r="CI503" s="32" t="n">
        <v>88</v>
      </c>
      <c r="CJ503" s="49" t="n">
        <v>19</v>
      </c>
      <c r="CK503" s="49" t="n">
        <v>47</v>
      </c>
      <c r="CL503" s="49" t="n">
        <v>66</v>
      </c>
      <c r="CM503" s="49" t="n">
        <v>21</v>
      </c>
      <c r="CN503" s="49" t="n">
        <v>49</v>
      </c>
      <c r="CO503" s="49" t="n">
        <v>70</v>
      </c>
      <c r="CP503" s="25" t="n">
        <f aca="false">BX503+BW503+BV503+BU503+BT503+BQ503+BN503</f>
        <v>586</v>
      </c>
      <c r="CQ503" s="25" t="n">
        <f aca="false">CO503+CL503+CI503+CH503+CG503+CD503+CA503</f>
        <v>528</v>
      </c>
      <c r="CR503" s="26" t="n">
        <f aca="false">CP503/7</f>
        <v>83.7142857142857</v>
      </c>
      <c r="CS503" s="26" t="n">
        <f aca="false">CQ503/7</f>
        <v>75.4285714285714</v>
      </c>
      <c r="CT503" s="24" t="n">
        <f aca="false">RANK(CR503,$CR$2:$CR$881,0)</f>
        <v>495</v>
      </c>
      <c r="CU503" s="25" t="n">
        <f aca="false">RANK(CS503,$CS$2:$CS$881,0)</f>
        <v>417</v>
      </c>
      <c r="CV503" s="26" t="n">
        <f aca="false">(CS503+CR503)/2</f>
        <v>79.5714285714286</v>
      </c>
      <c r="CW503" s="25" t="n">
        <f aca="false">RANK(CV503,$CV$2:$CV$881,0)</f>
        <v>447</v>
      </c>
      <c r="CX503" s="50" t="n">
        <f aca="false">(CV503+BB503)/2</f>
        <v>77.3357142857143</v>
      </c>
      <c r="CY503" s="50" t="n">
        <v>495</v>
      </c>
      <c r="CZ503" s="27" t="s">
        <v>132</v>
      </c>
      <c r="DA503" s="27" t="s">
        <v>153</v>
      </c>
      <c r="DB503" s="27" t="s">
        <v>153</v>
      </c>
      <c r="DC503" s="27" t="s">
        <v>134</v>
      </c>
      <c r="DD503" s="27" t="s">
        <v>264</v>
      </c>
      <c r="DE503" s="27" t="s">
        <v>442</v>
      </c>
      <c r="DF503" s="27" t="s">
        <v>143</v>
      </c>
      <c r="DG503" s="27" t="s">
        <v>134</v>
      </c>
      <c r="DH503" s="27" t="s">
        <v>154</v>
      </c>
      <c r="DI503" s="27" t="s">
        <v>645</v>
      </c>
      <c r="DJ503" s="27" t="s">
        <v>141</v>
      </c>
      <c r="DK503" s="27" t="s">
        <v>134</v>
      </c>
      <c r="DL503" s="27" t="s">
        <v>135</v>
      </c>
      <c r="DM503" s="27" t="s">
        <v>442</v>
      </c>
      <c r="DN503" s="27" t="s">
        <v>372</v>
      </c>
      <c r="DO503" s="27" t="s">
        <v>134</v>
      </c>
      <c r="DP503" s="27" t="s">
        <v>174</v>
      </c>
      <c r="DQ503" s="27" t="s">
        <v>442</v>
      </c>
      <c r="DR503" s="27" t="s">
        <v>416</v>
      </c>
      <c r="DS503" s="27" t="s">
        <v>134</v>
      </c>
      <c r="DT503" s="27" t="s">
        <v>164</v>
      </c>
      <c r="DU503" s="27" t="s">
        <v>989</v>
      </c>
      <c r="DV503" s="27" t="s">
        <v>138</v>
      </c>
      <c r="DW503" s="27" t="s">
        <v>706</v>
      </c>
      <c r="DX503" s="27" t="s">
        <v>203</v>
      </c>
      <c r="DY503" s="27" t="s">
        <v>382</v>
      </c>
      <c r="DZ503" s="27" t="n">
        <f aca="false">DY503+DV503+DR503+DN503+DJ503+DF503+DB503</f>
        <v>516</v>
      </c>
      <c r="EA503" s="28" t="n">
        <f aca="false">DZ503/7</f>
        <v>73.7142857142857</v>
      </c>
      <c r="EB503" s="27" t="n">
        <f aca="false">RANK(EA503,$EA$2:$EA$881,0)</f>
        <v>573</v>
      </c>
      <c r="EC503" s="29" t="n">
        <f aca="false">DZ503+CQ503+CP503+AZ503</f>
        <v>2381</v>
      </c>
      <c r="ED503" s="30" t="n">
        <f aca="false">(EA503+CV503+BB503)/3</f>
        <v>76.1285714285714</v>
      </c>
      <c r="EE503" s="51" t="n">
        <f aca="false">ROUND(BE503,3)</f>
        <v>73.5</v>
      </c>
      <c r="EF503" s="51" t="n">
        <f aca="false">ROUND(CR503,3)</f>
        <v>83.714</v>
      </c>
      <c r="EG503" s="51" t="n">
        <f aca="false">ROUND(CS503,3)</f>
        <v>75.429</v>
      </c>
      <c r="EH503" s="51" t="n">
        <f aca="false">ROUND(EA503,3)</f>
        <v>73.714</v>
      </c>
      <c r="EI503" s="51" t="n">
        <f aca="false">ROUND(ED503,3)</f>
        <v>76.129</v>
      </c>
      <c r="EJ503" s="51" t="n">
        <f aca="false">ROUND(CV503,3)</f>
        <v>79.571</v>
      </c>
      <c r="EK503" s="0" t="n">
        <f aca="false">RANK(EI503,$EI$2:$EI$881,0)</f>
        <v>502</v>
      </c>
    </row>
    <row r="504" customFormat="false" ht="15" hidden="false" customHeight="false" outlineLevel="0" collapsed="false">
      <c r="A504" s="4" t="n">
        <v>1903</v>
      </c>
      <c r="B504" s="4" t="n">
        <v>153</v>
      </c>
      <c r="C504" s="27" t="s">
        <v>1542</v>
      </c>
      <c r="D504" s="31" t="n">
        <v>153</v>
      </c>
      <c r="E504" s="16" t="n">
        <v>230120832</v>
      </c>
      <c r="F504" s="56" t="s">
        <v>1543</v>
      </c>
      <c r="G504" s="22" t="s">
        <v>1544</v>
      </c>
      <c r="H504" s="22" t="s">
        <v>326</v>
      </c>
      <c r="I504" s="57"/>
      <c r="J504" s="16" t="n">
        <v>72</v>
      </c>
      <c r="K504" s="16" t="n">
        <v>88</v>
      </c>
      <c r="L504" s="34" t="n">
        <f aca="false">(K504*70)/100</f>
        <v>61.6</v>
      </c>
      <c r="M504" s="34" t="n">
        <f aca="false">ROUNDUP(L504,0)</f>
        <v>62</v>
      </c>
      <c r="N504" s="16" t="n">
        <v>27</v>
      </c>
      <c r="O504" s="34" t="n">
        <f aca="false">N504+L504</f>
        <v>88.6</v>
      </c>
      <c r="P504" s="34" t="n">
        <f aca="false">N504+M504</f>
        <v>89</v>
      </c>
      <c r="Q504" s="16" t="n">
        <v>69</v>
      </c>
      <c r="R504" s="16" t="n">
        <v>80</v>
      </c>
      <c r="S504" s="34" t="n">
        <f aca="false">(R504*70)/100</f>
        <v>56</v>
      </c>
      <c r="T504" s="34" t="n">
        <f aca="false">ROUNDUP(S504,0)</f>
        <v>56</v>
      </c>
      <c r="U504" s="16" t="n">
        <v>26</v>
      </c>
      <c r="V504" s="34" t="n">
        <f aca="false">U504+S504</f>
        <v>82</v>
      </c>
      <c r="W504" s="34" t="n">
        <f aca="false">U504+T504</f>
        <v>82</v>
      </c>
      <c r="X504" s="16" t="n">
        <v>55</v>
      </c>
      <c r="Y504" s="34" t="n">
        <f aca="false">(X504*70)/100</f>
        <v>38.5</v>
      </c>
      <c r="Z504" s="34" t="n">
        <f aca="false">ROUNDUP(Y504,0)</f>
        <v>39</v>
      </c>
      <c r="AA504" s="16" t="n">
        <v>28</v>
      </c>
      <c r="AB504" s="34" t="n">
        <f aca="false">AA504+Y504</f>
        <v>66.5</v>
      </c>
      <c r="AC504" s="34" t="n">
        <f aca="false">AA504+Z504</f>
        <v>67</v>
      </c>
      <c r="AD504" s="32" t="n">
        <f aca="false">X504+R504+Q504+K504+J504</f>
        <v>364</v>
      </c>
      <c r="AE504" s="16" t="n">
        <f aca="false">AD504/5</f>
        <v>72.8</v>
      </c>
      <c r="AF504" s="71" t="n">
        <v>57</v>
      </c>
      <c r="AG504" s="16" t="n">
        <v>83</v>
      </c>
      <c r="AH504" s="16" t="n">
        <v>93</v>
      </c>
      <c r="AI504" s="16" t="n">
        <v>99</v>
      </c>
      <c r="AJ504" s="16" t="n">
        <f aca="false">(AI504*70)/100</f>
        <v>69.3</v>
      </c>
      <c r="AK504" s="35" t="n">
        <f aca="false">ROUNDUP(AJ504,0)</f>
        <v>70</v>
      </c>
      <c r="AL504" s="16" t="n">
        <v>27</v>
      </c>
      <c r="AM504" s="16" t="n">
        <f aca="false">AL504+AJ504</f>
        <v>96.3</v>
      </c>
      <c r="AN504" s="16" t="n">
        <f aca="false">AL504+AK504</f>
        <v>97</v>
      </c>
      <c r="AO504" s="16" t="n">
        <v>75</v>
      </c>
      <c r="AP504" s="36" t="n">
        <f aca="false">(AO504*70)/100</f>
        <v>52.5</v>
      </c>
      <c r="AQ504" s="37" t="n">
        <f aca="false">ROUNDUP(AP504,0)</f>
        <v>53</v>
      </c>
      <c r="AR504" s="16" t="n">
        <v>28</v>
      </c>
      <c r="AS504" s="16" t="n">
        <f aca="false">AR504+AP504</f>
        <v>80.5</v>
      </c>
      <c r="AT504" s="16" t="n">
        <f aca="false">AR504+AQ504</f>
        <v>81</v>
      </c>
      <c r="AU504" s="16" t="n">
        <f aca="false">AO504+AF504+AI504+AH504+AG504</f>
        <v>407</v>
      </c>
      <c r="AV504" s="16" t="n">
        <f aca="false">(AO504+AF504+AI504+AH504+AG504)/5</f>
        <v>81.4</v>
      </c>
      <c r="AW504" s="36" t="n">
        <f aca="false">(AO504+AF504+AI504+AH504+AG504+X504+R504+Q504+K504+J504)</f>
        <v>771</v>
      </c>
      <c r="AX504" s="16" t="n">
        <f aca="false">AW504/10</f>
        <v>77.1</v>
      </c>
      <c r="AY504" s="16" t="n">
        <f aca="false">AS504+AF504+AM504+AH504+AG504+AB504+V504+Q504+O504+J504</f>
        <v>787.9</v>
      </c>
      <c r="AZ504" s="16" t="n">
        <f aca="false">AT504+AF504+AN504+AH504+AG504+AC504+W504+Q504+P504+J504</f>
        <v>790</v>
      </c>
      <c r="BA504" s="16" t="n">
        <f aca="false">AY504/10</f>
        <v>78.79</v>
      </c>
      <c r="BB504" s="16" t="n">
        <f aca="false">AZ504/10</f>
        <v>79</v>
      </c>
      <c r="BC504" s="16" t="n">
        <v>2359</v>
      </c>
      <c r="BD504" s="16" t="n">
        <f aca="false">RANK(AX504,$AX$2:$AX$881,0)</f>
        <v>496</v>
      </c>
      <c r="BE504" s="54" t="n">
        <f aca="false">((BC504*100)/2400)*0.4+(AX504*0.6)</f>
        <v>85.5766666666667</v>
      </c>
      <c r="BF504" s="16" t="n">
        <f aca="false">RANK(BE504,$BE$2:$BE$881,0)</f>
        <v>493</v>
      </c>
      <c r="BG504" s="39" t="n">
        <f aca="false">RANK(BB504,$BB$2:$BB$881,0)</f>
        <v>457</v>
      </c>
      <c r="BH504" s="39" t="n">
        <f aca="false">RANK(BC504,$BC$2:$BC$881,0)</f>
        <v>414</v>
      </c>
      <c r="BI504" s="22" t="s">
        <v>130</v>
      </c>
      <c r="BJ504" s="22" t="s">
        <v>129</v>
      </c>
      <c r="BK504" s="40" t="s">
        <v>509</v>
      </c>
      <c r="BL504" s="41" t="n">
        <v>18</v>
      </c>
      <c r="BM504" s="41" t="n">
        <v>44</v>
      </c>
      <c r="BN504" s="41" t="n">
        <v>62</v>
      </c>
      <c r="BO504" s="42" t="n">
        <v>14</v>
      </c>
      <c r="BP504" s="43" t="n">
        <v>68</v>
      </c>
      <c r="BQ504" s="44" t="n">
        <v>82</v>
      </c>
      <c r="BR504" s="42" t="n">
        <v>22</v>
      </c>
      <c r="BS504" s="45" t="n">
        <v>50</v>
      </c>
      <c r="BT504" s="45" t="n">
        <v>72</v>
      </c>
      <c r="BU504" s="46" t="n">
        <v>100</v>
      </c>
      <c r="BV504" s="47" t="n">
        <v>76</v>
      </c>
      <c r="BW504" s="42" t="n">
        <v>83</v>
      </c>
      <c r="BX504" s="48" t="n">
        <v>86</v>
      </c>
      <c r="BY504" s="25" t="n">
        <v>18</v>
      </c>
      <c r="BZ504" s="25" t="n">
        <v>52</v>
      </c>
      <c r="CA504" s="24" t="n">
        <v>70</v>
      </c>
      <c r="CB504" s="25" t="n">
        <v>17</v>
      </c>
      <c r="CC504" s="25" t="n">
        <v>33</v>
      </c>
      <c r="CD504" s="85" t="n">
        <v>50</v>
      </c>
      <c r="CE504" s="32" t="n">
        <v>24</v>
      </c>
      <c r="CF504" s="32" t="n">
        <v>45</v>
      </c>
      <c r="CG504" s="32" t="n">
        <v>69</v>
      </c>
      <c r="CH504" s="32" t="n">
        <v>90</v>
      </c>
      <c r="CI504" s="32" t="n">
        <v>95</v>
      </c>
      <c r="CJ504" s="49" t="n">
        <v>14</v>
      </c>
      <c r="CK504" s="49" t="n">
        <v>52</v>
      </c>
      <c r="CL504" s="84" t="n">
        <v>66</v>
      </c>
      <c r="CM504" s="49" t="n">
        <v>18</v>
      </c>
      <c r="CN504" s="49" t="n">
        <v>48</v>
      </c>
      <c r="CO504" s="49" t="n">
        <v>66</v>
      </c>
      <c r="CP504" s="25" t="n">
        <f aca="false">BX504+BW504+BV504+BU504+BT504+BQ504+BN504</f>
        <v>561</v>
      </c>
      <c r="CQ504" s="25" t="n">
        <f aca="false">CO504+CL504+CI504+CH504+CG504+CD504+CA504</f>
        <v>506</v>
      </c>
      <c r="CR504" s="26" t="n">
        <f aca="false">CP504/7</f>
        <v>80.1428571428571</v>
      </c>
      <c r="CS504" s="26" t="n">
        <f aca="false">CQ504/7</f>
        <v>72.2857142857143</v>
      </c>
      <c r="CT504" s="24" t="n">
        <f aca="false">RANK(CR504,$CR$2:$CR$881,0)</f>
        <v>582</v>
      </c>
      <c r="CU504" s="25" t="n">
        <f aca="false">RANK(CS504,$CS$2:$CS$881,0)</f>
        <v>501</v>
      </c>
      <c r="CV504" s="26" t="n">
        <f aca="false">(CS504+CR504)/2</f>
        <v>76.2142857142857</v>
      </c>
      <c r="CW504" s="25" t="n">
        <f aca="false">RANK(CV504,$CV$2:$CV$881,0)</f>
        <v>534</v>
      </c>
      <c r="CX504" s="50" t="n">
        <f aca="false">(CV504+BB504)/2</f>
        <v>77.6071428571429</v>
      </c>
      <c r="CY504" s="50" t="n">
        <v>515</v>
      </c>
      <c r="CZ504" s="27" t="s">
        <v>132</v>
      </c>
      <c r="DA504" s="27" t="s">
        <v>219</v>
      </c>
      <c r="DB504" s="27" t="s">
        <v>219</v>
      </c>
      <c r="DC504" s="27" t="s">
        <v>134</v>
      </c>
      <c r="DD504" s="27" t="s">
        <v>182</v>
      </c>
      <c r="DE504" s="27" t="s">
        <v>645</v>
      </c>
      <c r="DF504" s="27" t="s">
        <v>143</v>
      </c>
      <c r="DG504" s="27" t="s">
        <v>134</v>
      </c>
      <c r="DH504" s="27" t="s">
        <v>174</v>
      </c>
      <c r="DI504" s="27" t="s">
        <v>681</v>
      </c>
      <c r="DJ504" s="27" t="s">
        <v>143</v>
      </c>
      <c r="DK504" s="27" t="s">
        <v>134</v>
      </c>
      <c r="DL504" s="27" t="s">
        <v>182</v>
      </c>
      <c r="DM504" s="27" t="s">
        <v>399</v>
      </c>
      <c r="DN504" s="27" t="s">
        <v>398</v>
      </c>
      <c r="DO504" s="27" t="s">
        <v>134</v>
      </c>
      <c r="DP504" s="27" t="s">
        <v>706</v>
      </c>
      <c r="DQ504" s="27" t="s">
        <v>412</v>
      </c>
      <c r="DR504" s="27" t="s">
        <v>187</v>
      </c>
      <c r="DS504" s="27" t="s">
        <v>134</v>
      </c>
      <c r="DT504" s="27" t="s">
        <v>135</v>
      </c>
      <c r="DU504" s="27" t="s">
        <v>1407</v>
      </c>
      <c r="DV504" s="27" t="s">
        <v>163</v>
      </c>
      <c r="DW504" s="27" t="s">
        <v>164</v>
      </c>
      <c r="DX504" s="27" t="s">
        <v>187</v>
      </c>
      <c r="DY504" s="27" t="s">
        <v>151</v>
      </c>
      <c r="DZ504" s="27" t="n">
        <f aca="false">DY504+DV504+DR504+DN504+DJ504+DF504+DB504</f>
        <v>512</v>
      </c>
      <c r="EA504" s="28" t="n">
        <f aca="false">DZ504/7</f>
        <v>73.1428571428571</v>
      </c>
      <c r="EB504" s="27" t="n">
        <f aca="false">RANK(EA504,$EA$2:$EA$881,0)</f>
        <v>592</v>
      </c>
      <c r="EC504" s="29" t="n">
        <f aca="false">DZ504+CQ504+CP504+AZ504</f>
        <v>2369</v>
      </c>
      <c r="ED504" s="30" t="n">
        <f aca="false">(EA504+CV504+BB504)/3</f>
        <v>76.1190476190476</v>
      </c>
      <c r="EE504" s="51" t="n">
        <f aca="false">ROUND(BE504,3)</f>
        <v>85.577</v>
      </c>
      <c r="EF504" s="51" t="n">
        <f aca="false">ROUND(CR504,3)</f>
        <v>80.143</v>
      </c>
      <c r="EG504" s="51" t="n">
        <f aca="false">ROUND(CS504,3)</f>
        <v>72.286</v>
      </c>
      <c r="EH504" s="51" t="n">
        <f aca="false">ROUND(EA504,3)</f>
        <v>73.143</v>
      </c>
      <c r="EI504" s="51" t="n">
        <f aca="false">ROUND(ED504,3)</f>
        <v>76.119</v>
      </c>
      <c r="EJ504" s="51" t="n">
        <f aca="false">ROUND(CV504,3)</f>
        <v>76.214</v>
      </c>
      <c r="EK504" s="0" t="n">
        <f aca="false">RANK(EI504,$EI$2:$EI$881,0)</f>
        <v>503</v>
      </c>
    </row>
    <row r="505" customFormat="false" ht="15" hidden="false" customHeight="false" outlineLevel="0" collapsed="false">
      <c r="A505" s="4" t="n">
        <v>1895</v>
      </c>
      <c r="B505" s="4" t="n">
        <v>732</v>
      </c>
      <c r="C505" s="27" t="s">
        <v>1545</v>
      </c>
      <c r="D505" s="31" t="n">
        <v>747</v>
      </c>
      <c r="E505" s="32" t="n">
        <v>230323314</v>
      </c>
      <c r="F505" s="8" t="s">
        <v>1546</v>
      </c>
      <c r="G505" s="22" t="s">
        <v>1544</v>
      </c>
      <c r="H505" s="22" t="s">
        <v>129</v>
      </c>
      <c r="I505" s="33" t="n">
        <v>2005</v>
      </c>
      <c r="J505" s="32" t="n">
        <v>72</v>
      </c>
      <c r="K505" s="32" t="n">
        <v>85</v>
      </c>
      <c r="L505" s="34" t="n">
        <f aca="false">(K505*70)/100</f>
        <v>59.5</v>
      </c>
      <c r="M505" s="34" t="n">
        <f aca="false">ROUNDUP(L505,0)</f>
        <v>60</v>
      </c>
      <c r="N505" s="32" t="n">
        <v>29</v>
      </c>
      <c r="O505" s="34" t="n">
        <f aca="false">N505+L505</f>
        <v>88.5</v>
      </c>
      <c r="P505" s="34" t="n">
        <f aca="false">N505+M505</f>
        <v>89</v>
      </c>
      <c r="Q505" s="32" t="n">
        <v>75</v>
      </c>
      <c r="R505" s="32" t="n">
        <v>77</v>
      </c>
      <c r="S505" s="34" t="n">
        <f aca="false">(R505*70)/100</f>
        <v>53.9</v>
      </c>
      <c r="T505" s="34" t="n">
        <f aca="false">ROUNDUP(S505,0)</f>
        <v>54</v>
      </c>
      <c r="U505" s="32" t="n">
        <v>28</v>
      </c>
      <c r="V505" s="34" t="n">
        <f aca="false">U505+S505</f>
        <v>81.9</v>
      </c>
      <c r="W505" s="34" t="n">
        <f aca="false">U505+T505</f>
        <v>82</v>
      </c>
      <c r="X505" s="32" t="n">
        <v>66</v>
      </c>
      <c r="Y505" s="34" t="n">
        <f aca="false">(X505*70)/100</f>
        <v>46.2</v>
      </c>
      <c r="Z505" s="34" t="n">
        <f aca="false">ROUNDUP(Y505,0)</f>
        <v>47</v>
      </c>
      <c r="AA505" s="32" t="n">
        <v>24</v>
      </c>
      <c r="AB505" s="34" t="n">
        <f aca="false">AA505+Y505</f>
        <v>70.2</v>
      </c>
      <c r="AC505" s="34" t="n">
        <f aca="false">AA505+Z505</f>
        <v>71</v>
      </c>
      <c r="AD505" s="32" t="n">
        <f aca="false">X505+R505+Q505+K505+J505</f>
        <v>375</v>
      </c>
      <c r="AE505" s="16" t="n">
        <f aca="false">AD505/5</f>
        <v>75</v>
      </c>
      <c r="AF505" s="16" t="n">
        <v>63</v>
      </c>
      <c r="AG505" s="16" t="n">
        <v>78</v>
      </c>
      <c r="AH505" s="16" t="n">
        <v>91</v>
      </c>
      <c r="AI505" s="16" t="n">
        <v>92</v>
      </c>
      <c r="AJ505" s="16" t="n">
        <f aca="false">(AI505*70)/100</f>
        <v>64.4</v>
      </c>
      <c r="AK505" s="35" t="n">
        <f aca="false">ROUNDUP(AJ505,0)</f>
        <v>65</v>
      </c>
      <c r="AL505" s="16" t="n">
        <v>24</v>
      </c>
      <c r="AM505" s="16" t="n">
        <f aca="false">AL505+AJ505</f>
        <v>88.4</v>
      </c>
      <c r="AN505" s="16" t="n">
        <f aca="false">AL505+AK505</f>
        <v>89</v>
      </c>
      <c r="AO505" s="16" t="n">
        <v>69</v>
      </c>
      <c r="AP505" s="36" t="n">
        <f aca="false">(AO505*70)/100</f>
        <v>48.3</v>
      </c>
      <c r="AQ505" s="37" t="n">
        <f aca="false">ROUNDUP(AP505,0)</f>
        <v>49</v>
      </c>
      <c r="AR505" s="16" t="n">
        <v>28</v>
      </c>
      <c r="AS505" s="16" t="n">
        <f aca="false">AR505+AP505</f>
        <v>76.3</v>
      </c>
      <c r="AT505" s="16" t="n">
        <f aca="false">AR505+AQ505</f>
        <v>77</v>
      </c>
      <c r="AU505" s="16" t="n">
        <f aca="false">AO505+AF505+AI505+AH505+AG505</f>
        <v>393</v>
      </c>
      <c r="AV505" s="16" t="n">
        <f aca="false">(AO505+AF505+AI505+AH505+AG505)/5</f>
        <v>78.6</v>
      </c>
      <c r="AW505" s="36" t="n">
        <f aca="false">(AO505+AF505+AI505+AH505+AG505+X505+R505+Q505+K505+J505)</f>
        <v>768</v>
      </c>
      <c r="AX505" s="16" t="n">
        <f aca="false">AW505/10</f>
        <v>76.8</v>
      </c>
      <c r="AY505" s="16" t="n">
        <f aca="false">AS505+AF505+AM505+AH505+AG505+AB505+V505+Q505+O505+J505</f>
        <v>784.3</v>
      </c>
      <c r="AZ505" s="16" t="n">
        <f aca="false">AT505+AF505+AN505+AH505+AG505+AC505+W505+Q505+P505+J505</f>
        <v>787</v>
      </c>
      <c r="BA505" s="16" t="n">
        <f aca="false">AY505/10</f>
        <v>78.43</v>
      </c>
      <c r="BB505" s="16" t="n">
        <f aca="false">AZ505/10</f>
        <v>78.7</v>
      </c>
      <c r="BC505" s="16" t="n">
        <v>2328</v>
      </c>
      <c r="BD505" s="16" t="n">
        <f aca="false">RANK(AX505,$AX$2:$AX$881,0)</f>
        <v>527</v>
      </c>
      <c r="BE505" s="73" t="n">
        <f aca="false">((BC505*100)/2400)*0.4+(AX505*0.6)</f>
        <v>84.88</v>
      </c>
      <c r="BF505" s="16" t="n">
        <f aca="false">RANK(BE505,$BE$2:$BE$881,0)</f>
        <v>638</v>
      </c>
      <c r="BG505" s="39" t="n">
        <f aca="false">RANK(BB505,$BB$2:$BB$881,0)</f>
        <v>482</v>
      </c>
      <c r="BH505" s="39" t="n">
        <f aca="false">RANK(BC505,$BC$2:$BC$881,0)</f>
        <v>745</v>
      </c>
      <c r="BI505" s="22" t="s">
        <v>130</v>
      </c>
      <c r="BJ505" s="22" t="s">
        <v>129</v>
      </c>
      <c r="BK505" s="22" t="s">
        <v>509</v>
      </c>
      <c r="BL505" s="41" t="n">
        <v>19</v>
      </c>
      <c r="BM505" s="41" t="n">
        <v>53</v>
      </c>
      <c r="BN505" s="41" t="n">
        <v>72</v>
      </c>
      <c r="BO505" s="42" t="n">
        <v>22</v>
      </c>
      <c r="BP505" s="43" t="n">
        <v>45</v>
      </c>
      <c r="BQ505" s="44" t="n">
        <v>67</v>
      </c>
      <c r="BR505" s="42" t="n">
        <v>21</v>
      </c>
      <c r="BS505" s="45" t="n">
        <v>53</v>
      </c>
      <c r="BT505" s="45" t="n">
        <v>74</v>
      </c>
      <c r="BU505" s="46" t="n">
        <v>99</v>
      </c>
      <c r="BV505" s="47" t="n">
        <v>86</v>
      </c>
      <c r="BW505" s="42" t="n">
        <v>88</v>
      </c>
      <c r="BX505" s="48" t="n">
        <v>94</v>
      </c>
      <c r="BY505" s="32" t="n">
        <v>24</v>
      </c>
      <c r="BZ505" s="32" t="n">
        <v>45</v>
      </c>
      <c r="CA505" s="32" t="n">
        <v>69</v>
      </c>
      <c r="CB505" s="32" t="n">
        <v>17</v>
      </c>
      <c r="CC505" s="32" t="n">
        <v>40</v>
      </c>
      <c r="CD505" s="69" t="n">
        <v>57</v>
      </c>
      <c r="CE505" s="32" t="n">
        <v>23</v>
      </c>
      <c r="CF505" s="32" t="n">
        <v>41</v>
      </c>
      <c r="CG505" s="32" t="n">
        <v>64</v>
      </c>
      <c r="CH505" s="32" t="n">
        <v>90</v>
      </c>
      <c r="CI505" s="32" t="n">
        <v>92</v>
      </c>
      <c r="CJ505" s="49" t="n">
        <v>22</v>
      </c>
      <c r="CK505" s="49" t="n">
        <v>46</v>
      </c>
      <c r="CL505" s="49" t="n">
        <v>68</v>
      </c>
      <c r="CM505" s="49" t="n">
        <v>18</v>
      </c>
      <c r="CN505" s="49" t="n">
        <v>46</v>
      </c>
      <c r="CO505" s="49" t="n">
        <v>64</v>
      </c>
      <c r="CP505" s="25" t="n">
        <f aca="false">BX505+BW505+BV505+BU505+BT505+BQ505+BN505</f>
        <v>580</v>
      </c>
      <c r="CQ505" s="25" t="n">
        <f aca="false">CO505+CL505+CI505+CH505+CG505+CD505+CA505</f>
        <v>504</v>
      </c>
      <c r="CR505" s="26" t="n">
        <f aca="false">CP505/7</f>
        <v>82.8571428571429</v>
      </c>
      <c r="CS505" s="26" t="n">
        <f aca="false">CQ505/7</f>
        <v>72</v>
      </c>
      <c r="CT505" s="24" t="n">
        <f aca="false">RANK(CR505,$CR$2:$CR$881,0)</f>
        <v>522</v>
      </c>
      <c r="CU505" s="25" t="n">
        <f aca="false">RANK(CS505,$CS$2:$CS$881,0)</f>
        <v>509</v>
      </c>
      <c r="CV505" s="26" t="n">
        <f aca="false">(CS505+CR505)/2</f>
        <v>77.4285714285714</v>
      </c>
      <c r="CW505" s="25" t="n">
        <f aca="false">RANK(CV505,$CV$2:$CV$881,0)</f>
        <v>508</v>
      </c>
      <c r="CX505" s="50" t="n">
        <f aca="false">(CV505+BB505)/2</f>
        <v>78.0642857142857</v>
      </c>
      <c r="CY505" s="50" t="n">
        <v>465</v>
      </c>
      <c r="CZ505" s="27" t="s">
        <v>132</v>
      </c>
      <c r="DA505" s="27" t="s">
        <v>133</v>
      </c>
      <c r="DB505" s="27" t="s">
        <v>133</v>
      </c>
      <c r="DC505" s="27" t="s">
        <v>134</v>
      </c>
      <c r="DD505" s="27" t="s">
        <v>154</v>
      </c>
      <c r="DE505" s="27" t="s">
        <v>399</v>
      </c>
      <c r="DF505" s="27" t="s">
        <v>416</v>
      </c>
      <c r="DG505" s="27" t="s">
        <v>134</v>
      </c>
      <c r="DH505" s="27" t="s">
        <v>182</v>
      </c>
      <c r="DI505" s="27" t="s">
        <v>1407</v>
      </c>
      <c r="DJ505" s="27" t="s">
        <v>152</v>
      </c>
      <c r="DK505" s="27" t="s">
        <v>134</v>
      </c>
      <c r="DL505" s="27" t="s">
        <v>154</v>
      </c>
      <c r="DM505" s="27" t="s">
        <v>645</v>
      </c>
      <c r="DN505" s="27" t="s">
        <v>141</v>
      </c>
      <c r="DO505" s="27" t="s">
        <v>134</v>
      </c>
      <c r="DP505" s="27" t="s">
        <v>264</v>
      </c>
      <c r="DQ505" s="27" t="s">
        <v>989</v>
      </c>
      <c r="DR505" s="27" t="s">
        <v>161</v>
      </c>
      <c r="DS505" s="27" t="s">
        <v>134</v>
      </c>
      <c r="DT505" s="27" t="s">
        <v>182</v>
      </c>
      <c r="DU505" s="27" t="s">
        <v>415</v>
      </c>
      <c r="DV505" s="27" t="s">
        <v>416</v>
      </c>
      <c r="DW505" s="27" t="s">
        <v>264</v>
      </c>
      <c r="DX505" s="27" t="s">
        <v>152</v>
      </c>
      <c r="DY505" s="27" t="s">
        <v>169</v>
      </c>
      <c r="DZ505" s="27" t="n">
        <f aca="false">DY505+DV505+DR505+DN505+DJ505+DF505+DB505</f>
        <v>505</v>
      </c>
      <c r="EA505" s="28" t="n">
        <f aca="false">DZ505/7</f>
        <v>72.1428571428571</v>
      </c>
      <c r="EB505" s="27" t="n">
        <f aca="false">RANK(EA505,$EA$2:$EA$881,0)</f>
        <v>606</v>
      </c>
      <c r="EC505" s="29" t="n">
        <f aca="false">DZ505+CQ505+CP505+AZ505</f>
        <v>2376</v>
      </c>
      <c r="ED505" s="30" t="n">
        <f aca="false">(EA505+CV505+BB505)/3</f>
        <v>76.0904761904762</v>
      </c>
      <c r="EE505" s="51" t="n">
        <f aca="false">ROUND(BE505,3)</f>
        <v>84.88</v>
      </c>
      <c r="EF505" s="51" t="n">
        <f aca="false">ROUND(CR505,3)</f>
        <v>82.857</v>
      </c>
      <c r="EG505" s="51" t="n">
        <f aca="false">ROUND(CS505,3)</f>
        <v>72</v>
      </c>
      <c r="EH505" s="51" t="n">
        <f aca="false">ROUND(EA505,3)</f>
        <v>72.143</v>
      </c>
      <c r="EI505" s="51" t="n">
        <f aca="false">ROUND(ED505,3)</f>
        <v>76.09</v>
      </c>
      <c r="EJ505" s="51" t="n">
        <f aca="false">ROUND(CV505,3)</f>
        <v>77.429</v>
      </c>
      <c r="EK505" s="0" t="n">
        <f aca="false">RANK(EI505,$EI$2:$EI$881,0)</f>
        <v>504</v>
      </c>
    </row>
    <row r="506" customFormat="false" ht="15" hidden="false" customHeight="false" outlineLevel="0" collapsed="false">
      <c r="A506" s="4" t="n">
        <v>8674</v>
      </c>
      <c r="B506" s="4" t="n">
        <v>179</v>
      </c>
      <c r="C506" s="27" t="s">
        <v>1547</v>
      </c>
      <c r="D506" s="31" t="n">
        <v>180</v>
      </c>
      <c r="E506" s="16" t="n">
        <v>230119489</v>
      </c>
      <c r="F506" s="56" t="s">
        <v>1548</v>
      </c>
      <c r="G506" s="22" t="s">
        <v>1549</v>
      </c>
      <c r="H506" s="22" t="s">
        <v>326</v>
      </c>
      <c r="I506" s="57"/>
      <c r="J506" s="16" t="n">
        <v>73</v>
      </c>
      <c r="K506" s="16" t="n">
        <v>90</v>
      </c>
      <c r="L506" s="34" t="n">
        <f aca="false">(K506*70)/100</f>
        <v>63</v>
      </c>
      <c r="M506" s="34" t="n">
        <f aca="false">ROUNDUP(L506,0)</f>
        <v>63</v>
      </c>
      <c r="N506" s="16" t="n">
        <v>21</v>
      </c>
      <c r="O506" s="34" t="n">
        <f aca="false">N506+L506</f>
        <v>84</v>
      </c>
      <c r="P506" s="34" t="n">
        <f aca="false">N506+M506</f>
        <v>84</v>
      </c>
      <c r="Q506" s="16" t="n">
        <v>68</v>
      </c>
      <c r="R506" s="16" t="n">
        <v>79</v>
      </c>
      <c r="S506" s="34" t="n">
        <f aca="false">(R506*70)/100</f>
        <v>55.3</v>
      </c>
      <c r="T506" s="34" t="n">
        <f aca="false">ROUNDUP(S506,0)</f>
        <v>56</v>
      </c>
      <c r="U506" s="16" t="n">
        <v>26</v>
      </c>
      <c r="V506" s="34" t="n">
        <f aca="false">U506+S506</f>
        <v>81.3</v>
      </c>
      <c r="W506" s="34" t="n">
        <f aca="false">U506+T506</f>
        <v>82</v>
      </c>
      <c r="X506" s="16" t="n">
        <v>85</v>
      </c>
      <c r="Y506" s="34" t="n">
        <f aca="false">(X506*70)/100</f>
        <v>59.5</v>
      </c>
      <c r="Z506" s="34" t="n">
        <f aca="false">ROUNDUP(Y506,0)</f>
        <v>60</v>
      </c>
      <c r="AA506" s="16" t="n">
        <v>24</v>
      </c>
      <c r="AB506" s="34" t="n">
        <f aca="false">AA506+Y506</f>
        <v>83.5</v>
      </c>
      <c r="AC506" s="34" t="n">
        <f aca="false">AA506+Z506</f>
        <v>84</v>
      </c>
      <c r="AD506" s="32" t="n">
        <f aca="false">X506+R506+Q506+K506+J506</f>
        <v>395</v>
      </c>
      <c r="AE506" s="16" t="n">
        <f aca="false">AD506/5</f>
        <v>79</v>
      </c>
      <c r="AF506" s="16" t="n">
        <v>74</v>
      </c>
      <c r="AG506" s="16" t="n">
        <v>78</v>
      </c>
      <c r="AH506" s="16" t="n">
        <v>93</v>
      </c>
      <c r="AI506" s="16" t="n">
        <v>82</v>
      </c>
      <c r="AJ506" s="16" t="n">
        <f aca="false">(AI506*70)/100</f>
        <v>57.4</v>
      </c>
      <c r="AK506" s="35" t="n">
        <f aca="false">ROUNDUP(AJ506,0)</f>
        <v>58</v>
      </c>
      <c r="AL506" s="16" t="n">
        <v>24</v>
      </c>
      <c r="AM506" s="16" t="n">
        <f aca="false">AL506+AJ506</f>
        <v>81.4</v>
      </c>
      <c r="AN506" s="16" t="n">
        <f aca="false">AL506+AK506</f>
        <v>82</v>
      </c>
      <c r="AO506" s="16" t="n">
        <v>86</v>
      </c>
      <c r="AP506" s="36" t="n">
        <f aca="false">(AO506*70)/100</f>
        <v>60.2</v>
      </c>
      <c r="AQ506" s="37" t="n">
        <f aca="false">ROUNDUP(AP506,0)</f>
        <v>61</v>
      </c>
      <c r="AR506" s="16" t="n">
        <v>25</v>
      </c>
      <c r="AS506" s="16" t="n">
        <f aca="false">AR506+AP506</f>
        <v>85.2</v>
      </c>
      <c r="AT506" s="16" t="n">
        <f aca="false">AR506+AQ506</f>
        <v>86</v>
      </c>
      <c r="AU506" s="16" t="n">
        <f aca="false">AO506+AF506+AI506+AH506+AG506</f>
        <v>413</v>
      </c>
      <c r="AV506" s="16" t="n">
        <f aca="false">(AO506+AF506+AI506+AH506+AG506)/5</f>
        <v>82.6</v>
      </c>
      <c r="AW506" s="36" t="n">
        <f aca="false">(AO506+AF506+AI506+AH506+AG506+X506+R506+Q506+K506+J506)</f>
        <v>808</v>
      </c>
      <c r="AX506" s="16" t="n">
        <f aca="false">AW506/10</f>
        <v>80.8</v>
      </c>
      <c r="AY506" s="16" t="n">
        <f aca="false">AS506+AF506+AM506+AH506+AG506+AB506+V506+Q506+O506+J506</f>
        <v>801.4</v>
      </c>
      <c r="AZ506" s="16" t="n">
        <f aca="false">AT506+AF506+AN506+AH506+AG506+AC506+W506+Q506+P506+J506</f>
        <v>804</v>
      </c>
      <c r="BA506" s="16" t="n">
        <f aca="false">AY506/10</f>
        <v>80.14</v>
      </c>
      <c r="BB506" s="16" t="n">
        <f aca="false">AZ506/10</f>
        <v>80.4</v>
      </c>
      <c r="BC506" s="16" t="n">
        <v>2380</v>
      </c>
      <c r="BD506" s="16" t="n">
        <f aca="false">RANK(AX506,$AX$2:$AX$881,0)</f>
        <v>217</v>
      </c>
      <c r="BE506" s="54" t="n">
        <f aca="false">((BC506*100)/2400)*0.4+(AX506*0.6)</f>
        <v>88.1466666666667</v>
      </c>
      <c r="BF506" s="16" t="n">
        <f aca="false">RANK(BE506,$BE$2:$BE$881,0)</f>
        <v>195</v>
      </c>
      <c r="BG506" s="39" t="n">
        <f aca="false">RANK(BB506,$BB$2:$BB$881,0)</f>
        <v>318</v>
      </c>
      <c r="BH506" s="39" t="n">
        <f aca="false">RANK(BC506,$BC$2:$BC$881,0)</f>
        <v>148</v>
      </c>
      <c r="BI506" s="22" t="s">
        <v>130</v>
      </c>
      <c r="BJ506" s="22" t="s">
        <v>129</v>
      </c>
      <c r="BK506" s="40" t="s">
        <v>131</v>
      </c>
      <c r="BL506" s="41" t="n">
        <v>19</v>
      </c>
      <c r="BM506" s="41" t="n">
        <v>52</v>
      </c>
      <c r="BN506" s="41" t="n">
        <v>71</v>
      </c>
      <c r="BO506" s="42" t="n">
        <v>22</v>
      </c>
      <c r="BP506" s="43" t="n">
        <v>63</v>
      </c>
      <c r="BQ506" s="44" t="n">
        <v>85</v>
      </c>
      <c r="BR506" s="42" t="n">
        <v>23</v>
      </c>
      <c r="BS506" s="45" t="n">
        <v>52</v>
      </c>
      <c r="BT506" s="45" t="n">
        <v>75</v>
      </c>
      <c r="BU506" s="46" t="n">
        <v>100</v>
      </c>
      <c r="BV506" s="47" t="n">
        <v>90</v>
      </c>
      <c r="BW506" s="42" t="n">
        <v>92</v>
      </c>
      <c r="BX506" s="48" t="n">
        <v>82</v>
      </c>
      <c r="BY506" s="32" t="n">
        <v>21</v>
      </c>
      <c r="BZ506" s="32" t="n">
        <v>47</v>
      </c>
      <c r="CA506" s="32" t="n">
        <v>68</v>
      </c>
      <c r="CB506" s="32" t="n">
        <v>20</v>
      </c>
      <c r="CC506" s="32" t="n">
        <v>39</v>
      </c>
      <c r="CD506" s="69" t="n">
        <v>59</v>
      </c>
      <c r="CE506" s="32" t="n">
        <v>23</v>
      </c>
      <c r="CF506" s="32" t="n">
        <v>48</v>
      </c>
      <c r="CG506" s="32" t="n">
        <v>71</v>
      </c>
      <c r="CH506" s="32" t="n">
        <v>96</v>
      </c>
      <c r="CI506" s="32" t="n">
        <v>92</v>
      </c>
      <c r="CJ506" s="83" t="n">
        <v>10</v>
      </c>
      <c r="CK506" s="60"/>
      <c r="CL506" s="61"/>
      <c r="CM506" s="49" t="n">
        <v>22</v>
      </c>
      <c r="CN506" s="49" t="n">
        <v>49</v>
      </c>
      <c r="CO506" s="49" t="n">
        <v>71</v>
      </c>
      <c r="CP506" s="25" t="n">
        <f aca="false">BX506+BW506+BV506+BU506+BT506+BQ506+BN506</f>
        <v>595</v>
      </c>
      <c r="CQ506" s="25" t="n">
        <f aca="false">CO506+CL506+CI506+CH506+CG506+CD506+CA506</f>
        <v>457</v>
      </c>
      <c r="CR506" s="26" t="n">
        <f aca="false">CP506/7</f>
        <v>85</v>
      </c>
      <c r="CS506" s="26" t="n">
        <f aca="false">CQ506/7</f>
        <v>65.2857142857143</v>
      </c>
      <c r="CT506" s="24" t="n">
        <f aca="false">RANK(CR506,$CR$2:$CR$881,0)</f>
        <v>437</v>
      </c>
      <c r="CU506" s="25" t="n">
        <f aca="false">RANK(CS506,$CS$2:$CS$881,0)</f>
        <v>623</v>
      </c>
      <c r="CV506" s="26" t="n">
        <f aca="false">(CS506+CR506)/2</f>
        <v>75.1428571428571</v>
      </c>
      <c r="CW506" s="25" t="n">
        <f aca="false">RANK(CV506,$CV$2:$CV$881,0)</f>
        <v>555</v>
      </c>
      <c r="CX506" s="50" t="n">
        <f aca="false">(CV506+BB506)/2</f>
        <v>77.7714285714286</v>
      </c>
      <c r="CY506" s="50" t="n">
        <v>479</v>
      </c>
      <c r="CZ506" s="27" t="s">
        <v>132</v>
      </c>
      <c r="DA506" s="27" t="s">
        <v>133</v>
      </c>
      <c r="DB506" s="27" t="s">
        <v>133</v>
      </c>
      <c r="DC506" s="27" t="s">
        <v>134</v>
      </c>
      <c r="DD506" s="27" t="s">
        <v>174</v>
      </c>
      <c r="DE506" s="27" t="s">
        <v>897</v>
      </c>
      <c r="DF506" s="27" t="s">
        <v>163</v>
      </c>
      <c r="DG506" s="27" t="s">
        <v>134</v>
      </c>
      <c r="DH506" s="27" t="s">
        <v>182</v>
      </c>
      <c r="DI506" s="27" t="s">
        <v>375</v>
      </c>
      <c r="DJ506" s="27" t="s">
        <v>372</v>
      </c>
      <c r="DK506" s="27" t="s">
        <v>134</v>
      </c>
      <c r="DL506" s="27" t="s">
        <v>191</v>
      </c>
      <c r="DM506" s="27" t="s">
        <v>375</v>
      </c>
      <c r="DN506" s="27" t="s">
        <v>155</v>
      </c>
      <c r="DO506" s="27" t="s">
        <v>134</v>
      </c>
      <c r="DP506" s="27" t="s">
        <v>706</v>
      </c>
      <c r="DQ506" s="27" t="s">
        <v>681</v>
      </c>
      <c r="DR506" s="27" t="s">
        <v>161</v>
      </c>
      <c r="DS506" s="27" t="s">
        <v>134</v>
      </c>
      <c r="DT506" s="27" t="s">
        <v>174</v>
      </c>
      <c r="DU506" s="27" t="s">
        <v>673</v>
      </c>
      <c r="DV506" s="27" t="s">
        <v>136</v>
      </c>
      <c r="DW506" s="27" t="s">
        <v>140</v>
      </c>
      <c r="DX506" s="27" t="s">
        <v>204</v>
      </c>
      <c r="DY506" s="27" t="s">
        <v>133</v>
      </c>
      <c r="DZ506" s="27" t="n">
        <f aca="false">DY506+DV506+DR506+DN506+DJ506+DF506+DB506</f>
        <v>509</v>
      </c>
      <c r="EA506" s="28" t="n">
        <f aca="false">DZ506/7</f>
        <v>72.7142857142857</v>
      </c>
      <c r="EB506" s="27" t="n">
        <f aca="false">RANK(EA506,$EA$2:$EA$881,0)</f>
        <v>598</v>
      </c>
      <c r="EC506" s="29" t="n">
        <f aca="false">DZ506+CQ506+CP506+AZ506</f>
        <v>2365</v>
      </c>
      <c r="ED506" s="30" t="n">
        <f aca="false">(EA506+CV506+BB506)/3</f>
        <v>76.0857142857143</v>
      </c>
      <c r="EE506" s="51" t="n">
        <f aca="false">ROUND(BE506,3)</f>
        <v>88.147</v>
      </c>
      <c r="EF506" s="51" t="n">
        <f aca="false">ROUND(CR506,3)</f>
        <v>85</v>
      </c>
      <c r="EG506" s="51" t="n">
        <f aca="false">ROUND(CS506,3)</f>
        <v>65.286</v>
      </c>
      <c r="EH506" s="51" t="n">
        <f aca="false">ROUND(EA506,3)</f>
        <v>72.714</v>
      </c>
      <c r="EI506" s="51" t="n">
        <f aca="false">ROUND(ED506,3)</f>
        <v>76.086</v>
      </c>
      <c r="EJ506" s="51" t="n">
        <f aca="false">ROUND(CV506,3)</f>
        <v>75.143</v>
      </c>
      <c r="EK506" s="0" t="n">
        <f aca="false">RANK(EI506,$EI$2:$EI$881,0)</f>
        <v>505</v>
      </c>
    </row>
    <row r="507" customFormat="false" ht="15" hidden="false" customHeight="false" outlineLevel="0" collapsed="false">
      <c r="A507" s="4" t="n">
        <v>8913</v>
      </c>
      <c r="B507" s="4" t="n">
        <v>526</v>
      </c>
      <c r="C507" s="27" t="s">
        <v>1550</v>
      </c>
      <c r="D507" s="31" t="n">
        <v>532</v>
      </c>
      <c r="E507" s="32" t="n">
        <v>230410836</v>
      </c>
      <c r="F507" s="8" t="s">
        <v>1551</v>
      </c>
      <c r="G507" s="66" t="s">
        <v>1552</v>
      </c>
      <c r="H507" s="66" t="s">
        <v>129</v>
      </c>
      <c r="I507" s="67" t="s">
        <v>346</v>
      </c>
      <c r="J507" s="32" t="n">
        <v>80</v>
      </c>
      <c r="K507" s="32" t="n">
        <v>44</v>
      </c>
      <c r="L507" s="34" t="n">
        <f aca="false">(K507*70)/100</f>
        <v>30.8</v>
      </c>
      <c r="M507" s="34" t="n">
        <f aca="false">ROUNDUP(L507,0)</f>
        <v>31</v>
      </c>
      <c r="N507" s="32" t="n">
        <v>22</v>
      </c>
      <c r="O507" s="34" t="n">
        <f aca="false">N507+L507</f>
        <v>52.8</v>
      </c>
      <c r="P507" s="91" t="n">
        <f aca="false">N507+M507</f>
        <v>53</v>
      </c>
      <c r="Q507" s="68" t="n">
        <v>59</v>
      </c>
      <c r="R507" s="32" t="n">
        <v>57</v>
      </c>
      <c r="S507" s="34" t="n">
        <f aca="false">(R507*70)/100</f>
        <v>39.9</v>
      </c>
      <c r="T507" s="34" t="n">
        <f aca="false">ROUNDUP(S507,0)</f>
        <v>40</v>
      </c>
      <c r="U507" s="32" t="n">
        <v>20</v>
      </c>
      <c r="V507" s="34" t="n">
        <f aca="false">U507+S507</f>
        <v>59.9</v>
      </c>
      <c r="W507" s="34" t="n">
        <f aca="false">U507+T507</f>
        <v>60</v>
      </c>
      <c r="X507" s="32" t="n">
        <v>56</v>
      </c>
      <c r="Y507" s="34" t="n">
        <f aca="false">(X507*70)/100</f>
        <v>39.2</v>
      </c>
      <c r="Z507" s="34" t="n">
        <f aca="false">ROUNDUP(Y507,0)</f>
        <v>40</v>
      </c>
      <c r="AA507" s="32" t="n">
        <v>22</v>
      </c>
      <c r="AB507" s="34" t="n">
        <f aca="false">AA507+Y507</f>
        <v>61.2</v>
      </c>
      <c r="AC507" s="34" t="n">
        <f aca="false">AA507+Z507</f>
        <v>62</v>
      </c>
      <c r="AD507" s="32" t="n">
        <f aca="false">X507+R507+Q507+K507+J507</f>
        <v>296</v>
      </c>
      <c r="AE507" s="16" t="n">
        <f aca="false">AD507/5</f>
        <v>59.2</v>
      </c>
      <c r="AF507" s="16" t="n">
        <v>61</v>
      </c>
      <c r="AG507" s="16" t="n">
        <v>89</v>
      </c>
      <c r="AH507" s="16" t="n">
        <v>85</v>
      </c>
      <c r="AI507" s="16" t="n">
        <v>53</v>
      </c>
      <c r="AJ507" s="16" t="n">
        <f aca="false">(AI507*70)/100</f>
        <v>37.1</v>
      </c>
      <c r="AK507" s="35" t="n">
        <f aca="false">ROUNDUP(AJ507,0)</f>
        <v>38</v>
      </c>
      <c r="AL507" s="16" t="n">
        <v>23</v>
      </c>
      <c r="AM507" s="16" t="n">
        <f aca="false">AL507+AJ507</f>
        <v>60.1</v>
      </c>
      <c r="AN507" s="16" t="n">
        <f aca="false">AL507+AK507</f>
        <v>61</v>
      </c>
      <c r="AO507" s="16" t="n">
        <v>68</v>
      </c>
      <c r="AP507" s="36" t="n">
        <f aca="false">(AO507*70)/100</f>
        <v>47.6</v>
      </c>
      <c r="AQ507" s="37" t="n">
        <f aca="false">ROUNDUP(AP507,0)</f>
        <v>48</v>
      </c>
      <c r="AR507" s="16" t="n">
        <v>25</v>
      </c>
      <c r="AS507" s="16" t="n">
        <f aca="false">AR507+AP507</f>
        <v>72.6</v>
      </c>
      <c r="AT507" s="16" t="n">
        <f aca="false">AR507+AQ507</f>
        <v>73</v>
      </c>
      <c r="AU507" s="16" t="n">
        <f aca="false">AO507+AF507+AI507+AH507+AG507</f>
        <v>356</v>
      </c>
      <c r="AV507" s="16" t="n">
        <f aca="false">(AO507+AF507+AI507+AH507+AG507)/5</f>
        <v>71.2</v>
      </c>
      <c r="AW507" s="36" t="n">
        <f aca="false">(AO507+AF507+AI507+AH507+AG507+X507+R507+Q507+K507+J507)</f>
        <v>652</v>
      </c>
      <c r="AX507" s="16" t="n">
        <f aca="false">AW507/10</f>
        <v>65.2</v>
      </c>
      <c r="AY507" s="16" t="n">
        <f aca="false">AS507+AF507+AM507+AH507+AG507+AB507+V507+Q507+O507+J507</f>
        <v>680.6</v>
      </c>
      <c r="AZ507" s="16" t="n">
        <f aca="false">AT507+AF507+AN507+AH507+AG507+AC507+W507+Q507+P507+J507</f>
        <v>683</v>
      </c>
      <c r="BA507" s="16" t="n">
        <f aca="false">AY507/10</f>
        <v>68.06</v>
      </c>
      <c r="BB507" s="16" t="n">
        <f aca="false">AZ507/10</f>
        <v>68.3</v>
      </c>
      <c r="BC507" s="24" t="n">
        <v>2268</v>
      </c>
      <c r="BD507" s="16" t="n">
        <f aca="false">RANK(AX507,$AX$2:$AX$881,0)</f>
        <v>765</v>
      </c>
      <c r="BE507" s="78" t="n">
        <f aca="false">((BC507*100)/2400)*0.4+(AX507*0.6)</f>
        <v>76.92</v>
      </c>
      <c r="BF507" s="16" t="n">
        <f aca="false">RANK(BE507,$BE$2:$BE$881,0)</f>
        <v>769</v>
      </c>
      <c r="BG507" s="39" t="n">
        <f aca="false">RANK(BB507,$BB$2:$BB$881,0)</f>
        <v>756</v>
      </c>
      <c r="BH507" s="39" t="n">
        <f aca="false">RANK(BC507,$BC$2:$BC$881,0)</f>
        <v>764</v>
      </c>
      <c r="BI507" s="22" t="s">
        <v>130</v>
      </c>
      <c r="BJ507" s="22" t="s">
        <v>129</v>
      </c>
      <c r="BK507" s="40" t="s">
        <v>702</v>
      </c>
      <c r="BL507" s="41" t="n">
        <v>24</v>
      </c>
      <c r="BM507" s="41" t="n">
        <v>47</v>
      </c>
      <c r="BN507" s="41" t="n">
        <v>71</v>
      </c>
      <c r="BO507" s="42" t="n">
        <v>23</v>
      </c>
      <c r="BP507" s="43" t="n">
        <v>63</v>
      </c>
      <c r="BQ507" s="44" t="n">
        <v>86</v>
      </c>
      <c r="BR507" s="42" t="n">
        <v>28</v>
      </c>
      <c r="BS507" s="45" t="n">
        <v>54</v>
      </c>
      <c r="BT507" s="45" t="n">
        <v>82</v>
      </c>
      <c r="BU507" s="46" t="n">
        <v>96</v>
      </c>
      <c r="BV507" s="47" t="n">
        <v>92</v>
      </c>
      <c r="BW507" s="42" t="n">
        <v>98</v>
      </c>
      <c r="BX507" s="48" t="n">
        <v>92</v>
      </c>
      <c r="BY507" s="32" t="n">
        <v>24</v>
      </c>
      <c r="BZ507" s="32" t="n">
        <v>49</v>
      </c>
      <c r="CA507" s="32" t="n">
        <v>73</v>
      </c>
      <c r="CB507" s="32" t="n">
        <v>18</v>
      </c>
      <c r="CC507" s="32" t="n">
        <v>33</v>
      </c>
      <c r="CD507" s="69" t="n">
        <v>51</v>
      </c>
      <c r="CE507" s="32" t="n">
        <v>28</v>
      </c>
      <c r="CF507" s="32" t="n">
        <v>49</v>
      </c>
      <c r="CG507" s="32" t="n">
        <v>77</v>
      </c>
      <c r="CH507" s="32" t="n">
        <v>96</v>
      </c>
      <c r="CI507" s="32" t="n">
        <v>96</v>
      </c>
      <c r="CJ507" s="49" t="n">
        <v>22</v>
      </c>
      <c r="CK507" s="49" t="n">
        <v>43</v>
      </c>
      <c r="CL507" s="49" t="n">
        <v>65</v>
      </c>
      <c r="CM507" s="49" t="n">
        <v>25</v>
      </c>
      <c r="CN507" s="49" t="n">
        <v>50</v>
      </c>
      <c r="CO507" s="49" t="n">
        <v>75</v>
      </c>
      <c r="CP507" s="25" t="n">
        <f aca="false">BX507+BW507+BV507+BU507+BT507+BQ507+BN507</f>
        <v>617</v>
      </c>
      <c r="CQ507" s="25" t="n">
        <f aca="false">CO507+CL507+CI507+CH507+CG507+CD507+CA507</f>
        <v>533</v>
      </c>
      <c r="CR507" s="26" t="n">
        <f aca="false">CP507/7</f>
        <v>88.1428571428571</v>
      </c>
      <c r="CS507" s="26" t="n">
        <f aca="false">CQ507/7</f>
        <v>76.1428571428571</v>
      </c>
      <c r="CT507" s="24" t="n">
        <f aca="false">RANK(CR507,$CR$2:$CR$881,0)</f>
        <v>297</v>
      </c>
      <c r="CU507" s="25" t="n">
        <f aca="false">RANK(CS507,$CS$2:$CS$881,0)</f>
        <v>395</v>
      </c>
      <c r="CV507" s="26" t="n">
        <f aca="false">(CS507+CR507)/2</f>
        <v>82.1428571428571</v>
      </c>
      <c r="CW507" s="25" t="n">
        <f aca="false">RANK(CV507,$CV$2:$CV$881,0)</f>
        <v>333</v>
      </c>
      <c r="CX507" s="50" t="n">
        <f aca="false">(CV507+BB507)/2</f>
        <v>75.2214285714286</v>
      </c>
      <c r="CY507" s="50" t="n">
        <v>554</v>
      </c>
      <c r="CZ507" s="27" t="s">
        <v>132</v>
      </c>
      <c r="DA507" s="27" t="s">
        <v>138</v>
      </c>
      <c r="DB507" s="27" t="s">
        <v>138</v>
      </c>
      <c r="DC507" s="27" t="s">
        <v>134</v>
      </c>
      <c r="DD507" s="27" t="s">
        <v>135</v>
      </c>
      <c r="DE507" s="27" t="s">
        <v>442</v>
      </c>
      <c r="DF507" s="27" t="s">
        <v>372</v>
      </c>
      <c r="DG507" s="27" t="s">
        <v>134</v>
      </c>
      <c r="DH507" s="27" t="s">
        <v>182</v>
      </c>
      <c r="DI507" s="27" t="s">
        <v>218</v>
      </c>
      <c r="DJ507" s="27" t="s">
        <v>196</v>
      </c>
      <c r="DK507" s="27" t="s">
        <v>134</v>
      </c>
      <c r="DL507" s="27" t="s">
        <v>182</v>
      </c>
      <c r="DM507" s="27" t="s">
        <v>220</v>
      </c>
      <c r="DN507" s="27" t="s">
        <v>219</v>
      </c>
      <c r="DO507" s="27" t="s">
        <v>134</v>
      </c>
      <c r="DP507" s="27" t="s">
        <v>154</v>
      </c>
      <c r="DQ507" s="27" t="s">
        <v>447</v>
      </c>
      <c r="DR507" s="27" t="s">
        <v>443</v>
      </c>
      <c r="DS507" s="27" t="s">
        <v>134</v>
      </c>
      <c r="DT507" s="27" t="s">
        <v>191</v>
      </c>
      <c r="DU507" s="27" t="s">
        <v>375</v>
      </c>
      <c r="DV507" s="27" t="s">
        <v>155</v>
      </c>
      <c r="DW507" s="27" t="s">
        <v>135</v>
      </c>
      <c r="DX507" s="27" t="s">
        <v>138</v>
      </c>
      <c r="DY507" s="27" t="s">
        <v>156</v>
      </c>
      <c r="DZ507" s="27" t="n">
        <f aca="false">DY507+DV507+DR507+DN507+DJ507+DF507+DB507</f>
        <v>544</v>
      </c>
      <c r="EA507" s="28" t="n">
        <f aca="false">DZ507/7</f>
        <v>77.7142857142857</v>
      </c>
      <c r="EB507" s="27" t="n">
        <f aca="false">RANK(EA507,$EA$2:$EA$881,0)</f>
        <v>467</v>
      </c>
      <c r="EC507" s="29" t="n">
        <f aca="false">DZ507+CQ507+CP507+AZ507</f>
        <v>2377</v>
      </c>
      <c r="ED507" s="30" t="n">
        <f aca="false">(EA507+CV507+BB507)/3</f>
        <v>76.0523809523809</v>
      </c>
      <c r="EE507" s="51" t="n">
        <f aca="false">ROUND(BE507,3)</f>
        <v>76.92</v>
      </c>
      <c r="EF507" s="51" t="n">
        <f aca="false">ROUND(CR507,3)</f>
        <v>88.143</v>
      </c>
      <c r="EG507" s="51" t="n">
        <f aca="false">ROUND(CS507,3)</f>
        <v>76.143</v>
      </c>
      <c r="EH507" s="51" t="n">
        <f aca="false">ROUND(EA507,3)</f>
        <v>77.714</v>
      </c>
      <c r="EI507" s="51" t="n">
        <f aca="false">ROUND(ED507,3)</f>
        <v>76.052</v>
      </c>
      <c r="EJ507" s="51" t="n">
        <f aca="false">ROUND(CV507,3)</f>
        <v>82.143</v>
      </c>
      <c r="EK507" s="0" t="n">
        <f aca="false">RANK(EI507,$EI$2:$EI$881,0)</f>
        <v>506</v>
      </c>
    </row>
    <row r="508" customFormat="false" ht="15" hidden="false" customHeight="false" outlineLevel="0" collapsed="false">
      <c r="A508" s="4" t="n">
        <v>9078</v>
      </c>
      <c r="B508" s="4" t="n">
        <v>30</v>
      </c>
      <c r="C508" s="27" t="s">
        <v>1553</v>
      </c>
      <c r="D508" s="52" t="n">
        <v>30</v>
      </c>
      <c r="E508" s="32" t="n">
        <v>230311504</v>
      </c>
      <c r="F508" s="8" t="s">
        <v>1554</v>
      </c>
      <c r="G508" s="22" t="s">
        <v>550</v>
      </c>
      <c r="H508" s="22" t="s">
        <v>129</v>
      </c>
      <c r="I508" s="33" t="n">
        <v>2005</v>
      </c>
      <c r="J508" s="32" t="n">
        <v>85</v>
      </c>
      <c r="K508" s="32" t="n">
        <v>89</v>
      </c>
      <c r="L508" s="34" t="n">
        <f aca="false">(K508*70)/100</f>
        <v>62.3</v>
      </c>
      <c r="M508" s="34" t="n">
        <f aca="false">ROUNDUP(L508,0)</f>
        <v>63</v>
      </c>
      <c r="N508" s="32" t="n">
        <v>29</v>
      </c>
      <c r="O508" s="34" t="n">
        <f aca="false">N508+L508</f>
        <v>91.3</v>
      </c>
      <c r="P508" s="34" t="n">
        <f aca="false">N508+M508</f>
        <v>92</v>
      </c>
      <c r="Q508" s="32" t="n">
        <v>89</v>
      </c>
      <c r="R508" s="32" t="n">
        <v>82</v>
      </c>
      <c r="S508" s="34" t="n">
        <f aca="false">(R508*70)/100</f>
        <v>57.4</v>
      </c>
      <c r="T508" s="34" t="n">
        <f aca="false">ROUNDUP(S508,0)</f>
        <v>58</v>
      </c>
      <c r="U508" s="32" t="n">
        <v>23</v>
      </c>
      <c r="V508" s="34" t="n">
        <f aca="false">U508+S508</f>
        <v>80.4</v>
      </c>
      <c r="W508" s="34" t="n">
        <f aca="false">U508+T508</f>
        <v>81</v>
      </c>
      <c r="X508" s="32" t="n">
        <v>86</v>
      </c>
      <c r="Y508" s="34" t="n">
        <f aca="false">(X508*70)/100</f>
        <v>60.2</v>
      </c>
      <c r="Z508" s="34" t="n">
        <f aca="false">ROUNDUP(Y508,0)</f>
        <v>61</v>
      </c>
      <c r="AA508" s="32" t="n">
        <v>25</v>
      </c>
      <c r="AB508" s="34" t="n">
        <f aca="false">AA508+Y508</f>
        <v>85.2</v>
      </c>
      <c r="AC508" s="34" t="n">
        <f aca="false">AA508+Z508</f>
        <v>86</v>
      </c>
      <c r="AD508" s="32" t="n">
        <f aca="false">X508+R508+Q508+K508+J508</f>
        <v>431</v>
      </c>
      <c r="AE508" s="16" t="n">
        <f aca="false">AD508/5</f>
        <v>86.2</v>
      </c>
      <c r="AF508" s="16" t="n">
        <v>81</v>
      </c>
      <c r="AG508" s="16" t="n">
        <v>80</v>
      </c>
      <c r="AH508" s="16" t="n">
        <v>93</v>
      </c>
      <c r="AI508" s="16" t="n">
        <v>96</v>
      </c>
      <c r="AJ508" s="16" t="n">
        <f aca="false">(AI508*70)/100</f>
        <v>67.2</v>
      </c>
      <c r="AK508" s="35" t="n">
        <f aca="false">ROUNDUP(AJ508,0)</f>
        <v>68</v>
      </c>
      <c r="AL508" s="16" t="n">
        <v>26</v>
      </c>
      <c r="AM508" s="16" t="n">
        <f aca="false">AL508+AJ508</f>
        <v>93.2</v>
      </c>
      <c r="AN508" s="16" t="n">
        <f aca="false">AL508+AK508</f>
        <v>94</v>
      </c>
      <c r="AO508" s="16" t="n">
        <v>87</v>
      </c>
      <c r="AP508" s="36" t="n">
        <f aca="false">(AO508*70)/100</f>
        <v>60.9</v>
      </c>
      <c r="AQ508" s="37" t="n">
        <f aca="false">ROUNDUP(AP508,0)</f>
        <v>61</v>
      </c>
      <c r="AR508" s="16" t="n">
        <v>29</v>
      </c>
      <c r="AS508" s="16" t="n">
        <f aca="false">AR508+AP508</f>
        <v>89.9</v>
      </c>
      <c r="AT508" s="16" t="n">
        <f aca="false">AR508+AQ508</f>
        <v>90</v>
      </c>
      <c r="AU508" s="16" t="n">
        <f aca="false">AO508+AF508+AI508+AH508+AG508</f>
        <v>437</v>
      </c>
      <c r="AV508" s="16" t="n">
        <f aca="false">(AO508+AF508+AI508+AH508+AG508)/5</f>
        <v>87.4</v>
      </c>
      <c r="AW508" s="36" t="n">
        <f aca="false">(AO508+AF508+AI508+AH508+AG508+X508+R508+Q508+K508+J508)</f>
        <v>868</v>
      </c>
      <c r="AX508" s="16" t="n">
        <f aca="false">AW508/10</f>
        <v>86.8</v>
      </c>
      <c r="AY508" s="16" t="n">
        <f aca="false">AS508+AF508+AM508+AH508+AG508+AB508+V508+Q508+O508+J508</f>
        <v>868</v>
      </c>
      <c r="AZ508" s="16" t="n">
        <f aca="false">AT508+AF508+AN508+AH508+AG508+AC508+W508+Q508+P508+J508</f>
        <v>871</v>
      </c>
      <c r="BA508" s="16" t="n">
        <f aca="false">AY508/10</f>
        <v>86.8</v>
      </c>
      <c r="BB508" s="16" t="n">
        <f aca="false">AZ508/10</f>
        <v>87.1</v>
      </c>
      <c r="BC508" s="16" t="n">
        <v>2375</v>
      </c>
      <c r="BD508" s="16" t="n">
        <f aca="false">RANK(AX508,$AX$2:$AX$881,0)</f>
        <v>52</v>
      </c>
      <c r="BE508" s="38" t="n">
        <f aca="false">((BC508*100)/2400)*0.4+(AX508*0.6)</f>
        <v>91.6633333333333</v>
      </c>
      <c r="BF508" s="16" t="n">
        <f aca="false">RANK(BE508,$BE$2:$BE$881,0)</f>
        <v>54</v>
      </c>
      <c r="BG508" s="39" t="n">
        <f aca="false">RANK(BB508,$BB$2:$BB$881,0)</f>
        <v>56</v>
      </c>
      <c r="BH508" s="39" t="n">
        <f aca="false">RANK(BC508,$BC$2:$BC$881,0)</f>
        <v>211</v>
      </c>
      <c r="BI508" s="22" t="s">
        <v>130</v>
      </c>
      <c r="BJ508" s="22" t="s">
        <v>129</v>
      </c>
      <c r="BK508" s="40" t="s">
        <v>131</v>
      </c>
      <c r="BL508" s="41" t="n">
        <v>24</v>
      </c>
      <c r="BM508" s="41" t="n">
        <v>55</v>
      </c>
      <c r="BN508" s="41" t="n">
        <v>79</v>
      </c>
      <c r="BO508" s="42" t="n">
        <v>21</v>
      </c>
      <c r="BP508" s="43" t="n">
        <v>55</v>
      </c>
      <c r="BQ508" s="44" t="n">
        <v>76</v>
      </c>
      <c r="BR508" s="42" t="n">
        <v>18</v>
      </c>
      <c r="BS508" s="24" t="n">
        <v>51</v>
      </c>
      <c r="BT508" s="24" t="n">
        <v>69</v>
      </c>
      <c r="BU508" s="46" t="n">
        <v>100</v>
      </c>
      <c r="BV508" s="47" t="n">
        <v>86</v>
      </c>
      <c r="BW508" s="42" t="n">
        <v>100</v>
      </c>
      <c r="BX508" s="48" t="n">
        <v>92</v>
      </c>
      <c r="BY508" s="32" t="n">
        <v>20</v>
      </c>
      <c r="BZ508" s="32" t="n">
        <v>54</v>
      </c>
      <c r="CA508" s="48" t="n">
        <v>74</v>
      </c>
      <c r="CB508" s="32" t="n">
        <v>20</v>
      </c>
      <c r="CC508" s="32" t="n">
        <v>37</v>
      </c>
      <c r="CD508" s="69" t="n">
        <v>57</v>
      </c>
      <c r="CE508" s="32" t="n">
        <v>25</v>
      </c>
      <c r="CF508" s="32" t="n">
        <v>55</v>
      </c>
      <c r="CG508" s="32" t="n">
        <v>80</v>
      </c>
      <c r="CH508" s="32" t="n">
        <v>93</v>
      </c>
      <c r="CI508" s="32" t="n">
        <v>93</v>
      </c>
      <c r="CJ508" s="49" t="n">
        <v>17</v>
      </c>
      <c r="CK508" s="49" t="n">
        <v>46</v>
      </c>
      <c r="CL508" s="49" t="n">
        <v>63</v>
      </c>
      <c r="CM508" s="49" t="n">
        <v>20</v>
      </c>
      <c r="CN508" s="49" t="n">
        <v>52</v>
      </c>
      <c r="CO508" s="49" t="n">
        <v>72</v>
      </c>
      <c r="CP508" s="25" t="n">
        <f aca="false">BX508+BW508+BV508+BU508+BT508+BQ508+BN508</f>
        <v>602</v>
      </c>
      <c r="CQ508" s="25" t="n">
        <f aca="false">CO508+CL508+CI508+CH508+CG508+CD508+CA508</f>
        <v>532</v>
      </c>
      <c r="CR508" s="26" t="n">
        <f aca="false">CP508/7</f>
        <v>86</v>
      </c>
      <c r="CS508" s="26" t="n">
        <f aca="false">CQ508/7</f>
        <v>76</v>
      </c>
      <c r="CT508" s="24" t="n">
        <f aca="false">RANK(CR508,$CR$2:$CR$881,0)</f>
        <v>403</v>
      </c>
      <c r="CU508" s="25" t="n">
        <f aca="false">RANK(CS508,$CS$2:$CS$881,0)</f>
        <v>398</v>
      </c>
      <c r="CV508" s="26" t="n">
        <f aca="false">(CS508+CR508)/2</f>
        <v>81</v>
      </c>
      <c r="CW508" s="25" t="n">
        <f aca="false">RANK(CV508,$CV$2:$CV$881,0)</f>
        <v>381</v>
      </c>
      <c r="CX508" s="50" t="n">
        <f aca="false">(CV508+BB508)/2</f>
        <v>84.05</v>
      </c>
      <c r="CY508" s="50" t="n">
        <v>226</v>
      </c>
      <c r="CZ508" s="27" t="s">
        <v>132</v>
      </c>
      <c r="DA508" s="27" t="s">
        <v>205</v>
      </c>
      <c r="DB508" s="27" t="s">
        <v>205</v>
      </c>
      <c r="DC508" s="27" t="s">
        <v>134</v>
      </c>
      <c r="DD508" s="27" t="s">
        <v>191</v>
      </c>
      <c r="DE508" s="27" t="s">
        <v>313</v>
      </c>
      <c r="DF508" s="27" t="s">
        <v>398</v>
      </c>
      <c r="DG508" s="27" t="s">
        <v>134</v>
      </c>
      <c r="DH508" s="27" t="s">
        <v>135</v>
      </c>
      <c r="DI508" s="27" t="s">
        <v>313</v>
      </c>
      <c r="DJ508" s="27" t="s">
        <v>382</v>
      </c>
      <c r="DK508" s="27" t="s">
        <v>134</v>
      </c>
      <c r="DL508" s="27" t="s">
        <v>154</v>
      </c>
      <c r="DM508" s="27" t="s">
        <v>415</v>
      </c>
      <c r="DN508" s="27" t="s">
        <v>155</v>
      </c>
      <c r="DO508" s="27" t="s">
        <v>134</v>
      </c>
      <c r="DP508" s="27"/>
      <c r="DQ508" s="27"/>
      <c r="DR508" s="27"/>
      <c r="DS508" s="27"/>
      <c r="DT508" s="27" t="s">
        <v>174</v>
      </c>
      <c r="DU508" s="27" t="s">
        <v>619</v>
      </c>
      <c r="DV508" s="27" t="s">
        <v>174</v>
      </c>
      <c r="DW508" s="27" t="s">
        <v>164</v>
      </c>
      <c r="DX508" s="27" t="s">
        <v>155</v>
      </c>
      <c r="DY508" s="27" t="s">
        <v>144</v>
      </c>
      <c r="DZ508" s="27" t="n">
        <f aca="false">DY508+DV508+DR508+DN508+DJ508+DF508+DB508</f>
        <v>420</v>
      </c>
      <c r="EA508" s="28" t="n">
        <f aca="false">DZ508/7</f>
        <v>60</v>
      </c>
      <c r="EB508" s="27" t="n">
        <f aca="false">RANK(EA508,$EA$2:$EA$881,0)</f>
        <v>781</v>
      </c>
      <c r="EC508" s="29" t="n">
        <f aca="false">DZ508+CQ508+CP508+AZ508</f>
        <v>2425</v>
      </c>
      <c r="ED508" s="30" t="n">
        <f aca="false">(EA508+CV508+BB508)/3</f>
        <v>76.0333333333333</v>
      </c>
      <c r="EE508" s="51" t="n">
        <f aca="false">ROUND(BE508,3)</f>
        <v>91.663</v>
      </c>
      <c r="EF508" s="51" t="n">
        <f aca="false">ROUND(CR508,3)</f>
        <v>86</v>
      </c>
      <c r="EG508" s="51" t="n">
        <f aca="false">ROUND(CS508,3)</f>
        <v>76</v>
      </c>
      <c r="EH508" s="51" t="n">
        <f aca="false">ROUND(EA508,3)</f>
        <v>60</v>
      </c>
      <c r="EI508" s="51" t="n">
        <f aca="false">ROUND(ED508,3)</f>
        <v>76.033</v>
      </c>
      <c r="EJ508" s="51" t="n">
        <f aca="false">ROUND(CV508,3)</f>
        <v>81</v>
      </c>
      <c r="EK508" s="0" t="n">
        <f aca="false">RANK(EI508,$EI$2:$EI$881,0)</f>
        <v>507</v>
      </c>
    </row>
    <row r="509" customFormat="false" ht="17.45" hidden="false" customHeight="false" outlineLevel="0" collapsed="false">
      <c r="A509" s="4" t="n">
        <v>1913</v>
      </c>
      <c r="B509" s="4" t="n">
        <v>293</v>
      </c>
      <c r="C509" s="27" t="s">
        <v>1555</v>
      </c>
      <c r="D509" s="31" t="n">
        <v>292</v>
      </c>
      <c r="E509" s="32" t="n">
        <v>230319309</v>
      </c>
      <c r="F509" s="55" t="s">
        <v>1556</v>
      </c>
      <c r="G509" s="22" t="s">
        <v>877</v>
      </c>
      <c r="H509" s="22" t="s">
        <v>129</v>
      </c>
      <c r="I509" s="33" t="n">
        <v>2005</v>
      </c>
      <c r="J509" s="32" t="n">
        <v>69</v>
      </c>
      <c r="K509" s="32" t="n">
        <v>83</v>
      </c>
      <c r="L509" s="34" t="n">
        <f aca="false">(K509*70)/100</f>
        <v>58.1</v>
      </c>
      <c r="M509" s="34" t="n">
        <f aca="false">ROUNDUP(L509,0)</f>
        <v>59</v>
      </c>
      <c r="N509" s="32" t="n">
        <v>28</v>
      </c>
      <c r="O509" s="34" t="n">
        <f aca="false">N509+L509</f>
        <v>86.1</v>
      </c>
      <c r="P509" s="34" t="n">
        <f aca="false">N509+M509</f>
        <v>87</v>
      </c>
      <c r="Q509" s="32" t="n">
        <v>68</v>
      </c>
      <c r="R509" s="32" t="n">
        <v>75</v>
      </c>
      <c r="S509" s="34" t="n">
        <f aca="false">(R509*70)/100</f>
        <v>52.5</v>
      </c>
      <c r="T509" s="34" t="n">
        <f aca="false">ROUNDUP(S509,0)</f>
        <v>53</v>
      </c>
      <c r="U509" s="32" t="n">
        <v>27</v>
      </c>
      <c r="V509" s="34" t="n">
        <f aca="false">U509+S509</f>
        <v>79.5</v>
      </c>
      <c r="W509" s="34" t="n">
        <f aca="false">U509+T509</f>
        <v>80</v>
      </c>
      <c r="X509" s="32" t="n">
        <v>66</v>
      </c>
      <c r="Y509" s="34" t="n">
        <f aca="false">(X509*70)/100</f>
        <v>46.2</v>
      </c>
      <c r="Z509" s="34" t="n">
        <f aca="false">ROUNDUP(Y509,0)</f>
        <v>47</v>
      </c>
      <c r="AA509" s="32" t="n">
        <v>25</v>
      </c>
      <c r="AB509" s="34" t="n">
        <f aca="false">AA509+Y509</f>
        <v>71.2</v>
      </c>
      <c r="AC509" s="34" t="n">
        <f aca="false">AA509+Z509</f>
        <v>72</v>
      </c>
      <c r="AD509" s="32" t="n">
        <f aca="false">X509+R509+Q509+K509+J509</f>
        <v>361</v>
      </c>
      <c r="AE509" s="16" t="n">
        <f aca="false">AD509/5</f>
        <v>72.2</v>
      </c>
      <c r="AF509" s="16" t="n">
        <v>77</v>
      </c>
      <c r="AG509" s="16" t="n">
        <v>78</v>
      </c>
      <c r="AH509" s="16" t="n">
        <v>90</v>
      </c>
      <c r="AI509" s="16" t="n">
        <v>88</v>
      </c>
      <c r="AJ509" s="16" t="n">
        <f aca="false">(AI509*70)/100</f>
        <v>61.6</v>
      </c>
      <c r="AK509" s="35" t="n">
        <f aca="false">ROUNDUP(AJ509,0)</f>
        <v>62</v>
      </c>
      <c r="AL509" s="16" t="n">
        <v>18</v>
      </c>
      <c r="AM509" s="16" t="n">
        <f aca="false">AL509+AJ509</f>
        <v>79.6</v>
      </c>
      <c r="AN509" s="16" t="n">
        <f aca="false">AL509+AK509</f>
        <v>80</v>
      </c>
      <c r="AO509" s="16" t="n">
        <v>79</v>
      </c>
      <c r="AP509" s="36" t="n">
        <f aca="false">(AO509*70)/100</f>
        <v>55.3</v>
      </c>
      <c r="AQ509" s="37" t="n">
        <f aca="false">ROUNDUP(AP509,0)</f>
        <v>56</v>
      </c>
      <c r="AR509" s="16" t="n">
        <v>29</v>
      </c>
      <c r="AS509" s="16" t="n">
        <f aca="false">AR509+AP509</f>
        <v>84.3</v>
      </c>
      <c r="AT509" s="16" t="n">
        <f aca="false">AR509+AQ509</f>
        <v>85</v>
      </c>
      <c r="AU509" s="16" t="n">
        <f aca="false">AO509+AF509+AI509+AH509+AG509</f>
        <v>412</v>
      </c>
      <c r="AV509" s="16" t="n">
        <f aca="false">(AO509+AF509+AI509+AH509+AG509)/5</f>
        <v>82.4</v>
      </c>
      <c r="AW509" s="36" t="n">
        <f aca="false">(AO509+AF509+AI509+AH509+AG509+X509+R509+Q509+K509+J509)</f>
        <v>773</v>
      </c>
      <c r="AX509" s="16" t="n">
        <f aca="false">AW509/10</f>
        <v>77.3</v>
      </c>
      <c r="AY509" s="16" t="n">
        <f aca="false">AS509+AF509+AM509+AH509+AG509+AB509+V509+Q509+O509+J509</f>
        <v>782.7</v>
      </c>
      <c r="AZ509" s="16" t="n">
        <f aca="false">AT509+AF509+AN509+AH509+AG509+AC509+W509+Q509+P509+J509</f>
        <v>786</v>
      </c>
      <c r="BA509" s="16" t="n">
        <f aca="false">AY509/10</f>
        <v>78.27</v>
      </c>
      <c r="BB509" s="16" t="n">
        <f aca="false">AZ509/10</f>
        <v>78.6</v>
      </c>
      <c r="BC509" s="16" t="n">
        <v>2349</v>
      </c>
      <c r="BD509" s="16" t="n">
        <f aca="false">RANK(AX509,$AX$2:$AX$881,0)</f>
        <v>472</v>
      </c>
      <c r="BE509" s="54" t="n">
        <f aca="false">((BC509*100)/2400)*0.4+(AX509*0.6)</f>
        <v>85.53</v>
      </c>
      <c r="BF509" s="16" t="n">
        <f aca="false">RANK(BE509,$BE$2:$BE$881,0)</f>
        <v>498</v>
      </c>
      <c r="BG509" s="39" t="n">
        <f aca="false">RANK(BB509,$BB$2:$BB$881,0)</f>
        <v>494</v>
      </c>
      <c r="BH509" s="39" t="n">
        <f aca="false">RANK(BC509,$BC$2:$BC$881,0)</f>
        <v>542</v>
      </c>
      <c r="BI509" s="22" t="s">
        <v>130</v>
      </c>
      <c r="BJ509" s="22" t="s">
        <v>129</v>
      </c>
      <c r="BK509" s="40" t="s">
        <v>509</v>
      </c>
      <c r="BL509" s="41" t="n">
        <v>15</v>
      </c>
      <c r="BM509" s="41" t="n">
        <v>49</v>
      </c>
      <c r="BN509" s="41" t="n">
        <v>64</v>
      </c>
      <c r="BO509" s="42" t="n">
        <v>24</v>
      </c>
      <c r="BP509" s="43" t="n">
        <v>62</v>
      </c>
      <c r="BQ509" s="44" t="n">
        <v>86</v>
      </c>
      <c r="BR509" s="42" t="n">
        <v>24</v>
      </c>
      <c r="BS509" s="45" t="n">
        <v>55</v>
      </c>
      <c r="BT509" s="45" t="n">
        <v>79</v>
      </c>
      <c r="BU509" s="46" t="n">
        <v>99</v>
      </c>
      <c r="BV509" s="47" t="n">
        <v>96</v>
      </c>
      <c r="BW509" s="42" t="n">
        <v>98</v>
      </c>
      <c r="BX509" s="48" t="n">
        <v>82</v>
      </c>
      <c r="BY509" s="32" t="n">
        <v>22</v>
      </c>
      <c r="BZ509" s="32" t="n">
        <v>51</v>
      </c>
      <c r="CA509" s="32" t="n">
        <v>73</v>
      </c>
      <c r="CB509" s="32" t="n">
        <v>20</v>
      </c>
      <c r="CC509" s="32" t="n">
        <v>33</v>
      </c>
      <c r="CD509" s="69" t="n">
        <v>53</v>
      </c>
      <c r="CE509" s="32" t="n">
        <v>21</v>
      </c>
      <c r="CF509" s="32" t="n">
        <v>52</v>
      </c>
      <c r="CG509" s="32" t="n">
        <v>73</v>
      </c>
      <c r="CH509" s="32" t="n">
        <v>95</v>
      </c>
      <c r="CI509" s="32" t="n">
        <v>83</v>
      </c>
      <c r="CJ509" s="83" t="n">
        <v>10</v>
      </c>
      <c r="CK509" s="60"/>
      <c r="CL509" s="61"/>
      <c r="CM509" s="49" t="n">
        <v>18</v>
      </c>
      <c r="CN509" s="49" t="n">
        <v>50</v>
      </c>
      <c r="CO509" s="49" t="n">
        <v>68</v>
      </c>
      <c r="CP509" s="25" t="n">
        <f aca="false">BX509+BW509+BV509+BU509+BT509+BQ509+BN509</f>
        <v>604</v>
      </c>
      <c r="CQ509" s="25" t="n">
        <f aca="false">CO509+CL509+CI509+CH509+CG509+CD509+CA509</f>
        <v>445</v>
      </c>
      <c r="CR509" s="26" t="n">
        <f aca="false">CP509/7</f>
        <v>86.2857142857143</v>
      </c>
      <c r="CS509" s="26" t="n">
        <f aca="false">CQ509/7</f>
        <v>63.5714285714286</v>
      </c>
      <c r="CT509" s="24" t="n">
        <f aca="false">RANK(CR509,$CR$2:$CR$881,0)</f>
        <v>383</v>
      </c>
      <c r="CU509" s="25" t="n">
        <f aca="false">RANK(CS509,$CS$2:$CS$881,0)</f>
        <v>644</v>
      </c>
      <c r="CV509" s="26" t="n">
        <f aca="false">(CS509+CR509)/2</f>
        <v>74.9285714285714</v>
      </c>
      <c r="CW509" s="25" t="n">
        <f aca="false">RANK(CV509,$CV$2:$CV$881,0)</f>
        <v>559</v>
      </c>
      <c r="CX509" s="50" t="n">
        <f aca="false">(CV509+BB509)/2</f>
        <v>76.7642857142857</v>
      </c>
      <c r="CY509" s="50" t="n">
        <v>509</v>
      </c>
      <c r="CZ509" s="27" t="s">
        <v>132</v>
      </c>
      <c r="DA509" s="27" t="s">
        <v>305</v>
      </c>
      <c r="DB509" s="27" t="s">
        <v>305</v>
      </c>
      <c r="DC509" s="27" t="s">
        <v>134</v>
      </c>
      <c r="DD509" s="27" t="s">
        <v>174</v>
      </c>
      <c r="DE509" s="27" t="s">
        <v>442</v>
      </c>
      <c r="DF509" s="27" t="s">
        <v>416</v>
      </c>
      <c r="DG509" s="27" t="s">
        <v>134</v>
      </c>
      <c r="DH509" s="27" t="s">
        <v>154</v>
      </c>
      <c r="DI509" s="27" t="s">
        <v>306</v>
      </c>
      <c r="DJ509" s="27" t="s">
        <v>305</v>
      </c>
      <c r="DK509" s="27" t="s">
        <v>134</v>
      </c>
      <c r="DL509" s="27" t="s">
        <v>164</v>
      </c>
      <c r="DM509" s="27" t="s">
        <v>415</v>
      </c>
      <c r="DN509" s="27" t="s">
        <v>372</v>
      </c>
      <c r="DO509" s="27" t="s">
        <v>134</v>
      </c>
      <c r="DP509" s="27" t="s">
        <v>264</v>
      </c>
      <c r="DQ509" s="27" t="s">
        <v>442</v>
      </c>
      <c r="DR509" s="27" t="s">
        <v>143</v>
      </c>
      <c r="DS509" s="27" t="s">
        <v>134</v>
      </c>
      <c r="DT509" s="27" t="s">
        <v>135</v>
      </c>
      <c r="DU509" s="27" t="s">
        <v>645</v>
      </c>
      <c r="DV509" s="27" t="s">
        <v>138</v>
      </c>
      <c r="DW509" s="27" t="s">
        <v>174</v>
      </c>
      <c r="DX509" s="27" t="s">
        <v>161</v>
      </c>
      <c r="DY509" s="27" t="s">
        <v>169</v>
      </c>
      <c r="DZ509" s="27" t="n">
        <f aca="false">DY509+DV509+DR509+DN509+DJ509+DF509+DB509</f>
        <v>521</v>
      </c>
      <c r="EA509" s="28" t="n">
        <f aca="false">DZ509/7</f>
        <v>74.4285714285714</v>
      </c>
      <c r="EB509" s="27" t="n">
        <f aca="false">RANK(EA509,$EA$2:$EA$881,0)</f>
        <v>552</v>
      </c>
      <c r="EC509" s="29" t="n">
        <f aca="false">DZ509+CQ509+CP509+AZ509</f>
        <v>2356</v>
      </c>
      <c r="ED509" s="30" t="n">
        <f aca="false">(EA509+CV509+BB509)/3</f>
        <v>75.9857142857143</v>
      </c>
      <c r="EE509" s="51" t="n">
        <f aca="false">ROUND(BE509,3)</f>
        <v>85.53</v>
      </c>
      <c r="EF509" s="51" t="n">
        <f aca="false">ROUND(CR509,3)</f>
        <v>86.286</v>
      </c>
      <c r="EG509" s="51" t="n">
        <f aca="false">ROUND(CS509,3)</f>
        <v>63.571</v>
      </c>
      <c r="EH509" s="51" t="n">
        <f aca="false">ROUND(EA509,3)</f>
        <v>74.429</v>
      </c>
      <c r="EI509" s="51" t="n">
        <f aca="false">ROUND(ED509,3)</f>
        <v>75.986</v>
      </c>
      <c r="EJ509" s="51" t="n">
        <f aca="false">ROUND(CV509,3)</f>
        <v>74.929</v>
      </c>
      <c r="EK509" s="0" t="n">
        <f aca="false">RANK(EI509,$EI$2:$EI$881,0)</f>
        <v>508</v>
      </c>
    </row>
    <row r="510" customFormat="false" ht="15" hidden="false" customHeight="false" outlineLevel="0" collapsed="false">
      <c r="A510" s="4" t="n">
        <v>2075</v>
      </c>
      <c r="B510" s="4" t="n">
        <v>532</v>
      </c>
      <c r="C510" s="27" t="s">
        <v>1557</v>
      </c>
      <c r="D510" s="31" t="n">
        <v>537</v>
      </c>
      <c r="E510" s="16" t="n">
        <v>230122904</v>
      </c>
      <c r="F510" s="56" t="s">
        <v>1558</v>
      </c>
      <c r="G510" s="22" t="s">
        <v>1559</v>
      </c>
      <c r="H510" s="22" t="s">
        <v>326</v>
      </c>
      <c r="I510" s="57"/>
      <c r="J510" s="16" t="n">
        <v>80</v>
      </c>
      <c r="K510" s="16" t="n">
        <v>81</v>
      </c>
      <c r="L510" s="34" t="n">
        <f aca="false">(K510*70)/100</f>
        <v>56.7</v>
      </c>
      <c r="M510" s="34" t="n">
        <f aca="false">ROUNDUP(L510,0)</f>
        <v>57</v>
      </c>
      <c r="N510" s="16" t="n">
        <v>27</v>
      </c>
      <c r="O510" s="34" t="n">
        <f aca="false">N510+L510</f>
        <v>83.7</v>
      </c>
      <c r="P510" s="34" t="n">
        <f aca="false">N510+M510</f>
        <v>84</v>
      </c>
      <c r="Q510" s="71" t="n">
        <v>47</v>
      </c>
      <c r="R510" s="16" t="n">
        <v>80</v>
      </c>
      <c r="S510" s="34" t="n">
        <f aca="false">(R510*70)/100</f>
        <v>56</v>
      </c>
      <c r="T510" s="34" t="n">
        <f aca="false">ROUNDUP(S510,0)</f>
        <v>56</v>
      </c>
      <c r="U510" s="16" t="n">
        <v>26</v>
      </c>
      <c r="V510" s="34" t="n">
        <f aca="false">U510+S510</f>
        <v>82</v>
      </c>
      <c r="W510" s="34" t="n">
        <f aca="false">U510+T510</f>
        <v>82</v>
      </c>
      <c r="X510" s="16" t="n">
        <v>66</v>
      </c>
      <c r="Y510" s="34" t="n">
        <f aca="false">(X510*70)/100</f>
        <v>46.2</v>
      </c>
      <c r="Z510" s="34" t="n">
        <f aca="false">ROUNDUP(Y510,0)</f>
        <v>47</v>
      </c>
      <c r="AA510" s="16" t="n">
        <v>25</v>
      </c>
      <c r="AB510" s="34" t="n">
        <f aca="false">AA510+Y510</f>
        <v>71.2</v>
      </c>
      <c r="AC510" s="34" t="n">
        <f aca="false">AA510+Z510</f>
        <v>72</v>
      </c>
      <c r="AD510" s="32" t="n">
        <f aca="false">X510+R510+Q510+K510+J510</f>
        <v>354</v>
      </c>
      <c r="AE510" s="16" t="n">
        <f aca="false">AD510/5</f>
        <v>70.8</v>
      </c>
      <c r="AF510" s="16" t="n">
        <v>68</v>
      </c>
      <c r="AG510" s="16" t="n">
        <v>84</v>
      </c>
      <c r="AH510" s="16" t="n">
        <v>93</v>
      </c>
      <c r="AI510" s="16" t="n">
        <v>84</v>
      </c>
      <c r="AJ510" s="16" t="n">
        <f aca="false">(AI510*70)/100</f>
        <v>58.8</v>
      </c>
      <c r="AK510" s="35" t="n">
        <f aca="false">ROUNDUP(AJ510,0)</f>
        <v>59</v>
      </c>
      <c r="AL510" s="16" t="n">
        <v>23</v>
      </c>
      <c r="AM510" s="16" t="n">
        <f aca="false">AL510+AJ510</f>
        <v>81.8</v>
      </c>
      <c r="AN510" s="16" t="n">
        <f aca="false">AL510+AK510</f>
        <v>82</v>
      </c>
      <c r="AO510" s="16" t="n">
        <v>83</v>
      </c>
      <c r="AP510" s="36" t="n">
        <f aca="false">(AO510*70)/100</f>
        <v>58.1</v>
      </c>
      <c r="AQ510" s="37" t="n">
        <f aca="false">ROUNDUP(AP510,0)</f>
        <v>59</v>
      </c>
      <c r="AR510" s="16" t="n">
        <v>27</v>
      </c>
      <c r="AS510" s="16" t="n">
        <f aca="false">AR510+AP510</f>
        <v>85.1</v>
      </c>
      <c r="AT510" s="16" t="n">
        <f aca="false">AR510+AQ510</f>
        <v>86</v>
      </c>
      <c r="AU510" s="16" t="n">
        <f aca="false">AO510+AF510+AI510+AH510+AG510</f>
        <v>412</v>
      </c>
      <c r="AV510" s="16" t="n">
        <f aca="false">(AO510+AF510+AI510+AH510+AG510)/5</f>
        <v>82.4</v>
      </c>
      <c r="AW510" s="36" t="n">
        <f aca="false">(AO510+AF510+AI510+AH510+AG510+X510+R510+Q510+K510+J510)</f>
        <v>766</v>
      </c>
      <c r="AX510" s="16" t="n">
        <f aca="false">AW510/10</f>
        <v>76.6</v>
      </c>
      <c r="AY510" s="16" t="n">
        <f aca="false">AS510+AF510+AM510+AH510+AG510+AB510+V510+Q510+O510+J510</f>
        <v>775.8</v>
      </c>
      <c r="AZ510" s="16" t="n">
        <f aca="false">AT510+AF510+AN510+AH510+AG510+AC510+W510+Q510+P510+J510</f>
        <v>778</v>
      </c>
      <c r="BA510" s="16" t="n">
        <f aca="false">AY510/10</f>
        <v>77.58</v>
      </c>
      <c r="BB510" s="16" t="n">
        <f aca="false">AZ510/10</f>
        <v>77.8</v>
      </c>
      <c r="BC510" s="16" t="n">
        <v>2349</v>
      </c>
      <c r="BD510" s="16" t="n">
        <f aca="false">RANK(AX510,$AX$2:$AX$881,0)</f>
        <v>547</v>
      </c>
      <c r="BE510" s="54" t="n">
        <f aca="false">((BC510*100)/2400)*0.4+(AX510*0.6)</f>
        <v>85.11</v>
      </c>
      <c r="BF510" s="16" t="n">
        <f aca="false">RANK(BE510,$BE$2:$BE$881,0)</f>
        <v>584</v>
      </c>
      <c r="BG510" s="39" t="n">
        <f aca="false">RANK(BB510,$BB$2:$BB$881,0)</f>
        <v>577</v>
      </c>
      <c r="BH510" s="39" t="n">
        <f aca="false">RANK(BC510,$BC$2:$BC$881,0)</f>
        <v>542</v>
      </c>
      <c r="BI510" s="22" t="s">
        <v>130</v>
      </c>
      <c r="BJ510" s="22" t="s">
        <v>129</v>
      </c>
      <c r="BK510" s="40" t="s">
        <v>509</v>
      </c>
      <c r="BL510" s="41" t="n">
        <v>23</v>
      </c>
      <c r="BM510" s="41" t="n">
        <v>49</v>
      </c>
      <c r="BN510" s="41" t="n">
        <v>72</v>
      </c>
      <c r="BO510" s="42" t="n">
        <v>19</v>
      </c>
      <c r="BP510" s="43" t="n">
        <v>46</v>
      </c>
      <c r="BQ510" s="44" t="n">
        <v>65</v>
      </c>
      <c r="BR510" s="42" t="n">
        <v>25</v>
      </c>
      <c r="BS510" s="45" t="n">
        <v>62</v>
      </c>
      <c r="BT510" s="45" t="n">
        <v>87</v>
      </c>
      <c r="BU510" s="46" t="n">
        <v>98</v>
      </c>
      <c r="BV510" s="47" t="n">
        <v>88</v>
      </c>
      <c r="BW510" s="42" t="n">
        <v>95</v>
      </c>
      <c r="BX510" s="48" t="n">
        <v>90</v>
      </c>
      <c r="BY510" s="32" t="n">
        <v>15</v>
      </c>
      <c r="BZ510" s="32" t="n">
        <v>35</v>
      </c>
      <c r="CA510" s="69" t="n">
        <v>50</v>
      </c>
      <c r="CB510" s="32" t="n">
        <v>19</v>
      </c>
      <c r="CC510" s="32" t="n">
        <v>36</v>
      </c>
      <c r="CD510" s="69" t="n">
        <v>55</v>
      </c>
      <c r="CE510" s="32" t="n">
        <v>24</v>
      </c>
      <c r="CF510" s="32" t="n">
        <v>34</v>
      </c>
      <c r="CG510" s="69" t="n">
        <v>58</v>
      </c>
      <c r="CH510" s="32" t="n">
        <v>100</v>
      </c>
      <c r="CI510" s="32" t="n">
        <v>98</v>
      </c>
      <c r="CJ510" s="49" t="n">
        <v>13</v>
      </c>
      <c r="CK510" s="49" t="n">
        <v>46</v>
      </c>
      <c r="CL510" s="76" t="n">
        <v>59</v>
      </c>
      <c r="CM510" s="49" t="n">
        <v>18</v>
      </c>
      <c r="CN510" s="49" t="n">
        <v>59</v>
      </c>
      <c r="CO510" s="49" t="n">
        <v>77</v>
      </c>
      <c r="CP510" s="25" t="n">
        <f aca="false">BX510+BW510+BV510+BU510+BT510+BQ510+BN510</f>
        <v>595</v>
      </c>
      <c r="CQ510" s="25" t="n">
        <f aca="false">CO510+CL510+CI510+CH510+CG510+CD510+CA510</f>
        <v>497</v>
      </c>
      <c r="CR510" s="26" t="n">
        <f aca="false">CP510/7</f>
        <v>85</v>
      </c>
      <c r="CS510" s="26" t="n">
        <f aca="false">CQ510/7</f>
        <v>71</v>
      </c>
      <c r="CT510" s="24" t="n">
        <f aca="false">RANK(CR510,$CR$2:$CR$881,0)</f>
        <v>437</v>
      </c>
      <c r="CU510" s="25" t="n">
        <f aca="false">RANK(CS510,$CS$2:$CS$881,0)</f>
        <v>538</v>
      </c>
      <c r="CV510" s="26" t="n">
        <f aca="false">(CS510+CR510)/2</f>
        <v>78</v>
      </c>
      <c r="CW510" s="25" t="n">
        <f aca="false">RANK(CV510,$CV$2:$CV$881,0)</f>
        <v>496</v>
      </c>
      <c r="CX510" s="50" t="n">
        <f aca="false">(CV510+BB510)/2</f>
        <v>77.9</v>
      </c>
      <c r="CY510" s="50" t="n">
        <v>468</v>
      </c>
      <c r="CZ510" s="27" t="s">
        <v>132</v>
      </c>
      <c r="DA510" s="27" t="s">
        <v>205</v>
      </c>
      <c r="DB510" s="27" t="s">
        <v>205</v>
      </c>
      <c r="DC510" s="27" t="s">
        <v>134</v>
      </c>
      <c r="DD510" s="27" t="s">
        <v>154</v>
      </c>
      <c r="DE510" s="27" t="s">
        <v>203</v>
      </c>
      <c r="DF510" s="27" t="s">
        <v>175</v>
      </c>
      <c r="DG510" s="27" t="s">
        <v>134</v>
      </c>
      <c r="DH510" s="27" t="s">
        <v>137</v>
      </c>
      <c r="DI510" s="27" t="s">
        <v>183</v>
      </c>
      <c r="DJ510" s="27" t="s">
        <v>209</v>
      </c>
      <c r="DK510" s="27" t="s">
        <v>134</v>
      </c>
      <c r="DL510" s="27" t="s">
        <v>135</v>
      </c>
      <c r="DM510" s="27" t="s">
        <v>412</v>
      </c>
      <c r="DN510" s="27" t="s">
        <v>443</v>
      </c>
      <c r="DO510" s="27" t="s">
        <v>134</v>
      </c>
      <c r="DP510" s="27"/>
      <c r="DQ510" s="27"/>
      <c r="DR510" s="27"/>
      <c r="DS510" s="27"/>
      <c r="DT510" s="27" t="s">
        <v>160</v>
      </c>
      <c r="DU510" s="27" t="s">
        <v>304</v>
      </c>
      <c r="DV510" s="27" t="s">
        <v>205</v>
      </c>
      <c r="DW510" s="27" t="s">
        <v>164</v>
      </c>
      <c r="DX510" s="27" t="s">
        <v>138</v>
      </c>
      <c r="DY510" s="27" t="s">
        <v>142</v>
      </c>
      <c r="DZ510" s="27" t="n">
        <f aca="false">DY510+DV510+DR510+DN510+DJ510+DF510+DB510</f>
        <v>505</v>
      </c>
      <c r="EA510" s="28" t="n">
        <f aca="false">DZ510/7</f>
        <v>72.1428571428571</v>
      </c>
      <c r="EB510" s="27" t="n">
        <f aca="false">RANK(EA510,$EA$2:$EA$881,0)</f>
        <v>606</v>
      </c>
      <c r="EC510" s="29" t="n">
        <f aca="false">DZ510+CQ510+CP510+AZ510</f>
        <v>2375</v>
      </c>
      <c r="ED510" s="30" t="n">
        <f aca="false">(EA510+CV510+BB510)/3</f>
        <v>75.9809523809524</v>
      </c>
      <c r="EE510" s="51" t="n">
        <f aca="false">ROUND(BE510,3)</f>
        <v>85.11</v>
      </c>
      <c r="EF510" s="51" t="n">
        <f aca="false">ROUND(CR510,3)</f>
        <v>85</v>
      </c>
      <c r="EG510" s="51" t="n">
        <f aca="false">ROUND(CS510,3)</f>
        <v>71</v>
      </c>
      <c r="EH510" s="51" t="n">
        <f aca="false">ROUND(EA510,3)</f>
        <v>72.143</v>
      </c>
      <c r="EI510" s="51" t="n">
        <f aca="false">ROUND(ED510,3)</f>
        <v>75.981</v>
      </c>
      <c r="EJ510" s="51" t="n">
        <f aca="false">ROUND(CV510,3)</f>
        <v>78</v>
      </c>
      <c r="EK510" s="0" t="n">
        <f aca="false">RANK(EI510,$EI$2:$EI$881,0)</f>
        <v>509</v>
      </c>
    </row>
    <row r="511" customFormat="false" ht="15" hidden="false" customHeight="false" outlineLevel="0" collapsed="false">
      <c r="A511" s="4" t="n">
        <v>8852</v>
      </c>
      <c r="B511" s="4" t="n">
        <v>673</v>
      </c>
      <c r="C511" s="27" t="s">
        <v>1560</v>
      </c>
      <c r="D511" s="31" t="n">
        <v>687</v>
      </c>
      <c r="E511" s="32" t="n">
        <v>230311371</v>
      </c>
      <c r="F511" s="8" t="s">
        <v>1561</v>
      </c>
      <c r="G511" s="22" t="s">
        <v>1562</v>
      </c>
      <c r="H511" s="22" t="s">
        <v>129</v>
      </c>
      <c r="I511" s="33" t="n">
        <v>2005</v>
      </c>
      <c r="J511" s="32" t="n">
        <v>69</v>
      </c>
      <c r="K511" s="32" t="n">
        <v>85</v>
      </c>
      <c r="L511" s="34" t="n">
        <f aca="false">(K511*70)/100</f>
        <v>59.5</v>
      </c>
      <c r="M511" s="34" t="n">
        <f aca="false">ROUNDUP(L511,0)</f>
        <v>60</v>
      </c>
      <c r="N511" s="32" t="n">
        <v>26</v>
      </c>
      <c r="O511" s="34" t="n">
        <f aca="false">N511+L511</f>
        <v>85.5</v>
      </c>
      <c r="P511" s="34" t="n">
        <f aca="false">N511+M511</f>
        <v>86</v>
      </c>
      <c r="Q511" s="32" t="n">
        <v>72</v>
      </c>
      <c r="R511" s="32" t="n">
        <v>76</v>
      </c>
      <c r="S511" s="34" t="n">
        <f aca="false">(R511*70)/100</f>
        <v>53.2</v>
      </c>
      <c r="T511" s="34" t="n">
        <f aca="false">ROUNDUP(S511,0)</f>
        <v>54</v>
      </c>
      <c r="U511" s="32" t="n">
        <v>26</v>
      </c>
      <c r="V511" s="34" t="n">
        <f aca="false">U511+S511</f>
        <v>79.2</v>
      </c>
      <c r="W511" s="34" t="n">
        <f aca="false">U511+T511</f>
        <v>80</v>
      </c>
      <c r="X511" s="32" t="n">
        <v>71</v>
      </c>
      <c r="Y511" s="34" t="n">
        <f aca="false">(X511*70)/100</f>
        <v>49.7</v>
      </c>
      <c r="Z511" s="34" t="n">
        <f aca="false">ROUNDUP(Y511,0)</f>
        <v>50</v>
      </c>
      <c r="AA511" s="32" t="n">
        <v>26</v>
      </c>
      <c r="AB511" s="34" t="n">
        <f aca="false">AA511+Y511</f>
        <v>75.7</v>
      </c>
      <c r="AC511" s="34" t="n">
        <f aca="false">AA511+Z511</f>
        <v>76</v>
      </c>
      <c r="AD511" s="32" t="n">
        <f aca="false">X511+R511+Q511+K511+J511</f>
        <v>373</v>
      </c>
      <c r="AE511" s="16" t="n">
        <f aca="false">AD511/5</f>
        <v>74.6</v>
      </c>
      <c r="AF511" s="16" t="n">
        <v>82</v>
      </c>
      <c r="AG511" s="16" t="n">
        <v>78</v>
      </c>
      <c r="AH511" s="16" t="n">
        <v>91</v>
      </c>
      <c r="AI511" s="16" t="n">
        <v>92</v>
      </c>
      <c r="AJ511" s="16" t="n">
        <f aca="false">(AI511*70)/100</f>
        <v>64.4</v>
      </c>
      <c r="AK511" s="35" t="n">
        <f aca="false">ROUNDUP(AJ511,0)</f>
        <v>65</v>
      </c>
      <c r="AL511" s="16" t="n">
        <v>28</v>
      </c>
      <c r="AM511" s="16" t="n">
        <f aca="false">AL511+AJ511</f>
        <v>92.4</v>
      </c>
      <c r="AN511" s="16" t="n">
        <f aca="false">AL511+AK511</f>
        <v>93</v>
      </c>
      <c r="AO511" s="16" t="n">
        <v>77</v>
      </c>
      <c r="AP511" s="36" t="n">
        <f aca="false">(AO511*70)/100</f>
        <v>53.9</v>
      </c>
      <c r="AQ511" s="37" t="n">
        <f aca="false">ROUNDUP(AP511,0)</f>
        <v>54</v>
      </c>
      <c r="AR511" s="16" t="n">
        <v>29</v>
      </c>
      <c r="AS511" s="16" t="n">
        <f aca="false">AR511+AP511</f>
        <v>82.9</v>
      </c>
      <c r="AT511" s="16" t="n">
        <f aca="false">AR511+AQ511</f>
        <v>83</v>
      </c>
      <c r="AU511" s="16" t="n">
        <f aca="false">AO511+AF511+AI511+AH511+AG511</f>
        <v>420</v>
      </c>
      <c r="AV511" s="16" t="n">
        <f aca="false">(AO511+AF511+AI511+AH511+AG511)/5</f>
        <v>84</v>
      </c>
      <c r="AW511" s="36" t="n">
        <f aca="false">(AO511+AF511+AI511+AH511+AG511+X511+R511+Q511+K511+J511)</f>
        <v>793</v>
      </c>
      <c r="AX511" s="16" t="n">
        <f aca="false">AW511/10</f>
        <v>79.3</v>
      </c>
      <c r="AY511" s="16" t="n">
        <f aca="false">AS511+AF511+AM511+AH511+AG511+AB511+V511+Q511+O511+J511</f>
        <v>807.7</v>
      </c>
      <c r="AZ511" s="16" t="n">
        <f aca="false">AT511+AF511+AN511+AH511+AG511+AC511+W511+Q511+P511+J511</f>
        <v>810</v>
      </c>
      <c r="BA511" s="16" t="n">
        <f aca="false">AY511/10</f>
        <v>80.77</v>
      </c>
      <c r="BB511" s="16" t="n">
        <f aca="false">AZ511/10</f>
        <v>81</v>
      </c>
      <c r="BC511" s="16" t="n">
        <v>2344</v>
      </c>
      <c r="BD511" s="16" t="n">
        <f aca="false">RANK(AX511,$AX$2:$AX$881,0)</f>
        <v>309</v>
      </c>
      <c r="BE511" s="54" t="n">
        <f aca="false">((BC511*100)/2400)*0.4+(AX511*0.6)</f>
        <v>86.6466666666667</v>
      </c>
      <c r="BF511" s="16" t="n">
        <f aca="false">RANK(BE511,$BE$2:$BE$881,0)</f>
        <v>335</v>
      </c>
      <c r="BG511" s="39" t="n">
        <f aca="false">RANK(BB511,$BB$2:$BB$881,0)</f>
        <v>277</v>
      </c>
      <c r="BH511" s="39" t="n">
        <f aca="false">RANK(BC511,$BC$2:$BC$881,0)</f>
        <v>598</v>
      </c>
      <c r="BI511" s="22" t="s">
        <v>130</v>
      </c>
      <c r="BJ511" s="22" t="s">
        <v>129</v>
      </c>
      <c r="BK511" s="40" t="s">
        <v>131</v>
      </c>
      <c r="BL511" s="41" t="n">
        <v>23</v>
      </c>
      <c r="BM511" s="41" t="n">
        <v>49</v>
      </c>
      <c r="BN511" s="41" t="n">
        <v>72</v>
      </c>
      <c r="BO511" s="42" t="n">
        <v>25</v>
      </c>
      <c r="BP511" s="43" t="n">
        <v>47</v>
      </c>
      <c r="BQ511" s="44" t="n">
        <v>72</v>
      </c>
      <c r="BR511" s="42" t="n">
        <v>21</v>
      </c>
      <c r="BS511" s="45" t="n">
        <v>54</v>
      </c>
      <c r="BT511" s="45" t="n">
        <v>75</v>
      </c>
      <c r="BU511" s="46" t="n">
        <v>100</v>
      </c>
      <c r="BV511" s="47" t="n">
        <v>82</v>
      </c>
      <c r="BW511" s="42" t="n">
        <v>98</v>
      </c>
      <c r="BX511" s="48" t="n">
        <v>94</v>
      </c>
      <c r="BY511" s="32" t="n">
        <v>27</v>
      </c>
      <c r="BZ511" s="32" t="n">
        <v>40</v>
      </c>
      <c r="CA511" s="32" t="n">
        <v>67</v>
      </c>
      <c r="CB511" s="32" t="n">
        <v>19</v>
      </c>
      <c r="CC511" s="32" t="n">
        <v>31</v>
      </c>
      <c r="CD511" s="69" t="n">
        <v>50</v>
      </c>
      <c r="CE511" s="32" t="n">
        <v>22</v>
      </c>
      <c r="CF511" s="32" t="n">
        <v>44</v>
      </c>
      <c r="CG511" s="32" t="n">
        <v>66</v>
      </c>
      <c r="CH511" s="32" t="n">
        <v>96</v>
      </c>
      <c r="CI511" s="32" t="n">
        <v>89</v>
      </c>
      <c r="CJ511" s="49" t="n">
        <v>19</v>
      </c>
      <c r="CK511" s="49" t="n">
        <v>46</v>
      </c>
      <c r="CL511" s="49" t="n">
        <v>65</v>
      </c>
      <c r="CM511" s="49" t="n">
        <v>21</v>
      </c>
      <c r="CN511" s="49" t="n">
        <v>44</v>
      </c>
      <c r="CO511" s="49" t="n">
        <v>65</v>
      </c>
      <c r="CP511" s="25" t="n">
        <f aca="false">BX511+BW511+BV511+BU511+BT511+BQ511+BN511</f>
        <v>593</v>
      </c>
      <c r="CQ511" s="25" t="n">
        <f aca="false">CO511+CL511+CI511+CH511+CG511+CD511+CA511</f>
        <v>498</v>
      </c>
      <c r="CR511" s="26" t="n">
        <f aca="false">CP511/7</f>
        <v>84.7142857142857</v>
      </c>
      <c r="CS511" s="26" t="n">
        <f aca="false">CQ511/7</f>
        <v>71.1428571428571</v>
      </c>
      <c r="CT511" s="24" t="n">
        <f aca="false">RANK(CR511,$CR$2:$CR$881,0)</f>
        <v>447</v>
      </c>
      <c r="CU511" s="25" t="n">
        <f aca="false">RANK(CS511,$CS$2:$CS$881,0)</f>
        <v>534</v>
      </c>
      <c r="CV511" s="26" t="n">
        <f aca="false">(CS511+CR511)/2</f>
        <v>77.9285714285714</v>
      </c>
      <c r="CW511" s="25" t="n">
        <f aca="false">RANK(CV511,$CV$2:$CV$881,0)</f>
        <v>498</v>
      </c>
      <c r="CX511" s="50" t="n">
        <f aca="false">(CV511+BB511)/2</f>
        <v>79.4642857142857</v>
      </c>
      <c r="CY511" s="50" t="n">
        <v>399</v>
      </c>
      <c r="CZ511" s="27" t="s">
        <v>132</v>
      </c>
      <c r="DA511" s="27" t="s">
        <v>486</v>
      </c>
      <c r="DB511" s="27" t="s">
        <v>486</v>
      </c>
      <c r="DC511" s="27" t="s">
        <v>134</v>
      </c>
      <c r="DD511" s="27" t="s">
        <v>182</v>
      </c>
      <c r="DE511" s="27" t="s">
        <v>375</v>
      </c>
      <c r="DF511" s="27" t="s">
        <v>372</v>
      </c>
      <c r="DG511" s="27" t="s">
        <v>134</v>
      </c>
      <c r="DH511" s="27" t="s">
        <v>174</v>
      </c>
      <c r="DI511" s="27" t="s">
        <v>375</v>
      </c>
      <c r="DJ511" s="27" t="s">
        <v>398</v>
      </c>
      <c r="DK511" s="27" t="s">
        <v>134</v>
      </c>
      <c r="DL511" s="27" t="s">
        <v>182</v>
      </c>
      <c r="DM511" s="27" t="s">
        <v>681</v>
      </c>
      <c r="DN511" s="27" t="s">
        <v>155</v>
      </c>
      <c r="DO511" s="27" t="s">
        <v>134</v>
      </c>
      <c r="DP511" s="27" t="s">
        <v>604</v>
      </c>
      <c r="DQ511" s="27" t="s">
        <v>1407</v>
      </c>
      <c r="DR511" s="27" t="s">
        <v>220</v>
      </c>
      <c r="DS511" s="27" t="s">
        <v>480</v>
      </c>
      <c r="DT511" s="27" t="s">
        <v>174</v>
      </c>
      <c r="DU511" s="27" t="s">
        <v>140</v>
      </c>
      <c r="DV511" s="27" t="s">
        <v>412</v>
      </c>
      <c r="DW511" s="27" t="s">
        <v>137</v>
      </c>
      <c r="DX511" s="27" t="s">
        <v>161</v>
      </c>
      <c r="DY511" s="27" t="s">
        <v>178</v>
      </c>
      <c r="DZ511" s="27" t="n">
        <f aca="false">DY511+DV511+DR511+DN511+DJ511+DF511+DB511</f>
        <v>483</v>
      </c>
      <c r="EA511" s="28" t="n">
        <f aca="false">DZ511/7</f>
        <v>69</v>
      </c>
      <c r="EB511" s="27" t="n">
        <f aca="false">RANK(EA511,$EA$2:$EA$881,0)</f>
        <v>673</v>
      </c>
      <c r="EC511" s="29" t="n">
        <f aca="false">DZ511+CQ511+CP511+AZ511</f>
        <v>2384</v>
      </c>
      <c r="ED511" s="30" t="n">
        <f aca="false">(EA511+CV511+BB511)/3</f>
        <v>75.9761904761905</v>
      </c>
      <c r="EE511" s="51" t="n">
        <f aca="false">ROUND(BE511,3)</f>
        <v>86.647</v>
      </c>
      <c r="EF511" s="51" t="n">
        <f aca="false">ROUND(CR511,3)</f>
        <v>84.714</v>
      </c>
      <c r="EG511" s="51" t="n">
        <f aca="false">ROUND(CS511,3)</f>
        <v>71.143</v>
      </c>
      <c r="EH511" s="51" t="n">
        <f aca="false">ROUND(EA511,3)</f>
        <v>69</v>
      </c>
      <c r="EI511" s="51" t="n">
        <f aca="false">ROUND(ED511,3)</f>
        <v>75.976</v>
      </c>
      <c r="EJ511" s="51" t="n">
        <f aca="false">ROUND(CV511,3)</f>
        <v>77.929</v>
      </c>
      <c r="EK511" s="0" t="n">
        <f aca="false">RANK(EI511,$EI$2:$EI$881,0)</f>
        <v>510</v>
      </c>
    </row>
    <row r="512" customFormat="false" ht="15" hidden="false" customHeight="false" outlineLevel="0" collapsed="false">
      <c r="A512" s="4" t="n">
        <v>9106</v>
      </c>
      <c r="B512" s="4" t="n">
        <v>770</v>
      </c>
      <c r="C512" s="27" t="s">
        <v>1563</v>
      </c>
      <c r="D512" s="52" t="n">
        <v>788</v>
      </c>
      <c r="E512" s="109" t="n">
        <v>230319770</v>
      </c>
      <c r="F512" s="110" t="s">
        <v>1564</v>
      </c>
      <c r="G512" s="109" t="s">
        <v>1544</v>
      </c>
      <c r="H512" s="109" t="s">
        <v>129</v>
      </c>
      <c r="I512" s="19" t="n">
        <v>2005</v>
      </c>
      <c r="J512" s="111" t="n">
        <v>76</v>
      </c>
      <c r="K512" s="111" t="n">
        <v>73</v>
      </c>
      <c r="L512" s="112" t="n">
        <f aca="false">(K512*70)/100</f>
        <v>51.1</v>
      </c>
      <c r="M512" s="112" t="n">
        <f aca="false">ROUNDUP(L512,0)</f>
        <v>52</v>
      </c>
      <c r="N512" s="111" t="n">
        <v>26</v>
      </c>
      <c r="O512" s="112" t="n">
        <f aca="false">N512+L512</f>
        <v>77.1</v>
      </c>
      <c r="P512" s="112" t="n">
        <f aca="false">N512+M512</f>
        <v>78</v>
      </c>
      <c r="Q512" s="111" t="n">
        <v>72</v>
      </c>
      <c r="R512" s="111" t="n">
        <v>69</v>
      </c>
      <c r="S512" s="112" t="n">
        <f aca="false">(R512*70)/100</f>
        <v>48.3</v>
      </c>
      <c r="T512" s="112" t="n">
        <f aca="false">ROUNDUP(S512,0)</f>
        <v>49</v>
      </c>
      <c r="U512" s="111" t="n">
        <v>29</v>
      </c>
      <c r="V512" s="112" t="n">
        <f aca="false">U512+S512</f>
        <v>77.3</v>
      </c>
      <c r="W512" s="112" t="n">
        <f aca="false">U512+T512</f>
        <v>78</v>
      </c>
      <c r="X512" s="111" t="n">
        <v>76</v>
      </c>
      <c r="Y512" s="112" t="n">
        <f aca="false">(X512*70)/100</f>
        <v>53.2</v>
      </c>
      <c r="Z512" s="112" t="n">
        <f aca="false">ROUNDUP(Y512,0)</f>
        <v>54</v>
      </c>
      <c r="AA512" s="111" t="n">
        <v>23</v>
      </c>
      <c r="AB512" s="112" t="n">
        <f aca="false">AA512+Y512</f>
        <v>76.2</v>
      </c>
      <c r="AC512" s="112" t="n">
        <f aca="false">AA512+Z512</f>
        <v>77</v>
      </c>
      <c r="AD512" s="111" t="n">
        <f aca="false">X512+R512+Q512+K512+J512</f>
        <v>366</v>
      </c>
      <c r="AE512" s="114" t="n">
        <v>73.2</v>
      </c>
      <c r="AF512" s="19" t="n">
        <v>81</v>
      </c>
      <c r="AG512" s="19" t="n">
        <v>78</v>
      </c>
      <c r="AH512" s="19" t="n">
        <v>80</v>
      </c>
      <c r="AI512" s="19" t="n">
        <v>82</v>
      </c>
      <c r="AJ512" s="19" t="n">
        <f aca="false">(AI512*70)/100</f>
        <v>57.4</v>
      </c>
      <c r="AK512" s="115" t="n">
        <f aca="false">ROUNDUP(AJ512,0)</f>
        <v>58</v>
      </c>
      <c r="AL512" s="19" t="n">
        <v>24</v>
      </c>
      <c r="AM512" s="19" t="n">
        <f aca="false">AL512+AJ512</f>
        <v>81.4</v>
      </c>
      <c r="AN512" s="19" t="n">
        <f aca="false">AL512+AK512</f>
        <v>82</v>
      </c>
      <c r="AO512" s="19" t="n">
        <v>70</v>
      </c>
      <c r="AP512" s="116" t="n">
        <f aca="false">(AO512*70)/100</f>
        <v>49</v>
      </c>
      <c r="AQ512" s="117" t="n">
        <f aca="false">ROUNDUP(AP512,0)</f>
        <v>49</v>
      </c>
      <c r="AR512" s="19" t="n">
        <v>26</v>
      </c>
      <c r="AS512" s="19" t="n">
        <f aca="false">AR512+AP512</f>
        <v>75</v>
      </c>
      <c r="AT512" s="19" t="n">
        <f aca="false">AR512+AQ512</f>
        <v>75</v>
      </c>
      <c r="AU512" s="19" t="n">
        <f aca="false">AO512+AF512+AI512+AH512+AG512</f>
        <v>391</v>
      </c>
      <c r="AV512" s="19" t="n">
        <f aca="false">(AO512+AF512+AI512+AH512+AG512)/5</f>
        <v>78.2</v>
      </c>
      <c r="AW512" s="116" t="n">
        <f aca="false">(AO512+AF512+AI512+AH512+AG512+X512+R512+Q512+K512+J512)</f>
        <v>757</v>
      </c>
      <c r="AX512" s="16" t="n">
        <f aca="false">AW512/10</f>
        <v>75.7</v>
      </c>
      <c r="AY512" s="16" t="n">
        <f aca="false">AS512+AF512+AM512+AH512+AG512+AB512+V512+Q512+O512+J512</f>
        <v>774</v>
      </c>
      <c r="AZ512" s="16" t="n">
        <f aca="false">AT512+AF512+AN512+AH512+AG512+AC512+W512+Q512+P512+J512</f>
        <v>777</v>
      </c>
      <c r="BA512" s="16" t="n">
        <f aca="false">AY512/10</f>
        <v>77.4</v>
      </c>
      <c r="BB512" s="16" t="n">
        <f aca="false">AZ512/10</f>
        <v>77.7</v>
      </c>
      <c r="BC512" s="16" t="n">
        <v>2356</v>
      </c>
      <c r="BD512" s="16" t="n">
        <f aca="false">RANK(AX512,$AX$2:$AX$881,0)</f>
        <v>640</v>
      </c>
      <c r="BE512" s="122" t="n">
        <f aca="false">((BC512*100)/2400)*0.4+(AX512*0.6)</f>
        <v>84.6866666666667</v>
      </c>
      <c r="BF512" s="16" t="n">
        <f aca="false">RANK(BE512,$BE$2:$BE$881,0)</f>
        <v>671</v>
      </c>
      <c r="BG512" s="39" t="n">
        <f aca="false">RANK(BB512,$BB$2:$BB$881,0)</f>
        <v>586</v>
      </c>
      <c r="BH512" s="39" t="n">
        <f aca="false">RANK(BC512,$BC$2:$BC$881,0)</f>
        <v>462</v>
      </c>
      <c r="BI512" s="19" t="s">
        <v>130</v>
      </c>
      <c r="BJ512" s="19" t="s">
        <v>129</v>
      </c>
      <c r="BK512" s="109" t="s">
        <v>702</v>
      </c>
      <c r="BL512" s="41" t="n">
        <v>19</v>
      </c>
      <c r="BM512" s="41" t="n">
        <v>42</v>
      </c>
      <c r="BN512" s="41" t="n">
        <v>61</v>
      </c>
      <c r="BO512" s="42" t="n">
        <v>21</v>
      </c>
      <c r="BP512" s="43" t="n">
        <v>50</v>
      </c>
      <c r="BQ512" s="44" t="n">
        <v>71</v>
      </c>
      <c r="BR512" s="42" t="n">
        <v>18</v>
      </c>
      <c r="BS512" s="45" t="n">
        <v>49</v>
      </c>
      <c r="BT512" s="45" t="n">
        <v>67</v>
      </c>
      <c r="BU512" s="46" t="n">
        <v>96</v>
      </c>
      <c r="BV512" s="47" t="n">
        <v>84</v>
      </c>
      <c r="BW512" s="42" t="n">
        <v>96</v>
      </c>
      <c r="BX512" s="48" t="n">
        <v>94</v>
      </c>
      <c r="BY512" s="32" t="n">
        <v>21</v>
      </c>
      <c r="BZ512" s="32" t="n">
        <v>40</v>
      </c>
      <c r="CA512" s="32" t="n">
        <v>61</v>
      </c>
      <c r="CB512" s="32" t="n">
        <v>14</v>
      </c>
      <c r="CC512" s="32" t="n">
        <v>27</v>
      </c>
      <c r="CD512" s="69" t="n">
        <v>41</v>
      </c>
      <c r="CE512" s="32" t="n">
        <v>20</v>
      </c>
      <c r="CF512" s="32" t="n">
        <v>40</v>
      </c>
      <c r="CG512" s="32" t="n">
        <v>60</v>
      </c>
      <c r="CH512" s="32" t="n">
        <v>86</v>
      </c>
      <c r="CI512" s="32" t="n">
        <v>98</v>
      </c>
      <c r="CJ512" s="49" t="n">
        <v>22</v>
      </c>
      <c r="CK512" s="49" t="n">
        <v>46</v>
      </c>
      <c r="CL512" s="49" t="n">
        <v>68</v>
      </c>
      <c r="CM512" s="49" t="n">
        <v>25</v>
      </c>
      <c r="CN512" s="49" t="n">
        <v>37</v>
      </c>
      <c r="CO512" s="49" t="n">
        <v>62</v>
      </c>
      <c r="CP512" s="25" t="n">
        <f aca="false">BX512+BW512+BV512+BU512+BT512+BQ512+BN512</f>
        <v>569</v>
      </c>
      <c r="CQ512" s="25" t="n">
        <f aca="false">CO512+CL512+CI512+CH512+CG512+CD512+CA512</f>
        <v>476</v>
      </c>
      <c r="CR512" s="26" t="n">
        <f aca="false">CP512/7</f>
        <v>81.2857142857143</v>
      </c>
      <c r="CS512" s="26" t="n">
        <f aca="false">CQ512/7</f>
        <v>68</v>
      </c>
      <c r="CT512" s="24" t="n">
        <f aca="false">RANK(CR512,$CR$2:$CR$881,0)</f>
        <v>560</v>
      </c>
      <c r="CU512" s="25" t="n">
        <f aca="false">RANK(CS512,$CS$2:$CS$881,0)</f>
        <v>588</v>
      </c>
      <c r="CV512" s="26" t="n">
        <f aca="false">(CS512+CR512)/2</f>
        <v>74.6428571428571</v>
      </c>
      <c r="CW512" s="25" t="n">
        <f aca="false">RANK(CV512,$CV$2:$CV$881,0)</f>
        <v>567</v>
      </c>
      <c r="CX512" s="50" t="n">
        <f aca="false">(CV512+BB512)/2</f>
        <v>76.1714285714286</v>
      </c>
      <c r="CY512" s="50" t="n">
        <v>525</v>
      </c>
      <c r="CZ512" s="27" t="s">
        <v>132</v>
      </c>
      <c r="DA512" s="27" t="s">
        <v>219</v>
      </c>
      <c r="DB512" s="27" t="s">
        <v>219</v>
      </c>
      <c r="DC512" s="27" t="s">
        <v>134</v>
      </c>
      <c r="DD512" s="27" t="s">
        <v>154</v>
      </c>
      <c r="DE512" s="27" t="s">
        <v>375</v>
      </c>
      <c r="DF512" s="27" t="s">
        <v>486</v>
      </c>
      <c r="DG512" s="27" t="s">
        <v>134</v>
      </c>
      <c r="DH512" s="27" t="s">
        <v>135</v>
      </c>
      <c r="DI512" s="27" t="s">
        <v>399</v>
      </c>
      <c r="DJ512" s="27" t="s">
        <v>486</v>
      </c>
      <c r="DK512" s="27" t="s">
        <v>134</v>
      </c>
      <c r="DL512" s="27" t="s">
        <v>137</v>
      </c>
      <c r="DM512" s="27" t="s">
        <v>304</v>
      </c>
      <c r="DN512" s="27" t="s">
        <v>219</v>
      </c>
      <c r="DO512" s="27" t="s">
        <v>134</v>
      </c>
      <c r="DP512" s="27" t="s">
        <v>154</v>
      </c>
      <c r="DQ512" s="27" t="s">
        <v>989</v>
      </c>
      <c r="DR512" s="27" t="s">
        <v>163</v>
      </c>
      <c r="DS512" s="27" t="s">
        <v>134</v>
      </c>
      <c r="DT512" s="27" t="s">
        <v>140</v>
      </c>
      <c r="DU512" s="27" t="s">
        <v>1064</v>
      </c>
      <c r="DV512" s="27" t="s">
        <v>163</v>
      </c>
      <c r="DW512" s="27" t="s">
        <v>164</v>
      </c>
      <c r="DX512" s="27" t="s">
        <v>163</v>
      </c>
      <c r="DY512" s="27" t="s">
        <v>176</v>
      </c>
      <c r="DZ512" s="27" t="n">
        <f aca="false">DY512+DV512+DR512+DN512+DJ512+DF512+DB512</f>
        <v>528</v>
      </c>
      <c r="EA512" s="28" t="n">
        <f aca="false">DZ512/7</f>
        <v>75.4285714285714</v>
      </c>
      <c r="EB512" s="27" t="n">
        <f aca="false">RANK(EA512,$EA$2:$EA$881,0)</f>
        <v>530</v>
      </c>
      <c r="EC512" s="29" t="n">
        <f aca="false">DZ512+CQ512+CP512+AZ512</f>
        <v>2350</v>
      </c>
      <c r="ED512" s="30" t="n">
        <f aca="false">(EA512+CV512+BB512)/3</f>
        <v>75.9238095238095</v>
      </c>
      <c r="EE512" s="51" t="n">
        <f aca="false">ROUND(BE512,3)</f>
        <v>84.687</v>
      </c>
      <c r="EF512" s="51" t="n">
        <f aca="false">ROUND(CR512,3)</f>
        <v>81.286</v>
      </c>
      <c r="EG512" s="51" t="n">
        <f aca="false">ROUND(CS512,3)</f>
        <v>68</v>
      </c>
      <c r="EH512" s="51" t="n">
        <f aca="false">ROUND(EA512,3)</f>
        <v>75.429</v>
      </c>
      <c r="EI512" s="51" t="n">
        <f aca="false">ROUND(ED512,3)</f>
        <v>75.924</v>
      </c>
      <c r="EJ512" s="51" t="n">
        <f aca="false">ROUND(CV512,3)</f>
        <v>74.643</v>
      </c>
      <c r="EK512" s="0" t="n">
        <f aca="false">RANK(EI512,$EI$2:$EI$881,0)</f>
        <v>511</v>
      </c>
    </row>
    <row r="513" customFormat="false" ht="15" hidden="false" customHeight="false" outlineLevel="0" collapsed="false">
      <c r="A513" s="4" t="n">
        <v>8801</v>
      </c>
      <c r="B513" s="4" t="n">
        <v>494</v>
      </c>
      <c r="C513" s="27" t="s">
        <v>1565</v>
      </c>
      <c r="D513" s="31" t="n">
        <v>502</v>
      </c>
      <c r="E513" s="32" t="n">
        <v>230313189</v>
      </c>
      <c r="F513" s="8" t="s">
        <v>1566</v>
      </c>
      <c r="G513" s="22" t="s">
        <v>1318</v>
      </c>
      <c r="H513" s="22" t="s">
        <v>129</v>
      </c>
      <c r="I513" s="33" t="n">
        <v>2005</v>
      </c>
      <c r="J513" s="32" t="n">
        <v>80</v>
      </c>
      <c r="K513" s="32" t="n">
        <v>76</v>
      </c>
      <c r="L513" s="34" t="n">
        <f aca="false">(K513*70)/100</f>
        <v>53.2</v>
      </c>
      <c r="M513" s="34" t="n">
        <f aca="false">ROUNDUP(L513,0)</f>
        <v>54</v>
      </c>
      <c r="N513" s="32" t="n">
        <v>24</v>
      </c>
      <c r="O513" s="34" t="n">
        <f aca="false">N513+L513</f>
        <v>77.2</v>
      </c>
      <c r="P513" s="34" t="n">
        <f aca="false">N513+M513</f>
        <v>78</v>
      </c>
      <c r="Q513" s="32" t="n">
        <v>84</v>
      </c>
      <c r="R513" s="32" t="n">
        <v>76</v>
      </c>
      <c r="S513" s="34" t="n">
        <f aca="false">(R513*70)/100</f>
        <v>53.2</v>
      </c>
      <c r="T513" s="34" t="n">
        <f aca="false">ROUNDUP(S513,0)</f>
        <v>54</v>
      </c>
      <c r="U513" s="32" t="n">
        <v>23</v>
      </c>
      <c r="V513" s="34" t="n">
        <f aca="false">U513+S513</f>
        <v>76.2</v>
      </c>
      <c r="W513" s="34" t="n">
        <f aca="false">U513+T513</f>
        <v>77</v>
      </c>
      <c r="X513" s="32" t="n">
        <v>67</v>
      </c>
      <c r="Y513" s="34" t="n">
        <f aca="false">(X513*70)/100</f>
        <v>46.9</v>
      </c>
      <c r="Z513" s="34" t="n">
        <f aca="false">ROUNDUP(Y513,0)</f>
        <v>47</v>
      </c>
      <c r="AA513" s="32" t="n">
        <v>24</v>
      </c>
      <c r="AB513" s="34" t="n">
        <f aca="false">AA513+Y513</f>
        <v>70.9</v>
      </c>
      <c r="AC513" s="34" t="n">
        <f aca="false">AA513+Z513</f>
        <v>71</v>
      </c>
      <c r="AD513" s="32" t="n">
        <f aca="false">X513+R513+Q513+K513+J513</f>
        <v>383</v>
      </c>
      <c r="AE513" s="16" t="n">
        <f aca="false">AD513/5</f>
        <v>76.6</v>
      </c>
      <c r="AF513" s="16" t="n">
        <v>69</v>
      </c>
      <c r="AG513" s="16" t="n">
        <v>87</v>
      </c>
      <c r="AH513" s="16" t="n">
        <v>82</v>
      </c>
      <c r="AI513" s="16" t="n">
        <v>90</v>
      </c>
      <c r="AJ513" s="16" t="n">
        <f aca="false">(AI513*70)/100</f>
        <v>63</v>
      </c>
      <c r="AK513" s="35" t="n">
        <f aca="false">ROUNDUP(AJ513,0)</f>
        <v>63</v>
      </c>
      <c r="AL513" s="16" t="n">
        <v>22</v>
      </c>
      <c r="AM513" s="16" t="n">
        <f aca="false">AL513+AJ513</f>
        <v>85</v>
      </c>
      <c r="AN513" s="16" t="n">
        <f aca="false">AL513+AK513</f>
        <v>85</v>
      </c>
      <c r="AO513" s="16" t="n">
        <v>78</v>
      </c>
      <c r="AP513" s="36" t="n">
        <f aca="false">(AO513*70)/100</f>
        <v>54.6</v>
      </c>
      <c r="AQ513" s="37" t="n">
        <f aca="false">ROUNDUP(AP513,0)</f>
        <v>55</v>
      </c>
      <c r="AR513" s="16" t="n">
        <v>24</v>
      </c>
      <c r="AS513" s="16" t="n">
        <f aca="false">AR513+AP513</f>
        <v>78.6</v>
      </c>
      <c r="AT513" s="16" t="n">
        <f aca="false">AR513+AQ513</f>
        <v>79</v>
      </c>
      <c r="AU513" s="16" t="n">
        <f aca="false">AO513+AF513+AI513+AH513+AG513</f>
        <v>406</v>
      </c>
      <c r="AV513" s="16" t="n">
        <f aca="false">(AO513+AF513+AI513+AH513+AG513)/5</f>
        <v>81.2</v>
      </c>
      <c r="AW513" s="36" t="n">
        <f aca="false">(AO513+AF513+AI513+AH513+AG513+X513+R513+Q513+K513+J513)</f>
        <v>789</v>
      </c>
      <c r="AX513" s="16" t="n">
        <f aca="false">AW513/10</f>
        <v>78.9</v>
      </c>
      <c r="AY513" s="16" t="n">
        <f aca="false">AS513+AF513+AM513+AH513+AG513+AB513+V513+Q513+O513+J513</f>
        <v>789.9</v>
      </c>
      <c r="AZ513" s="16" t="n">
        <f aca="false">AT513+AF513+AN513+AH513+AG513+AC513+W513+Q513+P513+J513</f>
        <v>792</v>
      </c>
      <c r="BA513" s="16" t="n">
        <f aca="false">AY513/10</f>
        <v>78.99</v>
      </c>
      <c r="BB513" s="16" t="n">
        <f aca="false">AZ513/10</f>
        <v>79.2</v>
      </c>
      <c r="BC513" s="16" t="n">
        <v>2351</v>
      </c>
      <c r="BD513" s="16" t="n">
        <f aca="false">RANK(AX513,$AX$2:$AX$881,0)</f>
        <v>339</v>
      </c>
      <c r="BE513" s="54" t="n">
        <f aca="false">((BC513*100)/2400)*0.4+(AX513*0.6)</f>
        <v>86.5233333333333</v>
      </c>
      <c r="BF513" s="16" t="n">
        <f aca="false">RANK(BE513,$BE$2:$BE$881,0)</f>
        <v>349</v>
      </c>
      <c r="BG513" s="39" t="n">
        <f aca="false">RANK(BB513,$BB$2:$BB$881,0)</f>
        <v>434</v>
      </c>
      <c r="BH513" s="39" t="n">
        <f aca="false">RANK(BC513,$BC$2:$BC$881,0)</f>
        <v>520</v>
      </c>
      <c r="BI513" s="22" t="s">
        <v>130</v>
      </c>
      <c r="BJ513" s="22" t="s">
        <v>129</v>
      </c>
      <c r="BK513" s="40" t="s">
        <v>131</v>
      </c>
      <c r="BL513" s="41" t="n">
        <v>17</v>
      </c>
      <c r="BM513" s="41" t="n">
        <v>52</v>
      </c>
      <c r="BN513" s="41" t="n">
        <v>69</v>
      </c>
      <c r="BO513" s="42" t="n">
        <v>21</v>
      </c>
      <c r="BP513" s="43" t="n">
        <v>48</v>
      </c>
      <c r="BQ513" s="44" t="n">
        <v>69</v>
      </c>
      <c r="BR513" s="42" t="n">
        <v>21</v>
      </c>
      <c r="BS513" s="45" t="n">
        <v>46</v>
      </c>
      <c r="BT513" s="45" t="n">
        <v>67</v>
      </c>
      <c r="BU513" s="46" t="n">
        <v>100</v>
      </c>
      <c r="BV513" s="47" t="n">
        <v>72</v>
      </c>
      <c r="BW513" s="42" t="n">
        <v>98</v>
      </c>
      <c r="BX513" s="48" t="n">
        <v>86</v>
      </c>
      <c r="BY513" s="32" t="n">
        <v>25</v>
      </c>
      <c r="BZ513" s="32" t="n">
        <v>35</v>
      </c>
      <c r="CA513" s="32" t="n">
        <v>60</v>
      </c>
      <c r="CB513" s="32" t="n">
        <v>24</v>
      </c>
      <c r="CC513" s="32" t="n">
        <v>30</v>
      </c>
      <c r="CD513" s="69" t="n">
        <v>54</v>
      </c>
      <c r="CE513" s="32" t="n">
        <v>27</v>
      </c>
      <c r="CF513" s="32" t="n">
        <v>35</v>
      </c>
      <c r="CG513" s="32" t="n">
        <v>62</v>
      </c>
      <c r="CH513" s="32" t="n">
        <v>92</v>
      </c>
      <c r="CI513" s="32" t="n">
        <v>100</v>
      </c>
      <c r="CJ513" s="49" t="n">
        <v>12</v>
      </c>
      <c r="CK513" s="49" t="n">
        <v>36</v>
      </c>
      <c r="CL513" s="76" t="n">
        <v>48</v>
      </c>
      <c r="CM513" s="49" t="n">
        <v>17</v>
      </c>
      <c r="CN513" s="49" t="n">
        <v>49</v>
      </c>
      <c r="CO513" s="49" t="n">
        <v>66</v>
      </c>
      <c r="CP513" s="25" t="n">
        <f aca="false">BX513+BW513+BV513+BU513+BT513+BQ513+BN513</f>
        <v>561</v>
      </c>
      <c r="CQ513" s="25" t="n">
        <f aca="false">CO513+CL513+CI513+CH513+CG513+CD513+CA513</f>
        <v>482</v>
      </c>
      <c r="CR513" s="26" t="n">
        <f aca="false">CP513/7</f>
        <v>80.1428571428571</v>
      </c>
      <c r="CS513" s="26" t="n">
        <f aca="false">CQ513/7</f>
        <v>68.8571428571429</v>
      </c>
      <c r="CT513" s="24" t="n">
        <f aca="false">RANK(CR513,$CR$2:$CR$881,0)</f>
        <v>582</v>
      </c>
      <c r="CU513" s="25" t="n">
        <f aca="false">RANK(CS513,$CS$2:$CS$881,0)</f>
        <v>572</v>
      </c>
      <c r="CV513" s="26" t="n">
        <f aca="false">(CS513+CR513)/2</f>
        <v>74.5</v>
      </c>
      <c r="CW513" s="25" t="n">
        <f aca="false">RANK(CV513,$CV$2:$CV$881,0)</f>
        <v>571</v>
      </c>
      <c r="CX513" s="50" t="n">
        <f aca="false">(CV513+BB513)/2</f>
        <v>76.85</v>
      </c>
      <c r="CY513" s="50" t="n">
        <v>506</v>
      </c>
      <c r="CZ513" s="27" t="s">
        <v>132</v>
      </c>
      <c r="DA513" s="27" t="s">
        <v>202</v>
      </c>
      <c r="DB513" s="27" t="s">
        <v>202</v>
      </c>
      <c r="DC513" s="27" t="s">
        <v>134</v>
      </c>
      <c r="DD513" s="27" t="s">
        <v>182</v>
      </c>
      <c r="DE513" s="27" t="s">
        <v>313</v>
      </c>
      <c r="DF513" s="27" t="s">
        <v>443</v>
      </c>
      <c r="DG513" s="27" t="s">
        <v>134</v>
      </c>
      <c r="DH513" s="27" t="s">
        <v>386</v>
      </c>
      <c r="DI513" s="27" t="s">
        <v>313</v>
      </c>
      <c r="DJ513" s="27" t="s">
        <v>155</v>
      </c>
      <c r="DK513" s="27" t="s">
        <v>134</v>
      </c>
      <c r="DL513" s="27" t="s">
        <v>154</v>
      </c>
      <c r="DM513" s="27" t="s">
        <v>442</v>
      </c>
      <c r="DN513" s="27" t="s">
        <v>398</v>
      </c>
      <c r="DO513" s="27" t="s">
        <v>134</v>
      </c>
      <c r="DP513" s="27" t="s">
        <v>191</v>
      </c>
      <c r="DQ513" s="27" t="s">
        <v>906</v>
      </c>
      <c r="DR513" s="27" t="s">
        <v>183</v>
      </c>
      <c r="DS513" s="27" t="s">
        <v>480</v>
      </c>
      <c r="DT513" s="27" t="s">
        <v>182</v>
      </c>
      <c r="DU513" s="27" t="s">
        <v>1407</v>
      </c>
      <c r="DV513" s="27" t="s">
        <v>152</v>
      </c>
      <c r="DW513" s="27" t="s">
        <v>137</v>
      </c>
      <c r="DX513" s="27" t="s">
        <v>187</v>
      </c>
      <c r="DY513" s="27" t="s">
        <v>176</v>
      </c>
      <c r="DZ513" s="27" t="n">
        <f aca="false">DY513+DV513+DR513+DN513+DJ513+DF513+DB513</f>
        <v>518</v>
      </c>
      <c r="EA513" s="28" t="n">
        <f aca="false">DZ513/7</f>
        <v>74</v>
      </c>
      <c r="EB513" s="27" t="n">
        <f aca="false">RANK(EA513,$EA$2:$EA$881,0)</f>
        <v>565</v>
      </c>
      <c r="EC513" s="29" t="n">
        <f aca="false">DZ513+CQ513+CP513+AZ513</f>
        <v>2353</v>
      </c>
      <c r="ED513" s="30" t="n">
        <f aca="false">(EA513+CV513+BB513)/3</f>
        <v>75.9</v>
      </c>
      <c r="EE513" s="51" t="n">
        <f aca="false">ROUND(BE513,3)</f>
        <v>86.523</v>
      </c>
      <c r="EF513" s="51" t="n">
        <f aca="false">ROUND(CR513,3)</f>
        <v>80.143</v>
      </c>
      <c r="EG513" s="51" t="n">
        <f aca="false">ROUND(CS513,3)</f>
        <v>68.857</v>
      </c>
      <c r="EH513" s="51" t="n">
        <f aca="false">ROUND(EA513,3)</f>
        <v>74</v>
      </c>
      <c r="EI513" s="51" t="n">
        <f aca="false">ROUND(ED513,3)</f>
        <v>75.9</v>
      </c>
      <c r="EJ513" s="51" t="n">
        <f aca="false">ROUND(CV513,3)</f>
        <v>74.5</v>
      </c>
      <c r="EK513" s="0" t="n">
        <f aca="false">RANK(EI513,$EI$2:$EI$881,0)</f>
        <v>512</v>
      </c>
    </row>
    <row r="514" customFormat="false" ht="16.85" hidden="false" customHeight="false" outlineLevel="0" collapsed="false">
      <c r="A514" s="4" t="n">
        <v>9011</v>
      </c>
      <c r="B514" s="4" t="n">
        <v>528</v>
      </c>
      <c r="C514" s="27" t="s">
        <v>1567</v>
      </c>
      <c r="D514" s="31" t="n">
        <v>534</v>
      </c>
      <c r="E514" s="16" t="n">
        <v>230119674</v>
      </c>
      <c r="F514" s="56" t="s">
        <v>1568</v>
      </c>
      <c r="G514" s="22" t="s">
        <v>1569</v>
      </c>
      <c r="H514" s="22" t="s">
        <v>326</v>
      </c>
      <c r="I514" s="57"/>
      <c r="J514" s="16" t="n">
        <v>78</v>
      </c>
      <c r="K514" s="16" t="n">
        <v>82</v>
      </c>
      <c r="L514" s="34" t="n">
        <f aca="false">(K514*70)/100</f>
        <v>57.4</v>
      </c>
      <c r="M514" s="34" t="n">
        <f aca="false">ROUNDUP(L514,0)</f>
        <v>58</v>
      </c>
      <c r="N514" s="16" t="n">
        <v>26</v>
      </c>
      <c r="O514" s="34" t="n">
        <f aca="false">N514+L514</f>
        <v>83.4</v>
      </c>
      <c r="P514" s="34" t="n">
        <f aca="false">N514+M514</f>
        <v>84</v>
      </c>
      <c r="Q514" s="16" t="n">
        <v>79</v>
      </c>
      <c r="R514" s="16" t="n">
        <v>76</v>
      </c>
      <c r="S514" s="34" t="n">
        <f aca="false">(R514*70)/100</f>
        <v>53.2</v>
      </c>
      <c r="T514" s="34" t="n">
        <f aca="false">ROUNDUP(S514,0)</f>
        <v>54</v>
      </c>
      <c r="U514" s="16" t="n">
        <v>26</v>
      </c>
      <c r="V514" s="34" t="n">
        <f aca="false">U514+S514</f>
        <v>79.2</v>
      </c>
      <c r="W514" s="34" t="n">
        <f aca="false">U514+T514</f>
        <v>80</v>
      </c>
      <c r="X514" s="16" t="n">
        <v>70</v>
      </c>
      <c r="Y514" s="34" t="n">
        <f aca="false">(X514*70)/100</f>
        <v>49</v>
      </c>
      <c r="Z514" s="34" t="n">
        <f aca="false">ROUNDUP(Y514,0)</f>
        <v>49</v>
      </c>
      <c r="AA514" s="16" t="n">
        <v>23</v>
      </c>
      <c r="AB514" s="34" t="n">
        <f aca="false">AA514+Y514</f>
        <v>72</v>
      </c>
      <c r="AC514" s="34" t="n">
        <f aca="false">AA514+Z514</f>
        <v>72</v>
      </c>
      <c r="AD514" s="32" t="n">
        <f aca="false">X514+R514+Q514+K514+J514</f>
        <v>385</v>
      </c>
      <c r="AE514" s="16" t="n">
        <f aca="false">AD514/5</f>
        <v>77</v>
      </c>
      <c r="AF514" s="16" t="n">
        <v>75</v>
      </c>
      <c r="AG514" s="16" t="n">
        <v>84</v>
      </c>
      <c r="AH514" s="16" t="n">
        <v>79</v>
      </c>
      <c r="AI514" s="16" t="n">
        <v>89</v>
      </c>
      <c r="AJ514" s="16" t="n">
        <f aca="false">(AI514*70)/100</f>
        <v>62.3</v>
      </c>
      <c r="AK514" s="35" t="n">
        <f aca="false">ROUNDUP(AJ514,0)</f>
        <v>63</v>
      </c>
      <c r="AL514" s="16" t="n">
        <v>21</v>
      </c>
      <c r="AM514" s="16" t="n">
        <f aca="false">AL514+AJ514</f>
        <v>83.3</v>
      </c>
      <c r="AN514" s="16" t="n">
        <f aca="false">AL514+AK514</f>
        <v>84</v>
      </c>
      <c r="AO514" s="16" t="n">
        <v>65</v>
      </c>
      <c r="AP514" s="36" t="n">
        <f aca="false">(AO514*70)/100</f>
        <v>45.5</v>
      </c>
      <c r="AQ514" s="37" t="n">
        <f aca="false">ROUNDUP(AP514,0)</f>
        <v>46</v>
      </c>
      <c r="AR514" s="16" t="n">
        <v>23</v>
      </c>
      <c r="AS514" s="16" t="n">
        <f aca="false">AR514+AP514</f>
        <v>68.5</v>
      </c>
      <c r="AT514" s="16" t="n">
        <f aca="false">AR514+AQ514</f>
        <v>69</v>
      </c>
      <c r="AU514" s="16" t="n">
        <f aca="false">AO514+AF514+AI514+AH514+AG514</f>
        <v>392</v>
      </c>
      <c r="AV514" s="16" t="n">
        <f aca="false">(AO514+AF514+AI514+AH514+AG514)/5</f>
        <v>78.4</v>
      </c>
      <c r="AW514" s="36" t="n">
        <f aca="false">(AO514+AF514+AI514+AH514+AG514+X514+R514+Q514+K514+J514)</f>
        <v>777</v>
      </c>
      <c r="AX514" s="16" t="n">
        <f aca="false">AW514/10</f>
        <v>77.7</v>
      </c>
      <c r="AY514" s="16" t="n">
        <f aca="false">AS514+AF514+AM514+AH514+AG514+AB514+V514+Q514+O514+J514</f>
        <v>781.4</v>
      </c>
      <c r="AZ514" s="16" t="n">
        <f aca="false">AT514+AF514+AN514+AH514+AG514+AC514+W514+Q514+P514+J514</f>
        <v>784</v>
      </c>
      <c r="BA514" s="16" t="n">
        <f aca="false">AY514/10</f>
        <v>78.14</v>
      </c>
      <c r="BB514" s="16" t="n">
        <f aca="false">AZ514/10</f>
        <v>78.4</v>
      </c>
      <c r="BC514" s="16" t="n">
        <v>2378</v>
      </c>
      <c r="BD514" s="16" t="n">
        <f aca="false">RANK(AX514,$AX$2:$AX$881,0)</f>
        <v>433</v>
      </c>
      <c r="BE514" s="54" t="n">
        <f aca="false">((BC514*100)/2400)*0.4+(AX514*0.6)</f>
        <v>86.2533333333333</v>
      </c>
      <c r="BF514" s="16" t="n">
        <f aca="false">RANK(BE514,$BE$2:$BE$881,0)</f>
        <v>394</v>
      </c>
      <c r="BG514" s="39" t="n">
        <f aca="false">RANK(BB514,$BB$2:$BB$881,0)</f>
        <v>520</v>
      </c>
      <c r="BH514" s="39" t="n">
        <f aca="false">RANK(BC514,$BC$2:$BC$881,0)</f>
        <v>173</v>
      </c>
      <c r="BI514" s="22" t="s">
        <v>130</v>
      </c>
      <c r="BJ514" s="22" t="s">
        <v>129</v>
      </c>
      <c r="BK514" s="40" t="s">
        <v>131</v>
      </c>
      <c r="BL514" s="41" t="n">
        <v>12</v>
      </c>
      <c r="BM514" s="41" t="n">
        <v>45</v>
      </c>
      <c r="BN514" s="98" t="n">
        <v>57</v>
      </c>
      <c r="BO514" s="42" t="n">
        <v>21</v>
      </c>
      <c r="BP514" s="43" t="n">
        <v>51</v>
      </c>
      <c r="BQ514" s="44" t="n">
        <v>72</v>
      </c>
      <c r="BR514" s="42" t="n">
        <v>17</v>
      </c>
      <c r="BS514" s="45" t="n">
        <v>54</v>
      </c>
      <c r="BT514" s="45" t="n">
        <v>71</v>
      </c>
      <c r="BU514" s="77" t="n">
        <v>99</v>
      </c>
      <c r="BV514" s="47" t="n">
        <v>84</v>
      </c>
      <c r="BW514" s="43" t="n">
        <v>99</v>
      </c>
      <c r="BX514" s="48" t="n">
        <v>92</v>
      </c>
      <c r="BY514" s="32" t="n">
        <v>23</v>
      </c>
      <c r="BZ514" s="32" t="n">
        <v>41</v>
      </c>
      <c r="CA514" s="32" t="n">
        <v>64</v>
      </c>
      <c r="CB514" s="32" t="n">
        <v>19</v>
      </c>
      <c r="CC514" s="32" t="n">
        <v>35</v>
      </c>
      <c r="CD514" s="69" t="n">
        <v>54</v>
      </c>
      <c r="CE514" s="32" t="n">
        <v>18</v>
      </c>
      <c r="CF514" s="32" t="n">
        <v>48</v>
      </c>
      <c r="CG514" s="32" t="n">
        <v>66</v>
      </c>
      <c r="CH514" s="32" t="n">
        <v>99</v>
      </c>
      <c r="CI514" s="32" t="n">
        <v>96</v>
      </c>
      <c r="CJ514" s="83" t="n">
        <v>11</v>
      </c>
      <c r="CK514" s="60"/>
      <c r="CL514" s="61"/>
      <c r="CM514" s="49" t="n">
        <v>22</v>
      </c>
      <c r="CN514" s="49" t="n">
        <v>45</v>
      </c>
      <c r="CO514" s="49" t="n">
        <v>67</v>
      </c>
      <c r="CP514" s="25" t="n">
        <f aca="false">BX514+BW514+BV514+BU514+BT514+BQ514+BN514</f>
        <v>574</v>
      </c>
      <c r="CQ514" s="25" t="n">
        <f aca="false">CO514+CL514+CI514+CH514+CG514+CD514+CA514</f>
        <v>446</v>
      </c>
      <c r="CR514" s="26" t="n">
        <f aca="false">CP514/7</f>
        <v>82</v>
      </c>
      <c r="CS514" s="26" t="n">
        <f aca="false">CQ514/7</f>
        <v>63.7142857142857</v>
      </c>
      <c r="CT514" s="24" t="n">
        <f aca="false">RANK(CR514,$CR$2:$CR$881,0)</f>
        <v>542</v>
      </c>
      <c r="CU514" s="25" t="n">
        <f aca="false">RANK(CS514,$CS$2:$CS$881,0)</f>
        <v>641</v>
      </c>
      <c r="CV514" s="26" t="n">
        <f aca="false">(CS514+CR514)/2</f>
        <v>72.8571428571429</v>
      </c>
      <c r="CW514" s="25" t="n">
        <f aca="false">RANK(CV514,$CV$2:$CV$881,0)</f>
        <v>605</v>
      </c>
      <c r="CX514" s="50" t="n">
        <f aca="false">(CV514+BB514)/2</f>
        <v>75.6285714285714</v>
      </c>
      <c r="CY514" s="50" t="n">
        <v>540</v>
      </c>
      <c r="CZ514" s="27" t="s">
        <v>132</v>
      </c>
      <c r="DA514" s="27" t="s">
        <v>169</v>
      </c>
      <c r="DB514" s="27" t="s">
        <v>169</v>
      </c>
      <c r="DC514" s="27" t="s">
        <v>134</v>
      </c>
      <c r="DD514" s="27" t="s">
        <v>195</v>
      </c>
      <c r="DE514" s="27" t="s">
        <v>306</v>
      </c>
      <c r="DF514" s="27" t="s">
        <v>443</v>
      </c>
      <c r="DG514" s="27" t="s">
        <v>134</v>
      </c>
      <c r="DH514" s="27" t="s">
        <v>135</v>
      </c>
      <c r="DI514" s="27" t="s">
        <v>306</v>
      </c>
      <c r="DJ514" s="27" t="s">
        <v>219</v>
      </c>
      <c r="DK514" s="27" t="s">
        <v>134</v>
      </c>
      <c r="DL514" s="27" t="s">
        <v>264</v>
      </c>
      <c r="DM514" s="27" t="s">
        <v>638</v>
      </c>
      <c r="DN514" s="27" t="s">
        <v>152</v>
      </c>
      <c r="DO514" s="27" t="s">
        <v>134</v>
      </c>
      <c r="DP514" s="27" t="s">
        <v>1000</v>
      </c>
      <c r="DQ514" s="27" t="s">
        <v>638</v>
      </c>
      <c r="DR514" s="27" t="s">
        <v>204</v>
      </c>
      <c r="DS514" s="27" t="s">
        <v>480</v>
      </c>
      <c r="DT514" s="27" t="s">
        <v>135</v>
      </c>
      <c r="DU514" s="27" t="s">
        <v>447</v>
      </c>
      <c r="DV514" s="27" t="s">
        <v>305</v>
      </c>
      <c r="DW514" s="27" t="s">
        <v>135</v>
      </c>
      <c r="DX514" s="27" t="s">
        <v>138</v>
      </c>
      <c r="DY514" s="27" t="s">
        <v>156</v>
      </c>
      <c r="DZ514" s="27" t="n">
        <f aca="false">DY514+DV514+DR514+DN514+DJ514+DF514+DB514</f>
        <v>534</v>
      </c>
      <c r="EA514" s="28" t="n">
        <f aca="false">DZ514/7</f>
        <v>76.2857142857143</v>
      </c>
      <c r="EB514" s="27" t="n">
        <f aca="false">RANK(EA514,$EA$2:$EA$881,0)</f>
        <v>513</v>
      </c>
      <c r="EC514" s="29" t="n">
        <f aca="false">DZ514+CQ514+CP514+AZ514</f>
        <v>2338</v>
      </c>
      <c r="ED514" s="30" t="n">
        <f aca="false">(EA514+CV514+BB514)/3</f>
        <v>75.8476190476191</v>
      </c>
      <c r="EE514" s="51" t="n">
        <f aca="false">ROUND(BE514,3)</f>
        <v>86.253</v>
      </c>
      <c r="EF514" s="51" t="n">
        <f aca="false">ROUND(CR514,3)</f>
        <v>82</v>
      </c>
      <c r="EG514" s="51" t="n">
        <f aca="false">ROUND(CS514,3)</f>
        <v>63.714</v>
      </c>
      <c r="EH514" s="51" t="n">
        <f aca="false">ROUND(EA514,3)</f>
        <v>76.286</v>
      </c>
      <c r="EI514" s="51" t="n">
        <f aca="false">ROUND(ED514,3)</f>
        <v>75.848</v>
      </c>
      <c r="EJ514" s="51" t="n">
        <f aca="false">ROUND(CV514,3)</f>
        <v>72.857</v>
      </c>
      <c r="EK514" s="0" t="n">
        <f aca="false">RANK(EI514,$EI$2:$EI$881,0)</f>
        <v>513</v>
      </c>
    </row>
    <row r="515" customFormat="false" ht="15" hidden="false" customHeight="false" outlineLevel="0" collapsed="false">
      <c r="A515" s="4" t="n">
        <v>8787</v>
      </c>
      <c r="B515" s="4" t="n">
        <v>18</v>
      </c>
      <c r="C515" s="27" t="s">
        <v>1570</v>
      </c>
      <c r="D515" s="52" t="n">
        <v>20</v>
      </c>
      <c r="E515" s="16" t="n">
        <v>230129373</v>
      </c>
      <c r="F515" s="56" t="s">
        <v>1571</v>
      </c>
      <c r="G515" s="22" t="s">
        <v>255</v>
      </c>
      <c r="H515" s="22" t="s">
        <v>326</v>
      </c>
      <c r="I515" s="57"/>
      <c r="J515" s="16" t="n">
        <v>68</v>
      </c>
      <c r="K515" s="16" t="n">
        <v>79</v>
      </c>
      <c r="L515" s="34" t="n">
        <f aca="false">(K515*70)/100</f>
        <v>55.3</v>
      </c>
      <c r="M515" s="34" t="n">
        <f aca="false">ROUNDUP(L515,0)</f>
        <v>56</v>
      </c>
      <c r="N515" s="16" t="n">
        <v>25</v>
      </c>
      <c r="O515" s="34" t="n">
        <f aca="false">N515+L515</f>
        <v>80.3</v>
      </c>
      <c r="P515" s="34" t="n">
        <f aca="false">N515+M515</f>
        <v>81</v>
      </c>
      <c r="Q515" s="16" t="n">
        <v>88</v>
      </c>
      <c r="R515" s="16" t="n">
        <v>84</v>
      </c>
      <c r="S515" s="34" t="n">
        <f aca="false">(R515*70)/100</f>
        <v>58.8</v>
      </c>
      <c r="T515" s="34" t="n">
        <f aca="false">ROUNDUP(S515,0)</f>
        <v>59</v>
      </c>
      <c r="U515" s="16" t="n">
        <v>26</v>
      </c>
      <c r="V515" s="34" t="n">
        <f aca="false">U515+S515</f>
        <v>84.8</v>
      </c>
      <c r="W515" s="34" t="n">
        <f aca="false">U515+T515</f>
        <v>85</v>
      </c>
      <c r="X515" s="16" t="n">
        <v>66</v>
      </c>
      <c r="Y515" s="34" t="n">
        <f aca="false">(X515*70)/100</f>
        <v>46.2</v>
      </c>
      <c r="Z515" s="34" t="n">
        <f aca="false">ROUNDUP(Y515,0)</f>
        <v>47</v>
      </c>
      <c r="AA515" s="16" t="n">
        <v>25</v>
      </c>
      <c r="AB515" s="34" t="n">
        <f aca="false">AA515+Y515</f>
        <v>71.2</v>
      </c>
      <c r="AC515" s="34" t="n">
        <f aca="false">AA515+Z515</f>
        <v>72</v>
      </c>
      <c r="AD515" s="32" t="n">
        <f aca="false">X515+R515+Q515+K515+J515</f>
        <v>385</v>
      </c>
      <c r="AE515" s="16" t="n">
        <f aca="false">AD515/5</f>
        <v>77</v>
      </c>
      <c r="AF515" s="16" t="n">
        <v>75</v>
      </c>
      <c r="AG515" s="16" t="n">
        <v>79</v>
      </c>
      <c r="AH515" s="16" t="n">
        <v>93</v>
      </c>
      <c r="AI515" s="16" t="n">
        <v>91</v>
      </c>
      <c r="AJ515" s="16" t="n">
        <f aca="false">(AI515*70)/100</f>
        <v>63.7</v>
      </c>
      <c r="AK515" s="35" t="n">
        <f aca="false">ROUNDUP(AJ515,0)</f>
        <v>64</v>
      </c>
      <c r="AL515" s="16" t="n">
        <v>20</v>
      </c>
      <c r="AM515" s="16" t="n">
        <f aca="false">AL515+AJ515</f>
        <v>83.7</v>
      </c>
      <c r="AN515" s="16" t="n">
        <f aca="false">AL515+AK515</f>
        <v>84</v>
      </c>
      <c r="AO515" s="16" t="n">
        <v>83</v>
      </c>
      <c r="AP515" s="36" t="n">
        <f aca="false">(AO515*70)/100</f>
        <v>58.1</v>
      </c>
      <c r="AQ515" s="37" t="n">
        <f aca="false">ROUNDUP(AP515,0)</f>
        <v>59</v>
      </c>
      <c r="AR515" s="16" t="n">
        <v>27</v>
      </c>
      <c r="AS515" s="16" t="n">
        <f aca="false">AR515+AP515</f>
        <v>85.1</v>
      </c>
      <c r="AT515" s="16" t="n">
        <f aca="false">AR515+AQ515</f>
        <v>86</v>
      </c>
      <c r="AU515" s="16" t="n">
        <f aca="false">AO515+AF515+AI515+AH515+AG515</f>
        <v>421</v>
      </c>
      <c r="AV515" s="16" t="n">
        <f aca="false">(AO515+AF515+AI515+AH515+AG515)/5</f>
        <v>84.2</v>
      </c>
      <c r="AW515" s="36" t="n">
        <f aca="false">(AO515+AF515+AI515+AH515+AG515+X515+R515+Q515+K515+J515)</f>
        <v>806</v>
      </c>
      <c r="AX515" s="16" t="n">
        <f aca="false">AW515/10</f>
        <v>80.6</v>
      </c>
      <c r="AY515" s="16" t="n">
        <f aca="false">AS515+AF515+AM515+AH515+AG515+AB515+V515+Q515+O515+J515</f>
        <v>808.1</v>
      </c>
      <c r="AZ515" s="16" t="n">
        <f aca="false">AT515+AF515+AN515+AH515+AG515+AC515+W515+Q515+P515+J515</f>
        <v>811</v>
      </c>
      <c r="BA515" s="16" t="n">
        <f aca="false">AY515/10</f>
        <v>80.81</v>
      </c>
      <c r="BB515" s="16" t="n">
        <f aca="false">AZ515/10</f>
        <v>81.1</v>
      </c>
      <c r="BC515" s="16" t="n">
        <v>2329</v>
      </c>
      <c r="BD515" s="16" t="n">
        <f aca="false">RANK(AX515,$AX$2:$AX$881,0)</f>
        <v>228</v>
      </c>
      <c r="BE515" s="54" t="n">
        <f aca="false">((BC515*100)/2400)*0.4+(AX515*0.6)</f>
        <v>87.1766666666667</v>
      </c>
      <c r="BF515" s="16" t="n">
        <f aca="false">RANK(BE515,$BE$2:$BE$881,0)</f>
        <v>282</v>
      </c>
      <c r="BG515" s="39" t="n">
        <f aca="false">RANK(BB515,$BB$2:$BB$881,0)</f>
        <v>271</v>
      </c>
      <c r="BH515" s="39" t="n">
        <f aca="false">RANK(BC515,$BC$2:$BC$881,0)</f>
        <v>737</v>
      </c>
      <c r="BI515" s="22" t="s">
        <v>130</v>
      </c>
      <c r="BJ515" s="22" t="s">
        <v>129</v>
      </c>
      <c r="BK515" s="40" t="s">
        <v>131</v>
      </c>
      <c r="BL515" s="41" t="n">
        <v>22</v>
      </c>
      <c r="BM515" s="41" t="n">
        <v>58</v>
      </c>
      <c r="BN515" s="41" t="n">
        <v>80</v>
      </c>
      <c r="BO515" s="42" t="n">
        <v>21</v>
      </c>
      <c r="BP515" s="43" t="n">
        <v>60</v>
      </c>
      <c r="BQ515" s="44" t="n">
        <v>81</v>
      </c>
      <c r="BR515" s="42" t="n">
        <v>23</v>
      </c>
      <c r="BS515" s="45" t="n">
        <v>58</v>
      </c>
      <c r="BT515" s="45" t="n">
        <v>81</v>
      </c>
      <c r="BU515" s="46" t="n">
        <v>99</v>
      </c>
      <c r="BV515" s="47" t="n">
        <v>78</v>
      </c>
      <c r="BW515" s="42" t="n">
        <v>99</v>
      </c>
      <c r="BX515" s="48" t="n">
        <v>98</v>
      </c>
      <c r="BY515" s="32" t="n">
        <v>20</v>
      </c>
      <c r="BZ515" s="32" t="n">
        <v>48</v>
      </c>
      <c r="CA515" s="32" t="n">
        <v>68</v>
      </c>
      <c r="CB515" s="32" t="n">
        <v>23</v>
      </c>
      <c r="CC515" s="32" t="n">
        <v>37</v>
      </c>
      <c r="CD515" s="32" t="n">
        <v>60</v>
      </c>
      <c r="CE515" s="32" t="n">
        <v>21</v>
      </c>
      <c r="CF515" s="32" t="n">
        <v>38</v>
      </c>
      <c r="CG515" s="69" t="n">
        <v>59</v>
      </c>
      <c r="CH515" s="32" t="n">
        <v>99</v>
      </c>
      <c r="CI515" s="32" t="n">
        <v>92</v>
      </c>
      <c r="CJ515" s="49" t="n">
        <v>18</v>
      </c>
      <c r="CK515" s="49" t="n">
        <v>38</v>
      </c>
      <c r="CL515" s="76" t="n">
        <v>56</v>
      </c>
      <c r="CM515" s="49" t="n">
        <v>24</v>
      </c>
      <c r="CN515" s="49" t="n">
        <v>43</v>
      </c>
      <c r="CO515" s="49" t="n">
        <v>67</v>
      </c>
      <c r="CP515" s="25" t="n">
        <f aca="false">BX515+BW515+BV515+BU515+BT515+BQ515+BN515</f>
        <v>616</v>
      </c>
      <c r="CQ515" s="25" t="n">
        <f aca="false">CO515+CL515+CI515+CH515+CG515+CD515+CA515</f>
        <v>501</v>
      </c>
      <c r="CR515" s="26" t="n">
        <f aca="false">CP515/7</f>
        <v>88</v>
      </c>
      <c r="CS515" s="26" t="n">
        <f aca="false">CQ515/7</f>
        <v>71.5714285714286</v>
      </c>
      <c r="CT515" s="24" t="n">
        <f aca="false">RANK(CR515,$CR$2:$CR$881,0)</f>
        <v>304</v>
      </c>
      <c r="CU515" s="25" t="n">
        <f aca="false">RANK(CS515,$CS$2:$CS$881,0)</f>
        <v>521</v>
      </c>
      <c r="CV515" s="26" t="n">
        <f aca="false">(CS515+CR515)/2</f>
        <v>79.7857142857143</v>
      </c>
      <c r="CW515" s="25" t="n">
        <f aca="false">RANK(CV515,$CV$2:$CV$881,0)</f>
        <v>437</v>
      </c>
      <c r="CX515" s="50" t="n">
        <f aca="false">(CV515+BB515)/2</f>
        <v>80.4428571428571</v>
      </c>
      <c r="CY515" s="50" t="n">
        <v>348</v>
      </c>
      <c r="CZ515" s="27" t="s">
        <v>132</v>
      </c>
      <c r="DA515" s="27" t="s">
        <v>153</v>
      </c>
      <c r="DB515" s="27" t="s">
        <v>153</v>
      </c>
      <c r="DC515" s="27" t="s">
        <v>134</v>
      </c>
      <c r="DD515" s="27" t="s">
        <v>182</v>
      </c>
      <c r="DE515" s="27" t="s">
        <v>183</v>
      </c>
      <c r="DF515" s="27" t="s">
        <v>205</v>
      </c>
      <c r="DG515" s="27" t="s">
        <v>134</v>
      </c>
      <c r="DH515" s="27" t="s">
        <v>182</v>
      </c>
      <c r="DI515" s="27" t="s">
        <v>220</v>
      </c>
      <c r="DJ515" s="27" t="s">
        <v>219</v>
      </c>
      <c r="DK515" s="27" t="s">
        <v>134</v>
      </c>
      <c r="DL515" s="27" t="s">
        <v>718</v>
      </c>
      <c r="DM515" s="27" t="s">
        <v>415</v>
      </c>
      <c r="DN515" s="27" t="s">
        <v>204</v>
      </c>
      <c r="DO515" s="27" t="s">
        <v>480</v>
      </c>
      <c r="DP515" s="27"/>
      <c r="DQ515" s="27"/>
      <c r="DR515" s="27"/>
      <c r="DS515" s="27"/>
      <c r="DT515" s="27" t="s">
        <v>135</v>
      </c>
      <c r="DU515" s="27" t="s">
        <v>906</v>
      </c>
      <c r="DV515" s="27" t="s">
        <v>136</v>
      </c>
      <c r="DW515" s="27" t="s">
        <v>137</v>
      </c>
      <c r="DX515" s="27" t="s">
        <v>187</v>
      </c>
      <c r="DY515" s="27" t="s">
        <v>176</v>
      </c>
      <c r="DZ515" s="27" t="n">
        <f aca="false">DY515+DV515+DR515+DN515+DJ515+DF515+DB515</f>
        <v>466</v>
      </c>
      <c r="EA515" s="28" t="n">
        <f aca="false">DZ515/7</f>
        <v>66.5714285714286</v>
      </c>
      <c r="EB515" s="27" t="n">
        <f aca="false">RANK(EA515,$EA$2:$EA$881,0)</f>
        <v>710</v>
      </c>
      <c r="EC515" s="29" t="n">
        <f aca="false">DZ515+CQ515+CP515+AZ515</f>
        <v>2394</v>
      </c>
      <c r="ED515" s="30" t="n">
        <f aca="false">(EA515+CV515+BB515)/3</f>
        <v>75.8190476190476</v>
      </c>
      <c r="EE515" s="51" t="n">
        <f aca="false">ROUND(BE515,3)</f>
        <v>87.177</v>
      </c>
      <c r="EF515" s="51" t="n">
        <f aca="false">ROUND(CR515,3)</f>
        <v>88</v>
      </c>
      <c r="EG515" s="51" t="n">
        <f aca="false">ROUND(CS515,3)</f>
        <v>71.571</v>
      </c>
      <c r="EH515" s="51" t="n">
        <f aca="false">ROUND(EA515,3)</f>
        <v>66.571</v>
      </c>
      <c r="EI515" s="51" t="n">
        <f aca="false">ROUND(ED515,3)</f>
        <v>75.819</v>
      </c>
      <c r="EJ515" s="51" t="n">
        <f aca="false">ROUND(CV515,3)</f>
        <v>79.786</v>
      </c>
      <c r="EK515" s="0" t="n">
        <f aca="false">RANK(EI515,$EI$2:$EI$881,0)</f>
        <v>514</v>
      </c>
    </row>
    <row r="516" customFormat="false" ht="15" hidden="false" customHeight="false" outlineLevel="0" collapsed="false">
      <c r="A516" s="4" t="n">
        <v>1939</v>
      </c>
      <c r="B516" s="4" t="n">
        <v>678</v>
      </c>
      <c r="C516" s="27" t="s">
        <v>1572</v>
      </c>
      <c r="D516" s="31" t="n">
        <v>692</v>
      </c>
      <c r="E516" s="16" t="n">
        <v>234300076</v>
      </c>
      <c r="F516" s="56" t="s">
        <v>1573</v>
      </c>
      <c r="G516" s="22" t="s">
        <v>1574</v>
      </c>
      <c r="H516" s="22" t="s">
        <v>326</v>
      </c>
      <c r="I516" s="57"/>
      <c r="J516" s="16" t="n">
        <v>80</v>
      </c>
      <c r="K516" s="16" t="n">
        <v>70</v>
      </c>
      <c r="L516" s="34" t="n">
        <f aca="false">(K516*70)/100</f>
        <v>49</v>
      </c>
      <c r="M516" s="34" t="n">
        <f aca="false">ROUNDUP(L516,0)</f>
        <v>49</v>
      </c>
      <c r="N516" s="16" t="n">
        <v>17</v>
      </c>
      <c r="O516" s="34" t="n">
        <f aca="false">N516+L516</f>
        <v>66</v>
      </c>
      <c r="P516" s="34" t="n">
        <f aca="false">N516+M516</f>
        <v>66</v>
      </c>
      <c r="Q516" s="16" t="n">
        <v>75</v>
      </c>
      <c r="R516" s="16" t="n">
        <v>69</v>
      </c>
      <c r="S516" s="34" t="n">
        <f aca="false">(R516*70)/100</f>
        <v>48.3</v>
      </c>
      <c r="T516" s="34" t="n">
        <f aca="false">ROUNDUP(S516,0)</f>
        <v>49</v>
      </c>
      <c r="U516" s="16" t="n">
        <v>20</v>
      </c>
      <c r="V516" s="34" t="n">
        <f aca="false">U516+S516</f>
        <v>68.3</v>
      </c>
      <c r="W516" s="34" t="n">
        <f aca="false">U516+T516</f>
        <v>69</v>
      </c>
      <c r="X516" s="16" t="n">
        <v>62</v>
      </c>
      <c r="Y516" s="34" t="n">
        <f aca="false">(X516*70)/100</f>
        <v>43.4</v>
      </c>
      <c r="Z516" s="34" t="n">
        <f aca="false">ROUNDUP(Y516,0)</f>
        <v>44</v>
      </c>
      <c r="AA516" s="16" t="n">
        <v>24</v>
      </c>
      <c r="AB516" s="34" t="n">
        <f aca="false">AA516+Y516</f>
        <v>67.4</v>
      </c>
      <c r="AC516" s="34" t="n">
        <f aca="false">AA516+Z516</f>
        <v>68</v>
      </c>
      <c r="AD516" s="32" t="n">
        <f aca="false">X516+R516+Q516+K516+J516</f>
        <v>356</v>
      </c>
      <c r="AE516" s="16" t="n">
        <f aca="false">AD516/5</f>
        <v>71.2</v>
      </c>
      <c r="AF516" s="71" t="n">
        <v>53</v>
      </c>
      <c r="AG516" s="16" t="n">
        <v>84</v>
      </c>
      <c r="AH516" s="16" t="n">
        <v>80</v>
      </c>
      <c r="AI516" s="16" t="n">
        <v>82</v>
      </c>
      <c r="AJ516" s="16" t="n">
        <f aca="false">(AI516*70)/100</f>
        <v>57.4</v>
      </c>
      <c r="AK516" s="35" t="n">
        <f aca="false">ROUNDUP(AJ516,0)</f>
        <v>58</v>
      </c>
      <c r="AL516" s="16" t="n">
        <v>14</v>
      </c>
      <c r="AM516" s="16" t="n">
        <f aca="false">AL516+AJ516</f>
        <v>71.4</v>
      </c>
      <c r="AN516" s="16" t="n">
        <f aca="false">AL516+AK516</f>
        <v>72</v>
      </c>
      <c r="AO516" s="16" t="n">
        <v>65</v>
      </c>
      <c r="AP516" s="36" t="n">
        <f aca="false">(AO516*70)/100</f>
        <v>45.5</v>
      </c>
      <c r="AQ516" s="37" t="n">
        <f aca="false">ROUNDUP(AP516,0)</f>
        <v>46</v>
      </c>
      <c r="AR516" s="16" t="n">
        <v>23</v>
      </c>
      <c r="AS516" s="16" t="n">
        <f aca="false">AR516+AP516</f>
        <v>68.5</v>
      </c>
      <c r="AT516" s="16" t="n">
        <f aca="false">AR516+AQ516</f>
        <v>69</v>
      </c>
      <c r="AU516" s="16" t="n">
        <f aca="false">AO516+AF516+AI516+AH516+AG516</f>
        <v>364</v>
      </c>
      <c r="AV516" s="16" t="n">
        <f aca="false">(AO516+AF516+AI516+AH516+AG516)/5</f>
        <v>72.8</v>
      </c>
      <c r="AW516" s="36" t="n">
        <f aca="false">(AO516+AF516+AI516+AH516+AG516+X516+R516+Q516+K516+J516)</f>
        <v>720</v>
      </c>
      <c r="AX516" s="16" t="n">
        <f aca="false">AW516/10</f>
        <v>72</v>
      </c>
      <c r="AY516" s="16" t="n">
        <f aca="false">AS516+AF516+AM516+AH516+AG516+AB516+V516+Q516+O516+J516</f>
        <v>713.6</v>
      </c>
      <c r="AZ516" s="16" t="n">
        <f aca="false">AT516+AF516+AN516+AH516+AG516+AC516+W516+Q516+P516+J516</f>
        <v>716</v>
      </c>
      <c r="BA516" s="16" t="n">
        <f aca="false">AY516/10</f>
        <v>71.36</v>
      </c>
      <c r="BB516" s="16" t="n">
        <f aca="false">AZ516/10</f>
        <v>71.6</v>
      </c>
      <c r="BC516" s="72" t="n">
        <v>0</v>
      </c>
      <c r="BD516" s="16" t="n">
        <f aca="false">RANK(AX516,$AX$2:$AX$881,0)</f>
        <v>719</v>
      </c>
      <c r="BE516" s="78" t="n">
        <f aca="false">AX516</f>
        <v>72</v>
      </c>
      <c r="BF516" s="16" t="n">
        <f aca="false">RANK(BE516,$BE$2:$BE$881,0)</f>
        <v>784</v>
      </c>
      <c r="BG516" s="39" t="n">
        <f aca="false">RANK(BB516,$BB$2:$BB$881,0)</f>
        <v>732</v>
      </c>
      <c r="BH516" s="39" t="n">
        <f aca="false">RANK(BC516,$BC$2:$BC$881,0)</f>
        <v>780</v>
      </c>
      <c r="BI516" s="22" t="s">
        <v>130</v>
      </c>
      <c r="BJ516" s="22" t="s">
        <v>129</v>
      </c>
      <c r="BK516" s="22" t="s">
        <v>526</v>
      </c>
      <c r="BL516" s="41" t="n">
        <v>12</v>
      </c>
      <c r="BM516" s="41" t="n">
        <v>51</v>
      </c>
      <c r="BN516" s="41" t="n">
        <v>63</v>
      </c>
      <c r="BO516" s="42" t="n">
        <v>22</v>
      </c>
      <c r="BP516" s="43" t="n">
        <v>62</v>
      </c>
      <c r="BQ516" s="44" t="n">
        <v>84</v>
      </c>
      <c r="BR516" s="42" t="n">
        <v>21</v>
      </c>
      <c r="BS516" s="45" t="n">
        <v>57</v>
      </c>
      <c r="BT516" s="45" t="n">
        <v>78</v>
      </c>
      <c r="BU516" s="46" t="n">
        <v>98</v>
      </c>
      <c r="BV516" s="47" t="n">
        <v>68</v>
      </c>
      <c r="BW516" s="42" t="n">
        <v>99</v>
      </c>
      <c r="BX516" s="48" t="n">
        <v>92</v>
      </c>
      <c r="BY516" s="32" t="n">
        <v>24</v>
      </c>
      <c r="BZ516" s="32" t="n">
        <v>54</v>
      </c>
      <c r="CA516" s="32" t="n">
        <v>78</v>
      </c>
      <c r="CB516" s="32" t="n">
        <v>24</v>
      </c>
      <c r="CC516" s="32" t="n">
        <v>35</v>
      </c>
      <c r="CD516" s="69" t="n">
        <v>59</v>
      </c>
      <c r="CE516" s="32" t="n">
        <v>19</v>
      </c>
      <c r="CF516" s="32" t="n">
        <v>51</v>
      </c>
      <c r="CG516" s="32" t="n">
        <v>70</v>
      </c>
      <c r="CH516" s="32" t="n">
        <v>93</v>
      </c>
      <c r="CI516" s="32" t="n">
        <v>95</v>
      </c>
      <c r="CJ516" s="49" t="n">
        <v>15</v>
      </c>
      <c r="CK516" s="49" t="n">
        <v>50</v>
      </c>
      <c r="CL516" s="49" t="n">
        <v>65</v>
      </c>
      <c r="CM516" s="49" t="n">
        <v>22</v>
      </c>
      <c r="CN516" s="49" t="n">
        <v>48</v>
      </c>
      <c r="CO516" s="49" t="n">
        <v>70</v>
      </c>
      <c r="CP516" s="25" t="n">
        <f aca="false">BX516+BW516+BV516+BU516+BT516+BQ516+BN516</f>
        <v>582</v>
      </c>
      <c r="CQ516" s="25" t="n">
        <f aca="false">CO516+CL516+CI516+CH516+CG516+CD516+CA516</f>
        <v>530</v>
      </c>
      <c r="CR516" s="26" t="n">
        <f aca="false">CP516/7</f>
        <v>83.1428571428571</v>
      </c>
      <c r="CS516" s="26" t="n">
        <f aca="false">CQ516/7</f>
        <v>75.7142857142857</v>
      </c>
      <c r="CT516" s="24" t="n">
        <f aca="false">RANK(CR516,$CR$2:$CR$881,0)</f>
        <v>514</v>
      </c>
      <c r="CU516" s="25" t="n">
        <f aca="false">RANK(CS516,$CS$2:$CS$881,0)</f>
        <v>404</v>
      </c>
      <c r="CV516" s="26" t="n">
        <f aca="false">(CS516+CR516)/2</f>
        <v>79.4285714285714</v>
      </c>
      <c r="CW516" s="25" t="n">
        <f aca="false">RANK(CV516,$CV$2:$CV$881,0)</f>
        <v>454</v>
      </c>
      <c r="CX516" s="50" t="n">
        <f aca="false">(CV516+BB516)/2</f>
        <v>75.5142857142857</v>
      </c>
      <c r="CY516" s="50" t="n">
        <v>547</v>
      </c>
      <c r="CZ516" s="27" t="s">
        <v>132</v>
      </c>
      <c r="DA516" s="27" t="s">
        <v>205</v>
      </c>
      <c r="DB516" s="27" t="s">
        <v>205</v>
      </c>
      <c r="DC516" s="27" t="s">
        <v>134</v>
      </c>
      <c r="DD516" s="27" t="s">
        <v>135</v>
      </c>
      <c r="DE516" s="27" t="s">
        <v>447</v>
      </c>
      <c r="DF516" s="27" t="s">
        <v>305</v>
      </c>
      <c r="DG516" s="27" t="s">
        <v>134</v>
      </c>
      <c r="DH516" s="27" t="s">
        <v>174</v>
      </c>
      <c r="DI516" s="27" t="s">
        <v>220</v>
      </c>
      <c r="DJ516" s="27" t="s">
        <v>305</v>
      </c>
      <c r="DK516" s="27" t="s">
        <v>134</v>
      </c>
      <c r="DL516" s="27" t="s">
        <v>174</v>
      </c>
      <c r="DM516" s="27" t="s">
        <v>313</v>
      </c>
      <c r="DN516" s="27" t="s">
        <v>372</v>
      </c>
      <c r="DO516" s="27" t="s">
        <v>134</v>
      </c>
      <c r="DP516" s="27" t="s">
        <v>1000</v>
      </c>
      <c r="DQ516" s="27" t="s">
        <v>399</v>
      </c>
      <c r="DR516" s="27" t="s">
        <v>203</v>
      </c>
      <c r="DS516" s="27" t="s">
        <v>134</v>
      </c>
      <c r="DT516" s="27" t="s">
        <v>485</v>
      </c>
      <c r="DU516" s="27" t="s">
        <v>681</v>
      </c>
      <c r="DV516" s="27" t="s">
        <v>136</v>
      </c>
      <c r="DW516" s="27" t="s">
        <v>182</v>
      </c>
      <c r="DX516" s="27" t="s">
        <v>155</v>
      </c>
      <c r="DY516" s="27" t="s">
        <v>156</v>
      </c>
      <c r="DZ516" s="27" t="n">
        <f aca="false">DY516+DV516+DR516+DN516+DJ516+DF516+DB516</f>
        <v>531</v>
      </c>
      <c r="EA516" s="28" t="n">
        <f aca="false">DZ516/7</f>
        <v>75.8571428571429</v>
      </c>
      <c r="EB516" s="27" t="n">
        <f aca="false">RANK(EA516,$EA$2:$EA$881,0)</f>
        <v>524</v>
      </c>
      <c r="EC516" s="29" t="n">
        <f aca="false">DZ516+CQ516+CP516+AZ516</f>
        <v>2359</v>
      </c>
      <c r="ED516" s="30" t="n">
        <f aca="false">(EA516+CV516+BB516)/3</f>
        <v>75.6285714285714</v>
      </c>
      <c r="EE516" s="51" t="n">
        <f aca="false">ROUND(BE516,3)</f>
        <v>72</v>
      </c>
      <c r="EF516" s="51" t="n">
        <f aca="false">ROUND(CR516,3)</f>
        <v>83.143</v>
      </c>
      <c r="EG516" s="51" t="n">
        <f aca="false">ROUND(CS516,3)</f>
        <v>75.714</v>
      </c>
      <c r="EH516" s="51" t="n">
        <f aca="false">ROUND(EA516,3)</f>
        <v>75.857</v>
      </c>
      <c r="EI516" s="51" t="n">
        <f aca="false">ROUND(ED516,3)</f>
        <v>75.629</v>
      </c>
      <c r="EJ516" s="51" t="n">
        <f aca="false">ROUND(CV516,3)</f>
        <v>79.429</v>
      </c>
      <c r="EK516" s="0" t="n">
        <f aca="false">RANK(EI516,$EI$2:$EI$881,0)</f>
        <v>515</v>
      </c>
    </row>
    <row r="517" customFormat="false" ht="15" hidden="false" customHeight="false" outlineLevel="0" collapsed="false">
      <c r="A517" s="4" t="n">
        <v>9017</v>
      </c>
      <c r="B517" s="4" t="n">
        <v>634</v>
      </c>
      <c r="C517" s="27" t="s">
        <v>1575</v>
      </c>
      <c r="D517" s="31" t="n">
        <v>642</v>
      </c>
      <c r="E517" s="16" t="n">
        <v>230136702</v>
      </c>
      <c r="F517" s="56" t="s">
        <v>1576</v>
      </c>
      <c r="G517" s="22" t="s">
        <v>502</v>
      </c>
      <c r="H517" s="22" t="s">
        <v>326</v>
      </c>
      <c r="I517" s="57"/>
      <c r="J517" s="16" t="n">
        <v>92</v>
      </c>
      <c r="K517" s="16" t="n">
        <v>72</v>
      </c>
      <c r="L517" s="34" t="n">
        <f aca="false">(K517*70)/100</f>
        <v>50.4</v>
      </c>
      <c r="M517" s="34" t="n">
        <f aca="false">ROUNDUP(L517,0)</f>
        <v>51</v>
      </c>
      <c r="N517" s="16" t="n">
        <v>23</v>
      </c>
      <c r="O517" s="34" t="n">
        <f aca="false">N517+L517</f>
        <v>73.4</v>
      </c>
      <c r="P517" s="34" t="n">
        <f aca="false">N517+M517</f>
        <v>74</v>
      </c>
      <c r="Q517" s="16" t="n">
        <v>86</v>
      </c>
      <c r="R517" s="16" t="n">
        <v>75</v>
      </c>
      <c r="S517" s="34" t="n">
        <f aca="false">(R517*70)/100</f>
        <v>52.5</v>
      </c>
      <c r="T517" s="34" t="n">
        <f aca="false">ROUNDUP(S517,0)</f>
        <v>53</v>
      </c>
      <c r="U517" s="16" t="n">
        <v>26</v>
      </c>
      <c r="V517" s="34" t="n">
        <f aca="false">U517+S517</f>
        <v>78.5</v>
      </c>
      <c r="W517" s="34" t="n">
        <f aca="false">U517+T517</f>
        <v>79</v>
      </c>
      <c r="X517" s="16" t="n">
        <v>72</v>
      </c>
      <c r="Y517" s="34" t="n">
        <f aca="false">(X517*70)/100</f>
        <v>50.4</v>
      </c>
      <c r="Z517" s="34" t="n">
        <f aca="false">ROUNDUP(Y517,0)</f>
        <v>51</v>
      </c>
      <c r="AA517" s="16" t="n">
        <v>28</v>
      </c>
      <c r="AB517" s="34" t="n">
        <f aca="false">AA517+Y517</f>
        <v>78.4</v>
      </c>
      <c r="AC517" s="34" t="n">
        <f aca="false">AA517+Z517</f>
        <v>79</v>
      </c>
      <c r="AD517" s="32" t="n">
        <f aca="false">X517+R517+Q517+K517+J517</f>
        <v>397</v>
      </c>
      <c r="AE517" s="16" t="n">
        <f aca="false">AD517/5</f>
        <v>79.4</v>
      </c>
      <c r="AF517" s="16" t="n">
        <v>60</v>
      </c>
      <c r="AG517" s="16" t="n">
        <v>97</v>
      </c>
      <c r="AH517" s="16" t="n">
        <v>92</v>
      </c>
      <c r="AI517" s="16" t="n">
        <v>91</v>
      </c>
      <c r="AJ517" s="16" t="n">
        <f aca="false">(AI517*70)/100</f>
        <v>63.7</v>
      </c>
      <c r="AK517" s="35" t="n">
        <f aca="false">ROUNDUP(AJ517,0)</f>
        <v>64</v>
      </c>
      <c r="AL517" s="16" t="n">
        <v>23</v>
      </c>
      <c r="AM517" s="16" t="n">
        <f aca="false">AL517+AJ517</f>
        <v>86.7</v>
      </c>
      <c r="AN517" s="16" t="n">
        <f aca="false">AL517+AK517</f>
        <v>87</v>
      </c>
      <c r="AO517" s="16" t="n">
        <v>77</v>
      </c>
      <c r="AP517" s="36" t="n">
        <f aca="false">(AO517*70)/100</f>
        <v>53.9</v>
      </c>
      <c r="AQ517" s="37" t="n">
        <f aca="false">ROUNDUP(AP517,0)</f>
        <v>54</v>
      </c>
      <c r="AR517" s="16" t="n">
        <v>27</v>
      </c>
      <c r="AS517" s="16" t="n">
        <f aca="false">AR517+AP517</f>
        <v>80.9</v>
      </c>
      <c r="AT517" s="16" t="n">
        <f aca="false">AR517+AQ517</f>
        <v>81</v>
      </c>
      <c r="AU517" s="16" t="n">
        <f aca="false">AO517+AF517+AI517+AH517+AG517</f>
        <v>417</v>
      </c>
      <c r="AV517" s="16" t="n">
        <f aca="false">(AO517+AF517+AI517+AH517+AG517)/5</f>
        <v>83.4</v>
      </c>
      <c r="AW517" s="36" t="n">
        <f aca="false">(AO517+AF517+AI517+AH517+AG517+X517+R517+Q517+K517+J517)</f>
        <v>814</v>
      </c>
      <c r="AX517" s="16" t="n">
        <f aca="false">AW517/10</f>
        <v>81.4</v>
      </c>
      <c r="AY517" s="16" t="n">
        <f aca="false">AS517+AF517+AM517+AH517+AG517+AB517+V517+Q517+O517+J517</f>
        <v>824.9</v>
      </c>
      <c r="AZ517" s="16" t="n">
        <f aca="false">AT517+AF517+AN517+AH517+AG517+AC517+W517+Q517+P517+J517</f>
        <v>827</v>
      </c>
      <c r="BA517" s="16" t="n">
        <f aca="false">AY517/10</f>
        <v>82.49</v>
      </c>
      <c r="BB517" s="16" t="n">
        <f aca="false">AZ517/10</f>
        <v>82.7</v>
      </c>
      <c r="BC517" s="16" t="n">
        <v>2373</v>
      </c>
      <c r="BD517" s="16" t="n">
        <f aca="false">RANK(AX517,$AX$2:$AX$881,0)</f>
        <v>194</v>
      </c>
      <c r="BE517" s="54" t="n">
        <f aca="false">((BC517*100)/2400)*0.4+(AX517*0.6)</f>
        <v>88.39</v>
      </c>
      <c r="BF517" s="16" t="n">
        <f aca="false">RANK(BE517,$BE$2:$BE$881,0)</f>
        <v>173</v>
      </c>
      <c r="BG517" s="39" t="n">
        <f aca="false">RANK(BB517,$BB$2:$BB$881,0)</f>
        <v>175</v>
      </c>
      <c r="BH517" s="39" t="n">
        <f aca="false">RANK(BC517,$BC$2:$BC$881,0)</f>
        <v>233</v>
      </c>
      <c r="BI517" s="22" t="s">
        <v>130</v>
      </c>
      <c r="BJ517" s="22" t="s">
        <v>129</v>
      </c>
      <c r="BK517" s="40" t="s">
        <v>131</v>
      </c>
      <c r="BL517" s="41" t="n">
        <v>16</v>
      </c>
      <c r="BM517" s="42" t="n">
        <v>52</v>
      </c>
      <c r="BN517" s="42" t="n">
        <v>68</v>
      </c>
      <c r="BO517" s="42" t="n">
        <v>17</v>
      </c>
      <c r="BP517" s="61"/>
      <c r="BQ517" s="61"/>
      <c r="BR517" s="42" t="n">
        <v>23</v>
      </c>
      <c r="BS517" s="45" t="n">
        <v>48</v>
      </c>
      <c r="BT517" s="45" t="n">
        <v>71</v>
      </c>
      <c r="BU517" s="46" t="n">
        <v>99</v>
      </c>
      <c r="BV517" s="47" t="n">
        <v>92</v>
      </c>
      <c r="BW517" s="42" t="n">
        <v>100</v>
      </c>
      <c r="BX517" s="48" t="n">
        <v>90</v>
      </c>
      <c r="BY517" s="32" t="n">
        <v>23</v>
      </c>
      <c r="BZ517" s="32" t="n">
        <v>42</v>
      </c>
      <c r="CA517" s="32" t="n">
        <v>65</v>
      </c>
      <c r="CB517" s="32" t="n">
        <v>23</v>
      </c>
      <c r="CC517" s="32" t="n">
        <v>42</v>
      </c>
      <c r="CD517" s="32" t="n">
        <v>65</v>
      </c>
      <c r="CE517" s="32" t="n">
        <v>20</v>
      </c>
      <c r="CF517" s="32" t="n">
        <v>55</v>
      </c>
      <c r="CG517" s="32" t="n">
        <v>75</v>
      </c>
      <c r="CH517" s="32" t="n">
        <v>89</v>
      </c>
      <c r="CI517" s="32" t="n">
        <v>96</v>
      </c>
      <c r="CJ517" s="49" t="n">
        <v>14</v>
      </c>
      <c r="CK517" s="49" t="n">
        <v>58</v>
      </c>
      <c r="CL517" s="84" t="n">
        <v>72</v>
      </c>
      <c r="CM517" s="49" t="n">
        <v>23</v>
      </c>
      <c r="CN517" s="49" t="n">
        <v>55</v>
      </c>
      <c r="CO517" s="49" t="n">
        <v>78</v>
      </c>
      <c r="CP517" s="25" t="n">
        <f aca="false">BX517+BW517+BV517+BU517+BT517+BQ517+BN517</f>
        <v>520</v>
      </c>
      <c r="CQ517" s="25" t="n">
        <f aca="false">CO517+CL517+CI517+CH517+CG517+CD517+CA517</f>
        <v>540</v>
      </c>
      <c r="CR517" s="26" t="n">
        <f aca="false">CP517/7</f>
        <v>74.2857142857143</v>
      </c>
      <c r="CS517" s="26" t="n">
        <f aca="false">CQ517/7</f>
        <v>77.1428571428571</v>
      </c>
      <c r="CT517" s="24" t="n">
        <f aca="false">RANK(CR517,$CR$2:$CR$881,0)</f>
        <v>657</v>
      </c>
      <c r="CU517" s="25" t="n">
        <f aca="false">RANK(CS517,$CS$2:$CS$881,0)</f>
        <v>359</v>
      </c>
      <c r="CV517" s="26" t="n">
        <f aca="false">(CS517+CR517)/2</f>
        <v>75.7142857142857</v>
      </c>
      <c r="CW517" s="25" t="n">
        <f aca="false">RANK(CV517,$CV$2:$CV$881,0)</f>
        <v>547</v>
      </c>
      <c r="CX517" s="50" t="n">
        <f aca="false">(CV517+BB517)/2</f>
        <v>79.2071428571429</v>
      </c>
      <c r="CY517" s="50" t="n">
        <v>447</v>
      </c>
      <c r="CZ517" s="27" t="s">
        <v>132</v>
      </c>
      <c r="DA517" s="27" t="s">
        <v>162</v>
      </c>
      <c r="DB517" s="27" t="s">
        <v>162</v>
      </c>
      <c r="DC517" s="27" t="s">
        <v>134</v>
      </c>
      <c r="DD517" s="27" t="s">
        <v>174</v>
      </c>
      <c r="DE517" s="27" t="s">
        <v>183</v>
      </c>
      <c r="DF517" s="27" t="s">
        <v>219</v>
      </c>
      <c r="DG517" s="27" t="s">
        <v>134</v>
      </c>
      <c r="DH517" s="27" t="s">
        <v>174</v>
      </c>
      <c r="DI517" s="27" t="s">
        <v>177</v>
      </c>
      <c r="DJ517" s="27" t="s">
        <v>205</v>
      </c>
      <c r="DK517" s="27" t="s">
        <v>134</v>
      </c>
      <c r="DL517" s="27" t="s">
        <v>154</v>
      </c>
      <c r="DM517" s="27" t="s">
        <v>681</v>
      </c>
      <c r="DN517" s="27" t="s">
        <v>138</v>
      </c>
      <c r="DO517" s="27" t="s">
        <v>134</v>
      </c>
      <c r="DP517" s="27"/>
      <c r="DQ517" s="27"/>
      <c r="DR517" s="27"/>
      <c r="DS517" s="27"/>
      <c r="DT517" s="27" t="s">
        <v>174</v>
      </c>
      <c r="DU517" s="27" t="s">
        <v>442</v>
      </c>
      <c r="DV517" s="27" t="s">
        <v>416</v>
      </c>
      <c r="DW517" s="27" t="s">
        <v>485</v>
      </c>
      <c r="DX517" s="27" t="s">
        <v>155</v>
      </c>
      <c r="DY517" s="27" t="s">
        <v>178</v>
      </c>
      <c r="DZ517" s="27" t="n">
        <f aca="false">DY517+DV517+DR517+DN517+DJ517+DF517+DB517</f>
        <v>478</v>
      </c>
      <c r="EA517" s="28" t="n">
        <f aca="false">DZ517/7</f>
        <v>68.2857142857143</v>
      </c>
      <c r="EB517" s="27" t="n">
        <f aca="false">RANK(EA517,$EA$2:$EA$881,0)</f>
        <v>687</v>
      </c>
      <c r="EC517" s="29" t="n">
        <f aca="false">DZ517+CQ517+CP517+AZ517</f>
        <v>2365</v>
      </c>
      <c r="ED517" s="30" t="n">
        <f aca="false">(EA517+CV517+BB517)/3</f>
        <v>75.5666666666667</v>
      </c>
      <c r="EE517" s="51" t="n">
        <f aca="false">ROUND(BE517,3)</f>
        <v>88.39</v>
      </c>
      <c r="EF517" s="51" t="n">
        <f aca="false">ROUND(CR517,3)</f>
        <v>74.286</v>
      </c>
      <c r="EG517" s="51" t="n">
        <f aca="false">ROUND(CS517,3)</f>
        <v>77.143</v>
      </c>
      <c r="EH517" s="51" t="n">
        <f aca="false">ROUND(EA517,3)</f>
        <v>68.286</v>
      </c>
      <c r="EI517" s="51" t="n">
        <f aca="false">ROUND(ED517,3)</f>
        <v>75.567</v>
      </c>
      <c r="EJ517" s="51" t="n">
        <f aca="false">ROUND(CV517,3)</f>
        <v>75.714</v>
      </c>
      <c r="EK517" s="0" t="n">
        <f aca="false">RANK(EI517,$EI$2:$EI$881,0)</f>
        <v>516</v>
      </c>
    </row>
    <row r="518" customFormat="false" ht="15" hidden="false" customHeight="false" outlineLevel="0" collapsed="false">
      <c r="A518" s="4" t="n">
        <v>1867</v>
      </c>
      <c r="B518" s="4" t="n">
        <v>787</v>
      </c>
      <c r="C518" s="27" t="s">
        <v>1577</v>
      </c>
      <c r="D518" s="31" t="n">
        <v>806</v>
      </c>
      <c r="E518" s="16" t="n">
        <v>230619483</v>
      </c>
      <c r="F518" s="56" t="s">
        <v>1578</v>
      </c>
      <c r="G518" s="22" t="s">
        <v>1491</v>
      </c>
      <c r="H518" s="22" t="s">
        <v>558</v>
      </c>
      <c r="I518" s="57"/>
      <c r="J518" s="16" t="n">
        <v>68</v>
      </c>
      <c r="K518" s="16" t="n">
        <v>81</v>
      </c>
      <c r="L518" s="34" t="n">
        <f aca="false">(K518*70)/100</f>
        <v>56.7</v>
      </c>
      <c r="M518" s="34" t="n">
        <f aca="false">ROUNDUP(L518,0)</f>
        <v>57</v>
      </c>
      <c r="N518" s="16" t="n">
        <v>28</v>
      </c>
      <c r="O518" s="34" t="n">
        <f aca="false">N518+L518</f>
        <v>84.7</v>
      </c>
      <c r="P518" s="34" t="n">
        <f aca="false">N518+M518</f>
        <v>85</v>
      </c>
      <c r="Q518" s="16" t="n">
        <v>77</v>
      </c>
      <c r="R518" s="16" t="n">
        <v>76</v>
      </c>
      <c r="S518" s="34" t="n">
        <f aca="false">(R518*70)/100</f>
        <v>53.2</v>
      </c>
      <c r="T518" s="34" t="n">
        <f aca="false">ROUNDUP(S518,0)</f>
        <v>54</v>
      </c>
      <c r="U518" s="16" t="n">
        <v>29</v>
      </c>
      <c r="V518" s="34" t="n">
        <f aca="false">U518+S518</f>
        <v>82.2</v>
      </c>
      <c r="W518" s="34" t="n">
        <f aca="false">U518+T518</f>
        <v>83</v>
      </c>
      <c r="X518" s="16" t="n">
        <v>66</v>
      </c>
      <c r="Y518" s="34" t="n">
        <f aca="false">(X518*70)/100</f>
        <v>46.2</v>
      </c>
      <c r="Z518" s="34" t="n">
        <f aca="false">ROUNDUP(Y518,0)</f>
        <v>47</v>
      </c>
      <c r="AA518" s="16" t="n">
        <v>27</v>
      </c>
      <c r="AB518" s="34" t="n">
        <f aca="false">AA518+Y518</f>
        <v>73.2</v>
      </c>
      <c r="AC518" s="34" t="n">
        <f aca="false">AA518+Z518</f>
        <v>74</v>
      </c>
      <c r="AD518" s="32" t="n">
        <f aca="false">X518+R518+Q518+K518+J518</f>
        <v>368</v>
      </c>
      <c r="AE518" s="16" t="n">
        <f aca="false">AD518/5</f>
        <v>73.6</v>
      </c>
      <c r="AF518" s="16" t="n">
        <v>79</v>
      </c>
      <c r="AG518" s="16" t="n">
        <v>83</v>
      </c>
      <c r="AH518" s="16" t="n">
        <v>85</v>
      </c>
      <c r="AI518" s="16" t="n">
        <v>83</v>
      </c>
      <c r="AJ518" s="16" t="n">
        <f aca="false">(AI518*70)/100</f>
        <v>58.1</v>
      </c>
      <c r="AK518" s="35" t="n">
        <f aca="false">ROUNDUP(AJ518,0)</f>
        <v>59</v>
      </c>
      <c r="AL518" s="16" t="n">
        <v>22</v>
      </c>
      <c r="AM518" s="16" t="n">
        <f aca="false">AL518+AJ518</f>
        <v>80.1</v>
      </c>
      <c r="AN518" s="16" t="n">
        <f aca="false">AL518+AK518</f>
        <v>81</v>
      </c>
      <c r="AO518" s="16" t="n">
        <v>80</v>
      </c>
      <c r="AP518" s="36" t="n">
        <f aca="false">(AO518*70)/100</f>
        <v>56</v>
      </c>
      <c r="AQ518" s="37" t="n">
        <f aca="false">ROUNDUP(AP518,0)</f>
        <v>56</v>
      </c>
      <c r="AR518" s="16" t="n">
        <v>25</v>
      </c>
      <c r="AS518" s="16" t="n">
        <f aca="false">AR518+AP518</f>
        <v>81</v>
      </c>
      <c r="AT518" s="16" t="n">
        <f aca="false">AR518+AQ518</f>
        <v>81</v>
      </c>
      <c r="AU518" s="16" t="n">
        <f aca="false">AO518+AF518+AI518+AH518+AG518</f>
        <v>410</v>
      </c>
      <c r="AV518" s="16" t="n">
        <f aca="false">(AO518+AF518+AI518+AH518+AG518)/5</f>
        <v>82</v>
      </c>
      <c r="AW518" s="36" t="n">
        <f aca="false">(AO518+AF518+AI518+AH518+AG518+X518+R518+Q518+K518+J518)</f>
        <v>778</v>
      </c>
      <c r="AX518" s="16" t="n">
        <f aca="false">AW518/10</f>
        <v>77.8</v>
      </c>
      <c r="AY518" s="16" t="n">
        <f aca="false">AS518+AF518+AM518+AH518+AG518+AB518+V518+Q518+O518+J518</f>
        <v>793.2</v>
      </c>
      <c r="AZ518" s="16" t="n">
        <f aca="false">AT518+AF518+AN518+AH518+AG518+AC518+W518+Q518+P518+J518</f>
        <v>796</v>
      </c>
      <c r="BA518" s="16" t="n">
        <f aca="false">AY518/10</f>
        <v>79.32</v>
      </c>
      <c r="BB518" s="16" t="n">
        <f aca="false">AZ518/10</f>
        <v>79.6</v>
      </c>
      <c r="BC518" s="16" t="n">
        <v>2330</v>
      </c>
      <c r="BD518" s="16" t="n">
        <f aca="false">RANK(AX518,$AX$2:$AX$881,0)</f>
        <v>424</v>
      </c>
      <c r="BE518" s="54" t="n">
        <f aca="false">((BC518*100)/2400)*0.4+(AX518*0.6)</f>
        <v>85.5133333333333</v>
      </c>
      <c r="BF518" s="16" t="n">
        <f aca="false">RANK(BE518,$BE$2:$BE$881,0)</f>
        <v>502</v>
      </c>
      <c r="BG518" s="39" t="n">
        <f aca="false">RANK(BB518,$BB$2:$BB$881,0)</f>
        <v>392</v>
      </c>
      <c r="BH518" s="39" t="n">
        <f aca="false">RANK(BC518,$BC$2:$BC$881,0)</f>
        <v>729</v>
      </c>
      <c r="BI518" s="22" t="s">
        <v>130</v>
      </c>
      <c r="BJ518" s="22" t="s">
        <v>129</v>
      </c>
      <c r="BK518" s="40" t="s">
        <v>509</v>
      </c>
      <c r="BL518" s="41" t="n">
        <v>26</v>
      </c>
      <c r="BM518" s="41" t="n">
        <v>50</v>
      </c>
      <c r="BN518" s="41" t="n">
        <v>76</v>
      </c>
      <c r="BO518" s="42" t="n">
        <v>26</v>
      </c>
      <c r="BP518" s="43" t="n">
        <v>60</v>
      </c>
      <c r="BQ518" s="44" t="n">
        <v>86</v>
      </c>
      <c r="BR518" s="42" t="n">
        <v>26</v>
      </c>
      <c r="BS518" s="45" t="n">
        <v>60</v>
      </c>
      <c r="BT518" s="45" t="n">
        <v>86</v>
      </c>
      <c r="BU518" s="46" t="n">
        <v>100</v>
      </c>
      <c r="BV518" s="47" t="n">
        <v>74</v>
      </c>
      <c r="BW518" s="42" t="n">
        <v>98</v>
      </c>
      <c r="BX518" s="88" t="n">
        <v>94</v>
      </c>
      <c r="BY518" s="65" t="n">
        <v>29</v>
      </c>
      <c r="BZ518" s="58" t="n">
        <v>43</v>
      </c>
      <c r="CA518" s="58" t="n">
        <v>72</v>
      </c>
      <c r="CB518" s="59" t="n">
        <v>18</v>
      </c>
      <c r="CC518" s="58" t="n">
        <v>47</v>
      </c>
      <c r="CD518" s="58" t="n">
        <v>65</v>
      </c>
      <c r="CE518" s="58" t="n">
        <v>18</v>
      </c>
      <c r="CF518" s="58" t="n">
        <v>37</v>
      </c>
      <c r="CG518" s="90" t="n">
        <v>55</v>
      </c>
      <c r="CH518" s="58" t="n">
        <v>80</v>
      </c>
      <c r="CI518" s="58" t="n">
        <v>62</v>
      </c>
      <c r="CJ518" s="58" t="n">
        <v>25</v>
      </c>
      <c r="CK518" s="58" t="n">
        <v>53</v>
      </c>
      <c r="CL518" s="59" t="n">
        <v>78</v>
      </c>
      <c r="CM518" s="60"/>
      <c r="CN518" s="60"/>
      <c r="CO518" s="60"/>
      <c r="CP518" s="25" t="n">
        <f aca="false">BX518+BW518+BV518+BU518+BT518+BQ518+BN518</f>
        <v>614</v>
      </c>
      <c r="CQ518" s="25" t="n">
        <f aca="false">CO518+CL518+CI518+CH518+CG518+CD518+CA518</f>
        <v>412</v>
      </c>
      <c r="CR518" s="26" t="n">
        <f aca="false">CP518/7</f>
        <v>87.7142857142857</v>
      </c>
      <c r="CS518" s="26" t="n">
        <f aca="false">CQ518/7</f>
        <v>58.8571428571429</v>
      </c>
      <c r="CT518" s="24" t="n">
        <f aca="false">RANK(CR518,$CR$2:$CR$881,0)</f>
        <v>323</v>
      </c>
      <c r="CU518" s="25" t="n">
        <f aca="false">RANK(CS518,$CS$2:$CS$881,0)</f>
        <v>693</v>
      </c>
      <c r="CV518" s="26" t="n">
        <f aca="false">(CS518+CR518)/2</f>
        <v>73.2857142857143</v>
      </c>
      <c r="CW518" s="25" t="n">
        <f aca="false">RANK(CV518,$CV$2:$CV$881,0)</f>
        <v>597</v>
      </c>
      <c r="CX518" s="50" t="n">
        <f aca="false">(CV518+BB518)/2</f>
        <v>76.4428571428571</v>
      </c>
      <c r="CY518" s="50" t="n">
        <v>652</v>
      </c>
      <c r="CZ518" s="27" t="s">
        <v>132</v>
      </c>
      <c r="DA518" s="27" t="s">
        <v>486</v>
      </c>
      <c r="DB518" s="27" t="s">
        <v>486</v>
      </c>
      <c r="DC518" s="27" t="s">
        <v>134</v>
      </c>
      <c r="DD518" s="27" t="s">
        <v>154</v>
      </c>
      <c r="DE518" s="27" t="s">
        <v>218</v>
      </c>
      <c r="DF518" s="27" t="s">
        <v>219</v>
      </c>
      <c r="DG518" s="27" t="s">
        <v>134</v>
      </c>
      <c r="DH518" s="27" t="s">
        <v>164</v>
      </c>
      <c r="DI518" s="27" t="s">
        <v>442</v>
      </c>
      <c r="DJ518" s="27" t="s">
        <v>443</v>
      </c>
      <c r="DK518" s="27" t="s">
        <v>134</v>
      </c>
      <c r="DL518" s="27" t="s">
        <v>174</v>
      </c>
      <c r="DM518" s="27" t="s">
        <v>681</v>
      </c>
      <c r="DN518" s="27" t="s">
        <v>143</v>
      </c>
      <c r="DO518" s="27" t="s">
        <v>134</v>
      </c>
      <c r="DP518" s="27" t="s">
        <v>718</v>
      </c>
      <c r="DQ518" s="27" t="s">
        <v>673</v>
      </c>
      <c r="DR518" s="27" t="s">
        <v>447</v>
      </c>
      <c r="DS518" s="27" t="s">
        <v>480</v>
      </c>
      <c r="DT518" s="27" t="s">
        <v>137</v>
      </c>
      <c r="DU518" s="27" t="s">
        <v>399</v>
      </c>
      <c r="DV518" s="27" t="s">
        <v>372</v>
      </c>
      <c r="DW518" s="27" t="s">
        <v>195</v>
      </c>
      <c r="DX518" s="27" t="s">
        <v>138</v>
      </c>
      <c r="DY518" s="27" t="s">
        <v>153</v>
      </c>
      <c r="DZ518" s="27" t="n">
        <f aca="false">DY518+DV518+DR518+DN518+DJ518+DF518+DB518</f>
        <v>514</v>
      </c>
      <c r="EA518" s="28" t="n">
        <f aca="false">DZ518/7</f>
        <v>73.4285714285714</v>
      </c>
      <c r="EB518" s="27" t="n">
        <f aca="false">RANK(EA518,$EA$2:$EA$881,0)</f>
        <v>586</v>
      </c>
      <c r="EC518" s="29" t="n">
        <f aca="false">DZ518+CQ518+CP518+AZ518</f>
        <v>2336</v>
      </c>
      <c r="ED518" s="30" t="n">
        <f aca="false">(EA518+CV518+BB518)/3</f>
        <v>75.4380952380952</v>
      </c>
      <c r="EE518" s="51" t="n">
        <f aca="false">ROUND(BE518,3)</f>
        <v>85.513</v>
      </c>
      <c r="EF518" s="51" t="n">
        <f aca="false">ROUND(CR518,3)</f>
        <v>87.714</v>
      </c>
      <c r="EG518" s="51" t="n">
        <f aca="false">ROUND(CS518,3)</f>
        <v>58.857</v>
      </c>
      <c r="EH518" s="51" t="n">
        <f aca="false">ROUND(EA518,3)</f>
        <v>73.429</v>
      </c>
      <c r="EI518" s="51" t="n">
        <f aca="false">ROUND(ED518,3)</f>
        <v>75.438</v>
      </c>
      <c r="EJ518" s="51" t="n">
        <f aca="false">ROUND(CV518,3)</f>
        <v>73.286</v>
      </c>
      <c r="EK518" s="0" t="n">
        <f aca="false">RANK(EI518,$EI$2:$EI$881,0)</f>
        <v>517</v>
      </c>
    </row>
    <row r="519" customFormat="false" ht="15" hidden="false" customHeight="false" outlineLevel="0" collapsed="false">
      <c r="A519" s="4" t="n">
        <v>1832</v>
      </c>
      <c r="B519" s="4" t="n">
        <v>76</v>
      </c>
      <c r="C519" s="27" t="s">
        <v>1579</v>
      </c>
      <c r="D519" s="52" t="n">
        <v>78</v>
      </c>
      <c r="E519" s="16" t="n">
        <v>234300204</v>
      </c>
      <c r="F519" s="56" t="s">
        <v>1580</v>
      </c>
      <c r="G519" s="22" t="s">
        <v>866</v>
      </c>
      <c r="H519" s="22" t="s">
        <v>326</v>
      </c>
      <c r="I519" s="57"/>
      <c r="J519" s="16" t="n">
        <v>63</v>
      </c>
      <c r="K519" s="16" t="n">
        <v>49</v>
      </c>
      <c r="L519" s="34" t="n">
        <f aca="false">(K519*70)/100</f>
        <v>34.3</v>
      </c>
      <c r="M519" s="34" t="n">
        <f aca="false">ROUNDUP(L519,0)</f>
        <v>35</v>
      </c>
      <c r="N519" s="16" t="n">
        <v>28</v>
      </c>
      <c r="O519" s="34" t="n">
        <f aca="false">N519+L519</f>
        <v>62.3</v>
      </c>
      <c r="P519" s="34" t="n">
        <f aca="false">N519+M519</f>
        <v>63</v>
      </c>
      <c r="Q519" s="16" t="n">
        <v>75</v>
      </c>
      <c r="R519" s="16" t="n">
        <v>67</v>
      </c>
      <c r="S519" s="34" t="n">
        <f aca="false">(R519*70)/100</f>
        <v>46.9</v>
      </c>
      <c r="T519" s="34" t="n">
        <f aca="false">ROUNDUP(S519,0)</f>
        <v>47</v>
      </c>
      <c r="U519" s="16" t="n">
        <v>21</v>
      </c>
      <c r="V519" s="34" t="n">
        <f aca="false">U519+S519</f>
        <v>67.9</v>
      </c>
      <c r="W519" s="34" t="n">
        <f aca="false">U519+T519</f>
        <v>68</v>
      </c>
      <c r="X519" s="16" t="n">
        <v>56</v>
      </c>
      <c r="Y519" s="34" t="n">
        <f aca="false">(X519*70)/100</f>
        <v>39.2</v>
      </c>
      <c r="Z519" s="34" t="n">
        <f aca="false">ROUNDUP(Y519,0)</f>
        <v>40</v>
      </c>
      <c r="AA519" s="16" t="n">
        <v>23</v>
      </c>
      <c r="AB519" s="34" t="n">
        <f aca="false">AA519+Y519</f>
        <v>62.2</v>
      </c>
      <c r="AC519" s="34" t="n">
        <f aca="false">AA519+Z519</f>
        <v>63</v>
      </c>
      <c r="AD519" s="32" t="n">
        <f aca="false">X519+R519+Q519+K519+J519</f>
        <v>310</v>
      </c>
      <c r="AE519" s="16" t="n">
        <f aca="false">AD519/5</f>
        <v>62</v>
      </c>
      <c r="AF519" s="71" t="n">
        <v>55</v>
      </c>
      <c r="AG519" s="16" t="n">
        <v>69</v>
      </c>
      <c r="AH519" s="16" t="n">
        <v>74</v>
      </c>
      <c r="AI519" s="16" t="n">
        <v>76</v>
      </c>
      <c r="AJ519" s="16" t="n">
        <f aca="false">(AI519*70)/100</f>
        <v>53.2</v>
      </c>
      <c r="AK519" s="35" t="n">
        <f aca="false">ROUNDUP(AJ519,0)</f>
        <v>54</v>
      </c>
      <c r="AL519" s="16" t="n">
        <v>25</v>
      </c>
      <c r="AM519" s="16" t="n">
        <f aca="false">AL519+AJ519</f>
        <v>78.2</v>
      </c>
      <c r="AN519" s="16" t="n">
        <f aca="false">AL519+AK519</f>
        <v>79</v>
      </c>
      <c r="AO519" s="16" t="n">
        <v>56</v>
      </c>
      <c r="AP519" s="36" t="n">
        <f aca="false">(AO519*70)/100</f>
        <v>39.2</v>
      </c>
      <c r="AQ519" s="37" t="n">
        <f aca="false">ROUNDUP(AP519,0)</f>
        <v>40</v>
      </c>
      <c r="AR519" s="16" t="n">
        <v>24</v>
      </c>
      <c r="AS519" s="16" t="n">
        <f aca="false">AR519+AP519</f>
        <v>63.2</v>
      </c>
      <c r="AT519" s="16" t="n">
        <f aca="false">AR519+AQ519</f>
        <v>64</v>
      </c>
      <c r="AU519" s="16" t="n">
        <f aca="false">AO519+AF519+AI519+AH519+AG519</f>
        <v>330</v>
      </c>
      <c r="AV519" s="16" t="n">
        <f aca="false">(AO519+AF519+AI519+AH519+AG519)/5</f>
        <v>66</v>
      </c>
      <c r="AW519" s="36" t="n">
        <f aca="false">(AO519+AF519+AI519+AH519+AG519+X519+R519+Q519+K519+J519)</f>
        <v>640</v>
      </c>
      <c r="AX519" s="16" t="n">
        <f aca="false">AW519/10</f>
        <v>64</v>
      </c>
      <c r="AY519" s="16" t="n">
        <f aca="false">AS519+AF519+AM519+AH519+AG519+AB519+V519+Q519+O519+J519</f>
        <v>669.8</v>
      </c>
      <c r="AZ519" s="16" t="n">
        <f aca="false">AT519+AF519+AN519+AH519+AG519+AC519+W519+Q519+P519+J519</f>
        <v>673</v>
      </c>
      <c r="BA519" s="16" t="n">
        <f aca="false">AY519/10</f>
        <v>66.98</v>
      </c>
      <c r="BB519" s="16" t="n">
        <f aca="false">AZ519/10</f>
        <v>67.3</v>
      </c>
      <c r="BC519" s="72" t="n">
        <v>0</v>
      </c>
      <c r="BD519" s="16" t="n">
        <f aca="false">RANK(AX519,$AX$2:$AX$881,0)</f>
        <v>771</v>
      </c>
      <c r="BE519" s="78" t="n">
        <f aca="false">AX519</f>
        <v>64</v>
      </c>
      <c r="BF519" s="16" t="n">
        <f aca="false">RANK(BE519,$BE$2:$BE$881,0)</f>
        <v>801</v>
      </c>
      <c r="BG519" s="39" t="n">
        <f aca="false">RANK(BB519,$BB$2:$BB$881,0)</f>
        <v>765</v>
      </c>
      <c r="BH519" s="39" t="n">
        <f aca="false">RANK(BC519,$BC$2:$BC$881,0)</f>
        <v>780</v>
      </c>
      <c r="BI519" s="22" t="s">
        <v>130</v>
      </c>
      <c r="BJ519" s="22" t="s">
        <v>129</v>
      </c>
      <c r="BK519" s="22" t="s">
        <v>526</v>
      </c>
      <c r="BL519" s="41" t="n">
        <v>16</v>
      </c>
      <c r="BM519" s="41" t="n">
        <v>50</v>
      </c>
      <c r="BN519" s="41" t="n">
        <v>66</v>
      </c>
      <c r="BO519" s="42" t="n">
        <v>22</v>
      </c>
      <c r="BP519" s="43" t="n">
        <v>60</v>
      </c>
      <c r="BQ519" s="44" t="n">
        <v>82</v>
      </c>
      <c r="BR519" s="42" t="n">
        <v>24</v>
      </c>
      <c r="BS519" s="45" t="n">
        <v>64</v>
      </c>
      <c r="BT519" s="45" t="n">
        <v>88</v>
      </c>
      <c r="BU519" s="46" t="n">
        <v>100</v>
      </c>
      <c r="BV519" s="47" t="n">
        <v>64</v>
      </c>
      <c r="BW519" s="42" t="n">
        <v>98</v>
      </c>
      <c r="BX519" s="48" t="n">
        <v>84</v>
      </c>
      <c r="BY519" s="32" t="n">
        <v>26</v>
      </c>
      <c r="BZ519" s="32" t="n">
        <v>46</v>
      </c>
      <c r="CA519" s="32" t="n">
        <v>72</v>
      </c>
      <c r="CB519" s="32" t="n">
        <v>25</v>
      </c>
      <c r="CC519" s="32" t="n">
        <v>44</v>
      </c>
      <c r="CD519" s="32" t="n">
        <v>69</v>
      </c>
      <c r="CE519" s="32" t="n">
        <v>28</v>
      </c>
      <c r="CF519" s="32" t="n">
        <v>46</v>
      </c>
      <c r="CG519" s="32" t="n">
        <v>74</v>
      </c>
      <c r="CH519" s="32" t="n">
        <v>96</v>
      </c>
      <c r="CI519" s="32" t="n">
        <v>89</v>
      </c>
      <c r="CJ519" s="49" t="n">
        <v>25</v>
      </c>
      <c r="CK519" s="49" t="n">
        <v>51</v>
      </c>
      <c r="CL519" s="49" t="n">
        <v>76</v>
      </c>
      <c r="CM519" s="49" t="n">
        <v>24</v>
      </c>
      <c r="CN519" s="49" t="n">
        <v>50</v>
      </c>
      <c r="CO519" s="49" t="n">
        <v>74</v>
      </c>
      <c r="CP519" s="25" t="n">
        <f aca="false">BX519+BW519+BV519+BU519+BT519+BQ519+BN519</f>
        <v>582</v>
      </c>
      <c r="CQ519" s="25" t="n">
        <f aca="false">CO519+CL519+CI519+CH519+CG519+CD519+CA519</f>
        <v>550</v>
      </c>
      <c r="CR519" s="26" t="n">
        <f aca="false">CP519/7</f>
        <v>83.1428571428571</v>
      </c>
      <c r="CS519" s="26" t="n">
        <f aca="false">CQ519/7</f>
        <v>78.5714285714286</v>
      </c>
      <c r="CT519" s="24" t="n">
        <f aca="false">RANK(CR519,$CR$2:$CR$881,0)</f>
        <v>514</v>
      </c>
      <c r="CU519" s="25" t="n">
        <f aca="false">RANK(CS519,$CS$2:$CS$881,0)</f>
        <v>317</v>
      </c>
      <c r="CV519" s="26" t="n">
        <f aca="false">(CS519+CR519)/2</f>
        <v>80.8571428571429</v>
      </c>
      <c r="CW519" s="25" t="n">
        <f aca="false">RANK(CV519,$CV$2:$CV$881,0)</f>
        <v>389</v>
      </c>
      <c r="CX519" s="50" t="n">
        <f aca="false">(CV519+BB519)/2</f>
        <v>74.0785714285714</v>
      </c>
      <c r="CY519" s="50" t="n">
        <v>568</v>
      </c>
      <c r="CZ519" s="27" t="s">
        <v>132</v>
      </c>
      <c r="DA519" s="27" t="s">
        <v>162</v>
      </c>
      <c r="DB519" s="27" t="s">
        <v>162</v>
      </c>
      <c r="DC519" s="27" t="s">
        <v>134</v>
      </c>
      <c r="DD519" s="27" t="s">
        <v>154</v>
      </c>
      <c r="DE519" s="27" t="s">
        <v>220</v>
      </c>
      <c r="DF519" s="27" t="s">
        <v>272</v>
      </c>
      <c r="DG519" s="27" t="s">
        <v>134</v>
      </c>
      <c r="DH519" s="27" t="s">
        <v>195</v>
      </c>
      <c r="DI519" s="27" t="s">
        <v>304</v>
      </c>
      <c r="DJ519" s="27" t="s">
        <v>441</v>
      </c>
      <c r="DK519" s="27" t="s">
        <v>134</v>
      </c>
      <c r="DL519" s="27" t="s">
        <v>135</v>
      </c>
      <c r="DM519" s="27" t="s">
        <v>447</v>
      </c>
      <c r="DN519" s="27" t="s">
        <v>305</v>
      </c>
      <c r="DO519" s="27" t="s">
        <v>134</v>
      </c>
      <c r="DP519" s="27" t="s">
        <v>706</v>
      </c>
      <c r="DQ519" s="27" t="s">
        <v>638</v>
      </c>
      <c r="DR519" s="27" t="s">
        <v>177</v>
      </c>
      <c r="DS519" s="27" t="s">
        <v>134</v>
      </c>
      <c r="DT519" s="27" t="s">
        <v>135</v>
      </c>
      <c r="DU519" s="27" t="s">
        <v>645</v>
      </c>
      <c r="DV519" s="27" t="s">
        <v>138</v>
      </c>
      <c r="DW519" s="27" t="s">
        <v>164</v>
      </c>
      <c r="DX519" s="27" t="s">
        <v>155</v>
      </c>
      <c r="DY519" s="27" t="s">
        <v>144</v>
      </c>
      <c r="DZ519" s="27" t="n">
        <f aca="false">DY519+DV519+DR519+DN519+DJ519+DF519+DB519</f>
        <v>547</v>
      </c>
      <c r="EA519" s="28" t="n">
        <f aca="false">DZ519/7</f>
        <v>78.1428571428571</v>
      </c>
      <c r="EB519" s="27" t="n">
        <f aca="false">RANK(EA519,$EA$2:$EA$881,0)</f>
        <v>453</v>
      </c>
      <c r="EC519" s="29" t="n">
        <f aca="false">DZ519+CQ519+CP519+AZ519</f>
        <v>2352</v>
      </c>
      <c r="ED519" s="30" t="n">
        <f aca="false">(EA519+CV519+BB519)/3</f>
        <v>75.4333333333333</v>
      </c>
      <c r="EE519" s="51" t="n">
        <f aca="false">ROUND(BE519,3)</f>
        <v>64</v>
      </c>
      <c r="EF519" s="51" t="n">
        <f aca="false">ROUND(CR519,3)</f>
        <v>83.143</v>
      </c>
      <c r="EG519" s="51" t="n">
        <f aca="false">ROUND(CS519,3)</f>
        <v>78.571</v>
      </c>
      <c r="EH519" s="51" t="n">
        <f aca="false">ROUND(EA519,3)</f>
        <v>78.143</v>
      </c>
      <c r="EI519" s="51" t="n">
        <f aca="false">ROUND(ED519,3)</f>
        <v>75.433</v>
      </c>
      <c r="EJ519" s="51" t="n">
        <f aca="false">ROUND(CV519,3)</f>
        <v>80.857</v>
      </c>
      <c r="EK519" s="0" t="n">
        <f aca="false">RANK(EI519,$EI$2:$EI$881,0)</f>
        <v>518</v>
      </c>
    </row>
    <row r="520" customFormat="false" ht="15" hidden="false" customHeight="false" outlineLevel="0" collapsed="false">
      <c r="A520" s="4" t="n">
        <v>9071</v>
      </c>
      <c r="B520" s="4" t="n">
        <v>675</v>
      </c>
      <c r="C520" s="27" t="s">
        <v>1581</v>
      </c>
      <c r="D520" s="31" t="n">
        <v>689</v>
      </c>
      <c r="E520" s="16" t="n">
        <v>231305306</v>
      </c>
      <c r="F520" s="56" t="s">
        <v>1582</v>
      </c>
      <c r="G520" s="22" t="s">
        <v>1249</v>
      </c>
      <c r="H520" s="22" t="s">
        <v>326</v>
      </c>
      <c r="I520" s="57"/>
      <c r="J520" s="16" t="n">
        <v>73</v>
      </c>
      <c r="K520" s="16" t="n">
        <v>71</v>
      </c>
      <c r="L520" s="34" t="n">
        <f aca="false">(K520*70)/100</f>
        <v>49.7</v>
      </c>
      <c r="M520" s="34" t="n">
        <f aca="false">ROUNDUP(L520,0)</f>
        <v>50</v>
      </c>
      <c r="N520" s="16" t="n">
        <v>24</v>
      </c>
      <c r="O520" s="34" t="n">
        <f aca="false">N520+L520</f>
        <v>73.7</v>
      </c>
      <c r="P520" s="34" t="n">
        <f aca="false">N520+M520</f>
        <v>74</v>
      </c>
      <c r="Q520" s="16" t="n">
        <v>79</v>
      </c>
      <c r="R520" s="16" t="n">
        <v>73</v>
      </c>
      <c r="S520" s="34" t="n">
        <f aca="false">(R520*70)/100</f>
        <v>51.1</v>
      </c>
      <c r="T520" s="34" t="n">
        <f aca="false">ROUNDUP(S520,0)</f>
        <v>52</v>
      </c>
      <c r="U520" s="16" t="n">
        <v>23</v>
      </c>
      <c r="V520" s="34" t="n">
        <f aca="false">U520+S520</f>
        <v>74.1</v>
      </c>
      <c r="W520" s="34" t="n">
        <f aca="false">U520+T520</f>
        <v>75</v>
      </c>
      <c r="X520" s="16" t="n">
        <v>70</v>
      </c>
      <c r="Y520" s="34" t="n">
        <f aca="false">(X520*70)/100</f>
        <v>49</v>
      </c>
      <c r="Z520" s="34" t="n">
        <f aca="false">ROUNDUP(Y520,0)</f>
        <v>49</v>
      </c>
      <c r="AA520" s="16" t="n">
        <v>21</v>
      </c>
      <c r="AB520" s="34" t="n">
        <f aca="false">AA520+Y520</f>
        <v>70</v>
      </c>
      <c r="AC520" s="34" t="n">
        <f aca="false">AA520+Z520</f>
        <v>70</v>
      </c>
      <c r="AD520" s="32" t="n">
        <f aca="false">X520+R520+Q520+K520+J520</f>
        <v>366</v>
      </c>
      <c r="AE520" s="16" t="n">
        <f aca="false">AD520/5</f>
        <v>73.2</v>
      </c>
      <c r="AF520" s="16" t="n">
        <v>80</v>
      </c>
      <c r="AG520" s="16" t="n">
        <v>85</v>
      </c>
      <c r="AH520" s="16" t="n">
        <v>96</v>
      </c>
      <c r="AI520" s="16" t="n">
        <v>88</v>
      </c>
      <c r="AJ520" s="16" t="n">
        <f aca="false">(AI520*70)/100</f>
        <v>61.6</v>
      </c>
      <c r="AK520" s="35" t="n">
        <f aca="false">ROUNDUP(AJ520,0)</f>
        <v>62</v>
      </c>
      <c r="AL520" s="16" t="n">
        <v>17</v>
      </c>
      <c r="AM520" s="16" t="n">
        <f aca="false">AL520+AJ520</f>
        <v>78.6</v>
      </c>
      <c r="AN520" s="16" t="n">
        <f aca="false">AL520+AK520</f>
        <v>79</v>
      </c>
      <c r="AO520" s="16" t="n">
        <v>82</v>
      </c>
      <c r="AP520" s="36" t="n">
        <f aca="false">(AO520*70)/100</f>
        <v>57.4</v>
      </c>
      <c r="AQ520" s="37" t="n">
        <f aca="false">ROUNDUP(AP520,0)</f>
        <v>58</v>
      </c>
      <c r="AR520" s="16" t="n">
        <v>24</v>
      </c>
      <c r="AS520" s="16" t="n">
        <f aca="false">AR520+AP520</f>
        <v>81.4</v>
      </c>
      <c r="AT520" s="16" t="n">
        <f aca="false">AR520+AQ520</f>
        <v>82</v>
      </c>
      <c r="AU520" s="16" t="n">
        <f aca="false">AO520+AF520+AI520+AH520+AG520</f>
        <v>431</v>
      </c>
      <c r="AV520" s="16" t="n">
        <f aca="false">(AO520+AF520+AI520+AH520+AG520)/5</f>
        <v>86.2</v>
      </c>
      <c r="AW520" s="36" t="n">
        <f aca="false">(AO520+AF520+AI520+AH520+AG520+X520+R520+Q520+K520+J520)</f>
        <v>797</v>
      </c>
      <c r="AX520" s="16" t="n">
        <f aca="false">AW520/10</f>
        <v>79.7</v>
      </c>
      <c r="AY520" s="16" t="n">
        <f aca="false">AS520+AF520+AM520+AH520+AG520+AB520+V520+Q520+O520+J520</f>
        <v>790.8</v>
      </c>
      <c r="AZ520" s="16" t="n">
        <f aca="false">AT520+AF520+AN520+AH520+AG520+AC520+W520+Q520+P520+J520</f>
        <v>793</v>
      </c>
      <c r="BA520" s="16" t="n">
        <f aca="false">AY520/10</f>
        <v>79.08</v>
      </c>
      <c r="BB520" s="16" t="n">
        <f aca="false">AZ520/10</f>
        <v>79.3</v>
      </c>
      <c r="BC520" s="16" t="n">
        <v>2369</v>
      </c>
      <c r="BD520" s="16" t="n">
        <f aca="false">RANK(AX520,$AX$2:$AX$881,0)</f>
        <v>288</v>
      </c>
      <c r="BE520" s="54" t="n">
        <f aca="false">((BC520*100)/2400)*0.4+(AX520*0.6)</f>
        <v>87.3033333333333</v>
      </c>
      <c r="BF520" s="16" t="n">
        <f aca="false">RANK(BE520,$BE$2:$BE$881,0)</f>
        <v>269</v>
      </c>
      <c r="BG520" s="39" t="n">
        <f aca="false">RANK(BB520,$BB$2:$BB$881,0)</f>
        <v>424</v>
      </c>
      <c r="BH520" s="39" t="n">
        <f aca="false">RANK(BC520,$BC$2:$BC$881,0)</f>
        <v>283</v>
      </c>
      <c r="BI520" s="22" t="s">
        <v>130</v>
      </c>
      <c r="BJ520" s="22" t="s">
        <v>129</v>
      </c>
      <c r="BK520" s="40" t="s">
        <v>131</v>
      </c>
      <c r="BL520" s="41" t="n">
        <v>20</v>
      </c>
      <c r="BM520" s="41" t="n">
        <v>57</v>
      </c>
      <c r="BN520" s="41" t="n">
        <v>77</v>
      </c>
      <c r="BO520" s="42" t="n">
        <v>28</v>
      </c>
      <c r="BP520" s="43" t="n">
        <v>60</v>
      </c>
      <c r="BQ520" s="44" t="n">
        <v>88</v>
      </c>
      <c r="BR520" s="42" t="n">
        <v>22</v>
      </c>
      <c r="BS520" s="45" t="n">
        <v>56</v>
      </c>
      <c r="BT520" s="45" t="n">
        <v>78</v>
      </c>
      <c r="BU520" s="46" t="n">
        <v>99</v>
      </c>
      <c r="BV520" s="47" t="n">
        <v>76</v>
      </c>
      <c r="BW520" s="42" t="n">
        <v>96</v>
      </c>
      <c r="BX520" s="48" t="n">
        <v>90</v>
      </c>
      <c r="BY520" s="32" t="n">
        <v>27</v>
      </c>
      <c r="BZ520" s="32" t="n">
        <v>42</v>
      </c>
      <c r="CA520" s="32" t="n">
        <v>69</v>
      </c>
      <c r="CB520" s="32" t="n">
        <v>17</v>
      </c>
      <c r="CC520" s="32" t="n">
        <v>35</v>
      </c>
      <c r="CD520" s="69" t="n">
        <v>52</v>
      </c>
      <c r="CE520" s="32" t="n">
        <v>26</v>
      </c>
      <c r="CF520" s="32" t="n">
        <v>44</v>
      </c>
      <c r="CG520" s="32" t="n">
        <v>70</v>
      </c>
      <c r="CH520" s="32" t="n">
        <v>96</v>
      </c>
      <c r="CI520" s="32" t="n">
        <v>96</v>
      </c>
      <c r="CJ520" s="83" t="n">
        <v>11</v>
      </c>
      <c r="CK520" s="60"/>
      <c r="CL520" s="61"/>
      <c r="CM520" s="49" t="n">
        <v>22</v>
      </c>
      <c r="CN520" s="49" t="n">
        <v>53</v>
      </c>
      <c r="CO520" s="49" t="n">
        <v>75</v>
      </c>
      <c r="CP520" s="25" t="n">
        <f aca="false">BX520+BW520+BV520+BU520+BT520+BQ520+BN520</f>
        <v>604</v>
      </c>
      <c r="CQ520" s="25" t="n">
        <f aca="false">CO520+CL520+CI520+CH520+CG520+CD520+CA520</f>
        <v>458</v>
      </c>
      <c r="CR520" s="26" t="n">
        <f aca="false">CP520/7</f>
        <v>86.2857142857143</v>
      </c>
      <c r="CS520" s="26" t="n">
        <f aca="false">CQ520/7</f>
        <v>65.4285714285714</v>
      </c>
      <c r="CT520" s="24" t="n">
        <f aca="false">RANK(CR520,$CR$2:$CR$881,0)</f>
        <v>383</v>
      </c>
      <c r="CU520" s="25" t="n">
        <f aca="false">RANK(CS520,$CS$2:$CS$881,0)</f>
        <v>621</v>
      </c>
      <c r="CV520" s="26" t="n">
        <f aca="false">(CS520+CR520)/2</f>
        <v>75.8571428571429</v>
      </c>
      <c r="CW520" s="25" t="n">
        <f aca="false">RANK(CV520,$CV$2:$CV$881,0)</f>
        <v>544</v>
      </c>
      <c r="CX520" s="50" t="n">
        <f aca="false">(CV520+BB520)/2</f>
        <v>77.5785714285714</v>
      </c>
      <c r="CY520" s="50" t="n">
        <v>486</v>
      </c>
      <c r="CZ520" s="27" t="s">
        <v>132</v>
      </c>
      <c r="DA520" s="27" t="s">
        <v>133</v>
      </c>
      <c r="DB520" s="27" t="s">
        <v>133</v>
      </c>
      <c r="DC520" s="27" t="s">
        <v>134</v>
      </c>
      <c r="DD520" s="27" t="s">
        <v>174</v>
      </c>
      <c r="DE520" s="27" t="s">
        <v>177</v>
      </c>
      <c r="DF520" s="27" t="s">
        <v>205</v>
      </c>
      <c r="DG520" s="27" t="s">
        <v>134</v>
      </c>
      <c r="DH520" s="27" t="s">
        <v>160</v>
      </c>
      <c r="DI520" s="27" t="s">
        <v>412</v>
      </c>
      <c r="DJ520" s="27" t="s">
        <v>272</v>
      </c>
      <c r="DK520" s="27" t="s">
        <v>134</v>
      </c>
      <c r="DL520" s="27" t="s">
        <v>160</v>
      </c>
      <c r="DM520" s="27" t="s">
        <v>220</v>
      </c>
      <c r="DN520" s="27" t="s">
        <v>209</v>
      </c>
      <c r="DO520" s="27" t="s">
        <v>134</v>
      </c>
      <c r="DP520" s="27"/>
      <c r="DQ520" s="27"/>
      <c r="DR520" s="27"/>
      <c r="DS520" s="27"/>
      <c r="DT520" s="27" t="s">
        <v>137</v>
      </c>
      <c r="DU520" s="27" t="s">
        <v>681</v>
      </c>
      <c r="DV520" s="27" t="s">
        <v>398</v>
      </c>
      <c r="DW520" s="27" t="s">
        <v>135</v>
      </c>
      <c r="DX520" s="27" t="s">
        <v>143</v>
      </c>
      <c r="DY520" s="27" t="s">
        <v>151</v>
      </c>
      <c r="DZ520" s="27" t="n">
        <f aca="false">DY520+DV520+DR520+DN520+DJ520+DF520+DB520</f>
        <v>498</v>
      </c>
      <c r="EA520" s="28" t="n">
        <f aca="false">DZ520/7</f>
        <v>71.1428571428571</v>
      </c>
      <c r="EB520" s="27" t="n">
        <f aca="false">RANK(EA520,$EA$2:$EA$881,0)</f>
        <v>623</v>
      </c>
      <c r="EC520" s="29" t="n">
        <f aca="false">DZ520+CQ520+CP520+AZ520</f>
        <v>2353</v>
      </c>
      <c r="ED520" s="30" t="n">
        <f aca="false">(EA520+CV520+BB520)/3</f>
        <v>75.4333333333333</v>
      </c>
      <c r="EE520" s="51" t="n">
        <f aca="false">ROUND(BE520,3)</f>
        <v>87.303</v>
      </c>
      <c r="EF520" s="51" t="n">
        <f aca="false">ROUND(CR520,3)</f>
        <v>86.286</v>
      </c>
      <c r="EG520" s="51" t="n">
        <f aca="false">ROUND(CS520,3)</f>
        <v>65.429</v>
      </c>
      <c r="EH520" s="51" t="n">
        <f aca="false">ROUND(EA520,3)</f>
        <v>71.143</v>
      </c>
      <c r="EI520" s="51" t="n">
        <f aca="false">ROUND(ED520,3)</f>
        <v>75.433</v>
      </c>
      <c r="EJ520" s="51" t="n">
        <f aca="false">ROUND(CV520,3)</f>
        <v>75.857</v>
      </c>
      <c r="EK520" s="0" t="n">
        <f aca="false">RANK(EI520,$EI$2:$EI$881,0)</f>
        <v>518</v>
      </c>
    </row>
    <row r="521" customFormat="false" ht="15" hidden="false" customHeight="false" outlineLevel="0" collapsed="false">
      <c r="A521" s="4" t="n">
        <v>1974</v>
      </c>
      <c r="B521" s="4" t="n">
        <v>170</v>
      </c>
      <c r="C521" s="27" t="s">
        <v>1583</v>
      </c>
      <c r="D521" s="31" t="n">
        <v>171</v>
      </c>
      <c r="E521" s="16" t="n">
        <v>230235722</v>
      </c>
      <c r="F521" s="56" t="s">
        <v>1584</v>
      </c>
      <c r="G521" s="22" t="s">
        <v>1585</v>
      </c>
      <c r="H521" s="22" t="s">
        <v>326</v>
      </c>
      <c r="I521" s="57"/>
      <c r="J521" s="16" t="n">
        <v>75</v>
      </c>
      <c r="K521" s="16" t="n">
        <v>63</v>
      </c>
      <c r="L521" s="34" t="n">
        <f aca="false">(K521*70)/100</f>
        <v>44.1</v>
      </c>
      <c r="M521" s="34" t="n">
        <f aca="false">ROUNDUP(L521,0)</f>
        <v>45</v>
      </c>
      <c r="N521" s="16" t="n">
        <v>23</v>
      </c>
      <c r="O521" s="34" t="n">
        <f aca="false">N521+L521</f>
        <v>67.1</v>
      </c>
      <c r="P521" s="34" t="n">
        <f aca="false">N521+M521</f>
        <v>68</v>
      </c>
      <c r="Q521" s="16" t="n">
        <v>78</v>
      </c>
      <c r="R521" s="16" t="n">
        <v>82</v>
      </c>
      <c r="S521" s="34" t="n">
        <f aca="false">(R521*70)/100</f>
        <v>57.4</v>
      </c>
      <c r="T521" s="34" t="n">
        <f aca="false">ROUNDUP(S521,0)</f>
        <v>58</v>
      </c>
      <c r="U521" s="16" t="n">
        <v>26</v>
      </c>
      <c r="V521" s="34" t="n">
        <f aca="false">U521+S521</f>
        <v>83.4</v>
      </c>
      <c r="W521" s="34" t="n">
        <f aca="false">U521+T521</f>
        <v>84</v>
      </c>
      <c r="X521" s="16" t="n">
        <v>54</v>
      </c>
      <c r="Y521" s="34" t="n">
        <f aca="false">(X521*70)/100</f>
        <v>37.8</v>
      </c>
      <c r="Z521" s="34" t="n">
        <f aca="false">ROUNDUP(Y521,0)</f>
        <v>38</v>
      </c>
      <c r="AA521" s="16" t="n">
        <v>26</v>
      </c>
      <c r="AB521" s="34" t="n">
        <f aca="false">AA521+Y521</f>
        <v>63.8</v>
      </c>
      <c r="AC521" s="34" t="n">
        <f aca="false">AA521+Z521</f>
        <v>64</v>
      </c>
      <c r="AD521" s="32" t="n">
        <f aca="false">X521+R521+Q521+K521+J521</f>
        <v>352</v>
      </c>
      <c r="AE521" s="16" t="n">
        <f aca="false">AD521/5</f>
        <v>70.4</v>
      </c>
      <c r="AF521" s="16" t="n">
        <v>75</v>
      </c>
      <c r="AG521" s="16" t="n">
        <v>77</v>
      </c>
      <c r="AH521" s="16" t="n">
        <v>85</v>
      </c>
      <c r="AI521" s="16" t="n">
        <v>95</v>
      </c>
      <c r="AJ521" s="16" t="n">
        <f aca="false">(AI521*70)/100</f>
        <v>66.5</v>
      </c>
      <c r="AK521" s="35" t="n">
        <f aca="false">ROUNDUP(AJ521,0)</f>
        <v>67</v>
      </c>
      <c r="AL521" s="16" t="n">
        <v>29</v>
      </c>
      <c r="AM521" s="16" t="n">
        <f aca="false">AL521+AJ521</f>
        <v>95.5</v>
      </c>
      <c r="AN521" s="16" t="n">
        <f aca="false">AL521+AK521</f>
        <v>96</v>
      </c>
      <c r="AO521" s="16" t="n">
        <v>70</v>
      </c>
      <c r="AP521" s="36" t="n">
        <f aca="false">(AO521*70)/100</f>
        <v>49</v>
      </c>
      <c r="AQ521" s="37" t="n">
        <f aca="false">ROUNDUP(AP521,0)</f>
        <v>49</v>
      </c>
      <c r="AR521" s="16" t="n">
        <v>22</v>
      </c>
      <c r="AS521" s="16" t="n">
        <f aca="false">AR521+AP521</f>
        <v>71</v>
      </c>
      <c r="AT521" s="16" t="n">
        <f aca="false">AR521+AQ521</f>
        <v>71</v>
      </c>
      <c r="AU521" s="16" t="n">
        <f aca="false">AO521+AF521+AI521+AH521+AG521</f>
        <v>402</v>
      </c>
      <c r="AV521" s="16" t="n">
        <f aca="false">(AO521+AF521+AI521+AH521+AG521)/5</f>
        <v>80.4</v>
      </c>
      <c r="AW521" s="36" t="n">
        <f aca="false">(AO521+AF521+AI521+AH521+AG521+X521+R521+Q521+K521+J521)</f>
        <v>754</v>
      </c>
      <c r="AX521" s="16" t="n">
        <f aca="false">AW521/10</f>
        <v>75.4</v>
      </c>
      <c r="AY521" s="16" t="n">
        <f aca="false">AS521+AF521+AM521+AH521+AG521+AB521+V521+Q521+O521+J521</f>
        <v>770.8</v>
      </c>
      <c r="AZ521" s="16" t="n">
        <f aca="false">AT521+AF521+AN521+AH521+AG521+AC521+W521+Q521+P521+J521</f>
        <v>773</v>
      </c>
      <c r="BA521" s="16" t="n">
        <f aca="false">AY521/10</f>
        <v>77.08</v>
      </c>
      <c r="BB521" s="16" t="n">
        <f aca="false">AZ521/10</f>
        <v>77.3</v>
      </c>
      <c r="BC521" s="16" t="n">
        <v>2391</v>
      </c>
      <c r="BD521" s="16" t="n">
        <f aca="false">RANK(AX521,$AX$2:$AX$881,0)</f>
        <v>665</v>
      </c>
      <c r="BE521" s="54" t="n">
        <f aca="false">((BC521*100)/2400)*0.4+(AX521*0.6)</f>
        <v>85.09</v>
      </c>
      <c r="BF521" s="16" t="n">
        <f aca="false">RANK(BE521,$BE$2:$BE$881,0)</f>
        <v>591</v>
      </c>
      <c r="BG521" s="39" t="n">
        <f aca="false">RANK(BB521,$BB$2:$BB$881,0)</f>
        <v>620</v>
      </c>
      <c r="BH521" s="39" t="n">
        <f aca="false">RANK(BC521,$BC$2:$BC$881,0)</f>
        <v>37</v>
      </c>
      <c r="BI521" s="22" t="s">
        <v>130</v>
      </c>
      <c r="BJ521" s="22" t="s">
        <v>129</v>
      </c>
      <c r="BK521" s="22" t="s">
        <v>509</v>
      </c>
      <c r="BL521" s="41" t="n">
        <v>15</v>
      </c>
      <c r="BM521" s="41" t="n">
        <v>53</v>
      </c>
      <c r="BN521" s="41" t="n">
        <v>68</v>
      </c>
      <c r="BO521" s="42" t="n">
        <v>20</v>
      </c>
      <c r="BP521" s="43" t="n">
        <v>63</v>
      </c>
      <c r="BQ521" s="44" t="n">
        <v>83</v>
      </c>
      <c r="BR521" s="44" t="n">
        <v>19</v>
      </c>
      <c r="BS521" s="45" t="n">
        <v>54</v>
      </c>
      <c r="BT521" s="45" t="n">
        <v>73</v>
      </c>
      <c r="BU521" s="46" t="n">
        <v>100</v>
      </c>
      <c r="BV521" s="42" t="n">
        <v>84</v>
      </c>
      <c r="BW521" s="44" t="n">
        <v>98</v>
      </c>
      <c r="BX521" s="48" t="n">
        <v>98</v>
      </c>
      <c r="BY521" s="32" t="n">
        <v>25</v>
      </c>
      <c r="BZ521" s="32" t="n">
        <v>38</v>
      </c>
      <c r="CA521" s="32" t="n">
        <v>63</v>
      </c>
      <c r="CB521" s="32" t="n">
        <v>24</v>
      </c>
      <c r="CC521" s="32" t="n">
        <v>40</v>
      </c>
      <c r="CD521" s="32" t="n">
        <v>64</v>
      </c>
      <c r="CE521" s="32" t="n">
        <v>23</v>
      </c>
      <c r="CF521" s="32" t="n">
        <v>40</v>
      </c>
      <c r="CG521" s="32" t="n">
        <v>63</v>
      </c>
      <c r="CH521" s="32" t="n">
        <v>98</v>
      </c>
      <c r="CI521" s="32" t="n">
        <v>98</v>
      </c>
      <c r="CJ521" s="49" t="n">
        <v>20</v>
      </c>
      <c r="CK521" s="49" t="n">
        <v>41</v>
      </c>
      <c r="CL521" s="49" t="n">
        <v>61</v>
      </c>
      <c r="CM521" s="49" t="n">
        <v>23</v>
      </c>
      <c r="CN521" s="49" t="n">
        <v>48</v>
      </c>
      <c r="CO521" s="49" t="n">
        <v>71</v>
      </c>
      <c r="CP521" s="25" t="n">
        <f aca="false">BX521+BW521+BV521+BU521+BT521+BQ521+BN521</f>
        <v>604</v>
      </c>
      <c r="CQ521" s="25" t="n">
        <f aca="false">CO521+CL521+CI521+CH521+CG521+CD521+CA521</f>
        <v>518</v>
      </c>
      <c r="CR521" s="26" t="n">
        <f aca="false">CP521/7</f>
        <v>86.2857142857143</v>
      </c>
      <c r="CS521" s="26" t="n">
        <f aca="false">CQ521/7</f>
        <v>74</v>
      </c>
      <c r="CT521" s="24" t="n">
        <f aca="false">RANK(CR521,$CR$2:$CR$881,0)</f>
        <v>383</v>
      </c>
      <c r="CU521" s="25" t="n">
        <f aca="false">RANK(CS521,$CS$2:$CS$881,0)</f>
        <v>459</v>
      </c>
      <c r="CV521" s="26" t="n">
        <f aca="false">(CS521+CR521)/2</f>
        <v>80.1428571428571</v>
      </c>
      <c r="CW521" s="25" t="n">
        <f aca="false">RANK(CV521,$CV$2:$CV$881,0)</f>
        <v>420</v>
      </c>
      <c r="CX521" s="50" t="n">
        <f aca="false">(CV521+BB521)/2</f>
        <v>78.7214285714286</v>
      </c>
      <c r="CY521" s="50" t="n">
        <v>435</v>
      </c>
      <c r="CZ521" s="27" t="s">
        <v>132</v>
      </c>
      <c r="DA521" s="27" t="s">
        <v>169</v>
      </c>
      <c r="DB521" s="27" t="s">
        <v>169</v>
      </c>
      <c r="DC521" s="27" t="s">
        <v>134</v>
      </c>
      <c r="DD521" s="27" t="s">
        <v>182</v>
      </c>
      <c r="DE521" s="27" t="s">
        <v>304</v>
      </c>
      <c r="DF521" s="27" t="s">
        <v>305</v>
      </c>
      <c r="DG521" s="27" t="s">
        <v>134</v>
      </c>
      <c r="DH521" s="27" t="s">
        <v>135</v>
      </c>
      <c r="DI521" s="27" t="s">
        <v>412</v>
      </c>
      <c r="DJ521" s="27" t="s">
        <v>443</v>
      </c>
      <c r="DK521" s="27" t="s">
        <v>134</v>
      </c>
      <c r="DL521" s="27" t="s">
        <v>191</v>
      </c>
      <c r="DM521" s="27" t="s">
        <v>619</v>
      </c>
      <c r="DN521" s="27" t="s">
        <v>191</v>
      </c>
      <c r="DO521" s="27" t="s">
        <v>480</v>
      </c>
      <c r="DP521" s="27" t="s">
        <v>604</v>
      </c>
      <c r="DQ521" s="27" t="s">
        <v>442</v>
      </c>
      <c r="DR521" s="27" t="s">
        <v>163</v>
      </c>
      <c r="DS521" s="27" t="s">
        <v>134</v>
      </c>
      <c r="DT521" s="27" t="s">
        <v>182</v>
      </c>
      <c r="DU521" s="27" t="s">
        <v>638</v>
      </c>
      <c r="DV521" s="27" t="s">
        <v>138</v>
      </c>
      <c r="DW521" s="27" t="s">
        <v>195</v>
      </c>
      <c r="DX521" s="27" t="s">
        <v>155</v>
      </c>
      <c r="DY521" s="27" t="s">
        <v>170</v>
      </c>
      <c r="DZ521" s="27" t="n">
        <f aca="false">DY521+DV521+DR521+DN521+DJ521+DF521+DB521</f>
        <v>482</v>
      </c>
      <c r="EA521" s="28" t="n">
        <f aca="false">DZ521/7</f>
        <v>68.8571428571429</v>
      </c>
      <c r="EB521" s="27" t="n">
        <f aca="false">RANK(EA521,$EA$2:$EA$881,0)</f>
        <v>677</v>
      </c>
      <c r="EC521" s="29" t="n">
        <f aca="false">DZ521+CQ521+CP521+AZ521</f>
        <v>2377</v>
      </c>
      <c r="ED521" s="30" t="n">
        <f aca="false">(EA521+CV521+BB521)/3</f>
        <v>75.4333333333333</v>
      </c>
      <c r="EE521" s="51" t="n">
        <f aca="false">ROUND(BE521,3)</f>
        <v>85.09</v>
      </c>
      <c r="EF521" s="51" t="n">
        <f aca="false">ROUND(CR521,3)</f>
        <v>86.286</v>
      </c>
      <c r="EG521" s="51" t="n">
        <f aca="false">ROUND(CS521,3)</f>
        <v>74</v>
      </c>
      <c r="EH521" s="51" t="n">
        <f aca="false">ROUND(EA521,3)</f>
        <v>68.857</v>
      </c>
      <c r="EI521" s="51" t="n">
        <f aca="false">ROUND(ED521,3)</f>
        <v>75.433</v>
      </c>
      <c r="EJ521" s="51" t="n">
        <f aca="false">ROUND(CV521,3)</f>
        <v>80.143</v>
      </c>
      <c r="EK521" s="0" t="n">
        <f aca="false">RANK(EI521,$EI$2:$EI$881,0)</f>
        <v>518</v>
      </c>
    </row>
    <row r="522" customFormat="false" ht="15" hidden="false" customHeight="false" outlineLevel="0" collapsed="false">
      <c r="A522" s="4" t="n">
        <v>2003</v>
      </c>
      <c r="B522" s="4" t="n">
        <v>515</v>
      </c>
      <c r="C522" s="27" t="s">
        <v>1586</v>
      </c>
      <c r="D522" s="31" t="n">
        <v>520</v>
      </c>
      <c r="E522" s="65" t="n">
        <v>230611768</v>
      </c>
      <c r="F522" s="56" t="s">
        <v>1587</v>
      </c>
      <c r="G522" s="63" t="s">
        <v>1588</v>
      </c>
      <c r="H522" s="22" t="s">
        <v>558</v>
      </c>
      <c r="I522" s="96"/>
      <c r="J522" s="65" t="n">
        <v>72</v>
      </c>
      <c r="K522" s="65" t="n">
        <v>72</v>
      </c>
      <c r="L522" s="34" t="n">
        <f aca="false">(K522*70)/100</f>
        <v>50.4</v>
      </c>
      <c r="M522" s="34" t="n">
        <f aca="false">ROUNDUP(L522,0)</f>
        <v>51</v>
      </c>
      <c r="N522" s="65" t="n">
        <v>22</v>
      </c>
      <c r="O522" s="34" t="n">
        <f aca="false">N522+L522</f>
        <v>72.4</v>
      </c>
      <c r="P522" s="34" t="n">
        <f aca="false">N522+M522</f>
        <v>73</v>
      </c>
      <c r="Q522" s="65" t="n">
        <v>83</v>
      </c>
      <c r="R522" s="65" t="n">
        <v>63</v>
      </c>
      <c r="S522" s="34" t="n">
        <f aca="false">(R522*70)/100</f>
        <v>44.1</v>
      </c>
      <c r="T522" s="34" t="n">
        <f aca="false">ROUNDUP(S522,0)</f>
        <v>45</v>
      </c>
      <c r="U522" s="65" t="n">
        <v>28</v>
      </c>
      <c r="V522" s="34" t="n">
        <f aca="false">U522+S522</f>
        <v>72.1</v>
      </c>
      <c r="W522" s="34" t="n">
        <f aca="false">U522+T522</f>
        <v>73</v>
      </c>
      <c r="X522" s="65" t="n">
        <v>59</v>
      </c>
      <c r="Y522" s="34" t="n">
        <f aca="false">(X522*70)/100</f>
        <v>41.3</v>
      </c>
      <c r="Z522" s="34" t="n">
        <f aca="false">ROUNDUP(Y522,0)</f>
        <v>42</v>
      </c>
      <c r="AA522" s="65" t="n">
        <v>23</v>
      </c>
      <c r="AB522" s="34" t="n">
        <f aca="false">AA522+Y522</f>
        <v>64.3</v>
      </c>
      <c r="AC522" s="34" t="n">
        <f aca="false">AA522+Z522</f>
        <v>65</v>
      </c>
      <c r="AD522" s="32" t="n">
        <f aca="false">X522+R522+Q522+K522+J522</f>
        <v>349</v>
      </c>
      <c r="AE522" s="16" t="n">
        <f aca="false">AD522/5</f>
        <v>69.8</v>
      </c>
      <c r="AF522" s="65" t="n">
        <v>74</v>
      </c>
      <c r="AG522" s="65" t="n">
        <v>83</v>
      </c>
      <c r="AH522" s="65" t="n">
        <v>89</v>
      </c>
      <c r="AI522" s="65" t="n">
        <v>91</v>
      </c>
      <c r="AJ522" s="16" t="n">
        <f aca="false">(AI522*70)/100</f>
        <v>63.7</v>
      </c>
      <c r="AK522" s="35" t="n">
        <f aca="false">ROUNDUP(AJ522,0)</f>
        <v>64</v>
      </c>
      <c r="AL522" s="65" t="n">
        <v>28</v>
      </c>
      <c r="AM522" s="16" t="n">
        <f aca="false">AL522+AJ522</f>
        <v>91.7</v>
      </c>
      <c r="AN522" s="16" t="n">
        <f aca="false">AL522+AK522</f>
        <v>92</v>
      </c>
      <c r="AO522" s="65" t="n">
        <v>78</v>
      </c>
      <c r="AP522" s="36" t="n">
        <f aca="false">(AO522*70)/100</f>
        <v>54.6</v>
      </c>
      <c r="AQ522" s="37" t="n">
        <f aca="false">ROUNDUP(AP522,0)</f>
        <v>55</v>
      </c>
      <c r="AR522" s="65" t="n">
        <v>28</v>
      </c>
      <c r="AS522" s="16" t="n">
        <f aca="false">AR522+AP522</f>
        <v>82.6</v>
      </c>
      <c r="AT522" s="16" t="n">
        <f aca="false">AR522+AQ522</f>
        <v>83</v>
      </c>
      <c r="AU522" s="16" t="n">
        <f aca="false">AO522+AF522+AI522+AH522+AG522</f>
        <v>415</v>
      </c>
      <c r="AV522" s="16" t="n">
        <f aca="false">(AO522+AF522+AI522+AH522+AG522)/5</f>
        <v>83</v>
      </c>
      <c r="AW522" s="36" t="n">
        <f aca="false">(AO522+AF522+AI522+AH522+AG522+X522+R522+Q522+K522+J522)</f>
        <v>764</v>
      </c>
      <c r="AX522" s="16" t="n">
        <f aca="false">AW522/10</f>
        <v>76.4</v>
      </c>
      <c r="AY522" s="16" t="n">
        <f aca="false">AS522+AF522+AM522+AH522+AG522+AB522+V522+Q522+O522+J522</f>
        <v>784.1</v>
      </c>
      <c r="AZ522" s="16" t="n">
        <f aca="false">AT522+AF522+AN522+AH522+AG522+AC522+W522+Q522+P522+J522</f>
        <v>787</v>
      </c>
      <c r="BA522" s="16" t="n">
        <f aca="false">AY522/10</f>
        <v>78.41</v>
      </c>
      <c r="BB522" s="16" t="n">
        <f aca="false">AZ522/10</f>
        <v>78.7</v>
      </c>
      <c r="BC522" s="65" t="n">
        <v>2357</v>
      </c>
      <c r="BD522" s="16" t="n">
        <f aca="false">RANK(AX522,$AX$2:$AX$881,0)</f>
        <v>577</v>
      </c>
      <c r="BE522" s="54" t="n">
        <f aca="false">((BC522*100)/2400)*0.4+(AX522*0.6)</f>
        <v>85.1233333333333</v>
      </c>
      <c r="BF522" s="16" t="n">
        <f aca="false">RANK(BE522,$BE$2:$BE$881,0)</f>
        <v>582</v>
      </c>
      <c r="BG522" s="39" t="n">
        <f aca="false">RANK(BB522,$BB$2:$BB$881,0)</f>
        <v>482</v>
      </c>
      <c r="BH522" s="39" t="n">
        <f aca="false">RANK(BC522,$BC$2:$BC$881,0)</f>
        <v>444</v>
      </c>
      <c r="BI522" s="63" t="s">
        <v>130</v>
      </c>
      <c r="BJ522" s="22" t="s">
        <v>129</v>
      </c>
      <c r="BK522" s="40" t="s">
        <v>509</v>
      </c>
      <c r="BL522" s="41" t="n">
        <v>21</v>
      </c>
      <c r="BM522" s="59" t="n">
        <v>49</v>
      </c>
      <c r="BN522" s="59" t="n">
        <v>70</v>
      </c>
      <c r="BO522" s="59" t="n">
        <v>27</v>
      </c>
      <c r="BP522" s="59" t="n">
        <v>50</v>
      </c>
      <c r="BQ522" s="59" t="n">
        <v>77</v>
      </c>
      <c r="BR522" s="74" t="n">
        <v>7</v>
      </c>
      <c r="BS522" s="80"/>
      <c r="BT522" s="80"/>
      <c r="BU522" s="88" t="n">
        <v>68</v>
      </c>
      <c r="BV522" s="95" t="n">
        <v>66</v>
      </c>
      <c r="BW522" s="102" t="n">
        <v>94</v>
      </c>
      <c r="BX522" s="88" t="n">
        <v>90</v>
      </c>
      <c r="BY522" s="65" t="n">
        <v>25</v>
      </c>
      <c r="BZ522" s="58" t="n">
        <v>58</v>
      </c>
      <c r="CA522" s="58" t="n">
        <v>83</v>
      </c>
      <c r="CB522" s="59" t="n">
        <v>20</v>
      </c>
      <c r="CC522" s="58" t="n">
        <v>56</v>
      </c>
      <c r="CD522" s="58" t="n">
        <v>76</v>
      </c>
      <c r="CE522" s="58" t="n">
        <v>22</v>
      </c>
      <c r="CF522" s="58" t="n">
        <v>45</v>
      </c>
      <c r="CG522" s="58" t="n">
        <v>67</v>
      </c>
      <c r="CH522" s="58" t="n">
        <v>80</v>
      </c>
      <c r="CI522" s="58" t="n">
        <v>90</v>
      </c>
      <c r="CJ522" s="58" t="n">
        <v>24</v>
      </c>
      <c r="CK522" s="58" t="n">
        <v>56</v>
      </c>
      <c r="CL522" s="59" t="n">
        <v>80</v>
      </c>
      <c r="CM522" s="60"/>
      <c r="CN522" s="60"/>
      <c r="CO522" s="60"/>
      <c r="CP522" s="25" t="n">
        <f aca="false">BX522+BW522+BV522+BU522+BT522+BQ522+BN522</f>
        <v>465</v>
      </c>
      <c r="CQ522" s="25" t="n">
        <f aca="false">CO522+CL522+CI522+CH522+CG522+CD522+CA522</f>
        <v>476</v>
      </c>
      <c r="CR522" s="26" t="n">
        <f aca="false">CP522/7</f>
        <v>66.4285714285714</v>
      </c>
      <c r="CS522" s="26" t="n">
        <f aca="false">CQ522/7</f>
        <v>68</v>
      </c>
      <c r="CT522" s="24" t="n">
        <f aca="false">RANK(CR522,$CR$2:$CR$881,0)</f>
        <v>699</v>
      </c>
      <c r="CU522" s="25" t="n">
        <f aca="false">RANK(CS522,$CS$2:$CS$881,0)</f>
        <v>588</v>
      </c>
      <c r="CV522" s="26" t="n">
        <f aca="false">(CS522+CR522)/2</f>
        <v>67.2142857142857</v>
      </c>
      <c r="CW522" s="25" t="n">
        <f aca="false">RANK(CV522,$CV$2:$CV$881,0)</f>
        <v>664</v>
      </c>
      <c r="CX522" s="50" t="n">
        <f aca="false">(CV522+BB522)/2</f>
        <v>72.9571428571429</v>
      </c>
      <c r="CY522" s="50" t="n">
        <v>799</v>
      </c>
      <c r="CZ522" s="27" t="s">
        <v>132</v>
      </c>
      <c r="DA522" s="27" t="s">
        <v>443</v>
      </c>
      <c r="DB522" s="27" t="s">
        <v>443</v>
      </c>
      <c r="DC522" s="27" t="s">
        <v>134</v>
      </c>
      <c r="DD522" s="27" t="s">
        <v>182</v>
      </c>
      <c r="DE522" s="27" t="s">
        <v>177</v>
      </c>
      <c r="DF522" s="27" t="s">
        <v>209</v>
      </c>
      <c r="DG522" s="27" t="s">
        <v>134</v>
      </c>
      <c r="DH522" s="27" t="s">
        <v>137</v>
      </c>
      <c r="DI522" s="27" t="s">
        <v>203</v>
      </c>
      <c r="DJ522" s="27" t="s">
        <v>133</v>
      </c>
      <c r="DK522" s="27" t="s">
        <v>134</v>
      </c>
      <c r="DL522" s="27" t="s">
        <v>264</v>
      </c>
      <c r="DM522" s="27" t="s">
        <v>306</v>
      </c>
      <c r="DN522" s="27" t="s">
        <v>372</v>
      </c>
      <c r="DO522" s="27" t="s">
        <v>134</v>
      </c>
      <c r="DP522" s="27" t="s">
        <v>174</v>
      </c>
      <c r="DQ522" s="27" t="s">
        <v>442</v>
      </c>
      <c r="DR522" s="27" t="s">
        <v>416</v>
      </c>
      <c r="DS522" s="27" t="s">
        <v>134</v>
      </c>
      <c r="DT522" s="27" t="s">
        <v>195</v>
      </c>
      <c r="DU522" s="27" t="s">
        <v>447</v>
      </c>
      <c r="DV522" s="27" t="s">
        <v>372</v>
      </c>
      <c r="DW522" s="27" t="s">
        <v>140</v>
      </c>
      <c r="DX522" s="27" t="s">
        <v>187</v>
      </c>
      <c r="DY522" s="27" t="s">
        <v>139</v>
      </c>
      <c r="DZ522" s="27" t="n">
        <f aca="false">DY522+DV522+DR522+DN522+DJ522+DF522+DB522</f>
        <v>562</v>
      </c>
      <c r="EA522" s="28" t="n">
        <f aca="false">DZ522/7</f>
        <v>80.2857142857143</v>
      </c>
      <c r="EB522" s="27" t="n">
        <f aca="false">RANK(EA522,$EA$2:$EA$881,0)</f>
        <v>380</v>
      </c>
      <c r="EC522" s="29" t="n">
        <f aca="false">DZ522+CQ522+CP522+AZ522</f>
        <v>2290</v>
      </c>
      <c r="ED522" s="30" t="n">
        <f aca="false">(EA522+CV522+BB522)/3</f>
        <v>75.4</v>
      </c>
      <c r="EE522" s="51" t="n">
        <f aca="false">ROUND(BE522,3)</f>
        <v>85.123</v>
      </c>
      <c r="EF522" s="51" t="n">
        <f aca="false">ROUND(CR522,3)</f>
        <v>66.429</v>
      </c>
      <c r="EG522" s="51" t="n">
        <f aca="false">ROUND(CS522,3)</f>
        <v>68</v>
      </c>
      <c r="EH522" s="51" t="n">
        <f aca="false">ROUND(EA522,3)</f>
        <v>80.286</v>
      </c>
      <c r="EI522" s="51" t="n">
        <f aca="false">ROUND(ED522,3)</f>
        <v>75.4</v>
      </c>
      <c r="EJ522" s="51" t="n">
        <f aca="false">ROUND(CV522,3)</f>
        <v>67.214</v>
      </c>
      <c r="EK522" s="0" t="n">
        <f aca="false">RANK(EI522,$EI$2:$EI$881,0)</f>
        <v>521</v>
      </c>
    </row>
    <row r="523" customFormat="false" ht="17.45" hidden="false" customHeight="false" outlineLevel="0" collapsed="false">
      <c r="A523" s="4" t="n">
        <v>9016</v>
      </c>
      <c r="B523" s="4" t="n">
        <v>647</v>
      </c>
      <c r="C523" s="27" t="s">
        <v>1589</v>
      </c>
      <c r="D523" s="31" t="n">
        <v>657</v>
      </c>
      <c r="E523" s="16" t="n">
        <v>230908103</v>
      </c>
      <c r="F523" s="56" t="s">
        <v>1590</v>
      </c>
      <c r="G523" s="22" t="s">
        <v>277</v>
      </c>
      <c r="H523" s="22" t="s">
        <v>326</v>
      </c>
      <c r="I523" s="57"/>
      <c r="J523" s="16" t="n">
        <v>70</v>
      </c>
      <c r="K523" s="16" t="n">
        <v>85</v>
      </c>
      <c r="L523" s="34" t="n">
        <f aca="false">(K523*70)/100</f>
        <v>59.5</v>
      </c>
      <c r="M523" s="34" t="n">
        <f aca="false">ROUNDUP(L523,0)</f>
        <v>60</v>
      </c>
      <c r="N523" s="16" t="n">
        <v>24</v>
      </c>
      <c r="O523" s="34" t="n">
        <f aca="false">N523+L523</f>
        <v>83.5</v>
      </c>
      <c r="P523" s="34" t="n">
        <f aca="false">N523+M523</f>
        <v>84</v>
      </c>
      <c r="Q523" s="16" t="n">
        <v>61</v>
      </c>
      <c r="R523" s="16" t="n">
        <v>77</v>
      </c>
      <c r="S523" s="34" t="n">
        <f aca="false">(R523*70)/100</f>
        <v>53.9</v>
      </c>
      <c r="T523" s="34" t="n">
        <f aca="false">ROUNDUP(S523,0)</f>
        <v>54</v>
      </c>
      <c r="U523" s="16" t="n">
        <v>26</v>
      </c>
      <c r="V523" s="34" t="n">
        <f aca="false">U523+S523</f>
        <v>79.9</v>
      </c>
      <c r="W523" s="34" t="n">
        <f aca="false">U523+T523</f>
        <v>80</v>
      </c>
      <c r="X523" s="16" t="n">
        <v>73</v>
      </c>
      <c r="Y523" s="34" t="n">
        <f aca="false">(X523*70)/100</f>
        <v>51.1</v>
      </c>
      <c r="Z523" s="34" t="n">
        <f aca="false">ROUNDUP(Y523,0)</f>
        <v>52</v>
      </c>
      <c r="AA523" s="16" t="n">
        <v>26</v>
      </c>
      <c r="AB523" s="34" t="n">
        <f aca="false">AA523+Y523</f>
        <v>77.1</v>
      </c>
      <c r="AC523" s="34" t="n">
        <f aca="false">AA523+Z523</f>
        <v>78</v>
      </c>
      <c r="AD523" s="32" t="n">
        <f aca="false">X523+R523+Q523+K523+J523</f>
        <v>366</v>
      </c>
      <c r="AE523" s="16" t="n">
        <f aca="false">AD523/5</f>
        <v>73.2</v>
      </c>
      <c r="AF523" s="16" t="n">
        <v>76</v>
      </c>
      <c r="AG523" s="16" t="n">
        <v>72</v>
      </c>
      <c r="AH523" s="16" t="n">
        <v>89</v>
      </c>
      <c r="AI523" s="16" t="n">
        <v>95</v>
      </c>
      <c r="AJ523" s="16" t="n">
        <f aca="false">(AI523*70)/100</f>
        <v>66.5</v>
      </c>
      <c r="AK523" s="35" t="n">
        <f aca="false">ROUNDUP(AJ523,0)</f>
        <v>67</v>
      </c>
      <c r="AL523" s="16" t="n">
        <v>26</v>
      </c>
      <c r="AM523" s="16" t="n">
        <f aca="false">AL523+AJ523</f>
        <v>92.5</v>
      </c>
      <c r="AN523" s="16" t="n">
        <f aca="false">AL523+AK523</f>
        <v>93</v>
      </c>
      <c r="AO523" s="16" t="n">
        <v>81</v>
      </c>
      <c r="AP523" s="36" t="n">
        <f aca="false">(AO523*70)/100</f>
        <v>56.7</v>
      </c>
      <c r="AQ523" s="37" t="n">
        <f aca="false">ROUNDUP(AP523,0)</f>
        <v>57</v>
      </c>
      <c r="AR523" s="16" t="n">
        <v>24</v>
      </c>
      <c r="AS523" s="16" t="n">
        <f aca="false">AR523+AP523</f>
        <v>80.7</v>
      </c>
      <c r="AT523" s="16" t="n">
        <f aca="false">AR523+AQ523</f>
        <v>81</v>
      </c>
      <c r="AU523" s="16" t="n">
        <f aca="false">AO523+AF523+AI523+AH523+AG523</f>
        <v>413</v>
      </c>
      <c r="AV523" s="16" t="n">
        <f aca="false">(AO523+AF523+AI523+AH523+AG523)/5</f>
        <v>82.6</v>
      </c>
      <c r="AW523" s="36" t="n">
        <f aca="false">(AO523+AF523+AI523+AH523+AG523+X523+R523+Q523+K523+J523)</f>
        <v>779</v>
      </c>
      <c r="AX523" s="16" t="n">
        <f aca="false">AW523/10</f>
        <v>77.9</v>
      </c>
      <c r="AY523" s="16" t="n">
        <f aca="false">AS523+AF523+AM523+AH523+AG523+AB523+V523+Q523+O523+J523</f>
        <v>781.7</v>
      </c>
      <c r="AZ523" s="16" t="n">
        <f aca="false">AT523+AF523+AN523+AH523+AG523+AC523+W523+Q523+P523+J523</f>
        <v>784</v>
      </c>
      <c r="BA523" s="16" t="n">
        <f aca="false">AY523/10</f>
        <v>78.17</v>
      </c>
      <c r="BB523" s="16" t="n">
        <f aca="false">AZ523/10</f>
        <v>78.4</v>
      </c>
      <c r="BC523" s="16" t="n">
        <v>2375</v>
      </c>
      <c r="BD523" s="16" t="n">
        <f aca="false">RANK(AX523,$AX$2:$AX$881,0)</f>
        <v>414</v>
      </c>
      <c r="BE523" s="54" t="n">
        <f aca="false">((BC523*100)/2400)*0.4+(AX523*0.6)</f>
        <v>86.3233333333333</v>
      </c>
      <c r="BF523" s="16" t="n">
        <f aca="false">RANK(BE523,$BE$2:$BE$881,0)</f>
        <v>374</v>
      </c>
      <c r="BG523" s="39" t="n">
        <f aca="false">RANK(BB523,$BB$2:$BB$881,0)</f>
        <v>520</v>
      </c>
      <c r="BH523" s="39" t="n">
        <f aca="false">RANK(BC523,$BC$2:$BC$881,0)</f>
        <v>211</v>
      </c>
      <c r="BI523" s="22" t="s">
        <v>130</v>
      </c>
      <c r="BJ523" s="22" t="s">
        <v>129</v>
      </c>
      <c r="BK523" s="40" t="s">
        <v>131</v>
      </c>
      <c r="BL523" s="41" t="n">
        <v>25</v>
      </c>
      <c r="BM523" s="41" t="n">
        <v>62</v>
      </c>
      <c r="BN523" s="41" t="n">
        <v>87</v>
      </c>
      <c r="BO523" s="42" t="n">
        <v>28</v>
      </c>
      <c r="BP523" s="43" t="n">
        <v>61</v>
      </c>
      <c r="BQ523" s="44" t="n">
        <v>89</v>
      </c>
      <c r="BR523" s="42" t="n">
        <v>25</v>
      </c>
      <c r="BS523" s="45" t="n">
        <v>63</v>
      </c>
      <c r="BT523" s="45" t="n">
        <v>88</v>
      </c>
      <c r="BU523" s="46" t="n">
        <v>100</v>
      </c>
      <c r="BV523" s="47" t="n">
        <v>84</v>
      </c>
      <c r="BW523" s="42" t="n">
        <v>96</v>
      </c>
      <c r="BX523" s="48" t="n">
        <v>88</v>
      </c>
      <c r="BY523" s="32" t="n">
        <v>27</v>
      </c>
      <c r="BZ523" s="32" t="n">
        <v>51</v>
      </c>
      <c r="CA523" s="32" t="n">
        <v>78</v>
      </c>
      <c r="CB523" s="32" t="n">
        <v>27</v>
      </c>
      <c r="CC523" s="32" t="n">
        <v>47</v>
      </c>
      <c r="CD523" s="32" t="n">
        <v>74</v>
      </c>
      <c r="CE523" s="32" t="n">
        <v>26</v>
      </c>
      <c r="CF523" s="32" t="n">
        <v>61</v>
      </c>
      <c r="CG523" s="32" t="n">
        <v>87</v>
      </c>
      <c r="CH523" s="32" t="n">
        <v>99</v>
      </c>
      <c r="CI523" s="32" t="n">
        <v>92</v>
      </c>
      <c r="CJ523" s="49" t="n">
        <v>18</v>
      </c>
      <c r="CK523" s="49" t="n">
        <v>52</v>
      </c>
      <c r="CL523" s="49" t="n">
        <v>70</v>
      </c>
      <c r="CM523" s="49" t="n">
        <v>23</v>
      </c>
      <c r="CN523" s="49" t="n">
        <v>56</v>
      </c>
      <c r="CO523" s="49" t="n">
        <v>79</v>
      </c>
      <c r="CP523" s="25" t="n">
        <f aca="false">BX523+BW523+BV523+BU523+BT523+BQ523+BN523</f>
        <v>632</v>
      </c>
      <c r="CQ523" s="25" t="n">
        <f aca="false">CO523+CL523+CI523+CH523+CG523+CD523+CA523</f>
        <v>579</v>
      </c>
      <c r="CR523" s="26" t="n">
        <f aca="false">CP523/7</f>
        <v>90.2857142857143</v>
      </c>
      <c r="CS523" s="26" t="n">
        <f aca="false">CQ523/7</f>
        <v>82.7142857142857</v>
      </c>
      <c r="CT523" s="24" t="n">
        <f aca="false">RANK(CR523,$CR$2:$CR$881,0)</f>
        <v>160</v>
      </c>
      <c r="CU523" s="25" t="n">
        <f aca="false">RANK(CS523,$CS$2:$CS$881,0)</f>
        <v>167</v>
      </c>
      <c r="CV523" s="26" t="n">
        <f aca="false">(CS523+CR523)/2</f>
        <v>86.5</v>
      </c>
      <c r="CW523" s="25" t="n">
        <f aca="false">RANK(CV523,$CV$2:$CV$881,0)</f>
        <v>154</v>
      </c>
      <c r="CX523" s="50" t="n">
        <f aca="false">(CV523+BB523)/2</f>
        <v>82.45</v>
      </c>
      <c r="CY523" s="50" t="n">
        <v>238</v>
      </c>
      <c r="CZ523" s="27" t="s">
        <v>132</v>
      </c>
      <c r="DA523" s="27" t="s">
        <v>133</v>
      </c>
      <c r="DB523" s="27" t="s">
        <v>133</v>
      </c>
      <c r="DC523" s="27" t="s">
        <v>134</v>
      </c>
      <c r="DD523" s="27" t="s">
        <v>182</v>
      </c>
      <c r="DE523" s="27" t="s">
        <v>220</v>
      </c>
      <c r="DF523" s="27" t="s">
        <v>219</v>
      </c>
      <c r="DG523" s="27" t="s">
        <v>134</v>
      </c>
      <c r="DH523" s="27" t="s">
        <v>135</v>
      </c>
      <c r="DI523" s="27" t="s">
        <v>163</v>
      </c>
      <c r="DJ523" s="27" t="s">
        <v>153</v>
      </c>
      <c r="DK523" s="27" t="s">
        <v>134</v>
      </c>
      <c r="DL523" s="27" t="s">
        <v>174</v>
      </c>
      <c r="DM523" s="27" t="s">
        <v>204</v>
      </c>
      <c r="DN523" s="27" t="s">
        <v>196</v>
      </c>
      <c r="DO523" s="27" t="s">
        <v>134</v>
      </c>
      <c r="DP523" s="27"/>
      <c r="DQ523" s="27"/>
      <c r="DR523" s="27"/>
      <c r="DS523" s="27"/>
      <c r="DT523" s="27"/>
      <c r="DU523" s="27"/>
      <c r="DV523" s="27"/>
      <c r="DW523" s="27" t="s">
        <v>174</v>
      </c>
      <c r="DX523" s="27" t="s">
        <v>143</v>
      </c>
      <c r="DY523" s="27" t="s">
        <v>153</v>
      </c>
      <c r="DZ523" s="27" t="n">
        <f aca="false">DY523+DV523+DR523+DN523+DJ523+DF523+DB523</f>
        <v>429</v>
      </c>
      <c r="EA523" s="28" t="n">
        <f aca="false">DZ523/7</f>
        <v>61.2857142857143</v>
      </c>
      <c r="EB523" s="27" t="n">
        <f aca="false">RANK(EA523,$EA$2:$EA$881,0)</f>
        <v>771</v>
      </c>
      <c r="EC523" s="29" t="n">
        <f aca="false">DZ523+CQ523+CP523+AZ523</f>
        <v>2424</v>
      </c>
      <c r="ED523" s="30" t="n">
        <f aca="false">(EA523+CV523+BB523)/3</f>
        <v>75.3952380952381</v>
      </c>
      <c r="EE523" s="51" t="n">
        <f aca="false">ROUND(BE523,3)</f>
        <v>86.323</v>
      </c>
      <c r="EF523" s="51" t="n">
        <f aca="false">ROUND(CR523,3)</f>
        <v>90.286</v>
      </c>
      <c r="EG523" s="51" t="n">
        <f aca="false">ROUND(CS523,3)</f>
        <v>82.714</v>
      </c>
      <c r="EH523" s="51" t="n">
        <f aca="false">ROUND(EA523,3)</f>
        <v>61.286</v>
      </c>
      <c r="EI523" s="51" t="n">
        <f aca="false">ROUND(ED523,3)</f>
        <v>75.395</v>
      </c>
      <c r="EJ523" s="51" t="n">
        <f aca="false">ROUND(CV523,3)</f>
        <v>86.5</v>
      </c>
      <c r="EK523" s="0" t="n">
        <f aca="false">RANK(EI523,$EI$2:$EI$881,0)</f>
        <v>522</v>
      </c>
    </row>
    <row r="524" customFormat="false" ht="15" hidden="false" customHeight="false" outlineLevel="0" collapsed="false">
      <c r="A524" s="4" t="n">
        <v>1890</v>
      </c>
      <c r="B524" s="4" t="n">
        <v>843</v>
      </c>
      <c r="C524" s="27" t="s">
        <v>1591</v>
      </c>
      <c r="D524" s="31" t="n">
        <v>862</v>
      </c>
      <c r="E524" s="16" t="n">
        <v>230610433</v>
      </c>
      <c r="F524" s="56" t="s">
        <v>1592</v>
      </c>
      <c r="G524" s="22" t="s">
        <v>1593</v>
      </c>
      <c r="H524" s="22" t="s">
        <v>558</v>
      </c>
      <c r="I524" s="57"/>
      <c r="J524" s="16" t="n">
        <v>80</v>
      </c>
      <c r="K524" s="16" t="n">
        <v>90</v>
      </c>
      <c r="L524" s="34" t="n">
        <f aca="false">(K524*70)/100</f>
        <v>63</v>
      </c>
      <c r="M524" s="34" t="n">
        <f aca="false">ROUNDUP(L524,0)</f>
        <v>63</v>
      </c>
      <c r="N524" s="16" t="n">
        <v>26</v>
      </c>
      <c r="O524" s="34" t="n">
        <f aca="false">N524+L524</f>
        <v>89</v>
      </c>
      <c r="P524" s="34" t="n">
        <f aca="false">N524+M524</f>
        <v>89</v>
      </c>
      <c r="Q524" s="16" t="n">
        <v>65</v>
      </c>
      <c r="R524" s="16" t="n">
        <v>71</v>
      </c>
      <c r="S524" s="34" t="n">
        <f aca="false">(R524*70)/100</f>
        <v>49.7</v>
      </c>
      <c r="T524" s="34" t="n">
        <f aca="false">ROUNDUP(S524,0)</f>
        <v>50</v>
      </c>
      <c r="U524" s="16" t="n">
        <v>29</v>
      </c>
      <c r="V524" s="34" t="n">
        <f aca="false">U524+S524</f>
        <v>78.7</v>
      </c>
      <c r="W524" s="34" t="n">
        <f aca="false">U524+T524</f>
        <v>79</v>
      </c>
      <c r="X524" s="16" t="n">
        <v>62</v>
      </c>
      <c r="Y524" s="34" t="n">
        <f aca="false">(X524*70)/100</f>
        <v>43.4</v>
      </c>
      <c r="Z524" s="34" t="n">
        <f aca="false">ROUNDUP(Y524,0)</f>
        <v>44</v>
      </c>
      <c r="AA524" s="16" t="n">
        <v>24</v>
      </c>
      <c r="AB524" s="34" t="n">
        <f aca="false">AA524+Y524</f>
        <v>67.4</v>
      </c>
      <c r="AC524" s="34" t="n">
        <f aca="false">AA524+Z524</f>
        <v>68</v>
      </c>
      <c r="AD524" s="32" t="n">
        <f aca="false">X524+R524+Q524+K524+J524</f>
        <v>368</v>
      </c>
      <c r="AE524" s="16" t="n">
        <f aca="false">AD524/5</f>
        <v>73.6</v>
      </c>
      <c r="AF524" s="16" t="n">
        <v>68</v>
      </c>
      <c r="AG524" s="16" t="n">
        <v>80</v>
      </c>
      <c r="AH524" s="16" t="n">
        <v>78</v>
      </c>
      <c r="AI524" s="16" t="n">
        <v>87</v>
      </c>
      <c r="AJ524" s="16" t="n">
        <f aca="false">(AI524*70)/100</f>
        <v>60.9</v>
      </c>
      <c r="AK524" s="35" t="n">
        <f aca="false">ROUNDUP(AJ524,0)</f>
        <v>61</v>
      </c>
      <c r="AL524" s="16" t="n">
        <v>24</v>
      </c>
      <c r="AM524" s="16" t="n">
        <f aca="false">AL524+AJ524</f>
        <v>84.9</v>
      </c>
      <c r="AN524" s="16" t="n">
        <f aca="false">AL524+AK524</f>
        <v>85</v>
      </c>
      <c r="AO524" s="16" t="n">
        <v>74</v>
      </c>
      <c r="AP524" s="36" t="n">
        <f aca="false">(AO524*70)/100</f>
        <v>51.8</v>
      </c>
      <c r="AQ524" s="37" t="n">
        <f aca="false">ROUNDUP(AP524,0)</f>
        <v>52</v>
      </c>
      <c r="AR524" s="16" t="n">
        <v>29</v>
      </c>
      <c r="AS524" s="16" t="n">
        <f aca="false">AR524+AP524</f>
        <v>80.8</v>
      </c>
      <c r="AT524" s="16" t="n">
        <f aca="false">AR524+AQ524</f>
        <v>81</v>
      </c>
      <c r="AU524" s="16" t="n">
        <f aca="false">AO524+AF524+AI524+AH524+AG524</f>
        <v>387</v>
      </c>
      <c r="AV524" s="16" t="n">
        <f aca="false">(AO524+AF524+AI524+AH524+AG524)/5</f>
        <v>77.4</v>
      </c>
      <c r="AW524" s="36" t="n">
        <f aca="false">(AO524+AF524+AI524+AH524+AG524+X524+R524+Q524+K524+J524)</f>
        <v>755</v>
      </c>
      <c r="AX524" s="16" t="n">
        <f aca="false">AW524/10</f>
        <v>75.5</v>
      </c>
      <c r="AY524" s="16" t="n">
        <f aca="false">AS524+AF524+AM524+AH524+AG524+AB524+V524+Q524+O524+J524</f>
        <v>771.8</v>
      </c>
      <c r="AZ524" s="16" t="n">
        <f aca="false">AT524+AF524+AN524+AH524+AG524+AC524+W524+Q524+P524+J524</f>
        <v>773</v>
      </c>
      <c r="BA524" s="16" t="n">
        <f aca="false">AY524/10</f>
        <v>77.18</v>
      </c>
      <c r="BB524" s="16" t="n">
        <f aca="false">AZ524/10</f>
        <v>77.3</v>
      </c>
      <c r="BC524" s="16" t="n">
        <v>2385</v>
      </c>
      <c r="BD524" s="16" t="n">
        <f aca="false">RANK(AX524,$AX$2:$AX$881,0)</f>
        <v>659</v>
      </c>
      <c r="BE524" s="54" t="n">
        <f aca="false">((BC524*100)/2400)*0.4+(AX524*0.6)</f>
        <v>85.05</v>
      </c>
      <c r="BF524" s="16" t="n">
        <f aca="false">RANK(BE524,$BE$2:$BE$881,0)</f>
        <v>608</v>
      </c>
      <c r="BG524" s="39" t="n">
        <f aca="false">RANK(BB524,$BB$2:$BB$881,0)</f>
        <v>620</v>
      </c>
      <c r="BH524" s="39" t="n">
        <f aca="false">RANK(BC524,$BC$2:$BC$881,0)</f>
        <v>93</v>
      </c>
      <c r="BI524" s="22" t="s">
        <v>130</v>
      </c>
      <c r="BJ524" s="22" t="s">
        <v>129</v>
      </c>
      <c r="BK524" s="22" t="s">
        <v>509</v>
      </c>
      <c r="BL524" s="105" t="n">
        <v>17</v>
      </c>
      <c r="BM524" s="59" t="n">
        <v>65</v>
      </c>
      <c r="BN524" s="59" t="n">
        <v>82</v>
      </c>
      <c r="BO524" s="42" t="n">
        <v>28</v>
      </c>
      <c r="BP524" s="59" t="n">
        <v>57</v>
      </c>
      <c r="BQ524" s="59" t="n">
        <v>85</v>
      </c>
      <c r="BR524" s="42" t="n">
        <v>24</v>
      </c>
      <c r="BS524" s="88" t="n">
        <v>37</v>
      </c>
      <c r="BT524" s="88" t="n">
        <v>61</v>
      </c>
      <c r="BU524" s="88" t="n">
        <v>84</v>
      </c>
      <c r="BV524" s="58" t="n">
        <v>91</v>
      </c>
      <c r="BW524" s="102" t="n">
        <v>92</v>
      </c>
      <c r="BX524" s="88" t="n">
        <v>94</v>
      </c>
      <c r="BY524" s="65" t="n">
        <v>30</v>
      </c>
      <c r="BZ524" s="58" t="n">
        <v>44</v>
      </c>
      <c r="CA524" s="58" t="n">
        <v>74</v>
      </c>
      <c r="CB524" s="59" t="n">
        <v>23</v>
      </c>
      <c r="CC524" s="58" t="n">
        <v>53</v>
      </c>
      <c r="CD524" s="58" t="n">
        <v>76</v>
      </c>
      <c r="CE524" s="58" t="n">
        <v>20</v>
      </c>
      <c r="CF524" s="58" t="n">
        <v>39</v>
      </c>
      <c r="CG524" s="90" t="n">
        <v>59</v>
      </c>
      <c r="CH524" s="58" t="n">
        <v>83</v>
      </c>
      <c r="CI524" s="58" t="n">
        <v>85</v>
      </c>
      <c r="CJ524" s="58" t="n">
        <v>22</v>
      </c>
      <c r="CK524" s="58" t="n">
        <v>53</v>
      </c>
      <c r="CL524" s="59" t="n">
        <v>75</v>
      </c>
      <c r="CM524" s="60"/>
      <c r="CN524" s="60"/>
      <c r="CO524" s="60"/>
      <c r="CP524" s="25" t="n">
        <f aca="false">BX524+BW524+BV524+BU524+BT524+BQ524+BN524</f>
        <v>589</v>
      </c>
      <c r="CQ524" s="25" t="n">
        <f aca="false">CO524+CL524+CI524+CH524+CG524+CD524+CA524</f>
        <v>452</v>
      </c>
      <c r="CR524" s="26" t="n">
        <f aca="false">CP524/7</f>
        <v>84.1428571428571</v>
      </c>
      <c r="CS524" s="26" t="n">
        <f aca="false">CQ524/7</f>
        <v>64.5714285714286</v>
      </c>
      <c r="CT524" s="24" t="n">
        <f aca="false">RANK(CR524,$CR$2:$CR$881,0)</f>
        <v>474</v>
      </c>
      <c r="CU524" s="25" t="n">
        <f aca="false">RANK(CS524,$CS$2:$CS$881,0)</f>
        <v>631</v>
      </c>
      <c r="CV524" s="26" t="n">
        <f aca="false">(CS524+CR524)/2</f>
        <v>74.3571428571429</v>
      </c>
      <c r="CW524" s="25" t="n">
        <f aca="false">RANK(CV524,$CV$2:$CV$881,0)</f>
        <v>576</v>
      </c>
      <c r="CX524" s="50" t="n">
        <f aca="false">(CV524+BB524)/2</f>
        <v>75.8285714285714</v>
      </c>
      <c r="CY524" s="50" t="n">
        <v>835</v>
      </c>
      <c r="CZ524" s="27" t="s">
        <v>132</v>
      </c>
      <c r="DA524" s="27" t="s">
        <v>205</v>
      </c>
      <c r="DB524" s="27" t="s">
        <v>205</v>
      </c>
      <c r="DC524" s="27" t="s">
        <v>134</v>
      </c>
      <c r="DD524" s="27" t="s">
        <v>182</v>
      </c>
      <c r="DE524" s="27" t="s">
        <v>136</v>
      </c>
      <c r="DF524" s="27" t="s">
        <v>178</v>
      </c>
      <c r="DG524" s="27" t="s">
        <v>134</v>
      </c>
      <c r="DH524" s="27" t="s">
        <v>164</v>
      </c>
      <c r="DI524" s="27" t="s">
        <v>681</v>
      </c>
      <c r="DJ524" s="27" t="s">
        <v>486</v>
      </c>
      <c r="DK524" s="27" t="s">
        <v>134</v>
      </c>
      <c r="DL524" s="27" t="s">
        <v>264</v>
      </c>
      <c r="DM524" s="27" t="s">
        <v>681</v>
      </c>
      <c r="DN524" s="27" t="s">
        <v>163</v>
      </c>
      <c r="DO524" s="27" t="s">
        <v>134</v>
      </c>
      <c r="DP524" s="27" t="s">
        <v>718</v>
      </c>
      <c r="DQ524" s="27" t="s">
        <v>313</v>
      </c>
      <c r="DR524" s="27" t="s">
        <v>152</v>
      </c>
      <c r="DS524" s="27" t="s">
        <v>134</v>
      </c>
      <c r="DT524" s="27" t="s">
        <v>154</v>
      </c>
      <c r="DU524" s="27" t="s">
        <v>906</v>
      </c>
      <c r="DV524" s="27" t="s">
        <v>161</v>
      </c>
      <c r="DW524" s="27" t="s">
        <v>195</v>
      </c>
      <c r="DX524" s="27" t="s">
        <v>143</v>
      </c>
      <c r="DY524" s="27" t="s">
        <v>162</v>
      </c>
      <c r="DZ524" s="27" t="n">
        <f aca="false">DY524+DV524+DR524+DN524+DJ524+DF524+DB524</f>
        <v>521</v>
      </c>
      <c r="EA524" s="28" t="n">
        <f aca="false">DZ524/7</f>
        <v>74.4285714285714</v>
      </c>
      <c r="EB524" s="27" t="n">
        <f aca="false">RANK(EA524,$EA$2:$EA$881,0)</f>
        <v>552</v>
      </c>
      <c r="EC524" s="29" t="n">
        <f aca="false">DZ524+CQ524+CP524+AZ524</f>
        <v>2335</v>
      </c>
      <c r="ED524" s="30" t="n">
        <f aca="false">(EA524+CV524+BB524)/3</f>
        <v>75.3619047619048</v>
      </c>
      <c r="EE524" s="51" t="n">
        <f aca="false">ROUND(BE524,3)</f>
        <v>85.05</v>
      </c>
      <c r="EF524" s="51" t="n">
        <f aca="false">ROUND(CR524,3)</f>
        <v>84.143</v>
      </c>
      <c r="EG524" s="51" t="n">
        <f aca="false">ROUND(CS524,3)</f>
        <v>64.571</v>
      </c>
      <c r="EH524" s="51" t="n">
        <f aca="false">ROUND(EA524,3)</f>
        <v>74.429</v>
      </c>
      <c r="EI524" s="51" t="n">
        <f aca="false">ROUND(ED524,3)</f>
        <v>75.362</v>
      </c>
      <c r="EJ524" s="51" t="n">
        <f aca="false">ROUND(CV524,3)</f>
        <v>74.357</v>
      </c>
      <c r="EK524" s="0" t="n">
        <f aca="false">RANK(EI524,$EI$2:$EI$881,0)</f>
        <v>523</v>
      </c>
    </row>
    <row r="525" customFormat="false" ht="15" hidden="false" customHeight="false" outlineLevel="0" collapsed="false">
      <c r="A525" s="4" t="n">
        <v>9037</v>
      </c>
      <c r="B525" s="4" t="n">
        <v>205</v>
      </c>
      <c r="C525" s="27" t="s">
        <v>1594</v>
      </c>
      <c r="D525" s="52" t="n">
        <v>207</v>
      </c>
      <c r="E525" s="109" t="n">
        <v>230312859</v>
      </c>
      <c r="F525" s="110" t="s">
        <v>1595</v>
      </c>
      <c r="G525" s="109" t="s">
        <v>1400</v>
      </c>
      <c r="H525" s="109" t="s">
        <v>129</v>
      </c>
      <c r="I525" s="19" t="n">
        <v>2005</v>
      </c>
      <c r="J525" s="111" t="n">
        <v>64</v>
      </c>
      <c r="K525" s="111" t="n">
        <v>56</v>
      </c>
      <c r="L525" s="112" t="n">
        <f aca="false">(K525*70)/100</f>
        <v>39.2</v>
      </c>
      <c r="M525" s="112" t="n">
        <f aca="false">ROUNDUP(L525,0)</f>
        <v>40</v>
      </c>
      <c r="N525" s="111" t="n">
        <v>23</v>
      </c>
      <c r="O525" s="112" t="n">
        <f aca="false">N525+L525</f>
        <v>62.2</v>
      </c>
      <c r="P525" s="112" t="n">
        <f aca="false">N525+M525</f>
        <v>63</v>
      </c>
      <c r="Q525" s="113" t="n">
        <v>43</v>
      </c>
      <c r="R525" s="111" t="n">
        <v>56</v>
      </c>
      <c r="S525" s="112" t="n">
        <f aca="false">(R525*70)/100</f>
        <v>39.2</v>
      </c>
      <c r="T525" s="112" t="n">
        <f aca="false">ROUNDUP(S525,0)</f>
        <v>40</v>
      </c>
      <c r="U525" s="111" t="n">
        <v>24</v>
      </c>
      <c r="V525" s="112" t="n">
        <f aca="false">U525+S525</f>
        <v>63.2</v>
      </c>
      <c r="W525" s="112" t="n">
        <f aca="false">U525+T525</f>
        <v>64</v>
      </c>
      <c r="X525" s="111" t="n">
        <v>59</v>
      </c>
      <c r="Y525" s="112" t="n">
        <f aca="false">(X525*70)/100</f>
        <v>41.3</v>
      </c>
      <c r="Z525" s="112" t="n">
        <f aca="false">ROUNDUP(Y525,0)</f>
        <v>42</v>
      </c>
      <c r="AA525" s="111" t="n">
        <v>21</v>
      </c>
      <c r="AB525" s="112" t="n">
        <f aca="false">AA525+Y525</f>
        <v>62.3</v>
      </c>
      <c r="AC525" s="112" t="n">
        <f aca="false">AA525+Z525</f>
        <v>63</v>
      </c>
      <c r="AD525" s="111" t="n">
        <f aca="false">X525+R525+Q525+K525+J525</f>
        <v>278</v>
      </c>
      <c r="AE525" s="114" t="n">
        <v>53.2</v>
      </c>
      <c r="AF525" s="19" t="n">
        <v>53</v>
      </c>
      <c r="AG525" s="19" t="n">
        <v>53</v>
      </c>
      <c r="AH525" s="19" t="n">
        <v>77</v>
      </c>
      <c r="AI525" s="19" t="n">
        <v>88</v>
      </c>
      <c r="AJ525" s="19" t="n">
        <f aca="false">(AI525*70)/100</f>
        <v>61.6</v>
      </c>
      <c r="AK525" s="115" t="n">
        <f aca="false">ROUNDUP(AJ525,0)</f>
        <v>62</v>
      </c>
      <c r="AL525" s="19" t="n">
        <v>22</v>
      </c>
      <c r="AM525" s="19" t="n">
        <f aca="false">AL525+AJ525</f>
        <v>83.6</v>
      </c>
      <c r="AN525" s="19" t="n">
        <f aca="false">AL525+AK525</f>
        <v>84</v>
      </c>
      <c r="AO525" s="19" t="n">
        <v>69</v>
      </c>
      <c r="AP525" s="116" t="n">
        <f aca="false">(AO525*70)/100</f>
        <v>48.3</v>
      </c>
      <c r="AQ525" s="117" t="n">
        <f aca="false">ROUNDUP(AP525,0)</f>
        <v>49</v>
      </c>
      <c r="AR525" s="19" t="n">
        <v>26</v>
      </c>
      <c r="AS525" s="19" t="n">
        <f aca="false">AR525+AP525</f>
        <v>74.3</v>
      </c>
      <c r="AT525" s="19" t="n">
        <f aca="false">AR525+AQ525</f>
        <v>75</v>
      </c>
      <c r="AU525" s="19" t="n">
        <f aca="false">AO525+AF525+AI525+AH525+AG525</f>
        <v>340</v>
      </c>
      <c r="AV525" s="19" t="n">
        <f aca="false">(AO525+AF525+AI525+AH525+AG525)/5</f>
        <v>68</v>
      </c>
      <c r="AW525" s="116" t="n">
        <f aca="false">(AO525+AF525+AI525+AH525+AG525+X525+R525+Q525+K525+J525)</f>
        <v>618</v>
      </c>
      <c r="AX525" s="16" t="n">
        <f aca="false">AW525/10</f>
        <v>61.8</v>
      </c>
      <c r="AY525" s="16" t="n">
        <f aca="false">AS525+AF525+AM525+AH525+AG525+AB525+V525+Q525+O525+J525</f>
        <v>635.6</v>
      </c>
      <c r="AZ525" s="16" t="n">
        <f aca="false">AT525+AF525+AN525+AH525+AG525+AC525+W525+Q525+P525+J525</f>
        <v>639</v>
      </c>
      <c r="BA525" s="16" t="n">
        <f aca="false">AY525/10</f>
        <v>63.56</v>
      </c>
      <c r="BB525" s="16" t="n">
        <f aca="false">AZ525/10</f>
        <v>63.9</v>
      </c>
      <c r="BC525" s="16" t="n">
        <v>2067</v>
      </c>
      <c r="BD525" s="16" t="n">
        <f aca="false">RANK(AX525,$AX$2:$AX$881,0)</f>
        <v>794</v>
      </c>
      <c r="BE525" s="123" t="n">
        <f aca="false">((BC525*100)/2400)*0.4+(AX525*0.6)</f>
        <v>71.53</v>
      </c>
      <c r="BF525" s="16" t="n">
        <f aca="false">RANK(BE525,$BE$2:$BE$881,0)</f>
        <v>786</v>
      </c>
      <c r="BG525" s="39" t="n">
        <f aca="false">RANK(BB525,$BB$2:$BB$881,0)</f>
        <v>789</v>
      </c>
      <c r="BH525" s="39" t="n">
        <f aca="false">RANK(BC525,$BC$2:$BC$881,0)</f>
        <v>775</v>
      </c>
      <c r="BI525" s="19" t="s">
        <v>130</v>
      </c>
      <c r="BJ525" s="19" t="s">
        <v>129</v>
      </c>
      <c r="BK525" s="109" t="s">
        <v>1596</v>
      </c>
      <c r="BL525" s="41" t="n">
        <v>13</v>
      </c>
      <c r="BM525" s="41" t="n">
        <v>55</v>
      </c>
      <c r="BN525" s="41" t="n">
        <v>68</v>
      </c>
      <c r="BO525" s="42" t="n">
        <v>19</v>
      </c>
      <c r="BP525" s="43" t="n">
        <v>65</v>
      </c>
      <c r="BQ525" s="44" t="n">
        <v>84</v>
      </c>
      <c r="BR525" s="42" t="n">
        <v>19</v>
      </c>
      <c r="BS525" s="45" t="n">
        <v>57</v>
      </c>
      <c r="BT525" s="45" t="n">
        <v>76</v>
      </c>
      <c r="BU525" s="46" t="n">
        <v>100</v>
      </c>
      <c r="BV525" s="47" t="n">
        <v>66</v>
      </c>
      <c r="BW525" s="42" t="n">
        <v>100</v>
      </c>
      <c r="BX525" s="48" t="n">
        <v>86</v>
      </c>
      <c r="BY525" s="32" t="n">
        <v>21</v>
      </c>
      <c r="BZ525" s="32" t="n">
        <v>55</v>
      </c>
      <c r="CA525" s="32" t="n">
        <v>76</v>
      </c>
      <c r="CB525" s="32" t="n">
        <v>26</v>
      </c>
      <c r="CC525" s="32" t="n">
        <v>40</v>
      </c>
      <c r="CD525" s="32" t="n">
        <v>66</v>
      </c>
      <c r="CE525" s="32" t="n">
        <v>23</v>
      </c>
      <c r="CF525" s="32" t="n">
        <v>51</v>
      </c>
      <c r="CG525" s="32" t="n">
        <v>74</v>
      </c>
      <c r="CH525" s="32" t="n">
        <v>98</v>
      </c>
      <c r="CI525" s="32" t="n">
        <v>85</v>
      </c>
      <c r="CJ525" s="49" t="n">
        <v>19</v>
      </c>
      <c r="CK525" s="49" t="n">
        <v>49</v>
      </c>
      <c r="CL525" s="49" t="n">
        <v>68</v>
      </c>
      <c r="CM525" s="49" t="n">
        <v>19</v>
      </c>
      <c r="CN525" s="49" t="n">
        <v>49</v>
      </c>
      <c r="CO525" s="49" t="n">
        <v>68</v>
      </c>
      <c r="CP525" s="25" t="n">
        <f aca="false">BX525+BW525+BV525+BU525+BT525+BQ525+BN525</f>
        <v>580</v>
      </c>
      <c r="CQ525" s="25" t="n">
        <f aca="false">CO525+CL525+CI525+CH525+CG525+CD525+CA525</f>
        <v>535</v>
      </c>
      <c r="CR525" s="26" t="n">
        <f aca="false">CP525/7</f>
        <v>82.8571428571429</v>
      </c>
      <c r="CS525" s="26" t="n">
        <f aca="false">CQ525/7</f>
        <v>76.4285714285714</v>
      </c>
      <c r="CT525" s="24" t="n">
        <f aca="false">RANK(CR525,$CR$2:$CR$881,0)</f>
        <v>522</v>
      </c>
      <c r="CU525" s="25" t="n">
        <f aca="false">RANK(CS525,$CS$2:$CS$881,0)</f>
        <v>385</v>
      </c>
      <c r="CV525" s="26" t="n">
        <f aca="false">(CS525+CR525)/2</f>
        <v>79.6428571428571</v>
      </c>
      <c r="CW525" s="25" t="n">
        <f aca="false">RANK(CV525,$CV$2:$CV$881,0)</f>
        <v>443</v>
      </c>
      <c r="CX525" s="50" t="n">
        <f aca="false">(CV525+BB525)/2</f>
        <v>71.7714285714286</v>
      </c>
      <c r="CY525" s="50" t="n">
        <v>602</v>
      </c>
      <c r="CZ525" s="27" t="s">
        <v>132</v>
      </c>
      <c r="DA525" s="27" t="s">
        <v>202</v>
      </c>
      <c r="DB525" s="27" t="s">
        <v>202</v>
      </c>
      <c r="DC525" s="27" t="s">
        <v>134</v>
      </c>
      <c r="DD525" s="27" t="s">
        <v>135</v>
      </c>
      <c r="DE525" s="27" t="s">
        <v>203</v>
      </c>
      <c r="DF525" s="27" t="s">
        <v>178</v>
      </c>
      <c r="DG525" s="27" t="s">
        <v>134</v>
      </c>
      <c r="DH525" s="27" t="s">
        <v>154</v>
      </c>
      <c r="DI525" s="27" t="s">
        <v>220</v>
      </c>
      <c r="DJ525" s="27" t="s">
        <v>272</v>
      </c>
      <c r="DK525" s="27" t="s">
        <v>134</v>
      </c>
      <c r="DL525" s="27" t="s">
        <v>182</v>
      </c>
      <c r="DM525" s="27" t="s">
        <v>313</v>
      </c>
      <c r="DN525" s="27" t="s">
        <v>443</v>
      </c>
      <c r="DO525" s="27" t="s">
        <v>134</v>
      </c>
      <c r="DP525" s="27" t="s">
        <v>191</v>
      </c>
      <c r="DQ525" s="27" t="s">
        <v>313</v>
      </c>
      <c r="DR525" s="27" t="s">
        <v>398</v>
      </c>
      <c r="DS525" s="27" t="s">
        <v>134</v>
      </c>
      <c r="DT525" s="27" t="s">
        <v>164</v>
      </c>
      <c r="DU525" s="27" t="s">
        <v>306</v>
      </c>
      <c r="DV525" s="27" t="s">
        <v>205</v>
      </c>
      <c r="DW525" s="27" t="s">
        <v>135</v>
      </c>
      <c r="DX525" s="27" t="s">
        <v>155</v>
      </c>
      <c r="DY525" s="27" t="s">
        <v>139</v>
      </c>
      <c r="DZ525" s="27" t="n">
        <f aca="false">DY525+DV525+DR525+DN525+DJ525+DF525+DB525</f>
        <v>577</v>
      </c>
      <c r="EA525" s="28" t="n">
        <f aca="false">DZ525/7</f>
        <v>82.4285714285714</v>
      </c>
      <c r="EB525" s="27" t="n">
        <f aca="false">RANK(EA525,$EA$2:$EA$881,0)</f>
        <v>295</v>
      </c>
      <c r="EC525" s="29" t="n">
        <f aca="false">DZ525+CQ525+CP525+AZ525</f>
        <v>2331</v>
      </c>
      <c r="ED525" s="30" t="n">
        <f aca="false">(EA525+CV525+BB525)/3</f>
        <v>75.3238095238095</v>
      </c>
      <c r="EE525" s="51" t="n">
        <f aca="false">ROUND(BE525,3)</f>
        <v>71.53</v>
      </c>
      <c r="EF525" s="51" t="n">
        <f aca="false">ROUND(CR525,3)</f>
        <v>82.857</v>
      </c>
      <c r="EG525" s="51" t="n">
        <f aca="false">ROUND(CS525,3)</f>
        <v>76.429</v>
      </c>
      <c r="EH525" s="51" t="n">
        <f aca="false">ROUND(EA525,3)</f>
        <v>82.429</v>
      </c>
      <c r="EI525" s="51" t="n">
        <f aca="false">ROUND(ED525,3)</f>
        <v>75.324</v>
      </c>
      <c r="EJ525" s="51" t="n">
        <f aca="false">ROUND(CV525,3)</f>
        <v>79.643</v>
      </c>
      <c r="EK525" s="0" t="n">
        <f aca="false">RANK(EI525,$EI$2:$EI$881,0)</f>
        <v>524</v>
      </c>
    </row>
    <row r="526" customFormat="false" ht="15" hidden="false" customHeight="false" outlineLevel="0" collapsed="false">
      <c r="A526" s="4" t="n">
        <v>8996</v>
      </c>
      <c r="B526" s="4" t="n">
        <v>579</v>
      </c>
      <c r="C526" s="27" t="s">
        <v>1597</v>
      </c>
      <c r="D526" s="31" t="n">
        <v>584</v>
      </c>
      <c r="E526" s="16" t="n">
        <v>230615263</v>
      </c>
      <c r="F526" s="56" t="s">
        <v>1598</v>
      </c>
      <c r="G526" s="22" t="s">
        <v>831</v>
      </c>
      <c r="H526" s="22" t="s">
        <v>558</v>
      </c>
      <c r="I526" s="57"/>
      <c r="J526" s="16" t="n">
        <v>74</v>
      </c>
      <c r="K526" s="16" t="n">
        <v>69</v>
      </c>
      <c r="L526" s="34" t="n">
        <f aca="false">(K526*70)/100</f>
        <v>48.3</v>
      </c>
      <c r="M526" s="34" t="n">
        <f aca="false">ROUNDUP(L526,0)</f>
        <v>49</v>
      </c>
      <c r="N526" s="16" t="n">
        <v>25</v>
      </c>
      <c r="O526" s="34" t="n">
        <f aca="false">N526+L526</f>
        <v>73.3</v>
      </c>
      <c r="P526" s="34" t="n">
        <f aca="false">N526+M526</f>
        <v>74</v>
      </c>
      <c r="Q526" s="16" t="n">
        <v>74</v>
      </c>
      <c r="R526" s="16" t="n">
        <v>80</v>
      </c>
      <c r="S526" s="34" t="n">
        <f aca="false">(R526*70)/100</f>
        <v>56</v>
      </c>
      <c r="T526" s="34" t="n">
        <f aca="false">ROUNDUP(S526,0)</f>
        <v>56</v>
      </c>
      <c r="U526" s="16" t="n">
        <v>28</v>
      </c>
      <c r="V526" s="34" t="n">
        <f aca="false">U526+S526</f>
        <v>84</v>
      </c>
      <c r="W526" s="34" t="n">
        <f aca="false">U526+T526</f>
        <v>84</v>
      </c>
      <c r="X526" s="16" t="n">
        <v>72</v>
      </c>
      <c r="Y526" s="34" t="n">
        <f aca="false">(X526*70)/100</f>
        <v>50.4</v>
      </c>
      <c r="Z526" s="34" t="n">
        <f aca="false">ROUNDUP(Y526,0)</f>
        <v>51</v>
      </c>
      <c r="AA526" s="16" t="n">
        <v>27</v>
      </c>
      <c r="AB526" s="34" t="n">
        <f aca="false">AA526+Y526</f>
        <v>77.4</v>
      </c>
      <c r="AC526" s="34" t="n">
        <f aca="false">AA526+Z526</f>
        <v>78</v>
      </c>
      <c r="AD526" s="32" t="n">
        <f aca="false">X526+R526+Q526+K526+J526</f>
        <v>369</v>
      </c>
      <c r="AE526" s="16" t="n">
        <f aca="false">AD526/5</f>
        <v>73.8</v>
      </c>
      <c r="AF526" s="16" t="n">
        <v>73</v>
      </c>
      <c r="AG526" s="16" t="n">
        <v>87</v>
      </c>
      <c r="AH526" s="16" t="n">
        <v>93</v>
      </c>
      <c r="AI526" s="16" t="n">
        <v>87</v>
      </c>
      <c r="AJ526" s="16" t="n">
        <f aca="false">(AI526*70)/100</f>
        <v>60.9</v>
      </c>
      <c r="AK526" s="35" t="n">
        <f aca="false">ROUNDUP(AJ526,0)</f>
        <v>61</v>
      </c>
      <c r="AL526" s="16" t="n">
        <v>26</v>
      </c>
      <c r="AM526" s="16" t="n">
        <f aca="false">AL526+AJ526</f>
        <v>86.9</v>
      </c>
      <c r="AN526" s="16" t="n">
        <f aca="false">AL526+AK526</f>
        <v>87</v>
      </c>
      <c r="AO526" s="16" t="n">
        <v>80</v>
      </c>
      <c r="AP526" s="36" t="n">
        <f aca="false">(AO526*70)/100</f>
        <v>56</v>
      </c>
      <c r="AQ526" s="37" t="n">
        <f aca="false">ROUNDUP(AP526,0)</f>
        <v>56</v>
      </c>
      <c r="AR526" s="16" t="n">
        <v>27</v>
      </c>
      <c r="AS526" s="16" t="n">
        <f aca="false">AR526+AP526</f>
        <v>83</v>
      </c>
      <c r="AT526" s="16" t="n">
        <f aca="false">AR526+AQ526</f>
        <v>83</v>
      </c>
      <c r="AU526" s="16" t="n">
        <f aca="false">AO526+AF526+AI526+AH526+AG526</f>
        <v>420</v>
      </c>
      <c r="AV526" s="16" t="n">
        <f aca="false">(AO526+AF526+AI526+AH526+AG526)/5</f>
        <v>84</v>
      </c>
      <c r="AW526" s="36" t="n">
        <f aca="false">(AO526+AF526+AI526+AH526+AG526+X526+R526+Q526+K526+J526)</f>
        <v>789</v>
      </c>
      <c r="AX526" s="16" t="n">
        <f aca="false">AW526/10</f>
        <v>78.9</v>
      </c>
      <c r="AY526" s="16" t="n">
        <f aca="false">AS526+AF526+AM526+AH526+AG526+AB526+V526+Q526+O526+J526</f>
        <v>805.6</v>
      </c>
      <c r="AZ526" s="16" t="n">
        <f aca="false">AT526+AF526+AN526+AH526+AG526+AC526+W526+Q526+P526+J526</f>
        <v>807</v>
      </c>
      <c r="BA526" s="16" t="n">
        <f aca="false">AY526/10</f>
        <v>80.56</v>
      </c>
      <c r="BB526" s="16" t="n">
        <f aca="false">AZ526/10</f>
        <v>80.7</v>
      </c>
      <c r="BC526" s="16" t="n">
        <v>2339</v>
      </c>
      <c r="BD526" s="16" t="n">
        <f aca="false">RANK(AX526,$AX$2:$AX$881,0)</f>
        <v>339</v>
      </c>
      <c r="BE526" s="54" t="n">
        <f aca="false">((BC526*100)/2400)*0.4+(AX526*0.6)</f>
        <v>86.3233333333333</v>
      </c>
      <c r="BF526" s="16" t="n">
        <f aca="false">RANK(BE526,$BE$2:$BE$881,0)</f>
        <v>374</v>
      </c>
      <c r="BG526" s="39" t="n">
        <f aca="false">RANK(BB526,$BB$2:$BB$881,0)</f>
        <v>298</v>
      </c>
      <c r="BH526" s="39" t="n">
        <f aca="false">RANK(BC526,$BC$2:$BC$881,0)</f>
        <v>640</v>
      </c>
      <c r="BI526" s="22" t="s">
        <v>130</v>
      </c>
      <c r="BJ526" s="22" t="s">
        <v>129</v>
      </c>
      <c r="BK526" s="40" t="s">
        <v>131</v>
      </c>
      <c r="BL526" s="41" t="n">
        <v>19</v>
      </c>
      <c r="BM526" s="41" t="n">
        <v>51</v>
      </c>
      <c r="BN526" s="41" t="n">
        <v>70</v>
      </c>
      <c r="BO526" s="42" t="n">
        <v>17</v>
      </c>
      <c r="BP526" s="43" t="n">
        <v>47</v>
      </c>
      <c r="BQ526" s="44" t="n">
        <v>64</v>
      </c>
      <c r="BR526" s="42" t="n">
        <v>21</v>
      </c>
      <c r="BS526" s="80"/>
      <c r="BT526" s="124"/>
      <c r="BU526" s="46" t="n">
        <v>100</v>
      </c>
      <c r="BV526" s="47" t="n">
        <v>82</v>
      </c>
      <c r="BW526" s="42" t="n">
        <v>99</v>
      </c>
      <c r="BX526" s="88" t="n">
        <v>88</v>
      </c>
      <c r="BY526" s="65" t="n">
        <v>23</v>
      </c>
      <c r="BZ526" s="58" t="n">
        <v>51</v>
      </c>
      <c r="CA526" s="58" t="n">
        <v>74</v>
      </c>
      <c r="CB526" s="59" t="n">
        <v>22</v>
      </c>
      <c r="CC526" s="58" t="n">
        <v>50</v>
      </c>
      <c r="CD526" s="58" t="n">
        <v>72</v>
      </c>
      <c r="CE526" s="58" t="n">
        <v>16</v>
      </c>
      <c r="CF526" s="58" t="n">
        <v>40</v>
      </c>
      <c r="CG526" s="90" t="n">
        <v>56</v>
      </c>
      <c r="CH526" s="58" t="n">
        <v>89</v>
      </c>
      <c r="CI526" s="58" t="n">
        <v>72</v>
      </c>
      <c r="CJ526" s="58" t="n">
        <v>16</v>
      </c>
      <c r="CK526" s="58" t="n">
        <v>59</v>
      </c>
      <c r="CL526" s="59" t="n">
        <v>75</v>
      </c>
      <c r="CM526" s="60"/>
      <c r="CN526" s="60"/>
      <c r="CO526" s="60"/>
      <c r="CP526" s="25" t="n">
        <f aca="false">BX526+BW526+BV526+BU526+BT526+BQ526+BN526</f>
        <v>503</v>
      </c>
      <c r="CQ526" s="25" t="n">
        <f aca="false">CO526+CL526+CI526+CH526+CG526+CD526+CA526</f>
        <v>438</v>
      </c>
      <c r="CR526" s="26" t="n">
        <f aca="false">CP526/7</f>
        <v>71.8571428571429</v>
      </c>
      <c r="CS526" s="26" t="n">
        <f aca="false">CQ526/7</f>
        <v>62.5714285714286</v>
      </c>
      <c r="CT526" s="24" t="n">
        <f aca="false">RANK(CR526,$CR$2:$CR$881,0)</f>
        <v>672</v>
      </c>
      <c r="CU526" s="25" t="n">
        <f aca="false">RANK(CS526,$CS$2:$CS$881,0)</f>
        <v>660</v>
      </c>
      <c r="CV526" s="26" t="n">
        <f aca="false">(CS526+CR526)/2</f>
        <v>67.2142857142857</v>
      </c>
      <c r="CW526" s="25" t="n">
        <f aca="false">RANK(CV526,$CV$2:$CV$881,0)</f>
        <v>664</v>
      </c>
      <c r="CX526" s="50" t="n">
        <f aca="false">(CV526+BB526)/2</f>
        <v>73.9571428571429</v>
      </c>
      <c r="CY526" s="50" t="n">
        <v>680</v>
      </c>
      <c r="CZ526" s="27" t="s">
        <v>132</v>
      </c>
      <c r="DA526" s="27" t="s">
        <v>443</v>
      </c>
      <c r="DB526" s="27" t="s">
        <v>443</v>
      </c>
      <c r="DC526" s="27" t="s">
        <v>134</v>
      </c>
      <c r="DD526" s="27" t="s">
        <v>195</v>
      </c>
      <c r="DE526" s="27" t="s">
        <v>375</v>
      </c>
      <c r="DF526" s="27" t="s">
        <v>416</v>
      </c>
      <c r="DG526" s="27" t="s">
        <v>134</v>
      </c>
      <c r="DH526" s="27" t="s">
        <v>135</v>
      </c>
      <c r="DI526" s="27" t="s">
        <v>183</v>
      </c>
      <c r="DJ526" s="27" t="s">
        <v>169</v>
      </c>
      <c r="DK526" s="27" t="s">
        <v>134</v>
      </c>
      <c r="DL526" s="27" t="s">
        <v>137</v>
      </c>
      <c r="DM526" s="27" t="s">
        <v>638</v>
      </c>
      <c r="DN526" s="27" t="s">
        <v>416</v>
      </c>
      <c r="DO526" s="27" t="s">
        <v>134</v>
      </c>
      <c r="DP526" s="27" t="s">
        <v>706</v>
      </c>
      <c r="DQ526" s="27" t="s">
        <v>313</v>
      </c>
      <c r="DR526" s="27" t="s">
        <v>141</v>
      </c>
      <c r="DS526" s="27" t="s">
        <v>134</v>
      </c>
      <c r="DT526" s="27" t="s">
        <v>160</v>
      </c>
      <c r="DU526" s="27" t="s">
        <v>412</v>
      </c>
      <c r="DV526" s="27" t="s">
        <v>272</v>
      </c>
      <c r="DW526" s="27" t="s">
        <v>140</v>
      </c>
      <c r="DX526" s="27" t="s">
        <v>138</v>
      </c>
      <c r="DY526" s="27" t="s">
        <v>145</v>
      </c>
      <c r="DZ526" s="27" t="n">
        <f aca="false">DY526+DV526+DR526+DN526+DJ526+DF526+DB526</f>
        <v>545</v>
      </c>
      <c r="EA526" s="28" t="n">
        <f aca="false">DZ526/7</f>
        <v>77.8571428571429</v>
      </c>
      <c r="EB526" s="27" t="n">
        <f aca="false">RANK(EA526,$EA$2:$EA$881,0)</f>
        <v>463</v>
      </c>
      <c r="EC526" s="29" t="n">
        <f aca="false">DZ526+CQ526+CP526+AZ526</f>
        <v>2293</v>
      </c>
      <c r="ED526" s="30" t="n">
        <f aca="false">(EA526+CV526+BB526)/3</f>
        <v>75.2571428571429</v>
      </c>
      <c r="EE526" s="51" t="n">
        <f aca="false">ROUND(BE526,3)</f>
        <v>86.323</v>
      </c>
      <c r="EF526" s="51" t="n">
        <f aca="false">ROUND(CR526,3)</f>
        <v>71.857</v>
      </c>
      <c r="EG526" s="51" t="n">
        <f aca="false">ROUND(CS526,3)</f>
        <v>62.571</v>
      </c>
      <c r="EH526" s="51" t="n">
        <f aca="false">ROUND(EA526,3)</f>
        <v>77.857</v>
      </c>
      <c r="EI526" s="51" t="n">
        <f aca="false">ROUND(ED526,3)</f>
        <v>75.257</v>
      </c>
      <c r="EJ526" s="51" t="n">
        <f aca="false">ROUND(CV526,3)</f>
        <v>67.214</v>
      </c>
      <c r="EK526" s="0" t="n">
        <f aca="false">RANK(EI526,$EI$2:$EI$881,0)</f>
        <v>525</v>
      </c>
    </row>
    <row r="527" customFormat="false" ht="15" hidden="false" customHeight="false" outlineLevel="0" collapsed="false">
      <c r="A527" s="4" t="n">
        <v>9029</v>
      </c>
      <c r="B527" s="4" t="n">
        <v>48</v>
      </c>
      <c r="C527" s="27" t="s">
        <v>1599</v>
      </c>
      <c r="D527" s="52" t="n">
        <v>50</v>
      </c>
      <c r="E527" s="32" t="n">
        <v>230315819</v>
      </c>
      <c r="F527" s="8" t="s">
        <v>1600</v>
      </c>
      <c r="G527" s="22" t="s">
        <v>654</v>
      </c>
      <c r="H527" s="22" t="s">
        <v>129</v>
      </c>
      <c r="I527" s="33" t="n">
        <v>2006</v>
      </c>
      <c r="J527" s="32" t="n">
        <v>90</v>
      </c>
      <c r="K527" s="32" t="n">
        <v>94</v>
      </c>
      <c r="L527" s="34" t="n">
        <f aca="false">(K527*70)/100</f>
        <v>65.8</v>
      </c>
      <c r="M527" s="34" t="n">
        <f aca="false">ROUNDUP(L527,0)</f>
        <v>66</v>
      </c>
      <c r="N527" s="32" t="n">
        <v>26</v>
      </c>
      <c r="O527" s="34" t="n">
        <f aca="false">N527+L527</f>
        <v>91.8</v>
      </c>
      <c r="P527" s="34" t="n">
        <f aca="false">N527+M527</f>
        <v>92</v>
      </c>
      <c r="Q527" s="32" t="n">
        <v>78</v>
      </c>
      <c r="R527" s="32" t="n">
        <v>85</v>
      </c>
      <c r="S527" s="34" t="n">
        <f aca="false">(R527*70)/100</f>
        <v>59.5</v>
      </c>
      <c r="T527" s="34" t="n">
        <f aca="false">ROUNDUP(S527,0)</f>
        <v>60</v>
      </c>
      <c r="U527" s="32" t="n">
        <v>24</v>
      </c>
      <c r="V527" s="34" t="n">
        <f aca="false">U527+S527</f>
        <v>83.5</v>
      </c>
      <c r="W527" s="34" t="n">
        <f aca="false">U527+T527</f>
        <v>84</v>
      </c>
      <c r="X527" s="32" t="n">
        <v>80</v>
      </c>
      <c r="Y527" s="34" t="n">
        <f aca="false">(X527*70)/100</f>
        <v>56</v>
      </c>
      <c r="Z527" s="34" t="n">
        <f aca="false">ROUNDUP(Y527,0)</f>
        <v>56</v>
      </c>
      <c r="AA527" s="32" t="n">
        <v>25</v>
      </c>
      <c r="AB527" s="34" t="n">
        <f aca="false">AA527+Y527</f>
        <v>81</v>
      </c>
      <c r="AC527" s="34" t="n">
        <f aca="false">AA527+Z527</f>
        <v>81</v>
      </c>
      <c r="AD527" s="32" t="n">
        <f aca="false">X527+R527+Q527+K527+J527</f>
        <v>427</v>
      </c>
      <c r="AE527" s="16" t="n">
        <f aca="false">AD527/5</f>
        <v>85.4</v>
      </c>
      <c r="AF527" s="16" t="n">
        <v>84</v>
      </c>
      <c r="AG527" s="16" t="n">
        <v>93</v>
      </c>
      <c r="AH527" s="16" t="n">
        <v>91</v>
      </c>
      <c r="AI527" s="16" t="n">
        <v>95</v>
      </c>
      <c r="AJ527" s="16" t="n">
        <f aca="false">(AI527*70)/100</f>
        <v>66.5</v>
      </c>
      <c r="AK527" s="35" t="n">
        <f aca="false">ROUNDUP(AJ527,0)</f>
        <v>67</v>
      </c>
      <c r="AL527" s="16" t="n">
        <v>24</v>
      </c>
      <c r="AM527" s="16" t="n">
        <f aca="false">AL527+AJ527</f>
        <v>90.5</v>
      </c>
      <c r="AN527" s="16" t="n">
        <f aca="false">AL527+AK527</f>
        <v>91</v>
      </c>
      <c r="AO527" s="16" t="n">
        <v>87</v>
      </c>
      <c r="AP527" s="36" t="n">
        <f aca="false">(AO527*70)/100</f>
        <v>60.9</v>
      </c>
      <c r="AQ527" s="37" t="n">
        <f aca="false">ROUNDUP(AP527,0)</f>
        <v>61</v>
      </c>
      <c r="AR527" s="16" t="n">
        <v>24</v>
      </c>
      <c r="AS527" s="16" t="n">
        <f aca="false">AR527+AP527</f>
        <v>84.9</v>
      </c>
      <c r="AT527" s="16" t="n">
        <f aca="false">AR527+AQ527</f>
        <v>85</v>
      </c>
      <c r="AU527" s="16" t="n">
        <f aca="false">AO527+AF527+AI527+AH527+AG527</f>
        <v>450</v>
      </c>
      <c r="AV527" s="16" t="n">
        <f aca="false">(AO527+AF527+AI527+AH527+AG527)/5</f>
        <v>90</v>
      </c>
      <c r="AW527" s="36" t="n">
        <f aca="false">(AO527+AF527+AI527+AH527+AG527+X527+R527+Q527+K527+J527)</f>
        <v>877</v>
      </c>
      <c r="AX527" s="16" t="n">
        <f aca="false">AW527/10</f>
        <v>87.7</v>
      </c>
      <c r="AY527" s="16" t="n">
        <f aca="false">AS527+AF527+AM527+AH527+AG527+AB527+V527+Q527+O527+J527</f>
        <v>867.7</v>
      </c>
      <c r="AZ527" s="16" t="n">
        <f aca="false">AT527+AF527+AN527+AH527+AG527+AC527+W527+Q527+P527+J527</f>
        <v>869</v>
      </c>
      <c r="BA527" s="16" t="n">
        <f aca="false">AY527/10</f>
        <v>86.77</v>
      </c>
      <c r="BB527" s="16" t="n">
        <f aca="false">AZ527/10</f>
        <v>86.9</v>
      </c>
      <c r="BC527" s="16" t="n">
        <v>2330</v>
      </c>
      <c r="BD527" s="16" t="n">
        <f aca="false">RANK(AX527,$AX$2:$AX$881,0)</f>
        <v>39</v>
      </c>
      <c r="BE527" s="38" t="n">
        <f aca="false">((BC527*100)/2400)*0.4+(AX527*0.6)</f>
        <v>91.4533333333333</v>
      </c>
      <c r="BF527" s="16" t="n">
        <f aca="false">RANK(BE527,$BE$2:$BE$881,0)</f>
        <v>62</v>
      </c>
      <c r="BG527" s="39" t="n">
        <f aca="false">RANK(BB527,$BB$2:$BB$881,0)</f>
        <v>62</v>
      </c>
      <c r="BH527" s="39" t="n">
        <f aca="false">RANK(BC527,$BC$2:$BC$881,0)</f>
        <v>729</v>
      </c>
      <c r="BI527" s="22" t="s">
        <v>130</v>
      </c>
      <c r="BJ527" s="22" t="s">
        <v>129</v>
      </c>
      <c r="BK527" s="40" t="s">
        <v>131</v>
      </c>
      <c r="BL527" s="41" t="n">
        <v>14</v>
      </c>
      <c r="BM527" s="41" t="n">
        <v>49</v>
      </c>
      <c r="BN527" s="41" t="n">
        <v>63</v>
      </c>
      <c r="BO527" s="42" t="n">
        <v>23</v>
      </c>
      <c r="BP527" s="43" t="n">
        <v>60</v>
      </c>
      <c r="BQ527" s="44" t="n">
        <v>83</v>
      </c>
      <c r="BR527" s="42" t="n">
        <v>22</v>
      </c>
      <c r="BS527" s="45" t="n">
        <v>50</v>
      </c>
      <c r="BT527" s="45" t="n">
        <v>72</v>
      </c>
      <c r="BU527" s="46" t="n">
        <v>100</v>
      </c>
      <c r="BV527" s="47" t="n">
        <v>64</v>
      </c>
      <c r="BW527" s="42" t="n">
        <v>99</v>
      </c>
      <c r="BX527" s="48" t="n">
        <v>90</v>
      </c>
      <c r="BY527" s="32" t="n">
        <v>23</v>
      </c>
      <c r="BZ527" s="32" t="n">
        <v>44</v>
      </c>
      <c r="CA527" s="32" t="n">
        <v>67</v>
      </c>
      <c r="CB527" s="32" t="n">
        <v>20</v>
      </c>
      <c r="CC527" s="32" t="n">
        <v>32</v>
      </c>
      <c r="CD527" s="69" t="n">
        <v>52</v>
      </c>
      <c r="CE527" s="32" t="n">
        <v>25</v>
      </c>
      <c r="CF527" s="32" t="n">
        <v>40</v>
      </c>
      <c r="CG527" s="32" t="n">
        <v>65</v>
      </c>
      <c r="CH527" s="32" t="n">
        <v>96</v>
      </c>
      <c r="CI527" s="32" t="n">
        <v>98</v>
      </c>
      <c r="CJ527" s="83" t="n">
        <v>10</v>
      </c>
      <c r="CK527" s="60"/>
      <c r="CL527" s="61"/>
      <c r="CM527" s="49" t="n">
        <v>20</v>
      </c>
      <c r="CN527" s="49" t="n">
        <v>56</v>
      </c>
      <c r="CO527" s="49" t="n">
        <v>76</v>
      </c>
      <c r="CP527" s="25" t="n">
        <f aca="false">BX527+BW527+BV527+BU527+BT527+BQ527+BN527</f>
        <v>571</v>
      </c>
      <c r="CQ527" s="25" t="n">
        <f aca="false">CO527+CL527+CI527+CH527+CG527+CD527+CA527</f>
        <v>454</v>
      </c>
      <c r="CR527" s="26" t="n">
        <f aca="false">CP527/7</f>
        <v>81.5714285714286</v>
      </c>
      <c r="CS527" s="26" t="n">
        <f aca="false">CQ527/7</f>
        <v>64.8571428571429</v>
      </c>
      <c r="CT527" s="24" t="n">
        <f aca="false">RANK(CR527,$CR$2:$CR$881,0)</f>
        <v>552</v>
      </c>
      <c r="CU527" s="25" t="n">
        <f aca="false">RANK(CS527,$CS$2:$CS$881,0)</f>
        <v>627</v>
      </c>
      <c r="CV527" s="26" t="n">
        <f aca="false">(CS527+CR527)/2</f>
        <v>73.2142857142857</v>
      </c>
      <c r="CW527" s="25" t="n">
        <f aca="false">RANK(CV527,$CV$2:$CV$881,0)</f>
        <v>598</v>
      </c>
      <c r="CX527" s="50" t="n">
        <f aca="false">(CV527+BB527)/2</f>
        <v>80.0571428571429</v>
      </c>
      <c r="CY527" s="50" t="n">
        <v>373</v>
      </c>
      <c r="CZ527" s="27" t="s">
        <v>132</v>
      </c>
      <c r="DA527" s="27" t="s">
        <v>205</v>
      </c>
      <c r="DB527" s="27" t="s">
        <v>205</v>
      </c>
      <c r="DC527" s="27" t="s">
        <v>134</v>
      </c>
      <c r="DD527" s="27" t="s">
        <v>137</v>
      </c>
      <c r="DE527" s="27" t="s">
        <v>412</v>
      </c>
      <c r="DF527" s="27" t="s">
        <v>382</v>
      </c>
      <c r="DG527" s="27" t="s">
        <v>134</v>
      </c>
      <c r="DH527" s="27" t="s">
        <v>182</v>
      </c>
      <c r="DI527" s="27" t="s">
        <v>304</v>
      </c>
      <c r="DJ527" s="27" t="s">
        <v>305</v>
      </c>
      <c r="DK527" s="27" t="s">
        <v>134</v>
      </c>
      <c r="DL527" s="27" t="s">
        <v>160</v>
      </c>
      <c r="DM527" s="27" t="s">
        <v>681</v>
      </c>
      <c r="DN527" s="27" t="s">
        <v>372</v>
      </c>
      <c r="DO527" s="27" t="s">
        <v>134</v>
      </c>
      <c r="DP527" s="27"/>
      <c r="DQ527" s="27"/>
      <c r="DR527" s="27"/>
      <c r="DS527" s="27"/>
      <c r="DT527" s="27" t="s">
        <v>191</v>
      </c>
      <c r="DU527" s="27" t="s">
        <v>1395</v>
      </c>
      <c r="DV527" s="27" t="s">
        <v>304</v>
      </c>
      <c r="DW527" s="27" t="s">
        <v>137</v>
      </c>
      <c r="DX527" s="27" t="s">
        <v>141</v>
      </c>
      <c r="DY527" s="27" t="s">
        <v>151</v>
      </c>
      <c r="DZ527" s="27" t="n">
        <f aca="false">DY527+DV527+DR527+DN527+DJ527+DF527+DB527</f>
        <v>458</v>
      </c>
      <c r="EA527" s="28" t="n">
        <f aca="false">DZ527/7</f>
        <v>65.4285714285714</v>
      </c>
      <c r="EB527" s="27" t="n">
        <f aca="false">RANK(EA527,$EA$2:$EA$881,0)</f>
        <v>725</v>
      </c>
      <c r="EC527" s="29" t="n">
        <f aca="false">DZ527+CQ527+CP527+AZ527</f>
        <v>2352</v>
      </c>
      <c r="ED527" s="30" t="n">
        <f aca="false">(EA527+CV527+BB527)/3</f>
        <v>75.1809523809524</v>
      </c>
      <c r="EE527" s="51" t="n">
        <f aca="false">ROUND(BE527,3)</f>
        <v>91.453</v>
      </c>
      <c r="EF527" s="51" t="n">
        <f aca="false">ROUND(CR527,3)</f>
        <v>81.571</v>
      </c>
      <c r="EG527" s="51" t="n">
        <f aca="false">ROUND(CS527,3)</f>
        <v>64.857</v>
      </c>
      <c r="EH527" s="51" t="n">
        <f aca="false">ROUND(EA527,3)</f>
        <v>65.429</v>
      </c>
      <c r="EI527" s="51" t="n">
        <f aca="false">ROUND(ED527,3)</f>
        <v>75.181</v>
      </c>
      <c r="EJ527" s="51" t="n">
        <f aca="false">ROUND(CV527,3)</f>
        <v>73.214</v>
      </c>
      <c r="EK527" s="0" t="n">
        <f aca="false">RANK(EI527,$EI$2:$EI$881,0)</f>
        <v>526</v>
      </c>
    </row>
    <row r="528" customFormat="false" ht="15" hidden="false" customHeight="false" outlineLevel="0" collapsed="false">
      <c r="A528" s="4" t="n">
        <v>2025</v>
      </c>
      <c r="B528" s="4" t="n">
        <v>582</v>
      </c>
      <c r="C528" s="27" t="s">
        <v>1601</v>
      </c>
      <c r="D528" s="31" t="n">
        <v>587</v>
      </c>
      <c r="E528" s="16" t="n">
        <v>230119725</v>
      </c>
      <c r="F528" s="56" t="s">
        <v>1602</v>
      </c>
      <c r="G528" s="22" t="s">
        <v>1603</v>
      </c>
      <c r="H528" s="22" t="s">
        <v>326</v>
      </c>
      <c r="I528" s="57"/>
      <c r="J528" s="16" t="n">
        <v>64</v>
      </c>
      <c r="K528" s="16" t="n">
        <v>87</v>
      </c>
      <c r="L528" s="34" t="n">
        <f aca="false">(K528*70)/100</f>
        <v>60.9</v>
      </c>
      <c r="M528" s="34" t="n">
        <f aca="false">ROUNDUP(L528,0)</f>
        <v>61</v>
      </c>
      <c r="N528" s="16" t="n">
        <v>24</v>
      </c>
      <c r="O528" s="34" t="n">
        <f aca="false">N528+L528</f>
        <v>84.9</v>
      </c>
      <c r="P528" s="34" t="n">
        <f aca="false">N528+M528</f>
        <v>85</v>
      </c>
      <c r="Q528" s="16" t="n">
        <v>69</v>
      </c>
      <c r="R528" s="16" t="n">
        <v>76</v>
      </c>
      <c r="S528" s="34" t="n">
        <f aca="false">(R528*70)/100</f>
        <v>53.2</v>
      </c>
      <c r="T528" s="34" t="n">
        <f aca="false">ROUNDUP(S528,0)</f>
        <v>54</v>
      </c>
      <c r="U528" s="16" t="n">
        <v>26</v>
      </c>
      <c r="V528" s="34" t="n">
        <f aca="false">U528+S528</f>
        <v>79.2</v>
      </c>
      <c r="W528" s="34" t="n">
        <f aca="false">U528+T528</f>
        <v>80</v>
      </c>
      <c r="X528" s="16" t="n">
        <v>77</v>
      </c>
      <c r="Y528" s="34" t="n">
        <f aca="false">(X528*70)/100</f>
        <v>53.9</v>
      </c>
      <c r="Z528" s="34" t="n">
        <f aca="false">ROUNDUP(Y528,0)</f>
        <v>54</v>
      </c>
      <c r="AA528" s="16" t="n">
        <v>27</v>
      </c>
      <c r="AB528" s="34" t="n">
        <f aca="false">AA528+Y528</f>
        <v>80.9</v>
      </c>
      <c r="AC528" s="34" t="n">
        <f aca="false">AA528+Z528</f>
        <v>81</v>
      </c>
      <c r="AD528" s="32" t="n">
        <f aca="false">X528+R528+Q528+K528+J528</f>
        <v>373</v>
      </c>
      <c r="AE528" s="16" t="n">
        <f aca="false">AD528/5</f>
        <v>74.6</v>
      </c>
      <c r="AF528" s="16" t="n">
        <v>72</v>
      </c>
      <c r="AG528" s="16" t="n">
        <v>72</v>
      </c>
      <c r="AH528" s="16" t="n">
        <v>86</v>
      </c>
      <c r="AI528" s="16" t="n">
        <v>84</v>
      </c>
      <c r="AJ528" s="16" t="n">
        <f aca="false">(AI528*70)/100</f>
        <v>58.8</v>
      </c>
      <c r="AK528" s="35" t="n">
        <f aca="false">ROUNDUP(AJ528,0)</f>
        <v>59</v>
      </c>
      <c r="AL528" s="16" t="n">
        <v>25</v>
      </c>
      <c r="AM528" s="16" t="n">
        <f aca="false">AL528+AJ528</f>
        <v>83.8</v>
      </c>
      <c r="AN528" s="16" t="n">
        <f aca="false">AL528+AK528</f>
        <v>84</v>
      </c>
      <c r="AO528" s="16" t="n">
        <v>70</v>
      </c>
      <c r="AP528" s="36" t="n">
        <f aca="false">(AO528*70)/100</f>
        <v>49</v>
      </c>
      <c r="AQ528" s="37" t="n">
        <f aca="false">ROUNDUP(AP528,0)</f>
        <v>49</v>
      </c>
      <c r="AR528" s="16" t="n">
        <v>25</v>
      </c>
      <c r="AS528" s="16" t="n">
        <f aca="false">AR528+AP528</f>
        <v>74</v>
      </c>
      <c r="AT528" s="16" t="n">
        <f aca="false">AR528+AQ528</f>
        <v>74</v>
      </c>
      <c r="AU528" s="16" t="n">
        <f aca="false">AO528+AF528+AI528+AH528+AG528</f>
        <v>384</v>
      </c>
      <c r="AV528" s="16" t="n">
        <f aca="false">(AO528+AF528+AI528+AH528+AG528)/5</f>
        <v>76.8</v>
      </c>
      <c r="AW528" s="36" t="n">
        <f aca="false">(AO528+AF528+AI528+AH528+AG528+X528+R528+Q528+K528+J528)</f>
        <v>757</v>
      </c>
      <c r="AX528" s="16" t="n">
        <f aca="false">AW528/10</f>
        <v>75.7</v>
      </c>
      <c r="AY528" s="16" t="n">
        <f aca="false">AS528+AF528+AM528+AH528+AG528+AB528+V528+Q528+O528+J528</f>
        <v>765.8</v>
      </c>
      <c r="AZ528" s="16" t="n">
        <f aca="false">AT528+AF528+AN528+AH528+AG528+AC528+W528+Q528+P528+J528</f>
        <v>767</v>
      </c>
      <c r="BA528" s="16" t="n">
        <f aca="false">AY528/10</f>
        <v>76.58</v>
      </c>
      <c r="BB528" s="16" t="n">
        <f aca="false">AZ528/10</f>
        <v>76.7</v>
      </c>
      <c r="BC528" s="16" t="n">
        <v>2364</v>
      </c>
      <c r="BD528" s="16" t="n">
        <f aca="false">RANK(AX528,$AX$2:$AX$881,0)</f>
        <v>640</v>
      </c>
      <c r="BE528" s="73" t="n">
        <f aca="false">((BC528*100)/2400)*0.4+(AX528*0.6)</f>
        <v>84.82</v>
      </c>
      <c r="BF528" s="16" t="n">
        <f aca="false">RANK(BE528,$BE$2:$BE$881,0)</f>
        <v>654</v>
      </c>
      <c r="BG528" s="39" t="n">
        <f aca="false">RANK(BB528,$BB$2:$BB$881,0)</f>
        <v>658</v>
      </c>
      <c r="BH528" s="39" t="n">
        <f aca="false">RANK(BC528,$BC$2:$BC$881,0)</f>
        <v>347</v>
      </c>
      <c r="BI528" s="22" t="s">
        <v>130</v>
      </c>
      <c r="BJ528" s="22" t="s">
        <v>129</v>
      </c>
      <c r="BK528" s="22" t="s">
        <v>509</v>
      </c>
      <c r="BL528" s="41" t="n">
        <v>18</v>
      </c>
      <c r="BM528" s="41" t="n">
        <v>47</v>
      </c>
      <c r="BN528" s="41" t="n">
        <v>65</v>
      </c>
      <c r="BO528" s="42" t="n">
        <v>25</v>
      </c>
      <c r="BP528" s="43" t="n">
        <v>57</v>
      </c>
      <c r="BQ528" s="44" t="n">
        <v>82</v>
      </c>
      <c r="BR528" s="42" t="n">
        <v>21</v>
      </c>
      <c r="BS528" s="45" t="n">
        <v>57</v>
      </c>
      <c r="BT528" s="45" t="n">
        <v>78</v>
      </c>
      <c r="BU528" s="46" t="n">
        <v>99</v>
      </c>
      <c r="BV528" s="47" t="n">
        <v>86</v>
      </c>
      <c r="BW528" s="42" t="n">
        <v>96</v>
      </c>
      <c r="BX528" s="48" t="n">
        <v>94</v>
      </c>
      <c r="BY528" s="32" t="n">
        <v>25</v>
      </c>
      <c r="BZ528" s="32" t="n">
        <v>51</v>
      </c>
      <c r="CA528" s="32" t="n">
        <v>76</v>
      </c>
      <c r="CB528" s="32" t="n">
        <v>22</v>
      </c>
      <c r="CC528" s="32" t="n">
        <v>31</v>
      </c>
      <c r="CD528" s="69" t="n">
        <v>53</v>
      </c>
      <c r="CE528" s="32" t="n">
        <v>23</v>
      </c>
      <c r="CF528" s="32" t="n">
        <v>42</v>
      </c>
      <c r="CG528" s="32" t="n">
        <v>65</v>
      </c>
      <c r="CH528" s="32" t="n">
        <v>96</v>
      </c>
      <c r="CI528" s="32" t="n">
        <v>88</v>
      </c>
      <c r="CJ528" s="49" t="n">
        <v>19</v>
      </c>
      <c r="CK528" s="49" t="n">
        <v>51</v>
      </c>
      <c r="CL528" s="49" t="n">
        <v>70</v>
      </c>
      <c r="CM528" s="49" t="n">
        <v>23</v>
      </c>
      <c r="CN528" s="49" t="n">
        <v>48</v>
      </c>
      <c r="CO528" s="49" t="n">
        <v>71</v>
      </c>
      <c r="CP528" s="25" t="n">
        <f aca="false">BX528+BW528+BV528+BU528+BT528+BQ528+BN528</f>
        <v>600</v>
      </c>
      <c r="CQ528" s="25" t="n">
        <f aca="false">CO528+CL528+CI528+CH528+CG528+CD528+CA528</f>
        <v>519</v>
      </c>
      <c r="CR528" s="26" t="n">
        <f aca="false">CP528/7</f>
        <v>85.7142857142857</v>
      </c>
      <c r="CS528" s="26" t="n">
        <f aca="false">CQ528/7</f>
        <v>74.1428571428571</v>
      </c>
      <c r="CT528" s="24" t="n">
        <f aca="false">RANK(CR528,$CR$2:$CR$881,0)</f>
        <v>413</v>
      </c>
      <c r="CU528" s="25" t="n">
        <f aca="false">RANK(CS528,$CS$2:$CS$881,0)</f>
        <v>451</v>
      </c>
      <c r="CV528" s="26" t="n">
        <f aca="false">(CS528+CR528)/2</f>
        <v>79.9285714285714</v>
      </c>
      <c r="CW528" s="25" t="n">
        <f aca="false">RANK(CV528,$CV$2:$CV$881,0)</f>
        <v>430</v>
      </c>
      <c r="CX528" s="50" t="n">
        <f aca="false">(CV528+BB528)/2</f>
        <v>78.3142857142857</v>
      </c>
      <c r="CY528" s="50" t="n">
        <v>458</v>
      </c>
      <c r="CZ528" s="27" t="s">
        <v>132</v>
      </c>
      <c r="DA528" s="27" t="s">
        <v>305</v>
      </c>
      <c r="DB528" s="27" t="s">
        <v>305</v>
      </c>
      <c r="DC528" s="27" t="s">
        <v>134</v>
      </c>
      <c r="DD528" s="27" t="s">
        <v>182</v>
      </c>
      <c r="DE528" s="27" t="s">
        <v>304</v>
      </c>
      <c r="DF528" s="27" t="s">
        <v>305</v>
      </c>
      <c r="DG528" s="27" t="s">
        <v>134</v>
      </c>
      <c r="DH528" s="27" t="s">
        <v>137</v>
      </c>
      <c r="DI528" s="27" t="s">
        <v>447</v>
      </c>
      <c r="DJ528" s="27" t="s">
        <v>272</v>
      </c>
      <c r="DK528" s="27" t="s">
        <v>134</v>
      </c>
      <c r="DL528" s="27" t="s">
        <v>174</v>
      </c>
      <c r="DM528" s="27" t="s">
        <v>442</v>
      </c>
      <c r="DN528" s="27" t="s">
        <v>416</v>
      </c>
      <c r="DO528" s="27" t="s">
        <v>134</v>
      </c>
      <c r="DP528" s="27"/>
      <c r="DQ528" s="27"/>
      <c r="DR528" s="27"/>
      <c r="DS528" s="27"/>
      <c r="DT528" s="27" t="s">
        <v>160</v>
      </c>
      <c r="DU528" s="27" t="s">
        <v>412</v>
      </c>
      <c r="DV528" s="27" t="s">
        <v>272</v>
      </c>
      <c r="DW528" s="27" t="s">
        <v>164</v>
      </c>
      <c r="DX528" s="27" t="s">
        <v>155</v>
      </c>
      <c r="DY528" s="27" t="s">
        <v>144</v>
      </c>
      <c r="DZ528" s="27" t="n">
        <f aca="false">DY528+DV528+DR528+DN528+DJ528+DF528+DB528</f>
        <v>482</v>
      </c>
      <c r="EA528" s="28" t="n">
        <f aca="false">DZ528/7</f>
        <v>68.8571428571429</v>
      </c>
      <c r="EB528" s="27" t="n">
        <f aca="false">RANK(EA528,$EA$2:$EA$881,0)</f>
        <v>677</v>
      </c>
      <c r="EC528" s="29" t="n">
        <f aca="false">DZ528+CQ528+CP528+AZ528</f>
        <v>2368</v>
      </c>
      <c r="ED528" s="30" t="n">
        <f aca="false">(EA528+CV528+BB528)/3</f>
        <v>75.1619047619048</v>
      </c>
      <c r="EE528" s="51" t="n">
        <f aca="false">ROUND(BE528,3)</f>
        <v>84.82</v>
      </c>
      <c r="EF528" s="51" t="n">
        <f aca="false">ROUND(CR528,3)</f>
        <v>85.714</v>
      </c>
      <c r="EG528" s="51" t="n">
        <f aca="false">ROUND(CS528,3)</f>
        <v>74.143</v>
      </c>
      <c r="EH528" s="51" t="n">
        <f aca="false">ROUND(EA528,3)</f>
        <v>68.857</v>
      </c>
      <c r="EI528" s="51" t="n">
        <f aca="false">ROUND(ED528,3)</f>
        <v>75.162</v>
      </c>
      <c r="EJ528" s="51" t="n">
        <f aca="false">ROUND(CV528,3)</f>
        <v>79.929</v>
      </c>
      <c r="EK528" s="0" t="n">
        <f aca="false">RANK(EI528,$EI$2:$EI$881,0)</f>
        <v>527</v>
      </c>
    </row>
    <row r="529" customFormat="false" ht="15" hidden="false" customHeight="false" outlineLevel="0" collapsed="false">
      <c r="A529" s="4" t="n">
        <v>1942</v>
      </c>
      <c r="B529" s="4" t="n">
        <v>276</v>
      </c>
      <c r="C529" s="27" t="s">
        <v>1604</v>
      </c>
      <c r="D529" s="31" t="n">
        <v>275</v>
      </c>
      <c r="E529" s="16" t="n">
        <v>230221779</v>
      </c>
      <c r="F529" s="56" t="s">
        <v>1605</v>
      </c>
      <c r="G529" s="22" t="s">
        <v>493</v>
      </c>
      <c r="H529" s="22" t="s">
        <v>326</v>
      </c>
      <c r="I529" s="57"/>
      <c r="J529" s="16" t="n">
        <v>95</v>
      </c>
      <c r="K529" s="16" t="n">
        <v>63</v>
      </c>
      <c r="L529" s="34" t="n">
        <f aca="false">(K529*70)/100</f>
        <v>44.1</v>
      </c>
      <c r="M529" s="34" t="n">
        <f aca="false">ROUNDUP(L529,0)</f>
        <v>45</v>
      </c>
      <c r="N529" s="16" t="n">
        <v>22</v>
      </c>
      <c r="O529" s="34" t="n">
        <f aca="false">N529+L529</f>
        <v>66.1</v>
      </c>
      <c r="P529" s="34" t="n">
        <f aca="false">N529+M529</f>
        <v>67</v>
      </c>
      <c r="Q529" s="16" t="n">
        <v>66</v>
      </c>
      <c r="R529" s="16" t="n">
        <v>71</v>
      </c>
      <c r="S529" s="34" t="n">
        <f aca="false">(R529*70)/100</f>
        <v>49.7</v>
      </c>
      <c r="T529" s="34" t="n">
        <f aca="false">ROUNDUP(S529,0)</f>
        <v>50</v>
      </c>
      <c r="U529" s="16" t="n">
        <v>25</v>
      </c>
      <c r="V529" s="34" t="n">
        <f aca="false">U529+S529</f>
        <v>74.7</v>
      </c>
      <c r="W529" s="34" t="n">
        <f aca="false">U529+T529</f>
        <v>75</v>
      </c>
      <c r="X529" s="16" t="n">
        <v>60</v>
      </c>
      <c r="Y529" s="34" t="n">
        <f aca="false">(X529*70)/100</f>
        <v>42</v>
      </c>
      <c r="Z529" s="34" t="n">
        <f aca="false">ROUNDUP(Y529,0)</f>
        <v>42</v>
      </c>
      <c r="AA529" s="16" t="n">
        <v>26</v>
      </c>
      <c r="AB529" s="34" t="n">
        <f aca="false">AA529+Y529</f>
        <v>68</v>
      </c>
      <c r="AC529" s="34" t="n">
        <f aca="false">AA529+Z529</f>
        <v>68</v>
      </c>
      <c r="AD529" s="32" t="n">
        <f aca="false">X529+R529+Q529+K529+J529</f>
        <v>355</v>
      </c>
      <c r="AE529" s="16" t="n">
        <f aca="false">AD529/5</f>
        <v>71</v>
      </c>
      <c r="AF529" s="16" t="n">
        <v>80</v>
      </c>
      <c r="AG529" s="16" t="n">
        <v>90</v>
      </c>
      <c r="AH529" s="16" t="n">
        <v>92</v>
      </c>
      <c r="AI529" s="16" t="n">
        <v>86</v>
      </c>
      <c r="AJ529" s="16" t="n">
        <f aca="false">(AI529*70)/100</f>
        <v>60.2</v>
      </c>
      <c r="AK529" s="35" t="n">
        <f aca="false">ROUNDUP(AJ529,0)</f>
        <v>61</v>
      </c>
      <c r="AL529" s="16" t="n">
        <v>19</v>
      </c>
      <c r="AM529" s="16" t="n">
        <f aca="false">AL529+AJ529</f>
        <v>79.2</v>
      </c>
      <c r="AN529" s="16" t="n">
        <f aca="false">AL529+AK529</f>
        <v>80</v>
      </c>
      <c r="AO529" s="16" t="n">
        <v>62</v>
      </c>
      <c r="AP529" s="36" t="n">
        <f aca="false">(AO529*70)/100</f>
        <v>43.4</v>
      </c>
      <c r="AQ529" s="37" t="n">
        <f aca="false">ROUNDUP(AP529,0)</f>
        <v>44</v>
      </c>
      <c r="AR529" s="16" t="n">
        <v>22</v>
      </c>
      <c r="AS529" s="16" t="n">
        <f aca="false">AR529+AP529</f>
        <v>65.4</v>
      </c>
      <c r="AT529" s="16" t="n">
        <f aca="false">AR529+AQ529</f>
        <v>66</v>
      </c>
      <c r="AU529" s="16" t="n">
        <f aca="false">AO529+AF529+AI529+AH529+AG529</f>
        <v>410</v>
      </c>
      <c r="AV529" s="16" t="n">
        <f aca="false">(AO529+AF529+AI529+AH529+AG529)/5</f>
        <v>82</v>
      </c>
      <c r="AW529" s="36" t="n">
        <f aca="false">(AO529+AF529+AI529+AH529+AG529+X529+R529+Q529+K529+J529)</f>
        <v>765</v>
      </c>
      <c r="AX529" s="16" t="n">
        <f aca="false">AW529/10</f>
        <v>76.5</v>
      </c>
      <c r="AY529" s="16" t="n">
        <f aca="false">AS529+AF529+AM529+AH529+AG529+AB529+V529+Q529+O529+J529</f>
        <v>776.4</v>
      </c>
      <c r="AZ529" s="16" t="n">
        <f aca="false">AT529+AF529+AN529+AH529+AG529+AC529+W529+Q529+P529+J529</f>
        <v>779</v>
      </c>
      <c r="BA529" s="16" t="n">
        <f aca="false">AY529/10</f>
        <v>77.64</v>
      </c>
      <c r="BB529" s="16" t="n">
        <f aca="false">AZ529/10</f>
        <v>77.9</v>
      </c>
      <c r="BC529" s="16" t="n">
        <v>2392</v>
      </c>
      <c r="BD529" s="16" t="n">
        <f aca="false">RANK(AX529,$AX$2:$AX$881,0)</f>
        <v>562</v>
      </c>
      <c r="BE529" s="54" t="n">
        <f aca="false">((BC529*100)/2400)*0.4+(AX529*0.6)</f>
        <v>85.7666666666667</v>
      </c>
      <c r="BF529" s="16" t="n">
        <f aca="false">RANK(BE529,$BE$2:$BE$881,0)</f>
        <v>471</v>
      </c>
      <c r="BG529" s="39" t="n">
        <f aca="false">RANK(BB529,$BB$2:$BB$881,0)</f>
        <v>569</v>
      </c>
      <c r="BH529" s="39" t="n">
        <f aca="false">RANK(BC529,$BC$2:$BC$881,0)</f>
        <v>28</v>
      </c>
      <c r="BI529" s="22" t="s">
        <v>130</v>
      </c>
      <c r="BJ529" s="22" t="s">
        <v>129</v>
      </c>
      <c r="BK529" s="40" t="s">
        <v>509</v>
      </c>
      <c r="BL529" s="41" t="n">
        <v>21</v>
      </c>
      <c r="BM529" s="41" t="n">
        <v>50</v>
      </c>
      <c r="BN529" s="41" t="n">
        <v>71</v>
      </c>
      <c r="BO529" s="42" t="n">
        <v>23</v>
      </c>
      <c r="BP529" s="43" t="n">
        <v>46</v>
      </c>
      <c r="BQ529" s="44" t="n">
        <v>69</v>
      </c>
      <c r="BR529" s="42" t="n">
        <v>24</v>
      </c>
      <c r="BS529" s="45" t="n">
        <v>55</v>
      </c>
      <c r="BT529" s="45" t="n">
        <v>79</v>
      </c>
      <c r="BU529" s="77" t="n">
        <v>100</v>
      </c>
      <c r="BV529" s="47" t="n">
        <v>76</v>
      </c>
      <c r="BW529" s="43" t="n">
        <v>99</v>
      </c>
      <c r="BX529" s="48" t="n">
        <v>90</v>
      </c>
      <c r="BY529" s="32" t="n">
        <v>26</v>
      </c>
      <c r="BZ529" s="32" t="n">
        <v>38</v>
      </c>
      <c r="CA529" s="32" t="n">
        <v>64</v>
      </c>
      <c r="CB529" s="32" t="n">
        <v>24</v>
      </c>
      <c r="CC529" s="32" t="n">
        <v>32</v>
      </c>
      <c r="CD529" s="69" t="n">
        <v>56</v>
      </c>
      <c r="CE529" s="32" t="n">
        <v>26</v>
      </c>
      <c r="CF529" s="32" t="n">
        <v>42</v>
      </c>
      <c r="CG529" s="32" t="n">
        <v>68</v>
      </c>
      <c r="CH529" s="32" t="n">
        <v>93</v>
      </c>
      <c r="CI529" s="32" t="n">
        <v>98</v>
      </c>
      <c r="CJ529" s="49" t="n">
        <v>12</v>
      </c>
      <c r="CK529" s="49" t="n">
        <v>58</v>
      </c>
      <c r="CL529" s="49" t="n">
        <v>70</v>
      </c>
      <c r="CM529" s="49" t="n">
        <v>18</v>
      </c>
      <c r="CN529" s="49" t="n">
        <v>45</v>
      </c>
      <c r="CO529" s="49" t="n">
        <v>63</v>
      </c>
      <c r="CP529" s="25" t="n">
        <f aca="false">BX529+BW529+BV529+BU529+BT529+BQ529+BN529</f>
        <v>584</v>
      </c>
      <c r="CQ529" s="25" t="n">
        <f aca="false">CO529+CL529+CI529+CH529+CG529+CD529+CA529</f>
        <v>512</v>
      </c>
      <c r="CR529" s="26" t="n">
        <f aca="false">CP529/7</f>
        <v>83.4285714285714</v>
      </c>
      <c r="CS529" s="26" t="n">
        <f aca="false">CQ529/7</f>
        <v>73.1428571428571</v>
      </c>
      <c r="CT529" s="24" t="n">
        <f aca="false">RANK(CR529,$CR$2:$CR$881,0)</f>
        <v>502</v>
      </c>
      <c r="CU529" s="25" t="n">
        <f aca="false">RANK(CS529,$CS$2:$CS$881,0)</f>
        <v>480</v>
      </c>
      <c r="CV529" s="26" t="n">
        <f aca="false">(CS529+CR529)/2</f>
        <v>78.2857142857143</v>
      </c>
      <c r="CW529" s="25" t="n">
        <f aca="false">RANK(CV529,$CV$2:$CV$881,0)</f>
        <v>484</v>
      </c>
      <c r="CX529" s="50" t="n">
        <f aca="false">(CV529+BB529)/2</f>
        <v>78.0928571428571</v>
      </c>
      <c r="CY529" s="50" t="n">
        <v>464</v>
      </c>
      <c r="CZ529" s="27" t="s">
        <v>132</v>
      </c>
      <c r="DA529" s="27" t="s">
        <v>153</v>
      </c>
      <c r="DB529" s="27" t="s">
        <v>153</v>
      </c>
      <c r="DC529" s="27" t="s">
        <v>134</v>
      </c>
      <c r="DD529" s="27" t="s">
        <v>182</v>
      </c>
      <c r="DE529" s="27" t="s">
        <v>152</v>
      </c>
      <c r="DF529" s="27" t="s">
        <v>133</v>
      </c>
      <c r="DG529" s="27" t="s">
        <v>134</v>
      </c>
      <c r="DH529" s="27" t="s">
        <v>160</v>
      </c>
      <c r="DI529" s="27" t="s">
        <v>645</v>
      </c>
      <c r="DJ529" s="27" t="s">
        <v>398</v>
      </c>
      <c r="DK529" s="27" t="s">
        <v>134</v>
      </c>
      <c r="DL529" s="27" t="s">
        <v>386</v>
      </c>
      <c r="DM529" s="27" t="s">
        <v>645</v>
      </c>
      <c r="DN529" s="27" t="s">
        <v>203</v>
      </c>
      <c r="DO529" s="27" t="s">
        <v>134</v>
      </c>
      <c r="DP529" s="27"/>
      <c r="DQ529" s="27"/>
      <c r="DR529" s="27"/>
      <c r="DS529" s="27"/>
      <c r="DT529" s="27" t="s">
        <v>182</v>
      </c>
      <c r="DU529" s="27" t="s">
        <v>447</v>
      </c>
      <c r="DV529" s="27" t="s">
        <v>382</v>
      </c>
      <c r="DW529" s="27" t="s">
        <v>137</v>
      </c>
      <c r="DX529" s="27" t="s">
        <v>138</v>
      </c>
      <c r="DY529" s="27" t="s">
        <v>139</v>
      </c>
      <c r="DZ529" s="27" t="n">
        <f aca="false">DY529+DV529+DR529+DN529+DJ529+DF529+DB529</f>
        <v>484</v>
      </c>
      <c r="EA529" s="28" t="n">
        <f aca="false">DZ529/7</f>
        <v>69.1428571428571</v>
      </c>
      <c r="EB529" s="27" t="n">
        <f aca="false">RANK(EA529,$EA$2:$EA$881,0)</f>
        <v>669</v>
      </c>
      <c r="EC529" s="29" t="n">
        <f aca="false">DZ529+CQ529+CP529+AZ529</f>
        <v>2359</v>
      </c>
      <c r="ED529" s="30" t="n">
        <f aca="false">(EA529+CV529+BB529)/3</f>
        <v>75.1095238095238</v>
      </c>
      <c r="EE529" s="51" t="n">
        <f aca="false">ROUND(BE529,3)</f>
        <v>85.767</v>
      </c>
      <c r="EF529" s="51" t="n">
        <f aca="false">ROUND(CR529,3)</f>
        <v>83.429</v>
      </c>
      <c r="EG529" s="51" t="n">
        <f aca="false">ROUND(CS529,3)</f>
        <v>73.143</v>
      </c>
      <c r="EH529" s="51" t="n">
        <f aca="false">ROUND(EA529,3)</f>
        <v>69.143</v>
      </c>
      <c r="EI529" s="51" t="n">
        <f aca="false">ROUND(ED529,3)</f>
        <v>75.11</v>
      </c>
      <c r="EJ529" s="51" t="n">
        <f aca="false">ROUND(CV529,3)</f>
        <v>78.286</v>
      </c>
      <c r="EK529" s="0" t="n">
        <f aca="false">RANK(EI529,$EI$2:$EI$881,0)</f>
        <v>528</v>
      </c>
    </row>
    <row r="530" customFormat="false" ht="15" hidden="false" customHeight="false" outlineLevel="0" collapsed="false">
      <c r="A530" s="4" t="n">
        <v>8728</v>
      </c>
      <c r="B530" s="4" t="n">
        <v>531</v>
      </c>
      <c r="C530" s="27" t="s">
        <v>1606</v>
      </c>
      <c r="D530" s="31" t="n">
        <v>536</v>
      </c>
      <c r="E530" s="32" t="n">
        <v>230312249</v>
      </c>
      <c r="F530" s="8" t="s">
        <v>1607</v>
      </c>
      <c r="G530" s="22" t="s">
        <v>1608</v>
      </c>
      <c r="H530" s="22" t="s">
        <v>129</v>
      </c>
      <c r="I530" s="33" t="n">
        <v>2005</v>
      </c>
      <c r="J530" s="32" t="n">
        <v>87</v>
      </c>
      <c r="K530" s="32" t="n">
        <v>91</v>
      </c>
      <c r="L530" s="34" t="n">
        <f aca="false">(K530*70)/100</f>
        <v>63.7</v>
      </c>
      <c r="M530" s="34" t="n">
        <f aca="false">ROUNDUP(L530,0)</f>
        <v>64</v>
      </c>
      <c r="N530" s="32" t="n">
        <v>26</v>
      </c>
      <c r="O530" s="34" t="n">
        <f aca="false">N530+L530</f>
        <v>89.7</v>
      </c>
      <c r="P530" s="34" t="n">
        <f aca="false">N530+M530</f>
        <v>90</v>
      </c>
      <c r="Q530" s="32" t="n">
        <v>89</v>
      </c>
      <c r="R530" s="32" t="n">
        <v>88</v>
      </c>
      <c r="S530" s="34" t="n">
        <f aca="false">(R530*70)/100</f>
        <v>61.6</v>
      </c>
      <c r="T530" s="34" t="n">
        <f aca="false">ROUNDUP(S530,0)</f>
        <v>62</v>
      </c>
      <c r="U530" s="32" t="n">
        <v>28</v>
      </c>
      <c r="V530" s="34" t="n">
        <f aca="false">U530+S530</f>
        <v>89.6</v>
      </c>
      <c r="W530" s="34" t="n">
        <f aca="false">U530+T530</f>
        <v>90</v>
      </c>
      <c r="X530" s="32" t="n">
        <v>76</v>
      </c>
      <c r="Y530" s="34" t="n">
        <f aca="false">(X530*70)/100</f>
        <v>53.2</v>
      </c>
      <c r="Z530" s="34" t="n">
        <f aca="false">ROUNDUP(Y530,0)</f>
        <v>54</v>
      </c>
      <c r="AA530" s="32" t="n">
        <v>20</v>
      </c>
      <c r="AB530" s="34" t="n">
        <f aca="false">AA530+Y530</f>
        <v>73.2</v>
      </c>
      <c r="AC530" s="34" t="n">
        <f aca="false">AA530+Z530</f>
        <v>74</v>
      </c>
      <c r="AD530" s="32" t="n">
        <f aca="false">X530+R530+Q530+K530+J530</f>
        <v>431</v>
      </c>
      <c r="AE530" s="16" t="n">
        <f aca="false">AD530/5</f>
        <v>86.2</v>
      </c>
      <c r="AF530" s="16" t="n">
        <v>77</v>
      </c>
      <c r="AG530" s="16" t="n">
        <v>97</v>
      </c>
      <c r="AH530" s="16" t="n">
        <v>96</v>
      </c>
      <c r="AI530" s="16" t="n">
        <v>95</v>
      </c>
      <c r="AJ530" s="16" t="n">
        <f aca="false">(AI530*70)/100</f>
        <v>66.5</v>
      </c>
      <c r="AK530" s="35" t="n">
        <f aca="false">ROUNDUP(AJ530,0)</f>
        <v>67</v>
      </c>
      <c r="AL530" s="16" t="n">
        <v>22</v>
      </c>
      <c r="AM530" s="16" t="n">
        <f aca="false">AL530+AJ530</f>
        <v>88.5</v>
      </c>
      <c r="AN530" s="16" t="n">
        <f aca="false">AL530+AK530</f>
        <v>89</v>
      </c>
      <c r="AO530" s="16" t="n">
        <v>85</v>
      </c>
      <c r="AP530" s="36" t="n">
        <f aca="false">(AO530*70)/100</f>
        <v>59.5</v>
      </c>
      <c r="AQ530" s="37" t="n">
        <f aca="false">ROUNDUP(AP530,0)</f>
        <v>60</v>
      </c>
      <c r="AR530" s="16" t="n">
        <v>29</v>
      </c>
      <c r="AS530" s="16" t="n">
        <f aca="false">AR530+AP530</f>
        <v>88.5</v>
      </c>
      <c r="AT530" s="16" t="n">
        <f aca="false">AR530+AQ530</f>
        <v>89</v>
      </c>
      <c r="AU530" s="16" t="n">
        <f aca="false">AO530+AF530+AI530+AH530+AG530</f>
        <v>450</v>
      </c>
      <c r="AV530" s="16" t="n">
        <f aca="false">(AO530+AF530+AI530+AH530+AG530)/5</f>
        <v>90</v>
      </c>
      <c r="AW530" s="36" t="n">
        <f aca="false">(AO530+AF530+AI530+AH530+AG530+X530+R530+Q530+K530+J530)</f>
        <v>881</v>
      </c>
      <c r="AX530" s="16" t="n">
        <f aca="false">AW530/10</f>
        <v>88.1</v>
      </c>
      <c r="AY530" s="16" t="n">
        <f aca="false">AS530+AF530+AM530+AH530+AG530+AB530+V530+Q530+O530+J530</f>
        <v>875.5</v>
      </c>
      <c r="AZ530" s="16" t="n">
        <f aca="false">AT530+AF530+AN530+AH530+AG530+AC530+W530+Q530+P530+J530</f>
        <v>878</v>
      </c>
      <c r="BA530" s="16" t="n">
        <f aca="false">AY530/10</f>
        <v>87.55</v>
      </c>
      <c r="BB530" s="16" t="n">
        <f aca="false">AZ530/10</f>
        <v>87.8</v>
      </c>
      <c r="BC530" s="16" t="n">
        <v>2337</v>
      </c>
      <c r="BD530" s="16" t="n">
        <f aca="false">RANK(AX530,$AX$2:$AX$881,0)</f>
        <v>35</v>
      </c>
      <c r="BE530" s="38" t="n">
        <f aca="false">((BC530*100)/2400)*0.4+(AX530*0.6)</f>
        <v>91.81</v>
      </c>
      <c r="BF530" s="16" t="n">
        <f aca="false">RANK(BE530,$BE$2:$BE$881,0)</f>
        <v>47</v>
      </c>
      <c r="BG530" s="39" t="n">
        <f aca="false">RANK(BB530,$BB$2:$BB$881,0)</f>
        <v>44</v>
      </c>
      <c r="BH530" s="39" t="n">
        <f aca="false">RANK(BC530,$BC$2:$BC$881,0)</f>
        <v>658</v>
      </c>
      <c r="BI530" s="22" t="s">
        <v>130</v>
      </c>
      <c r="BJ530" s="22" t="s">
        <v>129</v>
      </c>
      <c r="BK530" s="40" t="s">
        <v>131</v>
      </c>
      <c r="BL530" s="41" t="n">
        <v>26</v>
      </c>
      <c r="BM530" s="41" t="n">
        <v>55</v>
      </c>
      <c r="BN530" s="41" t="n">
        <v>81</v>
      </c>
      <c r="BO530" s="42" t="n">
        <v>26</v>
      </c>
      <c r="BP530" s="43" t="n">
        <v>63</v>
      </c>
      <c r="BQ530" s="44" t="n">
        <v>89</v>
      </c>
      <c r="BR530" s="42" t="n">
        <v>25</v>
      </c>
      <c r="BS530" s="45" t="n">
        <v>60</v>
      </c>
      <c r="BT530" s="45" t="n">
        <v>85</v>
      </c>
      <c r="BU530" s="46" t="n">
        <v>100</v>
      </c>
      <c r="BV530" s="47" t="n">
        <v>82</v>
      </c>
      <c r="BW530" s="42" t="n">
        <v>100</v>
      </c>
      <c r="BX530" s="48" t="n">
        <v>90</v>
      </c>
      <c r="BY530" s="32" t="n">
        <v>22</v>
      </c>
      <c r="BZ530" s="32" t="n">
        <v>59</v>
      </c>
      <c r="CA530" s="32" t="n">
        <v>81</v>
      </c>
      <c r="CB530" s="32" t="n">
        <v>22</v>
      </c>
      <c r="CC530" s="32" t="n">
        <v>29</v>
      </c>
      <c r="CD530" s="69" t="n">
        <v>51</v>
      </c>
      <c r="CE530" s="32" t="n">
        <v>25</v>
      </c>
      <c r="CF530" s="60"/>
      <c r="CG530" s="60"/>
      <c r="CH530" s="32" t="n">
        <v>92</v>
      </c>
      <c r="CI530" s="32" t="n">
        <v>98</v>
      </c>
      <c r="CJ530" s="49" t="n">
        <v>25</v>
      </c>
      <c r="CK530" s="60"/>
      <c r="CL530" s="61"/>
      <c r="CM530" s="49" t="n">
        <v>21</v>
      </c>
      <c r="CN530" s="60"/>
      <c r="CO530" s="60"/>
      <c r="CP530" s="25" t="n">
        <f aca="false">BX530+BW530+BV530+BU530+BT530+BQ530+BN530</f>
        <v>627</v>
      </c>
      <c r="CQ530" s="25" t="n">
        <f aca="false">CO530+CL530+CI530+CH530+CG530+CD530+CA530</f>
        <v>322</v>
      </c>
      <c r="CR530" s="26" t="n">
        <f aca="false">CP530/7</f>
        <v>89.5714285714286</v>
      </c>
      <c r="CS530" s="26" t="n">
        <f aca="false">CQ530/7</f>
        <v>46</v>
      </c>
      <c r="CT530" s="24" t="n">
        <f aca="false">RANK(CR530,$CR$2:$CR$881,0)</f>
        <v>209</v>
      </c>
      <c r="CU530" s="25" t="n">
        <f aca="false">RANK(CS530,$CS$2:$CS$881,0)</f>
        <v>721</v>
      </c>
      <c r="CV530" s="26" t="n">
        <f aca="false">(CS530+CR530)/2</f>
        <v>67.7857142857143</v>
      </c>
      <c r="CW530" s="25" t="n">
        <f aca="false">RANK(CV530,$CV$2:$CV$881,0)</f>
        <v>653</v>
      </c>
      <c r="CX530" s="50" t="n">
        <f aca="false">(CV530+BB530)/2</f>
        <v>77.7928571428571</v>
      </c>
      <c r="CY530" s="50" t="n">
        <v>477</v>
      </c>
      <c r="CZ530" s="27" t="s">
        <v>132</v>
      </c>
      <c r="DA530" s="27" t="s">
        <v>153</v>
      </c>
      <c r="DB530" s="27" t="s">
        <v>153</v>
      </c>
      <c r="DC530" s="27" t="s">
        <v>134</v>
      </c>
      <c r="DD530" s="27" t="s">
        <v>182</v>
      </c>
      <c r="DE530" s="27" t="s">
        <v>447</v>
      </c>
      <c r="DF530" s="27" t="s">
        <v>382</v>
      </c>
      <c r="DG530" s="27" t="s">
        <v>134</v>
      </c>
      <c r="DH530" s="27" t="s">
        <v>135</v>
      </c>
      <c r="DI530" s="27" t="s">
        <v>442</v>
      </c>
      <c r="DJ530" s="27" t="s">
        <v>372</v>
      </c>
      <c r="DK530" s="27" t="s">
        <v>134</v>
      </c>
      <c r="DL530" s="27" t="s">
        <v>195</v>
      </c>
      <c r="DM530" s="27" t="s">
        <v>447</v>
      </c>
      <c r="DN530" s="27" t="s">
        <v>372</v>
      </c>
      <c r="DO530" s="27" t="s">
        <v>134</v>
      </c>
      <c r="DP530" s="27"/>
      <c r="DQ530" s="27"/>
      <c r="DR530" s="27"/>
      <c r="DS530" s="27"/>
      <c r="DT530" s="27" t="s">
        <v>140</v>
      </c>
      <c r="DU530" s="27" t="s">
        <v>442</v>
      </c>
      <c r="DV530" s="27" t="s">
        <v>305</v>
      </c>
      <c r="DW530" s="27" t="s">
        <v>140</v>
      </c>
      <c r="DX530" s="27" t="s">
        <v>187</v>
      </c>
      <c r="DY530" s="27" t="s">
        <v>139</v>
      </c>
      <c r="DZ530" s="27" t="n">
        <f aca="false">DY530+DV530+DR530+DN530+DJ530+DF530+DB530</f>
        <v>488</v>
      </c>
      <c r="EA530" s="28" t="n">
        <f aca="false">DZ530/7</f>
        <v>69.7142857142857</v>
      </c>
      <c r="EB530" s="27" t="n">
        <f aca="false">RANK(EA530,$EA$2:$EA$881,0)</f>
        <v>660</v>
      </c>
      <c r="EC530" s="29" t="n">
        <f aca="false">DZ530+CQ530+CP530+AZ530</f>
        <v>2315</v>
      </c>
      <c r="ED530" s="30" t="n">
        <f aca="false">(EA530+CV530+BB530)/3</f>
        <v>75.1</v>
      </c>
      <c r="EE530" s="51" t="n">
        <f aca="false">ROUND(BE530,3)</f>
        <v>91.81</v>
      </c>
      <c r="EF530" s="51" t="n">
        <f aca="false">ROUND(CR530,3)</f>
        <v>89.571</v>
      </c>
      <c r="EG530" s="51" t="n">
        <f aca="false">ROUND(CS530,3)</f>
        <v>46</v>
      </c>
      <c r="EH530" s="51" t="n">
        <f aca="false">ROUND(EA530,3)</f>
        <v>69.714</v>
      </c>
      <c r="EI530" s="51" t="n">
        <f aca="false">ROUND(ED530,3)</f>
        <v>75.1</v>
      </c>
      <c r="EJ530" s="51" t="n">
        <f aca="false">ROUND(CV530,3)</f>
        <v>67.786</v>
      </c>
      <c r="EK530" s="0" t="n">
        <f aca="false">RANK(EI530,$EI$2:$EI$881,0)</f>
        <v>529</v>
      </c>
    </row>
    <row r="531" customFormat="false" ht="15" hidden="false" customHeight="false" outlineLevel="0" collapsed="false">
      <c r="A531" s="4" t="n">
        <v>8953</v>
      </c>
      <c r="B531" s="4" t="n">
        <v>388</v>
      </c>
      <c r="C531" s="27" t="s">
        <v>1609</v>
      </c>
      <c r="D531" s="31" t="n">
        <v>392</v>
      </c>
      <c r="E531" s="32" t="n">
        <v>230319753</v>
      </c>
      <c r="F531" s="8" t="s">
        <v>1610</v>
      </c>
      <c r="G531" s="22" t="s">
        <v>1611</v>
      </c>
      <c r="H531" s="22" t="s">
        <v>129</v>
      </c>
      <c r="I531" s="33" t="n">
        <v>2005</v>
      </c>
      <c r="J531" s="32" t="n">
        <v>77</v>
      </c>
      <c r="K531" s="32" t="n">
        <v>84</v>
      </c>
      <c r="L531" s="34" t="n">
        <f aca="false">(K531*70)/100</f>
        <v>58.8</v>
      </c>
      <c r="M531" s="34" t="n">
        <f aca="false">ROUNDUP(L531,0)</f>
        <v>59</v>
      </c>
      <c r="N531" s="32" t="n">
        <v>21</v>
      </c>
      <c r="O531" s="34" t="n">
        <f aca="false">N531+L531</f>
        <v>79.8</v>
      </c>
      <c r="P531" s="34" t="n">
        <f aca="false">N531+M531</f>
        <v>80</v>
      </c>
      <c r="Q531" s="32" t="n">
        <v>71</v>
      </c>
      <c r="R531" s="32" t="n">
        <v>70</v>
      </c>
      <c r="S531" s="34" t="n">
        <f aca="false">(R531*70)/100</f>
        <v>49</v>
      </c>
      <c r="T531" s="34" t="n">
        <f aca="false">ROUNDUP(S531,0)</f>
        <v>49</v>
      </c>
      <c r="U531" s="32" t="n">
        <v>24</v>
      </c>
      <c r="V531" s="34" t="n">
        <f aca="false">U531+S531</f>
        <v>73</v>
      </c>
      <c r="W531" s="34" t="n">
        <f aca="false">U531+T531</f>
        <v>73</v>
      </c>
      <c r="X531" s="32" t="n">
        <v>65</v>
      </c>
      <c r="Y531" s="34" t="n">
        <f aca="false">(X531*70)/100</f>
        <v>45.5</v>
      </c>
      <c r="Z531" s="34" t="n">
        <f aca="false">ROUNDUP(Y531,0)</f>
        <v>46</v>
      </c>
      <c r="AA531" s="32" t="n">
        <v>25</v>
      </c>
      <c r="AB531" s="34" t="n">
        <f aca="false">AA531+Y531</f>
        <v>70.5</v>
      </c>
      <c r="AC531" s="34" t="n">
        <f aca="false">AA531+Z531</f>
        <v>71</v>
      </c>
      <c r="AD531" s="32" t="n">
        <f aca="false">X531+R531+Q531+K531+J531</f>
        <v>367</v>
      </c>
      <c r="AE531" s="16" t="n">
        <f aca="false">AD531/5</f>
        <v>73.4</v>
      </c>
      <c r="AF531" s="16" t="n">
        <v>77</v>
      </c>
      <c r="AG531" s="16" t="n">
        <v>89</v>
      </c>
      <c r="AH531" s="16" t="n">
        <v>90</v>
      </c>
      <c r="AI531" s="16" t="n">
        <v>90</v>
      </c>
      <c r="AJ531" s="16" t="n">
        <f aca="false">(AI531*70)/100</f>
        <v>63</v>
      </c>
      <c r="AK531" s="35" t="n">
        <f aca="false">ROUNDUP(AJ531,0)</f>
        <v>63</v>
      </c>
      <c r="AL531" s="16" t="n">
        <v>24</v>
      </c>
      <c r="AM531" s="16" t="n">
        <f aca="false">AL531+AJ531</f>
        <v>87</v>
      </c>
      <c r="AN531" s="16" t="n">
        <f aca="false">AL531+AK531</f>
        <v>87</v>
      </c>
      <c r="AO531" s="16" t="n">
        <v>78</v>
      </c>
      <c r="AP531" s="36" t="n">
        <f aca="false">(AO531*70)/100</f>
        <v>54.6</v>
      </c>
      <c r="AQ531" s="37" t="n">
        <f aca="false">ROUNDUP(AP531,0)</f>
        <v>55</v>
      </c>
      <c r="AR531" s="16" t="n">
        <v>29</v>
      </c>
      <c r="AS531" s="16" t="n">
        <f aca="false">AR531+AP531</f>
        <v>83.6</v>
      </c>
      <c r="AT531" s="16" t="n">
        <f aca="false">AR531+AQ531</f>
        <v>84</v>
      </c>
      <c r="AU531" s="16" t="n">
        <f aca="false">AO531+AF531+AI531+AH531+AG531</f>
        <v>424</v>
      </c>
      <c r="AV531" s="16" t="n">
        <f aca="false">(AO531+AF531+AI531+AH531+AG531)/5</f>
        <v>84.8</v>
      </c>
      <c r="AW531" s="36" t="n">
        <f aca="false">(AO531+AF531+AI531+AH531+AG531+X531+R531+Q531+K531+J531)</f>
        <v>791</v>
      </c>
      <c r="AX531" s="16" t="n">
        <f aca="false">AW531/10</f>
        <v>79.1</v>
      </c>
      <c r="AY531" s="16" t="n">
        <f aca="false">AS531+AF531+AM531+AH531+AG531+AB531+V531+Q531+O531+J531</f>
        <v>797.9</v>
      </c>
      <c r="AZ531" s="16" t="n">
        <f aca="false">AT531+AF531+AN531+AH531+AG531+AC531+W531+Q531+P531+J531</f>
        <v>799</v>
      </c>
      <c r="BA531" s="16" t="n">
        <f aca="false">AY531/10</f>
        <v>79.79</v>
      </c>
      <c r="BB531" s="16" t="n">
        <f aca="false">AZ531/10</f>
        <v>79.9</v>
      </c>
      <c r="BC531" s="16" t="n">
        <v>2355</v>
      </c>
      <c r="BD531" s="16" t="n">
        <f aca="false">RANK(AX531,$AX$2:$AX$881,0)</f>
        <v>324</v>
      </c>
      <c r="BE531" s="54" t="n">
        <f aca="false">((BC531*100)/2400)*0.4+(AX531*0.6)</f>
        <v>86.71</v>
      </c>
      <c r="BF531" s="16" t="n">
        <f aca="false">RANK(BE531,$BE$2:$BE$881,0)</f>
        <v>332</v>
      </c>
      <c r="BG531" s="39" t="n">
        <f aca="false">RANK(BB531,$BB$2:$BB$881,0)</f>
        <v>356</v>
      </c>
      <c r="BH531" s="39" t="n">
        <f aca="false">RANK(BC531,$BC$2:$BC$881,0)</f>
        <v>476</v>
      </c>
      <c r="BI531" s="22" t="s">
        <v>130</v>
      </c>
      <c r="BJ531" s="22" t="s">
        <v>129</v>
      </c>
      <c r="BK531" s="40" t="s">
        <v>131</v>
      </c>
      <c r="BL531" s="41" t="n">
        <v>22</v>
      </c>
      <c r="BM531" s="41" t="n">
        <v>60</v>
      </c>
      <c r="BN531" s="41" t="n">
        <v>82</v>
      </c>
      <c r="BO531" s="42" t="n">
        <v>26</v>
      </c>
      <c r="BP531" s="43" t="n">
        <v>63</v>
      </c>
      <c r="BQ531" s="44" t="n">
        <v>89</v>
      </c>
      <c r="BR531" s="42" t="n">
        <v>24</v>
      </c>
      <c r="BS531" s="45" t="n">
        <v>55</v>
      </c>
      <c r="BT531" s="45" t="n">
        <v>79</v>
      </c>
      <c r="BU531" s="46" t="n">
        <v>100</v>
      </c>
      <c r="BV531" s="47" t="n">
        <v>86</v>
      </c>
      <c r="BW531" s="42" t="n">
        <v>100</v>
      </c>
      <c r="BX531" s="48" t="n">
        <v>88</v>
      </c>
      <c r="BY531" s="32" t="n">
        <v>26</v>
      </c>
      <c r="BZ531" s="32" t="n">
        <v>51</v>
      </c>
      <c r="CA531" s="32" t="n">
        <v>77</v>
      </c>
      <c r="CB531" s="32" t="n">
        <v>22</v>
      </c>
      <c r="CC531" s="32" t="n">
        <v>31</v>
      </c>
      <c r="CD531" s="69" t="n">
        <v>53</v>
      </c>
      <c r="CE531" s="32" t="n">
        <v>22</v>
      </c>
      <c r="CF531" s="32" t="n">
        <v>40</v>
      </c>
      <c r="CG531" s="32" t="n">
        <v>62</v>
      </c>
      <c r="CH531" s="32" t="n">
        <v>90</v>
      </c>
      <c r="CI531" s="32" t="n">
        <v>88</v>
      </c>
      <c r="CJ531" s="49" t="n">
        <v>21</v>
      </c>
      <c r="CK531" s="49" t="n">
        <v>43</v>
      </c>
      <c r="CL531" s="49" t="n">
        <v>64</v>
      </c>
      <c r="CM531" s="49" t="n">
        <v>23</v>
      </c>
      <c r="CN531" s="49" t="n">
        <v>43</v>
      </c>
      <c r="CO531" s="49" t="n">
        <v>66</v>
      </c>
      <c r="CP531" s="25" t="n">
        <f aca="false">BX531+BW531+BV531+BU531+BT531+BQ531+BN531</f>
        <v>624</v>
      </c>
      <c r="CQ531" s="25" t="n">
        <f aca="false">CO531+CL531+CI531+CH531+CG531+CD531+CA531</f>
        <v>500</v>
      </c>
      <c r="CR531" s="26" t="n">
        <f aca="false">CP531/7</f>
        <v>89.1428571428571</v>
      </c>
      <c r="CS531" s="26" t="n">
        <f aca="false">CQ531/7</f>
        <v>71.4285714285714</v>
      </c>
      <c r="CT531" s="24" t="n">
        <f aca="false">RANK(CR531,$CR$2:$CR$881,0)</f>
        <v>235</v>
      </c>
      <c r="CU531" s="25" t="n">
        <f aca="false">RANK(CS531,$CS$2:$CS$881,0)</f>
        <v>528</v>
      </c>
      <c r="CV531" s="26" t="n">
        <f aca="false">(CS531+CR531)/2</f>
        <v>80.2857142857143</v>
      </c>
      <c r="CW531" s="25" t="n">
        <f aca="false">RANK(CV531,$CV$2:$CV$881,0)</f>
        <v>415</v>
      </c>
      <c r="CX531" s="50" t="n">
        <f aca="false">(CV531+BB531)/2</f>
        <v>80.0928571428571</v>
      </c>
      <c r="CY531" s="50" t="n">
        <v>372</v>
      </c>
      <c r="CZ531" s="27" t="s">
        <v>132</v>
      </c>
      <c r="DA531" s="27" t="s">
        <v>205</v>
      </c>
      <c r="DB531" s="27" t="s">
        <v>205</v>
      </c>
      <c r="DC531" s="27" t="s">
        <v>134</v>
      </c>
      <c r="DD531" s="27" t="s">
        <v>174</v>
      </c>
      <c r="DE531" s="27" t="s">
        <v>304</v>
      </c>
      <c r="DF531" s="27" t="s">
        <v>443</v>
      </c>
      <c r="DG531" s="27" t="s">
        <v>134</v>
      </c>
      <c r="DH531" s="27" t="s">
        <v>182</v>
      </c>
      <c r="DI531" s="27" t="s">
        <v>415</v>
      </c>
      <c r="DJ531" s="27" t="s">
        <v>416</v>
      </c>
      <c r="DK531" s="27" t="s">
        <v>134</v>
      </c>
      <c r="DL531" s="27" t="s">
        <v>174</v>
      </c>
      <c r="DM531" s="27" t="s">
        <v>412</v>
      </c>
      <c r="DN531" s="27" t="s">
        <v>486</v>
      </c>
      <c r="DO531" s="27" t="s">
        <v>134</v>
      </c>
      <c r="DP531" s="27"/>
      <c r="DQ531" s="27"/>
      <c r="DR531" s="27"/>
      <c r="DS531" s="27"/>
      <c r="DT531" s="27" t="s">
        <v>154</v>
      </c>
      <c r="DU531" s="27" t="s">
        <v>481</v>
      </c>
      <c r="DV531" s="27" t="s">
        <v>177</v>
      </c>
      <c r="DW531" s="27" t="s">
        <v>137</v>
      </c>
      <c r="DX531" s="27" t="s">
        <v>141</v>
      </c>
      <c r="DY531" s="27" t="s">
        <v>151</v>
      </c>
      <c r="DZ531" s="27" t="n">
        <f aca="false">DY531+DV531+DR531+DN531+DJ531+DF531+DB531</f>
        <v>455</v>
      </c>
      <c r="EA531" s="28" t="n">
        <f aca="false">DZ531/7</f>
        <v>65</v>
      </c>
      <c r="EB531" s="27" t="n">
        <f aca="false">RANK(EA531,$EA$2:$EA$881,0)</f>
        <v>730</v>
      </c>
      <c r="EC531" s="29" t="n">
        <f aca="false">DZ531+CQ531+CP531+AZ531</f>
        <v>2378</v>
      </c>
      <c r="ED531" s="30" t="n">
        <f aca="false">(EA531+CV531+BB531)/3</f>
        <v>75.0619047619048</v>
      </c>
      <c r="EE531" s="51" t="n">
        <f aca="false">ROUND(BE531,3)</f>
        <v>86.71</v>
      </c>
      <c r="EF531" s="51" t="n">
        <f aca="false">ROUND(CR531,3)</f>
        <v>89.143</v>
      </c>
      <c r="EG531" s="51" t="n">
        <f aca="false">ROUND(CS531,3)</f>
        <v>71.429</v>
      </c>
      <c r="EH531" s="51" t="n">
        <f aca="false">ROUND(EA531,3)</f>
        <v>65</v>
      </c>
      <c r="EI531" s="51" t="n">
        <f aca="false">ROUND(ED531,3)</f>
        <v>75.062</v>
      </c>
      <c r="EJ531" s="51" t="n">
        <f aca="false">ROUND(CV531,3)</f>
        <v>80.286</v>
      </c>
      <c r="EK531" s="0" t="n">
        <f aca="false">RANK(EI531,$EI$2:$EI$881,0)</f>
        <v>530</v>
      </c>
    </row>
    <row r="532" customFormat="false" ht="15" hidden="false" customHeight="false" outlineLevel="0" collapsed="false">
      <c r="A532" s="4" t="n">
        <v>8677</v>
      </c>
      <c r="B532" s="4" t="n">
        <v>325</v>
      </c>
      <c r="C532" s="27" t="s">
        <v>1612</v>
      </c>
      <c r="D532" s="31" t="n">
        <v>327</v>
      </c>
      <c r="E532" s="16" t="n">
        <v>230230143</v>
      </c>
      <c r="F532" s="56" t="s">
        <v>1613</v>
      </c>
      <c r="G532" s="22" t="s">
        <v>900</v>
      </c>
      <c r="H532" s="22" t="s">
        <v>326</v>
      </c>
      <c r="I532" s="57"/>
      <c r="J532" s="16" t="n">
        <v>69</v>
      </c>
      <c r="K532" s="16" t="n">
        <v>88</v>
      </c>
      <c r="L532" s="34" t="n">
        <f aca="false">(K532*70)/100</f>
        <v>61.6</v>
      </c>
      <c r="M532" s="34" t="n">
        <f aca="false">ROUNDUP(L532,0)</f>
        <v>62</v>
      </c>
      <c r="N532" s="16" t="n">
        <v>23</v>
      </c>
      <c r="O532" s="34" t="n">
        <f aca="false">N532+L532</f>
        <v>84.6</v>
      </c>
      <c r="P532" s="34" t="n">
        <f aca="false">N532+M532</f>
        <v>85</v>
      </c>
      <c r="Q532" s="16" t="n">
        <v>83</v>
      </c>
      <c r="R532" s="16" t="n">
        <v>81</v>
      </c>
      <c r="S532" s="34" t="n">
        <f aca="false">(R532*70)/100</f>
        <v>56.7</v>
      </c>
      <c r="T532" s="34" t="n">
        <f aca="false">ROUNDUP(S532,0)</f>
        <v>57</v>
      </c>
      <c r="U532" s="16" t="n">
        <v>26</v>
      </c>
      <c r="V532" s="34" t="n">
        <f aca="false">U532+S532</f>
        <v>82.7</v>
      </c>
      <c r="W532" s="34" t="n">
        <f aca="false">U532+T532</f>
        <v>83</v>
      </c>
      <c r="X532" s="16" t="n">
        <v>81</v>
      </c>
      <c r="Y532" s="34" t="n">
        <f aca="false">(X532*70)/100</f>
        <v>56.7</v>
      </c>
      <c r="Z532" s="34" t="n">
        <f aca="false">ROUNDUP(Y532,0)</f>
        <v>57</v>
      </c>
      <c r="AA532" s="16" t="n">
        <v>27</v>
      </c>
      <c r="AB532" s="34" t="n">
        <f aca="false">AA532+Y532</f>
        <v>83.7</v>
      </c>
      <c r="AC532" s="34" t="n">
        <f aca="false">AA532+Z532</f>
        <v>84</v>
      </c>
      <c r="AD532" s="32" t="n">
        <f aca="false">X532+R532+Q532+K532+J532</f>
        <v>402</v>
      </c>
      <c r="AE532" s="16" t="n">
        <f aca="false">AD532/5</f>
        <v>80.4</v>
      </c>
      <c r="AF532" s="16" t="n">
        <v>75</v>
      </c>
      <c r="AG532" s="16" t="n">
        <v>78</v>
      </c>
      <c r="AH532" s="16" t="n">
        <v>89</v>
      </c>
      <c r="AI532" s="16" t="n">
        <v>88</v>
      </c>
      <c r="AJ532" s="16" t="n">
        <f aca="false">(AI532*70)/100</f>
        <v>61.6</v>
      </c>
      <c r="AK532" s="35" t="n">
        <f aca="false">ROUNDUP(AJ532,0)</f>
        <v>62</v>
      </c>
      <c r="AL532" s="16" t="n">
        <v>29</v>
      </c>
      <c r="AM532" s="16" t="n">
        <f aca="false">AL532+AJ532</f>
        <v>90.6</v>
      </c>
      <c r="AN532" s="16" t="n">
        <f aca="false">AL532+AK532</f>
        <v>91</v>
      </c>
      <c r="AO532" s="16" t="n">
        <v>82</v>
      </c>
      <c r="AP532" s="36" t="n">
        <f aca="false">(AO532*70)/100</f>
        <v>57.4</v>
      </c>
      <c r="AQ532" s="37" t="n">
        <f aca="false">ROUNDUP(AP532,0)</f>
        <v>58</v>
      </c>
      <c r="AR532" s="16" t="n">
        <v>28</v>
      </c>
      <c r="AS532" s="16" t="n">
        <f aca="false">AR532+AP532</f>
        <v>85.4</v>
      </c>
      <c r="AT532" s="16" t="n">
        <f aca="false">AR532+AQ532</f>
        <v>86</v>
      </c>
      <c r="AU532" s="16" t="n">
        <f aca="false">AO532+AF532+AI532+AH532+AG532</f>
        <v>412</v>
      </c>
      <c r="AV532" s="16" t="n">
        <f aca="false">(AO532+AF532+AI532+AH532+AG532)/5</f>
        <v>82.4</v>
      </c>
      <c r="AW532" s="36" t="n">
        <f aca="false">(AO532+AF532+AI532+AH532+AG532+X532+R532+Q532+K532+J532)</f>
        <v>814</v>
      </c>
      <c r="AX532" s="16" t="n">
        <f aca="false">AW532/10</f>
        <v>81.4</v>
      </c>
      <c r="AY532" s="16" t="n">
        <f aca="false">AS532+AF532+AM532+AH532+AG532+AB532+V532+Q532+O532+J532</f>
        <v>821</v>
      </c>
      <c r="AZ532" s="16" t="n">
        <f aca="false">AT532+AF532+AN532+AH532+AG532+AC532+W532+Q532+P532+J532</f>
        <v>823</v>
      </c>
      <c r="BA532" s="16" t="n">
        <f aca="false">AY532/10</f>
        <v>82.1</v>
      </c>
      <c r="BB532" s="16" t="n">
        <f aca="false">AZ532/10</f>
        <v>82.3</v>
      </c>
      <c r="BC532" s="16" t="n">
        <v>2346</v>
      </c>
      <c r="BD532" s="16" t="n">
        <f aca="false">RANK(AX532,$AX$2:$AX$881,0)</f>
        <v>194</v>
      </c>
      <c r="BE532" s="54" t="n">
        <f aca="false">((BC532*100)/2400)*0.4+(AX532*0.6)</f>
        <v>87.94</v>
      </c>
      <c r="BF532" s="16" t="n">
        <f aca="false">RANK(BE532,$BE$2:$BE$881,0)</f>
        <v>210</v>
      </c>
      <c r="BG532" s="39" t="n">
        <f aca="false">RANK(BB532,$BB$2:$BB$881,0)</f>
        <v>193</v>
      </c>
      <c r="BH532" s="39" t="n">
        <f aca="false">RANK(BC532,$BC$2:$BC$881,0)</f>
        <v>571</v>
      </c>
      <c r="BI532" s="22" t="s">
        <v>130</v>
      </c>
      <c r="BJ532" s="22" t="s">
        <v>129</v>
      </c>
      <c r="BK532" s="40" t="s">
        <v>131</v>
      </c>
      <c r="BL532" s="41" t="n">
        <v>20</v>
      </c>
      <c r="BM532" s="41" t="n">
        <v>55</v>
      </c>
      <c r="BN532" s="41" t="n">
        <v>75</v>
      </c>
      <c r="BO532" s="42" t="n">
        <v>20</v>
      </c>
      <c r="BP532" s="43" t="n">
        <v>62</v>
      </c>
      <c r="BQ532" s="44" t="n">
        <v>82</v>
      </c>
      <c r="BR532" s="42" t="n">
        <v>27</v>
      </c>
      <c r="BS532" s="45" t="n">
        <v>61</v>
      </c>
      <c r="BT532" s="45" t="n">
        <v>88</v>
      </c>
      <c r="BU532" s="46" t="n">
        <v>99</v>
      </c>
      <c r="BV532" s="47" t="n">
        <v>90</v>
      </c>
      <c r="BW532" s="42" t="n">
        <v>90</v>
      </c>
      <c r="BX532" s="48" t="n">
        <v>92</v>
      </c>
      <c r="BY532" s="32" t="n">
        <v>21</v>
      </c>
      <c r="BZ532" s="32" t="n">
        <v>49</v>
      </c>
      <c r="CA532" s="32" t="n">
        <v>70</v>
      </c>
      <c r="CB532" s="32" t="n">
        <v>24</v>
      </c>
      <c r="CC532" s="32" t="n">
        <v>7</v>
      </c>
      <c r="CD532" s="69" t="n">
        <v>31</v>
      </c>
      <c r="CE532" s="32" t="n">
        <v>26</v>
      </c>
      <c r="CF532" s="32" t="n">
        <v>47</v>
      </c>
      <c r="CG532" s="32" t="n">
        <v>73</v>
      </c>
      <c r="CH532" s="32" t="n">
        <v>98</v>
      </c>
      <c r="CI532" s="32" t="n">
        <v>95</v>
      </c>
      <c r="CJ532" s="49" t="n">
        <v>20</v>
      </c>
      <c r="CK532" s="49" t="n">
        <v>45</v>
      </c>
      <c r="CL532" s="49" t="n">
        <v>65</v>
      </c>
      <c r="CM532" s="49" t="n">
        <v>20</v>
      </c>
      <c r="CN532" s="49" t="n">
        <v>42</v>
      </c>
      <c r="CO532" s="49" t="n">
        <v>62</v>
      </c>
      <c r="CP532" s="25" t="n">
        <f aca="false">BX532+BW532+BV532+BU532+BT532+BQ532+BN532</f>
        <v>616</v>
      </c>
      <c r="CQ532" s="25" t="n">
        <f aca="false">CO532+CL532+CI532+CH532+CG532+CD532+CA532</f>
        <v>494</v>
      </c>
      <c r="CR532" s="26" t="n">
        <f aca="false">CP532/7</f>
        <v>88</v>
      </c>
      <c r="CS532" s="26" t="n">
        <f aca="false">CQ532/7</f>
        <v>70.5714285714286</v>
      </c>
      <c r="CT532" s="24" t="n">
        <f aca="false">RANK(CR532,$CR$2:$CR$881,0)</f>
        <v>304</v>
      </c>
      <c r="CU532" s="25" t="n">
        <f aca="false">RANK(CS532,$CS$2:$CS$881,0)</f>
        <v>546</v>
      </c>
      <c r="CV532" s="26" t="n">
        <f aca="false">(CS532+CR532)/2</f>
        <v>79.2857142857143</v>
      </c>
      <c r="CW532" s="25" t="n">
        <f aca="false">RANK(CV532,$CV$2:$CV$881,0)</f>
        <v>456</v>
      </c>
      <c r="CX532" s="50" t="n">
        <f aca="false">(CV532+BB532)/2</f>
        <v>80.7928571428571</v>
      </c>
      <c r="CY532" s="50" t="n">
        <v>332</v>
      </c>
      <c r="CZ532" s="27" t="s">
        <v>132</v>
      </c>
      <c r="DA532" s="27" t="s">
        <v>305</v>
      </c>
      <c r="DB532" s="27" t="s">
        <v>305</v>
      </c>
      <c r="DC532" s="27" t="s">
        <v>134</v>
      </c>
      <c r="DD532" s="27"/>
      <c r="DE532" s="27"/>
      <c r="DF532" s="27"/>
      <c r="DG532" s="27"/>
      <c r="DH532" s="27" t="s">
        <v>174</v>
      </c>
      <c r="DI532" s="27" t="s">
        <v>442</v>
      </c>
      <c r="DJ532" s="27" t="s">
        <v>416</v>
      </c>
      <c r="DK532" s="27" t="s">
        <v>134</v>
      </c>
      <c r="DL532" s="27" t="s">
        <v>154</v>
      </c>
      <c r="DM532" s="27" t="s">
        <v>645</v>
      </c>
      <c r="DN532" s="27" t="s">
        <v>141</v>
      </c>
      <c r="DO532" s="27" t="s">
        <v>134</v>
      </c>
      <c r="DP532" s="27" t="s">
        <v>182</v>
      </c>
      <c r="DQ532" s="27" t="s">
        <v>399</v>
      </c>
      <c r="DR532" s="27" t="s">
        <v>398</v>
      </c>
      <c r="DS532" s="27" t="s">
        <v>134</v>
      </c>
      <c r="DT532" s="27" t="s">
        <v>195</v>
      </c>
      <c r="DU532" s="27" t="s">
        <v>638</v>
      </c>
      <c r="DV532" s="27" t="s">
        <v>187</v>
      </c>
      <c r="DW532" s="27" t="s">
        <v>137</v>
      </c>
      <c r="DX532" s="27" t="s">
        <v>163</v>
      </c>
      <c r="DY532" s="27" t="s">
        <v>170</v>
      </c>
      <c r="DZ532" s="27" t="n">
        <f aca="false">DY532+DV532+DR532+DN532+DJ532+DF532+DB532</f>
        <v>445</v>
      </c>
      <c r="EA532" s="28" t="n">
        <f aca="false">DZ532/7</f>
        <v>63.5714285714286</v>
      </c>
      <c r="EB532" s="27" t="n">
        <f aca="false">RANK(EA532,$EA$2:$EA$881,0)</f>
        <v>754</v>
      </c>
      <c r="EC532" s="29" t="n">
        <f aca="false">DZ532+CQ532+CP532+AZ532</f>
        <v>2378</v>
      </c>
      <c r="ED532" s="30" t="n">
        <f aca="false">(EA532+CV532+BB532)/3</f>
        <v>75.0523809523809</v>
      </c>
      <c r="EE532" s="51" t="n">
        <f aca="false">ROUND(BE532,3)</f>
        <v>87.94</v>
      </c>
      <c r="EF532" s="51" t="n">
        <f aca="false">ROUND(CR532,3)</f>
        <v>88</v>
      </c>
      <c r="EG532" s="51" t="n">
        <f aca="false">ROUND(CS532,3)</f>
        <v>70.571</v>
      </c>
      <c r="EH532" s="51" t="n">
        <f aca="false">ROUND(EA532,3)</f>
        <v>63.571</v>
      </c>
      <c r="EI532" s="51" t="n">
        <f aca="false">ROUND(ED532,3)</f>
        <v>75.052</v>
      </c>
      <c r="EJ532" s="51" t="n">
        <f aca="false">ROUND(CV532,3)</f>
        <v>79.286</v>
      </c>
      <c r="EK532" s="0" t="n">
        <f aca="false">RANK(EI532,$EI$2:$EI$881,0)</f>
        <v>531</v>
      </c>
    </row>
    <row r="533" customFormat="false" ht="15" hidden="false" customHeight="false" outlineLevel="0" collapsed="false">
      <c r="A533" s="4" t="n">
        <v>9134</v>
      </c>
      <c r="B533" s="4" t="n">
        <v>539</v>
      </c>
      <c r="C533" s="27" t="s">
        <v>1614</v>
      </c>
      <c r="D533" s="31" t="n">
        <v>545</v>
      </c>
      <c r="E533" s="32" t="n">
        <v>230311129</v>
      </c>
      <c r="F533" s="8" t="s">
        <v>1615</v>
      </c>
      <c r="G533" s="22" t="s">
        <v>181</v>
      </c>
      <c r="H533" s="22" t="s">
        <v>129</v>
      </c>
      <c r="I533" s="33" t="n">
        <v>2005</v>
      </c>
      <c r="J533" s="32" t="n">
        <v>75</v>
      </c>
      <c r="K533" s="32" t="n">
        <v>82</v>
      </c>
      <c r="L533" s="34" t="n">
        <f aca="false">(K533*70)/100</f>
        <v>57.4</v>
      </c>
      <c r="M533" s="34" t="n">
        <f aca="false">ROUNDUP(L533,0)</f>
        <v>58</v>
      </c>
      <c r="N533" s="32" t="n">
        <v>24</v>
      </c>
      <c r="O533" s="34" t="n">
        <f aca="false">N533+L533</f>
        <v>81.4</v>
      </c>
      <c r="P533" s="34" t="n">
        <f aca="false">N533+M533</f>
        <v>82</v>
      </c>
      <c r="Q533" s="32" t="n">
        <v>67</v>
      </c>
      <c r="R533" s="32" t="n">
        <v>86</v>
      </c>
      <c r="S533" s="34" t="n">
        <f aca="false">(R533*70)/100</f>
        <v>60.2</v>
      </c>
      <c r="T533" s="34" t="n">
        <f aca="false">ROUNDUP(S533,0)</f>
        <v>61</v>
      </c>
      <c r="U533" s="32" t="n">
        <v>24</v>
      </c>
      <c r="V533" s="34" t="n">
        <f aca="false">U533+S533</f>
        <v>84.2</v>
      </c>
      <c r="W533" s="34" t="n">
        <f aca="false">U533+T533</f>
        <v>85</v>
      </c>
      <c r="X533" s="32" t="n">
        <v>63</v>
      </c>
      <c r="Y533" s="34" t="n">
        <f aca="false">(X533*70)/100</f>
        <v>44.1</v>
      </c>
      <c r="Z533" s="34" t="n">
        <f aca="false">ROUNDUP(Y533,0)</f>
        <v>45</v>
      </c>
      <c r="AA533" s="32" t="n">
        <v>22</v>
      </c>
      <c r="AB533" s="34" t="n">
        <f aca="false">AA533+Y533</f>
        <v>66.1</v>
      </c>
      <c r="AC533" s="34" t="n">
        <f aca="false">AA533+Z533</f>
        <v>67</v>
      </c>
      <c r="AD533" s="32" t="n">
        <f aca="false">X533+R533+Q533+K533+J533</f>
        <v>373</v>
      </c>
      <c r="AE533" s="16" t="n">
        <f aca="false">AD533/5</f>
        <v>74.6</v>
      </c>
      <c r="AF533" s="16" t="n">
        <v>79</v>
      </c>
      <c r="AG533" s="16" t="n">
        <v>78</v>
      </c>
      <c r="AH533" s="16" t="n">
        <v>93</v>
      </c>
      <c r="AI533" s="16" t="n">
        <v>90</v>
      </c>
      <c r="AJ533" s="16" t="n">
        <f aca="false">(AI533*70)/100</f>
        <v>63</v>
      </c>
      <c r="AK533" s="35" t="n">
        <f aca="false">ROUNDUP(AJ533,0)</f>
        <v>63</v>
      </c>
      <c r="AL533" s="16" t="n">
        <v>23</v>
      </c>
      <c r="AM533" s="16" t="n">
        <f aca="false">AL533+AJ533</f>
        <v>86</v>
      </c>
      <c r="AN533" s="16" t="n">
        <f aca="false">AL533+AK533</f>
        <v>86</v>
      </c>
      <c r="AO533" s="16" t="n">
        <v>83</v>
      </c>
      <c r="AP533" s="36" t="n">
        <f aca="false">(AO533*70)/100</f>
        <v>58.1</v>
      </c>
      <c r="AQ533" s="37" t="n">
        <f aca="false">ROUNDUP(AP533,0)</f>
        <v>59</v>
      </c>
      <c r="AR533" s="16" t="n">
        <v>27</v>
      </c>
      <c r="AS533" s="16" t="n">
        <f aca="false">AR533+AP533</f>
        <v>85.1</v>
      </c>
      <c r="AT533" s="16" t="n">
        <f aca="false">AR533+AQ533</f>
        <v>86</v>
      </c>
      <c r="AU533" s="16" t="n">
        <f aca="false">AO533+AF533+AI533+AH533+AG533</f>
        <v>423</v>
      </c>
      <c r="AV533" s="16" t="n">
        <f aca="false">(AO533+AF533+AI533+AH533+AG533)/5</f>
        <v>84.6</v>
      </c>
      <c r="AW533" s="36" t="n">
        <f aca="false">(AO533+AF533+AI533+AH533+AG533+X533+R533+Q533+K533+J533)</f>
        <v>796</v>
      </c>
      <c r="AX533" s="16" t="n">
        <f aca="false">AW533/10</f>
        <v>79.6</v>
      </c>
      <c r="AY533" s="16" t="n">
        <f aca="false">AS533+AF533+AM533+AH533+AG533+AB533+V533+Q533+O533+J533</f>
        <v>794.8</v>
      </c>
      <c r="AZ533" s="16" t="n">
        <f aca="false">AT533+AF533+AN533+AH533+AG533+AC533+W533+Q533+P533+J533</f>
        <v>798</v>
      </c>
      <c r="BA533" s="16" t="n">
        <f aca="false">AY533/10</f>
        <v>79.48</v>
      </c>
      <c r="BB533" s="16" t="n">
        <f aca="false">AZ533/10</f>
        <v>79.8</v>
      </c>
      <c r="BC533" s="16" t="n">
        <v>2380</v>
      </c>
      <c r="BD533" s="16" t="n">
        <f aca="false">RANK(AX533,$AX$2:$AX$881,0)</f>
        <v>296</v>
      </c>
      <c r="BE533" s="54" t="n">
        <f aca="false">((BC533*100)/2400)*0.4+(AX533*0.6)</f>
        <v>87.4266666666667</v>
      </c>
      <c r="BF533" s="16" t="n">
        <f aca="false">RANK(BE533,$BE$2:$BE$881,0)</f>
        <v>258</v>
      </c>
      <c r="BG533" s="39" t="n">
        <f aca="false">RANK(BB533,$BB$2:$BB$881,0)</f>
        <v>369</v>
      </c>
      <c r="BH533" s="39" t="n">
        <f aca="false">RANK(BC533,$BC$2:$BC$881,0)</f>
        <v>148</v>
      </c>
      <c r="BI533" s="22" t="s">
        <v>130</v>
      </c>
      <c r="BJ533" s="22" t="s">
        <v>129</v>
      </c>
      <c r="BK533" s="40" t="s">
        <v>131</v>
      </c>
      <c r="BL533" s="44" t="n">
        <v>18</v>
      </c>
      <c r="BM533" s="44" t="n">
        <v>52</v>
      </c>
      <c r="BN533" s="44" t="n">
        <v>70</v>
      </c>
      <c r="BO533" s="44" t="n">
        <v>25</v>
      </c>
      <c r="BP533" s="43" t="n">
        <v>53</v>
      </c>
      <c r="BQ533" s="44" t="n">
        <v>78</v>
      </c>
      <c r="BR533" s="44" t="n">
        <v>23</v>
      </c>
      <c r="BS533" s="45" t="n">
        <v>58</v>
      </c>
      <c r="BT533" s="45" t="n">
        <v>81</v>
      </c>
      <c r="BU533" s="46" t="n">
        <v>100</v>
      </c>
      <c r="BV533" s="44" t="n">
        <v>76</v>
      </c>
      <c r="BW533" s="43" t="n">
        <v>98</v>
      </c>
      <c r="BX533" s="48" t="n">
        <v>80</v>
      </c>
      <c r="BY533" s="32" t="n">
        <v>20</v>
      </c>
      <c r="BZ533" s="32" t="n">
        <v>47</v>
      </c>
      <c r="CA533" s="48" t="n">
        <v>67</v>
      </c>
      <c r="CB533" s="32" t="n">
        <v>22</v>
      </c>
      <c r="CC533" s="32" t="n">
        <v>42</v>
      </c>
      <c r="CD533" s="32" t="n">
        <v>64</v>
      </c>
      <c r="CE533" s="32" t="n">
        <v>24</v>
      </c>
      <c r="CF533" s="32" t="n">
        <v>51</v>
      </c>
      <c r="CG533" s="32" t="n">
        <v>75</v>
      </c>
      <c r="CH533" s="32" t="n">
        <v>96</v>
      </c>
      <c r="CI533" s="32" t="n">
        <v>93</v>
      </c>
      <c r="CJ533" s="49" t="n">
        <v>22</v>
      </c>
      <c r="CK533" s="49" t="n">
        <v>41</v>
      </c>
      <c r="CL533" s="49" t="n">
        <v>63</v>
      </c>
      <c r="CM533" s="49" t="n">
        <v>14</v>
      </c>
      <c r="CN533" s="49" t="n">
        <v>50</v>
      </c>
      <c r="CO533" s="84" t="n">
        <v>64</v>
      </c>
      <c r="CP533" s="25" t="n">
        <f aca="false">BX533+BW533+BV533+BU533+BT533+BQ533+BN533</f>
        <v>583</v>
      </c>
      <c r="CQ533" s="25" t="n">
        <f aca="false">CO533+CL533+CI533+CH533+CG533+CD533+CA533</f>
        <v>522</v>
      </c>
      <c r="CR533" s="26" t="n">
        <f aca="false">CP533/7</f>
        <v>83.2857142857143</v>
      </c>
      <c r="CS533" s="26" t="n">
        <f aca="false">CQ533/7</f>
        <v>74.5714285714286</v>
      </c>
      <c r="CT533" s="24" t="n">
        <f aca="false">RANK(CR533,$CR$2:$CR$881,0)</f>
        <v>510</v>
      </c>
      <c r="CU533" s="25" t="n">
        <f aca="false">RANK(CS533,$CS$2:$CS$881,0)</f>
        <v>440</v>
      </c>
      <c r="CV533" s="26" t="n">
        <f aca="false">(CS533+CR533)/2</f>
        <v>78.9285714285714</v>
      </c>
      <c r="CW533" s="25" t="n">
        <f aca="false">RANK(CV533,$CV$2:$CV$881,0)</f>
        <v>464</v>
      </c>
      <c r="CX533" s="50" t="n">
        <f aca="false">(CV533+BB533)/2</f>
        <v>79.3642857142857</v>
      </c>
      <c r="CY533" s="50" t="n">
        <v>452</v>
      </c>
      <c r="CZ533" s="27" t="s">
        <v>132</v>
      </c>
      <c r="DA533" s="27" t="s">
        <v>202</v>
      </c>
      <c r="DB533" s="27" t="s">
        <v>202</v>
      </c>
      <c r="DC533" s="27" t="s">
        <v>134</v>
      </c>
      <c r="DD533" s="27" t="s">
        <v>191</v>
      </c>
      <c r="DE533" s="27" t="s">
        <v>218</v>
      </c>
      <c r="DF533" s="27" t="s">
        <v>382</v>
      </c>
      <c r="DG533" s="27" t="s">
        <v>134</v>
      </c>
      <c r="DH533" s="27" t="s">
        <v>135</v>
      </c>
      <c r="DI533" s="27" t="s">
        <v>218</v>
      </c>
      <c r="DJ533" s="27" t="s">
        <v>205</v>
      </c>
      <c r="DK533" s="27" t="s">
        <v>134</v>
      </c>
      <c r="DL533" s="27" t="s">
        <v>191</v>
      </c>
      <c r="DM533" s="27" t="s">
        <v>375</v>
      </c>
      <c r="DN533" s="27" t="s">
        <v>155</v>
      </c>
      <c r="DO533" s="27" t="s">
        <v>134</v>
      </c>
      <c r="DP533" s="27"/>
      <c r="DQ533" s="27"/>
      <c r="DR533" s="27"/>
      <c r="DS533" s="27"/>
      <c r="DT533" s="27" t="s">
        <v>264</v>
      </c>
      <c r="DU533" s="27" t="s">
        <v>1407</v>
      </c>
      <c r="DV533" s="27" t="s">
        <v>204</v>
      </c>
      <c r="DW533" s="27" t="s">
        <v>195</v>
      </c>
      <c r="DX533" s="27" t="s">
        <v>138</v>
      </c>
      <c r="DY533" s="27" t="s">
        <v>153</v>
      </c>
      <c r="DZ533" s="27" t="n">
        <f aca="false">DY533+DV533+DR533+DN533+DJ533+DF533+DB533</f>
        <v>464</v>
      </c>
      <c r="EA533" s="28" t="n">
        <f aca="false">DZ533/7</f>
        <v>66.2857142857143</v>
      </c>
      <c r="EB533" s="27" t="n">
        <f aca="false">RANK(EA533,$EA$2:$EA$881,0)</f>
        <v>715</v>
      </c>
      <c r="EC533" s="29" t="n">
        <f aca="false">DZ533+CQ533+CP533+AZ533</f>
        <v>2367</v>
      </c>
      <c r="ED533" s="30" t="n">
        <f aca="false">(EA533+CV533+BB533)/3</f>
        <v>75.0047619047619</v>
      </c>
      <c r="EE533" s="51" t="n">
        <f aca="false">ROUND(BE533,3)</f>
        <v>87.427</v>
      </c>
      <c r="EF533" s="51" t="n">
        <f aca="false">ROUND(CR533,3)</f>
        <v>83.286</v>
      </c>
      <c r="EG533" s="51" t="n">
        <f aca="false">ROUND(CS533,3)</f>
        <v>74.571</v>
      </c>
      <c r="EH533" s="51" t="n">
        <f aca="false">ROUND(EA533,3)</f>
        <v>66.286</v>
      </c>
      <c r="EI533" s="51" t="n">
        <f aca="false">ROUND(ED533,3)</f>
        <v>75.005</v>
      </c>
      <c r="EJ533" s="51" t="n">
        <f aca="false">ROUND(CV533,3)</f>
        <v>78.929</v>
      </c>
      <c r="EK533" s="0" t="n">
        <f aca="false">RANK(EI533,$EI$2:$EI$881,0)</f>
        <v>532</v>
      </c>
    </row>
    <row r="534" customFormat="false" ht="15" hidden="false" customHeight="false" outlineLevel="0" collapsed="false">
      <c r="A534" s="4" t="n">
        <v>8834</v>
      </c>
      <c r="B534" s="4" t="n">
        <v>796</v>
      </c>
      <c r="C534" s="27" t="s">
        <v>1616</v>
      </c>
      <c r="D534" s="31" t="n">
        <v>815</v>
      </c>
      <c r="E534" s="62" t="n">
        <v>230311480</v>
      </c>
      <c r="F534" s="8" t="s">
        <v>1617</v>
      </c>
      <c r="G534" s="63" t="s">
        <v>577</v>
      </c>
      <c r="H534" s="22" t="s">
        <v>129</v>
      </c>
      <c r="I534" s="64" t="n">
        <v>2005</v>
      </c>
      <c r="J534" s="32" t="n">
        <v>88</v>
      </c>
      <c r="K534" s="32" t="n">
        <v>82</v>
      </c>
      <c r="L534" s="34" t="n">
        <f aca="false">(K534*70)/100</f>
        <v>57.4</v>
      </c>
      <c r="M534" s="34" t="n">
        <f aca="false">ROUNDUP(L534,0)</f>
        <v>58</v>
      </c>
      <c r="N534" s="32" t="n">
        <v>21</v>
      </c>
      <c r="O534" s="34" t="n">
        <f aca="false">N534+L534</f>
        <v>78.4</v>
      </c>
      <c r="P534" s="34" t="n">
        <f aca="false">N534+M534</f>
        <v>79</v>
      </c>
      <c r="Q534" s="68" t="n">
        <v>49</v>
      </c>
      <c r="R534" s="32" t="n">
        <v>71</v>
      </c>
      <c r="S534" s="34" t="n">
        <f aca="false">(R534*70)/100</f>
        <v>49.7</v>
      </c>
      <c r="T534" s="34" t="n">
        <f aca="false">ROUNDUP(S534,0)</f>
        <v>50</v>
      </c>
      <c r="U534" s="32" t="n">
        <v>20</v>
      </c>
      <c r="V534" s="34" t="n">
        <f aca="false">U534+S534</f>
        <v>69.7</v>
      </c>
      <c r="W534" s="34" t="n">
        <f aca="false">U534+T534</f>
        <v>70</v>
      </c>
      <c r="X534" s="32" t="n">
        <v>67</v>
      </c>
      <c r="Y534" s="34" t="n">
        <f aca="false">(X534*70)/100</f>
        <v>46.9</v>
      </c>
      <c r="Z534" s="34" t="n">
        <f aca="false">ROUNDUP(Y534,0)</f>
        <v>47</v>
      </c>
      <c r="AA534" s="32" t="n">
        <v>24</v>
      </c>
      <c r="AB534" s="34" t="n">
        <f aca="false">AA534+Y534</f>
        <v>70.9</v>
      </c>
      <c r="AC534" s="34" t="n">
        <f aca="false">AA534+Z534</f>
        <v>71</v>
      </c>
      <c r="AD534" s="32" t="n">
        <f aca="false">X534+R534+Q534+K534+J534</f>
        <v>357</v>
      </c>
      <c r="AE534" s="16" t="n">
        <f aca="false">AD534/5</f>
        <v>71.4</v>
      </c>
      <c r="AF534" s="16" t="n">
        <v>65</v>
      </c>
      <c r="AG534" s="16" t="n">
        <v>90</v>
      </c>
      <c r="AH534" s="16" t="n">
        <v>76</v>
      </c>
      <c r="AI534" s="16" t="n">
        <v>63</v>
      </c>
      <c r="AJ534" s="16" t="n">
        <f aca="false">(AI534*70)/100</f>
        <v>44.1</v>
      </c>
      <c r="AK534" s="35" t="n">
        <f aca="false">ROUNDUP(AJ534,0)</f>
        <v>45</v>
      </c>
      <c r="AL534" s="16" t="n">
        <v>21</v>
      </c>
      <c r="AM534" s="16" t="n">
        <f aca="false">AL534+AJ534</f>
        <v>65.1</v>
      </c>
      <c r="AN534" s="16" t="n">
        <f aca="false">AL534+AK534</f>
        <v>66</v>
      </c>
      <c r="AO534" s="16" t="n">
        <v>59</v>
      </c>
      <c r="AP534" s="36" t="n">
        <f aca="false">(AO534*70)/100</f>
        <v>41.3</v>
      </c>
      <c r="AQ534" s="37" t="n">
        <f aca="false">ROUNDUP(AP534,0)</f>
        <v>42</v>
      </c>
      <c r="AR534" s="16" t="n">
        <v>27</v>
      </c>
      <c r="AS534" s="16" t="n">
        <f aca="false">AR534+AP534</f>
        <v>68.3</v>
      </c>
      <c r="AT534" s="16" t="n">
        <f aca="false">AR534+AQ534</f>
        <v>69</v>
      </c>
      <c r="AU534" s="16" t="n">
        <f aca="false">AO534+AF534+AI534+AH534+AG534</f>
        <v>353</v>
      </c>
      <c r="AV534" s="16" t="n">
        <f aca="false">(AO534+AF534+AI534+AH534+AG534)/5</f>
        <v>70.6</v>
      </c>
      <c r="AW534" s="36" t="n">
        <f aca="false">(AO534+AF534+AI534+AH534+AG534+X534+R534+Q534+K534+J534)</f>
        <v>710</v>
      </c>
      <c r="AX534" s="16" t="n">
        <f aca="false">AW534/10</f>
        <v>71</v>
      </c>
      <c r="AY534" s="16" t="n">
        <f aca="false">AS534+AF534+AM534+AH534+AG534+AB534+V534+Q534+O534+J534</f>
        <v>720.4</v>
      </c>
      <c r="AZ534" s="16" t="n">
        <f aca="false">AT534+AF534+AN534+AH534+AG534+AC534+W534+Q534+P534+J534</f>
        <v>723</v>
      </c>
      <c r="BA534" s="16" t="n">
        <f aca="false">AY534/10</f>
        <v>72.04</v>
      </c>
      <c r="BB534" s="16" t="n">
        <f aca="false">AZ534/10</f>
        <v>72.3</v>
      </c>
      <c r="BC534" s="16" t="n">
        <v>2385</v>
      </c>
      <c r="BD534" s="16" t="n">
        <f aca="false">RANK(AX534,$AX$2:$AX$881,0)</f>
        <v>729</v>
      </c>
      <c r="BE534" s="73" t="n">
        <f aca="false">((BC534*100)/2400)*0.4+(AX534*0.6)</f>
        <v>82.35</v>
      </c>
      <c r="BF534" s="16" t="n">
        <f aca="false">RANK(BE534,$BE$2:$BE$881,0)</f>
        <v>710</v>
      </c>
      <c r="BG534" s="39" t="n">
        <f aca="false">RANK(BB534,$BB$2:$BB$881,0)</f>
        <v>725</v>
      </c>
      <c r="BH534" s="39" t="n">
        <f aca="false">RANK(BC534,$BC$2:$BC$881,0)</f>
        <v>93</v>
      </c>
      <c r="BI534" s="22" t="s">
        <v>130</v>
      </c>
      <c r="BJ534" s="22" t="s">
        <v>129</v>
      </c>
      <c r="BK534" s="40" t="s">
        <v>968</v>
      </c>
      <c r="BL534" s="41" t="n">
        <v>16</v>
      </c>
      <c r="BM534" s="41" t="n">
        <v>47</v>
      </c>
      <c r="BN534" s="41" t="n">
        <v>63</v>
      </c>
      <c r="BO534" s="42" t="n">
        <v>16</v>
      </c>
      <c r="BP534" s="43" t="n">
        <v>35</v>
      </c>
      <c r="BQ534" s="119" t="n">
        <v>51</v>
      </c>
      <c r="BR534" s="42" t="n">
        <v>24</v>
      </c>
      <c r="BS534" s="45" t="n">
        <v>51</v>
      </c>
      <c r="BT534" s="45" t="n">
        <v>75</v>
      </c>
      <c r="BU534" s="46" t="n">
        <v>100</v>
      </c>
      <c r="BV534" s="47" t="n">
        <v>100</v>
      </c>
      <c r="BW534" s="42" t="n">
        <v>100</v>
      </c>
      <c r="BX534" s="24" t="n">
        <v>94</v>
      </c>
      <c r="BY534" s="32" t="n">
        <v>20</v>
      </c>
      <c r="BZ534" s="32" t="n">
        <v>41</v>
      </c>
      <c r="CA534" s="32" t="n">
        <v>61</v>
      </c>
      <c r="CB534" s="32" t="n">
        <v>24</v>
      </c>
      <c r="CC534" s="32" t="n">
        <v>31</v>
      </c>
      <c r="CD534" s="69" t="n">
        <v>55</v>
      </c>
      <c r="CE534" s="32" t="n">
        <v>25</v>
      </c>
      <c r="CF534" s="32" t="n">
        <v>34</v>
      </c>
      <c r="CG534" s="69" t="n">
        <v>59</v>
      </c>
      <c r="CH534" s="48" t="n">
        <v>99</v>
      </c>
      <c r="CI534" s="32" t="n">
        <v>100</v>
      </c>
      <c r="CJ534" s="25" t="n">
        <v>23</v>
      </c>
      <c r="CK534" s="25" t="n">
        <v>51</v>
      </c>
      <c r="CL534" s="25" t="n">
        <v>74</v>
      </c>
      <c r="CM534" s="49" t="n">
        <v>14</v>
      </c>
      <c r="CN534" s="49" t="n">
        <v>57</v>
      </c>
      <c r="CO534" s="49" t="n">
        <v>71</v>
      </c>
      <c r="CP534" s="25" t="n">
        <f aca="false">BX534+BW534+BV534+BU534+BT534+BQ534+BN534</f>
        <v>583</v>
      </c>
      <c r="CQ534" s="25" t="n">
        <f aca="false">CO534+CL534+CI534+CH534+CG534+CD534+CA534</f>
        <v>519</v>
      </c>
      <c r="CR534" s="26" t="n">
        <f aca="false">CP534/7</f>
        <v>83.2857142857143</v>
      </c>
      <c r="CS534" s="26" t="n">
        <f aca="false">CQ534/7</f>
        <v>74.1428571428571</v>
      </c>
      <c r="CT534" s="24" t="n">
        <f aca="false">RANK(CR534,$CR$2:$CR$881,0)</f>
        <v>510</v>
      </c>
      <c r="CU534" s="25" t="n">
        <f aca="false">RANK(CS534,$CS$2:$CS$881,0)</f>
        <v>451</v>
      </c>
      <c r="CV534" s="26" t="n">
        <f aca="false">(CS534+CR534)/2</f>
        <v>78.7142857142857</v>
      </c>
      <c r="CW534" s="25" t="n">
        <f aca="false">RANK(CV534,$CV$2:$CV$881,0)</f>
        <v>472</v>
      </c>
      <c r="CX534" s="50" t="n">
        <f aca="false">(CV534+BB534)/2</f>
        <v>75.5071428571429</v>
      </c>
      <c r="CY534" s="50" t="n">
        <v>596</v>
      </c>
      <c r="CZ534" s="27" t="s">
        <v>132</v>
      </c>
      <c r="DA534" s="27" t="s">
        <v>169</v>
      </c>
      <c r="DB534" s="27" t="s">
        <v>169</v>
      </c>
      <c r="DC534" s="27" t="s">
        <v>134</v>
      </c>
      <c r="DD534" s="27" t="s">
        <v>135</v>
      </c>
      <c r="DE534" s="27" t="s">
        <v>412</v>
      </c>
      <c r="DF534" s="27" t="s">
        <v>443</v>
      </c>
      <c r="DG534" s="27" t="s">
        <v>134</v>
      </c>
      <c r="DH534" s="27" t="s">
        <v>135</v>
      </c>
      <c r="DI534" s="27" t="s">
        <v>638</v>
      </c>
      <c r="DJ534" s="27" t="s">
        <v>155</v>
      </c>
      <c r="DK534" s="27" t="s">
        <v>134</v>
      </c>
      <c r="DL534" s="27" t="s">
        <v>182</v>
      </c>
      <c r="DM534" s="27" t="s">
        <v>306</v>
      </c>
      <c r="DN534" s="27" t="s">
        <v>272</v>
      </c>
      <c r="DO534" s="27" t="s">
        <v>134</v>
      </c>
      <c r="DP534" s="27" t="s">
        <v>485</v>
      </c>
      <c r="DQ534" s="27" t="s">
        <v>415</v>
      </c>
      <c r="DR534" s="27" t="s">
        <v>152</v>
      </c>
      <c r="DS534" s="27" t="s">
        <v>134</v>
      </c>
      <c r="DT534" s="27" t="s">
        <v>191</v>
      </c>
      <c r="DU534" s="27" t="s">
        <v>140</v>
      </c>
      <c r="DV534" s="27" t="s">
        <v>442</v>
      </c>
      <c r="DW534" s="27" t="s">
        <v>140</v>
      </c>
      <c r="DX534" s="27" t="s">
        <v>141</v>
      </c>
      <c r="DY534" s="27" t="s">
        <v>142</v>
      </c>
      <c r="DZ534" s="27" t="n">
        <f aca="false">DY534+DV534+DR534+DN534+DJ534+DF534+DB534</f>
        <v>517</v>
      </c>
      <c r="EA534" s="28" t="n">
        <f aca="false">DZ534/7</f>
        <v>73.8571428571429</v>
      </c>
      <c r="EB534" s="27" t="n">
        <f aca="false">RANK(EA534,$EA$2:$EA$881,0)</f>
        <v>567</v>
      </c>
      <c r="EC534" s="29" t="n">
        <f aca="false">DZ534+CQ534+CP534+AZ534</f>
        <v>2342</v>
      </c>
      <c r="ED534" s="30" t="n">
        <f aca="false">(EA534+CV534+BB534)/3</f>
        <v>74.9571428571429</v>
      </c>
      <c r="EE534" s="51" t="n">
        <f aca="false">ROUND(BE534,3)</f>
        <v>82.35</v>
      </c>
      <c r="EF534" s="51" t="n">
        <f aca="false">ROUND(CR534,3)</f>
        <v>83.286</v>
      </c>
      <c r="EG534" s="51" t="n">
        <f aca="false">ROUND(CS534,3)</f>
        <v>74.143</v>
      </c>
      <c r="EH534" s="51" t="n">
        <f aca="false">ROUND(EA534,3)</f>
        <v>73.857</v>
      </c>
      <c r="EI534" s="51" t="n">
        <f aca="false">ROUND(ED534,3)</f>
        <v>74.957</v>
      </c>
      <c r="EJ534" s="51" t="n">
        <f aca="false">ROUND(CV534,3)</f>
        <v>78.714</v>
      </c>
      <c r="EK534" s="0" t="n">
        <f aca="false">RANK(EI534,$EI$2:$EI$881,0)</f>
        <v>533</v>
      </c>
    </row>
    <row r="535" customFormat="false" ht="15" hidden="false" customHeight="false" outlineLevel="0" collapsed="false">
      <c r="A535" s="4" t="n">
        <v>9053</v>
      </c>
      <c r="B535" s="4" t="n">
        <v>706</v>
      </c>
      <c r="C535" s="27" t="s">
        <v>1618</v>
      </c>
      <c r="D535" s="31" t="n">
        <v>720</v>
      </c>
      <c r="E535" s="16" t="n">
        <v>230611100</v>
      </c>
      <c r="F535" s="56" t="s">
        <v>1619</v>
      </c>
      <c r="G535" s="22" t="s">
        <v>1620</v>
      </c>
      <c r="H535" s="22" t="s">
        <v>558</v>
      </c>
      <c r="I535" s="57"/>
      <c r="J535" s="16" t="n">
        <v>75</v>
      </c>
      <c r="K535" s="16" t="n">
        <v>71</v>
      </c>
      <c r="L535" s="34" t="n">
        <f aca="false">(K535*70)/100</f>
        <v>49.7</v>
      </c>
      <c r="M535" s="34" t="n">
        <f aca="false">ROUNDUP(L535,0)</f>
        <v>50</v>
      </c>
      <c r="N535" s="16" t="n">
        <v>26</v>
      </c>
      <c r="O535" s="34" t="n">
        <f aca="false">N535+L535</f>
        <v>75.7</v>
      </c>
      <c r="P535" s="34" t="n">
        <f aca="false">N535+M535</f>
        <v>76</v>
      </c>
      <c r="Q535" s="71" t="n">
        <v>51</v>
      </c>
      <c r="R535" s="16" t="n">
        <v>65</v>
      </c>
      <c r="S535" s="34" t="n">
        <f aca="false">(R535*70)/100</f>
        <v>45.5</v>
      </c>
      <c r="T535" s="34" t="n">
        <f aca="false">ROUNDUP(S535,0)</f>
        <v>46</v>
      </c>
      <c r="U535" s="16" t="n">
        <v>24</v>
      </c>
      <c r="V535" s="34" t="n">
        <f aca="false">U535+S535</f>
        <v>69.5</v>
      </c>
      <c r="W535" s="34" t="n">
        <f aca="false">U535+T535</f>
        <v>70</v>
      </c>
      <c r="X535" s="16" t="n">
        <v>67</v>
      </c>
      <c r="Y535" s="34" t="n">
        <f aca="false">(X535*70)/100</f>
        <v>46.9</v>
      </c>
      <c r="Z535" s="34" t="n">
        <f aca="false">ROUNDUP(Y535,0)</f>
        <v>47</v>
      </c>
      <c r="AA535" s="16" t="n">
        <v>23</v>
      </c>
      <c r="AB535" s="34" t="n">
        <f aca="false">AA535+Y535</f>
        <v>69.9</v>
      </c>
      <c r="AC535" s="34" t="n">
        <f aca="false">AA535+Z535</f>
        <v>70</v>
      </c>
      <c r="AD535" s="32" t="n">
        <f aca="false">X535+R535+Q535+K535+J535</f>
        <v>329</v>
      </c>
      <c r="AE535" s="16" t="n">
        <f aca="false">AD535/5</f>
        <v>65.8</v>
      </c>
      <c r="AF535" s="16" t="n">
        <v>92</v>
      </c>
      <c r="AG535" s="16" t="n">
        <v>84</v>
      </c>
      <c r="AH535" s="16" t="n">
        <v>92</v>
      </c>
      <c r="AI535" s="16" t="n">
        <v>92</v>
      </c>
      <c r="AJ535" s="16" t="n">
        <f aca="false">(AI535*70)/100</f>
        <v>64.4</v>
      </c>
      <c r="AK535" s="35" t="n">
        <f aca="false">ROUNDUP(AJ535,0)</f>
        <v>65</v>
      </c>
      <c r="AL535" s="16" t="n">
        <v>29</v>
      </c>
      <c r="AM535" s="16" t="n">
        <f aca="false">AL535+AJ535</f>
        <v>93.4</v>
      </c>
      <c r="AN535" s="16" t="n">
        <f aca="false">AL535+AK535</f>
        <v>94</v>
      </c>
      <c r="AO535" s="16" t="n">
        <v>86</v>
      </c>
      <c r="AP535" s="36" t="n">
        <f aca="false">(AO535*70)/100</f>
        <v>60.2</v>
      </c>
      <c r="AQ535" s="37" t="n">
        <f aca="false">ROUNDUP(AP535,0)</f>
        <v>61</v>
      </c>
      <c r="AR535" s="16" t="n">
        <v>28</v>
      </c>
      <c r="AS535" s="16" t="n">
        <f aca="false">AR535+AP535</f>
        <v>88.2</v>
      </c>
      <c r="AT535" s="16" t="n">
        <f aca="false">AR535+AQ535</f>
        <v>89</v>
      </c>
      <c r="AU535" s="16" t="n">
        <f aca="false">AO535+AF535+AI535+AH535+AG535</f>
        <v>446</v>
      </c>
      <c r="AV535" s="16" t="n">
        <f aca="false">(AO535+AF535+AI535+AH535+AG535)/5</f>
        <v>89.2</v>
      </c>
      <c r="AW535" s="36" t="n">
        <f aca="false">(AO535+AF535+AI535+AH535+AG535+X535+R535+Q535+K535+J535)</f>
        <v>775</v>
      </c>
      <c r="AX535" s="16" t="n">
        <f aca="false">AW535/10</f>
        <v>77.5</v>
      </c>
      <c r="AY535" s="16" t="n">
        <f aca="false">AS535+AF535+AM535+AH535+AG535+AB535+V535+Q535+O535+J535</f>
        <v>790.7</v>
      </c>
      <c r="AZ535" s="16" t="n">
        <f aca="false">AT535+AF535+AN535+AH535+AG535+AC535+W535+Q535+P535+J535</f>
        <v>793</v>
      </c>
      <c r="BA535" s="16" t="n">
        <f aca="false">AY535/10</f>
        <v>79.07</v>
      </c>
      <c r="BB535" s="16" t="n">
        <f aca="false">AZ535/10</f>
        <v>79.3</v>
      </c>
      <c r="BC535" s="16" t="n">
        <v>2388</v>
      </c>
      <c r="BD535" s="16" t="n">
        <f aca="false">RANK(AX535,$AX$2:$AX$881,0)</f>
        <v>455</v>
      </c>
      <c r="BE535" s="54" t="n">
        <f aca="false">((BC535*100)/2400)*0.4+(AX535*0.6)</f>
        <v>86.3</v>
      </c>
      <c r="BF535" s="16" t="n">
        <f aca="false">RANK(BE535,$BE$2:$BE$881,0)</f>
        <v>382</v>
      </c>
      <c r="BG535" s="39" t="n">
        <f aca="false">RANK(BB535,$BB$2:$BB$881,0)</f>
        <v>424</v>
      </c>
      <c r="BH535" s="39" t="n">
        <f aca="false">RANK(BC535,$BC$2:$BC$881,0)</f>
        <v>70</v>
      </c>
      <c r="BI535" s="22" t="s">
        <v>130</v>
      </c>
      <c r="BJ535" s="22" t="s">
        <v>129</v>
      </c>
      <c r="BK535" s="40" t="s">
        <v>131</v>
      </c>
      <c r="BL535" s="41" t="n">
        <v>16</v>
      </c>
      <c r="BM535" s="41" t="n">
        <v>51</v>
      </c>
      <c r="BN535" s="41" t="n">
        <v>67</v>
      </c>
      <c r="BO535" s="42" t="n">
        <v>23</v>
      </c>
      <c r="BP535" s="43" t="n">
        <v>43</v>
      </c>
      <c r="BQ535" s="44" t="n">
        <v>66</v>
      </c>
      <c r="BR535" s="42" t="n">
        <v>26</v>
      </c>
      <c r="BS535" s="45" t="n">
        <v>44</v>
      </c>
      <c r="BT535" s="45" t="n">
        <v>70</v>
      </c>
      <c r="BU535" s="46" t="n">
        <v>100</v>
      </c>
      <c r="BV535" s="47" t="n">
        <v>92</v>
      </c>
      <c r="BW535" s="42" t="n">
        <v>95</v>
      </c>
      <c r="BX535" s="88" t="n">
        <v>94</v>
      </c>
      <c r="BY535" s="65" t="n">
        <v>27</v>
      </c>
      <c r="BZ535" s="58" t="n">
        <v>42</v>
      </c>
      <c r="CA535" s="58" t="n">
        <v>69</v>
      </c>
      <c r="CB535" s="59" t="n">
        <v>24</v>
      </c>
      <c r="CC535" s="58" t="n">
        <v>44</v>
      </c>
      <c r="CD535" s="58" t="n">
        <v>68</v>
      </c>
      <c r="CE535" s="58" t="n">
        <v>14</v>
      </c>
      <c r="CF535" s="58" t="n">
        <v>32</v>
      </c>
      <c r="CG535" s="90" t="n">
        <v>46</v>
      </c>
      <c r="CH535" s="58" t="n">
        <v>87</v>
      </c>
      <c r="CI535" s="58" t="n">
        <v>99</v>
      </c>
      <c r="CJ535" s="58" t="n">
        <v>17</v>
      </c>
      <c r="CK535" s="58" t="n">
        <v>55</v>
      </c>
      <c r="CL535" s="59" t="n">
        <v>72</v>
      </c>
      <c r="CM535" s="60"/>
      <c r="CN535" s="60"/>
      <c r="CO535" s="60"/>
      <c r="CP535" s="25" t="n">
        <f aca="false">BX535+BW535+BV535+BU535+BT535+BQ535+BN535</f>
        <v>584</v>
      </c>
      <c r="CQ535" s="25" t="n">
        <f aca="false">CO535+CL535+CI535+CH535+CG535+CD535+CA535</f>
        <v>441</v>
      </c>
      <c r="CR535" s="26" t="n">
        <f aca="false">CP535/7</f>
        <v>83.4285714285714</v>
      </c>
      <c r="CS535" s="26" t="n">
        <f aca="false">CQ535/7</f>
        <v>63</v>
      </c>
      <c r="CT535" s="24" t="n">
        <f aca="false">RANK(CR535,$CR$2:$CR$881,0)</f>
        <v>502</v>
      </c>
      <c r="CU535" s="25" t="n">
        <f aca="false">RANK(CS535,$CS$2:$CS$881,0)</f>
        <v>652</v>
      </c>
      <c r="CV535" s="26" t="n">
        <f aca="false">(CS535+CR535)/2</f>
        <v>73.2142857142857</v>
      </c>
      <c r="CW535" s="25" t="n">
        <f aca="false">RANK(CV535,$CV$2:$CV$881,0)</f>
        <v>598</v>
      </c>
      <c r="CX535" s="50" t="n">
        <f aca="false">(CV535+BB535)/2</f>
        <v>76.2571428571429</v>
      </c>
      <c r="CY535" s="50" t="n">
        <v>662</v>
      </c>
      <c r="CZ535" s="27" t="s">
        <v>132</v>
      </c>
      <c r="DA535" s="27" t="s">
        <v>443</v>
      </c>
      <c r="DB535" s="27" t="s">
        <v>443</v>
      </c>
      <c r="DC535" s="27" t="s">
        <v>134</v>
      </c>
      <c r="DD535" s="27" t="s">
        <v>135</v>
      </c>
      <c r="DE535" s="27" t="s">
        <v>681</v>
      </c>
      <c r="DF535" s="27" t="s">
        <v>416</v>
      </c>
      <c r="DG535" s="27" t="s">
        <v>134</v>
      </c>
      <c r="DH535" s="27" t="s">
        <v>182</v>
      </c>
      <c r="DI535" s="27" t="s">
        <v>306</v>
      </c>
      <c r="DJ535" s="27" t="s">
        <v>272</v>
      </c>
      <c r="DK535" s="27" t="s">
        <v>134</v>
      </c>
      <c r="DL535" s="27" t="s">
        <v>191</v>
      </c>
      <c r="DM535" s="27" t="s">
        <v>681</v>
      </c>
      <c r="DN535" s="27" t="s">
        <v>187</v>
      </c>
      <c r="DO535" s="27" t="s">
        <v>134</v>
      </c>
      <c r="DP535" s="27" t="s">
        <v>264</v>
      </c>
      <c r="DQ535" s="27" t="s">
        <v>681</v>
      </c>
      <c r="DR535" s="27" t="s">
        <v>163</v>
      </c>
      <c r="DS535" s="27" t="s">
        <v>134</v>
      </c>
      <c r="DT535" s="27" t="s">
        <v>154</v>
      </c>
      <c r="DU535" s="27" t="s">
        <v>1388</v>
      </c>
      <c r="DV535" s="27" t="s">
        <v>220</v>
      </c>
      <c r="DW535" s="27" t="s">
        <v>137</v>
      </c>
      <c r="DX535" s="27" t="s">
        <v>141</v>
      </c>
      <c r="DY535" s="27" t="s">
        <v>151</v>
      </c>
      <c r="DZ535" s="27" t="n">
        <f aca="false">DY535+DV535+DR535+DN535+DJ535+DF535+DB535</f>
        <v>506</v>
      </c>
      <c r="EA535" s="28" t="n">
        <f aca="false">DZ535/7</f>
        <v>72.2857142857143</v>
      </c>
      <c r="EB535" s="27" t="n">
        <f aca="false">RANK(EA535,$EA$2:$EA$881,0)</f>
        <v>605</v>
      </c>
      <c r="EC535" s="29" t="n">
        <f aca="false">DZ535+CQ535+CP535+AZ535</f>
        <v>2324</v>
      </c>
      <c r="ED535" s="30" t="n">
        <f aca="false">(EA535+CV535+BB535)/3</f>
        <v>74.9333333333333</v>
      </c>
      <c r="EE535" s="51" t="n">
        <f aca="false">ROUND(BE535,3)</f>
        <v>86.3</v>
      </c>
      <c r="EF535" s="51" t="n">
        <f aca="false">ROUND(CR535,3)</f>
        <v>83.429</v>
      </c>
      <c r="EG535" s="51" t="n">
        <f aca="false">ROUND(CS535,3)</f>
        <v>63</v>
      </c>
      <c r="EH535" s="51" t="n">
        <f aca="false">ROUND(EA535,3)</f>
        <v>72.286</v>
      </c>
      <c r="EI535" s="51" t="n">
        <f aca="false">ROUND(ED535,3)</f>
        <v>74.933</v>
      </c>
      <c r="EJ535" s="51" t="n">
        <f aca="false">ROUND(CV535,3)</f>
        <v>73.214</v>
      </c>
      <c r="EK535" s="0" t="n">
        <f aca="false">RANK(EI535,$EI$2:$EI$881,0)</f>
        <v>534</v>
      </c>
    </row>
    <row r="536" customFormat="false" ht="15" hidden="false" customHeight="false" outlineLevel="0" collapsed="false">
      <c r="A536" s="4" t="n">
        <v>1972</v>
      </c>
      <c r="B536" s="4" t="n">
        <v>427</v>
      </c>
      <c r="C536" s="27" t="s">
        <v>1621</v>
      </c>
      <c r="D536" s="31" t="n">
        <v>432</v>
      </c>
      <c r="E536" s="32" t="n">
        <v>230320046</v>
      </c>
      <c r="F536" s="8" t="s">
        <v>1622</v>
      </c>
      <c r="G536" s="22" t="s">
        <v>1623</v>
      </c>
      <c r="H536" s="22" t="s">
        <v>129</v>
      </c>
      <c r="I536" s="33" t="n">
        <v>2005</v>
      </c>
      <c r="J536" s="32" t="n">
        <v>95</v>
      </c>
      <c r="K536" s="32" t="n">
        <v>61</v>
      </c>
      <c r="L536" s="34" t="n">
        <f aca="false">(K536*70)/100</f>
        <v>42.7</v>
      </c>
      <c r="M536" s="34" t="n">
        <f aca="false">ROUNDUP(L536,0)</f>
        <v>43</v>
      </c>
      <c r="N536" s="32" t="n">
        <v>25</v>
      </c>
      <c r="O536" s="34" t="n">
        <f aca="false">N536+L536</f>
        <v>67.7</v>
      </c>
      <c r="P536" s="34" t="n">
        <f aca="false">N536+M536</f>
        <v>68</v>
      </c>
      <c r="Q536" s="32" t="n">
        <v>66</v>
      </c>
      <c r="R536" s="32" t="n">
        <v>62</v>
      </c>
      <c r="S536" s="34" t="n">
        <f aca="false">(R536*70)/100</f>
        <v>43.4</v>
      </c>
      <c r="T536" s="34" t="n">
        <f aca="false">ROUNDUP(S536,0)</f>
        <v>44</v>
      </c>
      <c r="U536" s="32" t="n">
        <v>15</v>
      </c>
      <c r="V536" s="34" t="n">
        <f aca="false">U536+S536</f>
        <v>58.4</v>
      </c>
      <c r="W536" s="91" t="n">
        <f aca="false">U536+T536</f>
        <v>59</v>
      </c>
      <c r="X536" s="32" t="n">
        <v>61</v>
      </c>
      <c r="Y536" s="34" t="n">
        <f aca="false">(X536*70)/100</f>
        <v>42.7</v>
      </c>
      <c r="Z536" s="34" t="n">
        <f aca="false">ROUNDUP(Y536,0)</f>
        <v>43</v>
      </c>
      <c r="AA536" s="32" t="n">
        <v>26</v>
      </c>
      <c r="AB536" s="34" t="n">
        <f aca="false">AA536+Y536</f>
        <v>68.7</v>
      </c>
      <c r="AC536" s="34" t="n">
        <f aca="false">AA536+Z536</f>
        <v>69</v>
      </c>
      <c r="AD536" s="32" t="n">
        <f aca="false">X536+R536+Q536+K536+J536</f>
        <v>345</v>
      </c>
      <c r="AE536" s="16" t="n">
        <f aca="false">AD536/5</f>
        <v>69</v>
      </c>
      <c r="AF536" s="16" t="n">
        <v>72</v>
      </c>
      <c r="AG536" s="16" t="n">
        <v>96</v>
      </c>
      <c r="AH536" s="16" t="n">
        <v>84</v>
      </c>
      <c r="AI536" s="16" t="n">
        <v>87</v>
      </c>
      <c r="AJ536" s="16" t="n">
        <f aca="false">(AI536*70)/100</f>
        <v>60.9</v>
      </c>
      <c r="AK536" s="35" t="n">
        <f aca="false">ROUNDUP(AJ536,0)</f>
        <v>61</v>
      </c>
      <c r="AL536" s="16" t="n">
        <v>25</v>
      </c>
      <c r="AM536" s="16" t="n">
        <f aca="false">AL536+AJ536</f>
        <v>85.9</v>
      </c>
      <c r="AN536" s="16" t="n">
        <f aca="false">AL536+AK536</f>
        <v>86</v>
      </c>
      <c r="AO536" s="16" t="n">
        <v>81</v>
      </c>
      <c r="AP536" s="36" t="n">
        <f aca="false">(AO536*70)/100</f>
        <v>56.7</v>
      </c>
      <c r="AQ536" s="37" t="n">
        <f aca="false">ROUNDUP(AP536,0)</f>
        <v>57</v>
      </c>
      <c r="AR536" s="16" t="n">
        <v>28</v>
      </c>
      <c r="AS536" s="16" t="n">
        <f aca="false">AR536+AP536</f>
        <v>84.7</v>
      </c>
      <c r="AT536" s="16" t="n">
        <f aca="false">AR536+AQ536</f>
        <v>85</v>
      </c>
      <c r="AU536" s="16" t="n">
        <f aca="false">AO536+AF536+AI536+AH536+AG536</f>
        <v>420</v>
      </c>
      <c r="AV536" s="16" t="n">
        <f aca="false">(AO536+AF536+AI536+AH536+AG536)/5</f>
        <v>84</v>
      </c>
      <c r="AW536" s="36" t="n">
        <f aca="false">(AO536+AF536+AI536+AH536+AG536+X536+R536+Q536+K536+J536)</f>
        <v>765</v>
      </c>
      <c r="AX536" s="16" t="n">
        <f aca="false">AW536/10</f>
        <v>76.5</v>
      </c>
      <c r="AY536" s="16" t="n">
        <f aca="false">AS536+AF536+AM536+AH536+AG536+AB536+V536+Q536+O536+J536</f>
        <v>778.4</v>
      </c>
      <c r="AZ536" s="16" t="n">
        <f aca="false">AT536+AF536+AN536+AH536+AG536+AC536+W536+Q536+P536+J536</f>
        <v>780</v>
      </c>
      <c r="BA536" s="16" t="n">
        <f aca="false">AY536/10</f>
        <v>77.84</v>
      </c>
      <c r="BB536" s="16" t="n">
        <f aca="false">AZ536/10</f>
        <v>78</v>
      </c>
      <c r="BC536" s="16" t="n">
        <v>2330</v>
      </c>
      <c r="BD536" s="16" t="n">
        <f aca="false">RANK(AX536,$AX$2:$AX$881,0)</f>
        <v>562</v>
      </c>
      <c r="BE536" s="73" t="n">
        <f aca="false">((BC536*100)/2400)*0.4+(AX536*0.6)</f>
        <v>84.7333333333333</v>
      </c>
      <c r="BF536" s="16" t="n">
        <f aca="false">RANK(BE536,$BE$2:$BE$881,0)</f>
        <v>667</v>
      </c>
      <c r="BG536" s="39" t="n">
        <f aca="false">RANK(BB536,$BB$2:$BB$881,0)</f>
        <v>558</v>
      </c>
      <c r="BH536" s="39" t="n">
        <f aca="false">RANK(BC536,$BC$2:$BC$881,0)</f>
        <v>729</v>
      </c>
      <c r="BI536" s="22" t="s">
        <v>130</v>
      </c>
      <c r="BJ536" s="22" t="s">
        <v>129</v>
      </c>
      <c r="BK536" s="22" t="s">
        <v>509</v>
      </c>
      <c r="BL536" s="41" t="n">
        <v>14</v>
      </c>
      <c r="BM536" s="41" t="n">
        <v>49</v>
      </c>
      <c r="BN536" s="41" t="n">
        <v>63</v>
      </c>
      <c r="BO536" s="42" t="n">
        <v>18</v>
      </c>
      <c r="BP536" s="43" t="n">
        <v>42</v>
      </c>
      <c r="BQ536" s="44" t="n">
        <v>60</v>
      </c>
      <c r="BR536" s="42" t="n">
        <v>20</v>
      </c>
      <c r="BS536" s="45" t="n">
        <v>50</v>
      </c>
      <c r="BT536" s="45" t="n">
        <v>70</v>
      </c>
      <c r="BU536" s="46" t="n">
        <v>99</v>
      </c>
      <c r="BV536" s="47" t="n">
        <v>76</v>
      </c>
      <c r="BW536" s="42" t="n">
        <v>80</v>
      </c>
      <c r="BX536" s="48" t="n">
        <v>94</v>
      </c>
      <c r="BY536" s="32" t="n">
        <v>25</v>
      </c>
      <c r="BZ536" s="32" t="n">
        <v>54</v>
      </c>
      <c r="CA536" s="48" t="n">
        <v>79</v>
      </c>
      <c r="CB536" s="32" t="n">
        <v>18</v>
      </c>
      <c r="CC536" s="32" t="n">
        <v>35</v>
      </c>
      <c r="CD536" s="69" t="n">
        <v>53</v>
      </c>
      <c r="CE536" s="32" t="n">
        <v>23</v>
      </c>
      <c r="CF536" s="32" t="n">
        <v>46</v>
      </c>
      <c r="CG536" s="32" t="n">
        <v>69</v>
      </c>
      <c r="CH536" s="32" t="n">
        <v>96</v>
      </c>
      <c r="CI536" s="32" t="n">
        <v>93</v>
      </c>
      <c r="CJ536" s="49" t="n">
        <v>17</v>
      </c>
      <c r="CK536" s="49" t="n">
        <v>44</v>
      </c>
      <c r="CL536" s="49" t="n">
        <v>61</v>
      </c>
      <c r="CM536" s="49" t="n">
        <v>22</v>
      </c>
      <c r="CN536" s="49" t="n">
        <v>50</v>
      </c>
      <c r="CO536" s="49" t="n">
        <v>72</v>
      </c>
      <c r="CP536" s="25" t="n">
        <f aca="false">BX536+BW536+BV536+BU536+BT536+BQ536+BN536</f>
        <v>542</v>
      </c>
      <c r="CQ536" s="25" t="n">
        <f aca="false">CO536+CL536+CI536+CH536+CG536+CD536+CA536</f>
        <v>523</v>
      </c>
      <c r="CR536" s="26" t="n">
        <f aca="false">CP536/7</f>
        <v>77.4285714285714</v>
      </c>
      <c r="CS536" s="26" t="n">
        <f aca="false">CQ536/7</f>
        <v>74.7142857142857</v>
      </c>
      <c r="CT536" s="24" t="n">
        <f aca="false">RANK(CR536,$CR$2:$CR$881,0)</f>
        <v>622</v>
      </c>
      <c r="CU536" s="25" t="n">
        <f aca="false">RANK(CS536,$CS$2:$CS$881,0)</f>
        <v>437</v>
      </c>
      <c r="CV536" s="26" t="n">
        <f aca="false">(CS536+CR536)/2</f>
        <v>76.0714285714286</v>
      </c>
      <c r="CW536" s="25" t="n">
        <f aca="false">RANK(CV536,$CV$2:$CV$881,0)</f>
        <v>538</v>
      </c>
      <c r="CX536" s="50" t="n">
        <f aca="false">(CV536+BB536)/2</f>
        <v>77.0357142857143</v>
      </c>
      <c r="CY536" s="50" t="n">
        <v>529</v>
      </c>
      <c r="CZ536" s="27" t="s">
        <v>132</v>
      </c>
      <c r="DA536" s="27" t="s">
        <v>441</v>
      </c>
      <c r="DB536" s="27" t="s">
        <v>441</v>
      </c>
      <c r="DC536" s="27" t="s">
        <v>134</v>
      </c>
      <c r="DD536" s="27" t="s">
        <v>182</v>
      </c>
      <c r="DE536" s="27" t="s">
        <v>375</v>
      </c>
      <c r="DF536" s="27" t="s">
        <v>372</v>
      </c>
      <c r="DG536" s="27" t="s">
        <v>134</v>
      </c>
      <c r="DH536" s="27" t="s">
        <v>195</v>
      </c>
      <c r="DI536" s="27" t="s">
        <v>897</v>
      </c>
      <c r="DJ536" s="27" t="s">
        <v>152</v>
      </c>
      <c r="DK536" s="27" t="s">
        <v>134</v>
      </c>
      <c r="DL536" s="27" t="s">
        <v>137</v>
      </c>
      <c r="DM536" s="27" t="s">
        <v>375</v>
      </c>
      <c r="DN536" s="27" t="s">
        <v>443</v>
      </c>
      <c r="DO536" s="27" t="s">
        <v>134</v>
      </c>
      <c r="DP536" s="27" t="s">
        <v>604</v>
      </c>
      <c r="DQ536" s="27" t="s">
        <v>375</v>
      </c>
      <c r="DR536" s="27" t="s">
        <v>187</v>
      </c>
      <c r="DS536" s="27" t="s">
        <v>134</v>
      </c>
      <c r="DT536" s="27" t="s">
        <v>195</v>
      </c>
      <c r="DU536" s="27" t="s">
        <v>146</v>
      </c>
      <c r="DV536" s="27" t="s">
        <v>412</v>
      </c>
      <c r="DW536" s="27" t="s">
        <v>135</v>
      </c>
      <c r="DX536" s="27" t="s">
        <v>136</v>
      </c>
      <c r="DY536" s="27" t="s">
        <v>133</v>
      </c>
      <c r="DZ536" s="27" t="n">
        <f aca="false">DY536+DV536+DR536+DN536+DJ536+DF536+DB536</f>
        <v>494</v>
      </c>
      <c r="EA536" s="28" t="n">
        <f aca="false">DZ536/7</f>
        <v>70.5714285714286</v>
      </c>
      <c r="EB536" s="27" t="n">
        <f aca="false">RANK(EA536,$EA$2:$EA$881,0)</f>
        <v>643</v>
      </c>
      <c r="EC536" s="29" t="n">
        <f aca="false">DZ536+CQ536+CP536+AZ536</f>
        <v>2339</v>
      </c>
      <c r="ED536" s="30" t="n">
        <f aca="false">(EA536+CV536+BB536)/3</f>
        <v>74.8809523809524</v>
      </c>
      <c r="EE536" s="51" t="n">
        <f aca="false">ROUND(BE536,3)</f>
        <v>84.733</v>
      </c>
      <c r="EF536" s="51" t="n">
        <f aca="false">ROUND(CR536,3)</f>
        <v>77.429</v>
      </c>
      <c r="EG536" s="51" t="n">
        <f aca="false">ROUND(CS536,3)</f>
        <v>74.714</v>
      </c>
      <c r="EH536" s="51" t="n">
        <f aca="false">ROUND(EA536,3)</f>
        <v>70.571</v>
      </c>
      <c r="EI536" s="51" t="n">
        <f aca="false">ROUND(ED536,3)</f>
        <v>74.881</v>
      </c>
      <c r="EJ536" s="51" t="n">
        <f aca="false">ROUND(CV536,3)</f>
        <v>76.071</v>
      </c>
      <c r="EK536" s="0" t="n">
        <f aca="false">RANK(EI536,$EI$2:$EI$881,0)</f>
        <v>535</v>
      </c>
    </row>
    <row r="537" customFormat="false" ht="15" hidden="false" customHeight="false" outlineLevel="0" collapsed="false">
      <c r="A537" s="4" t="n">
        <v>2000</v>
      </c>
      <c r="B537" s="4" t="n">
        <v>149</v>
      </c>
      <c r="C537" s="27" t="s">
        <v>1624</v>
      </c>
      <c r="D537" s="31" t="n">
        <v>149</v>
      </c>
      <c r="E537" s="32" t="n">
        <v>230312828</v>
      </c>
      <c r="F537" s="8" t="s">
        <v>1625</v>
      </c>
      <c r="G537" s="22" t="s">
        <v>1036</v>
      </c>
      <c r="H537" s="22" t="s">
        <v>129</v>
      </c>
      <c r="I537" s="33" t="n">
        <v>2004</v>
      </c>
      <c r="J537" s="32" t="n">
        <v>87</v>
      </c>
      <c r="K537" s="32" t="n">
        <v>85</v>
      </c>
      <c r="L537" s="34" t="n">
        <f aca="false">(K537*70)/100</f>
        <v>59.5</v>
      </c>
      <c r="M537" s="34" t="n">
        <f aca="false">ROUNDUP(L537,0)</f>
        <v>60</v>
      </c>
      <c r="N537" s="32" t="n">
        <v>23</v>
      </c>
      <c r="O537" s="34" t="n">
        <f aca="false">N537+L537</f>
        <v>82.5</v>
      </c>
      <c r="P537" s="34" t="n">
        <f aca="false">N537+M537</f>
        <v>83</v>
      </c>
      <c r="Q537" s="32" t="n">
        <v>72</v>
      </c>
      <c r="R537" s="32" t="n">
        <v>70</v>
      </c>
      <c r="S537" s="34" t="n">
        <f aca="false">(R537*70)/100</f>
        <v>49</v>
      </c>
      <c r="T537" s="34" t="n">
        <f aca="false">ROUNDUP(S537,0)</f>
        <v>49</v>
      </c>
      <c r="U537" s="32" t="n">
        <v>21</v>
      </c>
      <c r="V537" s="34" t="n">
        <f aca="false">U537+S537</f>
        <v>70</v>
      </c>
      <c r="W537" s="34" t="n">
        <f aca="false">U537+T537</f>
        <v>70</v>
      </c>
      <c r="X537" s="32" t="n">
        <v>72</v>
      </c>
      <c r="Y537" s="34" t="n">
        <f aca="false">(X537*70)/100</f>
        <v>50.4</v>
      </c>
      <c r="Z537" s="34" t="n">
        <f aca="false">ROUNDUP(Y537,0)</f>
        <v>51</v>
      </c>
      <c r="AA537" s="32" t="n">
        <v>22</v>
      </c>
      <c r="AB537" s="34" t="n">
        <f aca="false">AA537+Y537</f>
        <v>72.4</v>
      </c>
      <c r="AC537" s="34" t="n">
        <f aca="false">AA537+Z537</f>
        <v>73</v>
      </c>
      <c r="AD537" s="32" t="n">
        <f aca="false">X537+R537+Q537+K537+J537</f>
        <v>386</v>
      </c>
      <c r="AE537" s="16" t="n">
        <f aca="false">AD537/5</f>
        <v>77.2</v>
      </c>
      <c r="AF537" s="16" t="n">
        <v>63</v>
      </c>
      <c r="AG537" s="16" t="n">
        <v>84</v>
      </c>
      <c r="AH537" s="16" t="n">
        <v>80</v>
      </c>
      <c r="AI537" s="16" t="n">
        <v>87</v>
      </c>
      <c r="AJ537" s="16" t="n">
        <f aca="false">(AI537*70)/100</f>
        <v>60.9</v>
      </c>
      <c r="AK537" s="35" t="n">
        <f aca="false">ROUNDUP(AJ537,0)</f>
        <v>61</v>
      </c>
      <c r="AL537" s="16" t="n">
        <v>27</v>
      </c>
      <c r="AM537" s="16" t="n">
        <f aca="false">AL537+AJ537</f>
        <v>87.9</v>
      </c>
      <c r="AN537" s="16" t="n">
        <f aca="false">AL537+AK537</f>
        <v>88</v>
      </c>
      <c r="AO537" s="16" t="n">
        <v>76</v>
      </c>
      <c r="AP537" s="36" t="n">
        <f aca="false">(AO537*70)/100</f>
        <v>53.2</v>
      </c>
      <c r="AQ537" s="37" t="n">
        <f aca="false">ROUNDUP(AP537,0)</f>
        <v>54</v>
      </c>
      <c r="AR537" s="16" t="n">
        <v>26</v>
      </c>
      <c r="AS537" s="16" t="n">
        <f aca="false">AR537+AP537</f>
        <v>79.2</v>
      </c>
      <c r="AT537" s="16" t="n">
        <f aca="false">AR537+AQ537</f>
        <v>80</v>
      </c>
      <c r="AU537" s="16" t="n">
        <f aca="false">AO537+AF537+AI537+AH537+AG537</f>
        <v>390</v>
      </c>
      <c r="AV537" s="16" t="n">
        <f aca="false">(AO537+AF537+AI537+AH537+AG537)/5</f>
        <v>78</v>
      </c>
      <c r="AW537" s="36" t="n">
        <f aca="false">(AO537+AF537+AI537+AH537+AG537+X537+R537+Q537+K537+J537)</f>
        <v>776</v>
      </c>
      <c r="AX537" s="16" t="n">
        <f aca="false">AW537/10</f>
        <v>77.6</v>
      </c>
      <c r="AY537" s="16" t="n">
        <f aca="false">AS537+AF537+AM537+AH537+AG537+AB537+V537+Q537+O537+J537</f>
        <v>778</v>
      </c>
      <c r="AZ537" s="16" t="n">
        <f aca="false">AT537+AF537+AN537+AH537+AG537+AC537+W537+Q537+P537+J537</f>
        <v>780</v>
      </c>
      <c r="BA537" s="16" t="n">
        <f aca="false">AY537/10</f>
        <v>77.8</v>
      </c>
      <c r="BB537" s="16" t="n">
        <f aca="false">AZ537/10</f>
        <v>78</v>
      </c>
      <c r="BC537" s="16" t="n">
        <v>2341</v>
      </c>
      <c r="BD537" s="16" t="n">
        <f aca="false">RANK(AX537,$AX$2:$AX$881,0)</f>
        <v>444</v>
      </c>
      <c r="BE537" s="54" t="n">
        <f aca="false">((BC537*100)/2400)*0.4+(AX537*0.6)</f>
        <v>85.5766666666667</v>
      </c>
      <c r="BF537" s="16" t="n">
        <f aca="false">RANK(BE537,$BE$2:$BE$881,0)</f>
        <v>493</v>
      </c>
      <c r="BG537" s="39" t="n">
        <f aca="false">RANK(BB537,$BB$2:$BB$881,0)</f>
        <v>558</v>
      </c>
      <c r="BH537" s="39" t="n">
        <f aca="false">RANK(BC537,$BC$2:$BC$881,0)</f>
        <v>628</v>
      </c>
      <c r="BI537" s="22" t="s">
        <v>130</v>
      </c>
      <c r="BJ537" s="22" t="s">
        <v>129</v>
      </c>
      <c r="BK537" s="40" t="s">
        <v>509</v>
      </c>
      <c r="BL537" s="41" t="n">
        <v>24</v>
      </c>
      <c r="BM537" s="41" t="n">
        <v>53</v>
      </c>
      <c r="BN537" s="41" t="n">
        <v>77</v>
      </c>
      <c r="BO537" s="42" t="n">
        <v>23</v>
      </c>
      <c r="BP537" s="43" t="n">
        <v>58</v>
      </c>
      <c r="BQ537" s="44" t="n">
        <v>81</v>
      </c>
      <c r="BR537" s="42" t="n">
        <v>19</v>
      </c>
      <c r="BS537" s="45" t="n">
        <v>53</v>
      </c>
      <c r="BT537" s="45" t="n">
        <v>72</v>
      </c>
      <c r="BU537" s="46" t="n">
        <v>99</v>
      </c>
      <c r="BV537" s="79" t="n">
        <v>58</v>
      </c>
      <c r="BW537" s="42" t="n">
        <v>99</v>
      </c>
      <c r="BX537" s="24" t="n">
        <v>90</v>
      </c>
      <c r="BY537" s="32" t="n">
        <v>26</v>
      </c>
      <c r="BZ537" s="32" t="n">
        <v>52</v>
      </c>
      <c r="CA537" s="32" t="n">
        <v>78</v>
      </c>
      <c r="CB537" s="32" t="n">
        <v>23</v>
      </c>
      <c r="CC537" s="32" t="n">
        <v>30</v>
      </c>
      <c r="CD537" s="69" t="n">
        <v>53</v>
      </c>
      <c r="CE537" s="32" t="n">
        <v>20</v>
      </c>
      <c r="CF537" s="32" t="n">
        <v>48</v>
      </c>
      <c r="CG537" s="32" t="n">
        <v>68</v>
      </c>
      <c r="CH537" s="32" t="n">
        <v>93</v>
      </c>
      <c r="CI537" s="32" t="n">
        <v>92</v>
      </c>
      <c r="CJ537" s="25" t="n">
        <v>20</v>
      </c>
      <c r="CK537" s="25" t="n">
        <v>53</v>
      </c>
      <c r="CL537" s="24" t="n">
        <v>73</v>
      </c>
      <c r="CM537" s="49" t="n">
        <v>20</v>
      </c>
      <c r="CN537" s="49" t="n">
        <v>42</v>
      </c>
      <c r="CO537" s="49" t="n">
        <v>62</v>
      </c>
      <c r="CP537" s="25" t="n">
        <f aca="false">BX537+BW537+BV537+BU537+BT537+BQ537+BN537</f>
        <v>576</v>
      </c>
      <c r="CQ537" s="25" t="n">
        <f aca="false">CO537+CL537+CI537+CH537+CG537+CD537+CA537</f>
        <v>519</v>
      </c>
      <c r="CR537" s="26" t="n">
        <f aca="false">CP537/7</f>
        <v>82.2857142857143</v>
      </c>
      <c r="CS537" s="26" t="n">
        <f aca="false">CQ537/7</f>
        <v>74.1428571428571</v>
      </c>
      <c r="CT537" s="24" t="n">
        <f aca="false">RANK(CR537,$CR$2:$CR$881,0)</f>
        <v>532</v>
      </c>
      <c r="CU537" s="25" t="n">
        <f aca="false">RANK(CS537,$CS$2:$CS$881,0)</f>
        <v>451</v>
      </c>
      <c r="CV537" s="26" t="n">
        <f aca="false">(CS537+CR537)/2</f>
        <v>78.2142857142857</v>
      </c>
      <c r="CW537" s="25" t="n">
        <f aca="false">RANK(CV537,$CV$2:$CV$881,0)</f>
        <v>489</v>
      </c>
      <c r="CX537" s="50" t="n">
        <f aca="false">(CV537+BB537)/2</f>
        <v>78.1071428571429</v>
      </c>
      <c r="CY537" s="50" t="n">
        <v>503</v>
      </c>
      <c r="CZ537" s="27" t="s">
        <v>132</v>
      </c>
      <c r="DA537" s="27" t="s">
        <v>205</v>
      </c>
      <c r="DB537" s="27" t="s">
        <v>205</v>
      </c>
      <c r="DC537" s="27" t="s">
        <v>134</v>
      </c>
      <c r="DD537" s="27" t="s">
        <v>195</v>
      </c>
      <c r="DE537" s="27" t="s">
        <v>645</v>
      </c>
      <c r="DF537" s="27" t="s">
        <v>163</v>
      </c>
      <c r="DG537" s="27" t="s">
        <v>134</v>
      </c>
      <c r="DH537" s="27" t="s">
        <v>191</v>
      </c>
      <c r="DI537" s="27" t="s">
        <v>415</v>
      </c>
      <c r="DJ537" s="27" t="s">
        <v>141</v>
      </c>
      <c r="DK537" s="27" t="s">
        <v>134</v>
      </c>
      <c r="DL537" s="27" t="s">
        <v>264</v>
      </c>
      <c r="DM537" s="27" t="s">
        <v>375</v>
      </c>
      <c r="DN537" s="27" t="s">
        <v>138</v>
      </c>
      <c r="DO537" s="27" t="s">
        <v>134</v>
      </c>
      <c r="DP537" s="27" t="s">
        <v>604</v>
      </c>
      <c r="DQ537" s="27" t="s">
        <v>442</v>
      </c>
      <c r="DR537" s="27" t="s">
        <v>163</v>
      </c>
      <c r="DS537" s="27" t="s">
        <v>134</v>
      </c>
      <c r="DT537" s="27" t="s">
        <v>182</v>
      </c>
      <c r="DU537" s="27" t="s">
        <v>154</v>
      </c>
      <c r="DV537" s="27" t="s">
        <v>415</v>
      </c>
      <c r="DW537" s="27" t="s">
        <v>154</v>
      </c>
      <c r="DX537" s="27" t="s">
        <v>177</v>
      </c>
      <c r="DY537" s="27" t="s">
        <v>169</v>
      </c>
      <c r="DZ537" s="27" t="n">
        <f aca="false">DY537+DV537+DR537+DN537+DJ537+DF537+DB537</f>
        <v>478</v>
      </c>
      <c r="EA537" s="28" t="n">
        <f aca="false">DZ537/7</f>
        <v>68.2857142857143</v>
      </c>
      <c r="EB537" s="27" t="n">
        <f aca="false">RANK(EA537,$EA$2:$EA$881,0)</f>
        <v>687</v>
      </c>
      <c r="EC537" s="29" t="n">
        <f aca="false">DZ537+CQ537+CP537+AZ537</f>
        <v>2353</v>
      </c>
      <c r="ED537" s="30" t="n">
        <f aca="false">(EA537+CV537+BB537)/3</f>
        <v>74.8333333333333</v>
      </c>
      <c r="EE537" s="51" t="n">
        <f aca="false">ROUND(BE537,3)</f>
        <v>85.577</v>
      </c>
      <c r="EF537" s="51" t="n">
        <f aca="false">ROUND(CR537,3)</f>
        <v>82.286</v>
      </c>
      <c r="EG537" s="51" t="n">
        <f aca="false">ROUND(CS537,3)</f>
        <v>74.143</v>
      </c>
      <c r="EH537" s="51" t="n">
        <f aca="false">ROUND(EA537,3)</f>
        <v>68.286</v>
      </c>
      <c r="EI537" s="51" t="n">
        <f aca="false">ROUND(ED537,3)</f>
        <v>74.833</v>
      </c>
      <c r="EJ537" s="51" t="n">
        <f aca="false">ROUND(CV537,3)</f>
        <v>78.214</v>
      </c>
      <c r="EK537" s="0" t="n">
        <f aca="false">RANK(EI537,$EI$2:$EI$881,0)</f>
        <v>536</v>
      </c>
    </row>
    <row r="538" customFormat="false" ht="16.85" hidden="false" customHeight="false" outlineLevel="0" collapsed="false">
      <c r="A538" s="4" t="n">
        <v>9098</v>
      </c>
      <c r="B538" s="4" t="n">
        <v>397</v>
      </c>
      <c r="C538" s="27" t="s">
        <v>1626</v>
      </c>
      <c r="D538" s="31" t="n">
        <v>402</v>
      </c>
      <c r="E538" s="32" t="n">
        <v>230312204</v>
      </c>
      <c r="F538" s="8" t="s">
        <v>1627</v>
      </c>
      <c r="G538" s="22" t="s">
        <v>970</v>
      </c>
      <c r="H538" s="22" t="s">
        <v>129</v>
      </c>
      <c r="I538" s="33" t="n">
        <v>2006</v>
      </c>
      <c r="J538" s="32" t="n">
        <v>66</v>
      </c>
      <c r="K538" s="32" t="n">
        <v>95</v>
      </c>
      <c r="L538" s="34" t="n">
        <f aca="false">(K538*70)/100</f>
        <v>66.5</v>
      </c>
      <c r="M538" s="34" t="n">
        <f aca="false">ROUNDUP(L538,0)</f>
        <v>67</v>
      </c>
      <c r="N538" s="32" t="n">
        <v>23</v>
      </c>
      <c r="O538" s="34" t="n">
        <f aca="false">N538+L538</f>
        <v>89.5</v>
      </c>
      <c r="P538" s="34" t="n">
        <f aca="false">N538+M538</f>
        <v>90</v>
      </c>
      <c r="Q538" s="32" t="n">
        <v>84</v>
      </c>
      <c r="R538" s="32" t="n">
        <v>72</v>
      </c>
      <c r="S538" s="34" t="n">
        <f aca="false">(R538*70)/100</f>
        <v>50.4</v>
      </c>
      <c r="T538" s="34" t="n">
        <f aca="false">ROUNDUP(S538,0)</f>
        <v>51</v>
      </c>
      <c r="U538" s="32" t="n">
        <v>22</v>
      </c>
      <c r="V538" s="34" t="n">
        <f aca="false">U538+S538</f>
        <v>72.4</v>
      </c>
      <c r="W538" s="34" t="n">
        <f aca="false">U538+T538</f>
        <v>73</v>
      </c>
      <c r="X538" s="32" t="n">
        <v>46</v>
      </c>
      <c r="Y538" s="34" t="n">
        <f aca="false">(X538*70)/100</f>
        <v>32.2</v>
      </c>
      <c r="Z538" s="34" t="n">
        <f aca="false">ROUNDUP(Y538,0)</f>
        <v>33</v>
      </c>
      <c r="AA538" s="32" t="n">
        <v>22</v>
      </c>
      <c r="AB538" s="34" t="n">
        <f aca="false">AA538+Y538</f>
        <v>54.2</v>
      </c>
      <c r="AC538" s="91" t="n">
        <f aca="false">AA538+Z538</f>
        <v>55</v>
      </c>
      <c r="AD538" s="32" t="n">
        <f aca="false">X538+R538+Q538+K538+J538</f>
        <v>363</v>
      </c>
      <c r="AE538" s="16" t="n">
        <f aca="false">AD538/5</f>
        <v>72.6</v>
      </c>
      <c r="AF538" s="16" t="n">
        <v>79</v>
      </c>
      <c r="AG538" s="16" t="n">
        <v>74</v>
      </c>
      <c r="AH538" s="16" t="n">
        <v>72</v>
      </c>
      <c r="AI538" s="16" t="n">
        <v>77</v>
      </c>
      <c r="AJ538" s="16" t="n">
        <f aca="false">(AI538*70)/100</f>
        <v>53.9</v>
      </c>
      <c r="AK538" s="35" t="n">
        <f aca="false">ROUNDUP(AJ538,0)</f>
        <v>54</v>
      </c>
      <c r="AL538" s="16" t="n">
        <v>18</v>
      </c>
      <c r="AM538" s="16" t="n">
        <f aca="false">AL538+AJ538</f>
        <v>71.9</v>
      </c>
      <c r="AN538" s="16" t="n">
        <f aca="false">AL538+AK538</f>
        <v>72</v>
      </c>
      <c r="AO538" s="16" t="n">
        <v>76</v>
      </c>
      <c r="AP538" s="36" t="n">
        <f aca="false">(AO538*70)/100</f>
        <v>53.2</v>
      </c>
      <c r="AQ538" s="37" t="n">
        <f aca="false">ROUNDUP(AP538,0)</f>
        <v>54</v>
      </c>
      <c r="AR538" s="16" t="n">
        <v>18</v>
      </c>
      <c r="AS538" s="16" t="n">
        <f aca="false">AR538+AP538</f>
        <v>71.2</v>
      </c>
      <c r="AT538" s="16" t="n">
        <f aca="false">AR538+AQ538</f>
        <v>72</v>
      </c>
      <c r="AU538" s="16" t="n">
        <f aca="false">AO538+AF538+AI538+AH538+AG538</f>
        <v>378</v>
      </c>
      <c r="AV538" s="16" t="n">
        <f aca="false">(AO538+AF538+AI538+AH538+AG538)/5</f>
        <v>75.6</v>
      </c>
      <c r="AW538" s="36" t="n">
        <f aca="false">(AO538+AF538+AI538+AH538+AG538+X538+R538+Q538+K538+J538)</f>
        <v>741</v>
      </c>
      <c r="AX538" s="16" t="n">
        <f aca="false">AW538/10</f>
        <v>74.1</v>
      </c>
      <c r="AY538" s="16" t="n">
        <f aca="false">AS538+AF538+AM538+AH538+AG538+AB538+V538+Q538+O538+J538</f>
        <v>734.2</v>
      </c>
      <c r="AZ538" s="16" t="n">
        <f aca="false">AT538+AF538+AN538+AH538+AG538+AC538+W538+Q538+P538+J538</f>
        <v>737</v>
      </c>
      <c r="BA538" s="16" t="n">
        <f aca="false">AY538/10</f>
        <v>73.42</v>
      </c>
      <c r="BB538" s="16" t="n">
        <f aca="false">AZ538/10</f>
        <v>73.7</v>
      </c>
      <c r="BC538" s="16" t="n">
        <v>2357</v>
      </c>
      <c r="BD538" s="16" t="n">
        <f aca="false">RANK(AX538,$AX$2:$AX$881,0)</f>
        <v>699</v>
      </c>
      <c r="BE538" s="73" t="n">
        <f aca="false">((BC538*100)/2400)*0.4+(AX538*0.6)</f>
        <v>83.7433333333333</v>
      </c>
      <c r="BF538" s="16" t="n">
        <f aca="false">RANK(BE538,$BE$2:$BE$881,0)</f>
        <v>688</v>
      </c>
      <c r="BG538" s="39" t="n">
        <f aca="false">RANK(BB538,$BB$2:$BB$881,0)</f>
        <v>712</v>
      </c>
      <c r="BH538" s="39" t="n">
        <f aca="false">RANK(BC538,$BC$2:$BC$881,0)</f>
        <v>444</v>
      </c>
      <c r="BI538" s="22" t="s">
        <v>130</v>
      </c>
      <c r="BJ538" s="22" t="s">
        <v>129</v>
      </c>
      <c r="BK538" s="40" t="s">
        <v>702</v>
      </c>
      <c r="BL538" s="41" t="n">
        <v>14</v>
      </c>
      <c r="BM538" s="41" t="n">
        <v>50</v>
      </c>
      <c r="BN538" s="41" t="n">
        <v>64</v>
      </c>
      <c r="BO538" s="42" t="n">
        <v>14</v>
      </c>
      <c r="BP538" s="43" t="n">
        <v>56</v>
      </c>
      <c r="BQ538" s="44" t="n">
        <v>70</v>
      </c>
      <c r="BR538" s="42" t="n">
        <v>17</v>
      </c>
      <c r="BS538" s="45" t="n">
        <v>43</v>
      </c>
      <c r="BT538" s="45" t="n">
        <v>60</v>
      </c>
      <c r="BU538" s="46" t="n">
        <v>100</v>
      </c>
      <c r="BV538" s="47" t="n">
        <v>76</v>
      </c>
      <c r="BW538" s="42" t="n">
        <v>99</v>
      </c>
      <c r="BX538" s="48" t="n">
        <v>96</v>
      </c>
      <c r="BY538" s="32" t="n">
        <v>18</v>
      </c>
      <c r="BZ538" s="32" t="n">
        <v>43</v>
      </c>
      <c r="CA538" s="32" t="n">
        <v>61</v>
      </c>
      <c r="CB538" s="32" t="n">
        <v>13</v>
      </c>
      <c r="CC538" s="32" t="n">
        <v>28</v>
      </c>
      <c r="CD538" s="69" t="n">
        <v>41</v>
      </c>
      <c r="CE538" s="32" t="n">
        <v>23</v>
      </c>
      <c r="CF538" s="32" t="n">
        <v>33</v>
      </c>
      <c r="CG538" s="69" t="n">
        <v>56</v>
      </c>
      <c r="CH538" s="32" t="n">
        <v>90</v>
      </c>
      <c r="CI538" s="32" t="n">
        <v>93</v>
      </c>
      <c r="CJ538" s="83" t="n">
        <v>11</v>
      </c>
      <c r="CK538" s="60"/>
      <c r="CL538" s="61"/>
      <c r="CM538" s="49" t="n">
        <v>24</v>
      </c>
      <c r="CN538" s="49" t="n">
        <v>47</v>
      </c>
      <c r="CO538" s="49" t="n">
        <v>71</v>
      </c>
      <c r="CP538" s="25" t="n">
        <f aca="false">BX538+BW538+BV538+BU538+BT538+BQ538+BN538</f>
        <v>565</v>
      </c>
      <c r="CQ538" s="25" t="n">
        <f aca="false">CO538+CL538+CI538+CH538+CG538+CD538+CA538</f>
        <v>412</v>
      </c>
      <c r="CR538" s="26" t="n">
        <f aca="false">CP538/7</f>
        <v>80.7142857142857</v>
      </c>
      <c r="CS538" s="26" t="n">
        <f aca="false">CQ538/7</f>
        <v>58.8571428571429</v>
      </c>
      <c r="CT538" s="24" t="n">
        <f aca="false">RANK(CR538,$CR$2:$CR$881,0)</f>
        <v>572</v>
      </c>
      <c r="CU538" s="25" t="n">
        <f aca="false">RANK(CS538,$CS$2:$CS$881,0)</f>
        <v>693</v>
      </c>
      <c r="CV538" s="26" t="n">
        <f aca="false">(CS538+CR538)/2</f>
        <v>69.7857142857143</v>
      </c>
      <c r="CW538" s="25" t="n">
        <f aca="false">RANK(CV538,$CV$2:$CV$881,0)</f>
        <v>634</v>
      </c>
      <c r="CX538" s="50" t="n">
        <f aca="false">(CV538+BB538)/2</f>
        <v>71.7428571428571</v>
      </c>
      <c r="CY538" s="50" t="n">
        <v>598</v>
      </c>
      <c r="CZ538" s="27" t="s">
        <v>132</v>
      </c>
      <c r="DA538" s="27" t="s">
        <v>151</v>
      </c>
      <c r="DB538" s="27" t="s">
        <v>151</v>
      </c>
      <c r="DC538" s="27" t="s">
        <v>134</v>
      </c>
      <c r="DD538" s="27" t="s">
        <v>182</v>
      </c>
      <c r="DE538" s="27" t="s">
        <v>306</v>
      </c>
      <c r="DF538" s="27" t="s">
        <v>272</v>
      </c>
      <c r="DG538" s="27" t="s">
        <v>134</v>
      </c>
      <c r="DH538" s="27" t="s">
        <v>182</v>
      </c>
      <c r="DI538" s="27" t="s">
        <v>161</v>
      </c>
      <c r="DJ538" s="27" t="s">
        <v>175</v>
      </c>
      <c r="DK538" s="27" t="s">
        <v>134</v>
      </c>
      <c r="DL538" s="27" t="s">
        <v>195</v>
      </c>
      <c r="DM538" s="27" t="s">
        <v>218</v>
      </c>
      <c r="DN538" s="27" t="s">
        <v>305</v>
      </c>
      <c r="DO538" s="27" t="s">
        <v>134</v>
      </c>
      <c r="DP538" s="27" t="s">
        <v>264</v>
      </c>
      <c r="DQ538" s="27" t="s">
        <v>412</v>
      </c>
      <c r="DR538" s="27" t="s">
        <v>155</v>
      </c>
      <c r="DS538" s="27" t="s">
        <v>134</v>
      </c>
      <c r="DT538" s="27" t="s">
        <v>135</v>
      </c>
      <c r="DU538" s="27" t="s">
        <v>645</v>
      </c>
      <c r="DV538" s="27" t="s">
        <v>138</v>
      </c>
      <c r="DW538" s="27" t="s">
        <v>154</v>
      </c>
      <c r="DX538" s="27" t="s">
        <v>155</v>
      </c>
      <c r="DY538" s="27" t="s">
        <v>151</v>
      </c>
      <c r="DZ538" s="27" t="n">
        <f aca="false">DY538+DV538+DR538+DN538+DJ538+DF538+DB538</f>
        <v>567</v>
      </c>
      <c r="EA538" s="28" t="n">
        <f aca="false">DZ538/7</f>
        <v>81</v>
      </c>
      <c r="EB538" s="27" t="n">
        <f aca="false">RANK(EA538,$EA$2:$EA$881,0)</f>
        <v>350</v>
      </c>
      <c r="EC538" s="29" t="n">
        <f aca="false">DZ538+CQ538+CP538+AZ538</f>
        <v>2281</v>
      </c>
      <c r="ED538" s="30" t="n">
        <f aca="false">(EA538+CV538+BB538)/3</f>
        <v>74.8285714285714</v>
      </c>
      <c r="EE538" s="51" t="n">
        <f aca="false">ROUND(BE538,3)</f>
        <v>83.743</v>
      </c>
      <c r="EF538" s="51" t="n">
        <f aca="false">ROUND(CR538,3)</f>
        <v>80.714</v>
      </c>
      <c r="EG538" s="51" t="n">
        <f aca="false">ROUND(CS538,3)</f>
        <v>58.857</v>
      </c>
      <c r="EH538" s="51" t="n">
        <f aca="false">ROUND(EA538,3)</f>
        <v>81</v>
      </c>
      <c r="EI538" s="51" t="n">
        <f aca="false">ROUND(ED538,3)</f>
        <v>74.829</v>
      </c>
      <c r="EJ538" s="51" t="n">
        <f aca="false">ROUND(CV538,3)</f>
        <v>69.786</v>
      </c>
      <c r="EK538" s="0" t="n">
        <f aca="false">RANK(EI538,$EI$2:$EI$881,0)</f>
        <v>537</v>
      </c>
    </row>
    <row r="539" customFormat="false" ht="15" hidden="false" customHeight="false" outlineLevel="0" collapsed="false">
      <c r="A539" s="4" t="n">
        <v>2097</v>
      </c>
      <c r="B539" s="4" t="n">
        <v>829</v>
      </c>
      <c r="C539" s="27" t="s">
        <v>1628</v>
      </c>
      <c r="D539" s="31" t="n">
        <v>850</v>
      </c>
      <c r="E539" s="16" t="n">
        <v>234300217</v>
      </c>
      <c r="F539" s="56" t="s">
        <v>1629</v>
      </c>
      <c r="G539" s="22" t="s">
        <v>378</v>
      </c>
      <c r="H539" s="22" t="s">
        <v>129</v>
      </c>
      <c r="I539" s="57"/>
      <c r="J539" s="16" t="n">
        <v>75</v>
      </c>
      <c r="K539" s="16" t="n">
        <v>78</v>
      </c>
      <c r="L539" s="34" t="n">
        <f aca="false">(K539*70)/100</f>
        <v>54.6</v>
      </c>
      <c r="M539" s="34" t="n">
        <f aca="false">ROUNDUP(L539,0)</f>
        <v>55</v>
      </c>
      <c r="N539" s="16" t="n">
        <v>26</v>
      </c>
      <c r="O539" s="34" t="n">
        <f aca="false">N539+L539</f>
        <v>80.6</v>
      </c>
      <c r="P539" s="34" t="n">
        <f aca="false">N539+M539</f>
        <v>81</v>
      </c>
      <c r="Q539" s="16" t="n">
        <v>74</v>
      </c>
      <c r="R539" s="16" t="n">
        <v>77</v>
      </c>
      <c r="S539" s="34" t="n">
        <f aca="false">(R539*70)/100</f>
        <v>53.9</v>
      </c>
      <c r="T539" s="34" t="n">
        <f aca="false">ROUNDUP(S539,0)</f>
        <v>54</v>
      </c>
      <c r="U539" s="16" t="n">
        <v>22</v>
      </c>
      <c r="V539" s="34" t="n">
        <f aca="false">U539+S539</f>
        <v>75.9</v>
      </c>
      <c r="W539" s="34" t="n">
        <f aca="false">U539+T539</f>
        <v>76</v>
      </c>
      <c r="X539" s="16" t="n">
        <v>61</v>
      </c>
      <c r="Y539" s="34" t="n">
        <f aca="false">(X539*70)/100</f>
        <v>42.7</v>
      </c>
      <c r="Z539" s="34" t="n">
        <f aca="false">ROUNDUP(Y539,0)</f>
        <v>43</v>
      </c>
      <c r="AA539" s="16" t="n">
        <v>24</v>
      </c>
      <c r="AB539" s="34" t="n">
        <f aca="false">AA539+Y539</f>
        <v>66.7</v>
      </c>
      <c r="AC539" s="34" t="n">
        <f aca="false">AA539+Z539</f>
        <v>67</v>
      </c>
      <c r="AD539" s="32" t="n">
        <f aca="false">X539+R539+Q539+K539+J539</f>
        <v>365</v>
      </c>
      <c r="AE539" s="16" t="n">
        <f aca="false">AD539/5</f>
        <v>73</v>
      </c>
      <c r="AF539" s="16" t="n">
        <v>68</v>
      </c>
      <c r="AG539" s="16" t="n">
        <v>85</v>
      </c>
      <c r="AH539" s="16" t="n">
        <v>85</v>
      </c>
      <c r="AI539" s="16" t="n">
        <v>71</v>
      </c>
      <c r="AJ539" s="16" t="n">
        <f aca="false">(AI539*70)/100</f>
        <v>49.7</v>
      </c>
      <c r="AK539" s="35" t="n">
        <f aca="false">ROUNDUP(AJ539,0)</f>
        <v>50</v>
      </c>
      <c r="AL539" s="16" t="n">
        <v>21</v>
      </c>
      <c r="AM539" s="16" t="n">
        <f aca="false">AL539+AJ539</f>
        <v>70.7</v>
      </c>
      <c r="AN539" s="16" t="n">
        <f aca="false">AL539+AK539</f>
        <v>71</v>
      </c>
      <c r="AO539" s="16" t="n">
        <v>68</v>
      </c>
      <c r="AP539" s="36" t="n">
        <f aca="false">(AO539*70)/100</f>
        <v>47.6</v>
      </c>
      <c r="AQ539" s="37" t="n">
        <f aca="false">ROUNDUP(AP539,0)</f>
        <v>48</v>
      </c>
      <c r="AR539" s="16" t="n">
        <v>26</v>
      </c>
      <c r="AS539" s="16" t="n">
        <f aca="false">AR539+AP539</f>
        <v>73.6</v>
      </c>
      <c r="AT539" s="16" t="n">
        <f aca="false">AR539+AQ539</f>
        <v>74</v>
      </c>
      <c r="AU539" s="16" t="n">
        <f aca="false">AO539+AF539+AI539+AH539+AG539</f>
        <v>377</v>
      </c>
      <c r="AV539" s="16" t="n">
        <f aca="false">(AO539+AF539+AI539+AH539+AG539)/5</f>
        <v>75.4</v>
      </c>
      <c r="AW539" s="36" t="n">
        <f aca="false">(AO539+AF539+AI539+AH539+AG539+X539+R539+Q539+K539+J539)</f>
        <v>742</v>
      </c>
      <c r="AX539" s="16" t="n">
        <f aca="false">AW539/10</f>
        <v>74.2</v>
      </c>
      <c r="AY539" s="16" t="n">
        <f aca="false">AS539+AF539+AM539+AH539+AG539+AB539+V539+Q539+O539+J539</f>
        <v>754.5</v>
      </c>
      <c r="AZ539" s="16" t="n">
        <f aca="false">AT539+AF539+AN539+AH539+AG539+AC539+W539+Q539+P539+J539</f>
        <v>756</v>
      </c>
      <c r="BA539" s="16" t="n">
        <f aca="false">AY539/10</f>
        <v>75.45</v>
      </c>
      <c r="BB539" s="16" t="n">
        <f aca="false">AZ539/10</f>
        <v>75.6</v>
      </c>
      <c r="BC539" s="72" t="n">
        <v>0</v>
      </c>
      <c r="BD539" s="16" t="n">
        <f aca="false">RANK(AX539,$AX$2:$AX$881,0)</f>
        <v>697</v>
      </c>
      <c r="BE539" s="78" t="n">
        <f aca="false">AX539</f>
        <v>74.2</v>
      </c>
      <c r="BF539" s="16" t="n">
        <f aca="false">RANK(BE539,$BE$2:$BE$881,0)</f>
        <v>777</v>
      </c>
      <c r="BG539" s="39" t="n">
        <f aca="false">RANK(BB539,$BB$2:$BB$881,0)</f>
        <v>691</v>
      </c>
      <c r="BH539" s="39" t="n">
        <f aca="false">RANK(BC539,$BC$2:$BC$881,0)</f>
        <v>780</v>
      </c>
      <c r="BI539" s="22" t="s">
        <v>130</v>
      </c>
      <c r="BJ539" s="22" t="s">
        <v>129</v>
      </c>
      <c r="BK539" s="22" t="s">
        <v>526</v>
      </c>
      <c r="BL539" s="41" t="n">
        <v>27</v>
      </c>
      <c r="BM539" s="41" t="n">
        <v>52</v>
      </c>
      <c r="BN539" s="41" t="n">
        <v>79</v>
      </c>
      <c r="BO539" s="42" t="n">
        <v>23</v>
      </c>
      <c r="BP539" s="43" t="n">
        <v>61</v>
      </c>
      <c r="BQ539" s="44" t="n">
        <v>84</v>
      </c>
      <c r="BR539" s="42" t="n">
        <v>21</v>
      </c>
      <c r="BS539" s="45" t="n">
        <v>49</v>
      </c>
      <c r="BT539" s="45" t="n">
        <v>70</v>
      </c>
      <c r="BU539" s="46" t="n">
        <v>100</v>
      </c>
      <c r="BV539" s="47" t="n">
        <v>62</v>
      </c>
      <c r="BW539" s="42" t="n">
        <v>100</v>
      </c>
      <c r="BX539" s="48" t="n">
        <v>88</v>
      </c>
      <c r="BY539" s="32" t="n">
        <v>26</v>
      </c>
      <c r="BZ539" s="32" t="n">
        <v>56</v>
      </c>
      <c r="CA539" s="32" t="n">
        <v>82</v>
      </c>
      <c r="CB539" s="32" t="n">
        <v>24</v>
      </c>
      <c r="CC539" s="32" t="n">
        <v>42</v>
      </c>
      <c r="CD539" s="32" t="n">
        <v>66</v>
      </c>
      <c r="CE539" s="32" t="n">
        <v>26</v>
      </c>
      <c r="CF539" s="32" t="n">
        <v>55</v>
      </c>
      <c r="CG539" s="32" t="n">
        <v>81</v>
      </c>
      <c r="CH539" s="32" t="n">
        <v>98</v>
      </c>
      <c r="CI539" s="32" t="n">
        <v>98</v>
      </c>
      <c r="CJ539" s="49" t="n">
        <v>23</v>
      </c>
      <c r="CK539" s="49" t="n">
        <v>46</v>
      </c>
      <c r="CL539" s="49" t="n">
        <v>69</v>
      </c>
      <c r="CM539" s="49" t="n">
        <v>21</v>
      </c>
      <c r="CN539" s="49" t="n">
        <v>48</v>
      </c>
      <c r="CO539" s="49" t="n">
        <v>69</v>
      </c>
      <c r="CP539" s="25" t="n">
        <f aca="false">BX539+BW539+BV539+BU539+BT539+BQ539+BN539</f>
        <v>583</v>
      </c>
      <c r="CQ539" s="25" t="n">
        <f aca="false">CO539+CL539+CI539+CH539+CG539+CD539+CA539</f>
        <v>563</v>
      </c>
      <c r="CR539" s="26" t="n">
        <f aca="false">CP539/7</f>
        <v>83.2857142857143</v>
      </c>
      <c r="CS539" s="26" t="n">
        <f aca="false">CQ539/7</f>
        <v>80.4285714285714</v>
      </c>
      <c r="CT539" s="24" t="n">
        <f aca="false">RANK(CR539,$CR$2:$CR$881,0)</f>
        <v>510</v>
      </c>
      <c r="CU539" s="25" t="n">
        <f aca="false">RANK(CS539,$CS$2:$CS$881,0)</f>
        <v>245</v>
      </c>
      <c r="CV539" s="26" t="n">
        <f aca="false">(CS539+CR539)/2</f>
        <v>81.8571428571429</v>
      </c>
      <c r="CW539" s="25" t="n">
        <f aca="false">RANK(CV539,$CV$2:$CV$881,0)</f>
        <v>352</v>
      </c>
      <c r="CX539" s="50" t="n">
        <f aca="false">(CV539+BB539)/2</f>
        <v>78.7285714285714</v>
      </c>
      <c r="CY539" s="50" t="n">
        <v>434</v>
      </c>
      <c r="CZ539" s="27" t="s">
        <v>132</v>
      </c>
      <c r="DA539" s="27" t="s">
        <v>169</v>
      </c>
      <c r="DB539" s="27" t="s">
        <v>169</v>
      </c>
      <c r="DC539" s="27" t="s">
        <v>134</v>
      </c>
      <c r="DD539" s="27" t="s">
        <v>182</v>
      </c>
      <c r="DE539" s="27" t="s">
        <v>313</v>
      </c>
      <c r="DF539" s="27" t="s">
        <v>443</v>
      </c>
      <c r="DG539" s="27" t="s">
        <v>134</v>
      </c>
      <c r="DH539" s="27" t="s">
        <v>264</v>
      </c>
      <c r="DI539" s="27" t="s">
        <v>306</v>
      </c>
      <c r="DJ539" s="27" t="s">
        <v>372</v>
      </c>
      <c r="DK539" s="27" t="s">
        <v>134</v>
      </c>
      <c r="DL539" s="27" t="s">
        <v>195</v>
      </c>
      <c r="DM539" s="27" t="s">
        <v>313</v>
      </c>
      <c r="DN539" s="27" t="s">
        <v>486</v>
      </c>
      <c r="DO539" s="27" t="s">
        <v>134</v>
      </c>
      <c r="DP539" s="27"/>
      <c r="DQ539" s="27"/>
      <c r="DR539" s="27"/>
      <c r="DS539" s="27"/>
      <c r="DT539" s="27" t="s">
        <v>182</v>
      </c>
      <c r="DU539" s="27" t="s">
        <v>681</v>
      </c>
      <c r="DV539" s="27" t="s">
        <v>155</v>
      </c>
      <c r="DW539" s="27" t="s">
        <v>135</v>
      </c>
      <c r="DX539" s="27" t="s">
        <v>141</v>
      </c>
      <c r="DY539" s="27" t="s">
        <v>176</v>
      </c>
      <c r="DZ539" s="27" t="n">
        <f aca="false">DY539+DV539+DR539+DN539+DJ539+DF539+DB539</f>
        <v>468</v>
      </c>
      <c r="EA539" s="28" t="n">
        <f aca="false">DZ539/7</f>
        <v>66.8571428571429</v>
      </c>
      <c r="EB539" s="27" t="n">
        <f aca="false">RANK(EA539,$EA$2:$EA$881,0)</f>
        <v>705</v>
      </c>
      <c r="EC539" s="29" t="n">
        <f aca="false">DZ539+CQ539+CP539+AZ539</f>
        <v>2370</v>
      </c>
      <c r="ED539" s="30" t="n">
        <f aca="false">(EA539+CV539+BB539)/3</f>
        <v>74.7714285714286</v>
      </c>
      <c r="EE539" s="51" t="n">
        <f aca="false">ROUND(BE539,3)</f>
        <v>74.2</v>
      </c>
      <c r="EF539" s="51" t="n">
        <f aca="false">ROUND(CR539,3)</f>
        <v>83.286</v>
      </c>
      <c r="EG539" s="51" t="n">
        <f aca="false">ROUND(CS539,3)</f>
        <v>80.429</v>
      </c>
      <c r="EH539" s="51" t="n">
        <f aca="false">ROUND(EA539,3)</f>
        <v>66.857</v>
      </c>
      <c r="EI539" s="51" t="n">
        <f aca="false">ROUND(ED539,3)</f>
        <v>74.771</v>
      </c>
      <c r="EJ539" s="51" t="n">
        <f aca="false">ROUND(CV539,3)</f>
        <v>81.857</v>
      </c>
      <c r="EK539" s="0" t="n">
        <f aca="false">RANK(EI539,$EI$2:$EI$881,0)</f>
        <v>538</v>
      </c>
    </row>
    <row r="540" customFormat="false" ht="15" hidden="false" customHeight="false" outlineLevel="0" collapsed="false">
      <c r="A540" s="4" t="n">
        <v>8617</v>
      </c>
      <c r="B540" s="4" t="n">
        <v>756</v>
      </c>
      <c r="C540" s="27" t="s">
        <v>1630</v>
      </c>
      <c r="D540" s="31" t="n">
        <v>772</v>
      </c>
      <c r="E540" s="32" t="n">
        <v>230315903</v>
      </c>
      <c r="F540" s="8" t="s">
        <v>1631</v>
      </c>
      <c r="G540" s="22" t="s">
        <v>1632</v>
      </c>
      <c r="H540" s="22" t="s">
        <v>129</v>
      </c>
      <c r="I540" s="33" t="n">
        <v>2006</v>
      </c>
      <c r="J540" s="32" t="n">
        <v>70</v>
      </c>
      <c r="K540" s="32" t="n">
        <v>73</v>
      </c>
      <c r="L540" s="34" t="n">
        <f aca="false">(K540*70)/100</f>
        <v>51.1</v>
      </c>
      <c r="M540" s="34" t="n">
        <f aca="false">ROUNDUP(L540,0)</f>
        <v>52</v>
      </c>
      <c r="N540" s="32" t="n">
        <v>23</v>
      </c>
      <c r="O540" s="34" t="n">
        <f aca="false">N540+L540</f>
        <v>74.1</v>
      </c>
      <c r="P540" s="34" t="n">
        <f aca="false">N540+M540</f>
        <v>75</v>
      </c>
      <c r="Q540" s="32" t="n">
        <v>78</v>
      </c>
      <c r="R540" s="32" t="n">
        <v>69</v>
      </c>
      <c r="S540" s="34" t="n">
        <f aca="false">(R540*70)/100</f>
        <v>48.3</v>
      </c>
      <c r="T540" s="34" t="n">
        <f aca="false">ROUNDUP(S540,0)</f>
        <v>49</v>
      </c>
      <c r="U540" s="32" t="n">
        <v>22</v>
      </c>
      <c r="V540" s="34" t="n">
        <f aca="false">U540+S540</f>
        <v>70.3</v>
      </c>
      <c r="W540" s="34" t="n">
        <f aca="false">U540+T540</f>
        <v>71</v>
      </c>
      <c r="X540" s="32" t="n">
        <v>68</v>
      </c>
      <c r="Y540" s="34" t="n">
        <f aca="false">(X540*70)/100</f>
        <v>47.6</v>
      </c>
      <c r="Z540" s="34" t="n">
        <f aca="false">ROUNDUP(Y540,0)</f>
        <v>48</v>
      </c>
      <c r="AA540" s="32" t="n">
        <v>24</v>
      </c>
      <c r="AB540" s="34" t="n">
        <f aca="false">AA540+Y540</f>
        <v>71.6</v>
      </c>
      <c r="AC540" s="34" t="n">
        <f aca="false">AA540+Z540</f>
        <v>72</v>
      </c>
      <c r="AD540" s="32" t="n">
        <f aca="false">X540+R540+Q540+K540+J540</f>
        <v>358</v>
      </c>
      <c r="AE540" s="16" t="n">
        <f aca="false">AD540/5</f>
        <v>71.6</v>
      </c>
      <c r="AF540" s="16" t="n">
        <v>63</v>
      </c>
      <c r="AG540" s="16" t="n">
        <v>86</v>
      </c>
      <c r="AH540" s="16" t="n">
        <v>88</v>
      </c>
      <c r="AI540" s="16" t="n">
        <v>80</v>
      </c>
      <c r="AJ540" s="16" t="n">
        <f aca="false">(AI540*70)/100</f>
        <v>56</v>
      </c>
      <c r="AK540" s="35" t="n">
        <f aca="false">ROUNDUP(AJ540,0)</f>
        <v>56</v>
      </c>
      <c r="AL540" s="16" t="n">
        <v>25</v>
      </c>
      <c r="AM540" s="16" t="n">
        <f aca="false">AL540+AJ540</f>
        <v>81</v>
      </c>
      <c r="AN540" s="16" t="n">
        <f aca="false">AL540+AK540</f>
        <v>81</v>
      </c>
      <c r="AO540" s="16" t="n">
        <v>66</v>
      </c>
      <c r="AP540" s="36" t="n">
        <f aca="false">(AO540*70)/100</f>
        <v>46.2</v>
      </c>
      <c r="AQ540" s="37" t="n">
        <f aca="false">ROUNDUP(AP540,0)</f>
        <v>47</v>
      </c>
      <c r="AR540" s="16" t="n">
        <v>26</v>
      </c>
      <c r="AS540" s="16" t="n">
        <f aca="false">AR540+AP540</f>
        <v>72.2</v>
      </c>
      <c r="AT540" s="16" t="n">
        <f aca="false">AR540+AQ540</f>
        <v>73</v>
      </c>
      <c r="AU540" s="16" t="n">
        <f aca="false">AO540+AF540+AI540+AH540+AG540</f>
        <v>383</v>
      </c>
      <c r="AV540" s="16" t="n">
        <f aca="false">(AO540+AF540+AI540+AH540+AG540)/5</f>
        <v>76.6</v>
      </c>
      <c r="AW540" s="36" t="n">
        <f aca="false">(AO540+AF540+AI540+AH540+AG540+X540+R540+Q540+K540+J540)</f>
        <v>741</v>
      </c>
      <c r="AX540" s="16" t="n">
        <f aca="false">AW540/10</f>
        <v>74.1</v>
      </c>
      <c r="AY540" s="16" t="n">
        <f aca="false">AS540+AF540+AM540+AH540+AG540+AB540+V540+Q540+O540+J540</f>
        <v>754.2</v>
      </c>
      <c r="AZ540" s="16" t="n">
        <f aca="false">AT540+AF540+AN540+AH540+AG540+AC540+W540+Q540+P540+J540</f>
        <v>757</v>
      </c>
      <c r="BA540" s="16" t="n">
        <f aca="false">AY540/10</f>
        <v>75.42</v>
      </c>
      <c r="BB540" s="16" t="n">
        <f aca="false">AZ540/10</f>
        <v>75.7</v>
      </c>
      <c r="BC540" s="16" t="n">
        <v>2338</v>
      </c>
      <c r="BD540" s="16" t="n">
        <f aca="false">RANK(AX540,$AX$2:$AX$881,0)</f>
        <v>699</v>
      </c>
      <c r="BE540" s="73" t="n">
        <f aca="false">((BC540*100)/2400)*0.4+(AX540*0.6)</f>
        <v>83.4266666666667</v>
      </c>
      <c r="BF540" s="16" t="n">
        <f aca="false">RANK(BE540,$BE$2:$BE$881,0)</f>
        <v>695</v>
      </c>
      <c r="BG540" s="39" t="n">
        <f aca="false">RANK(BB540,$BB$2:$BB$881,0)</f>
        <v>684</v>
      </c>
      <c r="BH540" s="39" t="n">
        <f aca="false">RANK(BC540,$BC$2:$BC$881,0)</f>
        <v>649</v>
      </c>
      <c r="BI540" s="22" t="s">
        <v>130</v>
      </c>
      <c r="BJ540" s="22" t="s">
        <v>129</v>
      </c>
      <c r="BK540" s="40" t="s">
        <v>702</v>
      </c>
      <c r="BL540" s="41" t="n">
        <v>20</v>
      </c>
      <c r="BM540" s="41" t="n">
        <v>47</v>
      </c>
      <c r="BN540" s="41" t="n">
        <v>67</v>
      </c>
      <c r="BO540" s="42" t="n">
        <v>27</v>
      </c>
      <c r="BP540" s="43" t="n">
        <v>60</v>
      </c>
      <c r="BQ540" s="44" t="n">
        <v>87</v>
      </c>
      <c r="BR540" s="42" t="n">
        <v>27</v>
      </c>
      <c r="BS540" s="45" t="n">
        <v>57</v>
      </c>
      <c r="BT540" s="45" t="n">
        <v>84</v>
      </c>
      <c r="BU540" s="46" t="n">
        <v>100</v>
      </c>
      <c r="BV540" s="47" t="n">
        <v>90</v>
      </c>
      <c r="BW540" s="42" t="n">
        <v>99</v>
      </c>
      <c r="BX540" s="48" t="n">
        <v>90</v>
      </c>
      <c r="BY540" s="32" t="n">
        <v>25</v>
      </c>
      <c r="BZ540" s="32" t="n">
        <v>51</v>
      </c>
      <c r="CA540" s="32" t="n">
        <v>76</v>
      </c>
      <c r="CB540" s="32" t="n">
        <v>24</v>
      </c>
      <c r="CC540" s="32" t="n">
        <v>35</v>
      </c>
      <c r="CD540" s="69" t="n">
        <v>59</v>
      </c>
      <c r="CE540" s="32" t="n">
        <v>22</v>
      </c>
      <c r="CF540" s="32" t="n">
        <v>43</v>
      </c>
      <c r="CG540" s="32" t="n">
        <v>65</v>
      </c>
      <c r="CH540" s="32" t="n">
        <v>92</v>
      </c>
      <c r="CI540" s="32" t="n">
        <v>90</v>
      </c>
      <c r="CJ540" s="49" t="n">
        <v>20</v>
      </c>
      <c r="CK540" s="49" t="n">
        <v>49</v>
      </c>
      <c r="CL540" s="49" t="n">
        <v>69</v>
      </c>
      <c r="CM540" s="49" t="n">
        <v>21</v>
      </c>
      <c r="CN540" s="49" t="n">
        <v>47</v>
      </c>
      <c r="CO540" s="49" t="n">
        <v>68</v>
      </c>
      <c r="CP540" s="25" t="n">
        <f aca="false">BX540+BW540+BV540+BU540+BT540+BQ540+BN540</f>
        <v>617</v>
      </c>
      <c r="CQ540" s="25" t="n">
        <f aca="false">CO540+CL540+CI540+CH540+CG540+CD540+CA540</f>
        <v>519</v>
      </c>
      <c r="CR540" s="26" t="n">
        <f aca="false">CP540/7</f>
        <v>88.1428571428571</v>
      </c>
      <c r="CS540" s="26" t="n">
        <f aca="false">CQ540/7</f>
        <v>74.1428571428571</v>
      </c>
      <c r="CT540" s="24" t="n">
        <f aca="false">RANK(CR540,$CR$2:$CR$881,0)</f>
        <v>297</v>
      </c>
      <c r="CU540" s="25" t="n">
        <f aca="false">RANK(CS540,$CS$2:$CS$881,0)</f>
        <v>451</v>
      </c>
      <c r="CV540" s="26" t="n">
        <f aca="false">(CS540+CR540)/2</f>
        <v>81.1428571428571</v>
      </c>
      <c r="CW540" s="25" t="n">
        <f aca="false">RANK(CV540,$CV$2:$CV$881,0)</f>
        <v>375</v>
      </c>
      <c r="CX540" s="50" t="n">
        <f aca="false">(CV540+BB540)/2</f>
        <v>78.4214285714286</v>
      </c>
      <c r="CY540" s="50" t="n">
        <v>450</v>
      </c>
      <c r="CZ540" s="27" t="s">
        <v>132</v>
      </c>
      <c r="DA540" s="27" t="s">
        <v>219</v>
      </c>
      <c r="DB540" s="27" t="s">
        <v>219</v>
      </c>
      <c r="DC540" s="27" t="s">
        <v>134</v>
      </c>
      <c r="DD540" s="27" t="s">
        <v>182</v>
      </c>
      <c r="DE540" s="27" t="s">
        <v>1388</v>
      </c>
      <c r="DF540" s="27" t="s">
        <v>218</v>
      </c>
      <c r="DG540" s="27" t="s">
        <v>480</v>
      </c>
      <c r="DH540" s="27" t="s">
        <v>174</v>
      </c>
      <c r="DI540" s="27" t="s">
        <v>479</v>
      </c>
      <c r="DJ540" s="27" t="s">
        <v>161</v>
      </c>
      <c r="DK540" s="27" t="s">
        <v>134</v>
      </c>
      <c r="DL540" s="27" t="s">
        <v>182</v>
      </c>
      <c r="DM540" s="27" t="s">
        <v>399</v>
      </c>
      <c r="DN540" s="27" t="s">
        <v>398</v>
      </c>
      <c r="DO540" s="27" t="s">
        <v>134</v>
      </c>
      <c r="DP540" s="27" t="s">
        <v>706</v>
      </c>
      <c r="DQ540" s="27" t="s">
        <v>442</v>
      </c>
      <c r="DR540" s="27" t="s">
        <v>152</v>
      </c>
      <c r="DS540" s="27" t="s">
        <v>134</v>
      </c>
      <c r="DT540" s="27" t="s">
        <v>154</v>
      </c>
      <c r="DU540" s="27" t="s">
        <v>1064</v>
      </c>
      <c r="DV540" s="27" t="s">
        <v>204</v>
      </c>
      <c r="DW540" s="27" t="s">
        <v>135</v>
      </c>
      <c r="DX540" s="27" t="s">
        <v>447</v>
      </c>
      <c r="DY540" s="27" t="s">
        <v>305</v>
      </c>
      <c r="DZ540" s="27" t="n">
        <f aca="false">DY540+DV540+DR540+DN540+DJ540+DF540+DB540</f>
        <v>471</v>
      </c>
      <c r="EA540" s="28" t="n">
        <f aca="false">DZ540/7</f>
        <v>67.2857142857143</v>
      </c>
      <c r="EB540" s="27" t="n">
        <f aca="false">RANK(EA540,$EA$2:$EA$881,0)</f>
        <v>702</v>
      </c>
      <c r="EC540" s="29" t="n">
        <f aca="false">DZ540+CQ540+CP540+AZ540</f>
        <v>2364</v>
      </c>
      <c r="ED540" s="30" t="n">
        <f aca="false">(EA540+CV540+BB540)/3</f>
        <v>74.7095238095238</v>
      </c>
      <c r="EE540" s="51" t="n">
        <f aca="false">ROUND(BE540,3)</f>
        <v>83.427</v>
      </c>
      <c r="EF540" s="51" t="n">
        <f aca="false">ROUND(CR540,3)</f>
        <v>88.143</v>
      </c>
      <c r="EG540" s="51" t="n">
        <f aca="false">ROUND(CS540,3)</f>
        <v>74.143</v>
      </c>
      <c r="EH540" s="51" t="n">
        <f aca="false">ROUND(EA540,3)</f>
        <v>67.286</v>
      </c>
      <c r="EI540" s="51" t="n">
        <f aca="false">ROUND(ED540,3)</f>
        <v>74.71</v>
      </c>
      <c r="EJ540" s="51" t="n">
        <f aca="false">ROUND(CV540,3)</f>
        <v>81.143</v>
      </c>
      <c r="EK540" s="0" t="n">
        <f aca="false">RANK(EI540,$EI$2:$EI$881,0)</f>
        <v>539</v>
      </c>
    </row>
    <row r="541" customFormat="false" ht="16.85" hidden="false" customHeight="false" outlineLevel="0" collapsed="false">
      <c r="A541" s="4" t="n">
        <v>1968</v>
      </c>
      <c r="B541" s="4" t="n">
        <v>560</v>
      </c>
      <c r="C541" s="27" t="s">
        <v>1633</v>
      </c>
      <c r="D541" s="31" t="n">
        <v>564</v>
      </c>
      <c r="E541" s="16" t="n">
        <v>230613611</v>
      </c>
      <c r="F541" s="56" t="s">
        <v>1634</v>
      </c>
      <c r="G541" s="22" t="s">
        <v>550</v>
      </c>
      <c r="H541" s="22" t="s">
        <v>558</v>
      </c>
      <c r="I541" s="57"/>
      <c r="J541" s="16" t="n">
        <v>74</v>
      </c>
      <c r="K541" s="16" t="n">
        <v>91</v>
      </c>
      <c r="L541" s="34" t="n">
        <f aca="false">(K541*70)/100</f>
        <v>63.7</v>
      </c>
      <c r="M541" s="34" t="n">
        <f aca="false">ROUNDUP(L541,0)</f>
        <v>64</v>
      </c>
      <c r="N541" s="16" t="n">
        <v>23</v>
      </c>
      <c r="O541" s="34" t="n">
        <f aca="false">N541+L541</f>
        <v>86.7</v>
      </c>
      <c r="P541" s="34" t="n">
        <f aca="false">N541+M541</f>
        <v>87</v>
      </c>
      <c r="Q541" s="16" t="n">
        <v>90</v>
      </c>
      <c r="R541" s="16" t="n">
        <v>64</v>
      </c>
      <c r="S541" s="34" t="n">
        <f aca="false">(R541*70)/100</f>
        <v>44.8</v>
      </c>
      <c r="T541" s="34" t="n">
        <f aca="false">ROUNDUP(S541,0)</f>
        <v>45</v>
      </c>
      <c r="U541" s="16" t="n">
        <v>22</v>
      </c>
      <c r="V541" s="34" t="n">
        <f aca="false">U541+S541</f>
        <v>66.8</v>
      </c>
      <c r="W541" s="34" t="n">
        <f aca="false">U541+T541</f>
        <v>67</v>
      </c>
      <c r="X541" s="16" t="n">
        <v>47</v>
      </c>
      <c r="Y541" s="34" t="n">
        <f aca="false">(X541*70)/100</f>
        <v>32.9</v>
      </c>
      <c r="Z541" s="34" t="n">
        <f aca="false">ROUNDUP(Y541,0)</f>
        <v>33</v>
      </c>
      <c r="AA541" s="16" t="n">
        <v>23</v>
      </c>
      <c r="AB541" s="34" t="n">
        <f aca="false">AA541+Y541</f>
        <v>55.9</v>
      </c>
      <c r="AC541" s="91" t="n">
        <f aca="false">AA541+Z541</f>
        <v>56</v>
      </c>
      <c r="AD541" s="32" t="n">
        <f aca="false">X541+R541+Q541+K541+J541</f>
        <v>366</v>
      </c>
      <c r="AE541" s="16" t="n">
        <f aca="false">AD541/5</f>
        <v>73.2</v>
      </c>
      <c r="AF541" s="16" t="n">
        <v>79</v>
      </c>
      <c r="AG541" s="16" t="n">
        <v>89</v>
      </c>
      <c r="AH541" s="16" t="n">
        <v>83</v>
      </c>
      <c r="AI541" s="16" t="n">
        <v>83</v>
      </c>
      <c r="AJ541" s="16" t="n">
        <f aca="false">(AI541*70)/100</f>
        <v>58.1</v>
      </c>
      <c r="AK541" s="35" t="n">
        <f aca="false">ROUNDUP(AJ541,0)</f>
        <v>59</v>
      </c>
      <c r="AL541" s="16" t="n">
        <v>26</v>
      </c>
      <c r="AM541" s="16" t="n">
        <f aca="false">AL541+AJ541</f>
        <v>84.1</v>
      </c>
      <c r="AN541" s="16" t="n">
        <f aca="false">AL541+AK541</f>
        <v>85</v>
      </c>
      <c r="AO541" s="16" t="n">
        <v>71</v>
      </c>
      <c r="AP541" s="36" t="n">
        <f aca="false">(AO541*70)/100</f>
        <v>49.7</v>
      </c>
      <c r="AQ541" s="37" t="n">
        <f aca="false">ROUNDUP(AP541,0)</f>
        <v>50</v>
      </c>
      <c r="AR541" s="16" t="n">
        <v>27</v>
      </c>
      <c r="AS541" s="16" t="n">
        <f aca="false">AR541+AP541</f>
        <v>76.7</v>
      </c>
      <c r="AT541" s="16" t="n">
        <f aca="false">AR541+AQ541</f>
        <v>77</v>
      </c>
      <c r="AU541" s="16" t="n">
        <f aca="false">AO541+AF541+AI541+AH541+AG541</f>
        <v>405</v>
      </c>
      <c r="AV541" s="16" t="n">
        <f aca="false">(AO541+AF541+AI541+AH541+AG541)/5</f>
        <v>81</v>
      </c>
      <c r="AW541" s="36" t="n">
        <f aca="false">(AO541+AF541+AI541+AH541+AG541+X541+R541+Q541+K541+J541)</f>
        <v>771</v>
      </c>
      <c r="AX541" s="16" t="n">
        <f aca="false">AW541/10</f>
        <v>77.1</v>
      </c>
      <c r="AY541" s="16" t="n">
        <f aca="false">AS541+AF541+AM541+AH541+AG541+AB541+V541+Q541+O541+J541</f>
        <v>785.2</v>
      </c>
      <c r="AZ541" s="16" t="n">
        <f aca="false">AT541+AF541+AN541+AH541+AG541+AC541+W541+Q541+P541+J541</f>
        <v>787</v>
      </c>
      <c r="BA541" s="16" t="n">
        <f aca="false">AY541/10</f>
        <v>78.52</v>
      </c>
      <c r="BB541" s="16" t="n">
        <f aca="false">AZ541/10</f>
        <v>78.7</v>
      </c>
      <c r="BC541" s="16" t="n">
        <v>2355</v>
      </c>
      <c r="BD541" s="16" t="n">
        <f aca="false">RANK(AX541,$AX$2:$AX$881,0)</f>
        <v>496</v>
      </c>
      <c r="BE541" s="54" t="n">
        <f aca="false">((BC541*100)/2400)*0.4+(AX541*0.6)</f>
        <v>85.51</v>
      </c>
      <c r="BF541" s="16" t="n">
        <f aca="false">RANK(BE541,$BE$2:$BE$881,0)</f>
        <v>503</v>
      </c>
      <c r="BG541" s="39" t="n">
        <f aca="false">RANK(BB541,$BB$2:$BB$881,0)</f>
        <v>482</v>
      </c>
      <c r="BH541" s="39" t="n">
        <f aca="false">RANK(BC541,$BC$2:$BC$881,0)</f>
        <v>476</v>
      </c>
      <c r="BI541" s="22" t="s">
        <v>130</v>
      </c>
      <c r="BJ541" s="22" t="s">
        <v>129</v>
      </c>
      <c r="BK541" s="40" t="s">
        <v>509</v>
      </c>
      <c r="BL541" s="41" t="n">
        <v>12</v>
      </c>
      <c r="BM541" s="41" t="n">
        <v>37</v>
      </c>
      <c r="BN541" s="98" t="n">
        <v>49</v>
      </c>
      <c r="BO541" s="42" t="n">
        <v>14</v>
      </c>
      <c r="BP541" s="43" t="n">
        <v>44</v>
      </c>
      <c r="BQ541" s="119" t="n">
        <v>58</v>
      </c>
      <c r="BR541" s="42" t="n">
        <v>24</v>
      </c>
      <c r="BS541" s="45" t="n">
        <v>50</v>
      </c>
      <c r="BT541" s="45" t="n">
        <v>74</v>
      </c>
      <c r="BU541" s="80"/>
      <c r="BV541" s="47" t="n">
        <v>90</v>
      </c>
      <c r="BW541" s="43" t="n">
        <v>98</v>
      </c>
      <c r="BX541" s="88" t="n">
        <v>94</v>
      </c>
      <c r="BY541" s="65" t="n">
        <v>29</v>
      </c>
      <c r="BZ541" s="58" t="n">
        <v>54</v>
      </c>
      <c r="CA541" s="58" t="n">
        <v>83</v>
      </c>
      <c r="CB541" s="59" t="n">
        <v>26</v>
      </c>
      <c r="CC541" s="58" t="n">
        <v>56</v>
      </c>
      <c r="CD541" s="58" t="n">
        <v>82</v>
      </c>
      <c r="CE541" s="58" t="n">
        <v>23</v>
      </c>
      <c r="CF541" s="58" t="n">
        <v>45</v>
      </c>
      <c r="CG541" s="58" t="n">
        <v>68</v>
      </c>
      <c r="CH541" s="58" t="n">
        <v>90</v>
      </c>
      <c r="CI541" s="58" t="n">
        <v>78</v>
      </c>
      <c r="CJ541" s="58" t="n">
        <v>18</v>
      </c>
      <c r="CK541" s="58" t="n">
        <v>61</v>
      </c>
      <c r="CL541" s="59" t="n">
        <v>79</v>
      </c>
      <c r="CM541" s="60"/>
      <c r="CN541" s="60"/>
      <c r="CO541" s="60"/>
      <c r="CP541" s="25" t="n">
        <f aca="false">BX541+BW541+BV541+BU541+BT541+BQ541+BN541</f>
        <v>463</v>
      </c>
      <c r="CQ541" s="25" t="n">
        <f aca="false">CO541+CL541+CI541+CH541+CG541+CD541+CA541</f>
        <v>480</v>
      </c>
      <c r="CR541" s="26" t="n">
        <f aca="false">CP541/7</f>
        <v>66.1428571428571</v>
      </c>
      <c r="CS541" s="26" t="n">
        <f aca="false">CQ541/7</f>
        <v>68.5714285714286</v>
      </c>
      <c r="CT541" s="24" t="n">
        <f aca="false">RANK(CR541,$CR$2:$CR$881,0)</f>
        <v>703</v>
      </c>
      <c r="CU541" s="25" t="n">
        <f aca="false">RANK(CS541,$CS$2:$CS$881,0)</f>
        <v>578</v>
      </c>
      <c r="CV541" s="26" t="n">
        <f aca="false">(CS541+CR541)/2</f>
        <v>67.3571428571429</v>
      </c>
      <c r="CW541" s="25" t="n">
        <f aca="false">RANK(CV541,$CV$2:$CV$881,0)</f>
        <v>659</v>
      </c>
      <c r="CX541" s="50" t="n">
        <f aca="false">(CV541+BB541)/2</f>
        <v>73.0285714285714</v>
      </c>
      <c r="CY541" s="50" t="n">
        <v>694</v>
      </c>
      <c r="CZ541" s="27" t="s">
        <v>132</v>
      </c>
      <c r="DA541" s="27" t="s">
        <v>441</v>
      </c>
      <c r="DB541" s="27" t="s">
        <v>441</v>
      </c>
      <c r="DC541" s="27" t="s">
        <v>134</v>
      </c>
      <c r="DD541" s="27" t="s">
        <v>135</v>
      </c>
      <c r="DE541" s="27" t="s">
        <v>447</v>
      </c>
      <c r="DF541" s="27" t="s">
        <v>305</v>
      </c>
      <c r="DG541" s="27" t="s">
        <v>134</v>
      </c>
      <c r="DH541" s="27" t="s">
        <v>182</v>
      </c>
      <c r="DI541" s="27" t="s">
        <v>447</v>
      </c>
      <c r="DJ541" s="27" t="s">
        <v>382</v>
      </c>
      <c r="DK541" s="27" t="s">
        <v>134</v>
      </c>
      <c r="DL541" s="27" t="s">
        <v>137</v>
      </c>
      <c r="DM541" s="27" t="s">
        <v>442</v>
      </c>
      <c r="DN541" s="27" t="s">
        <v>441</v>
      </c>
      <c r="DO541" s="27" t="s">
        <v>134</v>
      </c>
      <c r="DP541" s="27" t="s">
        <v>706</v>
      </c>
      <c r="DQ541" s="27" t="s">
        <v>638</v>
      </c>
      <c r="DR541" s="27" t="s">
        <v>177</v>
      </c>
      <c r="DS541" s="27" t="s">
        <v>134</v>
      </c>
      <c r="DT541" s="27" t="s">
        <v>146</v>
      </c>
      <c r="DU541" s="27" t="s">
        <v>204</v>
      </c>
      <c r="DV541" s="27" t="s">
        <v>162</v>
      </c>
      <c r="DW541" s="27" t="s">
        <v>135</v>
      </c>
      <c r="DX541" s="27" t="s">
        <v>187</v>
      </c>
      <c r="DY541" s="27" t="s">
        <v>170</v>
      </c>
      <c r="DZ541" s="27" t="n">
        <f aca="false">DY541+DV541+DR541+DN541+DJ541+DF541+DB541</f>
        <v>545</v>
      </c>
      <c r="EA541" s="28" t="n">
        <f aca="false">DZ541/7</f>
        <v>77.8571428571429</v>
      </c>
      <c r="EB541" s="27" t="n">
        <f aca="false">RANK(EA541,$EA$2:$EA$881,0)</f>
        <v>463</v>
      </c>
      <c r="EC541" s="29" t="n">
        <f aca="false">DZ541+CQ541+CP541+AZ541</f>
        <v>2275</v>
      </c>
      <c r="ED541" s="30" t="n">
        <f aca="false">(EA541+CV541+BB541)/3</f>
        <v>74.6380952380952</v>
      </c>
      <c r="EE541" s="51" t="n">
        <f aca="false">ROUND(BE541,3)</f>
        <v>85.51</v>
      </c>
      <c r="EF541" s="51" t="n">
        <f aca="false">ROUND(CR541,3)</f>
        <v>66.143</v>
      </c>
      <c r="EG541" s="51" t="n">
        <f aca="false">ROUND(CS541,3)</f>
        <v>68.571</v>
      </c>
      <c r="EH541" s="51" t="n">
        <f aca="false">ROUND(EA541,3)</f>
        <v>77.857</v>
      </c>
      <c r="EI541" s="51" t="n">
        <f aca="false">ROUND(ED541,3)</f>
        <v>74.638</v>
      </c>
      <c r="EJ541" s="51" t="n">
        <f aca="false">ROUND(CV541,3)</f>
        <v>67.357</v>
      </c>
      <c r="EK541" s="0" t="n">
        <f aca="false">RANK(EI541,$EI$2:$EI$881,0)</f>
        <v>540</v>
      </c>
    </row>
    <row r="542" customFormat="false" ht="15" hidden="false" customHeight="false" outlineLevel="0" collapsed="false">
      <c r="A542" s="4" t="n">
        <v>2076</v>
      </c>
      <c r="B542" s="4" t="n">
        <v>180</v>
      </c>
      <c r="C542" s="27" t="s">
        <v>1635</v>
      </c>
      <c r="D542" s="31" t="n">
        <v>181</v>
      </c>
      <c r="E542" s="32" t="n">
        <v>230314478</v>
      </c>
      <c r="F542" s="8" t="s">
        <v>1636</v>
      </c>
      <c r="G542" s="22" t="s">
        <v>749</v>
      </c>
      <c r="H542" s="22" t="s">
        <v>129</v>
      </c>
      <c r="I542" s="33" t="n">
        <v>2006</v>
      </c>
      <c r="J542" s="32" t="n">
        <v>82</v>
      </c>
      <c r="K542" s="32" t="n">
        <v>90</v>
      </c>
      <c r="L542" s="34" t="n">
        <f aca="false">(K542*70)/100</f>
        <v>63</v>
      </c>
      <c r="M542" s="34" t="n">
        <f aca="false">ROUNDUP(L542,0)</f>
        <v>63</v>
      </c>
      <c r="N542" s="32" t="n">
        <v>24</v>
      </c>
      <c r="O542" s="34" t="n">
        <f aca="false">N542+L542</f>
        <v>87</v>
      </c>
      <c r="P542" s="34" t="n">
        <f aca="false">N542+M542</f>
        <v>87</v>
      </c>
      <c r="Q542" s="32" t="n">
        <v>72</v>
      </c>
      <c r="R542" s="32" t="n">
        <v>82</v>
      </c>
      <c r="S542" s="34" t="n">
        <f aca="false">(R542*70)/100</f>
        <v>57.4</v>
      </c>
      <c r="T542" s="34" t="n">
        <f aca="false">ROUNDUP(S542,0)</f>
        <v>58</v>
      </c>
      <c r="U542" s="32" t="n">
        <v>17</v>
      </c>
      <c r="V542" s="34" t="n">
        <f aca="false">U542+S542</f>
        <v>74.4</v>
      </c>
      <c r="W542" s="34" t="n">
        <f aca="false">U542+T542</f>
        <v>75</v>
      </c>
      <c r="X542" s="32" t="n">
        <v>77</v>
      </c>
      <c r="Y542" s="34" t="n">
        <f aca="false">(X542*70)/100</f>
        <v>53.9</v>
      </c>
      <c r="Z542" s="34" t="n">
        <f aca="false">ROUNDUP(Y542,0)</f>
        <v>54</v>
      </c>
      <c r="AA542" s="32" t="n">
        <v>26</v>
      </c>
      <c r="AB542" s="34" t="n">
        <f aca="false">AA542+Y542</f>
        <v>79.9</v>
      </c>
      <c r="AC542" s="34" t="n">
        <f aca="false">AA542+Z542</f>
        <v>80</v>
      </c>
      <c r="AD542" s="32" t="n">
        <f aca="false">X542+R542+Q542+K542+J542</f>
        <v>403</v>
      </c>
      <c r="AE542" s="16" t="n">
        <f aca="false">AD542/5</f>
        <v>80.6</v>
      </c>
      <c r="AF542" s="16" t="n">
        <v>76</v>
      </c>
      <c r="AG542" s="16" t="n">
        <v>70</v>
      </c>
      <c r="AH542" s="16" t="n">
        <v>89</v>
      </c>
      <c r="AI542" s="16" t="n">
        <v>90</v>
      </c>
      <c r="AJ542" s="16" t="n">
        <f aca="false">(AI542*70)/100</f>
        <v>63</v>
      </c>
      <c r="AK542" s="35" t="n">
        <f aca="false">ROUNDUP(AJ542,0)</f>
        <v>63</v>
      </c>
      <c r="AL542" s="16" t="n">
        <v>24</v>
      </c>
      <c r="AM542" s="16" t="n">
        <f aca="false">AL542+AJ542</f>
        <v>87</v>
      </c>
      <c r="AN542" s="16" t="n">
        <f aca="false">AL542+AK542</f>
        <v>87</v>
      </c>
      <c r="AO542" s="16" t="n">
        <v>75</v>
      </c>
      <c r="AP542" s="36" t="n">
        <f aca="false">(AO542*70)/100</f>
        <v>52.5</v>
      </c>
      <c r="AQ542" s="37" t="n">
        <f aca="false">ROUNDUP(AP542,0)</f>
        <v>53</v>
      </c>
      <c r="AR542" s="16" t="n">
        <v>27</v>
      </c>
      <c r="AS542" s="16" t="n">
        <f aca="false">AR542+AP542</f>
        <v>79.5</v>
      </c>
      <c r="AT542" s="16" t="n">
        <f aca="false">AR542+AQ542</f>
        <v>80</v>
      </c>
      <c r="AU542" s="16" t="n">
        <f aca="false">AO542+AF542+AI542+AH542+AG542</f>
        <v>400</v>
      </c>
      <c r="AV542" s="16" t="n">
        <f aca="false">(AO542+AF542+AI542+AH542+AG542)/5</f>
        <v>80</v>
      </c>
      <c r="AW542" s="36" t="n">
        <f aca="false">(AO542+AF542+AI542+AH542+AG542+X542+R542+Q542+K542+J542)</f>
        <v>803</v>
      </c>
      <c r="AX542" s="16" t="n">
        <f aca="false">AW542/10</f>
        <v>80.3</v>
      </c>
      <c r="AY542" s="16" t="n">
        <f aca="false">AS542+AF542+AM542+AH542+AG542+AB542+V542+Q542+O542+J542</f>
        <v>796.8</v>
      </c>
      <c r="AZ542" s="16" t="n">
        <f aca="false">AT542+AF542+AN542+AH542+AG542+AC542+W542+Q542+P542+J542</f>
        <v>798</v>
      </c>
      <c r="BA542" s="16" t="n">
        <f aca="false">AY542/10</f>
        <v>79.68</v>
      </c>
      <c r="BB542" s="16" t="n">
        <f aca="false">AZ542/10</f>
        <v>79.8</v>
      </c>
      <c r="BC542" s="16" t="n">
        <v>2359</v>
      </c>
      <c r="BD542" s="16" t="n">
        <f aca="false">RANK(AX542,$AX$2:$AX$881,0)</f>
        <v>245</v>
      </c>
      <c r="BE542" s="54" t="n">
        <f aca="false">((BC542*100)/2400)*0.4+(AX542*0.6)</f>
        <v>87.4966666666667</v>
      </c>
      <c r="BF542" s="16" t="n">
        <f aca="false">RANK(BE542,$BE$2:$BE$881,0)</f>
        <v>247</v>
      </c>
      <c r="BG542" s="39" t="n">
        <f aca="false">RANK(BB542,$BB$2:$BB$881,0)</f>
        <v>369</v>
      </c>
      <c r="BH542" s="39" t="n">
        <f aca="false">RANK(BC542,$BC$2:$BC$881,0)</f>
        <v>414</v>
      </c>
      <c r="BI542" s="22" t="s">
        <v>130</v>
      </c>
      <c r="BJ542" s="22" t="s">
        <v>129</v>
      </c>
      <c r="BK542" s="40" t="s">
        <v>509</v>
      </c>
      <c r="BL542" s="41" t="n">
        <v>21</v>
      </c>
      <c r="BM542" s="41" t="n">
        <v>52</v>
      </c>
      <c r="BN542" s="41" t="n">
        <v>73</v>
      </c>
      <c r="BO542" s="42" t="n">
        <v>23</v>
      </c>
      <c r="BP542" s="43" t="n">
        <v>62</v>
      </c>
      <c r="BQ542" s="44" t="n">
        <v>85</v>
      </c>
      <c r="BR542" s="42" t="n">
        <v>26</v>
      </c>
      <c r="BS542" s="45" t="n">
        <v>39</v>
      </c>
      <c r="BT542" s="45" t="n">
        <v>65</v>
      </c>
      <c r="BU542" s="46" t="n">
        <v>100</v>
      </c>
      <c r="BV542" s="47" t="n">
        <v>92</v>
      </c>
      <c r="BW542" s="42" t="n">
        <v>98</v>
      </c>
      <c r="BX542" s="48" t="n">
        <v>82</v>
      </c>
      <c r="BY542" s="32" t="n">
        <v>17</v>
      </c>
      <c r="BZ542" s="32" t="n">
        <v>45</v>
      </c>
      <c r="CA542" s="32" t="n">
        <v>62</v>
      </c>
      <c r="CB542" s="32" t="n">
        <v>19</v>
      </c>
      <c r="CC542" s="32" t="n">
        <v>26</v>
      </c>
      <c r="CD542" s="69" t="n">
        <v>45</v>
      </c>
      <c r="CE542" s="25" t="n">
        <v>25</v>
      </c>
      <c r="CF542" s="25" t="n">
        <v>23</v>
      </c>
      <c r="CG542" s="85" t="n">
        <v>48</v>
      </c>
      <c r="CH542" s="32" t="n">
        <v>93</v>
      </c>
      <c r="CI542" s="32" t="n">
        <v>78</v>
      </c>
      <c r="CJ542" s="49" t="n">
        <v>18</v>
      </c>
      <c r="CK542" s="49" t="n">
        <v>63</v>
      </c>
      <c r="CL542" s="84" t="n">
        <v>81</v>
      </c>
      <c r="CM542" s="49" t="n">
        <v>22</v>
      </c>
      <c r="CN542" s="49" t="n">
        <v>57</v>
      </c>
      <c r="CO542" s="84" t="n">
        <v>79</v>
      </c>
      <c r="CP542" s="25" t="n">
        <f aca="false">BX542+BW542+BV542+BU542+BT542+BQ542+BN542</f>
        <v>595</v>
      </c>
      <c r="CQ542" s="25" t="n">
        <f aca="false">CO542+CL542+CI542+CH542+CG542+CD542+CA542</f>
        <v>486</v>
      </c>
      <c r="CR542" s="26" t="n">
        <f aca="false">CP542/7</f>
        <v>85</v>
      </c>
      <c r="CS542" s="26" t="n">
        <f aca="false">CQ542/7</f>
        <v>69.4285714285714</v>
      </c>
      <c r="CT542" s="24" t="n">
        <f aca="false">RANK(CR542,$CR$2:$CR$881,0)</f>
        <v>437</v>
      </c>
      <c r="CU542" s="25" t="n">
        <f aca="false">RANK(CS542,$CS$2:$CS$881,0)</f>
        <v>564</v>
      </c>
      <c r="CV542" s="26" t="n">
        <f aca="false">(CS542+CR542)/2</f>
        <v>77.2142857142857</v>
      </c>
      <c r="CW542" s="25" t="n">
        <f aca="false">RANK(CV542,$CV$2:$CV$881,0)</f>
        <v>512</v>
      </c>
      <c r="CX542" s="50" t="n">
        <f aca="false">(CV542+BB542)/2</f>
        <v>78.5071428571429</v>
      </c>
      <c r="CY542" s="50" t="n">
        <v>544</v>
      </c>
      <c r="CZ542" s="27" t="s">
        <v>132</v>
      </c>
      <c r="DA542" s="27" t="s">
        <v>169</v>
      </c>
      <c r="DB542" s="27" t="s">
        <v>169</v>
      </c>
      <c r="DC542" s="27" t="s">
        <v>134</v>
      </c>
      <c r="DD542" s="27" t="s">
        <v>164</v>
      </c>
      <c r="DE542" s="27" t="s">
        <v>313</v>
      </c>
      <c r="DF542" s="27" t="s">
        <v>272</v>
      </c>
      <c r="DG542" s="27" t="s">
        <v>134</v>
      </c>
      <c r="DH542" s="27" t="s">
        <v>154</v>
      </c>
      <c r="DI542" s="27" t="s">
        <v>447</v>
      </c>
      <c r="DJ542" s="27" t="s">
        <v>443</v>
      </c>
      <c r="DK542" s="27" t="s">
        <v>134</v>
      </c>
      <c r="DL542" s="27" t="s">
        <v>195</v>
      </c>
      <c r="DM542" s="27" t="s">
        <v>412</v>
      </c>
      <c r="DN542" s="27" t="s">
        <v>398</v>
      </c>
      <c r="DO542" s="27" t="s">
        <v>134</v>
      </c>
      <c r="DP542" s="27"/>
      <c r="DQ542" s="27"/>
      <c r="DR542" s="27"/>
      <c r="DS542" s="27"/>
      <c r="DT542" s="27" t="s">
        <v>135</v>
      </c>
      <c r="DU542" s="27" t="s">
        <v>1407</v>
      </c>
      <c r="DV542" s="27" t="s">
        <v>163</v>
      </c>
      <c r="DW542" s="27" t="s">
        <v>182</v>
      </c>
      <c r="DX542" s="27" t="s">
        <v>138</v>
      </c>
      <c r="DY542" s="27" t="s">
        <v>151</v>
      </c>
      <c r="DZ542" s="27" t="n">
        <f aca="false">DY542+DV542+DR542+DN542+DJ542+DF542+DB542</f>
        <v>468</v>
      </c>
      <c r="EA542" s="28" t="n">
        <f aca="false">DZ542/7</f>
        <v>66.8571428571429</v>
      </c>
      <c r="EB542" s="27" t="n">
        <f aca="false">RANK(EA542,$EA$2:$EA$881,0)</f>
        <v>705</v>
      </c>
      <c r="EC542" s="29" t="n">
        <f aca="false">DZ542+CQ542+CP542+AZ542</f>
        <v>2347</v>
      </c>
      <c r="ED542" s="30" t="n">
        <f aca="false">(EA542+CV542+BB542)/3</f>
        <v>74.6238095238095</v>
      </c>
      <c r="EE542" s="51" t="n">
        <f aca="false">ROUND(BE542,3)</f>
        <v>87.497</v>
      </c>
      <c r="EF542" s="51" t="n">
        <f aca="false">ROUND(CR542,3)</f>
        <v>85</v>
      </c>
      <c r="EG542" s="51" t="n">
        <f aca="false">ROUND(CS542,3)</f>
        <v>69.429</v>
      </c>
      <c r="EH542" s="51" t="n">
        <f aca="false">ROUND(EA542,3)</f>
        <v>66.857</v>
      </c>
      <c r="EI542" s="51" t="n">
        <f aca="false">ROUND(ED542,3)</f>
        <v>74.624</v>
      </c>
      <c r="EJ542" s="51" t="n">
        <f aca="false">ROUND(CV542,3)</f>
        <v>77.214</v>
      </c>
      <c r="EK542" s="0" t="n">
        <f aca="false">RANK(EI542,$EI$2:$EI$881,0)</f>
        <v>541</v>
      </c>
    </row>
    <row r="543" customFormat="false" ht="17.45" hidden="false" customHeight="false" outlineLevel="0" collapsed="false">
      <c r="A543" s="4" t="n">
        <v>2068</v>
      </c>
      <c r="B543" s="4" t="n">
        <v>468</v>
      </c>
      <c r="C543" s="27" t="s">
        <v>1637</v>
      </c>
      <c r="D543" s="31" t="n">
        <v>475</v>
      </c>
      <c r="E543" s="16" t="n">
        <v>230224854</v>
      </c>
      <c r="F543" s="56" t="s">
        <v>1638</v>
      </c>
      <c r="G543" s="22" t="s">
        <v>226</v>
      </c>
      <c r="H543" s="22" t="s">
        <v>326</v>
      </c>
      <c r="I543" s="57"/>
      <c r="J543" s="16" t="n">
        <v>80</v>
      </c>
      <c r="K543" s="16" t="n">
        <v>71</v>
      </c>
      <c r="L543" s="34" t="n">
        <f aca="false">(K543*70)/100</f>
        <v>49.7</v>
      </c>
      <c r="M543" s="34" t="n">
        <f aca="false">ROUNDUP(L543,0)</f>
        <v>50</v>
      </c>
      <c r="N543" s="16" t="n">
        <v>26</v>
      </c>
      <c r="O543" s="34" t="n">
        <f aca="false">N543+L543</f>
        <v>75.7</v>
      </c>
      <c r="P543" s="34" t="n">
        <f aca="false">N543+M543</f>
        <v>76</v>
      </c>
      <c r="Q543" s="71" t="n">
        <v>58</v>
      </c>
      <c r="R543" s="16" t="n">
        <v>69</v>
      </c>
      <c r="S543" s="34" t="n">
        <f aca="false">(R543*70)/100</f>
        <v>48.3</v>
      </c>
      <c r="T543" s="34" t="n">
        <f aca="false">ROUNDUP(S543,0)</f>
        <v>49</v>
      </c>
      <c r="U543" s="16" t="n">
        <v>26</v>
      </c>
      <c r="V543" s="34" t="n">
        <f aca="false">U543+S543</f>
        <v>74.3</v>
      </c>
      <c r="W543" s="34" t="n">
        <f aca="false">U543+T543</f>
        <v>75</v>
      </c>
      <c r="X543" s="16" t="n">
        <v>75</v>
      </c>
      <c r="Y543" s="34" t="n">
        <f aca="false">(X543*70)/100</f>
        <v>52.5</v>
      </c>
      <c r="Z543" s="34" t="n">
        <f aca="false">ROUNDUP(Y543,0)</f>
        <v>53</v>
      </c>
      <c r="AA543" s="16" t="n">
        <v>25</v>
      </c>
      <c r="AB543" s="34" t="n">
        <f aca="false">AA543+Y543</f>
        <v>77.5</v>
      </c>
      <c r="AC543" s="34" t="n">
        <f aca="false">AA543+Z543</f>
        <v>78</v>
      </c>
      <c r="AD543" s="32" t="n">
        <f aca="false">X543+R543+Q543+K543+J543</f>
        <v>353</v>
      </c>
      <c r="AE543" s="16" t="n">
        <f aca="false">AD543/5</f>
        <v>70.6</v>
      </c>
      <c r="AF543" s="16" t="n">
        <v>80</v>
      </c>
      <c r="AG543" s="16" t="n">
        <v>87</v>
      </c>
      <c r="AH543" s="16" t="n">
        <v>91</v>
      </c>
      <c r="AI543" s="16" t="n">
        <v>90</v>
      </c>
      <c r="AJ543" s="16" t="n">
        <f aca="false">(AI543*70)/100</f>
        <v>63</v>
      </c>
      <c r="AK543" s="35" t="n">
        <f aca="false">ROUNDUP(AJ543,0)</f>
        <v>63</v>
      </c>
      <c r="AL543" s="16" t="n">
        <v>17</v>
      </c>
      <c r="AM543" s="16" t="n">
        <f aca="false">AL543+AJ543</f>
        <v>80</v>
      </c>
      <c r="AN543" s="16" t="n">
        <f aca="false">AL543+AK543</f>
        <v>80</v>
      </c>
      <c r="AO543" s="16" t="n">
        <v>71</v>
      </c>
      <c r="AP543" s="36" t="n">
        <f aca="false">(AO543*70)/100</f>
        <v>49.7</v>
      </c>
      <c r="AQ543" s="37" t="n">
        <f aca="false">ROUNDUP(AP543,0)</f>
        <v>50</v>
      </c>
      <c r="AR543" s="16" t="n">
        <v>21</v>
      </c>
      <c r="AS543" s="16" t="n">
        <f aca="false">AR543+AP543</f>
        <v>70.7</v>
      </c>
      <c r="AT543" s="16" t="n">
        <f aca="false">AR543+AQ543</f>
        <v>71</v>
      </c>
      <c r="AU543" s="16" t="n">
        <f aca="false">AO543+AF543+AI543+AH543+AG543</f>
        <v>419</v>
      </c>
      <c r="AV543" s="16" t="n">
        <f aca="false">(AO543+AF543+AI543+AH543+AG543)/5</f>
        <v>83.8</v>
      </c>
      <c r="AW543" s="36" t="n">
        <f aca="false">(AO543+AF543+AI543+AH543+AG543+X543+R543+Q543+K543+J543)</f>
        <v>772</v>
      </c>
      <c r="AX543" s="16" t="n">
        <f aca="false">AW543/10</f>
        <v>77.2</v>
      </c>
      <c r="AY543" s="16" t="n">
        <f aca="false">AS543+AF543+AM543+AH543+AG543+AB543+V543+Q543+O543+J543</f>
        <v>774.2</v>
      </c>
      <c r="AZ543" s="16" t="n">
        <f aca="false">AT543+AF543+AN543+AH543+AG543+AC543+W543+Q543+P543+J543</f>
        <v>776</v>
      </c>
      <c r="BA543" s="16" t="n">
        <f aca="false">AY543/10</f>
        <v>77.42</v>
      </c>
      <c r="BB543" s="16" t="n">
        <f aca="false">AZ543/10</f>
        <v>77.6</v>
      </c>
      <c r="BC543" s="16" t="n">
        <v>2361</v>
      </c>
      <c r="BD543" s="16" t="n">
        <f aca="false">RANK(AX543,$AX$2:$AX$881,0)</f>
        <v>482</v>
      </c>
      <c r="BE543" s="54" t="n">
        <f aca="false">((BC543*100)/2400)*0.4+(AX543*0.6)</f>
        <v>85.67</v>
      </c>
      <c r="BF543" s="16" t="n">
        <f aca="false">RANK(BE543,$BE$2:$BE$881,0)</f>
        <v>483</v>
      </c>
      <c r="BG543" s="39" t="n">
        <f aca="false">RANK(BB543,$BB$2:$BB$881,0)</f>
        <v>596</v>
      </c>
      <c r="BH543" s="39" t="n">
        <f aca="false">RANK(BC543,$BC$2:$BC$881,0)</f>
        <v>382</v>
      </c>
      <c r="BI543" s="22" t="s">
        <v>130</v>
      </c>
      <c r="BJ543" s="22" t="s">
        <v>129</v>
      </c>
      <c r="BK543" s="40" t="s">
        <v>509</v>
      </c>
      <c r="BL543" s="41" t="n">
        <v>13</v>
      </c>
      <c r="BM543" s="41" t="n">
        <v>47</v>
      </c>
      <c r="BN543" s="41" t="n">
        <v>60</v>
      </c>
      <c r="BO543" s="42" t="n">
        <v>23</v>
      </c>
      <c r="BP543" s="43" t="n">
        <v>51</v>
      </c>
      <c r="BQ543" s="44" t="n">
        <v>74</v>
      </c>
      <c r="BR543" s="42" t="n">
        <v>22</v>
      </c>
      <c r="BS543" s="45" t="n">
        <v>57</v>
      </c>
      <c r="BT543" s="45" t="n">
        <v>79</v>
      </c>
      <c r="BU543" s="46" t="n">
        <v>100</v>
      </c>
      <c r="BV543" s="47" t="n">
        <v>90</v>
      </c>
      <c r="BW543" s="42" t="n">
        <v>98</v>
      </c>
      <c r="BX543" s="48" t="n">
        <v>90</v>
      </c>
      <c r="BY543" s="32" t="n">
        <v>22</v>
      </c>
      <c r="BZ543" s="32" t="n">
        <v>44</v>
      </c>
      <c r="CA543" s="32" t="n">
        <v>66</v>
      </c>
      <c r="CB543" s="32" t="n">
        <v>21</v>
      </c>
      <c r="CC543" s="32" t="n">
        <v>29</v>
      </c>
      <c r="CD543" s="69" t="n">
        <v>50</v>
      </c>
      <c r="CE543" s="32" t="n">
        <v>26</v>
      </c>
      <c r="CF543" s="32" t="n">
        <v>48</v>
      </c>
      <c r="CG543" s="32" t="n">
        <v>74</v>
      </c>
      <c r="CH543" s="32" t="n">
        <v>93</v>
      </c>
      <c r="CI543" s="32" t="n">
        <v>95</v>
      </c>
      <c r="CJ543" s="83" t="n">
        <v>11</v>
      </c>
      <c r="CK543" s="60"/>
      <c r="CL543" s="61"/>
      <c r="CM543" s="49" t="n">
        <v>20</v>
      </c>
      <c r="CN543" s="49" t="n">
        <v>53</v>
      </c>
      <c r="CO543" s="49" t="n">
        <v>73</v>
      </c>
      <c r="CP543" s="25" t="n">
        <f aca="false">BX543+BW543+BV543+BU543+BT543+BQ543+BN543</f>
        <v>591</v>
      </c>
      <c r="CQ543" s="25" t="n">
        <f aca="false">CO543+CL543+CI543+CH543+CG543+CD543+CA543</f>
        <v>451</v>
      </c>
      <c r="CR543" s="26" t="n">
        <f aca="false">CP543/7</f>
        <v>84.4285714285714</v>
      </c>
      <c r="CS543" s="26" t="n">
        <f aca="false">CQ543/7</f>
        <v>64.4285714285714</v>
      </c>
      <c r="CT543" s="24" t="n">
        <f aca="false">RANK(CR543,$CR$2:$CR$881,0)</f>
        <v>459</v>
      </c>
      <c r="CU543" s="25" t="n">
        <f aca="false">RANK(CS543,$CS$2:$CS$881,0)</f>
        <v>634</v>
      </c>
      <c r="CV543" s="26" t="n">
        <f aca="false">(CS543+CR543)/2</f>
        <v>74.4285714285714</v>
      </c>
      <c r="CW543" s="25" t="n">
        <f aca="false">RANK(CV543,$CV$2:$CV$881,0)</f>
        <v>573</v>
      </c>
      <c r="CX543" s="50" t="n">
        <f aca="false">(CV543+BB543)/2</f>
        <v>76.0142857142857</v>
      </c>
      <c r="CY543" s="50" t="n">
        <v>533</v>
      </c>
      <c r="CZ543" s="27" t="s">
        <v>132</v>
      </c>
      <c r="DA543" s="27" t="s">
        <v>155</v>
      </c>
      <c r="DB543" s="27" t="s">
        <v>155</v>
      </c>
      <c r="DC543" s="27" t="s">
        <v>134</v>
      </c>
      <c r="DD543" s="27" t="s">
        <v>264</v>
      </c>
      <c r="DE543" s="27" t="s">
        <v>313</v>
      </c>
      <c r="DF543" s="27" t="s">
        <v>416</v>
      </c>
      <c r="DG543" s="27" t="s">
        <v>134</v>
      </c>
      <c r="DH543" s="27" t="s">
        <v>154</v>
      </c>
      <c r="DI543" s="27" t="s">
        <v>681</v>
      </c>
      <c r="DJ543" s="27" t="s">
        <v>138</v>
      </c>
      <c r="DK543" s="27" t="s">
        <v>134</v>
      </c>
      <c r="DL543" s="27" t="s">
        <v>191</v>
      </c>
      <c r="DM543" s="27" t="s">
        <v>412</v>
      </c>
      <c r="DN543" s="27" t="s">
        <v>416</v>
      </c>
      <c r="DO543" s="27" t="s">
        <v>134</v>
      </c>
      <c r="DP543" s="27" t="s">
        <v>386</v>
      </c>
      <c r="DQ543" s="27" t="s">
        <v>1064</v>
      </c>
      <c r="DR543" s="27" t="s">
        <v>304</v>
      </c>
      <c r="DS543" s="27" t="s">
        <v>480</v>
      </c>
      <c r="DT543" s="27" t="s">
        <v>140</v>
      </c>
      <c r="DU543" s="27" t="s">
        <v>673</v>
      </c>
      <c r="DV543" s="27" t="s">
        <v>155</v>
      </c>
      <c r="DW543" s="27" t="s">
        <v>164</v>
      </c>
      <c r="DX543" s="27" t="s">
        <v>141</v>
      </c>
      <c r="DY543" s="27" t="s">
        <v>156</v>
      </c>
      <c r="DZ543" s="27" t="n">
        <f aca="false">DY543+DV543+DR543+DN543+DJ543+DF543+DB543</f>
        <v>499</v>
      </c>
      <c r="EA543" s="28" t="n">
        <f aca="false">DZ543/7</f>
        <v>71.2857142857143</v>
      </c>
      <c r="EB543" s="27" t="n">
        <f aca="false">RANK(EA543,$EA$2:$EA$881,0)</f>
        <v>620</v>
      </c>
      <c r="EC543" s="29" t="n">
        <f aca="false">DZ543+CQ543+CP543+AZ543</f>
        <v>2317</v>
      </c>
      <c r="ED543" s="30" t="n">
        <f aca="false">(EA543+CV543+BB543)/3</f>
        <v>74.4380952380952</v>
      </c>
      <c r="EE543" s="51" t="n">
        <f aca="false">ROUND(BE543,3)</f>
        <v>85.67</v>
      </c>
      <c r="EF543" s="51" t="n">
        <f aca="false">ROUND(CR543,3)</f>
        <v>84.429</v>
      </c>
      <c r="EG543" s="51" t="n">
        <f aca="false">ROUND(CS543,3)</f>
        <v>64.429</v>
      </c>
      <c r="EH543" s="51" t="n">
        <f aca="false">ROUND(EA543,3)</f>
        <v>71.286</v>
      </c>
      <c r="EI543" s="51" t="n">
        <f aca="false">ROUND(ED543,3)</f>
        <v>74.438</v>
      </c>
      <c r="EJ543" s="51" t="n">
        <f aca="false">ROUND(CV543,3)</f>
        <v>74.429</v>
      </c>
      <c r="EK543" s="0" t="n">
        <f aca="false">RANK(EI543,$EI$2:$EI$881,0)</f>
        <v>542</v>
      </c>
    </row>
    <row r="544" customFormat="false" ht="15" hidden="false" customHeight="false" outlineLevel="0" collapsed="false">
      <c r="A544" s="4" t="n">
        <v>1892</v>
      </c>
      <c r="B544" s="4" t="n">
        <v>408</v>
      </c>
      <c r="C544" s="27" t="s">
        <v>1639</v>
      </c>
      <c r="D544" s="31" t="n">
        <v>413</v>
      </c>
      <c r="E544" s="16" t="n">
        <v>230610532</v>
      </c>
      <c r="F544" s="56" t="s">
        <v>1640</v>
      </c>
      <c r="G544" s="22" t="s">
        <v>368</v>
      </c>
      <c r="H544" s="22" t="s">
        <v>558</v>
      </c>
      <c r="I544" s="57"/>
      <c r="J544" s="16" t="n">
        <v>78</v>
      </c>
      <c r="K544" s="16" t="n">
        <v>73</v>
      </c>
      <c r="L544" s="34" t="n">
        <f aca="false">(K544*70)/100</f>
        <v>51.1</v>
      </c>
      <c r="M544" s="34" t="n">
        <f aca="false">ROUNDUP(L544,0)</f>
        <v>52</v>
      </c>
      <c r="N544" s="16" t="n">
        <v>19</v>
      </c>
      <c r="O544" s="34" t="n">
        <f aca="false">N544+L544</f>
        <v>70.1</v>
      </c>
      <c r="P544" s="34" t="n">
        <f aca="false">N544+M544</f>
        <v>71</v>
      </c>
      <c r="Q544" s="71" t="n">
        <v>58</v>
      </c>
      <c r="R544" s="16" t="n">
        <v>72</v>
      </c>
      <c r="S544" s="34" t="n">
        <f aca="false">(R544*70)/100</f>
        <v>50.4</v>
      </c>
      <c r="T544" s="34" t="n">
        <f aca="false">ROUNDUP(S544,0)</f>
        <v>51</v>
      </c>
      <c r="U544" s="16" t="n">
        <v>29</v>
      </c>
      <c r="V544" s="34" t="n">
        <f aca="false">U544+S544</f>
        <v>79.4</v>
      </c>
      <c r="W544" s="34" t="n">
        <f aca="false">U544+T544</f>
        <v>80</v>
      </c>
      <c r="X544" s="16" t="n">
        <v>69</v>
      </c>
      <c r="Y544" s="34" t="n">
        <f aca="false">(X544*70)/100</f>
        <v>48.3</v>
      </c>
      <c r="Z544" s="34" t="n">
        <f aca="false">ROUNDUP(Y544,0)</f>
        <v>49</v>
      </c>
      <c r="AA544" s="16" t="n">
        <v>24</v>
      </c>
      <c r="AB544" s="34" t="n">
        <f aca="false">AA544+Y544</f>
        <v>72.3</v>
      </c>
      <c r="AC544" s="34" t="n">
        <f aca="false">AA544+Z544</f>
        <v>73</v>
      </c>
      <c r="AD544" s="32" t="n">
        <f aca="false">X544+R544+Q544+K544+J544</f>
        <v>350</v>
      </c>
      <c r="AE544" s="16" t="n">
        <f aca="false">AD544/5</f>
        <v>70</v>
      </c>
      <c r="AF544" s="16" t="n">
        <v>71</v>
      </c>
      <c r="AG544" s="16" t="n">
        <v>84</v>
      </c>
      <c r="AH544" s="16" t="n">
        <v>96</v>
      </c>
      <c r="AI544" s="16" t="n">
        <v>83</v>
      </c>
      <c r="AJ544" s="16" t="n">
        <f aca="false">(AI544*70)/100</f>
        <v>58.1</v>
      </c>
      <c r="AK544" s="35" t="n">
        <f aca="false">ROUNDUP(AJ544,0)</f>
        <v>59</v>
      </c>
      <c r="AL544" s="16" t="n">
        <v>24</v>
      </c>
      <c r="AM544" s="16" t="n">
        <f aca="false">AL544+AJ544</f>
        <v>82.1</v>
      </c>
      <c r="AN544" s="16" t="n">
        <f aca="false">AL544+AK544</f>
        <v>83</v>
      </c>
      <c r="AO544" s="16" t="n">
        <v>75</v>
      </c>
      <c r="AP544" s="36" t="n">
        <f aca="false">(AO544*70)/100</f>
        <v>52.5</v>
      </c>
      <c r="AQ544" s="37" t="n">
        <f aca="false">ROUNDUP(AP544,0)</f>
        <v>53</v>
      </c>
      <c r="AR544" s="16" t="n">
        <v>25</v>
      </c>
      <c r="AS544" s="16" t="n">
        <f aca="false">AR544+AP544</f>
        <v>77.5</v>
      </c>
      <c r="AT544" s="16" t="n">
        <f aca="false">AR544+AQ544</f>
        <v>78</v>
      </c>
      <c r="AU544" s="16" t="n">
        <f aca="false">AO544+AF544+AI544+AH544+AG544</f>
        <v>409</v>
      </c>
      <c r="AV544" s="16" t="n">
        <f aca="false">(AO544+AF544+AI544+AH544+AG544)/5</f>
        <v>81.8</v>
      </c>
      <c r="AW544" s="36" t="n">
        <f aca="false">(AO544+AF544+AI544+AH544+AG544+X544+R544+Q544+K544+J544)</f>
        <v>759</v>
      </c>
      <c r="AX544" s="16" t="n">
        <f aca="false">AW544/10</f>
        <v>75.9</v>
      </c>
      <c r="AY544" s="16" t="n">
        <f aca="false">AS544+AF544+AM544+AH544+AG544+AB544+V544+Q544+O544+J544</f>
        <v>768.4</v>
      </c>
      <c r="AZ544" s="16" t="n">
        <f aca="false">AT544+AF544+AN544+AH544+AG544+AC544+W544+Q544+P544+J544</f>
        <v>772</v>
      </c>
      <c r="BA544" s="16" t="n">
        <f aca="false">AY544/10</f>
        <v>76.84</v>
      </c>
      <c r="BB544" s="16" t="n">
        <f aca="false">AZ544/10</f>
        <v>77.2</v>
      </c>
      <c r="BC544" s="16" t="n">
        <v>2365</v>
      </c>
      <c r="BD544" s="16" t="n">
        <f aca="false">RANK(AX544,$AX$2:$AX$881,0)</f>
        <v>628</v>
      </c>
      <c r="BE544" s="73" t="n">
        <f aca="false">((BC544*100)/2400)*0.4+(AX544*0.6)</f>
        <v>84.9566666666667</v>
      </c>
      <c r="BF544" s="16" t="n">
        <f aca="false">RANK(BE544,$BE$2:$BE$881,0)</f>
        <v>623</v>
      </c>
      <c r="BG544" s="39" t="n">
        <f aca="false">RANK(BB544,$BB$2:$BB$881,0)</f>
        <v>628</v>
      </c>
      <c r="BH544" s="39" t="n">
        <f aca="false">RANK(BC544,$BC$2:$BC$881,0)</f>
        <v>333</v>
      </c>
      <c r="BI544" s="22" t="s">
        <v>130</v>
      </c>
      <c r="BJ544" s="22" t="s">
        <v>129</v>
      </c>
      <c r="BK544" s="22" t="s">
        <v>509</v>
      </c>
      <c r="BL544" s="105" t="n">
        <v>14</v>
      </c>
      <c r="BM544" s="59" t="n">
        <v>54</v>
      </c>
      <c r="BN544" s="59" t="n">
        <v>68</v>
      </c>
      <c r="BO544" s="42" t="n">
        <v>19</v>
      </c>
      <c r="BP544" s="59" t="n">
        <v>50</v>
      </c>
      <c r="BQ544" s="59" t="n">
        <v>69</v>
      </c>
      <c r="BR544" s="42" t="n">
        <v>15</v>
      </c>
      <c r="BS544" s="88" t="n">
        <v>26</v>
      </c>
      <c r="BT544" s="125" t="n">
        <v>41</v>
      </c>
      <c r="BU544" s="77" t="n">
        <v>67</v>
      </c>
      <c r="BV544" s="58" t="n">
        <v>77</v>
      </c>
      <c r="BW544" s="102" t="n">
        <v>94</v>
      </c>
      <c r="BX544" s="88" t="n">
        <v>92</v>
      </c>
      <c r="BY544" s="65" t="n">
        <v>27</v>
      </c>
      <c r="BZ544" s="58" t="n">
        <v>51</v>
      </c>
      <c r="CA544" s="58" t="n">
        <v>78</v>
      </c>
      <c r="CB544" s="59" t="n">
        <v>23</v>
      </c>
      <c r="CC544" s="58" t="n">
        <v>55</v>
      </c>
      <c r="CD544" s="58" t="n">
        <v>78</v>
      </c>
      <c r="CE544" s="58" t="n">
        <v>24</v>
      </c>
      <c r="CF544" s="58" t="n">
        <v>49</v>
      </c>
      <c r="CG544" s="58" t="n">
        <v>73</v>
      </c>
      <c r="CH544" s="58" t="n">
        <v>88</v>
      </c>
      <c r="CI544" s="58" t="n">
        <v>81</v>
      </c>
      <c r="CJ544" s="58" t="n">
        <v>25</v>
      </c>
      <c r="CK544" s="58" t="n">
        <v>60</v>
      </c>
      <c r="CL544" s="59" t="n">
        <v>85</v>
      </c>
      <c r="CM544" s="60"/>
      <c r="CN544" s="60"/>
      <c r="CO544" s="60"/>
      <c r="CP544" s="25" t="n">
        <f aca="false">BX544+BW544+BV544+BU544+BT544+BQ544+BN544</f>
        <v>508</v>
      </c>
      <c r="CQ544" s="25" t="n">
        <f aca="false">CO544+CL544+CI544+CH544+CG544+CD544+CA544</f>
        <v>483</v>
      </c>
      <c r="CR544" s="26" t="n">
        <f aca="false">CP544/7</f>
        <v>72.5714285714286</v>
      </c>
      <c r="CS544" s="26" t="n">
        <f aca="false">CQ544/7</f>
        <v>69</v>
      </c>
      <c r="CT544" s="24" t="n">
        <f aca="false">RANK(CR544,$CR$2:$CR$881,0)</f>
        <v>667</v>
      </c>
      <c r="CU544" s="25" t="n">
        <f aca="false">RANK(CS544,$CS$2:$CS$881,0)</f>
        <v>570</v>
      </c>
      <c r="CV544" s="26" t="n">
        <f aca="false">(CS544+CR544)/2</f>
        <v>70.7857142857143</v>
      </c>
      <c r="CW544" s="25" t="n">
        <f aca="false">RANK(CV544,$CV$2:$CV$881,0)</f>
        <v>629</v>
      </c>
      <c r="CX544" s="50" t="n">
        <f aca="false">(CV544+BB544)/2</f>
        <v>73.9928571428571</v>
      </c>
      <c r="CY544" s="50" t="n">
        <v>836</v>
      </c>
      <c r="CZ544" s="27" t="s">
        <v>132</v>
      </c>
      <c r="DA544" s="27" t="s">
        <v>133</v>
      </c>
      <c r="DB544" s="27" t="s">
        <v>133</v>
      </c>
      <c r="DC544" s="27" t="s">
        <v>134</v>
      </c>
      <c r="DD544" s="27" t="s">
        <v>174</v>
      </c>
      <c r="DE544" s="27" t="s">
        <v>447</v>
      </c>
      <c r="DF544" s="27" t="s">
        <v>441</v>
      </c>
      <c r="DG544" s="27" t="s">
        <v>134</v>
      </c>
      <c r="DH544" s="27" t="s">
        <v>137</v>
      </c>
      <c r="DI544" s="27" t="s">
        <v>442</v>
      </c>
      <c r="DJ544" s="27" t="s">
        <v>441</v>
      </c>
      <c r="DK544" s="27" t="s">
        <v>134</v>
      </c>
      <c r="DL544" s="27" t="s">
        <v>195</v>
      </c>
      <c r="DM544" s="27" t="s">
        <v>313</v>
      </c>
      <c r="DN544" s="27" t="s">
        <v>486</v>
      </c>
      <c r="DO544" s="27" t="s">
        <v>134</v>
      </c>
      <c r="DP544" s="27" t="s">
        <v>485</v>
      </c>
      <c r="DQ544" s="27" t="s">
        <v>442</v>
      </c>
      <c r="DR544" s="27" t="s">
        <v>187</v>
      </c>
      <c r="DS544" s="27" t="s">
        <v>134</v>
      </c>
      <c r="DT544" s="27" t="s">
        <v>160</v>
      </c>
      <c r="DU544" s="27" t="s">
        <v>1388</v>
      </c>
      <c r="DV544" s="27" t="s">
        <v>161</v>
      </c>
      <c r="DW544" s="27" t="s">
        <v>174</v>
      </c>
      <c r="DX544" s="27" t="s">
        <v>141</v>
      </c>
      <c r="DY544" s="27" t="s">
        <v>162</v>
      </c>
      <c r="DZ544" s="27" t="n">
        <f aca="false">DY544+DV544+DR544+DN544+DJ544+DF544+DB544</f>
        <v>527</v>
      </c>
      <c r="EA544" s="28" t="n">
        <f aca="false">DZ544/7</f>
        <v>75.2857142857143</v>
      </c>
      <c r="EB544" s="27" t="n">
        <f aca="false">RANK(EA544,$EA$2:$EA$881,0)</f>
        <v>533</v>
      </c>
      <c r="EC544" s="29" t="n">
        <f aca="false">DZ544+CQ544+CP544+AZ544</f>
        <v>2290</v>
      </c>
      <c r="ED544" s="30" t="n">
        <f aca="false">(EA544+CV544+BB544)/3</f>
        <v>74.4238095238095</v>
      </c>
      <c r="EE544" s="51" t="n">
        <f aca="false">ROUND(BE544,3)</f>
        <v>84.957</v>
      </c>
      <c r="EF544" s="51" t="n">
        <f aca="false">ROUND(CR544,3)</f>
        <v>72.571</v>
      </c>
      <c r="EG544" s="51" t="n">
        <f aca="false">ROUND(CS544,3)</f>
        <v>69</v>
      </c>
      <c r="EH544" s="51" t="n">
        <f aca="false">ROUND(EA544,3)</f>
        <v>75.286</v>
      </c>
      <c r="EI544" s="51" t="n">
        <f aca="false">ROUND(ED544,3)</f>
        <v>74.424</v>
      </c>
      <c r="EJ544" s="51" t="n">
        <f aca="false">ROUND(CV544,3)</f>
        <v>70.786</v>
      </c>
      <c r="EK544" s="0" t="n">
        <f aca="false">RANK(EI544,$EI$2:$EI$881,0)</f>
        <v>543</v>
      </c>
    </row>
    <row r="545" customFormat="false" ht="15" hidden="false" customHeight="false" outlineLevel="0" collapsed="false">
      <c r="A545" s="4" t="n">
        <v>1889</v>
      </c>
      <c r="B545" s="4" t="n">
        <v>27</v>
      </c>
      <c r="C545" s="27" t="s">
        <v>1641</v>
      </c>
      <c r="D545" s="52" t="n">
        <v>27</v>
      </c>
      <c r="E545" s="16" t="n">
        <v>230614400</v>
      </c>
      <c r="F545" s="56" t="s">
        <v>1642</v>
      </c>
      <c r="G545" s="22" t="s">
        <v>316</v>
      </c>
      <c r="H545" s="22" t="s">
        <v>558</v>
      </c>
      <c r="I545" s="57"/>
      <c r="J545" s="16" t="n">
        <v>85</v>
      </c>
      <c r="K545" s="16" t="n">
        <v>75</v>
      </c>
      <c r="L545" s="34" t="n">
        <f aca="false">(K545*70)/100</f>
        <v>52.5</v>
      </c>
      <c r="M545" s="34" t="n">
        <f aca="false">ROUNDUP(L545,0)</f>
        <v>53</v>
      </c>
      <c r="N545" s="16" t="n">
        <v>20</v>
      </c>
      <c r="O545" s="34" t="n">
        <f aca="false">N545+L545</f>
        <v>72.5</v>
      </c>
      <c r="P545" s="34" t="n">
        <f aca="false">N545+M545</f>
        <v>73</v>
      </c>
      <c r="Q545" s="16" t="n">
        <v>79</v>
      </c>
      <c r="R545" s="16" t="n">
        <v>67</v>
      </c>
      <c r="S545" s="34" t="n">
        <f aca="false">(R545*70)/100</f>
        <v>46.9</v>
      </c>
      <c r="T545" s="34" t="n">
        <f aca="false">ROUNDUP(S545,0)</f>
        <v>47</v>
      </c>
      <c r="U545" s="16" t="n">
        <v>27</v>
      </c>
      <c r="V545" s="34" t="n">
        <f aca="false">U545+S545</f>
        <v>73.9</v>
      </c>
      <c r="W545" s="34" t="n">
        <f aca="false">U545+T545</f>
        <v>74</v>
      </c>
      <c r="X545" s="16" t="n">
        <v>66</v>
      </c>
      <c r="Y545" s="34" t="n">
        <f aca="false">(X545*70)/100</f>
        <v>46.2</v>
      </c>
      <c r="Z545" s="34" t="n">
        <f aca="false">ROUNDUP(Y545,0)</f>
        <v>47</v>
      </c>
      <c r="AA545" s="16" t="n">
        <v>22</v>
      </c>
      <c r="AB545" s="34" t="n">
        <f aca="false">AA545+Y545</f>
        <v>68.2</v>
      </c>
      <c r="AC545" s="34" t="n">
        <f aca="false">AA545+Z545</f>
        <v>69</v>
      </c>
      <c r="AD545" s="32" t="n">
        <f aca="false">X545+R545+Q545+K545+J545</f>
        <v>372</v>
      </c>
      <c r="AE545" s="16" t="n">
        <f aca="false">AD545/5</f>
        <v>74.4</v>
      </c>
      <c r="AF545" s="16" t="n">
        <v>64</v>
      </c>
      <c r="AG545" s="16" t="n">
        <v>87</v>
      </c>
      <c r="AH545" s="16" t="n">
        <v>80</v>
      </c>
      <c r="AI545" s="16" t="n">
        <v>90</v>
      </c>
      <c r="AJ545" s="16" t="n">
        <f aca="false">(AI545*70)/100</f>
        <v>63</v>
      </c>
      <c r="AK545" s="35" t="n">
        <f aca="false">ROUNDUP(AJ545,0)</f>
        <v>63</v>
      </c>
      <c r="AL545" s="16" t="n">
        <v>28</v>
      </c>
      <c r="AM545" s="16" t="n">
        <f aca="false">AL545+AJ545</f>
        <v>91</v>
      </c>
      <c r="AN545" s="16" t="n">
        <f aca="false">AL545+AK545</f>
        <v>91</v>
      </c>
      <c r="AO545" s="16" t="n">
        <v>76</v>
      </c>
      <c r="AP545" s="36" t="n">
        <f aca="false">(AO545*70)/100</f>
        <v>53.2</v>
      </c>
      <c r="AQ545" s="37" t="n">
        <f aca="false">ROUNDUP(AP545,0)</f>
        <v>54</v>
      </c>
      <c r="AR545" s="16" t="n">
        <v>21</v>
      </c>
      <c r="AS545" s="16" t="n">
        <f aca="false">AR545+AP545</f>
        <v>74.2</v>
      </c>
      <c r="AT545" s="16" t="n">
        <f aca="false">AR545+AQ545</f>
        <v>75</v>
      </c>
      <c r="AU545" s="16" t="n">
        <f aca="false">AO545+AF545+AI545+AH545+AG545</f>
        <v>397</v>
      </c>
      <c r="AV545" s="16" t="n">
        <f aca="false">(AO545+AF545+AI545+AH545+AG545)/5</f>
        <v>79.4</v>
      </c>
      <c r="AW545" s="36" t="n">
        <f aca="false">(AO545+AF545+AI545+AH545+AG545+X545+R545+Q545+K545+J545)</f>
        <v>769</v>
      </c>
      <c r="AX545" s="16" t="n">
        <f aca="false">AW545/10</f>
        <v>76.9</v>
      </c>
      <c r="AY545" s="16" t="n">
        <f aca="false">AS545+AF545+AM545+AH545+AG545+AB545+V545+Q545+O545+J545</f>
        <v>774.8</v>
      </c>
      <c r="AZ545" s="16" t="n">
        <f aca="false">AT545+AF545+AN545+AH545+AG545+AC545+W545+Q545+P545+J545</f>
        <v>777</v>
      </c>
      <c r="BA545" s="16" t="n">
        <f aca="false">AY545/10</f>
        <v>77.48</v>
      </c>
      <c r="BB545" s="16" t="n">
        <f aca="false">AZ545/10</f>
        <v>77.7</v>
      </c>
      <c r="BC545" s="16" t="n">
        <v>2355</v>
      </c>
      <c r="BD545" s="16" t="n">
        <f aca="false">RANK(AX545,$AX$2:$AX$881,0)</f>
        <v>519</v>
      </c>
      <c r="BE545" s="54" t="n">
        <f aca="false">((BC545*100)/2400)*0.4+(AX545*0.6)</f>
        <v>85.39</v>
      </c>
      <c r="BF545" s="16" t="n">
        <f aca="false">RANK(BE545,$BE$2:$BE$881,0)</f>
        <v>529</v>
      </c>
      <c r="BG545" s="39" t="n">
        <f aca="false">RANK(BB545,$BB$2:$BB$881,0)</f>
        <v>586</v>
      </c>
      <c r="BH545" s="39" t="n">
        <f aca="false">RANK(BC545,$BC$2:$BC$881,0)</f>
        <v>476</v>
      </c>
      <c r="BI545" s="22" t="s">
        <v>130</v>
      </c>
      <c r="BJ545" s="22" t="s">
        <v>129</v>
      </c>
      <c r="BK545" s="40" t="s">
        <v>509</v>
      </c>
      <c r="BL545" s="41" t="n">
        <v>12</v>
      </c>
      <c r="BM545" s="41" t="n">
        <v>53</v>
      </c>
      <c r="BN545" s="41" t="n">
        <v>65</v>
      </c>
      <c r="BO545" s="42" t="n">
        <v>18</v>
      </c>
      <c r="BP545" s="43" t="n">
        <v>43</v>
      </c>
      <c r="BQ545" s="44" t="n">
        <v>61</v>
      </c>
      <c r="BR545" s="42" t="n">
        <v>20</v>
      </c>
      <c r="BS545" s="45" t="n">
        <v>47</v>
      </c>
      <c r="BT545" s="45" t="n">
        <v>67</v>
      </c>
      <c r="BU545" s="46" t="n">
        <v>98</v>
      </c>
      <c r="BV545" s="47" t="n">
        <v>82</v>
      </c>
      <c r="BW545" s="42" t="n">
        <v>100</v>
      </c>
      <c r="BX545" s="88" t="n">
        <v>94</v>
      </c>
      <c r="BY545" s="65" t="n">
        <v>23</v>
      </c>
      <c r="BZ545" s="58" t="n">
        <v>43</v>
      </c>
      <c r="CA545" s="58" t="n">
        <v>66</v>
      </c>
      <c r="CB545" s="59" t="n">
        <v>17</v>
      </c>
      <c r="CC545" s="58" t="n">
        <v>56</v>
      </c>
      <c r="CD545" s="58" t="n">
        <v>73</v>
      </c>
      <c r="CE545" s="58" t="n">
        <v>18</v>
      </c>
      <c r="CF545" s="58" t="n">
        <v>40</v>
      </c>
      <c r="CG545" s="90" t="n">
        <v>58</v>
      </c>
      <c r="CH545" s="58" t="n">
        <v>87</v>
      </c>
      <c r="CI545" s="58" t="n">
        <v>71</v>
      </c>
      <c r="CJ545" s="58" t="n">
        <v>12</v>
      </c>
      <c r="CK545" s="58" t="n">
        <v>52</v>
      </c>
      <c r="CL545" s="59" t="n">
        <v>64</v>
      </c>
      <c r="CM545" s="60"/>
      <c r="CN545" s="60"/>
      <c r="CO545" s="60"/>
      <c r="CP545" s="25" t="n">
        <f aca="false">BX545+BW545+BV545+BU545+BT545+BQ545+BN545</f>
        <v>567</v>
      </c>
      <c r="CQ545" s="25" t="n">
        <f aca="false">CO545+CL545+CI545+CH545+CG545+CD545+CA545</f>
        <v>419</v>
      </c>
      <c r="CR545" s="26" t="n">
        <f aca="false">CP545/7</f>
        <v>81</v>
      </c>
      <c r="CS545" s="26" t="n">
        <f aca="false">CQ545/7</f>
        <v>59.8571428571429</v>
      </c>
      <c r="CT545" s="24" t="n">
        <f aca="false">RANK(CR545,$CR$2:$CR$881,0)</f>
        <v>565</v>
      </c>
      <c r="CU545" s="25" t="n">
        <f aca="false">RANK(CS545,$CS$2:$CS$881,0)</f>
        <v>686</v>
      </c>
      <c r="CV545" s="26" t="n">
        <f aca="false">(CS545+CR545)/2</f>
        <v>70.4285714285714</v>
      </c>
      <c r="CW545" s="25" t="n">
        <f aca="false">RANK(CV545,$CV$2:$CV$881,0)</f>
        <v>632</v>
      </c>
      <c r="CX545" s="50" t="n">
        <f aca="false">(CV545+BB545)/2</f>
        <v>74.0642857142857</v>
      </c>
      <c r="CY545" s="50" t="n">
        <v>673</v>
      </c>
      <c r="CZ545" s="27" t="s">
        <v>132</v>
      </c>
      <c r="DA545" s="27" t="s">
        <v>202</v>
      </c>
      <c r="DB545" s="27" t="s">
        <v>202</v>
      </c>
      <c r="DC545" s="27" t="s">
        <v>134</v>
      </c>
      <c r="DD545" s="27" t="s">
        <v>135</v>
      </c>
      <c r="DE545" s="27" t="s">
        <v>681</v>
      </c>
      <c r="DF545" s="27" t="s">
        <v>416</v>
      </c>
      <c r="DG545" s="27" t="s">
        <v>134</v>
      </c>
      <c r="DH545" s="27" t="s">
        <v>182</v>
      </c>
      <c r="DI545" s="27" t="s">
        <v>442</v>
      </c>
      <c r="DJ545" s="27" t="s">
        <v>486</v>
      </c>
      <c r="DK545" s="27" t="s">
        <v>134</v>
      </c>
      <c r="DL545" s="27" t="s">
        <v>174</v>
      </c>
      <c r="DM545" s="27" t="s">
        <v>375</v>
      </c>
      <c r="DN545" s="27" t="s">
        <v>398</v>
      </c>
      <c r="DO545" s="27" t="s">
        <v>134</v>
      </c>
      <c r="DP545" s="27" t="s">
        <v>174</v>
      </c>
      <c r="DQ545" s="27" t="s">
        <v>313</v>
      </c>
      <c r="DR545" s="27" t="s">
        <v>372</v>
      </c>
      <c r="DS545" s="27" t="s">
        <v>134</v>
      </c>
      <c r="DT545" s="27" t="s">
        <v>195</v>
      </c>
      <c r="DU545" s="27" t="s">
        <v>1407</v>
      </c>
      <c r="DV545" s="27" t="s">
        <v>161</v>
      </c>
      <c r="DW545" s="27" t="s">
        <v>164</v>
      </c>
      <c r="DX545" s="27" t="s">
        <v>203</v>
      </c>
      <c r="DY545" s="27" t="s">
        <v>162</v>
      </c>
      <c r="DZ545" s="27" t="n">
        <f aca="false">DY545+DV545+DR545+DN545+DJ545+DF545+DB545</f>
        <v>526</v>
      </c>
      <c r="EA545" s="28" t="n">
        <f aca="false">DZ545/7</f>
        <v>75.1428571428571</v>
      </c>
      <c r="EB545" s="27" t="n">
        <f aca="false">RANK(EA545,$EA$2:$EA$881,0)</f>
        <v>538</v>
      </c>
      <c r="EC545" s="29" t="n">
        <f aca="false">DZ545+CQ545+CP545+AZ545</f>
        <v>2289</v>
      </c>
      <c r="ED545" s="30" t="n">
        <f aca="false">(EA545+CV545+BB545)/3</f>
        <v>74.4238095238095</v>
      </c>
      <c r="EE545" s="51" t="n">
        <f aca="false">ROUND(BE545,3)</f>
        <v>85.39</v>
      </c>
      <c r="EF545" s="51" t="n">
        <f aca="false">ROUND(CR545,3)</f>
        <v>81</v>
      </c>
      <c r="EG545" s="51" t="n">
        <f aca="false">ROUND(CS545,3)</f>
        <v>59.857</v>
      </c>
      <c r="EH545" s="51" t="n">
        <f aca="false">ROUND(EA545,3)</f>
        <v>75.143</v>
      </c>
      <c r="EI545" s="51" t="n">
        <f aca="false">ROUND(ED545,3)</f>
        <v>74.424</v>
      </c>
      <c r="EJ545" s="51" t="n">
        <f aca="false">ROUND(CV545,3)</f>
        <v>70.429</v>
      </c>
      <c r="EK545" s="0" t="n">
        <f aca="false">RANK(EI545,$EI$2:$EI$881,0)</f>
        <v>543</v>
      </c>
    </row>
    <row r="546" customFormat="false" ht="15" hidden="false" customHeight="false" outlineLevel="0" collapsed="false">
      <c r="A546" s="4" t="n">
        <v>8838</v>
      </c>
      <c r="B546" s="4" t="n">
        <v>721</v>
      </c>
      <c r="C546" s="27" t="s">
        <v>1643</v>
      </c>
      <c r="D546" s="31" t="n">
        <v>736</v>
      </c>
      <c r="E546" s="16" t="n">
        <v>230119935</v>
      </c>
      <c r="F546" s="56" t="s">
        <v>1644</v>
      </c>
      <c r="G546" s="22" t="s">
        <v>1645</v>
      </c>
      <c r="H546" s="22" t="s">
        <v>326</v>
      </c>
      <c r="I546" s="57"/>
      <c r="J546" s="16" t="n">
        <v>85</v>
      </c>
      <c r="K546" s="16" t="n">
        <v>77</v>
      </c>
      <c r="L546" s="34" t="n">
        <f aca="false">(K546*70)/100</f>
        <v>53.9</v>
      </c>
      <c r="M546" s="34" t="n">
        <f aca="false">ROUNDUP(L546,0)</f>
        <v>54</v>
      </c>
      <c r="N546" s="16" t="n">
        <v>23</v>
      </c>
      <c r="O546" s="34" t="n">
        <f aca="false">N546+L546</f>
        <v>76.9</v>
      </c>
      <c r="P546" s="34" t="n">
        <f aca="false">N546+M546</f>
        <v>77</v>
      </c>
      <c r="Q546" s="16" t="n">
        <v>74</v>
      </c>
      <c r="R546" s="16" t="n">
        <v>71</v>
      </c>
      <c r="S546" s="34" t="n">
        <f aca="false">(R546*70)/100</f>
        <v>49.7</v>
      </c>
      <c r="T546" s="34" t="n">
        <f aca="false">ROUNDUP(S546,0)</f>
        <v>50</v>
      </c>
      <c r="U546" s="16" t="n">
        <v>22</v>
      </c>
      <c r="V546" s="34" t="n">
        <f aca="false">U546+S546</f>
        <v>71.7</v>
      </c>
      <c r="W546" s="34" t="n">
        <f aca="false">U546+T546</f>
        <v>72</v>
      </c>
      <c r="X546" s="16" t="n">
        <v>63</v>
      </c>
      <c r="Y546" s="34" t="n">
        <f aca="false">(X546*70)/100</f>
        <v>44.1</v>
      </c>
      <c r="Z546" s="34" t="n">
        <f aca="false">ROUNDUP(Y546,0)</f>
        <v>45</v>
      </c>
      <c r="AA546" s="16" t="n">
        <v>21</v>
      </c>
      <c r="AB546" s="34" t="n">
        <f aca="false">AA546+Y546</f>
        <v>65.1</v>
      </c>
      <c r="AC546" s="34" t="n">
        <f aca="false">AA546+Z546</f>
        <v>66</v>
      </c>
      <c r="AD546" s="32" t="n">
        <f aca="false">X546+R546+Q546+K546+J546</f>
        <v>370</v>
      </c>
      <c r="AE546" s="16" t="n">
        <f aca="false">AD546/5</f>
        <v>74</v>
      </c>
      <c r="AF546" s="16" t="n">
        <v>75</v>
      </c>
      <c r="AG546" s="16" t="n">
        <v>93</v>
      </c>
      <c r="AH546" s="16" t="n">
        <v>89</v>
      </c>
      <c r="AI546" s="16" t="n">
        <v>91</v>
      </c>
      <c r="AJ546" s="16" t="n">
        <f aca="false">(AI546*70)/100</f>
        <v>63.7</v>
      </c>
      <c r="AK546" s="35" t="n">
        <f aca="false">ROUNDUP(AJ546,0)</f>
        <v>64</v>
      </c>
      <c r="AL546" s="16" t="n">
        <v>18</v>
      </c>
      <c r="AM546" s="16" t="n">
        <f aca="false">AL546+AJ546</f>
        <v>81.7</v>
      </c>
      <c r="AN546" s="16" t="n">
        <f aca="false">AL546+AK546</f>
        <v>82</v>
      </c>
      <c r="AO546" s="16" t="n">
        <v>74</v>
      </c>
      <c r="AP546" s="36" t="n">
        <f aca="false">(AO546*70)/100</f>
        <v>51.8</v>
      </c>
      <c r="AQ546" s="37" t="n">
        <f aca="false">ROUNDUP(AP546,0)</f>
        <v>52</v>
      </c>
      <c r="AR546" s="16" t="n">
        <v>24</v>
      </c>
      <c r="AS546" s="16" t="n">
        <f aca="false">AR546+AP546</f>
        <v>75.8</v>
      </c>
      <c r="AT546" s="16" t="n">
        <f aca="false">AR546+AQ546</f>
        <v>76</v>
      </c>
      <c r="AU546" s="16" t="n">
        <f aca="false">AO546+AF546+AI546+AH546+AG546</f>
        <v>422</v>
      </c>
      <c r="AV546" s="16" t="n">
        <f aca="false">(AO546+AF546+AI546+AH546+AG546)/5</f>
        <v>84.4</v>
      </c>
      <c r="AW546" s="36" t="n">
        <f aca="false">(AO546+AF546+AI546+AH546+AG546+X546+R546+Q546+K546+J546)</f>
        <v>792</v>
      </c>
      <c r="AX546" s="16" t="n">
        <f aca="false">AW546/10</f>
        <v>79.2</v>
      </c>
      <c r="AY546" s="16" t="n">
        <f aca="false">AS546+AF546+AM546+AH546+AG546+AB546+V546+Q546+O546+J546</f>
        <v>787.2</v>
      </c>
      <c r="AZ546" s="16" t="n">
        <f aca="false">AT546+AF546+AN546+AH546+AG546+AC546+W546+Q546+P546+J546</f>
        <v>789</v>
      </c>
      <c r="BA546" s="16" t="n">
        <f aca="false">AY546/10</f>
        <v>78.72</v>
      </c>
      <c r="BB546" s="16" t="n">
        <f aca="false">AZ546/10</f>
        <v>78.9</v>
      </c>
      <c r="BC546" s="16" t="n">
        <v>2391</v>
      </c>
      <c r="BD546" s="16" t="n">
        <f aca="false">RANK(AX546,$AX$2:$AX$881,0)</f>
        <v>316</v>
      </c>
      <c r="BE546" s="54" t="n">
        <f aca="false">((BC546*100)/2400)*0.4+(AX546*0.6)</f>
        <v>87.37</v>
      </c>
      <c r="BF546" s="16" t="n">
        <f aca="false">RANK(BE546,$BE$2:$BE$881,0)</f>
        <v>262</v>
      </c>
      <c r="BG546" s="39" t="n">
        <f aca="false">RANK(BB546,$BB$2:$BB$881,0)</f>
        <v>463</v>
      </c>
      <c r="BH546" s="39" t="n">
        <f aca="false">RANK(BC546,$BC$2:$BC$881,0)</f>
        <v>37</v>
      </c>
      <c r="BI546" s="22" t="s">
        <v>130</v>
      </c>
      <c r="BJ546" s="22" t="s">
        <v>129</v>
      </c>
      <c r="BK546" s="40" t="s">
        <v>131</v>
      </c>
      <c r="BL546" s="41" t="n">
        <v>12</v>
      </c>
      <c r="BM546" s="41" t="n">
        <v>49</v>
      </c>
      <c r="BN546" s="41" t="n">
        <v>61</v>
      </c>
      <c r="BO546" s="42" t="n">
        <v>27</v>
      </c>
      <c r="BP546" s="43" t="n">
        <v>57</v>
      </c>
      <c r="BQ546" s="44" t="n">
        <v>84</v>
      </c>
      <c r="BR546" s="42" t="n">
        <v>18</v>
      </c>
      <c r="BS546" s="45" t="n">
        <v>50</v>
      </c>
      <c r="BT546" s="45" t="n">
        <v>68</v>
      </c>
      <c r="BU546" s="46" t="n">
        <v>100</v>
      </c>
      <c r="BV546" s="47" t="n">
        <v>94</v>
      </c>
      <c r="BW546" s="42" t="n">
        <v>88</v>
      </c>
      <c r="BX546" s="48" t="n">
        <v>94</v>
      </c>
      <c r="BY546" s="32" t="n">
        <v>27</v>
      </c>
      <c r="BZ546" s="32" t="n">
        <v>58</v>
      </c>
      <c r="CA546" s="32" t="n">
        <v>85</v>
      </c>
      <c r="CB546" s="32" t="n">
        <v>19</v>
      </c>
      <c r="CC546" s="32" t="n">
        <v>26</v>
      </c>
      <c r="CD546" s="69" t="n">
        <v>45</v>
      </c>
      <c r="CE546" s="32" t="n">
        <v>23</v>
      </c>
      <c r="CF546" s="32" t="n">
        <v>42</v>
      </c>
      <c r="CG546" s="32" t="n">
        <v>65</v>
      </c>
      <c r="CH546" s="32" t="n">
        <v>98</v>
      </c>
      <c r="CI546" s="32" t="n">
        <v>98</v>
      </c>
      <c r="CJ546" s="49" t="n">
        <v>20</v>
      </c>
      <c r="CK546" s="49" t="n">
        <v>48</v>
      </c>
      <c r="CL546" s="49" t="n">
        <v>68</v>
      </c>
      <c r="CM546" s="49" t="n">
        <v>17</v>
      </c>
      <c r="CN546" s="49" t="n">
        <v>48</v>
      </c>
      <c r="CO546" s="49" t="n">
        <v>65</v>
      </c>
      <c r="CP546" s="25" t="n">
        <f aca="false">BX546+BW546+BV546+BU546+BT546+BQ546+BN546</f>
        <v>589</v>
      </c>
      <c r="CQ546" s="25" t="n">
        <f aca="false">CO546+CL546+CI546+CH546+CG546+CD546+CA546</f>
        <v>524</v>
      </c>
      <c r="CR546" s="26" t="n">
        <f aca="false">CP546/7</f>
        <v>84.1428571428571</v>
      </c>
      <c r="CS546" s="26" t="n">
        <f aca="false">CQ546/7</f>
        <v>74.8571428571429</v>
      </c>
      <c r="CT546" s="24" t="n">
        <f aca="false">RANK(CR546,$CR$2:$CR$881,0)</f>
        <v>474</v>
      </c>
      <c r="CU546" s="25" t="n">
        <f aca="false">RANK(CS546,$CS$2:$CS$881,0)</f>
        <v>435</v>
      </c>
      <c r="CV546" s="26" t="n">
        <f aca="false">(CS546+CR546)/2</f>
        <v>79.5</v>
      </c>
      <c r="CW546" s="25" t="n">
        <f aca="false">RANK(CV546,$CV$2:$CV$881,0)</f>
        <v>449</v>
      </c>
      <c r="CX546" s="50" t="n">
        <f aca="false">(CV546+BB546)/2</f>
        <v>79.2</v>
      </c>
      <c r="CY546" s="50" t="n">
        <v>413</v>
      </c>
      <c r="CZ546" s="27" t="s">
        <v>132</v>
      </c>
      <c r="DA546" s="27" t="s">
        <v>133</v>
      </c>
      <c r="DB546" s="27" t="s">
        <v>133</v>
      </c>
      <c r="DC546" s="27" t="s">
        <v>134</v>
      </c>
      <c r="DD546" s="27" t="s">
        <v>706</v>
      </c>
      <c r="DE546" s="27" t="s">
        <v>415</v>
      </c>
      <c r="DF546" s="27" t="s">
        <v>203</v>
      </c>
      <c r="DG546" s="27" t="s">
        <v>134</v>
      </c>
      <c r="DH546" s="27" t="s">
        <v>154</v>
      </c>
      <c r="DI546" s="27" t="s">
        <v>313</v>
      </c>
      <c r="DJ546" s="27" t="s">
        <v>441</v>
      </c>
      <c r="DK546" s="27" t="s">
        <v>134</v>
      </c>
      <c r="DL546" s="27" t="s">
        <v>182</v>
      </c>
      <c r="DM546" s="27" t="s">
        <v>304</v>
      </c>
      <c r="DN546" s="27" t="s">
        <v>305</v>
      </c>
      <c r="DO546" s="27" t="s">
        <v>134</v>
      </c>
      <c r="DP546" s="27"/>
      <c r="DQ546" s="27"/>
      <c r="DR546" s="27"/>
      <c r="DS546" s="27"/>
      <c r="DT546" s="27" t="s">
        <v>154</v>
      </c>
      <c r="DU546" s="27" t="s">
        <v>638</v>
      </c>
      <c r="DV546" s="27" t="s">
        <v>143</v>
      </c>
      <c r="DW546" s="27" t="s">
        <v>825</v>
      </c>
      <c r="DX546" s="27" t="s">
        <v>141</v>
      </c>
      <c r="DY546" s="27" t="s">
        <v>219</v>
      </c>
      <c r="DZ546" s="27" t="n">
        <f aca="false">DY546+DV546+DR546+DN546+DJ546+DF546+DB546</f>
        <v>451</v>
      </c>
      <c r="EA546" s="28" t="n">
        <f aca="false">DZ546/7</f>
        <v>64.4285714285714</v>
      </c>
      <c r="EB546" s="27" t="n">
        <f aca="false">RANK(EA546,$EA$2:$EA$881,0)</f>
        <v>741</v>
      </c>
      <c r="EC546" s="29" t="n">
        <f aca="false">DZ546+CQ546+CP546+AZ546</f>
        <v>2353</v>
      </c>
      <c r="ED546" s="30" t="n">
        <f aca="false">(EA546+CV546+BB546)/3</f>
        <v>74.2761904761905</v>
      </c>
      <c r="EE546" s="51" t="n">
        <f aca="false">ROUND(BE546,3)</f>
        <v>87.37</v>
      </c>
      <c r="EF546" s="51" t="n">
        <f aca="false">ROUND(CR546,3)</f>
        <v>84.143</v>
      </c>
      <c r="EG546" s="51" t="n">
        <f aca="false">ROUND(CS546,3)</f>
        <v>74.857</v>
      </c>
      <c r="EH546" s="51" t="n">
        <f aca="false">ROUND(EA546,3)</f>
        <v>64.429</v>
      </c>
      <c r="EI546" s="51" t="n">
        <f aca="false">ROUND(ED546,3)</f>
        <v>74.276</v>
      </c>
      <c r="EJ546" s="51" t="n">
        <f aca="false">ROUND(CV546,3)</f>
        <v>79.5</v>
      </c>
      <c r="EK546" s="0" t="n">
        <f aca="false">RANK(EI546,$EI$2:$EI$881,0)</f>
        <v>545</v>
      </c>
    </row>
    <row r="547" customFormat="false" ht="15" hidden="false" customHeight="false" outlineLevel="0" collapsed="false">
      <c r="A547" s="4" t="n">
        <v>1804</v>
      </c>
      <c r="B547" s="4" t="n">
        <v>868</v>
      </c>
      <c r="C547" s="27" t="s">
        <v>1646</v>
      </c>
      <c r="D547" s="31" t="n">
        <v>888</v>
      </c>
      <c r="E547" s="32" t="n">
        <v>230315833</v>
      </c>
      <c r="F547" s="8" t="s">
        <v>1647</v>
      </c>
      <c r="G547" s="22" t="s">
        <v>615</v>
      </c>
      <c r="H547" s="22" t="s">
        <v>129</v>
      </c>
      <c r="I547" s="33" t="n">
        <v>2006</v>
      </c>
      <c r="J547" s="32" t="n">
        <v>78</v>
      </c>
      <c r="K547" s="32" t="n">
        <v>85</v>
      </c>
      <c r="L547" s="34" t="n">
        <f aca="false">(K547*70)/100</f>
        <v>59.5</v>
      </c>
      <c r="M547" s="34" t="n">
        <f aca="false">ROUNDUP(L547,0)</f>
        <v>60</v>
      </c>
      <c r="N547" s="32" t="n">
        <v>23</v>
      </c>
      <c r="O547" s="34" t="n">
        <f aca="false">N547+L547</f>
        <v>82.5</v>
      </c>
      <c r="P547" s="34" t="n">
        <f aca="false">N547+M547</f>
        <v>83</v>
      </c>
      <c r="Q547" s="32" t="n">
        <v>78</v>
      </c>
      <c r="R547" s="32" t="n">
        <v>74</v>
      </c>
      <c r="S547" s="34" t="n">
        <f aca="false">(R547*70)/100</f>
        <v>51.8</v>
      </c>
      <c r="T547" s="34" t="n">
        <f aca="false">ROUNDUP(S547,0)</f>
        <v>52</v>
      </c>
      <c r="U547" s="32" t="n">
        <v>21</v>
      </c>
      <c r="V547" s="34" t="n">
        <f aca="false">U547+S547</f>
        <v>72.8</v>
      </c>
      <c r="W547" s="34" t="n">
        <f aca="false">U547+T547</f>
        <v>73</v>
      </c>
      <c r="X547" s="32" t="n">
        <v>68</v>
      </c>
      <c r="Y547" s="34" t="n">
        <f aca="false">(X547*70)/100</f>
        <v>47.6</v>
      </c>
      <c r="Z547" s="34" t="n">
        <f aca="false">ROUNDUP(Y547,0)</f>
        <v>48</v>
      </c>
      <c r="AA547" s="32" t="n">
        <v>24</v>
      </c>
      <c r="AB547" s="34" t="n">
        <f aca="false">AA547+Y547</f>
        <v>71.6</v>
      </c>
      <c r="AC547" s="34" t="n">
        <f aca="false">AA547+Z547</f>
        <v>72</v>
      </c>
      <c r="AD547" s="32" t="n">
        <f aca="false">X547+R547+Q547+K547+J547</f>
        <v>383</v>
      </c>
      <c r="AE547" s="16" t="n">
        <f aca="false">AD547/5</f>
        <v>76.6</v>
      </c>
      <c r="AF547" s="16" t="n">
        <v>80</v>
      </c>
      <c r="AG547" s="16" t="n">
        <v>69</v>
      </c>
      <c r="AH547" s="16" t="n">
        <v>84</v>
      </c>
      <c r="AI547" s="16" t="n">
        <v>83</v>
      </c>
      <c r="AJ547" s="16" t="n">
        <f aca="false">(AI547*70)/100</f>
        <v>58.1</v>
      </c>
      <c r="AK547" s="35" t="n">
        <f aca="false">ROUNDUP(AJ547,0)</f>
        <v>59</v>
      </c>
      <c r="AL547" s="16" t="n">
        <v>22</v>
      </c>
      <c r="AM547" s="16" t="n">
        <f aca="false">AL547+AJ547</f>
        <v>80.1</v>
      </c>
      <c r="AN547" s="16" t="n">
        <f aca="false">AL547+AK547</f>
        <v>81</v>
      </c>
      <c r="AO547" s="16" t="n">
        <v>80</v>
      </c>
      <c r="AP547" s="36" t="n">
        <f aca="false">(AO547*70)/100</f>
        <v>56</v>
      </c>
      <c r="AQ547" s="37" t="n">
        <f aca="false">ROUNDUP(AP547,0)</f>
        <v>56</v>
      </c>
      <c r="AR547" s="16" t="n">
        <v>26</v>
      </c>
      <c r="AS547" s="16" t="n">
        <f aca="false">AR547+AP547</f>
        <v>82</v>
      </c>
      <c r="AT547" s="16" t="n">
        <f aca="false">AR547+AQ547</f>
        <v>82</v>
      </c>
      <c r="AU547" s="16" t="n">
        <f aca="false">AO547+AF547+AI547+AH547+AG547</f>
        <v>396</v>
      </c>
      <c r="AV547" s="16" t="n">
        <f aca="false">(AO547+AF547+AI547+AH547+AG547)/5</f>
        <v>79.2</v>
      </c>
      <c r="AW547" s="36" t="n">
        <f aca="false">(AO547+AF547+AI547+AH547+AG547+X547+R547+Q547+K547+J547)</f>
        <v>779</v>
      </c>
      <c r="AX547" s="16" t="n">
        <f aca="false">AW547/10</f>
        <v>77.9</v>
      </c>
      <c r="AY547" s="16" t="n">
        <f aca="false">AS547+AF547+AM547+AH547+AG547+AB547+V547+Q547+O547+J547</f>
        <v>778</v>
      </c>
      <c r="AZ547" s="16" t="n">
        <f aca="false">AT547+AF547+AN547+AH547+AG547+AC547+W547+Q547+P547+J547</f>
        <v>780</v>
      </c>
      <c r="BA547" s="16" t="n">
        <f aca="false">AY547/10</f>
        <v>77.8</v>
      </c>
      <c r="BB547" s="16" t="n">
        <f aca="false">AZ547/10</f>
        <v>78</v>
      </c>
      <c r="BC547" s="16" t="n">
        <v>2354</v>
      </c>
      <c r="BD547" s="16" t="n">
        <f aca="false">RANK(AX547,$AX$2:$AX$881,0)</f>
        <v>414</v>
      </c>
      <c r="BE547" s="54" t="n">
        <f aca="false">((BC547*100)/2400)*0.4+(AX547*0.6)</f>
        <v>85.9733333333333</v>
      </c>
      <c r="BF547" s="16" t="n">
        <f aca="false">RANK(BE547,$BE$2:$BE$881,0)</f>
        <v>437</v>
      </c>
      <c r="BG547" s="39" t="n">
        <f aca="false">RANK(BB547,$BB$2:$BB$881,0)</f>
        <v>558</v>
      </c>
      <c r="BH547" s="39" t="n">
        <f aca="false">RANK(BC547,$BC$2:$BC$881,0)</f>
        <v>490</v>
      </c>
      <c r="BI547" s="22" t="s">
        <v>130</v>
      </c>
      <c r="BJ547" s="22" t="s">
        <v>129</v>
      </c>
      <c r="BK547" s="40" t="s">
        <v>509</v>
      </c>
      <c r="BL547" s="41" t="n">
        <v>15</v>
      </c>
      <c r="BM547" s="41" t="n">
        <v>54</v>
      </c>
      <c r="BN547" s="41" t="n">
        <v>69</v>
      </c>
      <c r="BO547" s="42" t="n">
        <v>19</v>
      </c>
      <c r="BP547" s="43" t="n">
        <v>61</v>
      </c>
      <c r="BQ547" s="44" t="n">
        <v>80</v>
      </c>
      <c r="BR547" s="42" t="n">
        <v>28</v>
      </c>
      <c r="BS547" s="45" t="n">
        <v>48</v>
      </c>
      <c r="BT547" s="45" t="n">
        <v>76</v>
      </c>
      <c r="BU547" s="46" t="n">
        <v>100</v>
      </c>
      <c r="BV547" s="47" t="n">
        <v>76</v>
      </c>
      <c r="BW547" s="42" t="n">
        <v>98</v>
      </c>
      <c r="BX547" s="48" t="n">
        <v>92</v>
      </c>
      <c r="BY547" s="32" t="n">
        <v>25</v>
      </c>
      <c r="BZ547" s="32" t="n">
        <v>51</v>
      </c>
      <c r="CA547" s="32" t="n">
        <v>76</v>
      </c>
      <c r="CB547" s="32" t="n">
        <v>18</v>
      </c>
      <c r="CC547" s="32" t="n">
        <v>40</v>
      </c>
      <c r="CD547" s="69" t="n">
        <v>58</v>
      </c>
      <c r="CE547" s="32" t="n">
        <v>23</v>
      </c>
      <c r="CF547" s="32" t="n">
        <v>54</v>
      </c>
      <c r="CG547" s="32" t="n">
        <v>77</v>
      </c>
      <c r="CH547" s="32" t="n">
        <v>92</v>
      </c>
      <c r="CI547" s="25" t="n">
        <v>99</v>
      </c>
      <c r="CJ547" s="49" t="n">
        <v>22</v>
      </c>
      <c r="CK547" s="49" t="n">
        <v>44</v>
      </c>
      <c r="CL547" s="49" t="n">
        <v>66</v>
      </c>
      <c r="CM547" s="49" t="n">
        <v>20</v>
      </c>
      <c r="CN547" s="49" t="n">
        <v>51</v>
      </c>
      <c r="CO547" s="49" t="n">
        <v>71</v>
      </c>
      <c r="CP547" s="25" t="n">
        <f aca="false">BX547+BW547+BV547+BU547+BT547+BQ547+BN547</f>
        <v>591</v>
      </c>
      <c r="CQ547" s="25" t="n">
        <f aca="false">CO547+CL547+CI547+CH547+CG547+CD547+CA547</f>
        <v>539</v>
      </c>
      <c r="CR547" s="26" t="n">
        <f aca="false">CP547/7</f>
        <v>84.4285714285714</v>
      </c>
      <c r="CS547" s="26" t="n">
        <f aca="false">CQ547/7</f>
        <v>77</v>
      </c>
      <c r="CT547" s="24" t="n">
        <f aca="false">RANK(CR547,$CR$2:$CR$881,0)</f>
        <v>459</v>
      </c>
      <c r="CU547" s="25" t="n">
        <f aca="false">RANK(CS547,$CS$2:$CS$881,0)</f>
        <v>363</v>
      </c>
      <c r="CV547" s="26" t="n">
        <f aca="false">(CS547+CR547)/2</f>
        <v>80.7142857142857</v>
      </c>
      <c r="CW547" s="25" t="n">
        <f aca="false">RANK(CV547,$CV$2:$CV$881,0)</f>
        <v>397</v>
      </c>
      <c r="CX547" s="50" t="n">
        <f aca="false">(CV547+BB547)/2</f>
        <v>79.3571428571429</v>
      </c>
      <c r="CY547" s="50" t="n">
        <v>405</v>
      </c>
      <c r="CZ547" s="27" t="s">
        <v>132</v>
      </c>
      <c r="DA547" s="27" t="s">
        <v>162</v>
      </c>
      <c r="DB547" s="27" t="s">
        <v>162</v>
      </c>
      <c r="DC547" s="27" t="s">
        <v>134</v>
      </c>
      <c r="DD547" s="27" t="s">
        <v>154</v>
      </c>
      <c r="DE547" s="27" t="s">
        <v>415</v>
      </c>
      <c r="DF547" s="27" t="s">
        <v>155</v>
      </c>
      <c r="DG547" s="27" t="s">
        <v>134</v>
      </c>
      <c r="DH547" s="27" t="s">
        <v>182</v>
      </c>
      <c r="DI547" s="27" t="s">
        <v>681</v>
      </c>
      <c r="DJ547" s="27" t="s">
        <v>155</v>
      </c>
      <c r="DK547" s="27" t="s">
        <v>134</v>
      </c>
      <c r="DL547" s="27" t="s">
        <v>264</v>
      </c>
      <c r="DM547" s="27" t="s">
        <v>897</v>
      </c>
      <c r="DN547" s="27" t="s">
        <v>203</v>
      </c>
      <c r="DO547" s="27" t="s">
        <v>134</v>
      </c>
      <c r="DP547" s="27"/>
      <c r="DQ547" s="27"/>
      <c r="DR547" s="27"/>
      <c r="DS547" s="27"/>
      <c r="DT547" s="27" t="s">
        <v>154</v>
      </c>
      <c r="DU547" s="27" t="s">
        <v>638</v>
      </c>
      <c r="DV547" s="27" t="s">
        <v>143</v>
      </c>
      <c r="DW547" s="27" t="s">
        <v>174</v>
      </c>
      <c r="DX547" s="27" t="s">
        <v>141</v>
      </c>
      <c r="DY547" s="27" t="s">
        <v>162</v>
      </c>
      <c r="DZ547" s="27" t="n">
        <f aca="false">DY547+DV547+DR547+DN547+DJ547+DF547+DB547</f>
        <v>448</v>
      </c>
      <c r="EA547" s="28" t="n">
        <f aca="false">DZ547/7</f>
        <v>64</v>
      </c>
      <c r="EB547" s="27" t="n">
        <f aca="false">RANK(EA547,$EA$2:$EA$881,0)</f>
        <v>745</v>
      </c>
      <c r="EC547" s="29" t="n">
        <f aca="false">DZ547+CQ547+CP547+AZ547</f>
        <v>2358</v>
      </c>
      <c r="ED547" s="30" t="n">
        <f aca="false">(EA547+CV547+BB547)/3</f>
        <v>74.2380952380952</v>
      </c>
      <c r="EE547" s="51" t="n">
        <f aca="false">ROUND(BE547,3)</f>
        <v>85.973</v>
      </c>
      <c r="EF547" s="51" t="n">
        <f aca="false">ROUND(CR547,3)</f>
        <v>84.429</v>
      </c>
      <c r="EG547" s="51" t="n">
        <f aca="false">ROUND(CS547,3)</f>
        <v>77</v>
      </c>
      <c r="EH547" s="51" t="n">
        <f aca="false">ROUND(EA547,3)</f>
        <v>64</v>
      </c>
      <c r="EI547" s="51" t="n">
        <f aca="false">ROUND(ED547,3)</f>
        <v>74.238</v>
      </c>
      <c r="EJ547" s="51" t="n">
        <f aca="false">ROUND(CV547,3)</f>
        <v>80.714</v>
      </c>
      <c r="EK547" s="0" t="n">
        <f aca="false">RANK(EI547,$EI$2:$EI$881,0)</f>
        <v>546</v>
      </c>
    </row>
    <row r="548" customFormat="false" ht="15" hidden="false" customHeight="false" outlineLevel="0" collapsed="false">
      <c r="A548" s="4" t="n">
        <v>8681</v>
      </c>
      <c r="B548" s="4" t="n">
        <v>747</v>
      </c>
      <c r="C548" s="27" t="s">
        <v>1648</v>
      </c>
      <c r="D548" s="31" t="n">
        <v>762</v>
      </c>
      <c r="E548" s="16" t="n">
        <v>230119969</v>
      </c>
      <c r="F548" s="56" t="s">
        <v>1649</v>
      </c>
      <c r="G548" s="22" t="s">
        <v>1650</v>
      </c>
      <c r="H548" s="22" t="s">
        <v>326</v>
      </c>
      <c r="I548" s="57"/>
      <c r="J548" s="16" t="n">
        <v>64</v>
      </c>
      <c r="K548" s="16" t="n">
        <v>85</v>
      </c>
      <c r="L548" s="34" t="n">
        <f aca="false">(K548*70)/100</f>
        <v>59.5</v>
      </c>
      <c r="M548" s="34" t="n">
        <f aca="false">ROUNDUP(L548,0)</f>
        <v>60</v>
      </c>
      <c r="N548" s="16" t="n">
        <v>23</v>
      </c>
      <c r="O548" s="34" t="n">
        <f aca="false">N548+L548</f>
        <v>82.5</v>
      </c>
      <c r="P548" s="34" t="n">
        <f aca="false">N548+M548</f>
        <v>83</v>
      </c>
      <c r="Q548" s="16" t="n">
        <v>84</v>
      </c>
      <c r="R548" s="16" t="n">
        <v>84</v>
      </c>
      <c r="S548" s="34" t="n">
        <f aca="false">(R548*70)/100</f>
        <v>58.8</v>
      </c>
      <c r="T548" s="34" t="n">
        <f aca="false">ROUNDUP(S548,0)</f>
        <v>59</v>
      </c>
      <c r="U548" s="16" t="n">
        <v>26</v>
      </c>
      <c r="V548" s="34" t="n">
        <f aca="false">U548+S548</f>
        <v>84.8</v>
      </c>
      <c r="W548" s="34" t="n">
        <f aca="false">U548+T548</f>
        <v>85</v>
      </c>
      <c r="X548" s="16" t="n">
        <v>68</v>
      </c>
      <c r="Y548" s="34" t="n">
        <f aca="false">(X548*70)/100</f>
        <v>47.6</v>
      </c>
      <c r="Z548" s="34" t="n">
        <f aca="false">ROUNDUP(Y548,0)</f>
        <v>48</v>
      </c>
      <c r="AA548" s="16" t="n">
        <v>26</v>
      </c>
      <c r="AB548" s="34" t="n">
        <f aca="false">AA548+Y548</f>
        <v>73.6</v>
      </c>
      <c r="AC548" s="34" t="n">
        <f aca="false">AA548+Z548</f>
        <v>74</v>
      </c>
      <c r="AD548" s="32" t="n">
        <f aca="false">X548+R548+Q548+K548+J548</f>
        <v>385</v>
      </c>
      <c r="AE548" s="16" t="n">
        <f aca="false">AD548/5</f>
        <v>77</v>
      </c>
      <c r="AF548" s="71" t="n">
        <v>58</v>
      </c>
      <c r="AG548" s="16" t="n">
        <v>77</v>
      </c>
      <c r="AH548" s="16" t="n">
        <v>93</v>
      </c>
      <c r="AI548" s="16" t="n">
        <v>97</v>
      </c>
      <c r="AJ548" s="16" t="n">
        <f aca="false">(AI548*70)/100</f>
        <v>67.9</v>
      </c>
      <c r="AK548" s="35" t="n">
        <f aca="false">ROUNDUP(AJ548,0)</f>
        <v>68</v>
      </c>
      <c r="AL548" s="16" t="n">
        <v>26</v>
      </c>
      <c r="AM548" s="16" t="n">
        <f aca="false">AL548+AJ548</f>
        <v>93.9</v>
      </c>
      <c r="AN548" s="16" t="n">
        <f aca="false">AL548+AK548</f>
        <v>94</v>
      </c>
      <c r="AO548" s="16" t="n">
        <v>76</v>
      </c>
      <c r="AP548" s="36" t="n">
        <f aca="false">(AO548*70)/100</f>
        <v>53.2</v>
      </c>
      <c r="AQ548" s="37" t="n">
        <f aca="false">ROUNDUP(AP548,0)</f>
        <v>54</v>
      </c>
      <c r="AR548" s="16" t="n">
        <v>24</v>
      </c>
      <c r="AS548" s="16" t="n">
        <f aca="false">AR548+AP548</f>
        <v>77.2</v>
      </c>
      <c r="AT548" s="16" t="n">
        <f aca="false">AR548+AQ548</f>
        <v>78</v>
      </c>
      <c r="AU548" s="16" t="n">
        <f aca="false">AO548+AF548+AI548+AH548+AG548</f>
        <v>401</v>
      </c>
      <c r="AV548" s="16" t="n">
        <f aca="false">(AO548+AF548+AI548+AH548+AG548)/5</f>
        <v>80.2</v>
      </c>
      <c r="AW548" s="36" t="n">
        <f aca="false">(AO548+AF548+AI548+AH548+AG548+X548+R548+Q548+K548+J548)</f>
        <v>786</v>
      </c>
      <c r="AX548" s="16" t="n">
        <f aca="false">AW548/10</f>
        <v>78.6</v>
      </c>
      <c r="AY548" s="16" t="n">
        <f aca="false">AS548+AF548+AM548+AH548+AG548+AB548+V548+Q548+O548+J548</f>
        <v>788</v>
      </c>
      <c r="AZ548" s="16" t="n">
        <f aca="false">AT548+AF548+AN548+AH548+AG548+AC548+W548+Q548+P548+J548</f>
        <v>790</v>
      </c>
      <c r="BA548" s="16" t="n">
        <f aca="false">AY548/10</f>
        <v>78.8</v>
      </c>
      <c r="BB548" s="16" t="n">
        <f aca="false">AZ548/10</f>
        <v>79</v>
      </c>
      <c r="BC548" s="16" t="n">
        <v>2360</v>
      </c>
      <c r="BD548" s="16" t="n">
        <f aca="false">RANK(AX548,$AX$2:$AX$881,0)</f>
        <v>370</v>
      </c>
      <c r="BE548" s="54" t="n">
        <f aca="false">((BC548*100)/2400)*0.4+(AX548*0.6)</f>
        <v>86.4933333333333</v>
      </c>
      <c r="BF548" s="16" t="n">
        <f aca="false">RANK(BE548,$BE$2:$BE$881,0)</f>
        <v>352</v>
      </c>
      <c r="BG548" s="39" t="n">
        <f aca="false">RANK(BB548,$BB$2:$BB$881,0)</f>
        <v>457</v>
      </c>
      <c r="BH548" s="39" t="n">
        <f aca="false">RANK(BC548,$BC$2:$BC$881,0)</f>
        <v>402</v>
      </c>
      <c r="BI548" s="22" t="s">
        <v>130</v>
      </c>
      <c r="BJ548" s="22" t="s">
        <v>129</v>
      </c>
      <c r="BK548" s="40" t="s">
        <v>131</v>
      </c>
      <c r="BL548" s="41" t="n">
        <v>24</v>
      </c>
      <c r="BM548" s="41" t="n">
        <v>53</v>
      </c>
      <c r="BN548" s="41" t="n">
        <v>77</v>
      </c>
      <c r="BO548" s="42" t="n">
        <v>26</v>
      </c>
      <c r="BP548" s="43" t="n">
        <v>54</v>
      </c>
      <c r="BQ548" s="44" t="n">
        <v>80</v>
      </c>
      <c r="BR548" s="42" t="n">
        <v>27</v>
      </c>
      <c r="BS548" s="45" t="n">
        <v>56</v>
      </c>
      <c r="BT548" s="45" t="n">
        <v>83</v>
      </c>
      <c r="BU548" s="46" t="n">
        <v>100</v>
      </c>
      <c r="BV548" s="47" t="n">
        <v>90</v>
      </c>
      <c r="BW548" s="42" t="n">
        <v>85</v>
      </c>
      <c r="BX548" s="48" t="n">
        <v>86</v>
      </c>
      <c r="BY548" s="32" t="n">
        <v>25</v>
      </c>
      <c r="BZ548" s="32" t="n">
        <v>47</v>
      </c>
      <c r="CA548" s="32" t="n">
        <v>72</v>
      </c>
      <c r="CB548" s="32" t="n">
        <v>20</v>
      </c>
      <c r="CC548" s="68" t="n">
        <v>0</v>
      </c>
      <c r="CD548" s="69" t="n">
        <v>20</v>
      </c>
      <c r="CE548" s="32" t="n">
        <v>24</v>
      </c>
      <c r="CF548" s="32" t="n">
        <v>51</v>
      </c>
      <c r="CG548" s="32" t="n">
        <v>75</v>
      </c>
      <c r="CH548" s="32" t="n">
        <v>93</v>
      </c>
      <c r="CI548" s="32" t="n">
        <v>96</v>
      </c>
      <c r="CJ548" s="49" t="n">
        <v>20</v>
      </c>
      <c r="CK548" s="49" t="n">
        <v>40</v>
      </c>
      <c r="CL548" s="49" t="n">
        <v>60</v>
      </c>
      <c r="CM548" s="49" t="n">
        <v>17</v>
      </c>
      <c r="CN548" s="49" t="n">
        <v>54</v>
      </c>
      <c r="CO548" s="84" t="n">
        <v>71</v>
      </c>
      <c r="CP548" s="25" t="n">
        <f aca="false">BX548+BW548+BV548+BU548+BT548+BQ548+BN548</f>
        <v>601</v>
      </c>
      <c r="CQ548" s="25" t="n">
        <f aca="false">CO548+CL548+CI548+CH548+CG548+CD548+CA548</f>
        <v>487</v>
      </c>
      <c r="CR548" s="26" t="n">
        <f aca="false">CP548/7</f>
        <v>85.8571428571429</v>
      </c>
      <c r="CS548" s="26" t="n">
        <f aca="false">CQ548/7</f>
        <v>69.5714285714286</v>
      </c>
      <c r="CT548" s="24" t="n">
        <f aca="false">RANK(CR548,$CR$2:$CR$881,0)</f>
        <v>408</v>
      </c>
      <c r="CU548" s="25" t="n">
        <f aca="false">RANK(CS548,$CS$2:$CS$881,0)</f>
        <v>561</v>
      </c>
      <c r="CV548" s="26" t="n">
        <f aca="false">(CS548+CR548)/2</f>
        <v>77.7142857142857</v>
      </c>
      <c r="CW548" s="25" t="n">
        <f aca="false">RANK(CV548,$CV$2:$CV$881,0)</f>
        <v>501</v>
      </c>
      <c r="CX548" s="50" t="n">
        <f aca="false">(CV548+BB548)/2</f>
        <v>78.3571428571429</v>
      </c>
      <c r="CY548" s="50" t="n">
        <v>482</v>
      </c>
      <c r="CZ548" s="27" t="s">
        <v>132</v>
      </c>
      <c r="DA548" s="27" t="s">
        <v>441</v>
      </c>
      <c r="DB548" s="27" t="s">
        <v>441</v>
      </c>
      <c r="DC548" s="27" t="s">
        <v>134</v>
      </c>
      <c r="DD548" s="27" t="s">
        <v>182</v>
      </c>
      <c r="DE548" s="27" t="s">
        <v>304</v>
      </c>
      <c r="DF548" s="27" t="s">
        <v>305</v>
      </c>
      <c r="DG548" s="27" t="s">
        <v>134</v>
      </c>
      <c r="DH548" s="27" t="s">
        <v>154</v>
      </c>
      <c r="DI548" s="27" t="s">
        <v>204</v>
      </c>
      <c r="DJ548" s="27" t="s">
        <v>205</v>
      </c>
      <c r="DK548" s="27" t="s">
        <v>134</v>
      </c>
      <c r="DL548" s="27" t="s">
        <v>135</v>
      </c>
      <c r="DM548" s="27" t="s">
        <v>681</v>
      </c>
      <c r="DN548" s="27" t="s">
        <v>416</v>
      </c>
      <c r="DO548" s="27" t="s">
        <v>134</v>
      </c>
      <c r="DP548" s="27"/>
      <c r="DQ548" s="27"/>
      <c r="DR548" s="27"/>
      <c r="DS548" s="27"/>
      <c r="DT548" s="27" t="s">
        <v>154</v>
      </c>
      <c r="DU548" s="27" t="s">
        <v>415</v>
      </c>
      <c r="DV548" s="27" t="s">
        <v>155</v>
      </c>
      <c r="DW548" s="27" t="s">
        <v>485</v>
      </c>
      <c r="DX548" s="27" t="s">
        <v>143</v>
      </c>
      <c r="DY548" s="27" t="s">
        <v>175</v>
      </c>
      <c r="DZ548" s="27" t="n">
        <f aca="false">DY548+DV548+DR548+DN548+DJ548+DF548+DB548</f>
        <v>461</v>
      </c>
      <c r="EA548" s="28" t="n">
        <f aca="false">DZ548/7</f>
        <v>65.8571428571429</v>
      </c>
      <c r="EB548" s="27" t="n">
        <f aca="false">RANK(EA548,$EA$2:$EA$881,0)</f>
        <v>720</v>
      </c>
      <c r="EC548" s="29" t="n">
        <f aca="false">DZ548+CQ548+CP548+AZ548</f>
        <v>2339</v>
      </c>
      <c r="ED548" s="30" t="n">
        <f aca="false">(EA548+CV548+BB548)/3</f>
        <v>74.1904761904762</v>
      </c>
      <c r="EE548" s="51" t="n">
        <f aca="false">ROUND(BE548,3)</f>
        <v>86.493</v>
      </c>
      <c r="EF548" s="51" t="n">
        <f aca="false">ROUND(CR548,3)</f>
        <v>85.857</v>
      </c>
      <c r="EG548" s="51" t="n">
        <f aca="false">ROUND(CS548,3)</f>
        <v>69.571</v>
      </c>
      <c r="EH548" s="51" t="n">
        <f aca="false">ROUND(EA548,3)</f>
        <v>65.857</v>
      </c>
      <c r="EI548" s="51" t="n">
        <f aca="false">ROUND(ED548,3)</f>
        <v>74.19</v>
      </c>
      <c r="EJ548" s="51" t="n">
        <f aca="false">ROUND(CV548,3)</f>
        <v>77.714</v>
      </c>
      <c r="EK548" s="0" t="n">
        <f aca="false">RANK(EI548,$EI$2:$EI$881,0)</f>
        <v>547</v>
      </c>
    </row>
    <row r="549" customFormat="false" ht="15" hidden="false" customHeight="false" outlineLevel="0" collapsed="false">
      <c r="A549" s="4" t="n">
        <v>8613</v>
      </c>
      <c r="B549" s="4" t="n">
        <v>295</v>
      </c>
      <c r="C549" s="27" t="s">
        <v>1651</v>
      </c>
      <c r="D549" s="31" t="n">
        <v>294</v>
      </c>
      <c r="E549" s="32" t="n">
        <v>230321262</v>
      </c>
      <c r="F549" s="8" t="s">
        <v>1652</v>
      </c>
      <c r="G549" s="22" t="s">
        <v>280</v>
      </c>
      <c r="H549" s="22" t="s">
        <v>129</v>
      </c>
      <c r="I549" s="33" t="n">
        <v>2005</v>
      </c>
      <c r="J549" s="32" t="n">
        <v>77</v>
      </c>
      <c r="K549" s="32" t="n">
        <v>71</v>
      </c>
      <c r="L549" s="34" t="n">
        <f aca="false">(K549*70)/100</f>
        <v>49.7</v>
      </c>
      <c r="M549" s="34" t="n">
        <f aca="false">ROUNDUP(L549,0)</f>
        <v>50</v>
      </c>
      <c r="N549" s="32" t="n">
        <v>27</v>
      </c>
      <c r="O549" s="34" t="n">
        <f aca="false">N549+L549</f>
        <v>76.7</v>
      </c>
      <c r="P549" s="34" t="n">
        <f aca="false">N549+M549</f>
        <v>77</v>
      </c>
      <c r="Q549" s="68" t="n">
        <v>58</v>
      </c>
      <c r="R549" s="32" t="n">
        <v>66</v>
      </c>
      <c r="S549" s="34" t="n">
        <f aca="false">(R549*70)/100</f>
        <v>46.2</v>
      </c>
      <c r="T549" s="34" t="n">
        <f aca="false">ROUNDUP(S549,0)</f>
        <v>47</v>
      </c>
      <c r="U549" s="32" t="n">
        <v>23</v>
      </c>
      <c r="V549" s="34" t="n">
        <f aca="false">U549+S549</f>
        <v>69.2</v>
      </c>
      <c r="W549" s="34" t="n">
        <f aca="false">U549+T549</f>
        <v>70</v>
      </c>
      <c r="X549" s="32" t="n">
        <v>54</v>
      </c>
      <c r="Y549" s="34" t="n">
        <f aca="false">(X549*70)/100</f>
        <v>37.8</v>
      </c>
      <c r="Z549" s="34" t="n">
        <f aca="false">ROUNDUP(Y549,0)</f>
        <v>38</v>
      </c>
      <c r="AA549" s="32" t="n">
        <v>23</v>
      </c>
      <c r="AB549" s="34" t="n">
        <f aca="false">AA549+Y549</f>
        <v>60.8</v>
      </c>
      <c r="AC549" s="34" t="n">
        <f aca="false">AA549+Z549</f>
        <v>61</v>
      </c>
      <c r="AD549" s="32" t="n">
        <f aca="false">X549+R549+Q549+K549+J549</f>
        <v>326</v>
      </c>
      <c r="AE549" s="16" t="n">
        <f aca="false">AD549/5</f>
        <v>65.2</v>
      </c>
      <c r="AF549" s="71" t="n">
        <v>52</v>
      </c>
      <c r="AG549" s="16" t="n">
        <v>87</v>
      </c>
      <c r="AH549" s="16" t="n">
        <v>74</v>
      </c>
      <c r="AI549" s="16" t="n">
        <v>61</v>
      </c>
      <c r="AJ549" s="16" t="n">
        <f aca="false">(AI549*70)/100</f>
        <v>42.7</v>
      </c>
      <c r="AK549" s="35" t="n">
        <f aca="false">ROUNDUP(AJ549,0)</f>
        <v>43</v>
      </c>
      <c r="AL549" s="16" t="n">
        <v>24</v>
      </c>
      <c r="AM549" s="16" t="n">
        <f aca="false">AL549+AJ549</f>
        <v>66.7</v>
      </c>
      <c r="AN549" s="16" t="n">
        <f aca="false">AL549+AK549</f>
        <v>67</v>
      </c>
      <c r="AO549" s="16" t="n">
        <v>59</v>
      </c>
      <c r="AP549" s="36" t="n">
        <f aca="false">(AO549*70)/100</f>
        <v>41.3</v>
      </c>
      <c r="AQ549" s="37" t="n">
        <f aca="false">ROUNDUP(AP549,0)</f>
        <v>42</v>
      </c>
      <c r="AR549" s="16" t="n">
        <v>27</v>
      </c>
      <c r="AS549" s="16" t="n">
        <f aca="false">AR549+AP549</f>
        <v>68.3</v>
      </c>
      <c r="AT549" s="16" t="n">
        <f aca="false">AR549+AQ549</f>
        <v>69</v>
      </c>
      <c r="AU549" s="16" t="n">
        <f aca="false">AO549+AF549+AI549+AH549+AG549</f>
        <v>333</v>
      </c>
      <c r="AV549" s="16" t="n">
        <f aca="false">(AO549+AF549+AI549+AH549+AG549)/5</f>
        <v>66.6</v>
      </c>
      <c r="AW549" s="36" t="n">
        <f aca="false">(AO549+AF549+AI549+AH549+AG549+X549+R549+Q549+K549+J549)</f>
        <v>659</v>
      </c>
      <c r="AX549" s="16" t="n">
        <f aca="false">AW549/10</f>
        <v>65.9</v>
      </c>
      <c r="AY549" s="16" t="n">
        <f aca="false">AS549+AF549+AM549+AH549+AG549+AB549+V549+Q549+O549+J549</f>
        <v>689.7</v>
      </c>
      <c r="AZ549" s="16" t="n">
        <f aca="false">AT549+AF549+AN549+AH549+AG549+AC549+W549+Q549+P549+J549</f>
        <v>692</v>
      </c>
      <c r="BA549" s="16" t="n">
        <f aca="false">AY549/10</f>
        <v>68.97</v>
      </c>
      <c r="BB549" s="16" t="n">
        <f aca="false">AZ549/10</f>
        <v>69.2</v>
      </c>
      <c r="BC549" s="16" t="n">
        <v>2379</v>
      </c>
      <c r="BD549" s="16" t="n">
        <f aca="false">RANK(AX549,$AX$2:$AX$881,0)</f>
        <v>757</v>
      </c>
      <c r="BE549" s="78" t="n">
        <f aca="false">((BC549*100)/2400)*0.4+(AX549*0.6)</f>
        <v>79.19</v>
      </c>
      <c r="BF549" s="16" t="n">
        <f aca="false">RANK(BE549,$BE$2:$BE$881,0)</f>
        <v>736</v>
      </c>
      <c r="BG549" s="39" t="n">
        <f aca="false">RANK(BB549,$BB$2:$BB$881,0)</f>
        <v>747</v>
      </c>
      <c r="BH549" s="39" t="n">
        <f aca="false">RANK(BC549,$BC$2:$BC$881,0)</f>
        <v>160</v>
      </c>
      <c r="BI549" s="22" t="s">
        <v>130</v>
      </c>
      <c r="BJ549" s="22" t="s">
        <v>129</v>
      </c>
      <c r="BK549" s="40" t="s">
        <v>702</v>
      </c>
      <c r="BL549" s="41" t="n">
        <v>13</v>
      </c>
      <c r="BM549" s="41" t="n">
        <v>44</v>
      </c>
      <c r="BN549" s="98" t="n">
        <v>57</v>
      </c>
      <c r="BO549" s="42" t="n">
        <v>20</v>
      </c>
      <c r="BP549" s="43" t="n">
        <v>61</v>
      </c>
      <c r="BQ549" s="44" t="n">
        <v>81</v>
      </c>
      <c r="BR549" s="42" t="n">
        <v>19</v>
      </c>
      <c r="BS549" s="45" t="n">
        <v>43</v>
      </c>
      <c r="BT549" s="45" t="n">
        <v>62</v>
      </c>
      <c r="BU549" s="46" t="n">
        <v>100</v>
      </c>
      <c r="BV549" s="47" t="n">
        <v>90</v>
      </c>
      <c r="BW549" s="42" t="n">
        <v>89</v>
      </c>
      <c r="BX549" s="48" t="n">
        <v>88</v>
      </c>
      <c r="BY549" s="32" t="n">
        <v>22</v>
      </c>
      <c r="BZ549" s="32" t="n">
        <v>46</v>
      </c>
      <c r="CA549" s="32" t="n">
        <v>68</v>
      </c>
      <c r="CB549" s="32" t="n">
        <v>17</v>
      </c>
      <c r="CC549" s="32" t="n">
        <v>25</v>
      </c>
      <c r="CD549" s="69" t="n">
        <v>42</v>
      </c>
      <c r="CE549" s="32" t="n">
        <v>25</v>
      </c>
      <c r="CF549" s="32" t="n">
        <v>54</v>
      </c>
      <c r="CG549" s="32" t="n">
        <v>79</v>
      </c>
      <c r="CH549" s="32" t="n">
        <v>92</v>
      </c>
      <c r="CI549" s="32" t="n">
        <v>96</v>
      </c>
      <c r="CJ549" s="49" t="n">
        <v>23</v>
      </c>
      <c r="CK549" s="49" t="n">
        <v>40</v>
      </c>
      <c r="CL549" s="49" t="n">
        <v>63</v>
      </c>
      <c r="CM549" s="49" t="n">
        <v>20</v>
      </c>
      <c r="CN549" s="49" t="n">
        <v>52</v>
      </c>
      <c r="CO549" s="49" t="n">
        <v>72</v>
      </c>
      <c r="CP549" s="25" t="n">
        <f aca="false">BX549+BW549+BV549+BU549+BT549+BQ549+BN549</f>
        <v>567</v>
      </c>
      <c r="CQ549" s="25" t="n">
        <f aca="false">CO549+CL549+CI549+CH549+CG549+CD549+CA549</f>
        <v>512</v>
      </c>
      <c r="CR549" s="26" t="n">
        <f aca="false">CP549/7</f>
        <v>81</v>
      </c>
      <c r="CS549" s="26" t="n">
        <f aca="false">CQ549/7</f>
        <v>73.1428571428571</v>
      </c>
      <c r="CT549" s="24" t="n">
        <f aca="false">RANK(CR549,$CR$2:$CR$881,0)</f>
        <v>565</v>
      </c>
      <c r="CU549" s="25" t="n">
        <f aca="false">RANK(CS549,$CS$2:$CS$881,0)</f>
        <v>480</v>
      </c>
      <c r="CV549" s="26" t="n">
        <f aca="false">(CS549+CR549)/2</f>
        <v>77.0714285714286</v>
      </c>
      <c r="CW549" s="25" t="n">
        <f aca="false">RANK(CV549,$CV$2:$CV$881,0)</f>
        <v>514</v>
      </c>
      <c r="CX549" s="50" t="n">
        <f aca="false">(CV549+BB549)/2</f>
        <v>73.1357142857143</v>
      </c>
      <c r="CY549" s="50" t="n">
        <v>581</v>
      </c>
      <c r="CZ549" s="27" t="s">
        <v>132</v>
      </c>
      <c r="DA549" s="27" t="s">
        <v>202</v>
      </c>
      <c r="DB549" s="27" t="s">
        <v>202</v>
      </c>
      <c r="DC549" s="27" t="s">
        <v>134</v>
      </c>
      <c r="DD549" s="27" t="s">
        <v>182</v>
      </c>
      <c r="DE549" s="27" t="s">
        <v>442</v>
      </c>
      <c r="DF549" s="27" t="s">
        <v>486</v>
      </c>
      <c r="DG549" s="27" t="s">
        <v>134</v>
      </c>
      <c r="DH549" s="27" t="s">
        <v>182</v>
      </c>
      <c r="DI549" s="27" t="s">
        <v>218</v>
      </c>
      <c r="DJ549" s="27" t="s">
        <v>196</v>
      </c>
      <c r="DK549" s="27" t="s">
        <v>134</v>
      </c>
      <c r="DL549" s="27" t="s">
        <v>154</v>
      </c>
      <c r="DM549" s="27" t="s">
        <v>220</v>
      </c>
      <c r="DN549" s="27" t="s">
        <v>272</v>
      </c>
      <c r="DO549" s="27" t="s">
        <v>134</v>
      </c>
      <c r="DP549" s="27" t="s">
        <v>154</v>
      </c>
      <c r="DQ549" s="27" t="s">
        <v>681</v>
      </c>
      <c r="DR549" s="27" t="s">
        <v>138</v>
      </c>
      <c r="DS549" s="27" t="s">
        <v>134</v>
      </c>
      <c r="DT549" s="27" t="s">
        <v>174</v>
      </c>
      <c r="DU549" s="27" t="s">
        <v>1388</v>
      </c>
      <c r="DV549" s="27" t="s">
        <v>306</v>
      </c>
      <c r="DW549" s="27" t="s">
        <v>182</v>
      </c>
      <c r="DX549" s="27" t="s">
        <v>141</v>
      </c>
      <c r="DY549" s="27" t="s">
        <v>170</v>
      </c>
      <c r="DZ549" s="27" t="n">
        <f aca="false">DY549+DV549+DR549+DN549+DJ549+DF549+DB549</f>
        <v>534</v>
      </c>
      <c r="EA549" s="28" t="n">
        <f aca="false">DZ549/7</f>
        <v>76.2857142857143</v>
      </c>
      <c r="EB549" s="27" t="n">
        <f aca="false">RANK(EA549,$EA$2:$EA$881,0)</f>
        <v>513</v>
      </c>
      <c r="EC549" s="29" t="n">
        <f aca="false">DZ549+CQ549+CP549+AZ549</f>
        <v>2305</v>
      </c>
      <c r="ED549" s="30" t="n">
        <f aca="false">(EA549+CV549+BB549)/3</f>
        <v>74.1857142857143</v>
      </c>
      <c r="EE549" s="51" t="n">
        <f aca="false">ROUND(BE549,3)</f>
        <v>79.19</v>
      </c>
      <c r="EF549" s="51" t="n">
        <f aca="false">ROUND(CR549,3)</f>
        <v>81</v>
      </c>
      <c r="EG549" s="51" t="n">
        <f aca="false">ROUND(CS549,3)</f>
        <v>73.143</v>
      </c>
      <c r="EH549" s="51" t="n">
        <f aca="false">ROUND(EA549,3)</f>
        <v>76.286</v>
      </c>
      <c r="EI549" s="51" t="n">
        <f aca="false">ROUND(ED549,3)</f>
        <v>74.186</v>
      </c>
      <c r="EJ549" s="51" t="n">
        <f aca="false">ROUND(CV549,3)</f>
        <v>77.071</v>
      </c>
      <c r="EK549" s="0" t="n">
        <f aca="false">RANK(EI549,$EI$2:$EI$881,0)</f>
        <v>548</v>
      </c>
    </row>
    <row r="550" customFormat="false" ht="15" hidden="false" customHeight="false" outlineLevel="0" collapsed="false">
      <c r="A550" s="4" t="n">
        <v>1940</v>
      </c>
      <c r="B550" s="4" t="n">
        <v>262</v>
      </c>
      <c r="C550" s="27" t="s">
        <v>1653</v>
      </c>
      <c r="D550" s="31" t="n">
        <v>262</v>
      </c>
      <c r="E550" s="16" t="n">
        <v>230618338</v>
      </c>
      <c r="F550" s="56" t="s">
        <v>1654</v>
      </c>
      <c r="G550" s="22" t="s">
        <v>1632</v>
      </c>
      <c r="H550" s="22" t="s">
        <v>558</v>
      </c>
      <c r="I550" s="57"/>
      <c r="J550" s="16" t="n">
        <v>84</v>
      </c>
      <c r="K550" s="16" t="n">
        <v>71</v>
      </c>
      <c r="L550" s="34" t="n">
        <f aca="false">(K550*70)/100</f>
        <v>49.7</v>
      </c>
      <c r="M550" s="34" t="n">
        <f aca="false">ROUNDUP(L550,0)</f>
        <v>50</v>
      </c>
      <c r="N550" s="16" t="n">
        <v>26</v>
      </c>
      <c r="O550" s="34" t="n">
        <f aca="false">N550+L550</f>
        <v>75.7</v>
      </c>
      <c r="P550" s="34" t="n">
        <f aca="false">N550+M550</f>
        <v>76</v>
      </c>
      <c r="Q550" s="16" t="n">
        <v>62</v>
      </c>
      <c r="R550" s="16" t="n">
        <v>65</v>
      </c>
      <c r="S550" s="34" t="n">
        <f aca="false">(R550*70)/100</f>
        <v>45.5</v>
      </c>
      <c r="T550" s="34" t="n">
        <f aca="false">ROUNDUP(S550,0)</f>
        <v>46</v>
      </c>
      <c r="U550" s="16" t="n">
        <v>28</v>
      </c>
      <c r="V550" s="34" t="n">
        <f aca="false">U550+S550</f>
        <v>73.5</v>
      </c>
      <c r="W550" s="34" t="n">
        <f aca="false">U550+T550</f>
        <v>74</v>
      </c>
      <c r="X550" s="16" t="n">
        <v>62</v>
      </c>
      <c r="Y550" s="34" t="n">
        <f aca="false">(X550*70)/100</f>
        <v>43.4</v>
      </c>
      <c r="Z550" s="34" t="n">
        <f aca="false">ROUNDUP(Y550,0)</f>
        <v>44</v>
      </c>
      <c r="AA550" s="16" t="n">
        <v>24</v>
      </c>
      <c r="AB550" s="34" t="n">
        <f aca="false">AA550+Y550</f>
        <v>67.4</v>
      </c>
      <c r="AC550" s="34" t="n">
        <f aca="false">AA550+Z550</f>
        <v>68</v>
      </c>
      <c r="AD550" s="32" t="n">
        <f aca="false">X550+R550+Q550+K550+J550</f>
        <v>344</v>
      </c>
      <c r="AE550" s="16" t="n">
        <f aca="false">AD550/5</f>
        <v>68.8</v>
      </c>
      <c r="AF550" s="16" t="n">
        <v>83</v>
      </c>
      <c r="AG550" s="16" t="n">
        <v>95</v>
      </c>
      <c r="AH550" s="16" t="n">
        <v>80</v>
      </c>
      <c r="AI550" s="16" t="n">
        <v>79</v>
      </c>
      <c r="AJ550" s="16" t="n">
        <f aca="false">(AI550*70)/100</f>
        <v>55.3</v>
      </c>
      <c r="AK550" s="35" t="n">
        <f aca="false">ROUNDUP(AJ550,0)</f>
        <v>56</v>
      </c>
      <c r="AL550" s="16" t="n">
        <v>28</v>
      </c>
      <c r="AM550" s="16" t="n">
        <f aca="false">AL550+AJ550</f>
        <v>83.3</v>
      </c>
      <c r="AN550" s="16" t="n">
        <f aca="false">AL550+AK550</f>
        <v>84</v>
      </c>
      <c r="AO550" s="16" t="n">
        <v>74</v>
      </c>
      <c r="AP550" s="36" t="n">
        <f aca="false">(AO550*70)/100</f>
        <v>51.8</v>
      </c>
      <c r="AQ550" s="37" t="n">
        <f aca="false">ROUNDUP(AP550,0)</f>
        <v>52</v>
      </c>
      <c r="AR550" s="16" t="n">
        <v>30</v>
      </c>
      <c r="AS550" s="16" t="n">
        <f aca="false">AR550+AP550</f>
        <v>81.8</v>
      </c>
      <c r="AT550" s="16" t="n">
        <f aca="false">AR550+AQ550</f>
        <v>82</v>
      </c>
      <c r="AU550" s="16" t="n">
        <f aca="false">AO550+AF550+AI550+AH550+AG550</f>
        <v>411</v>
      </c>
      <c r="AV550" s="16" t="n">
        <f aca="false">(AO550+AF550+AI550+AH550+AG550)/5</f>
        <v>82.2</v>
      </c>
      <c r="AW550" s="36" t="n">
        <f aca="false">(AO550+AF550+AI550+AH550+AG550+X550+R550+Q550+K550+J550)</f>
        <v>755</v>
      </c>
      <c r="AX550" s="16" t="n">
        <f aca="false">AW550/10</f>
        <v>75.5</v>
      </c>
      <c r="AY550" s="16" t="n">
        <f aca="false">AS550+AF550+AM550+AH550+AG550+AB550+V550+Q550+O550+J550</f>
        <v>785.7</v>
      </c>
      <c r="AZ550" s="16" t="n">
        <f aca="false">AT550+AF550+AN550+AH550+AG550+AC550+W550+Q550+P550+J550</f>
        <v>788</v>
      </c>
      <c r="BA550" s="16" t="n">
        <f aca="false">AY550/10</f>
        <v>78.57</v>
      </c>
      <c r="BB550" s="16" t="n">
        <f aca="false">AZ550/10</f>
        <v>78.8</v>
      </c>
      <c r="BC550" s="16" t="n">
        <v>2365</v>
      </c>
      <c r="BD550" s="16" t="n">
        <f aca="false">RANK(AX550,$AX$2:$AX$881,0)</f>
        <v>659</v>
      </c>
      <c r="BE550" s="73" t="n">
        <f aca="false">((BC550*100)/2400)*0.4+(AX550*0.6)</f>
        <v>84.7166666666667</v>
      </c>
      <c r="BF550" s="16" t="n">
        <f aca="false">RANK(BE550,$BE$2:$BE$881,0)</f>
        <v>670</v>
      </c>
      <c r="BG550" s="39" t="n">
        <f aca="false">RANK(BB550,$BB$2:$BB$881,0)</f>
        <v>472</v>
      </c>
      <c r="BH550" s="39" t="n">
        <f aca="false">RANK(BC550,$BC$2:$BC$881,0)</f>
        <v>333</v>
      </c>
      <c r="BI550" s="22" t="s">
        <v>130</v>
      </c>
      <c r="BJ550" s="22" t="s">
        <v>129</v>
      </c>
      <c r="BK550" s="22" t="s">
        <v>509</v>
      </c>
      <c r="BL550" s="41" t="n">
        <v>12</v>
      </c>
      <c r="BM550" s="59" t="n">
        <v>54</v>
      </c>
      <c r="BN550" s="59" t="n">
        <v>66</v>
      </c>
      <c r="BO550" s="42" t="n">
        <v>24</v>
      </c>
      <c r="BP550" s="59" t="n">
        <v>54</v>
      </c>
      <c r="BQ550" s="59" t="n">
        <v>78</v>
      </c>
      <c r="BR550" s="42" t="n">
        <v>17</v>
      </c>
      <c r="BS550" s="80"/>
      <c r="BT550" s="80"/>
      <c r="BU550" s="88" t="n">
        <v>90</v>
      </c>
      <c r="BV550" s="58" t="n">
        <v>94</v>
      </c>
      <c r="BW550" s="106"/>
      <c r="BX550" s="88" t="n">
        <v>90</v>
      </c>
      <c r="BY550" s="65" t="n">
        <v>29</v>
      </c>
      <c r="BZ550" s="58" t="n">
        <v>43</v>
      </c>
      <c r="CA550" s="58" t="n">
        <v>72</v>
      </c>
      <c r="CB550" s="59" t="n">
        <v>15</v>
      </c>
      <c r="CC550" s="58" t="n">
        <v>50</v>
      </c>
      <c r="CD550" s="58" t="n">
        <v>65</v>
      </c>
      <c r="CE550" s="58" t="n">
        <v>19</v>
      </c>
      <c r="CF550" s="58" t="n">
        <v>37</v>
      </c>
      <c r="CG550" s="90" t="n">
        <v>56</v>
      </c>
      <c r="CH550" s="58" t="n">
        <v>91</v>
      </c>
      <c r="CI550" s="58" t="n">
        <v>93</v>
      </c>
      <c r="CJ550" s="58" t="n">
        <v>23</v>
      </c>
      <c r="CK550" s="58" t="n">
        <v>60</v>
      </c>
      <c r="CL550" s="59" t="n">
        <v>83</v>
      </c>
      <c r="CM550" s="60"/>
      <c r="CN550" s="60"/>
      <c r="CO550" s="60"/>
      <c r="CP550" s="25" t="n">
        <f aca="false">BX550+BW550+BV550+BU550+BT550+BQ550+BN550</f>
        <v>418</v>
      </c>
      <c r="CQ550" s="25" t="n">
        <f aca="false">CO550+CL550+CI550+CH550+CG550+CD550+CA550</f>
        <v>460</v>
      </c>
      <c r="CR550" s="26" t="n">
        <f aca="false">CP550/7</f>
        <v>59.7142857142857</v>
      </c>
      <c r="CS550" s="26" t="n">
        <f aca="false">CQ550/7</f>
        <v>65.7142857142857</v>
      </c>
      <c r="CT550" s="24" t="n">
        <f aca="false">RANK(CR550,$CR$2:$CR$881,0)</f>
        <v>720</v>
      </c>
      <c r="CU550" s="25" t="n">
        <f aca="false">RANK(CS550,$CS$2:$CS$881,0)</f>
        <v>616</v>
      </c>
      <c r="CV550" s="26" t="n">
        <f aca="false">(CS550+CR550)/2</f>
        <v>62.7142857142857</v>
      </c>
      <c r="CW550" s="25" t="n">
        <f aca="false">RANK(CV550,$CV$2:$CV$881,0)</f>
        <v>688</v>
      </c>
      <c r="CX550" s="50" t="n">
        <f aca="false">(CV550+BB550)/2</f>
        <v>70.7571428571429</v>
      </c>
      <c r="CY550" s="50" t="n">
        <v>793</v>
      </c>
      <c r="CZ550" s="27" t="s">
        <v>132</v>
      </c>
      <c r="DA550" s="27" t="s">
        <v>169</v>
      </c>
      <c r="DB550" s="27" t="s">
        <v>169</v>
      </c>
      <c r="DC550" s="27" t="s">
        <v>134</v>
      </c>
      <c r="DD550" s="27" t="s">
        <v>154</v>
      </c>
      <c r="DE550" s="27" t="s">
        <v>218</v>
      </c>
      <c r="DF550" s="27" t="s">
        <v>219</v>
      </c>
      <c r="DG550" s="27" t="s">
        <v>134</v>
      </c>
      <c r="DH550" s="27" t="s">
        <v>174</v>
      </c>
      <c r="DI550" s="27" t="s">
        <v>313</v>
      </c>
      <c r="DJ550" s="27" t="s">
        <v>372</v>
      </c>
      <c r="DK550" s="27" t="s">
        <v>134</v>
      </c>
      <c r="DL550" s="27" t="s">
        <v>137</v>
      </c>
      <c r="DM550" s="27" t="s">
        <v>183</v>
      </c>
      <c r="DN550" s="27" t="s">
        <v>209</v>
      </c>
      <c r="DO550" s="27" t="s">
        <v>134</v>
      </c>
      <c r="DP550" s="27" t="s">
        <v>604</v>
      </c>
      <c r="DQ550" s="27" t="s">
        <v>220</v>
      </c>
      <c r="DR550" s="27" t="s">
        <v>398</v>
      </c>
      <c r="DS550" s="27" t="s">
        <v>134</v>
      </c>
      <c r="DT550" s="27" t="s">
        <v>160</v>
      </c>
      <c r="DU550" s="27" t="s">
        <v>306</v>
      </c>
      <c r="DV550" s="27" t="s">
        <v>169</v>
      </c>
      <c r="DW550" s="27" t="s">
        <v>195</v>
      </c>
      <c r="DX550" s="27" t="s">
        <v>155</v>
      </c>
      <c r="DY550" s="27" t="s">
        <v>170</v>
      </c>
      <c r="DZ550" s="27" t="n">
        <f aca="false">DY550+DV550+DR550+DN550+DJ550+DF550+DB550</f>
        <v>567</v>
      </c>
      <c r="EA550" s="28" t="n">
        <f aca="false">DZ550/7</f>
        <v>81</v>
      </c>
      <c r="EB550" s="27" t="n">
        <f aca="false">RANK(EA550,$EA$2:$EA$881,0)</f>
        <v>350</v>
      </c>
      <c r="EC550" s="29" t="n">
        <f aca="false">DZ550+CQ550+CP550+AZ550</f>
        <v>2233</v>
      </c>
      <c r="ED550" s="30" t="n">
        <f aca="false">(EA550+CV550+BB550)/3</f>
        <v>74.1714285714286</v>
      </c>
      <c r="EE550" s="51" t="n">
        <f aca="false">ROUND(BE550,3)</f>
        <v>84.717</v>
      </c>
      <c r="EF550" s="51" t="n">
        <f aca="false">ROUND(CR550,3)</f>
        <v>59.714</v>
      </c>
      <c r="EG550" s="51" t="n">
        <f aca="false">ROUND(CS550,3)</f>
        <v>65.714</v>
      </c>
      <c r="EH550" s="51" t="n">
        <f aca="false">ROUND(EA550,3)</f>
        <v>81</v>
      </c>
      <c r="EI550" s="51" t="n">
        <f aca="false">ROUND(ED550,3)</f>
        <v>74.171</v>
      </c>
      <c r="EJ550" s="51" t="n">
        <f aca="false">ROUND(CV550,3)</f>
        <v>62.714</v>
      </c>
      <c r="EK550" s="0" t="n">
        <f aca="false">RANK(EI550,$EI$2:$EI$881,0)</f>
        <v>549</v>
      </c>
    </row>
    <row r="551" customFormat="false" ht="15" hidden="false" customHeight="false" outlineLevel="0" collapsed="false">
      <c r="A551" s="4" t="n">
        <v>1873</v>
      </c>
      <c r="B551" s="4" t="n">
        <v>845</v>
      </c>
      <c r="C551" s="27" t="s">
        <v>1655</v>
      </c>
      <c r="D551" s="31" t="n">
        <v>864</v>
      </c>
      <c r="E551" s="16" t="n">
        <v>230222297</v>
      </c>
      <c r="F551" s="56" t="s">
        <v>1656</v>
      </c>
      <c r="G551" s="22" t="s">
        <v>664</v>
      </c>
      <c r="H551" s="22" t="s">
        <v>326</v>
      </c>
      <c r="I551" s="57"/>
      <c r="J551" s="16" t="n">
        <v>83</v>
      </c>
      <c r="K551" s="16" t="n">
        <v>64</v>
      </c>
      <c r="L551" s="34" t="n">
        <f aca="false">(K551*70)/100</f>
        <v>44.8</v>
      </c>
      <c r="M551" s="34" t="n">
        <f aca="false">ROUNDUP(L551,0)</f>
        <v>45</v>
      </c>
      <c r="N551" s="16" t="n">
        <v>29</v>
      </c>
      <c r="O551" s="34" t="n">
        <f aca="false">N551+L551</f>
        <v>73.8</v>
      </c>
      <c r="P551" s="34" t="n">
        <f aca="false">N551+M551</f>
        <v>74</v>
      </c>
      <c r="Q551" s="16" t="n">
        <v>65</v>
      </c>
      <c r="R551" s="16" t="n">
        <v>75</v>
      </c>
      <c r="S551" s="34" t="n">
        <f aca="false">(R551*70)/100</f>
        <v>52.5</v>
      </c>
      <c r="T551" s="34" t="n">
        <f aca="false">ROUNDUP(S551,0)</f>
        <v>53</v>
      </c>
      <c r="U551" s="16" t="n">
        <v>25</v>
      </c>
      <c r="V551" s="34" t="n">
        <f aca="false">U551+S551</f>
        <v>77.5</v>
      </c>
      <c r="W551" s="34" t="n">
        <f aca="false">U551+T551</f>
        <v>78</v>
      </c>
      <c r="X551" s="16" t="n">
        <v>65</v>
      </c>
      <c r="Y551" s="34" t="n">
        <f aca="false">(X551*70)/100</f>
        <v>45.5</v>
      </c>
      <c r="Z551" s="34" t="n">
        <f aca="false">ROUNDUP(Y551,0)</f>
        <v>46</v>
      </c>
      <c r="AA551" s="16" t="n">
        <v>22</v>
      </c>
      <c r="AB551" s="34" t="n">
        <f aca="false">AA551+Y551</f>
        <v>67.5</v>
      </c>
      <c r="AC551" s="34" t="n">
        <f aca="false">AA551+Z551</f>
        <v>68</v>
      </c>
      <c r="AD551" s="32" t="n">
        <f aca="false">X551+R551+Q551+K551+J551</f>
        <v>352</v>
      </c>
      <c r="AE551" s="16" t="n">
        <f aca="false">AD551/5</f>
        <v>70.4</v>
      </c>
      <c r="AF551" s="16" t="n">
        <v>72</v>
      </c>
      <c r="AG551" s="16" t="n">
        <v>80</v>
      </c>
      <c r="AH551" s="16" t="n">
        <v>84</v>
      </c>
      <c r="AI551" s="16" t="n">
        <v>91</v>
      </c>
      <c r="AJ551" s="16" t="n">
        <f aca="false">(AI551*70)/100</f>
        <v>63.7</v>
      </c>
      <c r="AK551" s="35" t="n">
        <f aca="false">ROUNDUP(AJ551,0)</f>
        <v>64</v>
      </c>
      <c r="AL551" s="16" t="n">
        <v>18</v>
      </c>
      <c r="AM551" s="16" t="n">
        <f aca="false">AL551+AJ551</f>
        <v>81.7</v>
      </c>
      <c r="AN551" s="16" t="n">
        <f aca="false">AL551+AK551</f>
        <v>82</v>
      </c>
      <c r="AO551" s="16" t="n">
        <v>81</v>
      </c>
      <c r="AP551" s="36" t="n">
        <f aca="false">(AO551*70)/100</f>
        <v>56.7</v>
      </c>
      <c r="AQ551" s="37" t="n">
        <f aca="false">ROUNDUP(AP551,0)</f>
        <v>57</v>
      </c>
      <c r="AR551" s="16" t="n">
        <v>23</v>
      </c>
      <c r="AS551" s="16" t="n">
        <f aca="false">AR551+AP551</f>
        <v>79.7</v>
      </c>
      <c r="AT551" s="16" t="n">
        <f aca="false">AR551+AQ551</f>
        <v>80</v>
      </c>
      <c r="AU551" s="16" t="n">
        <f aca="false">AO551+AF551+AI551+AH551+AG551</f>
        <v>408</v>
      </c>
      <c r="AV551" s="16" t="n">
        <f aca="false">(AO551+AF551+AI551+AH551+AG551)/5</f>
        <v>81.6</v>
      </c>
      <c r="AW551" s="36" t="n">
        <f aca="false">(AO551+AF551+AI551+AH551+AG551+X551+R551+Q551+K551+J551)</f>
        <v>760</v>
      </c>
      <c r="AX551" s="16" t="n">
        <f aca="false">AW551/10</f>
        <v>76</v>
      </c>
      <c r="AY551" s="16" t="n">
        <f aca="false">AS551+AF551+AM551+AH551+AG551+AB551+V551+Q551+O551+J551</f>
        <v>764.2</v>
      </c>
      <c r="AZ551" s="16" t="n">
        <f aca="false">AT551+AF551+AN551+AH551+AG551+AC551+W551+Q551+P551+J551</f>
        <v>766</v>
      </c>
      <c r="BA551" s="16" t="n">
        <f aca="false">AY551/10</f>
        <v>76.42</v>
      </c>
      <c r="BB551" s="16" t="n">
        <f aca="false">AZ551/10</f>
        <v>76.6</v>
      </c>
      <c r="BC551" s="16" t="n">
        <v>2378</v>
      </c>
      <c r="BD551" s="16" t="n">
        <f aca="false">RANK(AX551,$AX$2:$AX$881,0)</f>
        <v>616</v>
      </c>
      <c r="BE551" s="54" t="n">
        <f aca="false">((BC551*100)/2400)*0.4+(AX551*0.6)</f>
        <v>85.2333333333333</v>
      </c>
      <c r="BF551" s="16" t="n">
        <f aca="false">RANK(BE551,$BE$2:$BE$881,0)</f>
        <v>557</v>
      </c>
      <c r="BG551" s="39" t="n">
        <f aca="false">RANK(BB551,$BB$2:$BB$881,0)</f>
        <v>661</v>
      </c>
      <c r="BH551" s="39" t="n">
        <f aca="false">RANK(BC551,$BC$2:$BC$881,0)</f>
        <v>173</v>
      </c>
      <c r="BI551" s="22" t="s">
        <v>130</v>
      </c>
      <c r="BJ551" s="22" t="s">
        <v>129</v>
      </c>
      <c r="BK551" s="40" t="s">
        <v>509</v>
      </c>
      <c r="BL551" s="41" t="n">
        <v>22</v>
      </c>
      <c r="BM551" s="41" t="n">
        <v>54</v>
      </c>
      <c r="BN551" s="41" t="n">
        <v>76</v>
      </c>
      <c r="BO551" s="42" t="n">
        <v>24</v>
      </c>
      <c r="BP551" s="43" t="n">
        <v>57</v>
      </c>
      <c r="BQ551" s="44" t="n">
        <v>81</v>
      </c>
      <c r="BR551" s="42" t="n">
        <v>27</v>
      </c>
      <c r="BS551" s="80"/>
      <c r="BT551" s="80"/>
      <c r="BU551" s="46" t="n">
        <v>100</v>
      </c>
      <c r="BV551" s="47" t="n">
        <v>80</v>
      </c>
      <c r="BW551" s="42" t="n">
        <v>100</v>
      </c>
      <c r="BX551" s="48" t="n">
        <v>90</v>
      </c>
      <c r="BY551" s="32" t="n">
        <v>28</v>
      </c>
      <c r="BZ551" s="32" t="n">
        <v>51</v>
      </c>
      <c r="CA551" s="32" t="n">
        <v>79</v>
      </c>
      <c r="CB551" s="32" t="n">
        <v>23</v>
      </c>
      <c r="CC551" s="32" t="n">
        <v>27</v>
      </c>
      <c r="CD551" s="69" t="n">
        <v>50</v>
      </c>
      <c r="CE551" s="32" t="n">
        <v>26</v>
      </c>
      <c r="CF551" s="32" t="n">
        <v>43</v>
      </c>
      <c r="CG551" s="32" t="n">
        <v>69</v>
      </c>
      <c r="CH551" s="32" t="n">
        <v>92</v>
      </c>
      <c r="CI551" s="32" t="n">
        <v>99</v>
      </c>
      <c r="CJ551" s="49" t="n">
        <v>18</v>
      </c>
      <c r="CK551" s="49" t="n">
        <v>42</v>
      </c>
      <c r="CL551" s="49" t="n">
        <v>60</v>
      </c>
      <c r="CM551" s="49" t="n">
        <v>24</v>
      </c>
      <c r="CN551" s="49" t="n">
        <v>48</v>
      </c>
      <c r="CO551" s="49" t="n">
        <v>72</v>
      </c>
      <c r="CP551" s="25" t="n">
        <f aca="false">BX551+BW551+BV551+BU551+BT551+BQ551+BN551</f>
        <v>527</v>
      </c>
      <c r="CQ551" s="25" t="n">
        <f aca="false">CO551+CL551+CI551+CH551+CG551+CD551+CA551</f>
        <v>521</v>
      </c>
      <c r="CR551" s="26" t="n">
        <f aca="false">CP551/7</f>
        <v>75.2857142857143</v>
      </c>
      <c r="CS551" s="26" t="n">
        <f aca="false">CQ551/7</f>
        <v>74.4285714285714</v>
      </c>
      <c r="CT551" s="24" t="n">
        <f aca="false">RANK(CR551,$CR$2:$CR$881,0)</f>
        <v>644</v>
      </c>
      <c r="CU551" s="25" t="n">
        <f aca="false">RANK(CS551,$CS$2:$CS$881,0)</f>
        <v>443</v>
      </c>
      <c r="CV551" s="26" t="n">
        <f aca="false">(CS551+CR551)/2</f>
        <v>74.8571428571429</v>
      </c>
      <c r="CW551" s="25" t="n">
        <f aca="false">RANK(CV551,$CV$2:$CV$881,0)</f>
        <v>561</v>
      </c>
      <c r="CX551" s="50" t="n">
        <f aca="false">(CV551+BB551)/2</f>
        <v>75.7285714285714</v>
      </c>
      <c r="CY551" s="50" t="n">
        <v>538</v>
      </c>
      <c r="CZ551" s="27" t="s">
        <v>132</v>
      </c>
      <c r="DA551" s="27" t="s">
        <v>202</v>
      </c>
      <c r="DB551" s="27" t="s">
        <v>202</v>
      </c>
      <c r="DC551" s="27" t="s">
        <v>134</v>
      </c>
      <c r="DD551" s="27" t="s">
        <v>160</v>
      </c>
      <c r="DE551" s="27" t="s">
        <v>183</v>
      </c>
      <c r="DF551" s="27" t="s">
        <v>202</v>
      </c>
      <c r="DG551" s="27" t="s">
        <v>134</v>
      </c>
      <c r="DH551" s="27" t="s">
        <v>135</v>
      </c>
      <c r="DI551" s="27" t="s">
        <v>218</v>
      </c>
      <c r="DJ551" s="27" t="s">
        <v>205</v>
      </c>
      <c r="DK551" s="27" t="s">
        <v>134</v>
      </c>
      <c r="DL551" s="27" t="s">
        <v>182</v>
      </c>
      <c r="DM551" s="27" t="s">
        <v>447</v>
      </c>
      <c r="DN551" s="27" t="s">
        <v>382</v>
      </c>
      <c r="DO551" s="27" t="s">
        <v>134</v>
      </c>
      <c r="DP551" s="27"/>
      <c r="DQ551" s="27"/>
      <c r="DR551" s="27"/>
      <c r="DS551" s="27"/>
      <c r="DT551" s="27" t="s">
        <v>164</v>
      </c>
      <c r="DU551" s="27" t="s">
        <v>989</v>
      </c>
      <c r="DV551" s="27" t="s">
        <v>138</v>
      </c>
      <c r="DW551" s="27" t="s">
        <v>164</v>
      </c>
      <c r="DX551" s="27" t="s">
        <v>155</v>
      </c>
      <c r="DY551" s="27" t="s">
        <v>144</v>
      </c>
      <c r="DZ551" s="27" t="n">
        <f aca="false">DY551+DV551+DR551+DN551+DJ551+DF551+DB551</f>
        <v>497</v>
      </c>
      <c r="EA551" s="28" t="n">
        <f aca="false">DZ551/7</f>
        <v>71</v>
      </c>
      <c r="EB551" s="27" t="n">
        <f aca="false">RANK(EA551,$EA$2:$EA$881,0)</f>
        <v>625</v>
      </c>
      <c r="EC551" s="29" t="n">
        <f aca="false">DZ551+CQ551+CP551+AZ551</f>
        <v>2311</v>
      </c>
      <c r="ED551" s="30" t="n">
        <f aca="false">(EA551+CV551+BB551)/3</f>
        <v>74.152380952381</v>
      </c>
      <c r="EE551" s="51" t="n">
        <f aca="false">ROUND(BE551,3)</f>
        <v>85.233</v>
      </c>
      <c r="EF551" s="51" t="n">
        <f aca="false">ROUND(CR551,3)</f>
        <v>75.286</v>
      </c>
      <c r="EG551" s="51" t="n">
        <f aca="false">ROUND(CS551,3)</f>
        <v>74.429</v>
      </c>
      <c r="EH551" s="51" t="n">
        <f aca="false">ROUND(EA551,3)</f>
        <v>71</v>
      </c>
      <c r="EI551" s="51" t="n">
        <f aca="false">ROUND(ED551,3)</f>
        <v>74.152</v>
      </c>
      <c r="EJ551" s="51" t="n">
        <f aca="false">ROUND(CV551,3)</f>
        <v>74.857</v>
      </c>
      <c r="EK551" s="0" t="n">
        <f aca="false">RANK(EI551,$EI$2:$EI$881,0)</f>
        <v>550</v>
      </c>
    </row>
    <row r="552" customFormat="false" ht="16.85" hidden="false" customHeight="false" outlineLevel="0" collapsed="false">
      <c r="A552" s="4" t="n">
        <v>1888</v>
      </c>
      <c r="B552" s="4" t="n">
        <v>667</v>
      </c>
      <c r="C552" s="27" t="s">
        <v>1657</v>
      </c>
      <c r="D552" s="31" t="n">
        <v>680</v>
      </c>
      <c r="E552" s="16" t="n">
        <v>230224419</v>
      </c>
      <c r="F552" s="56" t="s">
        <v>1658</v>
      </c>
      <c r="G552" s="22" t="s">
        <v>292</v>
      </c>
      <c r="H552" s="22" t="s">
        <v>558</v>
      </c>
      <c r="I552" s="57"/>
      <c r="J552" s="16" t="n">
        <v>82</v>
      </c>
      <c r="K552" s="16" t="n">
        <v>69</v>
      </c>
      <c r="L552" s="34" t="n">
        <f aca="false">(K552*70)/100</f>
        <v>48.3</v>
      </c>
      <c r="M552" s="34" t="n">
        <f aca="false">ROUNDUP(L552,0)</f>
        <v>49</v>
      </c>
      <c r="N552" s="16" t="n">
        <v>21</v>
      </c>
      <c r="O552" s="34" t="n">
        <f aca="false">N552+L552</f>
        <v>69.3</v>
      </c>
      <c r="P552" s="34" t="n">
        <f aca="false">N552+M552</f>
        <v>70</v>
      </c>
      <c r="Q552" s="71" t="n">
        <v>57</v>
      </c>
      <c r="R552" s="16" t="n">
        <v>70</v>
      </c>
      <c r="S552" s="34" t="n">
        <f aca="false">(R552*70)/100</f>
        <v>49</v>
      </c>
      <c r="T552" s="34" t="n">
        <f aca="false">ROUNDUP(S552,0)</f>
        <v>49</v>
      </c>
      <c r="U552" s="16" t="n">
        <v>26</v>
      </c>
      <c r="V552" s="34" t="n">
        <f aca="false">U552+S552</f>
        <v>75</v>
      </c>
      <c r="W552" s="34" t="n">
        <f aca="false">U552+T552</f>
        <v>75</v>
      </c>
      <c r="X552" s="16" t="n">
        <v>69</v>
      </c>
      <c r="Y552" s="34" t="n">
        <f aca="false">(X552*70)/100</f>
        <v>48.3</v>
      </c>
      <c r="Z552" s="34" t="n">
        <f aca="false">ROUNDUP(Y552,0)</f>
        <v>49</v>
      </c>
      <c r="AA552" s="16" t="n">
        <v>28</v>
      </c>
      <c r="AB552" s="34" t="n">
        <f aca="false">AA552+Y552</f>
        <v>76.3</v>
      </c>
      <c r="AC552" s="34" t="n">
        <f aca="false">AA552+Z552</f>
        <v>77</v>
      </c>
      <c r="AD552" s="32" t="n">
        <f aca="false">X552+R552+Q552+K552+J552</f>
        <v>347</v>
      </c>
      <c r="AE552" s="16" t="n">
        <f aca="false">AD552/5</f>
        <v>69.4</v>
      </c>
      <c r="AF552" s="16" t="n">
        <v>81</v>
      </c>
      <c r="AG552" s="16" t="n">
        <v>87</v>
      </c>
      <c r="AH552" s="16" t="n">
        <v>86</v>
      </c>
      <c r="AI552" s="16" t="n">
        <v>85</v>
      </c>
      <c r="AJ552" s="16" t="n">
        <f aca="false">(AI552*70)/100</f>
        <v>59.5</v>
      </c>
      <c r="AK552" s="35" t="n">
        <f aca="false">ROUNDUP(AJ552,0)</f>
        <v>60</v>
      </c>
      <c r="AL552" s="16" t="n">
        <v>27</v>
      </c>
      <c r="AM552" s="16" t="n">
        <f aca="false">AL552+AJ552</f>
        <v>86.5</v>
      </c>
      <c r="AN552" s="16" t="n">
        <f aca="false">AL552+AK552</f>
        <v>87</v>
      </c>
      <c r="AO552" s="16" t="n">
        <v>66</v>
      </c>
      <c r="AP552" s="36" t="n">
        <f aca="false">(AO552*70)/100</f>
        <v>46.2</v>
      </c>
      <c r="AQ552" s="37" t="n">
        <f aca="false">ROUNDUP(AP552,0)</f>
        <v>47</v>
      </c>
      <c r="AR552" s="16" t="n">
        <v>24</v>
      </c>
      <c r="AS552" s="16" t="n">
        <f aca="false">AR552+AP552</f>
        <v>70.2</v>
      </c>
      <c r="AT552" s="16" t="n">
        <f aca="false">AR552+AQ552</f>
        <v>71</v>
      </c>
      <c r="AU552" s="16" t="n">
        <f aca="false">AO552+AF552+AI552+AH552+AG552</f>
        <v>405</v>
      </c>
      <c r="AV552" s="16" t="n">
        <f aca="false">(AO552+AF552+AI552+AH552+AG552)/5</f>
        <v>81</v>
      </c>
      <c r="AW552" s="36" t="n">
        <f aca="false">(AO552+AF552+AI552+AH552+AG552+X552+R552+Q552+K552+J552)</f>
        <v>752</v>
      </c>
      <c r="AX552" s="16" t="n">
        <f aca="false">AW552/10</f>
        <v>75.2</v>
      </c>
      <c r="AY552" s="16" t="n">
        <f aca="false">AS552+AF552+AM552+AH552+AG552+AB552+V552+Q552+O552+J552</f>
        <v>770.3</v>
      </c>
      <c r="AZ552" s="16" t="n">
        <f aca="false">AT552+AF552+AN552+AH552+AG552+AC552+W552+Q552+P552+J552</f>
        <v>773</v>
      </c>
      <c r="BA552" s="16" t="n">
        <f aca="false">AY552/10</f>
        <v>77.03</v>
      </c>
      <c r="BB552" s="16" t="n">
        <f aca="false">AZ552/10</f>
        <v>77.3</v>
      </c>
      <c r="BC552" s="16" t="n">
        <v>2392</v>
      </c>
      <c r="BD552" s="16" t="n">
        <f aca="false">RANK(AX552,$AX$2:$AX$881,0)</f>
        <v>675</v>
      </c>
      <c r="BE552" s="73" t="n">
        <f aca="false">((BC552*100)/2400)*0.4+(AX552*0.6)</f>
        <v>84.9866666666667</v>
      </c>
      <c r="BF552" s="16" t="n">
        <f aca="false">RANK(BE552,$BE$2:$BE$881,0)</f>
        <v>617</v>
      </c>
      <c r="BG552" s="39" t="n">
        <f aca="false">RANK(BB552,$BB$2:$BB$881,0)</f>
        <v>620</v>
      </c>
      <c r="BH552" s="39" t="n">
        <f aca="false">RANK(BC552,$BC$2:$BC$881,0)</f>
        <v>28</v>
      </c>
      <c r="BI552" s="22" t="s">
        <v>130</v>
      </c>
      <c r="BJ552" s="22" t="s">
        <v>129</v>
      </c>
      <c r="BK552" s="22" t="s">
        <v>509</v>
      </c>
      <c r="BL552" s="86" t="n">
        <v>18</v>
      </c>
      <c r="BM552" s="86" t="n">
        <v>43</v>
      </c>
      <c r="BN552" s="86" t="n">
        <v>61</v>
      </c>
      <c r="BO552" s="87" t="n">
        <v>17</v>
      </c>
      <c r="BP552" s="82" t="n">
        <v>43</v>
      </c>
      <c r="BQ552" s="46" t="n">
        <v>60</v>
      </c>
      <c r="BR552" s="87" t="n">
        <v>23</v>
      </c>
      <c r="BS552" s="80"/>
      <c r="BT552" s="80"/>
      <c r="BU552" s="46" t="n">
        <v>100</v>
      </c>
      <c r="BV552" s="45" t="n">
        <v>90</v>
      </c>
      <c r="BW552" s="87" t="n">
        <v>95</v>
      </c>
      <c r="BX552" s="88" t="n">
        <v>92</v>
      </c>
      <c r="BY552" s="65" t="n">
        <v>20</v>
      </c>
      <c r="BZ552" s="58" t="n">
        <v>49</v>
      </c>
      <c r="CA552" s="58" t="n">
        <v>69</v>
      </c>
      <c r="CB552" s="59" t="n">
        <v>16</v>
      </c>
      <c r="CC552" s="58" t="n">
        <v>44</v>
      </c>
      <c r="CD552" s="58" t="n">
        <v>60</v>
      </c>
      <c r="CE552" s="58" t="n">
        <v>15</v>
      </c>
      <c r="CF552" s="58" t="n">
        <v>36</v>
      </c>
      <c r="CG552" s="90" t="n">
        <v>51</v>
      </c>
      <c r="CH552" s="58" t="n">
        <v>90</v>
      </c>
      <c r="CI552" s="58" t="n">
        <v>90</v>
      </c>
      <c r="CJ552" s="58" t="n">
        <v>26</v>
      </c>
      <c r="CK552" s="58" t="n">
        <v>58</v>
      </c>
      <c r="CL552" s="59" t="n">
        <v>84</v>
      </c>
      <c r="CM552" s="60"/>
      <c r="CN552" s="60"/>
      <c r="CO552" s="60"/>
      <c r="CP552" s="25" t="n">
        <f aca="false">BX552+BW552+BV552+BU552+BT552+BQ552+BN552</f>
        <v>498</v>
      </c>
      <c r="CQ552" s="25" t="n">
        <f aca="false">CO552+CL552+CI552+CH552+CG552+CD552+CA552</f>
        <v>444</v>
      </c>
      <c r="CR552" s="26" t="n">
        <f aca="false">CP552/7</f>
        <v>71.1428571428571</v>
      </c>
      <c r="CS552" s="26" t="n">
        <f aca="false">CQ552/7</f>
        <v>63.4285714285714</v>
      </c>
      <c r="CT552" s="24" t="n">
        <f aca="false">RANK(CR552,$CR$2:$CR$881,0)</f>
        <v>677</v>
      </c>
      <c r="CU552" s="25" t="n">
        <f aca="false">RANK(CS552,$CS$2:$CS$881,0)</f>
        <v>646</v>
      </c>
      <c r="CV552" s="26" t="n">
        <f aca="false">(CS552+CR552)/2</f>
        <v>67.2857142857143</v>
      </c>
      <c r="CW552" s="25" t="n">
        <f aca="false">RANK(CV552,$CV$2:$CV$881,0)</f>
        <v>663</v>
      </c>
      <c r="CX552" s="50" t="n">
        <f aca="false">(CV552+BB552)/2</f>
        <v>72.2928571428571</v>
      </c>
      <c r="CY552" s="50" t="n">
        <v>690</v>
      </c>
      <c r="CZ552" s="27" t="s">
        <v>132</v>
      </c>
      <c r="DA552" s="27" t="s">
        <v>219</v>
      </c>
      <c r="DB552" s="27" t="s">
        <v>219</v>
      </c>
      <c r="DC552" s="27" t="s">
        <v>134</v>
      </c>
      <c r="DD552" s="27" t="s">
        <v>182</v>
      </c>
      <c r="DE552" s="27" t="s">
        <v>304</v>
      </c>
      <c r="DF552" s="27" t="s">
        <v>305</v>
      </c>
      <c r="DG552" s="27" t="s">
        <v>134</v>
      </c>
      <c r="DH552" s="27" t="s">
        <v>135</v>
      </c>
      <c r="DI552" s="27" t="s">
        <v>161</v>
      </c>
      <c r="DJ552" s="27" t="s">
        <v>202</v>
      </c>
      <c r="DK552" s="27" t="s">
        <v>134</v>
      </c>
      <c r="DL552" s="27" t="s">
        <v>135</v>
      </c>
      <c r="DM552" s="27" t="s">
        <v>447</v>
      </c>
      <c r="DN552" s="27" t="s">
        <v>305</v>
      </c>
      <c r="DO552" s="27" t="s">
        <v>134</v>
      </c>
      <c r="DP552" s="27" t="s">
        <v>485</v>
      </c>
      <c r="DQ552" s="27" t="s">
        <v>415</v>
      </c>
      <c r="DR552" s="27" t="s">
        <v>152</v>
      </c>
      <c r="DS552" s="27" t="s">
        <v>134</v>
      </c>
      <c r="DT552" s="27" t="s">
        <v>164</v>
      </c>
      <c r="DU552" s="27" t="s">
        <v>645</v>
      </c>
      <c r="DV552" s="27" t="s">
        <v>416</v>
      </c>
      <c r="DW552" s="27" t="s">
        <v>191</v>
      </c>
      <c r="DX552" s="27" t="s">
        <v>143</v>
      </c>
      <c r="DY552" s="27" t="s">
        <v>133</v>
      </c>
      <c r="DZ552" s="27" t="n">
        <f aca="false">DY552+DV552+DR552+DN552+DJ552+DF552+DB552</f>
        <v>545</v>
      </c>
      <c r="EA552" s="28" t="n">
        <f aca="false">DZ552/7</f>
        <v>77.8571428571429</v>
      </c>
      <c r="EB552" s="27" t="n">
        <f aca="false">RANK(EA552,$EA$2:$EA$881,0)</f>
        <v>463</v>
      </c>
      <c r="EC552" s="29" t="n">
        <f aca="false">DZ552+CQ552+CP552+AZ552</f>
        <v>2260</v>
      </c>
      <c r="ED552" s="30" t="n">
        <f aca="false">(EA552+CV552+BB552)/3</f>
        <v>74.1476190476191</v>
      </c>
      <c r="EE552" s="51" t="n">
        <f aca="false">ROUND(BE552,3)</f>
        <v>84.987</v>
      </c>
      <c r="EF552" s="51" t="n">
        <f aca="false">ROUND(CR552,3)</f>
        <v>71.143</v>
      </c>
      <c r="EG552" s="51" t="n">
        <f aca="false">ROUND(CS552,3)</f>
        <v>63.429</v>
      </c>
      <c r="EH552" s="51" t="n">
        <f aca="false">ROUND(EA552,3)</f>
        <v>77.857</v>
      </c>
      <c r="EI552" s="51" t="n">
        <f aca="false">ROUND(ED552,3)</f>
        <v>74.148</v>
      </c>
      <c r="EJ552" s="51" t="n">
        <f aca="false">ROUND(CV552,3)</f>
        <v>67.286</v>
      </c>
      <c r="EK552" s="0" t="n">
        <f aca="false">RANK(EI552,$EI$2:$EI$881,0)</f>
        <v>551</v>
      </c>
    </row>
    <row r="553" customFormat="false" ht="15" hidden="false" customHeight="false" outlineLevel="0" collapsed="false">
      <c r="A553" s="4" t="n">
        <v>8885</v>
      </c>
      <c r="B553" s="4" t="n">
        <v>80</v>
      </c>
      <c r="C553" s="27" t="s">
        <v>1659</v>
      </c>
      <c r="D553" s="52" t="n">
        <v>81</v>
      </c>
      <c r="E553" s="16" t="n">
        <v>230319601</v>
      </c>
      <c r="F553" s="56" t="s">
        <v>1660</v>
      </c>
      <c r="G553" s="22" t="s">
        <v>1661</v>
      </c>
      <c r="H553" s="22" t="s">
        <v>129</v>
      </c>
      <c r="I553" s="57"/>
      <c r="J553" s="16" t="n">
        <v>77</v>
      </c>
      <c r="K553" s="16" t="n">
        <v>61</v>
      </c>
      <c r="L553" s="34" t="n">
        <f aca="false">(K553*70)/100</f>
        <v>42.7</v>
      </c>
      <c r="M553" s="34" t="n">
        <f aca="false">ROUNDUP(L553,0)</f>
        <v>43</v>
      </c>
      <c r="N553" s="16" t="n">
        <v>23</v>
      </c>
      <c r="O553" s="34" t="n">
        <f aca="false">N553+L553</f>
        <v>65.7</v>
      </c>
      <c r="P553" s="34" t="n">
        <f aca="false">N553+M553</f>
        <v>66</v>
      </c>
      <c r="Q553" s="16" t="n">
        <v>74</v>
      </c>
      <c r="R553" s="16" t="n">
        <v>64</v>
      </c>
      <c r="S553" s="34" t="n">
        <f aca="false">(R553*70)/100</f>
        <v>44.8</v>
      </c>
      <c r="T553" s="34" t="n">
        <f aca="false">ROUNDUP(S553,0)</f>
        <v>45</v>
      </c>
      <c r="U553" s="16" t="n">
        <v>21</v>
      </c>
      <c r="V553" s="34" t="n">
        <f aca="false">U553+S553</f>
        <v>65.8</v>
      </c>
      <c r="W553" s="34" t="n">
        <f aca="false">U553+T553</f>
        <v>66</v>
      </c>
      <c r="X553" s="16" t="n">
        <v>68</v>
      </c>
      <c r="Y553" s="34" t="n">
        <f aca="false">(X553*70)/100</f>
        <v>47.6</v>
      </c>
      <c r="Z553" s="34" t="n">
        <f aca="false">ROUNDUP(Y553,0)</f>
        <v>48</v>
      </c>
      <c r="AA553" s="16" t="n">
        <v>25</v>
      </c>
      <c r="AB553" s="34" t="n">
        <f aca="false">AA553+Y553</f>
        <v>72.6</v>
      </c>
      <c r="AC553" s="34" t="n">
        <f aca="false">AA553+Z553</f>
        <v>73</v>
      </c>
      <c r="AD553" s="32" t="n">
        <f aca="false">X553+R553+Q553+K553+J553</f>
        <v>344</v>
      </c>
      <c r="AE553" s="16" t="n">
        <f aca="false">AD553/5</f>
        <v>68.8</v>
      </c>
      <c r="AF553" s="71" t="n">
        <v>57</v>
      </c>
      <c r="AG553" s="16" t="n">
        <v>73</v>
      </c>
      <c r="AH553" s="16" t="n">
        <v>93</v>
      </c>
      <c r="AI553" s="16" t="n">
        <v>86</v>
      </c>
      <c r="AJ553" s="16" t="n">
        <f aca="false">(AI553*70)/100</f>
        <v>60.2</v>
      </c>
      <c r="AK553" s="35" t="n">
        <f aca="false">ROUNDUP(AJ553,0)</f>
        <v>61</v>
      </c>
      <c r="AL553" s="16" t="n">
        <v>27</v>
      </c>
      <c r="AM553" s="16" t="n">
        <f aca="false">AL553+AJ553</f>
        <v>87.2</v>
      </c>
      <c r="AN553" s="16" t="n">
        <f aca="false">AL553+AK553</f>
        <v>88</v>
      </c>
      <c r="AO553" s="16" t="n">
        <v>65</v>
      </c>
      <c r="AP553" s="36" t="n">
        <f aca="false">(AO553*70)/100</f>
        <v>45.5</v>
      </c>
      <c r="AQ553" s="37" t="n">
        <f aca="false">ROUNDUP(AP553,0)</f>
        <v>46</v>
      </c>
      <c r="AR553" s="16" t="n">
        <v>25</v>
      </c>
      <c r="AS553" s="16" t="n">
        <f aca="false">AR553+AP553</f>
        <v>70.5</v>
      </c>
      <c r="AT553" s="16" t="n">
        <f aca="false">AR553+AQ553</f>
        <v>71</v>
      </c>
      <c r="AU553" s="16" t="n">
        <f aca="false">AO553+AF553+AI553+AH553+AG553</f>
        <v>374</v>
      </c>
      <c r="AV553" s="16" t="n">
        <f aca="false">(AO553+AF553+AI553+AH553+AG553)/5</f>
        <v>74.8</v>
      </c>
      <c r="AW553" s="36" t="n">
        <f aca="false">(AO553+AF553+AI553+AH553+AG553+X553+R553+Q553+K553+J553)</f>
        <v>718</v>
      </c>
      <c r="AX553" s="16" t="n">
        <f aca="false">AW553/10</f>
        <v>71.8</v>
      </c>
      <c r="AY553" s="16" t="n">
        <f aca="false">AS553+AF553+AM553+AH553+AG553+AB553+V553+Q553+O553+J553</f>
        <v>735.8</v>
      </c>
      <c r="AZ553" s="16" t="n">
        <f aca="false">AT553+AF553+AN553+AH553+AG553+AC553+W553+Q553+P553+J553</f>
        <v>738</v>
      </c>
      <c r="BA553" s="16" t="n">
        <f aca="false">AY553/10</f>
        <v>73.58</v>
      </c>
      <c r="BB553" s="16" t="n">
        <f aca="false">AZ553/10</f>
        <v>73.8</v>
      </c>
      <c r="BC553" s="16" t="n">
        <v>2373</v>
      </c>
      <c r="BD553" s="16" t="n">
        <f aca="false">RANK(AX553,$AX$2:$AX$881,0)</f>
        <v>720</v>
      </c>
      <c r="BE553" s="73" t="n">
        <f aca="false">((BC553*100)/2400)*0.4+(AX553*0.6)</f>
        <v>82.63</v>
      </c>
      <c r="BF553" s="16" t="n">
        <f aca="false">RANK(BE553,$BE$2:$BE$881,0)</f>
        <v>705</v>
      </c>
      <c r="BG553" s="39" t="n">
        <f aca="false">RANK(BB553,$BB$2:$BB$881,0)</f>
        <v>711</v>
      </c>
      <c r="BH553" s="39" t="n">
        <f aca="false">RANK(BC553,$BC$2:$BC$881,0)</f>
        <v>233</v>
      </c>
      <c r="BI553" s="22" t="s">
        <v>130</v>
      </c>
      <c r="BJ553" s="22" t="s">
        <v>129</v>
      </c>
      <c r="BK553" s="40" t="s">
        <v>702</v>
      </c>
      <c r="BL553" s="41" t="n">
        <v>12</v>
      </c>
      <c r="BM553" s="41" t="n">
        <v>55</v>
      </c>
      <c r="BN553" s="41" t="n">
        <v>67</v>
      </c>
      <c r="BO553" s="42" t="n">
        <v>23</v>
      </c>
      <c r="BP553" s="43" t="n">
        <v>53</v>
      </c>
      <c r="BQ553" s="44" t="n">
        <v>76</v>
      </c>
      <c r="BR553" s="42" t="n">
        <v>25</v>
      </c>
      <c r="BS553" s="45" t="n">
        <v>44</v>
      </c>
      <c r="BT553" s="45" t="n">
        <v>69</v>
      </c>
      <c r="BU553" s="46" t="n">
        <v>100</v>
      </c>
      <c r="BV553" s="47" t="n">
        <v>90</v>
      </c>
      <c r="BW553" s="42" t="n">
        <v>95</v>
      </c>
      <c r="BX553" s="48" t="n">
        <v>92</v>
      </c>
      <c r="BY553" s="32" t="n">
        <v>21</v>
      </c>
      <c r="BZ553" s="32" t="n">
        <v>32</v>
      </c>
      <c r="CA553" s="69" t="n">
        <v>53</v>
      </c>
      <c r="CB553" s="32" t="n">
        <v>16</v>
      </c>
      <c r="CC553" s="32" t="n">
        <v>39</v>
      </c>
      <c r="CD553" s="69" t="n">
        <v>55</v>
      </c>
      <c r="CE553" s="32" t="n">
        <v>23</v>
      </c>
      <c r="CF553" s="32" t="n">
        <v>47</v>
      </c>
      <c r="CG553" s="32" t="n">
        <v>70</v>
      </c>
      <c r="CH553" s="32" t="n">
        <v>93</v>
      </c>
      <c r="CI553" s="32" t="n">
        <v>92</v>
      </c>
      <c r="CJ553" s="49" t="n">
        <v>16</v>
      </c>
      <c r="CK553" s="49" t="n">
        <v>49</v>
      </c>
      <c r="CL553" s="84" t="n">
        <v>65</v>
      </c>
      <c r="CM553" s="49" t="n">
        <v>25</v>
      </c>
      <c r="CN553" s="49" t="n">
        <v>47</v>
      </c>
      <c r="CO553" s="49" t="n">
        <v>72</v>
      </c>
      <c r="CP553" s="25" t="n">
        <f aca="false">BX553+BW553+BV553+BU553+BT553+BQ553+BN553</f>
        <v>589</v>
      </c>
      <c r="CQ553" s="25" t="n">
        <f aca="false">CO553+CL553+CI553+CH553+CG553+CD553+CA553</f>
        <v>500</v>
      </c>
      <c r="CR553" s="26" t="n">
        <f aca="false">CP553/7</f>
        <v>84.1428571428571</v>
      </c>
      <c r="CS553" s="26" t="n">
        <f aca="false">CQ553/7</f>
        <v>71.4285714285714</v>
      </c>
      <c r="CT553" s="24" t="n">
        <f aca="false">RANK(CR553,$CR$2:$CR$881,0)</f>
        <v>474</v>
      </c>
      <c r="CU553" s="25" t="n">
        <f aca="false">RANK(CS553,$CS$2:$CS$881,0)</f>
        <v>528</v>
      </c>
      <c r="CV553" s="26" t="n">
        <f aca="false">(CS553+CR553)/2</f>
        <v>77.7857142857143</v>
      </c>
      <c r="CW553" s="25" t="n">
        <f aca="false">RANK(CV553,$CV$2:$CV$881,0)</f>
        <v>499</v>
      </c>
      <c r="CX553" s="50" t="n">
        <f aca="false">(CV553+BB553)/2</f>
        <v>75.7928571428571</v>
      </c>
      <c r="CY553" s="50" t="n">
        <v>546</v>
      </c>
      <c r="CZ553" s="27" t="s">
        <v>132</v>
      </c>
      <c r="DA553" s="27" t="s">
        <v>175</v>
      </c>
      <c r="DB553" s="27" t="s">
        <v>175</v>
      </c>
      <c r="DC553" s="27" t="s">
        <v>134</v>
      </c>
      <c r="DD553" s="27" t="s">
        <v>191</v>
      </c>
      <c r="DE553" s="27" t="s">
        <v>415</v>
      </c>
      <c r="DF553" s="27" t="s">
        <v>141</v>
      </c>
      <c r="DG553" s="27" t="s">
        <v>134</v>
      </c>
      <c r="DH553" s="27" t="s">
        <v>174</v>
      </c>
      <c r="DI553" s="27" t="s">
        <v>645</v>
      </c>
      <c r="DJ553" s="27" t="s">
        <v>187</v>
      </c>
      <c r="DK553" s="27" t="s">
        <v>134</v>
      </c>
      <c r="DL553" s="27" t="s">
        <v>264</v>
      </c>
      <c r="DM553" s="27" t="s">
        <v>479</v>
      </c>
      <c r="DN553" s="27" t="s">
        <v>183</v>
      </c>
      <c r="DO553" s="27" t="s">
        <v>480</v>
      </c>
      <c r="DP553" s="27" t="s">
        <v>485</v>
      </c>
      <c r="DQ553" s="27" t="s">
        <v>399</v>
      </c>
      <c r="DR553" s="27" t="s">
        <v>163</v>
      </c>
      <c r="DS553" s="27" t="s">
        <v>134</v>
      </c>
      <c r="DT553" s="27" t="s">
        <v>195</v>
      </c>
      <c r="DU553" s="27" t="s">
        <v>645</v>
      </c>
      <c r="DV553" s="27" t="s">
        <v>163</v>
      </c>
      <c r="DW553" s="27" t="s">
        <v>195</v>
      </c>
      <c r="DX553" s="27" t="s">
        <v>143</v>
      </c>
      <c r="DY553" s="27" t="s">
        <v>162</v>
      </c>
      <c r="DZ553" s="27" t="n">
        <f aca="false">DY553+DV553+DR553+DN553+DJ553+DF553+DB553</f>
        <v>495</v>
      </c>
      <c r="EA553" s="28" t="n">
        <f aca="false">DZ553/7</f>
        <v>70.7142857142857</v>
      </c>
      <c r="EB553" s="27" t="n">
        <f aca="false">RANK(EA553,$EA$2:$EA$881,0)</f>
        <v>638</v>
      </c>
      <c r="EC553" s="29" t="n">
        <f aca="false">DZ553+CQ553+CP553+AZ553</f>
        <v>2322</v>
      </c>
      <c r="ED553" s="30" t="n">
        <f aca="false">(EA553+CV553+BB553)/3</f>
        <v>74.1</v>
      </c>
      <c r="EE553" s="51" t="n">
        <f aca="false">ROUND(BE553,3)</f>
        <v>82.63</v>
      </c>
      <c r="EF553" s="51" t="n">
        <f aca="false">ROUND(CR553,3)</f>
        <v>84.143</v>
      </c>
      <c r="EG553" s="51" t="n">
        <f aca="false">ROUND(CS553,3)</f>
        <v>71.429</v>
      </c>
      <c r="EH553" s="51" t="n">
        <f aca="false">ROUND(EA553,3)</f>
        <v>70.714</v>
      </c>
      <c r="EI553" s="51" t="n">
        <f aca="false">ROUND(ED553,3)</f>
        <v>74.1</v>
      </c>
      <c r="EJ553" s="51" t="n">
        <f aca="false">ROUND(CV553,3)</f>
        <v>77.786</v>
      </c>
      <c r="EK553" s="0" t="n">
        <f aca="false">RANK(EI553,$EI$2:$EI$881,0)</f>
        <v>552</v>
      </c>
    </row>
    <row r="554" customFormat="false" ht="15" hidden="false" customHeight="false" outlineLevel="0" collapsed="false">
      <c r="A554" s="4" t="n">
        <v>8934</v>
      </c>
      <c r="B554" s="4" t="n">
        <v>265</v>
      </c>
      <c r="C554" s="27" t="s">
        <v>1662</v>
      </c>
      <c r="D554" s="31" t="n">
        <v>263</v>
      </c>
      <c r="E554" s="32" t="n">
        <v>230312556</v>
      </c>
      <c r="F554" s="8" t="s">
        <v>1663</v>
      </c>
      <c r="G554" s="22" t="s">
        <v>1302</v>
      </c>
      <c r="H554" s="22" t="s">
        <v>129</v>
      </c>
      <c r="I554" s="33" t="n">
        <v>2005</v>
      </c>
      <c r="J554" s="32" t="n">
        <v>85</v>
      </c>
      <c r="K554" s="32" t="n">
        <v>76</v>
      </c>
      <c r="L554" s="34" t="n">
        <f aca="false">(K554*70)/100</f>
        <v>53.2</v>
      </c>
      <c r="M554" s="34" t="n">
        <f aca="false">ROUNDUP(L554,0)</f>
        <v>54</v>
      </c>
      <c r="N554" s="32" t="n">
        <v>25</v>
      </c>
      <c r="O554" s="34" t="n">
        <f aca="false">N554+L554</f>
        <v>78.2</v>
      </c>
      <c r="P554" s="34" t="n">
        <f aca="false">N554+M554</f>
        <v>79</v>
      </c>
      <c r="Q554" s="32" t="n">
        <v>62</v>
      </c>
      <c r="R554" s="32" t="n">
        <v>69</v>
      </c>
      <c r="S554" s="34" t="n">
        <f aca="false">(R554*70)/100</f>
        <v>48.3</v>
      </c>
      <c r="T554" s="34" t="n">
        <f aca="false">ROUNDUP(S554,0)</f>
        <v>49</v>
      </c>
      <c r="U554" s="32" t="n">
        <v>20</v>
      </c>
      <c r="V554" s="34" t="n">
        <f aca="false">U554+S554</f>
        <v>68.3</v>
      </c>
      <c r="W554" s="34" t="n">
        <f aca="false">U554+T554</f>
        <v>69</v>
      </c>
      <c r="X554" s="32" t="n">
        <v>63</v>
      </c>
      <c r="Y554" s="34" t="n">
        <f aca="false">(X554*70)/100</f>
        <v>44.1</v>
      </c>
      <c r="Z554" s="34" t="n">
        <f aca="false">ROUNDUP(Y554,0)</f>
        <v>45</v>
      </c>
      <c r="AA554" s="32" t="n">
        <v>26</v>
      </c>
      <c r="AB554" s="34" t="n">
        <f aca="false">AA554+Y554</f>
        <v>70.1</v>
      </c>
      <c r="AC554" s="34" t="n">
        <f aca="false">AA554+Z554</f>
        <v>71</v>
      </c>
      <c r="AD554" s="32" t="n">
        <f aca="false">X554+R554+Q554+K554+J554</f>
        <v>355</v>
      </c>
      <c r="AE554" s="16" t="n">
        <f aca="false">AD554/5</f>
        <v>71</v>
      </c>
      <c r="AF554" s="71" t="n">
        <v>54</v>
      </c>
      <c r="AG554" s="16" t="n">
        <v>84</v>
      </c>
      <c r="AH554" s="16" t="n">
        <v>81</v>
      </c>
      <c r="AI554" s="16" t="n">
        <v>89</v>
      </c>
      <c r="AJ554" s="16" t="n">
        <f aca="false">(AI554*70)/100</f>
        <v>62.3</v>
      </c>
      <c r="AK554" s="35" t="n">
        <f aca="false">ROUNDUP(AJ554,0)</f>
        <v>63</v>
      </c>
      <c r="AL554" s="16" t="n">
        <v>29</v>
      </c>
      <c r="AM554" s="16" t="n">
        <f aca="false">AL554+AJ554</f>
        <v>91.3</v>
      </c>
      <c r="AN554" s="16" t="n">
        <f aca="false">AL554+AK554</f>
        <v>92</v>
      </c>
      <c r="AO554" s="16" t="n">
        <v>62</v>
      </c>
      <c r="AP554" s="36" t="n">
        <f aca="false">(AO554*70)/100</f>
        <v>43.4</v>
      </c>
      <c r="AQ554" s="37" t="n">
        <f aca="false">ROUNDUP(AP554,0)</f>
        <v>44</v>
      </c>
      <c r="AR554" s="16" t="n">
        <v>26</v>
      </c>
      <c r="AS554" s="16" t="n">
        <f aca="false">AR554+AP554</f>
        <v>69.4</v>
      </c>
      <c r="AT554" s="16" t="n">
        <f aca="false">AR554+AQ554</f>
        <v>70</v>
      </c>
      <c r="AU554" s="16" t="n">
        <f aca="false">AO554+AF554+AI554+AH554+AG554</f>
        <v>370</v>
      </c>
      <c r="AV554" s="16" t="n">
        <f aca="false">(AO554+AF554+AI554+AH554+AG554)/5</f>
        <v>74</v>
      </c>
      <c r="AW554" s="36" t="n">
        <f aca="false">(AO554+AF554+AI554+AH554+AG554+X554+R554+Q554+K554+J554)</f>
        <v>725</v>
      </c>
      <c r="AX554" s="16" t="n">
        <f aca="false">AW554/10</f>
        <v>72.5</v>
      </c>
      <c r="AY554" s="16" t="n">
        <f aca="false">AS554+AF554+AM554+AH554+AG554+AB554+V554+Q554+O554+J554</f>
        <v>743.3</v>
      </c>
      <c r="AZ554" s="16" t="n">
        <f aca="false">AT554+AF554+AN554+AH554+AG554+AC554+W554+Q554+P554+J554</f>
        <v>747</v>
      </c>
      <c r="BA554" s="16" t="n">
        <f aca="false">AY554/10</f>
        <v>74.33</v>
      </c>
      <c r="BB554" s="16" t="n">
        <f aca="false">AZ554/10</f>
        <v>74.7</v>
      </c>
      <c r="BC554" s="16" t="n">
        <v>2244</v>
      </c>
      <c r="BD554" s="16" t="n">
        <f aca="false">RANK(AX554,$AX$2:$AX$881,0)</f>
        <v>716</v>
      </c>
      <c r="BE554" s="73" t="n">
        <f aca="false">((BC554*100)/2400)*0.4+(AX554*0.6)</f>
        <v>80.9</v>
      </c>
      <c r="BF554" s="16" t="n">
        <f aca="false">RANK(BE554,$BE$2:$BE$881,0)</f>
        <v>719</v>
      </c>
      <c r="BG554" s="39" t="n">
        <f aca="false">RANK(BB554,$BB$2:$BB$881,0)</f>
        <v>701</v>
      </c>
      <c r="BH554" s="39" t="n">
        <f aca="false">RANK(BC554,$BC$2:$BC$881,0)</f>
        <v>766</v>
      </c>
      <c r="BI554" s="22" t="s">
        <v>130</v>
      </c>
      <c r="BJ554" s="22" t="s">
        <v>129</v>
      </c>
      <c r="BK554" s="40" t="s">
        <v>702</v>
      </c>
      <c r="BL554" s="41" t="n">
        <v>21</v>
      </c>
      <c r="BM554" s="41" t="n">
        <v>54</v>
      </c>
      <c r="BN554" s="41" t="n">
        <v>75</v>
      </c>
      <c r="BO554" s="42" t="n">
        <v>24</v>
      </c>
      <c r="BP554" s="43" t="n">
        <v>60</v>
      </c>
      <c r="BQ554" s="44" t="n">
        <v>84</v>
      </c>
      <c r="BR554" s="42" t="n">
        <v>24</v>
      </c>
      <c r="BS554" s="45" t="n">
        <v>53</v>
      </c>
      <c r="BT554" s="45" t="n">
        <v>77</v>
      </c>
      <c r="BU554" s="46" t="n">
        <v>99</v>
      </c>
      <c r="BV554" s="47" t="n">
        <v>70</v>
      </c>
      <c r="BW554" s="42" t="n">
        <v>92</v>
      </c>
      <c r="BX554" s="48" t="n">
        <v>94</v>
      </c>
      <c r="BY554" s="32" t="n">
        <v>26</v>
      </c>
      <c r="BZ554" s="32" t="n">
        <v>31</v>
      </c>
      <c r="CA554" s="69" t="n">
        <v>57</v>
      </c>
      <c r="CB554" s="32" t="n">
        <v>27</v>
      </c>
      <c r="CC554" s="32" t="n">
        <v>38</v>
      </c>
      <c r="CD554" s="32" t="n">
        <v>65</v>
      </c>
      <c r="CE554" s="32" t="n">
        <v>26</v>
      </c>
      <c r="CF554" s="32" t="n">
        <v>43</v>
      </c>
      <c r="CG554" s="32" t="n">
        <v>69</v>
      </c>
      <c r="CH554" s="32" t="n">
        <v>92</v>
      </c>
      <c r="CI554" s="32" t="n">
        <v>96</v>
      </c>
      <c r="CJ554" s="49" t="n">
        <v>22</v>
      </c>
      <c r="CK554" s="49" t="n">
        <v>42</v>
      </c>
      <c r="CL554" s="49" t="n">
        <v>64</v>
      </c>
      <c r="CM554" s="49" t="n">
        <v>19</v>
      </c>
      <c r="CN554" s="49" t="n">
        <v>46</v>
      </c>
      <c r="CO554" s="49" t="n">
        <v>65</v>
      </c>
      <c r="CP554" s="25" t="n">
        <f aca="false">BX554+BW554+BV554+BU554+BT554+BQ554+BN554</f>
        <v>591</v>
      </c>
      <c r="CQ554" s="25" t="n">
        <f aca="false">CO554+CL554+CI554+CH554+CG554+CD554+CA554</f>
        <v>508</v>
      </c>
      <c r="CR554" s="26" t="n">
        <f aca="false">CP554/7</f>
        <v>84.4285714285714</v>
      </c>
      <c r="CS554" s="26" t="n">
        <f aca="false">CQ554/7</f>
        <v>72.5714285714286</v>
      </c>
      <c r="CT554" s="24" t="n">
        <f aca="false">RANK(CR554,$CR$2:$CR$881,0)</f>
        <v>459</v>
      </c>
      <c r="CU554" s="25" t="n">
        <f aca="false">RANK(CS554,$CS$2:$CS$881,0)</f>
        <v>492</v>
      </c>
      <c r="CV554" s="26" t="n">
        <f aca="false">(CS554+CR554)/2</f>
        <v>78.5</v>
      </c>
      <c r="CW554" s="25" t="n">
        <f aca="false">RANK(CV554,$CV$2:$CV$881,0)</f>
        <v>479</v>
      </c>
      <c r="CX554" s="50" t="n">
        <f aca="false">(CV554+BB554)/2</f>
        <v>76.6</v>
      </c>
      <c r="CY554" s="50" t="n">
        <v>516</v>
      </c>
      <c r="CZ554" s="27" t="s">
        <v>132</v>
      </c>
      <c r="DA554" s="27" t="s">
        <v>175</v>
      </c>
      <c r="DB554" s="27" t="s">
        <v>175</v>
      </c>
      <c r="DC554" s="27" t="s">
        <v>134</v>
      </c>
      <c r="DD554" s="27" t="s">
        <v>264</v>
      </c>
      <c r="DE554" s="27" t="s">
        <v>645</v>
      </c>
      <c r="DF554" s="27" t="s">
        <v>136</v>
      </c>
      <c r="DG554" s="27" t="s">
        <v>134</v>
      </c>
      <c r="DH554" s="27" t="s">
        <v>174</v>
      </c>
      <c r="DI554" s="27" t="s">
        <v>375</v>
      </c>
      <c r="DJ554" s="27" t="s">
        <v>398</v>
      </c>
      <c r="DK554" s="27" t="s">
        <v>134</v>
      </c>
      <c r="DL554" s="27" t="s">
        <v>604</v>
      </c>
      <c r="DM554" s="27" t="s">
        <v>645</v>
      </c>
      <c r="DN554" s="27" t="s">
        <v>177</v>
      </c>
      <c r="DO554" s="27" t="s">
        <v>134</v>
      </c>
      <c r="DP554" s="27" t="s">
        <v>825</v>
      </c>
      <c r="DQ554" s="27" t="s">
        <v>1407</v>
      </c>
      <c r="DR554" s="27" t="s">
        <v>447</v>
      </c>
      <c r="DS554" s="27" t="s">
        <v>480</v>
      </c>
      <c r="DT554" s="27" t="s">
        <v>386</v>
      </c>
      <c r="DU554" s="27" t="s">
        <v>1151</v>
      </c>
      <c r="DV554" s="27" t="s">
        <v>375</v>
      </c>
      <c r="DW554" s="27" t="s">
        <v>146</v>
      </c>
      <c r="DX554" s="27" t="s">
        <v>143</v>
      </c>
      <c r="DY554" s="27" t="s">
        <v>145</v>
      </c>
      <c r="DZ554" s="27" t="n">
        <f aca="false">DY554+DV554+DR554+DN554+DJ554+DF554+DB554</f>
        <v>481</v>
      </c>
      <c r="EA554" s="28" t="n">
        <f aca="false">DZ554/7</f>
        <v>68.7142857142857</v>
      </c>
      <c r="EB554" s="27" t="n">
        <f aca="false">RANK(EA554,$EA$2:$EA$881,0)</f>
        <v>681</v>
      </c>
      <c r="EC554" s="29" t="n">
        <f aca="false">DZ554+CQ554+CP554+AZ554</f>
        <v>2327</v>
      </c>
      <c r="ED554" s="30" t="n">
        <f aca="false">(EA554+CV554+BB554)/3</f>
        <v>73.9714285714286</v>
      </c>
      <c r="EE554" s="51" t="n">
        <f aca="false">ROUND(BE554,3)</f>
        <v>80.9</v>
      </c>
      <c r="EF554" s="51" t="n">
        <f aca="false">ROUND(CR554,3)</f>
        <v>84.429</v>
      </c>
      <c r="EG554" s="51" t="n">
        <f aca="false">ROUND(CS554,3)</f>
        <v>72.571</v>
      </c>
      <c r="EH554" s="51" t="n">
        <f aca="false">ROUND(EA554,3)</f>
        <v>68.714</v>
      </c>
      <c r="EI554" s="51" t="n">
        <f aca="false">ROUND(ED554,3)</f>
        <v>73.971</v>
      </c>
      <c r="EJ554" s="51" t="n">
        <f aca="false">ROUND(CV554,3)</f>
        <v>78.5</v>
      </c>
      <c r="EK554" s="0" t="n">
        <f aca="false">RANK(EI554,$EI$2:$EI$881,0)</f>
        <v>553</v>
      </c>
    </row>
    <row r="555" customFormat="false" ht="15" hidden="false" customHeight="false" outlineLevel="0" collapsed="false">
      <c r="A555" s="4" t="n">
        <v>1896</v>
      </c>
      <c r="B555" s="4" t="n">
        <v>409</v>
      </c>
      <c r="C555" s="27" t="s">
        <v>1664</v>
      </c>
      <c r="D555" s="31" t="n">
        <v>414</v>
      </c>
      <c r="E555" s="32" t="n">
        <v>230312921</v>
      </c>
      <c r="F555" s="8" t="s">
        <v>1665</v>
      </c>
      <c r="G555" s="22" t="s">
        <v>280</v>
      </c>
      <c r="H555" s="22" t="s">
        <v>129</v>
      </c>
      <c r="I555" s="33" t="n">
        <v>2006</v>
      </c>
      <c r="J555" s="32" t="n">
        <v>74</v>
      </c>
      <c r="K555" s="32" t="n">
        <v>72</v>
      </c>
      <c r="L555" s="34" t="n">
        <f aca="false">(K555*70)/100</f>
        <v>50.4</v>
      </c>
      <c r="M555" s="34" t="n">
        <f aca="false">ROUNDUP(L555,0)</f>
        <v>51</v>
      </c>
      <c r="N555" s="32" t="n">
        <v>19</v>
      </c>
      <c r="O555" s="34" t="n">
        <f aca="false">N555+L555</f>
        <v>69.4</v>
      </c>
      <c r="P555" s="34" t="n">
        <f aca="false">N555+M555</f>
        <v>70</v>
      </c>
      <c r="Q555" s="32" t="n">
        <v>77</v>
      </c>
      <c r="R555" s="32" t="n">
        <v>84</v>
      </c>
      <c r="S555" s="34" t="n">
        <f aca="false">(R555*70)/100</f>
        <v>58.8</v>
      </c>
      <c r="T555" s="34" t="n">
        <f aca="false">ROUNDUP(S555,0)</f>
        <v>59</v>
      </c>
      <c r="U555" s="32" t="n">
        <v>19</v>
      </c>
      <c r="V555" s="34" t="n">
        <f aca="false">U555+S555</f>
        <v>77.8</v>
      </c>
      <c r="W555" s="34" t="n">
        <f aca="false">U555+T555</f>
        <v>78</v>
      </c>
      <c r="X555" s="32" t="n">
        <v>75</v>
      </c>
      <c r="Y555" s="34" t="n">
        <f aca="false">(X555*70)/100</f>
        <v>52.5</v>
      </c>
      <c r="Z555" s="34" t="n">
        <f aca="false">ROUNDUP(Y555,0)</f>
        <v>53</v>
      </c>
      <c r="AA555" s="32" t="n">
        <v>23</v>
      </c>
      <c r="AB555" s="34" t="n">
        <f aca="false">AA555+Y555</f>
        <v>75.5</v>
      </c>
      <c r="AC555" s="34" t="n">
        <f aca="false">AA555+Z555</f>
        <v>76</v>
      </c>
      <c r="AD555" s="32" t="n">
        <f aca="false">X555+R555+Q555+K555+J555</f>
        <v>382</v>
      </c>
      <c r="AE555" s="16" t="n">
        <f aca="false">AD555/5</f>
        <v>76.4</v>
      </c>
      <c r="AF555" s="16" t="n">
        <v>60</v>
      </c>
      <c r="AG555" s="16" t="n">
        <v>79</v>
      </c>
      <c r="AH555" s="16" t="n">
        <v>84</v>
      </c>
      <c r="AI555" s="16" t="n">
        <v>84</v>
      </c>
      <c r="AJ555" s="16" t="n">
        <f aca="false">(AI555*70)/100</f>
        <v>58.8</v>
      </c>
      <c r="AK555" s="35" t="n">
        <f aca="false">ROUNDUP(AJ555,0)</f>
        <v>59</v>
      </c>
      <c r="AL555" s="16" t="n">
        <v>21</v>
      </c>
      <c r="AM555" s="16" t="n">
        <f aca="false">AL555+AJ555</f>
        <v>79.8</v>
      </c>
      <c r="AN555" s="16" t="n">
        <f aca="false">AL555+AK555</f>
        <v>80</v>
      </c>
      <c r="AO555" s="16" t="n">
        <v>77</v>
      </c>
      <c r="AP555" s="36" t="n">
        <f aca="false">(AO555*70)/100</f>
        <v>53.9</v>
      </c>
      <c r="AQ555" s="37" t="n">
        <f aca="false">ROUNDUP(AP555,0)</f>
        <v>54</v>
      </c>
      <c r="AR555" s="16" t="n">
        <v>25</v>
      </c>
      <c r="AS555" s="16" t="n">
        <f aca="false">AR555+AP555</f>
        <v>78.9</v>
      </c>
      <c r="AT555" s="16" t="n">
        <f aca="false">AR555+AQ555</f>
        <v>79</v>
      </c>
      <c r="AU555" s="16" t="n">
        <f aca="false">AO555+AF555+AI555+AH555+AG555</f>
        <v>384</v>
      </c>
      <c r="AV555" s="16" t="n">
        <f aca="false">(AO555+AF555+AI555+AH555+AG555)/5</f>
        <v>76.8</v>
      </c>
      <c r="AW555" s="36" t="n">
        <f aca="false">(AO555+AF555+AI555+AH555+AG555+X555+R555+Q555+K555+J555)</f>
        <v>766</v>
      </c>
      <c r="AX555" s="16" t="n">
        <f aca="false">AW555/10</f>
        <v>76.6</v>
      </c>
      <c r="AY555" s="16" t="n">
        <f aca="false">AS555+AF555+AM555+AH555+AG555+AB555+V555+Q555+O555+J555</f>
        <v>755.4</v>
      </c>
      <c r="AZ555" s="16" t="n">
        <f aca="false">AT555+AF555+AN555+AH555+AG555+AC555+W555+Q555+P555+J555</f>
        <v>757</v>
      </c>
      <c r="BA555" s="16" t="n">
        <f aca="false">AY555/10</f>
        <v>75.54</v>
      </c>
      <c r="BB555" s="16" t="n">
        <f aca="false">AZ555/10</f>
        <v>75.7</v>
      </c>
      <c r="BC555" s="16" t="n">
        <v>2345</v>
      </c>
      <c r="BD555" s="16" t="n">
        <f aca="false">RANK(AX555,$AX$2:$AX$881,0)</f>
        <v>547</v>
      </c>
      <c r="BE555" s="54" t="n">
        <f aca="false">((BC555*100)/2400)*0.4+(AX555*0.6)</f>
        <v>85.0433333333333</v>
      </c>
      <c r="BF555" s="16" t="n">
        <f aca="false">RANK(BE555,$BE$2:$BE$881,0)</f>
        <v>609</v>
      </c>
      <c r="BG555" s="39" t="n">
        <f aca="false">RANK(BB555,$BB$2:$BB$881,0)</f>
        <v>684</v>
      </c>
      <c r="BH555" s="39" t="n">
        <f aca="false">RANK(BC555,$BC$2:$BC$881,0)</f>
        <v>585</v>
      </c>
      <c r="BI555" s="22" t="s">
        <v>130</v>
      </c>
      <c r="BJ555" s="22" t="s">
        <v>129</v>
      </c>
      <c r="BK555" s="22" t="s">
        <v>509</v>
      </c>
      <c r="BL555" s="41" t="n">
        <v>23</v>
      </c>
      <c r="BM555" s="41" t="n">
        <v>47</v>
      </c>
      <c r="BN555" s="41" t="n">
        <v>70</v>
      </c>
      <c r="BO555" s="42" t="n">
        <v>25</v>
      </c>
      <c r="BP555" s="43" t="n">
        <v>17</v>
      </c>
      <c r="BQ555" s="119" t="n">
        <v>42</v>
      </c>
      <c r="BR555" s="42" t="n">
        <v>23</v>
      </c>
      <c r="BS555" s="80"/>
      <c r="BT555" s="80"/>
      <c r="BU555" s="46" t="n">
        <v>99</v>
      </c>
      <c r="BV555" s="47" t="n">
        <v>62</v>
      </c>
      <c r="BW555" s="42" t="n">
        <v>66</v>
      </c>
      <c r="BX555" s="48" t="n">
        <v>92</v>
      </c>
      <c r="BY555" s="32" t="n">
        <v>18</v>
      </c>
      <c r="BZ555" s="58" t="n">
        <v>54</v>
      </c>
      <c r="CA555" s="58" t="n">
        <v>72</v>
      </c>
      <c r="CB555" s="32" t="n">
        <v>24</v>
      </c>
      <c r="CC555" s="32" t="n">
        <v>36</v>
      </c>
      <c r="CD555" s="32" t="n">
        <v>60</v>
      </c>
      <c r="CE555" s="32" t="n">
        <v>21</v>
      </c>
      <c r="CF555" s="32" t="n">
        <v>48</v>
      </c>
      <c r="CG555" s="32" t="n">
        <v>69</v>
      </c>
      <c r="CH555" s="32" t="n">
        <v>92</v>
      </c>
      <c r="CI555" s="32" t="n">
        <v>80</v>
      </c>
      <c r="CJ555" s="49" t="n">
        <v>22</v>
      </c>
      <c r="CK555" s="49" t="n">
        <v>47</v>
      </c>
      <c r="CL555" s="49" t="n">
        <v>69</v>
      </c>
      <c r="CM555" s="49" t="n">
        <v>17</v>
      </c>
      <c r="CN555" s="49" t="n">
        <v>46</v>
      </c>
      <c r="CO555" s="49" t="n">
        <v>63</v>
      </c>
      <c r="CP555" s="25" t="n">
        <f aca="false">BX555+BW555+BV555+BU555+BT555+BQ555+BN555</f>
        <v>431</v>
      </c>
      <c r="CQ555" s="25" t="n">
        <f aca="false">CO555+CL555+CI555+CH555+CG555+CD555+CA555</f>
        <v>505</v>
      </c>
      <c r="CR555" s="26" t="n">
        <f aca="false">CP555/7</f>
        <v>61.5714285714286</v>
      </c>
      <c r="CS555" s="26" t="n">
        <f aca="false">CQ555/7</f>
        <v>72.1428571428571</v>
      </c>
      <c r="CT555" s="24" t="n">
        <f aca="false">RANK(CR555,$CR$2:$CR$881,0)</f>
        <v>716</v>
      </c>
      <c r="CU555" s="25" t="n">
        <f aca="false">RANK(CS555,$CS$2:$CS$881,0)</f>
        <v>505</v>
      </c>
      <c r="CV555" s="26" t="n">
        <f aca="false">(CS555+CR555)/2</f>
        <v>66.8571428571429</v>
      </c>
      <c r="CW555" s="25" t="n">
        <f aca="false">RANK(CV555,$CV$2:$CV$881,0)</f>
        <v>668</v>
      </c>
      <c r="CX555" s="50" t="n">
        <f aca="false">(CV555+BB555)/2</f>
        <v>71.2785714285714</v>
      </c>
      <c r="CY555" s="50" t="n">
        <v>621</v>
      </c>
      <c r="CZ555" s="27" t="s">
        <v>132</v>
      </c>
      <c r="DA555" s="27" t="s">
        <v>219</v>
      </c>
      <c r="DB555" s="27" t="s">
        <v>219</v>
      </c>
      <c r="DC555" s="27" t="s">
        <v>134</v>
      </c>
      <c r="DD555" s="27" t="s">
        <v>174</v>
      </c>
      <c r="DE555" s="27" t="s">
        <v>447</v>
      </c>
      <c r="DF555" s="27" t="s">
        <v>441</v>
      </c>
      <c r="DG555" s="27" t="s">
        <v>134</v>
      </c>
      <c r="DH555" s="27" t="s">
        <v>135</v>
      </c>
      <c r="DI555" s="27" t="s">
        <v>313</v>
      </c>
      <c r="DJ555" s="27" t="s">
        <v>382</v>
      </c>
      <c r="DK555" s="27" t="s">
        <v>134</v>
      </c>
      <c r="DL555" s="27" t="s">
        <v>182</v>
      </c>
      <c r="DM555" s="27" t="s">
        <v>313</v>
      </c>
      <c r="DN555" s="27" t="s">
        <v>443</v>
      </c>
      <c r="DO555" s="27" t="s">
        <v>134</v>
      </c>
      <c r="DP555" s="27" t="s">
        <v>264</v>
      </c>
      <c r="DQ555" s="27" t="s">
        <v>313</v>
      </c>
      <c r="DR555" s="27" t="s">
        <v>416</v>
      </c>
      <c r="DS555" s="27" t="s">
        <v>134</v>
      </c>
      <c r="DT555" s="27" t="s">
        <v>154</v>
      </c>
      <c r="DU555" s="27" t="s">
        <v>304</v>
      </c>
      <c r="DV555" s="27" t="s">
        <v>382</v>
      </c>
      <c r="DW555" s="27" t="s">
        <v>160</v>
      </c>
      <c r="DX555" s="27" t="s">
        <v>155</v>
      </c>
      <c r="DY555" s="27" t="s">
        <v>145</v>
      </c>
      <c r="DZ555" s="27" t="n">
        <f aca="false">DY555+DV555+DR555+DN555+DJ555+DF555+DB555</f>
        <v>554</v>
      </c>
      <c r="EA555" s="28" t="n">
        <f aca="false">DZ555/7</f>
        <v>79.1428571428571</v>
      </c>
      <c r="EB555" s="27" t="n">
        <f aca="false">RANK(EA555,$EA$2:$EA$881,0)</f>
        <v>426</v>
      </c>
      <c r="EC555" s="29" t="n">
        <f aca="false">DZ555+CQ555+CP555+AZ555</f>
        <v>2247</v>
      </c>
      <c r="ED555" s="30" t="n">
        <f aca="false">(EA555+CV555+BB555)/3</f>
        <v>73.9</v>
      </c>
      <c r="EE555" s="51" t="n">
        <f aca="false">ROUND(BE555,3)</f>
        <v>85.043</v>
      </c>
      <c r="EF555" s="51" t="n">
        <f aca="false">ROUND(CR555,3)</f>
        <v>61.571</v>
      </c>
      <c r="EG555" s="51" t="n">
        <f aca="false">ROUND(CS555,3)</f>
        <v>72.143</v>
      </c>
      <c r="EH555" s="51" t="n">
        <f aca="false">ROUND(EA555,3)</f>
        <v>79.143</v>
      </c>
      <c r="EI555" s="51" t="n">
        <f aca="false">ROUND(ED555,3)</f>
        <v>73.9</v>
      </c>
      <c r="EJ555" s="51" t="n">
        <f aca="false">ROUND(CV555,3)</f>
        <v>66.857</v>
      </c>
      <c r="EK555" s="0" t="n">
        <f aca="false">RANK(EI555,$EI$2:$EI$881,0)</f>
        <v>554</v>
      </c>
    </row>
    <row r="556" customFormat="false" ht="15" hidden="false" customHeight="false" outlineLevel="0" collapsed="false">
      <c r="A556" s="4" t="n">
        <v>8771</v>
      </c>
      <c r="B556" s="4" t="n">
        <v>32</v>
      </c>
      <c r="C556" s="27" t="s">
        <v>1666</v>
      </c>
      <c r="D556" s="52" t="n">
        <v>34</v>
      </c>
      <c r="E556" s="32" t="n">
        <v>230312548</v>
      </c>
      <c r="F556" s="8" t="s">
        <v>1667</v>
      </c>
      <c r="G556" s="22" t="s">
        <v>322</v>
      </c>
      <c r="H556" s="22" t="s">
        <v>129</v>
      </c>
      <c r="I556" s="33" t="n">
        <v>2005</v>
      </c>
      <c r="J556" s="32" t="n">
        <v>73</v>
      </c>
      <c r="K556" s="32" t="n">
        <v>87</v>
      </c>
      <c r="L556" s="34" t="n">
        <f aca="false">(K556*70)/100</f>
        <v>60.9</v>
      </c>
      <c r="M556" s="34" t="n">
        <f aca="false">ROUNDUP(L556,0)</f>
        <v>61</v>
      </c>
      <c r="N556" s="32" t="n">
        <v>21</v>
      </c>
      <c r="O556" s="34" t="n">
        <f aca="false">N556+L556</f>
        <v>81.9</v>
      </c>
      <c r="P556" s="34" t="n">
        <f aca="false">N556+M556</f>
        <v>82</v>
      </c>
      <c r="Q556" s="32" t="n">
        <v>63</v>
      </c>
      <c r="R556" s="32" t="n">
        <v>79</v>
      </c>
      <c r="S556" s="34" t="n">
        <f aca="false">(R556*70)/100</f>
        <v>55.3</v>
      </c>
      <c r="T556" s="34" t="n">
        <f aca="false">ROUNDUP(S556,0)</f>
        <v>56</v>
      </c>
      <c r="U556" s="32" t="n">
        <v>25</v>
      </c>
      <c r="V556" s="34" t="n">
        <f aca="false">U556+S556</f>
        <v>80.3</v>
      </c>
      <c r="W556" s="34" t="n">
        <f aca="false">U556+T556</f>
        <v>81</v>
      </c>
      <c r="X556" s="32" t="n">
        <v>85</v>
      </c>
      <c r="Y556" s="34" t="n">
        <f aca="false">(X556*70)/100</f>
        <v>59.5</v>
      </c>
      <c r="Z556" s="34" t="n">
        <f aca="false">ROUNDUP(Y556,0)</f>
        <v>60</v>
      </c>
      <c r="AA556" s="32" t="n">
        <v>25</v>
      </c>
      <c r="AB556" s="34" t="n">
        <f aca="false">AA556+Y556</f>
        <v>84.5</v>
      </c>
      <c r="AC556" s="34" t="n">
        <f aca="false">AA556+Z556</f>
        <v>85</v>
      </c>
      <c r="AD556" s="32" t="n">
        <f aca="false">X556+R556+Q556+K556+J556</f>
        <v>387</v>
      </c>
      <c r="AE556" s="16" t="n">
        <f aca="false">AD556/5</f>
        <v>77.4</v>
      </c>
      <c r="AF556" s="16" t="n">
        <v>77</v>
      </c>
      <c r="AG556" s="16" t="n">
        <v>75</v>
      </c>
      <c r="AH556" s="16" t="n">
        <v>77</v>
      </c>
      <c r="AI556" s="16" t="n">
        <v>64</v>
      </c>
      <c r="AJ556" s="16" t="n">
        <f aca="false">(AI556*70)/100</f>
        <v>44.8</v>
      </c>
      <c r="AK556" s="35" t="n">
        <f aca="false">ROUNDUP(AJ556,0)</f>
        <v>45</v>
      </c>
      <c r="AL556" s="16" t="n">
        <v>27</v>
      </c>
      <c r="AM556" s="16" t="n">
        <f aca="false">AL556+AJ556</f>
        <v>71.8</v>
      </c>
      <c r="AN556" s="16" t="n">
        <f aca="false">AL556+AK556</f>
        <v>72</v>
      </c>
      <c r="AO556" s="16" t="n">
        <v>62</v>
      </c>
      <c r="AP556" s="36" t="n">
        <f aca="false">(AO556*70)/100</f>
        <v>43.4</v>
      </c>
      <c r="AQ556" s="37" t="n">
        <f aca="false">ROUNDUP(AP556,0)</f>
        <v>44</v>
      </c>
      <c r="AR556" s="16" t="n">
        <v>27</v>
      </c>
      <c r="AS556" s="16" t="n">
        <f aca="false">AR556+AP556</f>
        <v>70.4</v>
      </c>
      <c r="AT556" s="16" t="n">
        <f aca="false">AR556+AQ556</f>
        <v>71</v>
      </c>
      <c r="AU556" s="16" t="n">
        <f aca="false">AO556+AF556+AI556+AH556+AG556</f>
        <v>355</v>
      </c>
      <c r="AV556" s="16" t="n">
        <f aca="false">(AO556+AF556+AI556+AH556+AG556)/5</f>
        <v>71</v>
      </c>
      <c r="AW556" s="36" t="n">
        <f aca="false">(AO556+AF556+AI556+AH556+AG556+X556+R556+Q556+K556+J556)</f>
        <v>742</v>
      </c>
      <c r="AX556" s="16" t="n">
        <f aca="false">AW556/10</f>
        <v>74.2</v>
      </c>
      <c r="AY556" s="16" t="n">
        <f aca="false">AS556+AF556+AM556+AH556+AG556+AB556+V556+Q556+O556+J556</f>
        <v>753.9</v>
      </c>
      <c r="AZ556" s="16" t="n">
        <f aca="false">AT556+AF556+AN556+AH556+AG556+AC556+W556+Q556+P556+J556</f>
        <v>756</v>
      </c>
      <c r="BA556" s="16" t="n">
        <f aca="false">AY556/10</f>
        <v>75.39</v>
      </c>
      <c r="BB556" s="16" t="n">
        <f aca="false">AZ556/10</f>
        <v>75.6</v>
      </c>
      <c r="BC556" s="16" t="n">
        <v>2327</v>
      </c>
      <c r="BD556" s="16" t="n">
        <f aca="false">RANK(AX556,$AX$2:$AX$881,0)</f>
        <v>697</v>
      </c>
      <c r="BE556" s="73" t="n">
        <f aca="false">((BC556*100)/2400)*0.4+(AX556*0.6)</f>
        <v>83.3033333333333</v>
      </c>
      <c r="BF556" s="16" t="n">
        <f aca="false">RANK(BE556,$BE$2:$BE$881,0)</f>
        <v>697</v>
      </c>
      <c r="BG556" s="39" t="n">
        <f aca="false">RANK(BB556,$BB$2:$BB$881,0)</f>
        <v>691</v>
      </c>
      <c r="BH556" s="39" t="n">
        <f aca="false">RANK(BC556,$BC$2:$BC$881,0)</f>
        <v>751</v>
      </c>
      <c r="BI556" s="22" t="s">
        <v>130</v>
      </c>
      <c r="BJ556" s="22" t="s">
        <v>129</v>
      </c>
      <c r="BK556" s="40" t="s">
        <v>702</v>
      </c>
      <c r="BL556" s="41" t="n">
        <v>20</v>
      </c>
      <c r="BM556" s="41" t="n">
        <v>49</v>
      </c>
      <c r="BN556" s="41" t="n">
        <v>69</v>
      </c>
      <c r="BO556" s="42" t="n">
        <v>19</v>
      </c>
      <c r="BP556" s="43" t="n">
        <v>54</v>
      </c>
      <c r="BQ556" s="44" t="n">
        <v>73</v>
      </c>
      <c r="BR556" s="42" t="n">
        <v>23</v>
      </c>
      <c r="BS556" s="45" t="n">
        <v>59</v>
      </c>
      <c r="BT556" s="45" t="n">
        <v>82</v>
      </c>
      <c r="BU556" s="46" t="n">
        <v>98</v>
      </c>
      <c r="BV556" s="47" t="n">
        <v>80</v>
      </c>
      <c r="BW556" s="42" t="n">
        <v>98</v>
      </c>
      <c r="BX556" s="48" t="n">
        <v>84</v>
      </c>
      <c r="BY556" s="32" t="n">
        <v>20</v>
      </c>
      <c r="BZ556" s="32" t="n">
        <v>42</v>
      </c>
      <c r="CA556" s="32" t="n">
        <v>62</v>
      </c>
      <c r="CB556" s="32" t="n">
        <v>27</v>
      </c>
      <c r="CC556" s="32" t="n">
        <v>31</v>
      </c>
      <c r="CD556" s="69" t="n">
        <v>58</v>
      </c>
      <c r="CE556" s="32" t="n">
        <v>21</v>
      </c>
      <c r="CF556" s="32" t="n">
        <v>46</v>
      </c>
      <c r="CG556" s="32" t="n">
        <v>67</v>
      </c>
      <c r="CH556" s="58" t="n">
        <v>95</v>
      </c>
      <c r="CI556" s="32" t="n">
        <v>85</v>
      </c>
      <c r="CJ556" s="49" t="n">
        <v>17</v>
      </c>
      <c r="CK556" s="49" t="n">
        <v>43</v>
      </c>
      <c r="CL556" s="84" t="n">
        <v>60</v>
      </c>
      <c r="CM556" s="49" t="n">
        <v>19</v>
      </c>
      <c r="CN556" s="49" t="n">
        <v>45</v>
      </c>
      <c r="CO556" s="49" t="n">
        <v>64</v>
      </c>
      <c r="CP556" s="25" t="n">
        <f aca="false">BX556+BW556+BV556+BU556+BT556+BQ556+BN556</f>
        <v>584</v>
      </c>
      <c r="CQ556" s="25" t="n">
        <f aca="false">CO556+CL556+CI556+CH556+CG556+CD556+CA556</f>
        <v>491</v>
      </c>
      <c r="CR556" s="26" t="n">
        <f aca="false">CP556/7</f>
        <v>83.4285714285714</v>
      </c>
      <c r="CS556" s="26" t="n">
        <f aca="false">CQ556/7</f>
        <v>70.1428571428571</v>
      </c>
      <c r="CT556" s="24" t="n">
        <f aca="false">RANK(CR556,$CR$2:$CR$881,0)</f>
        <v>502</v>
      </c>
      <c r="CU556" s="25" t="n">
        <f aca="false">RANK(CS556,$CS$2:$CS$881,0)</f>
        <v>552</v>
      </c>
      <c r="CV556" s="26" t="n">
        <f aca="false">(CS556+CR556)/2</f>
        <v>76.7857142857143</v>
      </c>
      <c r="CW556" s="25" t="n">
        <f aca="false">RANK(CV556,$CV$2:$CV$881,0)</f>
        <v>524</v>
      </c>
      <c r="CX556" s="50" t="n">
        <f aca="false">(CV556+BB556)/2</f>
        <v>76.1928571428571</v>
      </c>
      <c r="CY556" s="50" t="n">
        <v>587</v>
      </c>
      <c r="CZ556" s="27" t="s">
        <v>132</v>
      </c>
      <c r="DA556" s="27" t="s">
        <v>272</v>
      </c>
      <c r="DB556" s="27" t="s">
        <v>272</v>
      </c>
      <c r="DC556" s="27" t="s">
        <v>134</v>
      </c>
      <c r="DD556" s="27" t="s">
        <v>135</v>
      </c>
      <c r="DE556" s="27" t="s">
        <v>399</v>
      </c>
      <c r="DF556" s="27" t="s">
        <v>486</v>
      </c>
      <c r="DG556" s="27" t="s">
        <v>134</v>
      </c>
      <c r="DH556" s="27" t="s">
        <v>160</v>
      </c>
      <c r="DI556" s="27" t="s">
        <v>681</v>
      </c>
      <c r="DJ556" s="27" t="s">
        <v>372</v>
      </c>
      <c r="DK556" s="27" t="s">
        <v>134</v>
      </c>
      <c r="DL556" s="27" t="s">
        <v>154</v>
      </c>
      <c r="DM556" s="27" t="s">
        <v>673</v>
      </c>
      <c r="DN556" s="27" t="s">
        <v>152</v>
      </c>
      <c r="DO556" s="27" t="s">
        <v>134</v>
      </c>
      <c r="DP556" s="27" t="s">
        <v>386</v>
      </c>
      <c r="DQ556" s="27" t="s">
        <v>481</v>
      </c>
      <c r="DR556" s="27" t="s">
        <v>306</v>
      </c>
      <c r="DS556" s="27" t="s">
        <v>480</v>
      </c>
      <c r="DT556" s="27" t="s">
        <v>154</v>
      </c>
      <c r="DU556" s="27" t="s">
        <v>1423</v>
      </c>
      <c r="DV556" s="27" t="s">
        <v>304</v>
      </c>
      <c r="DW556" s="27" t="s">
        <v>154</v>
      </c>
      <c r="DX556" s="27" t="s">
        <v>136</v>
      </c>
      <c r="DY556" s="27" t="s">
        <v>202</v>
      </c>
      <c r="DZ556" s="27" t="n">
        <f aca="false">DY556+DV556+DR556+DN556+DJ556+DF556+DB556</f>
        <v>485</v>
      </c>
      <c r="EA556" s="28" t="n">
        <f aca="false">DZ556/7</f>
        <v>69.2857142857143</v>
      </c>
      <c r="EB556" s="27" t="n">
        <f aca="false">RANK(EA556,$EA$2:$EA$881,0)</f>
        <v>666</v>
      </c>
      <c r="EC556" s="29" t="n">
        <f aca="false">DZ556+CQ556+CP556+AZ556</f>
        <v>2316</v>
      </c>
      <c r="ED556" s="30" t="n">
        <f aca="false">(EA556+CV556+BB556)/3</f>
        <v>73.8904761904762</v>
      </c>
      <c r="EE556" s="51" t="n">
        <f aca="false">ROUND(BE556,3)</f>
        <v>83.303</v>
      </c>
      <c r="EF556" s="51" t="n">
        <f aca="false">ROUND(CR556,3)</f>
        <v>83.429</v>
      </c>
      <c r="EG556" s="51" t="n">
        <f aca="false">ROUND(CS556,3)</f>
        <v>70.143</v>
      </c>
      <c r="EH556" s="51" t="n">
        <f aca="false">ROUND(EA556,3)</f>
        <v>69.286</v>
      </c>
      <c r="EI556" s="51" t="n">
        <f aca="false">ROUND(ED556,3)</f>
        <v>73.89</v>
      </c>
      <c r="EJ556" s="51" t="n">
        <f aca="false">ROUND(CV556,3)</f>
        <v>76.786</v>
      </c>
      <c r="EK556" s="0" t="n">
        <f aca="false">RANK(EI556,$EI$2:$EI$881,0)</f>
        <v>555</v>
      </c>
    </row>
    <row r="557" customFormat="false" ht="15" hidden="false" customHeight="false" outlineLevel="0" collapsed="false">
      <c r="A557" s="4" t="n">
        <v>1919</v>
      </c>
      <c r="B557" s="4" t="n">
        <v>760</v>
      </c>
      <c r="C557" s="27" t="s">
        <v>1668</v>
      </c>
      <c r="D557" s="31" t="n">
        <v>777</v>
      </c>
      <c r="E557" s="32" t="n">
        <v>230311479</v>
      </c>
      <c r="F557" s="8" t="s">
        <v>1669</v>
      </c>
      <c r="G557" s="22" t="s">
        <v>322</v>
      </c>
      <c r="H557" s="22" t="s">
        <v>129</v>
      </c>
      <c r="I557" s="33" t="n">
        <v>2005</v>
      </c>
      <c r="J557" s="32" t="n">
        <v>98</v>
      </c>
      <c r="K557" s="32" t="n">
        <v>90</v>
      </c>
      <c r="L557" s="34" t="n">
        <f aca="false">(K557*70)/100</f>
        <v>63</v>
      </c>
      <c r="M557" s="34" t="n">
        <f aca="false">ROUNDUP(L557,0)</f>
        <v>63</v>
      </c>
      <c r="N557" s="32" t="n">
        <v>28</v>
      </c>
      <c r="O557" s="34" t="n">
        <f aca="false">N557+L557</f>
        <v>91</v>
      </c>
      <c r="P557" s="34" t="n">
        <f aca="false">N557+M557</f>
        <v>91</v>
      </c>
      <c r="Q557" s="32" t="n">
        <v>73</v>
      </c>
      <c r="R557" s="32" t="n">
        <v>81</v>
      </c>
      <c r="S557" s="34" t="n">
        <f aca="false">(R557*70)/100</f>
        <v>56.7</v>
      </c>
      <c r="T557" s="34" t="n">
        <f aca="false">ROUNDUP(S557,0)</f>
        <v>57</v>
      </c>
      <c r="U557" s="32" t="n">
        <v>30</v>
      </c>
      <c r="V557" s="34" t="n">
        <f aca="false">U557+S557</f>
        <v>86.7</v>
      </c>
      <c r="W557" s="34" t="n">
        <f aca="false">U557+T557</f>
        <v>87</v>
      </c>
      <c r="X557" s="32" t="n">
        <v>77</v>
      </c>
      <c r="Y557" s="34" t="n">
        <f aca="false">(X557*70)/100</f>
        <v>53.9</v>
      </c>
      <c r="Z557" s="34" t="n">
        <f aca="false">ROUNDUP(Y557,0)</f>
        <v>54</v>
      </c>
      <c r="AA557" s="32" t="n">
        <v>27</v>
      </c>
      <c r="AB557" s="34" t="n">
        <f aca="false">AA557+Y557</f>
        <v>80.9</v>
      </c>
      <c r="AC557" s="34" t="n">
        <f aca="false">AA557+Z557</f>
        <v>81</v>
      </c>
      <c r="AD557" s="32" t="n">
        <f aca="false">X557+R557+Q557+K557+J557</f>
        <v>419</v>
      </c>
      <c r="AE557" s="16" t="n">
        <f aca="false">AD557/5</f>
        <v>83.8</v>
      </c>
      <c r="AF557" s="16" t="n">
        <v>69</v>
      </c>
      <c r="AG557" s="16" t="n">
        <v>98</v>
      </c>
      <c r="AH557" s="16" t="n">
        <v>65</v>
      </c>
      <c r="AI557" s="16" t="n">
        <v>69</v>
      </c>
      <c r="AJ557" s="16" t="n">
        <f aca="false">(AI557*70)/100</f>
        <v>48.3</v>
      </c>
      <c r="AK557" s="35" t="n">
        <f aca="false">ROUNDUP(AJ557,0)</f>
        <v>49</v>
      </c>
      <c r="AL557" s="16" t="n">
        <v>26</v>
      </c>
      <c r="AM557" s="16" t="n">
        <f aca="false">AL557+AJ557</f>
        <v>74.3</v>
      </c>
      <c r="AN557" s="16" t="n">
        <f aca="false">AL557+AK557</f>
        <v>75</v>
      </c>
      <c r="AO557" s="16" t="n">
        <v>52</v>
      </c>
      <c r="AP557" s="36" t="n">
        <f aca="false">(AO557*70)/100</f>
        <v>36.4</v>
      </c>
      <c r="AQ557" s="37" t="n">
        <f aca="false">ROUNDUP(AP557,0)</f>
        <v>37</v>
      </c>
      <c r="AR557" s="16" t="n">
        <v>29</v>
      </c>
      <c r="AS557" s="16" t="n">
        <f aca="false">AR557+AP557</f>
        <v>65.4</v>
      </c>
      <c r="AT557" s="16" t="n">
        <f aca="false">AR557+AQ557</f>
        <v>66</v>
      </c>
      <c r="AU557" s="16" t="n">
        <f aca="false">AO557+AF557+AI557+AH557+AG557</f>
        <v>353</v>
      </c>
      <c r="AV557" s="16" t="n">
        <f aca="false">(AO557+AF557+AI557+AH557+AG557)/5</f>
        <v>70.6</v>
      </c>
      <c r="AW557" s="36" t="n">
        <f aca="false">(AO557+AF557+AI557+AH557+AG557+X557+R557+Q557+K557+J557)</f>
        <v>772</v>
      </c>
      <c r="AX557" s="16" t="n">
        <f aca="false">AW557/10</f>
        <v>77.2</v>
      </c>
      <c r="AY557" s="16" t="n">
        <f aca="false">AS557+AF557+AM557+AH557+AG557+AB557+V557+Q557+O557+J557</f>
        <v>801.3</v>
      </c>
      <c r="AZ557" s="16" t="n">
        <f aca="false">AT557+AF557+AN557+AH557+AG557+AC557+W557+Q557+P557+J557</f>
        <v>803</v>
      </c>
      <c r="BA557" s="16" t="n">
        <f aca="false">AY557/10</f>
        <v>80.13</v>
      </c>
      <c r="BB557" s="16" t="n">
        <f aca="false">AZ557/10</f>
        <v>80.3</v>
      </c>
      <c r="BC557" s="16" t="n">
        <v>2373</v>
      </c>
      <c r="BD557" s="16" t="n">
        <f aca="false">RANK(AX557,$AX$2:$AX$881,0)</f>
        <v>482</v>
      </c>
      <c r="BE557" s="54" t="n">
        <f aca="false">((BC557*100)/2400)*0.4+(AX557*0.6)</f>
        <v>85.87</v>
      </c>
      <c r="BF557" s="16" t="n">
        <f aca="false">RANK(BE557,$BE$2:$BE$881,0)</f>
        <v>451</v>
      </c>
      <c r="BG557" s="39" t="n">
        <f aca="false">RANK(BB557,$BB$2:$BB$881,0)</f>
        <v>327</v>
      </c>
      <c r="BH557" s="39" t="n">
        <f aca="false">RANK(BC557,$BC$2:$BC$881,0)</f>
        <v>233</v>
      </c>
      <c r="BI557" s="22" t="s">
        <v>130</v>
      </c>
      <c r="BJ557" s="22" t="s">
        <v>129</v>
      </c>
      <c r="BK557" s="40" t="s">
        <v>509</v>
      </c>
      <c r="BL557" s="41" t="n">
        <v>12</v>
      </c>
      <c r="BM557" s="41" t="n">
        <v>55</v>
      </c>
      <c r="BN557" s="41" t="n">
        <v>67</v>
      </c>
      <c r="BO557" s="42" t="n">
        <v>26</v>
      </c>
      <c r="BP557" s="43" t="n">
        <v>41</v>
      </c>
      <c r="BQ557" s="44" t="n">
        <v>67</v>
      </c>
      <c r="BR557" s="42" t="n">
        <v>21</v>
      </c>
      <c r="BS557" s="45" t="n">
        <v>46</v>
      </c>
      <c r="BT557" s="45" t="n">
        <v>67</v>
      </c>
      <c r="BU557" s="46" t="n">
        <v>100</v>
      </c>
      <c r="BV557" s="47" t="n">
        <v>94</v>
      </c>
      <c r="BW557" s="42" t="n">
        <v>99</v>
      </c>
      <c r="BX557" s="48" t="n">
        <v>98</v>
      </c>
      <c r="BY557" s="32" t="n">
        <v>25</v>
      </c>
      <c r="BZ557" s="32" t="n">
        <v>37</v>
      </c>
      <c r="CA557" s="32" t="n">
        <v>62</v>
      </c>
      <c r="CB557" s="32" t="n">
        <v>24</v>
      </c>
      <c r="CC557" s="32" t="n">
        <v>34</v>
      </c>
      <c r="CD557" s="69" t="n">
        <v>58</v>
      </c>
      <c r="CE557" s="32" t="n">
        <v>28</v>
      </c>
      <c r="CF557" s="32" t="n">
        <v>35</v>
      </c>
      <c r="CG557" s="32" t="n">
        <v>63</v>
      </c>
      <c r="CH557" s="32" t="n">
        <v>98</v>
      </c>
      <c r="CI557" s="32" t="n">
        <v>99</v>
      </c>
      <c r="CJ557" s="49" t="n">
        <v>23</v>
      </c>
      <c r="CK557" s="49" t="n">
        <v>48</v>
      </c>
      <c r="CL557" s="49" t="n">
        <v>71</v>
      </c>
      <c r="CM557" s="49" t="n">
        <v>27</v>
      </c>
      <c r="CN557" s="49" t="n">
        <v>51</v>
      </c>
      <c r="CO557" s="49" t="n">
        <v>78</v>
      </c>
      <c r="CP557" s="25" t="n">
        <f aca="false">BX557+BW557+BV557+BU557+BT557+BQ557+BN557</f>
        <v>592</v>
      </c>
      <c r="CQ557" s="25" t="n">
        <f aca="false">CO557+CL557+CI557+CH557+CG557+CD557+CA557</f>
        <v>529</v>
      </c>
      <c r="CR557" s="26" t="n">
        <f aca="false">CP557/7</f>
        <v>84.5714285714286</v>
      </c>
      <c r="CS557" s="26" t="n">
        <f aca="false">CQ557/7</f>
        <v>75.5714285714286</v>
      </c>
      <c r="CT557" s="24" t="n">
        <f aca="false">RANK(CR557,$CR$2:$CR$881,0)</f>
        <v>456</v>
      </c>
      <c r="CU557" s="25" t="n">
        <f aca="false">RANK(CS557,$CS$2:$CS$881,0)</f>
        <v>412</v>
      </c>
      <c r="CV557" s="26" t="n">
        <f aca="false">(CS557+CR557)/2</f>
        <v>80.0714285714286</v>
      </c>
      <c r="CW557" s="25" t="n">
        <f aca="false">RANK(CV557,$CV$2:$CV$881,0)</f>
        <v>422</v>
      </c>
      <c r="CX557" s="50" t="n">
        <f aca="false">(CV557+BB557)/2</f>
        <v>80.1857142857143</v>
      </c>
      <c r="CY557" s="50" t="n">
        <v>368</v>
      </c>
      <c r="CZ557" s="27" t="s">
        <v>132</v>
      </c>
      <c r="DA557" s="27" t="s">
        <v>176</v>
      </c>
      <c r="DB557" s="27" t="s">
        <v>176</v>
      </c>
      <c r="DC557" s="27" t="s">
        <v>134</v>
      </c>
      <c r="DD557" s="27" t="s">
        <v>154</v>
      </c>
      <c r="DE557" s="27" t="s">
        <v>681</v>
      </c>
      <c r="DF557" s="27" t="s">
        <v>138</v>
      </c>
      <c r="DG557" s="27" t="s">
        <v>134</v>
      </c>
      <c r="DH557" s="27" t="s">
        <v>195</v>
      </c>
      <c r="DI557" s="27" t="s">
        <v>412</v>
      </c>
      <c r="DJ557" s="27" t="s">
        <v>398</v>
      </c>
      <c r="DK557" s="27" t="s">
        <v>134</v>
      </c>
      <c r="DL557" s="27" t="s">
        <v>137</v>
      </c>
      <c r="DM557" s="27" t="s">
        <v>619</v>
      </c>
      <c r="DN557" s="27" t="s">
        <v>137</v>
      </c>
      <c r="DO557" s="27" t="s">
        <v>480</v>
      </c>
      <c r="DP557" s="27" t="s">
        <v>604</v>
      </c>
      <c r="DQ557" s="27" t="s">
        <v>619</v>
      </c>
      <c r="DR557" s="27" t="s">
        <v>604</v>
      </c>
      <c r="DS557" s="27" t="s">
        <v>480</v>
      </c>
      <c r="DT557" s="27" t="s">
        <v>137</v>
      </c>
      <c r="DU557" s="27" t="s">
        <v>160</v>
      </c>
      <c r="DV557" s="27" t="s">
        <v>304</v>
      </c>
      <c r="DW557" s="27" t="s">
        <v>140</v>
      </c>
      <c r="DX557" s="27" t="s">
        <v>138</v>
      </c>
      <c r="DY557" s="27" t="s">
        <v>145</v>
      </c>
      <c r="DZ557" s="27" t="n">
        <f aca="false">DY557+DV557+DR557+DN557+DJ557+DF557+DB557</f>
        <v>427</v>
      </c>
      <c r="EA557" s="28" t="n">
        <f aca="false">DZ557/7</f>
        <v>61</v>
      </c>
      <c r="EB557" s="27" t="n">
        <f aca="false">RANK(EA557,$EA$2:$EA$881,0)</f>
        <v>774</v>
      </c>
      <c r="EC557" s="29" t="n">
        <f aca="false">DZ557+CQ557+CP557+AZ557</f>
        <v>2351</v>
      </c>
      <c r="ED557" s="30" t="n">
        <f aca="false">(EA557+CV557+BB557)/3</f>
        <v>73.7904761904762</v>
      </c>
      <c r="EE557" s="51" t="n">
        <f aca="false">ROUND(BE557,3)</f>
        <v>85.87</v>
      </c>
      <c r="EF557" s="51" t="n">
        <f aca="false">ROUND(CR557,3)</f>
        <v>84.571</v>
      </c>
      <c r="EG557" s="51" t="n">
        <f aca="false">ROUND(CS557,3)</f>
        <v>75.571</v>
      </c>
      <c r="EH557" s="51" t="n">
        <f aca="false">ROUND(EA557,3)</f>
        <v>61</v>
      </c>
      <c r="EI557" s="51" t="n">
        <f aca="false">ROUND(ED557,3)</f>
        <v>73.79</v>
      </c>
      <c r="EJ557" s="51" t="n">
        <f aca="false">ROUND(CV557,3)</f>
        <v>80.071</v>
      </c>
      <c r="EK557" s="0" t="n">
        <f aca="false">RANK(EI557,$EI$2:$EI$881,0)</f>
        <v>556</v>
      </c>
    </row>
    <row r="558" customFormat="false" ht="15" hidden="false" customHeight="false" outlineLevel="0" collapsed="false">
      <c r="A558" s="4" t="n">
        <v>9131</v>
      </c>
      <c r="B558" s="4" t="n">
        <v>491</v>
      </c>
      <c r="C558" s="27" t="s">
        <v>1670</v>
      </c>
      <c r="D558" s="31" t="n">
        <v>499</v>
      </c>
      <c r="E558" s="32" t="n">
        <v>230311459</v>
      </c>
      <c r="F558" s="8" t="s">
        <v>1671</v>
      </c>
      <c r="G558" s="22" t="s">
        <v>1672</v>
      </c>
      <c r="H558" s="22" t="s">
        <v>129</v>
      </c>
      <c r="I558" s="33" t="n">
        <v>2006</v>
      </c>
      <c r="J558" s="32" t="n">
        <v>93</v>
      </c>
      <c r="K558" s="32" t="n">
        <v>85</v>
      </c>
      <c r="L558" s="34" t="n">
        <f aca="false">(K558*70)/100</f>
        <v>59.5</v>
      </c>
      <c r="M558" s="34" t="n">
        <f aca="false">ROUNDUP(L558,0)</f>
        <v>60</v>
      </c>
      <c r="N558" s="32" t="n">
        <v>20</v>
      </c>
      <c r="O558" s="34" t="n">
        <f aca="false">N558+L558</f>
        <v>79.5</v>
      </c>
      <c r="P558" s="34" t="n">
        <f aca="false">N558+M558</f>
        <v>80</v>
      </c>
      <c r="Q558" s="32" t="n">
        <v>80</v>
      </c>
      <c r="R558" s="32" t="n">
        <v>79</v>
      </c>
      <c r="S558" s="34" t="n">
        <f aca="false">(R558*70)/100</f>
        <v>55.3</v>
      </c>
      <c r="T558" s="34" t="n">
        <f aca="false">ROUNDUP(S558,0)</f>
        <v>56</v>
      </c>
      <c r="U558" s="32" t="n">
        <v>23</v>
      </c>
      <c r="V558" s="34" t="n">
        <f aca="false">U558+S558</f>
        <v>78.3</v>
      </c>
      <c r="W558" s="34" t="n">
        <f aca="false">U558+T558</f>
        <v>79</v>
      </c>
      <c r="X558" s="32" t="n">
        <v>71</v>
      </c>
      <c r="Y558" s="34" t="n">
        <f aca="false">(X558*70)/100</f>
        <v>49.7</v>
      </c>
      <c r="Z558" s="34" t="n">
        <f aca="false">ROUNDUP(Y558,0)</f>
        <v>50</v>
      </c>
      <c r="AA558" s="32" t="n">
        <v>22</v>
      </c>
      <c r="AB558" s="34" t="n">
        <f aca="false">AA558+Y558</f>
        <v>71.7</v>
      </c>
      <c r="AC558" s="34" t="n">
        <f aca="false">AA558+Z558</f>
        <v>72</v>
      </c>
      <c r="AD558" s="32" t="n">
        <f aca="false">X558+R558+Q558+K558+J558</f>
        <v>408</v>
      </c>
      <c r="AE558" s="16" t="n">
        <f aca="false">AD558/5</f>
        <v>81.6</v>
      </c>
      <c r="AF558" s="16" t="n">
        <v>71</v>
      </c>
      <c r="AG558" s="16" t="n">
        <v>99</v>
      </c>
      <c r="AH558" s="16" t="n">
        <v>89</v>
      </c>
      <c r="AI558" s="16" t="n">
        <v>91</v>
      </c>
      <c r="AJ558" s="16" t="n">
        <f aca="false">(AI558*70)/100</f>
        <v>63.7</v>
      </c>
      <c r="AK558" s="35" t="n">
        <f aca="false">ROUNDUP(AJ558,0)</f>
        <v>64</v>
      </c>
      <c r="AL558" s="16" t="n">
        <v>21</v>
      </c>
      <c r="AM558" s="16" t="n">
        <f aca="false">AL558+AJ558</f>
        <v>84.7</v>
      </c>
      <c r="AN558" s="16" t="n">
        <f aca="false">AL558+AK558</f>
        <v>85</v>
      </c>
      <c r="AO558" s="16" t="n">
        <v>78</v>
      </c>
      <c r="AP558" s="36" t="n">
        <f aca="false">(AO558*70)/100</f>
        <v>54.6</v>
      </c>
      <c r="AQ558" s="37" t="n">
        <f aca="false">ROUNDUP(AP558,0)</f>
        <v>55</v>
      </c>
      <c r="AR558" s="16" t="n">
        <v>27</v>
      </c>
      <c r="AS558" s="16" t="n">
        <f aca="false">AR558+AP558</f>
        <v>81.6</v>
      </c>
      <c r="AT558" s="16" t="n">
        <f aca="false">AR558+AQ558</f>
        <v>82</v>
      </c>
      <c r="AU558" s="16" t="n">
        <f aca="false">AO558+AF558+AI558+AH558+AG558</f>
        <v>428</v>
      </c>
      <c r="AV558" s="16" t="n">
        <f aca="false">(AO558+AF558+AI558+AH558+AG558)/5</f>
        <v>85.6</v>
      </c>
      <c r="AW558" s="36" t="n">
        <f aca="false">(AO558+AF558+AI558+AH558+AG558+X558+R558+Q558+K558+J558)</f>
        <v>836</v>
      </c>
      <c r="AX558" s="16" t="n">
        <f aca="false">AW558/10</f>
        <v>83.6</v>
      </c>
      <c r="AY558" s="16" t="n">
        <f aca="false">AS558+AF558+AM558+AH558+AG558+AB558+V558+Q558+O558+J558</f>
        <v>827.8</v>
      </c>
      <c r="AZ558" s="16" t="n">
        <f aca="false">AT558+AF558+AN558+AH558+AG558+AC558+W558+Q558+P558+J558</f>
        <v>830</v>
      </c>
      <c r="BA558" s="16" t="n">
        <f aca="false">AY558/10</f>
        <v>82.78</v>
      </c>
      <c r="BB558" s="16" t="n">
        <f aca="false">AZ558/10</f>
        <v>83</v>
      </c>
      <c r="BC558" s="16" t="n">
        <v>2369</v>
      </c>
      <c r="BD558" s="16" t="n">
        <f aca="false">RANK(AX558,$AX$2:$AX$881,0)</f>
        <v>119</v>
      </c>
      <c r="BE558" s="54" t="n">
        <f aca="false">((BC558*100)/2400)*0.4+(AX558*0.6)</f>
        <v>89.6433333333333</v>
      </c>
      <c r="BF558" s="16" t="n">
        <f aca="false">RANK(BE558,$BE$2:$BE$881,0)</f>
        <v>115</v>
      </c>
      <c r="BG558" s="39" t="n">
        <f aca="false">RANK(BB558,$BB$2:$BB$881,0)</f>
        <v>158</v>
      </c>
      <c r="BH558" s="39" t="n">
        <f aca="false">RANK(BC558,$BC$2:$BC$881,0)</f>
        <v>283</v>
      </c>
      <c r="BI558" s="22" t="s">
        <v>130</v>
      </c>
      <c r="BJ558" s="22" t="s">
        <v>129</v>
      </c>
      <c r="BK558" s="40" t="s">
        <v>131</v>
      </c>
      <c r="BL558" s="41" t="n">
        <v>17</v>
      </c>
      <c r="BM558" s="41" t="n">
        <v>56</v>
      </c>
      <c r="BN558" s="41" t="n">
        <v>73</v>
      </c>
      <c r="BO558" s="42" t="n">
        <v>18</v>
      </c>
      <c r="BP558" s="43" t="n">
        <v>49</v>
      </c>
      <c r="BQ558" s="44" t="n">
        <v>67</v>
      </c>
      <c r="BR558" s="74" t="n">
        <v>7</v>
      </c>
      <c r="BS558" s="80"/>
      <c r="BT558" s="80"/>
      <c r="BU558" s="46" t="n">
        <v>100</v>
      </c>
      <c r="BV558" s="47" t="n">
        <v>96</v>
      </c>
      <c r="BW558" s="42" t="n">
        <v>100</v>
      </c>
      <c r="BX558" s="48" t="n">
        <v>94</v>
      </c>
      <c r="BY558" s="32" t="n">
        <v>26</v>
      </c>
      <c r="BZ558" s="32" t="n">
        <v>37</v>
      </c>
      <c r="CA558" s="32" t="n">
        <v>63</v>
      </c>
      <c r="CB558" s="32" t="n">
        <v>24</v>
      </c>
      <c r="CC558" s="32" t="n">
        <v>40</v>
      </c>
      <c r="CD558" s="32" t="n">
        <v>64</v>
      </c>
      <c r="CE558" s="32" t="n">
        <v>25</v>
      </c>
      <c r="CF558" s="32" t="n">
        <v>56</v>
      </c>
      <c r="CG558" s="32" t="n">
        <v>81</v>
      </c>
      <c r="CH558" s="32" t="n">
        <v>99</v>
      </c>
      <c r="CI558" s="32" t="n">
        <v>96</v>
      </c>
      <c r="CJ558" s="49" t="n">
        <v>21</v>
      </c>
      <c r="CK558" s="49" t="n">
        <v>44</v>
      </c>
      <c r="CL558" s="49" t="n">
        <v>65</v>
      </c>
      <c r="CM558" s="49" t="n">
        <v>23</v>
      </c>
      <c r="CN558" s="49" t="n">
        <v>42</v>
      </c>
      <c r="CO558" s="49" t="n">
        <v>65</v>
      </c>
      <c r="CP558" s="25" t="n">
        <f aca="false">BX558+BW558+BV558+BU558+BT558+BQ558+BN558</f>
        <v>530</v>
      </c>
      <c r="CQ558" s="25" t="n">
        <f aca="false">CO558+CL558+CI558+CH558+CG558+CD558+CA558</f>
        <v>533</v>
      </c>
      <c r="CR558" s="26" t="n">
        <f aca="false">CP558/7</f>
        <v>75.7142857142857</v>
      </c>
      <c r="CS558" s="26" t="n">
        <f aca="false">CQ558/7</f>
        <v>76.1428571428571</v>
      </c>
      <c r="CT558" s="24" t="n">
        <f aca="false">RANK(CR558,$CR$2:$CR$881,0)</f>
        <v>639</v>
      </c>
      <c r="CU558" s="25" t="n">
        <f aca="false">RANK(CS558,$CS$2:$CS$881,0)</f>
        <v>395</v>
      </c>
      <c r="CV558" s="26" t="n">
        <f aca="false">(CS558+CR558)/2</f>
        <v>75.9285714285714</v>
      </c>
      <c r="CW558" s="25" t="n">
        <f aca="false">RANK(CV558,$CV$2:$CV$881,0)</f>
        <v>543</v>
      </c>
      <c r="CX558" s="50" t="n">
        <f aca="false">(CV558+BB558)/2</f>
        <v>79.4642857142857</v>
      </c>
      <c r="CY558" s="50" t="n">
        <v>400</v>
      </c>
      <c r="CZ558" s="27" t="s">
        <v>132</v>
      </c>
      <c r="DA558" s="27" t="s">
        <v>139</v>
      </c>
      <c r="DB558" s="27" t="s">
        <v>139</v>
      </c>
      <c r="DC558" s="27" t="s">
        <v>134</v>
      </c>
      <c r="DD558" s="27" t="s">
        <v>191</v>
      </c>
      <c r="DE558" s="27" t="s">
        <v>645</v>
      </c>
      <c r="DF558" s="27" t="s">
        <v>152</v>
      </c>
      <c r="DG558" s="27" t="s">
        <v>134</v>
      </c>
      <c r="DH558" s="27" t="s">
        <v>154</v>
      </c>
      <c r="DI558" s="27" t="s">
        <v>447</v>
      </c>
      <c r="DJ558" s="27" t="s">
        <v>443</v>
      </c>
      <c r="DK558" s="27" t="s">
        <v>134</v>
      </c>
      <c r="DL558" s="27" t="s">
        <v>386</v>
      </c>
      <c r="DM558" s="27" t="s">
        <v>304</v>
      </c>
      <c r="DN558" s="27" t="s">
        <v>398</v>
      </c>
      <c r="DO558" s="27" t="s">
        <v>134</v>
      </c>
      <c r="DP558" s="27"/>
      <c r="DQ558" s="27"/>
      <c r="DR558" s="27"/>
      <c r="DS558" s="27"/>
      <c r="DT558" s="27" t="s">
        <v>154</v>
      </c>
      <c r="DU558" s="27" t="s">
        <v>195</v>
      </c>
      <c r="DV558" s="27" t="s">
        <v>645</v>
      </c>
      <c r="DW558" s="27" t="s">
        <v>140</v>
      </c>
      <c r="DX558" s="27" t="s">
        <v>220</v>
      </c>
      <c r="DY558" s="27" t="s">
        <v>175</v>
      </c>
      <c r="DZ558" s="27" t="n">
        <f aca="false">DY558+DV558+DR558+DN558+DJ558+DF558+DB558</f>
        <v>436</v>
      </c>
      <c r="EA558" s="28" t="n">
        <f aca="false">DZ558/7</f>
        <v>62.2857142857143</v>
      </c>
      <c r="EB558" s="27" t="n">
        <f aca="false">RANK(EA558,$EA$2:$EA$881,0)</f>
        <v>762</v>
      </c>
      <c r="EC558" s="29" t="n">
        <f aca="false">DZ558+CQ558+CP558+AZ558</f>
        <v>2329</v>
      </c>
      <c r="ED558" s="30" t="n">
        <f aca="false">(EA558+CV558+BB558)/3</f>
        <v>73.7380952380952</v>
      </c>
      <c r="EE558" s="51" t="n">
        <f aca="false">ROUND(BE558,3)</f>
        <v>89.643</v>
      </c>
      <c r="EF558" s="51" t="n">
        <f aca="false">ROUND(CR558,3)</f>
        <v>75.714</v>
      </c>
      <c r="EG558" s="51" t="n">
        <f aca="false">ROUND(CS558,3)</f>
        <v>76.143</v>
      </c>
      <c r="EH558" s="51" t="n">
        <f aca="false">ROUND(EA558,3)</f>
        <v>62.286</v>
      </c>
      <c r="EI558" s="51" t="n">
        <f aca="false">ROUND(ED558,3)</f>
        <v>73.738</v>
      </c>
      <c r="EJ558" s="51" t="n">
        <f aca="false">ROUND(CV558,3)</f>
        <v>75.929</v>
      </c>
      <c r="EK558" s="0" t="n">
        <f aca="false">RANK(EI558,$EI$2:$EI$881,0)</f>
        <v>557</v>
      </c>
    </row>
    <row r="559" customFormat="false" ht="15" hidden="false" customHeight="false" outlineLevel="0" collapsed="false">
      <c r="A559" s="4" t="n">
        <v>9128</v>
      </c>
      <c r="B559" s="4" t="n">
        <v>505</v>
      </c>
      <c r="C559" s="27" t="s">
        <v>1673</v>
      </c>
      <c r="D559" s="31" t="n">
        <v>512</v>
      </c>
      <c r="E559" s="32" t="n">
        <v>230312223</v>
      </c>
      <c r="F559" s="8" t="s">
        <v>1674</v>
      </c>
      <c r="G559" s="22" t="s">
        <v>900</v>
      </c>
      <c r="H559" s="22" t="s">
        <v>129</v>
      </c>
      <c r="I559" s="33" t="n">
        <v>2005</v>
      </c>
      <c r="J559" s="32" t="n">
        <v>63</v>
      </c>
      <c r="K559" s="32" t="n">
        <v>72</v>
      </c>
      <c r="L559" s="34" t="n">
        <f aca="false">(K559*70)/100</f>
        <v>50.4</v>
      </c>
      <c r="M559" s="34" t="n">
        <f aca="false">ROUNDUP(L559,0)</f>
        <v>51</v>
      </c>
      <c r="N559" s="32" t="n">
        <v>24</v>
      </c>
      <c r="O559" s="34" t="n">
        <f aca="false">N559+L559</f>
        <v>74.4</v>
      </c>
      <c r="P559" s="34" t="n">
        <f aca="false">N559+M559</f>
        <v>75</v>
      </c>
      <c r="Q559" s="32" t="n">
        <v>80</v>
      </c>
      <c r="R559" s="32" t="n">
        <v>64</v>
      </c>
      <c r="S559" s="34" t="n">
        <f aca="false">(R559*70)/100</f>
        <v>44.8</v>
      </c>
      <c r="T559" s="34" t="n">
        <f aca="false">ROUNDUP(S559,0)</f>
        <v>45</v>
      </c>
      <c r="U559" s="32" t="n">
        <v>16</v>
      </c>
      <c r="V559" s="34" t="n">
        <f aca="false">U559+S559</f>
        <v>60.8</v>
      </c>
      <c r="W559" s="34" t="n">
        <f aca="false">U559+T559</f>
        <v>61</v>
      </c>
      <c r="X559" s="32" t="n">
        <v>60</v>
      </c>
      <c r="Y559" s="34" t="n">
        <f aca="false">(X559*70)/100</f>
        <v>42</v>
      </c>
      <c r="Z559" s="34" t="n">
        <f aca="false">ROUNDUP(Y559,0)</f>
        <v>42</v>
      </c>
      <c r="AA559" s="32" t="n">
        <v>24</v>
      </c>
      <c r="AB559" s="34" t="n">
        <f aca="false">AA559+Y559</f>
        <v>66</v>
      </c>
      <c r="AC559" s="34" t="n">
        <f aca="false">AA559+Z559</f>
        <v>66</v>
      </c>
      <c r="AD559" s="32" t="n">
        <f aca="false">X559+R559+Q559+K559+J559</f>
        <v>339</v>
      </c>
      <c r="AE559" s="16" t="n">
        <f aca="false">AD559/5</f>
        <v>67.8</v>
      </c>
      <c r="AF559" s="16" t="n">
        <v>73</v>
      </c>
      <c r="AG559" s="71" t="n">
        <v>58</v>
      </c>
      <c r="AH559" s="16" t="n">
        <v>88</v>
      </c>
      <c r="AI559" s="16" t="n">
        <v>88</v>
      </c>
      <c r="AJ559" s="16" t="n">
        <f aca="false">(AI559*70)/100</f>
        <v>61.6</v>
      </c>
      <c r="AK559" s="35" t="n">
        <f aca="false">ROUNDUP(AJ559,0)</f>
        <v>62</v>
      </c>
      <c r="AL559" s="16" t="n">
        <v>19</v>
      </c>
      <c r="AM559" s="16" t="n">
        <f aca="false">AL559+AJ559</f>
        <v>80.6</v>
      </c>
      <c r="AN559" s="16" t="n">
        <f aca="false">AL559+AK559</f>
        <v>81</v>
      </c>
      <c r="AO559" s="16" t="n">
        <v>63</v>
      </c>
      <c r="AP559" s="36" t="n">
        <f aca="false">(AO559*70)/100</f>
        <v>44.1</v>
      </c>
      <c r="AQ559" s="37" t="n">
        <f aca="false">ROUNDUP(AP559,0)</f>
        <v>45</v>
      </c>
      <c r="AR559" s="16" t="n">
        <v>24</v>
      </c>
      <c r="AS559" s="16" t="n">
        <f aca="false">AR559+AP559</f>
        <v>68.1</v>
      </c>
      <c r="AT559" s="16" t="n">
        <f aca="false">AR559+AQ559</f>
        <v>69</v>
      </c>
      <c r="AU559" s="16" t="n">
        <f aca="false">AO559+AF559+AI559+AH559+AG559</f>
        <v>370</v>
      </c>
      <c r="AV559" s="16" t="n">
        <f aca="false">(AO559+AF559+AI559+AH559+AG559)/5</f>
        <v>74</v>
      </c>
      <c r="AW559" s="36" t="n">
        <f aca="false">(AO559+AF559+AI559+AH559+AG559+X559+R559+Q559+K559+J559)</f>
        <v>709</v>
      </c>
      <c r="AX559" s="16" t="n">
        <f aca="false">AW559/10</f>
        <v>70.9</v>
      </c>
      <c r="AY559" s="16" t="n">
        <f aca="false">AS559+AF559+AM559+AH559+AG559+AB559+V559+Q559+O559+J559</f>
        <v>711.9</v>
      </c>
      <c r="AZ559" s="16" t="n">
        <f aca="false">AT559+AF559+AN559+AH559+AG559+AC559+W559+Q559+P559+J559</f>
        <v>714</v>
      </c>
      <c r="BA559" s="16" t="n">
        <f aca="false">AY559/10</f>
        <v>71.19</v>
      </c>
      <c r="BB559" s="16" t="n">
        <f aca="false">AZ559/10</f>
        <v>71.4</v>
      </c>
      <c r="BC559" s="16" t="n">
        <v>2334</v>
      </c>
      <c r="BD559" s="16" t="n">
        <f aca="false">RANK(AX559,$AX$2:$AX$881,0)</f>
        <v>730</v>
      </c>
      <c r="BE559" s="73" t="n">
        <f aca="false">((BC559*100)/2400)*0.4+(AX559*0.6)</f>
        <v>81.44</v>
      </c>
      <c r="BF559" s="16" t="n">
        <f aca="false">RANK(BE559,$BE$2:$BE$881,0)</f>
        <v>716</v>
      </c>
      <c r="BG559" s="39" t="n">
        <f aca="false">RANK(BB559,$BB$2:$BB$881,0)</f>
        <v>735</v>
      </c>
      <c r="BH559" s="39" t="n">
        <f aca="false">RANK(BC559,$BC$2:$BC$881,0)</f>
        <v>687</v>
      </c>
      <c r="BI559" s="22" t="s">
        <v>130</v>
      </c>
      <c r="BJ559" s="22" t="s">
        <v>129</v>
      </c>
      <c r="BK559" s="40" t="s">
        <v>702</v>
      </c>
      <c r="BL559" s="41" t="n">
        <v>21</v>
      </c>
      <c r="BM559" s="41" t="n">
        <v>45</v>
      </c>
      <c r="BN559" s="41" t="n">
        <v>66</v>
      </c>
      <c r="BO559" s="42" t="n">
        <v>26</v>
      </c>
      <c r="BP559" s="43" t="n">
        <v>48</v>
      </c>
      <c r="BQ559" s="44" t="n">
        <v>74</v>
      </c>
      <c r="BR559" s="42" t="n">
        <v>23</v>
      </c>
      <c r="BS559" s="45" t="n">
        <v>56</v>
      </c>
      <c r="BT559" s="45" t="n">
        <v>79</v>
      </c>
      <c r="BU559" s="46" t="n">
        <v>100</v>
      </c>
      <c r="BV559" s="47" t="n">
        <v>80</v>
      </c>
      <c r="BW559" s="42" t="n">
        <v>98</v>
      </c>
      <c r="BX559" s="48" t="n">
        <v>90</v>
      </c>
      <c r="BY559" s="32" t="n">
        <v>21</v>
      </c>
      <c r="BZ559" s="32" t="n">
        <v>51</v>
      </c>
      <c r="CA559" s="48" t="n">
        <v>72</v>
      </c>
      <c r="CB559" s="32" t="n">
        <v>22</v>
      </c>
      <c r="CC559" s="32" t="n">
        <v>38</v>
      </c>
      <c r="CD559" s="32" t="n">
        <v>60</v>
      </c>
      <c r="CE559" s="32" t="n">
        <v>22</v>
      </c>
      <c r="CF559" s="32" t="n">
        <v>35</v>
      </c>
      <c r="CG559" s="69" t="n">
        <v>57</v>
      </c>
      <c r="CH559" s="32" t="n">
        <v>99</v>
      </c>
      <c r="CI559" s="32" t="n">
        <v>82</v>
      </c>
      <c r="CJ559" s="49" t="n">
        <v>15</v>
      </c>
      <c r="CK559" s="49" t="n">
        <v>44</v>
      </c>
      <c r="CL559" s="76" t="n">
        <v>59</v>
      </c>
      <c r="CM559" s="49" t="n">
        <v>24</v>
      </c>
      <c r="CN559" s="49" t="n">
        <v>51</v>
      </c>
      <c r="CO559" s="49" t="n">
        <v>75</v>
      </c>
      <c r="CP559" s="25" t="n">
        <f aca="false">BX559+BW559+BV559+BU559+BT559+BQ559+BN559</f>
        <v>587</v>
      </c>
      <c r="CQ559" s="25" t="n">
        <f aca="false">CO559+CL559+CI559+CH559+CG559+CD559+CA559</f>
        <v>504</v>
      </c>
      <c r="CR559" s="26" t="n">
        <f aca="false">CP559/7</f>
        <v>83.8571428571429</v>
      </c>
      <c r="CS559" s="26" t="n">
        <f aca="false">CQ559/7</f>
        <v>72</v>
      </c>
      <c r="CT559" s="24" t="n">
        <f aca="false">RANK(CR559,$CR$2:$CR$881,0)</f>
        <v>492</v>
      </c>
      <c r="CU559" s="25" t="n">
        <f aca="false">RANK(CS559,$CS$2:$CS$881,0)</f>
        <v>509</v>
      </c>
      <c r="CV559" s="26" t="n">
        <f aca="false">(CS559+CR559)/2</f>
        <v>77.9285714285714</v>
      </c>
      <c r="CW559" s="25" t="n">
        <f aca="false">RANK(CV559,$CV$2:$CV$881,0)</f>
        <v>497</v>
      </c>
      <c r="CX559" s="50" t="n">
        <f aca="false">(CV559+BB559)/2</f>
        <v>74.6642857142857</v>
      </c>
      <c r="CY559" s="50" t="n">
        <v>575</v>
      </c>
      <c r="CZ559" s="27" t="s">
        <v>132</v>
      </c>
      <c r="DA559" s="27" t="s">
        <v>169</v>
      </c>
      <c r="DB559" s="27" t="s">
        <v>169</v>
      </c>
      <c r="DC559" s="27" t="s">
        <v>134</v>
      </c>
      <c r="DD559" s="27" t="s">
        <v>164</v>
      </c>
      <c r="DE559" s="27" t="s">
        <v>306</v>
      </c>
      <c r="DF559" s="27" t="s">
        <v>205</v>
      </c>
      <c r="DG559" s="27" t="s">
        <v>134</v>
      </c>
      <c r="DH559" s="27" t="s">
        <v>191</v>
      </c>
      <c r="DI559" s="27" t="s">
        <v>989</v>
      </c>
      <c r="DJ559" s="27" t="s">
        <v>203</v>
      </c>
      <c r="DK559" s="27" t="s">
        <v>134</v>
      </c>
      <c r="DL559" s="27" t="s">
        <v>264</v>
      </c>
      <c r="DM559" s="27" t="s">
        <v>399</v>
      </c>
      <c r="DN559" s="27" t="s">
        <v>141</v>
      </c>
      <c r="DO559" s="27" t="s">
        <v>134</v>
      </c>
      <c r="DP559" s="27" t="s">
        <v>1000</v>
      </c>
      <c r="DQ559" s="27" t="s">
        <v>1407</v>
      </c>
      <c r="DR559" s="27" t="s">
        <v>304</v>
      </c>
      <c r="DS559" s="27" t="s">
        <v>480</v>
      </c>
      <c r="DT559" s="27" t="s">
        <v>135</v>
      </c>
      <c r="DU559" s="27" t="s">
        <v>1064</v>
      </c>
      <c r="DV559" s="27" t="s">
        <v>161</v>
      </c>
      <c r="DW559" s="27" t="s">
        <v>164</v>
      </c>
      <c r="DX559" s="27" t="s">
        <v>141</v>
      </c>
      <c r="DY559" s="27" t="s">
        <v>156</v>
      </c>
      <c r="DZ559" s="27" t="n">
        <f aca="false">DY559+DV559+DR559+DN559+DJ559+DF559+DB559</f>
        <v>503</v>
      </c>
      <c r="EA559" s="28" t="n">
        <f aca="false">DZ559/7</f>
        <v>71.8571428571429</v>
      </c>
      <c r="EB559" s="27" t="n">
        <f aca="false">RANK(EA559,$EA$2:$EA$881,0)</f>
        <v>614</v>
      </c>
      <c r="EC559" s="29" t="n">
        <f aca="false">DZ559+CQ559+CP559+AZ559</f>
        <v>2308</v>
      </c>
      <c r="ED559" s="30" t="n">
        <f aca="false">(EA559+CV559+BB559)/3</f>
        <v>73.7285714285714</v>
      </c>
      <c r="EE559" s="51" t="n">
        <f aca="false">ROUND(BE559,3)</f>
        <v>81.44</v>
      </c>
      <c r="EF559" s="51" t="n">
        <f aca="false">ROUND(CR559,3)</f>
        <v>83.857</v>
      </c>
      <c r="EG559" s="51" t="n">
        <f aca="false">ROUND(CS559,3)</f>
        <v>72</v>
      </c>
      <c r="EH559" s="51" t="n">
        <f aca="false">ROUND(EA559,3)</f>
        <v>71.857</v>
      </c>
      <c r="EI559" s="51" t="n">
        <f aca="false">ROUND(ED559,3)</f>
        <v>73.729</v>
      </c>
      <c r="EJ559" s="51" t="n">
        <f aca="false">ROUND(CV559,3)</f>
        <v>77.929</v>
      </c>
      <c r="EK559" s="0" t="n">
        <f aca="false">RANK(EI559,$EI$2:$EI$881,0)</f>
        <v>558</v>
      </c>
    </row>
    <row r="560" customFormat="false" ht="15" hidden="false" customHeight="false" outlineLevel="0" collapsed="false">
      <c r="A560" s="4" t="n">
        <v>9047</v>
      </c>
      <c r="B560" s="4" t="n">
        <v>799</v>
      </c>
      <c r="C560" s="27" t="s">
        <v>1675</v>
      </c>
      <c r="D560" s="31" t="n">
        <v>818</v>
      </c>
      <c r="E560" s="16" t="n">
        <v>230252824</v>
      </c>
      <c r="F560" s="56" t="s">
        <v>1676</v>
      </c>
      <c r="G560" s="22" t="s">
        <v>438</v>
      </c>
      <c r="H560" s="22" t="s">
        <v>326</v>
      </c>
      <c r="I560" s="57"/>
      <c r="J560" s="16" t="n">
        <v>79</v>
      </c>
      <c r="K560" s="16" t="n">
        <v>78</v>
      </c>
      <c r="L560" s="34" t="n">
        <f aca="false">(K560*70)/100</f>
        <v>54.6</v>
      </c>
      <c r="M560" s="34" t="n">
        <f aca="false">ROUNDUP(L560,0)</f>
        <v>55</v>
      </c>
      <c r="N560" s="16" t="n">
        <v>28</v>
      </c>
      <c r="O560" s="34" t="n">
        <f aca="false">N560+L560</f>
        <v>82.6</v>
      </c>
      <c r="P560" s="34" t="n">
        <f aca="false">N560+M560</f>
        <v>83</v>
      </c>
      <c r="Q560" s="16" t="n">
        <v>78</v>
      </c>
      <c r="R560" s="16" t="n">
        <v>72</v>
      </c>
      <c r="S560" s="34" t="n">
        <f aca="false">(R560*70)/100</f>
        <v>50.4</v>
      </c>
      <c r="T560" s="34" t="n">
        <f aca="false">ROUNDUP(S560,0)</f>
        <v>51</v>
      </c>
      <c r="U560" s="16" t="n">
        <v>26</v>
      </c>
      <c r="V560" s="34" t="n">
        <f aca="false">U560+S560</f>
        <v>76.4</v>
      </c>
      <c r="W560" s="34" t="n">
        <f aca="false">U560+T560</f>
        <v>77</v>
      </c>
      <c r="X560" s="16" t="n">
        <v>76</v>
      </c>
      <c r="Y560" s="34" t="n">
        <f aca="false">(X560*70)/100</f>
        <v>53.2</v>
      </c>
      <c r="Z560" s="34" t="n">
        <f aca="false">ROUNDUP(Y560,0)</f>
        <v>54</v>
      </c>
      <c r="AA560" s="16" t="n">
        <v>27</v>
      </c>
      <c r="AB560" s="34" t="n">
        <f aca="false">AA560+Y560</f>
        <v>80.2</v>
      </c>
      <c r="AC560" s="34" t="n">
        <f aca="false">AA560+Z560</f>
        <v>81</v>
      </c>
      <c r="AD560" s="32" t="n">
        <f aca="false">X560+R560+Q560+K560+J560</f>
        <v>383</v>
      </c>
      <c r="AE560" s="16" t="n">
        <f aca="false">AD560/5</f>
        <v>76.6</v>
      </c>
      <c r="AF560" s="16" t="n">
        <v>83</v>
      </c>
      <c r="AG560" s="16" t="n">
        <v>84</v>
      </c>
      <c r="AH560" s="16" t="n">
        <v>90</v>
      </c>
      <c r="AI560" s="16" t="n">
        <v>93</v>
      </c>
      <c r="AJ560" s="16" t="n">
        <f aca="false">(AI560*70)/100</f>
        <v>65.1</v>
      </c>
      <c r="AK560" s="35" t="n">
        <f aca="false">ROUNDUP(AJ560,0)</f>
        <v>66</v>
      </c>
      <c r="AL560" s="16" t="n">
        <v>24</v>
      </c>
      <c r="AM560" s="16" t="n">
        <f aca="false">AL560+AJ560</f>
        <v>89.1</v>
      </c>
      <c r="AN560" s="16" t="n">
        <f aca="false">AL560+AK560</f>
        <v>90</v>
      </c>
      <c r="AO560" s="16" t="n">
        <v>74</v>
      </c>
      <c r="AP560" s="36" t="n">
        <f aca="false">(AO560*70)/100</f>
        <v>51.8</v>
      </c>
      <c r="AQ560" s="37" t="n">
        <f aca="false">ROUNDUP(AP560,0)</f>
        <v>52</v>
      </c>
      <c r="AR560" s="16" t="n">
        <v>26</v>
      </c>
      <c r="AS560" s="16" t="n">
        <f aca="false">AR560+AP560</f>
        <v>77.8</v>
      </c>
      <c r="AT560" s="16" t="n">
        <f aca="false">AR560+AQ560</f>
        <v>78</v>
      </c>
      <c r="AU560" s="16" t="n">
        <f aca="false">AO560+AF560+AI560+AH560+AG560</f>
        <v>424</v>
      </c>
      <c r="AV560" s="16" t="n">
        <f aca="false">(AO560+AF560+AI560+AH560+AG560)/5</f>
        <v>84.8</v>
      </c>
      <c r="AW560" s="36" t="n">
        <f aca="false">(AO560+AF560+AI560+AH560+AG560+X560+R560+Q560+K560+J560)</f>
        <v>807</v>
      </c>
      <c r="AX560" s="16" t="n">
        <f aca="false">AW560/10</f>
        <v>80.7</v>
      </c>
      <c r="AY560" s="16" t="n">
        <f aca="false">AS560+AF560+AM560+AH560+AG560+AB560+V560+Q560+O560+J560</f>
        <v>820.1</v>
      </c>
      <c r="AZ560" s="16" t="n">
        <f aca="false">AT560+AF560+AN560+AH560+AG560+AC560+W560+Q560+P560+J560</f>
        <v>823</v>
      </c>
      <c r="BA560" s="16" t="n">
        <f aca="false">AY560/10</f>
        <v>82.01</v>
      </c>
      <c r="BB560" s="16" t="n">
        <f aca="false">AZ560/10</f>
        <v>82.3</v>
      </c>
      <c r="BC560" s="16" t="n">
        <v>2349</v>
      </c>
      <c r="BD560" s="16" t="n">
        <f aca="false">RANK(AX560,$AX$2:$AX$881,0)</f>
        <v>223</v>
      </c>
      <c r="BE560" s="54" t="n">
        <f aca="false">((BC560*100)/2400)*0.4+(AX560*0.6)</f>
        <v>87.57</v>
      </c>
      <c r="BF560" s="16" t="n">
        <f aca="false">RANK(BE560,$BE$2:$BE$881,0)</f>
        <v>240</v>
      </c>
      <c r="BG560" s="39" t="n">
        <f aca="false">RANK(BB560,$BB$2:$BB$881,0)</f>
        <v>193</v>
      </c>
      <c r="BH560" s="39" t="n">
        <f aca="false">RANK(BC560,$BC$2:$BC$881,0)</f>
        <v>542</v>
      </c>
      <c r="BI560" s="22" t="s">
        <v>130</v>
      </c>
      <c r="BJ560" s="22" t="s">
        <v>129</v>
      </c>
      <c r="BK560" s="40" t="s">
        <v>131</v>
      </c>
      <c r="BL560" s="41" t="n">
        <v>22</v>
      </c>
      <c r="BM560" s="41" t="n">
        <v>50</v>
      </c>
      <c r="BN560" s="41" t="n">
        <v>72</v>
      </c>
      <c r="BO560" s="42" t="n">
        <v>25</v>
      </c>
      <c r="BP560" s="43" t="n">
        <v>56</v>
      </c>
      <c r="BQ560" s="44" t="n">
        <v>81</v>
      </c>
      <c r="BR560" s="42" t="n">
        <v>25</v>
      </c>
      <c r="BS560" s="45" t="n">
        <v>57</v>
      </c>
      <c r="BT560" s="45" t="n">
        <v>82</v>
      </c>
      <c r="BU560" s="46" t="n">
        <v>99</v>
      </c>
      <c r="BV560" s="47" t="n">
        <v>86</v>
      </c>
      <c r="BW560" s="42" t="n">
        <v>98</v>
      </c>
      <c r="BX560" s="48" t="n">
        <v>96</v>
      </c>
      <c r="BY560" s="32" t="n">
        <v>27</v>
      </c>
      <c r="BZ560" s="32" t="n">
        <v>45</v>
      </c>
      <c r="CA560" s="32" t="n">
        <v>72</v>
      </c>
      <c r="CB560" s="32" t="n">
        <v>22</v>
      </c>
      <c r="CC560" s="32" t="n">
        <v>47</v>
      </c>
      <c r="CD560" s="32" t="n">
        <v>69</v>
      </c>
      <c r="CE560" s="32" t="n">
        <v>23</v>
      </c>
      <c r="CF560" s="60"/>
      <c r="CG560" s="60"/>
      <c r="CH560" s="32" t="n">
        <v>92</v>
      </c>
      <c r="CI560" s="32" t="n">
        <v>96</v>
      </c>
      <c r="CJ560" s="49" t="n">
        <v>17</v>
      </c>
      <c r="CK560" s="49" t="n">
        <v>49</v>
      </c>
      <c r="CL560" s="49" t="n">
        <v>66</v>
      </c>
      <c r="CM560" s="49" t="n">
        <v>21</v>
      </c>
      <c r="CN560" s="49" t="n">
        <v>43</v>
      </c>
      <c r="CO560" s="49" t="n">
        <v>64</v>
      </c>
      <c r="CP560" s="25" t="n">
        <f aca="false">BX560+BW560+BV560+BU560+BT560+BQ560+BN560</f>
        <v>614</v>
      </c>
      <c r="CQ560" s="25" t="n">
        <f aca="false">CO560+CL560+CI560+CH560+CG560+CD560+CA560</f>
        <v>459</v>
      </c>
      <c r="CR560" s="26" t="n">
        <f aca="false">CP560/7</f>
        <v>87.7142857142857</v>
      </c>
      <c r="CS560" s="26" t="n">
        <f aca="false">CQ560/7</f>
        <v>65.5714285714286</v>
      </c>
      <c r="CT560" s="24" t="n">
        <f aca="false">RANK(CR560,$CR$2:$CR$881,0)</f>
        <v>323</v>
      </c>
      <c r="CU560" s="25" t="n">
        <f aca="false">RANK(CS560,$CS$2:$CS$881,0)</f>
        <v>618</v>
      </c>
      <c r="CV560" s="26" t="n">
        <f aca="false">(CS560+CR560)/2</f>
        <v>76.6428571428571</v>
      </c>
      <c r="CW560" s="25" t="n">
        <f aca="false">RANK(CV560,$CV$2:$CV$881,0)</f>
        <v>525</v>
      </c>
      <c r="CX560" s="50" t="n">
        <f aca="false">(CV560+BB560)/2</f>
        <v>79.4714285714286</v>
      </c>
      <c r="CY560" s="50" t="n">
        <v>398</v>
      </c>
      <c r="CZ560" s="27" t="s">
        <v>132</v>
      </c>
      <c r="DA560" s="27" t="s">
        <v>486</v>
      </c>
      <c r="DB560" s="27" t="s">
        <v>486</v>
      </c>
      <c r="DC560" s="27" t="s">
        <v>134</v>
      </c>
      <c r="DD560" s="27" t="s">
        <v>154</v>
      </c>
      <c r="DE560" s="27" t="s">
        <v>375</v>
      </c>
      <c r="DF560" s="27" t="s">
        <v>486</v>
      </c>
      <c r="DG560" s="27" t="s">
        <v>134</v>
      </c>
      <c r="DH560" s="27" t="s">
        <v>182</v>
      </c>
      <c r="DI560" s="27" t="s">
        <v>415</v>
      </c>
      <c r="DJ560" s="27" t="s">
        <v>416</v>
      </c>
      <c r="DK560" s="27" t="s">
        <v>134</v>
      </c>
      <c r="DL560" s="27" t="s">
        <v>174</v>
      </c>
      <c r="DM560" s="27" t="s">
        <v>313</v>
      </c>
      <c r="DN560" s="27" t="s">
        <v>372</v>
      </c>
      <c r="DO560" s="27" t="s">
        <v>134</v>
      </c>
      <c r="DP560" s="27"/>
      <c r="DQ560" s="27"/>
      <c r="DR560" s="27"/>
      <c r="DS560" s="27"/>
      <c r="DT560" s="27" t="s">
        <v>135</v>
      </c>
      <c r="DU560" s="27" t="s">
        <v>164</v>
      </c>
      <c r="DV560" s="27" t="s">
        <v>313</v>
      </c>
      <c r="DW560" s="27" t="s">
        <v>182</v>
      </c>
      <c r="DX560" s="27" t="s">
        <v>187</v>
      </c>
      <c r="DY560" s="27" t="s">
        <v>153</v>
      </c>
      <c r="DZ560" s="27" t="n">
        <f aca="false">DY560+DV560+DR560+DN560+DJ560+DF560+DB560</f>
        <v>433</v>
      </c>
      <c r="EA560" s="28" t="n">
        <f aca="false">DZ560/7</f>
        <v>61.8571428571429</v>
      </c>
      <c r="EB560" s="27" t="n">
        <f aca="false">RANK(EA560,$EA$2:$EA$881,0)</f>
        <v>765</v>
      </c>
      <c r="EC560" s="29" t="n">
        <f aca="false">DZ560+CQ560+CP560+AZ560</f>
        <v>2329</v>
      </c>
      <c r="ED560" s="30" t="n">
        <f aca="false">(EA560+CV560+BB560)/3</f>
        <v>73.6</v>
      </c>
      <c r="EE560" s="51" t="n">
        <f aca="false">ROUND(BE560,3)</f>
        <v>87.57</v>
      </c>
      <c r="EF560" s="51" t="n">
        <f aca="false">ROUND(CR560,3)</f>
        <v>87.714</v>
      </c>
      <c r="EG560" s="51" t="n">
        <f aca="false">ROUND(CS560,3)</f>
        <v>65.571</v>
      </c>
      <c r="EH560" s="51" t="n">
        <f aca="false">ROUND(EA560,3)</f>
        <v>61.857</v>
      </c>
      <c r="EI560" s="51" t="n">
        <f aca="false">ROUND(ED560,3)</f>
        <v>73.6</v>
      </c>
      <c r="EJ560" s="51" t="n">
        <f aca="false">ROUND(CV560,3)</f>
        <v>76.643</v>
      </c>
      <c r="EK560" s="0" t="n">
        <f aca="false">RANK(EI560,$EI$2:$EI$881,0)</f>
        <v>559</v>
      </c>
    </row>
    <row r="561" customFormat="false" ht="15" hidden="false" customHeight="false" outlineLevel="0" collapsed="false">
      <c r="A561" s="4" t="n">
        <v>8574</v>
      </c>
      <c r="B561" s="4" t="n">
        <v>715</v>
      </c>
      <c r="C561" s="27" t="s">
        <v>1677</v>
      </c>
      <c r="D561" s="31" t="n">
        <v>730</v>
      </c>
      <c r="E561" s="16" t="n">
        <v>230411098</v>
      </c>
      <c r="F561" s="8" t="s">
        <v>1678</v>
      </c>
      <c r="G561" s="22" t="s">
        <v>1679</v>
      </c>
      <c r="H561" s="22" t="s">
        <v>271</v>
      </c>
      <c r="I561" s="57"/>
      <c r="J561" s="16" t="n">
        <v>62</v>
      </c>
      <c r="K561" s="16" t="n">
        <v>75</v>
      </c>
      <c r="L561" s="34" t="n">
        <f aca="false">(K561*70)/100</f>
        <v>52.5</v>
      </c>
      <c r="M561" s="34" t="n">
        <f aca="false">ROUNDUP(L561,0)</f>
        <v>53</v>
      </c>
      <c r="N561" s="16" t="n">
        <v>23</v>
      </c>
      <c r="O561" s="34" t="n">
        <f aca="false">N561+L561</f>
        <v>75.5</v>
      </c>
      <c r="P561" s="34" t="n">
        <f aca="false">N561+M561</f>
        <v>76</v>
      </c>
      <c r="Q561" s="16" t="n">
        <v>78</v>
      </c>
      <c r="R561" s="16" t="n">
        <v>60</v>
      </c>
      <c r="S561" s="34" t="n">
        <f aca="false">(R561*70)/100</f>
        <v>42</v>
      </c>
      <c r="T561" s="34" t="n">
        <f aca="false">ROUNDUP(S561,0)</f>
        <v>42</v>
      </c>
      <c r="U561" s="16" t="n">
        <v>26</v>
      </c>
      <c r="V561" s="34" t="n">
        <f aca="false">U561+S561</f>
        <v>68</v>
      </c>
      <c r="W561" s="34" t="n">
        <f aca="false">U561+T561</f>
        <v>68</v>
      </c>
      <c r="X561" s="16" t="n">
        <v>66</v>
      </c>
      <c r="Y561" s="34" t="n">
        <f aca="false">(X561*70)/100</f>
        <v>46.2</v>
      </c>
      <c r="Z561" s="34" t="n">
        <f aca="false">ROUNDUP(Y561,0)</f>
        <v>47</v>
      </c>
      <c r="AA561" s="16" t="n">
        <v>25</v>
      </c>
      <c r="AB561" s="34" t="n">
        <f aca="false">AA561+Y561</f>
        <v>71.2</v>
      </c>
      <c r="AC561" s="34" t="n">
        <f aca="false">AA561+Z561</f>
        <v>72</v>
      </c>
      <c r="AD561" s="32" t="n">
        <f aca="false">X561+R561+Q561+K561+J561</f>
        <v>341</v>
      </c>
      <c r="AE561" s="16" t="n">
        <f aca="false">AD561/5</f>
        <v>68.2</v>
      </c>
      <c r="AF561" s="16" t="n">
        <v>66</v>
      </c>
      <c r="AG561" s="16" t="n">
        <v>73</v>
      </c>
      <c r="AH561" s="16" t="n">
        <v>90</v>
      </c>
      <c r="AI561" s="16" t="n">
        <v>93</v>
      </c>
      <c r="AJ561" s="16" t="n">
        <f aca="false">(AI561*70)/100</f>
        <v>65.1</v>
      </c>
      <c r="AK561" s="35" t="n">
        <f aca="false">ROUNDUP(AJ561,0)</f>
        <v>66</v>
      </c>
      <c r="AL561" s="16" t="n">
        <v>23</v>
      </c>
      <c r="AM561" s="16" t="n">
        <f aca="false">AL561+AJ561</f>
        <v>88.1</v>
      </c>
      <c r="AN561" s="16" t="n">
        <f aca="false">AL561+AK561</f>
        <v>89</v>
      </c>
      <c r="AO561" s="16" t="n">
        <v>66</v>
      </c>
      <c r="AP561" s="36" t="n">
        <f aca="false">(AO561*70)/100</f>
        <v>46.2</v>
      </c>
      <c r="AQ561" s="37" t="n">
        <f aca="false">ROUNDUP(AP561,0)</f>
        <v>47</v>
      </c>
      <c r="AR561" s="16" t="n">
        <v>24</v>
      </c>
      <c r="AS561" s="16" t="n">
        <f aca="false">AR561+AP561</f>
        <v>70.2</v>
      </c>
      <c r="AT561" s="16" t="n">
        <f aca="false">AR561+AQ561</f>
        <v>71</v>
      </c>
      <c r="AU561" s="16" t="n">
        <f aca="false">AO561+AF561+AI561+AH561+AG561</f>
        <v>388</v>
      </c>
      <c r="AV561" s="16" t="n">
        <f aca="false">(AO561+AF561+AI561+AH561+AG561)/5</f>
        <v>77.6</v>
      </c>
      <c r="AW561" s="36" t="n">
        <f aca="false">(AO561+AF561+AI561+AH561+AG561+X561+R561+Q561+K561+J561)</f>
        <v>729</v>
      </c>
      <c r="AX561" s="16" t="n">
        <f aca="false">AW561/10</f>
        <v>72.9</v>
      </c>
      <c r="AY561" s="16" t="n">
        <f aca="false">AS561+AF561+AM561+AH561+AG561+AB561+V561+Q561+O561+J561</f>
        <v>742</v>
      </c>
      <c r="AZ561" s="16" t="n">
        <f aca="false">AT561+AF561+AN561+AH561+AG561+AC561+W561+Q561+P561+J561</f>
        <v>745</v>
      </c>
      <c r="BA561" s="16" t="n">
        <f aca="false">AY561/10</f>
        <v>74.2</v>
      </c>
      <c r="BB561" s="16" t="n">
        <f aca="false">AZ561/10</f>
        <v>74.5</v>
      </c>
      <c r="BC561" s="16" t="n">
        <v>2346</v>
      </c>
      <c r="BD561" s="16" t="n">
        <f aca="false">RANK(AX561,$AX$2:$AX$881,0)</f>
        <v>712</v>
      </c>
      <c r="BE561" s="73" t="n">
        <f aca="false">((BC561*100)/2400)*0.4+(AX561*0.6)</f>
        <v>82.84</v>
      </c>
      <c r="BF561" s="16" t="n">
        <f aca="false">RANK(BE561,$BE$2:$BE$881,0)</f>
        <v>702</v>
      </c>
      <c r="BG561" s="39" t="n">
        <f aca="false">RANK(BB561,$BB$2:$BB$881,0)</f>
        <v>706</v>
      </c>
      <c r="BH561" s="39" t="n">
        <f aca="false">RANK(BC561,$BC$2:$BC$881,0)</f>
        <v>571</v>
      </c>
      <c r="BI561" s="22" t="s">
        <v>130</v>
      </c>
      <c r="BJ561" s="22" t="s">
        <v>129</v>
      </c>
      <c r="BK561" s="22" t="s">
        <v>968</v>
      </c>
      <c r="BL561" s="41" t="n">
        <v>24</v>
      </c>
      <c r="BM561" s="41" t="n">
        <v>53</v>
      </c>
      <c r="BN561" s="41" t="n">
        <v>77</v>
      </c>
      <c r="BO561" s="42" t="n">
        <v>22</v>
      </c>
      <c r="BP561" s="42" t="n">
        <v>64</v>
      </c>
      <c r="BQ561" s="42" t="n">
        <v>86</v>
      </c>
      <c r="BR561" s="42" t="n">
        <v>21</v>
      </c>
      <c r="BS561" s="45" t="n">
        <v>60</v>
      </c>
      <c r="BT561" s="45" t="n">
        <v>81</v>
      </c>
      <c r="BU561" s="46" t="n">
        <v>100</v>
      </c>
      <c r="BV561" s="47" t="n">
        <v>84</v>
      </c>
      <c r="BW561" s="42" t="n">
        <v>99</v>
      </c>
      <c r="BX561" s="48" t="n">
        <v>92</v>
      </c>
      <c r="BY561" s="32" t="n">
        <v>25</v>
      </c>
      <c r="BZ561" s="58" t="n">
        <v>52</v>
      </c>
      <c r="CA561" s="58" t="n">
        <v>77</v>
      </c>
      <c r="CB561" s="32" t="n">
        <v>24</v>
      </c>
      <c r="CC561" s="32" t="n">
        <v>36</v>
      </c>
      <c r="CD561" s="32" t="n">
        <v>60</v>
      </c>
      <c r="CE561" s="32" t="n">
        <v>23</v>
      </c>
      <c r="CF561" s="32" t="n">
        <v>50</v>
      </c>
      <c r="CG561" s="32" t="n">
        <v>73</v>
      </c>
      <c r="CH561" s="32" t="n">
        <v>98</v>
      </c>
      <c r="CI561" s="32" t="n">
        <v>96</v>
      </c>
      <c r="CJ561" s="60"/>
      <c r="CK561" s="60"/>
      <c r="CL561" s="61"/>
      <c r="CM561" s="49" t="n">
        <v>21</v>
      </c>
      <c r="CN561" s="49" t="n">
        <v>52</v>
      </c>
      <c r="CO561" s="49" t="n">
        <v>73</v>
      </c>
      <c r="CP561" s="25" t="n">
        <f aca="false">BX561+BW561+BV561+BU561+BT561+BQ561+BN561</f>
        <v>619</v>
      </c>
      <c r="CQ561" s="25" t="n">
        <f aca="false">CO561+CL561+CI561+CH561+CG561+CD561+CA561</f>
        <v>477</v>
      </c>
      <c r="CR561" s="26" t="n">
        <f aca="false">CP561/7</f>
        <v>88.4285714285714</v>
      </c>
      <c r="CS561" s="26" t="n">
        <f aca="false">CQ561/7</f>
        <v>68.1428571428571</v>
      </c>
      <c r="CT561" s="24" t="n">
        <f aca="false">RANK(CR561,$CR$2:$CR$881,0)</f>
        <v>276</v>
      </c>
      <c r="CU561" s="25" t="n">
        <f aca="false">RANK(CS561,$CS$2:$CS$881,0)</f>
        <v>586</v>
      </c>
      <c r="CV561" s="26" t="n">
        <f aca="false">(CS561+CR561)/2</f>
        <v>78.2857142857143</v>
      </c>
      <c r="CW561" s="25" t="n">
        <f aca="false">RANK(CV561,$CV$2:$CV$881,0)</f>
        <v>484</v>
      </c>
      <c r="CX561" s="50" t="n">
        <f aca="false">(CV561+BB561)/2</f>
        <v>76.3928571428571</v>
      </c>
      <c r="CY561" s="50" t="n">
        <v>572</v>
      </c>
      <c r="CZ561" s="27" t="s">
        <v>132</v>
      </c>
      <c r="DA561" s="27" t="s">
        <v>202</v>
      </c>
      <c r="DB561" s="27" t="s">
        <v>202</v>
      </c>
      <c r="DC561" s="27" t="s">
        <v>134</v>
      </c>
      <c r="DD561" s="27" t="s">
        <v>135</v>
      </c>
      <c r="DE561" s="27" t="s">
        <v>313</v>
      </c>
      <c r="DF561" s="27" t="s">
        <v>382</v>
      </c>
      <c r="DG561" s="27" t="s">
        <v>134</v>
      </c>
      <c r="DH561" s="27" t="s">
        <v>191</v>
      </c>
      <c r="DI561" s="27" t="s">
        <v>306</v>
      </c>
      <c r="DJ561" s="27" t="s">
        <v>441</v>
      </c>
      <c r="DK561" s="27" t="s">
        <v>134</v>
      </c>
      <c r="DL561" s="27"/>
      <c r="DM561" s="27"/>
      <c r="DN561" s="27"/>
      <c r="DO561" s="27"/>
      <c r="DP561" s="27" t="s">
        <v>386</v>
      </c>
      <c r="DQ561" s="27" t="s">
        <v>447</v>
      </c>
      <c r="DR561" s="27" t="s">
        <v>416</v>
      </c>
      <c r="DS561" s="27" t="s">
        <v>134</v>
      </c>
      <c r="DT561" s="27" t="s">
        <v>137</v>
      </c>
      <c r="DU561" s="27" t="s">
        <v>399</v>
      </c>
      <c r="DV561" s="27" t="s">
        <v>372</v>
      </c>
      <c r="DW561" s="27" t="s">
        <v>182</v>
      </c>
      <c r="DX561" s="27" t="s">
        <v>138</v>
      </c>
      <c r="DY561" s="27" t="s">
        <v>151</v>
      </c>
      <c r="DZ561" s="27" t="n">
        <f aca="false">DY561+DV561+DR561+DN561+DJ561+DF561+DB561</f>
        <v>476</v>
      </c>
      <c r="EA561" s="28" t="n">
        <f aca="false">DZ561/7</f>
        <v>68</v>
      </c>
      <c r="EB561" s="27" t="n">
        <f aca="false">RANK(EA561,$EA$2:$EA$881,0)</f>
        <v>692</v>
      </c>
      <c r="EC561" s="29" t="n">
        <f aca="false">DZ561+CQ561+CP561+AZ561</f>
        <v>2317</v>
      </c>
      <c r="ED561" s="30" t="n">
        <f aca="false">(EA561+CV561+BB561)/3</f>
        <v>73.5952380952381</v>
      </c>
      <c r="EE561" s="51" t="n">
        <f aca="false">ROUND(BE561,3)</f>
        <v>82.84</v>
      </c>
      <c r="EF561" s="51" t="n">
        <f aca="false">ROUND(CR561,3)</f>
        <v>88.429</v>
      </c>
      <c r="EG561" s="51" t="n">
        <f aca="false">ROUND(CS561,3)</f>
        <v>68.143</v>
      </c>
      <c r="EH561" s="51" t="n">
        <f aca="false">ROUND(EA561,3)</f>
        <v>68</v>
      </c>
      <c r="EI561" s="51" t="n">
        <f aca="false">ROUND(ED561,3)</f>
        <v>73.595</v>
      </c>
      <c r="EJ561" s="51" t="n">
        <f aca="false">ROUND(CV561,3)</f>
        <v>78.286</v>
      </c>
      <c r="EK561" s="0" t="n">
        <f aca="false">RANK(EI561,$EI$2:$EI$881,0)</f>
        <v>560</v>
      </c>
    </row>
    <row r="562" customFormat="false" ht="33.7" hidden="false" customHeight="false" outlineLevel="0" collapsed="false">
      <c r="A562" s="4" t="n">
        <v>9090</v>
      </c>
      <c r="B562" s="4" t="n">
        <v>343</v>
      </c>
      <c r="C562" s="27" t="s">
        <v>1680</v>
      </c>
      <c r="D562" s="31" t="n">
        <v>345</v>
      </c>
      <c r="E562" s="32" t="n">
        <v>230314498</v>
      </c>
      <c r="F562" s="55" t="s">
        <v>1681</v>
      </c>
      <c r="G562" s="22" t="s">
        <v>378</v>
      </c>
      <c r="H562" s="22" t="s">
        <v>129</v>
      </c>
      <c r="I562" s="33" t="n">
        <v>2006</v>
      </c>
      <c r="J562" s="32" t="n">
        <v>80</v>
      </c>
      <c r="K562" s="32" t="n">
        <v>48</v>
      </c>
      <c r="L562" s="34" t="n">
        <f aca="false">(K562*70)/100</f>
        <v>33.6</v>
      </c>
      <c r="M562" s="34" t="n">
        <f aca="false">ROUNDUP(L562,0)</f>
        <v>34</v>
      </c>
      <c r="N562" s="32" t="n">
        <v>16</v>
      </c>
      <c r="O562" s="34" t="n">
        <f aca="false">N562+L562</f>
        <v>49.6</v>
      </c>
      <c r="P562" s="91" t="n">
        <f aca="false">N562+M562</f>
        <v>50</v>
      </c>
      <c r="Q562" s="32" t="n">
        <v>60</v>
      </c>
      <c r="R562" s="32" t="n">
        <v>48</v>
      </c>
      <c r="S562" s="34" t="n">
        <f aca="false">(R562*70)/100</f>
        <v>33.6</v>
      </c>
      <c r="T562" s="34" t="n">
        <f aca="false">ROUNDUP(S562,0)</f>
        <v>34</v>
      </c>
      <c r="U562" s="32" t="n">
        <v>15</v>
      </c>
      <c r="V562" s="34" t="n">
        <f aca="false">U562+S562</f>
        <v>48.6</v>
      </c>
      <c r="W562" s="91" t="n">
        <f aca="false">U562+T562</f>
        <v>49</v>
      </c>
      <c r="X562" s="32" t="n">
        <v>46</v>
      </c>
      <c r="Y562" s="34" t="n">
        <f aca="false">(X562*70)/100</f>
        <v>32.2</v>
      </c>
      <c r="Z562" s="34" t="n">
        <f aca="false">ROUNDUP(Y562,0)</f>
        <v>33</v>
      </c>
      <c r="AA562" s="32" t="n">
        <v>22</v>
      </c>
      <c r="AB562" s="34" t="n">
        <f aca="false">AA562+Y562</f>
        <v>54.2</v>
      </c>
      <c r="AC562" s="91" t="n">
        <f aca="false">AA562+Z562</f>
        <v>55</v>
      </c>
      <c r="AD562" s="32" t="n">
        <f aca="false">X562+R562+Q562+K562+J562</f>
        <v>282</v>
      </c>
      <c r="AE562" s="16" t="n">
        <f aca="false">AD562/5</f>
        <v>56.4</v>
      </c>
      <c r="AF562" s="16" t="n">
        <v>64</v>
      </c>
      <c r="AG562" s="16" t="n">
        <v>78</v>
      </c>
      <c r="AH562" s="16" t="n">
        <v>89</v>
      </c>
      <c r="AI562" s="16" t="n">
        <v>88</v>
      </c>
      <c r="AJ562" s="16" t="n">
        <f aca="false">(AI562*70)/100</f>
        <v>61.6</v>
      </c>
      <c r="AK562" s="35" t="n">
        <f aca="false">ROUNDUP(AJ562,0)</f>
        <v>62</v>
      </c>
      <c r="AL562" s="16" t="n">
        <v>22</v>
      </c>
      <c r="AM562" s="16" t="n">
        <f aca="false">AL562+AJ562</f>
        <v>83.6</v>
      </c>
      <c r="AN562" s="16" t="n">
        <f aca="false">AL562+AK562</f>
        <v>84</v>
      </c>
      <c r="AO562" s="16" t="n">
        <v>63</v>
      </c>
      <c r="AP562" s="36" t="n">
        <f aca="false">(AO562*70)/100</f>
        <v>44.1</v>
      </c>
      <c r="AQ562" s="37" t="n">
        <f aca="false">ROUNDUP(AP562,0)</f>
        <v>45</v>
      </c>
      <c r="AR562" s="16" t="n">
        <v>24</v>
      </c>
      <c r="AS562" s="16" t="n">
        <f aca="false">AR562+AP562</f>
        <v>68.1</v>
      </c>
      <c r="AT562" s="16" t="n">
        <f aca="false">AR562+AQ562</f>
        <v>69</v>
      </c>
      <c r="AU562" s="16" t="n">
        <f aca="false">AO562+AF562+AI562+AH562+AG562</f>
        <v>382</v>
      </c>
      <c r="AV562" s="16" t="n">
        <f aca="false">(AO562+AF562+AI562+AH562+AG562)/5</f>
        <v>76.4</v>
      </c>
      <c r="AW562" s="36" t="n">
        <f aca="false">(AO562+AF562+AI562+AH562+AG562+X562+R562+Q562+K562+J562)</f>
        <v>664</v>
      </c>
      <c r="AX562" s="16" t="n">
        <f aca="false">AW562/10</f>
        <v>66.4</v>
      </c>
      <c r="AY562" s="16" t="n">
        <f aca="false">AS562+AF562+AM562+AH562+AG562+AB562+V562+Q562+O562+J562</f>
        <v>675.1</v>
      </c>
      <c r="AZ562" s="16" t="n">
        <f aca="false">AT562+AF562+AN562+AH562+AG562+AC562+W562+Q562+P562+J562</f>
        <v>678</v>
      </c>
      <c r="BA562" s="16" t="n">
        <f aca="false">AY562/10</f>
        <v>67.51</v>
      </c>
      <c r="BB562" s="16" t="n">
        <f aca="false">AZ562/10</f>
        <v>67.8</v>
      </c>
      <c r="BC562" s="16" t="n">
        <v>2381</v>
      </c>
      <c r="BD562" s="16" t="n">
        <f aca="false">RANK(AX562,$AX$2:$AX$881,0)</f>
        <v>754</v>
      </c>
      <c r="BE562" s="78" t="n">
        <f aca="false">((BC562*100)/2400)*0.4+(AX562*0.6)</f>
        <v>79.5233333333333</v>
      </c>
      <c r="BF562" s="16" t="n">
        <f aca="false">RANK(BE562,$BE$2:$BE$881,0)</f>
        <v>734</v>
      </c>
      <c r="BG562" s="39" t="n">
        <f aca="false">RANK(BB562,$BB$2:$BB$881,0)</f>
        <v>762</v>
      </c>
      <c r="BH562" s="39" t="n">
        <f aca="false">RANK(BC562,$BC$2:$BC$881,0)</f>
        <v>136</v>
      </c>
      <c r="BI562" s="22" t="s">
        <v>130</v>
      </c>
      <c r="BJ562" s="22" t="s">
        <v>129</v>
      </c>
      <c r="BK562" s="40" t="s">
        <v>702</v>
      </c>
      <c r="BL562" s="41" t="n">
        <v>17</v>
      </c>
      <c r="BM562" s="41" t="n">
        <v>57</v>
      </c>
      <c r="BN562" s="41" t="n">
        <v>74</v>
      </c>
      <c r="BO562" s="42" t="n">
        <v>24</v>
      </c>
      <c r="BP562" s="43" t="n">
        <v>48</v>
      </c>
      <c r="BQ562" s="44" t="n">
        <v>72</v>
      </c>
      <c r="BR562" s="42" t="n">
        <v>22</v>
      </c>
      <c r="BS562" s="45" t="n">
        <v>53</v>
      </c>
      <c r="BT562" s="45" t="n">
        <v>75</v>
      </c>
      <c r="BU562" s="46" t="n">
        <v>100</v>
      </c>
      <c r="BV562" s="47" t="n">
        <v>90</v>
      </c>
      <c r="BW562" s="42" t="n">
        <v>99</v>
      </c>
      <c r="BX562" s="48" t="n">
        <v>96</v>
      </c>
      <c r="BY562" s="32" t="n">
        <v>26</v>
      </c>
      <c r="BZ562" s="32" t="n">
        <v>53</v>
      </c>
      <c r="CA562" s="32" t="n">
        <v>79</v>
      </c>
      <c r="CB562" s="32" t="n">
        <v>19</v>
      </c>
      <c r="CC562" s="32" t="n">
        <v>39</v>
      </c>
      <c r="CD562" s="69" t="n">
        <v>58</v>
      </c>
      <c r="CE562" s="32" t="n">
        <v>27</v>
      </c>
      <c r="CF562" s="32" t="n">
        <v>44</v>
      </c>
      <c r="CG562" s="32" t="n">
        <v>71</v>
      </c>
      <c r="CH562" s="32" t="n">
        <v>100</v>
      </c>
      <c r="CI562" s="32" t="n">
        <v>98</v>
      </c>
      <c r="CJ562" s="49" t="n">
        <v>17</v>
      </c>
      <c r="CK562" s="49" t="n">
        <v>53</v>
      </c>
      <c r="CL562" s="84" t="n">
        <v>70</v>
      </c>
      <c r="CM562" s="49" t="n">
        <v>23</v>
      </c>
      <c r="CN562" s="49" t="n">
        <v>55</v>
      </c>
      <c r="CO562" s="49" t="n">
        <v>78</v>
      </c>
      <c r="CP562" s="25" t="n">
        <f aca="false">BX562+BW562+BV562+BU562+BT562+BQ562+BN562</f>
        <v>606</v>
      </c>
      <c r="CQ562" s="25" t="n">
        <f aca="false">CO562+CL562+CI562+CH562+CG562+CD562+CA562</f>
        <v>554</v>
      </c>
      <c r="CR562" s="26" t="n">
        <f aca="false">CP562/7</f>
        <v>86.5714285714286</v>
      </c>
      <c r="CS562" s="26" t="n">
        <f aca="false">CQ562/7</f>
        <v>79.1428571428571</v>
      </c>
      <c r="CT562" s="24" t="n">
        <f aca="false">RANK(CR562,$CR$2:$CR$881,0)</f>
        <v>372</v>
      </c>
      <c r="CU562" s="25" t="n">
        <f aca="false">RANK(CS562,$CS$2:$CS$881,0)</f>
        <v>296</v>
      </c>
      <c r="CV562" s="26" t="n">
        <f aca="false">(CS562+CR562)/2</f>
        <v>82.8571428571429</v>
      </c>
      <c r="CW562" s="25" t="n">
        <f aca="false">RANK(CV562,$CV$2:$CV$881,0)</f>
        <v>303</v>
      </c>
      <c r="CX562" s="50" t="n">
        <f aca="false">(CV562+BB562)/2</f>
        <v>75.3285714285714</v>
      </c>
      <c r="CY562" s="50" t="n">
        <v>563</v>
      </c>
      <c r="CZ562" s="27" t="s">
        <v>132</v>
      </c>
      <c r="DA562" s="27" t="s">
        <v>169</v>
      </c>
      <c r="DB562" s="27" t="s">
        <v>169</v>
      </c>
      <c r="DC562" s="27" t="s">
        <v>134</v>
      </c>
      <c r="DD562" s="27" t="s">
        <v>164</v>
      </c>
      <c r="DE562" s="27" t="s">
        <v>204</v>
      </c>
      <c r="DF562" s="27" t="s">
        <v>202</v>
      </c>
      <c r="DG562" s="27" t="s">
        <v>134</v>
      </c>
      <c r="DH562" s="27" t="s">
        <v>195</v>
      </c>
      <c r="DI562" s="27" t="s">
        <v>183</v>
      </c>
      <c r="DJ562" s="27" t="s">
        <v>272</v>
      </c>
      <c r="DK562" s="27" t="s">
        <v>134</v>
      </c>
      <c r="DL562" s="27" t="s">
        <v>164</v>
      </c>
      <c r="DM562" s="27" t="s">
        <v>442</v>
      </c>
      <c r="DN562" s="27" t="s">
        <v>443</v>
      </c>
      <c r="DO562" s="27" t="s">
        <v>134</v>
      </c>
      <c r="DP562" s="27"/>
      <c r="DQ562" s="27"/>
      <c r="DR562" s="27"/>
      <c r="DS562" s="27"/>
      <c r="DT562" s="27" t="s">
        <v>154</v>
      </c>
      <c r="DU562" s="27" t="s">
        <v>304</v>
      </c>
      <c r="DV562" s="27" t="s">
        <v>382</v>
      </c>
      <c r="DW562" s="27" t="s">
        <v>264</v>
      </c>
      <c r="DX562" s="27" t="s">
        <v>155</v>
      </c>
      <c r="DY562" s="27" t="s">
        <v>162</v>
      </c>
      <c r="DZ562" s="27" t="n">
        <f aca="false">DY562+DV562+DR562+DN562+DJ562+DF562+DB562</f>
        <v>490</v>
      </c>
      <c r="EA562" s="28" t="n">
        <f aca="false">DZ562/7</f>
        <v>70</v>
      </c>
      <c r="EB562" s="27" t="n">
        <f aca="false">RANK(EA562,$EA$2:$EA$881,0)</f>
        <v>656</v>
      </c>
      <c r="EC562" s="29" t="n">
        <f aca="false">DZ562+CQ562+CP562+AZ562</f>
        <v>2328</v>
      </c>
      <c r="ED562" s="30" t="n">
        <f aca="false">(EA562+CV562+BB562)/3</f>
        <v>73.5523809523809</v>
      </c>
      <c r="EE562" s="51" t="n">
        <f aca="false">ROUND(BE562,3)</f>
        <v>79.523</v>
      </c>
      <c r="EF562" s="51" t="n">
        <f aca="false">ROUND(CR562,3)</f>
        <v>86.571</v>
      </c>
      <c r="EG562" s="51" t="n">
        <f aca="false">ROUND(CS562,3)</f>
        <v>79.143</v>
      </c>
      <c r="EH562" s="51" t="n">
        <f aca="false">ROUND(EA562,3)</f>
        <v>70</v>
      </c>
      <c r="EI562" s="51" t="n">
        <f aca="false">ROUND(ED562,3)</f>
        <v>73.552</v>
      </c>
      <c r="EJ562" s="51" t="n">
        <f aca="false">ROUND(CV562,3)</f>
        <v>82.857</v>
      </c>
      <c r="EK562" s="0" t="n">
        <f aca="false">RANK(EI562,$EI$2:$EI$881,0)</f>
        <v>561</v>
      </c>
    </row>
    <row r="563" customFormat="false" ht="15" hidden="false" customHeight="false" outlineLevel="0" collapsed="false">
      <c r="A563" s="4" t="n">
        <v>1988</v>
      </c>
      <c r="B563" s="4" t="n">
        <v>595</v>
      </c>
      <c r="C563" s="27" t="s">
        <v>1682</v>
      </c>
      <c r="D563" s="31" t="n">
        <v>603</v>
      </c>
      <c r="E563" s="16" t="n">
        <v>234300184</v>
      </c>
      <c r="F563" s="56" t="s">
        <v>1683</v>
      </c>
      <c r="G563" s="22" t="s">
        <v>1684</v>
      </c>
      <c r="H563" s="22" t="s">
        <v>271</v>
      </c>
      <c r="I563" s="57"/>
      <c r="J563" s="16" t="n">
        <v>72</v>
      </c>
      <c r="K563" s="16" t="n">
        <v>62</v>
      </c>
      <c r="L563" s="34" t="n">
        <f aca="false">(K563*70)/100</f>
        <v>43.4</v>
      </c>
      <c r="M563" s="34" t="n">
        <f aca="false">ROUNDUP(L563,0)</f>
        <v>44</v>
      </c>
      <c r="N563" s="16" t="n">
        <v>19</v>
      </c>
      <c r="O563" s="34" t="n">
        <f aca="false">N563+L563</f>
        <v>62.4</v>
      </c>
      <c r="P563" s="34" t="n">
        <f aca="false">N563+M563</f>
        <v>63</v>
      </c>
      <c r="Q563" s="16" t="n">
        <v>64</v>
      </c>
      <c r="R563" s="16" t="n">
        <v>65</v>
      </c>
      <c r="S563" s="34" t="n">
        <f aca="false">(R563*70)/100</f>
        <v>45.5</v>
      </c>
      <c r="T563" s="34" t="n">
        <f aca="false">ROUNDUP(S563,0)</f>
        <v>46</v>
      </c>
      <c r="U563" s="16" t="n">
        <v>20</v>
      </c>
      <c r="V563" s="34" t="n">
        <f aca="false">U563+S563</f>
        <v>65.5</v>
      </c>
      <c r="W563" s="34" t="n">
        <f aca="false">U563+T563</f>
        <v>66</v>
      </c>
      <c r="X563" s="16" t="n">
        <v>62</v>
      </c>
      <c r="Y563" s="34" t="n">
        <f aca="false">(X563*70)/100</f>
        <v>43.4</v>
      </c>
      <c r="Z563" s="34" t="n">
        <f aca="false">ROUNDUP(Y563,0)</f>
        <v>44</v>
      </c>
      <c r="AA563" s="16" t="n">
        <v>26</v>
      </c>
      <c r="AB563" s="34" t="n">
        <f aca="false">AA563+Y563</f>
        <v>69.4</v>
      </c>
      <c r="AC563" s="34" t="n">
        <f aca="false">AA563+Z563</f>
        <v>70</v>
      </c>
      <c r="AD563" s="32" t="n">
        <f aca="false">X563+R563+Q563+K563+J563</f>
        <v>325</v>
      </c>
      <c r="AE563" s="16" t="n">
        <f aca="false">AD563/5</f>
        <v>65</v>
      </c>
      <c r="AF563" s="71" t="n">
        <v>54</v>
      </c>
      <c r="AG563" s="16" t="n">
        <v>80</v>
      </c>
      <c r="AH563" s="16" t="n">
        <v>65</v>
      </c>
      <c r="AI563" s="16" t="n">
        <v>62</v>
      </c>
      <c r="AJ563" s="16" t="n">
        <f aca="false">(AI563*70)/100</f>
        <v>43.4</v>
      </c>
      <c r="AK563" s="35" t="n">
        <f aca="false">ROUNDUP(AJ563,0)</f>
        <v>44</v>
      </c>
      <c r="AL563" s="16" t="n">
        <v>19</v>
      </c>
      <c r="AM563" s="16" t="n">
        <f aca="false">AL563+AJ563</f>
        <v>62.4</v>
      </c>
      <c r="AN563" s="16" t="n">
        <f aca="false">AL563+AK563</f>
        <v>63</v>
      </c>
      <c r="AO563" s="16" t="n">
        <v>46</v>
      </c>
      <c r="AP563" s="36" t="n">
        <f aca="false">(AO563*70)/100</f>
        <v>32.2</v>
      </c>
      <c r="AQ563" s="37" t="n">
        <f aca="false">ROUNDUP(AP563,0)</f>
        <v>33</v>
      </c>
      <c r="AR563" s="16" t="n">
        <v>21</v>
      </c>
      <c r="AS563" s="16" t="n">
        <f aca="false">AR563+AP563</f>
        <v>53.2</v>
      </c>
      <c r="AT563" s="71" t="n">
        <f aca="false">AR563+AQ563</f>
        <v>54</v>
      </c>
      <c r="AU563" s="16" t="n">
        <f aca="false">AO563+AF563+AI563+AH563+AG563</f>
        <v>307</v>
      </c>
      <c r="AV563" s="16" t="n">
        <f aca="false">(AO563+AF563+AI563+AH563+AG563)/5</f>
        <v>61.4</v>
      </c>
      <c r="AW563" s="36" t="n">
        <f aca="false">(AO563+AF563+AI563+AH563+AG563+X563+R563+Q563+K563+J563)</f>
        <v>632</v>
      </c>
      <c r="AX563" s="16" t="n">
        <f aca="false">AW563/10</f>
        <v>63.2</v>
      </c>
      <c r="AY563" s="16" t="n">
        <f aca="false">AS563+AF563+AM563+AH563+AG563+AB563+V563+Q563+O563+J563</f>
        <v>647.9</v>
      </c>
      <c r="AZ563" s="16" t="n">
        <f aca="false">AT563+AF563+AN563+AH563+AG563+AC563+W563+Q563+P563+J563</f>
        <v>651</v>
      </c>
      <c r="BA563" s="16" t="n">
        <f aca="false">AY563/10</f>
        <v>64.79</v>
      </c>
      <c r="BB563" s="16" t="n">
        <f aca="false">AZ563/10</f>
        <v>65.1</v>
      </c>
      <c r="BC563" s="72" t="n">
        <v>0</v>
      </c>
      <c r="BD563" s="16" t="n">
        <f aca="false">RANK(AX563,$AX$2:$AX$881,0)</f>
        <v>780</v>
      </c>
      <c r="BE563" s="78" t="n">
        <f aca="false">AX563</f>
        <v>63.2</v>
      </c>
      <c r="BF563" s="16" t="n">
        <f aca="false">RANK(BE563,$BE$2:$BE$881,0)</f>
        <v>802</v>
      </c>
      <c r="BG563" s="39" t="n">
        <f aca="false">RANK(BB563,$BB$2:$BB$881,0)</f>
        <v>784</v>
      </c>
      <c r="BH563" s="39" t="n">
        <f aca="false">RANK(BC563,$BC$2:$BC$881,0)</f>
        <v>780</v>
      </c>
      <c r="BI563" s="22" t="s">
        <v>130</v>
      </c>
      <c r="BJ563" s="22" t="s">
        <v>129</v>
      </c>
      <c r="BK563" s="22" t="s">
        <v>526</v>
      </c>
      <c r="BL563" s="41" t="n">
        <v>18</v>
      </c>
      <c r="BM563" s="41" t="n">
        <v>48</v>
      </c>
      <c r="BN563" s="41" t="n">
        <v>66</v>
      </c>
      <c r="BO563" s="42" t="n">
        <v>23</v>
      </c>
      <c r="BP563" s="43" t="n">
        <v>51</v>
      </c>
      <c r="BQ563" s="44" t="n">
        <v>74</v>
      </c>
      <c r="BR563" s="42" t="n">
        <v>18</v>
      </c>
      <c r="BS563" s="45" t="n">
        <v>40</v>
      </c>
      <c r="BT563" s="85" t="n">
        <v>58</v>
      </c>
      <c r="BU563" s="46" t="n">
        <v>99</v>
      </c>
      <c r="BV563" s="47" t="n">
        <v>74</v>
      </c>
      <c r="BW563" s="42" t="n">
        <v>100</v>
      </c>
      <c r="BX563" s="48" t="n">
        <v>94</v>
      </c>
      <c r="BY563" s="32" t="n">
        <v>25</v>
      </c>
      <c r="BZ563" s="32" t="n">
        <v>47</v>
      </c>
      <c r="CA563" s="32" t="n">
        <v>72</v>
      </c>
      <c r="CB563" s="32" t="n">
        <v>15</v>
      </c>
      <c r="CC563" s="32" t="n">
        <v>44</v>
      </c>
      <c r="CD563" s="69" t="n">
        <v>59</v>
      </c>
      <c r="CE563" s="32" t="n">
        <v>25</v>
      </c>
      <c r="CF563" s="32" t="n">
        <v>53</v>
      </c>
      <c r="CG563" s="32" t="n">
        <v>78</v>
      </c>
      <c r="CH563" s="32" t="n">
        <v>99</v>
      </c>
      <c r="CI563" s="32" t="n">
        <v>90</v>
      </c>
      <c r="CJ563" s="49" t="n">
        <v>19</v>
      </c>
      <c r="CK563" s="49" t="n">
        <v>41</v>
      </c>
      <c r="CL563" s="49" t="n">
        <v>60</v>
      </c>
      <c r="CM563" s="49" t="n">
        <v>23</v>
      </c>
      <c r="CN563" s="49" t="n">
        <v>49</v>
      </c>
      <c r="CO563" s="49" t="n">
        <v>72</v>
      </c>
      <c r="CP563" s="25" t="n">
        <f aca="false">BX563+BW563+BV563+BU563+BT563+BQ563+BN563</f>
        <v>565</v>
      </c>
      <c r="CQ563" s="25" t="n">
        <f aca="false">CO563+CL563+CI563+CH563+CG563+CD563+CA563</f>
        <v>530</v>
      </c>
      <c r="CR563" s="26" t="n">
        <f aca="false">CP563/7</f>
        <v>80.7142857142857</v>
      </c>
      <c r="CS563" s="26" t="n">
        <f aca="false">CQ563/7</f>
        <v>75.7142857142857</v>
      </c>
      <c r="CT563" s="24" t="n">
        <f aca="false">RANK(CR563,$CR$2:$CR$881,0)</f>
        <v>572</v>
      </c>
      <c r="CU563" s="25" t="n">
        <f aca="false">RANK(CS563,$CS$2:$CS$881,0)</f>
        <v>404</v>
      </c>
      <c r="CV563" s="26" t="n">
        <f aca="false">(CS563+CR563)/2</f>
        <v>78.2142857142857</v>
      </c>
      <c r="CW563" s="25" t="n">
        <f aca="false">RANK(CV563,$CV$2:$CV$881,0)</f>
        <v>490</v>
      </c>
      <c r="CX563" s="50" t="n">
        <f aca="false">(CV563+BB563)/2</f>
        <v>71.6571428571428</v>
      </c>
      <c r="CY563" s="50" t="n">
        <v>601</v>
      </c>
      <c r="CZ563" s="27" t="s">
        <v>132</v>
      </c>
      <c r="DA563" s="27" t="s">
        <v>202</v>
      </c>
      <c r="DB563" s="27" t="s">
        <v>202</v>
      </c>
      <c r="DC563" s="27" t="s">
        <v>134</v>
      </c>
      <c r="DD563" s="27" t="s">
        <v>174</v>
      </c>
      <c r="DE563" s="27" t="s">
        <v>220</v>
      </c>
      <c r="DF563" s="27" t="s">
        <v>305</v>
      </c>
      <c r="DG563" s="27" t="s">
        <v>134</v>
      </c>
      <c r="DH563" s="27" t="s">
        <v>137</v>
      </c>
      <c r="DI563" s="27" t="s">
        <v>415</v>
      </c>
      <c r="DJ563" s="27" t="s">
        <v>486</v>
      </c>
      <c r="DK563" s="27" t="s">
        <v>134</v>
      </c>
      <c r="DL563" s="27" t="s">
        <v>195</v>
      </c>
      <c r="DM563" s="27" t="s">
        <v>415</v>
      </c>
      <c r="DN563" s="27" t="s">
        <v>143</v>
      </c>
      <c r="DO563" s="27" t="s">
        <v>134</v>
      </c>
      <c r="DP563" s="27" t="s">
        <v>191</v>
      </c>
      <c r="DQ563" s="27" t="s">
        <v>375</v>
      </c>
      <c r="DR563" s="27" t="s">
        <v>155</v>
      </c>
      <c r="DS563" s="27" t="s">
        <v>134</v>
      </c>
      <c r="DT563" s="27" t="s">
        <v>137</v>
      </c>
      <c r="DU563" s="27" t="s">
        <v>645</v>
      </c>
      <c r="DV563" s="27" t="s">
        <v>155</v>
      </c>
      <c r="DW563" s="27" t="s">
        <v>137</v>
      </c>
      <c r="DX563" s="27" t="s">
        <v>155</v>
      </c>
      <c r="DY563" s="27" t="s">
        <v>142</v>
      </c>
      <c r="DZ563" s="27" t="n">
        <f aca="false">DY563+DV563+DR563+DN563+DJ563+DF563+DB563</f>
        <v>541</v>
      </c>
      <c r="EA563" s="28" t="n">
        <f aca="false">DZ563/7</f>
        <v>77.2857142857143</v>
      </c>
      <c r="EB563" s="27" t="n">
        <f aca="false">RANK(EA563,$EA$2:$EA$881,0)</f>
        <v>482</v>
      </c>
      <c r="EC563" s="29" t="n">
        <f aca="false">DZ563+CQ563+CP563+AZ563</f>
        <v>2287</v>
      </c>
      <c r="ED563" s="30" t="n">
        <f aca="false">(EA563+CV563+BB563)/3</f>
        <v>73.5333333333333</v>
      </c>
      <c r="EE563" s="51" t="n">
        <f aca="false">ROUND(BE563,3)</f>
        <v>63.2</v>
      </c>
      <c r="EF563" s="51" t="n">
        <f aca="false">ROUND(CR563,3)</f>
        <v>80.714</v>
      </c>
      <c r="EG563" s="51" t="n">
        <f aca="false">ROUND(CS563,3)</f>
        <v>75.714</v>
      </c>
      <c r="EH563" s="51" t="n">
        <f aca="false">ROUND(EA563,3)</f>
        <v>77.286</v>
      </c>
      <c r="EI563" s="51" t="n">
        <f aca="false">ROUND(ED563,3)</f>
        <v>73.533</v>
      </c>
      <c r="EJ563" s="51" t="n">
        <f aca="false">ROUND(CV563,3)</f>
        <v>78.214</v>
      </c>
      <c r="EK563" s="0" t="n">
        <f aca="false">RANK(EI563,$EI$2:$EI$881,0)</f>
        <v>562</v>
      </c>
    </row>
    <row r="564" customFormat="false" ht="15" hidden="false" customHeight="false" outlineLevel="0" collapsed="false">
      <c r="A564" s="4" t="n">
        <v>9022</v>
      </c>
      <c r="B564" s="4" t="n">
        <v>428</v>
      </c>
      <c r="C564" s="27" t="s">
        <v>1685</v>
      </c>
      <c r="D564" s="31" t="n">
        <v>433</v>
      </c>
      <c r="E564" s="62" t="n">
        <v>230511126</v>
      </c>
      <c r="F564" s="8" t="s">
        <v>1686</v>
      </c>
      <c r="G564" s="63" t="s">
        <v>1687</v>
      </c>
      <c r="H564" s="22" t="s">
        <v>129</v>
      </c>
      <c r="I564" s="64" t="s">
        <v>466</v>
      </c>
      <c r="J564" s="62" t="n">
        <v>76</v>
      </c>
      <c r="K564" s="62" t="n">
        <v>64</v>
      </c>
      <c r="L564" s="34" t="n">
        <f aca="false">(K564*70)/100</f>
        <v>44.8</v>
      </c>
      <c r="M564" s="34" t="n">
        <f aca="false">ROUNDUP(L564,0)</f>
        <v>45</v>
      </c>
      <c r="N564" s="62" t="n">
        <v>21</v>
      </c>
      <c r="O564" s="34" t="n">
        <f aca="false">N564+L564</f>
        <v>65.8</v>
      </c>
      <c r="P564" s="34" t="n">
        <f aca="false">N564+M564</f>
        <v>66</v>
      </c>
      <c r="Q564" s="89" t="n">
        <v>43</v>
      </c>
      <c r="R564" s="62" t="n">
        <v>79</v>
      </c>
      <c r="S564" s="34" t="n">
        <f aca="false">(R564*70)/100</f>
        <v>55.3</v>
      </c>
      <c r="T564" s="34" t="n">
        <f aca="false">ROUNDUP(S564,0)</f>
        <v>56</v>
      </c>
      <c r="U564" s="62" t="n">
        <v>19</v>
      </c>
      <c r="V564" s="34" t="n">
        <f aca="false">U564+S564</f>
        <v>74.3</v>
      </c>
      <c r="W564" s="34" t="n">
        <f aca="false">U564+T564</f>
        <v>75</v>
      </c>
      <c r="X564" s="62" t="n">
        <v>73</v>
      </c>
      <c r="Y564" s="34" t="n">
        <f aca="false">(X564*70)/100</f>
        <v>51.1</v>
      </c>
      <c r="Z564" s="34" t="n">
        <f aca="false">ROUNDUP(Y564,0)</f>
        <v>52</v>
      </c>
      <c r="AA564" s="62" t="n">
        <v>22</v>
      </c>
      <c r="AB564" s="34" t="n">
        <f aca="false">AA564+Y564</f>
        <v>73.1</v>
      </c>
      <c r="AC564" s="34" t="n">
        <f aca="false">AA564+Z564</f>
        <v>74</v>
      </c>
      <c r="AD564" s="32" t="n">
        <f aca="false">X564+R564+Q564+K564+J564</f>
        <v>335</v>
      </c>
      <c r="AE564" s="16" t="n">
        <f aca="false">AD564/5</f>
        <v>67</v>
      </c>
      <c r="AF564" s="65" t="n">
        <v>75</v>
      </c>
      <c r="AG564" s="65" t="n">
        <v>82</v>
      </c>
      <c r="AH564" s="65" t="n">
        <v>92</v>
      </c>
      <c r="AI564" s="65" t="n">
        <v>75</v>
      </c>
      <c r="AJ564" s="16" t="n">
        <f aca="false">(AI564*70)/100</f>
        <v>52.5</v>
      </c>
      <c r="AK564" s="35" t="n">
        <f aca="false">ROUNDUP(AJ564,0)</f>
        <v>53</v>
      </c>
      <c r="AL564" s="65" t="n">
        <v>24</v>
      </c>
      <c r="AM564" s="16" t="n">
        <f aca="false">AL564+AJ564</f>
        <v>76.5</v>
      </c>
      <c r="AN564" s="16" t="n">
        <f aca="false">AL564+AK564</f>
        <v>77</v>
      </c>
      <c r="AO564" s="65" t="n">
        <v>81</v>
      </c>
      <c r="AP564" s="36" t="n">
        <f aca="false">(AO564*70)/100</f>
        <v>56.7</v>
      </c>
      <c r="AQ564" s="37" t="n">
        <f aca="false">ROUNDUP(AP564,0)</f>
        <v>57</v>
      </c>
      <c r="AR564" s="65" t="n">
        <v>27</v>
      </c>
      <c r="AS564" s="16" t="n">
        <f aca="false">AR564+AP564</f>
        <v>83.7</v>
      </c>
      <c r="AT564" s="16" t="n">
        <f aca="false">AR564+AQ564</f>
        <v>84</v>
      </c>
      <c r="AU564" s="16" t="n">
        <f aca="false">AO564+AF564+AI564+AH564+AG564</f>
        <v>405</v>
      </c>
      <c r="AV564" s="16" t="n">
        <f aca="false">(AO564+AF564+AI564+AH564+AG564)/5</f>
        <v>81</v>
      </c>
      <c r="AW564" s="36" t="n">
        <f aca="false">(AO564+AF564+AI564+AH564+AG564+X564+R564+Q564+K564+J564)</f>
        <v>740</v>
      </c>
      <c r="AX564" s="16" t="n">
        <f aca="false">AW564/10</f>
        <v>74</v>
      </c>
      <c r="AY564" s="16" t="n">
        <f aca="false">AS564+AF564+AM564+AH564+AG564+AB564+V564+Q564+O564+J564</f>
        <v>741.4</v>
      </c>
      <c r="AZ564" s="16" t="n">
        <f aca="false">AT564+AF564+AN564+AH564+AG564+AC564+W564+Q564+P564+J564</f>
        <v>744</v>
      </c>
      <c r="BA564" s="16" t="n">
        <f aca="false">AY564/10</f>
        <v>74.14</v>
      </c>
      <c r="BB564" s="16" t="n">
        <f aca="false">AZ564/10</f>
        <v>74.4</v>
      </c>
      <c r="BC564" s="65" t="n">
        <v>2366</v>
      </c>
      <c r="BD564" s="16" t="n">
        <f aca="false">RANK(AX564,$AX$2:$AX$881,0)</f>
        <v>701</v>
      </c>
      <c r="BE564" s="73" t="n">
        <f aca="false">((BC564*100)/2400)*0.4+(AX564*0.6)</f>
        <v>83.8333333333333</v>
      </c>
      <c r="BF564" s="16" t="n">
        <f aca="false">RANK(BE564,$BE$2:$BE$881,0)</f>
        <v>687</v>
      </c>
      <c r="BG564" s="39" t="n">
        <f aca="false">RANK(BB564,$BB$2:$BB$881,0)</f>
        <v>709</v>
      </c>
      <c r="BH564" s="39" t="n">
        <f aca="false">RANK(BC564,$BC$2:$BC$881,0)</f>
        <v>319</v>
      </c>
      <c r="BI564" s="22" t="s">
        <v>130</v>
      </c>
      <c r="BJ564" s="22" t="s">
        <v>129</v>
      </c>
      <c r="BK564" s="100" t="s">
        <v>968</v>
      </c>
      <c r="BL564" s="41" t="n">
        <v>17</v>
      </c>
      <c r="BM564" s="41" t="n">
        <v>53</v>
      </c>
      <c r="BN564" s="41" t="n">
        <v>70</v>
      </c>
      <c r="BO564" s="42" t="n">
        <v>26</v>
      </c>
      <c r="BP564" s="43" t="n">
        <v>53</v>
      </c>
      <c r="BQ564" s="44" t="n">
        <v>79</v>
      </c>
      <c r="BR564" s="42" t="n">
        <v>16</v>
      </c>
      <c r="BS564" s="80"/>
      <c r="BT564" s="80"/>
      <c r="BU564" s="46" t="n">
        <v>100</v>
      </c>
      <c r="BV564" s="47" t="n">
        <v>86</v>
      </c>
      <c r="BW564" s="42" t="n">
        <v>92</v>
      </c>
      <c r="BX564" s="48" t="n">
        <v>92</v>
      </c>
      <c r="BY564" s="32" t="n">
        <v>27</v>
      </c>
      <c r="BZ564" s="32" t="n">
        <v>56</v>
      </c>
      <c r="CA564" s="48" t="n">
        <v>83</v>
      </c>
      <c r="CB564" s="32" t="n">
        <v>16</v>
      </c>
      <c r="CC564" s="32" t="n">
        <v>32</v>
      </c>
      <c r="CD564" s="69" t="n">
        <v>48</v>
      </c>
      <c r="CE564" s="25" t="n">
        <v>26</v>
      </c>
      <c r="CF564" s="25" t="n">
        <v>50</v>
      </c>
      <c r="CG564" s="25" t="n">
        <v>76</v>
      </c>
      <c r="CH564" s="32" t="n">
        <v>96</v>
      </c>
      <c r="CI564" s="32" t="n">
        <v>96</v>
      </c>
      <c r="CJ564" s="49" t="n">
        <v>19</v>
      </c>
      <c r="CK564" s="49" t="n">
        <v>48</v>
      </c>
      <c r="CL564" s="49" t="n">
        <v>67</v>
      </c>
      <c r="CM564" s="25" t="n">
        <v>23</v>
      </c>
      <c r="CN564" s="25" t="n">
        <v>56</v>
      </c>
      <c r="CO564" s="25" t="n">
        <v>79</v>
      </c>
      <c r="CP564" s="25" t="n">
        <f aca="false">BX564+BW564+BV564+BU564+BT564+BQ564+BN564</f>
        <v>519</v>
      </c>
      <c r="CQ564" s="25" t="n">
        <f aca="false">CO564+CL564+CI564+CH564+CG564+CD564+CA564</f>
        <v>545</v>
      </c>
      <c r="CR564" s="26" t="n">
        <f aca="false">CP564/7</f>
        <v>74.1428571428571</v>
      </c>
      <c r="CS564" s="26" t="n">
        <f aca="false">CQ564/7</f>
        <v>77.8571428571429</v>
      </c>
      <c r="CT564" s="24" t="n">
        <f aca="false">RANK(CR564,$CR$2:$CR$881,0)</f>
        <v>659</v>
      </c>
      <c r="CU564" s="25" t="n">
        <f aca="false">RANK(CS564,$CS$2:$CS$881,0)</f>
        <v>336</v>
      </c>
      <c r="CV564" s="26" t="n">
        <f aca="false">(CS564+CR564)/2</f>
        <v>76</v>
      </c>
      <c r="CW564" s="25" t="n">
        <f aca="false">RANK(CV564,$CV$2:$CV$881,0)</f>
        <v>540</v>
      </c>
      <c r="CX564" s="50" t="n">
        <f aca="false">(CV564+BB564)/2</f>
        <v>75.2</v>
      </c>
      <c r="CY564" s="50" t="n">
        <v>580</v>
      </c>
      <c r="CZ564" s="27" t="s">
        <v>132</v>
      </c>
      <c r="DA564" s="27" t="s">
        <v>202</v>
      </c>
      <c r="DB564" s="27" t="s">
        <v>202</v>
      </c>
      <c r="DC564" s="27" t="s">
        <v>134</v>
      </c>
      <c r="DD564" s="27" t="s">
        <v>154</v>
      </c>
      <c r="DE564" s="27" t="s">
        <v>218</v>
      </c>
      <c r="DF564" s="27" t="s">
        <v>219</v>
      </c>
      <c r="DG564" s="27" t="s">
        <v>134</v>
      </c>
      <c r="DH564" s="27" t="s">
        <v>137</v>
      </c>
      <c r="DI564" s="27" t="s">
        <v>619</v>
      </c>
      <c r="DJ564" s="27" t="s">
        <v>137</v>
      </c>
      <c r="DK564" s="27" t="s">
        <v>480</v>
      </c>
      <c r="DL564" s="27" t="s">
        <v>195</v>
      </c>
      <c r="DM564" s="27" t="s">
        <v>447</v>
      </c>
      <c r="DN564" s="27" t="s">
        <v>372</v>
      </c>
      <c r="DO564" s="27" t="s">
        <v>134</v>
      </c>
      <c r="DP564" s="27" t="s">
        <v>485</v>
      </c>
      <c r="DQ564" s="27" t="s">
        <v>638</v>
      </c>
      <c r="DR564" s="27" t="s">
        <v>203</v>
      </c>
      <c r="DS564" s="27" t="s">
        <v>134</v>
      </c>
      <c r="DT564" s="27" t="s">
        <v>137</v>
      </c>
      <c r="DU564" s="27" t="s">
        <v>481</v>
      </c>
      <c r="DV564" s="27" t="s">
        <v>136</v>
      </c>
      <c r="DW564" s="27" t="s">
        <v>146</v>
      </c>
      <c r="DX564" s="27" t="s">
        <v>155</v>
      </c>
      <c r="DY564" s="27" t="s">
        <v>165</v>
      </c>
      <c r="DZ564" s="27" t="n">
        <f aca="false">DY564+DV564+DR564+DN564+DJ564+DF564+DB564</f>
        <v>491</v>
      </c>
      <c r="EA564" s="28" t="n">
        <f aca="false">DZ564/7</f>
        <v>70.1428571428571</v>
      </c>
      <c r="EB564" s="27" t="n">
        <f aca="false">RANK(EA564,$EA$2:$EA$881,0)</f>
        <v>651</v>
      </c>
      <c r="EC564" s="29" t="n">
        <f aca="false">DZ564+CQ564+CP564+AZ564</f>
        <v>2299</v>
      </c>
      <c r="ED564" s="30" t="n">
        <f aca="false">(EA564+CV564+BB564)/3</f>
        <v>73.5142857142857</v>
      </c>
      <c r="EE564" s="51" t="n">
        <f aca="false">ROUND(BE564,3)</f>
        <v>83.833</v>
      </c>
      <c r="EF564" s="51" t="n">
        <f aca="false">ROUND(CR564,3)</f>
        <v>74.143</v>
      </c>
      <c r="EG564" s="51" t="n">
        <f aca="false">ROUND(CS564,3)</f>
        <v>77.857</v>
      </c>
      <c r="EH564" s="51" t="n">
        <f aca="false">ROUND(EA564,3)</f>
        <v>70.143</v>
      </c>
      <c r="EI564" s="51" t="n">
        <f aca="false">ROUND(ED564,3)</f>
        <v>73.514</v>
      </c>
      <c r="EJ564" s="51" t="n">
        <f aca="false">ROUND(CV564,3)</f>
        <v>76</v>
      </c>
      <c r="EK564" s="0" t="n">
        <f aca="false">RANK(EI564,$EI$2:$EI$881,0)</f>
        <v>563</v>
      </c>
    </row>
    <row r="565" customFormat="false" ht="15" hidden="false" customHeight="false" outlineLevel="0" collapsed="false">
      <c r="A565" s="4" t="n">
        <v>8842</v>
      </c>
      <c r="B565" s="4" t="n">
        <v>683</v>
      </c>
      <c r="C565" s="27" t="s">
        <v>1688</v>
      </c>
      <c r="D565" s="31" t="n">
        <v>697</v>
      </c>
      <c r="E565" s="32" t="n">
        <v>230311470</v>
      </c>
      <c r="F565" s="8" t="s">
        <v>1689</v>
      </c>
      <c r="G565" s="22" t="s">
        <v>1099</v>
      </c>
      <c r="H565" s="22" t="s">
        <v>129</v>
      </c>
      <c r="I565" s="33" t="n">
        <v>2006</v>
      </c>
      <c r="J565" s="32" t="n">
        <v>89</v>
      </c>
      <c r="K565" s="32" t="n">
        <v>79</v>
      </c>
      <c r="L565" s="34" t="n">
        <f aca="false">(K565*70)/100</f>
        <v>55.3</v>
      </c>
      <c r="M565" s="34" t="n">
        <f aca="false">ROUNDUP(L565,0)</f>
        <v>56</v>
      </c>
      <c r="N565" s="32" t="n">
        <v>27</v>
      </c>
      <c r="O565" s="34" t="n">
        <f aca="false">N565+L565</f>
        <v>82.3</v>
      </c>
      <c r="P565" s="34" t="n">
        <f aca="false">N565+M565</f>
        <v>83</v>
      </c>
      <c r="Q565" s="32" t="n">
        <v>81</v>
      </c>
      <c r="R565" s="32" t="n">
        <v>73</v>
      </c>
      <c r="S565" s="34" t="n">
        <f aca="false">(R565*70)/100</f>
        <v>51.1</v>
      </c>
      <c r="T565" s="34" t="n">
        <f aca="false">ROUNDUP(S565,0)</f>
        <v>52</v>
      </c>
      <c r="U565" s="32" t="n">
        <v>25</v>
      </c>
      <c r="V565" s="34" t="n">
        <f aca="false">U565+S565</f>
        <v>76.1</v>
      </c>
      <c r="W565" s="34" t="n">
        <f aca="false">U565+T565</f>
        <v>77</v>
      </c>
      <c r="X565" s="32" t="n">
        <v>81</v>
      </c>
      <c r="Y565" s="34" t="n">
        <f aca="false">(X565*70)/100</f>
        <v>56.7</v>
      </c>
      <c r="Z565" s="34" t="n">
        <f aca="false">ROUNDUP(Y565,0)</f>
        <v>57</v>
      </c>
      <c r="AA565" s="32" t="n">
        <v>28</v>
      </c>
      <c r="AB565" s="34" t="n">
        <f aca="false">AA565+Y565</f>
        <v>84.7</v>
      </c>
      <c r="AC565" s="34" t="n">
        <f aca="false">AA565+Z565</f>
        <v>85</v>
      </c>
      <c r="AD565" s="32" t="n">
        <f aca="false">X565+R565+Q565+K565+J565</f>
        <v>403</v>
      </c>
      <c r="AE565" s="16" t="n">
        <f aca="false">AD565/5</f>
        <v>80.6</v>
      </c>
      <c r="AF565" s="16" t="n">
        <v>93</v>
      </c>
      <c r="AG565" s="16" t="n">
        <v>94</v>
      </c>
      <c r="AH565" s="16" t="n">
        <v>96</v>
      </c>
      <c r="AI565" s="16" t="n">
        <v>96</v>
      </c>
      <c r="AJ565" s="16" t="n">
        <f aca="false">(AI565*70)/100</f>
        <v>67.2</v>
      </c>
      <c r="AK565" s="35" t="n">
        <f aca="false">ROUNDUP(AJ565,0)</f>
        <v>68</v>
      </c>
      <c r="AL565" s="16" t="n">
        <v>24</v>
      </c>
      <c r="AM565" s="16" t="n">
        <f aca="false">AL565+AJ565</f>
        <v>91.2</v>
      </c>
      <c r="AN565" s="16" t="n">
        <f aca="false">AL565+AK565</f>
        <v>92</v>
      </c>
      <c r="AO565" s="16" t="n">
        <v>81</v>
      </c>
      <c r="AP565" s="36" t="n">
        <f aca="false">(AO565*70)/100</f>
        <v>56.7</v>
      </c>
      <c r="AQ565" s="37" t="n">
        <f aca="false">ROUNDUP(AP565,0)</f>
        <v>57</v>
      </c>
      <c r="AR565" s="16" t="n">
        <v>28</v>
      </c>
      <c r="AS565" s="16" t="n">
        <f aca="false">AR565+AP565</f>
        <v>84.7</v>
      </c>
      <c r="AT565" s="16" t="n">
        <f aca="false">AR565+AQ565</f>
        <v>85</v>
      </c>
      <c r="AU565" s="16" t="n">
        <f aca="false">AO565+AF565+AI565+AH565+AG565</f>
        <v>460</v>
      </c>
      <c r="AV565" s="16" t="n">
        <f aca="false">(AO565+AF565+AI565+AH565+AG565)/5</f>
        <v>92</v>
      </c>
      <c r="AW565" s="36" t="n">
        <f aca="false">(AO565+AF565+AI565+AH565+AG565+X565+R565+Q565+K565+J565)</f>
        <v>863</v>
      </c>
      <c r="AX565" s="16" t="n">
        <f aca="false">AW565/10</f>
        <v>86.3</v>
      </c>
      <c r="AY565" s="16" t="n">
        <f aca="false">AS565+AF565+AM565+AH565+AG565+AB565+V565+Q565+O565+J565</f>
        <v>872</v>
      </c>
      <c r="AZ565" s="16" t="n">
        <f aca="false">AT565+AF565+AN565+AH565+AG565+AC565+W565+Q565+P565+J565</f>
        <v>875</v>
      </c>
      <c r="BA565" s="16" t="n">
        <f aca="false">AY565/10</f>
        <v>87.2</v>
      </c>
      <c r="BB565" s="16" t="n">
        <f aca="false">AZ565/10</f>
        <v>87.5</v>
      </c>
      <c r="BC565" s="16" t="n">
        <v>2389</v>
      </c>
      <c r="BD565" s="16" t="n">
        <f aca="false">RANK(AX565,$AX$2:$AX$881,0)</f>
        <v>66</v>
      </c>
      <c r="BE565" s="38" t="n">
        <f aca="false">((BC565*100)/2400)*0.4+(AX565*0.6)</f>
        <v>91.5966666666667</v>
      </c>
      <c r="BF565" s="16" t="n">
        <f aca="false">RANK(BE565,$BE$2:$BE$881,0)</f>
        <v>56</v>
      </c>
      <c r="BG565" s="39" t="n">
        <f aca="false">RANK(BB565,$BB$2:$BB$881,0)</f>
        <v>47</v>
      </c>
      <c r="BH565" s="39" t="n">
        <f aca="false">RANK(BC565,$BC$2:$BC$881,0)</f>
        <v>59</v>
      </c>
      <c r="BI565" s="22" t="s">
        <v>130</v>
      </c>
      <c r="BJ565" s="22" t="s">
        <v>129</v>
      </c>
      <c r="BK565" s="40" t="s">
        <v>131</v>
      </c>
      <c r="BL565" s="41" t="n">
        <v>21</v>
      </c>
      <c r="BM565" s="41" t="n">
        <v>54</v>
      </c>
      <c r="BN565" s="41" t="n">
        <v>75</v>
      </c>
      <c r="BO565" s="42" t="n">
        <v>28</v>
      </c>
      <c r="BP565" s="43" t="n">
        <v>42</v>
      </c>
      <c r="BQ565" s="44" t="n">
        <v>70</v>
      </c>
      <c r="BR565" s="42" t="n">
        <v>25</v>
      </c>
      <c r="BS565" s="45" t="n">
        <v>60</v>
      </c>
      <c r="BT565" s="45" t="n">
        <v>85</v>
      </c>
      <c r="BU565" s="46" t="n">
        <v>100</v>
      </c>
      <c r="BV565" s="47" t="n">
        <v>92</v>
      </c>
      <c r="BW565" s="42" t="n">
        <v>98</v>
      </c>
      <c r="BX565" s="48" t="n">
        <v>98</v>
      </c>
      <c r="BY565" s="32" t="n">
        <v>23</v>
      </c>
      <c r="BZ565" s="60"/>
      <c r="CA565" s="60"/>
      <c r="CB565" s="32" t="n">
        <v>26</v>
      </c>
      <c r="CC565" s="32" t="n">
        <v>34</v>
      </c>
      <c r="CD565" s="32" t="n">
        <v>60</v>
      </c>
      <c r="CE565" s="32" t="n">
        <v>21</v>
      </c>
      <c r="CF565" s="32" t="n">
        <v>45</v>
      </c>
      <c r="CG565" s="32" t="n">
        <v>66</v>
      </c>
      <c r="CH565" s="32" t="n">
        <v>99</v>
      </c>
      <c r="CI565" s="32" t="n">
        <v>99</v>
      </c>
      <c r="CJ565" s="49" t="n">
        <v>20</v>
      </c>
      <c r="CK565" s="49" t="n">
        <v>46</v>
      </c>
      <c r="CL565" s="49" t="n">
        <v>66</v>
      </c>
      <c r="CM565" s="49" t="n">
        <v>19</v>
      </c>
      <c r="CN565" s="49" t="n">
        <v>58</v>
      </c>
      <c r="CO565" s="49" t="n">
        <v>77</v>
      </c>
      <c r="CP565" s="25" t="n">
        <f aca="false">BX565+BW565+BV565+BU565+BT565+BQ565+BN565</f>
        <v>618</v>
      </c>
      <c r="CQ565" s="25" t="n">
        <f aca="false">CO565+CL565+CI565+CH565+CG565+CD565+CA565</f>
        <v>467</v>
      </c>
      <c r="CR565" s="26" t="n">
        <f aca="false">CP565/7</f>
        <v>88.2857142857143</v>
      </c>
      <c r="CS565" s="26" t="n">
        <f aca="false">CQ565/7</f>
        <v>66.7142857142857</v>
      </c>
      <c r="CT565" s="24" t="n">
        <f aca="false">RANK(CR565,$CR$2:$CR$881,0)</f>
        <v>287</v>
      </c>
      <c r="CU565" s="25" t="n">
        <f aca="false">RANK(CS565,$CS$2:$CS$881,0)</f>
        <v>601</v>
      </c>
      <c r="CV565" s="26" t="n">
        <f aca="false">(CS565+CR565)/2</f>
        <v>77.5</v>
      </c>
      <c r="CW565" s="25" t="n">
        <f aca="false">RANK(CV565,$CV$2:$CV$881,0)</f>
        <v>507</v>
      </c>
      <c r="CX565" s="50" t="n">
        <f aca="false">(CV565+BB565)/2</f>
        <v>82.5</v>
      </c>
      <c r="CY565" s="50" t="n">
        <v>236</v>
      </c>
      <c r="CZ565" s="27" t="s">
        <v>132</v>
      </c>
      <c r="DA565" s="27" t="s">
        <v>153</v>
      </c>
      <c r="DB565" s="27" t="s">
        <v>153</v>
      </c>
      <c r="DC565" s="27" t="s">
        <v>134</v>
      </c>
      <c r="DD565" s="27"/>
      <c r="DE565" s="27"/>
      <c r="DF565" s="27"/>
      <c r="DG565" s="27"/>
      <c r="DH565" s="27" t="s">
        <v>174</v>
      </c>
      <c r="DI565" s="27" t="s">
        <v>304</v>
      </c>
      <c r="DJ565" s="27" t="s">
        <v>443</v>
      </c>
      <c r="DK565" s="27" t="s">
        <v>134</v>
      </c>
      <c r="DL565" s="27" t="s">
        <v>182</v>
      </c>
      <c r="DM565" s="27" t="s">
        <v>304</v>
      </c>
      <c r="DN565" s="27" t="s">
        <v>305</v>
      </c>
      <c r="DO565" s="27" t="s">
        <v>134</v>
      </c>
      <c r="DP565" s="27"/>
      <c r="DQ565" s="27"/>
      <c r="DR565" s="27"/>
      <c r="DS565" s="27"/>
      <c r="DT565" s="27" t="s">
        <v>164</v>
      </c>
      <c r="DU565" s="27" t="s">
        <v>638</v>
      </c>
      <c r="DV565" s="27" t="s">
        <v>398</v>
      </c>
      <c r="DW565" s="27" t="s">
        <v>137</v>
      </c>
      <c r="DX565" s="27" t="s">
        <v>681</v>
      </c>
      <c r="DY565" s="27" t="s">
        <v>398</v>
      </c>
      <c r="DZ565" s="27" t="n">
        <f aca="false">DY565+DV565+DR565+DN565+DJ565+DF565+DB565</f>
        <v>388</v>
      </c>
      <c r="EA565" s="28" t="n">
        <f aca="false">DZ565/7</f>
        <v>55.4285714285714</v>
      </c>
      <c r="EB565" s="27" t="n">
        <f aca="false">RANK(EA565,$EA$2:$EA$881,0)</f>
        <v>823</v>
      </c>
      <c r="EC565" s="29" t="n">
        <f aca="false">DZ565+CQ565+CP565+AZ565</f>
        <v>2348</v>
      </c>
      <c r="ED565" s="30" t="n">
        <f aca="false">(EA565+CV565+BB565)/3</f>
        <v>73.4761904761905</v>
      </c>
      <c r="EE565" s="51" t="n">
        <f aca="false">ROUND(BE565,3)</f>
        <v>91.597</v>
      </c>
      <c r="EF565" s="51" t="n">
        <f aca="false">ROUND(CR565,3)</f>
        <v>88.286</v>
      </c>
      <c r="EG565" s="51" t="n">
        <f aca="false">ROUND(CS565,3)</f>
        <v>66.714</v>
      </c>
      <c r="EH565" s="51" t="n">
        <f aca="false">ROUND(EA565,3)</f>
        <v>55.429</v>
      </c>
      <c r="EI565" s="51" t="n">
        <f aca="false">ROUND(ED565,3)</f>
        <v>73.476</v>
      </c>
      <c r="EJ565" s="51" t="n">
        <f aca="false">ROUND(CV565,3)</f>
        <v>77.5</v>
      </c>
      <c r="EK565" s="0" t="n">
        <f aca="false">RANK(EI565,$EI$2:$EI$881,0)</f>
        <v>564</v>
      </c>
    </row>
    <row r="566" customFormat="false" ht="15" hidden="false" customHeight="false" outlineLevel="0" collapsed="false">
      <c r="A566" s="4" t="n">
        <v>8703</v>
      </c>
      <c r="B566" s="4" t="n">
        <v>536</v>
      </c>
      <c r="C566" s="27" t="s">
        <v>1690</v>
      </c>
      <c r="D566" s="31" t="n">
        <v>542</v>
      </c>
      <c r="E566" s="16" t="n">
        <v>230119691</v>
      </c>
      <c r="F566" s="56" t="s">
        <v>1691</v>
      </c>
      <c r="G566" s="22" t="s">
        <v>622</v>
      </c>
      <c r="H566" s="22" t="s">
        <v>326</v>
      </c>
      <c r="I566" s="57"/>
      <c r="J566" s="16" t="n">
        <v>85</v>
      </c>
      <c r="K566" s="16" t="n">
        <v>79</v>
      </c>
      <c r="L566" s="34" t="n">
        <f aca="false">(K566*70)/100</f>
        <v>55.3</v>
      </c>
      <c r="M566" s="34" t="n">
        <f aca="false">ROUNDUP(L566,0)</f>
        <v>56</v>
      </c>
      <c r="N566" s="16" t="n">
        <v>23</v>
      </c>
      <c r="O566" s="34" t="n">
        <f aca="false">N566+L566</f>
        <v>78.3</v>
      </c>
      <c r="P566" s="34" t="n">
        <f aca="false">N566+M566</f>
        <v>79</v>
      </c>
      <c r="Q566" s="16" t="n">
        <v>66</v>
      </c>
      <c r="R566" s="16" t="n">
        <v>68</v>
      </c>
      <c r="S566" s="34" t="n">
        <f aca="false">(R566*70)/100</f>
        <v>47.6</v>
      </c>
      <c r="T566" s="34" t="n">
        <f aca="false">ROUNDUP(S566,0)</f>
        <v>48</v>
      </c>
      <c r="U566" s="16" t="n">
        <v>23</v>
      </c>
      <c r="V566" s="34" t="n">
        <f aca="false">U566+S566</f>
        <v>70.6</v>
      </c>
      <c r="W566" s="34" t="n">
        <f aca="false">U566+T566</f>
        <v>71</v>
      </c>
      <c r="X566" s="16" t="n">
        <v>71</v>
      </c>
      <c r="Y566" s="34" t="n">
        <f aca="false">(X566*70)/100</f>
        <v>49.7</v>
      </c>
      <c r="Z566" s="34" t="n">
        <f aca="false">ROUNDUP(Y566,0)</f>
        <v>50</v>
      </c>
      <c r="AA566" s="16" t="n">
        <v>26</v>
      </c>
      <c r="AB566" s="34" t="n">
        <f aca="false">AA566+Y566</f>
        <v>75.7</v>
      </c>
      <c r="AC566" s="34" t="n">
        <f aca="false">AA566+Z566</f>
        <v>76</v>
      </c>
      <c r="AD566" s="32" t="n">
        <f aca="false">X566+R566+Q566+K566+J566</f>
        <v>369</v>
      </c>
      <c r="AE566" s="16" t="n">
        <f aca="false">AD566/5</f>
        <v>73.8</v>
      </c>
      <c r="AF566" s="16" t="n">
        <v>79</v>
      </c>
      <c r="AG566" s="16" t="n">
        <v>94</v>
      </c>
      <c r="AH566" s="16" t="n">
        <v>90</v>
      </c>
      <c r="AI566" s="16" t="n">
        <v>82</v>
      </c>
      <c r="AJ566" s="16" t="n">
        <f aca="false">(AI566*70)/100</f>
        <v>57.4</v>
      </c>
      <c r="AK566" s="35" t="n">
        <f aca="false">ROUNDUP(AJ566,0)</f>
        <v>58</v>
      </c>
      <c r="AL566" s="16" t="n">
        <v>26</v>
      </c>
      <c r="AM566" s="16" t="n">
        <f aca="false">AL566+AJ566</f>
        <v>83.4</v>
      </c>
      <c r="AN566" s="16" t="n">
        <f aca="false">AL566+AK566</f>
        <v>84</v>
      </c>
      <c r="AO566" s="16" t="n">
        <v>84</v>
      </c>
      <c r="AP566" s="36" t="n">
        <f aca="false">(AO566*70)/100</f>
        <v>58.8</v>
      </c>
      <c r="AQ566" s="37" t="n">
        <f aca="false">ROUNDUP(AP566,0)</f>
        <v>59</v>
      </c>
      <c r="AR566" s="16" t="n">
        <v>27</v>
      </c>
      <c r="AS566" s="16" t="n">
        <f aca="false">AR566+AP566</f>
        <v>85.8</v>
      </c>
      <c r="AT566" s="16" t="n">
        <f aca="false">AR566+AQ566</f>
        <v>86</v>
      </c>
      <c r="AU566" s="16" t="n">
        <f aca="false">AO566+AF566+AI566+AH566+AG566</f>
        <v>429</v>
      </c>
      <c r="AV566" s="16" t="n">
        <f aca="false">(AO566+AF566+AI566+AH566+AG566)/5</f>
        <v>85.8</v>
      </c>
      <c r="AW566" s="36" t="n">
        <f aca="false">(AO566+AF566+AI566+AH566+AG566+X566+R566+Q566+K566+J566)</f>
        <v>798</v>
      </c>
      <c r="AX566" s="16" t="n">
        <f aca="false">AW566/10</f>
        <v>79.8</v>
      </c>
      <c r="AY566" s="16" t="n">
        <f aca="false">AS566+AF566+AM566+AH566+AG566+AB566+V566+Q566+O566+J566</f>
        <v>807.8</v>
      </c>
      <c r="AZ566" s="16" t="n">
        <f aca="false">AT566+AF566+AN566+AH566+AG566+AC566+W566+Q566+P566+J566</f>
        <v>810</v>
      </c>
      <c r="BA566" s="16" t="n">
        <f aca="false">AY566/10</f>
        <v>80.78</v>
      </c>
      <c r="BB566" s="16" t="n">
        <f aca="false">AZ566/10</f>
        <v>81</v>
      </c>
      <c r="BC566" s="16" t="n">
        <v>2373</v>
      </c>
      <c r="BD566" s="16" t="n">
        <f aca="false">RANK(AX566,$AX$2:$AX$881,0)</f>
        <v>281</v>
      </c>
      <c r="BE566" s="54" t="n">
        <f aca="false">((BC566*100)/2400)*0.4+(AX566*0.6)</f>
        <v>87.43</v>
      </c>
      <c r="BF566" s="16" t="n">
        <f aca="false">RANK(BE566,$BE$2:$BE$881,0)</f>
        <v>257</v>
      </c>
      <c r="BG566" s="39" t="n">
        <f aca="false">RANK(BB566,$BB$2:$BB$881,0)</f>
        <v>277</v>
      </c>
      <c r="BH566" s="39" t="n">
        <f aca="false">RANK(BC566,$BC$2:$BC$881,0)</f>
        <v>233</v>
      </c>
      <c r="BI566" s="22" t="s">
        <v>130</v>
      </c>
      <c r="BJ566" s="22" t="s">
        <v>129</v>
      </c>
      <c r="BK566" s="40" t="s">
        <v>131</v>
      </c>
      <c r="BL566" s="41" t="n">
        <v>18</v>
      </c>
      <c r="BM566" s="41" t="n">
        <v>39</v>
      </c>
      <c r="BN566" s="98" t="n">
        <v>57</v>
      </c>
      <c r="BO566" s="42" t="n">
        <v>17</v>
      </c>
      <c r="BP566" s="43" t="n">
        <v>56</v>
      </c>
      <c r="BQ566" s="44" t="n">
        <v>73</v>
      </c>
      <c r="BR566" s="42" t="n">
        <v>17</v>
      </c>
      <c r="BS566" s="45" t="n">
        <v>50</v>
      </c>
      <c r="BT566" s="45" t="n">
        <v>67</v>
      </c>
      <c r="BU566" s="46" t="n">
        <v>99</v>
      </c>
      <c r="BV566" s="47" t="n">
        <v>94</v>
      </c>
      <c r="BW566" s="42" t="n">
        <v>90</v>
      </c>
      <c r="BX566" s="48" t="n">
        <v>90</v>
      </c>
      <c r="BY566" s="32" t="n">
        <v>16</v>
      </c>
      <c r="BZ566" s="32" t="n">
        <v>50</v>
      </c>
      <c r="CA566" s="62" t="n">
        <v>66</v>
      </c>
      <c r="CB566" s="32" t="n">
        <v>22</v>
      </c>
      <c r="CC566" s="32" t="n">
        <v>30</v>
      </c>
      <c r="CD566" s="69" t="n">
        <v>52</v>
      </c>
      <c r="CE566" s="32" t="n">
        <v>26</v>
      </c>
      <c r="CF566" s="32" t="n">
        <v>36</v>
      </c>
      <c r="CG566" s="32" t="n">
        <v>62</v>
      </c>
      <c r="CH566" s="32" t="n">
        <v>98</v>
      </c>
      <c r="CI566" s="32" t="n">
        <v>93</v>
      </c>
      <c r="CJ566" s="49" t="n">
        <v>12</v>
      </c>
      <c r="CK566" s="49" t="n">
        <v>29</v>
      </c>
      <c r="CL566" s="76" t="n">
        <v>41</v>
      </c>
      <c r="CM566" s="49" t="n">
        <v>21</v>
      </c>
      <c r="CN566" s="49" t="n">
        <v>54</v>
      </c>
      <c r="CO566" s="49" t="n">
        <v>75</v>
      </c>
      <c r="CP566" s="25" t="n">
        <f aca="false">BX566+BW566+BV566+BU566+BT566+BQ566+BN566</f>
        <v>570</v>
      </c>
      <c r="CQ566" s="25" t="n">
        <f aca="false">CO566+CL566+CI566+CH566+CG566+CD566+CA566</f>
        <v>487</v>
      </c>
      <c r="CR566" s="26" t="n">
        <f aca="false">CP566/7</f>
        <v>81.4285714285714</v>
      </c>
      <c r="CS566" s="26" t="n">
        <f aca="false">CQ566/7</f>
        <v>69.5714285714286</v>
      </c>
      <c r="CT566" s="24" t="n">
        <f aca="false">RANK(CR566,$CR$2:$CR$881,0)</f>
        <v>558</v>
      </c>
      <c r="CU566" s="25" t="n">
        <f aca="false">RANK(CS566,$CS$2:$CS$881,0)</f>
        <v>561</v>
      </c>
      <c r="CV566" s="26" t="n">
        <f aca="false">(CS566+CR566)/2</f>
        <v>75.5</v>
      </c>
      <c r="CW566" s="25" t="n">
        <f aca="false">RANK(CV566,$CV$2:$CV$881,0)</f>
        <v>550</v>
      </c>
      <c r="CX566" s="50" t="n">
        <f aca="false">(CV566+BB566)/2</f>
        <v>78.25</v>
      </c>
      <c r="CY566" s="50" t="n">
        <v>471</v>
      </c>
      <c r="CZ566" s="27" t="s">
        <v>132</v>
      </c>
      <c r="DA566" s="27" t="s">
        <v>175</v>
      </c>
      <c r="DB566" s="27" t="s">
        <v>175</v>
      </c>
      <c r="DC566" s="27" t="s">
        <v>134</v>
      </c>
      <c r="DD566" s="27" t="s">
        <v>485</v>
      </c>
      <c r="DE566" s="27" t="s">
        <v>645</v>
      </c>
      <c r="DF566" s="27" t="s">
        <v>161</v>
      </c>
      <c r="DG566" s="27" t="s">
        <v>134</v>
      </c>
      <c r="DH566" s="27" t="s">
        <v>135</v>
      </c>
      <c r="DI566" s="27" t="s">
        <v>447</v>
      </c>
      <c r="DJ566" s="27" t="s">
        <v>305</v>
      </c>
      <c r="DK566" s="27" t="s">
        <v>134</v>
      </c>
      <c r="DL566" s="27" t="s">
        <v>182</v>
      </c>
      <c r="DM566" s="27" t="s">
        <v>442</v>
      </c>
      <c r="DN566" s="27" t="s">
        <v>486</v>
      </c>
      <c r="DO566" s="27" t="s">
        <v>134</v>
      </c>
      <c r="DP566" s="27"/>
      <c r="DQ566" s="27"/>
      <c r="DR566" s="27"/>
      <c r="DS566" s="27"/>
      <c r="DT566" s="27" t="s">
        <v>264</v>
      </c>
      <c r="DU566" s="27" t="s">
        <v>989</v>
      </c>
      <c r="DV566" s="27" t="s">
        <v>161</v>
      </c>
      <c r="DW566" s="27" t="s">
        <v>137</v>
      </c>
      <c r="DX566" s="27" t="s">
        <v>136</v>
      </c>
      <c r="DY566" s="27" t="s">
        <v>162</v>
      </c>
      <c r="DZ566" s="27" t="n">
        <f aca="false">DY566+DV566+DR566+DN566+DJ566+DF566+DB566</f>
        <v>447</v>
      </c>
      <c r="EA566" s="28" t="n">
        <f aca="false">DZ566/7</f>
        <v>63.8571428571429</v>
      </c>
      <c r="EB566" s="27" t="n">
        <f aca="false">RANK(EA566,$EA$2:$EA$881,0)</f>
        <v>749</v>
      </c>
      <c r="EC566" s="29" t="n">
        <f aca="false">DZ566+CQ566+CP566+AZ566</f>
        <v>2314</v>
      </c>
      <c r="ED566" s="30" t="n">
        <f aca="false">(EA566+CV566+BB566)/3</f>
        <v>73.452380952381</v>
      </c>
      <c r="EE566" s="51" t="n">
        <f aca="false">ROUND(BE566,3)</f>
        <v>87.43</v>
      </c>
      <c r="EF566" s="51" t="n">
        <f aca="false">ROUND(CR566,3)</f>
        <v>81.429</v>
      </c>
      <c r="EG566" s="51" t="n">
        <f aca="false">ROUND(CS566,3)</f>
        <v>69.571</v>
      </c>
      <c r="EH566" s="51" t="n">
        <f aca="false">ROUND(EA566,3)</f>
        <v>63.857</v>
      </c>
      <c r="EI566" s="51" t="n">
        <f aca="false">ROUND(ED566,3)</f>
        <v>73.452</v>
      </c>
      <c r="EJ566" s="51" t="n">
        <f aca="false">ROUND(CV566,3)</f>
        <v>75.5</v>
      </c>
      <c r="EK566" s="0" t="n">
        <f aca="false">RANK(EI566,$EI$2:$EI$881,0)</f>
        <v>565</v>
      </c>
    </row>
    <row r="567" customFormat="false" ht="15" hidden="false" customHeight="false" outlineLevel="0" collapsed="false">
      <c r="A567" s="4" t="n">
        <v>1855</v>
      </c>
      <c r="B567" s="4" t="n">
        <v>475</v>
      </c>
      <c r="C567" s="27" t="s">
        <v>1692</v>
      </c>
      <c r="D567" s="31" t="n">
        <v>484</v>
      </c>
      <c r="E567" s="32" t="n">
        <v>230312404</v>
      </c>
      <c r="F567" s="8" t="s">
        <v>1693</v>
      </c>
      <c r="G567" s="22" t="s">
        <v>1694</v>
      </c>
      <c r="H567" s="22" t="s">
        <v>129</v>
      </c>
      <c r="I567" s="33" t="n">
        <v>2005</v>
      </c>
      <c r="J567" s="32" t="n">
        <v>65</v>
      </c>
      <c r="K567" s="32" t="n">
        <v>82</v>
      </c>
      <c r="L567" s="34" t="n">
        <f aca="false">(K567*70)/100</f>
        <v>57.4</v>
      </c>
      <c r="M567" s="34" t="n">
        <f aca="false">ROUNDUP(L567,0)</f>
        <v>58</v>
      </c>
      <c r="N567" s="32" t="n">
        <v>24</v>
      </c>
      <c r="O567" s="34" t="n">
        <f aca="false">N567+L567</f>
        <v>81.4</v>
      </c>
      <c r="P567" s="34" t="n">
        <f aca="false">N567+M567</f>
        <v>82</v>
      </c>
      <c r="Q567" s="32" t="n">
        <v>87</v>
      </c>
      <c r="R567" s="32" t="n">
        <v>75</v>
      </c>
      <c r="S567" s="34" t="n">
        <f aca="false">(R567*70)/100</f>
        <v>52.5</v>
      </c>
      <c r="T567" s="34" t="n">
        <f aca="false">ROUNDUP(S567,0)</f>
        <v>53</v>
      </c>
      <c r="U567" s="32" t="n">
        <v>22</v>
      </c>
      <c r="V567" s="34" t="n">
        <f aca="false">U567+S567</f>
        <v>74.5</v>
      </c>
      <c r="W567" s="34" t="n">
        <f aca="false">U567+T567</f>
        <v>75</v>
      </c>
      <c r="X567" s="32" t="n">
        <v>77</v>
      </c>
      <c r="Y567" s="34" t="n">
        <f aca="false">(X567*70)/100</f>
        <v>53.9</v>
      </c>
      <c r="Z567" s="34" t="n">
        <f aca="false">ROUNDUP(Y567,0)</f>
        <v>54</v>
      </c>
      <c r="AA567" s="32" t="n">
        <v>23</v>
      </c>
      <c r="AB567" s="34" t="n">
        <f aca="false">AA567+Y567</f>
        <v>76.9</v>
      </c>
      <c r="AC567" s="34" t="n">
        <f aca="false">AA567+Z567</f>
        <v>77</v>
      </c>
      <c r="AD567" s="32" t="n">
        <f aca="false">X567+R567+Q567+K567+J567</f>
        <v>386</v>
      </c>
      <c r="AE567" s="16" t="n">
        <f aca="false">AD567/5</f>
        <v>77.2</v>
      </c>
      <c r="AF567" s="16" t="n">
        <v>74</v>
      </c>
      <c r="AG567" s="16" t="n">
        <v>82</v>
      </c>
      <c r="AH567" s="16" t="n">
        <v>82</v>
      </c>
      <c r="AI567" s="16" t="n">
        <v>82</v>
      </c>
      <c r="AJ567" s="16" t="n">
        <f aca="false">(AI567*70)/100</f>
        <v>57.4</v>
      </c>
      <c r="AK567" s="35" t="n">
        <f aca="false">ROUNDUP(AJ567,0)</f>
        <v>58</v>
      </c>
      <c r="AL567" s="16" t="n">
        <v>23</v>
      </c>
      <c r="AM567" s="16" t="n">
        <f aca="false">AL567+AJ567</f>
        <v>80.4</v>
      </c>
      <c r="AN567" s="16" t="n">
        <f aca="false">AL567+AK567</f>
        <v>81</v>
      </c>
      <c r="AO567" s="16" t="n">
        <v>72</v>
      </c>
      <c r="AP567" s="36" t="n">
        <f aca="false">(AO567*70)/100</f>
        <v>50.4</v>
      </c>
      <c r="AQ567" s="37" t="n">
        <f aca="false">ROUNDUP(AP567,0)</f>
        <v>51</v>
      </c>
      <c r="AR567" s="16" t="n">
        <v>25</v>
      </c>
      <c r="AS567" s="16" t="n">
        <f aca="false">AR567+AP567</f>
        <v>75.4</v>
      </c>
      <c r="AT567" s="16" t="n">
        <f aca="false">AR567+AQ567</f>
        <v>76</v>
      </c>
      <c r="AU567" s="16" t="n">
        <f aca="false">AO567+AF567+AI567+AH567+AG567</f>
        <v>392</v>
      </c>
      <c r="AV567" s="16" t="n">
        <f aca="false">(AO567+AF567+AI567+AH567+AG567)/5</f>
        <v>78.4</v>
      </c>
      <c r="AW567" s="36" t="n">
        <f aca="false">(AO567+AF567+AI567+AH567+AG567+X567+R567+Q567+K567+J567)</f>
        <v>778</v>
      </c>
      <c r="AX567" s="16" t="n">
        <f aca="false">AW567/10</f>
        <v>77.8</v>
      </c>
      <c r="AY567" s="16" t="n">
        <f aca="false">AS567+AF567+AM567+AH567+AG567+AB567+V567+Q567+O567+J567</f>
        <v>778.6</v>
      </c>
      <c r="AZ567" s="16" t="n">
        <f aca="false">AT567+AF567+AN567+AH567+AG567+AC567+W567+Q567+P567+J567</f>
        <v>781</v>
      </c>
      <c r="BA567" s="16" t="n">
        <f aca="false">AY567/10</f>
        <v>77.86</v>
      </c>
      <c r="BB567" s="16" t="n">
        <f aca="false">AZ567/10</f>
        <v>78.1</v>
      </c>
      <c r="BC567" s="16" t="n">
        <v>2329</v>
      </c>
      <c r="BD567" s="16" t="n">
        <f aca="false">RANK(AX567,$AX$2:$AX$881,0)</f>
        <v>424</v>
      </c>
      <c r="BE567" s="54" t="n">
        <f aca="false">((BC567*100)/2400)*0.4+(AX567*0.6)</f>
        <v>85.4966666666667</v>
      </c>
      <c r="BF567" s="16" t="n">
        <f aca="false">RANK(BE567,$BE$2:$BE$881,0)</f>
        <v>507</v>
      </c>
      <c r="BG567" s="39" t="n">
        <f aca="false">RANK(BB567,$BB$2:$BB$881,0)</f>
        <v>552</v>
      </c>
      <c r="BH567" s="39" t="n">
        <f aca="false">RANK(BC567,$BC$2:$BC$881,0)</f>
        <v>737</v>
      </c>
      <c r="BI567" s="22" t="s">
        <v>130</v>
      </c>
      <c r="BJ567" s="22" t="s">
        <v>129</v>
      </c>
      <c r="BK567" s="40" t="s">
        <v>509</v>
      </c>
      <c r="BL567" s="41" t="n">
        <v>21</v>
      </c>
      <c r="BM567" s="41" t="n">
        <v>45</v>
      </c>
      <c r="BN567" s="41" t="n">
        <v>66</v>
      </c>
      <c r="BO567" s="42" t="n">
        <v>24</v>
      </c>
      <c r="BP567" s="43" t="n">
        <v>48</v>
      </c>
      <c r="BQ567" s="44" t="n">
        <v>72</v>
      </c>
      <c r="BR567" s="42" t="n">
        <v>19</v>
      </c>
      <c r="BS567" s="45" t="n">
        <v>52</v>
      </c>
      <c r="BT567" s="45" t="n">
        <v>71</v>
      </c>
      <c r="BU567" s="46" t="n">
        <v>95</v>
      </c>
      <c r="BV567" s="47" t="n">
        <v>78</v>
      </c>
      <c r="BW567" s="42" t="n">
        <v>95</v>
      </c>
      <c r="BX567" s="48" t="n">
        <v>94</v>
      </c>
      <c r="BY567" s="32" t="n">
        <v>20</v>
      </c>
      <c r="BZ567" s="32" t="n">
        <v>43</v>
      </c>
      <c r="CA567" s="32" t="n">
        <v>63</v>
      </c>
      <c r="CB567" s="32" t="n">
        <v>21</v>
      </c>
      <c r="CC567" s="32" t="n">
        <v>34</v>
      </c>
      <c r="CD567" s="69" t="n">
        <v>55</v>
      </c>
      <c r="CE567" s="32" t="n">
        <v>20</v>
      </c>
      <c r="CF567" s="32" t="n">
        <v>46</v>
      </c>
      <c r="CG567" s="32" t="n">
        <v>66</v>
      </c>
      <c r="CH567" s="32" t="n">
        <v>98</v>
      </c>
      <c r="CI567" s="32" t="n">
        <v>83</v>
      </c>
      <c r="CJ567" s="49" t="n">
        <v>21</v>
      </c>
      <c r="CK567" s="49" t="n">
        <v>44</v>
      </c>
      <c r="CL567" s="49" t="n">
        <v>65</v>
      </c>
      <c r="CM567" s="49" t="n">
        <v>21</v>
      </c>
      <c r="CN567" s="49" t="n">
        <v>48</v>
      </c>
      <c r="CO567" s="49" t="n">
        <v>69</v>
      </c>
      <c r="CP567" s="25" t="n">
        <f aca="false">BX567+BW567+BV567+BU567+BT567+BQ567+BN567</f>
        <v>571</v>
      </c>
      <c r="CQ567" s="25" t="n">
        <f aca="false">CO567+CL567+CI567+CH567+CG567+CD567+CA567</f>
        <v>499</v>
      </c>
      <c r="CR567" s="26" t="n">
        <f aca="false">CP567/7</f>
        <v>81.5714285714286</v>
      </c>
      <c r="CS567" s="26" t="n">
        <f aca="false">CQ567/7</f>
        <v>71.2857142857143</v>
      </c>
      <c r="CT567" s="24" t="n">
        <f aca="false">RANK(CR567,$CR$2:$CR$881,0)</f>
        <v>552</v>
      </c>
      <c r="CU567" s="25" t="n">
        <f aca="false">RANK(CS567,$CS$2:$CS$881,0)</f>
        <v>532</v>
      </c>
      <c r="CV567" s="26" t="n">
        <f aca="false">(CS567+CR567)/2</f>
        <v>76.4285714285714</v>
      </c>
      <c r="CW567" s="25" t="n">
        <f aca="false">RANK(CV567,$CV$2:$CV$881,0)</f>
        <v>529</v>
      </c>
      <c r="CX567" s="50" t="n">
        <f aca="false">(CV567+BB567)/2</f>
        <v>77.2642857142857</v>
      </c>
      <c r="CY567" s="50" t="n">
        <v>496</v>
      </c>
      <c r="CZ567" s="27" t="s">
        <v>132</v>
      </c>
      <c r="DA567" s="27" t="s">
        <v>305</v>
      </c>
      <c r="DB567" s="27" t="s">
        <v>305</v>
      </c>
      <c r="DC567" s="27" t="s">
        <v>134</v>
      </c>
      <c r="DD567" s="27" t="s">
        <v>191</v>
      </c>
      <c r="DE567" s="27" t="s">
        <v>638</v>
      </c>
      <c r="DF567" s="27" t="s">
        <v>163</v>
      </c>
      <c r="DG567" s="27" t="s">
        <v>134</v>
      </c>
      <c r="DH567" s="27" t="s">
        <v>137</v>
      </c>
      <c r="DI567" s="27" t="s">
        <v>1151</v>
      </c>
      <c r="DJ567" s="27" t="s">
        <v>183</v>
      </c>
      <c r="DK567" s="27" t="s">
        <v>480</v>
      </c>
      <c r="DL567" s="27" t="s">
        <v>195</v>
      </c>
      <c r="DM567" s="27" t="s">
        <v>673</v>
      </c>
      <c r="DN567" s="27" t="s">
        <v>203</v>
      </c>
      <c r="DO567" s="27" t="s">
        <v>134</v>
      </c>
      <c r="DP567" s="27" t="s">
        <v>264</v>
      </c>
      <c r="DQ567" s="27" t="s">
        <v>1407</v>
      </c>
      <c r="DR567" s="27" t="s">
        <v>204</v>
      </c>
      <c r="DS567" s="27" t="s">
        <v>480</v>
      </c>
      <c r="DT567" s="27" t="s">
        <v>195</v>
      </c>
      <c r="DU567" s="27" t="s">
        <v>1395</v>
      </c>
      <c r="DV567" s="27" t="s">
        <v>306</v>
      </c>
      <c r="DW567" s="27" t="s">
        <v>164</v>
      </c>
      <c r="DX567" s="27" t="s">
        <v>220</v>
      </c>
      <c r="DY567" s="27" t="s">
        <v>169</v>
      </c>
      <c r="DZ567" s="27" t="n">
        <f aca="false">DY567+DV567+DR567+DN567+DJ567+DF567+DB567</f>
        <v>460</v>
      </c>
      <c r="EA567" s="28" t="n">
        <f aca="false">DZ567/7</f>
        <v>65.7142857142857</v>
      </c>
      <c r="EB567" s="27" t="n">
        <f aca="false">RANK(EA567,$EA$2:$EA$881,0)</f>
        <v>722</v>
      </c>
      <c r="EC567" s="29" t="n">
        <f aca="false">DZ567+CQ567+CP567+AZ567</f>
        <v>2311</v>
      </c>
      <c r="ED567" s="30" t="n">
        <f aca="false">(EA567+CV567+BB567)/3</f>
        <v>73.4142857142857</v>
      </c>
      <c r="EE567" s="51" t="n">
        <f aca="false">ROUND(BE567,3)</f>
        <v>85.497</v>
      </c>
      <c r="EF567" s="51" t="n">
        <f aca="false">ROUND(CR567,3)</f>
        <v>81.571</v>
      </c>
      <c r="EG567" s="51" t="n">
        <f aca="false">ROUND(CS567,3)</f>
        <v>71.286</v>
      </c>
      <c r="EH567" s="51" t="n">
        <f aca="false">ROUND(EA567,3)</f>
        <v>65.714</v>
      </c>
      <c r="EI567" s="51" t="n">
        <f aca="false">ROUND(ED567,3)</f>
        <v>73.414</v>
      </c>
      <c r="EJ567" s="51" t="n">
        <f aca="false">ROUND(CV567,3)</f>
        <v>76.429</v>
      </c>
      <c r="EK567" s="0" t="n">
        <f aca="false">RANK(EI567,$EI$2:$EI$881,0)</f>
        <v>566</v>
      </c>
    </row>
    <row r="568" customFormat="false" ht="15" hidden="false" customHeight="false" outlineLevel="0" collapsed="false">
      <c r="A568" s="4" t="n">
        <v>8936</v>
      </c>
      <c r="B568" s="4" t="n">
        <v>281</v>
      </c>
      <c r="C568" s="27" t="s">
        <v>1695</v>
      </c>
      <c r="D568" s="31" t="n">
        <v>281</v>
      </c>
      <c r="E568" s="32" t="n">
        <v>230319305</v>
      </c>
      <c r="F568" s="8" t="s">
        <v>1696</v>
      </c>
      <c r="G568" s="22" t="s">
        <v>325</v>
      </c>
      <c r="H568" s="22" t="s">
        <v>129</v>
      </c>
      <c r="I568" s="33" t="n">
        <v>2006</v>
      </c>
      <c r="J568" s="32" t="n">
        <v>72</v>
      </c>
      <c r="K568" s="32" t="n">
        <v>84</v>
      </c>
      <c r="L568" s="34" t="n">
        <f aca="false">(K568*70)/100</f>
        <v>58.8</v>
      </c>
      <c r="M568" s="34" t="n">
        <f aca="false">ROUNDUP(L568,0)</f>
        <v>59</v>
      </c>
      <c r="N568" s="32" t="n">
        <v>24</v>
      </c>
      <c r="O568" s="34" t="n">
        <f aca="false">N568+L568</f>
        <v>82.8</v>
      </c>
      <c r="P568" s="34" t="n">
        <f aca="false">N568+M568</f>
        <v>83</v>
      </c>
      <c r="Q568" s="32" t="n">
        <v>78</v>
      </c>
      <c r="R568" s="32" t="n">
        <v>72</v>
      </c>
      <c r="S568" s="34" t="n">
        <f aca="false">(R568*70)/100</f>
        <v>50.4</v>
      </c>
      <c r="T568" s="34" t="n">
        <f aca="false">ROUNDUP(S568,0)</f>
        <v>51</v>
      </c>
      <c r="U568" s="32" t="n">
        <v>20</v>
      </c>
      <c r="V568" s="34" t="n">
        <f aca="false">U568+S568</f>
        <v>70.4</v>
      </c>
      <c r="W568" s="34" t="n">
        <f aca="false">U568+T568</f>
        <v>71</v>
      </c>
      <c r="X568" s="32" t="n">
        <v>59</v>
      </c>
      <c r="Y568" s="34" t="n">
        <f aca="false">(X568*70)/100</f>
        <v>41.3</v>
      </c>
      <c r="Z568" s="34" t="n">
        <f aca="false">ROUNDUP(Y568,0)</f>
        <v>42</v>
      </c>
      <c r="AA568" s="32" t="n">
        <v>27</v>
      </c>
      <c r="AB568" s="34" t="n">
        <f aca="false">AA568+Y568</f>
        <v>68.3</v>
      </c>
      <c r="AC568" s="34" t="n">
        <f aca="false">AA568+Z568</f>
        <v>69</v>
      </c>
      <c r="AD568" s="32" t="n">
        <f aca="false">X568+R568+Q568+K568+J568</f>
        <v>365</v>
      </c>
      <c r="AE568" s="16" t="n">
        <f aca="false">AD568/5</f>
        <v>73</v>
      </c>
      <c r="AF568" s="71" t="n">
        <v>58</v>
      </c>
      <c r="AG568" s="16" t="n">
        <v>70</v>
      </c>
      <c r="AH568" s="16" t="n">
        <v>89</v>
      </c>
      <c r="AI568" s="16" t="n">
        <v>94</v>
      </c>
      <c r="AJ568" s="16" t="n">
        <f aca="false">(AI568*70)/100</f>
        <v>65.8</v>
      </c>
      <c r="AK568" s="35" t="n">
        <f aca="false">ROUNDUP(AJ568,0)</f>
        <v>66</v>
      </c>
      <c r="AL568" s="16" t="n">
        <v>24</v>
      </c>
      <c r="AM568" s="16" t="n">
        <f aca="false">AL568+AJ568</f>
        <v>89.8</v>
      </c>
      <c r="AN568" s="16" t="n">
        <f aca="false">AL568+AK568</f>
        <v>90</v>
      </c>
      <c r="AO568" s="16" t="n">
        <v>71</v>
      </c>
      <c r="AP568" s="36" t="n">
        <f aca="false">(AO568*70)/100</f>
        <v>49.7</v>
      </c>
      <c r="AQ568" s="37" t="n">
        <f aca="false">ROUNDUP(AP568,0)</f>
        <v>50</v>
      </c>
      <c r="AR568" s="16" t="n">
        <v>27</v>
      </c>
      <c r="AS568" s="16" t="n">
        <f aca="false">AR568+AP568</f>
        <v>76.7</v>
      </c>
      <c r="AT568" s="16" t="n">
        <f aca="false">AR568+AQ568</f>
        <v>77</v>
      </c>
      <c r="AU568" s="16" t="n">
        <f aca="false">AO568+AF568+AI568+AH568+AG568</f>
        <v>382</v>
      </c>
      <c r="AV568" s="16" t="n">
        <f aca="false">(AO568+AF568+AI568+AH568+AG568)/5</f>
        <v>76.4</v>
      </c>
      <c r="AW568" s="36" t="n">
        <f aca="false">(AO568+AF568+AI568+AH568+AG568+X568+R568+Q568+K568+J568)</f>
        <v>747</v>
      </c>
      <c r="AX568" s="16" t="n">
        <f aca="false">AW568/10</f>
        <v>74.7</v>
      </c>
      <c r="AY568" s="16" t="n">
        <f aca="false">AS568+AF568+AM568+AH568+AG568+AB568+V568+Q568+O568+J568</f>
        <v>755</v>
      </c>
      <c r="AZ568" s="16" t="n">
        <f aca="false">AT568+AF568+AN568+AH568+AG568+AC568+W568+Q568+P568+J568</f>
        <v>757</v>
      </c>
      <c r="BA568" s="16" t="n">
        <f aca="false">AY568/10</f>
        <v>75.5</v>
      </c>
      <c r="BB568" s="16" t="n">
        <f aca="false">AZ568/10</f>
        <v>75.7</v>
      </c>
      <c r="BC568" s="16" t="n">
        <v>2357</v>
      </c>
      <c r="BD568" s="16" t="n">
        <f aca="false">RANK(AX568,$AX$2:$AX$881,0)</f>
        <v>691</v>
      </c>
      <c r="BE568" s="73" t="n">
        <f aca="false">((BC568*100)/2400)*0.4+(AX568*0.6)</f>
        <v>84.1033333333333</v>
      </c>
      <c r="BF568" s="16" t="n">
        <f aca="false">RANK(BE568,$BE$2:$BE$881,0)</f>
        <v>682</v>
      </c>
      <c r="BG568" s="39" t="n">
        <f aca="false">RANK(BB568,$BB$2:$BB$881,0)</f>
        <v>684</v>
      </c>
      <c r="BH568" s="39" t="n">
        <f aca="false">RANK(BC568,$BC$2:$BC$881,0)</f>
        <v>444</v>
      </c>
      <c r="BI568" s="22" t="s">
        <v>130</v>
      </c>
      <c r="BJ568" s="22" t="s">
        <v>129</v>
      </c>
      <c r="BK568" s="40" t="s">
        <v>702</v>
      </c>
      <c r="BL568" s="41" t="n">
        <v>18</v>
      </c>
      <c r="BM568" s="41" t="n">
        <v>38</v>
      </c>
      <c r="BN568" s="98" t="n">
        <v>56</v>
      </c>
      <c r="BO568" s="42" t="n">
        <v>25</v>
      </c>
      <c r="BP568" s="43" t="n">
        <v>44</v>
      </c>
      <c r="BQ568" s="44" t="n">
        <v>69</v>
      </c>
      <c r="BR568" s="42" t="n">
        <v>18</v>
      </c>
      <c r="BS568" s="45" t="n">
        <v>53</v>
      </c>
      <c r="BT568" s="45" t="n">
        <v>71</v>
      </c>
      <c r="BU568" s="46" t="n">
        <v>89</v>
      </c>
      <c r="BV568" s="47" t="n">
        <v>88</v>
      </c>
      <c r="BW568" s="42" t="n">
        <v>90</v>
      </c>
      <c r="BX568" s="48" t="n">
        <v>80</v>
      </c>
      <c r="BY568" s="32" t="n">
        <v>27</v>
      </c>
      <c r="BZ568" s="32" t="n">
        <v>40</v>
      </c>
      <c r="CA568" s="32" t="n">
        <v>67</v>
      </c>
      <c r="CB568" s="32" t="n">
        <v>22</v>
      </c>
      <c r="CC568" s="32" t="n">
        <v>29</v>
      </c>
      <c r="CD568" s="69" t="n">
        <v>51</v>
      </c>
      <c r="CE568" s="32" t="n">
        <v>27</v>
      </c>
      <c r="CF568" s="32" t="n">
        <v>54</v>
      </c>
      <c r="CG568" s="32" t="n">
        <v>81</v>
      </c>
      <c r="CH568" s="32" t="n">
        <v>96</v>
      </c>
      <c r="CI568" s="32" t="n">
        <v>82</v>
      </c>
      <c r="CJ568" s="49" t="n">
        <v>19</v>
      </c>
      <c r="CK568" s="49" t="n">
        <v>42</v>
      </c>
      <c r="CL568" s="84" t="n">
        <v>61</v>
      </c>
      <c r="CM568" s="49" t="n">
        <v>20</v>
      </c>
      <c r="CN568" s="49" t="n">
        <v>40</v>
      </c>
      <c r="CO568" s="49" t="n">
        <v>60</v>
      </c>
      <c r="CP568" s="25" t="n">
        <f aca="false">BX568+BW568+BV568+BU568+BT568+BQ568+BN568</f>
        <v>543</v>
      </c>
      <c r="CQ568" s="25" t="n">
        <f aca="false">CO568+CL568+CI568+CH568+CG568+CD568+CA568</f>
        <v>498</v>
      </c>
      <c r="CR568" s="26" t="n">
        <f aca="false">CP568/7</f>
        <v>77.5714285714286</v>
      </c>
      <c r="CS568" s="26" t="n">
        <f aca="false">CQ568/7</f>
        <v>71.1428571428571</v>
      </c>
      <c r="CT568" s="24" t="n">
        <f aca="false">RANK(CR568,$CR$2:$CR$881,0)</f>
        <v>618</v>
      </c>
      <c r="CU568" s="25" t="n">
        <f aca="false">RANK(CS568,$CS$2:$CS$881,0)</f>
        <v>534</v>
      </c>
      <c r="CV568" s="26" t="n">
        <f aca="false">(CS568+CR568)/2</f>
        <v>74.3571428571429</v>
      </c>
      <c r="CW568" s="25" t="n">
        <f aca="false">RANK(CV568,$CV$2:$CV$881,0)</f>
        <v>576</v>
      </c>
      <c r="CX568" s="50" t="n">
        <f aca="false">(CV568+BB568)/2</f>
        <v>75.0285714285714</v>
      </c>
      <c r="CY568" s="50" t="n">
        <v>559</v>
      </c>
      <c r="CZ568" s="27" t="s">
        <v>132</v>
      </c>
      <c r="DA568" s="27" t="s">
        <v>398</v>
      </c>
      <c r="DB568" s="27" t="s">
        <v>398</v>
      </c>
      <c r="DC568" s="27" t="s">
        <v>134</v>
      </c>
      <c r="DD568" s="27" t="s">
        <v>386</v>
      </c>
      <c r="DE568" s="27" t="s">
        <v>638</v>
      </c>
      <c r="DF568" s="27" t="s">
        <v>136</v>
      </c>
      <c r="DG568" s="27" t="s">
        <v>134</v>
      </c>
      <c r="DH568" s="27" t="s">
        <v>182</v>
      </c>
      <c r="DI568" s="27" t="s">
        <v>306</v>
      </c>
      <c r="DJ568" s="27" t="s">
        <v>272</v>
      </c>
      <c r="DK568" s="27" t="s">
        <v>134</v>
      </c>
      <c r="DL568" s="27" t="s">
        <v>174</v>
      </c>
      <c r="DM568" s="27" t="s">
        <v>673</v>
      </c>
      <c r="DN568" s="27" t="s">
        <v>136</v>
      </c>
      <c r="DO568" s="27" t="s">
        <v>134</v>
      </c>
      <c r="DP568" s="27" t="s">
        <v>485</v>
      </c>
      <c r="DQ568" s="27" t="s">
        <v>481</v>
      </c>
      <c r="DR568" s="27" t="s">
        <v>304</v>
      </c>
      <c r="DS568" s="27" t="s">
        <v>480</v>
      </c>
      <c r="DT568" s="27" t="s">
        <v>182</v>
      </c>
      <c r="DU568" s="27" t="s">
        <v>897</v>
      </c>
      <c r="DV568" s="27" t="s">
        <v>141</v>
      </c>
      <c r="DW568" s="27" t="s">
        <v>174</v>
      </c>
      <c r="DX568" s="27" t="s">
        <v>155</v>
      </c>
      <c r="DY568" s="27" t="s">
        <v>176</v>
      </c>
      <c r="DZ568" s="27" t="n">
        <f aca="false">DY568+DV568+DR568+DN568+DJ568+DF568+DB568</f>
        <v>490</v>
      </c>
      <c r="EA568" s="28" t="n">
        <f aca="false">DZ568/7</f>
        <v>70</v>
      </c>
      <c r="EB568" s="27" t="n">
        <f aca="false">RANK(EA568,$EA$2:$EA$881,0)</f>
        <v>656</v>
      </c>
      <c r="EC568" s="29" t="n">
        <f aca="false">DZ568+CQ568+CP568+AZ568</f>
        <v>2288</v>
      </c>
      <c r="ED568" s="30" t="n">
        <f aca="false">(EA568+CV568+BB568)/3</f>
        <v>73.352380952381</v>
      </c>
      <c r="EE568" s="51" t="n">
        <f aca="false">ROUND(BE568,3)</f>
        <v>84.103</v>
      </c>
      <c r="EF568" s="51" t="n">
        <f aca="false">ROUND(CR568,3)</f>
        <v>77.571</v>
      </c>
      <c r="EG568" s="51" t="n">
        <f aca="false">ROUND(CS568,3)</f>
        <v>71.143</v>
      </c>
      <c r="EH568" s="51" t="n">
        <f aca="false">ROUND(EA568,3)</f>
        <v>70</v>
      </c>
      <c r="EI568" s="51" t="n">
        <f aca="false">ROUND(ED568,3)</f>
        <v>73.352</v>
      </c>
      <c r="EJ568" s="51" t="n">
        <f aca="false">ROUND(CV568,3)</f>
        <v>74.357</v>
      </c>
      <c r="EK568" s="0" t="n">
        <f aca="false">RANK(EI568,$EI$2:$EI$881,0)</f>
        <v>567</v>
      </c>
    </row>
    <row r="569" customFormat="false" ht="15" hidden="false" customHeight="false" outlineLevel="0" collapsed="false">
      <c r="A569" s="4" t="n">
        <v>8741</v>
      </c>
      <c r="B569" s="4" t="n">
        <v>575</v>
      </c>
      <c r="C569" s="27" t="s">
        <v>1697</v>
      </c>
      <c r="D569" s="52" t="n">
        <v>580</v>
      </c>
      <c r="E569" s="109" t="n">
        <v>230321861</v>
      </c>
      <c r="F569" s="110" t="s">
        <v>1698</v>
      </c>
      <c r="G569" s="109" t="s">
        <v>607</v>
      </c>
      <c r="H569" s="109" t="s">
        <v>129</v>
      </c>
      <c r="I569" s="19" t="n">
        <v>2006</v>
      </c>
      <c r="J569" s="111" t="n">
        <v>65</v>
      </c>
      <c r="K569" s="111" t="n">
        <v>41</v>
      </c>
      <c r="L569" s="112" t="n">
        <f aca="false">(K569*70)/100</f>
        <v>28.7</v>
      </c>
      <c r="M569" s="112" t="n">
        <f aca="false">ROUNDUP(L569,0)</f>
        <v>29</v>
      </c>
      <c r="N569" s="111" t="n">
        <v>26</v>
      </c>
      <c r="O569" s="112" t="n">
        <f aca="false">N569+L569</f>
        <v>54.7</v>
      </c>
      <c r="P569" s="112" t="n">
        <f aca="false">N569+M569</f>
        <v>55</v>
      </c>
      <c r="Q569" s="113" t="n">
        <v>36</v>
      </c>
      <c r="R569" s="111" t="n">
        <v>38</v>
      </c>
      <c r="S569" s="112" t="n">
        <f aca="false">(R569*70)/100</f>
        <v>26.6</v>
      </c>
      <c r="T569" s="112" t="n">
        <f aca="false">ROUNDUP(S569,0)</f>
        <v>27</v>
      </c>
      <c r="U569" s="111" t="n">
        <v>25</v>
      </c>
      <c r="V569" s="112" t="n">
        <f aca="false">U569+S569</f>
        <v>51.6</v>
      </c>
      <c r="W569" s="112" t="n">
        <f aca="false">U569+T569</f>
        <v>52</v>
      </c>
      <c r="X569" s="111" t="n">
        <v>67</v>
      </c>
      <c r="Y569" s="112" t="n">
        <f aca="false">(X569*70)/100</f>
        <v>46.9</v>
      </c>
      <c r="Z569" s="112" t="n">
        <f aca="false">ROUNDUP(Y569,0)</f>
        <v>47</v>
      </c>
      <c r="AA569" s="111" t="n">
        <v>27</v>
      </c>
      <c r="AB569" s="112" t="n">
        <f aca="false">AA569+Y569</f>
        <v>73.9</v>
      </c>
      <c r="AC569" s="112" t="n">
        <f aca="false">AA569+Z569</f>
        <v>74</v>
      </c>
      <c r="AD569" s="111" t="n">
        <f aca="false">X569+R569+Q569+K569+J569</f>
        <v>247</v>
      </c>
      <c r="AE569" s="114" t="n">
        <v>49.4</v>
      </c>
      <c r="AF569" s="19" t="n">
        <v>66</v>
      </c>
      <c r="AG569" s="19" t="n">
        <v>69</v>
      </c>
      <c r="AH569" s="19" t="n">
        <v>71</v>
      </c>
      <c r="AI569" s="19" t="n">
        <v>54</v>
      </c>
      <c r="AJ569" s="19" t="n">
        <f aca="false">(AI569*70)/100</f>
        <v>37.8</v>
      </c>
      <c r="AK569" s="115" t="n">
        <f aca="false">ROUNDUP(AJ569,0)</f>
        <v>38</v>
      </c>
      <c r="AL569" s="19" t="n">
        <v>24</v>
      </c>
      <c r="AM569" s="19" t="n">
        <f aca="false">AL569+AJ569</f>
        <v>61.8</v>
      </c>
      <c r="AN569" s="19" t="n">
        <f aca="false">AL569+AK569</f>
        <v>62</v>
      </c>
      <c r="AO569" s="19" t="n">
        <v>47</v>
      </c>
      <c r="AP569" s="116" t="n">
        <f aca="false">(AO569*70)/100</f>
        <v>32.9</v>
      </c>
      <c r="AQ569" s="117" t="n">
        <f aca="false">ROUNDUP(AP569,0)</f>
        <v>33</v>
      </c>
      <c r="AR569" s="19" t="n">
        <v>29</v>
      </c>
      <c r="AS569" s="19" t="n">
        <f aca="false">AR569+AP569</f>
        <v>61.9</v>
      </c>
      <c r="AT569" s="19" t="n">
        <f aca="false">AR569+AQ569</f>
        <v>62</v>
      </c>
      <c r="AU569" s="19" t="n">
        <f aca="false">AO569+AF569+AI569+AH569+AG569</f>
        <v>307</v>
      </c>
      <c r="AV569" s="19" t="n">
        <f aca="false">(AO569+AF569+AI569+AH569+AG569)/5</f>
        <v>61.4</v>
      </c>
      <c r="AW569" s="116" t="n">
        <f aca="false">(AO569+AF569+AI569+AH569+AG569+X569+R569+Q569+K569+J569)</f>
        <v>554</v>
      </c>
      <c r="AX569" s="16" t="n">
        <f aca="false">AW569/10</f>
        <v>55.4</v>
      </c>
      <c r="AY569" s="16" t="n">
        <f aca="false">AS569+AF569+AM569+AH569+AG569+AB569+V569+Q569+O569+J569</f>
        <v>610.9</v>
      </c>
      <c r="AZ569" s="16" t="n">
        <f aca="false">AT569+AF569+AN569+AH569+AG569+AC569+W569+Q569+P569+J569</f>
        <v>612</v>
      </c>
      <c r="BA569" s="16" t="n">
        <f aca="false">AY569/10</f>
        <v>61.09</v>
      </c>
      <c r="BB569" s="16" t="n">
        <f aca="false">AZ569/10</f>
        <v>61.2</v>
      </c>
      <c r="BC569" s="16" t="n">
        <v>2344</v>
      </c>
      <c r="BD569" s="16" t="n">
        <f aca="false">RANK(AX569,$AX$2:$AX$881,0)</f>
        <v>800</v>
      </c>
      <c r="BE569" s="123" t="n">
        <f aca="false">((BC569*100)/2400)*0.4+(AX569*0.6)</f>
        <v>72.3066666666667</v>
      </c>
      <c r="BF569" s="16" t="n">
        <f aca="false">RANK(BE569,$BE$2:$BE$881,0)</f>
        <v>782</v>
      </c>
      <c r="BG569" s="39" t="n">
        <f aca="false">RANK(BB569,$BB$2:$BB$881,0)</f>
        <v>794</v>
      </c>
      <c r="BH569" s="39" t="n">
        <f aca="false">RANK(BC569,$BC$2:$BC$881,0)</f>
        <v>598</v>
      </c>
      <c r="BI569" s="19" t="s">
        <v>130</v>
      </c>
      <c r="BJ569" s="19" t="s">
        <v>129</v>
      </c>
      <c r="BK569" s="109" t="s">
        <v>1596</v>
      </c>
      <c r="BL569" s="41" t="n">
        <v>24</v>
      </c>
      <c r="BM569" s="61"/>
      <c r="BN569" s="61"/>
      <c r="BO569" s="42" t="n">
        <v>25</v>
      </c>
      <c r="BP569" s="43" t="n">
        <v>57</v>
      </c>
      <c r="BQ569" s="44" t="n">
        <v>82</v>
      </c>
      <c r="BR569" s="42" t="n">
        <v>25</v>
      </c>
      <c r="BS569" s="77" t="n">
        <v>56</v>
      </c>
      <c r="BT569" s="77" t="n">
        <v>81</v>
      </c>
      <c r="BU569" s="46" t="n">
        <v>100</v>
      </c>
      <c r="BV569" s="47" t="n">
        <v>90</v>
      </c>
      <c r="BW569" s="42" t="n">
        <v>96</v>
      </c>
      <c r="BX569" s="48" t="n">
        <v>94</v>
      </c>
      <c r="BY569" s="32" t="n">
        <v>28</v>
      </c>
      <c r="BZ569" s="32" t="n">
        <v>49</v>
      </c>
      <c r="CA569" s="32" t="n">
        <v>77</v>
      </c>
      <c r="CB569" s="32" t="n">
        <v>19</v>
      </c>
      <c r="CC569" s="60"/>
      <c r="CD569" s="60"/>
      <c r="CE569" s="32" t="n">
        <v>25</v>
      </c>
      <c r="CF569" s="32" t="n">
        <v>45</v>
      </c>
      <c r="CG569" s="32" t="n">
        <v>70</v>
      </c>
      <c r="CH569" s="32" t="n">
        <v>98</v>
      </c>
      <c r="CI569" s="32" t="n">
        <v>98</v>
      </c>
      <c r="CJ569" s="49" t="n">
        <v>24</v>
      </c>
      <c r="CK569" s="49" t="n">
        <v>55</v>
      </c>
      <c r="CL569" s="49" t="n">
        <v>79</v>
      </c>
      <c r="CM569" s="49" t="n">
        <v>27</v>
      </c>
      <c r="CN569" s="49" t="n">
        <v>52</v>
      </c>
      <c r="CO569" s="49" t="n">
        <v>79</v>
      </c>
      <c r="CP569" s="25" t="n">
        <f aca="false">BX569+BW569+BV569+BU569+BT569+BQ569+BN569</f>
        <v>543</v>
      </c>
      <c r="CQ569" s="25" t="n">
        <f aca="false">CO569+CL569+CI569+CH569+CG569+CD569+CA569</f>
        <v>501</v>
      </c>
      <c r="CR569" s="26" t="n">
        <f aca="false">CP569/7</f>
        <v>77.5714285714286</v>
      </c>
      <c r="CS569" s="26" t="n">
        <f aca="false">CQ569/7</f>
        <v>71.5714285714286</v>
      </c>
      <c r="CT569" s="24" t="n">
        <f aca="false">RANK(CR569,$CR$2:$CR$881,0)</f>
        <v>618</v>
      </c>
      <c r="CU569" s="25" t="n">
        <f aca="false">RANK(CS569,$CS$2:$CS$881,0)</f>
        <v>521</v>
      </c>
      <c r="CV569" s="26" t="n">
        <f aca="false">(CS569+CR569)/2</f>
        <v>74.5714285714286</v>
      </c>
      <c r="CW569" s="25" t="n">
        <f aca="false">RANK(CV569,$CV$2:$CV$881,0)</f>
        <v>569</v>
      </c>
      <c r="CX569" s="50" t="n">
        <f aca="false">(CV569+BB569)/2</f>
        <v>67.8857142857143</v>
      </c>
      <c r="CY569" s="50" t="n">
        <v>624</v>
      </c>
      <c r="CZ569" s="27" t="s">
        <v>132</v>
      </c>
      <c r="DA569" s="27" t="s">
        <v>162</v>
      </c>
      <c r="DB569" s="27" t="s">
        <v>162</v>
      </c>
      <c r="DC569" s="27" t="s">
        <v>134</v>
      </c>
      <c r="DD569" s="27" t="s">
        <v>164</v>
      </c>
      <c r="DE569" s="27" t="s">
        <v>204</v>
      </c>
      <c r="DF569" s="27" t="s">
        <v>202</v>
      </c>
      <c r="DG569" s="27" t="s">
        <v>134</v>
      </c>
      <c r="DH569" s="27" t="s">
        <v>164</v>
      </c>
      <c r="DI569" s="27" t="s">
        <v>304</v>
      </c>
      <c r="DJ569" s="27" t="s">
        <v>196</v>
      </c>
      <c r="DK569" s="27" t="s">
        <v>134</v>
      </c>
      <c r="DL569" s="27" t="s">
        <v>137</v>
      </c>
      <c r="DM569" s="27" t="s">
        <v>218</v>
      </c>
      <c r="DN569" s="27" t="s">
        <v>169</v>
      </c>
      <c r="DO569" s="27" t="s">
        <v>134</v>
      </c>
      <c r="DP569" s="27" t="s">
        <v>191</v>
      </c>
      <c r="DQ569" s="27" t="s">
        <v>220</v>
      </c>
      <c r="DR569" s="27" t="s">
        <v>443</v>
      </c>
      <c r="DS569" s="27" t="s">
        <v>134</v>
      </c>
      <c r="DT569" s="27" t="s">
        <v>135</v>
      </c>
      <c r="DU569" s="27" t="s">
        <v>204</v>
      </c>
      <c r="DV569" s="27" t="s">
        <v>209</v>
      </c>
      <c r="DW569" s="27" t="s">
        <v>195</v>
      </c>
      <c r="DX569" s="27" t="s">
        <v>155</v>
      </c>
      <c r="DY569" s="27" t="s">
        <v>170</v>
      </c>
      <c r="DZ569" s="27" t="n">
        <f aca="false">DY569+DV569+DR569+DN569+DJ569+DF569+DB569</f>
        <v>590</v>
      </c>
      <c r="EA569" s="28" t="n">
        <f aca="false">DZ569/7</f>
        <v>84.2857142857143</v>
      </c>
      <c r="EB569" s="27" t="n">
        <f aca="false">RANK(EA569,$EA$2:$EA$881,0)</f>
        <v>210</v>
      </c>
      <c r="EC569" s="29" t="n">
        <f aca="false">DZ569+CQ569+CP569+AZ569</f>
        <v>2246</v>
      </c>
      <c r="ED569" s="30" t="n">
        <f aca="false">(EA569+CV569+BB569)/3</f>
        <v>73.352380952381</v>
      </c>
      <c r="EE569" s="51" t="n">
        <f aca="false">ROUND(BE569,3)</f>
        <v>72.307</v>
      </c>
      <c r="EF569" s="51" t="n">
        <f aca="false">ROUND(CR569,3)</f>
        <v>77.571</v>
      </c>
      <c r="EG569" s="51" t="n">
        <f aca="false">ROUND(CS569,3)</f>
        <v>71.571</v>
      </c>
      <c r="EH569" s="51" t="n">
        <f aca="false">ROUND(EA569,3)</f>
        <v>84.286</v>
      </c>
      <c r="EI569" s="51" t="n">
        <f aca="false">ROUND(ED569,3)</f>
        <v>73.352</v>
      </c>
      <c r="EJ569" s="51" t="n">
        <f aca="false">ROUND(CV569,3)</f>
        <v>74.571</v>
      </c>
      <c r="EK569" s="0" t="n">
        <f aca="false">RANK(EI569,$EI$2:$EI$881,0)</f>
        <v>567</v>
      </c>
    </row>
    <row r="570" customFormat="false" ht="15" hidden="false" customHeight="false" outlineLevel="0" collapsed="false">
      <c r="A570" s="4" t="n">
        <v>8621</v>
      </c>
      <c r="B570" s="4" t="n">
        <v>717</v>
      </c>
      <c r="C570" s="27" t="s">
        <v>1699</v>
      </c>
      <c r="D570" s="31" t="n">
        <v>732</v>
      </c>
      <c r="E570" s="32" t="n">
        <v>230313586</v>
      </c>
      <c r="F570" s="8" t="s">
        <v>1700</v>
      </c>
      <c r="G570" s="22" t="s">
        <v>885</v>
      </c>
      <c r="H570" s="22" t="s">
        <v>129</v>
      </c>
      <c r="I570" s="33" t="n">
        <v>2006</v>
      </c>
      <c r="J570" s="32" t="n">
        <v>78</v>
      </c>
      <c r="K570" s="32" t="n">
        <v>67</v>
      </c>
      <c r="L570" s="34" t="n">
        <f aca="false">(K570*70)/100</f>
        <v>46.9</v>
      </c>
      <c r="M570" s="34" t="n">
        <f aca="false">ROUNDUP(L570,0)</f>
        <v>47</v>
      </c>
      <c r="N570" s="32" t="n">
        <v>23</v>
      </c>
      <c r="O570" s="34" t="n">
        <f aca="false">N570+L570</f>
        <v>69.9</v>
      </c>
      <c r="P570" s="34" t="n">
        <f aca="false">N570+M570</f>
        <v>70</v>
      </c>
      <c r="Q570" s="32" t="n">
        <v>82</v>
      </c>
      <c r="R570" s="32" t="n">
        <v>77</v>
      </c>
      <c r="S570" s="34" t="n">
        <f aca="false">(R570*70)/100</f>
        <v>53.9</v>
      </c>
      <c r="T570" s="34" t="n">
        <f aca="false">ROUNDUP(S570,0)</f>
        <v>54</v>
      </c>
      <c r="U570" s="32" t="n">
        <v>21</v>
      </c>
      <c r="V570" s="34" t="n">
        <f aca="false">U570+S570</f>
        <v>74.9</v>
      </c>
      <c r="W570" s="34" t="n">
        <f aca="false">U570+T570</f>
        <v>75</v>
      </c>
      <c r="X570" s="32" t="n">
        <v>73</v>
      </c>
      <c r="Y570" s="34" t="n">
        <f aca="false">(X570*70)/100</f>
        <v>51.1</v>
      </c>
      <c r="Z570" s="34" t="n">
        <f aca="false">ROUNDUP(Y570,0)</f>
        <v>52</v>
      </c>
      <c r="AA570" s="32" t="n">
        <v>21</v>
      </c>
      <c r="AB570" s="34" t="n">
        <f aca="false">AA570+Y570</f>
        <v>72.1</v>
      </c>
      <c r="AC570" s="34" t="n">
        <f aca="false">AA570+Z570</f>
        <v>73</v>
      </c>
      <c r="AD570" s="32" t="n">
        <f aca="false">X570+R570+Q570+K570+J570</f>
        <v>377</v>
      </c>
      <c r="AE570" s="16" t="n">
        <f aca="false">AD570/5</f>
        <v>75.4</v>
      </c>
      <c r="AF570" s="16" t="n">
        <v>72</v>
      </c>
      <c r="AG570" s="16" t="n">
        <v>80</v>
      </c>
      <c r="AH570" s="16" t="n">
        <v>87</v>
      </c>
      <c r="AI570" s="16" t="n">
        <v>95</v>
      </c>
      <c r="AJ570" s="16" t="n">
        <f aca="false">(AI570*70)/100</f>
        <v>66.5</v>
      </c>
      <c r="AK570" s="35" t="n">
        <f aca="false">ROUNDUP(AJ570,0)</f>
        <v>67</v>
      </c>
      <c r="AL570" s="16" t="n">
        <v>25</v>
      </c>
      <c r="AM570" s="16" t="n">
        <f aca="false">AL570+AJ570</f>
        <v>91.5</v>
      </c>
      <c r="AN570" s="16" t="n">
        <f aca="false">AL570+AK570</f>
        <v>92</v>
      </c>
      <c r="AO570" s="16" t="n">
        <v>79</v>
      </c>
      <c r="AP570" s="36" t="n">
        <f aca="false">(AO570*70)/100</f>
        <v>55.3</v>
      </c>
      <c r="AQ570" s="37" t="n">
        <f aca="false">ROUNDUP(AP570,0)</f>
        <v>56</v>
      </c>
      <c r="AR570" s="16" t="n">
        <v>27</v>
      </c>
      <c r="AS570" s="16" t="n">
        <f aca="false">AR570+AP570</f>
        <v>82.3</v>
      </c>
      <c r="AT570" s="16" t="n">
        <f aca="false">AR570+AQ570</f>
        <v>83</v>
      </c>
      <c r="AU570" s="16" t="n">
        <f aca="false">AO570+AF570+AI570+AH570+AG570</f>
        <v>413</v>
      </c>
      <c r="AV570" s="16" t="n">
        <f aca="false">(AO570+AF570+AI570+AH570+AG570)/5</f>
        <v>82.6</v>
      </c>
      <c r="AW570" s="36" t="n">
        <f aca="false">(AO570+AF570+AI570+AH570+AG570+X570+R570+Q570+K570+J570)</f>
        <v>790</v>
      </c>
      <c r="AX570" s="16" t="n">
        <f aca="false">AW570/10</f>
        <v>79</v>
      </c>
      <c r="AY570" s="16" t="n">
        <f aca="false">AS570+AF570+AM570+AH570+AG570+AB570+V570+Q570+O570+J570</f>
        <v>789.7</v>
      </c>
      <c r="AZ570" s="16" t="n">
        <f aca="false">AT570+AF570+AN570+AH570+AG570+AC570+W570+Q570+P570+J570</f>
        <v>792</v>
      </c>
      <c r="BA570" s="16" t="n">
        <f aca="false">AY570/10</f>
        <v>78.97</v>
      </c>
      <c r="BB570" s="16" t="n">
        <f aca="false">AZ570/10</f>
        <v>79.2</v>
      </c>
      <c r="BC570" s="16" t="n">
        <v>2370</v>
      </c>
      <c r="BD570" s="16" t="n">
        <f aca="false">RANK(AX570,$AX$2:$AX$881,0)</f>
        <v>330</v>
      </c>
      <c r="BE570" s="54" t="n">
        <f aca="false">((BC570*100)/2400)*0.4+(AX570*0.6)</f>
        <v>86.9</v>
      </c>
      <c r="BF570" s="16" t="n">
        <f aca="false">RANK(BE570,$BE$2:$BE$881,0)</f>
        <v>309</v>
      </c>
      <c r="BG570" s="39" t="n">
        <f aca="false">RANK(BB570,$BB$2:$BB$881,0)</f>
        <v>434</v>
      </c>
      <c r="BH570" s="39" t="n">
        <f aca="false">RANK(BC570,$BC$2:$BC$881,0)</f>
        <v>268</v>
      </c>
      <c r="BI570" s="22" t="s">
        <v>130</v>
      </c>
      <c r="BJ570" s="22" t="s">
        <v>129</v>
      </c>
      <c r="BK570" s="40" t="s">
        <v>131</v>
      </c>
      <c r="BL570" s="41" t="n">
        <v>22</v>
      </c>
      <c r="BM570" s="41" t="n">
        <v>59</v>
      </c>
      <c r="BN570" s="41" t="n">
        <v>81</v>
      </c>
      <c r="BO570" s="42" t="n">
        <v>28</v>
      </c>
      <c r="BP570" s="43" t="n">
        <v>54</v>
      </c>
      <c r="BQ570" s="44" t="n">
        <v>82</v>
      </c>
      <c r="BR570" s="42" t="n">
        <v>22</v>
      </c>
      <c r="BS570" s="45" t="n">
        <v>56</v>
      </c>
      <c r="BT570" s="45" t="n">
        <v>78</v>
      </c>
      <c r="BU570" s="46" t="n">
        <v>99</v>
      </c>
      <c r="BV570" s="47" t="n">
        <v>88</v>
      </c>
      <c r="BW570" s="42" t="n">
        <v>99</v>
      </c>
      <c r="BX570" s="48" t="n">
        <v>98</v>
      </c>
      <c r="BY570" s="32" t="n">
        <v>19</v>
      </c>
      <c r="BZ570" s="32" t="n">
        <v>53</v>
      </c>
      <c r="CA570" s="48" t="n">
        <v>72</v>
      </c>
      <c r="CB570" s="32" t="n">
        <v>18</v>
      </c>
      <c r="CC570" s="32" t="n">
        <v>29</v>
      </c>
      <c r="CD570" s="69" t="n">
        <v>47</v>
      </c>
      <c r="CE570" s="32" t="n">
        <v>26</v>
      </c>
      <c r="CF570" s="32" t="n">
        <v>42</v>
      </c>
      <c r="CG570" s="32" t="n">
        <v>68</v>
      </c>
      <c r="CH570" s="32" t="n">
        <v>96</v>
      </c>
      <c r="CI570" s="32" t="n">
        <v>92</v>
      </c>
      <c r="CJ570" s="49" t="n">
        <v>14</v>
      </c>
      <c r="CK570" s="49" t="n">
        <v>49</v>
      </c>
      <c r="CL570" s="84" t="n">
        <v>63</v>
      </c>
      <c r="CM570" s="49" t="n">
        <v>16</v>
      </c>
      <c r="CN570" s="49" t="n">
        <v>52</v>
      </c>
      <c r="CO570" s="49" t="n">
        <v>68</v>
      </c>
      <c r="CP570" s="25" t="n">
        <f aca="false">BX570+BW570+BV570+BU570+BT570+BQ570+BN570</f>
        <v>625</v>
      </c>
      <c r="CQ570" s="25" t="n">
        <f aca="false">CO570+CL570+CI570+CH570+CG570+CD570+CA570</f>
        <v>506</v>
      </c>
      <c r="CR570" s="26" t="n">
        <f aca="false">CP570/7</f>
        <v>89.2857142857143</v>
      </c>
      <c r="CS570" s="26" t="n">
        <f aca="false">CQ570/7</f>
        <v>72.2857142857143</v>
      </c>
      <c r="CT570" s="24" t="n">
        <f aca="false">RANK(CR570,$CR$2:$CR$881,0)</f>
        <v>228</v>
      </c>
      <c r="CU570" s="25" t="n">
        <f aca="false">RANK(CS570,$CS$2:$CS$881,0)</f>
        <v>501</v>
      </c>
      <c r="CV570" s="26" t="n">
        <f aca="false">(CS570+CR570)/2</f>
        <v>80.7857142857143</v>
      </c>
      <c r="CW570" s="25" t="n">
        <f aca="false">RANK(CV570,$CV$2:$CV$881,0)</f>
        <v>393</v>
      </c>
      <c r="CX570" s="50" t="n">
        <f aca="false">(CV570+BB570)/2</f>
        <v>79.9928571428572</v>
      </c>
      <c r="CY570" s="50" t="n">
        <v>412</v>
      </c>
      <c r="CZ570" s="27" t="s">
        <v>132</v>
      </c>
      <c r="DA570" s="27" t="s">
        <v>202</v>
      </c>
      <c r="DB570" s="27" t="s">
        <v>202</v>
      </c>
      <c r="DC570" s="27" t="s">
        <v>134</v>
      </c>
      <c r="DD570" s="27" t="s">
        <v>174</v>
      </c>
      <c r="DE570" s="27" t="s">
        <v>375</v>
      </c>
      <c r="DF570" s="27" t="s">
        <v>398</v>
      </c>
      <c r="DG570" s="27" t="s">
        <v>134</v>
      </c>
      <c r="DH570" s="27" t="s">
        <v>706</v>
      </c>
      <c r="DI570" s="27" t="s">
        <v>1407</v>
      </c>
      <c r="DJ570" s="27" t="s">
        <v>306</v>
      </c>
      <c r="DK570" s="27" t="s">
        <v>480</v>
      </c>
      <c r="DL570" s="27" t="s">
        <v>174</v>
      </c>
      <c r="DM570" s="27" t="s">
        <v>638</v>
      </c>
      <c r="DN570" s="27" t="s">
        <v>141</v>
      </c>
      <c r="DO570" s="27" t="s">
        <v>134</v>
      </c>
      <c r="DP570" s="27"/>
      <c r="DQ570" s="27"/>
      <c r="DR570" s="27"/>
      <c r="DS570" s="27"/>
      <c r="DT570" s="27" t="s">
        <v>182</v>
      </c>
      <c r="DU570" s="27" t="s">
        <v>1423</v>
      </c>
      <c r="DV570" s="27" t="s">
        <v>306</v>
      </c>
      <c r="DW570" s="27" t="s">
        <v>182</v>
      </c>
      <c r="DX570" s="27" t="s">
        <v>161</v>
      </c>
      <c r="DY570" s="27" t="s">
        <v>175</v>
      </c>
      <c r="DZ570" s="27" t="n">
        <f aca="false">DY570+DV570+DR570+DN570+DJ570+DF570+DB570</f>
        <v>420</v>
      </c>
      <c r="EA570" s="28" t="n">
        <f aca="false">DZ570/7</f>
        <v>60</v>
      </c>
      <c r="EB570" s="27" t="n">
        <f aca="false">RANK(EA570,$EA$2:$EA$881,0)</f>
        <v>781</v>
      </c>
      <c r="EC570" s="29" t="n">
        <f aca="false">DZ570+CQ570+CP570+AZ570</f>
        <v>2343</v>
      </c>
      <c r="ED570" s="30" t="n">
        <f aca="false">(EA570+CV570+BB570)/3</f>
        <v>73.3285714285714</v>
      </c>
      <c r="EE570" s="51" t="n">
        <f aca="false">ROUND(BE570,3)</f>
        <v>86.9</v>
      </c>
      <c r="EF570" s="51" t="n">
        <f aca="false">ROUND(CR570,3)</f>
        <v>89.286</v>
      </c>
      <c r="EG570" s="51" t="n">
        <f aca="false">ROUND(CS570,3)</f>
        <v>72.286</v>
      </c>
      <c r="EH570" s="51" t="n">
        <f aca="false">ROUND(EA570,3)</f>
        <v>60</v>
      </c>
      <c r="EI570" s="51" t="n">
        <f aca="false">ROUND(ED570,3)</f>
        <v>73.329</v>
      </c>
      <c r="EJ570" s="51" t="n">
        <f aca="false">ROUND(CV570,3)</f>
        <v>80.786</v>
      </c>
      <c r="EK570" s="0" t="n">
        <f aca="false">RANK(EI570,$EI$2:$EI$881,0)</f>
        <v>569</v>
      </c>
    </row>
    <row r="571" customFormat="false" ht="15" hidden="false" customHeight="false" outlineLevel="0" collapsed="false">
      <c r="A571" s="4" t="n">
        <v>8806</v>
      </c>
      <c r="B571" s="4" t="n">
        <v>347</v>
      </c>
      <c r="C571" s="27" t="s">
        <v>1701</v>
      </c>
      <c r="D571" s="31" t="n">
        <v>350</v>
      </c>
      <c r="E571" s="16" t="n">
        <v>230720408</v>
      </c>
      <c r="F571" s="56" t="s">
        <v>1702</v>
      </c>
      <c r="G571" s="22" t="s">
        <v>900</v>
      </c>
      <c r="H571" s="22" t="s">
        <v>1703</v>
      </c>
      <c r="I571" s="57"/>
      <c r="J571" s="16" t="n">
        <v>69</v>
      </c>
      <c r="K571" s="16" t="n">
        <v>84</v>
      </c>
      <c r="L571" s="34" t="n">
        <f aca="false">(K571*70)/100</f>
        <v>58.8</v>
      </c>
      <c r="M571" s="34" t="n">
        <f aca="false">ROUNDUP(L571,0)</f>
        <v>59</v>
      </c>
      <c r="N571" s="16" t="n">
        <v>25</v>
      </c>
      <c r="O571" s="34" t="n">
        <f aca="false">N571+L571</f>
        <v>83.8</v>
      </c>
      <c r="P571" s="34" t="n">
        <f aca="false">N571+M571</f>
        <v>84</v>
      </c>
      <c r="Q571" s="16" t="n">
        <v>72</v>
      </c>
      <c r="R571" s="16" t="n">
        <v>74</v>
      </c>
      <c r="S571" s="34" t="n">
        <f aca="false">(R571*70)/100</f>
        <v>51.8</v>
      </c>
      <c r="T571" s="34" t="n">
        <f aca="false">ROUNDUP(S571,0)</f>
        <v>52</v>
      </c>
      <c r="U571" s="16" t="n">
        <v>23</v>
      </c>
      <c r="V571" s="34" t="n">
        <f aca="false">U571+S571</f>
        <v>74.8</v>
      </c>
      <c r="W571" s="34" t="n">
        <f aca="false">U571+T571</f>
        <v>75</v>
      </c>
      <c r="X571" s="16" t="n">
        <v>68</v>
      </c>
      <c r="Y571" s="34" t="n">
        <f aca="false">(X571*70)/100</f>
        <v>47.6</v>
      </c>
      <c r="Z571" s="34" t="n">
        <f aca="false">ROUNDUP(Y571,0)</f>
        <v>48</v>
      </c>
      <c r="AA571" s="16" t="n">
        <v>20</v>
      </c>
      <c r="AB571" s="34" t="n">
        <f aca="false">AA571+Y571</f>
        <v>67.6</v>
      </c>
      <c r="AC571" s="34" t="n">
        <f aca="false">AA571+Z571</f>
        <v>68</v>
      </c>
      <c r="AD571" s="32" t="n">
        <f aca="false">X571+R571+Q571+K571+J571</f>
        <v>367</v>
      </c>
      <c r="AE571" s="16" t="n">
        <f aca="false">AD571/5</f>
        <v>73.4</v>
      </c>
      <c r="AF571" s="16" t="n">
        <v>76</v>
      </c>
      <c r="AG571" s="16" t="n">
        <v>83</v>
      </c>
      <c r="AH571" s="16" t="n">
        <v>91</v>
      </c>
      <c r="AI571" s="16" t="n">
        <v>93</v>
      </c>
      <c r="AJ571" s="16" t="n">
        <f aca="false">(AI571*70)/100</f>
        <v>65.1</v>
      </c>
      <c r="AK571" s="35" t="n">
        <f aca="false">ROUNDUP(AJ571,0)</f>
        <v>66</v>
      </c>
      <c r="AL571" s="16" t="n">
        <v>22</v>
      </c>
      <c r="AM571" s="16" t="n">
        <f aca="false">AL571+AJ571</f>
        <v>87.1</v>
      </c>
      <c r="AN571" s="16" t="n">
        <f aca="false">AL571+AK571</f>
        <v>88</v>
      </c>
      <c r="AO571" s="16" t="n">
        <v>78</v>
      </c>
      <c r="AP571" s="36" t="n">
        <f aca="false">(AO571*70)/100</f>
        <v>54.6</v>
      </c>
      <c r="AQ571" s="37" t="n">
        <f aca="false">ROUNDUP(AP571,0)</f>
        <v>55</v>
      </c>
      <c r="AR571" s="16" t="n">
        <v>22</v>
      </c>
      <c r="AS571" s="16" t="n">
        <f aca="false">AR571+AP571</f>
        <v>76.6</v>
      </c>
      <c r="AT571" s="16" t="n">
        <f aca="false">AR571+AQ571</f>
        <v>77</v>
      </c>
      <c r="AU571" s="16" t="n">
        <f aca="false">AO571+AF571+AI571+AH571+AG571</f>
        <v>421</v>
      </c>
      <c r="AV571" s="16" t="n">
        <f aca="false">(AO571+AF571+AI571+AH571+AG571)/5</f>
        <v>84.2</v>
      </c>
      <c r="AW571" s="36" t="n">
        <f aca="false">(AO571+AF571+AI571+AH571+AG571+X571+R571+Q571+K571+J571)</f>
        <v>788</v>
      </c>
      <c r="AX571" s="16" t="n">
        <f aca="false">AW571/10</f>
        <v>78.8</v>
      </c>
      <c r="AY571" s="16" t="n">
        <f aca="false">AS571+AF571+AM571+AH571+AG571+AB571+V571+Q571+O571+J571</f>
        <v>780.9</v>
      </c>
      <c r="AZ571" s="16" t="n">
        <f aca="false">AT571+AF571+AN571+AH571+AG571+AC571+W571+Q571+P571+J571</f>
        <v>783</v>
      </c>
      <c r="BA571" s="16" t="n">
        <f aca="false">AY571/10</f>
        <v>78.09</v>
      </c>
      <c r="BB571" s="16" t="n">
        <f aca="false">AZ571/10</f>
        <v>78.3</v>
      </c>
      <c r="BC571" s="16" t="n">
        <v>2332</v>
      </c>
      <c r="BD571" s="16" t="n">
        <f aca="false">RANK(AX571,$AX$2:$AX$881,0)</f>
        <v>351</v>
      </c>
      <c r="BE571" s="54" t="n">
        <f aca="false">((BC571*100)/2400)*0.4+(AX571*0.6)</f>
        <v>86.1466666666667</v>
      </c>
      <c r="BF571" s="16" t="n">
        <f aca="false">RANK(BE571,$BE$2:$BE$881,0)</f>
        <v>412</v>
      </c>
      <c r="BG571" s="39" t="n">
        <f aca="false">RANK(BB571,$BB$2:$BB$881,0)</f>
        <v>534</v>
      </c>
      <c r="BH571" s="39" t="n">
        <f aca="false">RANK(BC571,$BC$2:$BC$881,0)</f>
        <v>709</v>
      </c>
      <c r="BI571" s="22" t="s">
        <v>130</v>
      </c>
      <c r="BJ571" s="22" t="s">
        <v>129</v>
      </c>
      <c r="BK571" s="40" t="s">
        <v>131</v>
      </c>
      <c r="BL571" s="41" t="n">
        <v>18</v>
      </c>
      <c r="BM571" s="41" t="n">
        <v>57</v>
      </c>
      <c r="BN571" s="41" t="n">
        <v>75</v>
      </c>
      <c r="BO571" s="42" t="n">
        <v>20</v>
      </c>
      <c r="BP571" s="61"/>
      <c r="BQ571" s="61"/>
      <c r="BR571" s="42" t="n">
        <v>23</v>
      </c>
      <c r="BS571" s="80"/>
      <c r="BT571" s="80"/>
      <c r="BU571" s="46" t="n">
        <v>99</v>
      </c>
      <c r="BV571" s="47" t="n">
        <v>88</v>
      </c>
      <c r="BW571" s="42" t="n">
        <v>79</v>
      </c>
      <c r="BX571" s="48" t="n">
        <v>94</v>
      </c>
      <c r="BY571" s="32" t="n">
        <v>23</v>
      </c>
      <c r="BZ571" s="32" t="n">
        <v>43</v>
      </c>
      <c r="CA571" s="32" t="n">
        <v>66</v>
      </c>
      <c r="CB571" s="32" t="n">
        <v>22</v>
      </c>
      <c r="CC571" s="32" t="n">
        <v>36</v>
      </c>
      <c r="CD571" s="69" t="n">
        <v>58</v>
      </c>
      <c r="CE571" s="32" t="n">
        <v>24</v>
      </c>
      <c r="CF571" s="32" t="n">
        <v>44</v>
      </c>
      <c r="CG571" s="32" t="n">
        <v>68</v>
      </c>
      <c r="CH571" s="32" t="n">
        <v>96</v>
      </c>
      <c r="CI571" s="32" t="n">
        <v>90</v>
      </c>
      <c r="CJ571" s="49" t="n">
        <v>22</v>
      </c>
      <c r="CK571" s="49" t="n">
        <v>43</v>
      </c>
      <c r="CL571" s="49" t="n">
        <v>65</v>
      </c>
      <c r="CM571" s="49" t="n">
        <v>20</v>
      </c>
      <c r="CN571" s="58" t="n">
        <v>56</v>
      </c>
      <c r="CO571" s="58" t="n">
        <v>76</v>
      </c>
      <c r="CP571" s="25" t="n">
        <f aca="false">BX571+BW571+BV571+BU571+BT571+BQ571+BN571</f>
        <v>435</v>
      </c>
      <c r="CQ571" s="25" t="n">
        <f aca="false">CO571+CL571+CI571+CH571+CG571+CD571+CA571</f>
        <v>519</v>
      </c>
      <c r="CR571" s="26" t="n">
        <f aca="false">CP571/7</f>
        <v>62.1428571428571</v>
      </c>
      <c r="CS571" s="26" t="n">
        <f aca="false">CQ571/7</f>
        <v>74.1428571428571</v>
      </c>
      <c r="CT571" s="24" t="n">
        <f aca="false">RANK(CR571,$CR$2:$CR$881,0)</f>
        <v>713</v>
      </c>
      <c r="CU571" s="25" t="n">
        <f aca="false">RANK(CS571,$CS$2:$CS$881,0)</f>
        <v>451</v>
      </c>
      <c r="CV571" s="26" t="n">
        <f aca="false">(CS571+CR571)/2</f>
        <v>68.1428571428571</v>
      </c>
      <c r="CW571" s="25" t="n">
        <f aca="false">RANK(CV571,$CV$2:$CV$881,0)</f>
        <v>651</v>
      </c>
      <c r="CX571" s="50" t="n">
        <f aca="false">(CV571+BB571)/2</f>
        <v>73.2214285714286</v>
      </c>
      <c r="CY571" s="50" t="n">
        <v>610</v>
      </c>
      <c r="CZ571" s="27" t="s">
        <v>132</v>
      </c>
      <c r="DA571" s="27" t="s">
        <v>305</v>
      </c>
      <c r="DB571" s="27" t="s">
        <v>305</v>
      </c>
      <c r="DC571" s="27" t="s">
        <v>134</v>
      </c>
      <c r="DD571" s="27" t="s">
        <v>195</v>
      </c>
      <c r="DE571" s="27" t="s">
        <v>412</v>
      </c>
      <c r="DF571" s="27" t="s">
        <v>398</v>
      </c>
      <c r="DG571" s="27" t="s">
        <v>134</v>
      </c>
      <c r="DH571" s="27" t="s">
        <v>182</v>
      </c>
      <c r="DI571" s="27" t="s">
        <v>218</v>
      </c>
      <c r="DJ571" s="27" t="s">
        <v>196</v>
      </c>
      <c r="DK571" s="27" t="s">
        <v>134</v>
      </c>
      <c r="DL571" s="27" t="s">
        <v>264</v>
      </c>
      <c r="DM571" s="27" t="s">
        <v>399</v>
      </c>
      <c r="DN571" s="27" t="s">
        <v>141</v>
      </c>
      <c r="DO571" s="27" t="s">
        <v>134</v>
      </c>
      <c r="DP571" s="27" t="s">
        <v>604</v>
      </c>
      <c r="DQ571" s="27" t="s">
        <v>673</v>
      </c>
      <c r="DR571" s="27" t="s">
        <v>218</v>
      </c>
      <c r="DS571" s="27" t="s">
        <v>480</v>
      </c>
      <c r="DT571" s="27" t="s">
        <v>182</v>
      </c>
      <c r="DU571" s="27" t="s">
        <v>645</v>
      </c>
      <c r="DV571" s="27" t="s">
        <v>143</v>
      </c>
      <c r="DW571" s="27" t="s">
        <v>174</v>
      </c>
      <c r="DX571" s="27" t="s">
        <v>138</v>
      </c>
      <c r="DY571" s="27" t="s">
        <v>170</v>
      </c>
      <c r="DZ571" s="27" t="n">
        <f aca="false">DY571+DV571+DR571+DN571+DJ571+DF571+DB571</f>
        <v>514</v>
      </c>
      <c r="EA571" s="28" t="n">
        <f aca="false">DZ571/7</f>
        <v>73.4285714285714</v>
      </c>
      <c r="EB571" s="27" t="n">
        <f aca="false">RANK(EA571,$EA$2:$EA$881,0)</f>
        <v>586</v>
      </c>
      <c r="EC571" s="29" t="n">
        <f aca="false">DZ571+CQ571+CP571+AZ571</f>
        <v>2251</v>
      </c>
      <c r="ED571" s="30" t="n">
        <f aca="false">(EA571+CV571+BB571)/3</f>
        <v>73.2904761904762</v>
      </c>
      <c r="EE571" s="51" t="n">
        <f aca="false">ROUND(BE571,3)</f>
        <v>86.147</v>
      </c>
      <c r="EF571" s="51" t="n">
        <f aca="false">ROUND(CR571,3)</f>
        <v>62.143</v>
      </c>
      <c r="EG571" s="51" t="n">
        <f aca="false">ROUND(CS571,3)</f>
        <v>74.143</v>
      </c>
      <c r="EH571" s="51" t="n">
        <f aca="false">ROUND(EA571,3)</f>
        <v>73.429</v>
      </c>
      <c r="EI571" s="51" t="n">
        <f aca="false">ROUND(ED571,3)</f>
        <v>73.29</v>
      </c>
      <c r="EJ571" s="51" t="n">
        <f aca="false">ROUND(CV571,3)</f>
        <v>68.143</v>
      </c>
      <c r="EK571" s="0" t="n">
        <f aca="false">RANK(EI571,$EI$2:$EI$881,0)</f>
        <v>570</v>
      </c>
    </row>
    <row r="572" customFormat="false" ht="15" hidden="false" customHeight="false" outlineLevel="0" collapsed="false">
      <c r="A572" s="4" t="n">
        <v>9126</v>
      </c>
      <c r="B572" s="4" t="n">
        <v>516</v>
      </c>
      <c r="C572" s="27" t="s">
        <v>1704</v>
      </c>
      <c r="D572" s="31" t="n">
        <v>521</v>
      </c>
      <c r="E572" s="32" t="n">
        <v>230312230</v>
      </c>
      <c r="F572" s="8" t="s">
        <v>1705</v>
      </c>
      <c r="G572" s="22" t="s">
        <v>1496</v>
      </c>
      <c r="H572" s="22" t="s">
        <v>129</v>
      </c>
      <c r="I572" s="33" t="n">
        <v>2005</v>
      </c>
      <c r="J572" s="32" t="n">
        <v>69</v>
      </c>
      <c r="K572" s="32" t="n">
        <v>91</v>
      </c>
      <c r="L572" s="34" t="n">
        <f aca="false">(K572*70)/100</f>
        <v>63.7</v>
      </c>
      <c r="M572" s="34" t="n">
        <f aca="false">ROUNDUP(L572,0)</f>
        <v>64</v>
      </c>
      <c r="N572" s="32" t="n">
        <v>24</v>
      </c>
      <c r="O572" s="34" t="n">
        <f aca="false">N572+L572</f>
        <v>87.7</v>
      </c>
      <c r="P572" s="34" t="n">
        <f aca="false">N572+M572</f>
        <v>88</v>
      </c>
      <c r="Q572" s="32" t="n">
        <v>75</v>
      </c>
      <c r="R572" s="32" t="n">
        <v>78</v>
      </c>
      <c r="S572" s="34" t="n">
        <f aca="false">(R572*70)/100</f>
        <v>54.6</v>
      </c>
      <c r="T572" s="34" t="n">
        <f aca="false">ROUNDUP(S572,0)</f>
        <v>55</v>
      </c>
      <c r="U572" s="32" t="n">
        <v>21</v>
      </c>
      <c r="V572" s="34" t="n">
        <f aca="false">U572+S572</f>
        <v>75.6</v>
      </c>
      <c r="W572" s="34" t="n">
        <f aca="false">U572+T572</f>
        <v>76</v>
      </c>
      <c r="X572" s="32" t="n">
        <v>70</v>
      </c>
      <c r="Y572" s="34" t="n">
        <f aca="false">(X572*70)/100</f>
        <v>49</v>
      </c>
      <c r="Z572" s="34" t="n">
        <f aca="false">ROUNDUP(Y572,0)</f>
        <v>49</v>
      </c>
      <c r="AA572" s="32" t="n">
        <v>24</v>
      </c>
      <c r="AB572" s="34" t="n">
        <f aca="false">AA572+Y572</f>
        <v>73</v>
      </c>
      <c r="AC572" s="34" t="n">
        <f aca="false">AA572+Z572</f>
        <v>73</v>
      </c>
      <c r="AD572" s="32" t="n">
        <f aca="false">X572+R572+Q572+K572+J572</f>
        <v>383</v>
      </c>
      <c r="AE572" s="16" t="n">
        <f aca="false">AD572/5</f>
        <v>76.6</v>
      </c>
      <c r="AF572" s="16" t="n">
        <v>73</v>
      </c>
      <c r="AG572" s="16" t="n">
        <v>75</v>
      </c>
      <c r="AH572" s="16" t="n">
        <v>88</v>
      </c>
      <c r="AI572" s="16" t="n">
        <v>92</v>
      </c>
      <c r="AJ572" s="16" t="n">
        <f aca="false">(AI572*70)/100</f>
        <v>64.4</v>
      </c>
      <c r="AK572" s="35" t="n">
        <f aca="false">ROUNDUP(AJ572,0)</f>
        <v>65</v>
      </c>
      <c r="AL572" s="16" t="n">
        <v>24</v>
      </c>
      <c r="AM572" s="16" t="n">
        <f aca="false">AL572+AJ572</f>
        <v>88.4</v>
      </c>
      <c r="AN572" s="16" t="n">
        <f aca="false">AL572+AK572</f>
        <v>89</v>
      </c>
      <c r="AO572" s="16" t="n">
        <v>80</v>
      </c>
      <c r="AP572" s="36" t="n">
        <f aca="false">(AO572*70)/100</f>
        <v>56</v>
      </c>
      <c r="AQ572" s="37" t="n">
        <f aca="false">ROUNDUP(AP572,0)</f>
        <v>56</v>
      </c>
      <c r="AR572" s="16" t="n">
        <v>27</v>
      </c>
      <c r="AS572" s="16" t="n">
        <f aca="false">AR572+AP572</f>
        <v>83</v>
      </c>
      <c r="AT572" s="16" t="n">
        <f aca="false">AR572+AQ572</f>
        <v>83</v>
      </c>
      <c r="AU572" s="16" t="n">
        <f aca="false">AO572+AF572+AI572+AH572+AG572</f>
        <v>408</v>
      </c>
      <c r="AV572" s="16" t="n">
        <f aca="false">(AO572+AF572+AI572+AH572+AG572)/5</f>
        <v>81.6</v>
      </c>
      <c r="AW572" s="36" t="n">
        <f aca="false">(AO572+AF572+AI572+AH572+AG572+X572+R572+Q572+K572+J572)</f>
        <v>791</v>
      </c>
      <c r="AX572" s="16" t="n">
        <f aca="false">AW572/10</f>
        <v>79.1</v>
      </c>
      <c r="AY572" s="16" t="n">
        <f aca="false">AS572+AF572+AM572+AH572+AG572+AB572+V572+Q572+O572+J572</f>
        <v>787.7</v>
      </c>
      <c r="AZ572" s="16" t="n">
        <f aca="false">AT572+AF572+AN572+AH572+AG572+AC572+W572+Q572+P572+J572</f>
        <v>789</v>
      </c>
      <c r="BA572" s="16" t="n">
        <f aca="false">AY572/10</f>
        <v>78.77</v>
      </c>
      <c r="BB572" s="16" t="n">
        <f aca="false">AZ572/10</f>
        <v>78.9</v>
      </c>
      <c r="BC572" s="16" t="n">
        <v>2344</v>
      </c>
      <c r="BD572" s="16" t="n">
        <f aca="false">RANK(AX572,$AX$2:$AX$881,0)</f>
        <v>324</v>
      </c>
      <c r="BE572" s="54" t="n">
        <f aca="false">((BC572*100)/2400)*0.4+(AX572*0.6)</f>
        <v>86.5266666666667</v>
      </c>
      <c r="BF572" s="16" t="n">
        <f aca="false">RANK(BE572,$BE$2:$BE$881,0)</f>
        <v>348</v>
      </c>
      <c r="BG572" s="39" t="n">
        <f aca="false">RANK(BB572,$BB$2:$BB$881,0)</f>
        <v>463</v>
      </c>
      <c r="BH572" s="39" t="n">
        <f aca="false">RANK(BC572,$BC$2:$BC$881,0)</f>
        <v>598</v>
      </c>
      <c r="BI572" s="22" t="s">
        <v>130</v>
      </c>
      <c r="BJ572" s="22" t="s">
        <v>129</v>
      </c>
      <c r="BK572" s="40" t="s">
        <v>131</v>
      </c>
      <c r="BL572" s="41" t="n">
        <v>21</v>
      </c>
      <c r="BM572" s="41" t="n">
        <v>61</v>
      </c>
      <c r="BN572" s="41" t="n">
        <v>82</v>
      </c>
      <c r="BO572" s="42" t="n">
        <v>23</v>
      </c>
      <c r="BP572" s="43" t="n">
        <v>64</v>
      </c>
      <c r="BQ572" s="44" t="n">
        <v>87</v>
      </c>
      <c r="BR572" s="42" t="n">
        <v>21</v>
      </c>
      <c r="BS572" s="45" t="n">
        <v>63</v>
      </c>
      <c r="BT572" s="45" t="n">
        <v>84</v>
      </c>
      <c r="BU572" s="46" t="n">
        <v>100</v>
      </c>
      <c r="BV572" s="47" t="n">
        <v>70</v>
      </c>
      <c r="BW572" s="42" t="n">
        <v>100</v>
      </c>
      <c r="BX572" s="48" t="n">
        <v>82</v>
      </c>
      <c r="BY572" s="32" t="n">
        <v>21</v>
      </c>
      <c r="BZ572" s="32" t="n">
        <v>52</v>
      </c>
      <c r="CA572" s="32" t="n">
        <v>73</v>
      </c>
      <c r="CB572" s="32" t="n">
        <v>17</v>
      </c>
      <c r="CC572" s="32" t="n">
        <v>39</v>
      </c>
      <c r="CD572" s="69" t="n">
        <v>56</v>
      </c>
      <c r="CE572" s="32" t="n">
        <v>24</v>
      </c>
      <c r="CF572" s="60"/>
      <c r="CG572" s="60"/>
      <c r="CH572" s="32" t="n">
        <v>93</v>
      </c>
      <c r="CI572" s="32" t="n">
        <v>86</v>
      </c>
      <c r="CJ572" s="49" t="n">
        <v>20</v>
      </c>
      <c r="CK572" s="49" t="n">
        <v>49</v>
      </c>
      <c r="CL572" s="49" t="n">
        <v>69</v>
      </c>
      <c r="CM572" s="49" t="n">
        <v>20</v>
      </c>
      <c r="CN572" s="49" t="n">
        <v>52</v>
      </c>
      <c r="CO572" s="49" t="n">
        <v>72</v>
      </c>
      <c r="CP572" s="25" t="n">
        <f aca="false">BX572+BW572+BV572+BU572+BT572+BQ572+BN572</f>
        <v>605</v>
      </c>
      <c r="CQ572" s="25" t="n">
        <f aca="false">CO572+CL572+CI572+CH572+CG572+CD572+CA572</f>
        <v>449</v>
      </c>
      <c r="CR572" s="26" t="n">
        <f aca="false">CP572/7</f>
        <v>86.4285714285714</v>
      </c>
      <c r="CS572" s="26" t="n">
        <f aca="false">CQ572/7</f>
        <v>64.1428571428571</v>
      </c>
      <c r="CT572" s="24" t="n">
        <f aca="false">RANK(CR572,$CR$2:$CR$881,0)</f>
        <v>377</v>
      </c>
      <c r="CU572" s="25" t="n">
        <f aca="false">RANK(CS572,$CS$2:$CS$881,0)</f>
        <v>639</v>
      </c>
      <c r="CV572" s="26" t="n">
        <f aca="false">(CS572+CR572)/2</f>
        <v>75.2857142857143</v>
      </c>
      <c r="CW572" s="25" t="n">
        <f aca="false">RANK(CV572,$CV$2:$CV$881,0)</f>
        <v>551</v>
      </c>
      <c r="CX572" s="50" t="n">
        <f aca="false">(CV572+BB572)/2</f>
        <v>77.0928571428571</v>
      </c>
      <c r="CY572" s="50" t="n">
        <v>501</v>
      </c>
      <c r="CZ572" s="27" t="s">
        <v>132</v>
      </c>
      <c r="DA572" s="27" t="s">
        <v>175</v>
      </c>
      <c r="DB572" s="27" t="s">
        <v>175</v>
      </c>
      <c r="DC572" s="27" t="s">
        <v>134</v>
      </c>
      <c r="DD572" s="27"/>
      <c r="DE572" s="27"/>
      <c r="DF572" s="27"/>
      <c r="DG572" s="27"/>
      <c r="DH572" s="27" t="s">
        <v>195</v>
      </c>
      <c r="DI572" s="27" t="s">
        <v>399</v>
      </c>
      <c r="DJ572" s="27" t="s">
        <v>138</v>
      </c>
      <c r="DK572" s="27" t="s">
        <v>134</v>
      </c>
      <c r="DL572" s="27" t="s">
        <v>137</v>
      </c>
      <c r="DM572" s="27" t="s">
        <v>399</v>
      </c>
      <c r="DN572" s="27" t="s">
        <v>372</v>
      </c>
      <c r="DO572" s="27" t="s">
        <v>134</v>
      </c>
      <c r="DP572" s="27" t="s">
        <v>264</v>
      </c>
      <c r="DQ572" s="27" t="s">
        <v>412</v>
      </c>
      <c r="DR572" s="27" t="s">
        <v>155</v>
      </c>
      <c r="DS572" s="27" t="s">
        <v>134</v>
      </c>
      <c r="DT572" s="27" t="s">
        <v>182</v>
      </c>
      <c r="DU572" s="27" t="s">
        <v>415</v>
      </c>
      <c r="DV572" s="27" t="s">
        <v>416</v>
      </c>
      <c r="DW572" s="27" t="s">
        <v>182</v>
      </c>
      <c r="DX572" s="27" t="s">
        <v>187</v>
      </c>
      <c r="DY572" s="27" t="s">
        <v>153</v>
      </c>
      <c r="DZ572" s="27" t="n">
        <f aca="false">DY572+DV572+DR572+DN572+DJ572+DF572+DB572</f>
        <v>459</v>
      </c>
      <c r="EA572" s="28" t="n">
        <f aca="false">DZ572/7</f>
        <v>65.5714285714286</v>
      </c>
      <c r="EB572" s="27" t="n">
        <f aca="false">RANK(EA572,$EA$2:$EA$881,0)</f>
        <v>724</v>
      </c>
      <c r="EC572" s="29" t="n">
        <f aca="false">DZ572+CQ572+CP572+AZ572</f>
        <v>2302</v>
      </c>
      <c r="ED572" s="30" t="n">
        <f aca="false">(EA572+CV572+BB572)/3</f>
        <v>73.252380952381</v>
      </c>
      <c r="EE572" s="51" t="n">
        <f aca="false">ROUND(BE572,3)</f>
        <v>86.527</v>
      </c>
      <c r="EF572" s="51" t="n">
        <f aca="false">ROUND(CR572,3)</f>
        <v>86.429</v>
      </c>
      <c r="EG572" s="51" t="n">
        <f aca="false">ROUND(CS572,3)</f>
        <v>64.143</v>
      </c>
      <c r="EH572" s="51" t="n">
        <f aca="false">ROUND(EA572,3)</f>
        <v>65.571</v>
      </c>
      <c r="EI572" s="51" t="n">
        <f aca="false">ROUND(ED572,3)</f>
        <v>73.252</v>
      </c>
      <c r="EJ572" s="51" t="n">
        <f aca="false">ROUND(CV572,3)</f>
        <v>75.286</v>
      </c>
      <c r="EK572" s="0" t="n">
        <f aca="false">RANK(EI572,$EI$2:$EI$881,0)</f>
        <v>571</v>
      </c>
    </row>
    <row r="573" customFormat="false" ht="15" hidden="false" customHeight="false" outlineLevel="0" collapsed="false">
      <c r="A573" s="4" t="n">
        <v>2044</v>
      </c>
      <c r="B573" s="4" t="n">
        <v>850</v>
      </c>
      <c r="C573" s="27" t="s">
        <v>1706</v>
      </c>
      <c r="D573" s="31" t="n">
        <v>868</v>
      </c>
      <c r="E573" s="16" t="n">
        <v>234300113</v>
      </c>
      <c r="F573" s="56" t="s">
        <v>1707</v>
      </c>
      <c r="G573" s="22" t="s">
        <v>1496</v>
      </c>
      <c r="H573" s="22" t="s">
        <v>326</v>
      </c>
      <c r="I573" s="57"/>
      <c r="J573" s="120" t="n">
        <v>52</v>
      </c>
      <c r="K573" s="16" t="n">
        <v>48</v>
      </c>
      <c r="L573" s="34" t="n">
        <f aca="false">(K573*70)/100</f>
        <v>33.6</v>
      </c>
      <c r="M573" s="34" t="n">
        <f aca="false">ROUNDUP(L573,0)</f>
        <v>34</v>
      </c>
      <c r="N573" s="16" t="n">
        <v>27</v>
      </c>
      <c r="O573" s="34" t="n">
        <f aca="false">N573+L573</f>
        <v>60.6</v>
      </c>
      <c r="P573" s="34" t="n">
        <f aca="false">N573+M573</f>
        <v>61</v>
      </c>
      <c r="Q573" s="16" t="n">
        <v>62</v>
      </c>
      <c r="R573" s="16" t="n">
        <v>46</v>
      </c>
      <c r="S573" s="34" t="n">
        <f aca="false">(R573*70)/100</f>
        <v>32.2</v>
      </c>
      <c r="T573" s="34" t="n">
        <f aca="false">ROUNDUP(S573,0)</f>
        <v>33</v>
      </c>
      <c r="U573" s="16" t="n">
        <v>22</v>
      </c>
      <c r="V573" s="34" t="n">
        <f aca="false">U573+S573</f>
        <v>54.2</v>
      </c>
      <c r="W573" s="91" t="n">
        <f aca="false">U573+T573</f>
        <v>55</v>
      </c>
      <c r="X573" s="16" t="n">
        <v>43</v>
      </c>
      <c r="Y573" s="34" t="n">
        <f aca="false">(X573*70)/100</f>
        <v>30.1</v>
      </c>
      <c r="Z573" s="34" t="n">
        <f aca="false">ROUNDUP(Y573,0)</f>
        <v>31</v>
      </c>
      <c r="AA573" s="16" t="n">
        <v>20</v>
      </c>
      <c r="AB573" s="34" t="n">
        <f aca="false">AA573+Y573</f>
        <v>50.1</v>
      </c>
      <c r="AC573" s="91" t="n">
        <f aca="false">AA573+Z573</f>
        <v>51</v>
      </c>
      <c r="AD573" s="32" t="n">
        <f aca="false">X573+R573+Q573+K573+J573</f>
        <v>251</v>
      </c>
      <c r="AE573" s="16" t="n">
        <f aca="false">AD573/5</f>
        <v>50.2</v>
      </c>
      <c r="AF573" s="16" t="n">
        <v>63</v>
      </c>
      <c r="AG573" s="16" t="n">
        <v>70</v>
      </c>
      <c r="AH573" s="16" t="n">
        <v>80</v>
      </c>
      <c r="AI573" s="16" t="n">
        <v>88</v>
      </c>
      <c r="AJ573" s="16" t="n">
        <f aca="false">(AI573*70)/100</f>
        <v>61.6</v>
      </c>
      <c r="AK573" s="35" t="n">
        <f aca="false">ROUNDUP(AJ573,0)</f>
        <v>62</v>
      </c>
      <c r="AL573" s="16" t="n">
        <v>25</v>
      </c>
      <c r="AM573" s="16" t="n">
        <f aca="false">AL573+AJ573</f>
        <v>86.6</v>
      </c>
      <c r="AN573" s="16" t="n">
        <f aca="false">AL573+AK573</f>
        <v>87</v>
      </c>
      <c r="AO573" s="16" t="n">
        <v>71</v>
      </c>
      <c r="AP573" s="36" t="n">
        <f aca="false">(AO573*70)/100</f>
        <v>49.7</v>
      </c>
      <c r="AQ573" s="37" t="n">
        <f aca="false">ROUNDUP(AP573,0)</f>
        <v>50</v>
      </c>
      <c r="AR573" s="16" t="n">
        <v>26</v>
      </c>
      <c r="AS573" s="16" t="n">
        <f aca="false">AR573+AP573</f>
        <v>75.7</v>
      </c>
      <c r="AT573" s="16" t="n">
        <f aca="false">AR573+AQ573</f>
        <v>76</v>
      </c>
      <c r="AU573" s="16" t="n">
        <f aca="false">AO573+AF573+AI573+AH573+AG573</f>
        <v>372</v>
      </c>
      <c r="AV573" s="16" t="n">
        <f aca="false">(AO573+AF573+AI573+AH573+AG573)/5</f>
        <v>74.4</v>
      </c>
      <c r="AW573" s="36" t="n">
        <f aca="false">(AO573+AF573+AI573+AH573+AG573+X573+R573+Q573+K573+J573)</f>
        <v>623</v>
      </c>
      <c r="AX573" s="16" t="n">
        <f aca="false">AW573/10</f>
        <v>62.3</v>
      </c>
      <c r="AY573" s="16" t="n">
        <f aca="false">AS573+AF573+AM573+AH573+AG573+AB573+V573+Q573+O573+J573</f>
        <v>654.2</v>
      </c>
      <c r="AZ573" s="16" t="n">
        <f aca="false">AT573+AF573+AN573+AH573+AG573+AC573+W573+Q573+P573+J573</f>
        <v>657</v>
      </c>
      <c r="BA573" s="16" t="n">
        <f aca="false">AY573/10</f>
        <v>65.42</v>
      </c>
      <c r="BB573" s="16" t="n">
        <f aca="false">AZ573/10</f>
        <v>65.7</v>
      </c>
      <c r="BC573" s="72" t="n">
        <v>0</v>
      </c>
      <c r="BD573" s="16" t="n">
        <f aca="false">RANK(AX573,$AX$2:$AX$881,0)</f>
        <v>791</v>
      </c>
      <c r="BE573" s="78" t="n">
        <f aca="false">AX573</f>
        <v>62.3</v>
      </c>
      <c r="BF573" s="16" t="n">
        <f aca="false">RANK(BE573,$BE$2:$BE$881,0)</f>
        <v>804</v>
      </c>
      <c r="BG573" s="39" t="n">
        <f aca="false">RANK(BB573,$BB$2:$BB$881,0)</f>
        <v>781</v>
      </c>
      <c r="BH573" s="39" t="n">
        <f aca="false">RANK(BC573,$BC$2:$BC$881,0)</f>
        <v>780</v>
      </c>
      <c r="BI573" s="22" t="s">
        <v>130</v>
      </c>
      <c r="BJ573" s="22" t="s">
        <v>129</v>
      </c>
      <c r="BK573" s="22" t="s">
        <v>526</v>
      </c>
      <c r="BL573" s="41" t="n">
        <v>21</v>
      </c>
      <c r="BM573" s="41" t="n">
        <v>52</v>
      </c>
      <c r="BN573" s="41" t="n">
        <v>73</v>
      </c>
      <c r="BO573" s="42" t="n">
        <v>17</v>
      </c>
      <c r="BP573" s="43" t="n">
        <v>56</v>
      </c>
      <c r="BQ573" s="44" t="n">
        <v>73</v>
      </c>
      <c r="BR573" s="42" t="n">
        <v>26</v>
      </c>
      <c r="BS573" s="45" t="n">
        <v>56</v>
      </c>
      <c r="BT573" s="45" t="n">
        <v>82</v>
      </c>
      <c r="BU573" s="46" t="n">
        <v>100</v>
      </c>
      <c r="BV573" s="81" t="n">
        <v>66</v>
      </c>
      <c r="BW573" s="42" t="n">
        <v>99</v>
      </c>
      <c r="BX573" s="48" t="n">
        <v>96</v>
      </c>
      <c r="BY573" s="32" t="n">
        <v>27</v>
      </c>
      <c r="BZ573" s="32" t="n">
        <v>59</v>
      </c>
      <c r="CA573" s="32" t="n">
        <v>86</v>
      </c>
      <c r="CB573" s="32" t="n">
        <v>23</v>
      </c>
      <c r="CC573" s="32" t="n">
        <v>41</v>
      </c>
      <c r="CD573" s="32" t="n">
        <v>64</v>
      </c>
      <c r="CE573" s="32" t="n">
        <v>22</v>
      </c>
      <c r="CF573" s="32" t="n">
        <v>40</v>
      </c>
      <c r="CG573" s="32" t="n">
        <v>62</v>
      </c>
      <c r="CH573" s="32" t="n">
        <v>95</v>
      </c>
      <c r="CI573" s="25" t="n">
        <v>99</v>
      </c>
      <c r="CJ573" s="49" t="n">
        <v>25</v>
      </c>
      <c r="CK573" s="49" t="n">
        <v>49</v>
      </c>
      <c r="CL573" s="49" t="n">
        <v>74</v>
      </c>
      <c r="CM573" s="49" t="n">
        <v>23</v>
      </c>
      <c r="CN573" s="49" t="n">
        <v>50</v>
      </c>
      <c r="CO573" s="49" t="n">
        <v>73</v>
      </c>
      <c r="CP573" s="25" t="n">
        <f aca="false">BX573+BW573+BV573+BU573+BT573+BQ573+BN573</f>
        <v>589</v>
      </c>
      <c r="CQ573" s="25" t="n">
        <f aca="false">CO573+CL573+CI573+CH573+CG573+CD573+CA573</f>
        <v>553</v>
      </c>
      <c r="CR573" s="26" t="n">
        <f aca="false">CP573/7</f>
        <v>84.1428571428571</v>
      </c>
      <c r="CS573" s="26" t="n">
        <f aca="false">CQ573/7</f>
        <v>79</v>
      </c>
      <c r="CT573" s="24" t="n">
        <f aca="false">RANK(CR573,$CR$2:$CR$881,0)</f>
        <v>474</v>
      </c>
      <c r="CU573" s="25" t="n">
        <f aca="false">RANK(CS573,$CS$2:$CS$881,0)</f>
        <v>300</v>
      </c>
      <c r="CV573" s="26" t="n">
        <f aca="false">(CS573+CR573)/2</f>
        <v>81.5714285714286</v>
      </c>
      <c r="CW573" s="25" t="n">
        <f aca="false">RANK(CV573,$CV$2:$CV$881,0)</f>
        <v>362</v>
      </c>
      <c r="CX573" s="50" t="n">
        <f aca="false">(CV573+BB573)/2</f>
        <v>73.6357142857143</v>
      </c>
      <c r="CY573" s="50" t="n">
        <v>573</v>
      </c>
      <c r="CZ573" s="27" t="s">
        <v>132</v>
      </c>
      <c r="DA573" s="27" t="s">
        <v>219</v>
      </c>
      <c r="DB573" s="27" t="s">
        <v>219</v>
      </c>
      <c r="DC573" s="27" t="s">
        <v>134</v>
      </c>
      <c r="DD573" s="27" t="s">
        <v>182</v>
      </c>
      <c r="DE573" s="27" t="s">
        <v>161</v>
      </c>
      <c r="DF573" s="27" t="s">
        <v>175</v>
      </c>
      <c r="DG573" s="27" t="s">
        <v>134</v>
      </c>
      <c r="DH573" s="27" t="s">
        <v>160</v>
      </c>
      <c r="DI573" s="27" t="s">
        <v>161</v>
      </c>
      <c r="DJ573" s="27" t="s">
        <v>162</v>
      </c>
      <c r="DK573" s="27" t="s">
        <v>134</v>
      </c>
      <c r="DL573" s="27" t="s">
        <v>154</v>
      </c>
      <c r="DM573" s="27" t="s">
        <v>218</v>
      </c>
      <c r="DN573" s="27" t="s">
        <v>219</v>
      </c>
      <c r="DO573" s="27" t="s">
        <v>134</v>
      </c>
      <c r="DP573" s="27"/>
      <c r="DQ573" s="27"/>
      <c r="DR573" s="27"/>
      <c r="DS573" s="27"/>
      <c r="DT573" s="27" t="s">
        <v>140</v>
      </c>
      <c r="DU573" s="27" t="s">
        <v>304</v>
      </c>
      <c r="DV573" s="27" t="s">
        <v>169</v>
      </c>
      <c r="DW573" s="27" t="s">
        <v>195</v>
      </c>
      <c r="DX573" s="27" t="s">
        <v>187</v>
      </c>
      <c r="DY573" s="27" t="s">
        <v>178</v>
      </c>
      <c r="DZ573" s="27" t="n">
        <f aca="false">DY573+DV573+DR573+DN573+DJ573+DF573+DB573</f>
        <v>504</v>
      </c>
      <c r="EA573" s="28" t="n">
        <f aca="false">DZ573/7</f>
        <v>72</v>
      </c>
      <c r="EB573" s="27" t="n">
        <f aca="false">RANK(EA573,$EA$2:$EA$881,0)</f>
        <v>609</v>
      </c>
      <c r="EC573" s="29" t="n">
        <f aca="false">DZ573+CQ573+CP573+AZ573</f>
        <v>2303</v>
      </c>
      <c r="ED573" s="30" t="n">
        <f aca="false">(EA573+CV573+BB573)/3</f>
        <v>73.0904761904762</v>
      </c>
      <c r="EE573" s="51" t="n">
        <f aca="false">ROUND(BE573,3)</f>
        <v>62.3</v>
      </c>
      <c r="EF573" s="51" t="n">
        <f aca="false">ROUND(CR573,3)</f>
        <v>84.143</v>
      </c>
      <c r="EG573" s="51" t="n">
        <f aca="false">ROUND(CS573,3)</f>
        <v>79</v>
      </c>
      <c r="EH573" s="51" t="n">
        <f aca="false">ROUND(EA573,3)</f>
        <v>72</v>
      </c>
      <c r="EI573" s="51" t="n">
        <f aca="false">ROUND(ED573,3)</f>
        <v>73.09</v>
      </c>
      <c r="EJ573" s="51" t="n">
        <f aca="false">ROUND(CV573,3)</f>
        <v>81.571</v>
      </c>
      <c r="EK573" s="0" t="n">
        <f aca="false">RANK(EI573,$EI$2:$EI$881,0)</f>
        <v>572</v>
      </c>
    </row>
    <row r="574" customFormat="false" ht="15" hidden="false" customHeight="false" outlineLevel="0" collapsed="false">
      <c r="A574" s="4" t="n">
        <v>1929</v>
      </c>
      <c r="B574" s="4" t="n">
        <v>681</v>
      </c>
      <c r="C574" s="27" t="s">
        <v>1708</v>
      </c>
      <c r="D574" s="31" t="n">
        <v>695</v>
      </c>
      <c r="E574" s="16" t="n">
        <v>231305307</v>
      </c>
      <c r="F574" s="56" t="s">
        <v>1709</v>
      </c>
      <c r="G574" s="22" t="s">
        <v>368</v>
      </c>
      <c r="H574" s="22" t="s">
        <v>326</v>
      </c>
      <c r="I574" s="57"/>
      <c r="J574" s="16" t="n">
        <v>84</v>
      </c>
      <c r="K574" s="16" t="n">
        <v>63</v>
      </c>
      <c r="L574" s="34" t="n">
        <f aca="false">(K574*70)/100</f>
        <v>44.1</v>
      </c>
      <c r="M574" s="34" t="n">
        <f aca="false">ROUNDUP(L574,0)</f>
        <v>45</v>
      </c>
      <c r="N574" s="16" t="n">
        <v>23</v>
      </c>
      <c r="O574" s="34" t="n">
        <f aca="false">N574+L574</f>
        <v>67.1</v>
      </c>
      <c r="P574" s="34" t="n">
        <f aca="false">N574+M574</f>
        <v>68</v>
      </c>
      <c r="Q574" s="71" t="n">
        <v>59</v>
      </c>
      <c r="R574" s="16" t="n">
        <v>70</v>
      </c>
      <c r="S574" s="34" t="n">
        <f aca="false">(R574*70)/100</f>
        <v>49</v>
      </c>
      <c r="T574" s="34" t="n">
        <f aca="false">ROUNDUP(S574,0)</f>
        <v>49</v>
      </c>
      <c r="U574" s="16" t="n">
        <v>26</v>
      </c>
      <c r="V574" s="34" t="n">
        <f aca="false">U574+S574</f>
        <v>75</v>
      </c>
      <c r="W574" s="34" t="n">
        <f aca="false">U574+T574</f>
        <v>75</v>
      </c>
      <c r="X574" s="16" t="n">
        <v>69</v>
      </c>
      <c r="Y574" s="34" t="n">
        <f aca="false">(X574*70)/100</f>
        <v>48.3</v>
      </c>
      <c r="Z574" s="34" t="n">
        <f aca="false">ROUNDUP(Y574,0)</f>
        <v>49</v>
      </c>
      <c r="AA574" s="16" t="n">
        <v>26</v>
      </c>
      <c r="AB574" s="34" t="n">
        <f aca="false">AA574+Y574</f>
        <v>74.3</v>
      </c>
      <c r="AC574" s="34" t="n">
        <f aca="false">AA574+Z574</f>
        <v>75</v>
      </c>
      <c r="AD574" s="32" t="n">
        <f aca="false">X574+R574+Q574+K574+J574</f>
        <v>345</v>
      </c>
      <c r="AE574" s="16" t="n">
        <f aca="false">AD574/5</f>
        <v>69</v>
      </c>
      <c r="AF574" s="16" t="n">
        <v>77</v>
      </c>
      <c r="AG574" s="16" t="n">
        <v>89</v>
      </c>
      <c r="AH574" s="16" t="n">
        <v>86</v>
      </c>
      <c r="AI574" s="16" t="n">
        <v>90</v>
      </c>
      <c r="AJ574" s="16" t="n">
        <f aca="false">(AI574*70)/100</f>
        <v>63</v>
      </c>
      <c r="AK574" s="35" t="n">
        <f aca="false">ROUNDUP(AJ574,0)</f>
        <v>63</v>
      </c>
      <c r="AL574" s="16" t="n">
        <v>22</v>
      </c>
      <c r="AM574" s="16" t="n">
        <f aca="false">AL574+AJ574</f>
        <v>85</v>
      </c>
      <c r="AN574" s="16" t="n">
        <f aca="false">AL574+AK574</f>
        <v>85</v>
      </c>
      <c r="AO574" s="16" t="n">
        <v>78</v>
      </c>
      <c r="AP574" s="36" t="n">
        <f aca="false">(AO574*70)/100</f>
        <v>54.6</v>
      </c>
      <c r="AQ574" s="37" t="n">
        <f aca="false">ROUNDUP(AP574,0)</f>
        <v>55</v>
      </c>
      <c r="AR574" s="16" t="n">
        <v>24</v>
      </c>
      <c r="AS574" s="16" t="n">
        <f aca="false">AR574+AP574</f>
        <v>78.6</v>
      </c>
      <c r="AT574" s="16" t="n">
        <f aca="false">AR574+AQ574</f>
        <v>79</v>
      </c>
      <c r="AU574" s="16" t="n">
        <f aca="false">AO574+AF574+AI574+AH574+AG574</f>
        <v>420</v>
      </c>
      <c r="AV574" s="16" t="n">
        <f aca="false">(AO574+AF574+AI574+AH574+AG574)/5</f>
        <v>84</v>
      </c>
      <c r="AW574" s="36" t="n">
        <f aca="false">(AO574+AF574+AI574+AH574+AG574+X574+R574+Q574+K574+J574)</f>
        <v>765</v>
      </c>
      <c r="AX574" s="16" t="n">
        <f aca="false">AW574/10</f>
        <v>76.5</v>
      </c>
      <c r="AY574" s="16" t="n">
        <f aca="false">AS574+AF574+AM574+AH574+AG574+AB574+V574+Q574+O574+J574</f>
        <v>775</v>
      </c>
      <c r="AZ574" s="16" t="n">
        <f aca="false">AT574+AF574+AN574+AH574+AG574+AC574+W574+Q574+P574+J574</f>
        <v>777</v>
      </c>
      <c r="BA574" s="16" t="n">
        <f aca="false">AY574/10</f>
        <v>77.5</v>
      </c>
      <c r="BB574" s="16" t="n">
        <f aca="false">AZ574/10</f>
        <v>77.7</v>
      </c>
      <c r="BC574" s="16" t="n">
        <v>2345</v>
      </c>
      <c r="BD574" s="16" t="n">
        <f aca="false">RANK(AX574,$AX$2:$AX$881,0)</f>
        <v>562</v>
      </c>
      <c r="BE574" s="73" t="n">
        <f aca="false">((BC574*100)/2400)*0.4+(AX574*0.6)</f>
        <v>84.9833333333333</v>
      </c>
      <c r="BF574" s="16" t="n">
        <f aca="false">RANK(BE574,$BE$2:$BE$881,0)</f>
        <v>618</v>
      </c>
      <c r="BG574" s="39" t="n">
        <f aca="false">RANK(BB574,$BB$2:$BB$881,0)</f>
        <v>586</v>
      </c>
      <c r="BH574" s="39" t="n">
        <f aca="false">RANK(BC574,$BC$2:$BC$881,0)</f>
        <v>585</v>
      </c>
      <c r="BI574" s="22" t="s">
        <v>130</v>
      </c>
      <c r="BJ574" s="22" t="s">
        <v>129</v>
      </c>
      <c r="BK574" s="22" t="s">
        <v>509</v>
      </c>
      <c r="BL574" s="41" t="n">
        <v>24</v>
      </c>
      <c r="BM574" s="41" t="n">
        <v>55</v>
      </c>
      <c r="BN574" s="41" t="n">
        <v>79</v>
      </c>
      <c r="BO574" s="42" t="n">
        <v>26</v>
      </c>
      <c r="BP574" s="43" t="n">
        <v>59</v>
      </c>
      <c r="BQ574" s="44" t="n">
        <v>85</v>
      </c>
      <c r="BR574" s="42" t="n">
        <v>19</v>
      </c>
      <c r="BS574" s="77" t="n">
        <v>55</v>
      </c>
      <c r="BT574" s="77" t="n">
        <v>74</v>
      </c>
      <c r="BU574" s="46" t="n">
        <v>100</v>
      </c>
      <c r="BV574" s="47" t="n">
        <v>88</v>
      </c>
      <c r="BW574" s="42" t="n">
        <v>100</v>
      </c>
      <c r="BX574" s="48" t="n">
        <v>86</v>
      </c>
      <c r="BY574" s="32" t="n">
        <v>25</v>
      </c>
      <c r="BZ574" s="32" t="n">
        <v>52</v>
      </c>
      <c r="CA574" s="32" t="n">
        <v>77</v>
      </c>
      <c r="CB574" s="32" t="n">
        <v>24</v>
      </c>
      <c r="CC574" s="32" t="n">
        <v>29</v>
      </c>
      <c r="CD574" s="69" t="n">
        <v>53</v>
      </c>
      <c r="CE574" s="32" t="n">
        <v>23</v>
      </c>
      <c r="CF574" s="32" t="n">
        <v>34</v>
      </c>
      <c r="CG574" s="69" t="n">
        <v>57</v>
      </c>
      <c r="CH574" s="32" t="n">
        <v>95</v>
      </c>
      <c r="CI574" s="32" t="n">
        <v>98</v>
      </c>
      <c r="CJ574" s="49" t="n">
        <v>18</v>
      </c>
      <c r="CK574" s="49" t="n">
        <v>48</v>
      </c>
      <c r="CL574" s="49" t="n">
        <v>66</v>
      </c>
      <c r="CM574" s="49" t="n">
        <v>21</v>
      </c>
      <c r="CN574" s="49" t="n">
        <v>55</v>
      </c>
      <c r="CO574" s="49" t="n">
        <v>76</v>
      </c>
      <c r="CP574" s="25" t="n">
        <f aca="false">BX574+BW574+BV574+BU574+BT574+BQ574+BN574</f>
        <v>612</v>
      </c>
      <c r="CQ574" s="25" t="n">
        <f aca="false">CO574+CL574+CI574+CH574+CG574+CD574+CA574</f>
        <v>522</v>
      </c>
      <c r="CR574" s="26" t="n">
        <f aca="false">CP574/7</f>
        <v>87.4285714285714</v>
      </c>
      <c r="CS574" s="26" t="n">
        <f aca="false">CQ574/7</f>
        <v>74.5714285714286</v>
      </c>
      <c r="CT574" s="24" t="n">
        <f aca="false">RANK(CR574,$CR$2:$CR$881,0)</f>
        <v>340</v>
      </c>
      <c r="CU574" s="25" t="n">
        <f aca="false">RANK(CS574,$CS$2:$CS$881,0)</f>
        <v>440</v>
      </c>
      <c r="CV574" s="26" t="n">
        <f aca="false">(CS574+CR574)/2</f>
        <v>81</v>
      </c>
      <c r="CW574" s="25" t="n">
        <f aca="false">RANK(CV574,$CV$2:$CV$881,0)</f>
        <v>381</v>
      </c>
      <c r="CX574" s="50" t="n">
        <f aca="false">(CV574+BB574)/2</f>
        <v>79.35</v>
      </c>
      <c r="CY574" s="50" t="n">
        <v>407</v>
      </c>
      <c r="CZ574" s="27" t="s">
        <v>132</v>
      </c>
      <c r="DA574" s="27" t="s">
        <v>162</v>
      </c>
      <c r="DB574" s="27" t="s">
        <v>162</v>
      </c>
      <c r="DC574" s="27" t="s">
        <v>134</v>
      </c>
      <c r="DD574" s="27" t="s">
        <v>135</v>
      </c>
      <c r="DE574" s="27" t="s">
        <v>204</v>
      </c>
      <c r="DF574" s="27" t="s">
        <v>209</v>
      </c>
      <c r="DG574" s="27" t="s">
        <v>134</v>
      </c>
      <c r="DH574" s="27"/>
      <c r="DI574" s="27"/>
      <c r="DJ574" s="27"/>
      <c r="DK574" s="27"/>
      <c r="DL574" s="27" t="s">
        <v>135</v>
      </c>
      <c r="DM574" s="27" t="s">
        <v>304</v>
      </c>
      <c r="DN574" s="27" t="s">
        <v>272</v>
      </c>
      <c r="DO574" s="27" t="s">
        <v>134</v>
      </c>
      <c r="DP574" s="27"/>
      <c r="DQ574" s="27"/>
      <c r="DR574" s="27"/>
      <c r="DS574" s="27"/>
      <c r="DT574" s="27" t="s">
        <v>164</v>
      </c>
      <c r="DU574" s="27" t="s">
        <v>399</v>
      </c>
      <c r="DV574" s="27" t="s">
        <v>441</v>
      </c>
      <c r="DW574" s="27" t="s">
        <v>137</v>
      </c>
      <c r="DX574" s="27" t="s">
        <v>155</v>
      </c>
      <c r="DY574" s="27" t="s">
        <v>142</v>
      </c>
      <c r="DZ574" s="27" t="n">
        <f aca="false">DY574+DV574+DR574+DN574+DJ574+DF574+DB574</f>
        <v>423</v>
      </c>
      <c r="EA574" s="28" t="n">
        <f aca="false">DZ574/7</f>
        <v>60.4285714285714</v>
      </c>
      <c r="EB574" s="27" t="n">
        <f aca="false">RANK(EA574,$EA$2:$EA$881,0)</f>
        <v>779</v>
      </c>
      <c r="EC574" s="29" t="n">
        <f aca="false">DZ574+CQ574+CP574+AZ574</f>
        <v>2334</v>
      </c>
      <c r="ED574" s="30" t="n">
        <f aca="false">(EA574+CV574+BB574)/3</f>
        <v>73.0428571428571</v>
      </c>
      <c r="EE574" s="51" t="n">
        <f aca="false">ROUND(BE574,3)</f>
        <v>84.983</v>
      </c>
      <c r="EF574" s="51" t="n">
        <f aca="false">ROUND(CR574,3)</f>
        <v>87.429</v>
      </c>
      <c r="EG574" s="51" t="n">
        <f aca="false">ROUND(CS574,3)</f>
        <v>74.571</v>
      </c>
      <c r="EH574" s="51" t="n">
        <f aca="false">ROUND(EA574,3)</f>
        <v>60.429</v>
      </c>
      <c r="EI574" s="51" t="n">
        <f aca="false">ROUND(ED574,3)</f>
        <v>73.043</v>
      </c>
      <c r="EJ574" s="51" t="n">
        <f aca="false">ROUND(CV574,3)</f>
        <v>81</v>
      </c>
      <c r="EK574" s="0" t="n">
        <f aca="false">RANK(EI574,$EI$2:$EI$881,0)</f>
        <v>573</v>
      </c>
    </row>
    <row r="575" customFormat="false" ht="15" hidden="false" customHeight="false" outlineLevel="0" collapsed="false">
      <c r="A575" s="4" t="n">
        <v>2071</v>
      </c>
      <c r="B575" s="4" t="n">
        <v>818</v>
      </c>
      <c r="C575" s="27" t="s">
        <v>1710</v>
      </c>
      <c r="D575" s="31" t="n">
        <v>840</v>
      </c>
      <c r="E575" s="16" t="n">
        <v>230621516</v>
      </c>
      <c r="F575" s="56" t="s">
        <v>1711</v>
      </c>
      <c r="G575" s="22" t="s">
        <v>181</v>
      </c>
      <c r="H575" s="22" t="s">
        <v>558</v>
      </c>
      <c r="I575" s="57"/>
      <c r="J575" s="16" t="n">
        <v>75</v>
      </c>
      <c r="K575" s="16" t="n">
        <v>79</v>
      </c>
      <c r="L575" s="34" t="n">
        <f aca="false">(K575*70)/100</f>
        <v>55.3</v>
      </c>
      <c r="M575" s="34" t="n">
        <f aca="false">ROUNDUP(L575,0)</f>
        <v>56</v>
      </c>
      <c r="N575" s="16" t="n">
        <v>24</v>
      </c>
      <c r="O575" s="34" t="n">
        <f aca="false">N575+L575</f>
        <v>79.3</v>
      </c>
      <c r="P575" s="34" t="n">
        <f aca="false">N575+M575</f>
        <v>80</v>
      </c>
      <c r="Q575" s="16" t="n">
        <v>75</v>
      </c>
      <c r="R575" s="16" t="n">
        <v>73</v>
      </c>
      <c r="S575" s="34" t="n">
        <f aca="false">(R575*70)/100</f>
        <v>51.1</v>
      </c>
      <c r="T575" s="34" t="n">
        <f aca="false">ROUNDUP(S575,0)</f>
        <v>52</v>
      </c>
      <c r="U575" s="16" t="n">
        <v>29</v>
      </c>
      <c r="V575" s="34" t="n">
        <f aca="false">U575+S575</f>
        <v>80.1</v>
      </c>
      <c r="W575" s="34" t="n">
        <f aca="false">U575+T575</f>
        <v>81</v>
      </c>
      <c r="X575" s="16" t="n">
        <v>71</v>
      </c>
      <c r="Y575" s="34" t="n">
        <f aca="false">(X575*70)/100</f>
        <v>49.7</v>
      </c>
      <c r="Z575" s="34" t="n">
        <f aca="false">ROUNDUP(Y575,0)</f>
        <v>50</v>
      </c>
      <c r="AA575" s="16" t="n">
        <v>25</v>
      </c>
      <c r="AB575" s="34" t="n">
        <f aca="false">AA575+Y575</f>
        <v>74.7</v>
      </c>
      <c r="AC575" s="34" t="n">
        <f aca="false">AA575+Z575</f>
        <v>75</v>
      </c>
      <c r="AD575" s="32" t="n">
        <f aca="false">X575+R575+Q575+K575+J575</f>
        <v>373</v>
      </c>
      <c r="AE575" s="16" t="n">
        <f aca="false">AD575/5</f>
        <v>74.6</v>
      </c>
      <c r="AF575" s="16" t="n">
        <v>71</v>
      </c>
      <c r="AG575" s="16" t="n">
        <v>70</v>
      </c>
      <c r="AH575" s="16" t="n">
        <v>93</v>
      </c>
      <c r="AI575" s="16" t="n">
        <v>84</v>
      </c>
      <c r="AJ575" s="16" t="n">
        <f aca="false">(AI575*70)/100</f>
        <v>58.8</v>
      </c>
      <c r="AK575" s="35" t="n">
        <f aca="false">ROUNDUP(AJ575,0)</f>
        <v>59</v>
      </c>
      <c r="AL575" s="16" t="n">
        <v>27</v>
      </c>
      <c r="AM575" s="16" t="n">
        <f aca="false">AL575+AJ575</f>
        <v>85.8</v>
      </c>
      <c r="AN575" s="16" t="n">
        <f aca="false">AL575+AK575</f>
        <v>86</v>
      </c>
      <c r="AO575" s="16" t="n">
        <v>86</v>
      </c>
      <c r="AP575" s="36" t="n">
        <f aca="false">(AO575*70)/100</f>
        <v>60.2</v>
      </c>
      <c r="AQ575" s="37" t="n">
        <f aca="false">ROUNDUP(AP575,0)</f>
        <v>61</v>
      </c>
      <c r="AR575" s="16" t="n">
        <v>28</v>
      </c>
      <c r="AS575" s="16" t="n">
        <f aca="false">AR575+AP575</f>
        <v>88.2</v>
      </c>
      <c r="AT575" s="16" t="n">
        <f aca="false">AR575+AQ575</f>
        <v>89</v>
      </c>
      <c r="AU575" s="16" t="n">
        <f aca="false">AO575+AF575+AI575+AH575+AG575</f>
        <v>404</v>
      </c>
      <c r="AV575" s="16" t="n">
        <f aca="false">(AO575+AF575+AI575+AH575+AG575)/5</f>
        <v>80.8</v>
      </c>
      <c r="AW575" s="36" t="n">
        <f aca="false">(AO575+AF575+AI575+AH575+AG575+X575+R575+Q575+K575+J575)</f>
        <v>777</v>
      </c>
      <c r="AX575" s="16" t="n">
        <f aca="false">AW575/10</f>
        <v>77.7</v>
      </c>
      <c r="AY575" s="16" t="n">
        <f aca="false">AS575+AF575+AM575+AH575+AG575+AB575+V575+Q575+O575+J575</f>
        <v>792.1</v>
      </c>
      <c r="AZ575" s="16" t="n">
        <f aca="false">AT575+AF575+AN575+AH575+AG575+AC575+W575+Q575+P575+J575</f>
        <v>795</v>
      </c>
      <c r="BA575" s="16" t="n">
        <f aca="false">AY575/10</f>
        <v>79.21</v>
      </c>
      <c r="BB575" s="16" t="n">
        <f aca="false">AZ575/10</f>
        <v>79.5</v>
      </c>
      <c r="BC575" s="16" t="n">
        <v>2349</v>
      </c>
      <c r="BD575" s="16" t="n">
        <f aca="false">RANK(AX575,$AX$2:$AX$881,0)</f>
        <v>433</v>
      </c>
      <c r="BE575" s="54" t="n">
        <f aca="false">((BC575*100)/2400)*0.4+(AX575*0.6)</f>
        <v>85.77</v>
      </c>
      <c r="BF575" s="16" t="n">
        <f aca="false">RANK(BE575,$BE$2:$BE$881,0)</f>
        <v>468</v>
      </c>
      <c r="BG575" s="39" t="n">
        <f aca="false">RANK(BB575,$BB$2:$BB$881,0)</f>
        <v>407</v>
      </c>
      <c r="BH575" s="39" t="n">
        <f aca="false">RANK(BC575,$BC$2:$BC$881,0)</f>
        <v>542</v>
      </c>
      <c r="BI575" s="22" t="s">
        <v>130</v>
      </c>
      <c r="BJ575" s="22" t="s">
        <v>129</v>
      </c>
      <c r="BK575" s="40" t="s">
        <v>509</v>
      </c>
      <c r="BL575" s="105" t="n">
        <v>20</v>
      </c>
      <c r="BM575" s="59" t="n">
        <v>55</v>
      </c>
      <c r="BN575" s="59" t="n">
        <v>75</v>
      </c>
      <c r="BO575" s="42" t="n">
        <v>29</v>
      </c>
      <c r="BP575" s="59" t="n">
        <v>55</v>
      </c>
      <c r="BQ575" s="59" t="n">
        <v>84</v>
      </c>
      <c r="BR575" s="74" t="n">
        <v>7</v>
      </c>
      <c r="BS575" s="80"/>
      <c r="BT575" s="80"/>
      <c r="BU575" s="88" t="n">
        <v>69</v>
      </c>
      <c r="BV575" s="58" t="n">
        <v>92</v>
      </c>
      <c r="BW575" s="106"/>
      <c r="BX575" s="88" t="n">
        <v>92</v>
      </c>
      <c r="BY575" s="65" t="n">
        <v>24</v>
      </c>
      <c r="BZ575" s="58" t="n">
        <v>45</v>
      </c>
      <c r="CA575" s="58" t="n">
        <v>69</v>
      </c>
      <c r="CB575" s="59" t="n">
        <v>17</v>
      </c>
      <c r="CC575" s="58" t="n">
        <v>57</v>
      </c>
      <c r="CD575" s="58" t="n">
        <v>74</v>
      </c>
      <c r="CE575" s="58" t="n">
        <v>18</v>
      </c>
      <c r="CF575" s="58" t="n">
        <v>39</v>
      </c>
      <c r="CG575" s="90" t="n">
        <v>57</v>
      </c>
      <c r="CH575" s="58" t="n">
        <v>80</v>
      </c>
      <c r="CI575" s="58" t="n">
        <v>81</v>
      </c>
      <c r="CJ575" s="58" t="n">
        <v>22</v>
      </c>
      <c r="CK575" s="58" t="n">
        <v>57</v>
      </c>
      <c r="CL575" s="59" t="n">
        <v>79</v>
      </c>
      <c r="CM575" s="60"/>
      <c r="CN575" s="60"/>
      <c r="CO575" s="60"/>
      <c r="CP575" s="25" t="n">
        <f aca="false">BX575+BW575+BV575+BU575+BT575+BQ575+BN575</f>
        <v>412</v>
      </c>
      <c r="CQ575" s="25" t="n">
        <f aca="false">CO575+CL575+CI575+CH575+CG575+CD575+CA575</f>
        <v>440</v>
      </c>
      <c r="CR575" s="26" t="n">
        <f aca="false">CP575/7</f>
        <v>58.8571428571429</v>
      </c>
      <c r="CS575" s="26" t="n">
        <f aca="false">CQ575/7</f>
        <v>62.8571428571429</v>
      </c>
      <c r="CT575" s="24" t="n">
        <f aca="false">RANK(CR575,$CR$2:$CR$881,0)</f>
        <v>723</v>
      </c>
      <c r="CU575" s="25" t="n">
        <f aca="false">RANK(CS575,$CS$2:$CS$881,0)</f>
        <v>654</v>
      </c>
      <c r="CV575" s="26" t="n">
        <f aca="false">(CS575+CR575)/2</f>
        <v>60.8571428571429</v>
      </c>
      <c r="CW575" s="25" t="n">
        <f aca="false">RANK(CV575,$CV$2:$CV$881,0)</f>
        <v>696</v>
      </c>
      <c r="CX575" s="50" t="n">
        <f aca="false">(CV575+BB575)/2</f>
        <v>70.1785714285714</v>
      </c>
      <c r="CY575" s="50" t="n">
        <v>774</v>
      </c>
      <c r="CZ575" s="27" t="s">
        <v>132</v>
      </c>
      <c r="DA575" s="27" t="s">
        <v>133</v>
      </c>
      <c r="DB575" s="27" t="s">
        <v>133</v>
      </c>
      <c r="DC575" s="27" t="s">
        <v>134</v>
      </c>
      <c r="DD575" s="27" t="s">
        <v>604</v>
      </c>
      <c r="DE575" s="27" t="s">
        <v>220</v>
      </c>
      <c r="DF575" s="27" t="s">
        <v>398</v>
      </c>
      <c r="DG575" s="27" t="s">
        <v>134</v>
      </c>
      <c r="DH575" s="27" t="s">
        <v>154</v>
      </c>
      <c r="DI575" s="27" t="s">
        <v>306</v>
      </c>
      <c r="DJ575" s="27" t="s">
        <v>305</v>
      </c>
      <c r="DK575" s="27" t="s">
        <v>134</v>
      </c>
      <c r="DL575" s="27" t="s">
        <v>191</v>
      </c>
      <c r="DM575" s="27" t="s">
        <v>304</v>
      </c>
      <c r="DN575" s="27" t="s">
        <v>372</v>
      </c>
      <c r="DO575" s="27" t="s">
        <v>134</v>
      </c>
      <c r="DP575" s="27" t="s">
        <v>706</v>
      </c>
      <c r="DQ575" s="27" t="s">
        <v>375</v>
      </c>
      <c r="DR575" s="27" t="s">
        <v>163</v>
      </c>
      <c r="DS575" s="27" t="s">
        <v>134</v>
      </c>
      <c r="DT575" s="27" t="s">
        <v>164</v>
      </c>
      <c r="DU575" s="27" t="s">
        <v>304</v>
      </c>
      <c r="DV575" s="27" t="s">
        <v>196</v>
      </c>
      <c r="DW575" s="27" t="s">
        <v>137</v>
      </c>
      <c r="DX575" s="27" t="s">
        <v>141</v>
      </c>
      <c r="DY575" s="27" t="s">
        <v>151</v>
      </c>
      <c r="DZ575" s="27" t="n">
        <f aca="false">DY575+DV575+DR575+DN575+DJ575+DF575+DB575</f>
        <v>551</v>
      </c>
      <c r="EA575" s="28" t="n">
        <f aca="false">DZ575/7</f>
        <v>78.7142857142857</v>
      </c>
      <c r="EB575" s="27" t="n">
        <f aca="false">RANK(EA575,$EA$2:$EA$881,0)</f>
        <v>434</v>
      </c>
      <c r="EC575" s="29" t="n">
        <f aca="false">DZ575+CQ575+CP575+AZ575</f>
        <v>2198</v>
      </c>
      <c r="ED575" s="30" t="n">
        <f aca="false">(EA575+CV575+BB575)/3</f>
        <v>73.0238095238095</v>
      </c>
      <c r="EE575" s="51" t="n">
        <f aca="false">ROUND(BE575,3)</f>
        <v>85.77</v>
      </c>
      <c r="EF575" s="51" t="n">
        <f aca="false">ROUND(CR575,3)</f>
        <v>58.857</v>
      </c>
      <c r="EG575" s="51" t="n">
        <f aca="false">ROUND(CS575,3)</f>
        <v>62.857</v>
      </c>
      <c r="EH575" s="51" t="n">
        <f aca="false">ROUND(EA575,3)</f>
        <v>78.714</v>
      </c>
      <c r="EI575" s="51" t="n">
        <f aca="false">ROUND(ED575,3)</f>
        <v>73.024</v>
      </c>
      <c r="EJ575" s="51" t="n">
        <f aca="false">ROUND(CV575,3)</f>
        <v>60.857</v>
      </c>
      <c r="EK575" s="0" t="n">
        <f aca="false">RANK(EI575,$EI$2:$EI$881,0)</f>
        <v>574</v>
      </c>
    </row>
    <row r="576" customFormat="false" ht="15" hidden="false" customHeight="false" outlineLevel="0" collapsed="false">
      <c r="A576" s="4" t="n">
        <v>9122</v>
      </c>
      <c r="B576" s="4" t="n">
        <v>851</v>
      </c>
      <c r="C576" s="27" t="s">
        <v>1712</v>
      </c>
      <c r="D576" s="31" t="n">
        <v>869</v>
      </c>
      <c r="E576" s="32" t="n">
        <v>230312766</v>
      </c>
      <c r="F576" s="8" t="s">
        <v>1713</v>
      </c>
      <c r="G576" s="22" t="s">
        <v>866</v>
      </c>
      <c r="H576" s="22" t="s">
        <v>129</v>
      </c>
      <c r="I576" s="33" t="n">
        <v>2005</v>
      </c>
      <c r="J576" s="32" t="n">
        <v>65</v>
      </c>
      <c r="K576" s="32" t="n">
        <v>78</v>
      </c>
      <c r="L576" s="34" t="n">
        <f aca="false">(K576*70)/100</f>
        <v>54.6</v>
      </c>
      <c r="M576" s="34" t="n">
        <f aca="false">ROUNDUP(L576,0)</f>
        <v>55</v>
      </c>
      <c r="N576" s="32" t="n">
        <v>17</v>
      </c>
      <c r="O576" s="34" t="n">
        <f aca="false">N576+L576</f>
        <v>71.6</v>
      </c>
      <c r="P576" s="34" t="n">
        <f aca="false">N576+M576</f>
        <v>72</v>
      </c>
      <c r="Q576" s="32" t="n">
        <v>70</v>
      </c>
      <c r="R576" s="32" t="n">
        <v>77</v>
      </c>
      <c r="S576" s="34" t="n">
        <f aca="false">(R576*70)/100</f>
        <v>53.9</v>
      </c>
      <c r="T576" s="34" t="n">
        <f aca="false">ROUNDUP(S576,0)</f>
        <v>54</v>
      </c>
      <c r="U576" s="32" t="n">
        <v>14</v>
      </c>
      <c r="V576" s="34" t="n">
        <f aca="false">U576+S576</f>
        <v>67.9</v>
      </c>
      <c r="W576" s="34" t="n">
        <f aca="false">U576+T576</f>
        <v>68</v>
      </c>
      <c r="X576" s="32" t="n">
        <v>69</v>
      </c>
      <c r="Y576" s="34" t="n">
        <f aca="false">(X576*70)/100</f>
        <v>48.3</v>
      </c>
      <c r="Z576" s="34" t="n">
        <f aca="false">ROUNDUP(Y576,0)</f>
        <v>49</v>
      </c>
      <c r="AA576" s="32" t="n">
        <v>22</v>
      </c>
      <c r="AB576" s="34" t="n">
        <f aca="false">AA576+Y576</f>
        <v>70.3</v>
      </c>
      <c r="AC576" s="34" t="n">
        <f aca="false">AA576+Z576</f>
        <v>71</v>
      </c>
      <c r="AD576" s="32" t="n">
        <f aca="false">X576+R576+Q576+K576+J576</f>
        <v>359</v>
      </c>
      <c r="AE576" s="16" t="n">
        <f aca="false">AD576/5</f>
        <v>71.8</v>
      </c>
      <c r="AF576" s="16" t="n">
        <v>64</v>
      </c>
      <c r="AG576" s="16" t="n">
        <v>65</v>
      </c>
      <c r="AH576" s="16" t="n">
        <v>90</v>
      </c>
      <c r="AI576" s="16" t="n">
        <v>87</v>
      </c>
      <c r="AJ576" s="16" t="n">
        <f aca="false">(AI576*70)/100</f>
        <v>60.9</v>
      </c>
      <c r="AK576" s="35" t="n">
        <f aca="false">ROUNDUP(AJ576,0)</f>
        <v>61</v>
      </c>
      <c r="AL576" s="16" t="n">
        <v>19</v>
      </c>
      <c r="AM576" s="16" t="n">
        <f aca="false">AL576+AJ576</f>
        <v>79.9</v>
      </c>
      <c r="AN576" s="16" t="n">
        <f aca="false">AL576+AK576</f>
        <v>80</v>
      </c>
      <c r="AO576" s="16" t="n">
        <v>69</v>
      </c>
      <c r="AP576" s="36" t="n">
        <f aca="false">(AO576*70)/100</f>
        <v>48.3</v>
      </c>
      <c r="AQ576" s="37" t="n">
        <f aca="false">ROUNDUP(AP576,0)</f>
        <v>49</v>
      </c>
      <c r="AR576" s="16" t="n">
        <v>26</v>
      </c>
      <c r="AS576" s="16" t="n">
        <f aca="false">AR576+AP576</f>
        <v>74.3</v>
      </c>
      <c r="AT576" s="16" t="n">
        <f aca="false">AR576+AQ576</f>
        <v>75</v>
      </c>
      <c r="AU576" s="16" t="n">
        <f aca="false">AO576+AF576+AI576+AH576+AG576</f>
        <v>375</v>
      </c>
      <c r="AV576" s="16" t="n">
        <f aca="false">(AO576+AF576+AI576+AH576+AG576)/5</f>
        <v>75</v>
      </c>
      <c r="AW576" s="36" t="n">
        <f aca="false">(AO576+AF576+AI576+AH576+AG576+X576+R576+Q576+K576+J576)</f>
        <v>734</v>
      </c>
      <c r="AX576" s="16" t="n">
        <f aca="false">AW576/10</f>
        <v>73.4</v>
      </c>
      <c r="AY576" s="16" t="n">
        <f aca="false">AS576+AF576+AM576+AH576+AG576+AB576+V576+Q576+O576+J576</f>
        <v>718</v>
      </c>
      <c r="AZ576" s="16" t="n">
        <f aca="false">AT576+AF576+AN576+AH576+AG576+AC576+W576+Q576+P576+J576</f>
        <v>720</v>
      </c>
      <c r="BA576" s="16" t="n">
        <f aca="false">AY576/10</f>
        <v>71.8</v>
      </c>
      <c r="BB576" s="16" t="n">
        <f aca="false">AZ576/10</f>
        <v>72</v>
      </c>
      <c r="BC576" s="16" t="n">
        <v>2331</v>
      </c>
      <c r="BD576" s="16" t="n">
        <f aca="false">RANK(AX576,$AX$2:$AX$881,0)</f>
        <v>709</v>
      </c>
      <c r="BE576" s="73" t="n">
        <f aca="false">((BC576*100)/2400)*0.4+(AX576*0.6)</f>
        <v>82.89</v>
      </c>
      <c r="BF576" s="16" t="n">
        <f aca="false">RANK(BE576,$BE$2:$BE$881,0)</f>
        <v>700</v>
      </c>
      <c r="BG576" s="39" t="n">
        <f aca="false">RANK(BB576,$BB$2:$BB$881,0)</f>
        <v>727</v>
      </c>
      <c r="BH576" s="39" t="n">
        <f aca="false">RANK(BC576,$BC$2:$BC$881,0)</f>
        <v>716</v>
      </c>
      <c r="BI576" s="22" t="s">
        <v>130</v>
      </c>
      <c r="BJ576" s="22" t="s">
        <v>129</v>
      </c>
      <c r="BK576" s="40" t="s">
        <v>702</v>
      </c>
      <c r="BL576" s="41" t="n">
        <v>12</v>
      </c>
      <c r="BM576" s="41" t="n">
        <v>52</v>
      </c>
      <c r="BN576" s="41" t="n">
        <v>64</v>
      </c>
      <c r="BO576" s="42" t="n">
        <v>19</v>
      </c>
      <c r="BP576" s="43" t="n">
        <v>61</v>
      </c>
      <c r="BQ576" s="44" t="n">
        <v>80</v>
      </c>
      <c r="BR576" s="42" t="n">
        <v>18</v>
      </c>
      <c r="BS576" s="45" t="n">
        <v>42</v>
      </c>
      <c r="BT576" s="45" t="n">
        <v>60</v>
      </c>
      <c r="BU576" s="46" t="n">
        <v>88</v>
      </c>
      <c r="BV576" s="47" t="n">
        <v>66</v>
      </c>
      <c r="BW576" s="42" t="n">
        <v>99</v>
      </c>
      <c r="BX576" s="48" t="n">
        <v>76</v>
      </c>
      <c r="BY576" s="32" t="n">
        <v>22</v>
      </c>
      <c r="BZ576" s="32" t="n">
        <v>45</v>
      </c>
      <c r="CA576" s="32" t="n">
        <v>67</v>
      </c>
      <c r="CB576" s="32" t="n">
        <v>15</v>
      </c>
      <c r="CC576" s="32" t="n">
        <v>30</v>
      </c>
      <c r="CD576" s="69" t="n">
        <v>45</v>
      </c>
      <c r="CE576" s="32" t="n">
        <v>19</v>
      </c>
      <c r="CF576" s="32" t="n">
        <v>27</v>
      </c>
      <c r="CG576" s="69" t="n">
        <v>46</v>
      </c>
      <c r="CH576" s="32" t="n">
        <v>95</v>
      </c>
      <c r="CI576" s="25" t="n">
        <v>75</v>
      </c>
      <c r="CJ576" s="83" t="n">
        <v>10</v>
      </c>
      <c r="CK576" s="60"/>
      <c r="CL576" s="61"/>
      <c r="CM576" s="49" t="n">
        <v>21</v>
      </c>
      <c r="CN576" s="49" t="n">
        <v>56</v>
      </c>
      <c r="CO576" s="49" t="n">
        <v>77</v>
      </c>
      <c r="CP576" s="25" t="n">
        <f aca="false">BX576+BW576+BV576+BU576+BT576+BQ576+BN576</f>
        <v>533</v>
      </c>
      <c r="CQ576" s="25" t="n">
        <f aca="false">CO576+CL576+CI576+CH576+CG576+CD576+CA576</f>
        <v>405</v>
      </c>
      <c r="CR576" s="26" t="n">
        <f aca="false">CP576/7</f>
        <v>76.1428571428571</v>
      </c>
      <c r="CS576" s="26" t="n">
        <f aca="false">CQ576/7</f>
        <v>57.8571428571429</v>
      </c>
      <c r="CT576" s="24" t="n">
        <f aca="false">RANK(CR576,$CR$2:$CR$881,0)</f>
        <v>634</v>
      </c>
      <c r="CU576" s="25" t="n">
        <f aca="false">RANK(CS576,$CS$2:$CS$881,0)</f>
        <v>702</v>
      </c>
      <c r="CV576" s="26" t="n">
        <f aca="false">(CS576+CR576)/2</f>
        <v>67</v>
      </c>
      <c r="CW576" s="25" t="n">
        <f aca="false">RANK(CV576,$CV$2:$CV$881,0)</f>
        <v>666</v>
      </c>
      <c r="CX576" s="50" t="n">
        <f aca="false">(CV576+BB576)/2</f>
        <v>69.5</v>
      </c>
      <c r="CY576" s="50" t="n">
        <v>623</v>
      </c>
      <c r="CZ576" s="27" t="s">
        <v>132</v>
      </c>
      <c r="DA576" s="27" t="s">
        <v>175</v>
      </c>
      <c r="DB576" s="27" t="s">
        <v>175</v>
      </c>
      <c r="DC576" s="27" t="s">
        <v>134</v>
      </c>
      <c r="DD576" s="27" t="s">
        <v>195</v>
      </c>
      <c r="DE576" s="27" t="s">
        <v>306</v>
      </c>
      <c r="DF576" s="27" t="s">
        <v>443</v>
      </c>
      <c r="DG576" s="27" t="s">
        <v>134</v>
      </c>
      <c r="DH576" s="27" t="s">
        <v>135</v>
      </c>
      <c r="DI576" s="27" t="s">
        <v>220</v>
      </c>
      <c r="DJ576" s="27" t="s">
        <v>196</v>
      </c>
      <c r="DK576" s="27" t="s">
        <v>134</v>
      </c>
      <c r="DL576" s="27" t="s">
        <v>174</v>
      </c>
      <c r="DM576" s="27" t="s">
        <v>183</v>
      </c>
      <c r="DN576" s="27" t="s">
        <v>219</v>
      </c>
      <c r="DO576" s="27" t="s">
        <v>134</v>
      </c>
      <c r="DP576" s="27" t="s">
        <v>1000</v>
      </c>
      <c r="DQ576" s="27" t="s">
        <v>313</v>
      </c>
      <c r="DR576" s="27" t="s">
        <v>187</v>
      </c>
      <c r="DS576" s="27" t="s">
        <v>134</v>
      </c>
      <c r="DT576" s="27" t="s">
        <v>164</v>
      </c>
      <c r="DU576" s="27" t="s">
        <v>399</v>
      </c>
      <c r="DV576" s="27" t="s">
        <v>441</v>
      </c>
      <c r="DW576" s="27" t="s">
        <v>164</v>
      </c>
      <c r="DX576" s="27" t="s">
        <v>155</v>
      </c>
      <c r="DY576" s="27" t="s">
        <v>144</v>
      </c>
      <c r="DZ576" s="27" t="n">
        <f aca="false">DY576+DV576+DR576+DN576+DJ576+DF576+DB576</f>
        <v>560</v>
      </c>
      <c r="EA576" s="28" t="n">
        <f aca="false">DZ576/7</f>
        <v>80</v>
      </c>
      <c r="EB576" s="27" t="n">
        <f aca="false">RANK(EA576,$EA$2:$EA$881,0)</f>
        <v>393</v>
      </c>
      <c r="EC576" s="29" t="n">
        <f aca="false">DZ576+CQ576+CP576+AZ576</f>
        <v>2218</v>
      </c>
      <c r="ED576" s="30" t="n">
        <f aca="false">(EA576+CV576+BB576)/3</f>
        <v>73</v>
      </c>
      <c r="EE576" s="51" t="n">
        <f aca="false">ROUND(BE576,3)</f>
        <v>82.89</v>
      </c>
      <c r="EF576" s="51" t="n">
        <f aca="false">ROUND(CR576,3)</f>
        <v>76.143</v>
      </c>
      <c r="EG576" s="51" t="n">
        <f aca="false">ROUND(CS576,3)</f>
        <v>57.857</v>
      </c>
      <c r="EH576" s="51" t="n">
        <f aca="false">ROUND(EA576,3)</f>
        <v>80</v>
      </c>
      <c r="EI576" s="51" t="n">
        <f aca="false">ROUND(ED576,3)</f>
        <v>73</v>
      </c>
      <c r="EJ576" s="51" t="n">
        <f aca="false">ROUND(CV576,3)</f>
        <v>67</v>
      </c>
      <c r="EK576" s="0" t="n">
        <f aca="false">RANK(EI576,$EI$2:$EI$881,0)</f>
        <v>575</v>
      </c>
    </row>
    <row r="577" customFormat="false" ht="15" hidden="false" customHeight="false" outlineLevel="0" collapsed="false">
      <c r="A577" s="4" t="n">
        <v>1863</v>
      </c>
      <c r="B577" s="4" t="n">
        <v>185</v>
      </c>
      <c r="C577" s="27" t="s">
        <v>1714</v>
      </c>
      <c r="D577" s="31" t="n">
        <v>186</v>
      </c>
      <c r="E577" s="16" t="n">
        <v>230619667</v>
      </c>
      <c r="F577" s="56" t="s">
        <v>1715</v>
      </c>
      <c r="G577" s="22" t="s">
        <v>1716</v>
      </c>
      <c r="H577" s="22" t="s">
        <v>558</v>
      </c>
      <c r="I577" s="57"/>
      <c r="J577" s="16" t="n">
        <v>77</v>
      </c>
      <c r="K577" s="16" t="n">
        <v>89</v>
      </c>
      <c r="L577" s="34" t="n">
        <f aca="false">(K577*70)/100</f>
        <v>62.3</v>
      </c>
      <c r="M577" s="34" t="n">
        <f aca="false">ROUNDUP(L577,0)</f>
        <v>63</v>
      </c>
      <c r="N577" s="16" t="n">
        <v>27</v>
      </c>
      <c r="O577" s="34" t="n">
        <f aca="false">N577+L577</f>
        <v>89.3</v>
      </c>
      <c r="P577" s="34" t="n">
        <f aca="false">N577+M577</f>
        <v>90</v>
      </c>
      <c r="Q577" s="71" t="n">
        <v>52</v>
      </c>
      <c r="R577" s="16" t="n">
        <v>78</v>
      </c>
      <c r="S577" s="34" t="n">
        <f aca="false">(R577*70)/100</f>
        <v>54.6</v>
      </c>
      <c r="T577" s="34" t="n">
        <f aca="false">ROUNDUP(S577,0)</f>
        <v>55</v>
      </c>
      <c r="U577" s="16" t="n">
        <v>29</v>
      </c>
      <c r="V577" s="34" t="n">
        <f aca="false">U577+S577</f>
        <v>83.6</v>
      </c>
      <c r="W577" s="34" t="n">
        <f aca="false">U577+T577</f>
        <v>84</v>
      </c>
      <c r="X577" s="16" t="n">
        <v>73</v>
      </c>
      <c r="Y577" s="34" t="n">
        <f aca="false">(X577*70)/100</f>
        <v>51.1</v>
      </c>
      <c r="Z577" s="34" t="n">
        <f aca="false">ROUNDUP(Y577,0)</f>
        <v>52</v>
      </c>
      <c r="AA577" s="16" t="n">
        <v>25</v>
      </c>
      <c r="AB577" s="34" t="n">
        <f aca="false">AA577+Y577</f>
        <v>76.1</v>
      </c>
      <c r="AC577" s="34" t="n">
        <f aca="false">AA577+Z577</f>
        <v>77</v>
      </c>
      <c r="AD577" s="32" t="n">
        <f aca="false">X577+R577+Q577+K577+J577</f>
        <v>369</v>
      </c>
      <c r="AE577" s="16" t="n">
        <f aca="false">AD577/5</f>
        <v>73.8</v>
      </c>
      <c r="AF577" s="16" t="n">
        <v>73</v>
      </c>
      <c r="AG577" s="16" t="n">
        <v>79</v>
      </c>
      <c r="AH577" s="16" t="n">
        <v>87</v>
      </c>
      <c r="AI577" s="16" t="n">
        <v>90</v>
      </c>
      <c r="AJ577" s="16" t="n">
        <f aca="false">(AI577*70)/100</f>
        <v>63</v>
      </c>
      <c r="AK577" s="35" t="n">
        <f aca="false">ROUNDUP(AJ577,0)</f>
        <v>63</v>
      </c>
      <c r="AL577" s="16" t="n">
        <v>22</v>
      </c>
      <c r="AM577" s="16" t="n">
        <f aca="false">AL577+AJ577</f>
        <v>85</v>
      </c>
      <c r="AN577" s="16" t="n">
        <f aca="false">AL577+AK577</f>
        <v>85</v>
      </c>
      <c r="AO577" s="16" t="n">
        <v>64</v>
      </c>
      <c r="AP577" s="36" t="n">
        <f aca="false">(AO577*70)/100</f>
        <v>44.8</v>
      </c>
      <c r="AQ577" s="37" t="n">
        <f aca="false">ROUNDUP(AP577,0)</f>
        <v>45</v>
      </c>
      <c r="AR577" s="16" t="n">
        <v>26</v>
      </c>
      <c r="AS577" s="16" t="n">
        <f aca="false">AR577+AP577</f>
        <v>70.8</v>
      </c>
      <c r="AT577" s="16" t="n">
        <f aca="false">AR577+AQ577</f>
        <v>71</v>
      </c>
      <c r="AU577" s="16" t="n">
        <f aca="false">AO577+AF577+AI577+AH577+AG577</f>
        <v>393</v>
      </c>
      <c r="AV577" s="16" t="n">
        <f aca="false">(AO577+AF577+AI577+AH577+AG577)/5</f>
        <v>78.6</v>
      </c>
      <c r="AW577" s="36" t="n">
        <f aca="false">(AO577+AF577+AI577+AH577+AG577+X577+R577+Q577+K577+J577)</f>
        <v>762</v>
      </c>
      <c r="AX577" s="16" t="n">
        <f aca="false">AW577/10</f>
        <v>76.2</v>
      </c>
      <c r="AY577" s="16" t="n">
        <f aca="false">AS577+AF577+AM577+AH577+AG577+AB577+V577+Q577+O577+J577</f>
        <v>772.8</v>
      </c>
      <c r="AZ577" s="16" t="n">
        <f aca="false">AT577+AF577+AN577+AH577+AG577+AC577+W577+Q577+P577+J577</f>
        <v>775</v>
      </c>
      <c r="BA577" s="16" t="n">
        <f aca="false">AY577/10</f>
        <v>77.28</v>
      </c>
      <c r="BB577" s="16" t="n">
        <f aca="false">AZ577/10</f>
        <v>77.5</v>
      </c>
      <c r="BC577" s="16" t="n">
        <v>2383</v>
      </c>
      <c r="BD577" s="16" t="n">
        <f aca="false">RANK(AX577,$AX$2:$AX$881,0)</f>
        <v>600</v>
      </c>
      <c r="BE577" s="54" t="n">
        <f aca="false">((BC577*100)/2400)*0.4+(AX577*0.6)</f>
        <v>85.4366666666667</v>
      </c>
      <c r="BF577" s="16" t="n">
        <f aca="false">RANK(BE577,$BE$2:$BE$881,0)</f>
        <v>522</v>
      </c>
      <c r="BG577" s="39" t="n">
        <f aca="false">RANK(BB577,$BB$2:$BB$881,0)</f>
        <v>603</v>
      </c>
      <c r="BH577" s="39" t="n">
        <f aca="false">RANK(BC577,$BC$2:$BC$881,0)</f>
        <v>114</v>
      </c>
      <c r="BI577" s="22" t="s">
        <v>130</v>
      </c>
      <c r="BJ577" s="22" t="s">
        <v>129</v>
      </c>
      <c r="BK577" s="40" t="s">
        <v>509</v>
      </c>
      <c r="BL577" s="41" t="n">
        <v>18</v>
      </c>
      <c r="BM577" s="61"/>
      <c r="BN577" s="61"/>
      <c r="BO577" s="42" t="n">
        <v>25</v>
      </c>
      <c r="BP577" s="59" t="n">
        <v>53</v>
      </c>
      <c r="BQ577" s="59" t="n">
        <v>78</v>
      </c>
      <c r="BR577" s="42" t="n">
        <v>22</v>
      </c>
      <c r="BS577" s="80"/>
      <c r="BT577" s="80"/>
      <c r="BU577" s="88" t="n">
        <v>79</v>
      </c>
      <c r="BV577" s="58" t="n">
        <v>84</v>
      </c>
      <c r="BW577" s="106"/>
      <c r="BX577" s="65" t="n">
        <v>90</v>
      </c>
      <c r="BY577" s="65" t="n">
        <v>30</v>
      </c>
      <c r="BZ577" s="58" t="n">
        <v>52</v>
      </c>
      <c r="CA577" s="58" t="n">
        <v>82</v>
      </c>
      <c r="CB577" s="59" t="n">
        <v>19</v>
      </c>
      <c r="CC577" s="58" t="n">
        <v>60</v>
      </c>
      <c r="CD577" s="58" t="n">
        <v>79</v>
      </c>
      <c r="CE577" s="58" t="n">
        <v>16</v>
      </c>
      <c r="CF577" s="58" t="n">
        <v>44</v>
      </c>
      <c r="CG577" s="58" t="n">
        <v>60</v>
      </c>
      <c r="CH577" s="58" t="n">
        <v>96</v>
      </c>
      <c r="CI577" s="58" t="n">
        <v>92</v>
      </c>
      <c r="CJ577" s="58" t="n">
        <v>19</v>
      </c>
      <c r="CK577" s="58" t="n">
        <v>64</v>
      </c>
      <c r="CL577" s="59" t="n">
        <v>83</v>
      </c>
      <c r="CM577" s="60"/>
      <c r="CN577" s="60"/>
      <c r="CO577" s="60"/>
      <c r="CP577" s="25" t="n">
        <f aca="false">BX577+BW577+BV577+BU577+BT577+BQ577+BN577</f>
        <v>331</v>
      </c>
      <c r="CQ577" s="25" t="n">
        <f aca="false">CO577+CL577+CI577+CH577+CG577+CD577+CA577</f>
        <v>492</v>
      </c>
      <c r="CR577" s="26" t="n">
        <f aca="false">CP577/7</f>
        <v>47.2857142857143</v>
      </c>
      <c r="CS577" s="26" t="n">
        <f aca="false">CQ577/7</f>
        <v>70.2857142857143</v>
      </c>
      <c r="CT577" s="24" t="n">
        <f aca="false">RANK(CR577,$CR$2:$CR$881,0)</f>
        <v>740</v>
      </c>
      <c r="CU577" s="25" t="n">
        <f aca="false">RANK(CS577,$CS$2:$CS$881,0)</f>
        <v>550</v>
      </c>
      <c r="CV577" s="26" t="n">
        <f aca="false">(CS577+CR577)/2</f>
        <v>58.7857142857143</v>
      </c>
      <c r="CW577" s="25" t="n">
        <f aca="false">RANK(CV577,$CV$2:$CV$881,0)</f>
        <v>701</v>
      </c>
      <c r="CX577" s="50" t="n">
        <f aca="false">(CV577+BB577)/2</f>
        <v>68.1428571428571</v>
      </c>
      <c r="CY577" s="50" t="n">
        <v>828</v>
      </c>
      <c r="CZ577" s="27" t="s">
        <v>132</v>
      </c>
      <c r="DA577" s="27" t="s">
        <v>162</v>
      </c>
      <c r="DB577" s="27" t="s">
        <v>162</v>
      </c>
      <c r="DC577" s="27" t="s">
        <v>134</v>
      </c>
      <c r="DD577" s="27" t="s">
        <v>154</v>
      </c>
      <c r="DE577" s="27" t="s">
        <v>136</v>
      </c>
      <c r="DF577" s="27" t="s">
        <v>202</v>
      </c>
      <c r="DG577" s="27" t="s">
        <v>134</v>
      </c>
      <c r="DH577" s="27" t="s">
        <v>160</v>
      </c>
      <c r="DI577" s="27" t="s">
        <v>313</v>
      </c>
      <c r="DJ577" s="27" t="s">
        <v>219</v>
      </c>
      <c r="DK577" s="27" t="s">
        <v>134</v>
      </c>
      <c r="DL577" s="27" t="s">
        <v>137</v>
      </c>
      <c r="DM577" s="27" t="s">
        <v>412</v>
      </c>
      <c r="DN577" s="27" t="s">
        <v>382</v>
      </c>
      <c r="DO577" s="27" t="s">
        <v>134</v>
      </c>
      <c r="DP577" s="27" t="s">
        <v>604</v>
      </c>
      <c r="DQ577" s="27" t="s">
        <v>447</v>
      </c>
      <c r="DR577" s="27" t="s">
        <v>138</v>
      </c>
      <c r="DS577" s="27" t="s">
        <v>134</v>
      </c>
      <c r="DT577" s="27" t="s">
        <v>137</v>
      </c>
      <c r="DU577" s="27" t="s">
        <v>204</v>
      </c>
      <c r="DV577" s="27" t="s">
        <v>175</v>
      </c>
      <c r="DW577" s="27" t="s">
        <v>154</v>
      </c>
      <c r="DX577" s="27" t="s">
        <v>138</v>
      </c>
      <c r="DY577" s="27" t="s">
        <v>176</v>
      </c>
      <c r="DZ577" s="27" t="n">
        <f aca="false">DY577+DV577+DR577+DN577+DJ577+DF577+DB577</f>
        <v>578</v>
      </c>
      <c r="EA577" s="28" t="n">
        <f aca="false">DZ577/7</f>
        <v>82.5714285714286</v>
      </c>
      <c r="EB577" s="27" t="n">
        <f aca="false">RANK(EA577,$EA$2:$EA$881,0)</f>
        <v>289</v>
      </c>
      <c r="EC577" s="29" t="n">
        <f aca="false">DZ577+CQ577+CP577+AZ577</f>
        <v>2176</v>
      </c>
      <c r="ED577" s="30" t="n">
        <f aca="false">(EA577+CV577+BB577)/3</f>
        <v>72.952380952381</v>
      </c>
      <c r="EE577" s="51" t="n">
        <f aca="false">ROUND(BE577,3)</f>
        <v>85.437</v>
      </c>
      <c r="EF577" s="51" t="n">
        <f aca="false">ROUND(CR577,3)</f>
        <v>47.286</v>
      </c>
      <c r="EG577" s="51" t="n">
        <f aca="false">ROUND(CS577,3)</f>
        <v>70.286</v>
      </c>
      <c r="EH577" s="51" t="n">
        <f aca="false">ROUND(EA577,3)</f>
        <v>82.571</v>
      </c>
      <c r="EI577" s="51" t="n">
        <f aca="false">ROUND(ED577,3)</f>
        <v>72.952</v>
      </c>
      <c r="EJ577" s="51" t="n">
        <f aca="false">ROUND(CV577,3)</f>
        <v>58.786</v>
      </c>
      <c r="EK577" s="0" t="n">
        <f aca="false">RANK(EI577,$EI$2:$EI$881,0)</f>
        <v>576</v>
      </c>
    </row>
    <row r="578" customFormat="false" ht="15" hidden="false" customHeight="false" outlineLevel="0" collapsed="false">
      <c r="A578" s="4" t="n">
        <v>8577</v>
      </c>
      <c r="B578" s="4" t="n">
        <v>202</v>
      </c>
      <c r="C578" s="27" t="s">
        <v>1717</v>
      </c>
      <c r="D578" s="31" t="n">
        <v>204</v>
      </c>
      <c r="E578" s="16" t="n">
        <v>230610384</v>
      </c>
      <c r="F578" s="56" t="s">
        <v>1718</v>
      </c>
      <c r="G578" s="22" t="s">
        <v>1719</v>
      </c>
      <c r="H578" s="22" t="s">
        <v>558</v>
      </c>
      <c r="I578" s="57"/>
      <c r="J578" s="16" t="n">
        <v>90</v>
      </c>
      <c r="K578" s="16" t="n">
        <v>90</v>
      </c>
      <c r="L578" s="34" t="n">
        <f aca="false">(K578*70)/100</f>
        <v>63</v>
      </c>
      <c r="M578" s="34" t="n">
        <f aca="false">ROUNDUP(L578,0)</f>
        <v>63</v>
      </c>
      <c r="N578" s="16" t="n">
        <v>24</v>
      </c>
      <c r="O578" s="34" t="n">
        <f aca="false">N578+L578</f>
        <v>87</v>
      </c>
      <c r="P578" s="34" t="n">
        <f aca="false">N578+M578</f>
        <v>87</v>
      </c>
      <c r="Q578" s="16" t="n">
        <v>71</v>
      </c>
      <c r="R578" s="16" t="n">
        <v>78</v>
      </c>
      <c r="S578" s="34" t="n">
        <f aca="false">(R578*70)/100</f>
        <v>54.6</v>
      </c>
      <c r="T578" s="34" t="n">
        <f aca="false">ROUNDUP(S578,0)</f>
        <v>55</v>
      </c>
      <c r="U578" s="16" t="n">
        <v>25</v>
      </c>
      <c r="V578" s="34" t="n">
        <f aca="false">U578+S578</f>
        <v>79.6</v>
      </c>
      <c r="W578" s="34" t="n">
        <f aca="false">U578+T578</f>
        <v>80</v>
      </c>
      <c r="X578" s="16" t="n">
        <v>71</v>
      </c>
      <c r="Y578" s="34" t="n">
        <f aca="false">(X578*70)/100</f>
        <v>49.7</v>
      </c>
      <c r="Z578" s="34" t="n">
        <f aca="false">ROUNDUP(Y578,0)</f>
        <v>50</v>
      </c>
      <c r="AA578" s="16" t="n">
        <v>22</v>
      </c>
      <c r="AB578" s="34" t="n">
        <f aca="false">AA578+Y578</f>
        <v>71.7</v>
      </c>
      <c r="AC578" s="34" t="n">
        <f aca="false">AA578+Z578</f>
        <v>72</v>
      </c>
      <c r="AD578" s="32" t="n">
        <f aca="false">X578+R578+Q578+K578+J578</f>
        <v>400</v>
      </c>
      <c r="AE578" s="16" t="n">
        <f aca="false">AD578/5</f>
        <v>80</v>
      </c>
      <c r="AF578" s="16" t="n">
        <v>72</v>
      </c>
      <c r="AG578" s="16" t="n">
        <v>92</v>
      </c>
      <c r="AH578" s="16" t="n">
        <v>85</v>
      </c>
      <c r="AI578" s="16" t="n">
        <v>73</v>
      </c>
      <c r="AJ578" s="16" t="n">
        <f aca="false">(AI578*70)/100</f>
        <v>51.1</v>
      </c>
      <c r="AK578" s="35" t="n">
        <f aca="false">ROUNDUP(AJ578,0)</f>
        <v>52</v>
      </c>
      <c r="AL578" s="16" t="n">
        <v>26</v>
      </c>
      <c r="AM578" s="16" t="n">
        <f aca="false">AL578+AJ578</f>
        <v>77.1</v>
      </c>
      <c r="AN578" s="16" t="n">
        <f aca="false">AL578+AK578</f>
        <v>78</v>
      </c>
      <c r="AO578" s="16" t="n">
        <v>69</v>
      </c>
      <c r="AP578" s="36" t="n">
        <f aca="false">(AO578*70)/100</f>
        <v>48.3</v>
      </c>
      <c r="AQ578" s="37" t="n">
        <f aca="false">ROUNDUP(AP578,0)</f>
        <v>49</v>
      </c>
      <c r="AR578" s="16" t="n">
        <v>26</v>
      </c>
      <c r="AS578" s="16" t="n">
        <f aca="false">AR578+AP578</f>
        <v>74.3</v>
      </c>
      <c r="AT578" s="16" t="n">
        <f aca="false">AR578+AQ578</f>
        <v>75</v>
      </c>
      <c r="AU578" s="16" t="n">
        <f aca="false">AO578+AF578+AI578+AH578+AG578</f>
        <v>391</v>
      </c>
      <c r="AV578" s="16" t="n">
        <f aca="false">(AO578+AF578+AI578+AH578+AG578)/5</f>
        <v>78.2</v>
      </c>
      <c r="AW578" s="36" t="n">
        <f aca="false">(AO578+AF578+AI578+AH578+AG578+X578+R578+Q578+K578+J578)</f>
        <v>791</v>
      </c>
      <c r="AX578" s="16" t="n">
        <f aca="false">AW578/10</f>
        <v>79.1</v>
      </c>
      <c r="AY578" s="16" t="n">
        <f aca="false">AS578+AF578+AM578+AH578+AG578+AB578+V578+Q578+O578+J578</f>
        <v>799.7</v>
      </c>
      <c r="AZ578" s="16" t="n">
        <f aca="false">AT578+AF578+AN578+AH578+AG578+AC578+W578+Q578+P578+J578</f>
        <v>802</v>
      </c>
      <c r="BA578" s="16" t="n">
        <f aca="false">AY578/10</f>
        <v>79.97</v>
      </c>
      <c r="BB578" s="16" t="n">
        <f aca="false">AZ578/10</f>
        <v>80.2</v>
      </c>
      <c r="BC578" s="16" t="n">
        <v>2341</v>
      </c>
      <c r="BD578" s="16" t="n">
        <f aca="false">RANK(AX578,$AX$2:$AX$881,0)</f>
        <v>324</v>
      </c>
      <c r="BE578" s="54" t="n">
        <f aca="false">((BC578*100)/2400)*0.4+(AX578*0.6)</f>
        <v>86.4766666666667</v>
      </c>
      <c r="BF578" s="16" t="n">
        <f aca="false">RANK(BE578,$BE$2:$BE$881,0)</f>
        <v>354</v>
      </c>
      <c r="BG578" s="39" t="n">
        <f aca="false">RANK(BB578,$BB$2:$BB$881,0)</f>
        <v>338</v>
      </c>
      <c r="BH578" s="39" t="n">
        <f aca="false">RANK(BC578,$BC$2:$BC$881,0)</f>
        <v>628</v>
      </c>
      <c r="BI578" s="22" t="s">
        <v>130</v>
      </c>
      <c r="BJ578" s="22" t="s">
        <v>129</v>
      </c>
      <c r="BK578" s="40" t="s">
        <v>131</v>
      </c>
      <c r="BL578" s="105" t="n">
        <v>25</v>
      </c>
      <c r="BM578" s="59" t="n">
        <v>50</v>
      </c>
      <c r="BN578" s="59" t="n">
        <v>75</v>
      </c>
      <c r="BO578" s="59" t="n">
        <v>28</v>
      </c>
      <c r="BP578" s="59" t="n">
        <v>57</v>
      </c>
      <c r="BQ578" s="59" t="n">
        <v>85</v>
      </c>
      <c r="BR578" s="42" t="n">
        <v>22</v>
      </c>
      <c r="BS578" s="88" t="n">
        <v>36</v>
      </c>
      <c r="BT578" s="125" t="n">
        <v>58</v>
      </c>
      <c r="BU578" s="88" t="n">
        <v>83</v>
      </c>
      <c r="BV578" s="58" t="n">
        <v>85</v>
      </c>
      <c r="BW578" s="102" t="n">
        <v>88</v>
      </c>
      <c r="BX578" s="88" t="n">
        <v>90</v>
      </c>
      <c r="BY578" s="65" t="n">
        <v>27</v>
      </c>
      <c r="BZ578" s="58" t="n">
        <v>49</v>
      </c>
      <c r="CA578" s="58" t="n">
        <v>76</v>
      </c>
      <c r="CB578" s="59" t="n">
        <v>18</v>
      </c>
      <c r="CC578" s="58" t="n">
        <v>55</v>
      </c>
      <c r="CD578" s="58" t="n">
        <v>73</v>
      </c>
      <c r="CE578" s="58" t="n">
        <v>25</v>
      </c>
      <c r="CF578" s="58" t="n">
        <v>41</v>
      </c>
      <c r="CG578" s="58" t="n">
        <v>66</v>
      </c>
      <c r="CH578" s="58" t="n">
        <v>89</v>
      </c>
      <c r="CI578" s="58" t="n">
        <v>86</v>
      </c>
      <c r="CJ578" s="58" t="n">
        <v>20</v>
      </c>
      <c r="CK578" s="58" t="n">
        <v>55</v>
      </c>
      <c r="CL578" s="59" t="n">
        <v>75</v>
      </c>
      <c r="CM578" s="60"/>
      <c r="CN578" s="60"/>
      <c r="CO578" s="60"/>
      <c r="CP578" s="25" t="n">
        <f aca="false">BX578+BW578+BV578+BU578+BT578+BQ578+BN578</f>
        <v>564</v>
      </c>
      <c r="CQ578" s="25" t="n">
        <f aca="false">CO578+CL578+CI578+CH578+CG578+CD578+CA578</f>
        <v>465</v>
      </c>
      <c r="CR578" s="26" t="n">
        <f aca="false">CP578/7</f>
        <v>80.5714285714286</v>
      </c>
      <c r="CS578" s="26" t="n">
        <f aca="false">CQ578/7</f>
        <v>66.4285714285714</v>
      </c>
      <c r="CT578" s="24" t="n">
        <f aca="false">RANK(CR578,$CR$2:$CR$881,0)</f>
        <v>575</v>
      </c>
      <c r="CU578" s="25" t="n">
        <f aca="false">RANK(CS578,$CS$2:$CS$881,0)</f>
        <v>608</v>
      </c>
      <c r="CV578" s="26" t="n">
        <f aca="false">(CS578+CR578)/2</f>
        <v>73.5</v>
      </c>
      <c r="CW578" s="25" t="n">
        <f aca="false">RANK(CV578,$CV$2:$CV$881,0)</f>
        <v>592</v>
      </c>
      <c r="CX578" s="50" t="n">
        <f aca="false">(CV578+BB578)/2</f>
        <v>76.85</v>
      </c>
      <c r="CY578" s="50" t="n">
        <v>758</v>
      </c>
      <c r="CZ578" s="27" t="s">
        <v>132</v>
      </c>
      <c r="DA578" s="27" t="s">
        <v>205</v>
      </c>
      <c r="DB578" s="27" t="s">
        <v>205</v>
      </c>
      <c r="DC578" s="27" t="s">
        <v>134</v>
      </c>
      <c r="DD578" s="27" t="s">
        <v>154</v>
      </c>
      <c r="DE578" s="27" t="s">
        <v>313</v>
      </c>
      <c r="DF578" s="27" t="s">
        <v>441</v>
      </c>
      <c r="DG578" s="27" t="s">
        <v>134</v>
      </c>
      <c r="DH578" s="27" t="s">
        <v>137</v>
      </c>
      <c r="DI578" s="27" t="s">
        <v>442</v>
      </c>
      <c r="DJ578" s="27" t="s">
        <v>441</v>
      </c>
      <c r="DK578" s="27" t="s">
        <v>134</v>
      </c>
      <c r="DL578" s="27" t="s">
        <v>191</v>
      </c>
      <c r="DM578" s="27" t="s">
        <v>645</v>
      </c>
      <c r="DN578" s="27" t="s">
        <v>152</v>
      </c>
      <c r="DO578" s="27" t="s">
        <v>134</v>
      </c>
      <c r="DP578" s="27" t="s">
        <v>191</v>
      </c>
      <c r="DQ578" s="27" t="s">
        <v>638</v>
      </c>
      <c r="DR578" s="27" t="s">
        <v>163</v>
      </c>
      <c r="DS578" s="27" t="s">
        <v>134</v>
      </c>
      <c r="DT578" s="27"/>
      <c r="DU578" s="27"/>
      <c r="DV578" s="27"/>
      <c r="DW578" s="27" t="s">
        <v>182</v>
      </c>
      <c r="DX578" s="27" t="s">
        <v>155</v>
      </c>
      <c r="DY578" s="27" t="s">
        <v>156</v>
      </c>
      <c r="DZ578" s="27" t="n">
        <f aca="false">DY578+DV578+DR578+DN578+DJ578+DF578+DB578</f>
        <v>455</v>
      </c>
      <c r="EA578" s="28" t="n">
        <f aca="false">DZ578/7</f>
        <v>65</v>
      </c>
      <c r="EB578" s="27" t="n">
        <f aca="false">RANK(EA578,$EA$2:$EA$881,0)</f>
        <v>730</v>
      </c>
      <c r="EC578" s="29" t="n">
        <f aca="false">DZ578+CQ578+CP578+AZ578</f>
        <v>2286</v>
      </c>
      <c r="ED578" s="30" t="n">
        <f aca="false">(EA578+CV578+BB578)/3</f>
        <v>72.9</v>
      </c>
      <c r="EE578" s="51" t="n">
        <f aca="false">ROUND(BE578,3)</f>
        <v>86.477</v>
      </c>
      <c r="EF578" s="51" t="n">
        <f aca="false">ROUND(CR578,3)</f>
        <v>80.571</v>
      </c>
      <c r="EG578" s="51" t="n">
        <f aca="false">ROUND(CS578,3)</f>
        <v>66.429</v>
      </c>
      <c r="EH578" s="51" t="n">
        <f aca="false">ROUND(EA578,3)</f>
        <v>65</v>
      </c>
      <c r="EI578" s="51" t="n">
        <f aca="false">ROUND(ED578,3)</f>
        <v>72.9</v>
      </c>
      <c r="EJ578" s="51" t="n">
        <f aca="false">ROUND(CV578,3)</f>
        <v>73.5</v>
      </c>
      <c r="EK578" s="0" t="n">
        <f aca="false">RANK(EI578,$EI$2:$EI$881,0)</f>
        <v>577</v>
      </c>
    </row>
    <row r="579" customFormat="false" ht="15" hidden="false" customHeight="false" outlineLevel="0" collapsed="false">
      <c r="A579" s="4" t="n">
        <v>8710</v>
      </c>
      <c r="B579" s="4" t="n">
        <v>751</v>
      </c>
      <c r="C579" s="27" t="s">
        <v>1720</v>
      </c>
      <c r="D579" s="31" t="n">
        <v>766</v>
      </c>
      <c r="E579" s="62" t="n">
        <v>230319768</v>
      </c>
      <c r="F579" s="8" t="s">
        <v>1721</v>
      </c>
      <c r="G579" s="63" t="s">
        <v>357</v>
      </c>
      <c r="H579" s="22" t="s">
        <v>129</v>
      </c>
      <c r="I579" s="64" t="n">
        <v>2005</v>
      </c>
      <c r="J579" s="62" t="n">
        <v>76</v>
      </c>
      <c r="K579" s="62" t="n">
        <v>55</v>
      </c>
      <c r="L579" s="34" t="n">
        <f aca="false">(K579*70)/100</f>
        <v>38.5</v>
      </c>
      <c r="M579" s="34" t="n">
        <f aca="false">ROUNDUP(L579,0)</f>
        <v>39</v>
      </c>
      <c r="N579" s="62" t="n">
        <v>20</v>
      </c>
      <c r="O579" s="34" t="n">
        <f aca="false">N579+L579</f>
        <v>58.5</v>
      </c>
      <c r="P579" s="91" t="n">
        <f aca="false">N579+M579</f>
        <v>59</v>
      </c>
      <c r="Q579" s="62" t="n">
        <v>61</v>
      </c>
      <c r="R579" s="62" t="n">
        <v>73</v>
      </c>
      <c r="S579" s="34" t="n">
        <f aca="false">(R579*70)/100</f>
        <v>51.1</v>
      </c>
      <c r="T579" s="34" t="n">
        <f aca="false">ROUNDUP(S579,0)</f>
        <v>52</v>
      </c>
      <c r="U579" s="62" t="n">
        <v>18</v>
      </c>
      <c r="V579" s="34" t="n">
        <f aca="false">U579+S579</f>
        <v>69.1</v>
      </c>
      <c r="W579" s="34" t="n">
        <f aca="false">U579+T579</f>
        <v>70</v>
      </c>
      <c r="X579" s="62" t="n">
        <v>67</v>
      </c>
      <c r="Y579" s="34" t="n">
        <f aca="false">(X579*70)/100</f>
        <v>46.9</v>
      </c>
      <c r="Z579" s="34" t="n">
        <f aca="false">ROUNDUP(Y579,0)</f>
        <v>47</v>
      </c>
      <c r="AA579" s="62" t="n">
        <v>25</v>
      </c>
      <c r="AB579" s="34" t="n">
        <f aca="false">AA579+Y579</f>
        <v>71.9</v>
      </c>
      <c r="AC579" s="34" t="n">
        <f aca="false">AA579+Z579</f>
        <v>72</v>
      </c>
      <c r="AD579" s="32" t="n">
        <f aca="false">X579+R579+Q579+K579+J579</f>
        <v>332</v>
      </c>
      <c r="AE579" s="16" t="n">
        <f aca="false">AD579/5</f>
        <v>66.4</v>
      </c>
      <c r="AF579" s="65" t="n">
        <v>68</v>
      </c>
      <c r="AG579" s="65" t="n">
        <v>77</v>
      </c>
      <c r="AH579" s="65" t="n">
        <v>71</v>
      </c>
      <c r="AI579" s="65" t="n">
        <v>62</v>
      </c>
      <c r="AJ579" s="16" t="n">
        <f aca="false">(AI579*70)/100</f>
        <v>43.4</v>
      </c>
      <c r="AK579" s="35" t="n">
        <f aca="false">ROUNDUP(AJ579,0)</f>
        <v>44</v>
      </c>
      <c r="AL579" s="65" t="n">
        <v>22</v>
      </c>
      <c r="AM579" s="16" t="n">
        <f aca="false">AL579+AJ579</f>
        <v>65.4</v>
      </c>
      <c r="AN579" s="16" t="n">
        <f aca="false">AL579+AK579</f>
        <v>66</v>
      </c>
      <c r="AO579" s="65" t="n">
        <v>50</v>
      </c>
      <c r="AP579" s="36" t="n">
        <f aca="false">(AO579*70)/100</f>
        <v>35</v>
      </c>
      <c r="AQ579" s="37" t="n">
        <f aca="false">ROUNDUP(AP579,0)</f>
        <v>35</v>
      </c>
      <c r="AR579" s="65" t="n">
        <v>26</v>
      </c>
      <c r="AS579" s="16" t="n">
        <f aca="false">AR579+AP579</f>
        <v>61</v>
      </c>
      <c r="AT579" s="16" t="n">
        <f aca="false">AR579+AQ579</f>
        <v>61</v>
      </c>
      <c r="AU579" s="16" t="n">
        <f aca="false">AO579+AF579+AI579+AH579+AG579</f>
        <v>328</v>
      </c>
      <c r="AV579" s="16" t="n">
        <f aca="false">(AO579+AF579+AI579+AH579+AG579)/5</f>
        <v>65.6</v>
      </c>
      <c r="AW579" s="36" t="n">
        <f aca="false">(AO579+AF579+AI579+AH579+AG579+X579+R579+Q579+K579+J579)</f>
        <v>660</v>
      </c>
      <c r="AX579" s="16" t="n">
        <f aca="false">AW579/10</f>
        <v>66</v>
      </c>
      <c r="AY579" s="16" t="n">
        <f aca="false">AS579+AF579+AM579+AH579+AG579+AB579+V579+Q579+O579+J579</f>
        <v>678.9</v>
      </c>
      <c r="AZ579" s="16" t="n">
        <f aca="false">AT579+AF579+AN579+AH579+AG579+AC579+W579+Q579+P579+J579</f>
        <v>681</v>
      </c>
      <c r="BA579" s="16" t="n">
        <f aca="false">AY579/10</f>
        <v>67.89</v>
      </c>
      <c r="BB579" s="16" t="n">
        <f aca="false">AZ579/10</f>
        <v>68.1</v>
      </c>
      <c r="BC579" s="65" t="n">
        <v>2373</v>
      </c>
      <c r="BD579" s="16" t="n">
        <f aca="false">RANK(AX579,$AX$2:$AX$881,0)</f>
        <v>756</v>
      </c>
      <c r="BE579" s="78" t="n">
        <f aca="false">((BC579*100)/2400)*0.4+(AX579*0.6)</f>
        <v>79.15</v>
      </c>
      <c r="BF579" s="16" t="n">
        <f aca="false">RANK(BE579,$BE$2:$BE$881,0)</f>
        <v>737</v>
      </c>
      <c r="BG579" s="39" t="n">
        <f aca="false">RANK(BB579,$BB$2:$BB$881,0)</f>
        <v>758</v>
      </c>
      <c r="BH579" s="39" t="n">
        <f aca="false">RANK(BC579,$BC$2:$BC$881,0)</f>
        <v>233</v>
      </c>
      <c r="BI579" s="22" t="s">
        <v>130</v>
      </c>
      <c r="BJ579" s="22" t="s">
        <v>129</v>
      </c>
      <c r="BK579" s="100" t="s">
        <v>702</v>
      </c>
      <c r="BL579" s="41" t="n">
        <v>16</v>
      </c>
      <c r="BM579" s="41" t="n">
        <v>44</v>
      </c>
      <c r="BN579" s="41" t="n">
        <v>60</v>
      </c>
      <c r="BO579" s="42" t="n">
        <v>26</v>
      </c>
      <c r="BP579" s="43" t="n">
        <v>53</v>
      </c>
      <c r="BQ579" s="44" t="n">
        <v>79</v>
      </c>
      <c r="BR579" s="42" t="n">
        <v>21</v>
      </c>
      <c r="BS579" s="45" t="n">
        <v>49</v>
      </c>
      <c r="BT579" s="45" t="n">
        <v>70</v>
      </c>
      <c r="BU579" s="46" t="n">
        <v>96</v>
      </c>
      <c r="BV579" s="47" t="n">
        <v>94</v>
      </c>
      <c r="BW579" s="42" t="n">
        <v>90</v>
      </c>
      <c r="BX579" s="48" t="n">
        <v>86</v>
      </c>
      <c r="BY579" s="32" t="n">
        <v>27</v>
      </c>
      <c r="BZ579" s="32" t="n">
        <v>48</v>
      </c>
      <c r="CA579" s="32" t="n">
        <v>75</v>
      </c>
      <c r="CB579" s="32" t="n">
        <v>22</v>
      </c>
      <c r="CC579" s="68" t="n">
        <v>0</v>
      </c>
      <c r="CD579" s="69" t="n">
        <v>22</v>
      </c>
      <c r="CE579" s="32" t="n">
        <v>25</v>
      </c>
      <c r="CF579" s="32" t="n">
        <v>50</v>
      </c>
      <c r="CG579" s="32" t="n">
        <v>75</v>
      </c>
      <c r="CH579" s="32" t="n">
        <v>95</v>
      </c>
      <c r="CI579" s="32" t="n">
        <v>98</v>
      </c>
      <c r="CJ579" s="49" t="n">
        <v>23</v>
      </c>
      <c r="CK579" s="49" t="n">
        <v>0</v>
      </c>
      <c r="CL579" s="76" t="n">
        <v>23</v>
      </c>
      <c r="CM579" s="49" t="n">
        <v>23</v>
      </c>
      <c r="CN579" s="49" t="n">
        <v>49</v>
      </c>
      <c r="CO579" s="49" t="n">
        <v>72</v>
      </c>
      <c r="CP579" s="25" t="n">
        <f aca="false">BX579+BW579+BV579+BU579+BT579+BQ579+BN579</f>
        <v>575</v>
      </c>
      <c r="CQ579" s="25" t="n">
        <f aca="false">CO579+CL579+CI579+CH579+CG579+CD579+CA579</f>
        <v>460</v>
      </c>
      <c r="CR579" s="26" t="n">
        <f aca="false">CP579/7</f>
        <v>82.1428571428571</v>
      </c>
      <c r="CS579" s="26" t="n">
        <f aca="false">CQ579/7</f>
        <v>65.7142857142857</v>
      </c>
      <c r="CT579" s="24" t="n">
        <f aca="false">RANK(CR579,$CR$2:$CR$881,0)</f>
        <v>536</v>
      </c>
      <c r="CU579" s="25" t="n">
        <f aca="false">RANK(CS579,$CS$2:$CS$881,0)</f>
        <v>616</v>
      </c>
      <c r="CV579" s="26" t="n">
        <f aca="false">(CS579+CR579)/2</f>
        <v>73.9285714285714</v>
      </c>
      <c r="CW579" s="25" t="n">
        <f aca="false">RANK(CV579,$CV$2:$CV$881,0)</f>
        <v>586</v>
      </c>
      <c r="CX579" s="50" t="n">
        <f aca="false">(CV579+BB579)/2</f>
        <v>71.0142857142857</v>
      </c>
      <c r="CY579" s="50" t="n">
        <v>603</v>
      </c>
      <c r="CZ579" s="27" t="s">
        <v>132</v>
      </c>
      <c r="DA579" s="27" t="s">
        <v>133</v>
      </c>
      <c r="DB579" s="27" t="s">
        <v>133</v>
      </c>
      <c r="DC579" s="27" t="s">
        <v>134</v>
      </c>
      <c r="DD579" s="27" t="s">
        <v>174</v>
      </c>
      <c r="DE579" s="27" t="s">
        <v>304</v>
      </c>
      <c r="DF579" s="27" t="s">
        <v>443</v>
      </c>
      <c r="DG579" s="27" t="s">
        <v>134</v>
      </c>
      <c r="DH579" s="27" t="s">
        <v>386</v>
      </c>
      <c r="DI579" s="27" t="s">
        <v>313</v>
      </c>
      <c r="DJ579" s="27" t="s">
        <v>155</v>
      </c>
      <c r="DK579" s="27" t="s">
        <v>134</v>
      </c>
      <c r="DL579" s="27" t="s">
        <v>137</v>
      </c>
      <c r="DM579" s="27" t="s">
        <v>204</v>
      </c>
      <c r="DN579" s="27" t="s">
        <v>175</v>
      </c>
      <c r="DO579" s="27" t="s">
        <v>134</v>
      </c>
      <c r="DP579" s="27" t="s">
        <v>604</v>
      </c>
      <c r="DQ579" s="27" t="s">
        <v>479</v>
      </c>
      <c r="DR579" s="27" t="s">
        <v>306</v>
      </c>
      <c r="DS579" s="27" t="s">
        <v>480</v>
      </c>
      <c r="DT579" s="27" t="s">
        <v>137</v>
      </c>
      <c r="DU579" s="27" t="s">
        <v>1407</v>
      </c>
      <c r="DV579" s="27" t="s">
        <v>187</v>
      </c>
      <c r="DW579" s="27" t="s">
        <v>135</v>
      </c>
      <c r="DX579" s="27" t="s">
        <v>155</v>
      </c>
      <c r="DY579" s="27" t="s">
        <v>139</v>
      </c>
      <c r="DZ579" s="27" t="n">
        <f aca="false">DY579+DV579+DR579+DN579+DJ579+DF579+DB579</f>
        <v>535</v>
      </c>
      <c r="EA579" s="28" t="n">
        <f aca="false">DZ579/7</f>
        <v>76.4285714285714</v>
      </c>
      <c r="EB579" s="27" t="n">
        <f aca="false">RANK(EA579,$EA$2:$EA$881,0)</f>
        <v>506</v>
      </c>
      <c r="EC579" s="29" t="n">
        <f aca="false">DZ579+CQ579+CP579+AZ579</f>
        <v>2251</v>
      </c>
      <c r="ED579" s="30" t="n">
        <f aca="false">(EA579+CV579+BB579)/3</f>
        <v>72.8190476190476</v>
      </c>
      <c r="EE579" s="51" t="n">
        <f aca="false">ROUND(BE579,3)</f>
        <v>79.15</v>
      </c>
      <c r="EF579" s="51" t="n">
        <f aca="false">ROUND(CR579,3)</f>
        <v>82.143</v>
      </c>
      <c r="EG579" s="51" t="n">
        <f aca="false">ROUND(CS579,3)</f>
        <v>65.714</v>
      </c>
      <c r="EH579" s="51" t="n">
        <f aca="false">ROUND(EA579,3)</f>
        <v>76.429</v>
      </c>
      <c r="EI579" s="51" t="n">
        <f aca="false">ROUND(ED579,3)</f>
        <v>72.819</v>
      </c>
      <c r="EJ579" s="51" t="n">
        <f aca="false">ROUND(CV579,3)</f>
        <v>73.929</v>
      </c>
      <c r="EK579" s="0" t="n">
        <f aca="false">RANK(EI579,$EI$2:$EI$881,0)</f>
        <v>578</v>
      </c>
    </row>
    <row r="580" customFormat="false" ht="15" hidden="false" customHeight="false" outlineLevel="0" collapsed="false">
      <c r="A580" s="4" t="n">
        <v>8900</v>
      </c>
      <c r="B580" s="4" t="n">
        <v>100</v>
      </c>
      <c r="C580" s="27" t="s">
        <v>1722</v>
      </c>
      <c r="D580" s="52" t="n">
        <v>100</v>
      </c>
      <c r="E580" s="32" t="n">
        <v>230322900</v>
      </c>
      <c r="F580" s="8" t="s">
        <v>1723</v>
      </c>
      <c r="G580" s="22" t="s">
        <v>303</v>
      </c>
      <c r="H580" s="22" t="s">
        <v>129</v>
      </c>
      <c r="I580" s="33" t="n">
        <v>2006</v>
      </c>
      <c r="J580" s="32" t="n">
        <v>73</v>
      </c>
      <c r="K580" s="32" t="n">
        <v>56</v>
      </c>
      <c r="L580" s="34" t="n">
        <f aca="false">(K580*70)/100</f>
        <v>39.2</v>
      </c>
      <c r="M580" s="34" t="n">
        <f aca="false">ROUNDUP(L580,0)</f>
        <v>40</v>
      </c>
      <c r="N580" s="32" t="n">
        <v>26</v>
      </c>
      <c r="O580" s="34" t="n">
        <f aca="false">N580+L580</f>
        <v>65.2</v>
      </c>
      <c r="P580" s="34" t="n">
        <f aca="false">N580+M580</f>
        <v>66</v>
      </c>
      <c r="Q580" s="32" t="n">
        <v>62</v>
      </c>
      <c r="R580" s="32" t="n">
        <v>73</v>
      </c>
      <c r="S580" s="34" t="n">
        <f aca="false">(R580*70)/100</f>
        <v>51.1</v>
      </c>
      <c r="T580" s="34" t="n">
        <f aca="false">ROUNDUP(S580,0)</f>
        <v>52</v>
      </c>
      <c r="U580" s="32" t="n">
        <v>16</v>
      </c>
      <c r="V580" s="34" t="n">
        <f aca="false">U580+S580</f>
        <v>67.1</v>
      </c>
      <c r="W580" s="34" t="n">
        <f aca="false">U580+T580</f>
        <v>68</v>
      </c>
      <c r="X580" s="32" t="n">
        <v>68</v>
      </c>
      <c r="Y580" s="34" t="n">
        <f aca="false">(X580*70)/100</f>
        <v>47.6</v>
      </c>
      <c r="Z580" s="34" t="n">
        <f aca="false">ROUNDUP(Y580,0)</f>
        <v>48</v>
      </c>
      <c r="AA580" s="32" t="n">
        <v>23</v>
      </c>
      <c r="AB580" s="34" t="n">
        <f aca="false">AA580+Y580</f>
        <v>70.6</v>
      </c>
      <c r="AC580" s="34" t="n">
        <f aca="false">AA580+Z580</f>
        <v>71</v>
      </c>
      <c r="AD580" s="32" t="n">
        <f aca="false">X580+R580+Q580+K580+J580</f>
        <v>332</v>
      </c>
      <c r="AE580" s="16" t="n">
        <f aca="false">AD580/5</f>
        <v>66.4</v>
      </c>
      <c r="AF580" s="71" t="n">
        <v>59</v>
      </c>
      <c r="AG580" s="16" t="n">
        <v>74</v>
      </c>
      <c r="AH580" s="16" t="n">
        <v>81</v>
      </c>
      <c r="AI580" s="16" t="n">
        <v>67</v>
      </c>
      <c r="AJ580" s="16" t="n">
        <f aca="false">(AI580*70)/100</f>
        <v>46.9</v>
      </c>
      <c r="AK580" s="35" t="n">
        <f aca="false">ROUNDUP(AJ580,0)</f>
        <v>47</v>
      </c>
      <c r="AL580" s="16" t="n">
        <v>24</v>
      </c>
      <c r="AM580" s="16" t="n">
        <f aca="false">AL580+AJ580</f>
        <v>70.9</v>
      </c>
      <c r="AN580" s="16" t="n">
        <f aca="false">AL580+AK580</f>
        <v>71</v>
      </c>
      <c r="AO580" s="16" t="n">
        <v>60</v>
      </c>
      <c r="AP580" s="36" t="n">
        <f aca="false">(AO580*70)/100</f>
        <v>42</v>
      </c>
      <c r="AQ580" s="37" t="n">
        <f aca="false">ROUNDUP(AP580,0)</f>
        <v>42</v>
      </c>
      <c r="AR580" s="16" t="n">
        <v>21</v>
      </c>
      <c r="AS580" s="16" t="n">
        <f aca="false">AR580+AP580</f>
        <v>63</v>
      </c>
      <c r="AT580" s="16" t="n">
        <f aca="false">AR580+AQ580</f>
        <v>63</v>
      </c>
      <c r="AU580" s="16" t="n">
        <f aca="false">AO580+AF580+AI580+AH580+AG580</f>
        <v>341</v>
      </c>
      <c r="AV580" s="16" t="n">
        <f aca="false">(AO580+AF580+AI580+AH580+AG580)/5</f>
        <v>68.2</v>
      </c>
      <c r="AW580" s="36" t="n">
        <f aca="false">(AO580+AF580+AI580+AH580+AG580+X580+R580+Q580+K580+J580)</f>
        <v>673</v>
      </c>
      <c r="AX580" s="16" t="n">
        <f aca="false">AW580/10</f>
        <v>67.3</v>
      </c>
      <c r="AY580" s="16" t="n">
        <f aca="false">AS580+AF580+AM580+AH580+AG580+AB580+V580+Q580+O580+J580</f>
        <v>685.8</v>
      </c>
      <c r="AZ580" s="16" t="n">
        <f aca="false">AT580+AF580+AN580+AH580+AG580+AC580+W580+Q580+P580+J580</f>
        <v>688</v>
      </c>
      <c r="BA580" s="16" t="n">
        <f aca="false">AY580/10</f>
        <v>68.58</v>
      </c>
      <c r="BB580" s="16" t="n">
        <f aca="false">AZ580/10</f>
        <v>68.8</v>
      </c>
      <c r="BC580" s="16" t="n">
        <v>2333</v>
      </c>
      <c r="BD580" s="16" t="n">
        <f aca="false">RANK(AX580,$AX$2:$AX$881,0)</f>
        <v>752</v>
      </c>
      <c r="BE580" s="78" t="n">
        <f aca="false">((BC580*100)/2400)*0.4+(AX580*0.6)</f>
        <v>79.2633333333333</v>
      </c>
      <c r="BF580" s="16" t="n">
        <f aca="false">RANK(BE580,$BE$2:$BE$881,0)</f>
        <v>735</v>
      </c>
      <c r="BG580" s="39" t="n">
        <f aca="false">RANK(BB580,$BB$2:$BB$881,0)</f>
        <v>751</v>
      </c>
      <c r="BH580" s="39" t="n">
        <f aca="false">RANK(BC580,$BC$2:$BC$881,0)</f>
        <v>697</v>
      </c>
      <c r="BI580" s="22" t="s">
        <v>130</v>
      </c>
      <c r="BJ580" s="22" t="s">
        <v>129</v>
      </c>
      <c r="BK580" s="40" t="s">
        <v>702</v>
      </c>
      <c r="BL580" s="41" t="n">
        <v>18</v>
      </c>
      <c r="BM580" s="41" t="n">
        <v>34</v>
      </c>
      <c r="BN580" s="98" t="n">
        <v>52</v>
      </c>
      <c r="BO580" s="42" t="n">
        <v>23</v>
      </c>
      <c r="BP580" s="43" t="n">
        <v>47</v>
      </c>
      <c r="BQ580" s="44" t="n">
        <v>70</v>
      </c>
      <c r="BR580" s="42" t="n">
        <v>19</v>
      </c>
      <c r="BS580" s="45" t="n">
        <v>49</v>
      </c>
      <c r="BT580" s="45" t="n">
        <v>68</v>
      </c>
      <c r="BU580" s="46" t="n">
        <v>100</v>
      </c>
      <c r="BV580" s="47" t="n">
        <v>82</v>
      </c>
      <c r="BW580" s="42" t="n">
        <v>85</v>
      </c>
      <c r="BX580" s="48" t="n">
        <v>92</v>
      </c>
      <c r="BY580" s="32" t="n">
        <v>19</v>
      </c>
      <c r="BZ580" s="32" t="n">
        <v>42</v>
      </c>
      <c r="CA580" s="32" t="n">
        <v>61</v>
      </c>
      <c r="CB580" s="32" t="n">
        <v>18</v>
      </c>
      <c r="CC580" s="32" t="n">
        <v>34</v>
      </c>
      <c r="CD580" s="69" t="n">
        <v>52</v>
      </c>
      <c r="CE580" s="32" t="n">
        <v>22</v>
      </c>
      <c r="CF580" s="32" t="n">
        <v>37</v>
      </c>
      <c r="CG580" s="69" t="n">
        <v>59</v>
      </c>
      <c r="CH580" s="32" t="n">
        <v>100</v>
      </c>
      <c r="CI580" s="32" t="n">
        <v>95</v>
      </c>
      <c r="CJ580" s="49" t="n">
        <v>22</v>
      </c>
      <c r="CK580" s="49" t="n">
        <v>40</v>
      </c>
      <c r="CL580" s="49" t="n">
        <v>62</v>
      </c>
      <c r="CM580" s="49" t="n">
        <v>25</v>
      </c>
      <c r="CN580" s="49" t="n">
        <v>50</v>
      </c>
      <c r="CO580" s="49" t="n">
        <v>75</v>
      </c>
      <c r="CP580" s="25" t="n">
        <f aca="false">BX580+BW580+BV580+BU580+BT580+BQ580+BN580</f>
        <v>549</v>
      </c>
      <c r="CQ580" s="25" t="n">
        <f aca="false">CO580+CL580+CI580+CH580+CG580+CD580+CA580</f>
        <v>504</v>
      </c>
      <c r="CR580" s="26" t="n">
        <f aca="false">CP580/7</f>
        <v>78.4285714285714</v>
      </c>
      <c r="CS580" s="26" t="n">
        <f aca="false">CQ580/7</f>
        <v>72</v>
      </c>
      <c r="CT580" s="24" t="n">
        <f aca="false">RANK(CR580,$CR$2:$CR$881,0)</f>
        <v>610</v>
      </c>
      <c r="CU580" s="25" t="n">
        <f aca="false">RANK(CS580,$CS$2:$CS$881,0)</f>
        <v>509</v>
      </c>
      <c r="CV580" s="26" t="n">
        <f aca="false">(CS580+CR580)/2</f>
        <v>75.2142857142857</v>
      </c>
      <c r="CW580" s="25" t="n">
        <f aca="false">RANK(CV580,$CV$2:$CV$881,0)</f>
        <v>552</v>
      </c>
      <c r="CX580" s="50" t="n">
        <f aca="false">(CV580+BB580)/2</f>
        <v>72.0071428571429</v>
      </c>
      <c r="CY580" s="50" t="n">
        <v>594</v>
      </c>
      <c r="CZ580" s="27" t="s">
        <v>132</v>
      </c>
      <c r="DA580" s="27" t="s">
        <v>202</v>
      </c>
      <c r="DB580" s="27" t="s">
        <v>202</v>
      </c>
      <c r="DC580" s="27" t="s">
        <v>134</v>
      </c>
      <c r="DD580" s="27" t="s">
        <v>154</v>
      </c>
      <c r="DE580" s="27" t="s">
        <v>412</v>
      </c>
      <c r="DF580" s="27" t="s">
        <v>372</v>
      </c>
      <c r="DG580" s="27" t="s">
        <v>134</v>
      </c>
      <c r="DH580" s="27" t="s">
        <v>195</v>
      </c>
      <c r="DI580" s="27" t="s">
        <v>638</v>
      </c>
      <c r="DJ580" s="27" t="s">
        <v>187</v>
      </c>
      <c r="DK580" s="27" t="s">
        <v>134</v>
      </c>
      <c r="DL580" s="27" t="s">
        <v>191</v>
      </c>
      <c r="DM580" s="27" t="s">
        <v>447</v>
      </c>
      <c r="DN580" s="27" t="s">
        <v>486</v>
      </c>
      <c r="DO580" s="27" t="s">
        <v>134</v>
      </c>
      <c r="DP580" s="27" t="s">
        <v>386</v>
      </c>
      <c r="DQ580" s="27" t="s">
        <v>681</v>
      </c>
      <c r="DR580" s="27" t="s">
        <v>152</v>
      </c>
      <c r="DS580" s="27" t="s">
        <v>134</v>
      </c>
      <c r="DT580" s="27" t="s">
        <v>174</v>
      </c>
      <c r="DU580" s="27" t="s">
        <v>673</v>
      </c>
      <c r="DV580" s="27" t="s">
        <v>136</v>
      </c>
      <c r="DW580" s="27" t="s">
        <v>164</v>
      </c>
      <c r="DX580" s="27" t="s">
        <v>143</v>
      </c>
      <c r="DY580" s="27" t="s">
        <v>139</v>
      </c>
      <c r="DZ580" s="27" t="n">
        <f aca="false">DY580+DV580+DR580+DN580+DJ580+DF580+DB580</f>
        <v>521</v>
      </c>
      <c r="EA580" s="28" t="n">
        <f aca="false">DZ580/7</f>
        <v>74.4285714285714</v>
      </c>
      <c r="EB580" s="27" t="n">
        <f aca="false">RANK(EA580,$EA$2:$EA$881,0)</f>
        <v>552</v>
      </c>
      <c r="EC580" s="29" t="n">
        <f aca="false">DZ580+CQ580+CP580+AZ580</f>
        <v>2262</v>
      </c>
      <c r="ED580" s="30" t="n">
        <f aca="false">(EA580+CV580+BB580)/3</f>
        <v>72.8142857142857</v>
      </c>
      <c r="EE580" s="51" t="n">
        <f aca="false">ROUND(BE580,3)</f>
        <v>79.263</v>
      </c>
      <c r="EF580" s="51" t="n">
        <f aca="false">ROUND(CR580,3)</f>
        <v>78.429</v>
      </c>
      <c r="EG580" s="51" t="n">
        <f aca="false">ROUND(CS580,3)</f>
        <v>72</v>
      </c>
      <c r="EH580" s="51" t="n">
        <f aca="false">ROUND(EA580,3)</f>
        <v>74.429</v>
      </c>
      <c r="EI580" s="51" t="n">
        <f aca="false">ROUND(ED580,3)</f>
        <v>72.814</v>
      </c>
      <c r="EJ580" s="51" t="n">
        <f aca="false">ROUND(CV580,3)</f>
        <v>75.214</v>
      </c>
      <c r="EK580" s="0" t="n">
        <f aca="false">RANK(EI580,$EI$2:$EI$881,0)</f>
        <v>579</v>
      </c>
    </row>
    <row r="581" customFormat="false" ht="15" hidden="false" customHeight="false" outlineLevel="0" collapsed="false">
      <c r="A581" s="4" t="n">
        <v>1846</v>
      </c>
      <c r="B581" s="4" t="n">
        <v>6</v>
      </c>
      <c r="C581" s="27" t="s">
        <v>1724</v>
      </c>
      <c r="D581" s="52" t="n">
        <v>8</v>
      </c>
      <c r="E581" s="16" t="n">
        <v>230615354</v>
      </c>
      <c r="F581" s="56" t="s">
        <v>1725</v>
      </c>
      <c r="G581" s="22" t="s">
        <v>1726</v>
      </c>
      <c r="H581" s="22" t="s">
        <v>558</v>
      </c>
      <c r="I581" s="57"/>
      <c r="J581" s="16" t="n">
        <v>82</v>
      </c>
      <c r="K581" s="16" t="n">
        <v>71</v>
      </c>
      <c r="L581" s="34" t="n">
        <f aca="false">(K581*70)/100</f>
        <v>49.7</v>
      </c>
      <c r="M581" s="34" t="n">
        <f aca="false">ROUNDUP(L581,0)</f>
        <v>50</v>
      </c>
      <c r="N581" s="16" t="n">
        <v>22</v>
      </c>
      <c r="O581" s="34" t="n">
        <f aca="false">N581+L581</f>
        <v>71.7</v>
      </c>
      <c r="P581" s="34" t="n">
        <f aca="false">N581+M581</f>
        <v>72</v>
      </c>
      <c r="Q581" s="16" t="n">
        <v>72</v>
      </c>
      <c r="R581" s="16" t="n">
        <v>73</v>
      </c>
      <c r="S581" s="34" t="n">
        <f aca="false">(R581*70)/100</f>
        <v>51.1</v>
      </c>
      <c r="T581" s="34" t="n">
        <f aca="false">ROUNDUP(S581,0)</f>
        <v>52</v>
      </c>
      <c r="U581" s="16" t="n">
        <v>24</v>
      </c>
      <c r="V581" s="34" t="n">
        <f aca="false">U581+S581</f>
        <v>75.1</v>
      </c>
      <c r="W581" s="34" t="n">
        <f aca="false">U581+T581</f>
        <v>76</v>
      </c>
      <c r="X581" s="16" t="n">
        <v>66</v>
      </c>
      <c r="Y581" s="34" t="n">
        <f aca="false">(X581*70)/100</f>
        <v>46.2</v>
      </c>
      <c r="Z581" s="34" t="n">
        <f aca="false">ROUNDUP(Y581,0)</f>
        <v>47</v>
      </c>
      <c r="AA581" s="16" t="n">
        <v>21</v>
      </c>
      <c r="AB581" s="34" t="n">
        <f aca="false">AA581+Y581</f>
        <v>67.2</v>
      </c>
      <c r="AC581" s="34" t="n">
        <f aca="false">AA581+Z581</f>
        <v>68</v>
      </c>
      <c r="AD581" s="32" t="n">
        <f aca="false">X581+R581+Q581+K581+J581</f>
        <v>364</v>
      </c>
      <c r="AE581" s="16" t="n">
        <f aca="false">AD581/5</f>
        <v>72.8</v>
      </c>
      <c r="AF581" s="16" t="n">
        <v>74</v>
      </c>
      <c r="AG581" s="16" t="n">
        <v>80</v>
      </c>
      <c r="AH581" s="16" t="n">
        <v>82</v>
      </c>
      <c r="AI581" s="16" t="n">
        <v>89</v>
      </c>
      <c r="AJ581" s="16" t="n">
        <f aca="false">(AI581*70)/100</f>
        <v>62.3</v>
      </c>
      <c r="AK581" s="35" t="n">
        <f aca="false">ROUNDUP(AJ581,0)</f>
        <v>63</v>
      </c>
      <c r="AL581" s="16" t="n">
        <v>19</v>
      </c>
      <c r="AM581" s="16" t="n">
        <f aca="false">AL581+AJ581</f>
        <v>81.3</v>
      </c>
      <c r="AN581" s="16" t="n">
        <f aca="false">AL581+AK581</f>
        <v>82</v>
      </c>
      <c r="AO581" s="16" t="n">
        <v>65</v>
      </c>
      <c r="AP581" s="36" t="n">
        <f aca="false">(AO581*70)/100</f>
        <v>45.5</v>
      </c>
      <c r="AQ581" s="37" t="n">
        <f aca="false">ROUNDUP(AP581,0)</f>
        <v>46</v>
      </c>
      <c r="AR581" s="16" t="n">
        <v>23</v>
      </c>
      <c r="AS581" s="16" t="n">
        <f aca="false">AR581+AP581</f>
        <v>68.5</v>
      </c>
      <c r="AT581" s="16" t="n">
        <f aca="false">AR581+AQ581</f>
        <v>69</v>
      </c>
      <c r="AU581" s="16" t="n">
        <f aca="false">AO581+AF581+AI581+AH581+AG581</f>
        <v>390</v>
      </c>
      <c r="AV581" s="16" t="n">
        <f aca="false">(AO581+AF581+AI581+AH581+AG581)/5</f>
        <v>78</v>
      </c>
      <c r="AW581" s="36" t="n">
        <f aca="false">(AO581+AF581+AI581+AH581+AG581+X581+R581+Q581+K581+J581)</f>
        <v>754</v>
      </c>
      <c r="AX581" s="16" t="n">
        <f aca="false">AW581/10</f>
        <v>75.4</v>
      </c>
      <c r="AY581" s="16" t="n">
        <f aca="false">AS581+AF581+AM581+AH581+AG581+AB581+V581+Q581+O581+J581</f>
        <v>753.8</v>
      </c>
      <c r="AZ581" s="16" t="n">
        <f aca="false">AT581+AF581+AN581+AH581+AG581+AC581+W581+Q581+P581+J581</f>
        <v>757</v>
      </c>
      <c r="BA581" s="16" t="n">
        <f aca="false">AY581/10</f>
        <v>75.38</v>
      </c>
      <c r="BB581" s="16" t="n">
        <f aca="false">AZ581/10</f>
        <v>75.7</v>
      </c>
      <c r="BC581" s="16" t="n">
        <v>2391</v>
      </c>
      <c r="BD581" s="16" t="n">
        <f aca="false">RANK(AX581,$AX$2:$AX$881,0)</f>
        <v>665</v>
      </c>
      <c r="BE581" s="54" t="n">
        <f aca="false">((BC581*100)/2400)*0.4+(AX581*0.6)</f>
        <v>85.09</v>
      </c>
      <c r="BF581" s="16" t="n">
        <f aca="false">RANK(BE581,$BE$2:$BE$881,0)</f>
        <v>591</v>
      </c>
      <c r="BG581" s="39" t="n">
        <f aca="false">RANK(BB581,$BB$2:$BB$881,0)</f>
        <v>684</v>
      </c>
      <c r="BH581" s="39" t="n">
        <f aca="false">RANK(BC581,$BC$2:$BC$881,0)</f>
        <v>37</v>
      </c>
      <c r="BI581" s="22" t="s">
        <v>130</v>
      </c>
      <c r="BJ581" s="22" t="s">
        <v>129</v>
      </c>
      <c r="BK581" s="22" t="s">
        <v>509</v>
      </c>
      <c r="BL581" s="105" t="n">
        <v>17</v>
      </c>
      <c r="BM581" s="59" t="n">
        <v>56</v>
      </c>
      <c r="BN581" s="59" t="n">
        <v>73</v>
      </c>
      <c r="BO581" s="42" t="n">
        <v>25</v>
      </c>
      <c r="BP581" s="59" t="n">
        <v>45</v>
      </c>
      <c r="BQ581" s="59" t="n">
        <v>70</v>
      </c>
      <c r="BR581" s="74" t="n">
        <v>7</v>
      </c>
      <c r="BS581" s="80"/>
      <c r="BT581" s="80"/>
      <c r="BU581" s="88" t="n">
        <v>76</v>
      </c>
      <c r="BV581" s="58" t="n">
        <v>70</v>
      </c>
      <c r="BW581" s="102" t="n">
        <v>88</v>
      </c>
      <c r="BX581" s="88" t="n">
        <v>94</v>
      </c>
      <c r="BY581" s="65" t="n">
        <v>20</v>
      </c>
      <c r="BZ581" s="58" t="n">
        <v>50</v>
      </c>
      <c r="CA581" s="58" t="n">
        <v>70</v>
      </c>
      <c r="CB581" s="59" t="n">
        <v>17</v>
      </c>
      <c r="CC581" s="58" t="n">
        <v>50</v>
      </c>
      <c r="CD581" s="58" t="n">
        <v>67</v>
      </c>
      <c r="CE581" s="58" t="n">
        <v>23</v>
      </c>
      <c r="CF581" s="58" t="n">
        <v>40</v>
      </c>
      <c r="CG581" s="58" t="n">
        <v>63</v>
      </c>
      <c r="CH581" s="58" t="n">
        <v>92</v>
      </c>
      <c r="CI581" s="58" t="n">
        <v>83</v>
      </c>
      <c r="CJ581" s="58" t="n">
        <v>20</v>
      </c>
      <c r="CK581" s="58" t="n">
        <v>58</v>
      </c>
      <c r="CL581" s="59" t="n">
        <v>78</v>
      </c>
      <c r="CM581" s="60"/>
      <c r="CN581" s="60"/>
      <c r="CO581" s="60"/>
      <c r="CP581" s="25" t="n">
        <f aca="false">BX581+BW581+BV581+BU581+BT581+BQ581+BN581</f>
        <v>471</v>
      </c>
      <c r="CQ581" s="25" t="n">
        <f aca="false">CO581+CL581+CI581+CH581+CG581+CD581+CA581</f>
        <v>453</v>
      </c>
      <c r="CR581" s="26" t="n">
        <f aca="false">CP581/7</f>
        <v>67.2857142857143</v>
      </c>
      <c r="CS581" s="26" t="n">
        <f aca="false">CQ581/7</f>
        <v>64.7142857142857</v>
      </c>
      <c r="CT581" s="24" t="n">
        <f aca="false">RANK(CR581,$CR$2:$CR$881,0)</f>
        <v>697</v>
      </c>
      <c r="CU581" s="25" t="n">
        <f aca="false">RANK(CS581,$CS$2:$CS$881,0)</f>
        <v>629</v>
      </c>
      <c r="CV581" s="26" t="n">
        <f aca="false">(CS581+CR581)/2</f>
        <v>66</v>
      </c>
      <c r="CW581" s="25" t="n">
        <f aca="false">RANK(CV581,$CV$2:$CV$881,0)</f>
        <v>671</v>
      </c>
      <c r="CX581" s="50" t="n">
        <f aca="false">(CV581+BB581)/2</f>
        <v>70.85</v>
      </c>
      <c r="CY581" s="50" t="n">
        <v>851</v>
      </c>
      <c r="CZ581" s="27" t="s">
        <v>132</v>
      </c>
      <c r="DA581" s="27" t="s">
        <v>169</v>
      </c>
      <c r="DB581" s="27" t="s">
        <v>169</v>
      </c>
      <c r="DC581" s="27" t="s">
        <v>134</v>
      </c>
      <c r="DD581" s="27" t="s">
        <v>174</v>
      </c>
      <c r="DE581" s="27" t="s">
        <v>183</v>
      </c>
      <c r="DF581" s="27" t="s">
        <v>219</v>
      </c>
      <c r="DG581" s="27" t="s">
        <v>134</v>
      </c>
      <c r="DH581" s="27" t="s">
        <v>195</v>
      </c>
      <c r="DI581" s="27" t="s">
        <v>412</v>
      </c>
      <c r="DJ581" s="27" t="s">
        <v>398</v>
      </c>
      <c r="DK581" s="27" t="s">
        <v>134</v>
      </c>
      <c r="DL581" s="27" t="s">
        <v>191</v>
      </c>
      <c r="DM581" s="27" t="s">
        <v>304</v>
      </c>
      <c r="DN581" s="27" t="s">
        <v>372</v>
      </c>
      <c r="DO581" s="27" t="s">
        <v>134</v>
      </c>
      <c r="DP581" s="27" t="s">
        <v>195</v>
      </c>
      <c r="DQ581" s="27" t="s">
        <v>304</v>
      </c>
      <c r="DR581" s="27" t="s">
        <v>441</v>
      </c>
      <c r="DS581" s="27" t="s">
        <v>134</v>
      </c>
      <c r="DT581" s="27" t="s">
        <v>195</v>
      </c>
      <c r="DU581" s="27" t="s">
        <v>989</v>
      </c>
      <c r="DV581" s="27" t="s">
        <v>136</v>
      </c>
      <c r="DW581" s="27" t="s">
        <v>135</v>
      </c>
      <c r="DX581" s="27" t="s">
        <v>163</v>
      </c>
      <c r="DY581" s="27" t="s">
        <v>153</v>
      </c>
      <c r="DZ581" s="27" t="n">
        <f aca="false">DY581+DV581+DR581+DN581+DJ581+DF581+DB581</f>
        <v>537</v>
      </c>
      <c r="EA581" s="28" t="n">
        <f aca="false">DZ581/7</f>
        <v>76.7142857142857</v>
      </c>
      <c r="EB581" s="27" t="n">
        <f aca="false">RANK(EA581,$EA$2:$EA$881,0)</f>
        <v>496</v>
      </c>
      <c r="EC581" s="29" t="n">
        <f aca="false">DZ581+CQ581+CP581+AZ581</f>
        <v>2218</v>
      </c>
      <c r="ED581" s="30" t="n">
        <f aca="false">(EA581+CV581+BB581)/3</f>
        <v>72.8047619047619</v>
      </c>
      <c r="EE581" s="51" t="n">
        <f aca="false">ROUND(BE581,3)</f>
        <v>85.09</v>
      </c>
      <c r="EF581" s="51" t="n">
        <f aca="false">ROUND(CR581,3)</f>
        <v>67.286</v>
      </c>
      <c r="EG581" s="51" t="n">
        <f aca="false">ROUND(CS581,3)</f>
        <v>64.714</v>
      </c>
      <c r="EH581" s="51" t="n">
        <f aca="false">ROUND(EA581,3)</f>
        <v>76.714</v>
      </c>
      <c r="EI581" s="51" t="n">
        <f aca="false">ROUND(ED581,3)</f>
        <v>72.805</v>
      </c>
      <c r="EJ581" s="51" t="n">
        <f aca="false">ROUND(CV581,3)</f>
        <v>66</v>
      </c>
      <c r="EK581" s="0" t="n">
        <f aca="false">RANK(EI581,$EI$2:$EI$881,0)</f>
        <v>580</v>
      </c>
    </row>
    <row r="582" customFormat="false" ht="15" hidden="false" customHeight="false" outlineLevel="0" collapsed="false">
      <c r="A582" s="4" t="n">
        <v>1887</v>
      </c>
      <c r="B582" s="4" t="n">
        <v>485</v>
      </c>
      <c r="C582" s="27" t="s">
        <v>1727</v>
      </c>
      <c r="D582" s="31" t="n">
        <v>494</v>
      </c>
      <c r="E582" s="16" t="n">
        <v>230119619</v>
      </c>
      <c r="F582" s="56" t="s">
        <v>1728</v>
      </c>
      <c r="G582" s="22" t="s">
        <v>1729</v>
      </c>
      <c r="H582" s="22" t="s">
        <v>326</v>
      </c>
      <c r="I582" s="57"/>
      <c r="J582" s="16" t="n">
        <v>98</v>
      </c>
      <c r="K582" s="16" t="n">
        <v>75</v>
      </c>
      <c r="L582" s="34" t="n">
        <f aca="false">(K582*70)/100</f>
        <v>52.5</v>
      </c>
      <c r="M582" s="34" t="n">
        <f aca="false">ROUNDUP(L582,0)</f>
        <v>53</v>
      </c>
      <c r="N582" s="16" t="n">
        <v>25</v>
      </c>
      <c r="O582" s="34" t="n">
        <f aca="false">N582+L582</f>
        <v>77.5</v>
      </c>
      <c r="P582" s="34" t="n">
        <f aca="false">N582+M582</f>
        <v>78</v>
      </c>
      <c r="Q582" s="16" t="n">
        <v>77</v>
      </c>
      <c r="R582" s="16" t="n">
        <v>67</v>
      </c>
      <c r="S582" s="34" t="n">
        <f aca="false">(R582*70)/100</f>
        <v>46.9</v>
      </c>
      <c r="T582" s="34" t="n">
        <f aca="false">ROUNDUP(S582,0)</f>
        <v>47</v>
      </c>
      <c r="U582" s="16" t="n">
        <v>26</v>
      </c>
      <c r="V582" s="34" t="n">
        <f aca="false">U582+S582</f>
        <v>72.9</v>
      </c>
      <c r="W582" s="34" t="n">
        <f aca="false">U582+T582</f>
        <v>73</v>
      </c>
      <c r="X582" s="16" t="n">
        <v>73</v>
      </c>
      <c r="Y582" s="34" t="n">
        <f aca="false">(X582*70)/100</f>
        <v>51.1</v>
      </c>
      <c r="Z582" s="34" t="n">
        <f aca="false">ROUNDUP(Y582,0)</f>
        <v>52</v>
      </c>
      <c r="AA582" s="16" t="n">
        <v>28</v>
      </c>
      <c r="AB582" s="34" t="n">
        <f aca="false">AA582+Y582</f>
        <v>79.1</v>
      </c>
      <c r="AC582" s="34" t="n">
        <f aca="false">AA582+Z582</f>
        <v>80</v>
      </c>
      <c r="AD582" s="32" t="n">
        <f aca="false">X582+R582+Q582+K582+J582</f>
        <v>390</v>
      </c>
      <c r="AE582" s="16" t="n">
        <f aca="false">AD582/5</f>
        <v>78</v>
      </c>
      <c r="AF582" s="16" t="n">
        <v>66</v>
      </c>
      <c r="AG582" s="16" t="n">
        <v>96</v>
      </c>
      <c r="AH582" s="16" t="n">
        <v>73</v>
      </c>
      <c r="AI582" s="16" t="n">
        <v>73</v>
      </c>
      <c r="AJ582" s="16" t="n">
        <f aca="false">(AI582*70)/100</f>
        <v>51.1</v>
      </c>
      <c r="AK582" s="35" t="n">
        <f aca="false">ROUNDUP(AJ582,0)</f>
        <v>52</v>
      </c>
      <c r="AL582" s="16" t="n">
        <v>20</v>
      </c>
      <c r="AM582" s="16" t="n">
        <f aca="false">AL582+AJ582</f>
        <v>71.1</v>
      </c>
      <c r="AN582" s="16" t="n">
        <f aca="false">AL582+AK582</f>
        <v>72</v>
      </c>
      <c r="AO582" s="16" t="n">
        <v>64</v>
      </c>
      <c r="AP582" s="36" t="n">
        <f aca="false">(AO582*70)/100</f>
        <v>44.8</v>
      </c>
      <c r="AQ582" s="37" t="n">
        <f aca="false">ROUNDUP(AP582,0)</f>
        <v>45</v>
      </c>
      <c r="AR582" s="16" t="n">
        <v>24</v>
      </c>
      <c r="AS582" s="16" t="n">
        <f aca="false">AR582+AP582</f>
        <v>68.8</v>
      </c>
      <c r="AT582" s="16" t="n">
        <f aca="false">AR582+AQ582</f>
        <v>69</v>
      </c>
      <c r="AU582" s="16" t="n">
        <f aca="false">AO582+AF582+AI582+AH582+AG582</f>
        <v>372</v>
      </c>
      <c r="AV582" s="16" t="n">
        <f aca="false">(AO582+AF582+AI582+AH582+AG582)/5</f>
        <v>74.4</v>
      </c>
      <c r="AW582" s="36" t="n">
        <f aca="false">(AO582+AF582+AI582+AH582+AG582+X582+R582+Q582+K582+J582)</f>
        <v>762</v>
      </c>
      <c r="AX582" s="16" t="n">
        <f aca="false">AW582/10</f>
        <v>76.2</v>
      </c>
      <c r="AY582" s="16" t="n">
        <f aca="false">AS582+AF582+AM582+AH582+AG582+AB582+V582+Q582+O582+J582</f>
        <v>779.4</v>
      </c>
      <c r="AZ582" s="16" t="n">
        <f aca="false">AT582+AF582+AN582+AH582+AG582+AC582+W582+Q582+P582+J582</f>
        <v>782</v>
      </c>
      <c r="BA582" s="16" t="n">
        <f aca="false">AY582/10</f>
        <v>77.94</v>
      </c>
      <c r="BB582" s="16" t="n">
        <f aca="false">AZ582/10</f>
        <v>78.2</v>
      </c>
      <c r="BC582" s="16" t="n">
        <v>2354</v>
      </c>
      <c r="BD582" s="16" t="n">
        <f aca="false">RANK(AX582,$AX$2:$AX$881,0)</f>
        <v>600</v>
      </c>
      <c r="BE582" s="73" t="n">
        <f aca="false">((BC582*100)/2400)*0.4+(AX582*0.6)</f>
        <v>84.9533333333333</v>
      </c>
      <c r="BF582" s="16" t="n">
        <f aca="false">RANK(BE582,$BE$2:$BE$881,0)</f>
        <v>626</v>
      </c>
      <c r="BG582" s="39" t="n">
        <f aca="false">RANK(BB582,$BB$2:$BB$881,0)</f>
        <v>541</v>
      </c>
      <c r="BH582" s="39" t="n">
        <f aca="false">RANK(BC582,$BC$2:$BC$881,0)</f>
        <v>490</v>
      </c>
      <c r="BI582" s="22" t="s">
        <v>130</v>
      </c>
      <c r="BJ582" s="22" t="s">
        <v>129</v>
      </c>
      <c r="BK582" s="22" t="s">
        <v>509</v>
      </c>
      <c r="BL582" s="41" t="n">
        <v>20</v>
      </c>
      <c r="BM582" s="41" t="n">
        <v>56</v>
      </c>
      <c r="BN582" s="41" t="n">
        <v>76</v>
      </c>
      <c r="BO582" s="42" t="n">
        <v>25</v>
      </c>
      <c r="BP582" s="42" t="n">
        <v>68</v>
      </c>
      <c r="BQ582" s="42" t="n">
        <v>93</v>
      </c>
      <c r="BR582" s="74" t="n">
        <v>8</v>
      </c>
      <c r="BS582" s="80"/>
      <c r="BT582" s="80"/>
      <c r="BU582" s="46" t="n">
        <v>100</v>
      </c>
      <c r="BV582" s="47" t="n">
        <v>96</v>
      </c>
      <c r="BW582" s="42" t="n">
        <v>100</v>
      </c>
      <c r="BX582" s="48" t="n">
        <v>94</v>
      </c>
      <c r="BY582" s="32" t="n">
        <v>27</v>
      </c>
      <c r="BZ582" s="32" t="n">
        <v>57</v>
      </c>
      <c r="CA582" s="32" t="n">
        <v>84</v>
      </c>
      <c r="CB582" s="32" t="n">
        <v>26</v>
      </c>
      <c r="CC582" s="32" t="n">
        <v>47</v>
      </c>
      <c r="CD582" s="32" t="n">
        <v>73</v>
      </c>
      <c r="CE582" s="32" t="n">
        <v>24</v>
      </c>
      <c r="CF582" s="32" t="n">
        <v>43</v>
      </c>
      <c r="CG582" s="32" t="n">
        <v>67</v>
      </c>
      <c r="CH582" s="32" t="n">
        <v>98</v>
      </c>
      <c r="CI582" s="32" t="n">
        <v>99</v>
      </c>
      <c r="CJ582" s="49" t="n">
        <v>27</v>
      </c>
      <c r="CK582" s="49" t="n">
        <v>47</v>
      </c>
      <c r="CL582" s="49" t="n">
        <v>74</v>
      </c>
      <c r="CM582" s="49" t="n">
        <v>25</v>
      </c>
      <c r="CN582" s="49" t="n">
        <v>62</v>
      </c>
      <c r="CO582" s="49" t="n">
        <v>87</v>
      </c>
      <c r="CP582" s="25" t="n">
        <f aca="false">BX582+BW582+BV582+BU582+BT582+BQ582+BN582</f>
        <v>559</v>
      </c>
      <c r="CQ582" s="25" t="n">
        <f aca="false">CO582+CL582+CI582+CH582+CG582+CD582+CA582</f>
        <v>582</v>
      </c>
      <c r="CR582" s="26" t="n">
        <f aca="false">CP582/7</f>
        <v>79.8571428571429</v>
      </c>
      <c r="CS582" s="26" t="n">
        <f aca="false">CQ582/7</f>
        <v>83.1428571428571</v>
      </c>
      <c r="CT582" s="24" t="n">
        <f aca="false">RANK(CR582,$CR$2:$CR$881,0)</f>
        <v>588</v>
      </c>
      <c r="CU582" s="25" t="n">
        <f aca="false">RANK(CS582,$CS$2:$CS$881,0)</f>
        <v>153</v>
      </c>
      <c r="CV582" s="26" t="n">
        <f aca="false">(CS582+CR582)/2</f>
        <v>81.5</v>
      </c>
      <c r="CW582" s="25" t="n">
        <f aca="false">RANK(CV582,$CV$2:$CV$881,0)</f>
        <v>363</v>
      </c>
      <c r="CX582" s="50" t="n">
        <f aca="false">(CV582+BB582)/2</f>
        <v>79.85</v>
      </c>
      <c r="CY582" s="50" t="n">
        <v>377</v>
      </c>
      <c r="CZ582" s="27" t="s">
        <v>132</v>
      </c>
      <c r="DA582" s="27" t="s">
        <v>175</v>
      </c>
      <c r="DB582" s="27" t="s">
        <v>175</v>
      </c>
      <c r="DC582" s="27" t="s">
        <v>134</v>
      </c>
      <c r="DD582" s="27" t="s">
        <v>160</v>
      </c>
      <c r="DE582" s="27" t="s">
        <v>183</v>
      </c>
      <c r="DF582" s="27" t="s">
        <v>202</v>
      </c>
      <c r="DG582" s="27" t="s">
        <v>134</v>
      </c>
      <c r="DH582" s="27" t="s">
        <v>135</v>
      </c>
      <c r="DI582" s="27" t="s">
        <v>619</v>
      </c>
      <c r="DJ582" s="27" t="s">
        <v>135</v>
      </c>
      <c r="DK582" s="27" t="s">
        <v>480</v>
      </c>
      <c r="DL582" s="27" t="s">
        <v>164</v>
      </c>
      <c r="DM582" s="27" t="s">
        <v>619</v>
      </c>
      <c r="DN582" s="27" t="s">
        <v>164</v>
      </c>
      <c r="DO582" s="27" t="s">
        <v>480</v>
      </c>
      <c r="DP582" s="27"/>
      <c r="DQ582" s="27"/>
      <c r="DR582" s="27"/>
      <c r="DS582" s="27"/>
      <c r="DT582" s="27" t="s">
        <v>140</v>
      </c>
      <c r="DU582" s="27" t="s">
        <v>183</v>
      </c>
      <c r="DV582" s="27" t="s">
        <v>178</v>
      </c>
      <c r="DW582" s="27" t="s">
        <v>140</v>
      </c>
      <c r="DX582" s="27" t="s">
        <v>155</v>
      </c>
      <c r="DY582" s="27" t="s">
        <v>147</v>
      </c>
      <c r="DZ582" s="27" t="n">
        <f aca="false">DY582+DV582+DR582+DN582+DJ582+DF582+DB582</f>
        <v>409</v>
      </c>
      <c r="EA582" s="28" t="n">
        <f aca="false">DZ582/7</f>
        <v>58.4285714285714</v>
      </c>
      <c r="EB582" s="27" t="n">
        <f aca="false">RANK(EA582,$EA$2:$EA$881,0)</f>
        <v>801</v>
      </c>
      <c r="EC582" s="29" t="n">
        <f aca="false">DZ582+CQ582+CP582+AZ582</f>
        <v>2332</v>
      </c>
      <c r="ED582" s="30" t="n">
        <f aca="false">(EA582+CV582+BB582)/3</f>
        <v>72.7095238095238</v>
      </c>
      <c r="EE582" s="51" t="n">
        <f aca="false">ROUND(BE582,3)</f>
        <v>84.953</v>
      </c>
      <c r="EF582" s="51" t="n">
        <f aca="false">ROUND(CR582,3)</f>
        <v>79.857</v>
      </c>
      <c r="EG582" s="51" t="n">
        <f aca="false">ROUND(CS582,3)</f>
        <v>83.143</v>
      </c>
      <c r="EH582" s="51" t="n">
        <f aca="false">ROUND(EA582,3)</f>
        <v>58.429</v>
      </c>
      <c r="EI582" s="51" t="n">
        <f aca="false">ROUND(ED582,3)</f>
        <v>72.71</v>
      </c>
      <c r="EJ582" s="51" t="n">
        <f aca="false">ROUND(CV582,3)</f>
        <v>81.5</v>
      </c>
      <c r="EK582" s="0" t="n">
        <f aca="false">RANK(EI582,$EI$2:$EI$881,0)</f>
        <v>581</v>
      </c>
    </row>
    <row r="583" customFormat="false" ht="15" hidden="false" customHeight="false" outlineLevel="0" collapsed="false">
      <c r="A583" s="4" t="n">
        <v>8641</v>
      </c>
      <c r="B583" s="4" t="n">
        <v>194</v>
      </c>
      <c r="C583" s="27" t="s">
        <v>1730</v>
      </c>
      <c r="D583" s="31" t="n">
        <v>196</v>
      </c>
      <c r="E583" s="16" t="n">
        <v>230119507</v>
      </c>
      <c r="F583" s="56" t="s">
        <v>1731</v>
      </c>
      <c r="G583" s="22" t="s">
        <v>1732</v>
      </c>
      <c r="H583" s="22" t="s">
        <v>326</v>
      </c>
      <c r="I583" s="57"/>
      <c r="J583" s="16" t="n">
        <v>86</v>
      </c>
      <c r="K583" s="16" t="n">
        <v>70</v>
      </c>
      <c r="L583" s="34" t="n">
        <f aca="false">(K583*70)/100</f>
        <v>49</v>
      </c>
      <c r="M583" s="34" t="n">
        <f aca="false">ROUNDUP(L583,0)</f>
        <v>49</v>
      </c>
      <c r="N583" s="16" t="n">
        <v>28</v>
      </c>
      <c r="O583" s="34" t="n">
        <f aca="false">N583+L583</f>
        <v>77</v>
      </c>
      <c r="P583" s="34" t="n">
        <f aca="false">N583+M583</f>
        <v>77</v>
      </c>
      <c r="Q583" s="16" t="n">
        <v>70</v>
      </c>
      <c r="R583" s="16" t="n">
        <v>76</v>
      </c>
      <c r="S583" s="34" t="n">
        <f aca="false">(R583*70)/100</f>
        <v>53.2</v>
      </c>
      <c r="T583" s="34" t="n">
        <f aca="false">ROUNDUP(S583,0)</f>
        <v>54</v>
      </c>
      <c r="U583" s="16" t="n">
        <v>26</v>
      </c>
      <c r="V583" s="34" t="n">
        <f aca="false">U583+S583</f>
        <v>79.2</v>
      </c>
      <c r="W583" s="34" t="n">
        <f aca="false">U583+T583</f>
        <v>80</v>
      </c>
      <c r="X583" s="16" t="n">
        <v>71</v>
      </c>
      <c r="Y583" s="34" t="n">
        <f aca="false">(X583*70)/100</f>
        <v>49.7</v>
      </c>
      <c r="Z583" s="34" t="n">
        <f aca="false">ROUNDUP(Y583,0)</f>
        <v>50</v>
      </c>
      <c r="AA583" s="16" t="n">
        <v>22</v>
      </c>
      <c r="AB583" s="34" t="n">
        <f aca="false">AA583+Y583</f>
        <v>71.7</v>
      </c>
      <c r="AC583" s="34" t="n">
        <f aca="false">AA583+Z583</f>
        <v>72</v>
      </c>
      <c r="AD583" s="32" t="n">
        <f aca="false">X583+R583+Q583+K583+J583</f>
        <v>373</v>
      </c>
      <c r="AE583" s="16" t="n">
        <f aca="false">AD583/5</f>
        <v>74.6</v>
      </c>
      <c r="AF583" s="16" t="n">
        <v>78</v>
      </c>
      <c r="AG583" s="16" t="n">
        <v>90</v>
      </c>
      <c r="AH583" s="16" t="n">
        <v>94</v>
      </c>
      <c r="AI583" s="16" t="n">
        <v>82</v>
      </c>
      <c r="AJ583" s="16" t="n">
        <f aca="false">(AI583*70)/100</f>
        <v>57.4</v>
      </c>
      <c r="AK583" s="35" t="n">
        <f aca="false">ROUNDUP(AJ583,0)</f>
        <v>58</v>
      </c>
      <c r="AL583" s="16" t="n">
        <v>22</v>
      </c>
      <c r="AM583" s="16" t="n">
        <f aca="false">AL583+AJ583</f>
        <v>79.4</v>
      </c>
      <c r="AN583" s="16" t="n">
        <f aca="false">AL583+AK583</f>
        <v>80</v>
      </c>
      <c r="AO583" s="16" t="n">
        <v>76</v>
      </c>
      <c r="AP583" s="36" t="n">
        <f aca="false">(AO583*70)/100</f>
        <v>53.2</v>
      </c>
      <c r="AQ583" s="37" t="n">
        <f aca="false">ROUNDUP(AP583,0)</f>
        <v>54</v>
      </c>
      <c r="AR583" s="16" t="n">
        <v>26</v>
      </c>
      <c r="AS583" s="16" t="n">
        <f aca="false">AR583+AP583</f>
        <v>79.2</v>
      </c>
      <c r="AT583" s="16" t="n">
        <f aca="false">AR583+AQ583</f>
        <v>80</v>
      </c>
      <c r="AU583" s="16" t="n">
        <f aca="false">AO583+AF583+AI583+AH583+AG583</f>
        <v>420</v>
      </c>
      <c r="AV583" s="16" t="n">
        <f aca="false">(AO583+AF583+AI583+AH583+AG583)/5</f>
        <v>84</v>
      </c>
      <c r="AW583" s="36" t="n">
        <f aca="false">(AO583+AF583+AI583+AH583+AG583+X583+R583+Q583+K583+J583)</f>
        <v>793</v>
      </c>
      <c r="AX583" s="16" t="n">
        <f aca="false">AW583/10</f>
        <v>79.3</v>
      </c>
      <c r="AY583" s="16" t="n">
        <f aca="false">AS583+AF583+AM583+AH583+AG583+AB583+V583+Q583+O583+J583</f>
        <v>804.5</v>
      </c>
      <c r="AZ583" s="16" t="n">
        <f aca="false">AT583+AF583+AN583+AH583+AG583+AC583+W583+Q583+P583+J583</f>
        <v>807</v>
      </c>
      <c r="BA583" s="16" t="n">
        <f aca="false">AY583/10</f>
        <v>80.45</v>
      </c>
      <c r="BB583" s="16" t="n">
        <f aca="false">AZ583/10</f>
        <v>80.7</v>
      </c>
      <c r="BC583" s="16" t="n">
        <v>2330</v>
      </c>
      <c r="BD583" s="16" t="n">
        <f aca="false">RANK(AX583,$AX$2:$AX$881,0)</f>
        <v>309</v>
      </c>
      <c r="BE583" s="54" t="n">
        <f aca="false">((BC583*100)/2400)*0.4+(AX583*0.6)</f>
        <v>86.4133333333333</v>
      </c>
      <c r="BF583" s="16" t="n">
        <f aca="false">RANK(BE583,$BE$2:$BE$881,0)</f>
        <v>361</v>
      </c>
      <c r="BG583" s="39" t="n">
        <f aca="false">RANK(BB583,$BB$2:$BB$881,0)</f>
        <v>298</v>
      </c>
      <c r="BH583" s="39" t="n">
        <f aca="false">RANK(BC583,$BC$2:$BC$881,0)</f>
        <v>729</v>
      </c>
      <c r="BI583" s="22" t="s">
        <v>130</v>
      </c>
      <c r="BJ583" s="22" t="s">
        <v>129</v>
      </c>
      <c r="BK583" s="40" t="s">
        <v>131</v>
      </c>
      <c r="BL583" s="41" t="n">
        <v>13</v>
      </c>
      <c r="BM583" s="41" t="n">
        <v>44</v>
      </c>
      <c r="BN583" s="98" t="n">
        <v>57</v>
      </c>
      <c r="BO583" s="42" t="n">
        <v>23</v>
      </c>
      <c r="BP583" s="43" t="n">
        <v>51</v>
      </c>
      <c r="BQ583" s="44" t="n">
        <v>74</v>
      </c>
      <c r="BR583" s="42" t="n">
        <v>17</v>
      </c>
      <c r="BS583" s="77" t="n">
        <v>47</v>
      </c>
      <c r="BT583" s="77" t="n">
        <v>64</v>
      </c>
      <c r="BU583" s="46" t="n">
        <v>99</v>
      </c>
      <c r="BV583" s="47" t="n">
        <v>66</v>
      </c>
      <c r="BW583" s="42" t="n">
        <v>99</v>
      </c>
      <c r="BX583" s="48" t="n">
        <v>86</v>
      </c>
      <c r="BY583" s="32" t="n">
        <v>22</v>
      </c>
      <c r="BZ583" s="32" t="n">
        <v>48</v>
      </c>
      <c r="CA583" s="32" t="n">
        <v>70</v>
      </c>
      <c r="CB583" s="32" t="n">
        <v>22</v>
      </c>
      <c r="CC583" s="60"/>
      <c r="CD583" s="60"/>
      <c r="CE583" s="32" t="n">
        <v>28</v>
      </c>
      <c r="CF583" s="32" t="n">
        <v>26</v>
      </c>
      <c r="CG583" s="69" t="n">
        <v>54</v>
      </c>
      <c r="CH583" s="32" t="n">
        <v>92</v>
      </c>
      <c r="CI583" s="32" t="n">
        <v>98</v>
      </c>
      <c r="CJ583" s="49" t="n">
        <v>12</v>
      </c>
      <c r="CK583" s="49" t="n">
        <v>24</v>
      </c>
      <c r="CL583" s="76" t="n">
        <v>36</v>
      </c>
      <c r="CM583" s="49" t="n">
        <v>21</v>
      </c>
      <c r="CN583" s="49" t="n">
        <v>46</v>
      </c>
      <c r="CO583" s="49" t="n">
        <v>67</v>
      </c>
      <c r="CP583" s="25" t="n">
        <f aca="false">BX583+BW583+BV583+BU583+BT583+BQ583+BN583</f>
        <v>545</v>
      </c>
      <c r="CQ583" s="25" t="n">
        <f aca="false">CO583+CL583+CI583+CH583+CG583+CD583+CA583</f>
        <v>417</v>
      </c>
      <c r="CR583" s="26" t="n">
        <f aca="false">CP583/7</f>
        <v>77.8571428571429</v>
      </c>
      <c r="CS583" s="26" t="n">
        <f aca="false">CQ583/7</f>
        <v>59.5714285714286</v>
      </c>
      <c r="CT583" s="24" t="n">
        <f aca="false">RANK(CR583,$CR$2:$CR$881,0)</f>
        <v>613</v>
      </c>
      <c r="CU583" s="25" t="n">
        <f aca="false">RANK(CS583,$CS$2:$CS$881,0)</f>
        <v>689</v>
      </c>
      <c r="CV583" s="26" t="n">
        <f aca="false">(CS583+CR583)/2</f>
        <v>68.7142857142857</v>
      </c>
      <c r="CW583" s="25" t="n">
        <f aca="false">RANK(CV583,$CV$2:$CV$881,0)</f>
        <v>649</v>
      </c>
      <c r="CX583" s="50" t="n">
        <f aca="false">(CV583+BB583)/2</f>
        <v>74.7071428571429</v>
      </c>
      <c r="CY583" s="50" t="n">
        <v>561</v>
      </c>
      <c r="CZ583" s="27" t="s">
        <v>132</v>
      </c>
      <c r="DA583" s="27" t="s">
        <v>202</v>
      </c>
      <c r="DB583" s="27" t="s">
        <v>202</v>
      </c>
      <c r="DC583" s="27" t="s">
        <v>134</v>
      </c>
      <c r="DD583" s="27" t="s">
        <v>195</v>
      </c>
      <c r="DE583" s="27" t="s">
        <v>412</v>
      </c>
      <c r="DF583" s="27" t="s">
        <v>398</v>
      </c>
      <c r="DG583" s="27" t="s">
        <v>134</v>
      </c>
      <c r="DH583" s="27" t="s">
        <v>137</v>
      </c>
      <c r="DI583" s="27" t="s">
        <v>306</v>
      </c>
      <c r="DJ583" s="27" t="s">
        <v>196</v>
      </c>
      <c r="DK583" s="27" t="s">
        <v>134</v>
      </c>
      <c r="DL583" s="27" t="s">
        <v>182</v>
      </c>
      <c r="DM583" s="27" t="s">
        <v>304</v>
      </c>
      <c r="DN583" s="27" t="s">
        <v>305</v>
      </c>
      <c r="DO583" s="27" t="s">
        <v>134</v>
      </c>
      <c r="DP583" s="27"/>
      <c r="DQ583" s="27"/>
      <c r="DR583" s="27"/>
      <c r="DS583" s="27"/>
      <c r="DT583" s="27" t="s">
        <v>137</v>
      </c>
      <c r="DU583" s="27" t="s">
        <v>989</v>
      </c>
      <c r="DV583" s="27" t="s">
        <v>143</v>
      </c>
      <c r="DW583" s="27" t="s">
        <v>137</v>
      </c>
      <c r="DX583" s="27" t="s">
        <v>138</v>
      </c>
      <c r="DY583" s="27" t="s">
        <v>139</v>
      </c>
      <c r="DZ583" s="27" t="n">
        <f aca="false">DY583+DV583+DR583+DN583+DJ583+DF583+DB583</f>
        <v>480</v>
      </c>
      <c r="EA583" s="28" t="n">
        <f aca="false">DZ583/7</f>
        <v>68.5714285714286</v>
      </c>
      <c r="EB583" s="27" t="n">
        <f aca="false">RANK(EA583,$EA$2:$EA$881,0)</f>
        <v>682</v>
      </c>
      <c r="EC583" s="29" t="n">
        <f aca="false">DZ583+CQ583+CP583+AZ583</f>
        <v>2249</v>
      </c>
      <c r="ED583" s="30" t="n">
        <f aca="false">(EA583+CV583+BB583)/3</f>
        <v>72.6619047619048</v>
      </c>
      <c r="EE583" s="51" t="n">
        <f aca="false">ROUND(BE583,3)</f>
        <v>86.413</v>
      </c>
      <c r="EF583" s="51" t="n">
        <f aca="false">ROUND(CR583,3)</f>
        <v>77.857</v>
      </c>
      <c r="EG583" s="51" t="n">
        <f aca="false">ROUND(CS583,3)</f>
        <v>59.571</v>
      </c>
      <c r="EH583" s="51" t="n">
        <f aca="false">ROUND(EA583,3)</f>
        <v>68.571</v>
      </c>
      <c r="EI583" s="51" t="n">
        <f aca="false">ROUND(ED583,3)</f>
        <v>72.662</v>
      </c>
      <c r="EJ583" s="51" t="n">
        <f aca="false">ROUND(CV583,3)</f>
        <v>68.714</v>
      </c>
      <c r="EK583" s="0" t="n">
        <f aca="false">RANK(EI583,$EI$2:$EI$881,0)</f>
        <v>582</v>
      </c>
    </row>
    <row r="584" customFormat="false" ht="16.85" hidden="false" customHeight="false" outlineLevel="0" collapsed="false">
      <c r="A584" s="4" t="n">
        <v>8884</v>
      </c>
      <c r="B584" s="4" t="n">
        <v>527</v>
      </c>
      <c r="C584" s="27" t="s">
        <v>1733</v>
      </c>
      <c r="D584" s="31" t="n">
        <v>533</v>
      </c>
      <c r="E584" s="32" t="n">
        <v>230312495</v>
      </c>
      <c r="F584" s="8" t="s">
        <v>1734</v>
      </c>
      <c r="G584" s="22" t="s">
        <v>1496</v>
      </c>
      <c r="H584" s="22" t="s">
        <v>129</v>
      </c>
      <c r="I584" s="33" t="n">
        <v>2005</v>
      </c>
      <c r="J584" s="32" t="n">
        <v>74</v>
      </c>
      <c r="K584" s="32" t="n">
        <v>74</v>
      </c>
      <c r="L584" s="34" t="n">
        <f aca="false">(K584*70)/100</f>
        <v>51.8</v>
      </c>
      <c r="M584" s="34" t="n">
        <f aca="false">ROUNDUP(L584,0)</f>
        <v>52</v>
      </c>
      <c r="N584" s="32" t="n">
        <v>23</v>
      </c>
      <c r="O584" s="34" t="n">
        <f aca="false">N584+L584</f>
        <v>74.8</v>
      </c>
      <c r="P584" s="34" t="n">
        <f aca="false">N584+M584</f>
        <v>75</v>
      </c>
      <c r="Q584" s="32" t="n">
        <v>68</v>
      </c>
      <c r="R584" s="32" t="n">
        <v>63</v>
      </c>
      <c r="S584" s="34" t="n">
        <f aca="false">(R584*70)/100</f>
        <v>44.1</v>
      </c>
      <c r="T584" s="34" t="n">
        <f aca="false">ROUNDUP(S584,0)</f>
        <v>45</v>
      </c>
      <c r="U584" s="32" t="n">
        <v>29</v>
      </c>
      <c r="V584" s="34" t="n">
        <f aca="false">U584+S584</f>
        <v>73.1</v>
      </c>
      <c r="W584" s="34" t="n">
        <f aca="false">U584+T584</f>
        <v>74</v>
      </c>
      <c r="X584" s="32" t="n">
        <v>57</v>
      </c>
      <c r="Y584" s="34" t="n">
        <f aca="false">(X584*70)/100</f>
        <v>39.9</v>
      </c>
      <c r="Z584" s="34" t="n">
        <f aca="false">ROUNDUP(Y584,0)</f>
        <v>40</v>
      </c>
      <c r="AA584" s="32" t="n">
        <v>21</v>
      </c>
      <c r="AB584" s="34" t="n">
        <f aca="false">AA584+Y584</f>
        <v>60.9</v>
      </c>
      <c r="AC584" s="34" t="n">
        <f aca="false">AA584+Z584</f>
        <v>61</v>
      </c>
      <c r="AD584" s="32" t="n">
        <f aca="false">X584+R584+Q584+K584+J584</f>
        <v>336</v>
      </c>
      <c r="AE584" s="16" t="n">
        <f aca="false">AD584/5</f>
        <v>67.2</v>
      </c>
      <c r="AF584" s="16" t="n">
        <v>62</v>
      </c>
      <c r="AG584" s="16" t="n">
        <v>88</v>
      </c>
      <c r="AH584" s="16" t="n">
        <v>78</v>
      </c>
      <c r="AI584" s="16" t="n">
        <v>82</v>
      </c>
      <c r="AJ584" s="16" t="n">
        <f aca="false">(AI584*70)/100</f>
        <v>57.4</v>
      </c>
      <c r="AK584" s="35" t="n">
        <f aca="false">ROUNDUP(AJ584,0)</f>
        <v>58</v>
      </c>
      <c r="AL584" s="16" t="n">
        <v>23</v>
      </c>
      <c r="AM584" s="16" t="n">
        <f aca="false">AL584+AJ584</f>
        <v>80.4</v>
      </c>
      <c r="AN584" s="16" t="n">
        <f aca="false">AL584+AK584</f>
        <v>81</v>
      </c>
      <c r="AO584" s="16" t="n">
        <v>52</v>
      </c>
      <c r="AP584" s="36" t="n">
        <f aca="false">(AO584*70)/100</f>
        <v>36.4</v>
      </c>
      <c r="AQ584" s="37" t="n">
        <f aca="false">ROUNDUP(AP584,0)</f>
        <v>37</v>
      </c>
      <c r="AR584" s="16" t="n">
        <v>25</v>
      </c>
      <c r="AS584" s="16" t="n">
        <f aca="false">AR584+AP584</f>
        <v>61.4</v>
      </c>
      <c r="AT584" s="16" t="n">
        <f aca="false">AR584+AQ584</f>
        <v>62</v>
      </c>
      <c r="AU584" s="16" t="n">
        <f aca="false">AO584+AF584+AI584+AH584+AG584</f>
        <v>362</v>
      </c>
      <c r="AV584" s="16" t="n">
        <f aca="false">(AO584+AF584+AI584+AH584+AG584)/5</f>
        <v>72.4</v>
      </c>
      <c r="AW584" s="36" t="n">
        <f aca="false">(AO584+AF584+AI584+AH584+AG584+X584+R584+Q584+K584+J584)</f>
        <v>698</v>
      </c>
      <c r="AX584" s="16" t="n">
        <f aca="false">AW584/10</f>
        <v>69.8</v>
      </c>
      <c r="AY584" s="16" t="n">
        <f aca="false">AS584+AF584+AM584+AH584+AG584+AB584+V584+Q584+O584+J584</f>
        <v>720.6</v>
      </c>
      <c r="AZ584" s="16" t="n">
        <f aca="false">AT584+AF584+AN584+AH584+AG584+AC584+W584+Q584+P584+J584</f>
        <v>723</v>
      </c>
      <c r="BA584" s="16" t="n">
        <f aca="false">AY584/10</f>
        <v>72.06</v>
      </c>
      <c r="BB584" s="16" t="n">
        <f aca="false">AZ584/10</f>
        <v>72.3</v>
      </c>
      <c r="BC584" s="16" t="n">
        <v>2335</v>
      </c>
      <c r="BD584" s="16" t="n">
        <f aca="false">RANK(AX584,$AX$2:$AX$881,0)</f>
        <v>737</v>
      </c>
      <c r="BE584" s="73" t="n">
        <f aca="false">((BC584*100)/2400)*0.4+(AX584*0.6)</f>
        <v>80.7966666666667</v>
      </c>
      <c r="BF584" s="16" t="n">
        <f aca="false">RANK(BE584,$BE$2:$BE$881,0)</f>
        <v>722</v>
      </c>
      <c r="BG584" s="39" t="n">
        <f aca="false">RANK(BB584,$BB$2:$BB$881,0)</f>
        <v>725</v>
      </c>
      <c r="BH584" s="39" t="n">
        <f aca="false">RANK(BC584,$BC$2:$BC$881,0)</f>
        <v>681</v>
      </c>
      <c r="BI584" s="22" t="s">
        <v>130</v>
      </c>
      <c r="BJ584" s="22" t="s">
        <v>129</v>
      </c>
      <c r="BK584" s="40" t="s">
        <v>702</v>
      </c>
      <c r="BL584" s="98" t="n">
        <v>6</v>
      </c>
      <c r="BM584" s="61"/>
      <c r="BN584" s="61"/>
      <c r="BO584" s="42" t="n">
        <v>17</v>
      </c>
      <c r="BP584" s="43" t="n">
        <v>46</v>
      </c>
      <c r="BQ584" s="44" t="n">
        <v>63</v>
      </c>
      <c r="BR584" s="42" t="n">
        <v>14</v>
      </c>
      <c r="BS584" s="45" t="n">
        <v>46</v>
      </c>
      <c r="BT584" s="45" t="n">
        <v>60</v>
      </c>
      <c r="BU584" s="46" t="n">
        <v>100</v>
      </c>
      <c r="BV584" s="47" t="n">
        <v>86</v>
      </c>
      <c r="BW584" s="42" t="n">
        <v>99</v>
      </c>
      <c r="BX584" s="48" t="n">
        <v>84</v>
      </c>
      <c r="BY584" s="25" t="n">
        <v>23</v>
      </c>
      <c r="BZ584" s="25" t="n">
        <v>44</v>
      </c>
      <c r="CA584" s="25" t="n">
        <v>67</v>
      </c>
      <c r="CB584" s="59" t="n">
        <v>16</v>
      </c>
      <c r="CC584" s="58" t="n">
        <v>35</v>
      </c>
      <c r="CD584" s="90" t="n">
        <v>51</v>
      </c>
      <c r="CE584" s="32" t="n">
        <v>21</v>
      </c>
      <c r="CF584" s="32" t="n">
        <v>48</v>
      </c>
      <c r="CG584" s="32" t="n">
        <v>69</v>
      </c>
      <c r="CH584" s="32" t="n">
        <v>93</v>
      </c>
      <c r="CI584" s="32" t="n">
        <v>93</v>
      </c>
      <c r="CJ584" s="49" t="n">
        <v>14</v>
      </c>
      <c r="CK584" s="49" t="n">
        <v>46</v>
      </c>
      <c r="CL584" s="49" t="n">
        <v>60</v>
      </c>
      <c r="CM584" s="49" t="n">
        <v>18</v>
      </c>
      <c r="CN584" s="49" t="n">
        <v>53</v>
      </c>
      <c r="CO584" s="84" t="n">
        <v>71</v>
      </c>
      <c r="CP584" s="25" t="n">
        <f aca="false">BX584+BW584+BV584+BU584+BT584+BQ584+BN584</f>
        <v>492</v>
      </c>
      <c r="CQ584" s="25" t="n">
        <f aca="false">CO584+CL584+CI584+CH584+CG584+CD584+CA584</f>
        <v>504</v>
      </c>
      <c r="CR584" s="26" t="n">
        <f aca="false">CP584/7</f>
        <v>70.2857142857143</v>
      </c>
      <c r="CS584" s="26" t="n">
        <f aca="false">CQ584/7</f>
        <v>72</v>
      </c>
      <c r="CT584" s="24" t="n">
        <f aca="false">RANK(CR584,$CR$2:$CR$881,0)</f>
        <v>684</v>
      </c>
      <c r="CU584" s="25" t="n">
        <f aca="false">RANK(CS584,$CS$2:$CS$881,0)</f>
        <v>509</v>
      </c>
      <c r="CV584" s="26" t="n">
        <f aca="false">(CS584+CR584)/2</f>
        <v>71.1428571428571</v>
      </c>
      <c r="CW584" s="25" t="n">
        <f aca="false">RANK(CV584,$CV$2:$CV$881,0)</f>
        <v>625</v>
      </c>
      <c r="CX584" s="50" t="n">
        <f aca="false">(CV584+BB584)/2</f>
        <v>71.7214285714286</v>
      </c>
      <c r="CY584" s="50" t="n">
        <v>607</v>
      </c>
      <c r="CZ584" s="27" t="s">
        <v>132</v>
      </c>
      <c r="DA584" s="27" t="s">
        <v>443</v>
      </c>
      <c r="DB584" s="27" t="s">
        <v>443</v>
      </c>
      <c r="DC584" s="27" t="s">
        <v>134</v>
      </c>
      <c r="DD584" s="27" t="s">
        <v>386</v>
      </c>
      <c r="DE584" s="27" t="s">
        <v>442</v>
      </c>
      <c r="DF584" s="27" t="s">
        <v>141</v>
      </c>
      <c r="DG584" s="27" t="s">
        <v>134</v>
      </c>
      <c r="DH584" s="27" t="s">
        <v>154</v>
      </c>
      <c r="DI584" s="27" t="s">
        <v>313</v>
      </c>
      <c r="DJ584" s="27" t="s">
        <v>441</v>
      </c>
      <c r="DK584" s="27" t="s">
        <v>134</v>
      </c>
      <c r="DL584" s="27" t="s">
        <v>135</v>
      </c>
      <c r="DM584" s="27" t="s">
        <v>304</v>
      </c>
      <c r="DN584" s="27" t="s">
        <v>272</v>
      </c>
      <c r="DO584" s="27" t="s">
        <v>134</v>
      </c>
      <c r="DP584" s="27" t="s">
        <v>1000</v>
      </c>
      <c r="DQ584" s="27" t="s">
        <v>442</v>
      </c>
      <c r="DR584" s="27" t="s">
        <v>136</v>
      </c>
      <c r="DS584" s="27" t="s">
        <v>134</v>
      </c>
      <c r="DT584" s="27" t="s">
        <v>164</v>
      </c>
      <c r="DU584" s="27" t="s">
        <v>479</v>
      </c>
      <c r="DV584" s="27" t="s">
        <v>187</v>
      </c>
      <c r="DW584" s="27" t="s">
        <v>135</v>
      </c>
      <c r="DX584" s="27" t="s">
        <v>138</v>
      </c>
      <c r="DY584" s="27" t="s">
        <v>156</v>
      </c>
      <c r="DZ584" s="27" t="n">
        <f aca="false">DY584+DV584+DR584+DN584+DJ584+DF584+DB584</f>
        <v>520</v>
      </c>
      <c r="EA584" s="28" t="n">
        <f aca="false">DZ584/7</f>
        <v>74.2857142857143</v>
      </c>
      <c r="EB584" s="27" t="n">
        <f aca="false">RANK(EA584,$EA$2:$EA$881,0)</f>
        <v>557</v>
      </c>
      <c r="EC584" s="29" t="n">
        <f aca="false">DZ584+CQ584+CP584+AZ584</f>
        <v>2239</v>
      </c>
      <c r="ED584" s="30" t="n">
        <f aca="false">(EA584+CV584+BB584)/3</f>
        <v>72.5761904761905</v>
      </c>
      <c r="EE584" s="51" t="n">
        <f aca="false">ROUND(BE584,3)</f>
        <v>80.797</v>
      </c>
      <c r="EF584" s="51" t="n">
        <f aca="false">ROUND(CR584,3)</f>
        <v>70.286</v>
      </c>
      <c r="EG584" s="51" t="n">
        <f aca="false">ROUND(CS584,3)</f>
        <v>72</v>
      </c>
      <c r="EH584" s="51" t="n">
        <f aca="false">ROUND(EA584,3)</f>
        <v>74.286</v>
      </c>
      <c r="EI584" s="51" t="n">
        <f aca="false">ROUND(ED584,3)</f>
        <v>72.576</v>
      </c>
      <c r="EJ584" s="51" t="n">
        <f aca="false">ROUND(CV584,3)</f>
        <v>71.143</v>
      </c>
      <c r="EK584" s="0" t="n">
        <f aca="false">RANK(EI584,$EI$2:$EI$881,0)</f>
        <v>583</v>
      </c>
    </row>
    <row r="585" customFormat="false" ht="17.45" hidden="false" customHeight="false" outlineLevel="0" collapsed="false">
      <c r="A585" s="4" t="n">
        <v>8975</v>
      </c>
      <c r="B585" s="4" t="n">
        <v>29</v>
      </c>
      <c r="C585" s="27" t="s">
        <v>1735</v>
      </c>
      <c r="D585" s="52" t="n">
        <v>29</v>
      </c>
      <c r="E585" s="16" t="n">
        <v>230907866</v>
      </c>
      <c r="F585" s="56" t="s">
        <v>1736</v>
      </c>
      <c r="G585" s="22" t="s">
        <v>1737</v>
      </c>
      <c r="H585" s="22" t="s">
        <v>326</v>
      </c>
      <c r="I585" s="57"/>
      <c r="J585" s="16" t="n">
        <v>60</v>
      </c>
      <c r="K585" s="16" t="n">
        <v>84</v>
      </c>
      <c r="L585" s="34" t="n">
        <f aca="false">(K585*70)/100</f>
        <v>58.8</v>
      </c>
      <c r="M585" s="34" t="n">
        <f aca="false">ROUNDUP(L585,0)</f>
        <v>59</v>
      </c>
      <c r="N585" s="16" t="n">
        <v>22</v>
      </c>
      <c r="O585" s="34" t="n">
        <f aca="false">N585+L585</f>
        <v>80.8</v>
      </c>
      <c r="P585" s="34" t="n">
        <f aca="false">N585+M585</f>
        <v>81</v>
      </c>
      <c r="Q585" s="16" t="n">
        <v>62</v>
      </c>
      <c r="R585" s="16" t="n">
        <v>76</v>
      </c>
      <c r="S585" s="34" t="n">
        <f aca="false">(R585*70)/100</f>
        <v>53.2</v>
      </c>
      <c r="T585" s="34" t="n">
        <f aca="false">ROUNDUP(S585,0)</f>
        <v>54</v>
      </c>
      <c r="U585" s="16" t="n">
        <v>26</v>
      </c>
      <c r="V585" s="34" t="n">
        <f aca="false">U585+S585</f>
        <v>79.2</v>
      </c>
      <c r="W585" s="34" t="n">
        <f aca="false">U585+T585</f>
        <v>80</v>
      </c>
      <c r="X585" s="16" t="n">
        <v>72</v>
      </c>
      <c r="Y585" s="34" t="n">
        <f aca="false">(X585*70)/100</f>
        <v>50.4</v>
      </c>
      <c r="Z585" s="34" t="n">
        <f aca="false">ROUNDUP(Y585,0)</f>
        <v>51</v>
      </c>
      <c r="AA585" s="16" t="n">
        <v>25</v>
      </c>
      <c r="AB585" s="34" t="n">
        <f aca="false">AA585+Y585</f>
        <v>75.4</v>
      </c>
      <c r="AC585" s="34" t="n">
        <f aca="false">AA585+Z585</f>
        <v>76</v>
      </c>
      <c r="AD585" s="32" t="n">
        <f aca="false">X585+R585+Q585+K585+J585</f>
        <v>354</v>
      </c>
      <c r="AE585" s="16" t="n">
        <f aca="false">AD585/5</f>
        <v>70.8</v>
      </c>
      <c r="AF585" s="16" t="n">
        <v>86</v>
      </c>
      <c r="AG585" s="16" t="n">
        <v>80</v>
      </c>
      <c r="AH585" s="16" t="n">
        <v>90</v>
      </c>
      <c r="AI585" s="16" t="n">
        <v>91</v>
      </c>
      <c r="AJ585" s="16" t="n">
        <f aca="false">(AI585*70)/100</f>
        <v>63.7</v>
      </c>
      <c r="AK585" s="35" t="n">
        <f aca="false">ROUNDUP(AJ585,0)</f>
        <v>64</v>
      </c>
      <c r="AL585" s="16" t="n">
        <v>20</v>
      </c>
      <c r="AM585" s="16" t="n">
        <f aca="false">AL585+AJ585</f>
        <v>83.7</v>
      </c>
      <c r="AN585" s="16" t="n">
        <f aca="false">AL585+AK585</f>
        <v>84</v>
      </c>
      <c r="AO585" s="16" t="n">
        <v>75</v>
      </c>
      <c r="AP585" s="36" t="n">
        <f aca="false">(AO585*70)/100</f>
        <v>52.5</v>
      </c>
      <c r="AQ585" s="37" t="n">
        <f aca="false">ROUNDUP(AP585,0)</f>
        <v>53</v>
      </c>
      <c r="AR585" s="16" t="n">
        <v>20</v>
      </c>
      <c r="AS585" s="16" t="n">
        <f aca="false">AR585+AP585</f>
        <v>72.5</v>
      </c>
      <c r="AT585" s="16" t="n">
        <f aca="false">AR585+AQ585</f>
        <v>73</v>
      </c>
      <c r="AU585" s="16" t="n">
        <f aca="false">AO585+AF585+AI585+AH585+AG585</f>
        <v>422</v>
      </c>
      <c r="AV585" s="16" t="n">
        <f aca="false">(AO585+AF585+AI585+AH585+AG585)/5</f>
        <v>84.4</v>
      </c>
      <c r="AW585" s="36" t="n">
        <f aca="false">(AO585+AF585+AI585+AH585+AG585+X585+R585+Q585+K585+J585)</f>
        <v>776</v>
      </c>
      <c r="AX585" s="16" t="n">
        <f aca="false">AW585/10</f>
        <v>77.6</v>
      </c>
      <c r="AY585" s="16" t="n">
        <f aca="false">AS585+AF585+AM585+AH585+AG585+AB585+V585+Q585+O585+J585</f>
        <v>769.6</v>
      </c>
      <c r="AZ585" s="16" t="n">
        <f aca="false">AT585+AF585+AN585+AH585+AG585+AC585+W585+Q585+P585+J585</f>
        <v>772</v>
      </c>
      <c r="BA585" s="16" t="n">
        <f aca="false">AY585/10</f>
        <v>76.96</v>
      </c>
      <c r="BB585" s="16" t="n">
        <f aca="false">AZ585/10</f>
        <v>77.2</v>
      </c>
      <c r="BC585" s="16" t="n">
        <v>2376</v>
      </c>
      <c r="BD585" s="16" t="n">
        <f aca="false">RANK(AX585,$AX$2:$AX$881,0)</f>
        <v>444</v>
      </c>
      <c r="BE585" s="54" t="n">
        <f aca="false">((BC585*100)/2400)*0.4+(AX585*0.6)</f>
        <v>86.16</v>
      </c>
      <c r="BF585" s="16" t="n">
        <f aca="false">RANK(BE585,$BE$2:$BE$881,0)</f>
        <v>409</v>
      </c>
      <c r="BG585" s="39" t="n">
        <f aca="false">RANK(BB585,$BB$2:$BB$881,0)</f>
        <v>628</v>
      </c>
      <c r="BH585" s="39" t="n">
        <f aca="false">RANK(BC585,$BC$2:$BC$881,0)</f>
        <v>203</v>
      </c>
      <c r="BI585" s="22" t="s">
        <v>130</v>
      </c>
      <c r="BJ585" s="22" t="s">
        <v>129</v>
      </c>
      <c r="BK585" s="40" t="s">
        <v>131</v>
      </c>
      <c r="BL585" s="41" t="n">
        <v>23</v>
      </c>
      <c r="BM585" s="41" t="n">
        <v>50</v>
      </c>
      <c r="BN585" s="41" t="n">
        <v>73</v>
      </c>
      <c r="BO585" s="42" t="n">
        <v>26</v>
      </c>
      <c r="BP585" s="43" t="n">
        <v>63</v>
      </c>
      <c r="BQ585" s="44" t="n">
        <v>89</v>
      </c>
      <c r="BR585" s="42" t="n">
        <v>22</v>
      </c>
      <c r="BS585" s="45" t="n">
        <v>58</v>
      </c>
      <c r="BT585" s="45" t="n">
        <v>80</v>
      </c>
      <c r="BU585" s="46" t="n">
        <v>96</v>
      </c>
      <c r="BV585" s="47" t="n">
        <v>68</v>
      </c>
      <c r="BW585" s="42" t="n">
        <v>100</v>
      </c>
      <c r="BX585" s="48" t="n">
        <v>86</v>
      </c>
      <c r="BY585" s="32" t="n">
        <v>23</v>
      </c>
      <c r="BZ585" s="32" t="n">
        <v>46</v>
      </c>
      <c r="CA585" s="32" t="n">
        <v>69</v>
      </c>
      <c r="CB585" s="32" t="n">
        <v>21</v>
      </c>
      <c r="CC585" s="32" t="n">
        <v>36</v>
      </c>
      <c r="CD585" s="69" t="n">
        <v>57</v>
      </c>
      <c r="CE585" s="32" t="n">
        <v>25</v>
      </c>
      <c r="CF585" s="32" t="n">
        <v>41</v>
      </c>
      <c r="CG585" s="32" t="n">
        <v>66</v>
      </c>
      <c r="CH585" s="32" t="n">
        <v>95</v>
      </c>
      <c r="CI585" s="32" t="n">
        <v>96</v>
      </c>
      <c r="CJ585" s="49" t="n">
        <v>20</v>
      </c>
      <c r="CK585" s="49" t="n">
        <v>48</v>
      </c>
      <c r="CL585" s="49" t="n">
        <v>68</v>
      </c>
      <c r="CM585" s="49" t="n">
        <v>24</v>
      </c>
      <c r="CN585" s="49" t="n">
        <v>42</v>
      </c>
      <c r="CO585" s="49" t="n">
        <v>66</v>
      </c>
      <c r="CP585" s="25" t="n">
        <f aca="false">BX585+BW585+BV585+BU585+BT585+BQ585+BN585</f>
        <v>592</v>
      </c>
      <c r="CQ585" s="25" t="n">
        <f aca="false">CO585+CL585+CI585+CH585+CG585+CD585+CA585</f>
        <v>517</v>
      </c>
      <c r="CR585" s="26" t="n">
        <f aca="false">CP585/7</f>
        <v>84.5714285714286</v>
      </c>
      <c r="CS585" s="26" t="n">
        <f aca="false">CQ585/7</f>
        <v>73.8571428571429</v>
      </c>
      <c r="CT585" s="24" t="n">
        <f aca="false">RANK(CR585,$CR$2:$CR$881,0)</f>
        <v>456</v>
      </c>
      <c r="CU585" s="25" t="n">
        <f aca="false">RANK(CS585,$CS$2:$CS$881,0)</f>
        <v>464</v>
      </c>
      <c r="CV585" s="26" t="n">
        <f aca="false">(CS585+CR585)/2</f>
        <v>79.2142857142857</v>
      </c>
      <c r="CW585" s="25" t="n">
        <f aca="false">RANK(CV585,$CV$2:$CV$881,0)</f>
        <v>458</v>
      </c>
      <c r="CX585" s="50" t="n">
        <f aca="false">(CV585+BB585)/2</f>
        <v>78.2071428571429</v>
      </c>
      <c r="CY585" s="50" t="n">
        <v>459</v>
      </c>
      <c r="CZ585" s="27" t="s">
        <v>132</v>
      </c>
      <c r="DA585" s="27" t="s">
        <v>205</v>
      </c>
      <c r="DB585" s="27" t="s">
        <v>205</v>
      </c>
      <c r="DC585" s="27" t="s">
        <v>134</v>
      </c>
      <c r="DD585" s="27" t="s">
        <v>718</v>
      </c>
      <c r="DE585" s="27" t="s">
        <v>218</v>
      </c>
      <c r="DF585" s="27" t="s">
        <v>138</v>
      </c>
      <c r="DG585" s="27" t="s">
        <v>134</v>
      </c>
      <c r="DH585" s="27" t="s">
        <v>195</v>
      </c>
      <c r="DI585" s="27" t="s">
        <v>313</v>
      </c>
      <c r="DJ585" s="27" t="s">
        <v>486</v>
      </c>
      <c r="DK585" s="27" t="s">
        <v>134</v>
      </c>
      <c r="DL585" s="27" t="s">
        <v>191</v>
      </c>
      <c r="DM585" s="27" t="s">
        <v>645</v>
      </c>
      <c r="DN585" s="27" t="s">
        <v>152</v>
      </c>
      <c r="DO585" s="27" t="s">
        <v>134</v>
      </c>
      <c r="DP585" s="27"/>
      <c r="DQ585" s="27"/>
      <c r="DR585" s="27"/>
      <c r="DS585" s="27"/>
      <c r="DT585" s="27" t="s">
        <v>135</v>
      </c>
      <c r="DU585" s="27" t="s">
        <v>164</v>
      </c>
      <c r="DV585" s="27" t="s">
        <v>313</v>
      </c>
      <c r="DW585" s="27" t="s">
        <v>182</v>
      </c>
      <c r="DX585" s="27" t="s">
        <v>136</v>
      </c>
      <c r="DY585" s="27" t="s">
        <v>178</v>
      </c>
      <c r="DZ585" s="27" t="n">
        <f aca="false">DY585+DV585+DR585+DN585+DJ585+DF585+DB585</f>
        <v>427</v>
      </c>
      <c r="EA585" s="28" t="n">
        <f aca="false">DZ585/7</f>
        <v>61</v>
      </c>
      <c r="EB585" s="27" t="n">
        <f aca="false">RANK(EA585,$EA$2:$EA$881,0)</f>
        <v>774</v>
      </c>
      <c r="EC585" s="29" t="n">
        <f aca="false">DZ585+CQ585+CP585+AZ585</f>
        <v>2308</v>
      </c>
      <c r="ED585" s="30" t="n">
        <f aca="false">(EA585+CV585+BB585)/3</f>
        <v>72.4714285714286</v>
      </c>
      <c r="EE585" s="51" t="n">
        <f aca="false">ROUND(BE585,3)</f>
        <v>86.16</v>
      </c>
      <c r="EF585" s="51" t="n">
        <f aca="false">ROUND(CR585,3)</f>
        <v>84.571</v>
      </c>
      <c r="EG585" s="51" t="n">
        <f aca="false">ROUND(CS585,3)</f>
        <v>73.857</v>
      </c>
      <c r="EH585" s="51" t="n">
        <f aca="false">ROUND(EA585,3)</f>
        <v>61</v>
      </c>
      <c r="EI585" s="51" t="n">
        <f aca="false">ROUND(ED585,3)</f>
        <v>72.471</v>
      </c>
      <c r="EJ585" s="51" t="n">
        <f aca="false">ROUND(CV585,3)</f>
        <v>79.214</v>
      </c>
      <c r="EK585" s="0" t="n">
        <f aca="false">RANK(EI585,$EI$2:$EI$881,0)</f>
        <v>584</v>
      </c>
    </row>
    <row r="586" customFormat="false" ht="15" hidden="false" customHeight="false" outlineLevel="0" collapsed="false">
      <c r="A586" s="4" t="n">
        <v>2073</v>
      </c>
      <c r="B586" s="4" t="n">
        <v>825</v>
      </c>
      <c r="C586" s="27" t="s">
        <v>1738</v>
      </c>
      <c r="D586" s="31" t="n">
        <v>846</v>
      </c>
      <c r="E586" s="16" t="n">
        <v>230908019</v>
      </c>
      <c r="F586" s="56" t="s">
        <v>1739</v>
      </c>
      <c r="G586" s="22" t="s">
        <v>484</v>
      </c>
      <c r="H586" s="22" t="s">
        <v>326</v>
      </c>
      <c r="I586" s="57"/>
      <c r="J586" s="16" t="n">
        <v>82</v>
      </c>
      <c r="K586" s="16" t="n">
        <v>80</v>
      </c>
      <c r="L586" s="34" t="n">
        <f aca="false">(K586*70)/100</f>
        <v>56</v>
      </c>
      <c r="M586" s="34" t="n">
        <f aca="false">ROUNDUP(L586,0)</f>
        <v>56</v>
      </c>
      <c r="N586" s="16" t="n">
        <v>21</v>
      </c>
      <c r="O586" s="34" t="n">
        <f aca="false">N586+L586</f>
        <v>77</v>
      </c>
      <c r="P586" s="34" t="n">
        <f aca="false">N586+M586</f>
        <v>77</v>
      </c>
      <c r="Q586" s="16" t="n">
        <v>87</v>
      </c>
      <c r="R586" s="16" t="n">
        <v>85</v>
      </c>
      <c r="S586" s="34" t="n">
        <f aca="false">(R586*70)/100</f>
        <v>59.5</v>
      </c>
      <c r="T586" s="34" t="n">
        <f aca="false">ROUNDUP(S586,0)</f>
        <v>60</v>
      </c>
      <c r="U586" s="16" t="n">
        <v>25</v>
      </c>
      <c r="V586" s="34" t="n">
        <f aca="false">U586+S586</f>
        <v>84.5</v>
      </c>
      <c r="W586" s="34" t="n">
        <f aca="false">U586+T586</f>
        <v>85</v>
      </c>
      <c r="X586" s="16" t="n">
        <v>74</v>
      </c>
      <c r="Y586" s="34" t="n">
        <f aca="false">(X586*70)/100</f>
        <v>51.8</v>
      </c>
      <c r="Z586" s="34" t="n">
        <f aca="false">ROUNDUP(Y586,0)</f>
        <v>52</v>
      </c>
      <c r="AA586" s="16" t="n">
        <v>28</v>
      </c>
      <c r="AB586" s="34" t="n">
        <f aca="false">AA586+Y586</f>
        <v>79.8</v>
      </c>
      <c r="AC586" s="34" t="n">
        <f aca="false">AA586+Z586</f>
        <v>80</v>
      </c>
      <c r="AD586" s="32" t="n">
        <f aca="false">X586+R586+Q586+K586+J586</f>
        <v>408</v>
      </c>
      <c r="AE586" s="16" t="n">
        <f aca="false">AD586/5</f>
        <v>81.6</v>
      </c>
      <c r="AF586" s="71" t="n">
        <v>53</v>
      </c>
      <c r="AG586" s="16" t="n">
        <v>84</v>
      </c>
      <c r="AH586" s="16" t="n">
        <v>83</v>
      </c>
      <c r="AI586" s="16" t="n">
        <v>76</v>
      </c>
      <c r="AJ586" s="16" t="n">
        <f aca="false">(AI586*70)/100</f>
        <v>53.2</v>
      </c>
      <c r="AK586" s="35" t="n">
        <f aca="false">ROUNDUP(AJ586,0)</f>
        <v>54</v>
      </c>
      <c r="AL586" s="16" t="n">
        <v>23</v>
      </c>
      <c r="AM586" s="16" t="n">
        <f aca="false">AL586+AJ586</f>
        <v>76.2</v>
      </c>
      <c r="AN586" s="16" t="n">
        <f aca="false">AL586+AK586</f>
        <v>77</v>
      </c>
      <c r="AO586" s="16" t="n">
        <v>57</v>
      </c>
      <c r="AP586" s="36" t="n">
        <f aca="false">(AO586*70)/100</f>
        <v>39.9</v>
      </c>
      <c r="AQ586" s="37" t="n">
        <f aca="false">ROUNDUP(AP586,0)</f>
        <v>40</v>
      </c>
      <c r="AR586" s="16" t="n">
        <v>21</v>
      </c>
      <c r="AS586" s="16" t="n">
        <f aca="false">AR586+AP586</f>
        <v>60.9</v>
      </c>
      <c r="AT586" s="16" t="n">
        <f aca="false">AR586+AQ586</f>
        <v>61</v>
      </c>
      <c r="AU586" s="16" t="n">
        <f aca="false">AO586+AF586+AI586+AH586+AG586</f>
        <v>353</v>
      </c>
      <c r="AV586" s="16" t="n">
        <f aca="false">(AO586+AF586+AI586+AH586+AG586)/5</f>
        <v>70.6</v>
      </c>
      <c r="AW586" s="36" t="n">
        <f aca="false">(AO586+AF586+AI586+AH586+AG586+X586+R586+Q586+K586+J586)</f>
        <v>761</v>
      </c>
      <c r="AX586" s="16" t="n">
        <f aca="false">AW586/10</f>
        <v>76.1</v>
      </c>
      <c r="AY586" s="16" t="n">
        <f aca="false">AS586+AF586+AM586+AH586+AG586+AB586+V586+Q586+O586+J586</f>
        <v>767.4</v>
      </c>
      <c r="AZ586" s="16" t="n">
        <f aca="false">AT586+AF586+AN586+AH586+AG586+AC586+W586+Q586+P586+J586</f>
        <v>769</v>
      </c>
      <c r="BA586" s="16" t="n">
        <f aca="false">AY586/10</f>
        <v>76.74</v>
      </c>
      <c r="BB586" s="16" t="n">
        <f aca="false">AZ586/10</f>
        <v>76.9</v>
      </c>
      <c r="BC586" s="16" t="n">
        <v>2369</v>
      </c>
      <c r="BD586" s="16" t="n">
        <f aca="false">RANK(AX586,$AX$2:$AX$881,0)</f>
        <v>609</v>
      </c>
      <c r="BE586" s="54" t="n">
        <f aca="false">((BC586*100)/2400)*0.4+(AX586*0.6)</f>
        <v>85.1433333333333</v>
      </c>
      <c r="BF586" s="16" t="n">
        <f aca="false">RANK(BE586,$BE$2:$BE$881,0)</f>
        <v>578</v>
      </c>
      <c r="BG586" s="39" t="n">
        <f aca="false">RANK(BB586,$BB$2:$BB$881,0)</f>
        <v>648</v>
      </c>
      <c r="BH586" s="39" t="n">
        <f aca="false">RANK(BC586,$BC$2:$BC$881,0)</f>
        <v>283</v>
      </c>
      <c r="BI586" s="22" t="s">
        <v>130</v>
      </c>
      <c r="BJ586" s="22" t="s">
        <v>129</v>
      </c>
      <c r="BK586" s="40" t="s">
        <v>509</v>
      </c>
      <c r="BL586" s="41" t="n">
        <v>19</v>
      </c>
      <c r="BM586" s="41" t="n">
        <v>46</v>
      </c>
      <c r="BN586" s="41" t="n">
        <v>65</v>
      </c>
      <c r="BO586" s="42" t="n">
        <v>17</v>
      </c>
      <c r="BP586" s="42" t="n">
        <v>49</v>
      </c>
      <c r="BQ586" s="42" t="n">
        <v>66</v>
      </c>
      <c r="BR586" s="42" t="n">
        <v>20</v>
      </c>
      <c r="BS586" s="45" t="n">
        <v>46</v>
      </c>
      <c r="BT586" s="45" t="n">
        <v>66</v>
      </c>
      <c r="BU586" s="46" t="n">
        <v>96</v>
      </c>
      <c r="BV586" s="47" t="n">
        <v>90</v>
      </c>
      <c r="BW586" s="42" t="n">
        <v>83</v>
      </c>
      <c r="BX586" s="48" t="n">
        <v>92</v>
      </c>
      <c r="BY586" s="32" t="n">
        <v>24</v>
      </c>
      <c r="BZ586" s="32" t="n">
        <v>44</v>
      </c>
      <c r="CA586" s="48" t="n">
        <v>68</v>
      </c>
      <c r="CB586" s="32" t="n">
        <v>24</v>
      </c>
      <c r="CC586" s="32" t="n">
        <v>36</v>
      </c>
      <c r="CD586" s="32" t="n">
        <v>60</v>
      </c>
      <c r="CE586" s="32" t="n">
        <v>17</v>
      </c>
      <c r="CF586" s="32" t="n">
        <v>45</v>
      </c>
      <c r="CG586" s="32" t="n">
        <v>62</v>
      </c>
      <c r="CH586" s="32" t="n">
        <v>89</v>
      </c>
      <c r="CI586" s="32" t="n">
        <v>95</v>
      </c>
      <c r="CJ586" s="49" t="n">
        <v>15</v>
      </c>
      <c r="CK586" s="49" t="n">
        <v>40</v>
      </c>
      <c r="CL586" s="76" t="n">
        <v>55</v>
      </c>
      <c r="CM586" s="49" t="n">
        <v>22</v>
      </c>
      <c r="CN586" s="49" t="n">
        <v>38</v>
      </c>
      <c r="CO586" s="49" t="n">
        <v>60</v>
      </c>
      <c r="CP586" s="25" t="n">
        <f aca="false">BX586+BW586+BV586+BU586+BT586+BQ586+BN586</f>
        <v>558</v>
      </c>
      <c r="CQ586" s="25" t="n">
        <f aca="false">CO586+CL586+CI586+CH586+CG586+CD586+CA586</f>
        <v>489</v>
      </c>
      <c r="CR586" s="26" t="n">
        <f aca="false">CP586/7</f>
        <v>79.7142857142857</v>
      </c>
      <c r="CS586" s="26" t="n">
        <f aca="false">CQ586/7</f>
        <v>69.8571428571429</v>
      </c>
      <c r="CT586" s="24" t="n">
        <f aca="false">RANK(CR586,$CR$2:$CR$881,0)</f>
        <v>590</v>
      </c>
      <c r="CU586" s="25" t="n">
        <f aca="false">RANK(CS586,$CS$2:$CS$881,0)</f>
        <v>558</v>
      </c>
      <c r="CV586" s="26" t="n">
        <f aca="false">(CS586+CR586)/2</f>
        <v>74.7857142857143</v>
      </c>
      <c r="CW586" s="25" t="n">
        <f aca="false">RANK(CV586,$CV$2:$CV$881,0)</f>
        <v>562</v>
      </c>
      <c r="CX586" s="50" t="n">
        <f aca="false">(CV586+BB586)/2</f>
        <v>75.8428571428571</v>
      </c>
      <c r="CY586" s="50" t="n">
        <v>560</v>
      </c>
      <c r="CZ586" s="27" t="s">
        <v>132</v>
      </c>
      <c r="DA586" s="27" t="s">
        <v>443</v>
      </c>
      <c r="DB586" s="27" t="s">
        <v>443</v>
      </c>
      <c r="DC586" s="27" t="s">
        <v>134</v>
      </c>
      <c r="DD586" s="27" t="s">
        <v>164</v>
      </c>
      <c r="DE586" s="27" t="s">
        <v>399</v>
      </c>
      <c r="DF586" s="27" t="s">
        <v>441</v>
      </c>
      <c r="DG586" s="27" t="s">
        <v>134</v>
      </c>
      <c r="DH586" s="27" t="s">
        <v>264</v>
      </c>
      <c r="DI586" s="27" t="s">
        <v>638</v>
      </c>
      <c r="DJ586" s="27" t="s">
        <v>152</v>
      </c>
      <c r="DK586" s="27" t="s">
        <v>134</v>
      </c>
      <c r="DL586" s="27" t="s">
        <v>191</v>
      </c>
      <c r="DM586" s="27" t="s">
        <v>681</v>
      </c>
      <c r="DN586" s="27" t="s">
        <v>187</v>
      </c>
      <c r="DO586" s="27" t="s">
        <v>134</v>
      </c>
      <c r="DP586" s="27" t="s">
        <v>706</v>
      </c>
      <c r="DQ586" s="27" t="s">
        <v>897</v>
      </c>
      <c r="DR586" s="27" t="s">
        <v>183</v>
      </c>
      <c r="DS586" s="27" t="s">
        <v>480</v>
      </c>
      <c r="DT586" s="27" t="s">
        <v>386</v>
      </c>
      <c r="DU586" s="27" t="s">
        <v>1151</v>
      </c>
      <c r="DV586" s="27" t="s">
        <v>375</v>
      </c>
      <c r="DW586" s="27" t="s">
        <v>264</v>
      </c>
      <c r="DX586" s="27" t="s">
        <v>313</v>
      </c>
      <c r="DY586" s="27" t="s">
        <v>416</v>
      </c>
      <c r="DZ586" s="27" t="n">
        <f aca="false">DY586+DV586+DR586+DN586+DJ586+DF586+DB586</f>
        <v>460</v>
      </c>
      <c r="EA586" s="28" t="n">
        <f aca="false">DZ586/7</f>
        <v>65.7142857142857</v>
      </c>
      <c r="EB586" s="27" t="n">
        <f aca="false">RANK(EA586,$EA$2:$EA$881,0)</f>
        <v>722</v>
      </c>
      <c r="EC586" s="29" t="n">
        <f aca="false">DZ586+CQ586+CP586+AZ586</f>
        <v>2276</v>
      </c>
      <c r="ED586" s="30" t="n">
        <f aca="false">(EA586+CV586+BB586)/3</f>
        <v>72.4666666666667</v>
      </c>
      <c r="EE586" s="51" t="n">
        <f aca="false">ROUND(BE586,3)</f>
        <v>85.143</v>
      </c>
      <c r="EF586" s="51" t="n">
        <f aca="false">ROUND(CR586,3)</f>
        <v>79.714</v>
      </c>
      <c r="EG586" s="51" t="n">
        <f aca="false">ROUND(CS586,3)</f>
        <v>69.857</v>
      </c>
      <c r="EH586" s="51" t="n">
        <f aca="false">ROUND(EA586,3)</f>
        <v>65.714</v>
      </c>
      <c r="EI586" s="51" t="n">
        <f aca="false">ROUND(ED586,3)</f>
        <v>72.467</v>
      </c>
      <c r="EJ586" s="51" t="n">
        <f aca="false">ROUND(CV586,3)</f>
        <v>74.786</v>
      </c>
      <c r="EK586" s="0" t="n">
        <f aca="false">RANK(EI586,$EI$2:$EI$881,0)</f>
        <v>585</v>
      </c>
    </row>
    <row r="587" customFormat="false" ht="15" hidden="false" customHeight="false" outlineLevel="0" collapsed="false">
      <c r="A587" s="4" t="n">
        <v>1984</v>
      </c>
      <c r="B587" s="4" t="n">
        <v>467</v>
      </c>
      <c r="C587" s="27" t="s">
        <v>1740</v>
      </c>
      <c r="D587" s="31" t="n">
        <v>473</v>
      </c>
      <c r="E587" s="16" t="n">
        <v>230134240</v>
      </c>
      <c r="F587" s="56" t="s">
        <v>1741</v>
      </c>
      <c r="G587" s="22" t="s">
        <v>1742</v>
      </c>
      <c r="H587" s="22" t="s">
        <v>326</v>
      </c>
      <c r="I587" s="57"/>
      <c r="J587" s="16" t="n">
        <v>70</v>
      </c>
      <c r="K587" s="16" t="n">
        <v>87</v>
      </c>
      <c r="L587" s="34" t="n">
        <f aca="false">(K587*70)/100</f>
        <v>60.9</v>
      </c>
      <c r="M587" s="34" t="n">
        <f aca="false">ROUNDUP(L587,0)</f>
        <v>61</v>
      </c>
      <c r="N587" s="16" t="n">
        <v>26</v>
      </c>
      <c r="O587" s="34" t="n">
        <f aca="false">N587+L587</f>
        <v>86.9</v>
      </c>
      <c r="P587" s="34" t="n">
        <f aca="false">N587+M587</f>
        <v>87</v>
      </c>
      <c r="Q587" s="16" t="n">
        <v>84</v>
      </c>
      <c r="R587" s="16" t="n">
        <v>80</v>
      </c>
      <c r="S587" s="34" t="n">
        <f aca="false">(R587*70)/100</f>
        <v>56</v>
      </c>
      <c r="T587" s="34" t="n">
        <f aca="false">ROUNDUP(S587,0)</f>
        <v>56</v>
      </c>
      <c r="U587" s="16" t="n">
        <v>26</v>
      </c>
      <c r="V587" s="34" t="n">
        <f aca="false">U587+S587</f>
        <v>82</v>
      </c>
      <c r="W587" s="34" t="n">
        <f aca="false">U587+T587</f>
        <v>82</v>
      </c>
      <c r="X587" s="16" t="n">
        <v>70</v>
      </c>
      <c r="Y587" s="34" t="n">
        <f aca="false">(X587*70)/100</f>
        <v>49</v>
      </c>
      <c r="Z587" s="34" t="n">
        <f aca="false">ROUNDUP(Y587,0)</f>
        <v>49</v>
      </c>
      <c r="AA587" s="16" t="n">
        <v>25</v>
      </c>
      <c r="AB587" s="34" t="n">
        <f aca="false">AA587+Y587</f>
        <v>74</v>
      </c>
      <c r="AC587" s="34" t="n">
        <f aca="false">AA587+Z587</f>
        <v>74</v>
      </c>
      <c r="AD587" s="32" t="n">
        <f aca="false">X587+R587+Q587+K587+J587</f>
        <v>391</v>
      </c>
      <c r="AE587" s="16" t="n">
        <f aca="false">AD587/5</f>
        <v>78.2</v>
      </c>
      <c r="AF587" s="16" t="n">
        <v>75</v>
      </c>
      <c r="AG587" s="16" t="n">
        <v>68</v>
      </c>
      <c r="AH587" s="16" t="n">
        <v>85</v>
      </c>
      <c r="AI587" s="16" t="n">
        <v>84</v>
      </c>
      <c r="AJ587" s="16" t="n">
        <f aca="false">(AI587*70)/100</f>
        <v>58.8</v>
      </c>
      <c r="AK587" s="35" t="n">
        <f aca="false">ROUNDUP(AJ587,0)</f>
        <v>59</v>
      </c>
      <c r="AL587" s="16" t="n">
        <v>14</v>
      </c>
      <c r="AM587" s="16" t="n">
        <f aca="false">AL587+AJ587</f>
        <v>72.8</v>
      </c>
      <c r="AN587" s="16" t="n">
        <f aca="false">AL587+AK587</f>
        <v>73</v>
      </c>
      <c r="AO587" s="16" t="n">
        <v>61</v>
      </c>
      <c r="AP587" s="36" t="n">
        <f aca="false">(AO587*70)/100</f>
        <v>42.7</v>
      </c>
      <c r="AQ587" s="37" t="n">
        <f aca="false">ROUNDUP(AP587,0)</f>
        <v>43</v>
      </c>
      <c r="AR587" s="16" t="n">
        <v>23</v>
      </c>
      <c r="AS587" s="16" t="n">
        <f aca="false">AR587+AP587</f>
        <v>65.7</v>
      </c>
      <c r="AT587" s="16" t="n">
        <f aca="false">AR587+AQ587</f>
        <v>66</v>
      </c>
      <c r="AU587" s="16" t="n">
        <f aca="false">AO587+AF587+AI587+AH587+AG587</f>
        <v>373</v>
      </c>
      <c r="AV587" s="16" t="n">
        <f aca="false">(AO587+AF587+AI587+AH587+AG587)/5</f>
        <v>74.6</v>
      </c>
      <c r="AW587" s="36" t="n">
        <f aca="false">(AO587+AF587+AI587+AH587+AG587+X587+R587+Q587+K587+J587)</f>
        <v>764</v>
      </c>
      <c r="AX587" s="16" t="n">
        <f aca="false">AW587/10</f>
        <v>76.4</v>
      </c>
      <c r="AY587" s="16" t="n">
        <f aca="false">AS587+AF587+AM587+AH587+AG587+AB587+V587+Q587+O587+J587</f>
        <v>763.4</v>
      </c>
      <c r="AZ587" s="16" t="n">
        <f aca="false">AT587+AF587+AN587+AH587+AG587+AC587+W587+Q587+P587+J587</f>
        <v>764</v>
      </c>
      <c r="BA587" s="16" t="n">
        <f aca="false">AY587/10</f>
        <v>76.34</v>
      </c>
      <c r="BB587" s="16" t="n">
        <f aca="false">AZ587/10</f>
        <v>76.4</v>
      </c>
      <c r="BC587" s="16" t="n">
        <v>2347</v>
      </c>
      <c r="BD587" s="16" t="n">
        <f aca="false">RANK(AX587,$AX$2:$AX$881,0)</f>
        <v>577</v>
      </c>
      <c r="BE587" s="73" t="n">
        <f aca="false">((BC587*100)/2400)*0.4+(AX587*0.6)</f>
        <v>84.9566666666667</v>
      </c>
      <c r="BF587" s="16" t="n">
        <f aca="false">RANK(BE587,$BE$2:$BE$881,0)</f>
        <v>623</v>
      </c>
      <c r="BG587" s="39" t="n">
        <f aca="false">RANK(BB587,$BB$2:$BB$881,0)</f>
        <v>666</v>
      </c>
      <c r="BH587" s="39" t="n">
        <f aca="false">RANK(BC587,$BC$2:$BC$881,0)</f>
        <v>562</v>
      </c>
      <c r="BI587" s="22" t="s">
        <v>130</v>
      </c>
      <c r="BJ587" s="22" t="s">
        <v>129</v>
      </c>
      <c r="BK587" s="22" t="s">
        <v>509</v>
      </c>
      <c r="BL587" s="41" t="n">
        <v>22</v>
      </c>
      <c r="BM587" s="41" t="n">
        <v>50</v>
      </c>
      <c r="BN587" s="41" t="n">
        <v>72</v>
      </c>
      <c r="BO587" s="42" t="n">
        <v>25</v>
      </c>
      <c r="BP587" s="43" t="n">
        <v>59</v>
      </c>
      <c r="BQ587" s="44" t="n">
        <v>84</v>
      </c>
      <c r="BR587" s="42" t="n">
        <v>17</v>
      </c>
      <c r="BS587" s="45" t="n">
        <v>49</v>
      </c>
      <c r="BT587" s="24" t="n">
        <v>66</v>
      </c>
      <c r="BU587" s="46" t="n">
        <v>100</v>
      </c>
      <c r="BV587" s="47" t="n">
        <v>80</v>
      </c>
      <c r="BW587" s="42" t="n">
        <v>95</v>
      </c>
      <c r="BX587" s="48" t="n">
        <v>92</v>
      </c>
      <c r="BY587" s="32" t="n">
        <v>22</v>
      </c>
      <c r="BZ587" s="32" t="n">
        <v>50</v>
      </c>
      <c r="CA587" s="32" t="n">
        <v>72</v>
      </c>
      <c r="CB587" s="32" t="n">
        <v>14</v>
      </c>
      <c r="CC587" s="60"/>
      <c r="CD587" s="60"/>
      <c r="CE587" s="32" t="n">
        <v>22</v>
      </c>
      <c r="CF587" s="32" t="n">
        <v>47</v>
      </c>
      <c r="CG587" s="32" t="n">
        <v>69</v>
      </c>
      <c r="CH587" s="32" t="n">
        <v>92</v>
      </c>
      <c r="CI587" s="32" t="n">
        <v>99</v>
      </c>
      <c r="CJ587" s="49" t="n">
        <v>22</v>
      </c>
      <c r="CK587" s="49" t="n">
        <v>53</v>
      </c>
      <c r="CL587" s="49" t="n">
        <v>75</v>
      </c>
      <c r="CM587" s="49" t="n">
        <v>24</v>
      </c>
      <c r="CN587" s="49" t="n">
        <v>41</v>
      </c>
      <c r="CO587" s="49" t="n">
        <v>65</v>
      </c>
      <c r="CP587" s="25" t="n">
        <f aca="false">BX587+BW587+BV587+BU587+BT587+BQ587+BN587</f>
        <v>589</v>
      </c>
      <c r="CQ587" s="25" t="n">
        <f aca="false">CO587+CL587+CI587+CH587+CG587+CD587+CA587</f>
        <v>472</v>
      </c>
      <c r="CR587" s="26" t="n">
        <f aca="false">CP587/7</f>
        <v>84.1428571428571</v>
      </c>
      <c r="CS587" s="26" t="n">
        <f aca="false">CQ587/7</f>
        <v>67.4285714285714</v>
      </c>
      <c r="CT587" s="24" t="n">
        <f aca="false">RANK(CR587,$CR$2:$CR$881,0)</f>
        <v>474</v>
      </c>
      <c r="CU587" s="25" t="n">
        <f aca="false">RANK(CS587,$CS$2:$CS$881,0)</f>
        <v>595</v>
      </c>
      <c r="CV587" s="26" t="n">
        <f aca="false">(CS587+CR587)/2</f>
        <v>75.7857142857143</v>
      </c>
      <c r="CW587" s="25" t="n">
        <f aca="false">RANK(CV587,$CV$2:$CV$881,0)</f>
        <v>546</v>
      </c>
      <c r="CX587" s="50" t="n">
        <f aca="false">(CV587+BB587)/2</f>
        <v>76.0928571428571</v>
      </c>
      <c r="CY587" s="50" t="n">
        <v>531</v>
      </c>
      <c r="CZ587" s="27" t="s">
        <v>132</v>
      </c>
      <c r="DA587" s="27" t="s">
        <v>169</v>
      </c>
      <c r="DB587" s="27" t="s">
        <v>169</v>
      </c>
      <c r="DC587" s="27" t="s">
        <v>134</v>
      </c>
      <c r="DD587" s="27" t="s">
        <v>604</v>
      </c>
      <c r="DE587" s="27" t="s">
        <v>313</v>
      </c>
      <c r="DF587" s="27" t="s">
        <v>143</v>
      </c>
      <c r="DG587" s="27" t="s">
        <v>134</v>
      </c>
      <c r="DH587" s="27" t="s">
        <v>174</v>
      </c>
      <c r="DI587" s="27" t="s">
        <v>681</v>
      </c>
      <c r="DJ587" s="27" t="s">
        <v>143</v>
      </c>
      <c r="DK587" s="27" t="s">
        <v>134</v>
      </c>
      <c r="DL587" s="27" t="s">
        <v>264</v>
      </c>
      <c r="DM587" s="27" t="s">
        <v>304</v>
      </c>
      <c r="DN587" s="27" t="s">
        <v>486</v>
      </c>
      <c r="DO587" s="27" t="s">
        <v>134</v>
      </c>
      <c r="DP587" s="27" t="s">
        <v>1000</v>
      </c>
      <c r="DQ587" s="27" t="s">
        <v>619</v>
      </c>
      <c r="DR587" s="27" t="s">
        <v>1000</v>
      </c>
      <c r="DS587" s="27" t="s">
        <v>480</v>
      </c>
      <c r="DT587" s="27" t="s">
        <v>154</v>
      </c>
      <c r="DU587" s="27" t="s">
        <v>146</v>
      </c>
      <c r="DV587" s="27" t="s">
        <v>447</v>
      </c>
      <c r="DW587" s="27" t="s">
        <v>135</v>
      </c>
      <c r="DX587" s="27" t="s">
        <v>138</v>
      </c>
      <c r="DY587" s="27" t="s">
        <v>156</v>
      </c>
      <c r="DZ587" s="27" t="n">
        <f aca="false">DY587+DV587+DR587+DN587+DJ587+DF587+DB587</f>
        <v>453</v>
      </c>
      <c r="EA587" s="28" t="n">
        <f aca="false">DZ587/7</f>
        <v>64.7142857142857</v>
      </c>
      <c r="EB587" s="27" t="n">
        <f aca="false">RANK(EA587,$EA$2:$EA$881,0)</f>
        <v>736</v>
      </c>
      <c r="EC587" s="29" t="n">
        <f aca="false">DZ587+CQ587+CP587+AZ587</f>
        <v>2278</v>
      </c>
      <c r="ED587" s="30" t="n">
        <f aca="false">(EA587+CV587+BB587)/3</f>
        <v>72.3</v>
      </c>
      <c r="EE587" s="51" t="n">
        <f aca="false">ROUND(BE587,3)</f>
        <v>84.957</v>
      </c>
      <c r="EF587" s="51" t="n">
        <f aca="false">ROUND(CR587,3)</f>
        <v>84.143</v>
      </c>
      <c r="EG587" s="51" t="n">
        <f aca="false">ROUND(CS587,3)</f>
        <v>67.429</v>
      </c>
      <c r="EH587" s="51" t="n">
        <f aca="false">ROUND(EA587,3)</f>
        <v>64.714</v>
      </c>
      <c r="EI587" s="51" t="n">
        <f aca="false">ROUND(ED587,3)</f>
        <v>72.3</v>
      </c>
      <c r="EJ587" s="51" t="n">
        <f aca="false">ROUND(CV587,3)</f>
        <v>75.786</v>
      </c>
      <c r="EK587" s="0" t="n">
        <f aca="false">RANK(EI587,$EI$2:$EI$881,0)</f>
        <v>586</v>
      </c>
    </row>
    <row r="588" customFormat="false" ht="15" hidden="false" customHeight="false" outlineLevel="0" collapsed="false">
      <c r="A588" s="4" t="n">
        <v>8847</v>
      </c>
      <c r="B588" s="4" t="n">
        <v>863</v>
      </c>
      <c r="C588" s="27" t="s">
        <v>1743</v>
      </c>
      <c r="D588" s="31" t="n">
        <v>883</v>
      </c>
      <c r="E588" s="32" t="n">
        <v>230312583</v>
      </c>
      <c r="F588" s="8" t="s">
        <v>1744</v>
      </c>
      <c r="G588" s="22" t="s">
        <v>1491</v>
      </c>
      <c r="H588" s="22" t="s">
        <v>129</v>
      </c>
      <c r="I588" s="33" t="n">
        <v>2005</v>
      </c>
      <c r="J588" s="32" t="n">
        <v>66</v>
      </c>
      <c r="K588" s="32" t="n">
        <v>62</v>
      </c>
      <c r="L588" s="34" t="n">
        <f aca="false">(K588*70)/100</f>
        <v>43.4</v>
      </c>
      <c r="M588" s="34" t="n">
        <f aca="false">ROUNDUP(L588,0)</f>
        <v>44</v>
      </c>
      <c r="N588" s="32" t="n">
        <v>25</v>
      </c>
      <c r="O588" s="34" t="n">
        <f aca="false">N588+L588</f>
        <v>68.4</v>
      </c>
      <c r="P588" s="34" t="n">
        <f aca="false">N588+M588</f>
        <v>69</v>
      </c>
      <c r="Q588" s="32" t="n">
        <v>71</v>
      </c>
      <c r="R588" s="32" t="n">
        <v>55</v>
      </c>
      <c r="S588" s="34" t="n">
        <f aca="false">(R588*70)/100</f>
        <v>38.5</v>
      </c>
      <c r="T588" s="34" t="n">
        <f aca="false">ROUNDUP(S588,0)</f>
        <v>39</v>
      </c>
      <c r="U588" s="32" t="n">
        <v>12</v>
      </c>
      <c r="V588" s="34" t="n">
        <f aca="false">U588+S588</f>
        <v>50.5</v>
      </c>
      <c r="W588" s="91" t="n">
        <f aca="false">U588+T588</f>
        <v>51</v>
      </c>
      <c r="X588" s="32" t="n">
        <v>60</v>
      </c>
      <c r="Y588" s="34" t="n">
        <f aca="false">(X588*70)/100</f>
        <v>42</v>
      </c>
      <c r="Z588" s="34" t="n">
        <f aca="false">ROUNDUP(Y588,0)</f>
        <v>42</v>
      </c>
      <c r="AA588" s="32" t="n">
        <v>22</v>
      </c>
      <c r="AB588" s="34" t="n">
        <f aca="false">AA588+Y588</f>
        <v>64</v>
      </c>
      <c r="AC588" s="34" t="n">
        <f aca="false">AA588+Z588</f>
        <v>64</v>
      </c>
      <c r="AD588" s="32" t="n">
        <f aca="false">X588+R588+Q588+K588+J588</f>
        <v>314</v>
      </c>
      <c r="AE588" s="16" t="n">
        <f aca="false">AD588/5</f>
        <v>62.8</v>
      </c>
      <c r="AF588" s="16" t="n">
        <v>74</v>
      </c>
      <c r="AG588" s="16" t="n">
        <v>78</v>
      </c>
      <c r="AH588" s="16" t="n">
        <v>76</v>
      </c>
      <c r="AI588" s="16" t="n">
        <v>84</v>
      </c>
      <c r="AJ588" s="16" t="n">
        <f aca="false">(AI588*70)/100</f>
        <v>58.8</v>
      </c>
      <c r="AK588" s="35" t="n">
        <f aca="false">ROUNDUP(AJ588,0)</f>
        <v>59</v>
      </c>
      <c r="AL588" s="16" t="n">
        <v>21</v>
      </c>
      <c r="AM588" s="16" t="n">
        <f aca="false">AL588+AJ588</f>
        <v>79.8</v>
      </c>
      <c r="AN588" s="16" t="n">
        <f aca="false">AL588+AK588</f>
        <v>80</v>
      </c>
      <c r="AO588" s="16" t="n">
        <v>52</v>
      </c>
      <c r="AP588" s="36" t="n">
        <f aca="false">(AO588*70)/100</f>
        <v>36.4</v>
      </c>
      <c r="AQ588" s="37" t="n">
        <f aca="false">ROUNDUP(AP588,0)</f>
        <v>37</v>
      </c>
      <c r="AR588" s="16" t="n">
        <v>26</v>
      </c>
      <c r="AS588" s="16" t="n">
        <f aca="false">AR588+AP588</f>
        <v>62.4</v>
      </c>
      <c r="AT588" s="16" t="n">
        <f aca="false">AR588+AQ588</f>
        <v>63</v>
      </c>
      <c r="AU588" s="16" t="n">
        <f aca="false">AO588+AF588+AI588+AH588+AG588</f>
        <v>364</v>
      </c>
      <c r="AV588" s="16" t="n">
        <f aca="false">(AO588+AF588+AI588+AH588+AG588)/5</f>
        <v>72.8</v>
      </c>
      <c r="AW588" s="36" t="n">
        <f aca="false">(AO588+AF588+AI588+AH588+AG588+X588+R588+Q588+K588+J588)</f>
        <v>678</v>
      </c>
      <c r="AX588" s="16" t="n">
        <f aca="false">AW588/10</f>
        <v>67.8</v>
      </c>
      <c r="AY588" s="16" t="n">
        <f aca="false">AS588+AF588+AM588+AH588+AG588+AB588+V588+Q588+O588+J588</f>
        <v>690.1</v>
      </c>
      <c r="AZ588" s="16" t="n">
        <f aca="false">AT588+AF588+AN588+AH588+AG588+AC588+W588+Q588+P588+J588</f>
        <v>692</v>
      </c>
      <c r="BA588" s="16" t="n">
        <f aca="false">AY588/10</f>
        <v>69.01</v>
      </c>
      <c r="BB588" s="16" t="n">
        <f aca="false">AZ588/10</f>
        <v>69.2</v>
      </c>
      <c r="BC588" s="16" t="n">
        <v>2336</v>
      </c>
      <c r="BD588" s="16" t="n">
        <f aca="false">RANK(AX588,$AX$2:$AX$881,0)</f>
        <v>751</v>
      </c>
      <c r="BE588" s="78" t="n">
        <f aca="false">((BC588*100)/2400)*0.4+(AX588*0.6)</f>
        <v>79.6133333333333</v>
      </c>
      <c r="BF588" s="16" t="n">
        <f aca="false">RANK(BE588,$BE$2:$BE$881,0)</f>
        <v>733</v>
      </c>
      <c r="BG588" s="39" t="n">
        <f aca="false">RANK(BB588,$BB$2:$BB$881,0)</f>
        <v>747</v>
      </c>
      <c r="BH588" s="39" t="n">
        <f aca="false">RANK(BC588,$BC$2:$BC$881,0)</f>
        <v>670</v>
      </c>
      <c r="BI588" s="22" t="s">
        <v>130</v>
      </c>
      <c r="BJ588" s="22" t="s">
        <v>129</v>
      </c>
      <c r="BK588" s="40" t="s">
        <v>702</v>
      </c>
      <c r="BL588" s="41" t="n">
        <v>19</v>
      </c>
      <c r="BM588" s="41" t="n">
        <v>59</v>
      </c>
      <c r="BN588" s="41" t="n">
        <v>78</v>
      </c>
      <c r="BO588" s="42" t="n">
        <v>28</v>
      </c>
      <c r="BP588" s="43" t="n">
        <v>59</v>
      </c>
      <c r="BQ588" s="44" t="n">
        <v>87</v>
      </c>
      <c r="BR588" s="42" t="n">
        <v>23</v>
      </c>
      <c r="BS588" s="45" t="n">
        <v>53</v>
      </c>
      <c r="BT588" s="45" t="n">
        <v>76</v>
      </c>
      <c r="BU588" s="46" t="n">
        <v>98</v>
      </c>
      <c r="BV588" s="47" t="n">
        <v>88</v>
      </c>
      <c r="BW588" s="42" t="n">
        <v>99</v>
      </c>
      <c r="BX588" s="48" t="n">
        <v>92</v>
      </c>
      <c r="BY588" s="32" t="n">
        <v>26</v>
      </c>
      <c r="BZ588" s="32" t="n">
        <v>53</v>
      </c>
      <c r="CA588" s="32" t="n">
        <v>79</v>
      </c>
      <c r="CB588" s="32" t="n">
        <v>21</v>
      </c>
      <c r="CC588" s="32" t="n">
        <v>36</v>
      </c>
      <c r="CD588" s="69" t="n">
        <v>57</v>
      </c>
      <c r="CE588" s="32" t="n">
        <v>22</v>
      </c>
      <c r="CF588" s="32" t="n">
        <v>42</v>
      </c>
      <c r="CG588" s="32" t="n">
        <v>64</v>
      </c>
      <c r="CH588" s="32" t="n">
        <v>98</v>
      </c>
      <c r="CI588" s="25" t="n">
        <v>98</v>
      </c>
      <c r="CJ588" s="49" t="n">
        <v>24</v>
      </c>
      <c r="CK588" s="49" t="n">
        <v>48</v>
      </c>
      <c r="CL588" s="49" t="n">
        <v>72</v>
      </c>
      <c r="CM588" s="49" t="n">
        <v>22</v>
      </c>
      <c r="CN588" s="49" t="n">
        <v>45</v>
      </c>
      <c r="CO588" s="49" t="n">
        <v>67</v>
      </c>
      <c r="CP588" s="25" t="n">
        <f aca="false">BX588+BW588+BV588+BU588+BT588+BQ588+BN588</f>
        <v>618</v>
      </c>
      <c r="CQ588" s="25" t="n">
        <f aca="false">CO588+CL588+CI588+CH588+CG588+CD588+CA588</f>
        <v>535</v>
      </c>
      <c r="CR588" s="26" t="n">
        <f aca="false">CP588/7</f>
        <v>88.2857142857143</v>
      </c>
      <c r="CS588" s="26" t="n">
        <f aca="false">CQ588/7</f>
        <v>76.4285714285714</v>
      </c>
      <c r="CT588" s="24" t="n">
        <f aca="false">RANK(CR588,$CR$2:$CR$881,0)</f>
        <v>287</v>
      </c>
      <c r="CU588" s="25" t="n">
        <f aca="false">RANK(CS588,$CS$2:$CS$881,0)</f>
        <v>385</v>
      </c>
      <c r="CV588" s="26" t="n">
        <f aca="false">(CS588+CR588)/2</f>
        <v>82.3571428571429</v>
      </c>
      <c r="CW588" s="25" t="n">
        <f aca="false">RANK(CV588,$CV$2:$CV$881,0)</f>
        <v>322</v>
      </c>
      <c r="CX588" s="50" t="n">
        <f aca="false">(CV588+BB588)/2</f>
        <v>75.7785714285714</v>
      </c>
      <c r="CY588" s="50" t="n">
        <v>537</v>
      </c>
      <c r="CZ588" s="27" t="s">
        <v>132</v>
      </c>
      <c r="DA588" s="27" t="s">
        <v>169</v>
      </c>
      <c r="DB588" s="27" t="s">
        <v>169</v>
      </c>
      <c r="DC588" s="27" t="s">
        <v>134</v>
      </c>
      <c r="DD588" s="27" t="s">
        <v>191</v>
      </c>
      <c r="DE588" s="27" t="s">
        <v>313</v>
      </c>
      <c r="DF588" s="27" t="s">
        <v>398</v>
      </c>
      <c r="DG588" s="27" t="s">
        <v>134</v>
      </c>
      <c r="DH588" s="27" t="s">
        <v>160</v>
      </c>
      <c r="DI588" s="27" t="s">
        <v>442</v>
      </c>
      <c r="DJ588" s="27" t="s">
        <v>382</v>
      </c>
      <c r="DK588" s="27" t="s">
        <v>134</v>
      </c>
      <c r="DL588" s="27" t="s">
        <v>825</v>
      </c>
      <c r="DM588" s="27" t="s">
        <v>638</v>
      </c>
      <c r="DN588" s="27" t="s">
        <v>183</v>
      </c>
      <c r="DO588" s="27" t="s">
        <v>480</v>
      </c>
      <c r="DP588" s="27"/>
      <c r="DQ588" s="27"/>
      <c r="DR588" s="27"/>
      <c r="DS588" s="27"/>
      <c r="DT588" s="27" t="s">
        <v>164</v>
      </c>
      <c r="DU588" s="27" t="s">
        <v>415</v>
      </c>
      <c r="DV588" s="27" t="s">
        <v>372</v>
      </c>
      <c r="DW588" s="27" t="s">
        <v>182</v>
      </c>
      <c r="DX588" s="27" t="s">
        <v>138</v>
      </c>
      <c r="DY588" s="27" t="s">
        <v>151</v>
      </c>
      <c r="DZ588" s="27" t="n">
        <f aca="false">DY588+DV588+DR588+DN588+DJ588+DF588+DB588</f>
        <v>457</v>
      </c>
      <c r="EA588" s="28" t="n">
        <f aca="false">DZ588/7</f>
        <v>65.2857142857143</v>
      </c>
      <c r="EB588" s="27" t="n">
        <f aca="false">RANK(EA588,$EA$2:$EA$881,0)</f>
        <v>728</v>
      </c>
      <c r="EC588" s="29" t="n">
        <f aca="false">DZ588+CQ588+CP588+AZ588</f>
        <v>2302</v>
      </c>
      <c r="ED588" s="30" t="n">
        <f aca="false">(EA588+CV588+BB588)/3</f>
        <v>72.2809523809524</v>
      </c>
      <c r="EE588" s="51" t="n">
        <f aca="false">ROUND(BE588,3)</f>
        <v>79.613</v>
      </c>
      <c r="EF588" s="51" t="n">
        <f aca="false">ROUND(CR588,3)</f>
        <v>88.286</v>
      </c>
      <c r="EG588" s="51" t="n">
        <f aca="false">ROUND(CS588,3)</f>
        <v>76.429</v>
      </c>
      <c r="EH588" s="51" t="n">
        <f aca="false">ROUND(EA588,3)</f>
        <v>65.286</v>
      </c>
      <c r="EI588" s="51" t="n">
        <f aca="false">ROUND(ED588,3)</f>
        <v>72.281</v>
      </c>
      <c r="EJ588" s="51" t="n">
        <f aca="false">ROUND(CV588,3)</f>
        <v>82.357</v>
      </c>
      <c r="EK588" s="0" t="n">
        <f aca="false">RANK(EI588,$EI$2:$EI$881,0)</f>
        <v>587</v>
      </c>
    </row>
    <row r="589" customFormat="false" ht="15" hidden="false" customHeight="false" outlineLevel="0" collapsed="false">
      <c r="A589" s="4" t="n">
        <v>9145</v>
      </c>
      <c r="B589" s="4" t="n">
        <v>779</v>
      </c>
      <c r="C589" s="27" t="s">
        <v>1745</v>
      </c>
      <c r="D589" s="31" t="n">
        <v>796</v>
      </c>
      <c r="E589" s="32" t="n">
        <v>230324144</v>
      </c>
      <c r="F589" s="8" t="s">
        <v>1746</v>
      </c>
      <c r="G589" s="22" t="s">
        <v>246</v>
      </c>
      <c r="H589" s="22" t="s">
        <v>129</v>
      </c>
      <c r="I589" s="33" t="n">
        <v>2005</v>
      </c>
      <c r="J589" s="32" t="n">
        <v>73</v>
      </c>
      <c r="K589" s="32" t="n">
        <v>80</v>
      </c>
      <c r="L589" s="34" t="n">
        <f aca="false">(K589*70)/100</f>
        <v>56</v>
      </c>
      <c r="M589" s="34" t="n">
        <f aca="false">ROUNDUP(L589,0)</f>
        <v>56</v>
      </c>
      <c r="N589" s="32" t="n">
        <v>29</v>
      </c>
      <c r="O589" s="34" t="n">
        <f aca="false">N589+L589</f>
        <v>85</v>
      </c>
      <c r="P589" s="34" t="n">
        <f aca="false">N589+M589</f>
        <v>85</v>
      </c>
      <c r="Q589" s="32" t="n">
        <v>72</v>
      </c>
      <c r="R589" s="32" t="n">
        <v>74</v>
      </c>
      <c r="S589" s="34" t="n">
        <f aca="false">(R589*70)/100</f>
        <v>51.8</v>
      </c>
      <c r="T589" s="34" t="n">
        <f aca="false">ROUNDUP(S589,0)</f>
        <v>52</v>
      </c>
      <c r="U589" s="32" t="n">
        <v>27</v>
      </c>
      <c r="V589" s="34" t="n">
        <f aca="false">U589+S589</f>
        <v>78.8</v>
      </c>
      <c r="W589" s="34" t="n">
        <f aca="false">U589+T589</f>
        <v>79</v>
      </c>
      <c r="X589" s="32" t="n">
        <v>70</v>
      </c>
      <c r="Y589" s="34" t="n">
        <f aca="false">(X589*70)/100</f>
        <v>49</v>
      </c>
      <c r="Z589" s="34" t="n">
        <f aca="false">ROUNDUP(Y589,0)</f>
        <v>49</v>
      </c>
      <c r="AA589" s="32" t="n">
        <v>25</v>
      </c>
      <c r="AB589" s="34" t="n">
        <f aca="false">AA589+Y589</f>
        <v>74</v>
      </c>
      <c r="AC589" s="34" t="n">
        <f aca="false">AA589+Z589</f>
        <v>74</v>
      </c>
      <c r="AD589" s="32" t="n">
        <f aca="false">X589+R589+Q589+K589+J589</f>
        <v>369</v>
      </c>
      <c r="AE589" s="16" t="n">
        <f aca="false">AD589/5</f>
        <v>73.8</v>
      </c>
      <c r="AF589" s="16" t="n">
        <v>80</v>
      </c>
      <c r="AG589" s="16" t="n">
        <v>80</v>
      </c>
      <c r="AH589" s="16" t="n">
        <v>98</v>
      </c>
      <c r="AI589" s="16" t="n">
        <v>97</v>
      </c>
      <c r="AJ589" s="16" t="n">
        <f aca="false">(AI589*70)/100</f>
        <v>67.9</v>
      </c>
      <c r="AK589" s="35" t="n">
        <f aca="false">ROUNDUP(AJ589,0)</f>
        <v>68</v>
      </c>
      <c r="AL589" s="16" t="n">
        <v>27</v>
      </c>
      <c r="AM589" s="16" t="n">
        <f aca="false">AL589+AJ589</f>
        <v>94.9</v>
      </c>
      <c r="AN589" s="16" t="n">
        <f aca="false">AL589+AK589</f>
        <v>95</v>
      </c>
      <c r="AO589" s="16" t="n">
        <v>79</v>
      </c>
      <c r="AP589" s="36" t="n">
        <f aca="false">(AO589*70)/100</f>
        <v>55.3</v>
      </c>
      <c r="AQ589" s="37" t="n">
        <f aca="false">ROUNDUP(AP589,0)</f>
        <v>56</v>
      </c>
      <c r="AR589" s="16" t="n">
        <v>29</v>
      </c>
      <c r="AS589" s="16" t="n">
        <f aca="false">AR589+AP589</f>
        <v>84.3</v>
      </c>
      <c r="AT589" s="16" t="n">
        <f aca="false">AR589+AQ589</f>
        <v>85</v>
      </c>
      <c r="AU589" s="16" t="n">
        <f aca="false">AO589+AF589+AI589+AH589+AG589</f>
        <v>434</v>
      </c>
      <c r="AV589" s="16" t="n">
        <f aca="false">(AO589+AF589+AI589+AH589+AG589)/5</f>
        <v>86.8</v>
      </c>
      <c r="AW589" s="36" t="n">
        <f aca="false">(AO589+AF589+AI589+AH589+AG589+X589+R589+Q589+K589+J589)</f>
        <v>803</v>
      </c>
      <c r="AX589" s="16" t="n">
        <f aca="false">AW589/10</f>
        <v>80.3</v>
      </c>
      <c r="AY589" s="16" t="n">
        <f aca="false">AS589+AF589+AM589+AH589+AG589+AB589+V589+Q589+O589+J589</f>
        <v>820</v>
      </c>
      <c r="AZ589" s="16" t="n">
        <f aca="false">AT589+AF589+AN589+AH589+AG589+AC589+W589+Q589+P589+J589</f>
        <v>821</v>
      </c>
      <c r="BA589" s="16" t="n">
        <f aca="false">AY589/10</f>
        <v>82</v>
      </c>
      <c r="BB589" s="16" t="n">
        <f aca="false">AZ589/10</f>
        <v>82.1</v>
      </c>
      <c r="BC589" s="16" t="n">
        <v>2334</v>
      </c>
      <c r="BD589" s="16" t="n">
        <f aca="false">RANK(AX589,$AX$2:$AX$881,0)</f>
        <v>245</v>
      </c>
      <c r="BE589" s="54" t="n">
        <f aca="false">((BC589*100)/2400)*0.4+(AX589*0.6)</f>
        <v>87.08</v>
      </c>
      <c r="BF589" s="16" t="n">
        <f aca="false">RANK(BE589,$BE$2:$BE$881,0)</f>
        <v>293</v>
      </c>
      <c r="BG589" s="39" t="n">
        <f aca="false">RANK(BB589,$BB$2:$BB$881,0)</f>
        <v>206</v>
      </c>
      <c r="BH589" s="39" t="n">
        <f aca="false">RANK(BC589,$BC$2:$BC$881,0)</f>
        <v>687</v>
      </c>
      <c r="BI589" s="22" t="s">
        <v>130</v>
      </c>
      <c r="BJ589" s="22" t="s">
        <v>129</v>
      </c>
      <c r="BK589" s="40" t="s">
        <v>131</v>
      </c>
      <c r="BL589" s="101" t="n">
        <v>7.5</v>
      </c>
      <c r="BM589" s="61"/>
      <c r="BN589" s="61"/>
      <c r="BO589" s="74" t="n">
        <v>6</v>
      </c>
      <c r="BP589" s="61"/>
      <c r="BQ589" s="61"/>
      <c r="BR589" s="74" t="n">
        <v>6</v>
      </c>
      <c r="BS589" s="80"/>
      <c r="BT589" s="80"/>
      <c r="BU589" s="46" t="n">
        <v>99</v>
      </c>
      <c r="BV589" s="47" t="n">
        <v>74</v>
      </c>
      <c r="BW589" s="42" t="n">
        <v>76</v>
      </c>
      <c r="BX589" s="48" t="n">
        <v>100</v>
      </c>
      <c r="BY589" s="32" t="n">
        <v>25</v>
      </c>
      <c r="BZ589" s="32" t="n">
        <v>56</v>
      </c>
      <c r="CA589" s="32" t="n">
        <v>81</v>
      </c>
      <c r="CB589" s="32" t="n">
        <v>21</v>
      </c>
      <c r="CC589" s="32" t="n">
        <v>43</v>
      </c>
      <c r="CD589" s="32" t="n">
        <v>64</v>
      </c>
      <c r="CE589" s="32" t="n">
        <v>14</v>
      </c>
      <c r="CF589" s="32" t="n">
        <v>51</v>
      </c>
      <c r="CG589" s="32" t="n">
        <v>65</v>
      </c>
      <c r="CH589" s="32" t="n">
        <v>100</v>
      </c>
      <c r="CI589" s="32" t="n">
        <v>100</v>
      </c>
      <c r="CJ589" s="49" t="n">
        <v>19</v>
      </c>
      <c r="CK589" s="49" t="n">
        <v>51</v>
      </c>
      <c r="CL589" s="49" t="n">
        <v>70</v>
      </c>
      <c r="CM589" s="49" t="n">
        <v>19</v>
      </c>
      <c r="CN589" s="49" t="n">
        <v>45</v>
      </c>
      <c r="CO589" s="49" t="n">
        <v>64</v>
      </c>
      <c r="CP589" s="25" t="n">
        <f aca="false">BX589+BW589+BV589+BU589+BT589+BQ589+BN589</f>
        <v>349</v>
      </c>
      <c r="CQ589" s="25" t="n">
        <f aca="false">CO589+CL589+CI589+CH589+CG589+CD589+CA589</f>
        <v>544</v>
      </c>
      <c r="CR589" s="26" t="n">
        <f aca="false">CP589/7</f>
        <v>49.8571428571429</v>
      </c>
      <c r="CS589" s="26" t="n">
        <f aca="false">CQ589/7</f>
        <v>77.7142857142857</v>
      </c>
      <c r="CT589" s="24" t="n">
        <f aca="false">RANK(CR589,$CR$2:$CR$881,0)</f>
        <v>737</v>
      </c>
      <c r="CU589" s="25" t="n">
        <f aca="false">RANK(CS589,$CS$2:$CS$881,0)</f>
        <v>344</v>
      </c>
      <c r="CV589" s="26" t="n">
        <f aca="false">(CS589+CR589)/2</f>
        <v>63.7857142857143</v>
      </c>
      <c r="CW589" s="25" t="n">
        <f aca="false">RANK(CV589,$CV$2:$CV$881,0)</f>
        <v>683</v>
      </c>
      <c r="CX589" s="50" t="n">
        <f aca="false">(CV589+BB589)/2</f>
        <v>72.9428571428571</v>
      </c>
      <c r="CY589" s="50" t="n">
        <v>583</v>
      </c>
      <c r="CZ589" s="27" t="s">
        <v>132</v>
      </c>
      <c r="DA589" s="27" t="s">
        <v>162</v>
      </c>
      <c r="DB589" s="27" t="s">
        <v>162</v>
      </c>
      <c r="DC589" s="27" t="s">
        <v>134</v>
      </c>
      <c r="DD589" s="27" t="s">
        <v>604</v>
      </c>
      <c r="DE589" s="27" t="s">
        <v>177</v>
      </c>
      <c r="DF589" s="27" t="s">
        <v>443</v>
      </c>
      <c r="DG589" s="27" t="s">
        <v>134</v>
      </c>
      <c r="DH589" s="27" t="s">
        <v>164</v>
      </c>
      <c r="DI589" s="27" t="s">
        <v>204</v>
      </c>
      <c r="DJ589" s="27" t="s">
        <v>202</v>
      </c>
      <c r="DK589" s="27" t="s">
        <v>134</v>
      </c>
      <c r="DL589" s="27" t="s">
        <v>135</v>
      </c>
      <c r="DM589" s="27" t="s">
        <v>161</v>
      </c>
      <c r="DN589" s="27" t="s">
        <v>202</v>
      </c>
      <c r="DO589" s="27" t="s">
        <v>134</v>
      </c>
      <c r="DP589" s="27"/>
      <c r="DQ589" s="27"/>
      <c r="DR589" s="27"/>
      <c r="DS589" s="27"/>
      <c r="DT589" s="27" t="s">
        <v>137</v>
      </c>
      <c r="DU589" s="27" t="s">
        <v>375</v>
      </c>
      <c r="DV589" s="27" t="s">
        <v>443</v>
      </c>
      <c r="DW589" s="27" t="s">
        <v>191</v>
      </c>
      <c r="DX589" s="27" t="s">
        <v>136</v>
      </c>
      <c r="DY589" s="27" t="s">
        <v>169</v>
      </c>
      <c r="DZ589" s="27" t="n">
        <f aca="false">DY589+DV589+DR589+DN589+DJ589+DF589+DB589</f>
        <v>496</v>
      </c>
      <c r="EA589" s="28" t="n">
        <f aca="false">DZ589/7</f>
        <v>70.8571428571429</v>
      </c>
      <c r="EB589" s="27" t="n">
        <f aca="false">RANK(EA589,$EA$2:$EA$881,0)</f>
        <v>632</v>
      </c>
      <c r="EC589" s="29" t="n">
        <f aca="false">DZ589+CQ589+CP589+AZ589</f>
        <v>2210</v>
      </c>
      <c r="ED589" s="30" t="n">
        <f aca="false">(EA589+CV589+BB589)/3</f>
        <v>72.247619047619</v>
      </c>
      <c r="EE589" s="51" t="n">
        <f aca="false">ROUND(BE589,3)</f>
        <v>87.08</v>
      </c>
      <c r="EF589" s="51" t="n">
        <f aca="false">ROUND(CR589,3)</f>
        <v>49.857</v>
      </c>
      <c r="EG589" s="51" t="n">
        <f aca="false">ROUND(CS589,3)</f>
        <v>77.714</v>
      </c>
      <c r="EH589" s="51" t="n">
        <f aca="false">ROUND(EA589,3)</f>
        <v>70.857</v>
      </c>
      <c r="EI589" s="51" t="n">
        <f aca="false">ROUND(ED589,3)</f>
        <v>72.248</v>
      </c>
      <c r="EJ589" s="51" t="n">
        <f aca="false">ROUND(CV589,3)</f>
        <v>63.786</v>
      </c>
      <c r="EK589" s="0" t="n">
        <f aca="false">RANK(EI589,$EI$2:$EI$881,0)</f>
        <v>588</v>
      </c>
    </row>
    <row r="590" customFormat="false" ht="15" hidden="false" customHeight="false" outlineLevel="0" collapsed="false">
      <c r="A590" s="4" t="n">
        <v>1977</v>
      </c>
      <c r="B590" s="4" t="n">
        <v>606</v>
      </c>
      <c r="C590" s="27" t="s">
        <v>1747</v>
      </c>
      <c r="D590" s="31" t="n">
        <v>613</v>
      </c>
      <c r="E590" s="16" t="n">
        <v>230623703</v>
      </c>
      <c r="F590" s="56" t="s">
        <v>1748</v>
      </c>
      <c r="G590" s="22" t="s">
        <v>280</v>
      </c>
      <c r="H590" s="22" t="s">
        <v>558</v>
      </c>
      <c r="I590" s="57"/>
      <c r="J590" s="16" t="n">
        <v>88</v>
      </c>
      <c r="K590" s="16" t="n">
        <v>69</v>
      </c>
      <c r="L590" s="34" t="n">
        <f aca="false">(K590*70)/100</f>
        <v>48.3</v>
      </c>
      <c r="M590" s="34" t="n">
        <f aca="false">ROUNDUP(L590,0)</f>
        <v>49</v>
      </c>
      <c r="N590" s="16" t="n">
        <v>25</v>
      </c>
      <c r="O590" s="34" t="n">
        <f aca="false">N590+L590</f>
        <v>73.3</v>
      </c>
      <c r="P590" s="34" t="n">
        <f aca="false">N590+M590</f>
        <v>74</v>
      </c>
      <c r="Q590" s="16" t="n">
        <v>68</v>
      </c>
      <c r="R590" s="16" t="n">
        <v>74</v>
      </c>
      <c r="S590" s="34" t="n">
        <f aca="false">(R590*70)/100</f>
        <v>51.8</v>
      </c>
      <c r="T590" s="34" t="n">
        <f aca="false">ROUNDUP(S590,0)</f>
        <v>52</v>
      </c>
      <c r="U590" s="16" t="n">
        <v>29</v>
      </c>
      <c r="V590" s="34" t="n">
        <f aca="false">U590+S590</f>
        <v>80.8</v>
      </c>
      <c r="W590" s="34" t="n">
        <f aca="false">U590+T590</f>
        <v>81</v>
      </c>
      <c r="X590" s="16" t="n">
        <v>69</v>
      </c>
      <c r="Y590" s="34" t="n">
        <f aca="false">(X590*70)/100</f>
        <v>48.3</v>
      </c>
      <c r="Z590" s="34" t="n">
        <f aca="false">ROUNDUP(Y590,0)</f>
        <v>49</v>
      </c>
      <c r="AA590" s="16" t="n">
        <v>25</v>
      </c>
      <c r="AB590" s="34" t="n">
        <f aca="false">AA590+Y590</f>
        <v>73.3</v>
      </c>
      <c r="AC590" s="34" t="n">
        <f aca="false">AA590+Z590</f>
        <v>74</v>
      </c>
      <c r="AD590" s="32" t="n">
        <f aca="false">X590+R590+Q590+K590+J590</f>
        <v>368</v>
      </c>
      <c r="AE590" s="16" t="n">
        <f aca="false">AD590/5</f>
        <v>73.6</v>
      </c>
      <c r="AF590" s="16" t="n">
        <v>80</v>
      </c>
      <c r="AG590" s="16" t="n">
        <v>94</v>
      </c>
      <c r="AH590" s="16" t="n">
        <v>81</v>
      </c>
      <c r="AI590" s="16" t="n">
        <v>73</v>
      </c>
      <c r="AJ590" s="16" t="n">
        <f aca="false">(AI590*70)/100</f>
        <v>51.1</v>
      </c>
      <c r="AK590" s="35" t="n">
        <f aca="false">ROUNDUP(AJ590,0)</f>
        <v>52</v>
      </c>
      <c r="AL590" s="16" t="n">
        <v>26</v>
      </c>
      <c r="AM590" s="16" t="n">
        <f aca="false">AL590+AJ590</f>
        <v>77.1</v>
      </c>
      <c r="AN590" s="16" t="n">
        <f aca="false">AL590+AK590</f>
        <v>78</v>
      </c>
      <c r="AO590" s="16" t="n">
        <v>76</v>
      </c>
      <c r="AP590" s="36" t="n">
        <f aca="false">(AO590*70)/100</f>
        <v>53.2</v>
      </c>
      <c r="AQ590" s="37" t="n">
        <f aca="false">ROUNDUP(AP590,0)</f>
        <v>54</v>
      </c>
      <c r="AR590" s="16" t="n">
        <v>28</v>
      </c>
      <c r="AS590" s="16" t="n">
        <f aca="false">AR590+AP590</f>
        <v>81.2</v>
      </c>
      <c r="AT590" s="16" t="n">
        <f aca="false">AR590+AQ590</f>
        <v>82</v>
      </c>
      <c r="AU590" s="16" t="n">
        <f aca="false">AO590+AF590+AI590+AH590+AG590</f>
        <v>404</v>
      </c>
      <c r="AV590" s="16" t="n">
        <f aca="false">(AO590+AF590+AI590+AH590+AG590)/5</f>
        <v>80.8</v>
      </c>
      <c r="AW590" s="36" t="n">
        <f aca="false">(AO590+AF590+AI590+AH590+AG590+X590+R590+Q590+K590+J590)</f>
        <v>772</v>
      </c>
      <c r="AX590" s="16" t="n">
        <f aca="false">AW590/10</f>
        <v>77.2</v>
      </c>
      <c r="AY590" s="16" t="n">
        <f aca="false">AS590+AF590+AM590+AH590+AG590+AB590+V590+Q590+O590+J590</f>
        <v>796.7</v>
      </c>
      <c r="AZ590" s="16" t="n">
        <f aca="false">AT590+AF590+AN590+AH590+AG590+AC590+W590+Q590+P590+J590</f>
        <v>800</v>
      </c>
      <c r="BA590" s="16" t="n">
        <f aca="false">AY590/10</f>
        <v>79.67</v>
      </c>
      <c r="BB590" s="16" t="n">
        <f aca="false">AZ590/10</f>
        <v>80</v>
      </c>
      <c r="BC590" s="16" t="n">
        <v>2381</v>
      </c>
      <c r="BD590" s="16" t="n">
        <f aca="false">RANK(AX590,$AX$2:$AX$881,0)</f>
        <v>482</v>
      </c>
      <c r="BE590" s="54" t="n">
        <f aca="false">((BC590*100)/2400)*0.4+(AX590*0.6)</f>
        <v>86.0033333333333</v>
      </c>
      <c r="BF590" s="16" t="n">
        <f aca="false">RANK(BE590,$BE$2:$BE$881,0)</f>
        <v>432</v>
      </c>
      <c r="BG590" s="39" t="n">
        <f aca="false">RANK(BB590,$BB$2:$BB$881,0)</f>
        <v>352</v>
      </c>
      <c r="BH590" s="39" t="n">
        <f aca="false">RANK(BC590,$BC$2:$BC$881,0)</f>
        <v>136</v>
      </c>
      <c r="BI590" s="22" t="s">
        <v>130</v>
      </c>
      <c r="BJ590" s="22" t="s">
        <v>129</v>
      </c>
      <c r="BK590" s="40" t="s">
        <v>509</v>
      </c>
      <c r="BL590" s="44" t="n">
        <v>14</v>
      </c>
      <c r="BM590" s="59" t="n">
        <v>61</v>
      </c>
      <c r="BN590" s="103" t="n">
        <v>75</v>
      </c>
      <c r="BO590" s="44" t="n">
        <v>28</v>
      </c>
      <c r="BP590" s="59" t="n">
        <v>50</v>
      </c>
      <c r="BQ590" s="103" t="n">
        <v>78</v>
      </c>
      <c r="BR590" s="44" t="n">
        <v>19</v>
      </c>
      <c r="BS590" s="80"/>
      <c r="BT590" s="80"/>
      <c r="BU590" s="88" t="n">
        <v>81</v>
      </c>
      <c r="BV590" s="58" t="n">
        <v>81</v>
      </c>
      <c r="BW590" s="106"/>
      <c r="BX590" s="88" t="n">
        <v>90</v>
      </c>
      <c r="BY590" s="65" t="n">
        <v>28</v>
      </c>
      <c r="BZ590" s="58" t="n">
        <v>49</v>
      </c>
      <c r="CA590" s="58" t="n">
        <v>77</v>
      </c>
      <c r="CB590" s="59" t="n">
        <v>13</v>
      </c>
      <c r="CC590" s="58" t="n">
        <v>47</v>
      </c>
      <c r="CD590" s="58" t="n">
        <v>60</v>
      </c>
      <c r="CE590" s="58" t="n">
        <v>19</v>
      </c>
      <c r="CF590" s="58" t="n">
        <v>42</v>
      </c>
      <c r="CG590" s="58" t="n">
        <v>61</v>
      </c>
      <c r="CH590" s="58" t="n">
        <v>96</v>
      </c>
      <c r="CI590" s="58" t="n">
        <v>87</v>
      </c>
      <c r="CJ590" s="58" t="n">
        <v>23</v>
      </c>
      <c r="CK590" s="58" t="n">
        <v>59</v>
      </c>
      <c r="CL590" s="59" t="n">
        <v>82</v>
      </c>
      <c r="CM590" s="60"/>
      <c r="CN590" s="60"/>
      <c r="CO590" s="60"/>
      <c r="CP590" s="25" t="n">
        <f aca="false">BX590+BW590+BV590+BU590+BT590+BQ590+BN590</f>
        <v>405</v>
      </c>
      <c r="CQ590" s="25" t="n">
        <f aca="false">CO590+CL590+CI590+CH590+CG590+CD590+CA590</f>
        <v>463</v>
      </c>
      <c r="CR590" s="26" t="n">
        <f aca="false">CP590/7</f>
        <v>57.8571428571429</v>
      </c>
      <c r="CS590" s="26" t="n">
        <f aca="false">CQ590/7</f>
        <v>66.1428571428571</v>
      </c>
      <c r="CT590" s="24" t="n">
        <f aca="false">RANK(CR590,$CR$2:$CR$881,0)</f>
        <v>726</v>
      </c>
      <c r="CU590" s="25" t="n">
        <f aca="false">RANK(CS590,$CS$2:$CS$881,0)</f>
        <v>611</v>
      </c>
      <c r="CV590" s="26" t="n">
        <f aca="false">(CS590+CR590)/2</f>
        <v>62</v>
      </c>
      <c r="CW590" s="25" t="n">
        <f aca="false">RANK(CV590,$CV$2:$CV$881,0)</f>
        <v>690</v>
      </c>
      <c r="CX590" s="50" t="n">
        <f aca="false">(CV590+BB590)/2</f>
        <v>71</v>
      </c>
      <c r="CY590" s="50" t="n">
        <v>760</v>
      </c>
      <c r="CZ590" s="27" t="s">
        <v>132</v>
      </c>
      <c r="DA590" s="27" t="s">
        <v>133</v>
      </c>
      <c r="DB590" s="27" t="s">
        <v>133</v>
      </c>
      <c r="DC590" s="27" t="s">
        <v>134</v>
      </c>
      <c r="DD590" s="27" t="s">
        <v>154</v>
      </c>
      <c r="DE590" s="27" t="s">
        <v>442</v>
      </c>
      <c r="DF590" s="27" t="s">
        <v>398</v>
      </c>
      <c r="DG590" s="27" t="s">
        <v>134</v>
      </c>
      <c r="DH590" s="27" t="s">
        <v>182</v>
      </c>
      <c r="DI590" s="27" t="s">
        <v>906</v>
      </c>
      <c r="DJ590" s="27" t="s">
        <v>203</v>
      </c>
      <c r="DK590" s="27" t="s">
        <v>134</v>
      </c>
      <c r="DL590" s="27" t="s">
        <v>485</v>
      </c>
      <c r="DM590" s="27" t="s">
        <v>399</v>
      </c>
      <c r="DN590" s="27" t="s">
        <v>163</v>
      </c>
      <c r="DO590" s="27" t="s">
        <v>134</v>
      </c>
      <c r="DP590" s="27" t="s">
        <v>485</v>
      </c>
      <c r="DQ590" s="27" t="s">
        <v>442</v>
      </c>
      <c r="DR590" s="27" t="s">
        <v>187</v>
      </c>
      <c r="DS590" s="27" t="s">
        <v>134</v>
      </c>
      <c r="DT590" s="27" t="s">
        <v>135</v>
      </c>
      <c r="DU590" s="27" t="s">
        <v>442</v>
      </c>
      <c r="DV590" s="27" t="s">
        <v>372</v>
      </c>
      <c r="DW590" s="27" t="s">
        <v>164</v>
      </c>
      <c r="DX590" s="27" t="s">
        <v>138</v>
      </c>
      <c r="DY590" s="27" t="s">
        <v>142</v>
      </c>
      <c r="DZ590" s="27" t="n">
        <f aca="false">DY590+DV590+DR590+DN590+DJ590+DF590+DB590</f>
        <v>523</v>
      </c>
      <c r="EA590" s="28" t="n">
        <f aca="false">DZ590/7</f>
        <v>74.7142857142857</v>
      </c>
      <c r="EB590" s="27" t="n">
        <f aca="false">RANK(EA590,$EA$2:$EA$881,0)</f>
        <v>545</v>
      </c>
      <c r="EC590" s="29" t="n">
        <f aca="false">DZ590+CQ590+CP590+AZ590</f>
        <v>2191</v>
      </c>
      <c r="ED590" s="30" t="n">
        <f aca="false">(EA590+CV590+BB590)/3</f>
        <v>72.2380952380952</v>
      </c>
      <c r="EE590" s="51" t="n">
        <f aca="false">ROUND(BE590,3)</f>
        <v>86.003</v>
      </c>
      <c r="EF590" s="51" t="n">
        <f aca="false">ROUND(CR590,3)</f>
        <v>57.857</v>
      </c>
      <c r="EG590" s="51" t="n">
        <f aca="false">ROUND(CS590,3)</f>
        <v>66.143</v>
      </c>
      <c r="EH590" s="51" t="n">
        <f aca="false">ROUND(EA590,3)</f>
        <v>74.714</v>
      </c>
      <c r="EI590" s="51" t="n">
        <f aca="false">ROUND(ED590,3)</f>
        <v>72.238</v>
      </c>
      <c r="EJ590" s="51" t="n">
        <f aca="false">ROUND(CV590,3)</f>
        <v>62</v>
      </c>
      <c r="EK590" s="0" t="n">
        <f aca="false">RANK(EI590,$EI$2:$EI$881,0)</f>
        <v>589</v>
      </c>
    </row>
    <row r="591" customFormat="false" ht="16.85" hidden="false" customHeight="false" outlineLevel="0" collapsed="false">
      <c r="A591" s="4" t="n">
        <v>8660</v>
      </c>
      <c r="B591" s="4" t="n">
        <v>356</v>
      </c>
      <c r="C591" s="27" t="s">
        <v>1749</v>
      </c>
      <c r="D591" s="31" t="n">
        <v>361</v>
      </c>
      <c r="E591" s="32" t="n">
        <v>230320833</v>
      </c>
      <c r="F591" s="8" t="s">
        <v>1750</v>
      </c>
      <c r="G591" s="22" t="s">
        <v>1751</v>
      </c>
      <c r="H591" s="22" t="s">
        <v>129</v>
      </c>
      <c r="I591" s="33" t="n">
        <v>2006</v>
      </c>
      <c r="J591" s="32" t="n">
        <v>79</v>
      </c>
      <c r="K591" s="32" t="n">
        <v>82</v>
      </c>
      <c r="L591" s="34" t="n">
        <f aca="false">(K591*70)/100</f>
        <v>57.4</v>
      </c>
      <c r="M591" s="34" t="n">
        <f aca="false">ROUNDUP(L591,0)</f>
        <v>58</v>
      </c>
      <c r="N591" s="32" t="n">
        <v>27</v>
      </c>
      <c r="O591" s="34" t="n">
        <f aca="false">N591+L591</f>
        <v>84.4</v>
      </c>
      <c r="P591" s="34" t="n">
        <f aca="false">N591+M591</f>
        <v>85</v>
      </c>
      <c r="Q591" s="32" t="n">
        <v>73</v>
      </c>
      <c r="R591" s="32" t="n">
        <v>72</v>
      </c>
      <c r="S591" s="34" t="n">
        <f aca="false">(R591*70)/100</f>
        <v>50.4</v>
      </c>
      <c r="T591" s="34" t="n">
        <f aca="false">ROUNDUP(S591,0)</f>
        <v>51</v>
      </c>
      <c r="U591" s="32" t="n">
        <v>24</v>
      </c>
      <c r="V591" s="34" t="n">
        <f aca="false">U591+S591</f>
        <v>74.4</v>
      </c>
      <c r="W591" s="34" t="n">
        <f aca="false">U591+T591</f>
        <v>75</v>
      </c>
      <c r="X591" s="32" t="n">
        <v>74</v>
      </c>
      <c r="Y591" s="34" t="n">
        <f aca="false">(X591*70)/100</f>
        <v>51.8</v>
      </c>
      <c r="Z591" s="34" t="n">
        <f aca="false">ROUNDUP(Y591,0)</f>
        <v>52</v>
      </c>
      <c r="AA591" s="32" t="n">
        <v>24</v>
      </c>
      <c r="AB591" s="34" t="n">
        <f aca="false">AA591+Y591</f>
        <v>75.8</v>
      </c>
      <c r="AC591" s="34" t="n">
        <f aca="false">AA591+Z591</f>
        <v>76</v>
      </c>
      <c r="AD591" s="32" t="n">
        <f aca="false">X591+R591+Q591+K591+J591</f>
        <v>380</v>
      </c>
      <c r="AE591" s="16" t="n">
        <f aca="false">AD591/5</f>
        <v>76</v>
      </c>
      <c r="AF591" s="16" t="n">
        <v>75</v>
      </c>
      <c r="AG591" s="16" t="n">
        <v>85</v>
      </c>
      <c r="AH591" s="16" t="n">
        <v>87</v>
      </c>
      <c r="AI591" s="16" t="n">
        <v>87</v>
      </c>
      <c r="AJ591" s="16" t="n">
        <f aca="false">(AI591*70)/100</f>
        <v>60.9</v>
      </c>
      <c r="AK591" s="35" t="n">
        <f aca="false">ROUNDUP(AJ591,0)</f>
        <v>61</v>
      </c>
      <c r="AL591" s="16" t="n">
        <v>24</v>
      </c>
      <c r="AM591" s="16" t="n">
        <f aca="false">AL591+AJ591</f>
        <v>84.9</v>
      </c>
      <c r="AN591" s="16" t="n">
        <f aca="false">AL591+AK591</f>
        <v>85</v>
      </c>
      <c r="AO591" s="16" t="n">
        <v>74</v>
      </c>
      <c r="AP591" s="36" t="n">
        <f aca="false">(AO591*70)/100</f>
        <v>51.8</v>
      </c>
      <c r="AQ591" s="37" t="n">
        <f aca="false">ROUNDUP(AP591,0)</f>
        <v>52</v>
      </c>
      <c r="AR591" s="16" t="n">
        <v>25</v>
      </c>
      <c r="AS591" s="16" t="n">
        <f aca="false">AR591+AP591</f>
        <v>76.8</v>
      </c>
      <c r="AT591" s="16" t="n">
        <f aca="false">AR591+AQ591</f>
        <v>77</v>
      </c>
      <c r="AU591" s="16" t="n">
        <f aca="false">AO591+AF591+AI591+AH591+AG591</f>
        <v>408</v>
      </c>
      <c r="AV591" s="16" t="n">
        <f aca="false">(AO591+AF591+AI591+AH591+AG591)/5</f>
        <v>81.6</v>
      </c>
      <c r="AW591" s="36" t="n">
        <f aca="false">(AO591+AF591+AI591+AH591+AG591+X591+R591+Q591+K591+J591)</f>
        <v>788</v>
      </c>
      <c r="AX591" s="16" t="n">
        <f aca="false">AW591/10</f>
        <v>78.8</v>
      </c>
      <c r="AY591" s="16" t="n">
        <f aca="false">AS591+AF591+AM591+AH591+AG591+AB591+V591+Q591+O591+J591</f>
        <v>795.3</v>
      </c>
      <c r="AZ591" s="16" t="n">
        <f aca="false">AT591+AF591+AN591+AH591+AG591+AC591+W591+Q591+P591+J591</f>
        <v>797</v>
      </c>
      <c r="BA591" s="16" t="n">
        <f aca="false">AY591/10</f>
        <v>79.53</v>
      </c>
      <c r="BB591" s="16" t="n">
        <f aca="false">AZ591/10</f>
        <v>79.7</v>
      </c>
      <c r="BC591" s="16" t="n">
        <v>2358</v>
      </c>
      <c r="BD591" s="16" t="n">
        <f aca="false">RANK(AX591,$AX$2:$AX$881,0)</f>
        <v>351</v>
      </c>
      <c r="BE591" s="54" t="n">
        <f aca="false">((BC591*100)/2400)*0.4+(AX591*0.6)</f>
        <v>86.58</v>
      </c>
      <c r="BF591" s="16" t="n">
        <f aca="false">RANK(BE591,$BE$2:$BE$881,0)</f>
        <v>340</v>
      </c>
      <c r="BG591" s="39" t="n">
        <f aca="false">RANK(BB591,$BB$2:$BB$881,0)</f>
        <v>381</v>
      </c>
      <c r="BH591" s="39" t="n">
        <f aca="false">RANK(BC591,$BC$2:$BC$881,0)</f>
        <v>429</v>
      </c>
      <c r="BI591" s="22" t="s">
        <v>130</v>
      </c>
      <c r="BJ591" s="22" t="s">
        <v>129</v>
      </c>
      <c r="BK591" s="40" t="s">
        <v>131</v>
      </c>
      <c r="BL591" s="41" t="n">
        <v>21</v>
      </c>
      <c r="BM591" s="59" t="n">
        <v>41</v>
      </c>
      <c r="BN591" s="59" t="n">
        <v>62</v>
      </c>
      <c r="BO591" s="42" t="n">
        <v>26</v>
      </c>
      <c r="BP591" s="43" t="n">
        <v>55</v>
      </c>
      <c r="BQ591" s="44" t="n">
        <v>81</v>
      </c>
      <c r="BR591" s="42" t="n">
        <v>24</v>
      </c>
      <c r="BS591" s="80"/>
      <c r="BT591" s="80"/>
      <c r="BU591" s="46" t="n">
        <v>100</v>
      </c>
      <c r="BV591" s="47" t="n">
        <v>90</v>
      </c>
      <c r="BW591" s="42" t="n">
        <v>98</v>
      </c>
      <c r="BX591" s="48" t="n">
        <v>98</v>
      </c>
      <c r="BY591" s="32" t="n">
        <v>26</v>
      </c>
      <c r="BZ591" s="32" t="n">
        <v>52</v>
      </c>
      <c r="CA591" s="32" t="n">
        <v>78</v>
      </c>
      <c r="CB591" s="32" t="n">
        <v>18</v>
      </c>
      <c r="CC591" s="60"/>
      <c r="CD591" s="60"/>
      <c r="CE591" s="25" t="n">
        <v>25</v>
      </c>
      <c r="CF591" s="25" t="n">
        <v>40</v>
      </c>
      <c r="CG591" s="25" t="n">
        <v>65</v>
      </c>
      <c r="CH591" s="32" t="n">
        <v>100</v>
      </c>
      <c r="CI591" s="32" t="n">
        <v>98</v>
      </c>
      <c r="CJ591" s="49" t="n">
        <v>26</v>
      </c>
      <c r="CK591" s="49" t="n">
        <v>46</v>
      </c>
      <c r="CL591" s="49" t="n">
        <v>72</v>
      </c>
      <c r="CM591" s="25" t="n">
        <v>24</v>
      </c>
      <c r="CN591" s="25" t="n">
        <v>59</v>
      </c>
      <c r="CO591" s="25" t="n">
        <v>83</v>
      </c>
      <c r="CP591" s="25" t="n">
        <f aca="false">BX591+BW591+BV591+BU591+BT591+BQ591+BN591</f>
        <v>529</v>
      </c>
      <c r="CQ591" s="25" t="n">
        <f aca="false">CO591+CL591+CI591+CH591+CG591+CD591+CA591</f>
        <v>496</v>
      </c>
      <c r="CR591" s="26" t="n">
        <f aca="false">CP591/7</f>
        <v>75.5714285714286</v>
      </c>
      <c r="CS591" s="26" t="n">
        <f aca="false">CQ591/7</f>
        <v>70.8571428571429</v>
      </c>
      <c r="CT591" s="24" t="n">
        <f aca="false">RANK(CR591,$CR$2:$CR$881,0)</f>
        <v>641</v>
      </c>
      <c r="CU591" s="25" t="n">
        <f aca="false">RANK(CS591,$CS$2:$CS$881,0)</f>
        <v>541</v>
      </c>
      <c r="CV591" s="26" t="n">
        <f aca="false">(CS591+CR591)/2</f>
        <v>73.2142857142857</v>
      </c>
      <c r="CW591" s="25" t="n">
        <f aca="false">RANK(CV591,$CV$2:$CV$881,0)</f>
        <v>598</v>
      </c>
      <c r="CX591" s="50" t="n">
        <f aca="false">(CV591+BB591)/2</f>
        <v>76.4571428571429</v>
      </c>
      <c r="CY591" s="50" t="n">
        <v>566</v>
      </c>
      <c r="CZ591" s="27" t="s">
        <v>132</v>
      </c>
      <c r="DA591" s="27" t="s">
        <v>202</v>
      </c>
      <c r="DB591" s="27" t="s">
        <v>202</v>
      </c>
      <c r="DC591" s="27" t="s">
        <v>134</v>
      </c>
      <c r="DD591" s="27" t="s">
        <v>386</v>
      </c>
      <c r="DE591" s="27" t="s">
        <v>447</v>
      </c>
      <c r="DF591" s="27" t="s">
        <v>416</v>
      </c>
      <c r="DG591" s="27" t="s">
        <v>134</v>
      </c>
      <c r="DH591" s="27"/>
      <c r="DI591" s="27"/>
      <c r="DJ591" s="27"/>
      <c r="DK591" s="27"/>
      <c r="DL591" s="27" t="s">
        <v>154</v>
      </c>
      <c r="DM591" s="27" t="s">
        <v>442</v>
      </c>
      <c r="DN591" s="27" t="s">
        <v>398</v>
      </c>
      <c r="DO591" s="27" t="s">
        <v>134</v>
      </c>
      <c r="DP591" s="27" t="s">
        <v>174</v>
      </c>
      <c r="DQ591" s="27" t="s">
        <v>1388</v>
      </c>
      <c r="DR591" s="27" t="s">
        <v>306</v>
      </c>
      <c r="DS591" s="27" t="s">
        <v>480</v>
      </c>
      <c r="DT591" s="27" t="s">
        <v>182</v>
      </c>
      <c r="DU591" s="27" t="s">
        <v>638</v>
      </c>
      <c r="DV591" s="27" t="s">
        <v>138</v>
      </c>
      <c r="DW591" s="27" t="s">
        <v>140</v>
      </c>
      <c r="DX591" s="27" t="s">
        <v>152</v>
      </c>
      <c r="DY591" s="27" t="s">
        <v>151</v>
      </c>
      <c r="DZ591" s="27" t="n">
        <f aca="false">DY591+DV591+DR591+DN591+DJ591+DF591+DB591</f>
        <v>446</v>
      </c>
      <c r="EA591" s="28" t="n">
        <f aca="false">DZ591/7</f>
        <v>63.7142857142857</v>
      </c>
      <c r="EB591" s="27" t="n">
        <f aca="false">RANK(EA591,$EA$2:$EA$881,0)</f>
        <v>751</v>
      </c>
      <c r="EC591" s="29" t="n">
        <f aca="false">DZ591+CQ591+CP591+AZ591</f>
        <v>2268</v>
      </c>
      <c r="ED591" s="30" t="n">
        <f aca="false">(EA591+CV591+BB591)/3</f>
        <v>72.2095238095238</v>
      </c>
      <c r="EE591" s="51" t="n">
        <f aca="false">ROUND(BE591,3)</f>
        <v>86.58</v>
      </c>
      <c r="EF591" s="51" t="n">
        <f aca="false">ROUND(CR591,3)</f>
        <v>75.571</v>
      </c>
      <c r="EG591" s="51" t="n">
        <f aca="false">ROUND(CS591,3)</f>
        <v>70.857</v>
      </c>
      <c r="EH591" s="51" t="n">
        <f aca="false">ROUND(EA591,3)</f>
        <v>63.714</v>
      </c>
      <c r="EI591" s="51" t="n">
        <f aca="false">ROUND(ED591,3)</f>
        <v>72.21</v>
      </c>
      <c r="EJ591" s="51" t="n">
        <f aca="false">ROUND(CV591,3)</f>
        <v>73.214</v>
      </c>
      <c r="EK591" s="0" t="n">
        <f aca="false">RANK(EI591,$EI$2:$EI$881,0)</f>
        <v>590</v>
      </c>
    </row>
    <row r="592" customFormat="false" ht="15" hidden="false" customHeight="false" outlineLevel="0" collapsed="false">
      <c r="A592" s="4" t="n">
        <v>1980</v>
      </c>
      <c r="B592" s="4" t="n">
        <v>465</v>
      </c>
      <c r="C592" s="27" t="s">
        <v>1752</v>
      </c>
      <c r="D592" s="31" t="n">
        <v>471</v>
      </c>
      <c r="E592" s="16" t="n">
        <v>230611434</v>
      </c>
      <c r="F592" s="56" t="s">
        <v>1753</v>
      </c>
      <c r="G592" s="22" t="s">
        <v>1754</v>
      </c>
      <c r="H592" s="22" t="s">
        <v>558</v>
      </c>
      <c r="I592" s="57"/>
      <c r="J592" s="85" t="n">
        <v>57</v>
      </c>
      <c r="K592" s="16" t="n">
        <v>77</v>
      </c>
      <c r="L592" s="34" t="n">
        <f aca="false">(K592*70)/100</f>
        <v>53.9</v>
      </c>
      <c r="M592" s="34" t="n">
        <f aca="false">ROUNDUP(L592,0)</f>
        <v>54</v>
      </c>
      <c r="N592" s="16" t="n">
        <v>29</v>
      </c>
      <c r="O592" s="34" t="n">
        <f aca="false">N592+L592</f>
        <v>82.9</v>
      </c>
      <c r="P592" s="34" t="n">
        <f aca="false">N592+M592</f>
        <v>83</v>
      </c>
      <c r="Q592" s="16" t="n">
        <v>66</v>
      </c>
      <c r="R592" s="16" t="n">
        <v>73</v>
      </c>
      <c r="S592" s="34" t="n">
        <f aca="false">(R592*70)/100</f>
        <v>51.1</v>
      </c>
      <c r="T592" s="34" t="n">
        <f aca="false">ROUNDUP(S592,0)</f>
        <v>52</v>
      </c>
      <c r="U592" s="16" t="n">
        <v>25</v>
      </c>
      <c r="V592" s="34" t="n">
        <f aca="false">U592+S592</f>
        <v>76.1</v>
      </c>
      <c r="W592" s="34" t="n">
        <f aca="false">U592+T592</f>
        <v>77</v>
      </c>
      <c r="X592" s="16" t="n">
        <v>66</v>
      </c>
      <c r="Y592" s="34" t="n">
        <f aca="false">(X592*70)/100</f>
        <v>46.2</v>
      </c>
      <c r="Z592" s="34" t="n">
        <f aca="false">ROUNDUP(Y592,0)</f>
        <v>47</v>
      </c>
      <c r="AA592" s="16" t="n">
        <v>26</v>
      </c>
      <c r="AB592" s="34" t="n">
        <f aca="false">AA592+Y592</f>
        <v>72.2</v>
      </c>
      <c r="AC592" s="34" t="n">
        <f aca="false">AA592+Z592</f>
        <v>73</v>
      </c>
      <c r="AD592" s="32" t="n">
        <f aca="false">X592+R592+Q592+K592+J592</f>
        <v>339</v>
      </c>
      <c r="AE592" s="16" t="n">
        <f aca="false">AD592/5</f>
        <v>67.8</v>
      </c>
      <c r="AF592" s="16" t="n">
        <v>78</v>
      </c>
      <c r="AG592" s="16" t="n">
        <v>75</v>
      </c>
      <c r="AH592" s="16" t="n">
        <v>94</v>
      </c>
      <c r="AI592" s="16" t="n">
        <v>92</v>
      </c>
      <c r="AJ592" s="16" t="n">
        <f aca="false">(AI592*70)/100</f>
        <v>64.4</v>
      </c>
      <c r="AK592" s="35" t="n">
        <f aca="false">ROUNDUP(AJ592,0)</f>
        <v>65</v>
      </c>
      <c r="AL592" s="16" t="n">
        <v>27</v>
      </c>
      <c r="AM592" s="16" t="n">
        <f aca="false">AL592+AJ592</f>
        <v>91.4</v>
      </c>
      <c r="AN592" s="16" t="n">
        <f aca="false">AL592+AK592</f>
        <v>92</v>
      </c>
      <c r="AO592" s="16" t="n">
        <v>85</v>
      </c>
      <c r="AP592" s="36" t="n">
        <f aca="false">(AO592*70)/100</f>
        <v>59.5</v>
      </c>
      <c r="AQ592" s="37" t="n">
        <f aca="false">ROUNDUP(AP592,0)</f>
        <v>60</v>
      </c>
      <c r="AR592" s="16" t="n">
        <v>28</v>
      </c>
      <c r="AS592" s="16" t="n">
        <f aca="false">AR592+AP592</f>
        <v>87.5</v>
      </c>
      <c r="AT592" s="16" t="n">
        <f aca="false">AR592+AQ592</f>
        <v>88</v>
      </c>
      <c r="AU592" s="16" t="n">
        <f aca="false">AO592+AF592+AI592+AH592+AG592</f>
        <v>424</v>
      </c>
      <c r="AV592" s="16" t="n">
        <f aca="false">(AO592+AF592+AI592+AH592+AG592)/5</f>
        <v>84.8</v>
      </c>
      <c r="AW592" s="36" t="n">
        <f aca="false">(AO592+AF592+AI592+AH592+AG592+X592+R592+Q592+K592+J592)</f>
        <v>763</v>
      </c>
      <c r="AX592" s="16" t="n">
        <f aca="false">AW592/10</f>
        <v>76.3</v>
      </c>
      <c r="AY592" s="16" t="n">
        <f aca="false">AS592+AF592+AM592+AH592+AG592+AB592+V592+Q592+O592+J592</f>
        <v>780.1</v>
      </c>
      <c r="AZ592" s="16" t="n">
        <f aca="false">AT592+AF592+AN592+AH592+AG592+AC592+W592+Q592+P592+J592</f>
        <v>783</v>
      </c>
      <c r="BA592" s="16" t="n">
        <f aca="false">AY592/10</f>
        <v>78.01</v>
      </c>
      <c r="BB592" s="16" t="n">
        <f aca="false">AZ592/10</f>
        <v>78.3</v>
      </c>
      <c r="BC592" s="16" t="n">
        <v>2358</v>
      </c>
      <c r="BD592" s="16" t="n">
        <f aca="false">RANK(AX592,$AX$2:$AX$881,0)</f>
        <v>593</v>
      </c>
      <c r="BE592" s="54" t="n">
        <f aca="false">((BC592*100)/2400)*0.4+(AX592*0.6)</f>
        <v>85.08</v>
      </c>
      <c r="BF592" s="16" t="n">
        <f aca="false">RANK(BE592,$BE$2:$BE$881,0)</f>
        <v>597</v>
      </c>
      <c r="BG592" s="39" t="n">
        <f aca="false">RANK(BB592,$BB$2:$BB$881,0)</f>
        <v>534</v>
      </c>
      <c r="BH592" s="39" t="n">
        <f aca="false">RANK(BC592,$BC$2:$BC$881,0)</f>
        <v>429</v>
      </c>
      <c r="BI592" s="22" t="s">
        <v>130</v>
      </c>
      <c r="BJ592" s="22" t="s">
        <v>129</v>
      </c>
      <c r="BK592" s="22" t="s">
        <v>509</v>
      </c>
      <c r="BL592" s="105" t="n">
        <v>21</v>
      </c>
      <c r="BM592" s="59" t="n">
        <v>47</v>
      </c>
      <c r="BN592" s="59" t="n">
        <v>68</v>
      </c>
      <c r="BO592" s="42" t="n">
        <v>27</v>
      </c>
      <c r="BP592" s="59" t="n">
        <v>42</v>
      </c>
      <c r="BQ592" s="59" t="n">
        <v>69</v>
      </c>
      <c r="BR592" s="42" t="n">
        <v>28</v>
      </c>
      <c r="BS592" s="88" t="n">
        <v>37</v>
      </c>
      <c r="BT592" s="88" t="n">
        <v>65</v>
      </c>
      <c r="BU592" s="77" t="n">
        <v>72</v>
      </c>
      <c r="BV592" s="58" t="n">
        <v>77</v>
      </c>
      <c r="BW592" s="102" t="n">
        <v>96</v>
      </c>
      <c r="BX592" s="88" t="n">
        <v>92</v>
      </c>
      <c r="BY592" s="65" t="n">
        <v>29</v>
      </c>
      <c r="BZ592" s="58" t="n">
        <v>50</v>
      </c>
      <c r="CA592" s="58" t="n">
        <v>79</v>
      </c>
      <c r="CB592" s="59" t="n">
        <v>14</v>
      </c>
      <c r="CC592" s="58" t="n">
        <v>41</v>
      </c>
      <c r="CD592" s="58" t="n">
        <v>55</v>
      </c>
      <c r="CE592" s="58" t="n">
        <v>18</v>
      </c>
      <c r="CF592" s="58" t="n">
        <v>37</v>
      </c>
      <c r="CG592" s="90" t="n">
        <v>55</v>
      </c>
      <c r="CH592" s="58" t="n">
        <v>90</v>
      </c>
      <c r="CI592" s="58" t="n">
        <v>62</v>
      </c>
      <c r="CJ592" s="58" t="n">
        <v>16</v>
      </c>
      <c r="CK592" s="58" t="n">
        <v>49</v>
      </c>
      <c r="CL592" s="59" t="n">
        <v>65</v>
      </c>
      <c r="CM592" s="60"/>
      <c r="CN592" s="60"/>
      <c r="CO592" s="60"/>
      <c r="CP592" s="25" t="n">
        <f aca="false">BX592+BW592+BV592+BU592+BT592+BQ592+BN592</f>
        <v>539</v>
      </c>
      <c r="CQ592" s="25" t="n">
        <f aca="false">CO592+CL592+CI592+CH592+CG592+CD592+CA592</f>
        <v>406</v>
      </c>
      <c r="CR592" s="26" t="n">
        <f aca="false">CP592/7</f>
        <v>77</v>
      </c>
      <c r="CS592" s="26" t="n">
        <f aca="false">CQ592/7</f>
        <v>58</v>
      </c>
      <c r="CT592" s="24" t="n">
        <f aca="false">RANK(CR592,$CR$2:$CR$881,0)</f>
        <v>628</v>
      </c>
      <c r="CU592" s="25" t="n">
        <f aca="false">RANK(CS592,$CS$2:$CS$881,0)</f>
        <v>700</v>
      </c>
      <c r="CV592" s="26" t="n">
        <f aca="false">(CS592+CR592)/2</f>
        <v>67.5</v>
      </c>
      <c r="CW592" s="25" t="n">
        <f aca="false">RANK(CV592,$CV$2:$CV$881,0)</f>
        <v>657</v>
      </c>
      <c r="CX592" s="50" t="n">
        <f aca="false">(CV592+BB592)/2</f>
        <v>72.9</v>
      </c>
      <c r="CY592" s="50" t="n">
        <v>813</v>
      </c>
      <c r="CZ592" s="27" t="s">
        <v>132</v>
      </c>
      <c r="DA592" s="27" t="s">
        <v>202</v>
      </c>
      <c r="DB592" s="27" t="s">
        <v>202</v>
      </c>
      <c r="DC592" s="27" t="s">
        <v>134</v>
      </c>
      <c r="DD592" s="27" t="s">
        <v>154</v>
      </c>
      <c r="DE592" s="27" t="s">
        <v>375</v>
      </c>
      <c r="DF592" s="27" t="s">
        <v>486</v>
      </c>
      <c r="DG592" s="27" t="s">
        <v>134</v>
      </c>
      <c r="DH592" s="27" t="s">
        <v>182</v>
      </c>
      <c r="DI592" s="27" t="s">
        <v>638</v>
      </c>
      <c r="DJ592" s="27" t="s">
        <v>138</v>
      </c>
      <c r="DK592" s="27" t="s">
        <v>134</v>
      </c>
      <c r="DL592" s="27" t="s">
        <v>195</v>
      </c>
      <c r="DM592" s="27" t="s">
        <v>479</v>
      </c>
      <c r="DN592" s="27" t="s">
        <v>177</v>
      </c>
      <c r="DO592" s="27" t="s">
        <v>134</v>
      </c>
      <c r="DP592" s="27" t="s">
        <v>485</v>
      </c>
      <c r="DQ592" s="27" t="s">
        <v>638</v>
      </c>
      <c r="DR592" s="27" t="s">
        <v>203</v>
      </c>
      <c r="DS592" s="27" t="s">
        <v>134</v>
      </c>
      <c r="DT592" s="27" t="s">
        <v>135</v>
      </c>
      <c r="DU592" s="27" t="s">
        <v>1151</v>
      </c>
      <c r="DV592" s="27" t="s">
        <v>218</v>
      </c>
      <c r="DW592" s="27" t="s">
        <v>140</v>
      </c>
      <c r="DX592" s="27" t="s">
        <v>183</v>
      </c>
      <c r="DY592" s="27" t="s">
        <v>178</v>
      </c>
      <c r="DZ592" s="27" t="n">
        <f aca="false">DY592+DV592+DR592+DN592+DJ592+DF592+DB592</f>
        <v>494</v>
      </c>
      <c r="EA592" s="28" t="n">
        <f aca="false">DZ592/7</f>
        <v>70.5714285714286</v>
      </c>
      <c r="EB592" s="27" t="n">
        <f aca="false">RANK(EA592,$EA$2:$EA$881,0)</f>
        <v>643</v>
      </c>
      <c r="EC592" s="29" t="n">
        <f aca="false">DZ592+CQ592+CP592+AZ592</f>
        <v>2222</v>
      </c>
      <c r="ED592" s="30" t="n">
        <f aca="false">(EA592+CV592+BB592)/3</f>
        <v>72.1238095238095</v>
      </c>
      <c r="EE592" s="51" t="n">
        <f aca="false">ROUND(BE592,3)</f>
        <v>85.08</v>
      </c>
      <c r="EF592" s="51" t="n">
        <f aca="false">ROUND(CR592,3)</f>
        <v>77</v>
      </c>
      <c r="EG592" s="51" t="n">
        <f aca="false">ROUND(CS592,3)</f>
        <v>58</v>
      </c>
      <c r="EH592" s="51" t="n">
        <f aca="false">ROUND(EA592,3)</f>
        <v>70.571</v>
      </c>
      <c r="EI592" s="51" t="n">
        <f aca="false">ROUND(ED592,3)</f>
        <v>72.124</v>
      </c>
      <c r="EJ592" s="51" t="n">
        <f aca="false">ROUND(CV592,3)</f>
        <v>67.5</v>
      </c>
      <c r="EK592" s="0" t="n">
        <f aca="false">RANK(EI592,$EI$2:$EI$881,0)</f>
        <v>591</v>
      </c>
    </row>
    <row r="593" customFormat="false" ht="15" hidden="false" customHeight="false" outlineLevel="0" collapsed="false">
      <c r="A593" s="4" t="n">
        <v>1927</v>
      </c>
      <c r="B593" s="4" t="n">
        <v>283</v>
      </c>
      <c r="C593" s="27" t="s">
        <v>1755</v>
      </c>
      <c r="D593" s="31" t="n">
        <v>283</v>
      </c>
      <c r="E593" s="65" t="n">
        <v>234300143</v>
      </c>
      <c r="F593" s="56" t="s">
        <v>1756</v>
      </c>
      <c r="G593" s="63" t="s">
        <v>312</v>
      </c>
      <c r="H593" s="63" t="s">
        <v>129</v>
      </c>
      <c r="I593" s="96"/>
      <c r="J593" s="65" t="n">
        <v>92</v>
      </c>
      <c r="K593" s="65" t="n">
        <v>73</v>
      </c>
      <c r="L593" s="34" t="n">
        <f aca="false">(K593*70)/100</f>
        <v>51.1</v>
      </c>
      <c r="M593" s="34" t="n">
        <f aca="false">ROUNDUP(L593,0)</f>
        <v>52</v>
      </c>
      <c r="N593" s="65" t="n">
        <v>27</v>
      </c>
      <c r="O593" s="34" t="n">
        <f aca="false">N593+L593</f>
        <v>78.1</v>
      </c>
      <c r="P593" s="34" t="n">
        <f aca="false">N593+M593</f>
        <v>79</v>
      </c>
      <c r="Q593" s="99" t="n">
        <v>46</v>
      </c>
      <c r="R593" s="65" t="n">
        <v>58</v>
      </c>
      <c r="S593" s="34" t="n">
        <f aca="false">(R593*70)/100</f>
        <v>40.6</v>
      </c>
      <c r="T593" s="34" t="n">
        <f aca="false">ROUNDUP(S593,0)</f>
        <v>41</v>
      </c>
      <c r="U593" s="65" t="n">
        <v>20</v>
      </c>
      <c r="V593" s="34" t="n">
        <f aca="false">U593+S593</f>
        <v>60.6</v>
      </c>
      <c r="W593" s="34" t="n">
        <f aca="false">U593+T593</f>
        <v>61</v>
      </c>
      <c r="X593" s="65" t="n">
        <v>69</v>
      </c>
      <c r="Y593" s="34" t="n">
        <f aca="false">(X593*70)/100</f>
        <v>48.3</v>
      </c>
      <c r="Z593" s="34" t="n">
        <f aca="false">ROUNDUP(Y593,0)</f>
        <v>49</v>
      </c>
      <c r="AA593" s="65" t="n">
        <v>24</v>
      </c>
      <c r="AB593" s="34" t="n">
        <f aca="false">AA593+Y593</f>
        <v>72.3</v>
      </c>
      <c r="AC593" s="34" t="n">
        <f aca="false">AA593+Z593</f>
        <v>73</v>
      </c>
      <c r="AD593" s="32" t="n">
        <f aca="false">X593+R593+Q593+K593+J593</f>
        <v>338</v>
      </c>
      <c r="AE593" s="16" t="n">
        <f aca="false">AD593/5</f>
        <v>67.6</v>
      </c>
      <c r="AF593" s="65" t="n">
        <v>69</v>
      </c>
      <c r="AG593" s="65" t="n">
        <v>95</v>
      </c>
      <c r="AH593" s="65" t="n">
        <v>77</v>
      </c>
      <c r="AI593" s="65" t="n">
        <v>71</v>
      </c>
      <c r="AJ593" s="16" t="n">
        <f aca="false">(AI593*70)/100</f>
        <v>49.7</v>
      </c>
      <c r="AK593" s="35" t="n">
        <f aca="false">ROUNDUP(AJ593,0)</f>
        <v>50</v>
      </c>
      <c r="AL593" s="65" t="n">
        <v>28</v>
      </c>
      <c r="AM593" s="16" t="n">
        <f aca="false">AL593+AJ593</f>
        <v>77.7</v>
      </c>
      <c r="AN593" s="16" t="n">
        <f aca="false">AL593+AK593</f>
        <v>78</v>
      </c>
      <c r="AO593" s="65" t="n">
        <v>59</v>
      </c>
      <c r="AP593" s="36" t="n">
        <f aca="false">(AO593*70)/100</f>
        <v>41.3</v>
      </c>
      <c r="AQ593" s="37" t="n">
        <f aca="false">ROUNDUP(AP593,0)</f>
        <v>42</v>
      </c>
      <c r="AR593" s="65" t="n">
        <v>25</v>
      </c>
      <c r="AS593" s="16" t="n">
        <f aca="false">AR593+AP593</f>
        <v>66.3</v>
      </c>
      <c r="AT593" s="16" t="n">
        <f aca="false">AR593+AQ593</f>
        <v>67</v>
      </c>
      <c r="AU593" s="16" t="n">
        <f aca="false">AO593+AF593+AI593+AH593+AG593</f>
        <v>371</v>
      </c>
      <c r="AV593" s="16" t="n">
        <f aca="false">(AO593+AF593+AI593+AH593+AG593)/5</f>
        <v>74.2</v>
      </c>
      <c r="AW593" s="36" t="n">
        <f aca="false">(AO593+AF593+AI593+AH593+AG593+X593+R593+Q593+K593+J593)</f>
        <v>709</v>
      </c>
      <c r="AX593" s="16" t="n">
        <f aca="false">AW593/10</f>
        <v>70.9</v>
      </c>
      <c r="AY593" s="16" t="n">
        <f aca="false">AS593+AF593+AM593+AH593+AG593+AB593+V593+Q593+O593+J593</f>
        <v>734</v>
      </c>
      <c r="AZ593" s="16" t="n">
        <f aca="false">AT593+AF593+AN593+AH593+AG593+AC593+W593+Q593+P593+J593</f>
        <v>737</v>
      </c>
      <c r="BA593" s="16" t="n">
        <f aca="false">AY593/10</f>
        <v>73.4</v>
      </c>
      <c r="BB593" s="16" t="n">
        <f aca="false">AZ593/10</f>
        <v>73.7</v>
      </c>
      <c r="BC593" s="72" t="n">
        <v>0</v>
      </c>
      <c r="BD593" s="16" t="n">
        <f aca="false">RANK(AX593,$AX$2:$AX$881,0)</f>
        <v>730</v>
      </c>
      <c r="BE593" s="78" t="n">
        <f aca="false">AX593</f>
        <v>70.9</v>
      </c>
      <c r="BF593" s="16" t="n">
        <f aca="false">RANK(BE593,$BE$2:$BE$881,0)</f>
        <v>789</v>
      </c>
      <c r="BG593" s="39" t="n">
        <f aca="false">RANK(BB593,$BB$2:$BB$881,0)</f>
        <v>712</v>
      </c>
      <c r="BH593" s="39" t="n">
        <f aca="false">RANK(BC593,$BC$2:$BC$881,0)</f>
        <v>780</v>
      </c>
      <c r="BI593" s="63" t="s">
        <v>130</v>
      </c>
      <c r="BJ593" s="22" t="s">
        <v>129</v>
      </c>
      <c r="BK593" s="22" t="s">
        <v>526</v>
      </c>
      <c r="BL593" s="41" t="n">
        <v>26</v>
      </c>
      <c r="BM593" s="41" t="n">
        <v>44</v>
      </c>
      <c r="BN593" s="41" t="n">
        <v>70</v>
      </c>
      <c r="BO593" s="42" t="n">
        <v>25</v>
      </c>
      <c r="BP593" s="43" t="n">
        <v>47</v>
      </c>
      <c r="BQ593" s="44" t="n">
        <v>72</v>
      </c>
      <c r="BR593" s="42" t="n">
        <v>27</v>
      </c>
      <c r="BS593" s="45" t="n">
        <v>56</v>
      </c>
      <c r="BT593" s="45" t="n">
        <v>83</v>
      </c>
      <c r="BU593" s="46" t="n">
        <v>100</v>
      </c>
      <c r="BV593" s="47" t="n">
        <v>62</v>
      </c>
      <c r="BW593" s="42" t="n">
        <v>96</v>
      </c>
      <c r="BX593" s="48" t="n">
        <v>88</v>
      </c>
      <c r="BY593" s="32" t="n">
        <v>25</v>
      </c>
      <c r="BZ593" s="32" t="n">
        <v>43</v>
      </c>
      <c r="CA593" s="32" t="n">
        <v>68</v>
      </c>
      <c r="CB593" s="32" t="n">
        <v>26</v>
      </c>
      <c r="CC593" s="32" t="n">
        <v>38</v>
      </c>
      <c r="CD593" s="32" t="n">
        <v>64</v>
      </c>
      <c r="CE593" s="32" t="n">
        <v>28</v>
      </c>
      <c r="CF593" s="32" t="n">
        <v>45</v>
      </c>
      <c r="CG593" s="32" t="n">
        <v>73</v>
      </c>
      <c r="CH593" s="32" t="n">
        <v>96</v>
      </c>
      <c r="CI593" s="32" t="n">
        <v>99</v>
      </c>
      <c r="CJ593" s="49" t="n">
        <v>24</v>
      </c>
      <c r="CK593" s="49" t="n">
        <v>40</v>
      </c>
      <c r="CL593" s="49" t="n">
        <v>64</v>
      </c>
      <c r="CM593" s="49" t="n">
        <v>21</v>
      </c>
      <c r="CN593" s="49" t="n">
        <v>46</v>
      </c>
      <c r="CO593" s="49" t="n">
        <v>67</v>
      </c>
      <c r="CP593" s="25" t="n">
        <f aca="false">BX593+BW593+BV593+BU593+BT593+BQ593+BN593</f>
        <v>571</v>
      </c>
      <c r="CQ593" s="25" t="n">
        <f aca="false">CO593+CL593+CI593+CH593+CG593+CD593+CA593</f>
        <v>531</v>
      </c>
      <c r="CR593" s="26" t="n">
        <f aca="false">CP593/7</f>
        <v>81.5714285714286</v>
      </c>
      <c r="CS593" s="26" t="n">
        <f aca="false">CQ593/7</f>
        <v>75.8571428571429</v>
      </c>
      <c r="CT593" s="24" t="n">
        <f aca="false">RANK(CR593,$CR$2:$CR$881,0)</f>
        <v>552</v>
      </c>
      <c r="CU593" s="25" t="n">
        <f aca="false">RANK(CS593,$CS$2:$CS$881,0)</f>
        <v>401</v>
      </c>
      <c r="CV593" s="26" t="n">
        <f aca="false">(CS593+CR593)/2</f>
        <v>78.7142857142857</v>
      </c>
      <c r="CW593" s="25" t="n">
        <f aca="false">RANK(CV593,$CV$2:$CV$881,0)</f>
        <v>472</v>
      </c>
      <c r="CX593" s="50" t="n">
        <f aca="false">(CV593+BB593)/2</f>
        <v>76.2071428571429</v>
      </c>
      <c r="CY593" s="50" t="n">
        <v>524</v>
      </c>
      <c r="CZ593" s="27" t="s">
        <v>132</v>
      </c>
      <c r="DA593" s="27" t="s">
        <v>169</v>
      </c>
      <c r="DB593" s="27" t="s">
        <v>169</v>
      </c>
      <c r="DC593" s="27" t="s">
        <v>134</v>
      </c>
      <c r="DD593" s="27" t="s">
        <v>154</v>
      </c>
      <c r="DE593" s="27" t="s">
        <v>313</v>
      </c>
      <c r="DF593" s="27" t="s">
        <v>441</v>
      </c>
      <c r="DG593" s="27" t="s">
        <v>134</v>
      </c>
      <c r="DH593" s="27" t="s">
        <v>154</v>
      </c>
      <c r="DI593" s="27" t="s">
        <v>399</v>
      </c>
      <c r="DJ593" s="27" t="s">
        <v>416</v>
      </c>
      <c r="DK593" s="27" t="s">
        <v>134</v>
      </c>
      <c r="DL593" s="27" t="s">
        <v>137</v>
      </c>
      <c r="DM593" s="27" t="s">
        <v>638</v>
      </c>
      <c r="DN593" s="27" t="s">
        <v>416</v>
      </c>
      <c r="DO593" s="27" t="s">
        <v>134</v>
      </c>
      <c r="DP593" s="27" t="s">
        <v>191</v>
      </c>
      <c r="DQ593" s="27" t="s">
        <v>481</v>
      </c>
      <c r="DR593" s="27" t="s">
        <v>218</v>
      </c>
      <c r="DS593" s="27" t="s">
        <v>480</v>
      </c>
      <c r="DT593" s="27"/>
      <c r="DU593" s="27"/>
      <c r="DV593" s="27"/>
      <c r="DW593" s="27" t="s">
        <v>164</v>
      </c>
      <c r="DX593" s="27" t="s">
        <v>203</v>
      </c>
      <c r="DY593" s="27" t="s">
        <v>162</v>
      </c>
      <c r="DZ593" s="27" t="n">
        <f aca="false">DY593+DV593+DR593+DN593+DJ593+DF593+DB593</f>
        <v>446</v>
      </c>
      <c r="EA593" s="28" t="n">
        <f aca="false">DZ593/7</f>
        <v>63.7142857142857</v>
      </c>
      <c r="EB593" s="27" t="n">
        <f aca="false">RANK(EA593,$EA$2:$EA$881,0)</f>
        <v>751</v>
      </c>
      <c r="EC593" s="29" t="n">
        <f aca="false">DZ593+CQ593+CP593+AZ593</f>
        <v>2285</v>
      </c>
      <c r="ED593" s="30" t="n">
        <f aca="false">(EA593+CV593+BB593)/3</f>
        <v>72.0428571428571</v>
      </c>
      <c r="EE593" s="51" t="n">
        <f aca="false">ROUND(BE593,3)</f>
        <v>70.9</v>
      </c>
      <c r="EF593" s="51" t="n">
        <f aca="false">ROUND(CR593,3)</f>
        <v>81.571</v>
      </c>
      <c r="EG593" s="51" t="n">
        <f aca="false">ROUND(CS593,3)</f>
        <v>75.857</v>
      </c>
      <c r="EH593" s="51" t="n">
        <f aca="false">ROUND(EA593,3)</f>
        <v>63.714</v>
      </c>
      <c r="EI593" s="51" t="n">
        <f aca="false">ROUND(ED593,3)</f>
        <v>72.043</v>
      </c>
      <c r="EJ593" s="51" t="n">
        <f aca="false">ROUND(CV593,3)</f>
        <v>78.714</v>
      </c>
      <c r="EK593" s="0" t="n">
        <f aca="false">RANK(EI593,$EI$2:$EI$881,0)</f>
        <v>592</v>
      </c>
    </row>
    <row r="594" customFormat="false" ht="15" hidden="false" customHeight="false" outlineLevel="0" collapsed="false">
      <c r="A594" s="4" t="n">
        <v>8698</v>
      </c>
      <c r="B594" s="4" t="n">
        <v>398</v>
      </c>
      <c r="C594" s="27" t="s">
        <v>1757</v>
      </c>
      <c r="D594" s="31" t="n">
        <v>403</v>
      </c>
      <c r="E594" s="32" t="n">
        <v>230322761</v>
      </c>
      <c r="F594" s="8" t="s">
        <v>1758</v>
      </c>
      <c r="G594" s="22" t="s">
        <v>1759</v>
      </c>
      <c r="H594" s="22" t="s">
        <v>129</v>
      </c>
      <c r="I594" s="33" t="n">
        <v>2005</v>
      </c>
      <c r="J594" s="32" t="n">
        <v>73</v>
      </c>
      <c r="K594" s="32" t="n">
        <v>79</v>
      </c>
      <c r="L594" s="34" t="n">
        <f aca="false">(K594*70)/100</f>
        <v>55.3</v>
      </c>
      <c r="M594" s="34" t="n">
        <f aca="false">ROUNDUP(L594,0)</f>
        <v>56</v>
      </c>
      <c r="N594" s="32" t="n">
        <v>20</v>
      </c>
      <c r="O594" s="34" t="n">
        <f aca="false">N594+L594</f>
        <v>75.3</v>
      </c>
      <c r="P594" s="34" t="n">
        <f aca="false">N594+M594</f>
        <v>76</v>
      </c>
      <c r="Q594" s="32" t="n">
        <v>75</v>
      </c>
      <c r="R594" s="32" t="n">
        <v>81</v>
      </c>
      <c r="S594" s="34" t="n">
        <f aca="false">(R594*70)/100</f>
        <v>56.7</v>
      </c>
      <c r="T594" s="34" t="n">
        <f aca="false">ROUNDUP(S594,0)</f>
        <v>57</v>
      </c>
      <c r="U594" s="32" t="n">
        <v>13</v>
      </c>
      <c r="V594" s="34" t="n">
        <f aca="false">U594+S594</f>
        <v>69.7</v>
      </c>
      <c r="W594" s="34" t="n">
        <f aca="false">U594+T594</f>
        <v>70</v>
      </c>
      <c r="X594" s="32" t="n">
        <v>70</v>
      </c>
      <c r="Y594" s="34" t="n">
        <f aca="false">(X594*70)/100</f>
        <v>49</v>
      </c>
      <c r="Z594" s="34" t="n">
        <f aca="false">ROUNDUP(Y594,0)</f>
        <v>49</v>
      </c>
      <c r="AA594" s="32" t="n">
        <v>26</v>
      </c>
      <c r="AB594" s="34" t="n">
        <f aca="false">AA594+Y594</f>
        <v>75</v>
      </c>
      <c r="AC594" s="34" t="n">
        <f aca="false">AA594+Z594</f>
        <v>75</v>
      </c>
      <c r="AD594" s="32" t="n">
        <f aca="false">X594+R594+Q594+K594+J594</f>
        <v>378</v>
      </c>
      <c r="AE594" s="16" t="n">
        <f aca="false">AD594/5</f>
        <v>75.6</v>
      </c>
      <c r="AF594" s="16" t="n">
        <v>74</v>
      </c>
      <c r="AG594" s="16" t="n">
        <v>89</v>
      </c>
      <c r="AH594" s="16" t="n">
        <v>93</v>
      </c>
      <c r="AI594" s="16" t="n">
        <v>93</v>
      </c>
      <c r="AJ594" s="16" t="n">
        <f aca="false">(AI594*70)/100</f>
        <v>65.1</v>
      </c>
      <c r="AK594" s="35" t="n">
        <f aca="false">ROUNDUP(AJ594,0)</f>
        <v>66</v>
      </c>
      <c r="AL594" s="16" t="n">
        <v>24</v>
      </c>
      <c r="AM594" s="16" t="n">
        <f aca="false">AL594+AJ594</f>
        <v>89.1</v>
      </c>
      <c r="AN594" s="16" t="n">
        <f aca="false">AL594+AK594</f>
        <v>90</v>
      </c>
      <c r="AO594" s="16" t="n">
        <v>78</v>
      </c>
      <c r="AP594" s="36" t="n">
        <f aca="false">(AO594*70)/100</f>
        <v>54.6</v>
      </c>
      <c r="AQ594" s="37" t="n">
        <f aca="false">ROUNDUP(AP594,0)</f>
        <v>55</v>
      </c>
      <c r="AR594" s="16" t="n">
        <v>18</v>
      </c>
      <c r="AS594" s="16" t="n">
        <f aca="false">AR594+AP594</f>
        <v>72.6</v>
      </c>
      <c r="AT594" s="16" t="n">
        <f aca="false">AR594+AQ594</f>
        <v>73</v>
      </c>
      <c r="AU594" s="16" t="n">
        <f aca="false">AO594+AF594+AI594+AH594+AG594</f>
        <v>427</v>
      </c>
      <c r="AV594" s="16" t="n">
        <f aca="false">(AO594+AF594+AI594+AH594+AG594)/5</f>
        <v>85.4</v>
      </c>
      <c r="AW594" s="36" t="n">
        <f aca="false">(AO594+AF594+AI594+AH594+AG594+X594+R594+Q594+K594+J594)</f>
        <v>805</v>
      </c>
      <c r="AX594" s="16" t="n">
        <f aca="false">AW594/10</f>
        <v>80.5</v>
      </c>
      <c r="AY594" s="16" t="n">
        <f aca="false">AS594+AF594+AM594+AH594+AG594+AB594+V594+Q594+O594+J594</f>
        <v>785.7</v>
      </c>
      <c r="AZ594" s="16" t="n">
        <f aca="false">AT594+AF594+AN594+AH594+AG594+AC594+W594+Q594+P594+J594</f>
        <v>788</v>
      </c>
      <c r="BA594" s="16" t="n">
        <f aca="false">AY594/10</f>
        <v>78.57</v>
      </c>
      <c r="BB594" s="16" t="n">
        <f aca="false">AZ594/10</f>
        <v>78.8</v>
      </c>
      <c r="BC594" s="16" t="n">
        <v>2378</v>
      </c>
      <c r="BD594" s="16" t="n">
        <f aca="false">RANK(AX594,$AX$2:$AX$881,0)</f>
        <v>234</v>
      </c>
      <c r="BE594" s="54" t="n">
        <f aca="false">((BC594*100)/2400)*0.4+(AX594*0.6)</f>
        <v>87.9333333333333</v>
      </c>
      <c r="BF594" s="16" t="n">
        <f aca="false">RANK(BE594,$BE$2:$BE$881,0)</f>
        <v>211</v>
      </c>
      <c r="BG594" s="39" t="n">
        <f aca="false">RANK(BB594,$BB$2:$BB$881,0)</f>
        <v>472</v>
      </c>
      <c r="BH594" s="39" t="n">
        <f aca="false">RANK(BC594,$BC$2:$BC$881,0)</f>
        <v>173</v>
      </c>
      <c r="BI594" s="22" t="s">
        <v>130</v>
      </c>
      <c r="BJ594" s="22" t="s">
        <v>129</v>
      </c>
      <c r="BK594" s="40" t="s">
        <v>131</v>
      </c>
      <c r="BL594" s="41" t="n">
        <v>18</v>
      </c>
      <c r="BM594" s="41" t="n">
        <v>56</v>
      </c>
      <c r="BN594" s="41" t="n">
        <v>74</v>
      </c>
      <c r="BO594" s="42" t="n">
        <v>20</v>
      </c>
      <c r="BP594" s="43" t="n">
        <v>67</v>
      </c>
      <c r="BQ594" s="44" t="n">
        <v>87</v>
      </c>
      <c r="BR594" s="42" t="n">
        <v>15</v>
      </c>
      <c r="BS594" s="126" t="n">
        <v>55</v>
      </c>
      <c r="BT594" s="126" t="n">
        <v>70</v>
      </c>
      <c r="BU594" s="46" t="n">
        <v>100</v>
      </c>
      <c r="BV594" s="47" t="n">
        <v>96</v>
      </c>
      <c r="BW594" s="42" t="n">
        <v>98</v>
      </c>
      <c r="BX594" s="48" t="n">
        <v>92</v>
      </c>
      <c r="BY594" s="32" t="n">
        <v>26</v>
      </c>
      <c r="BZ594" s="32" t="n">
        <v>57</v>
      </c>
      <c r="CA594" s="32" t="n">
        <v>83</v>
      </c>
      <c r="CB594" s="32" t="n">
        <v>25</v>
      </c>
      <c r="CC594" s="32" t="n">
        <v>45</v>
      </c>
      <c r="CD594" s="32" t="n">
        <v>70</v>
      </c>
      <c r="CE594" s="32" t="n">
        <v>21</v>
      </c>
      <c r="CF594" s="32" t="n">
        <v>49</v>
      </c>
      <c r="CG594" s="32" t="n">
        <v>70</v>
      </c>
      <c r="CH594" s="32" t="n">
        <v>98</v>
      </c>
      <c r="CI594" s="32" t="n">
        <v>88</v>
      </c>
      <c r="CJ594" s="49" t="n">
        <v>18</v>
      </c>
      <c r="CK594" s="60"/>
      <c r="CL594" s="61"/>
      <c r="CM594" s="49" t="n">
        <v>21</v>
      </c>
      <c r="CN594" s="49" t="n">
        <v>55</v>
      </c>
      <c r="CO594" s="49" t="n">
        <v>76</v>
      </c>
      <c r="CP594" s="25" t="n">
        <f aca="false">BX594+BW594+BV594+BU594+BT594+BQ594+BN594</f>
        <v>617</v>
      </c>
      <c r="CQ594" s="25" t="n">
        <f aca="false">CO594+CL594+CI594+CH594+CG594+CD594+CA594</f>
        <v>485</v>
      </c>
      <c r="CR594" s="26" t="n">
        <f aca="false">CP594/7</f>
        <v>88.1428571428571</v>
      </c>
      <c r="CS594" s="26" t="n">
        <f aca="false">CQ594/7</f>
        <v>69.2857142857143</v>
      </c>
      <c r="CT594" s="24" t="n">
        <f aca="false">RANK(CR594,$CR$2:$CR$881,0)</f>
        <v>297</v>
      </c>
      <c r="CU594" s="25" t="n">
        <f aca="false">RANK(CS594,$CS$2:$CS$881,0)</f>
        <v>568</v>
      </c>
      <c r="CV594" s="26" t="n">
        <f aca="false">(CS594+CR594)/2</f>
        <v>78.7142857142857</v>
      </c>
      <c r="CW594" s="25" t="n">
        <f aca="false">RANK(CV594,$CV$2:$CV$881,0)</f>
        <v>472</v>
      </c>
      <c r="CX594" s="50" t="n">
        <f aca="false">(CV594+BB594)/2</f>
        <v>78.7571428571429</v>
      </c>
      <c r="CY594" s="50" t="n">
        <v>431</v>
      </c>
      <c r="CZ594" s="27" t="s">
        <v>132</v>
      </c>
      <c r="DA594" s="27" t="s">
        <v>176</v>
      </c>
      <c r="DB594" s="27" t="s">
        <v>176</v>
      </c>
      <c r="DC594" s="27" t="s">
        <v>134</v>
      </c>
      <c r="DD594" s="27" t="s">
        <v>137</v>
      </c>
      <c r="DE594" s="27" t="s">
        <v>220</v>
      </c>
      <c r="DF594" s="27" t="s">
        <v>205</v>
      </c>
      <c r="DG594" s="27" t="s">
        <v>134</v>
      </c>
      <c r="DH594" s="27" t="s">
        <v>135</v>
      </c>
      <c r="DI594" s="27" t="s">
        <v>177</v>
      </c>
      <c r="DJ594" s="27" t="s">
        <v>175</v>
      </c>
      <c r="DK594" s="27" t="s">
        <v>134</v>
      </c>
      <c r="DL594" s="27"/>
      <c r="DM594" s="27"/>
      <c r="DN594" s="27"/>
      <c r="DO594" s="27"/>
      <c r="DP594" s="27"/>
      <c r="DQ594" s="27"/>
      <c r="DR594" s="27"/>
      <c r="DS594" s="27"/>
      <c r="DT594" s="27" t="s">
        <v>182</v>
      </c>
      <c r="DU594" s="27" t="s">
        <v>1395</v>
      </c>
      <c r="DV594" s="27" t="s">
        <v>183</v>
      </c>
      <c r="DW594" s="27" t="s">
        <v>182</v>
      </c>
      <c r="DX594" s="27" t="s">
        <v>138</v>
      </c>
      <c r="DY594" s="27" t="s">
        <v>151</v>
      </c>
      <c r="DZ594" s="27" t="n">
        <f aca="false">DY594+DV594+DR594+DN594+DJ594+DF594+DB594</f>
        <v>410</v>
      </c>
      <c r="EA594" s="28" t="n">
        <f aca="false">DZ594/7</f>
        <v>58.5714285714286</v>
      </c>
      <c r="EB594" s="27" t="n">
        <f aca="false">RANK(EA594,$EA$2:$EA$881,0)</f>
        <v>796</v>
      </c>
      <c r="EC594" s="29" t="n">
        <f aca="false">DZ594+CQ594+CP594+AZ594</f>
        <v>2300</v>
      </c>
      <c r="ED594" s="30" t="n">
        <f aca="false">(EA594+CV594+BB594)/3</f>
        <v>72.0285714285714</v>
      </c>
      <c r="EE594" s="51" t="n">
        <f aca="false">ROUND(BE594,3)</f>
        <v>87.933</v>
      </c>
      <c r="EF594" s="51" t="n">
        <f aca="false">ROUND(CR594,3)</f>
        <v>88.143</v>
      </c>
      <c r="EG594" s="51" t="n">
        <f aca="false">ROUND(CS594,3)</f>
        <v>69.286</v>
      </c>
      <c r="EH594" s="51" t="n">
        <f aca="false">ROUND(EA594,3)</f>
        <v>58.571</v>
      </c>
      <c r="EI594" s="51" t="n">
        <f aca="false">ROUND(ED594,3)</f>
        <v>72.029</v>
      </c>
      <c r="EJ594" s="51" t="n">
        <f aca="false">ROUND(CV594,3)</f>
        <v>78.714</v>
      </c>
      <c r="EK594" s="0" t="n">
        <f aca="false">RANK(EI594,$EI$2:$EI$881,0)</f>
        <v>593</v>
      </c>
    </row>
    <row r="595" customFormat="false" ht="15" hidden="false" customHeight="false" outlineLevel="0" collapsed="false">
      <c r="A595" s="4" t="n">
        <v>1902</v>
      </c>
      <c r="B595" s="4" t="n">
        <v>139</v>
      </c>
      <c r="C595" s="27" t="s">
        <v>1760</v>
      </c>
      <c r="D595" s="31" t="n">
        <v>136</v>
      </c>
      <c r="E595" s="16" t="n">
        <v>234300136</v>
      </c>
      <c r="F595" s="56" t="s">
        <v>1761</v>
      </c>
      <c r="G595" s="22" t="s">
        <v>1762</v>
      </c>
      <c r="H595" s="22" t="s">
        <v>271</v>
      </c>
      <c r="I595" s="57"/>
      <c r="J595" s="16" t="n">
        <v>65</v>
      </c>
      <c r="K595" s="16" t="n">
        <v>54</v>
      </c>
      <c r="L595" s="34" t="n">
        <f aca="false">(K595*70)/100</f>
        <v>37.8</v>
      </c>
      <c r="M595" s="34" t="n">
        <f aca="false">ROUNDUP(L595,0)</f>
        <v>38</v>
      </c>
      <c r="N595" s="16" t="n">
        <v>22</v>
      </c>
      <c r="O595" s="34" t="n">
        <f aca="false">N595+L595</f>
        <v>59.8</v>
      </c>
      <c r="P595" s="34" t="n">
        <f aca="false">N595+M595</f>
        <v>60</v>
      </c>
      <c r="Q595" s="16" t="n">
        <v>69</v>
      </c>
      <c r="R595" s="16" t="n">
        <v>59</v>
      </c>
      <c r="S595" s="34" t="n">
        <f aca="false">(R595*70)/100</f>
        <v>41.3</v>
      </c>
      <c r="T595" s="34" t="n">
        <f aca="false">ROUNDUP(S595,0)</f>
        <v>42</v>
      </c>
      <c r="U595" s="16" t="n">
        <v>22</v>
      </c>
      <c r="V595" s="34" t="n">
        <f aca="false">U595+S595</f>
        <v>63.3</v>
      </c>
      <c r="W595" s="34" t="n">
        <f aca="false">U595+T595</f>
        <v>64</v>
      </c>
      <c r="X595" s="16" t="n">
        <v>61</v>
      </c>
      <c r="Y595" s="34" t="n">
        <f aca="false">(X595*70)/100</f>
        <v>42.7</v>
      </c>
      <c r="Z595" s="34" t="n">
        <f aca="false">ROUNDUP(Y595,0)</f>
        <v>43</v>
      </c>
      <c r="AA595" s="16" t="n">
        <v>25</v>
      </c>
      <c r="AB595" s="34" t="n">
        <f aca="false">AA595+Y595</f>
        <v>67.7</v>
      </c>
      <c r="AC595" s="34" t="n">
        <f aca="false">AA595+Z595</f>
        <v>68</v>
      </c>
      <c r="AD595" s="32" t="n">
        <f aca="false">X595+R595+Q595+K595+J595</f>
        <v>308</v>
      </c>
      <c r="AE595" s="16" t="n">
        <f aca="false">AD595/5</f>
        <v>61.6</v>
      </c>
      <c r="AF595" s="16" t="n">
        <v>63</v>
      </c>
      <c r="AG595" s="16" t="n">
        <v>67</v>
      </c>
      <c r="AH595" s="16" t="n">
        <v>80</v>
      </c>
      <c r="AI595" s="16" t="n">
        <v>87</v>
      </c>
      <c r="AJ595" s="16" t="n">
        <f aca="false">(AI595*70)/100</f>
        <v>60.9</v>
      </c>
      <c r="AK595" s="35" t="n">
        <f aca="false">ROUNDUP(AJ595,0)</f>
        <v>61</v>
      </c>
      <c r="AL595" s="16" t="n">
        <v>22</v>
      </c>
      <c r="AM595" s="16" t="n">
        <f aca="false">AL595+AJ595</f>
        <v>82.9</v>
      </c>
      <c r="AN595" s="16" t="n">
        <f aca="false">AL595+AK595</f>
        <v>83</v>
      </c>
      <c r="AO595" s="16" t="n">
        <v>59</v>
      </c>
      <c r="AP595" s="36" t="n">
        <f aca="false">(AO595*70)/100</f>
        <v>41.3</v>
      </c>
      <c r="AQ595" s="37" t="n">
        <f aca="false">ROUNDUP(AP595,0)</f>
        <v>42</v>
      </c>
      <c r="AR595" s="16" t="n">
        <v>19</v>
      </c>
      <c r="AS595" s="16" t="n">
        <f aca="false">AR595+AP595</f>
        <v>60.3</v>
      </c>
      <c r="AT595" s="16" t="n">
        <f aca="false">AR595+AQ595</f>
        <v>61</v>
      </c>
      <c r="AU595" s="16" t="n">
        <f aca="false">AO595+AF595+AI595+AH595+AG595</f>
        <v>356</v>
      </c>
      <c r="AV595" s="16" t="n">
        <f aca="false">(AO595+AF595+AI595+AH595+AG595)/5</f>
        <v>71.2</v>
      </c>
      <c r="AW595" s="36" t="n">
        <f aca="false">(AO595+AF595+AI595+AH595+AG595+X595+R595+Q595+K595+J595)</f>
        <v>664</v>
      </c>
      <c r="AX595" s="16" t="n">
        <f aca="false">AW595/10</f>
        <v>66.4</v>
      </c>
      <c r="AY595" s="16" t="n">
        <f aca="false">AS595+AF595+AM595+AH595+AG595+AB595+V595+Q595+O595+J595</f>
        <v>678</v>
      </c>
      <c r="AZ595" s="16" t="n">
        <f aca="false">AT595+AF595+AN595+AH595+AG595+AC595+W595+Q595+P595+J595</f>
        <v>680</v>
      </c>
      <c r="BA595" s="16" t="n">
        <f aca="false">AY595/10</f>
        <v>67.8</v>
      </c>
      <c r="BB595" s="16" t="n">
        <f aca="false">AZ595/10</f>
        <v>68</v>
      </c>
      <c r="BC595" s="72" t="n">
        <v>0</v>
      </c>
      <c r="BD595" s="16" t="n">
        <f aca="false">RANK(AX595,$AX$2:$AX$881,0)</f>
        <v>754</v>
      </c>
      <c r="BE595" s="78" t="n">
        <f aca="false">AX595</f>
        <v>66.4</v>
      </c>
      <c r="BF595" s="16" t="n">
        <f aca="false">RANK(BE595,$BE$2:$BE$881,0)</f>
        <v>796</v>
      </c>
      <c r="BG595" s="39" t="n">
        <f aca="false">RANK(BB595,$BB$2:$BB$881,0)</f>
        <v>759</v>
      </c>
      <c r="BH595" s="39" t="n">
        <f aca="false">RANK(BC595,$BC$2:$BC$881,0)</f>
        <v>780</v>
      </c>
      <c r="BI595" s="22" t="s">
        <v>130</v>
      </c>
      <c r="BJ595" s="22" t="s">
        <v>129</v>
      </c>
      <c r="BK595" s="22" t="s">
        <v>526</v>
      </c>
      <c r="BL595" s="41" t="n">
        <v>15</v>
      </c>
      <c r="BM595" s="41" t="n">
        <v>42</v>
      </c>
      <c r="BN595" s="98" t="n">
        <v>57</v>
      </c>
      <c r="BO595" s="42" t="n">
        <v>17</v>
      </c>
      <c r="BP595" s="43" t="n">
        <v>50</v>
      </c>
      <c r="BQ595" s="44" t="n">
        <v>67</v>
      </c>
      <c r="BR595" s="42" t="n">
        <v>19</v>
      </c>
      <c r="BS595" s="45" t="n">
        <v>44</v>
      </c>
      <c r="BT595" s="45" t="n">
        <v>63</v>
      </c>
      <c r="BU595" s="46" t="n">
        <v>98</v>
      </c>
      <c r="BV595" s="47" t="n">
        <v>70</v>
      </c>
      <c r="BW595" s="42" t="n">
        <v>99</v>
      </c>
      <c r="BX595" s="48" t="n">
        <v>96</v>
      </c>
      <c r="BY595" s="32" t="n">
        <v>22</v>
      </c>
      <c r="BZ595" s="32" t="n">
        <v>42</v>
      </c>
      <c r="CA595" s="32" t="n">
        <v>64</v>
      </c>
      <c r="CB595" s="32" t="n">
        <v>14</v>
      </c>
      <c r="CC595" s="32" t="n">
        <v>38</v>
      </c>
      <c r="CD595" s="69" t="n">
        <v>52</v>
      </c>
      <c r="CE595" s="32" t="n">
        <v>25</v>
      </c>
      <c r="CF595" s="32" t="n">
        <v>39</v>
      </c>
      <c r="CG595" s="32" t="n">
        <v>64</v>
      </c>
      <c r="CH595" s="32" t="n">
        <v>96</v>
      </c>
      <c r="CI595" s="32" t="n">
        <v>78</v>
      </c>
      <c r="CJ595" s="49" t="n">
        <v>13</v>
      </c>
      <c r="CK595" s="49" t="n">
        <v>41</v>
      </c>
      <c r="CL595" s="76" t="n">
        <v>54</v>
      </c>
      <c r="CM595" s="49" t="n">
        <v>22</v>
      </c>
      <c r="CN595" s="49" t="n">
        <v>40</v>
      </c>
      <c r="CO595" s="49" t="n">
        <v>62</v>
      </c>
      <c r="CP595" s="25" t="n">
        <f aca="false">BX595+BW595+BV595+BU595+BT595+BQ595+BN595</f>
        <v>550</v>
      </c>
      <c r="CQ595" s="25" t="n">
        <f aca="false">CO595+CL595+CI595+CH595+CG595+CD595+CA595</f>
        <v>470</v>
      </c>
      <c r="CR595" s="26" t="n">
        <f aca="false">CP595/7</f>
        <v>78.5714285714286</v>
      </c>
      <c r="CS595" s="26" t="n">
        <f aca="false">CQ595/7</f>
        <v>67.1428571428571</v>
      </c>
      <c r="CT595" s="24" t="n">
        <f aca="false">RANK(CR595,$CR$2:$CR$881,0)</f>
        <v>609</v>
      </c>
      <c r="CU595" s="25" t="n">
        <f aca="false">RANK(CS595,$CS$2:$CS$881,0)</f>
        <v>597</v>
      </c>
      <c r="CV595" s="26" t="n">
        <f aca="false">(CS595+CR595)/2</f>
        <v>72.8571428571429</v>
      </c>
      <c r="CW595" s="25" t="n">
        <f aca="false">RANK(CV595,$CV$2:$CV$881,0)</f>
        <v>605</v>
      </c>
      <c r="CX595" s="50" t="n">
        <f aca="false">(CV595+BB595)/2</f>
        <v>70.4285714285714</v>
      </c>
      <c r="CY595" s="50" t="n">
        <v>611</v>
      </c>
      <c r="CZ595" s="27" t="s">
        <v>132</v>
      </c>
      <c r="DA595" s="27" t="s">
        <v>169</v>
      </c>
      <c r="DB595" s="27" t="s">
        <v>169</v>
      </c>
      <c r="DC595" s="27" t="s">
        <v>134</v>
      </c>
      <c r="DD595" s="27" t="s">
        <v>182</v>
      </c>
      <c r="DE595" s="27" t="s">
        <v>442</v>
      </c>
      <c r="DF595" s="27" t="s">
        <v>486</v>
      </c>
      <c r="DG595" s="27" t="s">
        <v>134</v>
      </c>
      <c r="DH595" s="27" t="s">
        <v>137</v>
      </c>
      <c r="DI595" s="27" t="s">
        <v>1064</v>
      </c>
      <c r="DJ595" s="27" t="s">
        <v>203</v>
      </c>
      <c r="DK595" s="27" t="s">
        <v>134</v>
      </c>
      <c r="DL595" s="27" t="s">
        <v>182</v>
      </c>
      <c r="DM595" s="27" t="s">
        <v>218</v>
      </c>
      <c r="DN595" s="27" t="s">
        <v>196</v>
      </c>
      <c r="DO595" s="27" t="s">
        <v>134</v>
      </c>
      <c r="DP595" s="27" t="s">
        <v>706</v>
      </c>
      <c r="DQ595" s="27" t="s">
        <v>681</v>
      </c>
      <c r="DR595" s="27" t="s">
        <v>161</v>
      </c>
      <c r="DS595" s="27" t="s">
        <v>134</v>
      </c>
      <c r="DT595" s="27" t="s">
        <v>135</v>
      </c>
      <c r="DU595" s="27" t="s">
        <v>638</v>
      </c>
      <c r="DV595" s="27" t="s">
        <v>155</v>
      </c>
      <c r="DW595" s="27" t="s">
        <v>135</v>
      </c>
      <c r="DX595" s="27" t="s">
        <v>155</v>
      </c>
      <c r="DY595" s="27" t="s">
        <v>139</v>
      </c>
      <c r="DZ595" s="27" t="n">
        <f aca="false">DY595+DV595+DR595+DN595+DJ595+DF595+DB595</f>
        <v>525</v>
      </c>
      <c r="EA595" s="28" t="n">
        <f aca="false">DZ595/7</f>
        <v>75</v>
      </c>
      <c r="EB595" s="27" t="n">
        <f aca="false">RANK(EA595,$EA$2:$EA$881,0)</f>
        <v>540</v>
      </c>
      <c r="EC595" s="29" t="n">
        <f aca="false">DZ595+CQ595+CP595+AZ595</f>
        <v>2225</v>
      </c>
      <c r="ED595" s="30" t="n">
        <f aca="false">(EA595+CV595+BB595)/3</f>
        <v>71.952380952381</v>
      </c>
      <c r="EE595" s="51" t="n">
        <f aca="false">ROUND(BE595,3)</f>
        <v>66.4</v>
      </c>
      <c r="EF595" s="51" t="n">
        <f aca="false">ROUND(CR595,3)</f>
        <v>78.571</v>
      </c>
      <c r="EG595" s="51" t="n">
        <f aca="false">ROUND(CS595,3)</f>
        <v>67.143</v>
      </c>
      <c r="EH595" s="51" t="n">
        <f aca="false">ROUND(EA595,3)</f>
        <v>75</v>
      </c>
      <c r="EI595" s="51" t="n">
        <f aca="false">ROUND(ED595,3)</f>
        <v>71.952</v>
      </c>
      <c r="EJ595" s="51" t="n">
        <f aca="false">ROUND(CV595,3)</f>
        <v>72.857</v>
      </c>
      <c r="EK595" s="0" t="n">
        <f aca="false">RANK(EI595,$EI$2:$EI$881,0)</f>
        <v>594</v>
      </c>
    </row>
    <row r="596" customFormat="false" ht="15" hidden="false" customHeight="false" outlineLevel="0" collapsed="false">
      <c r="A596" s="4" t="n">
        <v>1982</v>
      </c>
      <c r="B596" s="4" t="n">
        <v>213</v>
      </c>
      <c r="C596" s="27" t="s">
        <v>1763</v>
      </c>
      <c r="D596" s="31" t="n">
        <v>214</v>
      </c>
      <c r="E596" s="32" t="n">
        <v>230319736</v>
      </c>
      <c r="F596" s="8" t="s">
        <v>1764</v>
      </c>
      <c r="G596" s="22" t="s">
        <v>345</v>
      </c>
      <c r="H596" s="22" t="s">
        <v>129</v>
      </c>
      <c r="I596" s="33" t="n">
        <v>2005</v>
      </c>
      <c r="J596" s="32" t="n">
        <v>73</v>
      </c>
      <c r="K596" s="32" t="n">
        <v>73</v>
      </c>
      <c r="L596" s="34" t="n">
        <f aca="false">(K596*70)/100</f>
        <v>51.1</v>
      </c>
      <c r="M596" s="34" t="n">
        <f aca="false">ROUNDUP(L596,0)</f>
        <v>52</v>
      </c>
      <c r="N596" s="32" t="n">
        <v>28</v>
      </c>
      <c r="O596" s="34" t="n">
        <f aca="false">N596+L596</f>
        <v>79.1</v>
      </c>
      <c r="P596" s="34" t="n">
        <f aca="false">N596+M596</f>
        <v>80</v>
      </c>
      <c r="Q596" s="32" t="n">
        <v>75</v>
      </c>
      <c r="R596" s="32" t="n">
        <v>79</v>
      </c>
      <c r="S596" s="34" t="n">
        <f aca="false">(R596*70)/100</f>
        <v>55.3</v>
      </c>
      <c r="T596" s="34" t="n">
        <f aca="false">ROUNDUP(S596,0)</f>
        <v>56</v>
      </c>
      <c r="U596" s="32" t="n">
        <v>26</v>
      </c>
      <c r="V596" s="34" t="n">
        <f aca="false">U596+S596</f>
        <v>81.3</v>
      </c>
      <c r="W596" s="34" t="n">
        <f aca="false">U596+T596</f>
        <v>82</v>
      </c>
      <c r="X596" s="32" t="n">
        <v>78</v>
      </c>
      <c r="Y596" s="34" t="n">
        <f aca="false">(X596*70)/100</f>
        <v>54.6</v>
      </c>
      <c r="Z596" s="34" t="n">
        <f aca="false">ROUNDUP(Y596,0)</f>
        <v>55</v>
      </c>
      <c r="AA596" s="32" t="n">
        <v>27</v>
      </c>
      <c r="AB596" s="34" t="n">
        <f aca="false">AA596+Y596</f>
        <v>81.6</v>
      </c>
      <c r="AC596" s="34" t="n">
        <f aca="false">AA596+Z596</f>
        <v>82</v>
      </c>
      <c r="AD596" s="32" t="n">
        <f aca="false">X596+R596+Q596+K596+J596</f>
        <v>378</v>
      </c>
      <c r="AE596" s="16" t="n">
        <f aca="false">AD596/5</f>
        <v>75.6</v>
      </c>
      <c r="AF596" s="16" t="n">
        <v>66</v>
      </c>
      <c r="AG596" s="16" t="n">
        <v>82</v>
      </c>
      <c r="AH596" s="16" t="n">
        <v>88</v>
      </c>
      <c r="AI596" s="16" t="n">
        <v>89</v>
      </c>
      <c r="AJ596" s="16" t="n">
        <f aca="false">(AI596*70)/100</f>
        <v>62.3</v>
      </c>
      <c r="AK596" s="35" t="n">
        <f aca="false">ROUNDUP(AJ596,0)</f>
        <v>63</v>
      </c>
      <c r="AL596" s="16" t="n">
        <v>28</v>
      </c>
      <c r="AM596" s="16" t="n">
        <f aca="false">AL596+AJ596</f>
        <v>90.3</v>
      </c>
      <c r="AN596" s="16" t="n">
        <f aca="false">AL596+AK596</f>
        <v>91</v>
      </c>
      <c r="AO596" s="16" t="n">
        <v>71</v>
      </c>
      <c r="AP596" s="36" t="n">
        <f aca="false">(AO596*70)/100</f>
        <v>49.7</v>
      </c>
      <c r="AQ596" s="37" t="n">
        <f aca="false">ROUNDUP(AP596,0)</f>
        <v>50</v>
      </c>
      <c r="AR596" s="16" t="n">
        <v>27</v>
      </c>
      <c r="AS596" s="16" t="n">
        <f aca="false">AR596+AP596</f>
        <v>76.7</v>
      </c>
      <c r="AT596" s="16" t="n">
        <f aca="false">AR596+AQ596</f>
        <v>77</v>
      </c>
      <c r="AU596" s="16" t="n">
        <f aca="false">AO596+AF596+AI596+AH596+AG596</f>
        <v>396</v>
      </c>
      <c r="AV596" s="16" t="n">
        <f aca="false">(AO596+AF596+AI596+AH596+AG596)/5</f>
        <v>79.2</v>
      </c>
      <c r="AW596" s="36" t="n">
        <f aca="false">(AO596+AF596+AI596+AH596+AG596+X596+R596+Q596+K596+J596)</f>
        <v>774</v>
      </c>
      <c r="AX596" s="16" t="n">
        <f aca="false">AW596/10</f>
        <v>77.4</v>
      </c>
      <c r="AY596" s="16" t="n">
        <f aca="false">AS596+AF596+AM596+AH596+AG596+AB596+V596+Q596+O596+J596</f>
        <v>793</v>
      </c>
      <c r="AZ596" s="16" t="n">
        <f aca="false">AT596+AF596+AN596+AH596+AG596+AC596+W596+Q596+P596+J596</f>
        <v>796</v>
      </c>
      <c r="BA596" s="16" t="n">
        <f aca="false">AY596/10</f>
        <v>79.3</v>
      </c>
      <c r="BB596" s="16" t="n">
        <f aca="false">AZ596/10</f>
        <v>79.6</v>
      </c>
      <c r="BC596" s="16" t="n">
        <v>2344</v>
      </c>
      <c r="BD596" s="16" t="n">
        <f aca="false">RANK(AX596,$AX$2:$AX$881,0)</f>
        <v>461</v>
      </c>
      <c r="BE596" s="54" t="n">
        <f aca="false">((BC596*100)/2400)*0.4+(AX596*0.6)</f>
        <v>85.5066666666667</v>
      </c>
      <c r="BF596" s="16" t="n">
        <f aca="false">RANK(BE596,$BE$2:$BE$881,0)</f>
        <v>504</v>
      </c>
      <c r="BG596" s="39" t="n">
        <f aca="false">RANK(BB596,$BB$2:$BB$881,0)</f>
        <v>392</v>
      </c>
      <c r="BH596" s="39" t="n">
        <f aca="false">RANK(BC596,$BC$2:$BC$881,0)</f>
        <v>598</v>
      </c>
      <c r="BI596" s="22" t="s">
        <v>130</v>
      </c>
      <c r="BJ596" s="22" t="s">
        <v>129</v>
      </c>
      <c r="BK596" s="40" t="s">
        <v>509</v>
      </c>
      <c r="BL596" s="41" t="n">
        <v>27</v>
      </c>
      <c r="BM596" s="41" t="n">
        <v>58</v>
      </c>
      <c r="BN596" s="41" t="n">
        <v>85</v>
      </c>
      <c r="BO596" s="42" t="n">
        <v>28</v>
      </c>
      <c r="BP596" s="43" t="n">
        <v>52</v>
      </c>
      <c r="BQ596" s="44" t="n">
        <v>80</v>
      </c>
      <c r="BR596" s="42" t="n">
        <v>23</v>
      </c>
      <c r="BS596" s="45" t="n">
        <v>61</v>
      </c>
      <c r="BT596" s="45" t="n">
        <v>84</v>
      </c>
      <c r="BU596" s="46" t="n">
        <v>100</v>
      </c>
      <c r="BV596" s="47" t="n">
        <v>84</v>
      </c>
      <c r="BW596" s="42" t="n">
        <v>100</v>
      </c>
      <c r="BX596" s="107"/>
      <c r="BY596" s="60"/>
      <c r="BZ596" s="60"/>
      <c r="CA596" s="60"/>
      <c r="CB596" s="60"/>
      <c r="CC596" s="60"/>
      <c r="CD596" s="60"/>
      <c r="CE596" s="68" t="n">
        <v>0</v>
      </c>
      <c r="CF596" s="60"/>
      <c r="CG596" s="60"/>
      <c r="CH596" s="58" t="n">
        <v>100</v>
      </c>
      <c r="CI596" s="58" t="n">
        <v>100</v>
      </c>
      <c r="CJ596" s="60"/>
      <c r="CK596" s="60"/>
      <c r="CL596" s="61"/>
      <c r="CM596" s="60"/>
      <c r="CN596" s="60"/>
      <c r="CO596" s="60"/>
      <c r="CP596" s="25" t="n">
        <f aca="false">BX596+BW596+BV596+BU596+BT596+BQ596+BN596</f>
        <v>533</v>
      </c>
      <c r="CQ596" s="25" t="n">
        <f aca="false">CO596+CL596+CI596+CH596+CG596+CD596+CA596</f>
        <v>200</v>
      </c>
      <c r="CR596" s="26" t="n">
        <f aca="false">CP596/7</f>
        <v>76.1428571428571</v>
      </c>
      <c r="CS596" s="26" t="n">
        <f aca="false">CQ596/7</f>
        <v>28.5714285714286</v>
      </c>
      <c r="CT596" s="24" t="n">
        <f aca="false">RANK(CR596,$CR$2:$CR$881,0)</f>
        <v>634</v>
      </c>
      <c r="CU596" s="25" t="n">
        <f aca="false">RANK(CS596,$CS$2:$CS$881,0)</f>
        <v>724</v>
      </c>
      <c r="CV596" s="26" t="n">
        <f aca="false">(CS596+CR596)/2</f>
        <v>52.3571428571429</v>
      </c>
      <c r="CW596" s="25" t="n">
        <f aca="false">RANK(CV596,$CV$2:$CV$881,0)</f>
        <v>712</v>
      </c>
      <c r="CX596" s="50" t="n">
        <f aca="false">(CV596+BB596)/2</f>
        <v>65.9785714285714</v>
      </c>
      <c r="CY596" s="50" t="n">
        <v>648</v>
      </c>
      <c r="CZ596" s="27" t="s">
        <v>132</v>
      </c>
      <c r="DA596" s="27" t="s">
        <v>176</v>
      </c>
      <c r="DB596" s="27" t="s">
        <v>176</v>
      </c>
      <c r="DC596" s="27" t="s">
        <v>134</v>
      </c>
      <c r="DD596" s="27" t="s">
        <v>164</v>
      </c>
      <c r="DE596" s="27" t="s">
        <v>220</v>
      </c>
      <c r="DF596" s="27" t="s">
        <v>169</v>
      </c>
      <c r="DG596" s="27" t="s">
        <v>134</v>
      </c>
      <c r="DH596" s="27" t="s">
        <v>160</v>
      </c>
      <c r="DI596" s="27" t="s">
        <v>152</v>
      </c>
      <c r="DJ596" s="27" t="s">
        <v>176</v>
      </c>
      <c r="DK596" s="27" t="s">
        <v>134</v>
      </c>
      <c r="DL596" s="27" t="s">
        <v>135</v>
      </c>
      <c r="DM596" s="27" t="s">
        <v>447</v>
      </c>
      <c r="DN596" s="27" t="s">
        <v>305</v>
      </c>
      <c r="DO596" s="27" t="s">
        <v>134</v>
      </c>
      <c r="DP596" s="27" t="s">
        <v>264</v>
      </c>
      <c r="DQ596" s="27" t="s">
        <v>375</v>
      </c>
      <c r="DR596" s="27" t="s">
        <v>138</v>
      </c>
      <c r="DS596" s="27" t="s">
        <v>134</v>
      </c>
      <c r="DT596" s="27" t="s">
        <v>140</v>
      </c>
      <c r="DU596" s="27" t="s">
        <v>412</v>
      </c>
      <c r="DV596" s="27" t="s">
        <v>219</v>
      </c>
      <c r="DW596" s="27" t="s">
        <v>135</v>
      </c>
      <c r="DX596" s="27" t="s">
        <v>143</v>
      </c>
      <c r="DY596" s="27" t="s">
        <v>151</v>
      </c>
      <c r="DZ596" s="27" t="n">
        <f aca="false">DY596+DV596+DR596+DN596+DJ596+DF596+DB596</f>
        <v>587</v>
      </c>
      <c r="EA596" s="28" t="n">
        <f aca="false">DZ596/7</f>
        <v>83.8571428571429</v>
      </c>
      <c r="EB596" s="27" t="n">
        <f aca="false">RANK(EA596,$EA$2:$EA$881,0)</f>
        <v>230</v>
      </c>
      <c r="EC596" s="29" t="n">
        <f aca="false">DZ596+CQ596+CP596+AZ596</f>
        <v>2116</v>
      </c>
      <c r="ED596" s="30" t="n">
        <f aca="false">(EA596+CV596+BB596)/3</f>
        <v>71.9380952380952</v>
      </c>
      <c r="EE596" s="51" t="n">
        <f aca="false">ROUND(BE596,3)</f>
        <v>85.507</v>
      </c>
      <c r="EF596" s="51" t="n">
        <f aca="false">ROUND(CR596,3)</f>
        <v>76.143</v>
      </c>
      <c r="EG596" s="51" t="n">
        <f aca="false">ROUND(CS596,3)</f>
        <v>28.571</v>
      </c>
      <c r="EH596" s="51" t="n">
        <f aca="false">ROUND(EA596,3)</f>
        <v>83.857</v>
      </c>
      <c r="EI596" s="51" t="n">
        <f aca="false">ROUND(ED596,3)</f>
        <v>71.938</v>
      </c>
      <c r="EJ596" s="51" t="n">
        <f aca="false">ROUND(CV596,3)</f>
        <v>52.357</v>
      </c>
      <c r="EK596" s="0" t="n">
        <f aca="false">RANK(EI596,$EI$2:$EI$881,0)</f>
        <v>595</v>
      </c>
    </row>
    <row r="597" customFormat="false" ht="15" hidden="false" customHeight="false" outlineLevel="0" collapsed="false">
      <c r="A597" s="4" t="n">
        <v>8878</v>
      </c>
      <c r="B597" s="4" t="n">
        <v>85</v>
      </c>
      <c r="C597" s="27" t="s">
        <v>1765</v>
      </c>
      <c r="D597" s="52" t="n">
        <v>86</v>
      </c>
      <c r="E597" s="32" t="n">
        <v>230312544</v>
      </c>
      <c r="F597" s="8" t="s">
        <v>1766</v>
      </c>
      <c r="G597" s="22" t="s">
        <v>1767</v>
      </c>
      <c r="H597" s="22" t="s">
        <v>129</v>
      </c>
      <c r="I597" s="33" t="n">
        <v>2005</v>
      </c>
      <c r="J597" s="32" t="n">
        <v>69</v>
      </c>
      <c r="K597" s="32" t="n">
        <v>72</v>
      </c>
      <c r="L597" s="34" t="n">
        <f aca="false">(K597*70)/100</f>
        <v>50.4</v>
      </c>
      <c r="M597" s="34" t="n">
        <f aca="false">ROUNDUP(L597,0)</f>
        <v>51</v>
      </c>
      <c r="N597" s="32" t="n">
        <v>24</v>
      </c>
      <c r="O597" s="34" t="n">
        <f aca="false">N597+L597</f>
        <v>74.4</v>
      </c>
      <c r="P597" s="34" t="n">
        <f aca="false">N597+M597</f>
        <v>75</v>
      </c>
      <c r="Q597" s="32" t="n">
        <v>64</v>
      </c>
      <c r="R597" s="32" t="n">
        <v>69</v>
      </c>
      <c r="S597" s="34" t="n">
        <f aca="false">(R597*70)/100</f>
        <v>48.3</v>
      </c>
      <c r="T597" s="34" t="n">
        <f aca="false">ROUNDUP(S597,0)</f>
        <v>49</v>
      </c>
      <c r="U597" s="32" t="n">
        <v>27</v>
      </c>
      <c r="V597" s="34" t="n">
        <f aca="false">U597+S597</f>
        <v>75.3</v>
      </c>
      <c r="W597" s="34" t="n">
        <f aca="false">U597+T597</f>
        <v>76</v>
      </c>
      <c r="X597" s="32" t="n">
        <v>75</v>
      </c>
      <c r="Y597" s="34" t="n">
        <f aca="false">(X597*70)/100</f>
        <v>52.5</v>
      </c>
      <c r="Z597" s="34" t="n">
        <f aca="false">ROUNDUP(Y597,0)</f>
        <v>53</v>
      </c>
      <c r="AA597" s="32" t="n">
        <v>25</v>
      </c>
      <c r="AB597" s="34" t="n">
        <f aca="false">AA597+Y597</f>
        <v>77.5</v>
      </c>
      <c r="AC597" s="34" t="n">
        <f aca="false">AA597+Z597</f>
        <v>78</v>
      </c>
      <c r="AD597" s="32" t="n">
        <f aca="false">X597+R597+Q597+K597+J597</f>
        <v>349</v>
      </c>
      <c r="AE597" s="16" t="n">
        <f aca="false">AD597/5</f>
        <v>69.8</v>
      </c>
      <c r="AF597" s="16" t="n">
        <v>70</v>
      </c>
      <c r="AG597" s="16" t="n">
        <v>79</v>
      </c>
      <c r="AH597" s="16" t="n">
        <v>82</v>
      </c>
      <c r="AI597" s="16" t="n">
        <v>90</v>
      </c>
      <c r="AJ597" s="16" t="n">
        <f aca="false">(AI597*70)/100</f>
        <v>63</v>
      </c>
      <c r="AK597" s="35" t="n">
        <f aca="false">ROUNDUP(AJ597,0)</f>
        <v>63</v>
      </c>
      <c r="AL597" s="16" t="n">
        <v>28</v>
      </c>
      <c r="AM597" s="16" t="n">
        <f aca="false">AL597+AJ597</f>
        <v>91</v>
      </c>
      <c r="AN597" s="16" t="n">
        <f aca="false">AL597+AK597</f>
        <v>91</v>
      </c>
      <c r="AO597" s="16" t="n">
        <v>69</v>
      </c>
      <c r="AP597" s="36" t="n">
        <f aca="false">(AO597*70)/100</f>
        <v>48.3</v>
      </c>
      <c r="AQ597" s="37" t="n">
        <f aca="false">ROUNDUP(AP597,0)</f>
        <v>49</v>
      </c>
      <c r="AR597" s="16" t="n">
        <v>25</v>
      </c>
      <c r="AS597" s="16" t="n">
        <f aca="false">AR597+AP597</f>
        <v>73.3</v>
      </c>
      <c r="AT597" s="16" t="n">
        <f aca="false">AR597+AQ597</f>
        <v>74</v>
      </c>
      <c r="AU597" s="16" t="n">
        <f aca="false">AO597+AF597+AI597+AH597+AG597</f>
        <v>390</v>
      </c>
      <c r="AV597" s="16" t="n">
        <f aca="false">(AO597+AF597+AI597+AH597+AG597)/5</f>
        <v>78</v>
      </c>
      <c r="AW597" s="36" t="n">
        <f aca="false">(AO597+AF597+AI597+AH597+AG597+X597+R597+Q597+K597+J597)</f>
        <v>739</v>
      </c>
      <c r="AX597" s="16" t="n">
        <f aca="false">AW597/10</f>
        <v>73.9</v>
      </c>
      <c r="AY597" s="16" t="n">
        <f aca="false">AS597+AF597+AM597+AH597+AG597+AB597+V597+Q597+O597+J597</f>
        <v>755.5</v>
      </c>
      <c r="AZ597" s="16" t="n">
        <f aca="false">AT597+AF597+AN597+AH597+AG597+AC597+W597+Q597+P597+J597</f>
        <v>758</v>
      </c>
      <c r="BA597" s="16" t="n">
        <f aca="false">AY597/10</f>
        <v>75.55</v>
      </c>
      <c r="BB597" s="16" t="n">
        <f aca="false">AZ597/10</f>
        <v>75.8</v>
      </c>
      <c r="BC597" s="16" t="n">
        <v>2352</v>
      </c>
      <c r="BD597" s="16" t="n">
        <f aca="false">RANK(AX597,$AX$2:$AX$881,0)</f>
        <v>705</v>
      </c>
      <c r="BE597" s="73" t="n">
        <f aca="false">((BC597*100)/2400)*0.4+(AX597*0.6)</f>
        <v>83.54</v>
      </c>
      <c r="BF597" s="16" t="n">
        <f aca="false">RANK(BE597,$BE$2:$BE$881,0)</f>
        <v>692</v>
      </c>
      <c r="BG597" s="39" t="n">
        <f aca="false">RANK(BB597,$BB$2:$BB$881,0)</f>
        <v>681</v>
      </c>
      <c r="BH597" s="39" t="n">
        <f aca="false">RANK(BC597,$BC$2:$BC$881,0)</f>
        <v>515</v>
      </c>
      <c r="BI597" s="22" t="s">
        <v>130</v>
      </c>
      <c r="BJ597" s="22" t="s">
        <v>129</v>
      </c>
      <c r="BK597" s="40" t="s">
        <v>702</v>
      </c>
      <c r="BL597" s="41" t="n">
        <v>18</v>
      </c>
      <c r="BM597" s="41" t="n">
        <v>48</v>
      </c>
      <c r="BN597" s="41" t="n">
        <v>66</v>
      </c>
      <c r="BO597" s="42" t="n">
        <v>13</v>
      </c>
      <c r="BP597" s="43" t="n">
        <v>49</v>
      </c>
      <c r="BQ597" s="44" t="n">
        <v>62</v>
      </c>
      <c r="BR597" s="42" t="n">
        <v>16</v>
      </c>
      <c r="BS597" s="45" t="n">
        <v>57</v>
      </c>
      <c r="BT597" s="45" t="n">
        <v>73</v>
      </c>
      <c r="BU597" s="46" t="n">
        <v>92</v>
      </c>
      <c r="BV597" s="47" t="n">
        <v>88</v>
      </c>
      <c r="BW597" s="42" t="n">
        <v>93</v>
      </c>
      <c r="BX597" s="48" t="n">
        <v>86</v>
      </c>
      <c r="BY597" s="32" t="n">
        <v>25</v>
      </c>
      <c r="BZ597" s="32" t="n">
        <v>52</v>
      </c>
      <c r="CA597" s="32" t="n">
        <v>77</v>
      </c>
      <c r="CB597" s="32" t="n">
        <v>18</v>
      </c>
      <c r="CC597" s="32" t="n">
        <v>27</v>
      </c>
      <c r="CD597" s="69" t="n">
        <v>45</v>
      </c>
      <c r="CE597" s="32" t="n">
        <v>26</v>
      </c>
      <c r="CF597" s="32" t="n">
        <v>45</v>
      </c>
      <c r="CG597" s="32" t="n">
        <v>71</v>
      </c>
      <c r="CH597" s="32" t="n">
        <v>86</v>
      </c>
      <c r="CI597" s="32" t="n">
        <v>86</v>
      </c>
      <c r="CJ597" s="49" t="n">
        <v>21</v>
      </c>
      <c r="CK597" s="49" t="n">
        <v>44</v>
      </c>
      <c r="CL597" s="49" t="n">
        <v>65</v>
      </c>
      <c r="CM597" s="49" t="n">
        <v>26</v>
      </c>
      <c r="CN597" s="49" t="n">
        <v>50</v>
      </c>
      <c r="CO597" s="49" t="n">
        <v>76</v>
      </c>
      <c r="CP597" s="25" t="n">
        <f aca="false">BX597+BW597+BV597+BU597+BT597+BQ597+BN597</f>
        <v>560</v>
      </c>
      <c r="CQ597" s="25" t="n">
        <f aca="false">CO597+CL597+CI597+CH597+CG597+CD597+CA597</f>
        <v>506</v>
      </c>
      <c r="CR597" s="26" t="n">
        <f aca="false">CP597/7</f>
        <v>80</v>
      </c>
      <c r="CS597" s="26" t="n">
        <f aca="false">CQ597/7</f>
        <v>72.2857142857143</v>
      </c>
      <c r="CT597" s="24" t="n">
        <f aca="false">RANK(CR597,$CR$2:$CR$881,0)</f>
        <v>585</v>
      </c>
      <c r="CU597" s="25" t="n">
        <f aca="false">RANK(CS597,$CS$2:$CS$881,0)</f>
        <v>501</v>
      </c>
      <c r="CV597" s="26" t="n">
        <f aca="false">(CS597+CR597)/2</f>
        <v>76.1428571428571</v>
      </c>
      <c r="CW597" s="25" t="n">
        <f aca="false">RANK(CV597,$CV$2:$CV$881,0)</f>
        <v>536</v>
      </c>
      <c r="CX597" s="50" t="n">
        <f aca="false">(CV597+BB597)/2</f>
        <v>75.9714285714286</v>
      </c>
      <c r="CY597" s="50" t="n">
        <v>534</v>
      </c>
      <c r="CZ597" s="27" t="s">
        <v>132</v>
      </c>
      <c r="DA597" s="27" t="s">
        <v>305</v>
      </c>
      <c r="DB597" s="27" t="s">
        <v>305</v>
      </c>
      <c r="DC597" s="27" t="s">
        <v>134</v>
      </c>
      <c r="DD597" s="27" t="s">
        <v>154</v>
      </c>
      <c r="DE597" s="27" t="s">
        <v>220</v>
      </c>
      <c r="DF597" s="27" t="s">
        <v>272</v>
      </c>
      <c r="DG597" s="27" t="s">
        <v>134</v>
      </c>
      <c r="DH597" s="27"/>
      <c r="DI597" s="27"/>
      <c r="DJ597" s="27"/>
      <c r="DK597" s="27"/>
      <c r="DL597" s="27" t="s">
        <v>264</v>
      </c>
      <c r="DM597" s="27" t="s">
        <v>447</v>
      </c>
      <c r="DN597" s="27" t="s">
        <v>398</v>
      </c>
      <c r="DO597" s="27" t="s">
        <v>134</v>
      </c>
      <c r="DP597" s="27" t="s">
        <v>1000</v>
      </c>
      <c r="DQ597" s="27" t="s">
        <v>481</v>
      </c>
      <c r="DR597" s="27" t="s">
        <v>412</v>
      </c>
      <c r="DS597" s="27" t="s">
        <v>480</v>
      </c>
      <c r="DT597" s="27" t="s">
        <v>264</v>
      </c>
      <c r="DU597" s="27" t="s">
        <v>412</v>
      </c>
      <c r="DV597" s="27" t="s">
        <v>155</v>
      </c>
      <c r="DW597" s="27" t="s">
        <v>164</v>
      </c>
      <c r="DX597" s="27" t="s">
        <v>138</v>
      </c>
      <c r="DY597" s="27" t="s">
        <v>142</v>
      </c>
      <c r="DZ597" s="27" t="n">
        <f aca="false">DY597+DV597+DR597+DN597+DJ597+DF597+DB597</f>
        <v>446</v>
      </c>
      <c r="EA597" s="28" t="n">
        <f aca="false">DZ597/7</f>
        <v>63.7142857142857</v>
      </c>
      <c r="EB597" s="27" t="n">
        <f aca="false">RANK(EA597,$EA$2:$EA$881,0)</f>
        <v>751</v>
      </c>
      <c r="EC597" s="29" t="n">
        <f aca="false">DZ597+CQ597+CP597+AZ597</f>
        <v>2270</v>
      </c>
      <c r="ED597" s="30" t="n">
        <f aca="false">(EA597+CV597+BB597)/3</f>
        <v>71.8857142857143</v>
      </c>
      <c r="EE597" s="51" t="n">
        <f aca="false">ROUND(BE597,3)</f>
        <v>83.54</v>
      </c>
      <c r="EF597" s="51" t="n">
        <f aca="false">ROUND(CR597,3)</f>
        <v>80</v>
      </c>
      <c r="EG597" s="51" t="n">
        <f aca="false">ROUND(CS597,3)</f>
        <v>72.286</v>
      </c>
      <c r="EH597" s="51" t="n">
        <f aca="false">ROUND(EA597,3)</f>
        <v>63.714</v>
      </c>
      <c r="EI597" s="51" t="n">
        <f aca="false">ROUND(ED597,3)</f>
        <v>71.886</v>
      </c>
      <c r="EJ597" s="51" t="n">
        <f aca="false">ROUND(CV597,3)</f>
        <v>76.143</v>
      </c>
      <c r="EK597" s="0" t="n">
        <f aca="false">RANK(EI597,$EI$2:$EI$881,0)</f>
        <v>596</v>
      </c>
    </row>
    <row r="598" customFormat="false" ht="15" hidden="false" customHeight="false" outlineLevel="0" collapsed="false">
      <c r="A598" s="4" t="n">
        <v>2092</v>
      </c>
      <c r="B598" s="4" t="n">
        <v>503</v>
      </c>
      <c r="C598" s="27" t="s">
        <v>1768</v>
      </c>
      <c r="D598" s="31" t="n">
        <v>510</v>
      </c>
      <c r="E598" s="32" t="n">
        <v>230315399</v>
      </c>
      <c r="F598" s="8" t="s">
        <v>1769</v>
      </c>
      <c r="G598" s="22" t="s">
        <v>252</v>
      </c>
      <c r="H598" s="22" t="s">
        <v>129</v>
      </c>
      <c r="I598" s="33" t="n">
        <v>2006</v>
      </c>
      <c r="J598" s="32" t="n">
        <v>72</v>
      </c>
      <c r="K598" s="32" t="n">
        <v>89</v>
      </c>
      <c r="L598" s="34" t="n">
        <f aca="false">(K598*70)/100</f>
        <v>62.3</v>
      </c>
      <c r="M598" s="34" t="n">
        <f aca="false">ROUNDUP(L598,0)</f>
        <v>63</v>
      </c>
      <c r="N598" s="32" t="n">
        <v>26</v>
      </c>
      <c r="O598" s="34" t="n">
        <f aca="false">N598+L598</f>
        <v>88.3</v>
      </c>
      <c r="P598" s="34" t="n">
        <f aca="false">N598+M598</f>
        <v>89</v>
      </c>
      <c r="Q598" s="32" t="n">
        <v>73</v>
      </c>
      <c r="R598" s="32" t="n">
        <v>76</v>
      </c>
      <c r="S598" s="34" t="n">
        <f aca="false">(R598*70)/100</f>
        <v>53.2</v>
      </c>
      <c r="T598" s="34" t="n">
        <f aca="false">ROUNDUP(S598,0)</f>
        <v>54</v>
      </c>
      <c r="U598" s="32" t="n">
        <v>28</v>
      </c>
      <c r="V598" s="34" t="n">
        <f aca="false">U598+S598</f>
        <v>81.2</v>
      </c>
      <c r="W598" s="34" t="n">
        <f aca="false">U598+T598</f>
        <v>82</v>
      </c>
      <c r="X598" s="32" t="n">
        <v>69</v>
      </c>
      <c r="Y598" s="34" t="n">
        <f aca="false">(X598*70)/100</f>
        <v>48.3</v>
      </c>
      <c r="Z598" s="34" t="n">
        <f aca="false">ROUNDUP(Y598,0)</f>
        <v>49</v>
      </c>
      <c r="AA598" s="32" t="n">
        <v>22</v>
      </c>
      <c r="AB598" s="34" t="n">
        <f aca="false">AA598+Y598</f>
        <v>70.3</v>
      </c>
      <c r="AC598" s="34" t="n">
        <f aca="false">AA598+Z598</f>
        <v>71</v>
      </c>
      <c r="AD598" s="32" t="n">
        <f aca="false">X598+R598+Q598+K598+J598</f>
        <v>379</v>
      </c>
      <c r="AE598" s="16" t="n">
        <f aca="false">AD598/5</f>
        <v>75.8</v>
      </c>
      <c r="AF598" s="16" t="n">
        <v>66</v>
      </c>
      <c r="AG598" s="16" t="n">
        <v>74</v>
      </c>
      <c r="AH598" s="16" t="n">
        <v>86</v>
      </c>
      <c r="AI598" s="16" t="n">
        <v>90</v>
      </c>
      <c r="AJ598" s="16" t="n">
        <f aca="false">(AI598*70)/100</f>
        <v>63</v>
      </c>
      <c r="AK598" s="35" t="n">
        <f aca="false">ROUNDUP(AJ598,0)</f>
        <v>63</v>
      </c>
      <c r="AL598" s="16" t="n">
        <v>22</v>
      </c>
      <c r="AM598" s="16" t="n">
        <f aca="false">AL598+AJ598</f>
        <v>85</v>
      </c>
      <c r="AN598" s="16" t="n">
        <f aca="false">AL598+AK598</f>
        <v>85</v>
      </c>
      <c r="AO598" s="16" t="n">
        <v>73</v>
      </c>
      <c r="AP598" s="36" t="n">
        <f aca="false">(AO598*70)/100</f>
        <v>51.1</v>
      </c>
      <c r="AQ598" s="37" t="n">
        <f aca="false">ROUNDUP(AP598,0)</f>
        <v>52</v>
      </c>
      <c r="AR598" s="16" t="n">
        <v>27</v>
      </c>
      <c r="AS598" s="16" t="n">
        <f aca="false">AR598+AP598</f>
        <v>78.1</v>
      </c>
      <c r="AT598" s="16" t="n">
        <f aca="false">AR598+AQ598</f>
        <v>79</v>
      </c>
      <c r="AU598" s="16" t="n">
        <f aca="false">AO598+AF598+AI598+AH598+AG598</f>
        <v>389</v>
      </c>
      <c r="AV598" s="16" t="n">
        <f aca="false">(AO598+AF598+AI598+AH598+AG598)/5</f>
        <v>77.8</v>
      </c>
      <c r="AW598" s="36" t="n">
        <f aca="false">(AO598+AF598+AI598+AH598+AG598+X598+R598+Q598+K598+J598)</f>
        <v>768</v>
      </c>
      <c r="AX598" s="16" t="n">
        <f aca="false">AW598/10</f>
        <v>76.8</v>
      </c>
      <c r="AY598" s="16" t="n">
        <f aca="false">AS598+AF598+AM598+AH598+AG598+AB598+V598+Q598+O598+J598</f>
        <v>773.9</v>
      </c>
      <c r="AZ598" s="16" t="n">
        <f aca="false">AT598+AF598+AN598+AH598+AG598+AC598+W598+Q598+P598+J598</f>
        <v>777</v>
      </c>
      <c r="BA598" s="16" t="n">
        <f aca="false">AY598/10</f>
        <v>77.39</v>
      </c>
      <c r="BB598" s="16" t="n">
        <f aca="false">AZ598/10</f>
        <v>77.7</v>
      </c>
      <c r="BC598" s="16" t="n">
        <v>2365</v>
      </c>
      <c r="BD598" s="16" t="n">
        <f aca="false">RANK(AX598,$AX$2:$AX$881,0)</f>
        <v>527</v>
      </c>
      <c r="BE598" s="54" t="n">
        <f aca="false">((BC598*100)/2400)*0.4+(AX598*0.6)</f>
        <v>85.4966666666667</v>
      </c>
      <c r="BF598" s="16" t="n">
        <f aca="false">RANK(BE598,$BE$2:$BE$881,0)</f>
        <v>507</v>
      </c>
      <c r="BG598" s="39" t="n">
        <f aca="false">RANK(BB598,$BB$2:$BB$881,0)</f>
        <v>586</v>
      </c>
      <c r="BH598" s="39" t="n">
        <f aca="false">RANK(BC598,$BC$2:$BC$881,0)</f>
        <v>333</v>
      </c>
      <c r="BI598" s="22" t="s">
        <v>130</v>
      </c>
      <c r="BJ598" s="22" t="s">
        <v>129</v>
      </c>
      <c r="BK598" s="40" t="s">
        <v>509</v>
      </c>
      <c r="BL598" s="41" t="n">
        <v>26</v>
      </c>
      <c r="BM598" s="41" t="n">
        <v>56</v>
      </c>
      <c r="BN598" s="41" t="n">
        <v>82</v>
      </c>
      <c r="BO598" s="42" t="n">
        <v>21</v>
      </c>
      <c r="BP598" s="43" t="n">
        <v>55</v>
      </c>
      <c r="BQ598" s="44" t="n">
        <v>76</v>
      </c>
      <c r="BR598" s="42" t="n">
        <v>22</v>
      </c>
      <c r="BS598" s="45" t="n">
        <v>56</v>
      </c>
      <c r="BT598" s="45" t="n">
        <v>78</v>
      </c>
      <c r="BU598" s="46" t="n">
        <v>99</v>
      </c>
      <c r="BV598" s="47" t="n">
        <v>88</v>
      </c>
      <c r="BW598" s="42" t="n">
        <v>100</v>
      </c>
      <c r="BX598" s="48" t="n">
        <v>82</v>
      </c>
      <c r="BY598" s="32" t="n">
        <v>25</v>
      </c>
      <c r="BZ598" s="32" t="n">
        <v>57</v>
      </c>
      <c r="CA598" s="32" t="n">
        <v>82</v>
      </c>
      <c r="CB598" s="32" t="n">
        <v>22</v>
      </c>
      <c r="CC598" s="32" t="n">
        <v>34</v>
      </c>
      <c r="CD598" s="69" t="n">
        <v>56</v>
      </c>
      <c r="CE598" s="32" t="n">
        <v>23</v>
      </c>
      <c r="CF598" s="32" t="n">
        <v>41</v>
      </c>
      <c r="CG598" s="32" t="n">
        <v>64</v>
      </c>
      <c r="CH598" s="32" t="n">
        <v>92</v>
      </c>
      <c r="CI598" s="32" t="n">
        <v>88</v>
      </c>
      <c r="CJ598" s="49" t="n">
        <v>17</v>
      </c>
      <c r="CK598" s="49" t="n">
        <v>33</v>
      </c>
      <c r="CL598" s="76" t="n">
        <v>50</v>
      </c>
      <c r="CM598" s="49" t="n">
        <v>20</v>
      </c>
      <c r="CN598" s="49" t="n">
        <v>45</v>
      </c>
      <c r="CO598" s="49" t="n">
        <v>65</v>
      </c>
      <c r="CP598" s="25" t="n">
        <f aca="false">BX598+BW598+BV598+BU598+BT598+BQ598+BN598</f>
        <v>605</v>
      </c>
      <c r="CQ598" s="25" t="n">
        <f aca="false">CO598+CL598+CI598+CH598+CG598+CD598+CA598</f>
        <v>497</v>
      </c>
      <c r="CR598" s="26" t="n">
        <f aca="false">CP598/7</f>
        <v>86.4285714285714</v>
      </c>
      <c r="CS598" s="26" t="n">
        <f aca="false">CQ598/7</f>
        <v>71</v>
      </c>
      <c r="CT598" s="24" t="n">
        <f aca="false">RANK(CR598,$CR$2:$CR$881,0)</f>
        <v>377</v>
      </c>
      <c r="CU598" s="25" t="n">
        <f aca="false">RANK(CS598,$CS$2:$CS$881,0)</f>
        <v>538</v>
      </c>
      <c r="CV598" s="26" t="n">
        <f aca="false">(CS598+CR598)/2</f>
        <v>78.7142857142857</v>
      </c>
      <c r="CW598" s="25" t="n">
        <f aca="false">RANK(CV598,$CV$2:$CV$881,0)</f>
        <v>472</v>
      </c>
      <c r="CX598" s="50" t="n">
        <f aca="false">(CV598+BB598)/2</f>
        <v>78.2071428571429</v>
      </c>
      <c r="CY598" s="50" t="n">
        <v>460</v>
      </c>
      <c r="CZ598" s="27" t="s">
        <v>132</v>
      </c>
      <c r="DA598" s="27" t="s">
        <v>155</v>
      </c>
      <c r="DB598" s="27" t="s">
        <v>155</v>
      </c>
      <c r="DC598" s="27" t="s">
        <v>134</v>
      </c>
      <c r="DD598" s="27" t="s">
        <v>174</v>
      </c>
      <c r="DE598" s="27" t="s">
        <v>375</v>
      </c>
      <c r="DF598" s="27" t="s">
        <v>398</v>
      </c>
      <c r="DG598" s="27" t="s">
        <v>134</v>
      </c>
      <c r="DH598" s="27" t="s">
        <v>191</v>
      </c>
      <c r="DI598" s="27" t="s">
        <v>412</v>
      </c>
      <c r="DJ598" s="27" t="s">
        <v>416</v>
      </c>
      <c r="DK598" s="27" t="s">
        <v>134</v>
      </c>
      <c r="DL598" s="27" t="s">
        <v>182</v>
      </c>
      <c r="DM598" s="27" t="s">
        <v>375</v>
      </c>
      <c r="DN598" s="27" t="s">
        <v>372</v>
      </c>
      <c r="DO598" s="27" t="s">
        <v>134</v>
      </c>
      <c r="DP598" s="27"/>
      <c r="DQ598" s="27"/>
      <c r="DR598" s="27"/>
      <c r="DS598" s="27"/>
      <c r="DT598" s="27" t="s">
        <v>604</v>
      </c>
      <c r="DU598" s="27" t="s">
        <v>146</v>
      </c>
      <c r="DV598" s="27" t="s">
        <v>681</v>
      </c>
      <c r="DW598" s="27" t="s">
        <v>135</v>
      </c>
      <c r="DX598" s="27" t="s">
        <v>304</v>
      </c>
      <c r="DY598" s="27" t="s">
        <v>272</v>
      </c>
      <c r="DZ598" s="27" t="n">
        <f aca="false">DY598+DV598+DR598+DN598+DJ598+DF598+DB598</f>
        <v>412</v>
      </c>
      <c r="EA598" s="28" t="n">
        <f aca="false">DZ598/7</f>
        <v>58.8571428571429</v>
      </c>
      <c r="EB598" s="27" t="n">
        <f aca="false">RANK(EA598,$EA$2:$EA$881,0)</f>
        <v>791</v>
      </c>
      <c r="EC598" s="29" t="n">
        <f aca="false">DZ598+CQ598+CP598+AZ598</f>
        <v>2291</v>
      </c>
      <c r="ED598" s="30" t="n">
        <f aca="false">(EA598+CV598+BB598)/3</f>
        <v>71.7571428571429</v>
      </c>
      <c r="EE598" s="51" t="n">
        <f aca="false">ROUND(BE598,3)</f>
        <v>85.497</v>
      </c>
      <c r="EF598" s="51" t="n">
        <f aca="false">ROUND(CR598,3)</f>
        <v>86.429</v>
      </c>
      <c r="EG598" s="51" t="n">
        <f aca="false">ROUND(CS598,3)</f>
        <v>71</v>
      </c>
      <c r="EH598" s="51" t="n">
        <f aca="false">ROUND(EA598,3)</f>
        <v>58.857</v>
      </c>
      <c r="EI598" s="51" t="n">
        <f aca="false">ROUND(ED598,3)</f>
        <v>71.757</v>
      </c>
      <c r="EJ598" s="51" t="n">
        <f aca="false">ROUND(CV598,3)</f>
        <v>78.714</v>
      </c>
      <c r="EK598" s="0" t="n">
        <f aca="false">RANK(EI598,$EI$2:$EI$881,0)</f>
        <v>597</v>
      </c>
    </row>
    <row r="599" customFormat="false" ht="15" hidden="false" customHeight="false" outlineLevel="0" collapsed="false">
      <c r="A599" s="4" t="n">
        <v>9040</v>
      </c>
      <c r="B599" s="4" t="n">
        <v>861</v>
      </c>
      <c r="C599" s="27" t="s">
        <v>1770</v>
      </c>
      <c r="D599" s="31" t="n">
        <v>881</v>
      </c>
      <c r="E599" s="16" t="n">
        <v>230226081</v>
      </c>
      <c r="F599" s="56" t="s">
        <v>1771</v>
      </c>
      <c r="G599" s="22" t="s">
        <v>345</v>
      </c>
      <c r="H599" s="22" t="s">
        <v>326</v>
      </c>
      <c r="I599" s="57"/>
      <c r="J599" s="16" t="n">
        <v>85</v>
      </c>
      <c r="K599" s="16" t="n">
        <v>82</v>
      </c>
      <c r="L599" s="34" t="n">
        <f aca="false">(K599*70)/100</f>
        <v>57.4</v>
      </c>
      <c r="M599" s="34" t="n">
        <f aca="false">ROUNDUP(L599,0)</f>
        <v>58</v>
      </c>
      <c r="N599" s="16" t="n">
        <v>27</v>
      </c>
      <c r="O599" s="34" t="n">
        <f aca="false">N599+L599</f>
        <v>84.4</v>
      </c>
      <c r="P599" s="34" t="n">
        <f aca="false">N599+M599</f>
        <v>85</v>
      </c>
      <c r="Q599" s="16" t="n">
        <v>71</v>
      </c>
      <c r="R599" s="16" t="n">
        <v>73</v>
      </c>
      <c r="S599" s="34" t="n">
        <f aca="false">(R599*70)/100</f>
        <v>51.1</v>
      </c>
      <c r="T599" s="34" t="n">
        <f aca="false">ROUNDUP(S599,0)</f>
        <v>52</v>
      </c>
      <c r="U599" s="16" t="n">
        <v>25</v>
      </c>
      <c r="V599" s="34" t="n">
        <f aca="false">U599+S599</f>
        <v>76.1</v>
      </c>
      <c r="W599" s="34" t="n">
        <f aca="false">U599+T599</f>
        <v>77</v>
      </c>
      <c r="X599" s="16" t="n">
        <v>74</v>
      </c>
      <c r="Y599" s="34" t="n">
        <f aca="false">(X599*70)/100</f>
        <v>51.8</v>
      </c>
      <c r="Z599" s="34" t="n">
        <f aca="false">ROUNDUP(Y599,0)</f>
        <v>52</v>
      </c>
      <c r="AA599" s="16" t="n">
        <v>27</v>
      </c>
      <c r="AB599" s="34" t="n">
        <f aca="false">AA599+Y599</f>
        <v>78.8</v>
      </c>
      <c r="AC599" s="34" t="n">
        <f aca="false">AA599+Z599</f>
        <v>79</v>
      </c>
      <c r="AD599" s="32" t="n">
        <f aca="false">X599+R599+Q599+K599+J599</f>
        <v>385</v>
      </c>
      <c r="AE599" s="16" t="n">
        <f aca="false">AD599/5</f>
        <v>77</v>
      </c>
      <c r="AF599" s="16" t="n">
        <v>77</v>
      </c>
      <c r="AG599" s="16" t="n">
        <v>90</v>
      </c>
      <c r="AH599" s="16" t="n">
        <v>88</v>
      </c>
      <c r="AI599" s="16" t="n">
        <v>79</v>
      </c>
      <c r="AJ599" s="16" t="n">
        <f aca="false">(AI599*70)/100</f>
        <v>55.3</v>
      </c>
      <c r="AK599" s="35" t="n">
        <f aca="false">ROUNDUP(AJ599,0)</f>
        <v>56</v>
      </c>
      <c r="AL599" s="16" t="n">
        <v>25</v>
      </c>
      <c r="AM599" s="16" t="n">
        <f aca="false">AL599+AJ599</f>
        <v>80.3</v>
      </c>
      <c r="AN599" s="16" t="n">
        <f aca="false">AL599+AK599</f>
        <v>81</v>
      </c>
      <c r="AO599" s="16" t="n">
        <v>81</v>
      </c>
      <c r="AP599" s="36" t="n">
        <f aca="false">(AO599*70)/100</f>
        <v>56.7</v>
      </c>
      <c r="AQ599" s="37" t="n">
        <f aca="false">ROUNDUP(AP599,0)</f>
        <v>57</v>
      </c>
      <c r="AR599" s="16" t="n">
        <v>23</v>
      </c>
      <c r="AS599" s="16" t="n">
        <f aca="false">AR599+AP599</f>
        <v>79.7</v>
      </c>
      <c r="AT599" s="16" t="n">
        <f aca="false">AR599+AQ599</f>
        <v>80</v>
      </c>
      <c r="AU599" s="16" t="n">
        <f aca="false">AO599+AF599+AI599+AH599+AG599</f>
        <v>415</v>
      </c>
      <c r="AV599" s="16" t="n">
        <f aca="false">(AO599+AF599+AI599+AH599+AG599)/5</f>
        <v>83</v>
      </c>
      <c r="AW599" s="36" t="n">
        <f aca="false">(AO599+AF599+AI599+AH599+AG599+X599+R599+Q599+K599+J599)</f>
        <v>800</v>
      </c>
      <c r="AX599" s="16" t="n">
        <f aca="false">AW599/10</f>
        <v>80</v>
      </c>
      <c r="AY599" s="16" t="n">
        <f aca="false">AS599+AF599+AM599+AH599+AG599+AB599+V599+Q599+O599+J599</f>
        <v>810.3</v>
      </c>
      <c r="AZ599" s="16" t="n">
        <f aca="false">AT599+AF599+AN599+AH599+AG599+AC599+W599+Q599+P599+J599</f>
        <v>813</v>
      </c>
      <c r="BA599" s="16" t="n">
        <f aca="false">AY599/10</f>
        <v>81.03</v>
      </c>
      <c r="BB599" s="16" t="n">
        <f aca="false">AZ599/10</f>
        <v>81.3</v>
      </c>
      <c r="BC599" s="16" t="n">
        <v>2355</v>
      </c>
      <c r="BD599" s="16" t="n">
        <f aca="false">RANK(AX599,$AX$2:$AX$881,0)</f>
        <v>265</v>
      </c>
      <c r="BE599" s="54" t="n">
        <f aca="false">((BC599*100)/2400)*0.4+(AX599*0.6)</f>
        <v>87.25</v>
      </c>
      <c r="BF599" s="16" t="n">
        <f aca="false">RANK(BE599,$BE$2:$BE$881,0)</f>
        <v>276</v>
      </c>
      <c r="BG599" s="39" t="n">
        <f aca="false">RANK(BB599,$BB$2:$BB$881,0)</f>
        <v>257</v>
      </c>
      <c r="BH599" s="39" t="n">
        <f aca="false">RANK(BC599,$BC$2:$BC$881,0)</f>
        <v>476</v>
      </c>
      <c r="BI599" s="22" t="s">
        <v>130</v>
      </c>
      <c r="BJ599" s="22" t="s">
        <v>129</v>
      </c>
      <c r="BK599" s="40" t="s">
        <v>131</v>
      </c>
      <c r="BL599" s="98" t="n">
        <v>8</v>
      </c>
      <c r="BM599" s="61"/>
      <c r="BN599" s="61"/>
      <c r="BO599" s="42" t="n">
        <v>20</v>
      </c>
      <c r="BP599" s="43" t="n">
        <v>54</v>
      </c>
      <c r="BQ599" s="44" t="n">
        <v>74</v>
      </c>
      <c r="BR599" s="42" t="n">
        <v>25</v>
      </c>
      <c r="BS599" s="45" t="n">
        <v>61</v>
      </c>
      <c r="BT599" s="45" t="n">
        <v>86</v>
      </c>
      <c r="BU599" s="46" t="n">
        <v>99</v>
      </c>
      <c r="BV599" s="47" t="n">
        <v>70</v>
      </c>
      <c r="BW599" s="42" t="n">
        <v>99</v>
      </c>
      <c r="BX599" s="48" t="n">
        <v>88</v>
      </c>
      <c r="BY599" s="32" t="n">
        <v>22</v>
      </c>
      <c r="BZ599" s="32" t="n">
        <v>48</v>
      </c>
      <c r="CA599" s="32" t="n">
        <v>70</v>
      </c>
      <c r="CB599" s="32" t="n">
        <v>17</v>
      </c>
      <c r="CC599" s="32" t="n">
        <v>35</v>
      </c>
      <c r="CD599" s="69" t="n">
        <v>52</v>
      </c>
      <c r="CE599" s="32" t="n">
        <v>21</v>
      </c>
      <c r="CF599" s="32" t="n">
        <v>46</v>
      </c>
      <c r="CG599" s="32" t="n">
        <v>67</v>
      </c>
      <c r="CH599" s="32" t="n">
        <v>95</v>
      </c>
      <c r="CI599" s="25" t="n">
        <v>90</v>
      </c>
      <c r="CJ599" s="49" t="n">
        <v>16</v>
      </c>
      <c r="CK599" s="49" t="n">
        <v>41</v>
      </c>
      <c r="CL599" s="76" t="n">
        <v>57</v>
      </c>
      <c r="CM599" s="49" t="n">
        <v>19</v>
      </c>
      <c r="CN599" s="49" t="n">
        <v>51</v>
      </c>
      <c r="CO599" s="49" t="n">
        <v>70</v>
      </c>
      <c r="CP599" s="25" t="n">
        <f aca="false">BX599+BW599+BV599+BU599+BT599+BQ599+BN599</f>
        <v>516</v>
      </c>
      <c r="CQ599" s="25" t="n">
        <f aca="false">CO599+CL599+CI599+CH599+CG599+CD599+CA599</f>
        <v>501</v>
      </c>
      <c r="CR599" s="26" t="n">
        <f aca="false">CP599/7</f>
        <v>73.7142857142857</v>
      </c>
      <c r="CS599" s="26" t="n">
        <f aca="false">CQ599/7</f>
        <v>71.5714285714286</v>
      </c>
      <c r="CT599" s="24" t="n">
        <f aca="false">RANK(CR599,$CR$2:$CR$881,0)</f>
        <v>662</v>
      </c>
      <c r="CU599" s="25" t="n">
        <f aca="false">RANK(CS599,$CS$2:$CS$881,0)</f>
        <v>521</v>
      </c>
      <c r="CV599" s="26" t="n">
        <f aca="false">(CS599+CR599)/2</f>
        <v>72.6428571428571</v>
      </c>
      <c r="CW599" s="25" t="n">
        <f aca="false">RANK(CV599,$CV$2:$CV$881,0)</f>
        <v>608</v>
      </c>
      <c r="CX599" s="50" t="n">
        <f aca="false">(CV599+BB599)/2</f>
        <v>76.9714285714286</v>
      </c>
      <c r="CY599" s="50" t="n">
        <v>504</v>
      </c>
      <c r="CZ599" s="27" t="s">
        <v>132</v>
      </c>
      <c r="DA599" s="27" t="s">
        <v>441</v>
      </c>
      <c r="DB599" s="27" t="s">
        <v>441</v>
      </c>
      <c r="DC599" s="27" t="s">
        <v>134</v>
      </c>
      <c r="DD599" s="27" t="s">
        <v>154</v>
      </c>
      <c r="DE599" s="27" t="s">
        <v>638</v>
      </c>
      <c r="DF599" s="27" t="s">
        <v>143</v>
      </c>
      <c r="DG599" s="27" t="s">
        <v>134</v>
      </c>
      <c r="DH599" s="27" t="s">
        <v>191</v>
      </c>
      <c r="DI599" s="27" t="s">
        <v>183</v>
      </c>
      <c r="DJ599" s="27" t="s">
        <v>305</v>
      </c>
      <c r="DK599" s="27" t="s">
        <v>134</v>
      </c>
      <c r="DL599" s="27" t="s">
        <v>264</v>
      </c>
      <c r="DM599" s="27" t="s">
        <v>399</v>
      </c>
      <c r="DN599" s="27" t="s">
        <v>141</v>
      </c>
      <c r="DO599" s="27" t="s">
        <v>134</v>
      </c>
      <c r="DP599" s="27"/>
      <c r="DQ599" s="27"/>
      <c r="DR599" s="27"/>
      <c r="DS599" s="27"/>
      <c r="DT599" s="27" t="s">
        <v>386</v>
      </c>
      <c r="DU599" s="27" t="s">
        <v>146</v>
      </c>
      <c r="DV599" s="27" t="s">
        <v>399</v>
      </c>
      <c r="DW599" s="27" t="s">
        <v>135</v>
      </c>
      <c r="DX599" s="27" t="s">
        <v>143</v>
      </c>
      <c r="DY599" s="27" t="s">
        <v>151</v>
      </c>
      <c r="DZ599" s="27" t="n">
        <f aca="false">DY599+DV599+DR599+DN599+DJ599+DF599+DB599</f>
        <v>429</v>
      </c>
      <c r="EA599" s="28" t="n">
        <f aca="false">DZ599/7</f>
        <v>61.2857142857143</v>
      </c>
      <c r="EB599" s="27" t="n">
        <f aca="false">RANK(EA599,$EA$2:$EA$881,0)</f>
        <v>771</v>
      </c>
      <c r="EC599" s="29" t="n">
        <f aca="false">DZ599+CQ599+CP599+AZ599</f>
        <v>2259</v>
      </c>
      <c r="ED599" s="30" t="n">
        <f aca="false">(EA599+CV599+BB599)/3</f>
        <v>71.7428571428571</v>
      </c>
      <c r="EE599" s="51" t="n">
        <f aca="false">ROUND(BE599,3)</f>
        <v>87.25</v>
      </c>
      <c r="EF599" s="51" t="n">
        <f aca="false">ROUND(CR599,3)</f>
        <v>73.714</v>
      </c>
      <c r="EG599" s="51" t="n">
        <f aca="false">ROUND(CS599,3)</f>
        <v>71.571</v>
      </c>
      <c r="EH599" s="51" t="n">
        <f aca="false">ROUND(EA599,3)</f>
        <v>61.286</v>
      </c>
      <c r="EI599" s="51" t="n">
        <f aca="false">ROUND(ED599,3)</f>
        <v>71.743</v>
      </c>
      <c r="EJ599" s="51" t="n">
        <f aca="false">ROUND(CV599,3)</f>
        <v>72.643</v>
      </c>
      <c r="EK599" s="0" t="n">
        <f aca="false">RANK(EI599,$EI$2:$EI$881,0)</f>
        <v>598</v>
      </c>
    </row>
    <row r="600" customFormat="false" ht="15" hidden="false" customHeight="false" outlineLevel="0" collapsed="false">
      <c r="A600" s="4" t="n">
        <v>8596</v>
      </c>
      <c r="B600" s="4" t="n">
        <v>50</v>
      </c>
      <c r="C600" s="27" t="s">
        <v>1772</v>
      </c>
      <c r="D600" s="52" t="n">
        <v>52</v>
      </c>
      <c r="E600" s="32" t="n">
        <v>230319233</v>
      </c>
      <c r="F600" s="8" t="s">
        <v>1773</v>
      </c>
      <c r="G600" s="22" t="s">
        <v>1114</v>
      </c>
      <c r="H600" s="22" t="s">
        <v>129</v>
      </c>
      <c r="I600" s="33" t="n">
        <v>2005</v>
      </c>
      <c r="J600" s="32" t="n">
        <v>83</v>
      </c>
      <c r="K600" s="32" t="n">
        <v>82</v>
      </c>
      <c r="L600" s="34" t="n">
        <f aca="false">(K600*70)/100</f>
        <v>57.4</v>
      </c>
      <c r="M600" s="34" t="n">
        <f aca="false">ROUNDUP(L600,0)</f>
        <v>58</v>
      </c>
      <c r="N600" s="32" t="n">
        <v>25</v>
      </c>
      <c r="O600" s="34" t="n">
        <f aca="false">N600+L600</f>
        <v>82.4</v>
      </c>
      <c r="P600" s="34" t="n">
        <f aca="false">N600+M600</f>
        <v>83</v>
      </c>
      <c r="Q600" s="32" t="n">
        <v>90</v>
      </c>
      <c r="R600" s="32" t="n">
        <v>84</v>
      </c>
      <c r="S600" s="34" t="n">
        <f aca="false">(R600*70)/100</f>
        <v>58.8</v>
      </c>
      <c r="T600" s="34" t="n">
        <f aca="false">ROUNDUP(S600,0)</f>
        <v>59</v>
      </c>
      <c r="U600" s="32" t="n">
        <v>19</v>
      </c>
      <c r="V600" s="34" t="n">
        <f aca="false">U600+S600</f>
        <v>77.8</v>
      </c>
      <c r="W600" s="34" t="n">
        <f aca="false">U600+T600</f>
        <v>78</v>
      </c>
      <c r="X600" s="32" t="n">
        <v>80</v>
      </c>
      <c r="Y600" s="34" t="n">
        <f aca="false">(X600*70)/100</f>
        <v>56</v>
      </c>
      <c r="Z600" s="34" t="n">
        <f aca="false">ROUNDUP(Y600,0)</f>
        <v>56</v>
      </c>
      <c r="AA600" s="32" t="n">
        <v>28</v>
      </c>
      <c r="AB600" s="34" t="n">
        <f aca="false">AA600+Y600</f>
        <v>84</v>
      </c>
      <c r="AC600" s="34" t="n">
        <f aca="false">AA600+Z600</f>
        <v>84</v>
      </c>
      <c r="AD600" s="32" t="n">
        <f aca="false">X600+R600+Q600+K600+J600</f>
        <v>419</v>
      </c>
      <c r="AE600" s="16" t="n">
        <f aca="false">AD600/5</f>
        <v>83.8</v>
      </c>
      <c r="AF600" s="16" t="n">
        <v>68</v>
      </c>
      <c r="AG600" s="16" t="n">
        <v>93</v>
      </c>
      <c r="AH600" s="16" t="n">
        <v>88</v>
      </c>
      <c r="AI600" s="16" t="n">
        <v>91</v>
      </c>
      <c r="AJ600" s="16" t="n">
        <f aca="false">(AI600*70)/100</f>
        <v>63.7</v>
      </c>
      <c r="AK600" s="35" t="n">
        <f aca="false">ROUNDUP(AJ600,0)</f>
        <v>64</v>
      </c>
      <c r="AL600" s="16" t="n">
        <v>26</v>
      </c>
      <c r="AM600" s="16" t="n">
        <f aca="false">AL600+AJ600</f>
        <v>89.7</v>
      </c>
      <c r="AN600" s="16" t="n">
        <f aca="false">AL600+AK600</f>
        <v>90</v>
      </c>
      <c r="AO600" s="16" t="n">
        <v>67</v>
      </c>
      <c r="AP600" s="36" t="n">
        <f aca="false">(AO600*70)/100</f>
        <v>46.9</v>
      </c>
      <c r="AQ600" s="37" t="n">
        <f aca="false">ROUNDUP(AP600,0)</f>
        <v>47</v>
      </c>
      <c r="AR600" s="16" t="n">
        <v>30</v>
      </c>
      <c r="AS600" s="16" t="n">
        <f aca="false">AR600+AP600</f>
        <v>76.9</v>
      </c>
      <c r="AT600" s="16" t="n">
        <f aca="false">AR600+AQ600</f>
        <v>77</v>
      </c>
      <c r="AU600" s="16" t="n">
        <f aca="false">AO600+AF600+AI600+AH600+AG600</f>
        <v>407</v>
      </c>
      <c r="AV600" s="16" t="n">
        <f aca="false">(AO600+AF600+AI600+AH600+AG600)/5</f>
        <v>81.4</v>
      </c>
      <c r="AW600" s="36" t="n">
        <f aca="false">(AO600+AF600+AI600+AH600+AG600+X600+R600+Q600+K600+J600)</f>
        <v>826</v>
      </c>
      <c r="AX600" s="16" t="n">
        <f aca="false">AW600/10</f>
        <v>82.6</v>
      </c>
      <c r="AY600" s="16" t="n">
        <f aca="false">AS600+AF600+AM600+AH600+AG600+AB600+V600+Q600+O600+J600</f>
        <v>832.8</v>
      </c>
      <c r="AZ600" s="16" t="n">
        <f aca="false">AT600+AF600+AN600+AH600+AG600+AC600+W600+Q600+P600+J600</f>
        <v>834</v>
      </c>
      <c r="BA600" s="16" t="n">
        <f aca="false">AY600/10</f>
        <v>83.28</v>
      </c>
      <c r="BB600" s="16" t="n">
        <f aca="false">AZ600/10</f>
        <v>83.4</v>
      </c>
      <c r="BC600" s="16" t="n">
        <v>2395</v>
      </c>
      <c r="BD600" s="16" t="n">
        <f aca="false">RANK(AX600,$AX$2:$AX$881,0)</f>
        <v>137</v>
      </c>
      <c r="BE600" s="54" t="n">
        <f aca="false">((BC600*100)/2400)*0.4+(AX600*0.6)</f>
        <v>89.4766666666667</v>
      </c>
      <c r="BF600" s="16" t="n">
        <f aca="false">RANK(BE600,$BE$2:$BE$881,0)</f>
        <v>122</v>
      </c>
      <c r="BG600" s="39" t="n">
        <f aca="false">RANK(BB600,$BB$2:$BB$881,0)</f>
        <v>146</v>
      </c>
      <c r="BH600" s="39" t="n">
        <f aca="false">RANK(BC600,$BC$2:$BC$881,0)</f>
        <v>14</v>
      </c>
      <c r="BI600" s="22" t="s">
        <v>130</v>
      </c>
      <c r="BJ600" s="22" t="s">
        <v>129</v>
      </c>
      <c r="BK600" s="40" t="s">
        <v>131</v>
      </c>
      <c r="BL600" s="41" t="n">
        <v>23</v>
      </c>
      <c r="BM600" s="41" t="n">
        <v>54</v>
      </c>
      <c r="BN600" s="41" t="n">
        <v>77</v>
      </c>
      <c r="BO600" s="42" t="n">
        <v>18</v>
      </c>
      <c r="BP600" s="43" t="n">
        <v>52</v>
      </c>
      <c r="BQ600" s="44" t="n">
        <v>70</v>
      </c>
      <c r="BR600" s="42" t="n">
        <v>21</v>
      </c>
      <c r="BS600" s="45" t="n">
        <v>50</v>
      </c>
      <c r="BT600" s="45" t="n">
        <v>71</v>
      </c>
      <c r="BU600" s="46" t="n">
        <v>99</v>
      </c>
      <c r="BV600" s="47" t="n">
        <v>100</v>
      </c>
      <c r="BW600" s="42" t="n">
        <v>99</v>
      </c>
      <c r="BX600" s="48" t="n">
        <v>92</v>
      </c>
      <c r="BY600" s="32" t="n">
        <v>24</v>
      </c>
      <c r="BZ600" s="32" t="n">
        <v>39</v>
      </c>
      <c r="CA600" s="32" t="n">
        <v>63</v>
      </c>
      <c r="CB600" s="32" t="n">
        <v>20</v>
      </c>
      <c r="CC600" s="32" t="n">
        <v>28</v>
      </c>
      <c r="CD600" s="69" t="n">
        <v>48</v>
      </c>
      <c r="CE600" s="32" t="n">
        <v>27</v>
      </c>
      <c r="CF600" s="60"/>
      <c r="CG600" s="60"/>
      <c r="CH600" s="32" t="n">
        <v>96</v>
      </c>
      <c r="CI600" s="32" t="n">
        <v>92</v>
      </c>
      <c r="CJ600" s="49" t="n">
        <v>23</v>
      </c>
      <c r="CK600" s="49" t="n">
        <v>38</v>
      </c>
      <c r="CL600" s="49" t="n">
        <v>61</v>
      </c>
      <c r="CM600" s="49" t="n">
        <v>23</v>
      </c>
      <c r="CN600" s="49" t="n">
        <v>46</v>
      </c>
      <c r="CO600" s="49" t="n">
        <v>69</v>
      </c>
      <c r="CP600" s="25" t="n">
        <f aca="false">BX600+BW600+BV600+BU600+BT600+BQ600+BN600</f>
        <v>608</v>
      </c>
      <c r="CQ600" s="25" t="n">
        <f aca="false">CO600+CL600+CI600+CH600+CG600+CD600+CA600</f>
        <v>429</v>
      </c>
      <c r="CR600" s="26" t="n">
        <f aca="false">CP600/7</f>
        <v>86.8571428571429</v>
      </c>
      <c r="CS600" s="26" t="n">
        <f aca="false">CQ600/7</f>
        <v>61.2857142857143</v>
      </c>
      <c r="CT600" s="24" t="n">
        <f aca="false">RANK(CR600,$CR$2:$CR$881,0)</f>
        <v>359</v>
      </c>
      <c r="CU600" s="25" t="n">
        <f aca="false">RANK(CS600,$CS$2:$CS$881,0)</f>
        <v>670</v>
      </c>
      <c r="CV600" s="26" t="n">
        <f aca="false">(CS600+CR600)/2</f>
        <v>74.0714285714286</v>
      </c>
      <c r="CW600" s="25" t="n">
        <f aca="false">RANK(CV600,$CV$2:$CV$881,0)</f>
        <v>582</v>
      </c>
      <c r="CX600" s="50" t="n">
        <f aca="false">(CV600+BB600)/2</f>
        <v>78.7357142857143</v>
      </c>
      <c r="CY600" s="50" t="n">
        <v>433</v>
      </c>
      <c r="CZ600" s="27" t="s">
        <v>132</v>
      </c>
      <c r="DA600" s="27" t="s">
        <v>305</v>
      </c>
      <c r="DB600" s="27" t="s">
        <v>305</v>
      </c>
      <c r="DC600" s="27" t="s">
        <v>134</v>
      </c>
      <c r="DD600" s="27" t="s">
        <v>174</v>
      </c>
      <c r="DE600" s="27" t="s">
        <v>204</v>
      </c>
      <c r="DF600" s="27" t="s">
        <v>196</v>
      </c>
      <c r="DG600" s="27" t="s">
        <v>134</v>
      </c>
      <c r="DH600" s="27" t="s">
        <v>154</v>
      </c>
      <c r="DI600" s="27" t="s">
        <v>906</v>
      </c>
      <c r="DJ600" s="27" t="s">
        <v>161</v>
      </c>
      <c r="DK600" s="27" t="s">
        <v>134</v>
      </c>
      <c r="DL600" s="27" t="s">
        <v>164</v>
      </c>
      <c r="DM600" s="27" t="s">
        <v>619</v>
      </c>
      <c r="DN600" s="27" t="s">
        <v>164</v>
      </c>
      <c r="DO600" s="27" t="s">
        <v>480</v>
      </c>
      <c r="DP600" s="27"/>
      <c r="DQ600" s="27"/>
      <c r="DR600" s="27"/>
      <c r="DS600" s="27"/>
      <c r="DT600" s="27" t="s">
        <v>182</v>
      </c>
      <c r="DU600" s="27" t="s">
        <v>1395</v>
      </c>
      <c r="DV600" s="27" t="s">
        <v>183</v>
      </c>
      <c r="DW600" s="27" t="s">
        <v>140</v>
      </c>
      <c r="DX600" s="27" t="s">
        <v>138</v>
      </c>
      <c r="DY600" s="27" t="s">
        <v>145</v>
      </c>
      <c r="DZ600" s="27" t="n">
        <f aca="false">DY600+DV600+DR600+DN600+DJ600+DF600+DB600</f>
        <v>403</v>
      </c>
      <c r="EA600" s="28" t="n">
        <f aca="false">DZ600/7</f>
        <v>57.5714285714286</v>
      </c>
      <c r="EB600" s="27" t="n">
        <f aca="false">RANK(EA600,$EA$2:$EA$881,0)</f>
        <v>812</v>
      </c>
      <c r="EC600" s="29" t="n">
        <f aca="false">DZ600+CQ600+CP600+AZ600</f>
        <v>2274</v>
      </c>
      <c r="ED600" s="30" t="n">
        <f aca="false">(EA600+CV600+BB600)/3</f>
        <v>71.6809523809524</v>
      </c>
      <c r="EE600" s="51" t="n">
        <f aca="false">ROUND(BE600,3)</f>
        <v>89.477</v>
      </c>
      <c r="EF600" s="51" t="n">
        <f aca="false">ROUND(CR600,3)</f>
        <v>86.857</v>
      </c>
      <c r="EG600" s="51" t="n">
        <f aca="false">ROUND(CS600,3)</f>
        <v>61.286</v>
      </c>
      <c r="EH600" s="51" t="n">
        <f aca="false">ROUND(EA600,3)</f>
        <v>57.571</v>
      </c>
      <c r="EI600" s="51" t="n">
        <f aca="false">ROUND(ED600,3)</f>
        <v>71.681</v>
      </c>
      <c r="EJ600" s="51" t="n">
        <f aca="false">ROUND(CV600,3)</f>
        <v>74.071</v>
      </c>
      <c r="EK600" s="0" t="n">
        <f aca="false">RANK(EI600,$EI$2:$EI$881,0)</f>
        <v>599</v>
      </c>
    </row>
    <row r="601" customFormat="false" ht="15" hidden="false" customHeight="false" outlineLevel="0" collapsed="false">
      <c r="A601" s="4" t="n">
        <v>8691</v>
      </c>
      <c r="B601" s="4" t="n">
        <v>105</v>
      </c>
      <c r="C601" s="27" t="s">
        <v>1774</v>
      </c>
      <c r="D601" s="52" t="n">
        <v>105</v>
      </c>
      <c r="E601" s="16" t="n">
        <v>230611570</v>
      </c>
      <c r="F601" s="56" t="s">
        <v>1775</v>
      </c>
      <c r="G601" s="22" t="s">
        <v>289</v>
      </c>
      <c r="H601" s="22" t="s">
        <v>558</v>
      </c>
      <c r="I601" s="57"/>
      <c r="J601" s="16" t="n">
        <v>76</v>
      </c>
      <c r="K601" s="16" t="n">
        <v>81</v>
      </c>
      <c r="L601" s="34" t="n">
        <f aca="false">(K601*70)/100</f>
        <v>56.7</v>
      </c>
      <c r="M601" s="34" t="n">
        <f aca="false">ROUNDUP(L601,0)</f>
        <v>57</v>
      </c>
      <c r="N601" s="16" t="n">
        <v>18</v>
      </c>
      <c r="O601" s="34" t="n">
        <f aca="false">N601+L601</f>
        <v>74.7</v>
      </c>
      <c r="P601" s="34" t="n">
        <f aca="false">N601+M601</f>
        <v>75</v>
      </c>
      <c r="Q601" s="16" t="n">
        <v>78</v>
      </c>
      <c r="R601" s="16" t="n">
        <v>84</v>
      </c>
      <c r="S601" s="34" t="n">
        <f aca="false">(R601*70)/100</f>
        <v>58.8</v>
      </c>
      <c r="T601" s="34" t="n">
        <f aca="false">ROUNDUP(S601,0)</f>
        <v>59</v>
      </c>
      <c r="U601" s="16" t="n">
        <v>23</v>
      </c>
      <c r="V601" s="34" t="n">
        <f aca="false">U601+S601</f>
        <v>81.8</v>
      </c>
      <c r="W601" s="34" t="n">
        <f aca="false">U601+T601</f>
        <v>82</v>
      </c>
      <c r="X601" s="16" t="n">
        <v>70</v>
      </c>
      <c r="Y601" s="34" t="n">
        <f aca="false">(X601*70)/100</f>
        <v>49</v>
      </c>
      <c r="Z601" s="34" t="n">
        <f aca="false">ROUNDUP(Y601,0)</f>
        <v>49</v>
      </c>
      <c r="AA601" s="16" t="n">
        <v>23</v>
      </c>
      <c r="AB601" s="34" t="n">
        <f aca="false">AA601+Y601</f>
        <v>72</v>
      </c>
      <c r="AC601" s="34" t="n">
        <f aca="false">AA601+Z601</f>
        <v>72</v>
      </c>
      <c r="AD601" s="32" t="n">
        <f aca="false">X601+R601+Q601+K601+J601</f>
        <v>389</v>
      </c>
      <c r="AE601" s="16" t="n">
        <f aca="false">AD601/5</f>
        <v>77.8</v>
      </c>
      <c r="AF601" s="16" t="n">
        <v>70</v>
      </c>
      <c r="AG601" s="16" t="n">
        <v>75</v>
      </c>
      <c r="AH601" s="16" t="n">
        <v>81</v>
      </c>
      <c r="AI601" s="16" t="n">
        <v>82</v>
      </c>
      <c r="AJ601" s="16" t="n">
        <f aca="false">(AI601*70)/100</f>
        <v>57.4</v>
      </c>
      <c r="AK601" s="35" t="n">
        <f aca="false">ROUNDUP(AJ601,0)</f>
        <v>58</v>
      </c>
      <c r="AL601" s="16" t="n">
        <v>28</v>
      </c>
      <c r="AM601" s="16" t="n">
        <f aca="false">AL601+AJ601</f>
        <v>85.4</v>
      </c>
      <c r="AN601" s="16" t="n">
        <f aca="false">AL601+AK601</f>
        <v>86</v>
      </c>
      <c r="AO601" s="16" t="n">
        <v>80</v>
      </c>
      <c r="AP601" s="36" t="n">
        <f aca="false">(AO601*70)/100</f>
        <v>56</v>
      </c>
      <c r="AQ601" s="37" t="n">
        <f aca="false">ROUNDUP(AP601,0)</f>
        <v>56</v>
      </c>
      <c r="AR601" s="16" t="n">
        <v>27</v>
      </c>
      <c r="AS601" s="16" t="n">
        <f aca="false">AR601+AP601</f>
        <v>83</v>
      </c>
      <c r="AT601" s="16" t="n">
        <f aca="false">AR601+AQ601</f>
        <v>83</v>
      </c>
      <c r="AU601" s="16" t="n">
        <f aca="false">AO601+AF601+AI601+AH601+AG601</f>
        <v>388</v>
      </c>
      <c r="AV601" s="16" t="n">
        <f aca="false">(AO601+AF601+AI601+AH601+AG601)/5</f>
        <v>77.6</v>
      </c>
      <c r="AW601" s="36" t="n">
        <f aca="false">(AO601+AF601+AI601+AH601+AG601+X601+R601+Q601+K601+J601)</f>
        <v>777</v>
      </c>
      <c r="AX601" s="16" t="n">
        <f aca="false">AW601/10</f>
        <v>77.7</v>
      </c>
      <c r="AY601" s="16" t="n">
        <f aca="false">AS601+AF601+AM601+AH601+AG601+AB601+V601+Q601+O601+J601</f>
        <v>776.9</v>
      </c>
      <c r="AZ601" s="16" t="n">
        <f aca="false">AT601+AF601+AN601+AH601+AG601+AC601+W601+Q601+P601+J601</f>
        <v>778</v>
      </c>
      <c r="BA601" s="16" t="n">
        <f aca="false">AY601/10</f>
        <v>77.69</v>
      </c>
      <c r="BB601" s="16" t="n">
        <f aca="false">AZ601/10</f>
        <v>77.8</v>
      </c>
      <c r="BC601" s="16" t="n">
        <v>2392</v>
      </c>
      <c r="BD601" s="16" t="n">
        <f aca="false">RANK(AX601,$AX$2:$AX$881,0)</f>
        <v>433</v>
      </c>
      <c r="BE601" s="54" t="n">
        <f aca="false">((BC601*100)/2400)*0.4+(AX601*0.6)</f>
        <v>86.4866666666667</v>
      </c>
      <c r="BF601" s="16" t="n">
        <f aca="false">RANK(BE601,$BE$2:$BE$881,0)</f>
        <v>353</v>
      </c>
      <c r="BG601" s="39" t="n">
        <f aca="false">RANK(BB601,$BB$2:$BB$881,0)</f>
        <v>577</v>
      </c>
      <c r="BH601" s="39" t="n">
        <f aca="false">RANK(BC601,$BC$2:$BC$881,0)</f>
        <v>28</v>
      </c>
      <c r="BI601" s="22" t="s">
        <v>130</v>
      </c>
      <c r="BJ601" s="22" t="s">
        <v>129</v>
      </c>
      <c r="BK601" s="40" t="s">
        <v>131</v>
      </c>
      <c r="BL601" s="41" t="n">
        <v>21</v>
      </c>
      <c r="BM601" s="59" t="n">
        <v>53</v>
      </c>
      <c r="BN601" s="59" t="n">
        <v>74</v>
      </c>
      <c r="BO601" s="42" t="n">
        <v>25</v>
      </c>
      <c r="BP601" s="59" t="n">
        <v>54</v>
      </c>
      <c r="BQ601" s="59" t="n">
        <v>79</v>
      </c>
      <c r="BR601" s="74" t="n">
        <v>9</v>
      </c>
      <c r="BS601" s="80"/>
      <c r="BT601" s="80"/>
      <c r="BU601" s="88" t="n">
        <v>84</v>
      </c>
      <c r="BV601" s="58" t="n">
        <v>83</v>
      </c>
      <c r="BW601" s="102" t="n">
        <v>90</v>
      </c>
      <c r="BX601" s="88" t="n">
        <v>94</v>
      </c>
      <c r="BY601" s="65" t="n">
        <v>25</v>
      </c>
      <c r="BZ601" s="58" t="n">
        <v>48</v>
      </c>
      <c r="CA601" s="58" t="n">
        <v>73</v>
      </c>
      <c r="CB601" s="59" t="n">
        <v>12</v>
      </c>
      <c r="CC601" s="58" t="n">
        <v>43</v>
      </c>
      <c r="CD601" s="58" t="n">
        <v>55</v>
      </c>
      <c r="CE601" s="58" t="n">
        <v>23</v>
      </c>
      <c r="CF601" s="58" t="n">
        <v>47</v>
      </c>
      <c r="CG601" s="58" t="n">
        <v>70</v>
      </c>
      <c r="CH601" s="58" t="n">
        <v>88</v>
      </c>
      <c r="CI601" s="58" t="n">
        <v>78</v>
      </c>
      <c r="CJ601" s="58" t="n">
        <v>18</v>
      </c>
      <c r="CK601" s="58" t="n">
        <v>57</v>
      </c>
      <c r="CL601" s="59" t="n">
        <v>75</v>
      </c>
      <c r="CM601" s="60"/>
      <c r="CN601" s="60"/>
      <c r="CO601" s="60"/>
      <c r="CP601" s="25" t="n">
        <f aca="false">BX601+BW601+BV601+BU601+BT601+BQ601+BN601</f>
        <v>504</v>
      </c>
      <c r="CQ601" s="25" t="n">
        <f aca="false">CO601+CL601+CI601+CH601+CG601+CD601+CA601</f>
        <v>439</v>
      </c>
      <c r="CR601" s="26" t="n">
        <f aca="false">CP601/7</f>
        <v>72</v>
      </c>
      <c r="CS601" s="26" t="n">
        <f aca="false">CQ601/7</f>
        <v>62.7142857142857</v>
      </c>
      <c r="CT601" s="24" t="n">
        <f aca="false">RANK(CR601,$CR$2:$CR$881,0)</f>
        <v>670</v>
      </c>
      <c r="CU601" s="25" t="n">
        <f aca="false">RANK(CS601,$CS$2:$CS$881,0)</f>
        <v>657</v>
      </c>
      <c r="CV601" s="26" t="n">
        <f aca="false">(CS601+CR601)/2</f>
        <v>67.3571428571429</v>
      </c>
      <c r="CW601" s="25" t="n">
        <f aca="false">RANK(CV601,$CV$2:$CV$881,0)</f>
        <v>659</v>
      </c>
      <c r="CX601" s="50" t="n">
        <f aca="false">(CV601+BB601)/2</f>
        <v>72.5785714285714</v>
      </c>
      <c r="CY601" s="50" t="n">
        <v>823</v>
      </c>
      <c r="CZ601" s="27" t="s">
        <v>132</v>
      </c>
      <c r="DA601" s="27" t="s">
        <v>443</v>
      </c>
      <c r="DB601" s="27" t="s">
        <v>443</v>
      </c>
      <c r="DC601" s="27" t="s">
        <v>134</v>
      </c>
      <c r="DD601" s="27" t="s">
        <v>182</v>
      </c>
      <c r="DE601" s="27" t="s">
        <v>481</v>
      </c>
      <c r="DF601" s="27" t="s">
        <v>161</v>
      </c>
      <c r="DG601" s="27" t="s">
        <v>134</v>
      </c>
      <c r="DH601" s="27" t="s">
        <v>182</v>
      </c>
      <c r="DI601" s="27" t="s">
        <v>218</v>
      </c>
      <c r="DJ601" s="27" t="s">
        <v>196</v>
      </c>
      <c r="DK601" s="27" t="s">
        <v>134</v>
      </c>
      <c r="DL601" s="27" t="s">
        <v>604</v>
      </c>
      <c r="DM601" s="27" t="s">
        <v>442</v>
      </c>
      <c r="DN601" s="27" t="s">
        <v>163</v>
      </c>
      <c r="DO601" s="27" t="s">
        <v>134</v>
      </c>
      <c r="DP601" s="27" t="s">
        <v>191</v>
      </c>
      <c r="DQ601" s="27" t="s">
        <v>479</v>
      </c>
      <c r="DR601" s="27" t="s">
        <v>204</v>
      </c>
      <c r="DS601" s="27" t="s">
        <v>480</v>
      </c>
      <c r="DT601" s="27" t="s">
        <v>154</v>
      </c>
      <c r="DU601" s="27" t="s">
        <v>481</v>
      </c>
      <c r="DV601" s="27" t="s">
        <v>177</v>
      </c>
      <c r="DW601" s="27" t="s">
        <v>174</v>
      </c>
      <c r="DX601" s="27" t="s">
        <v>163</v>
      </c>
      <c r="DY601" s="27" t="s">
        <v>178</v>
      </c>
      <c r="DZ601" s="27" t="n">
        <f aca="false">DY601+DV601+DR601+DN601+DJ601+DF601+DB601</f>
        <v>489</v>
      </c>
      <c r="EA601" s="28" t="n">
        <f aca="false">DZ601/7</f>
        <v>69.8571428571429</v>
      </c>
      <c r="EB601" s="27" t="n">
        <f aca="false">RANK(EA601,$EA$2:$EA$881,0)</f>
        <v>658</v>
      </c>
      <c r="EC601" s="29" t="n">
        <f aca="false">DZ601+CQ601+CP601+AZ601</f>
        <v>2210</v>
      </c>
      <c r="ED601" s="30" t="n">
        <f aca="false">(EA601+CV601+BB601)/3</f>
        <v>71.6714285714286</v>
      </c>
      <c r="EE601" s="51" t="n">
        <f aca="false">ROUND(BE601,3)</f>
        <v>86.487</v>
      </c>
      <c r="EF601" s="51" t="n">
        <f aca="false">ROUND(CR601,3)</f>
        <v>72</v>
      </c>
      <c r="EG601" s="51" t="n">
        <f aca="false">ROUND(CS601,3)</f>
        <v>62.714</v>
      </c>
      <c r="EH601" s="51" t="n">
        <f aca="false">ROUND(EA601,3)</f>
        <v>69.857</v>
      </c>
      <c r="EI601" s="51" t="n">
        <f aca="false">ROUND(ED601,3)</f>
        <v>71.671</v>
      </c>
      <c r="EJ601" s="51" t="n">
        <f aca="false">ROUND(CV601,3)</f>
        <v>67.357</v>
      </c>
      <c r="EK601" s="0" t="n">
        <f aca="false">RANK(EI601,$EI$2:$EI$881,0)</f>
        <v>600</v>
      </c>
    </row>
    <row r="602" customFormat="false" ht="15" hidden="false" customHeight="false" outlineLevel="0" collapsed="false">
      <c r="A602" s="4" t="n">
        <v>9031</v>
      </c>
      <c r="B602" s="4" t="n">
        <v>150</v>
      </c>
      <c r="C602" s="27" t="s">
        <v>1776</v>
      </c>
      <c r="D602" s="31" t="n">
        <v>150</v>
      </c>
      <c r="E602" s="32" t="n">
        <v>230312723</v>
      </c>
      <c r="F602" s="8" t="s">
        <v>1777</v>
      </c>
      <c r="G602" s="22" t="s">
        <v>1778</v>
      </c>
      <c r="H602" s="22" t="s">
        <v>129</v>
      </c>
      <c r="I602" s="33" t="n">
        <v>2006</v>
      </c>
      <c r="J602" s="32" t="n">
        <v>93</v>
      </c>
      <c r="K602" s="32" t="n">
        <v>84</v>
      </c>
      <c r="L602" s="34" t="n">
        <f aca="false">(K602*70)/100</f>
        <v>58.8</v>
      </c>
      <c r="M602" s="34" t="n">
        <f aca="false">ROUNDUP(L602,0)</f>
        <v>59</v>
      </c>
      <c r="N602" s="32" t="n">
        <v>19</v>
      </c>
      <c r="O602" s="34" t="n">
        <f aca="false">N602+L602</f>
        <v>77.8</v>
      </c>
      <c r="P602" s="34" t="n">
        <f aca="false">N602+M602</f>
        <v>78</v>
      </c>
      <c r="Q602" s="32" t="n">
        <v>81</v>
      </c>
      <c r="R602" s="32" t="n">
        <v>81</v>
      </c>
      <c r="S602" s="34" t="n">
        <f aca="false">(R602*70)/100</f>
        <v>56.7</v>
      </c>
      <c r="T602" s="34" t="n">
        <f aca="false">ROUNDUP(S602,0)</f>
        <v>57</v>
      </c>
      <c r="U602" s="32" t="n">
        <v>21</v>
      </c>
      <c r="V602" s="34" t="n">
        <f aca="false">U602+S602</f>
        <v>77.7</v>
      </c>
      <c r="W602" s="34" t="n">
        <f aca="false">U602+T602</f>
        <v>78</v>
      </c>
      <c r="X602" s="32" t="n">
        <v>77</v>
      </c>
      <c r="Y602" s="34" t="n">
        <f aca="false">(X602*70)/100</f>
        <v>53.9</v>
      </c>
      <c r="Z602" s="34" t="n">
        <f aca="false">ROUNDUP(Y602,0)</f>
        <v>54</v>
      </c>
      <c r="AA602" s="32" t="n">
        <v>22</v>
      </c>
      <c r="AB602" s="34" t="n">
        <f aca="false">AA602+Y602</f>
        <v>75.9</v>
      </c>
      <c r="AC602" s="34" t="n">
        <f aca="false">AA602+Z602</f>
        <v>76</v>
      </c>
      <c r="AD602" s="32" t="n">
        <f aca="false">X602+R602+Q602+K602+J602</f>
        <v>416</v>
      </c>
      <c r="AE602" s="16" t="n">
        <f aca="false">AD602/5</f>
        <v>83.2</v>
      </c>
      <c r="AF602" s="16" t="n">
        <v>76</v>
      </c>
      <c r="AG602" s="16" t="n">
        <v>97</v>
      </c>
      <c r="AH602" s="16" t="n">
        <v>95</v>
      </c>
      <c r="AI602" s="16" t="n">
        <v>91</v>
      </c>
      <c r="AJ602" s="16" t="n">
        <f aca="false">(AI602*70)/100</f>
        <v>63.7</v>
      </c>
      <c r="AK602" s="35" t="n">
        <f aca="false">ROUNDUP(AJ602,0)</f>
        <v>64</v>
      </c>
      <c r="AL602" s="16" t="n">
        <v>22</v>
      </c>
      <c r="AM602" s="16" t="n">
        <f aca="false">AL602+AJ602</f>
        <v>85.7</v>
      </c>
      <c r="AN602" s="16" t="n">
        <f aca="false">AL602+AK602</f>
        <v>86</v>
      </c>
      <c r="AO602" s="16" t="n">
        <v>80</v>
      </c>
      <c r="AP602" s="36" t="n">
        <f aca="false">(AO602*70)/100</f>
        <v>56</v>
      </c>
      <c r="AQ602" s="37" t="n">
        <f aca="false">ROUNDUP(AP602,0)</f>
        <v>56</v>
      </c>
      <c r="AR602" s="16" t="n">
        <v>29</v>
      </c>
      <c r="AS602" s="16" t="n">
        <f aca="false">AR602+AP602</f>
        <v>85</v>
      </c>
      <c r="AT602" s="16" t="n">
        <f aca="false">AR602+AQ602</f>
        <v>85</v>
      </c>
      <c r="AU602" s="16" t="n">
        <f aca="false">AO602+AF602+AI602+AH602+AG602</f>
        <v>439</v>
      </c>
      <c r="AV602" s="16" t="n">
        <f aca="false">(AO602+AF602+AI602+AH602+AG602)/5</f>
        <v>87.8</v>
      </c>
      <c r="AW602" s="36" t="n">
        <f aca="false">(AO602+AF602+AI602+AH602+AG602+X602+R602+Q602+K602+J602)</f>
        <v>855</v>
      </c>
      <c r="AX602" s="16" t="n">
        <f aca="false">AW602/10</f>
        <v>85.5</v>
      </c>
      <c r="AY602" s="16" t="n">
        <f aca="false">AS602+AF602+AM602+AH602+AG602+AB602+V602+Q602+O602+J602</f>
        <v>844.1</v>
      </c>
      <c r="AZ602" s="16" t="n">
        <f aca="false">AT602+AF602+AN602+AH602+AG602+AC602+W602+Q602+P602+J602</f>
        <v>845</v>
      </c>
      <c r="BA602" s="16" t="n">
        <f aca="false">AY602/10</f>
        <v>84.41</v>
      </c>
      <c r="BB602" s="16" t="n">
        <f aca="false">AZ602/10</f>
        <v>84.5</v>
      </c>
      <c r="BC602" s="16" t="n">
        <v>2342</v>
      </c>
      <c r="BD602" s="16" t="n">
        <f aca="false">RANK(AX602,$AX$2:$AX$881,0)</f>
        <v>83</v>
      </c>
      <c r="BE602" s="38" t="n">
        <f aca="false">((BC602*100)/2400)*0.4+(AX602*0.6)</f>
        <v>90.3333333333333</v>
      </c>
      <c r="BF602" s="16" t="n">
        <f aca="false">RANK(BE602,$BE$2:$BE$881,0)</f>
        <v>91</v>
      </c>
      <c r="BG602" s="39" t="n">
        <f aca="false">RANK(BB602,$BB$2:$BB$881,0)</f>
        <v>110</v>
      </c>
      <c r="BH602" s="39" t="n">
        <f aca="false">RANK(BC602,$BC$2:$BC$881,0)</f>
        <v>621</v>
      </c>
      <c r="BI602" s="22" t="s">
        <v>130</v>
      </c>
      <c r="BJ602" s="22" t="s">
        <v>129</v>
      </c>
      <c r="BK602" s="40" t="s">
        <v>131</v>
      </c>
      <c r="BL602" s="41" t="n">
        <v>15</v>
      </c>
      <c r="BM602" s="98" t="n">
        <v>0</v>
      </c>
      <c r="BN602" s="98" t="n">
        <v>15</v>
      </c>
      <c r="BO602" s="42" t="n">
        <v>18</v>
      </c>
      <c r="BP602" s="61"/>
      <c r="BQ602" s="61"/>
      <c r="BR602" s="42" t="n">
        <v>18</v>
      </c>
      <c r="BS602" s="45" t="n">
        <v>59</v>
      </c>
      <c r="BT602" s="45" t="n">
        <v>77</v>
      </c>
      <c r="BU602" s="46" t="n">
        <v>100</v>
      </c>
      <c r="BV602" s="47" t="n">
        <v>94</v>
      </c>
      <c r="BW602" s="42" t="n">
        <v>98</v>
      </c>
      <c r="BX602" s="48" t="n">
        <v>94</v>
      </c>
      <c r="BY602" s="32" t="n">
        <v>19</v>
      </c>
      <c r="BZ602" s="32" t="n">
        <v>41</v>
      </c>
      <c r="CA602" s="48" t="n">
        <v>60</v>
      </c>
      <c r="CB602" s="32" t="n">
        <v>22</v>
      </c>
      <c r="CC602" s="32" t="n">
        <v>34</v>
      </c>
      <c r="CD602" s="69" t="n">
        <v>56</v>
      </c>
      <c r="CE602" s="32" t="n">
        <v>24</v>
      </c>
      <c r="CF602" s="32" t="n">
        <v>48</v>
      </c>
      <c r="CG602" s="32" t="n">
        <v>72</v>
      </c>
      <c r="CH602" s="32" t="n">
        <v>95</v>
      </c>
      <c r="CI602" s="32" t="n">
        <v>99</v>
      </c>
      <c r="CJ602" s="49" t="n">
        <v>19</v>
      </c>
      <c r="CK602" s="49" t="n">
        <v>54</v>
      </c>
      <c r="CL602" s="49" t="n">
        <v>73</v>
      </c>
      <c r="CM602" s="49" t="n">
        <v>19</v>
      </c>
      <c r="CN602" s="49" t="n">
        <v>52</v>
      </c>
      <c r="CO602" s="49" t="n">
        <v>71</v>
      </c>
      <c r="CP602" s="25" t="n">
        <f aca="false">BX602+BW602+BV602+BU602+BT602+BQ602+BN602</f>
        <v>478</v>
      </c>
      <c r="CQ602" s="25" t="n">
        <f aca="false">CO602+CL602+CI602+CH602+CG602+CD602+CA602</f>
        <v>526</v>
      </c>
      <c r="CR602" s="26" t="n">
        <f aca="false">CP602/7</f>
        <v>68.2857142857143</v>
      </c>
      <c r="CS602" s="26" t="n">
        <f aca="false">CQ602/7</f>
        <v>75.1428571428571</v>
      </c>
      <c r="CT602" s="24" t="n">
        <f aca="false">RANK(CR602,$CR$2:$CR$881,0)</f>
        <v>695</v>
      </c>
      <c r="CU602" s="25" t="n">
        <f aca="false">RANK(CS602,$CS$2:$CS$881,0)</f>
        <v>426</v>
      </c>
      <c r="CV602" s="26" t="n">
        <f aca="false">(CS602+CR602)/2</f>
        <v>71.7142857142857</v>
      </c>
      <c r="CW602" s="25" t="n">
        <f aca="false">RANK(CV602,$CV$2:$CV$881,0)</f>
        <v>617</v>
      </c>
      <c r="CX602" s="50" t="n">
        <f aca="false">(CV602+BB602)/2</f>
        <v>78.1071428571429</v>
      </c>
      <c r="CY602" s="50" t="n">
        <v>475</v>
      </c>
      <c r="CZ602" s="27" t="s">
        <v>132</v>
      </c>
      <c r="DA602" s="27" t="s">
        <v>305</v>
      </c>
      <c r="DB602" s="27" t="s">
        <v>305</v>
      </c>
      <c r="DC602" s="27" t="s">
        <v>134</v>
      </c>
      <c r="DD602" s="27" t="s">
        <v>135</v>
      </c>
      <c r="DE602" s="27" t="s">
        <v>645</v>
      </c>
      <c r="DF602" s="27" t="s">
        <v>138</v>
      </c>
      <c r="DG602" s="27" t="s">
        <v>134</v>
      </c>
      <c r="DH602" s="27" t="s">
        <v>174</v>
      </c>
      <c r="DI602" s="27" t="s">
        <v>481</v>
      </c>
      <c r="DJ602" s="27" t="s">
        <v>204</v>
      </c>
      <c r="DK602" s="27" t="s">
        <v>480</v>
      </c>
      <c r="DL602" s="27" t="s">
        <v>182</v>
      </c>
      <c r="DM602" s="27" t="s">
        <v>1151</v>
      </c>
      <c r="DN602" s="27" t="s">
        <v>220</v>
      </c>
      <c r="DO602" s="27" t="s">
        <v>480</v>
      </c>
      <c r="DP602" s="27"/>
      <c r="DQ602" s="27"/>
      <c r="DR602" s="27"/>
      <c r="DS602" s="27"/>
      <c r="DT602" s="27" t="s">
        <v>195</v>
      </c>
      <c r="DU602" s="27" t="s">
        <v>304</v>
      </c>
      <c r="DV602" s="27" t="s">
        <v>441</v>
      </c>
      <c r="DW602" s="27" t="s">
        <v>718</v>
      </c>
      <c r="DX602" s="27" t="s">
        <v>203</v>
      </c>
      <c r="DY602" s="27" t="s">
        <v>372</v>
      </c>
      <c r="DZ602" s="27" t="n">
        <f aca="false">DY602+DV602+DR602+DN602+DJ602+DF602+DB602</f>
        <v>411</v>
      </c>
      <c r="EA602" s="28" t="n">
        <f aca="false">DZ602/7</f>
        <v>58.7142857142857</v>
      </c>
      <c r="EB602" s="27" t="n">
        <f aca="false">RANK(EA602,$EA$2:$EA$881,0)</f>
        <v>795</v>
      </c>
      <c r="EC602" s="29" t="n">
        <f aca="false">DZ602+CQ602+CP602+AZ602</f>
        <v>2260</v>
      </c>
      <c r="ED602" s="30" t="n">
        <f aca="false">(EA602+CV602+BB602)/3</f>
        <v>71.6428571428572</v>
      </c>
      <c r="EE602" s="51" t="n">
        <f aca="false">ROUND(BE602,3)</f>
        <v>90.333</v>
      </c>
      <c r="EF602" s="51" t="n">
        <f aca="false">ROUND(CR602,3)</f>
        <v>68.286</v>
      </c>
      <c r="EG602" s="51" t="n">
        <f aca="false">ROUND(CS602,3)</f>
        <v>75.143</v>
      </c>
      <c r="EH602" s="51" t="n">
        <f aca="false">ROUND(EA602,3)</f>
        <v>58.714</v>
      </c>
      <c r="EI602" s="51" t="n">
        <f aca="false">ROUND(ED602,3)</f>
        <v>71.643</v>
      </c>
      <c r="EJ602" s="51" t="n">
        <f aca="false">ROUND(CV602,3)</f>
        <v>71.714</v>
      </c>
      <c r="EK602" s="0" t="n">
        <f aca="false">RANK(EI602,$EI$2:$EI$881,0)</f>
        <v>601</v>
      </c>
    </row>
    <row r="603" customFormat="false" ht="15" hidden="false" customHeight="false" outlineLevel="0" collapsed="false">
      <c r="A603" s="4" t="n">
        <v>8785</v>
      </c>
      <c r="B603" s="4" t="n">
        <v>218</v>
      </c>
      <c r="C603" s="27" t="s">
        <v>1779</v>
      </c>
      <c r="D603" s="31" t="n">
        <v>219</v>
      </c>
      <c r="E603" s="16" t="n">
        <v>230122811</v>
      </c>
      <c r="F603" s="56" t="s">
        <v>1780</v>
      </c>
      <c r="G603" s="22" t="s">
        <v>368</v>
      </c>
      <c r="H603" s="22" t="s">
        <v>326</v>
      </c>
      <c r="I603" s="57"/>
      <c r="J603" s="16" t="n">
        <v>73</v>
      </c>
      <c r="K603" s="16" t="n">
        <v>84</v>
      </c>
      <c r="L603" s="34" t="n">
        <f aca="false">(K603*70)/100</f>
        <v>58.8</v>
      </c>
      <c r="M603" s="34" t="n">
        <f aca="false">ROUNDUP(L603,0)</f>
        <v>59</v>
      </c>
      <c r="N603" s="16" t="n">
        <v>22</v>
      </c>
      <c r="O603" s="34" t="n">
        <f aca="false">N603+L603</f>
        <v>80.8</v>
      </c>
      <c r="P603" s="34" t="n">
        <f aca="false">N603+M603</f>
        <v>81</v>
      </c>
      <c r="Q603" s="16" t="n">
        <v>78</v>
      </c>
      <c r="R603" s="16" t="n">
        <v>71</v>
      </c>
      <c r="S603" s="34" t="n">
        <f aca="false">(R603*70)/100</f>
        <v>49.7</v>
      </c>
      <c r="T603" s="34" t="n">
        <f aca="false">ROUNDUP(S603,0)</f>
        <v>50</v>
      </c>
      <c r="U603" s="16" t="n">
        <v>26</v>
      </c>
      <c r="V603" s="34" t="n">
        <f aca="false">U603+S603</f>
        <v>75.7</v>
      </c>
      <c r="W603" s="34" t="n">
        <f aca="false">U603+T603</f>
        <v>76</v>
      </c>
      <c r="X603" s="16" t="n">
        <v>75</v>
      </c>
      <c r="Y603" s="34" t="n">
        <f aca="false">(X603*70)/100</f>
        <v>52.5</v>
      </c>
      <c r="Z603" s="34" t="n">
        <f aca="false">ROUNDUP(Y603,0)</f>
        <v>53</v>
      </c>
      <c r="AA603" s="16" t="n">
        <v>25</v>
      </c>
      <c r="AB603" s="34" t="n">
        <f aca="false">AA603+Y603</f>
        <v>77.5</v>
      </c>
      <c r="AC603" s="34" t="n">
        <f aca="false">AA603+Z603</f>
        <v>78</v>
      </c>
      <c r="AD603" s="32" t="n">
        <f aca="false">X603+R603+Q603+K603+J603</f>
        <v>381</v>
      </c>
      <c r="AE603" s="16" t="n">
        <f aca="false">AD603/5</f>
        <v>76.2</v>
      </c>
      <c r="AF603" s="16" t="n">
        <v>73</v>
      </c>
      <c r="AG603" s="16" t="n">
        <v>85</v>
      </c>
      <c r="AH603" s="16" t="n">
        <v>88</v>
      </c>
      <c r="AI603" s="16" t="n">
        <v>81</v>
      </c>
      <c r="AJ603" s="16" t="n">
        <f aca="false">(AI603*70)/100</f>
        <v>56.7</v>
      </c>
      <c r="AK603" s="35" t="n">
        <f aca="false">ROUNDUP(AJ603,0)</f>
        <v>57</v>
      </c>
      <c r="AL603" s="16" t="n">
        <v>23</v>
      </c>
      <c r="AM603" s="16" t="n">
        <f aca="false">AL603+AJ603</f>
        <v>79.7</v>
      </c>
      <c r="AN603" s="16" t="n">
        <f aca="false">AL603+AK603</f>
        <v>80</v>
      </c>
      <c r="AO603" s="16" t="n">
        <v>79</v>
      </c>
      <c r="AP603" s="36" t="n">
        <f aca="false">(AO603*70)/100</f>
        <v>55.3</v>
      </c>
      <c r="AQ603" s="37" t="n">
        <f aca="false">ROUNDUP(AP603,0)</f>
        <v>56</v>
      </c>
      <c r="AR603" s="16" t="n">
        <v>21</v>
      </c>
      <c r="AS603" s="16" t="n">
        <f aca="false">AR603+AP603</f>
        <v>76.3</v>
      </c>
      <c r="AT603" s="16" t="n">
        <f aca="false">AR603+AQ603</f>
        <v>77</v>
      </c>
      <c r="AU603" s="16" t="n">
        <f aca="false">AO603+AF603+AI603+AH603+AG603</f>
        <v>406</v>
      </c>
      <c r="AV603" s="16" t="n">
        <f aca="false">(AO603+AF603+AI603+AH603+AG603)/5</f>
        <v>81.2</v>
      </c>
      <c r="AW603" s="36" t="n">
        <f aca="false">(AO603+AF603+AI603+AH603+AG603+X603+R603+Q603+K603+J603)</f>
        <v>787</v>
      </c>
      <c r="AX603" s="16" t="n">
        <f aca="false">AW603/10</f>
        <v>78.7</v>
      </c>
      <c r="AY603" s="16" t="n">
        <f aca="false">AS603+AF603+AM603+AH603+AG603+AB603+V603+Q603+O603+J603</f>
        <v>787</v>
      </c>
      <c r="AZ603" s="16" t="n">
        <f aca="false">AT603+AF603+AN603+AH603+AG603+AC603+W603+Q603+P603+J603</f>
        <v>789</v>
      </c>
      <c r="BA603" s="16" t="n">
        <f aca="false">AY603/10</f>
        <v>78.7</v>
      </c>
      <c r="BB603" s="16" t="n">
        <f aca="false">AZ603/10</f>
        <v>78.9</v>
      </c>
      <c r="BC603" s="16" t="n">
        <v>2346</v>
      </c>
      <c r="BD603" s="16" t="n">
        <f aca="false">RANK(AX603,$AX$2:$AX$881,0)</f>
        <v>358</v>
      </c>
      <c r="BE603" s="54" t="n">
        <f aca="false">((BC603*100)/2400)*0.4+(AX603*0.6)</f>
        <v>86.32</v>
      </c>
      <c r="BF603" s="16" t="n">
        <f aca="false">RANK(BE603,$BE$2:$BE$881,0)</f>
        <v>377</v>
      </c>
      <c r="BG603" s="39" t="n">
        <f aca="false">RANK(BB603,$BB$2:$BB$881,0)</f>
        <v>463</v>
      </c>
      <c r="BH603" s="39" t="n">
        <f aca="false">RANK(BC603,$BC$2:$BC$881,0)</f>
        <v>571</v>
      </c>
      <c r="BI603" s="22" t="s">
        <v>130</v>
      </c>
      <c r="BJ603" s="22" t="s">
        <v>129</v>
      </c>
      <c r="BK603" s="40" t="s">
        <v>131</v>
      </c>
      <c r="BL603" s="41" t="n">
        <v>14</v>
      </c>
      <c r="BM603" s="41" t="n">
        <v>47</v>
      </c>
      <c r="BN603" s="41" t="n">
        <v>61</v>
      </c>
      <c r="BO603" s="42" t="n">
        <v>18</v>
      </c>
      <c r="BP603" s="42" t="n">
        <v>52</v>
      </c>
      <c r="BQ603" s="42" t="n">
        <v>70</v>
      </c>
      <c r="BR603" s="42" t="n">
        <v>16</v>
      </c>
      <c r="BS603" s="45" t="n">
        <v>54</v>
      </c>
      <c r="BT603" s="45" t="n">
        <v>70</v>
      </c>
      <c r="BU603" s="46" t="n">
        <v>95</v>
      </c>
      <c r="BV603" s="47" t="n">
        <v>76</v>
      </c>
      <c r="BW603" s="42" t="n">
        <v>93</v>
      </c>
      <c r="BX603" s="48" t="n">
        <v>90</v>
      </c>
      <c r="BY603" s="32" t="n">
        <v>17</v>
      </c>
      <c r="BZ603" s="32" t="n">
        <v>53</v>
      </c>
      <c r="CA603" s="89" t="n">
        <v>70</v>
      </c>
      <c r="CB603" s="32" t="n">
        <v>19</v>
      </c>
      <c r="CC603" s="32" t="n">
        <v>36</v>
      </c>
      <c r="CD603" s="69" t="n">
        <v>55</v>
      </c>
      <c r="CE603" s="32" t="n">
        <v>29</v>
      </c>
      <c r="CF603" s="32" t="n">
        <v>45</v>
      </c>
      <c r="CG603" s="32" t="n">
        <v>74</v>
      </c>
      <c r="CH603" s="32" t="n">
        <v>96</v>
      </c>
      <c r="CI603" s="32" t="n">
        <v>93</v>
      </c>
      <c r="CJ603" s="83" t="n">
        <v>5</v>
      </c>
      <c r="CK603" s="60"/>
      <c r="CL603" s="61"/>
      <c r="CM603" s="49" t="n">
        <v>15</v>
      </c>
      <c r="CN603" s="49" t="n">
        <v>48</v>
      </c>
      <c r="CO603" s="49" t="n">
        <v>63</v>
      </c>
      <c r="CP603" s="25" t="n">
        <f aca="false">BX603+BW603+BV603+BU603+BT603+BQ603+BN603</f>
        <v>555</v>
      </c>
      <c r="CQ603" s="25" t="n">
        <f aca="false">CO603+CL603+CI603+CH603+CG603+CD603+CA603</f>
        <v>451</v>
      </c>
      <c r="CR603" s="26" t="n">
        <f aca="false">CP603/7</f>
        <v>79.2857142857143</v>
      </c>
      <c r="CS603" s="26" t="n">
        <f aca="false">CQ603/7</f>
        <v>64.4285714285714</v>
      </c>
      <c r="CT603" s="24" t="n">
        <f aca="false">RANK(CR603,$CR$2:$CR$881,0)</f>
        <v>597</v>
      </c>
      <c r="CU603" s="25" t="n">
        <f aca="false">RANK(CS603,$CS$2:$CS$881,0)</f>
        <v>634</v>
      </c>
      <c r="CV603" s="26" t="n">
        <f aca="false">(CS603+CR603)/2</f>
        <v>71.8571428571429</v>
      </c>
      <c r="CW603" s="25" t="n">
        <f aca="false">RANK(CV603,$CV$2:$CV$881,0)</f>
        <v>614</v>
      </c>
      <c r="CX603" s="50" t="n">
        <f aca="false">(CV603+BB603)/2</f>
        <v>75.3785714285714</v>
      </c>
      <c r="CY603" s="50" t="n">
        <v>562</v>
      </c>
      <c r="CZ603" s="27" t="s">
        <v>132</v>
      </c>
      <c r="DA603" s="27" t="s">
        <v>162</v>
      </c>
      <c r="DB603" s="27" t="s">
        <v>162</v>
      </c>
      <c r="DC603" s="27" t="s">
        <v>134</v>
      </c>
      <c r="DD603" s="27" t="s">
        <v>604</v>
      </c>
      <c r="DE603" s="27" t="s">
        <v>313</v>
      </c>
      <c r="DF603" s="27" t="s">
        <v>143</v>
      </c>
      <c r="DG603" s="27" t="s">
        <v>134</v>
      </c>
      <c r="DH603" s="27" t="s">
        <v>164</v>
      </c>
      <c r="DI603" s="27" t="s">
        <v>412</v>
      </c>
      <c r="DJ603" s="27" t="s">
        <v>305</v>
      </c>
      <c r="DK603" s="27" t="s">
        <v>134</v>
      </c>
      <c r="DL603" s="27" t="s">
        <v>191</v>
      </c>
      <c r="DM603" s="27" t="s">
        <v>375</v>
      </c>
      <c r="DN603" s="27" t="s">
        <v>155</v>
      </c>
      <c r="DO603" s="27" t="s">
        <v>134</v>
      </c>
      <c r="DP603" s="27"/>
      <c r="DQ603" s="27"/>
      <c r="DR603" s="27"/>
      <c r="DS603" s="27"/>
      <c r="DT603" s="27" t="s">
        <v>195</v>
      </c>
      <c r="DU603" s="27" t="s">
        <v>1064</v>
      </c>
      <c r="DV603" s="27" t="s">
        <v>218</v>
      </c>
      <c r="DW603" s="27" t="s">
        <v>191</v>
      </c>
      <c r="DX603" s="27" t="s">
        <v>187</v>
      </c>
      <c r="DY603" s="27" t="s">
        <v>202</v>
      </c>
      <c r="DZ603" s="27" t="n">
        <f aca="false">DY603+DV603+DR603+DN603+DJ603+DF603+DB603</f>
        <v>448</v>
      </c>
      <c r="EA603" s="28" t="n">
        <f aca="false">DZ603/7</f>
        <v>64</v>
      </c>
      <c r="EB603" s="27" t="n">
        <f aca="false">RANK(EA603,$EA$2:$EA$881,0)</f>
        <v>745</v>
      </c>
      <c r="EC603" s="29" t="n">
        <f aca="false">DZ603+CQ603+CP603+AZ603</f>
        <v>2243</v>
      </c>
      <c r="ED603" s="30" t="n">
        <f aca="false">(EA603+CV603+BB603)/3</f>
        <v>71.5857142857143</v>
      </c>
      <c r="EE603" s="51" t="n">
        <f aca="false">ROUND(BE603,3)</f>
        <v>86.32</v>
      </c>
      <c r="EF603" s="51" t="n">
        <f aca="false">ROUND(CR603,3)</f>
        <v>79.286</v>
      </c>
      <c r="EG603" s="51" t="n">
        <f aca="false">ROUND(CS603,3)</f>
        <v>64.429</v>
      </c>
      <c r="EH603" s="51" t="n">
        <f aca="false">ROUND(EA603,3)</f>
        <v>64</v>
      </c>
      <c r="EI603" s="51" t="n">
        <f aca="false">ROUND(ED603,3)</f>
        <v>71.586</v>
      </c>
      <c r="EJ603" s="51" t="n">
        <f aca="false">ROUND(CV603,3)</f>
        <v>71.857</v>
      </c>
      <c r="EK603" s="0" t="n">
        <f aca="false">RANK(EI603,$EI$2:$EI$881,0)</f>
        <v>602</v>
      </c>
    </row>
    <row r="604" customFormat="false" ht="15" hidden="false" customHeight="false" outlineLevel="0" collapsed="false">
      <c r="A604" s="4" t="n">
        <v>8968</v>
      </c>
      <c r="B604" s="4" t="n">
        <v>735</v>
      </c>
      <c r="C604" s="27" t="s">
        <v>1781</v>
      </c>
      <c r="D604" s="31" t="n">
        <v>750</v>
      </c>
      <c r="E604" s="16" t="n">
        <v>230241026</v>
      </c>
      <c r="F604" s="56" t="s">
        <v>1782</v>
      </c>
      <c r="G604" s="22" t="s">
        <v>1650</v>
      </c>
      <c r="H604" s="22" t="s">
        <v>326</v>
      </c>
      <c r="I604" s="57"/>
      <c r="J604" s="16" t="n">
        <v>62</v>
      </c>
      <c r="K604" s="16" t="n">
        <v>53</v>
      </c>
      <c r="L604" s="34" t="n">
        <f aca="false">(K604*70)/100</f>
        <v>37.1</v>
      </c>
      <c r="M604" s="34" t="n">
        <f aca="false">ROUNDUP(L604,0)</f>
        <v>38</v>
      </c>
      <c r="N604" s="16" t="n">
        <v>25</v>
      </c>
      <c r="O604" s="34" t="n">
        <f aca="false">N604+L604</f>
        <v>62.1</v>
      </c>
      <c r="P604" s="34" t="n">
        <f aca="false">N604+M604</f>
        <v>63</v>
      </c>
      <c r="Q604" s="16" t="n">
        <v>69</v>
      </c>
      <c r="R604" s="16" t="n">
        <v>61</v>
      </c>
      <c r="S604" s="34" t="n">
        <f aca="false">(R604*70)/100</f>
        <v>42.7</v>
      </c>
      <c r="T604" s="34" t="n">
        <f aca="false">ROUNDUP(S604,0)</f>
        <v>43</v>
      </c>
      <c r="U604" s="16" t="n">
        <v>25</v>
      </c>
      <c r="V604" s="34" t="n">
        <f aca="false">U604+S604</f>
        <v>67.7</v>
      </c>
      <c r="W604" s="34" t="n">
        <f aca="false">U604+T604</f>
        <v>68</v>
      </c>
      <c r="X604" s="16" t="n">
        <v>43</v>
      </c>
      <c r="Y604" s="34" t="n">
        <f aca="false">(X604*70)/100</f>
        <v>30.1</v>
      </c>
      <c r="Z604" s="34" t="n">
        <f aca="false">ROUNDUP(Y604,0)</f>
        <v>31</v>
      </c>
      <c r="AA604" s="16" t="n">
        <v>23</v>
      </c>
      <c r="AB604" s="34" t="n">
        <f aca="false">AA604+Y604</f>
        <v>53.1</v>
      </c>
      <c r="AC604" s="91" t="n">
        <f aca="false">AA604+Z604</f>
        <v>54</v>
      </c>
      <c r="AD604" s="32" t="n">
        <f aca="false">X604+R604+Q604+K604+J604</f>
        <v>288</v>
      </c>
      <c r="AE604" s="16" t="n">
        <f aca="false">AD604/5</f>
        <v>57.6</v>
      </c>
      <c r="AF604" s="16" t="n">
        <v>65</v>
      </c>
      <c r="AG604" s="16" t="n">
        <v>75</v>
      </c>
      <c r="AH604" s="16" t="n">
        <v>70</v>
      </c>
      <c r="AI604" s="16" t="n">
        <v>75</v>
      </c>
      <c r="AJ604" s="16" t="n">
        <f aca="false">(AI604*70)/100</f>
        <v>52.5</v>
      </c>
      <c r="AK604" s="35" t="n">
        <f aca="false">ROUNDUP(AJ604,0)</f>
        <v>53</v>
      </c>
      <c r="AL604" s="16" t="n">
        <v>21</v>
      </c>
      <c r="AM604" s="16" t="n">
        <f aca="false">AL604+AJ604</f>
        <v>73.5</v>
      </c>
      <c r="AN604" s="16" t="n">
        <f aca="false">AL604+AK604</f>
        <v>74</v>
      </c>
      <c r="AO604" s="16" t="n">
        <v>51</v>
      </c>
      <c r="AP604" s="36" t="n">
        <f aca="false">(AO604*70)/100</f>
        <v>35.7</v>
      </c>
      <c r="AQ604" s="37" t="n">
        <f aca="false">ROUNDUP(AP604,0)</f>
        <v>36</v>
      </c>
      <c r="AR604" s="16" t="n">
        <v>27</v>
      </c>
      <c r="AS604" s="16" t="n">
        <f aca="false">AR604+AP604</f>
        <v>62.7</v>
      </c>
      <c r="AT604" s="16" t="n">
        <f aca="false">AR604+AQ604</f>
        <v>63</v>
      </c>
      <c r="AU604" s="16" t="n">
        <f aca="false">AO604+AF604+AI604+AH604+AG604</f>
        <v>336</v>
      </c>
      <c r="AV604" s="16" t="n">
        <f aca="false">(AO604+AF604+AI604+AH604+AG604)/5</f>
        <v>67.2</v>
      </c>
      <c r="AW604" s="36" t="n">
        <f aca="false">(AO604+AF604+AI604+AH604+AG604+X604+R604+Q604+K604+J604)</f>
        <v>624</v>
      </c>
      <c r="AX604" s="16" t="n">
        <f aca="false">AW604/10</f>
        <v>62.4</v>
      </c>
      <c r="AY604" s="16" t="n">
        <f aca="false">AS604+AF604+AM604+AH604+AG604+AB604+V604+Q604+O604+J604</f>
        <v>660.1</v>
      </c>
      <c r="AZ604" s="16" t="n">
        <f aca="false">AT604+AF604+AN604+AH604+AG604+AC604+W604+Q604+P604+J604</f>
        <v>663</v>
      </c>
      <c r="BA604" s="16" t="n">
        <f aca="false">AY604/10</f>
        <v>66.01</v>
      </c>
      <c r="BB604" s="16" t="n">
        <f aca="false">AZ604/10</f>
        <v>66.3</v>
      </c>
      <c r="BC604" s="16" t="n">
        <v>2382</v>
      </c>
      <c r="BD604" s="16" t="n">
        <f aca="false">RANK(AX604,$AX$2:$AX$881,0)</f>
        <v>789</v>
      </c>
      <c r="BE604" s="78" t="n">
        <f aca="false">((BC604*100)/2400)*0.4+(AX604*0.6)</f>
        <v>77.14</v>
      </c>
      <c r="BF604" s="16" t="n">
        <f aca="false">RANK(BE604,$BE$2:$BE$881,0)</f>
        <v>764</v>
      </c>
      <c r="BG604" s="39" t="n">
        <f aca="false">RANK(BB604,$BB$2:$BB$881,0)</f>
        <v>777</v>
      </c>
      <c r="BH604" s="39" t="n">
        <f aca="false">RANK(BC604,$BC$2:$BC$881,0)</f>
        <v>124</v>
      </c>
      <c r="BI604" s="22" t="s">
        <v>130</v>
      </c>
      <c r="BJ604" s="22" t="s">
        <v>129</v>
      </c>
      <c r="BK604" s="40" t="s">
        <v>702</v>
      </c>
      <c r="BL604" s="41" t="n">
        <v>20</v>
      </c>
      <c r="BM604" s="41" t="n">
        <v>51</v>
      </c>
      <c r="BN604" s="41" t="n">
        <v>71</v>
      </c>
      <c r="BO604" s="42" t="n">
        <v>25</v>
      </c>
      <c r="BP604" s="43" t="n">
        <v>50</v>
      </c>
      <c r="BQ604" s="44" t="n">
        <v>75</v>
      </c>
      <c r="BR604" s="42" t="n">
        <v>27</v>
      </c>
      <c r="BS604" s="45" t="n">
        <v>49</v>
      </c>
      <c r="BT604" s="45" t="n">
        <v>76</v>
      </c>
      <c r="BU604" s="46" t="n">
        <v>100</v>
      </c>
      <c r="BV604" s="47" t="n">
        <v>96</v>
      </c>
      <c r="BW604" s="42" t="n">
        <v>99</v>
      </c>
      <c r="BX604" s="48" t="n">
        <v>94</v>
      </c>
      <c r="BY604" s="32" t="n">
        <v>20</v>
      </c>
      <c r="BZ604" s="32" t="n">
        <v>48</v>
      </c>
      <c r="CA604" s="32" t="n">
        <v>68</v>
      </c>
      <c r="CB604" s="32" t="n">
        <v>16</v>
      </c>
      <c r="CC604" s="32" t="n">
        <v>42</v>
      </c>
      <c r="CD604" s="69" t="n">
        <v>58</v>
      </c>
      <c r="CE604" s="32" t="n">
        <v>23</v>
      </c>
      <c r="CF604" s="32" t="n">
        <v>38</v>
      </c>
      <c r="CG604" s="32" t="n">
        <v>61</v>
      </c>
      <c r="CH604" s="32" t="n">
        <v>95</v>
      </c>
      <c r="CI604" s="32" t="n">
        <v>89</v>
      </c>
      <c r="CJ604" s="83" t="n">
        <v>10</v>
      </c>
      <c r="CK604" s="60"/>
      <c r="CL604" s="61"/>
      <c r="CM604" s="49" t="n">
        <v>17</v>
      </c>
      <c r="CN604" s="49" t="n">
        <v>59</v>
      </c>
      <c r="CO604" s="84" t="n">
        <v>76</v>
      </c>
      <c r="CP604" s="25" t="n">
        <f aca="false">BX604+BW604+BV604+BU604+BT604+BQ604+BN604</f>
        <v>611</v>
      </c>
      <c r="CQ604" s="25" t="n">
        <f aca="false">CO604+CL604+CI604+CH604+CG604+CD604+CA604</f>
        <v>447</v>
      </c>
      <c r="CR604" s="26" t="n">
        <f aca="false">CP604/7</f>
        <v>87.2857142857143</v>
      </c>
      <c r="CS604" s="26" t="n">
        <f aca="false">CQ604/7</f>
        <v>63.8571428571429</v>
      </c>
      <c r="CT604" s="24" t="n">
        <f aca="false">RANK(CR604,$CR$2:$CR$881,0)</f>
        <v>346</v>
      </c>
      <c r="CU604" s="25" t="n">
        <f aca="false">RANK(CS604,$CS$2:$CS$881,0)</f>
        <v>640</v>
      </c>
      <c r="CV604" s="26" t="n">
        <f aca="false">(CS604+CR604)/2</f>
        <v>75.5714285714286</v>
      </c>
      <c r="CW604" s="25" t="n">
        <f aca="false">RANK(CV604,$CV$2:$CV$881,0)</f>
        <v>548</v>
      </c>
      <c r="CX604" s="50" t="n">
        <f aca="false">(CV604+BB604)/2</f>
        <v>70.9357142857143</v>
      </c>
      <c r="CY604" s="50" t="n">
        <v>613</v>
      </c>
      <c r="CZ604" s="27" t="s">
        <v>132</v>
      </c>
      <c r="DA604" s="27" t="s">
        <v>169</v>
      </c>
      <c r="DB604" s="27" t="s">
        <v>169</v>
      </c>
      <c r="DC604" s="27" t="s">
        <v>134</v>
      </c>
      <c r="DD604" s="27" t="s">
        <v>174</v>
      </c>
      <c r="DE604" s="27" t="s">
        <v>375</v>
      </c>
      <c r="DF604" s="27" t="s">
        <v>398</v>
      </c>
      <c r="DG604" s="27" t="s">
        <v>134</v>
      </c>
      <c r="DH604" s="27" t="s">
        <v>164</v>
      </c>
      <c r="DI604" s="27" t="s">
        <v>989</v>
      </c>
      <c r="DJ604" s="27" t="s">
        <v>138</v>
      </c>
      <c r="DK604" s="27" t="s">
        <v>134</v>
      </c>
      <c r="DL604" s="27" t="s">
        <v>154</v>
      </c>
      <c r="DM604" s="27" t="s">
        <v>906</v>
      </c>
      <c r="DN604" s="27" t="s">
        <v>161</v>
      </c>
      <c r="DO604" s="27" t="s">
        <v>134</v>
      </c>
      <c r="DP604" s="27" t="s">
        <v>191</v>
      </c>
      <c r="DQ604" s="27" t="s">
        <v>1309</v>
      </c>
      <c r="DR604" s="27" t="s">
        <v>306</v>
      </c>
      <c r="DS604" s="27" t="s">
        <v>480</v>
      </c>
      <c r="DT604" s="27" t="s">
        <v>137</v>
      </c>
      <c r="DU604" s="27" t="s">
        <v>638</v>
      </c>
      <c r="DV604" s="27" t="s">
        <v>416</v>
      </c>
      <c r="DW604" s="27" t="s">
        <v>137</v>
      </c>
      <c r="DX604" s="27" t="s">
        <v>187</v>
      </c>
      <c r="DY604" s="27" t="s">
        <v>176</v>
      </c>
      <c r="DZ604" s="27" t="n">
        <f aca="false">DY604+DV604+DR604+DN604+DJ604+DF604+DB604</f>
        <v>503</v>
      </c>
      <c r="EA604" s="28" t="n">
        <f aca="false">DZ604/7</f>
        <v>71.8571428571429</v>
      </c>
      <c r="EB604" s="27" t="n">
        <f aca="false">RANK(EA604,$EA$2:$EA$881,0)</f>
        <v>614</v>
      </c>
      <c r="EC604" s="29" t="n">
        <f aca="false">DZ604+CQ604+CP604+AZ604</f>
        <v>2224</v>
      </c>
      <c r="ED604" s="30" t="n">
        <f aca="false">(EA604+CV604+BB604)/3</f>
        <v>71.2428571428572</v>
      </c>
      <c r="EE604" s="51" t="n">
        <f aca="false">ROUND(BE604,3)</f>
        <v>77.14</v>
      </c>
      <c r="EF604" s="51" t="n">
        <f aca="false">ROUND(CR604,3)</f>
        <v>87.286</v>
      </c>
      <c r="EG604" s="51" t="n">
        <f aca="false">ROUND(CS604,3)</f>
        <v>63.857</v>
      </c>
      <c r="EH604" s="51" t="n">
        <f aca="false">ROUND(EA604,3)</f>
        <v>71.857</v>
      </c>
      <c r="EI604" s="51" t="n">
        <f aca="false">ROUND(ED604,3)</f>
        <v>71.243</v>
      </c>
      <c r="EJ604" s="51" t="n">
        <f aca="false">ROUND(CV604,3)</f>
        <v>75.571</v>
      </c>
      <c r="EK604" s="0" t="n">
        <f aca="false">RANK(EI604,$EI$2:$EI$881,0)</f>
        <v>603</v>
      </c>
    </row>
    <row r="605" customFormat="false" ht="15" hidden="false" customHeight="false" outlineLevel="0" collapsed="false">
      <c r="A605" s="4" t="n">
        <v>2058</v>
      </c>
      <c r="B605" s="4" t="n">
        <v>121</v>
      </c>
      <c r="C605" s="27" t="s">
        <v>1783</v>
      </c>
      <c r="D605" s="31" t="n">
        <v>119</v>
      </c>
      <c r="E605" s="16" t="n">
        <v>230614604</v>
      </c>
      <c r="F605" s="56" t="s">
        <v>1784</v>
      </c>
      <c r="G605" s="22" t="s">
        <v>1785</v>
      </c>
      <c r="H605" s="22" t="s">
        <v>558</v>
      </c>
      <c r="I605" s="57"/>
      <c r="J605" s="16" t="n">
        <v>82</v>
      </c>
      <c r="K605" s="16" t="n">
        <v>58</v>
      </c>
      <c r="L605" s="34" t="n">
        <f aca="false">(K605*70)/100</f>
        <v>40.6</v>
      </c>
      <c r="M605" s="34" t="n">
        <f aca="false">ROUNDUP(L605,0)</f>
        <v>41</v>
      </c>
      <c r="N605" s="16" t="n">
        <v>23</v>
      </c>
      <c r="O605" s="34" t="n">
        <f aca="false">N605+L605</f>
        <v>63.6</v>
      </c>
      <c r="P605" s="34" t="n">
        <f aca="false">N605+M605</f>
        <v>64</v>
      </c>
      <c r="Q605" s="16" t="n">
        <v>69</v>
      </c>
      <c r="R605" s="16" t="n">
        <v>66</v>
      </c>
      <c r="S605" s="34" t="n">
        <f aca="false">(R605*70)/100</f>
        <v>46.2</v>
      </c>
      <c r="T605" s="34" t="n">
        <f aca="false">ROUNDUP(S605,0)</f>
        <v>47</v>
      </c>
      <c r="U605" s="16" t="n">
        <v>27</v>
      </c>
      <c r="V605" s="34" t="n">
        <f aca="false">U605+S605</f>
        <v>73.2</v>
      </c>
      <c r="W605" s="34" t="n">
        <f aca="false">U605+T605</f>
        <v>74</v>
      </c>
      <c r="X605" s="16" t="n">
        <v>70</v>
      </c>
      <c r="Y605" s="34" t="n">
        <f aca="false">(X605*70)/100</f>
        <v>49</v>
      </c>
      <c r="Z605" s="34" t="n">
        <f aca="false">ROUNDUP(Y605,0)</f>
        <v>49</v>
      </c>
      <c r="AA605" s="16" t="n">
        <v>21</v>
      </c>
      <c r="AB605" s="34" t="n">
        <f aca="false">AA605+Y605</f>
        <v>70</v>
      </c>
      <c r="AC605" s="34" t="n">
        <f aca="false">AA605+Z605</f>
        <v>70</v>
      </c>
      <c r="AD605" s="32" t="n">
        <f aca="false">X605+R605+Q605+K605+J605</f>
        <v>345</v>
      </c>
      <c r="AE605" s="16" t="n">
        <f aca="false">AD605/5</f>
        <v>69</v>
      </c>
      <c r="AF605" s="16" t="n">
        <v>79</v>
      </c>
      <c r="AG605" s="16" t="n">
        <v>90</v>
      </c>
      <c r="AH605" s="16" t="n">
        <v>90</v>
      </c>
      <c r="AI605" s="16" t="n">
        <v>89</v>
      </c>
      <c r="AJ605" s="16" t="n">
        <f aca="false">(AI605*70)/100</f>
        <v>62.3</v>
      </c>
      <c r="AK605" s="35" t="n">
        <f aca="false">ROUNDUP(AJ605,0)</f>
        <v>63</v>
      </c>
      <c r="AL605" s="16" t="n">
        <v>29</v>
      </c>
      <c r="AM605" s="16" t="n">
        <f aca="false">AL605+AJ605</f>
        <v>91.3</v>
      </c>
      <c r="AN605" s="16" t="n">
        <f aca="false">AL605+AK605</f>
        <v>92</v>
      </c>
      <c r="AO605" s="16" t="n">
        <v>67</v>
      </c>
      <c r="AP605" s="36" t="n">
        <f aca="false">(AO605*70)/100</f>
        <v>46.9</v>
      </c>
      <c r="AQ605" s="37" t="n">
        <f aca="false">ROUNDUP(AP605,0)</f>
        <v>47</v>
      </c>
      <c r="AR605" s="16" t="n">
        <v>27</v>
      </c>
      <c r="AS605" s="16" t="n">
        <f aca="false">AR605+AP605</f>
        <v>73.9</v>
      </c>
      <c r="AT605" s="16" t="n">
        <f aca="false">AR605+AQ605</f>
        <v>74</v>
      </c>
      <c r="AU605" s="16" t="n">
        <f aca="false">AO605+AF605+AI605+AH605+AG605</f>
        <v>415</v>
      </c>
      <c r="AV605" s="16" t="n">
        <f aca="false">(AO605+AF605+AI605+AH605+AG605)/5</f>
        <v>83</v>
      </c>
      <c r="AW605" s="36" t="n">
        <f aca="false">(AO605+AF605+AI605+AH605+AG605+X605+R605+Q605+K605+J605)</f>
        <v>760</v>
      </c>
      <c r="AX605" s="16" t="n">
        <f aca="false">AW605/10</f>
        <v>76</v>
      </c>
      <c r="AY605" s="16" t="n">
        <f aca="false">AS605+AF605+AM605+AH605+AG605+AB605+V605+Q605+O605+J605</f>
        <v>782</v>
      </c>
      <c r="AZ605" s="16" t="n">
        <f aca="false">AT605+AF605+AN605+AH605+AG605+AC605+W605+Q605+P605+J605</f>
        <v>784</v>
      </c>
      <c r="BA605" s="16" t="n">
        <f aca="false">AY605/10</f>
        <v>78.2</v>
      </c>
      <c r="BB605" s="16" t="n">
        <f aca="false">AZ605/10</f>
        <v>78.4</v>
      </c>
      <c r="BC605" s="16" t="n">
        <v>2378</v>
      </c>
      <c r="BD605" s="16" t="n">
        <f aca="false">RANK(AX605,$AX$2:$AX$881,0)</f>
        <v>616</v>
      </c>
      <c r="BE605" s="54" t="n">
        <f aca="false">((BC605*100)/2400)*0.4+(AX605*0.6)</f>
        <v>85.2333333333333</v>
      </c>
      <c r="BF605" s="16" t="n">
        <f aca="false">RANK(BE605,$BE$2:$BE$881,0)</f>
        <v>557</v>
      </c>
      <c r="BG605" s="39" t="n">
        <f aca="false">RANK(BB605,$BB$2:$BB$881,0)</f>
        <v>520</v>
      </c>
      <c r="BH605" s="39" t="n">
        <f aca="false">RANK(BC605,$BC$2:$BC$881,0)</f>
        <v>173</v>
      </c>
      <c r="BI605" s="22" t="s">
        <v>130</v>
      </c>
      <c r="BJ605" s="22" t="s">
        <v>129</v>
      </c>
      <c r="BK605" s="40" t="s">
        <v>509</v>
      </c>
      <c r="BL605" s="41" t="n">
        <v>15</v>
      </c>
      <c r="BM605" s="59" t="n">
        <v>50</v>
      </c>
      <c r="BN605" s="59" t="n">
        <v>65</v>
      </c>
      <c r="BO605" s="42" t="n">
        <v>28</v>
      </c>
      <c r="BP605" s="59" t="n">
        <v>52</v>
      </c>
      <c r="BQ605" s="59" t="n">
        <v>80</v>
      </c>
      <c r="BR605" s="74" t="n">
        <v>5</v>
      </c>
      <c r="BS605" s="80"/>
      <c r="BT605" s="80"/>
      <c r="BU605" s="88" t="n">
        <v>86</v>
      </c>
      <c r="BV605" s="58" t="n">
        <v>71</v>
      </c>
      <c r="BW605" s="102" t="n">
        <v>88</v>
      </c>
      <c r="BX605" s="88" t="n">
        <v>90</v>
      </c>
      <c r="BY605" s="65" t="n">
        <v>29</v>
      </c>
      <c r="BZ605" s="58" t="n">
        <v>43</v>
      </c>
      <c r="CA605" s="58" t="n">
        <v>72</v>
      </c>
      <c r="CB605" s="59" t="n">
        <v>20</v>
      </c>
      <c r="CC605" s="58" t="n">
        <v>52</v>
      </c>
      <c r="CD605" s="58" t="n">
        <v>72</v>
      </c>
      <c r="CE605" s="58" t="n">
        <v>14</v>
      </c>
      <c r="CF605" s="58" t="n">
        <v>34</v>
      </c>
      <c r="CG605" s="90" t="n">
        <v>48</v>
      </c>
      <c r="CH605" s="58" t="n">
        <v>93</v>
      </c>
      <c r="CI605" s="58" t="n">
        <v>73</v>
      </c>
      <c r="CJ605" s="58" t="n">
        <v>19</v>
      </c>
      <c r="CK605" s="58" t="n">
        <v>53</v>
      </c>
      <c r="CL605" s="59" t="n">
        <v>72</v>
      </c>
      <c r="CM605" s="60"/>
      <c r="CN605" s="60"/>
      <c r="CO605" s="60"/>
      <c r="CP605" s="25" t="n">
        <f aca="false">BX605+BW605+BV605+BU605+BT605+BQ605+BN605</f>
        <v>480</v>
      </c>
      <c r="CQ605" s="25" t="n">
        <f aca="false">CO605+CL605+CI605+CH605+CG605+CD605+CA605</f>
        <v>430</v>
      </c>
      <c r="CR605" s="26" t="n">
        <f aca="false">CP605/7</f>
        <v>68.5714285714286</v>
      </c>
      <c r="CS605" s="26" t="n">
        <f aca="false">CQ605/7</f>
        <v>61.4285714285714</v>
      </c>
      <c r="CT605" s="24" t="n">
        <f aca="false">RANK(CR605,$CR$2:$CR$881,0)</f>
        <v>692</v>
      </c>
      <c r="CU605" s="25" t="n">
        <f aca="false">RANK(CS605,$CS$2:$CS$881,0)</f>
        <v>668</v>
      </c>
      <c r="CV605" s="26" t="n">
        <f aca="false">(CS605+CR605)/2</f>
        <v>65</v>
      </c>
      <c r="CW605" s="25" t="n">
        <f aca="false">RANK(CV605,$CV$2:$CV$881,0)</f>
        <v>676</v>
      </c>
      <c r="CX605" s="50" t="n">
        <f aca="false">(CV605+BB605)/2</f>
        <v>71.7</v>
      </c>
      <c r="CY605" s="50" t="n">
        <v>805</v>
      </c>
      <c r="CZ605" s="27" t="s">
        <v>132</v>
      </c>
      <c r="DA605" s="27" t="s">
        <v>272</v>
      </c>
      <c r="DB605" s="27" t="s">
        <v>272</v>
      </c>
      <c r="DC605" s="27" t="s">
        <v>134</v>
      </c>
      <c r="DD605" s="27" t="s">
        <v>154</v>
      </c>
      <c r="DE605" s="27" t="s">
        <v>375</v>
      </c>
      <c r="DF605" s="27" t="s">
        <v>486</v>
      </c>
      <c r="DG605" s="27" t="s">
        <v>134</v>
      </c>
      <c r="DH605" s="27" t="s">
        <v>182</v>
      </c>
      <c r="DI605" s="27" t="s">
        <v>681</v>
      </c>
      <c r="DJ605" s="27" t="s">
        <v>155</v>
      </c>
      <c r="DK605" s="27" t="s">
        <v>134</v>
      </c>
      <c r="DL605" s="27" t="s">
        <v>195</v>
      </c>
      <c r="DM605" s="27" t="s">
        <v>681</v>
      </c>
      <c r="DN605" s="27" t="s">
        <v>141</v>
      </c>
      <c r="DO605" s="27" t="s">
        <v>134</v>
      </c>
      <c r="DP605" s="27" t="s">
        <v>706</v>
      </c>
      <c r="DQ605" s="27" t="s">
        <v>989</v>
      </c>
      <c r="DR605" s="27" t="s">
        <v>218</v>
      </c>
      <c r="DS605" s="27" t="s">
        <v>480</v>
      </c>
      <c r="DT605" s="27" t="s">
        <v>135</v>
      </c>
      <c r="DU605" s="27" t="s">
        <v>1309</v>
      </c>
      <c r="DV605" s="27" t="s">
        <v>177</v>
      </c>
      <c r="DW605" s="27" t="s">
        <v>485</v>
      </c>
      <c r="DX605" s="27" t="s">
        <v>143</v>
      </c>
      <c r="DY605" s="27" t="s">
        <v>175</v>
      </c>
      <c r="DZ605" s="27" t="n">
        <f aca="false">DY605+DV605+DR605+DN605+DJ605+DF605+DB605</f>
        <v>491</v>
      </c>
      <c r="EA605" s="28" t="n">
        <f aca="false">DZ605/7</f>
        <v>70.1428571428571</v>
      </c>
      <c r="EB605" s="27" t="n">
        <f aca="false">RANK(EA605,$EA$2:$EA$881,0)</f>
        <v>651</v>
      </c>
      <c r="EC605" s="29" t="n">
        <f aca="false">DZ605+CQ605+CP605+AZ605</f>
        <v>2185</v>
      </c>
      <c r="ED605" s="30" t="n">
        <f aca="false">(EA605+CV605+BB605)/3</f>
        <v>71.1809523809524</v>
      </c>
      <c r="EE605" s="51" t="n">
        <f aca="false">ROUND(BE605,3)</f>
        <v>85.233</v>
      </c>
      <c r="EF605" s="51" t="n">
        <f aca="false">ROUND(CR605,3)</f>
        <v>68.571</v>
      </c>
      <c r="EG605" s="51" t="n">
        <f aca="false">ROUND(CS605,3)</f>
        <v>61.429</v>
      </c>
      <c r="EH605" s="51" t="n">
        <f aca="false">ROUND(EA605,3)</f>
        <v>70.143</v>
      </c>
      <c r="EI605" s="51" t="n">
        <f aca="false">ROUND(ED605,3)</f>
        <v>71.181</v>
      </c>
      <c r="EJ605" s="51" t="n">
        <f aca="false">ROUND(CV605,3)</f>
        <v>65</v>
      </c>
      <c r="EK605" s="0" t="n">
        <f aca="false">RANK(EI605,$EI$2:$EI$881,0)</f>
        <v>604</v>
      </c>
    </row>
    <row r="606" customFormat="false" ht="15" hidden="false" customHeight="false" outlineLevel="0" collapsed="false">
      <c r="A606" s="4" t="n">
        <v>9033</v>
      </c>
      <c r="B606" s="4" t="n">
        <v>441</v>
      </c>
      <c r="C606" s="27" t="s">
        <v>1786</v>
      </c>
      <c r="D606" s="31" t="n">
        <v>447</v>
      </c>
      <c r="E606" s="32" t="n">
        <v>230312399</v>
      </c>
      <c r="F606" s="8" t="s">
        <v>1787</v>
      </c>
      <c r="G606" s="22" t="s">
        <v>1788</v>
      </c>
      <c r="H606" s="22" t="s">
        <v>129</v>
      </c>
      <c r="I606" s="33" t="n">
        <v>2005</v>
      </c>
      <c r="J606" s="32" t="n">
        <v>72</v>
      </c>
      <c r="K606" s="32" t="n">
        <v>89</v>
      </c>
      <c r="L606" s="34" t="n">
        <f aca="false">(K606*70)/100</f>
        <v>62.3</v>
      </c>
      <c r="M606" s="34" t="n">
        <f aca="false">ROUNDUP(L606,0)</f>
        <v>63</v>
      </c>
      <c r="N606" s="32" t="n">
        <v>25</v>
      </c>
      <c r="O606" s="34" t="n">
        <f aca="false">N606+L606</f>
        <v>87.3</v>
      </c>
      <c r="P606" s="34" t="n">
        <f aca="false">N606+M606</f>
        <v>88</v>
      </c>
      <c r="Q606" s="32" t="n">
        <v>72</v>
      </c>
      <c r="R606" s="32" t="n">
        <v>77</v>
      </c>
      <c r="S606" s="34" t="n">
        <f aca="false">(R606*70)/100</f>
        <v>53.9</v>
      </c>
      <c r="T606" s="34" t="n">
        <f aca="false">ROUNDUP(S606,0)</f>
        <v>54</v>
      </c>
      <c r="U606" s="32" t="n">
        <v>22</v>
      </c>
      <c r="V606" s="34" t="n">
        <f aca="false">U606+S606</f>
        <v>75.9</v>
      </c>
      <c r="W606" s="34" t="n">
        <f aca="false">U606+T606</f>
        <v>76</v>
      </c>
      <c r="X606" s="32" t="n">
        <v>88</v>
      </c>
      <c r="Y606" s="34" t="n">
        <f aca="false">(X606*70)/100</f>
        <v>61.6</v>
      </c>
      <c r="Z606" s="34" t="n">
        <f aca="false">ROUNDUP(Y606,0)</f>
        <v>62</v>
      </c>
      <c r="AA606" s="32" t="n">
        <v>24</v>
      </c>
      <c r="AB606" s="34" t="n">
        <f aca="false">AA606+Y606</f>
        <v>85.6</v>
      </c>
      <c r="AC606" s="34" t="n">
        <f aca="false">AA606+Z606</f>
        <v>86</v>
      </c>
      <c r="AD606" s="32" t="n">
        <f aca="false">X606+R606+Q606+K606+J606</f>
        <v>398</v>
      </c>
      <c r="AE606" s="16" t="n">
        <f aca="false">AD606/5</f>
        <v>79.6</v>
      </c>
      <c r="AF606" s="16" t="n">
        <v>77</v>
      </c>
      <c r="AG606" s="16" t="n">
        <v>83</v>
      </c>
      <c r="AH606" s="16" t="n">
        <v>92</v>
      </c>
      <c r="AI606" s="16" t="n">
        <v>97</v>
      </c>
      <c r="AJ606" s="16" t="n">
        <f aca="false">(AI606*70)/100</f>
        <v>67.9</v>
      </c>
      <c r="AK606" s="35" t="n">
        <f aca="false">ROUNDUP(AJ606,0)</f>
        <v>68</v>
      </c>
      <c r="AL606" s="16" t="n">
        <v>24</v>
      </c>
      <c r="AM606" s="16" t="n">
        <f aca="false">AL606+AJ606</f>
        <v>91.9</v>
      </c>
      <c r="AN606" s="16" t="n">
        <f aca="false">AL606+AK606</f>
        <v>92</v>
      </c>
      <c r="AO606" s="16" t="n">
        <v>84</v>
      </c>
      <c r="AP606" s="36" t="n">
        <f aca="false">(AO606*70)/100</f>
        <v>58.8</v>
      </c>
      <c r="AQ606" s="37" t="n">
        <f aca="false">ROUNDUP(AP606,0)</f>
        <v>59</v>
      </c>
      <c r="AR606" s="16" t="n">
        <v>29</v>
      </c>
      <c r="AS606" s="16" t="n">
        <f aca="false">AR606+AP606</f>
        <v>87.8</v>
      </c>
      <c r="AT606" s="16" t="n">
        <f aca="false">AR606+AQ606</f>
        <v>88</v>
      </c>
      <c r="AU606" s="16" t="n">
        <f aca="false">AO606+AF606+AI606+AH606+AG606</f>
        <v>433</v>
      </c>
      <c r="AV606" s="16" t="n">
        <f aca="false">(AO606+AF606+AI606+AH606+AG606)/5</f>
        <v>86.6</v>
      </c>
      <c r="AW606" s="36" t="n">
        <f aca="false">(AO606+AF606+AI606+AH606+AG606+X606+R606+Q606+K606+J606)</f>
        <v>831</v>
      </c>
      <c r="AX606" s="16" t="n">
        <f aca="false">AW606/10</f>
        <v>83.1</v>
      </c>
      <c r="AY606" s="16" t="n">
        <f aca="false">AS606+AF606+AM606+AH606+AG606+AB606+V606+Q606+O606+J606</f>
        <v>824.5</v>
      </c>
      <c r="AZ606" s="16" t="n">
        <f aca="false">AT606+AF606+AN606+AH606+AG606+AC606+W606+Q606+P606+J606</f>
        <v>826</v>
      </c>
      <c r="BA606" s="16" t="n">
        <f aca="false">AY606/10</f>
        <v>82.45</v>
      </c>
      <c r="BB606" s="16" t="n">
        <f aca="false">AZ606/10</f>
        <v>82.6</v>
      </c>
      <c r="BC606" s="16" t="n">
        <v>2355</v>
      </c>
      <c r="BD606" s="16" t="n">
        <f aca="false">RANK(AX606,$AX$2:$AX$881,0)</f>
        <v>127</v>
      </c>
      <c r="BE606" s="54" t="n">
        <f aca="false">((BC606*100)/2400)*0.4+(AX606*0.6)</f>
        <v>89.11</v>
      </c>
      <c r="BF606" s="16" t="n">
        <f aca="false">RANK(BE606,$BE$2:$BE$881,0)</f>
        <v>133</v>
      </c>
      <c r="BG606" s="39" t="n">
        <f aca="false">RANK(BB606,$BB$2:$BB$881,0)</f>
        <v>178</v>
      </c>
      <c r="BH606" s="39" t="n">
        <f aca="false">RANK(BC606,$BC$2:$BC$881,0)</f>
        <v>476</v>
      </c>
      <c r="BI606" s="22" t="s">
        <v>130</v>
      </c>
      <c r="BJ606" s="22" t="s">
        <v>129</v>
      </c>
      <c r="BK606" s="40" t="s">
        <v>131</v>
      </c>
      <c r="BL606" s="41" t="n">
        <v>12</v>
      </c>
      <c r="BM606" s="41" t="n">
        <v>48</v>
      </c>
      <c r="BN606" s="41" t="n">
        <v>60</v>
      </c>
      <c r="BO606" s="42" t="n">
        <v>18</v>
      </c>
      <c r="BP606" s="43" t="n">
        <v>48</v>
      </c>
      <c r="BQ606" s="44" t="n">
        <v>66</v>
      </c>
      <c r="BR606" s="42" t="n">
        <v>19</v>
      </c>
      <c r="BS606" s="45" t="n">
        <v>46</v>
      </c>
      <c r="BT606" s="45" t="n">
        <v>65</v>
      </c>
      <c r="BU606" s="46" t="n">
        <v>99</v>
      </c>
      <c r="BV606" s="47" t="n">
        <v>86</v>
      </c>
      <c r="BW606" s="42" t="n">
        <v>98</v>
      </c>
      <c r="BX606" s="48" t="n">
        <v>92</v>
      </c>
      <c r="BY606" s="32" t="n">
        <v>19</v>
      </c>
      <c r="BZ606" s="32" t="n">
        <v>19</v>
      </c>
      <c r="CA606" s="69" t="n">
        <v>38</v>
      </c>
      <c r="CB606" s="32" t="n">
        <v>15</v>
      </c>
      <c r="CC606" s="32" t="n">
        <v>27</v>
      </c>
      <c r="CD606" s="69" t="n">
        <v>42</v>
      </c>
      <c r="CE606" s="32" t="n">
        <v>24</v>
      </c>
      <c r="CF606" s="32" t="n">
        <v>31</v>
      </c>
      <c r="CG606" s="69" t="n">
        <v>55</v>
      </c>
      <c r="CH606" s="32" t="n">
        <v>95</v>
      </c>
      <c r="CI606" s="32" t="n">
        <v>69</v>
      </c>
      <c r="CJ606" s="49" t="n">
        <v>12</v>
      </c>
      <c r="CK606" s="49" t="n">
        <v>32</v>
      </c>
      <c r="CL606" s="76" t="n">
        <v>44</v>
      </c>
      <c r="CM606" s="49" t="n">
        <v>17</v>
      </c>
      <c r="CN606" s="49" t="n">
        <v>47</v>
      </c>
      <c r="CO606" s="84" t="n">
        <v>64</v>
      </c>
      <c r="CP606" s="25" t="n">
        <f aca="false">BX606+BW606+BV606+BU606+BT606+BQ606+BN606</f>
        <v>566</v>
      </c>
      <c r="CQ606" s="25" t="n">
        <f aca="false">CO606+CL606+CI606+CH606+CG606+CD606+CA606</f>
        <v>407</v>
      </c>
      <c r="CR606" s="26" t="n">
        <f aca="false">CP606/7</f>
        <v>80.8571428571429</v>
      </c>
      <c r="CS606" s="26" t="n">
        <f aca="false">CQ606/7</f>
        <v>58.1428571428571</v>
      </c>
      <c r="CT606" s="24" t="n">
        <f aca="false">RANK(CR606,$CR$2:$CR$881,0)</f>
        <v>569</v>
      </c>
      <c r="CU606" s="25" t="n">
        <f aca="false">RANK(CS606,$CS$2:$CS$881,0)</f>
        <v>699</v>
      </c>
      <c r="CV606" s="26" t="n">
        <f aca="false">(CS606+CR606)/2</f>
        <v>69.5</v>
      </c>
      <c r="CW606" s="25" t="n">
        <f aca="false">RANK(CV606,$CV$2:$CV$881,0)</f>
        <v>636</v>
      </c>
      <c r="CX606" s="50" t="n">
        <f aca="false">(CV606+BB606)/2</f>
        <v>76.05</v>
      </c>
      <c r="CY606" s="50" t="n">
        <v>539</v>
      </c>
      <c r="CZ606" s="27" t="s">
        <v>132</v>
      </c>
      <c r="DA606" s="27" t="s">
        <v>133</v>
      </c>
      <c r="DB606" s="27" t="s">
        <v>133</v>
      </c>
      <c r="DC606" s="27" t="s">
        <v>134</v>
      </c>
      <c r="DD606" s="27" t="s">
        <v>195</v>
      </c>
      <c r="DE606" s="27" t="s">
        <v>1395</v>
      </c>
      <c r="DF606" s="27" t="s">
        <v>306</v>
      </c>
      <c r="DG606" s="27" t="s">
        <v>480</v>
      </c>
      <c r="DH606" s="27" t="s">
        <v>154</v>
      </c>
      <c r="DI606" s="27" t="s">
        <v>1064</v>
      </c>
      <c r="DJ606" s="27" t="s">
        <v>204</v>
      </c>
      <c r="DK606" s="27" t="s">
        <v>480</v>
      </c>
      <c r="DL606" s="27" t="s">
        <v>386</v>
      </c>
      <c r="DM606" s="27" t="s">
        <v>135</v>
      </c>
      <c r="DN606" s="27" t="s">
        <v>897</v>
      </c>
      <c r="DO606" s="27" t="s">
        <v>480</v>
      </c>
      <c r="DP606" s="27" t="s">
        <v>825</v>
      </c>
      <c r="DQ606" s="27" t="s">
        <v>1388</v>
      </c>
      <c r="DR606" s="27" t="s">
        <v>681</v>
      </c>
      <c r="DS606" s="27" t="s">
        <v>480</v>
      </c>
      <c r="DT606" s="27" t="s">
        <v>386</v>
      </c>
      <c r="DU606" s="27" t="s">
        <v>146</v>
      </c>
      <c r="DV606" s="27" t="s">
        <v>399</v>
      </c>
      <c r="DW606" s="27" t="s">
        <v>164</v>
      </c>
      <c r="DX606" s="27" t="s">
        <v>152</v>
      </c>
      <c r="DY606" s="27" t="s">
        <v>170</v>
      </c>
      <c r="DZ606" s="27" t="n">
        <f aca="false">DY606+DV606+DR606+DN606+DJ606+DF606+DB606</f>
        <v>430</v>
      </c>
      <c r="EA606" s="28" t="n">
        <f aca="false">DZ606/7</f>
        <v>61.4285714285714</v>
      </c>
      <c r="EB606" s="27" t="n">
        <f aca="false">RANK(EA606,$EA$2:$EA$881,0)</f>
        <v>768</v>
      </c>
      <c r="EC606" s="29" t="n">
        <f aca="false">DZ606+CQ606+CP606+AZ606</f>
        <v>2229</v>
      </c>
      <c r="ED606" s="30" t="n">
        <f aca="false">(EA606+CV606+BB606)/3</f>
        <v>71.1761904761905</v>
      </c>
      <c r="EE606" s="51" t="n">
        <f aca="false">ROUND(BE606,3)</f>
        <v>89.11</v>
      </c>
      <c r="EF606" s="51" t="n">
        <f aca="false">ROUND(CR606,3)</f>
        <v>80.857</v>
      </c>
      <c r="EG606" s="51" t="n">
        <f aca="false">ROUND(CS606,3)</f>
        <v>58.143</v>
      </c>
      <c r="EH606" s="51" t="n">
        <f aca="false">ROUND(EA606,3)</f>
        <v>61.429</v>
      </c>
      <c r="EI606" s="51" t="n">
        <f aca="false">ROUND(ED606,3)</f>
        <v>71.176</v>
      </c>
      <c r="EJ606" s="51" t="n">
        <f aca="false">ROUND(CV606,3)</f>
        <v>69.5</v>
      </c>
      <c r="EK606" s="0" t="n">
        <f aca="false">RANK(EI606,$EI$2:$EI$881,0)</f>
        <v>605</v>
      </c>
    </row>
    <row r="607" customFormat="false" ht="15" hidden="false" customHeight="false" outlineLevel="0" collapsed="false">
      <c r="A607" s="4" t="n">
        <v>1818</v>
      </c>
      <c r="B607" s="4" t="n">
        <v>184</v>
      </c>
      <c r="C607" s="27" t="s">
        <v>1789</v>
      </c>
      <c r="D607" s="31" t="n">
        <v>185</v>
      </c>
      <c r="E607" s="16" t="n">
        <v>230132315</v>
      </c>
      <c r="F607" s="56" t="s">
        <v>1790</v>
      </c>
      <c r="G607" s="22" t="s">
        <v>478</v>
      </c>
      <c r="H607" s="22" t="s">
        <v>326</v>
      </c>
      <c r="I607" s="57"/>
      <c r="J607" s="16" t="n">
        <v>87</v>
      </c>
      <c r="K607" s="16" t="n">
        <v>67</v>
      </c>
      <c r="L607" s="34" t="n">
        <f aca="false">(K607*70)/100</f>
        <v>46.9</v>
      </c>
      <c r="M607" s="34" t="n">
        <f aca="false">ROUNDUP(L607,0)</f>
        <v>47</v>
      </c>
      <c r="N607" s="16" t="n">
        <v>27</v>
      </c>
      <c r="O607" s="34" t="n">
        <f aca="false">N607+L607</f>
        <v>73.9</v>
      </c>
      <c r="P607" s="34" t="n">
        <f aca="false">N607+M607</f>
        <v>74</v>
      </c>
      <c r="Q607" s="16" t="n">
        <v>64</v>
      </c>
      <c r="R607" s="16" t="n">
        <v>73</v>
      </c>
      <c r="S607" s="34" t="n">
        <f aca="false">(R607*70)/100</f>
        <v>51.1</v>
      </c>
      <c r="T607" s="34" t="n">
        <f aca="false">ROUNDUP(S607,0)</f>
        <v>52</v>
      </c>
      <c r="U607" s="16" t="n">
        <v>26</v>
      </c>
      <c r="V607" s="34" t="n">
        <f aca="false">U607+S607</f>
        <v>77.1</v>
      </c>
      <c r="W607" s="34" t="n">
        <f aca="false">U607+T607</f>
        <v>78</v>
      </c>
      <c r="X607" s="16" t="n">
        <v>73</v>
      </c>
      <c r="Y607" s="34" t="n">
        <f aca="false">(X607*70)/100</f>
        <v>51.1</v>
      </c>
      <c r="Z607" s="34" t="n">
        <f aca="false">ROUNDUP(Y607,0)</f>
        <v>52</v>
      </c>
      <c r="AA607" s="16" t="n">
        <v>25</v>
      </c>
      <c r="AB607" s="34" t="n">
        <f aca="false">AA607+Y607</f>
        <v>76.1</v>
      </c>
      <c r="AC607" s="34" t="n">
        <f aca="false">AA607+Z607</f>
        <v>77</v>
      </c>
      <c r="AD607" s="32" t="n">
        <f aca="false">X607+R607+Q607+K607+J607</f>
        <v>364</v>
      </c>
      <c r="AE607" s="16" t="n">
        <f aca="false">AD607/5</f>
        <v>72.8</v>
      </c>
      <c r="AF607" s="71" t="n">
        <v>57</v>
      </c>
      <c r="AG607" s="16" t="n">
        <v>94</v>
      </c>
      <c r="AH607" s="16" t="n">
        <v>89</v>
      </c>
      <c r="AI607" s="16" t="n">
        <v>89</v>
      </c>
      <c r="AJ607" s="16" t="n">
        <f aca="false">(AI607*70)/100</f>
        <v>62.3</v>
      </c>
      <c r="AK607" s="35" t="n">
        <f aca="false">ROUNDUP(AJ607,0)</f>
        <v>63</v>
      </c>
      <c r="AL607" s="16" t="n">
        <v>28</v>
      </c>
      <c r="AM607" s="16" t="n">
        <f aca="false">AL607+AJ607</f>
        <v>90.3</v>
      </c>
      <c r="AN607" s="16" t="n">
        <f aca="false">AL607+AK607</f>
        <v>91</v>
      </c>
      <c r="AO607" s="16" t="n">
        <v>75</v>
      </c>
      <c r="AP607" s="36" t="n">
        <f aca="false">(AO607*70)/100</f>
        <v>52.5</v>
      </c>
      <c r="AQ607" s="37" t="n">
        <f aca="false">ROUNDUP(AP607,0)</f>
        <v>53</v>
      </c>
      <c r="AR607" s="16" t="n">
        <v>29</v>
      </c>
      <c r="AS607" s="16" t="n">
        <f aca="false">AR607+AP607</f>
        <v>81.5</v>
      </c>
      <c r="AT607" s="16" t="n">
        <f aca="false">AR607+AQ607</f>
        <v>82</v>
      </c>
      <c r="AU607" s="16" t="n">
        <f aca="false">AO607+AF607+AI607+AH607+AG607</f>
        <v>404</v>
      </c>
      <c r="AV607" s="16" t="n">
        <f aca="false">(AO607+AF607+AI607+AH607+AG607)/5</f>
        <v>80.8</v>
      </c>
      <c r="AW607" s="36" t="n">
        <f aca="false">(AO607+AF607+AI607+AH607+AG607+X607+R607+Q607+K607+J607)</f>
        <v>768</v>
      </c>
      <c r="AX607" s="16" t="n">
        <f aca="false">AW607/10</f>
        <v>76.8</v>
      </c>
      <c r="AY607" s="16" t="n">
        <f aca="false">AS607+AF607+AM607+AH607+AG607+AB607+V607+Q607+O607+J607</f>
        <v>789.9</v>
      </c>
      <c r="AZ607" s="16" t="n">
        <f aca="false">AT607+AF607+AN607+AH607+AG607+AC607+W607+Q607+P607+J607</f>
        <v>793</v>
      </c>
      <c r="BA607" s="16" t="n">
        <f aca="false">AY607/10</f>
        <v>78.99</v>
      </c>
      <c r="BB607" s="16" t="n">
        <f aca="false">AZ607/10</f>
        <v>79.3</v>
      </c>
      <c r="BC607" s="16" t="n">
        <v>2358</v>
      </c>
      <c r="BD607" s="16" t="n">
        <f aca="false">RANK(AX607,$AX$2:$AX$881,0)</f>
        <v>527</v>
      </c>
      <c r="BE607" s="54" t="n">
        <f aca="false">((BC607*100)/2400)*0.4+(AX607*0.6)</f>
        <v>85.38</v>
      </c>
      <c r="BF607" s="16" t="n">
        <f aca="false">RANK(BE607,$BE$2:$BE$881,0)</f>
        <v>531</v>
      </c>
      <c r="BG607" s="39" t="n">
        <f aca="false">RANK(BB607,$BB$2:$BB$881,0)</f>
        <v>424</v>
      </c>
      <c r="BH607" s="39" t="n">
        <f aca="false">RANK(BC607,$BC$2:$BC$881,0)</f>
        <v>429</v>
      </c>
      <c r="BI607" s="22" t="s">
        <v>130</v>
      </c>
      <c r="BJ607" s="22" t="s">
        <v>129</v>
      </c>
      <c r="BK607" s="40" t="s">
        <v>509</v>
      </c>
      <c r="BL607" s="41" t="n">
        <v>24</v>
      </c>
      <c r="BM607" s="41" t="n">
        <v>46</v>
      </c>
      <c r="BN607" s="41" t="n">
        <v>70</v>
      </c>
      <c r="BO607" s="42" t="n">
        <v>19</v>
      </c>
      <c r="BP607" s="43" t="n">
        <v>63</v>
      </c>
      <c r="BQ607" s="44" t="n">
        <v>82</v>
      </c>
      <c r="BR607" s="42" t="n">
        <v>22</v>
      </c>
      <c r="BS607" s="45" t="n">
        <v>53</v>
      </c>
      <c r="BT607" s="45" t="n">
        <v>75</v>
      </c>
      <c r="BU607" s="46" t="n">
        <v>98</v>
      </c>
      <c r="BV607" s="47" t="n">
        <v>80</v>
      </c>
      <c r="BW607" s="42" t="n">
        <v>99</v>
      </c>
      <c r="BX607" s="48" t="n">
        <v>86</v>
      </c>
      <c r="BY607" s="32" t="n">
        <v>23</v>
      </c>
      <c r="BZ607" s="32" t="n">
        <v>54</v>
      </c>
      <c r="CA607" s="48" t="n">
        <v>77</v>
      </c>
      <c r="CB607" s="32" t="n">
        <v>23</v>
      </c>
      <c r="CC607" s="32" t="n">
        <v>33</v>
      </c>
      <c r="CD607" s="69" t="n">
        <v>56</v>
      </c>
      <c r="CE607" s="32" t="n">
        <v>27</v>
      </c>
      <c r="CF607" s="32" t="n">
        <v>45</v>
      </c>
      <c r="CG607" s="32" t="n">
        <v>72</v>
      </c>
      <c r="CH607" s="32" t="n">
        <v>96</v>
      </c>
      <c r="CI607" s="32" t="n">
        <v>98</v>
      </c>
      <c r="CJ607" s="49" t="n">
        <v>20</v>
      </c>
      <c r="CK607" s="49" t="n">
        <v>55</v>
      </c>
      <c r="CL607" s="49" t="n">
        <v>75</v>
      </c>
      <c r="CM607" s="49" t="n">
        <v>18</v>
      </c>
      <c r="CN607" s="49" t="n">
        <v>51</v>
      </c>
      <c r="CO607" s="49" t="n">
        <v>69</v>
      </c>
      <c r="CP607" s="25" t="n">
        <f aca="false">BX607+BW607+BV607+BU607+BT607+BQ607+BN607</f>
        <v>590</v>
      </c>
      <c r="CQ607" s="25" t="n">
        <f aca="false">CO607+CL607+CI607+CH607+CG607+CD607+CA607</f>
        <v>543</v>
      </c>
      <c r="CR607" s="26" t="n">
        <f aca="false">CP607/7</f>
        <v>84.2857142857143</v>
      </c>
      <c r="CS607" s="26" t="n">
        <f aca="false">CQ607/7</f>
        <v>77.5714285714286</v>
      </c>
      <c r="CT607" s="24" t="n">
        <f aca="false">RANK(CR607,$CR$2:$CR$881,0)</f>
        <v>467</v>
      </c>
      <c r="CU607" s="25" t="n">
        <f aca="false">RANK(CS607,$CS$2:$CS$881,0)</f>
        <v>350</v>
      </c>
      <c r="CV607" s="26" t="n">
        <f aca="false">(CS607+CR607)/2</f>
        <v>80.9285714285714</v>
      </c>
      <c r="CW607" s="25" t="n">
        <f aca="false">RANK(CV607,$CV$2:$CV$881,0)</f>
        <v>388</v>
      </c>
      <c r="CX607" s="50" t="n">
        <f aca="false">(CV607+BB607)/2</f>
        <v>80.1142857142857</v>
      </c>
      <c r="CY607" s="50" t="n">
        <v>402</v>
      </c>
      <c r="CZ607" s="27" t="s">
        <v>132</v>
      </c>
      <c r="DA607" s="27" t="s">
        <v>305</v>
      </c>
      <c r="DB607" s="27" t="s">
        <v>305</v>
      </c>
      <c r="DC607" s="27" t="s">
        <v>134</v>
      </c>
      <c r="DD607" s="27" t="s">
        <v>154</v>
      </c>
      <c r="DE607" s="27" t="s">
        <v>306</v>
      </c>
      <c r="DF607" s="27" t="s">
        <v>305</v>
      </c>
      <c r="DG607" s="27" t="s">
        <v>134</v>
      </c>
      <c r="DH607" s="27" t="s">
        <v>137</v>
      </c>
      <c r="DI607" s="27" t="s">
        <v>645</v>
      </c>
      <c r="DJ607" s="27" t="s">
        <v>155</v>
      </c>
      <c r="DK607" s="27" t="s">
        <v>134</v>
      </c>
      <c r="DL607" s="27"/>
      <c r="DM607" s="27"/>
      <c r="DN607" s="27"/>
      <c r="DO607" s="27"/>
      <c r="DP607" s="27"/>
      <c r="DQ607" s="27"/>
      <c r="DR607" s="27"/>
      <c r="DS607" s="27"/>
      <c r="DT607" s="27" t="s">
        <v>140</v>
      </c>
      <c r="DU607" s="27" t="s">
        <v>1309</v>
      </c>
      <c r="DV607" s="27" t="s">
        <v>152</v>
      </c>
      <c r="DW607" s="27" t="s">
        <v>164</v>
      </c>
      <c r="DX607" s="27" t="s">
        <v>220</v>
      </c>
      <c r="DY607" s="27" t="s">
        <v>169</v>
      </c>
      <c r="DZ607" s="27" t="n">
        <f aca="false">DY607+DV607+DR607+DN607+DJ607+DF607+DB607</f>
        <v>373</v>
      </c>
      <c r="EA607" s="28" t="n">
        <f aca="false">DZ607/7</f>
        <v>53.2857142857143</v>
      </c>
      <c r="EB607" s="27" t="n">
        <f aca="false">RANK(EA607,$EA$2:$EA$881,0)</f>
        <v>832</v>
      </c>
      <c r="EC607" s="29" t="n">
        <f aca="false">DZ607+CQ607+CP607+AZ607</f>
        <v>2299</v>
      </c>
      <c r="ED607" s="30" t="n">
        <f aca="false">(EA607+CV607+BB607)/3</f>
        <v>71.1714285714286</v>
      </c>
      <c r="EE607" s="51" t="n">
        <f aca="false">ROUND(BE607,3)</f>
        <v>85.38</v>
      </c>
      <c r="EF607" s="51" t="n">
        <f aca="false">ROUND(CR607,3)</f>
        <v>84.286</v>
      </c>
      <c r="EG607" s="51" t="n">
        <f aca="false">ROUND(CS607,3)</f>
        <v>77.571</v>
      </c>
      <c r="EH607" s="51" t="n">
        <f aca="false">ROUND(EA607,3)</f>
        <v>53.286</v>
      </c>
      <c r="EI607" s="51" t="n">
        <f aca="false">ROUND(ED607,3)</f>
        <v>71.171</v>
      </c>
      <c r="EJ607" s="51" t="n">
        <f aca="false">ROUND(CV607,3)</f>
        <v>80.929</v>
      </c>
      <c r="EK607" s="0" t="n">
        <f aca="false">RANK(EI607,$EI$2:$EI$881,0)</f>
        <v>606</v>
      </c>
    </row>
    <row r="608" customFormat="false" ht="15" hidden="false" customHeight="false" outlineLevel="0" collapsed="false">
      <c r="A608" s="4" t="n">
        <v>8678</v>
      </c>
      <c r="B608" s="4" t="n">
        <v>451</v>
      </c>
      <c r="C608" s="27" t="s">
        <v>1791</v>
      </c>
      <c r="D608" s="31" t="n">
        <v>456</v>
      </c>
      <c r="E608" s="32" t="n">
        <v>230324895</v>
      </c>
      <c r="F608" s="8" t="s">
        <v>1792</v>
      </c>
      <c r="G608" s="22" t="s">
        <v>1793</v>
      </c>
      <c r="H608" s="22" t="s">
        <v>129</v>
      </c>
      <c r="I608" s="33" t="n">
        <v>2005</v>
      </c>
      <c r="J608" s="32" t="n">
        <v>88</v>
      </c>
      <c r="K608" s="32" t="n">
        <v>59</v>
      </c>
      <c r="L608" s="34" t="n">
        <f aca="false">(K608*70)/100</f>
        <v>41.3</v>
      </c>
      <c r="M608" s="34" t="n">
        <f aca="false">ROUNDUP(L608,0)</f>
        <v>42</v>
      </c>
      <c r="N608" s="32" t="n">
        <v>23</v>
      </c>
      <c r="O608" s="34" t="n">
        <f aca="false">N608+L608</f>
        <v>64.3</v>
      </c>
      <c r="P608" s="34" t="n">
        <f aca="false">N608+M608</f>
        <v>65</v>
      </c>
      <c r="Q608" s="68" t="n">
        <v>44</v>
      </c>
      <c r="R608" s="32" t="n">
        <v>71</v>
      </c>
      <c r="S608" s="34" t="n">
        <f aca="false">(R608*70)/100</f>
        <v>49.7</v>
      </c>
      <c r="T608" s="34" t="n">
        <f aca="false">ROUNDUP(S608,0)</f>
        <v>50</v>
      </c>
      <c r="U608" s="32" t="n">
        <v>22</v>
      </c>
      <c r="V608" s="34" t="n">
        <f aca="false">U608+S608</f>
        <v>71.7</v>
      </c>
      <c r="W608" s="34" t="n">
        <f aca="false">U608+T608</f>
        <v>72</v>
      </c>
      <c r="X608" s="32" t="n">
        <v>59</v>
      </c>
      <c r="Y608" s="34" t="n">
        <f aca="false">(X608*70)/100</f>
        <v>41.3</v>
      </c>
      <c r="Z608" s="34" t="n">
        <f aca="false">ROUNDUP(Y608,0)</f>
        <v>42</v>
      </c>
      <c r="AA608" s="32" t="n">
        <v>25</v>
      </c>
      <c r="AB608" s="34" t="n">
        <f aca="false">AA608+Y608</f>
        <v>66.3</v>
      </c>
      <c r="AC608" s="34" t="n">
        <f aca="false">AA608+Z608</f>
        <v>67</v>
      </c>
      <c r="AD608" s="32" t="n">
        <f aca="false">X608+R608+Q608+K608+J608</f>
        <v>321</v>
      </c>
      <c r="AE608" s="16" t="n">
        <f aca="false">AD608/5</f>
        <v>64.2</v>
      </c>
      <c r="AF608" s="71" t="n">
        <v>38</v>
      </c>
      <c r="AG608" s="16" t="n">
        <v>86</v>
      </c>
      <c r="AH608" s="16" t="n">
        <v>70</v>
      </c>
      <c r="AI608" s="16" t="n">
        <v>67</v>
      </c>
      <c r="AJ608" s="16" t="n">
        <f aca="false">(AI608*70)/100</f>
        <v>46.9</v>
      </c>
      <c r="AK608" s="35" t="n">
        <f aca="false">ROUNDUP(AJ608,0)</f>
        <v>47</v>
      </c>
      <c r="AL608" s="16" t="n">
        <v>22</v>
      </c>
      <c r="AM608" s="16" t="n">
        <f aca="false">AL608+AJ608</f>
        <v>68.9</v>
      </c>
      <c r="AN608" s="16" t="n">
        <f aca="false">AL608+AK608</f>
        <v>69</v>
      </c>
      <c r="AO608" s="16" t="n">
        <v>57</v>
      </c>
      <c r="AP608" s="36" t="n">
        <f aca="false">(AO608*70)/100</f>
        <v>39.9</v>
      </c>
      <c r="AQ608" s="37" t="n">
        <f aca="false">ROUNDUP(AP608,0)</f>
        <v>40</v>
      </c>
      <c r="AR608" s="16" t="n">
        <v>20</v>
      </c>
      <c r="AS608" s="16" t="n">
        <f aca="false">AR608+AP608</f>
        <v>59.9</v>
      </c>
      <c r="AT608" s="16" t="n">
        <f aca="false">AR608+AQ608</f>
        <v>60</v>
      </c>
      <c r="AU608" s="16" t="n">
        <f aca="false">AO608+AF608+AI608+AH608+AG608</f>
        <v>318</v>
      </c>
      <c r="AV608" s="16" t="n">
        <f aca="false">(AO608+AF608+AI608+AH608+AG608)/5</f>
        <v>63.6</v>
      </c>
      <c r="AW608" s="36" t="n">
        <f aca="false">(AO608+AF608+AI608+AH608+AG608+X608+R608+Q608+K608+J608)</f>
        <v>639</v>
      </c>
      <c r="AX608" s="16" t="n">
        <f aca="false">AW608/10</f>
        <v>63.9</v>
      </c>
      <c r="AY608" s="16" t="n">
        <f aca="false">AS608+AF608+AM608+AH608+AG608+AB608+V608+Q608+O608+J608</f>
        <v>657.1</v>
      </c>
      <c r="AZ608" s="16" t="n">
        <f aca="false">AT608+AF608+AN608+AH608+AG608+AC608+W608+Q608+P608+J608</f>
        <v>659</v>
      </c>
      <c r="BA608" s="16" t="n">
        <f aca="false">AY608/10</f>
        <v>65.71</v>
      </c>
      <c r="BB608" s="16" t="n">
        <f aca="false">AZ608/10</f>
        <v>65.9</v>
      </c>
      <c r="BC608" s="16" t="n">
        <v>2333</v>
      </c>
      <c r="BD608" s="16" t="n">
        <f aca="false">RANK(AX608,$AX$2:$AX$881,0)</f>
        <v>773</v>
      </c>
      <c r="BE608" s="78" t="n">
        <f aca="false">((BC608*100)/2400)*0.4+(AX608*0.6)</f>
        <v>77.2233333333333</v>
      </c>
      <c r="BF608" s="16" t="n">
        <f aca="false">RANK(BE608,$BE$2:$BE$881,0)</f>
        <v>761</v>
      </c>
      <c r="BG608" s="39" t="n">
        <f aca="false">RANK(BB608,$BB$2:$BB$881,0)</f>
        <v>779</v>
      </c>
      <c r="BH608" s="39" t="n">
        <f aca="false">RANK(BC608,$BC$2:$BC$881,0)</f>
        <v>697</v>
      </c>
      <c r="BI608" s="22" t="s">
        <v>130</v>
      </c>
      <c r="BJ608" s="22" t="s">
        <v>129</v>
      </c>
      <c r="BK608" s="40" t="s">
        <v>702</v>
      </c>
      <c r="BL608" s="41" t="n">
        <v>19</v>
      </c>
      <c r="BM608" s="41" t="n">
        <v>53</v>
      </c>
      <c r="BN608" s="41" t="n">
        <v>72</v>
      </c>
      <c r="BO608" s="42" t="n">
        <v>19</v>
      </c>
      <c r="BP608" s="43" t="n">
        <v>51</v>
      </c>
      <c r="BQ608" s="44" t="n">
        <v>70</v>
      </c>
      <c r="BR608" s="42" t="n">
        <v>22</v>
      </c>
      <c r="BS608" s="45" t="n">
        <v>49</v>
      </c>
      <c r="BT608" s="45" t="n">
        <v>71</v>
      </c>
      <c r="BU608" s="46" t="n">
        <v>100</v>
      </c>
      <c r="BV608" s="47" t="n">
        <v>82</v>
      </c>
      <c r="BW608" s="42" t="n">
        <v>98</v>
      </c>
      <c r="BX608" s="48" t="n">
        <v>92</v>
      </c>
      <c r="BY608" s="32" t="n">
        <v>24</v>
      </c>
      <c r="BZ608" s="32" t="n">
        <v>40</v>
      </c>
      <c r="CA608" s="32" t="n">
        <v>64</v>
      </c>
      <c r="CB608" s="32" t="n">
        <v>27</v>
      </c>
      <c r="CC608" s="32" t="n">
        <v>29</v>
      </c>
      <c r="CD608" s="69" t="n">
        <v>56</v>
      </c>
      <c r="CE608" s="32" t="n">
        <v>29</v>
      </c>
      <c r="CF608" s="32" t="n">
        <v>35</v>
      </c>
      <c r="CG608" s="32" t="n">
        <v>64</v>
      </c>
      <c r="CH608" s="32" t="n">
        <v>98</v>
      </c>
      <c r="CI608" s="32" t="n">
        <v>96</v>
      </c>
      <c r="CJ608" s="49" t="n">
        <v>15</v>
      </c>
      <c r="CK608" s="49" t="n">
        <v>48</v>
      </c>
      <c r="CL608" s="49" t="n">
        <v>63</v>
      </c>
      <c r="CM608" s="49" t="n">
        <v>23</v>
      </c>
      <c r="CN608" s="49" t="n">
        <v>51</v>
      </c>
      <c r="CO608" s="49" t="n">
        <v>74</v>
      </c>
      <c r="CP608" s="25" t="n">
        <f aca="false">BX608+BW608+BV608+BU608+BT608+BQ608+BN608</f>
        <v>585</v>
      </c>
      <c r="CQ608" s="25" t="n">
        <f aca="false">CO608+CL608+CI608+CH608+CG608+CD608+CA608</f>
        <v>515</v>
      </c>
      <c r="CR608" s="26" t="n">
        <f aca="false">CP608/7</f>
        <v>83.5714285714286</v>
      </c>
      <c r="CS608" s="26" t="n">
        <f aca="false">CQ608/7</f>
        <v>73.5714285714286</v>
      </c>
      <c r="CT608" s="24" t="n">
        <f aca="false">RANK(CR608,$CR$2:$CR$881,0)</f>
        <v>501</v>
      </c>
      <c r="CU608" s="25" t="n">
        <f aca="false">RANK(CS608,$CS$2:$CS$881,0)</f>
        <v>471</v>
      </c>
      <c r="CV608" s="26" t="n">
        <f aca="false">(CS608+CR608)/2</f>
        <v>78.5714285714286</v>
      </c>
      <c r="CW608" s="25" t="n">
        <f aca="false">RANK(CV608,$CV$2:$CV$881,0)</f>
        <v>478</v>
      </c>
      <c r="CX608" s="50" t="n">
        <f aca="false">(CV608+BB608)/2</f>
        <v>72.2357142857143</v>
      </c>
      <c r="CY608" s="50" t="n">
        <v>593</v>
      </c>
      <c r="CZ608" s="27" t="s">
        <v>132</v>
      </c>
      <c r="DA608" s="27" t="s">
        <v>175</v>
      </c>
      <c r="DB608" s="27" t="s">
        <v>175</v>
      </c>
      <c r="DC608" s="27" t="s">
        <v>134</v>
      </c>
      <c r="DD608" s="27" t="s">
        <v>195</v>
      </c>
      <c r="DE608" s="27" t="s">
        <v>313</v>
      </c>
      <c r="DF608" s="27" t="s">
        <v>486</v>
      </c>
      <c r="DG608" s="27" t="s">
        <v>134</v>
      </c>
      <c r="DH608" s="27" t="s">
        <v>182</v>
      </c>
      <c r="DI608" s="27" t="s">
        <v>479</v>
      </c>
      <c r="DJ608" s="27" t="s">
        <v>136</v>
      </c>
      <c r="DK608" s="27" t="s">
        <v>134</v>
      </c>
      <c r="DL608" s="27" t="s">
        <v>195</v>
      </c>
      <c r="DM608" s="27" t="s">
        <v>673</v>
      </c>
      <c r="DN608" s="27" t="s">
        <v>203</v>
      </c>
      <c r="DO608" s="27" t="s">
        <v>134</v>
      </c>
      <c r="DP608" s="27" t="s">
        <v>706</v>
      </c>
      <c r="DQ608" s="27" t="s">
        <v>479</v>
      </c>
      <c r="DR608" s="27" t="s">
        <v>304</v>
      </c>
      <c r="DS608" s="27" t="s">
        <v>480</v>
      </c>
      <c r="DT608" s="27" t="s">
        <v>154</v>
      </c>
      <c r="DU608" s="27" t="s">
        <v>1064</v>
      </c>
      <c r="DV608" s="27" t="s">
        <v>204</v>
      </c>
      <c r="DW608" s="27" t="s">
        <v>174</v>
      </c>
      <c r="DX608" s="27" t="s">
        <v>163</v>
      </c>
      <c r="DY608" s="27" t="s">
        <v>178</v>
      </c>
      <c r="DZ608" s="27" t="n">
        <f aca="false">DY608+DV608+DR608+DN608+DJ608+DF608+DB608</f>
        <v>483</v>
      </c>
      <c r="EA608" s="28" t="n">
        <f aca="false">DZ608/7</f>
        <v>69</v>
      </c>
      <c r="EB608" s="27" t="n">
        <f aca="false">RANK(EA608,$EA$2:$EA$881,0)</f>
        <v>673</v>
      </c>
      <c r="EC608" s="29" t="n">
        <f aca="false">DZ608+CQ608+CP608+AZ608</f>
        <v>2242</v>
      </c>
      <c r="ED608" s="30" t="n">
        <f aca="false">(EA608+CV608+BB608)/3</f>
        <v>71.1571428571429</v>
      </c>
      <c r="EE608" s="51" t="n">
        <f aca="false">ROUND(BE608,3)</f>
        <v>77.223</v>
      </c>
      <c r="EF608" s="51" t="n">
        <f aca="false">ROUND(CR608,3)</f>
        <v>83.571</v>
      </c>
      <c r="EG608" s="51" t="n">
        <f aca="false">ROUND(CS608,3)</f>
        <v>73.571</v>
      </c>
      <c r="EH608" s="51" t="n">
        <f aca="false">ROUND(EA608,3)</f>
        <v>69</v>
      </c>
      <c r="EI608" s="51" t="n">
        <f aca="false">ROUND(ED608,3)</f>
        <v>71.157</v>
      </c>
      <c r="EJ608" s="51" t="n">
        <f aca="false">ROUND(CV608,3)</f>
        <v>78.571</v>
      </c>
      <c r="EK608" s="0" t="n">
        <f aca="false">RANK(EI608,$EI$2:$EI$881,0)</f>
        <v>607</v>
      </c>
    </row>
    <row r="609" customFormat="false" ht="16.85" hidden="false" customHeight="false" outlineLevel="0" collapsed="false">
      <c r="A609" s="4" t="n">
        <v>8712</v>
      </c>
      <c r="B609" s="4" t="n">
        <v>508</v>
      </c>
      <c r="C609" s="27" t="s">
        <v>1794</v>
      </c>
      <c r="D609" s="31" t="n">
        <v>513</v>
      </c>
      <c r="E609" s="16" t="n">
        <v>230611044</v>
      </c>
      <c r="F609" s="56" t="s">
        <v>1795</v>
      </c>
      <c r="G609" s="22" t="s">
        <v>1796</v>
      </c>
      <c r="H609" s="22" t="s">
        <v>558</v>
      </c>
      <c r="I609" s="57"/>
      <c r="J609" s="16" t="n">
        <v>95</v>
      </c>
      <c r="K609" s="16" t="n">
        <v>88</v>
      </c>
      <c r="L609" s="34" t="n">
        <f aca="false">(K609*70)/100</f>
        <v>61.6</v>
      </c>
      <c r="M609" s="34" t="n">
        <f aca="false">ROUNDUP(L609,0)</f>
        <v>62</v>
      </c>
      <c r="N609" s="16" t="n">
        <v>30</v>
      </c>
      <c r="O609" s="34" t="n">
        <f aca="false">N609+L609</f>
        <v>91.6</v>
      </c>
      <c r="P609" s="34" t="n">
        <f aca="false">N609+M609</f>
        <v>92</v>
      </c>
      <c r="Q609" s="16" t="n">
        <v>65</v>
      </c>
      <c r="R609" s="16" t="n">
        <v>77</v>
      </c>
      <c r="S609" s="34" t="n">
        <f aca="false">(R609*70)/100</f>
        <v>53.9</v>
      </c>
      <c r="T609" s="34" t="n">
        <f aca="false">ROUNDUP(S609,0)</f>
        <v>54</v>
      </c>
      <c r="U609" s="16" t="n">
        <v>27</v>
      </c>
      <c r="V609" s="34" t="n">
        <f aca="false">U609+S609</f>
        <v>80.9</v>
      </c>
      <c r="W609" s="34" t="n">
        <f aca="false">U609+T609</f>
        <v>81</v>
      </c>
      <c r="X609" s="16" t="n">
        <v>72</v>
      </c>
      <c r="Y609" s="34" t="n">
        <f aca="false">(X609*70)/100</f>
        <v>50.4</v>
      </c>
      <c r="Z609" s="34" t="n">
        <f aca="false">ROUNDUP(Y609,0)</f>
        <v>51</v>
      </c>
      <c r="AA609" s="16" t="n">
        <v>29</v>
      </c>
      <c r="AB609" s="34" t="n">
        <f aca="false">AA609+Y609</f>
        <v>79.4</v>
      </c>
      <c r="AC609" s="34" t="n">
        <f aca="false">AA609+Z609</f>
        <v>80</v>
      </c>
      <c r="AD609" s="32" t="n">
        <f aca="false">X609+R609+Q609+K609+J609</f>
        <v>397</v>
      </c>
      <c r="AE609" s="16" t="n">
        <f aca="false">AD609/5</f>
        <v>79.4</v>
      </c>
      <c r="AF609" s="16" t="n">
        <v>80</v>
      </c>
      <c r="AG609" s="16" t="n">
        <v>93</v>
      </c>
      <c r="AH609" s="16" t="n">
        <v>84</v>
      </c>
      <c r="AI609" s="16" t="n">
        <v>54</v>
      </c>
      <c r="AJ609" s="16" t="n">
        <f aca="false">(AI609*70)/100</f>
        <v>37.8</v>
      </c>
      <c r="AK609" s="35" t="n">
        <f aca="false">ROUNDUP(AJ609,0)</f>
        <v>38</v>
      </c>
      <c r="AL609" s="16" t="n">
        <v>25</v>
      </c>
      <c r="AM609" s="16" t="n">
        <f aca="false">AL609+AJ609</f>
        <v>62.8</v>
      </c>
      <c r="AN609" s="16" t="n">
        <f aca="false">AL609+AK609</f>
        <v>63</v>
      </c>
      <c r="AO609" s="16" t="n">
        <v>73</v>
      </c>
      <c r="AP609" s="36" t="n">
        <f aca="false">(AO609*70)/100</f>
        <v>51.1</v>
      </c>
      <c r="AQ609" s="37" t="n">
        <f aca="false">ROUNDUP(AP609,0)</f>
        <v>52</v>
      </c>
      <c r="AR609" s="16" t="n">
        <v>27</v>
      </c>
      <c r="AS609" s="16" t="n">
        <f aca="false">AR609+AP609</f>
        <v>78.1</v>
      </c>
      <c r="AT609" s="16" t="n">
        <f aca="false">AR609+AQ609</f>
        <v>79</v>
      </c>
      <c r="AU609" s="16" t="n">
        <f aca="false">AO609+AF609+AI609+AH609+AG609</f>
        <v>384</v>
      </c>
      <c r="AV609" s="16" t="n">
        <f aca="false">(AO609+AF609+AI609+AH609+AG609)/5</f>
        <v>76.8</v>
      </c>
      <c r="AW609" s="36" t="n">
        <f aca="false">(AO609+AF609+AI609+AH609+AG609+X609+R609+Q609+K609+J609)</f>
        <v>781</v>
      </c>
      <c r="AX609" s="16" t="n">
        <f aca="false">AW609/10</f>
        <v>78.1</v>
      </c>
      <c r="AY609" s="16" t="n">
        <f aca="false">AS609+AF609+AM609+AH609+AG609+AB609+V609+Q609+O609+J609</f>
        <v>809.8</v>
      </c>
      <c r="AZ609" s="16" t="n">
        <f aca="false">AT609+AF609+AN609+AH609+AG609+AC609+W609+Q609+P609+J609</f>
        <v>812</v>
      </c>
      <c r="BA609" s="16" t="n">
        <f aca="false">AY609/10</f>
        <v>80.98</v>
      </c>
      <c r="BB609" s="16" t="n">
        <f aca="false">AZ609/10</f>
        <v>81.2</v>
      </c>
      <c r="BC609" s="16" t="n">
        <v>2367</v>
      </c>
      <c r="BD609" s="16" t="n">
        <f aca="false">RANK(AX609,$AX$2:$AX$881,0)</f>
        <v>402</v>
      </c>
      <c r="BE609" s="54" t="n">
        <f aca="false">((BC609*100)/2400)*0.4+(AX609*0.6)</f>
        <v>86.31</v>
      </c>
      <c r="BF609" s="16" t="n">
        <f aca="false">RANK(BE609,$BE$2:$BE$881,0)</f>
        <v>379</v>
      </c>
      <c r="BG609" s="39" t="n">
        <f aca="false">RANK(BB609,$BB$2:$BB$881,0)</f>
        <v>263</v>
      </c>
      <c r="BH609" s="39" t="n">
        <f aca="false">RANK(BC609,$BC$2:$BC$881,0)</f>
        <v>308</v>
      </c>
      <c r="BI609" s="22" t="s">
        <v>130</v>
      </c>
      <c r="BJ609" s="22" t="s">
        <v>129</v>
      </c>
      <c r="BK609" s="40" t="s">
        <v>131</v>
      </c>
      <c r="BL609" s="41" t="n">
        <v>25</v>
      </c>
      <c r="BM609" s="59" t="n">
        <v>62</v>
      </c>
      <c r="BN609" s="59" t="n">
        <v>87</v>
      </c>
      <c r="BO609" s="59" t="n">
        <v>28</v>
      </c>
      <c r="BP609" s="59" t="n">
        <v>55</v>
      </c>
      <c r="BQ609" s="59" t="n">
        <v>83</v>
      </c>
      <c r="BR609" s="74" t="n">
        <v>9</v>
      </c>
      <c r="BS609" s="80"/>
      <c r="BT609" s="80"/>
      <c r="BU609" s="88" t="n">
        <v>85</v>
      </c>
      <c r="BV609" s="58" t="n">
        <v>71</v>
      </c>
      <c r="BW609" s="106"/>
      <c r="BX609" s="88" t="n">
        <v>90</v>
      </c>
      <c r="BY609" s="65" t="n">
        <v>28</v>
      </c>
      <c r="BZ609" s="58" t="n">
        <v>48</v>
      </c>
      <c r="CA609" s="58" t="n">
        <v>76</v>
      </c>
      <c r="CB609" s="59" t="n">
        <v>18</v>
      </c>
      <c r="CC609" s="58" t="n">
        <v>55</v>
      </c>
      <c r="CD609" s="58" t="n">
        <v>73</v>
      </c>
      <c r="CE609" s="58" t="n">
        <v>19</v>
      </c>
      <c r="CF609" s="58" t="n">
        <v>46</v>
      </c>
      <c r="CG609" s="58" t="n">
        <v>65</v>
      </c>
      <c r="CH609" s="58" t="n">
        <v>84</v>
      </c>
      <c r="CI609" s="58" t="n">
        <v>83</v>
      </c>
      <c r="CJ609" s="58" t="n">
        <v>24</v>
      </c>
      <c r="CK609" s="58" t="n">
        <v>58</v>
      </c>
      <c r="CL609" s="59" t="n">
        <v>82</v>
      </c>
      <c r="CM609" s="60"/>
      <c r="CN609" s="60"/>
      <c r="CO609" s="60"/>
      <c r="CP609" s="25" t="n">
        <f aca="false">BX609+BW609+BV609+BU609+BT609+BQ609+BN609</f>
        <v>416</v>
      </c>
      <c r="CQ609" s="25" t="n">
        <f aca="false">CO609+CL609+CI609+CH609+CG609+CD609+CA609</f>
        <v>463</v>
      </c>
      <c r="CR609" s="26" t="n">
        <f aca="false">CP609/7</f>
        <v>59.4285714285714</v>
      </c>
      <c r="CS609" s="26" t="n">
        <f aca="false">CQ609/7</f>
        <v>66.1428571428571</v>
      </c>
      <c r="CT609" s="24" t="n">
        <f aca="false">RANK(CR609,$CR$2:$CR$881,0)</f>
        <v>721</v>
      </c>
      <c r="CU609" s="25" t="n">
        <f aca="false">RANK(CS609,$CS$2:$CS$881,0)</f>
        <v>611</v>
      </c>
      <c r="CV609" s="26" t="n">
        <f aca="false">(CS609+CR609)/2</f>
        <v>62.7857142857143</v>
      </c>
      <c r="CW609" s="25" t="n">
        <f aca="false">RANK(CV609,$CV$2:$CV$881,0)</f>
        <v>687</v>
      </c>
      <c r="CX609" s="50" t="n">
        <f aca="false">(CV609+BB609)/2</f>
        <v>71.9928571428572</v>
      </c>
      <c r="CY609" s="50" t="n">
        <v>738</v>
      </c>
      <c r="CZ609" s="27" t="s">
        <v>132</v>
      </c>
      <c r="DA609" s="27" t="s">
        <v>205</v>
      </c>
      <c r="DB609" s="27" t="s">
        <v>205</v>
      </c>
      <c r="DC609" s="27" t="s">
        <v>134</v>
      </c>
      <c r="DD609" s="27" t="s">
        <v>386</v>
      </c>
      <c r="DE609" s="27" t="s">
        <v>897</v>
      </c>
      <c r="DF609" s="27" t="s">
        <v>161</v>
      </c>
      <c r="DG609" s="27" t="s">
        <v>134</v>
      </c>
      <c r="DH609" s="27" t="s">
        <v>135</v>
      </c>
      <c r="DI609" s="27" t="s">
        <v>447</v>
      </c>
      <c r="DJ609" s="27" t="s">
        <v>305</v>
      </c>
      <c r="DK609" s="27" t="s">
        <v>134</v>
      </c>
      <c r="DL609" s="27" t="s">
        <v>154</v>
      </c>
      <c r="DM609" s="27" t="s">
        <v>1407</v>
      </c>
      <c r="DN609" s="27" t="s">
        <v>136</v>
      </c>
      <c r="DO609" s="27" t="s">
        <v>134</v>
      </c>
      <c r="DP609" s="27" t="s">
        <v>718</v>
      </c>
      <c r="DQ609" s="27" t="s">
        <v>479</v>
      </c>
      <c r="DR609" s="27" t="s">
        <v>412</v>
      </c>
      <c r="DS609" s="27" t="s">
        <v>480</v>
      </c>
      <c r="DT609" s="27" t="s">
        <v>137</v>
      </c>
      <c r="DU609" s="27" t="s">
        <v>1064</v>
      </c>
      <c r="DV609" s="27" t="s">
        <v>203</v>
      </c>
      <c r="DW609" s="27" t="s">
        <v>160</v>
      </c>
      <c r="DX609" s="27" t="s">
        <v>177</v>
      </c>
      <c r="DY609" s="27" t="s">
        <v>133</v>
      </c>
      <c r="DZ609" s="27" t="n">
        <f aca="false">DY609+DV609+DR609+DN609+DJ609+DF609+DB609</f>
        <v>485</v>
      </c>
      <c r="EA609" s="28" t="n">
        <f aca="false">DZ609/7</f>
        <v>69.2857142857143</v>
      </c>
      <c r="EB609" s="27" t="n">
        <f aca="false">RANK(EA609,$EA$2:$EA$881,0)</f>
        <v>666</v>
      </c>
      <c r="EC609" s="29" t="n">
        <f aca="false">DZ609+CQ609+CP609+AZ609</f>
        <v>2176</v>
      </c>
      <c r="ED609" s="30" t="n">
        <f aca="false">(EA609+CV609+BB609)/3</f>
        <v>71.0904761904762</v>
      </c>
      <c r="EE609" s="51" t="n">
        <f aca="false">ROUND(BE609,3)</f>
        <v>86.31</v>
      </c>
      <c r="EF609" s="51" t="n">
        <f aca="false">ROUND(CR609,3)</f>
        <v>59.429</v>
      </c>
      <c r="EG609" s="51" t="n">
        <f aca="false">ROUND(CS609,3)</f>
        <v>66.143</v>
      </c>
      <c r="EH609" s="51" t="n">
        <f aca="false">ROUND(EA609,3)</f>
        <v>69.286</v>
      </c>
      <c r="EI609" s="51" t="n">
        <f aca="false">ROUND(ED609,3)</f>
        <v>71.09</v>
      </c>
      <c r="EJ609" s="51" t="n">
        <f aca="false">ROUND(CV609,3)</f>
        <v>62.786</v>
      </c>
      <c r="EK609" s="0" t="n">
        <f aca="false">RANK(EI609,$EI$2:$EI$881,0)</f>
        <v>608</v>
      </c>
    </row>
    <row r="610" customFormat="false" ht="15" hidden="false" customHeight="false" outlineLevel="0" collapsed="false">
      <c r="A610" s="4" t="n">
        <v>8661</v>
      </c>
      <c r="B610" s="4" t="n">
        <v>671</v>
      </c>
      <c r="C610" s="27" t="s">
        <v>1797</v>
      </c>
      <c r="D610" s="31" t="n">
        <v>684</v>
      </c>
      <c r="E610" s="16" t="n">
        <v>230220991</v>
      </c>
      <c r="F610" s="56" t="s">
        <v>1798</v>
      </c>
      <c r="G610" s="22" t="s">
        <v>627</v>
      </c>
      <c r="H610" s="22" t="s">
        <v>326</v>
      </c>
      <c r="I610" s="57"/>
      <c r="J610" s="16" t="n">
        <v>78</v>
      </c>
      <c r="K610" s="16" t="n">
        <v>83</v>
      </c>
      <c r="L610" s="34" t="n">
        <f aca="false">(K610*70)/100</f>
        <v>58.1</v>
      </c>
      <c r="M610" s="34" t="n">
        <f aca="false">ROUNDUP(L610,0)</f>
        <v>59</v>
      </c>
      <c r="N610" s="16" t="n">
        <v>24</v>
      </c>
      <c r="O610" s="34" t="n">
        <f aca="false">N610+L610</f>
        <v>82.1</v>
      </c>
      <c r="P610" s="34" t="n">
        <f aca="false">N610+M610</f>
        <v>83</v>
      </c>
      <c r="Q610" s="16" t="n">
        <v>88</v>
      </c>
      <c r="R610" s="16" t="n">
        <v>76</v>
      </c>
      <c r="S610" s="34" t="n">
        <f aca="false">(R610*70)/100</f>
        <v>53.2</v>
      </c>
      <c r="T610" s="34" t="n">
        <f aca="false">ROUNDUP(S610,0)</f>
        <v>54</v>
      </c>
      <c r="U610" s="16" t="n">
        <v>26</v>
      </c>
      <c r="V610" s="34" t="n">
        <f aca="false">U610+S610</f>
        <v>79.2</v>
      </c>
      <c r="W610" s="34" t="n">
        <f aca="false">U610+T610</f>
        <v>80</v>
      </c>
      <c r="X610" s="16" t="n">
        <v>71</v>
      </c>
      <c r="Y610" s="34" t="n">
        <f aca="false">(X610*70)/100</f>
        <v>49.7</v>
      </c>
      <c r="Z610" s="34" t="n">
        <f aca="false">ROUNDUP(Y610,0)</f>
        <v>50</v>
      </c>
      <c r="AA610" s="16" t="n">
        <v>26</v>
      </c>
      <c r="AB610" s="34" t="n">
        <f aca="false">AA610+Y610</f>
        <v>75.7</v>
      </c>
      <c r="AC610" s="34" t="n">
        <f aca="false">AA610+Z610</f>
        <v>76</v>
      </c>
      <c r="AD610" s="32" t="n">
        <f aca="false">X610+R610+Q610+K610+J610</f>
        <v>396</v>
      </c>
      <c r="AE610" s="16" t="n">
        <f aca="false">AD610/5</f>
        <v>79.2</v>
      </c>
      <c r="AF610" s="16" t="n">
        <v>83</v>
      </c>
      <c r="AG610" s="16" t="n">
        <v>82</v>
      </c>
      <c r="AH610" s="16" t="n">
        <v>97</v>
      </c>
      <c r="AI610" s="16" t="n">
        <v>91</v>
      </c>
      <c r="AJ610" s="16" t="n">
        <f aca="false">(AI610*70)/100</f>
        <v>63.7</v>
      </c>
      <c r="AK610" s="35" t="n">
        <f aca="false">ROUNDUP(AJ610,0)</f>
        <v>64</v>
      </c>
      <c r="AL610" s="16" t="n">
        <v>25</v>
      </c>
      <c r="AM610" s="16" t="n">
        <f aca="false">AL610+AJ610</f>
        <v>88.7</v>
      </c>
      <c r="AN610" s="16" t="n">
        <f aca="false">AL610+AK610</f>
        <v>89</v>
      </c>
      <c r="AO610" s="16" t="n">
        <v>68</v>
      </c>
      <c r="AP610" s="36" t="n">
        <f aca="false">(AO610*70)/100</f>
        <v>47.6</v>
      </c>
      <c r="AQ610" s="37" t="n">
        <f aca="false">ROUNDUP(AP610,0)</f>
        <v>48</v>
      </c>
      <c r="AR610" s="16" t="n">
        <v>27</v>
      </c>
      <c r="AS610" s="16" t="n">
        <f aca="false">AR610+AP610</f>
        <v>74.6</v>
      </c>
      <c r="AT610" s="16" t="n">
        <f aca="false">AR610+AQ610</f>
        <v>75</v>
      </c>
      <c r="AU610" s="16" t="n">
        <f aca="false">AO610+AF610+AI610+AH610+AG610</f>
        <v>421</v>
      </c>
      <c r="AV610" s="16" t="n">
        <f aca="false">(AO610+AF610+AI610+AH610+AG610)/5</f>
        <v>84.2</v>
      </c>
      <c r="AW610" s="36" t="n">
        <f aca="false">(AO610+AF610+AI610+AH610+AG610+X610+R610+Q610+K610+J610)</f>
        <v>817</v>
      </c>
      <c r="AX610" s="16" t="n">
        <f aca="false">AW610/10</f>
        <v>81.7</v>
      </c>
      <c r="AY610" s="16" t="n">
        <f aca="false">AS610+AF610+AM610+AH610+AG610+AB610+V610+Q610+O610+J610</f>
        <v>828.3</v>
      </c>
      <c r="AZ610" s="16" t="n">
        <f aca="false">AT610+AF610+AN610+AH610+AG610+AC610+W610+Q610+P610+J610</f>
        <v>831</v>
      </c>
      <c r="BA610" s="16" t="n">
        <f aca="false">AY610/10</f>
        <v>82.83</v>
      </c>
      <c r="BB610" s="16" t="n">
        <f aca="false">AZ610/10</f>
        <v>83.1</v>
      </c>
      <c r="BC610" s="24" t="n">
        <v>2358</v>
      </c>
      <c r="BD610" s="16" t="n">
        <f aca="false">RANK(AX610,$AX$2:$AX$881,0)</f>
        <v>179</v>
      </c>
      <c r="BE610" s="54" t="n">
        <f aca="false">((BC610*100)/2400)*0.4+(AX610*0.6)</f>
        <v>88.32</v>
      </c>
      <c r="BF610" s="16" t="n">
        <f aca="false">RANK(BE610,$BE$2:$BE$881,0)</f>
        <v>180</v>
      </c>
      <c r="BG610" s="39" t="n">
        <f aca="false">RANK(BB610,$BB$2:$BB$881,0)</f>
        <v>156</v>
      </c>
      <c r="BH610" s="39" t="n">
        <f aca="false">RANK(BC610,$BC$2:$BC$881,0)</f>
        <v>429</v>
      </c>
      <c r="BI610" s="22" t="s">
        <v>130</v>
      </c>
      <c r="BJ610" s="22" t="s">
        <v>129</v>
      </c>
      <c r="BK610" s="40" t="s">
        <v>131</v>
      </c>
      <c r="BL610" s="41" t="n">
        <v>21</v>
      </c>
      <c r="BM610" s="41" t="n">
        <v>53</v>
      </c>
      <c r="BN610" s="41" t="n">
        <v>74</v>
      </c>
      <c r="BO610" s="42" t="n">
        <v>26</v>
      </c>
      <c r="BP610" s="43" t="n">
        <v>53</v>
      </c>
      <c r="BQ610" s="44" t="n">
        <v>79</v>
      </c>
      <c r="BR610" s="42" t="n">
        <v>26</v>
      </c>
      <c r="BS610" s="45" t="n">
        <v>54</v>
      </c>
      <c r="BT610" s="45" t="n">
        <v>80</v>
      </c>
      <c r="BU610" s="46" t="n">
        <v>99</v>
      </c>
      <c r="BV610" s="47" t="n">
        <v>88</v>
      </c>
      <c r="BW610" s="42" t="n">
        <v>93</v>
      </c>
      <c r="BX610" s="48" t="n">
        <v>94</v>
      </c>
      <c r="BY610" s="32" t="n">
        <v>24</v>
      </c>
      <c r="BZ610" s="32" t="n">
        <v>59</v>
      </c>
      <c r="CA610" s="32" t="n">
        <v>83</v>
      </c>
      <c r="CB610" s="32" t="n">
        <v>18</v>
      </c>
      <c r="CC610" s="32" t="n">
        <v>36</v>
      </c>
      <c r="CD610" s="69" t="n">
        <v>54</v>
      </c>
      <c r="CE610" s="32" t="n">
        <v>24</v>
      </c>
      <c r="CF610" s="32" t="n">
        <v>61</v>
      </c>
      <c r="CG610" s="32" t="n">
        <v>85</v>
      </c>
      <c r="CH610" s="32" t="n">
        <v>98</v>
      </c>
      <c r="CI610" s="32" t="n">
        <v>100</v>
      </c>
      <c r="CJ610" s="49" t="n">
        <v>18</v>
      </c>
      <c r="CK610" s="49" t="n">
        <v>55</v>
      </c>
      <c r="CL610" s="49" t="n">
        <v>73</v>
      </c>
      <c r="CM610" s="49" t="n">
        <v>22</v>
      </c>
      <c r="CN610" s="58" t="n">
        <v>58</v>
      </c>
      <c r="CO610" s="58" t="n">
        <v>80</v>
      </c>
      <c r="CP610" s="25" t="n">
        <f aca="false">BX610+BW610+BV610+BU610+BT610+BQ610+BN610</f>
        <v>607</v>
      </c>
      <c r="CQ610" s="25" t="n">
        <f aca="false">CO610+CL610+CI610+CH610+CG610+CD610+CA610</f>
        <v>573</v>
      </c>
      <c r="CR610" s="26" t="n">
        <f aca="false">CP610/7</f>
        <v>86.7142857142857</v>
      </c>
      <c r="CS610" s="26" t="n">
        <f aca="false">CQ610/7</f>
        <v>81.8571428571429</v>
      </c>
      <c r="CT610" s="24" t="n">
        <f aca="false">RANK(CR610,$CR$2:$CR$881,0)</f>
        <v>367</v>
      </c>
      <c r="CU610" s="25" t="n">
        <f aca="false">RANK(CS610,$CS$2:$CS$881,0)</f>
        <v>197</v>
      </c>
      <c r="CV610" s="26" t="n">
        <f aca="false">(CS610+CR610)/2</f>
        <v>84.2857142857143</v>
      </c>
      <c r="CW610" s="25" t="n">
        <f aca="false">RANK(CV610,$CV$2:$CV$881,0)</f>
        <v>253</v>
      </c>
      <c r="CX610" s="50" t="n">
        <f aca="false">(CV610+BB610)/2</f>
        <v>83.6928571428571</v>
      </c>
      <c r="CY610" s="50" t="n">
        <v>331</v>
      </c>
      <c r="CZ610" s="27" t="s">
        <v>132</v>
      </c>
      <c r="DA610" s="27" t="s">
        <v>175</v>
      </c>
      <c r="DB610" s="27" t="s">
        <v>175</v>
      </c>
      <c r="DC610" s="27" t="s">
        <v>134</v>
      </c>
      <c r="DD610" s="27" t="s">
        <v>195</v>
      </c>
      <c r="DE610" s="27" t="s">
        <v>183</v>
      </c>
      <c r="DF610" s="27" t="s">
        <v>272</v>
      </c>
      <c r="DG610" s="27" t="s">
        <v>134</v>
      </c>
      <c r="DH610" s="27" t="s">
        <v>174</v>
      </c>
      <c r="DI610" s="27" t="s">
        <v>306</v>
      </c>
      <c r="DJ610" s="27" t="s">
        <v>382</v>
      </c>
      <c r="DK610" s="27" t="s">
        <v>134</v>
      </c>
      <c r="DL610" s="27" t="s">
        <v>182</v>
      </c>
      <c r="DM610" s="27" t="s">
        <v>220</v>
      </c>
      <c r="DN610" s="27" t="s">
        <v>219</v>
      </c>
      <c r="DO610" s="27" t="s">
        <v>134</v>
      </c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 t="n">
        <f aca="false">DY610+DV610+DR610+DN610+DJ610+DF610+DB610</f>
        <v>321</v>
      </c>
      <c r="EA610" s="28" t="n">
        <f aca="false">DZ610/7</f>
        <v>45.8571428571429</v>
      </c>
      <c r="EB610" s="27" t="n">
        <f aca="false">RANK(EA610,$EA$2:$EA$881,0)</f>
        <v>849</v>
      </c>
      <c r="EC610" s="29" t="n">
        <f aca="false">DZ610+CQ610+CP610+AZ610</f>
        <v>2332</v>
      </c>
      <c r="ED610" s="30" t="n">
        <f aca="false">(EA610+CV610+BB610)/3</f>
        <v>71.0809523809524</v>
      </c>
      <c r="EE610" s="51" t="n">
        <f aca="false">ROUND(BE610,3)</f>
        <v>88.32</v>
      </c>
      <c r="EF610" s="51" t="n">
        <f aca="false">ROUND(CR610,3)</f>
        <v>86.714</v>
      </c>
      <c r="EG610" s="51" t="n">
        <f aca="false">ROUND(CS610,3)</f>
        <v>81.857</v>
      </c>
      <c r="EH610" s="51" t="n">
        <f aca="false">ROUND(EA610,3)</f>
        <v>45.857</v>
      </c>
      <c r="EI610" s="51" t="n">
        <f aca="false">ROUND(ED610,3)</f>
        <v>71.081</v>
      </c>
      <c r="EJ610" s="51" t="n">
        <f aca="false">ROUND(CV610,3)</f>
        <v>84.286</v>
      </c>
      <c r="EK610" s="0" t="n">
        <f aca="false">RANK(EI610,$EI$2:$EI$881,0)</f>
        <v>609</v>
      </c>
    </row>
    <row r="611" customFormat="false" ht="15" hidden="false" customHeight="false" outlineLevel="0" collapsed="false">
      <c r="A611" s="4" t="n">
        <v>2028</v>
      </c>
      <c r="B611" s="4" t="n">
        <v>651</v>
      </c>
      <c r="C611" s="27" t="s">
        <v>1799</v>
      </c>
      <c r="D611" s="31" t="n">
        <v>661</v>
      </c>
      <c r="E611" s="16" t="n">
        <v>230611090</v>
      </c>
      <c r="F611" s="56" t="s">
        <v>1800</v>
      </c>
      <c r="G611" s="22" t="s">
        <v>450</v>
      </c>
      <c r="H611" s="22" t="s">
        <v>558</v>
      </c>
      <c r="I611" s="57"/>
      <c r="J611" s="16" t="n">
        <v>79</v>
      </c>
      <c r="K611" s="16" t="n">
        <v>79</v>
      </c>
      <c r="L611" s="34" t="n">
        <f aca="false">(K611*70)/100</f>
        <v>55.3</v>
      </c>
      <c r="M611" s="34" t="n">
        <f aca="false">ROUNDUP(L611,0)</f>
        <v>56</v>
      </c>
      <c r="N611" s="16" t="n">
        <v>27</v>
      </c>
      <c r="O611" s="34" t="n">
        <f aca="false">N611+L611</f>
        <v>82.3</v>
      </c>
      <c r="P611" s="34" t="n">
        <f aca="false">N611+M611</f>
        <v>83</v>
      </c>
      <c r="Q611" s="16" t="n">
        <v>67</v>
      </c>
      <c r="R611" s="16" t="n">
        <v>79</v>
      </c>
      <c r="S611" s="34" t="n">
        <f aca="false">(R611*70)/100</f>
        <v>55.3</v>
      </c>
      <c r="T611" s="34" t="n">
        <f aca="false">ROUNDUP(S611,0)</f>
        <v>56</v>
      </c>
      <c r="U611" s="16" t="n">
        <v>29</v>
      </c>
      <c r="V611" s="34" t="n">
        <f aca="false">U611+S611</f>
        <v>84.3</v>
      </c>
      <c r="W611" s="34" t="n">
        <f aca="false">U611+T611</f>
        <v>85</v>
      </c>
      <c r="X611" s="16" t="n">
        <v>68</v>
      </c>
      <c r="Y611" s="34" t="n">
        <f aca="false">(X611*70)/100</f>
        <v>47.6</v>
      </c>
      <c r="Z611" s="34" t="n">
        <f aca="false">ROUNDUP(Y611,0)</f>
        <v>48</v>
      </c>
      <c r="AA611" s="16" t="n">
        <v>29</v>
      </c>
      <c r="AB611" s="34" t="n">
        <f aca="false">AA611+Y611</f>
        <v>76.6</v>
      </c>
      <c r="AC611" s="34" t="n">
        <f aca="false">AA611+Z611</f>
        <v>77</v>
      </c>
      <c r="AD611" s="32" t="n">
        <f aca="false">X611+R611+Q611+K611+J611</f>
        <v>372</v>
      </c>
      <c r="AE611" s="16" t="n">
        <f aca="false">AD611/5</f>
        <v>74.4</v>
      </c>
      <c r="AF611" s="16" t="n">
        <v>73</v>
      </c>
      <c r="AG611" s="16" t="n">
        <v>89</v>
      </c>
      <c r="AH611" s="16" t="n">
        <v>79</v>
      </c>
      <c r="AI611" s="16" t="n">
        <v>76</v>
      </c>
      <c r="AJ611" s="16" t="n">
        <f aca="false">(AI611*70)/100</f>
        <v>53.2</v>
      </c>
      <c r="AK611" s="35" t="n">
        <f aca="false">ROUNDUP(AJ611,0)</f>
        <v>54</v>
      </c>
      <c r="AL611" s="16" t="n">
        <v>26</v>
      </c>
      <c r="AM611" s="16" t="n">
        <f aca="false">AL611+AJ611</f>
        <v>79.2</v>
      </c>
      <c r="AN611" s="16" t="n">
        <f aca="false">AL611+AK611</f>
        <v>80</v>
      </c>
      <c r="AO611" s="16" t="n">
        <v>67</v>
      </c>
      <c r="AP611" s="36" t="n">
        <f aca="false">(AO611*70)/100</f>
        <v>46.9</v>
      </c>
      <c r="AQ611" s="37" t="n">
        <f aca="false">ROUNDUP(AP611,0)</f>
        <v>47</v>
      </c>
      <c r="AR611" s="16" t="n">
        <v>28</v>
      </c>
      <c r="AS611" s="16" t="n">
        <f aca="false">AR611+AP611</f>
        <v>74.9</v>
      </c>
      <c r="AT611" s="16" t="n">
        <f aca="false">AR611+AQ611</f>
        <v>75</v>
      </c>
      <c r="AU611" s="16" t="n">
        <f aca="false">AO611+AF611+AI611+AH611+AG611</f>
        <v>384</v>
      </c>
      <c r="AV611" s="16" t="n">
        <f aca="false">(AO611+AF611+AI611+AH611+AG611)/5</f>
        <v>76.8</v>
      </c>
      <c r="AW611" s="36" t="n">
        <f aca="false">(AO611+AF611+AI611+AH611+AG611+X611+R611+Q611+K611+J611)</f>
        <v>756</v>
      </c>
      <c r="AX611" s="16" t="n">
        <f aca="false">AW611/10</f>
        <v>75.6</v>
      </c>
      <c r="AY611" s="16" t="n">
        <f aca="false">AS611+AF611+AM611+AH611+AG611+AB611+V611+Q611+O611+J611</f>
        <v>784.3</v>
      </c>
      <c r="AZ611" s="16" t="n">
        <f aca="false">AT611+AF611+AN611+AH611+AG611+AC611+W611+Q611+P611+J611</f>
        <v>787</v>
      </c>
      <c r="BA611" s="16" t="n">
        <f aca="false">AY611/10</f>
        <v>78.43</v>
      </c>
      <c r="BB611" s="16" t="n">
        <f aca="false">AZ611/10</f>
        <v>78.7</v>
      </c>
      <c r="BC611" s="16" t="n">
        <v>2389</v>
      </c>
      <c r="BD611" s="16" t="n">
        <f aca="false">RANK(AX611,$AX$2:$AX$881,0)</f>
        <v>652</v>
      </c>
      <c r="BE611" s="54" t="n">
        <f aca="false">((BC611*100)/2400)*0.4+(AX611*0.6)</f>
        <v>85.1766666666667</v>
      </c>
      <c r="BF611" s="16" t="n">
        <f aca="false">RANK(BE611,$BE$2:$BE$881,0)</f>
        <v>571</v>
      </c>
      <c r="BG611" s="39" t="n">
        <f aca="false">RANK(BB611,$BB$2:$BB$881,0)</f>
        <v>482</v>
      </c>
      <c r="BH611" s="39" t="n">
        <f aca="false">RANK(BC611,$BC$2:$BC$881,0)</f>
        <v>59</v>
      </c>
      <c r="BI611" s="22" t="s">
        <v>130</v>
      </c>
      <c r="BJ611" s="22" t="s">
        <v>129</v>
      </c>
      <c r="BK611" s="40" t="s">
        <v>509</v>
      </c>
      <c r="BL611" s="105" t="n">
        <v>26</v>
      </c>
      <c r="BM611" s="59" t="n">
        <v>47</v>
      </c>
      <c r="BN611" s="59" t="n">
        <v>73</v>
      </c>
      <c r="BO611" s="42" t="n">
        <v>30</v>
      </c>
      <c r="BP611" s="59" t="n">
        <v>50</v>
      </c>
      <c r="BQ611" s="59" t="n">
        <v>80</v>
      </c>
      <c r="BR611" s="74" t="n">
        <v>8</v>
      </c>
      <c r="BS611" s="80"/>
      <c r="BT611" s="80"/>
      <c r="BU611" s="88" t="n">
        <v>68</v>
      </c>
      <c r="BV611" s="58" t="n">
        <v>91</v>
      </c>
      <c r="BW611" s="106"/>
      <c r="BX611" s="88" t="n">
        <v>90</v>
      </c>
      <c r="BY611" s="65" t="n">
        <v>20</v>
      </c>
      <c r="BZ611" s="58" t="n">
        <v>42</v>
      </c>
      <c r="CA611" s="58" t="n">
        <v>62</v>
      </c>
      <c r="CB611" s="59" t="n">
        <v>25</v>
      </c>
      <c r="CC611" s="58" t="n">
        <v>44</v>
      </c>
      <c r="CD611" s="58" t="n">
        <v>69</v>
      </c>
      <c r="CE611" s="58" t="n">
        <v>23</v>
      </c>
      <c r="CF611" s="58" t="n">
        <v>38</v>
      </c>
      <c r="CG611" s="58" t="n">
        <v>61</v>
      </c>
      <c r="CH611" s="58" t="n">
        <v>83</v>
      </c>
      <c r="CI611" s="58" t="n">
        <v>76</v>
      </c>
      <c r="CJ611" s="58" t="n">
        <v>22</v>
      </c>
      <c r="CK611" s="58" t="n">
        <v>57</v>
      </c>
      <c r="CL611" s="59" t="n">
        <v>79</v>
      </c>
      <c r="CM611" s="60"/>
      <c r="CN611" s="60"/>
      <c r="CO611" s="60"/>
      <c r="CP611" s="25" t="n">
        <f aca="false">BX611+BW611+BV611+BU611+BT611+BQ611+BN611</f>
        <v>402</v>
      </c>
      <c r="CQ611" s="25" t="n">
        <f aca="false">CO611+CL611+CI611+CH611+CG611+CD611+CA611</f>
        <v>430</v>
      </c>
      <c r="CR611" s="26" t="n">
        <f aca="false">CP611/7</f>
        <v>57.4285714285714</v>
      </c>
      <c r="CS611" s="26" t="n">
        <f aca="false">CQ611/7</f>
        <v>61.4285714285714</v>
      </c>
      <c r="CT611" s="24" t="n">
        <f aca="false">RANK(CR611,$CR$2:$CR$881,0)</f>
        <v>728</v>
      </c>
      <c r="CU611" s="25" t="n">
        <f aca="false">RANK(CS611,$CS$2:$CS$881,0)</f>
        <v>668</v>
      </c>
      <c r="CV611" s="26" t="n">
        <f aca="false">(CS611+CR611)/2</f>
        <v>59.4285714285714</v>
      </c>
      <c r="CW611" s="25" t="n">
        <f aca="false">RANK(CV611,$CV$2:$CV$881,0)</f>
        <v>700</v>
      </c>
      <c r="CX611" s="50" t="n">
        <f aca="false">(CV611+BB611)/2</f>
        <v>69.0642857142857</v>
      </c>
      <c r="CY611" s="50" t="n">
        <v>800</v>
      </c>
      <c r="CZ611" s="27" t="s">
        <v>132</v>
      </c>
      <c r="DA611" s="27" t="s">
        <v>175</v>
      </c>
      <c r="DB611" s="27" t="s">
        <v>175</v>
      </c>
      <c r="DC611" s="27" t="s">
        <v>134</v>
      </c>
      <c r="DD611" s="27" t="s">
        <v>264</v>
      </c>
      <c r="DE611" s="27" t="s">
        <v>399</v>
      </c>
      <c r="DF611" s="27" t="s">
        <v>141</v>
      </c>
      <c r="DG611" s="27" t="s">
        <v>134</v>
      </c>
      <c r="DH611" s="27" t="s">
        <v>264</v>
      </c>
      <c r="DI611" s="27" t="s">
        <v>415</v>
      </c>
      <c r="DJ611" s="27" t="s">
        <v>187</v>
      </c>
      <c r="DK611" s="27" t="s">
        <v>134</v>
      </c>
      <c r="DL611" s="27" t="s">
        <v>191</v>
      </c>
      <c r="DM611" s="27" t="s">
        <v>412</v>
      </c>
      <c r="DN611" s="27" t="s">
        <v>416</v>
      </c>
      <c r="DO611" s="27" t="s">
        <v>134</v>
      </c>
      <c r="DP611" s="27" t="s">
        <v>604</v>
      </c>
      <c r="DQ611" s="27" t="s">
        <v>304</v>
      </c>
      <c r="DR611" s="27" t="s">
        <v>155</v>
      </c>
      <c r="DS611" s="27" t="s">
        <v>134</v>
      </c>
      <c r="DT611" s="27" t="s">
        <v>174</v>
      </c>
      <c r="DU611" s="27" t="s">
        <v>313</v>
      </c>
      <c r="DV611" s="27" t="s">
        <v>372</v>
      </c>
      <c r="DW611" s="27" t="s">
        <v>135</v>
      </c>
      <c r="DX611" s="27" t="s">
        <v>141</v>
      </c>
      <c r="DY611" s="27" t="s">
        <v>176</v>
      </c>
      <c r="DZ611" s="27" t="n">
        <f aca="false">DY611+DV611+DR611+DN611+DJ611+DF611+DB611</f>
        <v>525</v>
      </c>
      <c r="EA611" s="28" t="n">
        <f aca="false">DZ611/7</f>
        <v>75</v>
      </c>
      <c r="EB611" s="27" t="n">
        <f aca="false">RANK(EA611,$EA$2:$EA$881,0)</f>
        <v>540</v>
      </c>
      <c r="EC611" s="29" t="n">
        <f aca="false">DZ611+CQ611+CP611+AZ611</f>
        <v>2144</v>
      </c>
      <c r="ED611" s="30" t="n">
        <f aca="false">(EA611+CV611+BB611)/3</f>
        <v>71.0428571428571</v>
      </c>
      <c r="EE611" s="51" t="n">
        <f aca="false">ROUND(BE611,3)</f>
        <v>85.177</v>
      </c>
      <c r="EF611" s="51" t="n">
        <f aca="false">ROUND(CR611,3)</f>
        <v>57.429</v>
      </c>
      <c r="EG611" s="51" t="n">
        <f aca="false">ROUND(CS611,3)</f>
        <v>61.429</v>
      </c>
      <c r="EH611" s="51" t="n">
        <f aca="false">ROUND(EA611,3)</f>
        <v>75</v>
      </c>
      <c r="EI611" s="51" t="n">
        <f aca="false">ROUND(ED611,3)</f>
        <v>71.043</v>
      </c>
      <c r="EJ611" s="51" t="n">
        <f aca="false">ROUND(CV611,3)</f>
        <v>59.429</v>
      </c>
      <c r="EK611" s="0" t="n">
        <f aca="false">RANK(EI611,$EI$2:$EI$881,0)</f>
        <v>610</v>
      </c>
    </row>
    <row r="612" customFormat="false" ht="15" hidden="false" customHeight="false" outlineLevel="0" collapsed="false">
      <c r="A612" s="4" t="n">
        <v>2005</v>
      </c>
      <c r="B612" s="4" t="n">
        <v>592</v>
      </c>
      <c r="C612" s="27" t="s">
        <v>1801</v>
      </c>
      <c r="D612" s="31" t="n">
        <v>600</v>
      </c>
      <c r="E612" s="32" t="n">
        <v>230320353</v>
      </c>
      <c r="F612" s="8" t="s">
        <v>1802</v>
      </c>
      <c r="G612" s="22" t="s">
        <v>1803</v>
      </c>
      <c r="H612" s="22" t="s">
        <v>129</v>
      </c>
      <c r="I612" s="33" t="n">
        <v>2005</v>
      </c>
      <c r="J612" s="32" t="n">
        <v>87</v>
      </c>
      <c r="K612" s="32" t="n">
        <v>73</v>
      </c>
      <c r="L612" s="34" t="n">
        <f aca="false">(K612*70)/100</f>
        <v>51.1</v>
      </c>
      <c r="M612" s="34" t="n">
        <f aca="false">ROUNDUP(L612,0)</f>
        <v>52</v>
      </c>
      <c r="N612" s="32" t="n">
        <v>29</v>
      </c>
      <c r="O612" s="34" t="n">
        <f aca="false">N612+L612</f>
        <v>80.1</v>
      </c>
      <c r="P612" s="34" t="n">
        <f aca="false">N612+M612</f>
        <v>81</v>
      </c>
      <c r="Q612" s="32" t="n">
        <v>82</v>
      </c>
      <c r="R612" s="32" t="n">
        <v>69</v>
      </c>
      <c r="S612" s="34" t="n">
        <f aca="false">(R612*70)/100</f>
        <v>48.3</v>
      </c>
      <c r="T612" s="34" t="n">
        <f aca="false">ROUNDUP(S612,0)</f>
        <v>49</v>
      </c>
      <c r="U612" s="32" t="n">
        <v>26</v>
      </c>
      <c r="V612" s="34" t="n">
        <f aca="false">U612+S612</f>
        <v>74.3</v>
      </c>
      <c r="W612" s="34" t="n">
        <f aca="false">U612+T612</f>
        <v>75</v>
      </c>
      <c r="X612" s="32" t="n">
        <v>74</v>
      </c>
      <c r="Y612" s="34" t="n">
        <f aca="false">(X612*70)/100</f>
        <v>51.8</v>
      </c>
      <c r="Z612" s="34" t="n">
        <f aca="false">ROUNDUP(Y612,0)</f>
        <v>52</v>
      </c>
      <c r="AA612" s="32" t="n">
        <v>23</v>
      </c>
      <c r="AB612" s="34" t="n">
        <f aca="false">AA612+Y612</f>
        <v>74.8</v>
      </c>
      <c r="AC612" s="34" t="n">
        <f aca="false">AA612+Z612</f>
        <v>75</v>
      </c>
      <c r="AD612" s="32" t="n">
        <f aca="false">X612+R612+Q612+K612+J612</f>
        <v>385</v>
      </c>
      <c r="AE612" s="16" t="n">
        <f aca="false">AD612/5</f>
        <v>77</v>
      </c>
      <c r="AF612" s="16" t="n">
        <v>63</v>
      </c>
      <c r="AG612" s="16" t="n">
        <v>88</v>
      </c>
      <c r="AH612" s="16" t="n">
        <v>84</v>
      </c>
      <c r="AI612" s="16" t="n">
        <v>68</v>
      </c>
      <c r="AJ612" s="16" t="n">
        <f aca="false">(AI612*70)/100</f>
        <v>47.6</v>
      </c>
      <c r="AK612" s="35" t="n">
        <f aca="false">ROUNDUP(AJ612,0)</f>
        <v>48</v>
      </c>
      <c r="AL612" s="16" t="n">
        <v>26</v>
      </c>
      <c r="AM612" s="16" t="n">
        <f aca="false">AL612+AJ612</f>
        <v>73.6</v>
      </c>
      <c r="AN612" s="16" t="n">
        <f aca="false">AL612+AK612</f>
        <v>74</v>
      </c>
      <c r="AO612" s="16" t="n">
        <v>82</v>
      </c>
      <c r="AP612" s="36" t="n">
        <f aca="false">(AO612*70)/100</f>
        <v>57.4</v>
      </c>
      <c r="AQ612" s="37" t="n">
        <f aca="false">ROUNDUP(AP612,0)</f>
        <v>58</v>
      </c>
      <c r="AR612" s="16" t="n">
        <v>27</v>
      </c>
      <c r="AS612" s="16" t="n">
        <f aca="false">AR612+AP612</f>
        <v>84.4</v>
      </c>
      <c r="AT612" s="16" t="n">
        <f aca="false">AR612+AQ612</f>
        <v>85</v>
      </c>
      <c r="AU612" s="16" t="n">
        <f aca="false">AO612+AF612+AI612+AH612+AG612</f>
        <v>385</v>
      </c>
      <c r="AV612" s="16" t="n">
        <f aca="false">(AO612+AF612+AI612+AH612+AG612)/5</f>
        <v>77</v>
      </c>
      <c r="AW612" s="36" t="n">
        <f aca="false">(AO612+AF612+AI612+AH612+AG612+X612+R612+Q612+K612+J612)</f>
        <v>770</v>
      </c>
      <c r="AX612" s="16" t="n">
        <f aca="false">AW612/10</f>
        <v>77</v>
      </c>
      <c r="AY612" s="16" t="n">
        <f aca="false">AS612+AF612+AM612+AH612+AG612+AB612+V612+Q612+O612+J612</f>
        <v>791.2</v>
      </c>
      <c r="AZ612" s="16" t="n">
        <f aca="false">AT612+AF612+AN612+AH612+AG612+AC612+W612+Q612+P612+J612</f>
        <v>794</v>
      </c>
      <c r="BA612" s="16" t="n">
        <f aca="false">AY612/10</f>
        <v>79.12</v>
      </c>
      <c r="BB612" s="16" t="n">
        <f aca="false">AZ612/10</f>
        <v>79.4</v>
      </c>
      <c r="BC612" s="16" t="n">
        <v>2348</v>
      </c>
      <c r="BD612" s="16" t="n">
        <f aca="false">RANK(AX612,$AX$2:$AX$881,0)</f>
        <v>508</v>
      </c>
      <c r="BE612" s="54" t="n">
        <f aca="false">((BC612*100)/2400)*0.4+(AX612*0.6)</f>
        <v>85.3333333333333</v>
      </c>
      <c r="BF612" s="16" t="n">
        <f aca="false">RANK(BE612,$BE$2:$BE$881,0)</f>
        <v>536</v>
      </c>
      <c r="BG612" s="39" t="n">
        <f aca="false">RANK(BB612,$BB$2:$BB$881,0)</f>
        <v>414</v>
      </c>
      <c r="BH612" s="39" t="n">
        <f aca="false">RANK(BC612,$BC$2:$BC$881,0)</f>
        <v>551</v>
      </c>
      <c r="BI612" s="22" t="s">
        <v>130</v>
      </c>
      <c r="BJ612" s="22" t="s">
        <v>129</v>
      </c>
      <c r="BK612" s="40" t="s">
        <v>509</v>
      </c>
      <c r="BL612" s="41" t="n">
        <v>20</v>
      </c>
      <c r="BM612" s="41" t="n">
        <v>50</v>
      </c>
      <c r="BN612" s="41" t="n">
        <v>70</v>
      </c>
      <c r="BO612" s="42" t="n">
        <v>18</v>
      </c>
      <c r="BP612" s="42" t="n">
        <v>61</v>
      </c>
      <c r="BQ612" s="42" t="n">
        <v>79</v>
      </c>
      <c r="BR612" s="42" t="n">
        <v>20</v>
      </c>
      <c r="BS612" s="45" t="n">
        <v>45</v>
      </c>
      <c r="BT612" s="45" t="n">
        <v>65</v>
      </c>
      <c r="BU612" s="46" t="n">
        <v>98</v>
      </c>
      <c r="BV612" s="47" t="n">
        <v>92</v>
      </c>
      <c r="BW612" s="42" t="n">
        <v>96</v>
      </c>
      <c r="BX612" s="48" t="n">
        <v>90</v>
      </c>
      <c r="BY612" s="32" t="n">
        <v>23</v>
      </c>
      <c r="BZ612" s="32" t="n">
        <v>37</v>
      </c>
      <c r="CA612" s="32" t="n">
        <v>60</v>
      </c>
      <c r="CB612" s="32" t="n">
        <v>22</v>
      </c>
      <c r="CC612" s="32" t="n">
        <v>30</v>
      </c>
      <c r="CD612" s="69" t="n">
        <v>52</v>
      </c>
      <c r="CE612" s="32" t="n">
        <v>23</v>
      </c>
      <c r="CF612" s="32" t="n">
        <v>46</v>
      </c>
      <c r="CG612" s="32" t="n">
        <v>69</v>
      </c>
      <c r="CH612" s="32" t="n">
        <v>99</v>
      </c>
      <c r="CI612" s="32" t="n">
        <v>93</v>
      </c>
      <c r="CJ612" s="49" t="n">
        <v>23</v>
      </c>
      <c r="CK612" s="49" t="n">
        <v>46</v>
      </c>
      <c r="CL612" s="49" t="n">
        <v>69</v>
      </c>
      <c r="CM612" s="49" t="n">
        <v>22</v>
      </c>
      <c r="CN612" s="49" t="n">
        <v>47</v>
      </c>
      <c r="CO612" s="49" t="n">
        <v>69</v>
      </c>
      <c r="CP612" s="25" t="n">
        <f aca="false">BX612+BW612+BV612+BU612+BT612+BQ612+BN612</f>
        <v>590</v>
      </c>
      <c r="CQ612" s="25" t="n">
        <f aca="false">CO612+CL612+CI612+CH612+CG612+CD612+CA612</f>
        <v>511</v>
      </c>
      <c r="CR612" s="26" t="n">
        <f aca="false">CP612/7</f>
        <v>84.2857142857143</v>
      </c>
      <c r="CS612" s="26" t="n">
        <f aca="false">CQ612/7</f>
        <v>73</v>
      </c>
      <c r="CT612" s="24" t="n">
        <f aca="false">RANK(CR612,$CR$2:$CR$881,0)</f>
        <v>467</v>
      </c>
      <c r="CU612" s="25" t="n">
        <f aca="false">RANK(CS612,$CS$2:$CS$881,0)</f>
        <v>484</v>
      </c>
      <c r="CV612" s="26" t="n">
        <f aca="false">(CS612+CR612)/2</f>
        <v>78.6428571428571</v>
      </c>
      <c r="CW612" s="25" t="n">
        <f aca="false">RANK(CV612,$CV$2:$CV$881,0)</f>
        <v>476</v>
      </c>
      <c r="CX612" s="50" t="n">
        <f aca="false">(CV612+BB612)/2</f>
        <v>79.0214285714286</v>
      </c>
      <c r="CY612" s="50" t="n">
        <v>422</v>
      </c>
      <c r="CZ612" s="27" t="s">
        <v>132</v>
      </c>
      <c r="DA612" s="27" t="s">
        <v>151</v>
      </c>
      <c r="DB612" s="27" t="s">
        <v>151</v>
      </c>
      <c r="DC612" s="27" t="s">
        <v>134</v>
      </c>
      <c r="DD612" s="27" t="s">
        <v>191</v>
      </c>
      <c r="DE612" s="27" t="s">
        <v>399</v>
      </c>
      <c r="DF612" s="27" t="s">
        <v>143</v>
      </c>
      <c r="DG612" s="27" t="s">
        <v>134</v>
      </c>
      <c r="DH612" s="27" t="s">
        <v>154</v>
      </c>
      <c r="DI612" s="27" t="s">
        <v>897</v>
      </c>
      <c r="DJ612" s="27" t="s">
        <v>187</v>
      </c>
      <c r="DK612" s="27" t="s">
        <v>134</v>
      </c>
      <c r="DL612" s="27"/>
      <c r="DM612" s="27"/>
      <c r="DN612" s="27"/>
      <c r="DO612" s="27"/>
      <c r="DP612" s="27"/>
      <c r="DQ612" s="27"/>
      <c r="DR612" s="27"/>
      <c r="DS612" s="27"/>
      <c r="DT612" s="27" t="s">
        <v>182</v>
      </c>
      <c r="DU612" s="27" t="s">
        <v>989</v>
      </c>
      <c r="DV612" s="27" t="s">
        <v>187</v>
      </c>
      <c r="DW612" s="27" t="s">
        <v>154</v>
      </c>
      <c r="DX612" s="27" t="s">
        <v>143</v>
      </c>
      <c r="DY612" s="27" t="s">
        <v>170</v>
      </c>
      <c r="DZ612" s="27" t="n">
        <f aca="false">DY612+DV612+DR612+DN612+DJ612+DF612+DB612</f>
        <v>384</v>
      </c>
      <c r="EA612" s="28" t="n">
        <f aca="false">DZ612/7</f>
        <v>54.8571428571429</v>
      </c>
      <c r="EB612" s="27" t="n">
        <f aca="false">RANK(EA612,$EA$2:$EA$881,0)</f>
        <v>827</v>
      </c>
      <c r="EC612" s="29" t="n">
        <f aca="false">DZ612+CQ612+CP612+AZ612</f>
        <v>2279</v>
      </c>
      <c r="ED612" s="30" t="n">
        <f aca="false">(EA612+CV612+BB612)/3</f>
        <v>70.9666666666667</v>
      </c>
      <c r="EE612" s="51" t="n">
        <f aca="false">ROUND(BE612,3)</f>
        <v>85.333</v>
      </c>
      <c r="EF612" s="51" t="n">
        <f aca="false">ROUND(CR612,3)</f>
        <v>84.286</v>
      </c>
      <c r="EG612" s="51" t="n">
        <f aca="false">ROUND(CS612,3)</f>
        <v>73</v>
      </c>
      <c r="EH612" s="51" t="n">
        <f aca="false">ROUND(EA612,3)</f>
        <v>54.857</v>
      </c>
      <c r="EI612" s="51" t="n">
        <f aca="false">ROUND(ED612,3)</f>
        <v>70.967</v>
      </c>
      <c r="EJ612" s="51" t="n">
        <f aca="false">ROUND(CV612,3)</f>
        <v>78.643</v>
      </c>
      <c r="EK612" s="0" t="n">
        <f aca="false">RANK(EI612,$EI$2:$EI$881,0)</f>
        <v>611</v>
      </c>
    </row>
    <row r="613" customFormat="false" ht="15" hidden="false" customHeight="false" outlineLevel="0" collapsed="false">
      <c r="A613" s="4" t="n">
        <v>8927</v>
      </c>
      <c r="B613" s="4" t="n">
        <v>521</v>
      </c>
      <c r="C613" s="27" t="s">
        <v>1804</v>
      </c>
      <c r="D613" s="31" t="n">
        <v>526</v>
      </c>
      <c r="E613" s="32" t="n">
        <v>230315772</v>
      </c>
      <c r="F613" s="8" t="s">
        <v>1805</v>
      </c>
      <c r="G613" s="22" t="s">
        <v>1806</v>
      </c>
      <c r="H613" s="22" t="s">
        <v>129</v>
      </c>
      <c r="I613" s="33" t="n">
        <v>2005</v>
      </c>
      <c r="J613" s="32" t="n">
        <v>77</v>
      </c>
      <c r="K613" s="32" t="n">
        <v>98</v>
      </c>
      <c r="L613" s="34" t="n">
        <f aca="false">(K613*70)/100</f>
        <v>68.6</v>
      </c>
      <c r="M613" s="34" t="n">
        <f aca="false">ROUNDUP(L613,0)</f>
        <v>69</v>
      </c>
      <c r="N613" s="32" t="n">
        <v>22</v>
      </c>
      <c r="O613" s="34" t="n">
        <f aca="false">N613+L613</f>
        <v>90.6</v>
      </c>
      <c r="P613" s="34" t="n">
        <f aca="false">N613+M613</f>
        <v>91</v>
      </c>
      <c r="Q613" s="32" t="n">
        <v>68</v>
      </c>
      <c r="R613" s="32" t="n">
        <v>85</v>
      </c>
      <c r="S613" s="34" t="n">
        <f aca="false">(R613*70)/100</f>
        <v>59.5</v>
      </c>
      <c r="T613" s="34" t="n">
        <f aca="false">ROUNDUP(S613,0)</f>
        <v>60</v>
      </c>
      <c r="U613" s="32" t="n">
        <v>26</v>
      </c>
      <c r="V613" s="34" t="n">
        <f aca="false">U613+S613</f>
        <v>85.5</v>
      </c>
      <c r="W613" s="34" t="n">
        <f aca="false">U613+T613</f>
        <v>86</v>
      </c>
      <c r="X613" s="32" t="n">
        <v>78</v>
      </c>
      <c r="Y613" s="34" t="n">
        <f aca="false">(X613*70)/100</f>
        <v>54.6</v>
      </c>
      <c r="Z613" s="34" t="n">
        <f aca="false">ROUNDUP(Y613,0)</f>
        <v>55</v>
      </c>
      <c r="AA613" s="32" t="n">
        <v>22</v>
      </c>
      <c r="AB613" s="34" t="n">
        <f aca="false">AA613+Y613</f>
        <v>76.6</v>
      </c>
      <c r="AC613" s="34" t="n">
        <f aca="false">AA613+Z613</f>
        <v>77</v>
      </c>
      <c r="AD613" s="32" t="n">
        <f aca="false">X613+R613+Q613+K613+J613</f>
        <v>406</v>
      </c>
      <c r="AE613" s="16" t="n">
        <f aca="false">AD613/5</f>
        <v>81.2</v>
      </c>
      <c r="AF613" s="16" t="n">
        <v>74</v>
      </c>
      <c r="AG613" s="16" t="n">
        <v>90</v>
      </c>
      <c r="AH613" s="16" t="n">
        <v>82</v>
      </c>
      <c r="AI613" s="16" t="n">
        <v>87</v>
      </c>
      <c r="AJ613" s="16" t="n">
        <f aca="false">(AI613*70)/100</f>
        <v>60.9</v>
      </c>
      <c r="AK613" s="35" t="n">
        <f aca="false">ROUNDUP(AJ613,0)</f>
        <v>61</v>
      </c>
      <c r="AL613" s="16" t="n">
        <v>25</v>
      </c>
      <c r="AM613" s="16" t="n">
        <f aca="false">AL613+AJ613</f>
        <v>85.9</v>
      </c>
      <c r="AN613" s="16" t="n">
        <f aca="false">AL613+AK613</f>
        <v>86</v>
      </c>
      <c r="AO613" s="16" t="n">
        <v>72</v>
      </c>
      <c r="AP613" s="36" t="n">
        <f aca="false">(AO613*70)/100</f>
        <v>50.4</v>
      </c>
      <c r="AQ613" s="37" t="n">
        <f aca="false">ROUNDUP(AP613,0)</f>
        <v>51</v>
      </c>
      <c r="AR613" s="16" t="n">
        <v>25</v>
      </c>
      <c r="AS613" s="16" t="n">
        <f aca="false">AR613+AP613</f>
        <v>75.4</v>
      </c>
      <c r="AT613" s="16" t="n">
        <f aca="false">AR613+AQ613</f>
        <v>76</v>
      </c>
      <c r="AU613" s="16" t="n">
        <f aca="false">AO613+AF613+AI613+AH613+AG613</f>
        <v>405</v>
      </c>
      <c r="AV613" s="16" t="n">
        <f aca="false">(AO613+AF613+AI613+AH613+AG613)/5</f>
        <v>81</v>
      </c>
      <c r="AW613" s="36" t="n">
        <f aca="false">(AO613+AF613+AI613+AH613+AG613+X613+R613+Q613+K613+J613)</f>
        <v>811</v>
      </c>
      <c r="AX613" s="16" t="n">
        <f aca="false">AW613/10</f>
        <v>81.1</v>
      </c>
      <c r="AY613" s="16" t="n">
        <f aca="false">AS613+AF613+AM613+AH613+AG613+AB613+V613+Q613+O613+J613</f>
        <v>805</v>
      </c>
      <c r="AZ613" s="16" t="n">
        <f aca="false">AT613+AF613+AN613+AH613+AG613+AC613+W613+Q613+P613+J613</f>
        <v>807</v>
      </c>
      <c r="BA613" s="16" t="n">
        <f aca="false">AY613/10</f>
        <v>80.5</v>
      </c>
      <c r="BB613" s="16" t="n">
        <f aca="false">AZ613/10</f>
        <v>80.7</v>
      </c>
      <c r="BC613" s="16" t="n">
        <v>2347</v>
      </c>
      <c r="BD613" s="16" t="n">
        <f aca="false">RANK(AX613,$AX$2:$AX$881,0)</f>
        <v>206</v>
      </c>
      <c r="BE613" s="54" t="n">
        <f aca="false">((BC613*100)/2400)*0.4+(AX613*0.6)</f>
        <v>87.7766666666667</v>
      </c>
      <c r="BF613" s="16" t="n">
        <f aca="false">RANK(BE613,$BE$2:$BE$881,0)</f>
        <v>221</v>
      </c>
      <c r="BG613" s="39" t="n">
        <f aca="false">RANK(BB613,$BB$2:$BB$881,0)</f>
        <v>298</v>
      </c>
      <c r="BH613" s="39" t="n">
        <f aca="false">RANK(BC613,$BC$2:$BC$881,0)</f>
        <v>562</v>
      </c>
      <c r="BI613" s="22" t="s">
        <v>130</v>
      </c>
      <c r="BJ613" s="22" t="s">
        <v>129</v>
      </c>
      <c r="BK613" s="40" t="s">
        <v>131</v>
      </c>
      <c r="BL613" s="98" t="n">
        <v>7</v>
      </c>
      <c r="BM613" s="41" t="n">
        <v>45</v>
      </c>
      <c r="BN613" s="98" t="n">
        <v>52</v>
      </c>
      <c r="BO613" s="42" t="n">
        <v>15</v>
      </c>
      <c r="BP613" s="43" t="n">
        <v>55</v>
      </c>
      <c r="BQ613" s="44" t="n">
        <v>70</v>
      </c>
      <c r="BR613" s="42" t="n">
        <v>18</v>
      </c>
      <c r="BS613" s="45" t="n">
        <v>48</v>
      </c>
      <c r="BT613" s="45" t="n">
        <v>66</v>
      </c>
      <c r="BU613" s="46" t="n">
        <v>100</v>
      </c>
      <c r="BV613" s="47" t="n">
        <v>62</v>
      </c>
      <c r="BW613" s="42" t="n">
        <v>99</v>
      </c>
      <c r="BX613" s="48" t="n">
        <v>88</v>
      </c>
      <c r="BY613" s="32" t="n">
        <v>21</v>
      </c>
      <c r="BZ613" s="32" t="n">
        <v>37</v>
      </c>
      <c r="CA613" s="69" t="n">
        <v>58</v>
      </c>
      <c r="CB613" s="32" t="n">
        <v>24</v>
      </c>
      <c r="CC613" s="32" t="n">
        <v>39</v>
      </c>
      <c r="CD613" s="32" t="n">
        <v>63</v>
      </c>
      <c r="CE613" s="32" t="n">
        <v>22</v>
      </c>
      <c r="CF613" s="32" t="n">
        <v>30</v>
      </c>
      <c r="CG613" s="69" t="n">
        <v>52</v>
      </c>
      <c r="CH613" s="32" t="n">
        <v>90</v>
      </c>
      <c r="CI613" s="32" t="n">
        <v>99</v>
      </c>
      <c r="CJ613" s="49" t="n">
        <v>18</v>
      </c>
      <c r="CK613" s="49" t="n">
        <v>45</v>
      </c>
      <c r="CL613" s="84" t="n">
        <v>63</v>
      </c>
      <c r="CM613" s="49" t="n">
        <v>16</v>
      </c>
      <c r="CN613" s="49" t="n">
        <v>46</v>
      </c>
      <c r="CO613" s="49" t="n">
        <v>62</v>
      </c>
      <c r="CP613" s="25" t="n">
        <f aca="false">BX613+BW613+BV613+BU613+BT613+BQ613+BN613</f>
        <v>537</v>
      </c>
      <c r="CQ613" s="25" t="n">
        <f aca="false">CO613+CL613+CI613+CH613+CG613+CD613+CA613</f>
        <v>487</v>
      </c>
      <c r="CR613" s="26" t="n">
        <f aca="false">CP613/7</f>
        <v>76.7142857142857</v>
      </c>
      <c r="CS613" s="26" t="n">
        <f aca="false">CQ613/7</f>
        <v>69.5714285714286</v>
      </c>
      <c r="CT613" s="24" t="n">
        <f aca="false">RANK(CR613,$CR$2:$CR$881,0)</f>
        <v>631</v>
      </c>
      <c r="CU613" s="25" t="n">
        <f aca="false">RANK(CS613,$CS$2:$CS$881,0)</f>
        <v>561</v>
      </c>
      <c r="CV613" s="26" t="n">
        <f aca="false">(CS613+CR613)/2</f>
        <v>73.1428571428571</v>
      </c>
      <c r="CW613" s="25" t="n">
        <f aca="false">RANK(CV613,$CV$2:$CV$881,0)</f>
        <v>602</v>
      </c>
      <c r="CX613" s="50" t="n">
        <f aca="false">(CV613+BB613)/2</f>
        <v>76.9214285714286</v>
      </c>
      <c r="CY613" s="50" t="n">
        <v>523</v>
      </c>
      <c r="CZ613" s="27" t="s">
        <v>132</v>
      </c>
      <c r="DA613" s="27" t="s">
        <v>305</v>
      </c>
      <c r="DB613" s="27" t="s">
        <v>305</v>
      </c>
      <c r="DC613" s="27" t="s">
        <v>134</v>
      </c>
      <c r="DD613" s="27" t="s">
        <v>825</v>
      </c>
      <c r="DE613" s="27" t="s">
        <v>304</v>
      </c>
      <c r="DF613" s="27" t="s">
        <v>141</v>
      </c>
      <c r="DG613" s="27" t="s">
        <v>134</v>
      </c>
      <c r="DH613" s="27" t="s">
        <v>135</v>
      </c>
      <c r="DI613" s="27" t="s">
        <v>989</v>
      </c>
      <c r="DJ613" s="27" t="s">
        <v>141</v>
      </c>
      <c r="DK613" s="27" t="s">
        <v>134</v>
      </c>
      <c r="DL613" s="27" t="s">
        <v>706</v>
      </c>
      <c r="DM613" s="27" t="s">
        <v>989</v>
      </c>
      <c r="DN613" s="27" t="s">
        <v>218</v>
      </c>
      <c r="DO613" s="27" t="s">
        <v>480</v>
      </c>
      <c r="DP613" s="27"/>
      <c r="DQ613" s="27"/>
      <c r="DR613" s="27"/>
      <c r="DS613" s="27"/>
      <c r="DT613" s="27" t="s">
        <v>191</v>
      </c>
      <c r="DU613" s="27" t="s">
        <v>140</v>
      </c>
      <c r="DV613" s="27" t="s">
        <v>442</v>
      </c>
      <c r="DW613" s="27" t="s">
        <v>164</v>
      </c>
      <c r="DX613" s="27" t="s">
        <v>141</v>
      </c>
      <c r="DY613" s="27" t="s">
        <v>156</v>
      </c>
      <c r="DZ613" s="27" t="n">
        <f aca="false">DY613+DV613+DR613+DN613+DJ613+DF613+DB613</f>
        <v>412</v>
      </c>
      <c r="EA613" s="28" t="n">
        <f aca="false">DZ613/7</f>
        <v>58.8571428571429</v>
      </c>
      <c r="EB613" s="27" t="n">
        <f aca="false">RANK(EA613,$EA$2:$EA$881,0)</f>
        <v>791</v>
      </c>
      <c r="EC613" s="29" t="n">
        <f aca="false">DZ613+CQ613+CP613+AZ613</f>
        <v>2243</v>
      </c>
      <c r="ED613" s="30" t="n">
        <f aca="false">(EA613+CV613+BB613)/3</f>
        <v>70.9</v>
      </c>
      <c r="EE613" s="51" t="n">
        <f aca="false">ROUND(BE613,3)</f>
        <v>87.777</v>
      </c>
      <c r="EF613" s="51" t="n">
        <f aca="false">ROUND(CR613,3)</f>
        <v>76.714</v>
      </c>
      <c r="EG613" s="51" t="n">
        <f aca="false">ROUND(CS613,3)</f>
        <v>69.571</v>
      </c>
      <c r="EH613" s="51" t="n">
        <f aca="false">ROUND(EA613,3)</f>
        <v>58.857</v>
      </c>
      <c r="EI613" s="51" t="n">
        <f aca="false">ROUND(ED613,3)</f>
        <v>70.9</v>
      </c>
      <c r="EJ613" s="51" t="n">
        <f aca="false">ROUND(CV613,3)</f>
        <v>73.143</v>
      </c>
      <c r="EK613" s="0" t="n">
        <f aca="false">RANK(EI613,$EI$2:$EI$881,0)</f>
        <v>612</v>
      </c>
    </row>
    <row r="614" customFormat="false" ht="15" hidden="false" customHeight="false" outlineLevel="0" collapsed="false">
      <c r="A614" s="4" t="n">
        <v>1825</v>
      </c>
      <c r="B614" s="4" t="n">
        <v>836</v>
      </c>
      <c r="C614" s="27" t="s">
        <v>1807</v>
      </c>
      <c r="D614" s="31" t="n">
        <v>856</v>
      </c>
      <c r="E614" s="16" t="n">
        <v>230614381</v>
      </c>
      <c r="F614" s="56" t="s">
        <v>1808</v>
      </c>
      <c r="G614" s="22" t="s">
        <v>529</v>
      </c>
      <c r="H614" s="22" t="s">
        <v>558</v>
      </c>
      <c r="I614" s="57"/>
      <c r="J614" s="16" t="n">
        <v>78</v>
      </c>
      <c r="K614" s="16" t="n">
        <v>76</v>
      </c>
      <c r="L614" s="34" t="n">
        <f aca="false">(K614*70)/100</f>
        <v>53.2</v>
      </c>
      <c r="M614" s="34" t="n">
        <f aca="false">ROUNDUP(L614,0)</f>
        <v>54</v>
      </c>
      <c r="N614" s="16" t="n">
        <v>19</v>
      </c>
      <c r="O614" s="34" t="n">
        <f aca="false">N614+L614</f>
        <v>72.2</v>
      </c>
      <c r="P614" s="34" t="n">
        <f aca="false">N614+M614</f>
        <v>73</v>
      </c>
      <c r="Q614" s="71" t="n">
        <v>58</v>
      </c>
      <c r="R614" s="16" t="n">
        <v>68</v>
      </c>
      <c r="S614" s="34" t="n">
        <f aca="false">(R614*70)/100</f>
        <v>47.6</v>
      </c>
      <c r="T614" s="34" t="n">
        <f aca="false">ROUNDUP(S614,0)</f>
        <v>48</v>
      </c>
      <c r="U614" s="16" t="n">
        <v>29</v>
      </c>
      <c r="V614" s="34" t="n">
        <f aca="false">U614+S614</f>
        <v>76.6</v>
      </c>
      <c r="W614" s="34" t="n">
        <f aca="false">U614+T614</f>
        <v>77</v>
      </c>
      <c r="X614" s="16" t="n">
        <v>64</v>
      </c>
      <c r="Y614" s="34" t="n">
        <f aca="false">(X614*70)/100</f>
        <v>44.8</v>
      </c>
      <c r="Z614" s="34" t="n">
        <f aca="false">ROUNDUP(Y614,0)</f>
        <v>45</v>
      </c>
      <c r="AA614" s="16" t="n">
        <v>24</v>
      </c>
      <c r="AB614" s="34" t="n">
        <f aca="false">AA614+Y614</f>
        <v>68.8</v>
      </c>
      <c r="AC614" s="34" t="n">
        <f aca="false">AA614+Z614</f>
        <v>69</v>
      </c>
      <c r="AD614" s="32" t="n">
        <f aca="false">X614+R614+Q614+K614+J614</f>
        <v>344</v>
      </c>
      <c r="AE614" s="16" t="n">
        <f aca="false">AD614/5</f>
        <v>68.8</v>
      </c>
      <c r="AF614" s="16" t="n">
        <v>85</v>
      </c>
      <c r="AG614" s="16" t="n">
        <v>87</v>
      </c>
      <c r="AH614" s="16" t="n">
        <v>92</v>
      </c>
      <c r="AI614" s="16" t="n">
        <v>92</v>
      </c>
      <c r="AJ614" s="16" t="n">
        <f aca="false">(AI614*70)/100</f>
        <v>64.4</v>
      </c>
      <c r="AK614" s="35" t="n">
        <f aca="false">ROUNDUP(AJ614,0)</f>
        <v>65</v>
      </c>
      <c r="AL614" s="16" t="n">
        <v>18</v>
      </c>
      <c r="AM614" s="16" t="n">
        <f aca="false">AL614+AJ614</f>
        <v>82.4</v>
      </c>
      <c r="AN614" s="16" t="n">
        <f aca="false">AL614+AK614</f>
        <v>83</v>
      </c>
      <c r="AO614" s="16" t="n">
        <v>77</v>
      </c>
      <c r="AP614" s="36" t="n">
        <f aca="false">(AO614*70)/100</f>
        <v>53.9</v>
      </c>
      <c r="AQ614" s="37" t="n">
        <f aca="false">ROUNDUP(AP614,0)</f>
        <v>54</v>
      </c>
      <c r="AR614" s="16" t="n">
        <v>27</v>
      </c>
      <c r="AS614" s="16" t="n">
        <f aca="false">AR614+AP614</f>
        <v>80.9</v>
      </c>
      <c r="AT614" s="16" t="n">
        <f aca="false">AR614+AQ614</f>
        <v>81</v>
      </c>
      <c r="AU614" s="16" t="n">
        <f aca="false">AO614+AF614+AI614+AH614+AG614</f>
        <v>433</v>
      </c>
      <c r="AV614" s="16" t="n">
        <f aca="false">(AO614+AF614+AI614+AH614+AG614)/5</f>
        <v>86.6</v>
      </c>
      <c r="AW614" s="36" t="n">
        <f aca="false">(AO614+AF614+AI614+AH614+AG614+X614+R614+Q614+K614+J614)</f>
        <v>777</v>
      </c>
      <c r="AX614" s="16" t="n">
        <f aca="false">AW614/10</f>
        <v>77.7</v>
      </c>
      <c r="AY614" s="16" t="n">
        <f aca="false">AS614+AF614+AM614+AH614+AG614+AB614+V614+Q614+O614+J614</f>
        <v>780.9</v>
      </c>
      <c r="AZ614" s="16" t="n">
        <f aca="false">AT614+AF614+AN614+AH614+AG614+AC614+W614+Q614+P614+J614</f>
        <v>783</v>
      </c>
      <c r="BA614" s="16" t="n">
        <f aca="false">AY614/10</f>
        <v>78.09</v>
      </c>
      <c r="BB614" s="16" t="n">
        <f aca="false">AZ614/10</f>
        <v>78.3</v>
      </c>
      <c r="BC614" s="16" t="n">
        <v>2357</v>
      </c>
      <c r="BD614" s="16" t="n">
        <f aca="false">RANK(AX614,$AX$2:$AX$881,0)</f>
        <v>433</v>
      </c>
      <c r="BE614" s="54" t="n">
        <f aca="false">((BC614*100)/2400)*0.4+(AX614*0.6)</f>
        <v>85.9033333333333</v>
      </c>
      <c r="BF614" s="16" t="n">
        <f aca="false">RANK(BE614,$BE$2:$BE$881,0)</f>
        <v>447</v>
      </c>
      <c r="BG614" s="39" t="n">
        <f aca="false">RANK(BB614,$BB$2:$BB$881,0)</f>
        <v>534</v>
      </c>
      <c r="BH614" s="39" t="n">
        <f aca="false">RANK(BC614,$BC$2:$BC$881,0)</f>
        <v>444</v>
      </c>
      <c r="BI614" s="22" t="s">
        <v>130</v>
      </c>
      <c r="BJ614" s="22" t="s">
        <v>129</v>
      </c>
      <c r="BK614" s="40" t="s">
        <v>509</v>
      </c>
      <c r="BL614" s="41" t="n">
        <v>16</v>
      </c>
      <c r="BM614" s="41" t="n">
        <v>46</v>
      </c>
      <c r="BN614" s="41" t="n">
        <v>62</v>
      </c>
      <c r="BO614" s="42" t="n">
        <v>17</v>
      </c>
      <c r="BP614" s="43" t="n">
        <v>55</v>
      </c>
      <c r="BQ614" s="44" t="n">
        <v>72</v>
      </c>
      <c r="BR614" s="42" t="n">
        <v>23</v>
      </c>
      <c r="BS614" s="45" t="n">
        <v>50</v>
      </c>
      <c r="BT614" s="45" t="n">
        <v>73</v>
      </c>
      <c r="BU614" s="46" t="n">
        <v>100</v>
      </c>
      <c r="BV614" s="47" t="n">
        <v>84</v>
      </c>
      <c r="BW614" s="42" t="n">
        <v>89</v>
      </c>
      <c r="BX614" s="88" t="n">
        <v>90</v>
      </c>
      <c r="BY614" s="65" t="n">
        <v>24</v>
      </c>
      <c r="BZ614" s="58" t="n">
        <v>42</v>
      </c>
      <c r="CA614" s="58" t="n">
        <v>66</v>
      </c>
      <c r="CB614" s="59" t="n">
        <v>16</v>
      </c>
      <c r="CC614" s="58" t="n">
        <v>49</v>
      </c>
      <c r="CD614" s="58" t="n">
        <v>65</v>
      </c>
      <c r="CE614" s="58" t="n">
        <v>22</v>
      </c>
      <c r="CF614" s="58" t="n">
        <v>43</v>
      </c>
      <c r="CG614" s="58" t="n">
        <v>65</v>
      </c>
      <c r="CH614" s="58" t="n">
        <v>86</v>
      </c>
      <c r="CI614" s="58" t="n">
        <v>67</v>
      </c>
      <c r="CJ614" s="58" t="n">
        <v>20</v>
      </c>
      <c r="CK614" s="58" t="n">
        <v>50</v>
      </c>
      <c r="CL614" s="59" t="n">
        <v>70</v>
      </c>
      <c r="CM614" s="60"/>
      <c r="CN614" s="60"/>
      <c r="CO614" s="60"/>
      <c r="CP614" s="25" t="n">
        <f aca="false">BX614+BW614+BV614+BU614+BT614+BQ614+BN614</f>
        <v>570</v>
      </c>
      <c r="CQ614" s="25" t="n">
        <f aca="false">CO614+CL614+CI614+CH614+CG614+CD614+CA614</f>
        <v>419</v>
      </c>
      <c r="CR614" s="26" t="n">
        <f aca="false">CP614/7</f>
        <v>81.4285714285714</v>
      </c>
      <c r="CS614" s="26" t="n">
        <f aca="false">CQ614/7</f>
        <v>59.8571428571429</v>
      </c>
      <c r="CT614" s="24" t="n">
        <f aca="false">RANK(CR614,$CR$2:$CR$881,0)</f>
        <v>558</v>
      </c>
      <c r="CU614" s="25" t="n">
        <f aca="false">RANK(CS614,$CS$2:$CS$881,0)</f>
        <v>686</v>
      </c>
      <c r="CV614" s="26" t="n">
        <f aca="false">(CS614+CR614)/2</f>
        <v>70.6428571428571</v>
      </c>
      <c r="CW614" s="25" t="n">
        <f aca="false">RANK(CV614,$CV$2:$CV$881,0)</f>
        <v>630</v>
      </c>
      <c r="CX614" s="50" t="n">
        <f aca="false">(CV614+BB614)/2</f>
        <v>74.4714285714286</v>
      </c>
      <c r="CY614" s="50" t="n">
        <v>670</v>
      </c>
      <c r="CZ614" s="27" t="s">
        <v>132</v>
      </c>
      <c r="DA614" s="27" t="s">
        <v>169</v>
      </c>
      <c r="DB614" s="27" t="s">
        <v>169</v>
      </c>
      <c r="DC614" s="27" t="s">
        <v>134</v>
      </c>
      <c r="DD614" s="27" t="s">
        <v>182</v>
      </c>
      <c r="DE614" s="27" t="s">
        <v>442</v>
      </c>
      <c r="DF614" s="27" t="s">
        <v>486</v>
      </c>
      <c r="DG614" s="27" t="s">
        <v>134</v>
      </c>
      <c r="DH614" s="27" t="s">
        <v>182</v>
      </c>
      <c r="DI614" s="27" t="s">
        <v>412</v>
      </c>
      <c r="DJ614" s="27" t="s">
        <v>441</v>
      </c>
      <c r="DK614" s="27" t="s">
        <v>134</v>
      </c>
      <c r="DL614" s="27" t="s">
        <v>485</v>
      </c>
      <c r="DM614" s="27" t="s">
        <v>304</v>
      </c>
      <c r="DN614" s="27" t="s">
        <v>416</v>
      </c>
      <c r="DO614" s="27" t="s">
        <v>134</v>
      </c>
      <c r="DP614" s="27"/>
      <c r="DQ614" s="27"/>
      <c r="DR614" s="27"/>
      <c r="DS614" s="27"/>
      <c r="DT614" s="27" t="s">
        <v>195</v>
      </c>
      <c r="DU614" s="27" t="s">
        <v>645</v>
      </c>
      <c r="DV614" s="27" t="s">
        <v>163</v>
      </c>
      <c r="DW614" s="27" t="s">
        <v>386</v>
      </c>
      <c r="DX614" s="27" t="s">
        <v>177</v>
      </c>
      <c r="DY614" s="27" t="s">
        <v>305</v>
      </c>
      <c r="DZ614" s="27" t="n">
        <f aca="false">DY614+DV614+DR614+DN614+DJ614+DF614+DB614</f>
        <v>445</v>
      </c>
      <c r="EA614" s="28" t="n">
        <f aca="false">DZ614/7</f>
        <v>63.5714285714286</v>
      </c>
      <c r="EB614" s="27" t="n">
        <f aca="false">RANK(EA614,$EA$2:$EA$881,0)</f>
        <v>754</v>
      </c>
      <c r="EC614" s="29" t="n">
        <f aca="false">DZ614+CQ614+CP614+AZ614</f>
        <v>2217</v>
      </c>
      <c r="ED614" s="30" t="n">
        <f aca="false">(EA614+CV614+BB614)/3</f>
        <v>70.8380952380953</v>
      </c>
      <c r="EE614" s="51" t="n">
        <f aca="false">ROUND(BE614,3)</f>
        <v>85.903</v>
      </c>
      <c r="EF614" s="51" t="n">
        <f aca="false">ROUND(CR614,3)</f>
        <v>81.429</v>
      </c>
      <c r="EG614" s="51" t="n">
        <f aca="false">ROUND(CS614,3)</f>
        <v>59.857</v>
      </c>
      <c r="EH614" s="51" t="n">
        <f aca="false">ROUND(EA614,3)</f>
        <v>63.571</v>
      </c>
      <c r="EI614" s="51" t="n">
        <f aca="false">ROUND(ED614,3)</f>
        <v>70.838</v>
      </c>
      <c r="EJ614" s="51" t="n">
        <f aca="false">ROUND(CV614,3)</f>
        <v>70.643</v>
      </c>
      <c r="EK614" s="0" t="n">
        <f aca="false">RANK(EI614,$EI$2:$EI$881,0)</f>
        <v>613</v>
      </c>
    </row>
    <row r="615" customFormat="false" ht="15" hidden="false" customHeight="false" outlineLevel="0" collapsed="false">
      <c r="A615" s="4" t="n">
        <v>8803</v>
      </c>
      <c r="B615" s="4" t="n">
        <v>453</v>
      </c>
      <c r="C615" s="27" t="s">
        <v>1809</v>
      </c>
      <c r="D615" s="31" t="n">
        <v>459</v>
      </c>
      <c r="E615" s="16" t="n">
        <v>231308533</v>
      </c>
      <c r="F615" s="56" t="s">
        <v>1810</v>
      </c>
      <c r="G615" s="22" t="s">
        <v>1811</v>
      </c>
      <c r="H615" s="22" t="s">
        <v>326</v>
      </c>
      <c r="I615" s="57"/>
      <c r="J615" s="16" t="n">
        <v>69</v>
      </c>
      <c r="K615" s="16" t="n">
        <v>62</v>
      </c>
      <c r="L615" s="34" t="n">
        <f aca="false">(K615*70)/100</f>
        <v>43.4</v>
      </c>
      <c r="M615" s="34" t="n">
        <f aca="false">ROUNDUP(L615,0)</f>
        <v>44</v>
      </c>
      <c r="N615" s="16" t="n">
        <v>19</v>
      </c>
      <c r="O615" s="34" t="n">
        <f aca="false">N615+L615</f>
        <v>62.4</v>
      </c>
      <c r="P615" s="34" t="n">
        <f aca="false">N615+M615</f>
        <v>63</v>
      </c>
      <c r="Q615" s="16" t="n">
        <v>66</v>
      </c>
      <c r="R615" s="16" t="n">
        <v>62</v>
      </c>
      <c r="S615" s="34" t="n">
        <f aca="false">(R615*70)/100</f>
        <v>43.4</v>
      </c>
      <c r="T615" s="34" t="n">
        <f aca="false">ROUNDUP(S615,0)</f>
        <v>44</v>
      </c>
      <c r="U615" s="16" t="n">
        <v>22</v>
      </c>
      <c r="V615" s="34" t="n">
        <f aca="false">U615+S615</f>
        <v>65.4</v>
      </c>
      <c r="W615" s="34" t="n">
        <f aca="false">U615+T615</f>
        <v>66</v>
      </c>
      <c r="X615" s="16" t="n">
        <v>58</v>
      </c>
      <c r="Y615" s="34" t="n">
        <f aca="false">(X615*70)/100</f>
        <v>40.6</v>
      </c>
      <c r="Z615" s="34" t="n">
        <f aca="false">ROUNDUP(Y615,0)</f>
        <v>41</v>
      </c>
      <c r="AA615" s="16" t="n">
        <v>23</v>
      </c>
      <c r="AB615" s="34" t="n">
        <f aca="false">AA615+Y615</f>
        <v>63.6</v>
      </c>
      <c r="AC615" s="34" t="n">
        <f aca="false">AA615+Z615</f>
        <v>64</v>
      </c>
      <c r="AD615" s="32" t="n">
        <f aca="false">X615+R615+Q615+K615+J615</f>
        <v>317</v>
      </c>
      <c r="AE615" s="16" t="n">
        <f aca="false">AD615/5</f>
        <v>63.4</v>
      </c>
      <c r="AF615" s="71" t="n">
        <v>52</v>
      </c>
      <c r="AG615" s="16" t="n">
        <v>75</v>
      </c>
      <c r="AH615" s="16" t="n">
        <v>70</v>
      </c>
      <c r="AI615" s="16" t="n">
        <v>60</v>
      </c>
      <c r="AJ615" s="16" t="n">
        <f aca="false">(AI615*70)/100</f>
        <v>42</v>
      </c>
      <c r="AK615" s="35" t="n">
        <f aca="false">ROUNDUP(AJ615,0)</f>
        <v>42</v>
      </c>
      <c r="AL615" s="16" t="n">
        <v>12</v>
      </c>
      <c r="AM615" s="16" t="n">
        <f aca="false">AL615+AJ615</f>
        <v>54</v>
      </c>
      <c r="AN615" s="71" t="n">
        <f aca="false">AL615+AK615</f>
        <v>54</v>
      </c>
      <c r="AO615" s="16" t="n">
        <v>53</v>
      </c>
      <c r="AP615" s="36" t="n">
        <f aca="false">(AO615*70)/100</f>
        <v>37.1</v>
      </c>
      <c r="AQ615" s="37" t="n">
        <f aca="false">ROUNDUP(AP615,0)</f>
        <v>38</v>
      </c>
      <c r="AR615" s="16" t="n">
        <v>25</v>
      </c>
      <c r="AS615" s="16" t="n">
        <f aca="false">AR615+AP615</f>
        <v>62.1</v>
      </c>
      <c r="AT615" s="16" t="n">
        <f aca="false">AR615+AQ615</f>
        <v>63</v>
      </c>
      <c r="AU615" s="16" t="n">
        <f aca="false">AO615+AF615+AI615+AH615+AG615</f>
        <v>310</v>
      </c>
      <c r="AV615" s="16" t="n">
        <f aca="false">(AO615+AF615+AI615+AH615+AG615)/5</f>
        <v>62</v>
      </c>
      <c r="AW615" s="36" t="n">
        <f aca="false">(AO615+AF615+AI615+AH615+AG615+X615+R615+Q615+K615+J615)</f>
        <v>627</v>
      </c>
      <c r="AX615" s="16" t="n">
        <f aca="false">AW615/10</f>
        <v>62.7</v>
      </c>
      <c r="AY615" s="16" t="n">
        <f aca="false">AS615+AF615+AM615+AH615+AG615+AB615+V615+Q615+O615+J615</f>
        <v>639.5</v>
      </c>
      <c r="AZ615" s="16" t="n">
        <f aca="false">AT615+AF615+AN615+AH615+AG615+AC615+W615+Q615+P615+J615</f>
        <v>642</v>
      </c>
      <c r="BA615" s="16" t="n">
        <f aca="false">AY615/10</f>
        <v>63.95</v>
      </c>
      <c r="BB615" s="16" t="n">
        <f aca="false">AZ615/10</f>
        <v>64.2</v>
      </c>
      <c r="BC615" s="16" t="n">
        <v>2372</v>
      </c>
      <c r="BD615" s="16" t="n">
        <f aca="false">RANK(AX615,$AX$2:$AX$881,0)</f>
        <v>783</v>
      </c>
      <c r="BE615" s="78" t="n">
        <f aca="false">((BC615*100)/2400)*0.4+(AX615*0.6)</f>
        <v>77.1533333333333</v>
      </c>
      <c r="BF615" s="16" t="n">
        <f aca="false">RANK(BE615,$BE$2:$BE$881,0)</f>
        <v>762</v>
      </c>
      <c r="BG615" s="39" t="n">
        <f aca="false">RANK(BB615,$BB$2:$BB$881,0)</f>
        <v>787</v>
      </c>
      <c r="BH615" s="39" t="n">
        <f aca="false">RANK(BC615,$BC$2:$BC$881,0)</f>
        <v>246</v>
      </c>
      <c r="BI615" s="22" t="s">
        <v>130</v>
      </c>
      <c r="BJ615" s="22" t="s">
        <v>129</v>
      </c>
      <c r="BK615" s="40" t="s">
        <v>702</v>
      </c>
      <c r="BL615" s="41" t="n">
        <v>15</v>
      </c>
      <c r="BM615" s="41" t="n">
        <v>34</v>
      </c>
      <c r="BN615" s="98" t="n">
        <v>49</v>
      </c>
      <c r="BO615" s="42" t="n">
        <v>16</v>
      </c>
      <c r="BP615" s="43" t="n">
        <v>62</v>
      </c>
      <c r="BQ615" s="44" t="n">
        <v>78</v>
      </c>
      <c r="BR615" s="42" t="n">
        <v>20</v>
      </c>
      <c r="BS615" s="45" t="n">
        <v>53</v>
      </c>
      <c r="BT615" s="45" t="n">
        <v>73</v>
      </c>
      <c r="BU615" s="46" t="n">
        <v>99</v>
      </c>
      <c r="BV615" s="47" t="n">
        <v>70</v>
      </c>
      <c r="BW615" s="42" t="n">
        <v>95</v>
      </c>
      <c r="BX615" s="48" t="n">
        <v>90</v>
      </c>
      <c r="BY615" s="32" t="n">
        <v>22</v>
      </c>
      <c r="BZ615" s="32" t="n">
        <v>50</v>
      </c>
      <c r="CA615" s="32" t="n">
        <v>72</v>
      </c>
      <c r="CB615" s="32" t="n">
        <v>21</v>
      </c>
      <c r="CC615" s="32" t="n">
        <v>26</v>
      </c>
      <c r="CD615" s="69" t="n">
        <v>47</v>
      </c>
      <c r="CE615" s="32" t="n">
        <v>25</v>
      </c>
      <c r="CF615" s="32" t="n">
        <v>38</v>
      </c>
      <c r="CG615" s="32" t="n">
        <v>63</v>
      </c>
      <c r="CH615" s="32" t="n">
        <v>92</v>
      </c>
      <c r="CI615" s="32" t="n">
        <v>88</v>
      </c>
      <c r="CJ615" s="49" t="n">
        <v>20</v>
      </c>
      <c r="CK615" s="49" t="n">
        <v>45</v>
      </c>
      <c r="CL615" s="49" t="n">
        <v>65</v>
      </c>
      <c r="CM615" s="49" t="n">
        <v>21</v>
      </c>
      <c r="CN615" s="49" t="n">
        <v>42</v>
      </c>
      <c r="CO615" s="49" t="n">
        <v>63</v>
      </c>
      <c r="CP615" s="25" t="n">
        <f aca="false">BX615+BW615+BV615+BU615+BT615+BQ615+BN615</f>
        <v>554</v>
      </c>
      <c r="CQ615" s="25" t="n">
        <f aca="false">CO615+CL615+CI615+CH615+CG615+CD615+CA615</f>
        <v>490</v>
      </c>
      <c r="CR615" s="26" t="n">
        <f aca="false">CP615/7</f>
        <v>79.1428571428571</v>
      </c>
      <c r="CS615" s="26" t="n">
        <f aca="false">CQ615/7</f>
        <v>70</v>
      </c>
      <c r="CT615" s="24" t="n">
        <f aca="false">RANK(CR615,$CR$2:$CR$881,0)</f>
        <v>601</v>
      </c>
      <c r="CU615" s="25" t="n">
        <f aca="false">RANK(CS615,$CS$2:$CS$881,0)</f>
        <v>557</v>
      </c>
      <c r="CV615" s="26" t="n">
        <f aca="false">(CS615+CR615)/2</f>
        <v>74.5714285714286</v>
      </c>
      <c r="CW615" s="25" t="n">
        <f aca="false">RANK(CV615,$CV$2:$CV$881,0)</f>
        <v>569</v>
      </c>
      <c r="CX615" s="50" t="n">
        <f aca="false">(CV615+BB615)/2</f>
        <v>69.3857142857143</v>
      </c>
      <c r="CY615" s="50" t="n">
        <v>618</v>
      </c>
      <c r="CZ615" s="27" t="s">
        <v>132</v>
      </c>
      <c r="DA615" s="27" t="s">
        <v>175</v>
      </c>
      <c r="DB615" s="27" t="s">
        <v>175</v>
      </c>
      <c r="DC615" s="27" t="s">
        <v>134</v>
      </c>
      <c r="DD615" s="27" t="s">
        <v>195</v>
      </c>
      <c r="DE615" s="27" t="s">
        <v>306</v>
      </c>
      <c r="DF615" s="27" t="s">
        <v>443</v>
      </c>
      <c r="DG615" s="27" t="s">
        <v>134</v>
      </c>
      <c r="DH615" s="27" t="s">
        <v>182</v>
      </c>
      <c r="DI615" s="27" t="s">
        <v>412</v>
      </c>
      <c r="DJ615" s="27" t="s">
        <v>441</v>
      </c>
      <c r="DK615" s="27" t="s">
        <v>134</v>
      </c>
      <c r="DL615" s="27" t="s">
        <v>174</v>
      </c>
      <c r="DM615" s="27" t="s">
        <v>399</v>
      </c>
      <c r="DN615" s="27" t="s">
        <v>155</v>
      </c>
      <c r="DO615" s="27" t="s">
        <v>134</v>
      </c>
      <c r="DP615" s="27" t="s">
        <v>386</v>
      </c>
      <c r="DQ615" s="27" t="s">
        <v>645</v>
      </c>
      <c r="DR615" s="27" t="s">
        <v>203</v>
      </c>
      <c r="DS615" s="27" t="s">
        <v>134</v>
      </c>
      <c r="DT615" s="27" t="s">
        <v>164</v>
      </c>
      <c r="DU615" s="27" t="s">
        <v>164</v>
      </c>
      <c r="DV615" s="27" t="s">
        <v>304</v>
      </c>
      <c r="DW615" s="27" t="s">
        <v>164</v>
      </c>
      <c r="DX615" s="27" t="s">
        <v>141</v>
      </c>
      <c r="DY615" s="27" t="s">
        <v>156</v>
      </c>
      <c r="DZ615" s="27" t="n">
        <f aca="false">DY615+DV615+DR615+DN615+DJ615+DF615+DB615</f>
        <v>516</v>
      </c>
      <c r="EA615" s="28" t="n">
        <f aca="false">DZ615/7</f>
        <v>73.7142857142857</v>
      </c>
      <c r="EB615" s="27" t="n">
        <f aca="false">RANK(EA615,$EA$2:$EA$881,0)</f>
        <v>573</v>
      </c>
      <c r="EC615" s="29" t="n">
        <f aca="false">DZ615+CQ615+CP615+AZ615</f>
        <v>2202</v>
      </c>
      <c r="ED615" s="30" t="n">
        <f aca="false">(EA615+CV615+BB615)/3</f>
        <v>70.8285714285714</v>
      </c>
      <c r="EE615" s="51" t="n">
        <f aca="false">ROUND(BE615,3)</f>
        <v>77.153</v>
      </c>
      <c r="EF615" s="51" t="n">
        <f aca="false">ROUND(CR615,3)</f>
        <v>79.143</v>
      </c>
      <c r="EG615" s="51" t="n">
        <f aca="false">ROUND(CS615,3)</f>
        <v>70</v>
      </c>
      <c r="EH615" s="51" t="n">
        <f aca="false">ROUND(EA615,3)</f>
        <v>73.714</v>
      </c>
      <c r="EI615" s="51" t="n">
        <f aca="false">ROUND(ED615,3)</f>
        <v>70.829</v>
      </c>
      <c r="EJ615" s="51" t="n">
        <f aca="false">ROUND(CV615,3)</f>
        <v>74.571</v>
      </c>
      <c r="EK615" s="0" t="n">
        <f aca="false">RANK(EI615,$EI$2:$EI$881,0)</f>
        <v>614</v>
      </c>
    </row>
    <row r="616" customFormat="false" ht="16.85" hidden="false" customHeight="false" outlineLevel="0" collapsed="false">
      <c r="A616" s="4" t="n">
        <v>1975</v>
      </c>
      <c r="B616" s="4" t="n">
        <v>21</v>
      </c>
      <c r="C616" s="27" t="s">
        <v>1812</v>
      </c>
      <c r="D616" s="52" t="n">
        <v>22</v>
      </c>
      <c r="E616" s="16" t="n">
        <v>230615024</v>
      </c>
      <c r="F616" s="56" t="s">
        <v>1813</v>
      </c>
      <c r="G616" s="22" t="s">
        <v>312</v>
      </c>
      <c r="H616" s="22" t="s">
        <v>558</v>
      </c>
      <c r="I616" s="57"/>
      <c r="J616" s="16" t="n">
        <v>69</v>
      </c>
      <c r="K616" s="16" t="n">
        <v>80</v>
      </c>
      <c r="L616" s="34" t="n">
        <f aca="false">(K616*70)/100</f>
        <v>56</v>
      </c>
      <c r="M616" s="34" t="n">
        <f aca="false">ROUNDUP(L616,0)</f>
        <v>56</v>
      </c>
      <c r="N616" s="16" t="n">
        <v>23</v>
      </c>
      <c r="O616" s="34" t="n">
        <f aca="false">N616+L616</f>
        <v>79</v>
      </c>
      <c r="P616" s="34" t="n">
        <f aca="false">N616+M616</f>
        <v>79</v>
      </c>
      <c r="Q616" s="16" t="n">
        <v>77</v>
      </c>
      <c r="R616" s="16" t="n">
        <v>77</v>
      </c>
      <c r="S616" s="34" t="n">
        <f aca="false">(R616*70)/100</f>
        <v>53.9</v>
      </c>
      <c r="T616" s="34" t="n">
        <f aca="false">ROUNDUP(S616,0)</f>
        <v>54</v>
      </c>
      <c r="U616" s="16" t="n">
        <v>29</v>
      </c>
      <c r="V616" s="34" t="n">
        <f aca="false">U616+S616</f>
        <v>82.9</v>
      </c>
      <c r="W616" s="34" t="n">
        <f aca="false">U616+T616</f>
        <v>83</v>
      </c>
      <c r="X616" s="16" t="n">
        <v>67</v>
      </c>
      <c r="Y616" s="34" t="n">
        <f aca="false">(X616*70)/100</f>
        <v>46.9</v>
      </c>
      <c r="Z616" s="34" t="n">
        <f aca="false">ROUNDUP(Y616,0)</f>
        <v>47</v>
      </c>
      <c r="AA616" s="16" t="n">
        <v>20</v>
      </c>
      <c r="AB616" s="34" t="n">
        <f aca="false">AA616+Y616</f>
        <v>66.9</v>
      </c>
      <c r="AC616" s="34" t="n">
        <f aca="false">AA616+Z616</f>
        <v>67</v>
      </c>
      <c r="AD616" s="32" t="n">
        <f aca="false">X616+R616+Q616+K616+J616</f>
        <v>370</v>
      </c>
      <c r="AE616" s="16" t="n">
        <f aca="false">AD616/5</f>
        <v>74</v>
      </c>
      <c r="AF616" s="16" t="n">
        <v>74</v>
      </c>
      <c r="AG616" s="16" t="n">
        <v>70</v>
      </c>
      <c r="AH616" s="16" t="n">
        <v>93</v>
      </c>
      <c r="AI616" s="16" t="n">
        <v>91</v>
      </c>
      <c r="AJ616" s="16" t="n">
        <f aca="false">(AI616*70)/100</f>
        <v>63.7</v>
      </c>
      <c r="AK616" s="35" t="n">
        <f aca="false">ROUNDUP(AJ616,0)</f>
        <v>64</v>
      </c>
      <c r="AL616" s="16" t="n">
        <v>25</v>
      </c>
      <c r="AM616" s="16" t="n">
        <f aca="false">AL616+AJ616</f>
        <v>88.7</v>
      </c>
      <c r="AN616" s="16" t="n">
        <f aca="false">AL616+AK616</f>
        <v>89</v>
      </c>
      <c r="AO616" s="16" t="n">
        <v>73</v>
      </c>
      <c r="AP616" s="36" t="n">
        <f aca="false">(AO616*70)/100</f>
        <v>51.1</v>
      </c>
      <c r="AQ616" s="37" t="n">
        <f aca="false">ROUNDUP(AP616,0)</f>
        <v>52</v>
      </c>
      <c r="AR616" s="16" t="n">
        <v>28</v>
      </c>
      <c r="AS616" s="16" t="n">
        <f aca="false">AR616+AP616</f>
        <v>79.1</v>
      </c>
      <c r="AT616" s="16" t="n">
        <f aca="false">AR616+AQ616</f>
        <v>80</v>
      </c>
      <c r="AU616" s="16" t="n">
        <f aca="false">AO616+AF616+AI616+AH616+AG616</f>
        <v>401</v>
      </c>
      <c r="AV616" s="16" t="n">
        <f aca="false">(AO616+AF616+AI616+AH616+AG616)/5</f>
        <v>80.2</v>
      </c>
      <c r="AW616" s="36" t="n">
        <f aca="false">(AO616+AF616+AI616+AH616+AG616+X616+R616+Q616+K616+J616)</f>
        <v>771</v>
      </c>
      <c r="AX616" s="16" t="n">
        <f aca="false">AW616/10</f>
        <v>77.1</v>
      </c>
      <c r="AY616" s="16" t="n">
        <f aca="false">AS616+AF616+AM616+AH616+AG616+AB616+V616+Q616+O616+J616</f>
        <v>779.6</v>
      </c>
      <c r="AZ616" s="16" t="n">
        <f aca="false">AT616+AF616+AN616+AH616+AG616+AC616+W616+Q616+P616+J616</f>
        <v>781</v>
      </c>
      <c r="BA616" s="16" t="n">
        <f aca="false">AY616/10</f>
        <v>77.96</v>
      </c>
      <c r="BB616" s="16" t="n">
        <f aca="false">AZ616/10</f>
        <v>78.1</v>
      </c>
      <c r="BC616" s="16" t="n">
        <v>2373</v>
      </c>
      <c r="BD616" s="16" t="n">
        <f aca="false">RANK(AX616,$AX$2:$AX$881,0)</f>
        <v>496</v>
      </c>
      <c r="BE616" s="54" t="n">
        <f aca="false">((BC616*100)/2400)*0.4+(AX616*0.6)</f>
        <v>85.81</v>
      </c>
      <c r="BF616" s="16" t="n">
        <f aca="false">RANK(BE616,$BE$2:$BE$881,0)</f>
        <v>459</v>
      </c>
      <c r="BG616" s="39" t="n">
        <f aca="false">RANK(BB616,$BB$2:$BB$881,0)</f>
        <v>552</v>
      </c>
      <c r="BH616" s="39" t="n">
        <f aca="false">RANK(BC616,$BC$2:$BC$881,0)</f>
        <v>233</v>
      </c>
      <c r="BI616" s="22" t="s">
        <v>130</v>
      </c>
      <c r="BJ616" s="22" t="s">
        <v>129</v>
      </c>
      <c r="BK616" s="40" t="s">
        <v>509</v>
      </c>
      <c r="BL616" s="41" t="n">
        <v>17</v>
      </c>
      <c r="BM616" s="41" t="n">
        <v>52</v>
      </c>
      <c r="BN616" s="41" t="n">
        <v>69</v>
      </c>
      <c r="BO616" s="42" t="n">
        <v>21</v>
      </c>
      <c r="BP616" s="43" t="n">
        <v>60</v>
      </c>
      <c r="BQ616" s="44" t="n">
        <v>81</v>
      </c>
      <c r="BR616" s="42" t="n">
        <v>23</v>
      </c>
      <c r="BS616" s="80"/>
      <c r="BT616" s="80"/>
      <c r="BU616" s="46" t="n">
        <v>96</v>
      </c>
      <c r="BV616" s="47" t="n">
        <v>86</v>
      </c>
      <c r="BW616" s="42" t="n">
        <v>89</v>
      </c>
      <c r="BX616" s="88" t="n">
        <v>88</v>
      </c>
      <c r="BY616" s="65" t="n">
        <v>27</v>
      </c>
      <c r="BZ616" s="58" t="n">
        <v>53</v>
      </c>
      <c r="CA616" s="58" t="n">
        <v>80</v>
      </c>
      <c r="CB616" s="59" t="n">
        <v>17</v>
      </c>
      <c r="CC616" s="58" t="n">
        <v>50</v>
      </c>
      <c r="CD616" s="58" t="n">
        <v>67</v>
      </c>
      <c r="CE616" s="58" t="n">
        <v>21</v>
      </c>
      <c r="CF616" s="58" t="n">
        <v>50</v>
      </c>
      <c r="CG616" s="58" t="n">
        <v>71</v>
      </c>
      <c r="CH616" s="58" t="n">
        <v>82</v>
      </c>
      <c r="CI616" s="58" t="n">
        <v>53</v>
      </c>
      <c r="CJ616" s="58" t="n">
        <v>15</v>
      </c>
      <c r="CK616" s="58" t="n">
        <v>55</v>
      </c>
      <c r="CL616" s="59" t="n">
        <v>70</v>
      </c>
      <c r="CM616" s="60"/>
      <c r="CN616" s="60"/>
      <c r="CO616" s="60"/>
      <c r="CP616" s="25" t="n">
        <f aca="false">BX616+BW616+BV616+BU616+BT616+BQ616+BN616</f>
        <v>509</v>
      </c>
      <c r="CQ616" s="25" t="n">
        <f aca="false">CO616+CL616+CI616+CH616+CG616+CD616+CA616</f>
        <v>423</v>
      </c>
      <c r="CR616" s="26" t="n">
        <f aca="false">CP616/7</f>
        <v>72.7142857142857</v>
      </c>
      <c r="CS616" s="26" t="n">
        <f aca="false">CQ616/7</f>
        <v>60.4285714285714</v>
      </c>
      <c r="CT616" s="24" t="n">
        <f aca="false">RANK(CR616,$CR$2:$CR$881,0)</f>
        <v>665</v>
      </c>
      <c r="CU616" s="25" t="n">
        <f aca="false">RANK(CS616,$CS$2:$CS$881,0)</f>
        <v>679</v>
      </c>
      <c r="CV616" s="26" t="n">
        <f aca="false">(CS616+CR616)/2</f>
        <v>66.5714285714286</v>
      </c>
      <c r="CW616" s="25" t="n">
        <f aca="false">RANK(CV616,$CV$2:$CV$881,0)</f>
        <v>670</v>
      </c>
      <c r="CX616" s="50" t="n">
        <f aca="false">(CV616+BB616)/2</f>
        <v>72.3357142857143</v>
      </c>
      <c r="CY616" s="50" t="n">
        <v>685</v>
      </c>
      <c r="CZ616" s="27" t="s">
        <v>132</v>
      </c>
      <c r="DA616" s="27" t="s">
        <v>486</v>
      </c>
      <c r="DB616" s="27" t="s">
        <v>486</v>
      </c>
      <c r="DC616" s="27" t="s">
        <v>134</v>
      </c>
      <c r="DD616" s="27" t="s">
        <v>264</v>
      </c>
      <c r="DE616" s="27" t="s">
        <v>442</v>
      </c>
      <c r="DF616" s="27" t="s">
        <v>143</v>
      </c>
      <c r="DG616" s="27" t="s">
        <v>134</v>
      </c>
      <c r="DH616" s="27" t="s">
        <v>182</v>
      </c>
      <c r="DI616" s="27" t="s">
        <v>645</v>
      </c>
      <c r="DJ616" s="27" t="s">
        <v>143</v>
      </c>
      <c r="DK616" s="27" t="s">
        <v>134</v>
      </c>
      <c r="DL616" s="27" t="s">
        <v>174</v>
      </c>
      <c r="DM616" s="27" t="s">
        <v>897</v>
      </c>
      <c r="DN616" s="27" t="s">
        <v>163</v>
      </c>
      <c r="DO616" s="27" t="s">
        <v>134</v>
      </c>
      <c r="DP616" s="27" t="s">
        <v>706</v>
      </c>
      <c r="DQ616" s="27" t="s">
        <v>399</v>
      </c>
      <c r="DR616" s="27" t="s">
        <v>136</v>
      </c>
      <c r="DS616" s="27" t="s">
        <v>134</v>
      </c>
      <c r="DT616" s="27" t="s">
        <v>264</v>
      </c>
      <c r="DU616" s="27" t="s">
        <v>906</v>
      </c>
      <c r="DV616" s="27" t="s">
        <v>218</v>
      </c>
      <c r="DW616" s="27" t="s">
        <v>604</v>
      </c>
      <c r="DX616" s="27" t="s">
        <v>152</v>
      </c>
      <c r="DY616" s="27" t="s">
        <v>219</v>
      </c>
      <c r="DZ616" s="27" t="n">
        <f aca="false">DY616+DV616+DR616+DN616+DJ616+DF616+DB616</f>
        <v>474</v>
      </c>
      <c r="EA616" s="28" t="n">
        <f aca="false">DZ616/7</f>
        <v>67.7142857142857</v>
      </c>
      <c r="EB616" s="27" t="n">
        <f aca="false">RANK(EA616,$EA$2:$EA$881,0)</f>
        <v>697</v>
      </c>
      <c r="EC616" s="29" t="n">
        <f aca="false">DZ616+CQ616+CP616+AZ616</f>
        <v>2187</v>
      </c>
      <c r="ED616" s="30" t="n">
        <f aca="false">(EA616+CV616+BB616)/3</f>
        <v>70.7952380952381</v>
      </c>
      <c r="EE616" s="51" t="n">
        <f aca="false">ROUND(BE616,3)</f>
        <v>85.81</v>
      </c>
      <c r="EF616" s="51" t="n">
        <f aca="false">ROUND(CR616,3)</f>
        <v>72.714</v>
      </c>
      <c r="EG616" s="51" t="n">
        <f aca="false">ROUND(CS616,3)</f>
        <v>60.429</v>
      </c>
      <c r="EH616" s="51" t="n">
        <f aca="false">ROUND(EA616,3)</f>
        <v>67.714</v>
      </c>
      <c r="EI616" s="51" t="n">
        <f aca="false">ROUND(ED616,3)</f>
        <v>70.795</v>
      </c>
      <c r="EJ616" s="51" t="n">
        <f aca="false">ROUND(CV616,3)</f>
        <v>66.571</v>
      </c>
      <c r="EK616" s="0" t="n">
        <f aca="false">RANK(EI616,$EI$2:$EI$881,0)</f>
        <v>615</v>
      </c>
    </row>
    <row r="617" customFormat="false" ht="15" hidden="false" customHeight="false" outlineLevel="0" collapsed="false">
      <c r="A617" s="4" t="n">
        <v>1935</v>
      </c>
      <c r="B617" s="4" t="n">
        <v>40</v>
      </c>
      <c r="C617" s="27" t="s">
        <v>1814</v>
      </c>
      <c r="D617" s="52" t="n">
        <v>43</v>
      </c>
      <c r="E617" s="16" t="n">
        <v>230119420</v>
      </c>
      <c r="F617" s="56" t="s">
        <v>1815</v>
      </c>
      <c r="G617" s="22" t="s">
        <v>1816</v>
      </c>
      <c r="H617" s="22" t="s">
        <v>326</v>
      </c>
      <c r="I617" s="57"/>
      <c r="J617" s="16" t="n">
        <v>85</v>
      </c>
      <c r="K617" s="16" t="n">
        <v>64</v>
      </c>
      <c r="L617" s="34" t="n">
        <f aca="false">(K617*70)/100</f>
        <v>44.8</v>
      </c>
      <c r="M617" s="34" t="n">
        <f aca="false">ROUNDUP(L617,0)</f>
        <v>45</v>
      </c>
      <c r="N617" s="16" t="n">
        <v>18</v>
      </c>
      <c r="O617" s="34" t="n">
        <f aca="false">N617+L617</f>
        <v>62.8</v>
      </c>
      <c r="P617" s="34" t="n">
        <f aca="false">N617+M617</f>
        <v>63</v>
      </c>
      <c r="Q617" s="16" t="n">
        <v>85</v>
      </c>
      <c r="R617" s="16" t="n">
        <v>84</v>
      </c>
      <c r="S617" s="34" t="n">
        <f aca="false">(R617*70)/100</f>
        <v>58.8</v>
      </c>
      <c r="T617" s="34" t="n">
        <f aca="false">ROUNDUP(S617,0)</f>
        <v>59</v>
      </c>
      <c r="U617" s="16" t="n">
        <v>26</v>
      </c>
      <c r="V617" s="34" t="n">
        <f aca="false">U617+S617</f>
        <v>84.8</v>
      </c>
      <c r="W617" s="34" t="n">
        <f aca="false">U617+T617</f>
        <v>85</v>
      </c>
      <c r="X617" s="16" t="n">
        <v>62</v>
      </c>
      <c r="Y617" s="34" t="n">
        <f aca="false">(X617*70)/100</f>
        <v>43.4</v>
      </c>
      <c r="Z617" s="34" t="n">
        <f aca="false">ROUNDUP(Y617,0)</f>
        <v>44</v>
      </c>
      <c r="AA617" s="16" t="n">
        <v>21</v>
      </c>
      <c r="AB617" s="34" t="n">
        <f aca="false">AA617+Y617</f>
        <v>64.4</v>
      </c>
      <c r="AC617" s="34" t="n">
        <f aca="false">AA617+Z617</f>
        <v>65</v>
      </c>
      <c r="AD617" s="32" t="n">
        <f aca="false">X617+R617+Q617+K617+J617</f>
        <v>380</v>
      </c>
      <c r="AE617" s="16" t="n">
        <f aca="false">AD617/5</f>
        <v>76</v>
      </c>
      <c r="AF617" s="16" t="n">
        <v>80</v>
      </c>
      <c r="AG617" s="16" t="n">
        <v>86</v>
      </c>
      <c r="AH617" s="16" t="n">
        <v>71</v>
      </c>
      <c r="AI617" s="16" t="n">
        <v>79</v>
      </c>
      <c r="AJ617" s="16" t="n">
        <f aca="false">(AI617*70)/100</f>
        <v>55.3</v>
      </c>
      <c r="AK617" s="35" t="n">
        <f aca="false">ROUNDUP(AJ617,0)</f>
        <v>56</v>
      </c>
      <c r="AL617" s="16" t="n">
        <v>25</v>
      </c>
      <c r="AM617" s="16" t="n">
        <f aca="false">AL617+AJ617</f>
        <v>80.3</v>
      </c>
      <c r="AN617" s="16" t="n">
        <f aca="false">AL617+AK617</f>
        <v>81</v>
      </c>
      <c r="AO617" s="16" t="n">
        <v>78</v>
      </c>
      <c r="AP617" s="36" t="n">
        <f aca="false">(AO617*70)/100</f>
        <v>54.6</v>
      </c>
      <c r="AQ617" s="37" t="n">
        <f aca="false">ROUNDUP(AP617,0)</f>
        <v>55</v>
      </c>
      <c r="AR617" s="16" t="n">
        <v>18</v>
      </c>
      <c r="AS617" s="16" t="n">
        <f aca="false">AR617+AP617</f>
        <v>72.6</v>
      </c>
      <c r="AT617" s="16" t="n">
        <f aca="false">AR617+AQ617</f>
        <v>73</v>
      </c>
      <c r="AU617" s="16" t="n">
        <f aca="false">AO617+AF617+AI617+AH617+AG617</f>
        <v>394</v>
      </c>
      <c r="AV617" s="16" t="n">
        <f aca="false">(AO617+AF617+AI617+AH617+AG617)/5</f>
        <v>78.8</v>
      </c>
      <c r="AW617" s="36" t="n">
        <f aca="false">(AO617+AF617+AI617+AH617+AG617+X617+R617+Q617+K617+J617)</f>
        <v>774</v>
      </c>
      <c r="AX617" s="16" t="n">
        <f aca="false">AW617/10</f>
        <v>77.4</v>
      </c>
      <c r="AY617" s="16" t="n">
        <f aca="false">AS617+AF617+AM617+AH617+AG617+AB617+V617+Q617+O617+J617</f>
        <v>771.9</v>
      </c>
      <c r="AZ617" s="16" t="n">
        <f aca="false">AT617+AF617+AN617+AH617+AG617+AC617+W617+Q617+P617+J617</f>
        <v>774</v>
      </c>
      <c r="BA617" s="16" t="n">
        <f aca="false">AY617/10</f>
        <v>77.19</v>
      </c>
      <c r="BB617" s="16" t="n">
        <f aca="false">AZ617/10</f>
        <v>77.4</v>
      </c>
      <c r="BC617" s="16" t="n">
        <v>2372</v>
      </c>
      <c r="BD617" s="16" t="n">
        <f aca="false">RANK(AX617,$AX$2:$AX$881,0)</f>
        <v>461</v>
      </c>
      <c r="BE617" s="54" t="n">
        <f aca="false">((BC617*100)/2400)*0.4+(AX617*0.6)</f>
        <v>85.9733333333333</v>
      </c>
      <c r="BF617" s="16" t="n">
        <f aca="false">RANK(BE617,$BE$2:$BE$881,0)</f>
        <v>437</v>
      </c>
      <c r="BG617" s="39" t="n">
        <f aca="false">RANK(BB617,$BB$2:$BB$881,0)</f>
        <v>613</v>
      </c>
      <c r="BH617" s="39" t="n">
        <f aca="false">RANK(BC617,$BC$2:$BC$881,0)</f>
        <v>246</v>
      </c>
      <c r="BI617" s="22" t="s">
        <v>130</v>
      </c>
      <c r="BJ617" s="22" t="s">
        <v>129</v>
      </c>
      <c r="BK617" s="40" t="s">
        <v>509</v>
      </c>
      <c r="BL617" s="41" t="n">
        <v>12</v>
      </c>
      <c r="BM617" s="41" t="n">
        <v>51</v>
      </c>
      <c r="BN617" s="41" t="n">
        <v>63</v>
      </c>
      <c r="BO617" s="42" t="n">
        <v>17</v>
      </c>
      <c r="BP617" s="43" t="n">
        <v>67</v>
      </c>
      <c r="BQ617" s="44" t="n">
        <v>84</v>
      </c>
      <c r="BR617" s="42" t="n">
        <v>19</v>
      </c>
      <c r="BS617" s="80"/>
      <c r="BT617" s="80"/>
      <c r="BU617" s="46" t="n">
        <v>100</v>
      </c>
      <c r="BV617" s="47" t="n">
        <v>86</v>
      </c>
      <c r="BW617" s="42" t="n">
        <v>96</v>
      </c>
      <c r="BX617" s="48" t="n">
        <v>96</v>
      </c>
      <c r="BY617" s="32" t="n">
        <v>14</v>
      </c>
      <c r="BZ617" s="32" t="n">
        <v>45</v>
      </c>
      <c r="CA617" s="69" t="n">
        <v>59</v>
      </c>
      <c r="CB617" s="32" t="n">
        <v>20</v>
      </c>
      <c r="CC617" s="32" t="n">
        <v>40</v>
      </c>
      <c r="CD617" s="32" t="n">
        <v>60</v>
      </c>
      <c r="CE617" s="32" t="n">
        <v>25</v>
      </c>
      <c r="CF617" s="32" t="n">
        <v>37</v>
      </c>
      <c r="CG617" s="32" t="n">
        <v>62</v>
      </c>
      <c r="CH617" s="32" t="n">
        <v>92</v>
      </c>
      <c r="CI617" s="32" t="n">
        <v>96</v>
      </c>
      <c r="CJ617" s="83" t="n">
        <v>5</v>
      </c>
      <c r="CK617" s="60"/>
      <c r="CL617" s="61"/>
      <c r="CM617" s="49" t="n">
        <v>22</v>
      </c>
      <c r="CN617" s="49" t="n">
        <v>47</v>
      </c>
      <c r="CO617" s="49" t="n">
        <v>69</v>
      </c>
      <c r="CP617" s="25" t="n">
        <f aca="false">BX617+BW617+BV617+BU617+BT617+BQ617+BN617</f>
        <v>525</v>
      </c>
      <c r="CQ617" s="25" t="n">
        <f aca="false">CO617+CL617+CI617+CH617+CG617+CD617+CA617</f>
        <v>438</v>
      </c>
      <c r="CR617" s="26" t="n">
        <f aca="false">CP617/7</f>
        <v>75</v>
      </c>
      <c r="CS617" s="26" t="n">
        <f aca="false">CQ617/7</f>
        <v>62.5714285714286</v>
      </c>
      <c r="CT617" s="24" t="n">
        <f aca="false">RANK(CR617,$CR$2:$CR$881,0)</f>
        <v>648</v>
      </c>
      <c r="CU617" s="25" t="n">
        <f aca="false">RANK(CS617,$CS$2:$CS$881,0)</f>
        <v>660</v>
      </c>
      <c r="CV617" s="26" t="n">
        <f aca="false">(CS617+CR617)/2</f>
        <v>68.7857142857143</v>
      </c>
      <c r="CW617" s="25" t="n">
        <f aca="false">RANK(CV617,$CV$2:$CV$881,0)</f>
        <v>648</v>
      </c>
      <c r="CX617" s="50" t="n">
        <f aca="false">(CV617+BB617)/2</f>
        <v>73.0928571428571</v>
      </c>
      <c r="CY617" s="50" t="n">
        <v>588</v>
      </c>
      <c r="CZ617" s="27" t="s">
        <v>132</v>
      </c>
      <c r="DA617" s="27" t="s">
        <v>272</v>
      </c>
      <c r="DB617" s="27" t="s">
        <v>272</v>
      </c>
      <c r="DC617" s="27" t="s">
        <v>134</v>
      </c>
      <c r="DD617" s="27" t="s">
        <v>174</v>
      </c>
      <c r="DE617" s="27" t="s">
        <v>304</v>
      </c>
      <c r="DF617" s="27" t="s">
        <v>443</v>
      </c>
      <c r="DG617" s="27" t="s">
        <v>134</v>
      </c>
      <c r="DH617" s="27" t="s">
        <v>137</v>
      </c>
      <c r="DI617" s="27" t="s">
        <v>447</v>
      </c>
      <c r="DJ617" s="27" t="s">
        <v>272</v>
      </c>
      <c r="DK617" s="27" t="s">
        <v>134</v>
      </c>
      <c r="DL617" s="27" t="s">
        <v>195</v>
      </c>
      <c r="DM617" s="27" t="s">
        <v>442</v>
      </c>
      <c r="DN617" s="27" t="s">
        <v>155</v>
      </c>
      <c r="DO617" s="27" t="s">
        <v>134</v>
      </c>
      <c r="DP617" s="27"/>
      <c r="DQ617" s="27"/>
      <c r="DR617" s="27"/>
      <c r="DS617" s="27"/>
      <c r="DT617" s="27" t="s">
        <v>195</v>
      </c>
      <c r="DU617" s="27" t="s">
        <v>415</v>
      </c>
      <c r="DV617" s="27" t="s">
        <v>143</v>
      </c>
      <c r="DW617" s="27" t="s">
        <v>164</v>
      </c>
      <c r="DX617" s="27" t="s">
        <v>152</v>
      </c>
      <c r="DY617" s="27" t="s">
        <v>170</v>
      </c>
      <c r="DZ617" s="27" t="n">
        <f aca="false">DY617+DV617+DR617+DN617+DJ617+DF617+DB617</f>
        <v>463</v>
      </c>
      <c r="EA617" s="28" t="n">
        <f aca="false">DZ617/7</f>
        <v>66.1428571428571</v>
      </c>
      <c r="EB617" s="27" t="n">
        <f aca="false">RANK(EA617,$EA$2:$EA$881,0)</f>
        <v>717</v>
      </c>
      <c r="EC617" s="29" t="n">
        <f aca="false">DZ617+CQ617+CP617+AZ617</f>
        <v>2200</v>
      </c>
      <c r="ED617" s="30" t="n">
        <f aca="false">(EA617+CV617+BB617)/3</f>
        <v>70.7761904761905</v>
      </c>
      <c r="EE617" s="51" t="n">
        <f aca="false">ROUND(BE617,3)</f>
        <v>85.973</v>
      </c>
      <c r="EF617" s="51" t="n">
        <f aca="false">ROUND(CR617,3)</f>
        <v>75</v>
      </c>
      <c r="EG617" s="51" t="n">
        <f aca="false">ROUND(CS617,3)</f>
        <v>62.571</v>
      </c>
      <c r="EH617" s="51" t="n">
        <f aca="false">ROUND(EA617,3)</f>
        <v>66.143</v>
      </c>
      <c r="EI617" s="51" t="n">
        <f aca="false">ROUND(ED617,3)</f>
        <v>70.776</v>
      </c>
      <c r="EJ617" s="51" t="n">
        <f aca="false">ROUND(CV617,3)</f>
        <v>68.786</v>
      </c>
      <c r="EK617" s="0" t="n">
        <f aca="false">RANK(EI617,$EI$2:$EI$881,0)</f>
        <v>616</v>
      </c>
    </row>
    <row r="618" customFormat="false" ht="15" hidden="false" customHeight="false" outlineLevel="0" collapsed="false">
      <c r="A618" s="4" t="n">
        <v>8928</v>
      </c>
      <c r="B618" s="4" t="n">
        <v>383</v>
      </c>
      <c r="C618" s="27" t="s">
        <v>1817</v>
      </c>
      <c r="D618" s="31" t="n">
        <v>387</v>
      </c>
      <c r="E618" s="32" t="n">
        <v>230419407</v>
      </c>
      <c r="F618" s="8" t="s">
        <v>1818</v>
      </c>
      <c r="G618" s="66" t="s">
        <v>1819</v>
      </c>
      <c r="H618" s="22" t="s">
        <v>129</v>
      </c>
      <c r="I618" s="67" t="s">
        <v>408</v>
      </c>
      <c r="J618" s="32" t="n">
        <v>78</v>
      </c>
      <c r="K618" s="32" t="n">
        <v>55</v>
      </c>
      <c r="L618" s="34" t="n">
        <f aca="false">(K618*70)/100</f>
        <v>38.5</v>
      </c>
      <c r="M618" s="34" t="n">
        <f aca="false">ROUNDUP(L618,0)</f>
        <v>39</v>
      </c>
      <c r="N618" s="32" t="n">
        <v>24</v>
      </c>
      <c r="O618" s="34" t="n">
        <f aca="false">N618+L618</f>
        <v>62.5</v>
      </c>
      <c r="P618" s="34" t="n">
        <f aca="false">N618+M618</f>
        <v>63</v>
      </c>
      <c r="Q618" s="68" t="n">
        <v>39</v>
      </c>
      <c r="R618" s="32" t="n">
        <v>59</v>
      </c>
      <c r="S618" s="34" t="n">
        <f aca="false">(R618*70)/100</f>
        <v>41.3</v>
      </c>
      <c r="T618" s="34" t="n">
        <f aca="false">ROUNDUP(S618,0)</f>
        <v>42</v>
      </c>
      <c r="U618" s="32" t="n">
        <v>26</v>
      </c>
      <c r="V618" s="34" t="n">
        <f aca="false">U618+S618</f>
        <v>67.3</v>
      </c>
      <c r="W618" s="34" t="n">
        <f aca="false">U618+T618</f>
        <v>68</v>
      </c>
      <c r="X618" s="32" t="n">
        <v>58</v>
      </c>
      <c r="Y618" s="34" t="n">
        <f aca="false">(X618*70)/100</f>
        <v>40.6</v>
      </c>
      <c r="Z618" s="34" t="n">
        <f aca="false">ROUNDUP(Y618,0)</f>
        <v>41</v>
      </c>
      <c r="AA618" s="32" t="n">
        <v>25</v>
      </c>
      <c r="AB618" s="34" t="n">
        <f aca="false">AA618+Y618</f>
        <v>65.6</v>
      </c>
      <c r="AC618" s="34" t="n">
        <f aca="false">AA618+Z618</f>
        <v>66</v>
      </c>
      <c r="AD618" s="32" t="n">
        <f aca="false">X618+R618+Q618+K618+J618</f>
        <v>289</v>
      </c>
      <c r="AE618" s="16" t="n">
        <f aca="false">AD618/5</f>
        <v>57.8</v>
      </c>
      <c r="AF618" s="16" t="n">
        <v>62</v>
      </c>
      <c r="AG618" s="16" t="n">
        <v>90</v>
      </c>
      <c r="AH618" s="16" t="n">
        <v>79</v>
      </c>
      <c r="AI618" s="16" t="n">
        <v>93</v>
      </c>
      <c r="AJ618" s="16" t="n">
        <f aca="false">(AI618*70)/100</f>
        <v>65.1</v>
      </c>
      <c r="AK618" s="35" t="n">
        <f aca="false">ROUNDUP(AJ618,0)</f>
        <v>66</v>
      </c>
      <c r="AL618" s="16" t="n">
        <v>20</v>
      </c>
      <c r="AM618" s="16" t="n">
        <f aca="false">AL618+AJ618</f>
        <v>85.1</v>
      </c>
      <c r="AN618" s="16" t="n">
        <f aca="false">AL618+AK618</f>
        <v>86</v>
      </c>
      <c r="AO618" s="16" t="n">
        <v>76</v>
      </c>
      <c r="AP618" s="36" t="n">
        <f aca="false">(AO618*70)/100</f>
        <v>53.2</v>
      </c>
      <c r="AQ618" s="37" t="n">
        <f aca="false">ROUNDUP(AP618,0)</f>
        <v>54</v>
      </c>
      <c r="AR618" s="16" t="n">
        <v>25</v>
      </c>
      <c r="AS618" s="16" t="n">
        <f aca="false">AR618+AP618</f>
        <v>78.2</v>
      </c>
      <c r="AT618" s="16" t="n">
        <f aca="false">AR618+AQ618</f>
        <v>79</v>
      </c>
      <c r="AU618" s="16" t="n">
        <f aca="false">AO618+AF618+AI618+AH618+AG618</f>
        <v>400</v>
      </c>
      <c r="AV618" s="16" t="n">
        <f aca="false">(AO618+AF618+AI618+AH618+AG618)/5</f>
        <v>80</v>
      </c>
      <c r="AW618" s="36" t="n">
        <f aca="false">(AO618+AF618+AI618+AH618+AG618+X618+R618+Q618+K618+J618)</f>
        <v>689</v>
      </c>
      <c r="AX618" s="16" t="n">
        <f aca="false">AW618/10</f>
        <v>68.9</v>
      </c>
      <c r="AY618" s="16" t="n">
        <f aca="false">AS618+AF618+AM618+AH618+AG618+AB618+V618+Q618+O618+J618</f>
        <v>706.7</v>
      </c>
      <c r="AZ618" s="16" t="n">
        <f aca="false">AT618+AF618+AN618+AH618+AG618+AC618+W618+Q618+P618+J618</f>
        <v>710</v>
      </c>
      <c r="BA618" s="16" t="n">
        <f aca="false">AY618/10</f>
        <v>70.67</v>
      </c>
      <c r="BB618" s="16" t="n">
        <f aca="false">AZ618/10</f>
        <v>71</v>
      </c>
      <c r="BC618" s="24" t="n">
        <v>2357</v>
      </c>
      <c r="BD618" s="16" t="n">
        <f aca="false">RANK(AX618,$AX$2:$AX$881,0)</f>
        <v>743</v>
      </c>
      <c r="BE618" s="73" t="n">
        <f aca="false">((BC618*100)/2400)*0.4+(AX618*0.6)</f>
        <v>80.6233333333333</v>
      </c>
      <c r="BF618" s="16" t="n">
        <f aca="false">RANK(BE618,$BE$2:$BE$881,0)</f>
        <v>724</v>
      </c>
      <c r="BG618" s="39" t="n">
        <f aca="false">RANK(BB618,$BB$2:$BB$881,0)</f>
        <v>737</v>
      </c>
      <c r="BH618" s="39" t="n">
        <f aca="false">RANK(BC618,$BC$2:$BC$881,0)</f>
        <v>444</v>
      </c>
      <c r="BI618" s="22" t="s">
        <v>130</v>
      </c>
      <c r="BJ618" s="22" t="s">
        <v>129</v>
      </c>
      <c r="BK618" s="40" t="s">
        <v>702</v>
      </c>
      <c r="BL618" s="41" t="n">
        <v>22</v>
      </c>
      <c r="BM618" s="41" t="n">
        <v>54</v>
      </c>
      <c r="BN618" s="41" t="n">
        <v>76</v>
      </c>
      <c r="BO618" s="42" t="n">
        <v>28</v>
      </c>
      <c r="BP618" s="43" t="n">
        <v>55</v>
      </c>
      <c r="BQ618" s="44" t="n">
        <v>83</v>
      </c>
      <c r="BR618" s="42" t="n">
        <v>25</v>
      </c>
      <c r="BS618" s="45" t="n">
        <v>53</v>
      </c>
      <c r="BT618" s="45" t="n">
        <v>78</v>
      </c>
      <c r="BU618" s="46" t="n">
        <v>100</v>
      </c>
      <c r="BV618" s="47" t="n">
        <v>96</v>
      </c>
      <c r="BW618" s="42" t="n">
        <v>99</v>
      </c>
      <c r="BX618" s="48" t="n">
        <v>86</v>
      </c>
      <c r="BY618" s="32" t="n">
        <v>26</v>
      </c>
      <c r="BZ618" s="32" t="n">
        <v>45</v>
      </c>
      <c r="CA618" s="32" t="n">
        <v>71</v>
      </c>
      <c r="CB618" s="32" t="n">
        <v>27</v>
      </c>
      <c r="CC618" s="32" t="n">
        <v>36</v>
      </c>
      <c r="CD618" s="32" t="n">
        <v>63</v>
      </c>
      <c r="CE618" s="32" t="n">
        <v>28</v>
      </c>
      <c r="CF618" s="32" t="n">
        <v>40</v>
      </c>
      <c r="CG618" s="32" t="n">
        <v>68</v>
      </c>
      <c r="CH618" s="32" t="n">
        <v>96</v>
      </c>
      <c r="CI618" s="32" t="n">
        <v>95</v>
      </c>
      <c r="CJ618" s="49" t="n">
        <v>25</v>
      </c>
      <c r="CK618" s="49" t="n">
        <v>52</v>
      </c>
      <c r="CL618" s="49" t="n">
        <v>77</v>
      </c>
      <c r="CM618" s="49" t="n">
        <v>23</v>
      </c>
      <c r="CN618" s="49" t="n">
        <v>49</v>
      </c>
      <c r="CO618" s="49" t="n">
        <v>72</v>
      </c>
      <c r="CP618" s="25" t="n">
        <f aca="false">BX618+BW618+BV618+BU618+BT618+BQ618+BN618</f>
        <v>618</v>
      </c>
      <c r="CQ618" s="25" t="n">
        <f aca="false">CO618+CL618+CI618+CH618+CG618+CD618+CA618</f>
        <v>542</v>
      </c>
      <c r="CR618" s="26" t="n">
        <f aca="false">CP618/7</f>
        <v>88.2857142857143</v>
      </c>
      <c r="CS618" s="26" t="n">
        <f aca="false">CQ618/7</f>
        <v>77.4285714285714</v>
      </c>
      <c r="CT618" s="24" t="n">
        <f aca="false">RANK(CR618,$CR$2:$CR$881,0)</f>
        <v>287</v>
      </c>
      <c r="CU618" s="25" t="n">
        <f aca="false">RANK(CS618,$CS$2:$CS$881,0)</f>
        <v>354</v>
      </c>
      <c r="CV618" s="26" t="n">
        <f aca="false">(CS618+CR618)/2</f>
        <v>82.8571428571429</v>
      </c>
      <c r="CW618" s="25" t="n">
        <f aca="false">RANK(CV618,$CV$2:$CV$881,0)</f>
        <v>303</v>
      </c>
      <c r="CX618" s="50" t="n">
        <f aca="false">(CV618+BB618)/2</f>
        <v>76.9285714285714</v>
      </c>
      <c r="CY618" s="50" t="n">
        <v>505</v>
      </c>
      <c r="CZ618" s="27" t="s">
        <v>132</v>
      </c>
      <c r="DA618" s="27" t="s">
        <v>175</v>
      </c>
      <c r="DB618" s="27" t="s">
        <v>175</v>
      </c>
      <c r="DC618" s="27" t="s">
        <v>134</v>
      </c>
      <c r="DD618" s="27" t="s">
        <v>154</v>
      </c>
      <c r="DE618" s="27" t="s">
        <v>1388</v>
      </c>
      <c r="DF618" s="27" t="s">
        <v>220</v>
      </c>
      <c r="DG618" s="27" t="s">
        <v>480</v>
      </c>
      <c r="DH618" s="27" t="s">
        <v>137</v>
      </c>
      <c r="DI618" s="27" t="s">
        <v>375</v>
      </c>
      <c r="DJ618" s="27" t="s">
        <v>443</v>
      </c>
      <c r="DK618" s="27" t="s">
        <v>134</v>
      </c>
      <c r="DL618" s="27" t="s">
        <v>137</v>
      </c>
      <c r="DM618" s="27" t="s">
        <v>140</v>
      </c>
      <c r="DN618" s="27" t="s">
        <v>306</v>
      </c>
      <c r="DO618" s="27" t="s">
        <v>480</v>
      </c>
      <c r="DP618" s="27"/>
      <c r="DQ618" s="27"/>
      <c r="DR618" s="27"/>
      <c r="DS618" s="27"/>
      <c r="DT618" s="27" t="s">
        <v>195</v>
      </c>
      <c r="DU618" s="27" t="s">
        <v>195</v>
      </c>
      <c r="DV618" s="27" t="s">
        <v>989</v>
      </c>
      <c r="DW618" s="27" t="s">
        <v>160</v>
      </c>
      <c r="DX618" s="27" t="s">
        <v>141</v>
      </c>
      <c r="DY618" s="27" t="s">
        <v>139</v>
      </c>
      <c r="DZ618" s="27" t="n">
        <f aca="false">DY618+DV618+DR618+DN618+DJ618+DF618+DB618</f>
        <v>409</v>
      </c>
      <c r="EA618" s="28" t="n">
        <f aca="false">DZ618/7</f>
        <v>58.4285714285714</v>
      </c>
      <c r="EB618" s="27" t="n">
        <f aca="false">RANK(EA618,$EA$2:$EA$881,0)</f>
        <v>801</v>
      </c>
      <c r="EC618" s="29" t="n">
        <f aca="false">DZ618+CQ618+CP618+AZ618</f>
        <v>2279</v>
      </c>
      <c r="ED618" s="30" t="n">
        <f aca="false">(EA618+CV618+BB618)/3</f>
        <v>70.7619047619048</v>
      </c>
      <c r="EE618" s="51" t="n">
        <f aca="false">ROUND(BE618,3)</f>
        <v>80.623</v>
      </c>
      <c r="EF618" s="51" t="n">
        <f aca="false">ROUND(CR618,3)</f>
        <v>88.286</v>
      </c>
      <c r="EG618" s="51" t="n">
        <f aca="false">ROUND(CS618,3)</f>
        <v>77.429</v>
      </c>
      <c r="EH618" s="51" t="n">
        <f aca="false">ROUND(EA618,3)</f>
        <v>58.429</v>
      </c>
      <c r="EI618" s="51" t="n">
        <f aca="false">ROUND(ED618,3)</f>
        <v>70.762</v>
      </c>
      <c r="EJ618" s="51" t="n">
        <f aca="false">ROUND(CV618,3)</f>
        <v>82.857</v>
      </c>
      <c r="EK618" s="0" t="n">
        <f aca="false">RANK(EI618,$EI$2:$EI$881,0)</f>
        <v>617</v>
      </c>
    </row>
    <row r="619" customFormat="false" ht="15" hidden="false" customHeight="false" outlineLevel="0" collapsed="false">
      <c r="A619" s="4" t="n">
        <v>1844</v>
      </c>
      <c r="B619" s="4" t="n">
        <v>345</v>
      </c>
      <c r="C619" s="27" t="s">
        <v>1820</v>
      </c>
      <c r="D619" s="31" t="n">
        <v>348</v>
      </c>
      <c r="E619" s="16" t="n">
        <v>230610522</v>
      </c>
      <c r="F619" s="56" t="s">
        <v>1821</v>
      </c>
      <c r="G619" s="22" t="s">
        <v>598</v>
      </c>
      <c r="H619" s="22" t="s">
        <v>558</v>
      </c>
      <c r="I619" s="57"/>
      <c r="J619" s="16" t="n">
        <v>70</v>
      </c>
      <c r="K619" s="16" t="n">
        <v>69</v>
      </c>
      <c r="L619" s="34" t="n">
        <f aca="false">(K619*70)/100</f>
        <v>48.3</v>
      </c>
      <c r="M619" s="34" t="n">
        <f aca="false">ROUNDUP(L619,0)</f>
        <v>49</v>
      </c>
      <c r="N619" s="16" t="n">
        <v>18</v>
      </c>
      <c r="O619" s="34" t="n">
        <f aca="false">N619+L619</f>
        <v>66.3</v>
      </c>
      <c r="P619" s="34" t="n">
        <f aca="false">N619+M619</f>
        <v>67</v>
      </c>
      <c r="Q619" s="16" t="n">
        <v>78</v>
      </c>
      <c r="R619" s="16" t="n">
        <v>79</v>
      </c>
      <c r="S619" s="34" t="n">
        <f aca="false">(R619*70)/100</f>
        <v>55.3</v>
      </c>
      <c r="T619" s="34" t="n">
        <f aca="false">ROUNDUP(S619,0)</f>
        <v>56</v>
      </c>
      <c r="U619" s="16" t="n">
        <v>20</v>
      </c>
      <c r="V619" s="34" t="n">
        <f aca="false">U619+S619</f>
        <v>75.3</v>
      </c>
      <c r="W619" s="34" t="n">
        <f aca="false">U619+T619</f>
        <v>76</v>
      </c>
      <c r="X619" s="16" t="n">
        <v>67</v>
      </c>
      <c r="Y619" s="34" t="n">
        <f aca="false">(X619*70)/100</f>
        <v>46.9</v>
      </c>
      <c r="Z619" s="34" t="n">
        <f aca="false">ROUNDUP(Y619,0)</f>
        <v>47</v>
      </c>
      <c r="AA619" s="16" t="n">
        <v>17</v>
      </c>
      <c r="AB619" s="34" t="n">
        <f aca="false">AA619+Y619</f>
        <v>63.9</v>
      </c>
      <c r="AC619" s="34" t="n">
        <f aca="false">AA619+Z619</f>
        <v>64</v>
      </c>
      <c r="AD619" s="32" t="n">
        <f aca="false">X619+R619+Q619+K619+J619</f>
        <v>363</v>
      </c>
      <c r="AE619" s="16" t="n">
        <f aca="false">AD619/5</f>
        <v>72.6</v>
      </c>
      <c r="AF619" s="16" t="n">
        <v>82</v>
      </c>
      <c r="AG619" s="16" t="n">
        <v>78</v>
      </c>
      <c r="AH619" s="16" t="n">
        <v>88</v>
      </c>
      <c r="AI619" s="16" t="n">
        <v>82</v>
      </c>
      <c r="AJ619" s="16" t="n">
        <f aca="false">(AI619*70)/100</f>
        <v>57.4</v>
      </c>
      <c r="AK619" s="35" t="n">
        <f aca="false">ROUNDUP(AJ619,0)</f>
        <v>58</v>
      </c>
      <c r="AL619" s="16" t="n">
        <v>14</v>
      </c>
      <c r="AM619" s="16" t="n">
        <f aca="false">AL619+AJ619</f>
        <v>71.4</v>
      </c>
      <c r="AN619" s="16" t="n">
        <f aca="false">AL619+AK619</f>
        <v>72</v>
      </c>
      <c r="AO619" s="16" t="n">
        <v>72</v>
      </c>
      <c r="AP619" s="36" t="n">
        <f aca="false">(AO619*70)/100</f>
        <v>50.4</v>
      </c>
      <c r="AQ619" s="37" t="n">
        <f aca="false">ROUNDUP(AP619,0)</f>
        <v>51</v>
      </c>
      <c r="AR619" s="16" t="n">
        <v>21</v>
      </c>
      <c r="AS619" s="16" t="n">
        <f aca="false">AR619+AP619</f>
        <v>71.4</v>
      </c>
      <c r="AT619" s="16" t="n">
        <f aca="false">AR619+AQ619</f>
        <v>72</v>
      </c>
      <c r="AU619" s="16" t="n">
        <f aca="false">AO619+AF619+AI619+AH619+AG619</f>
        <v>402</v>
      </c>
      <c r="AV619" s="16" t="n">
        <f aca="false">(AO619+AF619+AI619+AH619+AG619)/5</f>
        <v>80.4</v>
      </c>
      <c r="AW619" s="36" t="n">
        <f aca="false">(AO619+AF619+AI619+AH619+AG619+X619+R619+Q619+K619+J619)</f>
        <v>765</v>
      </c>
      <c r="AX619" s="16" t="n">
        <f aca="false">AW619/10</f>
        <v>76.5</v>
      </c>
      <c r="AY619" s="16" t="n">
        <f aca="false">AS619+AF619+AM619+AH619+AG619+AB619+V619+Q619+O619+J619</f>
        <v>744.3</v>
      </c>
      <c r="AZ619" s="16" t="n">
        <f aca="false">AT619+AF619+AN619+AH619+AG619+AC619+W619+Q619+P619+J619</f>
        <v>747</v>
      </c>
      <c r="BA619" s="16" t="n">
        <f aca="false">AY619/10</f>
        <v>74.43</v>
      </c>
      <c r="BB619" s="16" t="n">
        <f aca="false">AZ619/10</f>
        <v>74.7</v>
      </c>
      <c r="BC619" s="16" t="n">
        <v>2349</v>
      </c>
      <c r="BD619" s="16" t="n">
        <f aca="false">RANK(AX619,$AX$2:$AX$881,0)</f>
        <v>562</v>
      </c>
      <c r="BE619" s="54" t="n">
        <f aca="false">((BC619*100)/2400)*0.4+(AX619*0.6)</f>
        <v>85.05</v>
      </c>
      <c r="BF619" s="16" t="n">
        <f aca="false">RANK(BE619,$BE$2:$BE$881,0)</f>
        <v>607</v>
      </c>
      <c r="BG619" s="39" t="n">
        <f aca="false">RANK(BB619,$BB$2:$BB$881,0)</f>
        <v>701</v>
      </c>
      <c r="BH619" s="39" t="n">
        <f aca="false">RANK(BC619,$BC$2:$BC$881,0)</f>
        <v>542</v>
      </c>
      <c r="BI619" s="22" t="s">
        <v>130</v>
      </c>
      <c r="BJ619" s="22" t="s">
        <v>129</v>
      </c>
      <c r="BK619" s="22" t="s">
        <v>509</v>
      </c>
      <c r="BL619" s="105" t="n">
        <v>18</v>
      </c>
      <c r="BM619" s="59" t="n">
        <v>57</v>
      </c>
      <c r="BN619" s="59" t="n">
        <v>75</v>
      </c>
      <c r="BO619" s="42" t="n">
        <v>29</v>
      </c>
      <c r="BP619" s="59" t="n">
        <v>45</v>
      </c>
      <c r="BQ619" s="59" t="n">
        <v>74</v>
      </c>
      <c r="BR619" s="74" t="n">
        <v>7</v>
      </c>
      <c r="BS619" s="88" t="n">
        <v>14</v>
      </c>
      <c r="BT619" s="125" t="n">
        <v>21</v>
      </c>
      <c r="BU619" s="88" t="n">
        <v>69</v>
      </c>
      <c r="BV619" s="58" t="n">
        <v>73</v>
      </c>
      <c r="BW619" s="102" t="n">
        <v>96</v>
      </c>
      <c r="BX619" s="88" t="n">
        <v>92</v>
      </c>
      <c r="BY619" s="65" t="n">
        <v>30</v>
      </c>
      <c r="BZ619" s="58" t="n">
        <v>48</v>
      </c>
      <c r="CA619" s="58" t="n">
        <v>78</v>
      </c>
      <c r="CB619" s="59" t="n">
        <v>12</v>
      </c>
      <c r="CC619" s="58" t="n">
        <v>53</v>
      </c>
      <c r="CD619" s="58" t="n">
        <v>65</v>
      </c>
      <c r="CE619" s="58" t="n">
        <v>25</v>
      </c>
      <c r="CF619" s="58" t="n">
        <v>51</v>
      </c>
      <c r="CG619" s="58" t="n">
        <v>76</v>
      </c>
      <c r="CH619" s="58" t="n">
        <v>88</v>
      </c>
      <c r="CI619" s="58" t="n">
        <v>81</v>
      </c>
      <c r="CJ619" s="58" t="n">
        <v>24</v>
      </c>
      <c r="CK619" s="58" t="n">
        <v>57</v>
      </c>
      <c r="CL619" s="59" t="n">
        <v>81</v>
      </c>
      <c r="CM619" s="60"/>
      <c r="CN619" s="60"/>
      <c r="CO619" s="60"/>
      <c r="CP619" s="25" t="n">
        <f aca="false">BX619+BW619+BV619+BU619+BT619+BQ619+BN619</f>
        <v>500</v>
      </c>
      <c r="CQ619" s="25" t="n">
        <f aca="false">CO619+CL619+CI619+CH619+CG619+CD619+CA619</f>
        <v>469</v>
      </c>
      <c r="CR619" s="26" t="n">
        <f aca="false">CP619/7</f>
        <v>71.4285714285714</v>
      </c>
      <c r="CS619" s="26" t="n">
        <f aca="false">CQ619/7</f>
        <v>67</v>
      </c>
      <c r="CT619" s="24" t="n">
        <f aca="false">RANK(CR619,$CR$2:$CR$881,0)</f>
        <v>676</v>
      </c>
      <c r="CU619" s="25" t="n">
        <f aca="false">RANK(CS619,$CS$2:$CS$881,0)</f>
        <v>598</v>
      </c>
      <c r="CV619" s="26" t="n">
        <f aca="false">(CS619+CR619)/2</f>
        <v>69.2142857142857</v>
      </c>
      <c r="CW619" s="25" t="n">
        <f aca="false">RANK(CV619,$CV$2:$CV$881,0)</f>
        <v>643</v>
      </c>
      <c r="CX619" s="50" t="n">
        <f aca="false">(CV619+BB619)/2</f>
        <v>71.9571428571429</v>
      </c>
      <c r="CY619" s="50" t="n">
        <v>854</v>
      </c>
      <c r="CZ619" s="27" t="s">
        <v>132</v>
      </c>
      <c r="DA619" s="27" t="s">
        <v>162</v>
      </c>
      <c r="DB619" s="27" t="s">
        <v>162</v>
      </c>
      <c r="DC619" s="27" t="s">
        <v>134</v>
      </c>
      <c r="DD619" s="27" t="s">
        <v>154</v>
      </c>
      <c r="DE619" s="27" t="s">
        <v>447</v>
      </c>
      <c r="DF619" s="27" t="s">
        <v>443</v>
      </c>
      <c r="DG619" s="27" t="s">
        <v>134</v>
      </c>
      <c r="DH619" s="27" t="s">
        <v>135</v>
      </c>
      <c r="DI619" s="27" t="s">
        <v>415</v>
      </c>
      <c r="DJ619" s="27" t="s">
        <v>398</v>
      </c>
      <c r="DK619" s="27" t="s">
        <v>134</v>
      </c>
      <c r="DL619" s="27" t="s">
        <v>154</v>
      </c>
      <c r="DM619" s="27" t="s">
        <v>313</v>
      </c>
      <c r="DN619" s="27" t="s">
        <v>441</v>
      </c>
      <c r="DO619" s="27" t="s">
        <v>134</v>
      </c>
      <c r="DP619" s="27"/>
      <c r="DQ619" s="27"/>
      <c r="DR619" s="27"/>
      <c r="DS619" s="27"/>
      <c r="DT619" s="27" t="s">
        <v>182</v>
      </c>
      <c r="DU619" s="27" t="s">
        <v>412</v>
      </c>
      <c r="DV619" s="27" t="s">
        <v>441</v>
      </c>
      <c r="DW619" s="27" t="s">
        <v>182</v>
      </c>
      <c r="DX619" s="27" t="s">
        <v>187</v>
      </c>
      <c r="DY619" s="27" t="s">
        <v>153</v>
      </c>
      <c r="DZ619" s="27" t="n">
        <f aca="false">DY619+DV619+DR619+DN619+DJ619+DF619+DB619</f>
        <v>477</v>
      </c>
      <c r="EA619" s="28" t="n">
        <f aca="false">DZ619/7</f>
        <v>68.1428571428571</v>
      </c>
      <c r="EB619" s="27" t="n">
        <f aca="false">RANK(EA619,$EA$2:$EA$881,0)</f>
        <v>691</v>
      </c>
      <c r="EC619" s="29" t="n">
        <f aca="false">DZ619+CQ619+CP619+AZ619</f>
        <v>2193</v>
      </c>
      <c r="ED619" s="30" t="n">
        <f aca="false">(EA619+CV619+BB619)/3</f>
        <v>70.6857142857143</v>
      </c>
      <c r="EE619" s="51" t="n">
        <f aca="false">ROUND(BE619,3)</f>
        <v>85.05</v>
      </c>
      <c r="EF619" s="51" t="n">
        <f aca="false">ROUND(CR619,3)</f>
        <v>71.429</v>
      </c>
      <c r="EG619" s="51" t="n">
        <f aca="false">ROUND(CS619,3)</f>
        <v>67</v>
      </c>
      <c r="EH619" s="51" t="n">
        <f aca="false">ROUND(EA619,3)</f>
        <v>68.143</v>
      </c>
      <c r="EI619" s="51" t="n">
        <f aca="false">ROUND(ED619,3)</f>
        <v>70.686</v>
      </c>
      <c r="EJ619" s="51" t="n">
        <f aca="false">ROUND(CV619,3)</f>
        <v>69.214</v>
      </c>
      <c r="EK619" s="0" t="n">
        <f aca="false">RANK(EI619,$EI$2:$EI$881,0)</f>
        <v>618</v>
      </c>
    </row>
    <row r="620" customFormat="false" ht="15" hidden="false" customHeight="false" outlineLevel="0" collapsed="false">
      <c r="A620" s="4" t="n">
        <v>8883</v>
      </c>
      <c r="B620" s="4" t="n">
        <v>255</v>
      </c>
      <c r="C620" s="27" t="s">
        <v>1822</v>
      </c>
      <c r="D620" s="31" t="n">
        <v>257</v>
      </c>
      <c r="E620" s="32" t="n">
        <v>230324829</v>
      </c>
      <c r="F620" s="8" t="s">
        <v>1823</v>
      </c>
      <c r="G620" s="22" t="s">
        <v>1824</v>
      </c>
      <c r="H620" s="22" t="s">
        <v>129</v>
      </c>
      <c r="I620" s="33" t="n">
        <v>2005</v>
      </c>
      <c r="J620" s="32" t="n">
        <v>63</v>
      </c>
      <c r="K620" s="32" t="n">
        <v>69</v>
      </c>
      <c r="L620" s="34" t="n">
        <f aca="false">(K620*70)/100</f>
        <v>48.3</v>
      </c>
      <c r="M620" s="34" t="n">
        <f aca="false">ROUNDUP(L620,0)</f>
        <v>49</v>
      </c>
      <c r="N620" s="32" t="n">
        <v>26</v>
      </c>
      <c r="O620" s="34" t="n">
        <f aca="false">N620+L620</f>
        <v>74.3</v>
      </c>
      <c r="P620" s="34" t="n">
        <f aca="false">N620+M620</f>
        <v>75</v>
      </c>
      <c r="Q620" s="70" t="n">
        <v>57</v>
      </c>
      <c r="R620" s="32" t="n">
        <v>67</v>
      </c>
      <c r="S620" s="34" t="n">
        <f aca="false">(R620*70)/100</f>
        <v>46.9</v>
      </c>
      <c r="T620" s="34" t="n">
        <f aca="false">ROUNDUP(S620,0)</f>
        <v>47</v>
      </c>
      <c r="U620" s="32" t="n">
        <v>24</v>
      </c>
      <c r="V620" s="34" t="n">
        <f aca="false">U620+S620</f>
        <v>70.9</v>
      </c>
      <c r="W620" s="34" t="n">
        <f aca="false">U620+T620</f>
        <v>71</v>
      </c>
      <c r="X620" s="32" t="n">
        <v>60</v>
      </c>
      <c r="Y620" s="34" t="n">
        <f aca="false">(X620*70)/100</f>
        <v>42</v>
      </c>
      <c r="Z620" s="34" t="n">
        <f aca="false">ROUNDUP(Y620,0)</f>
        <v>42</v>
      </c>
      <c r="AA620" s="32" t="n">
        <v>24</v>
      </c>
      <c r="AB620" s="34" t="n">
        <f aca="false">AA620+Y620</f>
        <v>66</v>
      </c>
      <c r="AC620" s="34" t="n">
        <f aca="false">AA620+Z620</f>
        <v>66</v>
      </c>
      <c r="AD620" s="32" t="n">
        <f aca="false">X620+R620+Q620+K620+J620</f>
        <v>316</v>
      </c>
      <c r="AE620" s="16" t="n">
        <f aca="false">AD620/5</f>
        <v>63.2</v>
      </c>
      <c r="AF620" s="16" t="n">
        <v>71</v>
      </c>
      <c r="AG620" s="16" t="n">
        <v>75</v>
      </c>
      <c r="AH620" s="16" t="n">
        <v>85</v>
      </c>
      <c r="AI620" s="16" t="n">
        <v>86</v>
      </c>
      <c r="AJ620" s="16" t="n">
        <f aca="false">(AI620*70)/100</f>
        <v>60.2</v>
      </c>
      <c r="AK620" s="35" t="n">
        <f aca="false">ROUNDUP(AJ620,0)</f>
        <v>61</v>
      </c>
      <c r="AL620" s="16" t="n">
        <v>20</v>
      </c>
      <c r="AM620" s="16" t="n">
        <f aca="false">AL620+AJ620</f>
        <v>80.2</v>
      </c>
      <c r="AN620" s="16" t="n">
        <f aca="false">AL620+AK620</f>
        <v>81</v>
      </c>
      <c r="AO620" s="16" t="n">
        <v>68</v>
      </c>
      <c r="AP620" s="36" t="n">
        <f aca="false">(AO620*70)/100</f>
        <v>47.6</v>
      </c>
      <c r="AQ620" s="37" t="n">
        <f aca="false">ROUNDUP(AP620,0)</f>
        <v>48</v>
      </c>
      <c r="AR620" s="16" t="n">
        <v>28</v>
      </c>
      <c r="AS620" s="16" t="n">
        <f aca="false">AR620+AP620</f>
        <v>75.6</v>
      </c>
      <c r="AT620" s="16" t="n">
        <f aca="false">AR620+AQ620</f>
        <v>76</v>
      </c>
      <c r="AU620" s="16" t="n">
        <f aca="false">AO620+AF620+AI620+AH620+AG620</f>
        <v>385</v>
      </c>
      <c r="AV620" s="16" t="n">
        <f aca="false">(AO620+AF620+AI620+AH620+AG620)/5</f>
        <v>77</v>
      </c>
      <c r="AW620" s="36" t="n">
        <f aca="false">(AO620+AF620+AI620+AH620+AG620+X620+R620+Q620+K620+J620)</f>
        <v>701</v>
      </c>
      <c r="AX620" s="16" t="n">
        <f aca="false">AW620/10</f>
        <v>70.1</v>
      </c>
      <c r="AY620" s="16" t="n">
        <f aca="false">AS620+AF620+AM620+AH620+AG620+AB620+V620+Q620+O620+J620</f>
        <v>718</v>
      </c>
      <c r="AZ620" s="16" t="n">
        <f aca="false">AT620+AF620+AN620+AH620+AG620+AC620+W620+Q620+P620+J620</f>
        <v>720</v>
      </c>
      <c r="BA620" s="16" t="n">
        <f aca="false">AY620/10</f>
        <v>71.8</v>
      </c>
      <c r="BB620" s="16" t="n">
        <f aca="false">AZ620/10</f>
        <v>72</v>
      </c>
      <c r="BC620" s="16" t="n">
        <v>2359</v>
      </c>
      <c r="BD620" s="16" t="n">
        <f aca="false">RANK(AX620,$AX$2:$AX$881,0)</f>
        <v>735</v>
      </c>
      <c r="BE620" s="73" t="n">
        <f aca="false">((BC620*100)/2400)*0.4+(AX620*0.6)</f>
        <v>81.3766666666667</v>
      </c>
      <c r="BF620" s="16" t="n">
        <f aca="false">RANK(BE620,$BE$2:$BE$881,0)</f>
        <v>717</v>
      </c>
      <c r="BG620" s="39" t="n">
        <f aca="false">RANK(BB620,$BB$2:$BB$881,0)</f>
        <v>727</v>
      </c>
      <c r="BH620" s="39" t="n">
        <f aca="false">RANK(BC620,$BC$2:$BC$881,0)</f>
        <v>414</v>
      </c>
      <c r="BI620" s="22" t="s">
        <v>130</v>
      </c>
      <c r="BJ620" s="22" t="s">
        <v>129</v>
      </c>
      <c r="BK620" s="40" t="s">
        <v>702</v>
      </c>
      <c r="BL620" s="41" t="n">
        <v>18</v>
      </c>
      <c r="BM620" s="41" t="n">
        <v>37</v>
      </c>
      <c r="BN620" s="98" t="n">
        <v>55</v>
      </c>
      <c r="BO620" s="42" t="n">
        <v>16</v>
      </c>
      <c r="BP620" s="43" t="n">
        <v>48</v>
      </c>
      <c r="BQ620" s="44" t="n">
        <v>64</v>
      </c>
      <c r="BR620" s="42" t="n">
        <v>19</v>
      </c>
      <c r="BS620" s="45" t="n">
        <v>51</v>
      </c>
      <c r="BT620" s="45" t="n">
        <v>70</v>
      </c>
      <c r="BU620" s="46" t="n">
        <v>96</v>
      </c>
      <c r="BV620" s="47" t="n">
        <v>80</v>
      </c>
      <c r="BW620" s="42" t="n">
        <v>90</v>
      </c>
      <c r="BX620" s="48" t="n">
        <v>88</v>
      </c>
      <c r="BY620" s="32" t="n">
        <v>22</v>
      </c>
      <c r="BZ620" s="32" t="n">
        <v>39</v>
      </c>
      <c r="CA620" s="32" t="n">
        <v>61</v>
      </c>
      <c r="CB620" s="32" t="n">
        <v>17</v>
      </c>
      <c r="CC620" s="32" t="n">
        <v>30</v>
      </c>
      <c r="CD620" s="69" t="n">
        <v>47</v>
      </c>
      <c r="CE620" s="32" t="n">
        <v>17</v>
      </c>
      <c r="CF620" s="32" t="n">
        <v>40</v>
      </c>
      <c r="CG620" s="69" t="n">
        <v>57</v>
      </c>
      <c r="CH620" s="32" t="n">
        <v>90</v>
      </c>
      <c r="CI620" s="32" t="n">
        <v>79</v>
      </c>
      <c r="CJ620" s="49" t="n">
        <v>19</v>
      </c>
      <c r="CK620" s="49" t="n">
        <v>46</v>
      </c>
      <c r="CL620" s="49" t="n">
        <v>65</v>
      </c>
      <c r="CM620" s="49" t="n">
        <v>17</v>
      </c>
      <c r="CN620" s="49" t="n">
        <v>45</v>
      </c>
      <c r="CO620" s="49" t="n">
        <v>62</v>
      </c>
      <c r="CP620" s="25" t="n">
        <f aca="false">BX620+BW620+BV620+BU620+BT620+BQ620+BN620</f>
        <v>543</v>
      </c>
      <c r="CQ620" s="25" t="n">
        <f aca="false">CO620+CL620+CI620+CH620+CG620+CD620+CA620</f>
        <v>461</v>
      </c>
      <c r="CR620" s="26" t="n">
        <f aca="false">CP620/7</f>
        <v>77.5714285714286</v>
      </c>
      <c r="CS620" s="26" t="n">
        <f aca="false">CQ620/7</f>
        <v>65.8571428571429</v>
      </c>
      <c r="CT620" s="24" t="n">
        <f aca="false">RANK(CR620,$CR$2:$CR$881,0)</f>
        <v>618</v>
      </c>
      <c r="CU620" s="25" t="n">
        <f aca="false">RANK(CS620,$CS$2:$CS$881,0)</f>
        <v>615</v>
      </c>
      <c r="CV620" s="26" t="n">
        <f aca="false">(CS620+CR620)/2</f>
        <v>71.7142857142857</v>
      </c>
      <c r="CW620" s="25" t="n">
        <f aca="false">RANK(CV620,$CV$2:$CV$881,0)</f>
        <v>617</v>
      </c>
      <c r="CX620" s="50" t="n">
        <f aca="false">(CV620+BB620)/2</f>
        <v>71.8571428571429</v>
      </c>
      <c r="CY620" s="50" t="n">
        <v>599</v>
      </c>
      <c r="CZ620" s="27" t="s">
        <v>132</v>
      </c>
      <c r="DA620" s="27" t="s">
        <v>272</v>
      </c>
      <c r="DB620" s="27" t="s">
        <v>272</v>
      </c>
      <c r="DC620" s="27" t="s">
        <v>134</v>
      </c>
      <c r="DD620" s="27" t="s">
        <v>264</v>
      </c>
      <c r="DE620" s="27" t="s">
        <v>183</v>
      </c>
      <c r="DF620" s="27" t="s">
        <v>382</v>
      </c>
      <c r="DG620" s="27" t="s">
        <v>134</v>
      </c>
      <c r="DH620" s="27" t="s">
        <v>264</v>
      </c>
      <c r="DI620" s="27" t="s">
        <v>183</v>
      </c>
      <c r="DJ620" s="27" t="s">
        <v>382</v>
      </c>
      <c r="DK620" s="27" t="s">
        <v>134</v>
      </c>
      <c r="DL620" s="27" t="s">
        <v>264</v>
      </c>
      <c r="DM620" s="27" t="s">
        <v>220</v>
      </c>
      <c r="DN620" s="27" t="s">
        <v>441</v>
      </c>
      <c r="DO620" s="27" t="s">
        <v>134</v>
      </c>
      <c r="DP620" s="27"/>
      <c r="DQ620" s="27"/>
      <c r="DR620" s="27"/>
      <c r="DS620" s="27"/>
      <c r="DT620" s="27" t="s">
        <v>164</v>
      </c>
      <c r="DU620" s="27" t="s">
        <v>412</v>
      </c>
      <c r="DV620" s="27" t="s">
        <v>305</v>
      </c>
      <c r="DW620" s="27" t="s">
        <v>154</v>
      </c>
      <c r="DX620" s="27" t="s">
        <v>138</v>
      </c>
      <c r="DY620" s="27" t="s">
        <v>176</v>
      </c>
      <c r="DZ620" s="27" t="n">
        <f aca="false">DY620+DV620+DR620+DN620+DJ620+DF620+DB620</f>
        <v>478</v>
      </c>
      <c r="EA620" s="28" t="n">
        <f aca="false">DZ620/7</f>
        <v>68.2857142857143</v>
      </c>
      <c r="EB620" s="27" t="n">
        <f aca="false">RANK(EA620,$EA$2:$EA$881,0)</f>
        <v>687</v>
      </c>
      <c r="EC620" s="29" t="n">
        <f aca="false">DZ620+CQ620+CP620+AZ620</f>
        <v>2202</v>
      </c>
      <c r="ED620" s="30" t="n">
        <f aca="false">(EA620+CV620+BB620)/3</f>
        <v>70.6666666666667</v>
      </c>
      <c r="EE620" s="51" t="n">
        <f aca="false">ROUND(BE620,3)</f>
        <v>81.377</v>
      </c>
      <c r="EF620" s="51" t="n">
        <f aca="false">ROUND(CR620,3)</f>
        <v>77.571</v>
      </c>
      <c r="EG620" s="51" t="n">
        <f aca="false">ROUND(CS620,3)</f>
        <v>65.857</v>
      </c>
      <c r="EH620" s="51" t="n">
        <f aca="false">ROUND(EA620,3)</f>
        <v>68.286</v>
      </c>
      <c r="EI620" s="51" t="n">
        <f aca="false">ROUND(ED620,3)</f>
        <v>70.667</v>
      </c>
      <c r="EJ620" s="51" t="n">
        <f aca="false">ROUND(CV620,3)</f>
        <v>71.714</v>
      </c>
      <c r="EK620" s="0" t="n">
        <f aca="false">RANK(EI620,$EI$2:$EI$881,0)</f>
        <v>619</v>
      </c>
    </row>
    <row r="621" customFormat="false" ht="33.7" hidden="false" customHeight="false" outlineLevel="0" collapsed="false">
      <c r="A621" s="4" t="n">
        <v>8972</v>
      </c>
      <c r="B621" s="4" t="n">
        <v>666</v>
      </c>
      <c r="C621" s="27" t="s">
        <v>1825</v>
      </c>
      <c r="D621" s="31" t="n">
        <v>679</v>
      </c>
      <c r="E621" s="16" t="n">
        <v>230119859</v>
      </c>
      <c r="F621" s="56" t="s">
        <v>1826</v>
      </c>
      <c r="G621" s="22" t="s">
        <v>1827</v>
      </c>
      <c r="H621" s="22" t="s">
        <v>326</v>
      </c>
      <c r="I621" s="57"/>
      <c r="J621" s="16" t="n">
        <v>82</v>
      </c>
      <c r="K621" s="16" t="n">
        <v>75</v>
      </c>
      <c r="L621" s="34" t="n">
        <f aca="false">(K621*70)/100</f>
        <v>52.5</v>
      </c>
      <c r="M621" s="34" t="n">
        <f aca="false">ROUNDUP(L621,0)</f>
        <v>53</v>
      </c>
      <c r="N621" s="16" t="n">
        <v>21</v>
      </c>
      <c r="O621" s="34" t="n">
        <f aca="false">N621+L621</f>
        <v>73.5</v>
      </c>
      <c r="P621" s="34" t="n">
        <f aca="false">N621+M621</f>
        <v>74</v>
      </c>
      <c r="Q621" s="16" t="n">
        <v>79</v>
      </c>
      <c r="R621" s="16" t="n">
        <v>79</v>
      </c>
      <c r="S621" s="34" t="n">
        <f aca="false">(R621*70)/100</f>
        <v>55.3</v>
      </c>
      <c r="T621" s="34" t="n">
        <f aca="false">ROUNDUP(S621,0)</f>
        <v>56</v>
      </c>
      <c r="U621" s="16" t="n">
        <v>26</v>
      </c>
      <c r="V621" s="34" t="n">
        <f aca="false">U621+S621</f>
        <v>81.3</v>
      </c>
      <c r="W621" s="34" t="n">
        <f aca="false">U621+T621</f>
        <v>82</v>
      </c>
      <c r="X621" s="16" t="n">
        <v>73</v>
      </c>
      <c r="Y621" s="34" t="n">
        <f aca="false">(X621*70)/100</f>
        <v>51.1</v>
      </c>
      <c r="Z621" s="34" t="n">
        <f aca="false">ROUNDUP(Y621,0)</f>
        <v>52</v>
      </c>
      <c r="AA621" s="16" t="n">
        <v>28</v>
      </c>
      <c r="AB621" s="34" t="n">
        <f aca="false">AA621+Y621</f>
        <v>79.1</v>
      </c>
      <c r="AC621" s="34" t="n">
        <f aca="false">AA621+Z621</f>
        <v>80</v>
      </c>
      <c r="AD621" s="32" t="n">
        <f aca="false">X621+R621+Q621+K621+J621</f>
        <v>388</v>
      </c>
      <c r="AE621" s="16" t="n">
        <f aca="false">AD621/5</f>
        <v>77.6</v>
      </c>
      <c r="AF621" s="16" t="n">
        <v>75</v>
      </c>
      <c r="AG621" s="16" t="n">
        <v>95</v>
      </c>
      <c r="AH621" s="16" t="n">
        <v>91</v>
      </c>
      <c r="AI621" s="16" t="n">
        <v>80</v>
      </c>
      <c r="AJ621" s="16" t="n">
        <f aca="false">(AI621*70)/100</f>
        <v>56</v>
      </c>
      <c r="AK621" s="35" t="n">
        <f aca="false">ROUNDUP(AJ621,0)</f>
        <v>56</v>
      </c>
      <c r="AL621" s="16" t="n">
        <v>29</v>
      </c>
      <c r="AM621" s="16" t="n">
        <f aca="false">AL621+AJ621</f>
        <v>85</v>
      </c>
      <c r="AN621" s="16" t="n">
        <f aca="false">AL621+AK621</f>
        <v>85</v>
      </c>
      <c r="AO621" s="16" t="n">
        <v>80</v>
      </c>
      <c r="AP621" s="36" t="n">
        <f aca="false">(AO621*70)/100</f>
        <v>56</v>
      </c>
      <c r="AQ621" s="37" t="n">
        <f aca="false">ROUNDUP(AP621,0)</f>
        <v>56</v>
      </c>
      <c r="AR621" s="16" t="n">
        <v>29</v>
      </c>
      <c r="AS621" s="16" t="n">
        <f aca="false">AR621+AP621</f>
        <v>85</v>
      </c>
      <c r="AT621" s="16" t="n">
        <f aca="false">AR621+AQ621</f>
        <v>85</v>
      </c>
      <c r="AU621" s="16" t="n">
        <f aca="false">AO621+AF621+AI621+AH621+AG621</f>
        <v>421</v>
      </c>
      <c r="AV621" s="16" t="n">
        <f aca="false">(AO621+AF621+AI621+AH621+AG621)/5</f>
        <v>84.2</v>
      </c>
      <c r="AW621" s="36" t="n">
        <f aca="false">(AO621+AF621+AI621+AH621+AG621+X621+R621+Q621+K621+J621)</f>
        <v>809</v>
      </c>
      <c r="AX621" s="16" t="n">
        <f aca="false">AW621/10</f>
        <v>80.9</v>
      </c>
      <c r="AY621" s="16" t="n">
        <f aca="false">AS621+AF621+AM621+AH621+AG621+AB621+V621+Q621+O621+J621</f>
        <v>825.9</v>
      </c>
      <c r="AZ621" s="16" t="n">
        <f aca="false">AT621+AF621+AN621+AH621+AG621+AC621+W621+Q621+P621+J621</f>
        <v>828</v>
      </c>
      <c r="BA621" s="16" t="n">
        <f aca="false">AY621/10</f>
        <v>82.59</v>
      </c>
      <c r="BB621" s="16" t="n">
        <f aca="false">AZ621/10</f>
        <v>82.8</v>
      </c>
      <c r="BC621" s="16" t="n">
        <v>2359</v>
      </c>
      <c r="BD621" s="16" t="n">
        <f aca="false">RANK(AX621,$AX$2:$AX$881,0)</f>
        <v>213</v>
      </c>
      <c r="BE621" s="54" t="n">
        <f aca="false">((BC621*100)/2400)*0.4+(AX621*0.6)</f>
        <v>87.8566666666667</v>
      </c>
      <c r="BF621" s="16" t="n">
        <f aca="false">RANK(BE621,$BE$2:$BE$881,0)</f>
        <v>218</v>
      </c>
      <c r="BG621" s="39" t="n">
        <f aca="false">RANK(BB621,$BB$2:$BB$881,0)</f>
        <v>169</v>
      </c>
      <c r="BH621" s="39" t="n">
        <f aca="false">RANK(BC621,$BC$2:$BC$881,0)</f>
        <v>414</v>
      </c>
      <c r="BI621" s="22" t="s">
        <v>130</v>
      </c>
      <c r="BJ621" s="22" t="s">
        <v>129</v>
      </c>
      <c r="BK621" s="40" t="s">
        <v>131</v>
      </c>
      <c r="BL621" s="41" t="n">
        <v>22</v>
      </c>
      <c r="BM621" s="41" t="n">
        <v>58</v>
      </c>
      <c r="BN621" s="41" t="n">
        <v>80</v>
      </c>
      <c r="BO621" s="42" t="n">
        <v>26</v>
      </c>
      <c r="BP621" s="43" t="n">
        <v>67</v>
      </c>
      <c r="BQ621" s="44" t="n">
        <v>93</v>
      </c>
      <c r="BR621" s="42" t="n">
        <v>21</v>
      </c>
      <c r="BS621" s="45" t="n">
        <v>58</v>
      </c>
      <c r="BT621" s="45" t="n">
        <v>79</v>
      </c>
      <c r="BU621" s="46" t="n">
        <v>100</v>
      </c>
      <c r="BV621" s="47" t="n">
        <v>84</v>
      </c>
      <c r="BW621" s="42" t="n">
        <v>100</v>
      </c>
      <c r="BX621" s="48" t="n">
        <v>90</v>
      </c>
      <c r="BY621" s="32" t="n">
        <v>24</v>
      </c>
      <c r="BZ621" s="32" t="n">
        <v>44</v>
      </c>
      <c r="CA621" s="32" t="n">
        <v>68</v>
      </c>
      <c r="CB621" s="32" t="n">
        <v>20</v>
      </c>
      <c r="CC621" s="32" t="n">
        <v>45</v>
      </c>
      <c r="CD621" s="32" t="n">
        <v>65</v>
      </c>
      <c r="CE621" s="32" t="n">
        <v>24</v>
      </c>
      <c r="CF621" s="32" t="n">
        <v>55</v>
      </c>
      <c r="CG621" s="32" t="n">
        <v>79</v>
      </c>
      <c r="CH621" s="32" t="n">
        <v>96</v>
      </c>
      <c r="CI621" s="32" t="n">
        <v>100</v>
      </c>
      <c r="CJ621" s="49" t="n">
        <v>22</v>
      </c>
      <c r="CK621" s="49" t="n">
        <v>51</v>
      </c>
      <c r="CL621" s="49" t="n">
        <v>73</v>
      </c>
      <c r="CM621" s="49" t="n">
        <v>25</v>
      </c>
      <c r="CN621" s="49" t="n">
        <v>50</v>
      </c>
      <c r="CO621" s="49" t="n">
        <v>75</v>
      </c>
      <c r="CP621" s="25" t="n">
        <f aca="false">BX621+BW621+BV621+BU621+BT621+BQ621+BN621</f>
        <v>626</v>
      </c>
      <c r="CQ621" s="25" t="n">
        <f aca="false">CO621+CL621+CI621+CH621+CG621+CD621+CA621</f>
        <v>556</v>
      </c>
      <c r="CR621" s="26" t="n">
        <f aca="false">CP621/7</f>
        <v>89.4285714285714</v>
      </c>
      <c r="CS621" s="26" t="n">
        <f aca="false">CQ621/7</f>
        <v>79.4285714285714</v>
      </c>
      <c r="CT621" s="24" t="n">
        <f aca="false">RANK(CR621,$CR$2:$CR$881,0)</f>
        <v>217</v>
      </c>
      <c r="CU621" s="25" t="n">
        <f aca="false">RANK(CS621,$CS$2:$CS$881,0)</f>
        <v>287</v>
      </c>
      <c r="CV621" s="26" t="n">
        <f aca="false">(CS621+CR621)/2</f>
        <v>84.4285714285714</v>
      </c>
      <c r="CW621" s="25" t="n">
        <f aca="false">RANK(CV621,$CV$2:$CV$881,0)</f>
        <v>243</v>
      </c>
      <c r="CX621" s="50" t="n">
        <f aca="false">(CV621+BB621)/2</f>
        <v>83.6142857142857</v>
      </c>
      <c r="CY621" s="50" t="n">
        <v>184</v>
      </c>
      <c r="CZ621" s="27" t="s">
        <v>132</v>
      </c>
      <c r="DA621" s="27" t="s">
        <v>175</v>
      </c>
      <c r="DB621" s="27" t="s">
        <v>175</v>
      </c>
      <c r="DC621" s="27" t="s">
        <v>134</v>
      </c>
      <c r="DD621" s="27"/>
      <c r="DE621" s="27"/>
      <c r="DF621" s="27"/>
      <c r="DG621" s="27"/>
      <c r="DH621" s="27" t="s">
        <v>164</v>
      </c>
      <c r="DI621" s="27" t="s">
        <v>447</v>
      </c>
      <c r="DJ621" s="27" t="s">
        <v>219</v>
      </c>
      <c r="DK621" s="27" t="s">
        <v>134</v>
      </c>
      <c r="DL621" s="27" t="s">
        <v>182</v>
      </c>
      <c r="DM621" s="27" t="s">
        <v>989</v>
      </c>
      <c r="DN621" s="27" t="s">
        <v>187</v>
      </c>
      <c r="DO621" s="27" t="s">
        <v>134</v>
      </c>
      <c r="DP621" s="27"/>
      <c r="DQ621" s="27"/>
      <c r="DR621" s="27"/>
      <c r="DS621" s="27"/>
      <c r="DT621" s="27"/>
      <c r="DU621" s="27"/>
      <c r="DV621" s="27"/>
      <c r="DW621" s="27" t="s">
        <v>386</v>
      </c>
      <c r="DX621" s="27" t="s">
        <v>177</v>
      </c>
      <c r="DY621" s="27" t="s">
        <v>305</v>
      </c>
      <c r="DZ621" s="27" t="n">
        <f aca="false">DY621+DV621+DR621+DN621+DJ621+DF621+DB621</f>
        <v>309</v>
      </c>
      <c r="EA621" s="28" t="n">
        <f aca="false">DZ621/7</f>
        <v>44.1428571428571</v>
      </c>
      <c r="EB621" s="27" t="n">
        <f aca="false">RANK(EA621,$EA$2:$EA$881,0)</f>
        <v>854</v>
      </c>
      <c r="EC621" s="29" t="n">
        <f aca="false">DZ621+CQ621+CP621+AZ621</f>
        <v>2319</v>
      </c>
      <c r="ED621" s="30" t="n">
        <f aca="false">(EA621+CV621+BB621)/3</f>
        <v>70.4571428571429</v>
      </c>
      <c r="EE621" s="51" t="n">
        <f aca="false">ROUND(BE621,3)</f>
        <v>87.857</v>
      </c>
      <c r="EF621" s="51" t="n">
        <f aca="false">ROUND(CR621,3)</f>
        <v>89.429</v>
      </c>
      <c r="EG621" s="51" t="n">
        <f aca="false">ROUND(CS621,3)</f>
        <v>79.429</v>
      </c>
      <c r="EH621" s="51" t="n">
        <f aca="false">ROUND(EA621,3)</f>
        <v>44.143</v>
      </c>
      <c r="EI621" s="51" t="n">
        <f aca="false">ROUND(ED621,3)</f>
        <v>70.457</v>
      </c>
      <c r="EJ621" s="51" t="n">
        <f aca="false">ROUND(CV621,3)</f>
        <v>84.429</v>
      </c>
      <c r="EK621" s="0" t="n">
        <f aca="false">RANK(EI621,$EI$2:$EI$881,0)</f>
        <v>620</v>
      </c>
    </row>
    <row r="622" customFormat="false" ht="15" hidden="false" customHeight="false" outlineLevel="0" collapsed="false">
      <c r="A622" s="4" t="n">
        <v>9064</v>
      </c>
      <c r="B622" s="4" t="n">
        <v>645</v>
      </c>
      <c r="C622" s="27" t="s">
        <v>1828</v>
      </c>
      <c r="D622" s="31" t="n">
        <v>654</v>
      </c>
      <c r="E622" s="16" t="n">
        <v>230617988</v>
      </c>
      <c r="F622" s="56" t="s">
        <v>1829</v>
      </c>
      <c r="G622" s="22" t="s">
        <v>1830</v>
      </c>
      <c r="H622" s="22" t="s">
        <v>558</v>
      </c>
      <c r="I622" s="57"/>
      <c r="J622" s="16" t="n">
        <v>70</v>
      </c>
      <c r="K622" s="16" t="n">
        <v>55</v>
      </c>
      <c r="L622" s="34" t="n">
        <f aca="false">(K622*70)/100</f>
        <v>38.5</v>
      </c>
      <c r="M622" s="34" t="n">
        <f aca="false">ROUNDUP(L622,0)</f>
        <v>39</v>
      </c>
      <c r="N622" s="16" t="n">
        <v>22</v>
      </c>
      <c r="O622" s="34" t="n">
        <f aca="false">N622+L622</f>
        <v>60.5</v>
      </c>
      <c r="P622" s="34" t="n">
        <f aca="false">N622+M622</f>
        <v>61</v>
      </c>
      <c r="Q622" s="16" t="n">
        <v>63</v>
      </c>
      <c r="R622" s="16" t="n">
        <v>67</v>
      </c>
      <c r="S622" s="34" t="n">
        <f aca="false">(R622*70)/100</f>
        <v>46.9</v>
      </c>
      <c r="T622" s="34" t="n">
        <f aca="false">ROUNDUP(S622,0)</f>
        <v>47</v>
      </c>
      <c r="U622" s="16" t="n">
        <v>27</v>
      </c>
      <c r="V622" s="34" t="n">
        <f aca="false">U622+S622</f>
        <v>73.9</v>
      </c>
      <c r="W622" s="34" t="n">
        <f aca="false">U622+T622</f>
        <v>74</v>
      </c>
      <c r="X622" s="16" t="n">
        <v>55</v>
      </c>
      <c r="Y622" s="34" t="n">
        <f aca="false">(X622*70)/100</f>
        <v>38.5</v>
      </c>
      <c r="Z622" s="34" t="n">
        <f aca="false">ROUNDUP(Y622,0)</f>
        <v>39</v>
      </c>
      <c r="AA622" s="16" t="n">
        <v>24</v>
      </c>
      <c r="AB622" s="34" t="n">
        <f aca="false">AA622+Y622</f>
        <v>62.5</v>
      </c>
      <c r="AC622" s="34" t="n">
        <f aca="false">AA622+Z622</f>
        <v>63</v>
      </c>
      <c r="AD622" s="32" t="n">
        <f aca="false">X622+R622+Q622+K622+J622</f>
        <v>310</v>
      </c>
      <c r="AE622" s="16" t="n">
        <f aca="false">AD622/5</f>
        <v>62</v>
      </c>
      <c r="AF622" s="16" t="n">
        <v>60</v>
      </c>
      <c r="AG622" s="16" t="n">
        <v>66</v>
      </c>
      <c r="AH622" s="16" t="n">
        <v>73</v>
      </c>
      <c r="AI622" s="16" t="n">
        <v>82</v>
      </c>
      <c r="AJ622" s="16" t="n">
        <f aca="false">(AI622*70)/100</f>
        <v>57.4</v>
      </c>
      <c r="AK622" s="35" t="n">
        <f aca="false">ROUNDUP(AJ622,0)</f>
        <v>58</v>
      </c>
      <c r="AL622" s="16" t="n">
        <v>27</v>
      </c>
      <c r="AM622" s="16" t="n">
        <f aca="false">AL622+AJ622</f>
        <v>84.4</v>
      </c>
      <c r="AN622" s="16" t="n">
        <f aca="false">AL622+AK622</f>
        <v>85</v>
      </c>
      <c r="AO622" s="16" t="n">
        <v>56</v>
      </c>
      <c r="AP622" s="36" t="n">
        <f aca="false">(AO622*70)/100</f>
        <v>39.2</v>
      </c>
      <c r="AQ622" s="37" t="n">
        <f aca="false">ROUNDUP(AP622,0)</f>
        <v>40</v>
      </c>
      <c r="AR622" s="16" t="n">
        <v>24</v>
      </c>
      <c r="AS622" s="16" t="n">
        <f aca="false">AR622+AP622</f>
        <v>63.2</v>
      </c>
      <c r="AT622" s="16" t="n">
        <f aca="false">AR622+AQ622</f>
        <v>64</v>
      </c>
      <c r="AU622" s="16" t="n">
        <f aca="false">AO622+AF622+AI622+AH622+AG622</f>
        <v>337</v>
      </c>
      <c r="AV622" s="16" t="n">
        <f aca="false">(AO622+AF622+AI622+AH622+AG622)/5</f>
        <v>67.4</v>
      </c>
      <c r="AW622" s="36" t="n">
        <f aca="false">(AO622+AF622+AI622+AH622+AG622+X622+R622+Q622+K622+J622)</f>
        <v>647</v>
      </c>
      <c r="AX622" s="16" t="n">
        <f aca="false">AW622/10</f>
        <v>64.7</v>
      </c>
      <c r="AY622" s="16" t="n">
        <f aca="false">AS622+AF622+AM622+AH622+AG622+AB622+V622+Q622+O622+J622</f>
        <v>676.5</v>
      </c>
      <c r="AZ622" s="16" t="n">
        <f aca="false">AT622+AF622+AN622+AH622+AG622+AC622+W622+Q622+P622+J622</f>
        <v>679</v>
      </c>
      <c r="BA622" s="16" t="n">
        <f aca="false">AY622/10</f>
        <v>67.65</v>
      </c>
      <c r="BB622" s="16" t="n">
        <f aca="false">AZ622/10</f>
        <v>67.9</v>
      </c>
      <c r="BC622" s="16" t="n">
        <v>2338</v>
      </c>
      <c r="BD622" s="16" t="n">
        <f aca="false">RANK(AX622,$AX$2:$AX$881,0)</f>
        <v>768</v>
      </c>
      <c r="BE622" s="78" t="n">
        <f aca="false">((BC622*100)/2400)*0.4+(AX622*0.6)</f>
        <v>77.7866666666667</v>
      </c>
      <c r="BF622" s="16" t="n">
        <f aca="false">RANK(BE622,$BE$2:$BE$881,0)</f>
        <v>748</v>
      </c>
      <c r="BG622" s="39" t="n">
        <f aca="false">RANK(BB622,$BB$2:$BB$881,0)</f>
        <v>761</v>
      </c>
      <c r="BH622" s="39" t="n">
        <f aca="false">RANK(BC622,$BC$2:$BC$881,0)</f>
        <v>649</v>
      </c>
      <c r="BI622" s="22" t="s">
        <v>130</v>
      </c>
      <c r="BJ622" s="22" t="s">
        <v>129</v>
      </c>
      <c r="BK622" s="40" t="s">
        <v>702</v>
      </c>
      <c r="BL622" s="41" t="n">
        <v>20</v>
      </c>
      <c r="BM622" s="41" t="n">
        <v>39</v>
      </c>
      <c r="BN622" s="98" t="n">
        <v>59</v>
      </c>
      <c r="BO622" s="42" t="n">
        <v>21</v>
      </c>
      <c r="BP622" s="43" t="n">
        <v>53</v>
      </c>
      <c r="BQ622" s="44" t="n">
        <v>74</v>
      </c>
      <c r="BR622" s="42" t="n">
        <v>19</v>
      </c>
      <c r="BS622" s="45" t="n">
        <v>49</v>
      </c>
      <c r="BT622" s="45" t="n">
        <v>68</v>
      </c>
      <c r="BU622" s="46" t="n">
        <v>96</v>
      </c>
      <c r="BV622" s="47" t="n">
        <v>80</v>
      </c>
      <c r="BW622" s="42" t="n">
        <v>90</v>
      </c>
      <c r="BX622" s="88" t="n">
        <v>92</v>
      </c>
      <c r="BY622" s="65" t="n">
        <v>28</v>
      </c>
      <c r="BZ622" s="58" t="n">
        <v>41</v>
      </c>
      <c r="CA622" s="58" t="n">
        <v>69</v>
      </c>
      <c r="CB622" s="59" t="n">
        <v>20</v>
      </c>
      <c r="CC622" s="58" t="n">
        <v>47</v>
      </c>
      <c r="CD622" s="58" t="n">
        <v>67</v>
      </c>
      <c r="CE622" s="58" t="n">
        <v>11</v>
      </c>
      <c r="CF622" s="58" t="n">
        <v>34</v>
      </c>
      <c r="CG622" s="90" t="n">
        <v>45</v>
      </c>
      <c r="CH622" s="58" t="n">
        <v>79</v>
      </c>
      <c r="CI622" s="58" t="n">
        <v>68</v>
      </c>
      <c r="CJ622" s="58" t="n">
        <v>25</v>
      </c>
      <c r="CK622" s="58" t="n">
        <v>58</v>
      </c>
      <c r="CL622" s="59" t="n">
        <v>83</v>
      </c>
      <c r="CM622" s="60"/>
      <c r="CN622" s="60"/>
      <c r="CO622" s="60"/>
      <c r="CP622" s="25" t="n">
        <f aca="false">BX622+BW622+BV622+BU622+BT622+BQ622+BN622</f>
        <v>559</v>
      </c>
      <c r="CQ622" s="25" t="n">
        <f aca="false">CO622+CL622+CI622+CH622+CG622+CD622+CA622</f>
        <v>411</v>
      </c>
      <c r="CR622" s="26" t="n">
        <f aca="false">CP622/7</f>
        <v>79.8571428571429</v>
      </c>
      <c r="CS622" s="26" t="n">
        <f aca="false">CQ622/7</f>
        <v>58.7142857142857</v>
      </c>
      <c r="CT622" s="24" t="n">
        <f aca="false">RANK(CR622,$CR$2:$CR$881,0)</f>
        <v>588</v>
      </c>
      <c r="CU622" s="25" t="n">
        <f aca="false">RANK(CS622,$CS$2:$CS$881,0)</f>
        <v>695</v>
      </c>
      <c r="CV622" s="26" t="n">
        <f aca="false">(CS622+CR622)/2</f>
        <v>69.2857142857143</v>
      </c>
      <c r="CW622" s="25" t="n">
        <f aca="false">RANK(CV622,$CV$2:$CV$881,0)</f>
        <v>642</v>
      </c>
      <c r="CX622" s="50" t="n">
        <f aca="false">(CV622+BB622)/2</f>
        <v>68.5928571428572</v>
      </c>
      <c r="CY622" s="50" t="n">
        <v>704</v>
      </c>
      <c r="CZ622" s="27" t="s">
        <v>132</v>
      </c>
      <c r="DA622" s="27" t="s">
        <v>169</v>
      </c>
      <c r="DB622" s="27" t="s">
        <v>169</v>
      </c>
      <c r="DC622" s="27" t="s">
        <v>134</v>
      </c>
      <c r="DD622" s="27" t="s">
        <v>164</v>
      </c>
      <c r="DE622" s="27" t="s">
        <v>412</v>
      </c>
      <c r="DF622" s="27" t="s">
        <v>305</v>
      </c>
      <c r="DG622" s="27" t="s">
        <v>134</v>
      </c>
      <c r="DH622" s="27" t="s">
        <v>164</v>
      </c>
      <c r="DI622" s="27" t="s">
        <v>412</v>
      </c>
      <c r="DJ622" s="27" t="s">
        <v>305</v>
      </c>
      <c r="DK622" s="27" t="s">
        <v>134</v>
      </c>
      <c r="DL622" s="27" t="s">
        <v>191</v>
      </c>
      <c r="DM622" s="27" t="s">
        <v>412</v>
      </c>
      <c r="DN622" s="27" t="s">
        <v>416</v>
      </c>
      <c r="DO622" s="27" t="s">
        <v>134</v>
      </c>
      <c r="DP622" s="27" t="s">
        <v>386</v>
      </c>
      <c r="DQ622" s="27" t="s">
        <v>1407</v>
      </c>
      <c r="DR622" s="27" t="s">
        <v>183</v>
      </c>
      <c r="DS622" s="27" t="s">
        <v>480</v>
      </c>
      <c r="DT622" s="27" t="s">
        <v>174</v>
      </c>
      <c r="DU622" s="27" t="s">
        <v>481</v>
      </c>
      <c r="DV622" s="27" t="s">
        <v>204</v>
      </c>
      <c r="DW622" s="27" t="s">
        <v>164</v>
      </c>
      <c r="DX622" s="27" t="s">
        <v>163</v>
      </c>
      <c r="DY622" s="27" t="s">
        <v>176</v>
      </c>
      <c r="DZ622" s="27" t="n">
        <f aca="false">DY622+DV622+DR622+DN622+DJ622+DF622+DB622</f>
        <v>519</v>
      </c>
      <c r="EA622" s="28" t="n">
        <f aca="false">DZ622/7</f>
        <v>74.1428571428571</v>
      </c>
      <c r="EB622" s="27" t="n">
        <f aca="false">RANK(EA622,$EA$2:$EA$881,0)</f>
        <v>560</v>
      </c>
      <c r="EC622" s="29" t="n">
        <f aca="false">DZ622+CQ622+CP622+AZ622</f>
        <v>2168</v>
      </c>
      <c r="ED622" s="30" t="n">
        <f aca="false">(EA622+CV622+BB622)/3</f>
        <v>70.4428571428572</v>
      </c>
      <c r="EE622" s="51" t="n">
        <f aca="false">ROUND(BE622,3)</f>
        <v>77.787</v>
      </c>
      <c r="EF622" s="51" t="n">
        <f aca="false">ROUND(CR622,3)</f>
        <v>79.857</v>
      </c>
      <c r="EG622" s="51" t="n">
        <f aca="false">ROUND(CS622,3)</f>
        <v>58.714</v>
      </c>
      <c r="EH622" s="51" t="n">
        <f aca="false">ROUND(EA622,3)</f>
        <v>74.143</v>
      </c>
      <c r="EI622" s="51" t="n">
        <f aca="false">ROUND(ED622,3)</f>
        <v>70.443</v>
      </c>
      <c r="EJ622" s="51" t="n">
        <f aca="false">ROUND(CV622,3)</f>
        <v>69.286</v>
      </c>
      <c r="EK622" s="0" t="n">
        <f aca="false">RANK(EI622,$EI$2:$EI$881,0)</f>
        <v>621</v>
      </c>
    </row>
    <row r="623" customFormat="false" ht="15" hidden="false" customHeight="false" outlineLevel="0" collapsed="false">
      <c r="A623" s="4" t="n">
        <v>8735</v>
      </c>
      <c r="B623" s="4" t="n">
        <v>10</v>
      </c>
      <c r="C623" s="27" t="s">
        <v>1831</v>
      </c>
      <c r="D623" s="52" t="n">
        <v>12</v>
      </c>
      <c r="E623" s="32" t="n">
        <v>230311488</v>
      </c>
      <c r="F623" s="8" t="s">
        <v>1832</v>
      </c>
      <c r="G623" s="22" t="s">
        <v>1029</v>
      </c>
      <c r="H623" s="22" t="s">
        <v>129</v>
      </c>
      <c r="I623" s="33" t="n">
        <v>2005</v>
      </c>
      <c r="J623" s="32" t="n">
        <v>79</v>
      </c>
      <c r="K623" s="32" t="n">
        <v>85</v>
      </c>
      <c r="L623" s="34" t="n">
        <f aca="false">(K623*70)/100</f>
        <v>59.5</v>
      </c>
      <c r="M623" s="34" t="n">
        <f aca="false">ROUNDUP(L623,0)</f>
        <v>60</v>
      </c>
      <c r="N623" s="32" t="n">
        <v>27</v>
      </c>
      <c r="O623" s="34" t="n">
        <f aca="false">N623+L623</f>
        <v>86.5</v>
      </c>
      <c r="P623" s="34" t="n">
        <f aca="false">N623+M623</f>
        <v>87</v>
      </c>
      <c r="Q623" s="68" t="n">
        <v>41</v>
      </c>
      <c r="R623" s="32" t="n">
        <v>71</v>
      </c>
      <c r="S623" s="34" t="n">
        <f aca="false">(R623*70)/100</f>
        <v>49.7</v>
      </c>
      <c r="T623" s="34" t="n">
        <f aca="false">ROUNDUP(S623,0)</f>
        <v>50</v>
      </c>
      <c r="U623" s="32" t="n">
        <v>18</v>
      </c>
      <c r="V623" s="34" t="n">
        <f aca="false">U623+S623</f>
        <v>67.7</v>
      </c>
      <c r="W623" s="34" t="n">
        <f aca="false">U623+T623</f>
        <v>68</v>
      </c>
      <c r="X623" s="32" t="n">
        <v>55</v>
      </c>
      <c r="Y623" s="34" t="n">
        <f aca="false">(X623*70)/100</f>
        <v>38.5</v>
      </c>
      <c r="Z623" s="34" t="n">
        <f aca="false">ROUNDUP(Y623,0)</f>
        <v>39</v>
      </c>
      <c r="AA623" s="32" t="n">
        <v>28</v>
      </c>
      <c r="AB623" s="34" t="n">
        <f aca="false">AA623+Y623</f>
        <v>66.5</v>
      </c>
      <c r="AC623" s="34" t="n">
        <f aca="false">AA623+Z623</f>
        <v>67</v>
      </c>
      <c r="AD623" s="32" t="n">
        <f aca="false">X623+R623+Q623+K623+J623</f>
        <v>331</v>
      </c>
      <c r="AE623" s="16" t="n">
        <f aca="false">AD623/5</f>
        <v>66.2</v>
      </c>
      <c r="AF623" s="71" t="n">
        <v>59</v>
      </c>
      <c r="AG623" s="16" t="n">
        <v>84</v>
      </c>
      <c r="AH623" s="16" t="n">
        <v>90</v>
      </c>
      <c r="AI623" s="16" t="n">
        <v>91</v>
      </c>
      <c r="AJ623" s="16" t="n">
        <f aca="false">(AI623*70)/100</f>
        <v>63.7</v>
      </c>
      <c r="AK623" s="35" t="n">
        <f aca="false">ROUNDUP(AJ623,0)</f>
        <v>64</v>
      </c>
      <c r="AL623" s="16" t="n">
        <v>24</v>
      </c>
      <c r="AM623" s="16" t="n">
        <f aca="false">AL623+AJ623</f>
        <v>87.7</v>
      </c>
      <c r="AN623" s="16" t="n">
        <f aca="false">AL623+AK623</f>
        <v>88</v>
      </c>
      <c r="AO623" s="16" t="n">
        <v>85</v>
      </c>
      <c r="AP623" s="36" t="n">
        <f aca="false">(AO623*70)/100</f>
        <v>59.5</v>
      </c>
      <c r="AQ623" s="37" t="n">
        <f aca="false">ROUNDUP(AP623,0)</f>
        <v>60</v>
      </c>
      <c r="AR623" s="16" t="n">
        <v>27</v>
      </c>
      <c r="AS623" s="16" t="n">
        <f aca="false">AR623+AP623</f>
        <v>86.5</v>
      </c>
      <c r="AT623" s="16" t="n">
        <f aca="false">AR623+AQ623</f>
        <v>87</v>
      </c>
      <c r="AU623" s="16" t="n">
        <f aca="false">AO623+AF623+AI623+AH623+AG623</f>
        <v>409</v>
      </c>
      <c r="AV623" s="16" t="n">
        <f aca="false">(AO623+AF623+AI623+AH623+AG623)/5</f>
        <v>81.8</v>
      </c>
      <c r="AW623" s="36" t="n">
        <f aca="false">(AO623+AF623+AI623+AH623+AG623+X623+R623+Q623+K623+J623)</f>
        <v>740</v>
      </c>
      <c r="AX623" s="16" t="n">
        <f aca="false">AW623/10</f>
        <v>74</v>
      </c>
      <c r="AY623" s="16" t="n">
        <f aca="false">AS623+AF623+AM623+AH623+AG623+AB623+V623+Q623+O623+J623</f>
        <v>747.9</v>
      </c>
      <c r="AZ623" s="16" t="n">
        <f aca="false">AT623+AF623+AN623+AH623+AG623+AC623+W623+Q623+P623+J623</f>
        <v>750</v>
      </c>
      <c r="BA623" s="16" t="n">
        <f aca="false">AY623/10</f>
        <v>74.79</v>
      </c>
      <c r="BB623" s="16" t="n">
        <f aca="false">AZ623/10</f>
        <v>75</v>
      </c>
      <c r="BC623" s="16" t="n">
        <v>2348</v>
      </c>
      <c r="BD623" s="16" t="n">
        <f aca="false">RANK(AX623,$AX$2:$AX$881,0)</f>
        <v>701</v>
      </c>
      <c r="BE623" s="73" t="n">
        <f aca="false">((BC623*100)/2400)*0.4+(AX623*0.6)</f>
        <v>83.5333333333333</v>
      </c>
      <c r="BF623" s="16" t="n">
        <f aca="false">RANK(BE623,$BE$2:$BE$881,0)</f>
        <v>693</v>
      </c>
      <c r="BG623" s="39" t="n">
        <f aca="false">RANK(BB623,$BB$2:$BB$881,0)</f>
        <v>697</v>
      </c>
      <c r="BH623" s="39" t="n">
        <f aca="false">RANK(BC623,$BC$2:$BC$881,0)</f>
        <v>551</v>
      </c>
      <c r="BI623" s="22" t="s">
        <v>130</v>
      </c>
      <c r="BJ623" s="22" t="s">
        <v>129</v>
      </c>
      <c r="BK623" s="40" t="s">
        <v>702</v>
      </c>
      <c r="BL623" s="41" t="n">
        <v>12</v>
      </c>
      <c r="BM623" s="61"/>
      <c r="BN623" s="61"/>
      <c r="BO623" s="42" t="n">
        <v>19</v>
      </c>
      <c r="BP623" s="53" t="n">
        <v>46</v>
      </c>
      <c r="BQ623" s="44" t="n">
        <v>65</v>
      </c>
      <c r="BR623" s="42" t="n">
        <v>19</v>
      </c>
      <c r="BS623" s="45" t="n">
        <v>57</v>
      </c>
      <c r="BT623" s="45" t="n">
        <v>76</v>
      </c>
      <c r="BU623" s="46" t="n">
        <v>100</v>
      </c>
      <c r="BV623" s="47" t="n">
        <v>76</v>
      </c>
      <c r="BW623" s="42" t="n">
        <v>92</v>
      </c>
      <c r="BX623" s="48" t="n">
        <v>94</v>
      </c>
      <c r="BY623" s="32" t="n">
        <v>22</v>
      </c>
      <c r="BZ623" s="32" t="n">
        <v>43</v>
      </c>
      <c r="CA623" s="48" t="n">
        <v>65</v>
      </c>
      <c r="CB623" s="32" t="n">
        <v>21</v>
      </c>
      <c r="CC623" s="32" t="n">
        <v>35</v>
      </c>
      <c r="CD623" s="69" t="n">
        <v>56</v>
      </c>
      <c r="CE623" s="32" t="n">
        <v>22</v>
      </c>
      <c r="CF623" s="32" t="n">
        <v>49</v>
      </c>
      <c r="CG623" s="32" t="n">
        <v>71</v>
      </c>
      <c r="CH623" s="32" t="n">
        <v>95</v>
      </c>
      <c r="CI623" s="32" t="n">
        <v>92</v>
      </c>
      <c r="CJ623" s="49" t="n">
        <v>13</v>
      </c>
      <c r="CK623" s="58" t="n">
        <v>44</v>
      </c>
      <c r="CL623" s="59" t="n">
        <v>57</v>
      </c>
      <c r="CM623" s="49" t="n">
        <v>18</v>
      </c>
      <c r="CN623" s="49" t="n">
        <v>47</v>
      </c>
      <c r="CO623" s="75" t="n">
        <v>65</v>
      </c>
      <c r="CP623" s="25" t="n">
        <f aca="false">BX623+BW623+BV623+BU623+BT623+BQ623+BN623</f>
        <v>503</v>
      </c>
      <c r="CQ623" s="25" t="n">
        <f aca="false">CO623+CL623+CI623+CH623+CG623+CD623+CA623</f>
        <v>501</v>
      </c>
      <c r="CR623" s="26" t="n">
        <f aca="false">CP623/7</f>
        <v>71.8571428571429</v>
      </c>
      <c r="CS623" s="26" t="n">
        <f aca="false">CQ623/7</f>
        <v>71.5714285714286</v>
      </c>
      <c r="CT623" s="24" t="n">
        <f aca="false">RANK(CR623,$CR$2:$CR$881,0)</f>
        <v>672</v>
      </c>
      <c r="CU623" s="25" t="n">
        <f aca="false">RANK(CS623,$CS$2:$CS$881,0)</f>
        <v>521</v>
      </c>
      <c r="CV623" s="26" t="n">
        <f aca="false">(CS623+CR623)/2</f>
        <v>71.7142857142857</v>
      </c>
      <c r="CW623" s="25" t="n">
        <f aca="false">RANK(CV623,$CV$2:$CV$881,0)</f>
        <v>617</v>
      </c>
      <c r="CX623" s="50" t="n">
        <f aca="false">(CV623+BB623)/2</f>
        <v>73.3571428571429</v>
      </c>
      <c r="CY623" s="50" t="n">
        <v>616</v>
      </c>
      <c r="CZ623" s="27" t="s">
        <v>132</v>
      </c>
      <c r="DA623" s="27" t="s">
        <v>205</v>
      </c>
      <c r="DB623" s="27" t="s">
        <v>205</v>
      </c>
      <c r="DC623" s="27" t="s">
        <v>134</v>
      </c>
      <c r="DD623" s="27" t="s">
        <v>264</v>
      </c>
      <c r="DE623" s="27" t="s">
        <v>673</v>
      </c>
      <c r="DF623" s="27" t="s">
        <v>177</v>
      </c>
      <c r="DG623" s="27" t="s">
        <v>134</v>
      </c>
      <c r="DH623" s="27" t="s">
        <v>164</v>
      </c>
      <c r="DI623" s="27" t="s">
        <v>220</v>
      </c>
      <c r="DJ623" s="27" t="s">
        <v>169</v>
      </c>
      <c r="DK623" s="27" t="s">
        <v>134</v>
      </c>
      <c r="DL623" s="27" t="s">
        <v>164</v>
      </c>
      <c r="DM623" s="27" t="s">
        <v>304</v>
      </c>
      <c r="DN623" s="27" t="s">
        <v>196</v>
      </c>
      <c r="DO623" s="27" t="s">
        <v>134</v>
      </c>
      <c r="DP623" s="27"/>
      <c r="DQ623" s="27"/>
      <c r="DR623" s="27"/>
      <c r="DS623" s="27"/>
      <c r="DT623" s="27" t="s">
        <v>135</v>
      </c>
      <c r="DU623" s="27" t="s">
        <v>906</v>
      </c>
      <c r="DV623" s="27" t="s">
        <v>136</v>
      </c>
      <c r="DW623" s="27" t="s">
        <v>135</v>
      </c>
      <c r="DX623" s="27" t="s">
        <v>183</v>
      </c>
      <c r="DY623" s="27" t="s">
        <v>169</v>
      </c>
      <c r="DZ623" s="27" t="n">
        <f aca="false">DY623+DV623+DR623+DN623+DJ623+DF623+DB623</f>
        <v>452</v>
      </c>
      <c r="EA623" s="28" t="n">
        <f aca="false">DZ623/7</f>
        <v>64.5714285714286</v>
      </c>
      <c r="EB623" s="27" t="n">
        <f aca="false">RANK(EA623,$EA$2:$EA$881,0)</f>
        <v>739</v>
      </c>
      <c r="EC623" s="29" t="n">
        <f aca="false">DZ623+CQ623+CP623+AZ623</f>
        <v>2206</v>
      </c>
      <c r="ED623" s="30" t="n">
        <f aca="false">(EA623+CV623+BB623)/3</f>
        <v>70.4285714285714</v>
      </c>
      <c r="EE623" s="51" t="n">
        <f aca="false">ROUND(BE623,3)</f>
        <v>83.533</v>
      </c>
      <c r="EF623" s="51" t="n">
        <f aca="false">ROUND(CR623,3)</f>
        <v>71.857</v>
      </c>
      <c r="EG623" s="51" t="n">
        <f aca="false">ROUND(CS623,3)</f>
        <v>71.571</v>
      </c>
      <c r="EH623" s="51" t="n">
        <f aca="false">ROUND(EA623,3)</f>
        <v>64.571</v>
      </c>
      <c r="EI623" s="51" t="n">
        <f aca="false">ROUND(ED623,3)</f>
        <v>70.429</v>
      </c>
      <c r="EJ623" s="51" t="n">
        <f aca="false">ROUND(CV623,3)</f>
        <v>71.714</v>
      </c>
      <c r="EK623" s="0" t="n">
        <f aca="false">RANK(EI623,$EI$2:$EI$881,0)</f>
        <v>622</v>
      </c>
    </row>
    <row r="624" customFormat="false" ht="15" hidden="false" customHeight="false" outlineLevel="0" collapsed="false">
      <c r="A624" s="4" t="n">
        <v>8832</v>
      </c>
      <c r="B624" s="4" t="n">
        <v>812</v>
      </c>
      <c r="C624" s="27" t="s">
        <v>1833</v>
      </c>
      <c r="D624" s="31" t="n">
        <v>832</v>
      </c>
      <c r="E624" s="32" t="n">
        <v>230315373</v>
      </c>
      <c r="F624" s="8" t="s">
        <v>1834</v>
      </c>
      <c r="G624" s="22" t="s">
        <v>1835</v>
      </c>
      <c r="H624" s="22" t="s">
        <v>129</v>
      </c>
      <c r="I624" s="33" t="n">
        <v>2005</v>
      </c>
      <c r="J624" s="32" t="n">
        <v>60</v>
      </c>
      <c r="K624" s="32" t="n">
        <v>52</v>
      </c>
      <c r="L624" s="34" t="n">
        <f aca="false">(K624*70)/100</f>
        <v>36.4</v>
      </c>
      <c r="M624" s="34" t="n">
        <f aca="false">ROUNDUP(L624,0)</f>
        <v>37</v>
      </c>
      <c r="N624" s="32" t="n">
        <v>22</v>
      </c>
      <c r="O624" s="34" t="n">
        <f aca="false">N624+L624</f>
        <v>58.4</v>
      </c>
      <c r="P624" s="91" t="n">
        <f aca="false">N624+M624</f>
        <v>59</v>
      </c>
      <c r="Q624" s="68" t="n">
        <v>49</v>
      </c>
      <c r="R624" s="32" t="n">
        <v>64</v>
      </c>
      <c r="S624" s="34" t="n">
        <f aca="false">(R624*70)/100</f>
        <v>44.8</v>
      </c>
      <c r="T624" s="34" t="n">
        <f aca="false">ROUNDUP(S624,0)</f>
        <v>45</v>
      </c>
      <c r="U624" s="32" t="n">
        <v>30</v>
      </c>
      <c r="V624" s="34" t="n">
        <f aca="false">U624+S624</f>
        <v>74.8</v>
      </c>
      <c r="W624" s="34" t="n">
        <f aca="false">U624+T624</f>
        <v>75</v>
      </c>
      <c r="X624" s="32" t="n">
        <v>54</v>
      </c>
      <c r="Y624" s="34" t="n">
        <f aca="false">(X624*70)/100</f>
        <v>37.8</v>
      </c>
      <c r="Z624" s="34" t="n">
        <f aca="false">ROUNDUP(Y624,0)</f>
        <v>38</v>
      </c>
      <c r="AA624" s="32" t="n">
        <v>25</v>
      </c>
      <c r="AB624" s="34" t="n">
        <f aca="false">AA624+Y624</f>
        <v>62.8</v>
      </c>
      <c r="AC624" s="34" t="n">
        <f aca="false">AA624+Z624</f>
        <v>63</v>
      </c>
      <c r="AD624" s="32" t="n">
        <f aca="false">X624+R624+Q624+K624+J624</f>
        <v>279</v>
      </c>
      <c r="AE624" s="16" t="n">
        <f aca="false">AD624/5</f>
        <v>55.8</v>
      </c>
      <c r="AF624" s="71" t="n">
        <v>53</v>
      </c>
      <c r="AG624" s="16" t="n">
        <v>67</v>
      </c>
      <c r="AH624" s="16" t="n">
        <v>86</v>
      </c>
      <c r="AI624" s="16" t="n">
        <v>89</v>
      </c>
      <c r="AJ624" s="16" t="n">
        <f aca="false">(AI624*70)/100</f>
        <v>62.3</v>
      </c>
      <c r="AK624" s="35" t="n">
        <f aca="false">ROUNDUP(AJ624,0)</f>
        <v>63</v>
      </c>
      <c r="AL624" s="16" t="n">
        <v>26</v>
      </c>
      <c r="AM624" s="16" t="n">
        <f aca="false">AL624+AJ624</f>
        <v>88.3</v>
      </c>
      <c r="AN624" s="16" t="n">
        <f aca="false">AL624+AK624</f>
        <v>89</v>
      </c>
      <c r="AO624" s="16" t="n">
        <v>66</v>
      </c>
      <c r="AP624" s="36" t="n">
        <f aca="false">(AO624*70)/100</f>
        <v>46.2</v>
      </c>
      <c r="AQ624" s="37" t="n">
        <f aca="false">ROUNDUP(AP624,0)</f>
        <v>47</v>
      </c>
      <c r="AR624" s="16" t="n">
        <v>24</v>
      </c>
      <c r="AS624" s="16" t="n">
        <f aca="false">AR624+AP624</f>
        <v>70.2</v>
      </c>
      <c r="AT624" s="16" t="n">
        <f aca="false">AR624+AQ624</f>
        <v>71</v>
      </c>
      <c r="AU624" s="16" t="n">
        <f aca="false">AO624+AF624+AI624+AH624+AG624</f>
        <v>361</v>
      </c>
      <c r="AV624" s="16" t="n">
        <f aca="false">(AO624+AF624+AI624+AH624+AG624)/5</f>
        <v>72.2</v>
      </c>
      <c r="AW624" s="36" t="n">
        <f aca="false">(AO624+AF624+AI624+AH624+AG624+X624+R624+Q624+K624+J624)</f>
        <v>640</v>
      </c>
      <c r="AX624" s="16" t="n">
        <f aca="false">AW624/10</f>
        <v>64</v>
      </c>
      <c r="AY624" s="16" t="n">
        <f aca="false">AS624+AF624+AM624+AH624+AG624+AB624+V624+Q624+O624+J624</f>
        <v>669.5</v>
      </c>
      <c r="AZ624" s="16" t="n">
        <f aca="false">AT624+AF624+AN624+AH624+AG624+AC624+W624+Q624+P624+J624</f>
        <v>672</v>
      </c>
      <c r="BA624" s="16" t="n">
        <f aca="false">AY624/10</f>
        <v>66.95</v>
      </c>
      <c r="BB624" s="16" t="n">
        <f aca="false">AZ624/10</f>
        <v>67.2</v>
      </c>
      <c r="BC624" s="16" t="n">
        <v>2336</v>
      </c>
      <c r="BD624" s="16" t="n">
        <f aca="false">RANK(AX624,$AX$2:$AX$881,0)</f>
        <v>771</v>
      </c>
      <c r="BE624" s="78" t="n">
        <f aca="false">((BC624*100)/2400)*0.4+(AX624*0.6)</f>
        <v>77.3333333333333</v>
      </c>
      <c r="BF624" s="16" t="n">
        <f aca="false">RANK(BE624,$BE$2:$BE$881,0)</f>
        <v>759</v>
      </c>
      <c r="BG624" s="39" t="n">
        <f aca="false">RANK(BB624,$BB$2:$BB$881,0)</f>
        <v>767</v>
      </c>
      <c r="BH624" s="39" t="n">
        <f aca="false">RANK(BC624,$BC$2:$BC$881,0)</f>
        <v>670</v>
      </c>
      <c r="BI624" s="22" t="s">
        <v>130</v>
      </c>
      <c r="BJ624" s="22" t="s">
        <v>129</v>
      </c>
      <c r="BK624" s="40" t="s">
        <v>702</v>
      </c>
      <c r="BL624" s="41" t="n">
        <v>20</v>
      </c>
      <c r="BM624" s="41" t="n">
        <v>49</v>
      </c>
      <c r="BN624" s="41" t="n">
        <v>69</v>
      </c>
      <c r="BO624" s="42" t="n">
        <v>18</v>
      </c>
      <c r="BP624" s="43" t="n">
        <v>46</v>
      </c>
      <c r="BQ624" s="44" t="n">
        <v>64</v>
      </c>
      <c r="BR624" s="42" t="n">
        <v>26</v>
      </c>
      <c r="BS624" s="45" t="n">
        <v>56</v>
      </c>
      <c r="BT624" s="45" t="n">
        <v>82</v>
      </c>
      <c r="BU624" s="46" t="n">
        <v>99</v>
      </c>
      <c r="BV624" s="47" t="n">
        <v>70</v>
      </c>
      <c r="BW624" s="42" t="n">
        <v>98</v>
      </c>
      <c r="BX624" s="48" t="n">
        <v>90</v>
      </c>
      <c r="BY624" s="32" t="n">
        <v>26</v>
      </c>
      <c r="BZ624" s="32" t="n">
        <v>45</v>
      </c>
      <c r="CA624" s="32" t="n">
        <v>71</v>
      </c>
      <c r="CB624" s="32" t="n">
        <v>15</v>
      </c>
      <c r="CC624" s="32" t="n">
        <v>27</v>
      </c>
      <c r="CD624" s="69" t="n">
        <v>42</v>
      </c>
      <c r="CE624" s="32" t="n">
        <v>23</v>
      </c>
      <c r="CF624" s="32" t="n">
        <v>42</v>
      </c>
      <c r="CG624" s="32" t="n">
        <v>65</v>
      </c>
      <c r="CH624" s="32" t="n">
        <v>95</v>
      </c>
      <c r="CI624" s="32" t="n">
        <v>95</v>
      </c>
      <c r="CJ624" s="49" t="n">
        <v>23</v>
      </c>
      <c r="CK624" s="49" t="n">
        <v>37</v>
      </c>
      <c r="CL624" s="49" t="n">
        <v>60</v>
      </c>
      <c r="CM624" s="49" t="n">
        <v>21</v>
      </c>
      <c r="CN624" s="49" t="n">
        <v>49</v>
      </c>
      <c r="CO624" s="49" t="n">
        <v>70</v>
      </c>
      <c r="CP624" s="25" t="n">
        <f aca="false">BX624+BW624+BV624+BU624+BT624+BQ624+BN624</f>
        <v>572</v>
      </c>
      <c r="CQ624" s="25" t="n">
        <f aca="false">CO624+CL624+CI624+CH624+CG624+CD624+CA624</f>
        <v>498</v>
      </c>
      <c r="CR624" s="26" t="n">
        <f aca="false">CP624/7</f>
        <v>81.7142857142857</v>
      </c>
      <c r="CS624" s="26" t="n">
        <f aca="false">CQ624/7</f>
        <v>71.1428571428571</v>
      </c>
      <c r="CT624" s="24" t="n">
        <f aca="false">RANK(CR624,$CR$2:$CR$881,0)</f>
        <v>551</v>
      </c>
      <c r="CU624" s="25" t="n">
        <f aca="false">RANK(CS624,$CS$2:$CS$881,0)</f>
        <v>534</v>
      </c>
      <c r="CV624" s="26" t="n">
        <f aca="false">(CS624+CR624)/2</f>
        <v>76.4285714285714</v>
      </c>
      <c r="CW624" s="25" t="n">
        <f aca="false">RANK(CV624,$CV$2:$CV$881,0)</f>
        <v>530</v>
      </c>
      <c r="CX624" s="50" t="n">
        <f aca="false">(CV624+BB624)/2</f>
        <v>71.8142857142857</v>
      </c>
      <c r="CY624" s="50" t="n">
        <v>597</v>
      </c>
      <c r="CZ624" s="27" t="s">
        <v>132</v>
      </c>
      <c r="DA624" s="27" t="s">
        <v>272</v>
      </c>
      <c r="DB624" s="27" t="s">
        <v>272</v>
      </c>
      <c r="DC624" s="27" t="s">
        <v>134</v>
      </c>
      <c r="DD624" s="27" t="s">
        <v>195</v>
      </c>
      <c r="DE624" s="27" t="s">
        <v>220</v>
      </c>
      <c r="DF624" s="27" t="s">
        <v>382</v>
      </c>
      <c r="DG624" s="27" t="s">
        <v>134</v>
      </c>
      <c r="DH624" s="27" t="s">
        <v>195</v>
      </c>
      <c r="DI624" s="27" t="s">
        <v>306</v>
      </c>
      <c r="DJ624" s="27" t="s">
        <v>443</v>
      </c>
      <c r="DK624" s="27" t="s">
        <v>134</v>
      </c>
      <c r="DL624" s="27" t="s">
        <v>182</v>
      </c>
      <c r="DM624" s="27" t="s">
        <v>304</v>
      </c>
      <c r="DN624" s="27" t="s">
        <v>305</v>
      </c>
      <c r="DO624" s="27" t="s">
        <v>134</v>
      </c>
      <c r="DP624" s="27"/>
      <c r="DQ624" s="27"/>
      <c r="DR624" s="27"/>
      <c r="DS624" s="27"/>
      <c r="DT624" s="27" t="s">
        <v>140</v>
      </c>
      <c r="DU624" s="27" t="s">
        <v>442</v>
      </c>
      <c r="DV624" s="27" t="s">
        <v>305</v>
      </c>
      <c r="DW624" s="27" t="s">
        <v>604</v>
      </c>
      <c r="DX624" s="27" t="s">
        <v>138</v>
      </c>
      <c r="DY624" s="27" t="s">
        <v>175</v>
      </c>
      <c r="DZ624" s="27" t="n">
        <f aca="false">DY624+DV624+DR624+DN624+DJ624+DF624+DB624</f>
        <v>473</v>
      </c>
      <c r="EA624" s="28" t="n">
        <f aca="false">DZ624/7</f>
        <v>67.5714285714286</v>
      </c>
      <c r="EB624" s="27" t="n">
        <f aca="false">RANK(EA624,$EA$2:$EA$881,0)</f>
        <v>700</v>
      </c>
      <c r="EC624" s="29" t="n">
        <f aca="false">DZ624+CQ624+CP624+AZ624</f>
        <v>2215</v>
      </c>
      <c r="ED624" s="30" t="n">
        <f aca="false">(EA624+CV624+BB624)/3</f>
        <v>70.4</v>
      </c>
      <c r="EE624" s="51" t="n">
        <f aca="false">ROUND(BE624,3)</f>
        <v>77.333</v>
      </c>
      <c r="EF624" s="51" t="n">
        <f aca="false">ROUND(CR624,3)</f>
        <v>81.714</v>
      </c>
      <c r="EG624" s="51" t="n">
        <f aca="false">ROUND(CS624,3)</f>
        <v>71.143</v>
      </c>
      <c r="EH624" s="51" t="n">
        <f aca="false">ROUND(EA624,3)</f>
        <v>67.571</v>
      </c>
      <c r="EI624" s="51" t="n">
        <f aca="false">ROUND(ED624,3)</f>
        <v>70.4</v>
      </c>
      <c r="EJ624" s="51" t="n">
        <f aca="false">ROUND(CV624,3)</f>
        <v>76.429</v>
      </c>
      <c r="EK624" s="0" t="n">
        <f aca="false">RANK(EI624,$EI$2:$EI$881,0)</f>
        <v>623</v>
      </c>
    </row>
    <row r="625" customFormat="false" ht="15" hidden="false" customHeight="false" outlineLevel="0" collapsed="false">
      <c r="A625" s="4" t="n">
        <v>8672</v>
      </c>
      <c r="B625" s="4" t="n">
        <v>786</v>
      </c>
      <c r="C625" s="27" t="s">
        <v>1836</v>
      </c>
      <c r="D625" s="31" t="n">
        <v>804</v>
      </c>
      <c r="E625" s="16" t="n">
        <v>230248770</v>
      </c>
      <c r="F625" s="56" t="s">
        <v>1837</v>
      </c>
      <c r="G625" s="22" t="s">
        <v>577</v>
      </c>
      <c r="H625" s="22" t="s">
        <v>326</v>
      </c>
      <c r="I625" s="57"/>
      <c r="J625" s="16" t="n">
        <v>72</v>
      </c>
      <c r="K625" s="16" t="n">
        <v>46</v>
      </c>
      <c r="L625" s="34" t="n">
        <f aca="false">(K625*70)/100</f>
        <v>32.2</v>
      </c>
      <c r="M625" s="34" t="n">
        <f aca="false">ROUNDUP(L625,0)</f>
        <v>33</v>
      </c>
      <c r="N625" s="16" t="n">
        <v>28</v>
      </c>
      <c r="O625" s="34" t="n">
        <f aca="false">N625+L625</f>
        <v>60.2</v>
      </c>
      <c r="P625" s="34" t="n">
        <f aca="false">N625+M625</f>
        <v>61</v>
      </c>
      <c r="Q625" s="16" t="n">
        <v>62</v>
      </c>
      <c r="R625" s="16" t="n">
        <v>50</v>
      </c>
      <c r="S625" s="34" t="n">
        <f aca="false">(R625*70)/100</f>
        <v>35</v>
      </c>
      <c r="T625" s="34" t="n">
        <f aca="false">ROUNDUP(S625,0)</f>
        <v>35</v>
      </c>
      <c r="U625" s="16" t="n">
        <v>26</v>
      </c>
      <c r="V625" s="34" t="n">
        <f aca="false">U625+S625</f>
        <v>61</v>
      </c>
      <c r="W625" s="34" t="n">
        <f aca="false">U625+T625</f>
        <v>61</v>
      </c>
      <c r="X625" s="16" t="n">
        <v>63</v>
      </c>
      <c r="Y625" s="34" t="n">
        <f aca="false">(X625*70)/100</f>
        <v>44.1</v>
      </c>
      <c r="Z625" s="34" t="n">
        <f aca="false">ROUNDUP(Y625,0)</f>
        <v>45</v>
      </c>
      <c r="AA625" s="16" t="n">
        <v>26</v>
      </c>
      <c r="AB625" s="34" t="n">
        <f aca="false">AA625+Y625</f>
        <v>70.1</v>
      </c>
      <c r="AC625" s="34" t="n">
        <f aca="false">AA625+Z625</f>
        <v>71</v>
      </c>
      <c r="AD625" s="32" t="n">
        <f aca="false">X625+R625+Q625+K625+J625</f>
        <v>293</v>
      </c>
      <c r="AE625" s="16" t="n">
        <f aca="false">AD625/5</f>
        <v>58.6</v>
      </c>
      <c r="AF625" s="71" t="n">
        <v>58</v>
      </c>
      <c r="AG625" s="16" t="n">
        <v>73</v>
      </c>
      <c r="AH625" s="16" t="n">
        <v>69</v>
      </c>
      <c r="AI625" s="16" t="n">
        <v>74</v>
      </c>
      <c r="AJ625" s="16" t="n">
        <f aca="false">(AI625*70)/100</f>
        <v>51.8</v>
      </c>
      <c r="AK625" s="35" t="n">
        <f aca="false">ROUNDUP(AJ625,0)</f>
        <v>52</v>
      </c>
      <c r="AL625" s="16" t="n">
        <v>25</v>
      </c>
      <c r="AM625" s="16" t="n">
        <f aca="false">AL625+AJ625</f>
        <v>76.8</v>
      </c>
      <c r="AN625" s="16" t="n">
        <f aca="false">AL625+AK625</f>
        <v>77</v>
      </c>
      <c r="AO625" s="16" t="n">
        <v>55</v>
      </c>
      <c r="AP625" s="36" t="n">
        <f aca="false">(AO625*70)/100</f>
        <v>38.5</v>
      </c>
      <c r="AQ625" s="37" t="n">
        <f aca="false">ROUNDUP(AP625,0)</f>
        <v>39</v>
      </c>
      <c r="AR625" s="16" t="n">
        <v>24</v>
      </c>
      <c r="AS625" s="16" t="n">
        <f aca="false">AR625+AP625</f>
        <v>62.5</v>
      </c>
      <c r="AT625" s="16" t="n">
        <f aca="false">AR625+AQ625</f>
        <v>63</v>
      </c>
      <c r="AU625" s="16" t="n">
        <f aca="false">AO625+AF625+AI625+AH625+AG625</f>
        <v>329</v>
      </c>
      <c r="AV625" s="16" t="n">
        <f aca="false">(AO625+AF625+AI625+AH625+AG625)/5</f>
        <v>65.8</v>
      </c>
      <c r="AW625" s="36" t="n">
        <f aca="false">(AO625+AF625+AI625+AH625+AG625+X625+R625+Q625+K625+J625)</f>
        <v>622</v>
      </c>
      <c r="AX625" s="16" t="n">
        <f aca="false">AW625/10</f>
        <v>62.2</v>
      </c>
      <c r="AY625" s="16" t="n">
        <f aca="false">AS625+AF625+AM625+AH625+AG625+AB625+V625+Q625+O625+J625</f>
        <v>664.6</v>
      </c>
      <c r="AZ625" s="16" t="n">
        <f aca="false">AT625+AF625+AN625+AH625+AG625+AC625+W625+Q625+P625+J625</f>
        <v>667</v>
      </c>
      <c r="BA625" s="16" t="n">
        <f aca="false">AY625/10</f>
        <v>66.46</v>
      </c>
      <c r="BB625" s="16" t="n">
        <f aca="false">AZ625/10</f>
        <v>66.7</v>
      </c>
      <c r="BC625" s="16" t="n">
        <v>2363</v>
      </c>
      <c r="BD625" s="16" t="n">
        <f aca="false">RANK(AX625,$AX$2:$AX$881,0)</f>
        <v>793</v>
      </c>
      <c r="BE625" s="78" t="n">
        <f aca="false">((BC625*100)/2400)*0.4+(AX625*0.6)</f>
        <v>76.7033333333333</v>
      </c>
      <c r="BF625" s="16" t="n">
        <f aca="false">RANK(BE625,$BE$2:$BE$881,0)</f>
        <v>772</v>
      </c>
      <c r="BG625" s="39" t="n">
        <f aca="false">RANK(BB625,$BB$2:$BB$881,0)</f>
        <v>771</v>
      </c>
      <c r="BH625" s="39" t="n">
        <f aca="false">RANK(BC625,$BC$2:$BC$881,0)</f>
        <v>356</v>
      </c>
      <c r="BI625" s="22" t="s">
        <v>130</v>
      </c>
      <c r="BJ625" s="22" t="s">
        <v>129</v>
      </c>
      <c r="BK625" s="40" t="s">
        <v>702</v>
      </c>
      <c r="BL625" s="41" t="n">
        <v>20</v>
      </c>
      <c r="BM625" s="41" t="n">
        <v>44</v>
      </c>
      <c r="BN625" s="41" t="n">
        <v>64</v>
      </c>
      <c r="BO625" s="42" t="n">
        <v>16</v>
      </c>
      <c r="BP625" s="43" t="n">
        <v>60</v>
      </c>
      <c r="BQ625" s="44" t="n">
        <v>76</v>
      </c>
      <c r="BR625" s="42" t="n">
        <v>21</v>
      </c>
      <c r="BS625" s="45" t="n">
        <v>49</v>
      </c>
      <c r="BT625" s="45" t="n">
        <v>70</v>
      </c>
      <c r="BU625" s="46" t="n">
        <v>100</v>
      </c>
      <c r="BV625" s="47" t="n">
        <v>94</v>
      </c>
      <c r="BW625" s="42" t="n">
        <v>92</v>
      </c>
      <c r="BX625" s="48" t="n">
        <v>86</v>
      </c>
      <c r="BY625" s="32" t="n">
        <v>27</v>
      </c>
      <c r="BZ625" s="32" t="n">
        <v>43</v>
      </c>
      <c r="CA625" s="32" t="n">
        <v>70</v>
      </c>
      <c r="CB625" s="32" t="n">
        <v>20</v>
      </c>
      <c r="CC625" s="32" t="n">
        <v>41</v>
      </c>
      <c r="CD625" s="32" t="n">
        <v>61</v>
      </c>
      <c r="CE625" s="32" t="n">
        <v>26</v>
      </c>
      <c r="CF625" s="32" t="n">
        <v>36</v>
      </c>
      <c r="CG625" s="32" t="n">
        <v>62</v>
      </c>
      <c r="CH625" s="32" t="n">
        <v>95</v>
      </c>
      <c r="CI625" s="32" t="n">
        <v>89</v>
      </c>
      <c r="CJ625" s="49" t="n">
        <v>25</v>
      </c>
      <c r="CK625" s="49" t="n">
        <v>45</v>
      </c>
      <c r="CL625" s="49" t="n">
        <v>70</v>
      </c>
      <c r="CM625" s="49" t="n">
        <v>27</v>
      </c>
      <c r="CN625" s="49" t="n">
        <v>51</v>
      </c>
      <c r="CO625" s="49" t="n">
        <v>78</v>
      </c>
      <c r="CP625" s="25" t="n">
        <f aca="false">BX625+BW625+BV625+BU625+BT625+BQ625+BN625</f>
        <v>582</v>
      </c>
      <c r="CQ625" s="25" t="n">
        <f aca="false">CO625+CL625+CI625+CH625+CG625+CD625+CA625</f>
        <v>525</v>
      </c>
      <c r="CR625" s="26" t="n">
        <f aca="false">CP625/7</f>
        <v>83.1428571428571</v>
      </c>
      <c r="CS625" s="26" t="n">
        <f aca="false">CQ625/7</f>
        <v>75</v>
      </c>
      <c r="CT625" s="24" t="n">
        <f aca="false">RANK(CR625,$CR$2:$CR$881,0)</f>
        <v>514</v>
      </c>
      <c r="CU625" s="25" t="n">
        <f aca="false">RANK(CS625,$CS$2:$CS$881,0)</f>
        <v>431</v>
      </c>
      <c r="CV625" s="26" t="n">
        <f aca="false">(CS625+CR625)/2</f>
        <v>79.0714285714286</v>
      </c>
      <c r="CW625" s="25" t="n">
        <f aca="false">RANK(CV625,$CV$2:$CV$881,0)</f>
        <v>462</v>
      </c>
      <c r="CX625" s="50" t="n">
        <f aca="false">(CV625+BB625)/2</f>
        <v>72.8857142857143</v>
      </c>
      <c r="CY625" s="50" t="n">
        <v>585</v>
      </c>
      <c r="CZ625" s="27" t="s">
        <v>132</v>
      </c>
      <c r="DA625" s="27" t="s">
        <v>133</v>
      </c>
      <c r="DB625" s="27" t="s">
        <v>133</v>
      </c>
      <c r="DC625" s="27" t="s">
        <v>134</v>
      </c>
      <c r="DD625" s="27" t="s">
        <v>137</v>
      </c>
      <c r="DE625" s="27" t="s">
        <v>412</v>
      </c>
      <c r="DF625" s="27" t="s">
        <v>382</v>
      </c>
      <c r="DG625" s="27" t="s">
        <v>134</v>
      </c>
      <c r="DH625" s="27" t="s">
        <v>164</v>
      </c>
      <c r="DI625" s="27" t="s">
        <v>645</v>
      </c>
      <c r="DJ625" s="27" t="s">
        <v>416</v>
      </c>
      <c r="DK625" s="27" t="s">
        <v>134</v>
      </c>
      <c r="DL625" s="27" t="s">
        <v>182</v>
      </c>
      <c r="DM625" s="27" t="s">
        <v>906</v>
      </c>
      <c r="DN625" s="27" t="s">
        <v>203</v>
      </c>
      <c r="DO625" s="27" t="s">
        <v>134</v>
      </c>
      <c r="DP625" s="27"/>
      <c r="DQ625" s="27"/>
      <c r="DR625" s="27"/>
      <c r="DS625" s="27"/>
      <c r="DT625" s="27" t="s">
        <v>137</v>
      </c>
      <c r="DU625" s="27" t="s">
        <v>1064</v>
      </c>
      <c r="DV625" s="27" t="s">
        <v>203</v>
      </c>
      <c r="DW625" s="27" t="s">
        <v>135</v>
      </c>
      <c r="DX625" s="27" t="s">
        <v>155</v>
      </c>
      <c r="DY625" s="27" t="s">
        <v>139</v>
      </c>
      <c r="DZ625" s="27" t="n">
        <f aca="false">DY625+DV625+DR625+DN625+DJ625+DF625+DB625</f>
        <v>455</v>
      </c>
      <c r="EA625" s="28" t="n">
        <f aca="false">DZ625/7</f>
        <v>65</v>
      </c>
      <c r="EB625" s="27" t="n">
        <f aca="false">RANK(EA625,$EA$2:$EA$881,0)</f>
        <v>730</v>
      </c>
      <c r="EC625" s="29" t="n">
        <f aca="false">DZ625+CQ625+CP625+AZ625</f>
        <v>2229</v>
      </c>
      <c r="ED625" s="30" t="n">
        <f aca="false">(EA625+CV625+BB625)/3</f>
        <v>70.2571428571429</v>
      </c>
      <c r="EE625" s="51" t="n">
        <f aca="false">ROUND(BE625,3)</f>
        <v>76.703</v>
      </c>
      <c r="EF625" s="51" t="n">
        <f aca="false">ROUND(CR625,3)</f>
        <v>83.143</v>
      </c>
      <c r="EG625" s="51" t="n">
        <f aca="false">ROUND(CS625,3)</f>
        <v>75</v>
      </c>
      <c r="EH625" s="51" t="n">
        <f aca="false">ROUND(EA625,3)</f>
        <v>65</v>
      </c>
      <c r="EI625" s="51" t="n">
        <f aca="false">ROUND(ED625,3)</f>
        <v>70.257</v>
      </c>
      <c r="EJ625" s="51" t="n">
        <f aca="false">ROUND(CV625,3)</f>
        <v>79.071</v>
      </c>
      <c r="EK625" s="0" t="n">
        <f aca="false">RANK(EI625,$EI$2:$EI$881,0)</f>
        <v>624</v>
      </c>
    </row>
    <row r="626" customFormat="false" ht="15" hidden="false" customHeight="false" outlineLevel="0" collapsed="false">
      <c r="A626" s="4" t="n">
        <v>2062</v>
      </c>
      <c r="B626" s="4" t="n">
        <v>338</v>
      </c>
      <c r="C626" s="27" t="s">
        <v>1838</v>
      </c>
      <c r="D626" s="31" t="n">
        <v>340</v>
      </c>
      <c r="E626" s="16" t="n">
        <v>230622431</v>
      </c>
      <c r="F626" s="56" t="s">
        <v>1839</v>
      </c>
      <c r="G626" s="22" t="s">
        <v>997</v>
      </c>
      <c r="H626" s="22" t="s">
        <v>558</v>
      </c>
      <c r="I626" s="57"/>
      <c r="J626" s="16" t="n">
        <v>79</v>
      </c>
      <c r="K626" s="16" t="n">
        <v>64</v>
      </c>
      <c r="L626" s="34" t="n">
        <f aca="false">(K626*70)/100</f>
        <v>44.8</v>
      </c>
      <c r="M626" s="34" t="n">
        <f aca="false">ROUNDUP(L626,0)</f>
        <v>45</v>
      </c>
      <c r="N626" s="16" t="n">
        <v>21</v>
      </c>
      <c r="O626" s="34" t="n">
        <f aca="false">N626+L626</f>
        <v>65.8</v>
      </c>
      <c r="P626" s="34" t="n">
        <f aca="false">N626+M626</f>
        <v>66</v>
      </c>
      <c r="Q626" s="16" t="n">
        <v>73</v>
      </c>
      <c r="R626" s="16" t="n">
        <v>80</v>
      </c>
      <c r="S626" s="34" t="n">
        <f aca="false">(R626*70)/100</f>
        <v>56</v>
      </c>
      <c r="T626" s="34" t="n">
        <f aca="false">ROUNDUP(S626,0)</f>
        <v>56</v>
      </c>
      <c r="U626" s="16" t="n">
        <v>27</v>
      </c>
      <c r="V626" s="34" t="n">
        <f aca="false">U626+S626</f>
        <v>83</v>
      </c>
      <c r="W626" s="34" t="n">
        <f aca="false">U626+T626</f>
        <v>83</v>
      </c>
      <c r="X626" s="16" t="n">
        <v>59</v>
      </c>
      <c r="Y626" s="34" t="n">
        <f aca="false">(X626*70)/100</f>
        <v>41.3</v>
      </c>
      <c r="Z626" s="34" t="n">
        <f aca="false">ROUNDUP(Y626,0)</f>
        <v>42</v>
      </c>
      <c r="AA626" s="16" t="n">
        <v>24</v>
      </c>
      <c r="AB626" s="34" t="n">
        <f aca="false">AA626+Y626</f>
        <v>65.3</v>
      </c>
      <c r="AC626" s="34" t="n">
        <f aca="false">AA626+Z626</f>
        <v>66</v>
      </c>
      <c r="AD626" s="32" t="n">
        <f aca="false">X626+R626+Q626+K626+J626</f>
        <v>355</v>
      </c>
      <c r="AE626" s="16" t="n">
        <f aca="false">AD626/5</f>
        <v>71</v>
      </c>
      <c r="AF626" s="16" t="n">
        <v>76</v>
      </c>
      <c r="AG626" s="16" t="n">
        <v>86</v>
      </c>
      <c r="AH626" s="16" t="n">
        <v>93</v>
      </c>
      <c r="AI626" s="16" t="n">
        <v>86</v>
      </c>
      <c r="AJ626" s="16" t="n">
        <f aca="false">(AI626*70)/100</f>
        <v>60.2</v>
      </c>
      <c r="AK626" s="35" t="n">
        <f aca="false">ROUNDUP(AJ626,0)</f>
        <v>61</v>
      </c>
      <c r="AL626" s="16" t="n">
        <v>26</v>
      </c>
      <c r="AM626" s="16" t="n">
        <f aca="false">AL626+AJ626</f>
        <v>86.2</v>
      </c>
      <c r="AN626" s="16" t="n">
        <f aca="false">AL626+AK626</f>
        <v>87</v>
      </c>
      <c r="AO626" s="16" t="n">
        <v>70</v>
      </c>
      <c r="AP626" s="36" t="n">
        <f aca="false">(AO626*70)/100</f>
        <v>49</v>
      </c>
      <c r="AQ626" s="37" t="n">
        <f aca="false">ROUNDUP(AP626,0)</f>
        <v>49</v>
      </c>
      <c r="AR626" s="16" t="n">
        <v>26</v>
      </c>
      <c r="AS626" s="16" t="n">
        <f aca="false">AR626+AP626</f>
        <v>75</v>
      </c>
      <c r="AT626" s="16" t="n">
        <f aca="false">AR626+AQ626</f>
        <v>75</v>
      </c>
      <c r="AU626" s="16" t="n">
        <f aca="false">AO626+AF626+AI626+AH626+AG626</f>
        <v>411</v>
      </c>
      <c r="AV626" s="16" t="n">
        <f aca="false">(AO626+AF626+AI626+AH626+AG626)/5</f>
        <v>82.2</v>
      </c>
      <c r="AW626" s="36" t="n">
        <f aca="false">(AO626+AF626+AI626+AH626+AG626+X626+R626+Q626+K626+J626)</f>
        <v>766</v>
      </c>
      <c r="AX626" s="16" t="n">
        <f aca="false">AW626/10</f>
        <v>76.6</v>
      </c>
      <c r="AY626" s="16" t="n">
        <f aca="false">AS626+AF626+AM626+AH626+AG626+AB626+V626+Q626+O626+J626</f>
        <v>782.3</v>
      </c>
      <c r="AZ626" s="16" t="n">
        <f aca="false">AT626+AF626+AN626+AH626+AG626+AC626+W626+Q626+P626+J626</f>
        <v>784</v>
      </c>
      <c r="BA626" s="16" t="n">
        <f aca="false">AY626/10</f>
        <v>78.23</v>
      </c>
      <c r="BB626" s="16" t="n">
        <f aca="false">AZ626/10</f>
        <v>78.4</v>
      </c>
      <c r="BC626" s="16" t="n">
        <v>2370</v>
      </c>
      <c r="BD626" s="16" t="n">
        <f aca="false">RANK(AX626,$AX$2:$AX$881,0)</f>
        <v>547</v>
      </c>
      <c r="BE626" s="54" t="n">
        <f aca="false">((BC626*100)/2400)*0.4+(AX626*0.6)</f>
        <v>85.46</v>
      </c>
      <c r="BF626" s="16" t="n">
        <f aca="false">RANK(BE626,$BE$2:$BE$881,0)</f>
        <v>517</v>
      </c>
      <c r="BG626" s="39" t="n">
        <f aca="false">RANK(BB626,$BB$2:$BB$881,0)</f>
        <v>520</v>
      </c>
      <c r="BH626" s="39" t="n">
        <f aca="false">RANK(BC626,$BC$2:$BC$881,0)</f>
        <v>268</v>
      </c>
      <c r="BI626" s="22" t="s">
        <v>130</v>
      </c>
      <c r="BJ626" s="22" t="s">
        <v>129</v>
      </c>
      <c r="BK626" s="40" t="s">
        <v>509</v>
      </c>
      <c r="BL626" s="105" t="n">
        <v>22</v>
      </c>
      <c r="BM626" s="59" t="n">
        <v>61</v>
      </c>
      <c r="BN626" s="59" t="n">
        <v>83</v>
      </c>
      <c r="BO626" s="42" t="n">
        <v>28</v>
      </c>
      <c r="BP626" s="59" t="n">
        <v>50</v>
      </c>
      <c r="BQ626" s="59" t="n">
        <v>78</v>
      </c>
      <c r="BR626" s="74" t="n">
        <v>10</v>
      </c>
      <c r="BS626" s="80"/>
      <c r="BT626" s="80"/>
      <c r="BU626" s="80"/>
      <c r="BV626" s="58" t="n">
        <v>80</v>
      </c>
      <c r="BW626" s="106"/>
      <c r="BX626" s="88" t="n">
        <v>88</v>
      </c>
      <c r="BY626" s="65" t="n">
        <v>22</v>
      </c>
      <c r="BZ626" s="58" t="n">
        <v>49</v>
      </c>
      <c r="CA626" s="58" t="n">
        <v>71</v>
      </c>
      <c r="CB626" s="59" t="n">
        <v>15</v>
      </c>
      <c r="CC626" s="58" t="n">
        <v>53</v>
      </c>
      <c r="CD626" s="58" t="n">
        <v>68</v>
      </c>
      <c r="CE626" s="58" t="n">
        <v>24</v>
      </c>
      <c r="CF626" s="58" t="n">
        <v>39</v>
      </c>
      <c r="CG626" s="58" t="n">
        <v>63</v>
      </c>
      <c r="CH626" s="58" t="n">
        <v>92</v>
      </c>
      <c r="CI626" s="58"/>
      <c r="CJ626" s="58" t="n">
        <v>16</v>
      </c>
      <c r="CK626" s="58" t="n">
        <v>57</v>
      </c>
      <c r="CL626" s="59" t="n">
        <v>73</v>
      </c>
      <c r="CM626" s="60"/>
      <c r="CN626" s="60"/>
      <c r="CO626" s="60"/>
      <c r="CP626" s="25" t="n">
        <f aca="false">BX626+BW626+BV626+BU626+BT626+BQ626+BN626</f>
        <v>329</v>
      </c>
      <c r="CQ626" s="25" t="n">
        <f aca="false">CO626+CL626+CI626+CH626+CG626+CD626+CA626</f>
        <v>367</v>
      </c>
      <c r="CR626" s="26" t="n">
        <f aca="false">CP626/7</f>
        <v>47</v>
      </c>
      <c r="CS626" s="26" t="n">
        <f aca="false">CQ626/7</f>
        <v>52.4285714285714</v>
      </c>
      <c r="CT626" s="24" t="n">
        <f aca="false">RANK(CR626,$CR$2:$CR$881,0)</f>
        <v>742</v>
      </c>
      <c r="CU626" s="25" t="n">
        <f aca="false">RANK(CS626,$CS$2:$CS$881,0)</f>
        <v>714</v>
      </c>
      <c r="CV626" s="26" t="n">
        <f aca="false">(CS626+CR626)/2</f>
        <v>49.7142857142857</v>
      </c>
      <c r="CW626" s="25" t="n">
        <f aca="false">RANK(CV626,$CV$2:$CV$881,0)</f>
        <v>714</v>
      </c>
      <c r="CX626" s="50" t="n">
        <f aca="false">(CV626+BB626)/2</f>
        <v>64.0571428571429</v>
      </c>
      <c r="CY626" s="50" t="n">
        <v>809</v>
      </c>
      <c r="CZ626" s="27" t="s">
        <v>132</v>
      </c>
      <c r="DA626" s="27" t="s">
        <v>133</v>
      </c>
      <c r="DB626" s="27" t="s">
        <v>133</v>
      </c>
      <c r="DC626" s="27" t="s">
        <v>134</v>
      </c>
      <c r="DD626" s="27" t="s">
        <v>182</v>
      </c>
      <c r="DE626" s="27" t="s">
        <v>220</v>
      </c>
      <c r="DF626" s="27" t="s">
        <v>219</v>
      </c>
      <c r="DG626" s="27" t="s">
        <v>134</v>
      </c>
      <c r="DH626" s="27" t="s">
        <v>160</v>
      </c>
      <c r="DI626" s="27" t="s">
        <v>136</v>
      </c>
      <c r="DJ626" s="27" t="s">
        <v>170</v>
      </c>
      <c r="DK626" s="27" t="s">
        <v>134</v>
      </c>
      <c r="DL626" s="27" t="s">
        <v>174</v>
      </c>
      <c r="DM626" s="27" t="s">
        <v>183</v>
      </c>
      <c r="DN626" s="27" t="s">
        <v>219</v>
      </c>
      <c r="DO626" s="27" t="s">
        <v>134</v>
      </c>
      <c r="DP626" s="27" t="s">
        <v>604</v>
      </c>
      <c r="DQ626" s="27" t="s">
        <v>412</v>
      </c>
      <c r="DR626" s="27" t="s">
        <v>141</v>
      </c>
      <c r="DS626" s="27" t="s">
        <v>134</v>
      </c>
      <c r="DT626" s="27" t="s">
        <v>182</v>
      </c>
      <c r="DU626" s="27" t="s">
        <v>220</v>
      </c>
      <c r="DV626" s="27" t="s">
        <v>219</v>
      </c>
      <c r="DW626" s="27" t="s">
        <v>182</v>
      </c>
      <c r="DX626" s="27" t="s">
        <v>143</v>
      </c>
      <c r="DY626" s="27" t="s">
        <v>176</v>
      </c>
      <c r="DZ626" s="27" t="n">
        <f aca="false">DY626+DV626+DR626+DN626+DJ626+DF626+DB626</f>
        <v>578</v>
      </c>
      <c r="EA626" s="28" t="n">
        <f aca="false">DZ626/7</f>
        <v>82.5714285714286</v>
      </c>
      <c r="EB626" s="27" t="n">
        <f aca="false">RANK(EA626,$EA$2:$EA$881,0)</f>
        <v>289</v>
      </c>
      <c r="EC626" s="29" t="n">
        <f aca="false">DZ626+CQ626+CP626+AZ626</f>
        <v>2058</v>
      </c>
      <c r="ED626" s="30" t="n">
        <f aca="false">(EA626+CV626+BB626)/3</f>
        <v>70.2285714285714</v>
      </c>
      <c r="EE626" s="51" t="n">
        <f aca="false">ROUND(BE626,3)</f>
        <v>85.46</v>
      </c>
      <c r="EF626" s="51" t="n">
        <f aca="false">ROUND(CR626,3)</f>
        <v>47</v>
      </c>
      <c r="EG626" s="51" t="n">
        <f aca="false">ROUND(CS626,3)</f>
        <v>52.429</v>
      </c>
      <c r="EH626" s="51" t="n">
        <f aca="false">ROUND(EA626,3)</f>
        <v>82.571</v>
      </c>
      <c r="EI626" s="51" t="n">
        <f aca="false">ROUND(ED626,3)</f>
        <v>70.229</v>
      </c>
      <c r="EJ626" s="51" t="n">
        <f aca="false">ROUND(CV626,3)</f>
        <v>49.714</v>
      </c>
      <c r="EK626" s="0" t="n">
        <f aca="false">RANK(EI626,$EI$2:$EI$881,0)</f>
        <v>625</v>
      </c>
    </row>
    <row r="627" customFormat="false" ht="15" hidden="false" customHeight="false" outlineLevel="0" collapsed="false">
      <c r="A627" s="4" t="n">
        <v>8731</v>
      </c>
      <c r="B627" s="4" t="n">
        <v>792</v>
      </c>
      <c r="C627" s="27" t="s">
        <v>1840</v>
      </c>
      <c r="D627" s="31" t="n">
        <v>811</v>
      </c>
      <c r="E627" s="32" t="n">
        <v>230318373</v>
      </c>
      <c r="F627" s="8" t="s">
        <v>1841</v>
      </c>
      <c r="G627" s="22" t="s">
        <v>1842</v>
      </c>
      <c r="H627" s="22" t="s">
        <v>129</v>
      </c>
      <c r="I627" s="33" t="n">
        <v>2004</v>
      </c>
      <c r="J627" s="32" t="n">
        <v>65</v>
      </c>
      <c r="K627" s="32" t="n">
        <v>78</v>
      </c>
      <c r="L627" s="34" t="n">
        <f aca="false">(K627*70)/100</f>
        <v>54.6</v>
      </c>
      <c r="M627" s="34" t="n">
        <f aca="false">ROUNDUP(L627,0)</f>
        <v>55</v>
      </c>
      <c r="N627" s="32" t="n">
        <v>22</v>
      </c>
      <c r="O627" s="34" t="n">
        <f aca="false">N627+L627</f>
        <v>76.6</v>
      </c>
      <c r="P627" s="34" t="n">
        <f aca="false">N627+M627</f>
        <v>77</v>
      </c>
      <c r="Q627" s="68" t="n">
        <v>59</v>
      </c>
      <c r="R627" s="32" t="n">
        <v>68</v>
      </c>
      <c r="S627" s="34" t="n">
        <f aca="false">(R627*70)/100</f>
        <v>47.6</v>
      </c>
      <c r="T627" s="34" t="n">
        <f aca="false">ROUNDUP(S627,0)</f>
        <v>48</v>
      </c>
      <c r="U627" s="32" t="n">
        <v>15</v>
      </c>
      <c r="V627" s="34" t="n">
        <f aca="false">U627+S627</f>
        <v>62.6</v>
      </c>
      <c r="W627" s="34" t="n">
        <f aca="false">U627+T627</f>
        <v>63</v>
      </c>
      <c r="X627" s="32" t="n">
        <v>66</v>
      </c>
      <c r="Y627" s="34" t="n">
        <f aca="false">(X627*70)/100</f>
        <v>46.2</v>
      </c>
      <c r="Z627" s="34" t="n">
        <f aca="false">ROUNDUP(Y627,0)</f>
        <v>47</v>
      </c>
      <c r="AA627" s="32" t="n">
        <v>24</v>
      </c>
      <c r="AB627" s="34" t="n">
        <f aca="false">AA627+Y627</f>
        <v>70.2</v>
      </c>
      <c r="AC627" s="34" t="n">
        <f aca="false">AA627+Z627</f>
        <v>71</v>
      </c>
      <c r="AD627" s="32" t="n">
        <f aca="false">X627+R627+Q627+K627+J627</f>
        <v>336</v>
      </c>
      <c r="AE627" s="16" t="n">
        <f aca="false">AD627/5</f>
        <v>67.2</v>
      </c>
      <c r="AF627" s="16" t="n">
        <v>75</v>
      </c>
      <c r="AG627" s="16" t="n">
        <v>62</v>
      </c>
      <c r="AH627" s="16" t="n">
        <v>79</v>
      </c>
      <c r="AI627" s="16" t="n">
        <v>57</v>
      </c>
      <c r="AJ627" s="16" t="n">
        <f aca="false">(AI627*70)/100</f>
        <v>39.9</v>
      </c>
      <c r="AK627" s="35" t="n">
        <f aca="false">ROUNDUP(AJ627,0)</f>
        <v>40</v>
      </c>
      <c r="AL627" s="16" t="n">
        <v>23</v>
      </c>
      <c r="AM627" s="16" t="n">
        <f aca="false">AL627+AJ627</f>
        <v>62.9</v>
      </c>
      <c r="AN627" s="16" t="n">
        <f aca="false">AL627+AK627</f>
        <v>63</v>
      </c>
      <c r="AO627" s="16" t="n">
        <v>76</v>
      </c>
      <c r="AP627" s="36" t="n">
        <f aca="false">(AO627*70)/100</f>
        <v>53.2</v>
      </c>
      <c r="AQ627" s="37" t="n">
        <f aca="false">ROUNDUP(AP627,0)</f>
        <v>54</v>
      </c>
      <c r="AR627" s="16" t="n">
        <v>27</v>
      </c>
      <c r="AS627" s="16" t="n">
        <f aca="false">AR627+AP627</f>
        <v>80.2</v>
      </c>
      <c r="AT627" s="16" t="n">
        <f aca="false">AR627+AQ627</f>
        <v>81</v>
      </c>
      <c r="AU627" s="16" t="n">
        <f aca="false">AO627+AF627+AI627+AH627+AG627</f>
        <v>349</v>
      </c>
      <c r="AV627" s="16" t="n">
        <f aca="false">(AO627+AF627+AI627+AH627+AG627)/5</f>
        <v>69.8</v>
      </c>
      <c r="AW627" s="36" t="n">
        <f aca="false">(AO627+AF627+AI627+AH627+AG627+X627+R627+Q627+K627+J627)</f>
        <v>685</v>
      </c>
      <c r="AX627" s="16" t="n">
        <f aca="false">AW627/10</f>
        <v>68.5</v>
      </c>
      <c r="AY627" s="16" t="n">
        <f aca="false">AS627+AF627+AM627+AH627+AG627+AB627+V627+Q627+O627+J627</f>
        <v>692.5</v>
      </c>
      <c r="AZ627" s="16" t="n">
        <f aca="false">AT627+AF627+AN627+AH627+AG627+AC627+W627+Q627+P627+J627</f>
        <v>695</v>
      </c>
      <c r="BA627" s="16" t="n">
        <f aca="false">AY627/10</f>
        <v>69.25</v>
      </c>
      <c r="BB627" s="16" t="n">
        <f aca="false">AZ627/10</f>
        <v>69.5</v>
      </c>
      <c r="BC627" s="16" t="n">
        <v>2331</v>
      </c>
      <c r="BD627" s="16" t="n">
        <f aca="false">RANK(AX627,$AX$2:$AX$881,0)</f>
        <v>747</v>
      </c>
      <c r="BE627" s="78" t="n">
        <f aca="false">((BC627*100)/2400)*0.4+(AX627*0.6)</f>
        <v>79.95</v>
      </c>
      <c r="BF627" s="16" t="n">
        <f aca="false">RANK(BE627,$BE$2:$BE$881,0)</f>
        <v>730</v>
      </c>
      <c r="BG627" s="39" t="n">
        <f aca="false">RANK(BB627,$BB$2:$BB$881,0)</f>
        <v>745</v>
      </c>
      <c r="BH627" s="39" t="n">
        <f aca="false">RANK(BC627,$BC$2:$BC$881,0)</f>
        <v>716</v>
      </c>
      <c r="BI627" s="22" t="s">
        <v>130</v>
      </c>
      <c r="BJ627" s="22" t="s">
        <v>129</v>
      </c>
      <c r="BK627" s="40" t="s">
        <v>702</v>
      </c>
      <c r="BL627" s="98" t="n">
        <v>5</v>
      </c>
      <c r="BM627" s="41" t="n">
        <v>38</v>
      </c>
      <c r="BN627" s="98" t="n">
        <v>43</v>
      </c>
      <c r="BO627" s="42" t="n">
        <v>22</v>
      </c>
      <c r="BP627" s="43" t="n">
        <v>57</v>
      </c>
      <c r="BQ627" s="44" t="n">
        <v>79</v>
      </c>
      <c r="BR627" s="42" t="n">
        <v>15</v>
      </c>
      <c r="BS627" s="45" t="n">
        <v>50</v>
      </c>
      <c r="BT627" s="45" t="n">
        <v>65</v>
      </c>
      <c r="BU627" s="46" t="n">
        <v>89</v>
      </c>
      <c r="BV627" s="47" t="n">
        <v>98</v>
      </c>
      <c r="BW627" s="42" t="n">
        <v>88</v>
      </c>
      <c r="BX627" s="48" t="n">
        <v>68</v>
      </c>
      <c r="BY627" s="32" t="n">
        <v>23</v>
      </c>
      <c r="BZ627" s="32" t="n">
        <v>42</v>
      </c>
      <c r="CA627" s="32" t="n">
        <v>65</v>
      </c>
      <c r="CB627" s="32" t="n">
        <v>20</v>
      </c>
      <c r="CC627" s="32" t="n">
        <v>30</v>
      </c>
      <c r="CD627" s="69" t="n">
        <v>50</v>
      </c>
      <c r="CE627" s="32" t="n">
        <v>26</v>
      </c>
      <c r="CF627" s="32" t="n">
        <v>40</v>
      </c>
      <c r="CG627" s="32" t="n">
        <v>66</v>
      </c>
      <c r="CH627" s="32" t="n">
        <v>89</v>
      </c>
      <c r="CI627" s="32" t="n">
        <v>76</v>
      </c>
      <c r="CJ627" s="49" t="n">
        <v>17</v>
      </c>
      <c r="CK627" s="49" t="n">
        <v>41</v>
      </c>
      <c r="CL627" s="76" t="n">
        <v>58</v>
      </c>
      <c r="CM627" s="49" t="n">
        <v>16</v>
      </c>
      <c r="CN627" s="49" t="n">
        <v>49</v>
      </c>
      <c r="CO627" s="49" t="n">
        <v>65</v>
      </c>
      <c r="CP627" s="25" t="n">
        <f aca="false">BX627+BW627+BV627+BU627+BT627+BQ627+BN627</f>
        <v>530</v>
      </c>
      <c r="CQ627" s="25" t="n">
        <f aca="false">CO627+CL627+CI627+CH627+CG627+CD627+CA627</f>
        <v>469</v>
      </c>
      <c r="CR627" s="26" t="n">
        <f aca="false">CP627/7</f>
        <v>75.7142857142857</v>
      </c>
      <c r="CS627" s="26" t="n">
        <f aca="false">CQ627/7</f>
        <v>67</v>
      </c>
      <c r="CT627" s="24" t="n">
        <f aca="false">RANK(CR627,$CR$2:$CR$881,0)</f>
        <v>639</v>
      </c>
      <c r="CU627" s="25" t="n">
        <f aca="false">RANK(CS627,$CS$2:$CS$881,0)</f>
        <v>598</v>
      </c>
      <c r="CV627" s="26" t="n">
        <f aca="false">(CS627+CR627)/2</f>
        <v>71.3571428571429</v>
      </c>
      <c r="CW627" s="25" t="n">
        <f aca="false">RANK(CV627,$CV$2:$CV$881,0)</f>
        <v>624</v>
      </c>
      <c r="CX627" s="50" t="n">
        <f aca="false">(CV627+BB627)/2</f>
        <v>70.4285714285714</v>
      </c>
      <c r="CY627" s="50" t="n">
        <v>612</v>
      </c>
      <c r="CZ627" s="27" t="s">
        <v>132</v>
      </c>
      <c r="DA627" s="27" t="s">
        <v>169</v>
      </c>
      <c r="DB627" s="27" t="s">
        <v>169</v>
      </c>
      <c r="DC627" s="27" t="s">
        <v>134</v>
      </c>
      <c r="DD627" s="27" t="s">
        <v>182</v>
      </c>
      <c r="DE627" s="27" t="s">
        <v>645</v>
      </c>
      <c r="DF627" s="27" t="s">
        <v>143</v>
      </c>
      <c r="DG627" s="27" t="s">
        <v>134</v>
      </c>
      <c r="DH627" s="27" t="s">
        <v>135</v>
      </c>
      <c r="DI627" s="27" t="s">
        <v>447</v>
      </c>
      <c r="DJ627" s="27" t="s">
        <v>305</v>
      </c>
      <c r="DK627" s="27" t="s">
        <v>134</v>
      </c>
      <c r="DL627" s="27" t="s">
        <v>140</v>
      </c>
      <c r="DM627" s="27" t="s">
        <v>481</v>
      </c>
      <c r="DN627" s="27" t="s">
        <v>187</v>
      </c>
      <c r="DO627" s="27" t="s">
        <v>134</v>
      </c>
      <c r="DP627" s="27" t="s">
        <v>718</v>
      </c>
      <c r="DQ627" s="27" t="s">
        <v>989</v>
      </c>
      <c r="DR627" s="27" t="s">
        <v>304</v>
      </c>
      <c r="DS627" s="27" t="s">
        <v>480</v>
      </c>
      <c r="DT627" s="27" t="s">
        <v>191</v>
      </c>
      <c r="DU627" s="27" t="s">
        <v>1151</v>
      </c>
      <c r="DV627" s="27" t="s">
        <v>313</v>
      </c>
      <c r="DW627" s="27" t="s">
        <v>386</v>
      </c>
      <c r="DX627" s="27" t="s">
        <v>141</v>
      </c>
      <c r="DY627" s="27" t="s">
        <v>175</v>
      </c>
      <c r="DZ627" s="27" t="n">
        <f aca="false">DY627+DV627+DR627+DN627+DJ627+DF627+DB627</f>
        <v>486</v>
      </c>
      <c r="EA627" s="28" t="n">
        <f aca="false">DZ627/7</f>
        <v>69.4285714285714</v>
      </c>
      <c r="EB627" s="27" t="n">
        <f aca="false">RANK(EA627,$EA$2:$EA$881,0)</f>
        <v>664</v>
      </c>
      <c r="EC627" s="29" t="n">
        <f aca="false">DZ627+CQ627+CP627+AZ627</f>
        <v>2180</v>
      </c>
      <c r="ED627" s="30" t="n">
        <f aca="false">(EA627+CV627+BB627)/3</f>
        <v>70.0952380952381</v>
      </c>
      <c r="EE627" s="51" t="n">
        <f aca="false">ROUND(BE627,3)</f>
        <v>79.95</v>
      </c>
      <c r="EF627" s="51" t="n">
        <f aca="false">ROUND(CR627,3)</f>
        <v>75.714</v>
      </c>
      <c r="EG627" s="51" t="n">
        <f aca="false">ROUND(CS627,3)</f>
        <v>67</v>
      </c>
      <c r="EH627" s="51" t="n">
        <f aca="false">ROUND(EA627,3)</f>
        <v>69.429</v>
      </c>
      <c r="EI627" s="51" t="n">
        <f aca="false">ROUND(ED627,3)</f>
        <v>70.095</v>
      </c>
      <c r="EJ627" s="51" t="n">
        <f aca="false">ROUND(CV627,3)</f>
        <v>71.357</v>
      </c>
      <c r="EK627" s="0" t="n">
        <f aca="false">RANK(EI627,$EI$2:$EI$881,0)</f>
        <v>626</v>
      </c>
    </row>
    <row r="628" customFormat="false" ht="33.7" hidden="false" customHeight="false" outlineLevel="0" collapsed="false">
      <c r="A628" s="4" t="n">
        <v>8845</v>
      </c>
      <c r="B628" s="4" t="n">
        <v>709</v>
      </c>
      <c r="C628" s="27" t="s">
        <v>1843</v>
      </c>
      <c r="D628" s="31" t="n">
        <v>723</v>
      </c>
      <c r="E628" s="16" t="n">
        <v>230127740</v>
      </c>
      <c r="F628" s="56" t="s">
        <v>1844</v>
      </c>
      <c r="G628" s="22" t="s">
        <v>389</v>
      </c>
      <c r="H628" s="22" t="s">
        <v>326</v>
      </c>
      <c r="I628" s="57"/>
      <c r="J628" s="16" t="n">
        <v>97</v>
      </c>
      <c r="K628" s="16" t="n">
        <v>69</v>
      </c>
      <c r="L628" s="34" t="n">
        <f aca="false">(K628*70)/100</f>
        <v>48.3</v>
      </c>
      <c r="M628" s="34" t="n">
        <f aca="false">ROUNDUP(L628,0)</f>
        <v>49</v>
      </c>
      <c r="N628" s="16" t="n">
        <v>29</v>
      </c>
      <c r="O628" s="34" t="n">
        <f aca="false">N628+L628</f>
        <v>77.3</v>
      </c>
      <c r="P628" s="34" t="n">
        <f aca="false">N628+M628</f>
        <v>78</v>
      </c>
      <c r="Q628" s="16" t="n">
        <v>75</v>
      </c>
      <c r="R628" s="16" t="n">
        <v>67</v>
      </c>
      <c r="S628" s="34" t="n">
        <f aca="false">(R628*70)/100</f>
        <v>46.9</v>
      </c>
      <c r="T628" s="34" t="n">
        <f aca="false">ROUNDUP(S628,0)</f>
        <v>47</v>
      </c>
      <c r="U628" s="16" t="n">
        <v>27</v>
      </c>
      <c r="V628" s="34" t="n">
        <f aca="false">U628+S628</f>
        <v>73.9</v>
      </c>
      <c r="W628" s="34" t="n">
        <f aca="false">U628+T628</f>
        <v>74</v>
      </c>
      <c r="X628" s="16" t="n">
        <v>68</v>
      </c>
      <c r="Y628" s="34" t="n">
        <f aca="false">(X628*70)/100</f>
        <v>47.6</v>
      </c>
      <c r="Z628" s="34" t="n">
        <f aca="false">ROUNDUP(Y628,0)</f>
        <v>48</v>
      </c>
      <c r="AA628" s="16" t="n">
        <v>28</v>
      </c>
      <c r="AB628" s="34" t="n">
        <f aca="false">AA628+Y628</f>
        <v>75.6</v>
      </c>
      <c r="AC628" s="34" t="n">
        <f aca="false">AA628+Z628</f>
        <v>76</v>
      </c>
      <c r="AD628" s="32" t="n">
        <f aca="false">X628+R628+Q628+K628+J628</f>
        <v>376</v>
      </c>
      <c r="AE628" s="16" t="n">
        <f aca="false">AD628/5</f>
        <v>75.2</v>
      </c>
      <c r="AF628" s="16" t="n">
        <v>78</v>
      </c>
      <c r="AG628" s="16" t="n">
        <v>99</v>
      </c>
      <c r="AH628" s="16" t="n">
        <v>89</v>
      </c>
      <c r="AI628" s="16" t="n">
        <v>83</v>
      </c>
      <c r="AJ628" s="16" t="n">
        <f aca="false">(AI628*70)/100</f>
        <v>58.1</v>
      </c>
      <c r="AK628" s="35" t="n">
        <f aca="false">ROUNDUP(AJ628,0)</f>
        <v>59</v>
      </c>
      <c r="AL628" s="16" t="n">
        <v>26</v>
      </c>
      <c r="AM628" s="16" t="n">
        <f aca="false">AL628+AJ628</f>
        <v>84.1</v>
      </c>
      <c r="AN628" s="16" t="n">
        <f aca="false">AL628+AK628</f>
        <v>85</v>
      </c>
      <c r="AO628" s="16" t="n">
        <v>64</v>
      </c>
      <c r="AP628" s="36" t="n">
        <f aca="false">(AO628*70)/100</f>
        <v>44.8</v>
      </c>
      <c r="AQ628" s="37" t="n">
        <f aca="false">ROUNDUP(AP628,0)</f>
        <v>45</v>
      </c>
      <c r="AR628" s="16" t="n">
        <v>28</v>
      </c>
      <c r="AS628" s="16" t="n">
        <f aca="false">AR628+AP628</f>
        <v>72.8</v>
      </c>
      <c r="AT628" s="16" t="n">
        <f aca="false">AR628+AQ628</f>
        <v>73</v>
      </c>
      <c r="AU628" s="16" t="n">
        <f aca="false">AO628+AF628+AI628+AH628+AG628</f>
        <v>413</v>
      </c>
      <c r="AV628" s="16" t="n">
        <f aca="false">(AO628+AF628+AI628+AH628+AG628)/5</f>
        <v>82.6</v>
      </c>
      <c r="AW628" s="36" t="n">
        <f aca="false">(AO628+AF628+AI628+AH628+AG628+X628+R628+Q628+K628+J628)</f>
        <v>789</v>
      </c>
      <c r="AX628" s="16" t="n">
        <f aca="false">AW628/10</f>
        <v>78.9</v>
      </c>
      <c r="AY628" s="16" t="n">
        <f aca="false">AS628+AF628+AM628+AH628+AG628+AB628+V628+Q628+O628+J628</f>
        <v>821.7</v>
      </c>
      <c r="AZ628" s="16" t="n">
        <f aca="false">AT628+AF628+AN628+AH628+AG628+AC628+W628+Q628+P628+J628</f>
        <v>824</v>
      </c>
      <c r="BA628" s="16" t="n">
        <f aca="false">AY628/10</f>
        <v>82.17</v>
      </c>
      <c r="BB628" s="16" t="n">
        <f aca="false">AZ628/10</f>
        <v>82.4</v>
      </c>
      <c r="BC628" s="16" t="n">
        <v>2337</v>
      </c>
      <c r="BD628" s="16" t="n">
        <f aca="false">RANK(AX628,$AX$2:$AX$881,0)</f>
        <v>339</v>
      </c>
      <c r="BE628" s="54" t="n">
        <f aca="false">((BC628*100)/2400)*0.4+(AX628*0.6)</f>
        <v>86.29</v>
      </c>
      <c r="BF628" s="16" t="n">
        <f aca="false">RANK(BE628,$BE$2:$BE$881,0)</f>
        <v>389</v>
      </c>
      <c r="BG628" s="39" t="n">
        <f aca="false">RANK(BB628,$BB$2:$BB$881,0)</f>
        <v>189</v>
      </c>
      <c r="BH628" s="39" t="n">
        <f aca="false">RANK(BC628,$BC$2:$BC$881,0)</f>
        <v>658</v>
      </c>
      <c r="BI628" s="22" t="s">
        <v>130</v>
      </c>
      <c r="BJ628" s="22" t="s">
        <v>129</v>
      </c>
      <c r="BK628" s="40" t="s">
        <v>131</v>
      </c>
      <c r="BL628" s="41" t="n">
        <v>19</v>
      </c>
      <c r="BM628" s="41" t="n">
        <v>47</v>
      </c>
      <c r="BN628" s="41" t="n">
        <v>66</v>
      </c>
      <c r="BO628" s="42" t="n">
        <v>22</v>
      </c>
      <c r="BP628" s="43" t="n">
        <v>60</v>
      </c>
      <c r="BQ628" s="44" t="n">
        <v>82</v>
      </c>
      <c r="BR628" s="42" t="n">
        <v>22</v>
      </c>
      <c r="BS628" s="45" t="n">
        <v>57</v>
      </c>
      <c r="BT628" s="45" t="n">
        <v>79</v>
      </c>
      <c r="BU628" s="46" t="n">
        <v>100</v>
      </c>
      <c r="BV628" s="47" t="n">
        <v>94</v>
      </c>
      <c r="BW628" s="42" t="n">
        <v>98</v>
      </c>
      <c r="BX628" s="48" t="n">
        <v>82</v>
      </c>
      <c r="BY628" s="25" t="n">
        <v>16</v>
      </c>
      <c r="BZ628" s="25" t="n">
        <v>52</v>
      </c>
      <c r="CA628" s="24" t="n">
        <v>68</v>
      </c>
      <c r="CB628" s="59" t="n">
        <v>16</v>
      </c>
      <c r="CC628" s="58" t="n">
        <v>28</v>
      </c>
      <c r="CD628" s="90" t="n">
        <v>44</v>
      </c>
      <c r="CE628" s="32" t="n">
        <v>26</v>
      </c>
      <c r="CF628" s="32" t="n">
        <v>38</v>
      </c>
      <c r="CG628" s="32" t="n">
        <v>64</v>
      </c>
      <c r="CH628" s="32" t="n">
        <v>96</v>
      </c>
      <c r="CI628" s="32" t="n">
        <v>99</v>
      </c>
      <c r="CJ628" s="83" t="n">
        <v>8</v>
      </c>
      <c r="CK628" s="60"/>
      <c r="CL628" s="61"/>
      <c r="CM628" s="83" t="n">
        <v>9</v>
      </c>
      <c r="CN628" s="60"/>
      <c r="CO628" s="60"/>
      <c r="CP628" s="25" t="n">
        <f aca="false">BX628+BW628+BV628+BU628+BT628+BQ628+BN628</f>
        <v>601</v>
      </c>
      <c r="CQ628" s="25" t="n">
        <f aca="false">CO628+CL628+CI628+CH628+CG628+CD628+CA628</f>
        <v>371</v>
      </c>
      <c r="CR628" s="26" t="n">
        <f aca="false">CP628/7</f>
        <v>85.8571428571429</v>
      </c>
      <c r="CS628" s="26" t="n">
        <f aca="false">CQ628/7</f>
        <v>53</v>
      </c>
      <c r="CT628" s="24" t="n">
        <f aca="false">RANK(CR628,$CR$2:$CR$881,0)</f>
        <v>408</v>
      </c>
      <c r="CU628" s="25" t="n">
        <f aca="false">RANK(CS628,$CS$2:$CS$881,0)</f>
        <v>711</v>
      </c>
      <c r="CV628" s="26" t="n">
        <f aca="false">(CS628+CR628)/2</f>
        <v>69.4285714285714</v>
      </c>
      <c r="CW628" s="25" t="n">
        <f aca="false">RANK(CV628,$CV$2:$CV$881,0)</f>
        <v>638</v>
      </c>
      <c r="CX628" s="50" t="n">
        <f aca="false">(CV628+BB628)/2</f>
        <v>75.9142857142857</v>
      </c>
      <c r="CY628" s="50" t="n">
        <v>551</v>
      </c>
      <c r="CZ628" s="27" t="s">
        <v>132</v>
      </c>
      <c r="DA628" s="27" t="s">
        <v>219</v>
      </c>
      <c r="DB628" s="27" t="s">
        <v>219</v>
      </c>
      <c r="DC628" s="27" t="s">
        <v>134</v>
      </c>
      <c r="DD628" s="27" t="s">
        <v>182</v>
      </c>
      <c r="DE628" s="27" t="s">
        <v>673</v>
      </c>
      <c r="DF628" s="27" t="s">
        <v>163</v>
      </c>
      <c r="DG628" s="27" t="s">
        <v>134</v>
      </c>
      <c r="DH628" s="27" t="s">
        <v>195</v>
      </c>
      <c r="DI628" s="27" t="s">
        <v>1064</v>
      </c>
      <c r="DJ628" s="27" t="s">
        <v>218</v>
      </c>
      <c r="DK628" s="27" t="s">
        <v>480</v>
      </c>
      <c r="DL628" s="27" t="s">
        <v>191</v>
      </c>
      <c r="DM628" s="27" t="s">
        <v>645</v>
      </c>
      <c r="DN628" s="27" t="s">
        <v>152</v>
      </c>
      <c r="DO628" s="27" t="s">
        <v>134</v>
      </c>
      <c r="DP628" s="27"/>
      <c r="DQ628" s="27"/>
      <c r="DR628" s="27"/>
      <c r="DS628" s="27"/>
      <c r="DT628" s="27" t="s">
        <v>135</v>
      </c>
      <c r="DU628" s="27" t="s">
        <v>195</v>
      </c>
      <c r="DV628" s="27" t="s">
        <v>681</v>
      </c>
      <c r="DW628" s="27" t="s">
        <v>140</v>
      </c>
      <c r="DX628" s="27" t="s">
        <v>141</v>
      </c>
      <c r="DY628" s="27" t="s">
        <v>142</v>
      </c>
      <c r="DZ628" s="27" t="n">
        <f aca="false">DY628+DV628+DR628+DN628+DJ628+DF628+DB628</f>
        <v>408</v>
      </c>
      <c r="EA628" s="28" t="n">
        <f aca="false">DZ628/7</f>
        <v>58.2857142857143</v>
      </c>
      <c r="EB628" s="27" t="n">
        <f aca="false">RANK(EA628,$EA$2:$EA$881,0)</f>
        <v>804</v>
      </c>
      <c r="EC628" s="29" t="n">
        <f aca="false">DZ628+CQ628+CP628+AZ628</f>
        <v>2204</v>
      </c>
      <c r="ED628" s="30" t="n">
        <f aca="false">(EA628+CV628+BB628)/3</f>
        <v>70.0380952380952</v>
      </c>
      <c r="EE628" s="51" t="n">
        <f aca="false">ROUND(BE628,3)</f>
        <v>86.29</v>
      </c>
      <c r="EF628" s="51" t="n">
        <f aca="false">ROUND(CR628,3)</f>
        <v>85.857</v>
      </c>
      <c r="EG628" s="51" t="n">
        <f aca="false">ROUND(CS628,3)</f>
        <v>53</v>
      </c>
      <c r="EH628" s="51" t="n">
        <f aca="false">ROUND(EA628,3)</f>
        <v>58.286</v>
      </c>
      <c r="EI628" s="51" t="n">
        <f aca="false">ROUND(ED628,3)</f>
        <v>70.038</v>
      </c>
      <c r="EJ628" s="51" t="n">
        <f aca="false">ROUND(CV628,3)</f>
        <v>69.429</v>
      </c>
      <c r="EK628" s="0" t="n">
        <f aca="false">RANK(EI628,$EI$2:$EI$881,0)</f>
        <v>627</v>
      </c>
    </row>
    <row r="629" customFormat="false" ht="15" hidden="false" customHeight="false" outlineLevel="0" collapsed="false">
      <c r="A629" s="4" t="n">
        <v>2056</v>
      </c>
      <c r="B629" s="4" t="n">
        <v>847</v>
      </c>
      <c r="C629" s="27" t="s">
        <v>1845</v>
      </c>
      <c r="D629" s="31" t="n">
        <v>866</v>
      </c>
      <c r="E629" s="16" t="n">
        <v>230409671</v>
      </c>
      <c r="F629" s="56" t="s">
        <v>1846</v>
      </c>
      <c r="G629" s="22" t="s">
        <v>529</v>
      </c>
      <c r="H629" s="22" t="s">
        <v>271</v>
      </c>
      <c r="I629" s="57"/>
      <c r="J629" s="16" t="n">
        <v>79</v>
      </c>
      <c r="K629" s="16" t="n">
        <v>80</v>
      </c>
      <c r="L629" s="34" t="n">
        <f aca="false">(K629*70)/100</f>
        <v>56</v>
      </c>
      <c r="M629" s="34" t="n">
        <f aca="false">ROUNDUP(L629,0)</f>
        <v>56</v>
      </c>
      <c r="N629" s="16" t="n">
        <v>22</v>
      </c>
      <c r="O629" s="34" t="n">
        <f aca="false">N629+L629</f>
        <v>78</v>
      </c>
      <c r="P629" s="34" t="n">
        <f aca="false">N629+M629</f>
        <v>78</v>
      </c>
      <c r="Q629" s="16" t="n">
        <v>79</v>
      </c>
      <c r="R629" s="16" t="n">
        <v>82</v>
      </c>
      <c r="S629" s="34" t="n">
        <f aca="false">(R629*70)/100</f>
        <v>57.4</v>
      </c>
      <c r="T629" s="34" t="n">
        <f aca="false">ROUNDUP(S629,0)</f>
        <v>58</v>
      </c>
      <c r="U629" s="16" t="n">
        <v>24</v>
      </c>
      <c r="V629" s="34" t="n">
        <f aca="false">U629+S629</f>
        <v>81.4</v>
      </c>
      <c r="W629" s="34" t="n">
        <f aca="false">U629+T629</f>
        <v>82</v>
      </c>
      <c r="X629" s="16" t="n">
        <v>74</v>
      </c>
      <c r="Y629" s="34" t="n">
        <f aca="false">(X629*70)/100</f>
        <v>51.8</v>
      </c>
      <c r="Z629" s="34" t="n">
        <f aca="false">ROUNDUP(Y629,0)</f>
        <v>52</v>
      </c>
      <c r="AA629" s="16" t="n">
        <v>23</v>
      </c>
      <c r="AB629" s="34" t="n">
        <f aca="false">AA629+Y629</f>
        <v>74.8</v>
      </c>
      <c r="AC629" s="34" t="n">
        <f aca="false">AA629+Z629</f>
        <v>75</v>
      </c>
      <c r="AD629" s="32" t="n">
        <f aca="false">X629+R629+Q629+K629+J629</f>
        <v>394</v>
      </c>
      <c r="AE629" s="16" t="n">
        <f aca="false">AD629/5</f>
        <v>78.8</v>
      </c>
      <c r="AF629" s="71" t="n">
        <v>48</v>
      </c>
      <c r="AG629" s="16" t="n">
        <v>80</v>
      </c>
      <c r="AH629" s="16" t="n">
        <v>83</v>
      </c>
      <c r="AI629" s="16" t="n">
        <v>83</v>
      </c>
      <c r="AJ629" s="16" t="n">
        <f aca="false">(AI629*70)/100</f>
        <v>58.1</v>
      </c>
      <c r="AK629" s="35" t="n">
        <f aca="false">ROUNDUP(AJ629,0)</f>
        <v>59</v>
      </c>
      <c r="AL629" s="16" t="n">
        <v>22</v>
      </c>
      <c r="AM629" s="16" t="n">
        <f aca="false">AL629+AJ629</f>
        <v>80.1</v>
      </c>
      <c r="AN629" s="16" t="n">
        <f aca="false">AL629+AK629</f>
        <v>81</v>
      </c>
      <c r="AO629" s="16" t="n">
        <v>72</v>
      </c>
      <c r="AP629" s="36" t="n">
        <f aca="false">(AO629*70)/100</f>
        <v>50.4</v>
      </c>
      <c r="AQ629" s="37" t="n">
        <f aca="false">ROUNDUP(AP629,0)</f>
        <v>51</v>
      </c>
      <c r="AR629" s="16" t="n">
        <v>13</v>
      </c>
      <c r="AS629" s="16" t="n">
        <f aca="false">AR629+AP629</f>
        <v>63.4</v>
      </c>
      <c r="AT629" s="16" t="n">
        <f aca="false">AR629+AQ629</f>
        <v>64</v>
      </c>
      <c r="AU629" s="16" t="n">
        <f aca="false">AO629+AF629+AI629+AH629+AG629</f>
        <v>366</v>
      </c>
      <c r="AV629" s="16" t="n">
        <f aca="false">(AO629+AF629+AI629+AH629+AG629)/5</f>
        <v>73.2</v>
      </c>
      <c r="AW629" s="36" t="n">
        <f aca="false">(AO629+AF629+AI629+AH629+AG629+X629+R629+Q629+K629+J629)</f>
        <v>760</v>
      </c>
      <c r="AX629" s="16" t="n">
        <f aca="false">AW629/10</f>
        <v>76</v>
      </c>
      <c r="AY629" s="16" t="n">
        <f aca="false">AS629+AF629+AM629+AH629+AG629+AB629+V629+Q629+O629+J629</f>
        <v>746.7</v>
      </c>
      <c r="AZ629" s="16" t="n">
        <f aca="false">AT629+AF629+AN629+AH629+AG629+AC629+W629+Q629+P629+J629</f>
        <v>749</v>
      </c>
      <c r="BA629" s="16" t="n">
        <f aca="false">AY629/10</f>
        <v>74.67</v>
      </c>
      <c r="BB629" s="16" t="n">
        <f aca="false">AZ629/10</f>
        <v>74.9</v>
      </c>
      <c r="BC629" s="16" t="n">
        <v>2364</v>
      </c>
      <c r="BD629" s="16" t="n">
        <f aca="false">RANK(AX629,$AX$2:$AX$881,0)</f>
        <v>616</v>
      </c>
      <c r="BE629" s="54" t="n">
        <f aca="false">((BC629*100)/2400)*0.4+(AX629*0.6)</f>
        <v>85</v>
      </c>
      <c r="BF629" s="16" t="n">
        <f aca="false">RANK(BE629,$BE$2:$BE$881,0)</f>
        <v>614</v>
      </c>
      <c r="BG629" s="39" t="n">
        <f aca="false">RANK(BB629,$BB$2:$BB$881,0)</f>
        <v>698</v>
      </c>
      <c r="BH629" s="39" t="n">
        <f aca="false">RANK(BC629,$BC$2:$BC$881,0)</f>
        <v>347</v>
      </c>
      <c r="BI629" s="22" t="s">
        <v>130</v>
      </c>
      <c r="BJ629" s="22" t="s">
        <v>129</v>
      </c>
      <c r="BK629" s="22" t="s">
        <v>509</v>
      </c>
      <c r="BL629" s="41" t="n">
        <v>14</v>
      </c>
      <c r="BM629" s="41" t="n">
        <v>56</v>
      </c>
      <c r="BN629" s="41" t="n">
        <v>70</v>
      </c>
      <c r="BO629" s="42" t="n">
        <v>22</v>
      </c>
      <c r="BP629" s="43" t="n">
        <v>52</v>
      </c>
      <c r="BQ629" s="44" t="n">
        <v>74</v>
      </c>
      <c r="BR629" s="42" t="n">
        <v>24</v>
      </c>
      <c r="BS629" s="77" t="n">
        <v>53</v>
      </c>
      <c r="BT629" s="77" t="n">
        <v>77</v>
      </c>
      <c r="BU629" s="46" t="n">
        <v>98</v>
      </c>
      <c r="BV629" s="47" t="n">
        <v>80</v>
      </c>
      <c r="BW629" s="42" t="n">
        <v>93</v>
      </c>
      <c r="BX629" s="48" t="n">
        <v>90</v>
      </c>
      <c r="BY629" s="32" t="n">
        <v>20</v>
      </c>
      <c r="BZ629" s="32" t="n">
        <v>43</v>
      </c>
      <c r="CA629" s="32" t="n">
        <v>63</v>
      </c>
      <c r="CB629" s="32" t="n">
        <v>20</v>
      </c>
      <c r="CC629" s="32" t="n">
        <v>39</v>
      </c>
      <c r="CD629" s="69" t="n">
        <v>59</v>
      </c>
      <c r="CE629" s="32" t="n">
        <v>26</v>
      </c>
      <c r="CF629" s="32" t="n">
        <v>51</v>
      </c>
      <c r="CG629" s="32" t="n">
        <v>77</v>
      </c>
      <c r="CH629" s="32" t="n">
        <v>95</v>
      </c>
      <c r="CI629" s="25" t="n">
        <v>92</v>
      </c>
      <c r="CJ629" s="49" t="n">
        <v>20</v>
      </c>
      <c r="CK629" s="49" t="n">
        <v>44</v>
      </c>
      <c r="CL629" s="84" t="n">
        <v>64</v>
      </c>
      <c r="CM629" s="49" t="n">
        <v>20</v>
      </c>
      <c r="CN629" s="49" t="n">
        <v>51</v>
      </c>
      <c r="CO629" s="49" t="n">
        <v>71</v>
      </c>
      <c r="CP629" s="25" t="n">
        <f aca="false">BX629+BW629+BV629+BU629+BT629+BQ629+BN629</f>
        <v>582</v>
      </c>
      <c r="CQ629" s="25" t="n">
        <f aca="false">CO629+CL629+CI629+CH629+CG629+CD629+CA629</f>
        <v>521</v>
      </c>
      <c r="CR629" s="26" t="n">
        <f aca="false">CP629/7</f>
        <v>83.1428571428571</v>
      </c>
      <c r="CS629" s="26" t="n">
        <f aca="false">CQ629/7</f>
        <v>74.4285714285714</v>
      </c>
      <c r="CT629" s="24" t="n">
        <f aca="false">RANK(CR629,$CR$2:$CR$881,0)</f>
        <v>514</v>
      </c>
      <c r="CU629" s="25" t="n">
        <f aca="false">RANK(CS629,$CS$2:$CS$881,0)</f>
        <v>443</v>
      </c>
      <c r="CV629" s="26" t="n">
        <f aca="false">(CS629+CR629)/2</f>
        <v>78.7857142857143</v>
      </c>
      <c r="CW629" s="25" t="n">
        <f aca="false">RANK(CV629,$CV$2:$CV$881,0)</f>
        <v>469</v>
      </c>
      <c r="CX629" s="50" t="n">
        <f aca="false">(CV629+BB629)/2</f>
        <v>76.8428571428571</v>
      </c>
      <c r="CY629" s="50" t="n">
        <v>553</v>
      </c>
      <c r="CZ629" s="27" t="s">
        <v>132</v>
      </c>
      <c r="DA629" s="27" t="s">
        <v>202</v>
      </c>
      <c r="DB629" s="27" t="s">
        <v>202</v>
      </c>
      <c r="DC629" s="27" t="s">
        <v>134</v>
      </c>
      <c r="DD629" s="27" t="s">
        <v>174</v>
      </c>
      <c r="DE629" s="27" t="s">
        <v>218</v>
      </c>
      <c r="DF629" s="27" t="s">
        <v>272</v>
      </c>
      <c r="DG629" s="27" t="s">
        <v>134</v>
      </c>
      <c r="DH629" s="27" t="s">
        <v>195</v>
      </c>
      <c r="DI629" s="27" t="s">
        <v>306</v>
      </c>
      <c r="DJ629" s="27" t="s">
        <v>443</v>
      </c>
      <c r="DK629" s="27" t="s">
        <v>134</v>
      </c>
      <c r="DL629" s="27" t="s">
        <v>264</v>
      </c>
      <c r="DM629" s="27" t="s">
        <v>619</v>
      </c>
      <c r="DN629" s="27" t="s">
        <v>264</v>
      </c>
      <c r="DO629" s="27" t="s">
        <v>480</v>
      </c>
      <c r="DP629" s="27"/>
      <c r="DQ629" s="27"/>
      <c r="DR629" s="27"/>
      <c r="DS629" s="27"/>
      <c r="DT629" s="27" t="s">
        <v>264</v>
      </c>
      <c r="DU629" s="27" t="s">
        <v>479</v>
      </c>
      <c r="DV629" s="27" t="s">
        <v>183</v>
      </c>
      <c r="DW629" s="27" t="s">
        <v>191</v>
      </c>
      <c r="DX629" s="27" t="s">
        <v>220</v>
      </c>
      <c r="DY629" s="27" t="s">
        <v>443</v>
      </c>
      <c r="DZ629" s="27" t="n">
        <f aca="false">DY629+DV629+DR629+DN629+DJ629+DF629+DB629</f>
        <v>394</v>
      </c>
      <c r="EA629" s="28" t="n">
        <f aca="false">DZ629/7</f>
        <v>56.2857142857143</v>
      </c>
      <c r="EB629" s="27" t="n">
        <f aca="false">RANK(EA629,$EA$2:$EA$881,0)</f>
        <v>818</v>
      </c>
      <c r="EC629" s="29" t="n">
        <f aca="false">DZ629+CQ629+CP629+AZ629</f>
        <v>2246</v>
      </c>
      <c r="ED629" s="30" t="n">
        <f aca="false">(EA629+CV629+BB629)/3</f>
        <v>69.9904761904762</v>
      </c>
      <c r="EE629" s="51" t="n">
        <f aca="false">ROUND(BE629,3)</f>
        <v>85</v>
      </c>
      <c r="EF629" s="51" t="n">
        <f aca="false">ROUND(CR629,3)</f>
        <v>83.143</v>
      </c>
      <c r="EG629" s="51" t="n">
        <f aca="false">ROUND(CS629,3)</f>
        <v>74.429</v>
      </c>
      <c r="EH629" s="51" t="n">
        <f aca="false">ROUND(EA629,3)</f>
        <v>56.286</v>
      </c>
      <c r="EI629" s="51" t="n">
        <f aca="false">ROUND(ED629,3)</f>
        <v>69.99</v>
      </c>
      <c r="EJ629" s="51" t="n">
        <f aca="false">ROUND(CV629,3)</f>
        <v>78.786</v>
      </c>
      <c r="EK629" s="0" t="n">
        <f aca="false">RANK(EI629,$EI$2:$EI$881,0)</f>
        <v>628</v>
      </c>
    </row>
    <row r="630" customFormat="false" ht="15" hidden="false" customHeight="false" outlineLevel="0" collapsed="false">
      <c r="A630" s="4" t="n">
        <v>9045</v>
      </c>
      <c r="B630" s="4" t="n">
        <v>663</v>
      </c>
      <c r="C630" s="27" t="s">
        <v>1847</v>
      </c>
      <c r="D630" s="31" t="n">
        <v>676</v>
      </c>
      <c r="E630" s="16" t="n">
        <v>230119856</v>
      </c>
      <c r="F630" s="56" t="s">
        <v>1848</v>
      </c>
      <c r="G630" s="22" t="s">
        <v>1849</v>
      </c>
      <c r="H630" s="22" t="s">
        <v>326</v>
      </c>
      <c r="I630" s="57"/>
      <c r="J630" s="16" t="n">
        <v>80</v>
      </c>
      <c r="K630" s="16" t="n">
        <v>93</v>
      </c>
      <c r="L630" s="34" t="n">
        <f aca="false">(K630*70)/100</f>
        <v>65.1</v>
      </c>
      <c r="M630" s="34" t="n">
        <f aca="false">ROUNDUP(L630,0)</f>
        <v>66</v>
      </c>
      <c r="N630" s="16" t="n">
        <v>27</v>
      </c>
      <c r="O630" s="34" t="n">
        <f aca="false">N630+L630</f>
        <v>92.1</v>
      </c>
      <c r="P630" s="34" t="n">
        <f aca="false">N630+M630</f>
        <v>93</v>
      </c>
      <c r="Q630" s="16" t="n">
        <v>63</v>
      </c>
      <c r="R630" s="16" t="n">
        <v>83</v>
      </c>
      <c r="S630" s="34" t="n">
        <f aca="false">(R630*70)/100</f>
        <v>58.1</v>
      </c>
      <c r="T630" s="34" t="n">
        <f aca="false">ROUNDUP(S630,0)</f>
        <v>59</v>
      </c>
      <c r="U630" s="16" t="n">
        <v>26</v>
      </c>
      <c r="V630" s="34" t="n">
        <f aca="false">U630+S630</f>
        <v>84.1</v>
      </c>
      <c r="W630" s="34" t="n">
        <f aca="false">U630+T630</f>
        <v>85</v>
      </c>
      <c r="X630" s="16" t="n">
        <v>70</v>
      </c>
      <c r="Y630" s="34" t="n">
        <f aca="false">(X630*70)/100</f>
        <v>49</v>
      </c>
      <c r="Z630" s="34" t="n">
        <f aca="false">ROUNDUP(Y630,0)</f>
        <v>49</v>
      </c>
      <c r="AA630" s="16" t="n">
        <v>24</v>
      </c>
      <c r="AB630" s="34" t="n">
        <f aca="false">AA630+Y630</f>
        <v>73</v>
      </c>
      <c r="AC630" s="34" t="n">
        <f aca="false">AA630+Z630</f>
        <v>73</v>
      </c>
      <c r="AD630" s="32" t="n">
        <f aca="false">X630+R630+Q630+K630+J630</f>
        <v>389</v>
      </c>
      <c r="AE630" s="16" t="n">
        <f aca="false">AD630/5</f>
        <v>77.8</v>
      </c>
      <c r="AF630" s="16" t="n">
        <v>80</v>
      </c>
      <c r="AG630" s="16" t="n">
        <v>90</v>
      </c>
      <c r="AH630" s="16" t="n">
        <v>93</v>
      </c>
      <c r="AI630" s="16" t="n">
        <v>83</v>
      </c>
      <c r="AJ630" s="16" t="n">
        <f aca="false">(AI630*70)/100</f>
        <v>58.1</v>
      </c>
      <c r="AK630" s="35" t="n">
        <f aca="false">ROUNDUP(AJ630,0)</f>
        <v>59</v>
      </c>
      <c r="AL630" s="16" t="n">
        <v>20</v>
      </c>
      <c r="AM630" s="16" t="n">
        <f aca="false">AL630+AJ630</f>
        <v>78.1</v>
      </c>
      <c r="AN630" s="16" t="n">
        <f aca="false">AL630+AK630</f>
        <v>79</v>
      </c>
      <c r="AO630" s="16" t="n">
        <v>78</v>
      </c>
      <c r="AP630" s="36" t="n">
        <f aca="false">(AO630*70)/100</f>
        <v>54.6</v>
      </c>
      <c r="AQ630" s="37" t="n">
        <f aca="false">ROUNDUP(AP630,0)</f>
        <v>55</v>
      </c>
      <c r="AR630" s="16" t="n">
        <v>27</v>
      </c>
      <c r="AS630" s="16" t="n">
        <f aca="false">AR630+AP630</f>
        <v>81.6</v>
      </c>
      <c r="AT630" s="16" t="n">
        <f aca="false">AR630+AQ630</f>
        <v>82</v>
      </c>
      <c r="AU630" s="16" t="n">
        <f aca="false">AO630+AF630+AI630+AH630+AG630</f>
        <v>424</v>
      </c>
      <c r="AV630" s="16" t="n">
        <f aca="false">(AO630+AF630+AI630+AH630+AG630)/5</f>
        <v>84.8</v>
      </c>
      <c r="AW630" s="36" t="n">
        <f aca="false">(AO630+AF630+AI630+AH630+AG630+X630+R630+Q630+K630+J630)</f>
        <v>813</v>
      </c>
      <c r="AX630" s="16" t="n">
        <f aca="false">AW630/10</f>
        <v>81.3</v>
      </c>
      <c r="AY630" s="16" t="n">
        <f aca="false">AS630+AF630+AM630+AH630+AG630+AB630+V630+Q630+O630+J630</f>
        <v>814.9</v>
      </c>
      <c r="AZ630" s="16" t="n">
        <f aca="false">AT630+AF630+AN630+AH630+AG630+AC630+W630+Q630+P630+J630</f>
        <v>818</v>
      </c>
      <c r="BA630" s="16" t="n">
        <f aca="false">AY630/10</f>
        <v>81.49</v>
      </c>
      <c r="BB630" s="16" t="n">
        <f aca="false">AZ630/10</f>
        <v>81.8</v>
      </c>
      <c r="BC630" s="16" t="n">
        <v>2383</v>
      </c>
      <c r="BD630" s="16" t="n">
        <f aca="false">RANK(AX630,$AX$2:$AX$881,0)</f>
        <v>198</v>
      </c>
      <c r="BE630" s="54" t="n">
        <f aca="false">((BC630*100)/2400)*0.4+(AX630*0.6)</f>
        <v>88.4966666666667</v>
      </c>
      <c r="BF630" s="16" t="n">
        <f aca="false">RANK(BE630,$BE$2:$BE$881,0)</f>
        <v>161</v>
      </c>
      <c r="BG630" s="39" t="n">
        <f aca="false">RANK(BB630,$BB$2:$BB$881,0)</f>
        <v>222</v>
      </c>
      <c r="BH630" s="39" t="n">
        <f aca="false">RANK(BC630,$BC$2:$BC$881,0)</f>
        <v>114</v>
      </c>
      <c r="BI630" s="22" t="s">
        <v>130</v>
      </c>
      <c r="BJ630" s="22" t="s">
        <v>129</v>
      </c>
      <c r="BK630" s="40" t="s">
        <v>131</v>
      </c>
      <c r="BL630" s="41" t="n">
        <v>19</v>
      </c>
      <c r="BM630" s="41" t="n">
        <v>50</v>
      </c>
      <c r="BN630" s="127" t="n">
        <v>69</v>
      </c>
      <c r="BO630" s="42" t="n">
        <v>24</v>
      </c>
      <c r="BP630" s="43" t="n">
        <v>50</v>
      </c>
      <c r="BQ630" s="44" t="n">
        <v>74</v>
      </c>
      <c r="BR630" s="42" t="n">
        <v>22</v>
      </c>
      <c r="BS630" s="45" t="n">
        <v>49</v>
      </c>
      <c r="BT630" s="45" t="n">
        <v>71</v>
      </c>
      <c r="BU630" s="46" t="n">
        <v>96</v>
      </c>
      <c r="BV630" s="47" t="n">
        <v>96</v>
      </c>
      <c r="BW630" s="42" t="n">
        <v>99</v>
      </c>
      <c r="BX630" s="48" t="n">
        <v>92</v>
      </c>
      <c r="BY630" s="32" t="n">
        <v>18</v>
      </c>
      <c r="BZ630" s="32" t="n">
        <v>53</v>
      </c>
      <c r="CA630" s="48" t="n">
        <v>71</v>
      </c>
      <c r="CB630" s="32" t="n">
        <v>19</v>
      </c>
      <c r="CC630" s="32" t="n">
        <v>28</v>
      </c>
      <c r="CD630" s="69" t="n">
        <v>47</v>
      </c>
      <c r="CE630" s="32" t="n">
        <v>28</v>
      </c>
      <c r="CF630" s="32" t="n">
        <v>42</v>
      </c>
      <c r="CG630" s="32" t="n">
        <v>70</v>
      </c>
      <c r="CH630" s="32" t="n">
        <v>90</v>
      </c>
      <c r="CI630" s="32" t="n">
        <v>90</v>
      </c>
      <c r="CJ630" s="83" t="n">
        <v>6</v>
      </c>
      <c r="CK630" s="60"/>
      <c r="CL630" s="61"/>
      <c r="CM630" s="49" t="n">
        <v>15</v>
      </c>
      <c r="CN630" s="49" t="n">
        <v>48</v>
      </c>
      <c r="CO630" s="84" t="n">
        <v>63</v>
      </c>
      <c r="CP630" s="25" t="n">
        <f aca="false">BX630+BW630+BV630+BU630+BT630+BQ630+BN630</f>
        <v>597</v>
      </c>
      <c r="CQ630" s="25" t="n">
        <f aca="false">CO630+CL630+CI630+CH630+CG630+CD630+CA630</f>
        <v>431</v>
      </c>
      <c r="CR630" s="26" t="n">
        <f aca="false">CP630/7</f>
        <v>85.2857142857143</v>
      </c>
      <c r="CS630" s="26" t="n">
        <f aca="false">CQ630/7</f>
        <v>61.5714285714286</v>
      </c>
      <c r="CT630" s="24" t="n">
        <f aca="false">RANK(CR630,$CR$2:$CR$881,0)</f>
        <v>425</v>
      </c>
      <c r="CU630" s="25" t="n">
        <f aca="false">RANK(CS630,$CS$2:$CS$881,0)</f>
        <v>667</v>
      </c>
      <c r="CV630" s="26" t="n">
        <f aca="false">(CS630+CR630)/2</f>
        <v>73.4285714285714</v>
      </c>
      <c r="CW630" s="25" t="n">
        <f aca="false">RANK(CV630,$CV$2:$CV$881,0)</f>
        <v>595</v>
      </c>
      <c r="CX630" s="50" t="n">
        <f aca="false">(CV630+BB630)/2</f>
        <v>77.6142857142857</v>
      </c>
      <c r="CY630" s="50" t="n">
        <v>522</v>
      </c>
      <c r="CZ630" s="27" t="s">
        <v>132</v>
      </c>
      <c r="DA630" s="27" t="s">
        <v>486</v>
      </c>
      <c r="DB630" s="27" t="s">
        <v>486</v>
      </c>
      <c r="DC630" s="27" t="s">
        <v>134</v>
      </c>
      <c r="DD630" s="27" t="s">
        <v>485</v>
      </c>
      <c r="DE630" s="27" t="s">
        <v>218</v>
      </c>
      <c r="DF630" s="27" t="s">
        <v>372</v>
      </c>
      <c r="DG630" s="27" t="s">
        <v>134</v>
      </c>
      <c r="DH630" s="27" t="s">
        <v>135</v>
      </c>
      <c r="DI630" s="27" t="s">
        <v>399</v>
      </c>
      <c r="DJ630" s="27" t="s">
        <v>486</v>
      </c>
      <c r="DK630" s="27" t="s">
        <v>134</v>
      </c>
      <c r="DL630" s="27" t="s">
        <v>135</v>
      </c>
      <c r="DM630" s="27" t="s">
        <v>638</v>
      </c>
      <c r="DN630" s="27" t="s">
        <v>155</v>
      </c>
      <c r="DO630" s="27" t="s">
        <v>134</v>
      </c>
      <c r="DP630" s="27"/>
      <c r="DQ630" s="27"/>
      <c r="DR630" s="27"/>
      <c r="DS630" s="27"/>
      <c r="DT630" s="27"/>
      <c r="DU630" s="27"/>
      <c r="DV630" s="27"/>
      <c r="DW630" s="27" t="s">
        <v>174</v>
      </c>
      <c r="DX630" s="27" t="s">
        <v>138</v>
      </c>
      <c r="DY630" s="27" t="s">
        <v>170</v>
      </c>
      <c r="DZ630" s="27" t="n">
        <f aca="false">DY630+DV630+DR630+DN630+DJ630+DF630+DB630</f>
        <v>381</v>
      </c>
      <c r="EA630" s="28" t="n">
        <f aca="false">DZ630/7</f>
        <v>54.4285714285714</v>
      </c>
      <c r="EB630" s="27" t="n">
        <f aca="false">RANK(EA630,$EA$2:$EA$881,0)</f>
        <v>828</v>
      </c>
      <c r="EC630" s="29" t="n">
        <f aca="false">DZ630+CQ630+CP630+AZ630</f>
        <v>2227</v>
      </c>
      <c r="ED630" s="30" t="n">
        <f aca="false">(EA630+CV630+BB630)/3</f>
        <v>69.8857142857143</v>
      </c>
      <c r="EE630" s="51" t="n">
        <f aca="false">ROUND(BE630,3)</f>
        <v>88.497</v>
      </c>
      <c r="EF630" s="51" t="n">
        <f aca="false">ROUND(CR630,3)</f>
        <v>85.286</v>
      </c>
      <c r="EG630" s="51" t="n">
        <f aca="false">ROUND(CS630,3)</f>
        <v>61.571</v>
      </c>
      <c r="EH630" s="51" t="n">
        <f aca="false">ROUND(EA630,3)</f>
        <v>54.429</v>
      </c>
      <c r="EI630" s="51" t="n">
        <f aca="false">ROUND(ED630,3)</f>
        <v>69.886</v>
      </c>
      <c r="EJ630" s="51" t="n">
        <f aca="false">ROUND(CV630,3)</f>
        <v>73.429</v>
      </c>
      <c r="EK630" s="0" t="n">
        <f aca="false">RANK(EI630,$EI$2:$EI$881,0)</f>
        <v>629</v>
      </c>
    </row>
    <row r="631" customFormat="false" ht="15" hidden="false" customHeight="false" outlineLevel="0" collapsed="false">
      <c r="A631" s="4" t="n">
        <v>8729</v>
      </c>
      <c r="B631" s="4" t="n">
        <v>840</v>
      </c>
      <c r="C631" s="27" t="s">
        <v>1850</v>
      </c>
      <c r="D631" s="31" t="n">
        <v>860</v>
      </c>
      <c r="E631" s="32" t="n">
        <v>230319776</v>
      </c>
      <c r="F631" s="8" t="s">
        <v>1851</v>
      </c>
      <c r="G631" s="22" t="s">
        <v>749</v>
      </c>
      <c r="H631" s="22" t="s">
        <v>129</v>
      </c>
      <c r="I631" s="33" t="n">
        <v>2005</v>
      </c>
      <c r="J631" s="32" t="n">
        <v>73</v>
      </c>
      <c r="K631" s="32" t="n">
        <v>52</v>
      </c>
      <c r="L631" s="34" t="n">
        <f aca="false">(K631*70)/100</f>
        <v>36.4</v>
      </c>
      <c r="M631" s="34" t="n">
        <f aca="false">ROUNDUP(L631,0)</f>
        <v>37</v>
      </c>
      <c r="N631" s="32" t="n">
        <v>23</v>
      </c>
      <c r="O631" s="34" t="n">
        <f aca="false">N631+L631</f>
        <v>59.4</v>
      </c>
      <c r="P631" s="34" t="n">
        <f aca="false">N631+M631</f>
        <v>60</v>
      </c>
      <c r="Q631" s="68" t="n">
        <v>55</v>
      </c>
      <c r="R631" s="32" t="n">
        <v>58</v>
      </c>
      <c r="S631" s="34" t="n">
        <f aca="false">(R631*70)/100</f>
        <v>40.6</v>
      </c>
      <c r="T631" s="34" t="n">
        <f aca="false">ROUNDUP(S631,0)</f>
        <v>41</v>
      </c>
      <c r="U631" s="32" t="n">
        <v>20</v>
      </c>
      <c r="V631" s="34" t="n">
        <f aca="false">U631+S631</f>
        <v>60.6</v>
      </c>
      <c r="W631" s="34" t="n">
        <f aca="false">U631+T631</f>
        <v>61</v>
      </c>
      <c r="X631" s="32" t="n">
        <v>56</v>
      </c>
      <c r="Y631" s="34" t="n">
        <f aca="false">(X631*70)/100</f>
        <v>39.2</v>
      </c>
      <c r="Z631" s="34" t="n">
        <f aca="false">ROUNDUP(Y631,0)</f>
        <v>40</v>
      </c>
      <c r="AA631" s="32" t="n">
        <v>23</v>
      </c>
      <c r="AB631" s="34" t="n">
        <f aca="false">AA631+Y631</f>
        <v>62.2</v>
      </c>
      <c r="AC631" s="34" t="n">
        <f aca="false">AA631+Z631</f>
        <v>63</v>
      </c>
      <c r="AD631" s="32" t="n">
        <f aca="false">X631+R631+Q631+K631+J631</f>
        <v>294</v>
      </c>
      <c r="AE631" s="16" t="n">
        <f aca="false">AD631/5</f>
        <v>58.8</v>
      </c>
      <c r="AF631" s="16" t="n">
        <v>68</v>
      </c>
      <c r="AG631" s="16" t="n">
        <v>78</v>
      </c>
      <c r="AH631" s="16" t="n">
        <v>80</v>
      </c>
      <c r="AI631" s="16" t="n">
        <v>75</v>
      </c>
      <c r="AJ631" s="16" t="n">
        <f aca="false">(AI631*70)/100</f>
        <v>52.5</v>
      </c>
      <c r="AK631" s="35" t="n">
        <f aca="false">ROUNDUP(AJ631,0)</f>
        <v>53</v>
      </c>
      <c r="AL631" s="16" t="n">
        <v>26</v>
      </c>
      <c r="AM631" s="16" t="n">
        <f aca="false">AL631+AJ631</f>
        <v>78.5</v>
      </c>
      <c r="AN631" s="16" t="n">
        <f aca="false">AL631+AK631</f>
        <v>79</v>
      </c>
      <c r="AO631" s="16" t="n">
        <v>62</v>
      </c>
      <c r="AP631" s="36" t="n">
        <f aca="false">(AO631*70)/100</f>
        <v>43.4</v>
      </c>
      <c r="AQ631" s="37" t="n">
        <f aca="false">ROUNDUP(AP631,0)</f>
        <v>44</v>
      </c>
      <c r="AR631" s="16" t="n">
        <v>27</v>
      </c>
      <c r="AS631" s="16" t="n">
        <f aca="false">AR631+AP631</f>
        <v>70.4</v>
      </c>
      <c r="AT631" s="16" t="n">
        <f aca="false">AR631+AQ631</f>
        <v>71</v>
      </c>
      <c r="AU631" s="16" t="n">
        <f aca="false">AO631+AF631+AI631+AH631+AG631</f>
        <v>363</v>
      </c>
      <c r="AV631" s="16" t="n">
        <f aca="false">(AO631+AF631+AI631+AH631+AG631)/5</f>
        <v>72.6</v>
      </c>
      <c r="AW631" s="36" t="n">
        <f aca="false">(AO631+AF631+AI631+AH631+AG631+X631+R631+Q631+K631+J631)</f>
        <v>657</v>
      </c>
      <c r="AX631" s="16" t="n">
        <f aca="false">AW631/10</f>
        <v>65.7</v>
      </c>
      <c r="AY631" s="16" t="n">
        <f aca="false">AS631+AF631+AM631+AH631+AG631+AB631+V631+Q631+O631+J631</f>
        <v>685.1</v>
      </c>
      <c r="AZ631" s="16" t="n">
        <f aca="false">AT631+AF631+AN631+AH631+AG631+AC631+W631+Q631+P631+J631</f>
        <v>688</v>
      </c>
      <c r="BA631" s="16" t="n">
        <f aca="false">AY631/10</f>
        <v>68.51</v>
      </c>
      <c r="BB631" s="16" t="n">
        <f aca="false">AZ631/10</f>
        <v>68.8</v>
      </c>
      <c r="BC631" s="16" t="n">
        <v>2361</v>
      </c>
      <c r="BD631" s="16" t="n">
        <f aca="false">RANK(AX631,$AX$2:$AX$881,0)</f>
        <v>762</v>
      </c>
      <c r="BE631" s="78" t="n">
        <f aca="false">((BC631*100)/2400)*0.4+(AX631*0.6)</f>
        <v>78.77</v>
      </c>
      <c r="BF631" s="16" t="n">
        <f aca="false">RANK(BE631,$BE$2:$BE$881,0)</f>
        <v>739</v>
      </c>
      <c r="BG631" s="39" t="n">
        <f aca="false">RANK(BB631,$BB$2:$BB$881,0)</f>
        <v>751</v>
      </c>
      <c r="BH631" s="39" t="n">
        <f aca="false">RANK(BC631,$BC$2:$BC$881,0)</f>
        <v>382</v>
      </c>
      <c r="BI631" s="22" t="s">
        <v>130</v>
      </c>
      <c r="BJ631" s="22" t="s">
        <v>129</v>
      </c>
      <c r="BK631" s="40" t="s">
        <v>702</v>
      </c>
      <c r="BL631" s="41" t="n">
        <v>19</v>
      </c>
      <c r="BM631" s="41" t="n">
        <v>44</v>
      </c>
      <c r="BN631" s="41" t="n">
        <v>63</v>
      </c>
      <c r="BO631" s="42" t="n">
        <v>24</v>
      </c>
      <c r="BP631" s="43" t="n">
        <v>44</v>
      </c>
      <c r="BQ631" s="44" t="n">
        <v>68</v>
      </c>
      <c r="BR631" s="42" t="n">
        <v>23</v>
      </c>
      <c r="BS631" s="45" t="n">
        <v>46</v>
      </c>
      <c r="BT631" s="45" t="n">
        <v>69</v>
      </c>
      <c r="BU631" s="46" t="n">
        <v>100</v>
      </c>
      <c r="BV631" s="47" t="n">
        <v>90</v>
      </c>
      <c r="BW631" s="42" t="n">
        <v>92</v>
      </c>
      <c r="BX631" s="48" t="n">
        <v>76</v>
      </c>
      <c r="BY631" s="32" t="n">
        <v>23</v>
      </c>
      <c r="BZ631" s="32" t="n">
        <v>53</v>
      </c>
      <c r="CA631" s="48" t="n">
        <v>76</v>
      </c>
      <c r="CB631" s="32" t="n">
        <v>19</v>
      </c>
      <c r="CC631" s="32" t="n">
        <v>32</v>
      </c>
      <c r="CD631" s="69" t="n">
        <v>51</v>
      </c>
      <c r="CE631" s="32" t="n">
        <v>25</v>
      </c>
      <c r="CF631" s="32" t="n">
        <v>33</v>
      </c>
      <c r="CG631" s="69" t="n">
        <v>58</v>
      </c>
      <c r="CH631" s="32" t="n">
        <v>92</v>
      </c>
      <c r="CI631" s="32" t="n">
        <v>76</v>
      </c>
      <c r="CJ631" s="49" t="n">
        <v>26</v>
      </c>
      <c r="CK631" s="49" t="n">
        <v>41</v>
      </c>
      <c r="CL631" s="49" t="n">
        <v>67</v>
      </c>
      <c r="CM631" s="49" t="n">
        <v>24</v>
      </c>
      <c r="CN631" s="49" t="n">
        <v>38</v>
      </c>
      <c r="CO631" s="49" t="n">
        <v>62</v>
      </c>
      <c r="CP631" s="25" t="n">
        <f aca="false">BX631+BW631+BV631+BU631+BT631+BQ631+BN631</f>
        <v>558</v>
      </c>
      <c r="CQ631" s="25" t="n">
        <f aca="false">CO631+CL631+CI631+CH631+CG631+CD631+CA631</f>
        <v>482</v>
      </c>
      <c r="CR631" s="26" t="n">
        <f aca="false">CP631/7</f>
        <v>79.7142857142857</v>
      </c>
      <c r="CS631" s="26" t="n">
        <f aca="false">CQ631/7</f>
        <v>68.8571428571429</v>
      </c>
      <c r="CT631" s="24" t="n">
        <f aca="false">RANK(CR631,$CR$2:$CR$881,0)</f>
        <v>590</v>
      </c>
      <c r="CU631" s="25" t="n">
        <f aca="false">RANK(CS631,$CS$2:$CS$881,0)</f>
        <v>572</v>
      </c>
      <c r="CV631" s="26" t="n">
        <f aca="false">(CS631+CR631)/2</f>
        <v>74.2857142857143</v>
      </c>
      <c r="CW631" s="25" t="n">
        <f aca="false">RANK(CV631,$CV$2:$CV$881,0)</f>
        <v>580</v>
      </c>
      <c r="CX631" s="50" t="n">
        <f aca="false">(CV631+BB631)/2</f>
        <v>71.5428571428571</v>
      </c>
      <c r="CY631" s="50" t="n">
        <v>606</v>
      </c>
      <c r="CZ631" s="27" t="s">
        <v>132</v>
      </c>
      <c r="DA631" s="27" t="s">
        <v>443</v>
      </c>
      <c r="DB631" s="27" t="s">
        <v>443</v>
      </c>
      <c r="DC631" s="27" t="s">
        <v>134</v>
      </c>
      <c r="DD631" s="27" t="s">
        <v>154</v>
      </c>
      <c r="DE631" s="27" t="s">
        <v>638</v>
      </c>
      <c r="DF631" s="27" t="s">
        <v>143</v>
      </c>
      <c r="DG631" s="27" t="s">
        <v>134</v>
      </c>
      <c r="DH631" s="27" t="s">
        <v>264</v>
      </c>
      <c r="DI631" s="27" t="s">
        <v>1309</v>
      </c>
      <c r="DJ631" s="27" t="s">
        <v>304</v>
      </c>
      <c r="DK631" s="27" t="s">
        <v>480</v>
      </c>
      <c r="DL631" s="27" t="s">
        <v>174</v>
      </c>
      <c r="DM631" s="27" t="s">
        <v>645</v>
      </c>
      <c r="DN631" s="27" t="s">
        <v>187</v>
      </c>
      <c r="DO631" s="27" t="s">
        <v>134</v>
      </c>
      <c r="DP631" s="27" t="s">
        <v>604</v>
      </c>
      <c r="DQ631" s="27" t="s">
        <v>897</v>
      </c>
      <c r="DR631" s="27" t="s">
        <v>204</v>
      </c>
      <c r="DS631" s="27" t="s">
        <v>480</v>
      </c>
      <c r="DT631" s="27" t="s">
        <v>154</v>
      </c>
      <c r="DU631" s="27" t="s">
        <v>146</v>
      </c>
      <c r="DV631" s="27" t="s">
        <v>447</v>
      </c>
      <c r="DW631" s="27" t="s">
        <v>135</v>
      </c>
      <c r="DX631" s="27" t="s">
        <v>163</v>
      </c>
      <c r="DY631" s="27" t="s">
        <v>153</v>
      </c>
      <c r="DZ631" s="27" t="n">
        <f aca="false">DY631+DV631+DR631+DN631+DJ631+DF631+DB631</f>
        <v>466</v>
      </c>
      <c r="EA631" s="28" t="n">
        <f aca="false">DZ631/7</f>
        <v>66.5714285714286</v>
      </c>
      <c r="EB631" s="27" t="n">
        <f aca="false">RANK(EA631,$EA$2:$EA$881,0)</f>
        <v>710</v>
      </c>
      <c r="EC631" s="29" t="n">
        <f aca="false">DZ631+CQ631+CP631+AZ631</f>
        <v>2194</v>
      </c>
      <c r="ED631" s="30" t="n">
        <f aca="false">(EA631+CV631+BB631)/3</f>
        <v>69.8857142857143</v>
      </c>
      <c r="EE631" s="51" t="n">
        <f aca="false">ROUND(BE631,3)</f>
        <v>78.77</v>
      </c>
      <c r="EF631" s="51" t="n">
        <f aca="false">ROUND(CR631,3)</f>
        <v>79.714</v>
      </c>
      <c r="EG631" s="51" t="n">
        <f aca="false">ROUND(CS631,3)</f>
        <v>68.857</v>
      </c>
      <c r="EH631" s="51" t="n">
        <f aca="false">ROUND(EA631,3)</f>
        <v>66.571</v>
      </c>
      <c r="EI631" s="51" t="n">
        <f aca="false">ROUND(ED631,3)</f>
        <v>69.886</v>
      </c>
      <c r="EJ631" s="51" t="n">
        <f aca="false">ROUND(CV631,3)</f>
        <v>74.286</v>
      </c>
      <c r="EK631" s="0" t="n">
        <f aca="false">RANK(EI631,$EI$2:$EI$881,0)</f>
        <v>629</v>
      </c>
    </row>
    <row r="632" customFormat="false" ht="15" hidden="false" customHeight="false" outlineLevel="0" collapsed="false">
      <c r="A632" s="4" t="n">
        <v>8855</v>
      </c>
      <c r="B632" s="4" t="n">
        <v>865</v>
      </c>
      <c r="C632" s="27" t="s">
        <v>1852</v>
      </c>
      <c r="D632" s="52" t="n">
        <v>885</v>
      </c>
      <c r="E632" s="109" t="n">
        <v>230313119</v>
      </c>
      <c r="F632" s="110" t="s">
        <v>1853</v>
      </c>
      <c r="G632" s="109" t="s">
        <v>243</v>
      </c>
      <c r="H632" s="109" t="s">
        <v>129</v>
      </c>
      <c r="I632" s="19" t="n">
        <v>2005</v>
      </c>
      <c r="J632" s="128" t="n">
        <v>54</v>
      </c>
      <c r="K632" s="111" t="n">
        <v>40</v>
      </c>
      <c r="L632" s="112" t="n">
        <f aca="false">(K632*70)/100</f>
        <v>28</v>
      </c>
      <c r="M632" s="112" t="n">
        <f aca="false">ROUNDUP(L632,0)</f>
        <v>28</v>
      </c>
      <c r="N632" s="111" t="n">
        <v>24</v>
      </c>
      <c r="O632" s="112" t="n">
        <f aca="false">N632+L632</f>
        <v>52</v>
      </c>
      <c r="P632" s="112" t="n">
        <f aca="false">N632+M632</f>
        <v>52</v>
      </c>
      <c r="Q632" s="113" t="n">
        <v>48</v>
      </c>
      <c r="R632" s="111" t="n">
        <v>61</v>
      </c>
      <c r="S632" s="112" t="n">
        <f aca="false">(R632*70)/100</f>
        <v>42.7</v>
      </c>
      <c r="T632" s="112" t="n">
        <f aca="false">ROUNDUP(S632,0)</f>
        <v>43</v>
      </c>
      <c r="U632" s="111" t="n">
        <v>24</v>
      </c>
      <c r="V632" s="112" t="n">
        <f aca="false">U632+S632</f>
        <v>66.7</v>
      </c>
      <c r="W632" s="112" t="n">
        <f aca="false">U632+T632</f>
        <v>67</v>
      </c>
      <c r="X632" s="111" t="n">
        <v>49</v>
      </c>
      <c r="Y632" s="112" t="n">
        <f aca="false">(X632*70)/100</f>
        <v>34.3</v>
      </c>
      <c r="Z632" s="112" t="n">
        <f aca="false">ROUNDUP(Y632,0)</f>
        <v>35</v>
      </c>
      <c r="AA632" s="111" t="n">
        <v>21</v>
      </c>
      <c r="AB632" s="112" t="n">
        <f aca="false">AA632+Y632</f>
        <v>55.3</v>
      </c>
      <c r="AC632" s="112" t="n">
        <f aca="false">AA632+Z632</f>
        <v>56</v>
      </c>
      <c r="AD632" s="111" t="n">
        <f aca="false">X632+R632+Q632+K632+J632</f>
        <v>252</v>
      </c>
      <c r="AE632" s="114" t="n">
        <v>50.4</v>
      </c>
      <c r="AF632" s="19" t="n">
        <v>64</v>
      </c>
      <c r="AG632" s="19" t="n">
        <v>53</v>
      </c>
      <c r="AH632" s="19" t="n">
        <v>59</v>
      </c>
      <c r="AI632" s="19" t="n">
        <v>67</v>
      </c>
      <c r="AJ632" s="19" t="n">
        <f aca="false">(AI632*70)/100</f>
        <v>46.9</v>
      </c>
      <c r="AK632" s="115" t="n">
        <f aca="false">ROUNDUP(AJ632,0)</f>
        <v>47</v>
      </c>
      <c r="AL632" s="19" t="n">
        <v>22</v>
      </c>
      <c r="AM632" s="19" t="n">
        <f aca="false">AL632+AJ632</f>
        <v>68.9</v>
      </c>
      <c r="AN632" s="19" t="n">
        <f aca="false">AL632+AK632</f>
        <v>69</v>
      </c>
      <c r="AO632" s="19" t="n">
        <v>36</v>
      </c>
      <c r="AP632" s="116" t="n">
        <f aca="false">(AO632*70)/100</f>
        <v>25.2</v>
      </c>
      <c r="AQ632" s="117" t="n">
        <f aca="false">ROUNDUP(AP632,0)</f>
        <v>26</v>
      </c>
      <c r="AR632" s="19" t="n">
        <v>23</v>
      </c>
      <c r="AS632" s="19" t="n">
        <f aca="false">AR632+AP632</f>
        <v>48.2</v>
      </c>
      <c r="AT632" s="19" t="n">
        <f aca="false">AR632+AQ632</f>
        <v>49</v>
      </c>
      <c r="AU632" s="19" t="n">
        <f aca="false">AO632+AF632+AI632+AH632+AG632</f>
        <v>279</v>
      </c>
      <c r="AV632" s="19" t="n">
        <f aca="false">(AO632+AF632+AI632+AH632+AG632)/5</f>
        <v>55.8</v>
      </c>
      <c r="AW632" s="116" t="n">
        <f aca="false">(AO632+AF632+AI632+AH632+AG632+X632+R632+Q632+K632+J632)</f>
        <v>531</v>
      </c>
      <c r="AX632" s="16" t="n">
        <f aca="false">AW632/10</f>
        <v>53.1</v>
      </c>
      <c r="AY632" s="16" t="n">
        <f aca="false">AS632+AF632+AM632+AH632+AG632+AB632+V632+Q632+O632+J632</f>
        <v>569.1</v>
      </c>
      <c r="AZ632" s="16" t="n">
        <f aca="false">AT632+AF632+AN632+AH632+AG632+AC632+W632+Q632+P632+J632</f>
        <v>571</v>
      </c>
      <c r="BA632" s="16" t="n">
        <f aca="false">AY632/10</f>
        <v>56.91</v>
      </c>
      <c r="BB632" s="16" t="n">
        <f aca="false">AZ632/10</f>
        <v>57.1</v>
      </c>
      <c r="BC632" s="16" t="n">
        <v>2230</v>
      </c>
      <c r="BD632" s="16" t="n">
        <f aca="false">RANK(AX632,$AX$2:$AX$881,0)</f>
        <v>802</v>
      </c>
      <c r="BE632" s="20" t="n">
        <f aca="false">((BC632*100)/2400)*0.4+(AX632*0.6)</f>
        <v>69.0266666666667</v>
      </c>
      <c r="BF632" s="16" t="n">
        <f aca="false">RANK(BE632,$BE$2:$BE$881,0)</f>
        <v>792</v>
      </c>
      <c r="BG632" s="39" t="n">
        <f aca="false">RANK(BB632,$BB$2:$BB$881,0)</f>
        <v>796</v>
      </c>
      <c r="BH632" s="39" t="n">
        <f aca="false">RANK(BC632,$BC$2:$BC$881,0)</f>
        <v>768</v>
      </c>
      <c r="BI632" s="19" t="s">
        <v>130</v>
      </c>
      <c r="BJ632" s="19" t="s">
        <v>129</v>
      </c>
      <c r="BK632" s="109" t="s">
        <v>1596</v>
      </c>
      <c r="BL632" s="44" t="n">
        <v>18</v>
      </c>
      <c r="BM632" s="44" t="n">
        <v>45</v>
      </c>
      <c r="BN632" s="44" t="n">
        <v>63</v>
      </c>
      <c r="BO632" s="44" t="n">
        <v>20</v>
      </c>
      <c r="BP632" s="43" t="n">
        <v>64</v>
      </c>
      <c r="BQ632" s="44" t="n">
        <v>84</v>
      </c>
      <c r="BR632" s="42" t="n">
        <v>25</v>
      </c>
      <c r="BS632" s="45" t="n">
        <v>58</v>
      </c>
      <c r="BT632" s="45" t="n">
        <v>83</v>
      </c>
      <c r="BU632" s="46" t="n">
        <v>100</v>
      </c>
      <c r="BV632" s="43" t="n">
        <v>68</v>
      </c>
      <c r="BW632" s="44" t="n">
        <v>93</v>
      </c>
      <c r="BX632" s="48" t="n">
        <v>100</v>
      </c>
      <c r="BY632" s="32" t="n">
        <v>22</v>
      </c>
      <c r="BZ632" s="32" t="n">
        <v>47</v>
      </c>
      <c r="CA632" s="32" t="n">
        <v>69</v>
      </c>
      <c r="CB632" s="32" t="n">
        <v>24</v>
      </c>
      <c r="CC632" s="32" t="n">
        <v>41</v>
      </c>
      <c r="CD632" s="32" t="n">
        <v>65</v>
      </c>
      <c r="CE632" s="32" t="n">
        <v>20</v>
      </c>
      <c r="CF632" s="32" t="n">
        <v>38</v>
      </c>
      <c r="CG632" s="69" t="n">
        <v>58</v>
      </c>
      <c r="CH632" s="32" t="n">
        <v>96</v>
      </c>
      <c r="CI632" s="25" t="n">
        <v>78</v>
      </c>
      <c r="CJ632" s="49" t="n">
        <v>22</v>
      </c>
      <c r="CK632" s="49" t="n">
        <v>46</v>
      </c>
      <c r="CL632" s="49" t="n">
        <v>68</v>
      </c>
      <c r="CM632" s="49" t="n">
        <v>19</v>
      </c>
      <c r="CN632" s="49" t="n">
        <v>52</v>
      </c>
      <c r="CO632" s="49" t="n">
        <v>71</v>
      </c>
      <c r="CP632" s="25" t="n">
        <f aca="false">BX632+BW632+BV632+BU632+BT632+BQ632+BN632</f>
        <v>591</v>
      </c>
      <c r="CQ632" s="25" t="n">
        <f aca="false">CO632+CL632+CI632+CH632+CG632+CD632+CA632</f>
        <v>505</v>
      </c>
      <c r="CR632" s="26" t="n">
        <f aca="false">CP632/7</f>
        <v>84.4285714285714</v>
      </c>
      <c r="CS632" s="26" t="n">
        <f aca="false">CQ632/7</f>
        <v>72.1428571428571</v>
      </c>
      <c r="CT632" s="24" t="n">
        <f aca="false">RANK(CR632,$CR$2:$CR$881,0)</f>
        <v>459</v>
      </c>
      <c r="CU632" s="25" t="n">
        <f aca="false">RANK(CS632,$CS$2:$CS$881,0)</f>
        <v>505</v>
      </c>
      <c r="CV632" s="26" t="n">
        <f aca="false">(CS632+CR632)/2</f>
        <v>78.2857142857143</v>
      </c>
      <c r="CW632" s="25" t="n">
        <f aca="false">RANK(CV632,$CV$2:$CV$881,0)</f>
        <v>484</v>
      </c>
      <c r="CX632" s="50" t="n">
        <f aca="false">(CV632+BB632)/2</f>
        <v>67.6928571428571</v>
      </c>
      <c r="CY632" s="50" t="n">
        <v>625</v>
      </c>
      <c r="CZ632" s="27" t="s">
        <v>132</v>
      </c>
      <c r="DA632" s="27" t="s">
        <v>272</v>
      </c>
      <c r="DB632" s="27" t="s">
        <v>272</v>
      </c>
      <c r="DC632" s="27" t="s">
        <v>134</v>
      </c>
      <c r="DD632" s="27" t="s">
        <v>135</v>
      </c>
      <c r="DE632" s="27" t="s">
        <v>183</v>
      </c>
      <c r="DF632" s="27" t="s">
        <v>169</v>
      </c>
      <c r="DG632" s="27" t="s">
        <v>134</v>
      </c>
      <c r="DH632" s="27" t="s">
        <v>182</v>
      </c>
      <c r="DI632" s="27" t="s">
        <v>989</v>
      </c>
      <c r="DJ632" s="27" t="s">
        <v>187</v>
      </c>
      <c r="DK632" s="27" t="s">
        <v>134</v>
      </c>
      <c r="DL632" s="27" t="s">
        <v>604</v>
      </c>
      <c r="DM632" s="27" t="s">
        <v>447</v>
      </c>
      <c r="DN632" s="27" t="s">
        <v>138</v>
      </c>
      <c r="DO632" s="27" t="s">
        <v>134</v>
      </c>
      <c r="DP632" s="27" t="s">
        <v>386</v>
      </c>
      <c r="DQ632" s="27" t="s">
        <v>399</v>
      </c>
      <c r="DR632" s="27" t="s">
        <v>187</v>
      </c>
      <c r="DS632" s="27" t="s">
        <v>134</v>
      </c>
      <c r="DT632" s="27" t="s">
        <v>195</v>
      </c>
      <c r="DU632" s="27" t="s">
        <v>645</v>
      </c>
      <c r="DV632" s="27" t="s">
        <v>163</v>
      </c>
      <c r="DW632" s="27" t="s">
        <v>174</v>
      </c>
      <c r="DX632" s="27" t="s">
        <v>138</v>
      </c>
      <c r="DY632" s="27" t="s">
        <v>170</v>
      </c>
      <c r="DZ632" s="27" t="n">
        <f aca="false">DY632+DV632+DR632+DN632+DJ632+DF632+DB632</f>
        <v>519</v>
      </c>
      <c r="EA632" s="28" t="n">
        <f aca="false">DZ632/7</f>
        <v>74.1428571428571</v>
      </c>
      <c r="EB632" s="27" t="n">
        <f aca="false">RANK(EA632,$EA$2:$EA$881,0)</f>
        <v>560</v>
      </c>
      <c r="EC632" s="29" t="n">
        <f aca="false">DZ632+CQ632+CP632+AZ632</f>
        <v>2186</v>
      </c>
      <c r="ED632" s="30" t="n">
        <f aca="false">(EA632+CV632+BB632)/3</f>
        <v>69.8428571428571</v>
      </c>
      <c r="EE632" s="51" t="n">
        <f aca="false">ROUND(BE632,3)</f>
        <v>69.027</v>
      </c>
      <c r="EF632" s="51" t="n">
        <f aca="false">ROUND(CR632,3)</f>
        <v>84.429</v>
      </c>
      <c r="EG632" s="51" t="n">
        <f aca="false">ROUND(CS632,3)</f>
        <v>72.143</v>
      </c>
      <c r="EH632" s="51" t="n">
        <f aca="false">ROUND(EA632,3)</f>
        <v>74.143</v>
      </c>
      <c r="EI632" s="51" t="n">
        <f aca="false">ROUND(ED632,3)</f>
        <v>69.843</v>
      </c>
      <c r="EJ632" s="51" t="n">
        <f aca="false">ROUND(CV632,3)</f>
        <v>78.286</v>
      </c>
      <c r="EK632" s="0" t="n">
        <f aca="false">RANK(EI632,$EI$2:$EI$881,0)</f>
        <v>631</v>
      </c>
    </row>
    <row r="633" customFormat="false" ht="15" hidden="false" customHeight="false" outlineLevel="0" collapsed="false">
      <c r="A633" s="4" t="n">
        <v>8977</v>
      </c>
      <c r="B633" s="4" t="n">
        <v>342</v>
      </c>
      <c r="C633" s="27" t="s">
        <v>1854</v>
      </c>
      <c r="D633" s="31" t="n">
        <v>344</v>
      </c>
      <c r="E633" s="16" t="n">
        <v>230614224</v>
      </c>
      <c r="F633" s="56" t="s">
        <v>1855</v>
      </c>
      <c r="G633" s="22" t="s">
        <v>545</v>
      </c>
      <c r="H633" s="22" t="s">
        <v>558</v>
      </c>
      <c r="I633" s="57"/>
      <c r="J633" s="120" t="n">
        <v>58</v>
      </c>
      <c r="K633" s="16" t="n">
        <v>72</v>
      </c>
      <c r="L633" s="34" t="n">
        <f aca="false">(K633*70)/100</f>
        <v>50.4</v>
      </c>
      <c r="M633" s="34" t="n">
        <f aca="false">ROUNDUP(L633,0)</f>
        <v>51</v>
      </c>
      <c r="N633" s="16" t="n">
        <v>20</v>
      </c>
      <c r="O633" s="34" t="n">
        <f aca="false">N633+L633</f>
        <v>70.4</v>
      </c>
      <c r="P633" s="34" t="n">
        <f aca="false">N633+M633</f>
        <v>71</v>
      </c>
      <c r="Q633" s="16" t="n">
        <v>71</v>
      </c>
      <c r="R633" s="16" t="n">
        <v>68</v>
      </c>
      <c r="S633" s="34" t="n">
        <f aca="false">(R633*70)/100</f>
        <v>47.6</v>
      </c>
      <c r="T633" s="34" t="n">
        <f aca="false">ROUNDUP(S633,0)</f>
        <v>48</v>
      </c>
      <c r="U633" s="16" t="n">
        <v>24</v>
      </c>
      <c r="V633" s="34" t="n">
        <f aca="false">U633+S633</f>
        <v>71.6</v>
      </c>
      <c r="W633" s="34" t="n">
        <f aca="false">U633+T633</f>
        <v>72</v>
      </c>
      <c r="X633" s="16" t="n">
        <v>61</v>
      </c>
      <c r="Y633" s="34" t="n">
        <f aca="false">(X633*70)/100</f>
        <v>42.7</v>
      </c>
      <c r="Z633" s="34" t="n">
        <f aca="false">ROUNDUP(Y633,0)</f>
        <v>43</v>
      </c>
      <c r="AA633" s="16" t="n">
        <v>23</v>
      </c>
      <c r="AB633" s="34" t="n">
        <f aca="false">AA633+Y633</f>
        <v>65.7</v>
      </c>
      <c r="AC633" s="34" t="n">
        <f aca="false">AA633+Z633</f>
        <v>66</v>
      </c>
      <c r="AD633" s="32" t="n">
        <f aca="false">X633+R633+Q633+K633+J633</f>
        <v>330</v>
      </c>
      <c r="AE633" s="16" t="n">
        <f aca="false">AD633/5</f>
        <v>66</v>
      </c>
      <c r="AF633" s="16" t="n">
        <v>61</v>
      </c>
      <c r="AG633" s="71" t="n">
        <v>53</v>
      </c>
      <c r="AH633" s="16" t="n">
        <v>68</v>
      </c>
      <c r="AI633" s="16" t="n">
        <v>70</v>
      </c>
      <c r="AJ633" s="16" t="n">
        <f aca="false">(AI633*70)/100</f>
        <v>49</v>
      </c>
      <c r="AK633" s="35" t="n">
        <f aca="false">ROUNDUP(AJ633,0)</f>
        <v>49</v>
      </c>
      <c r="AL633" s="16" t="n">
        <v>22</v>
      </c>
      <c r="AM633" s="16" t="n">
        <f aca="false">AL633+AJ633</f>
        <v>71</v>
      </c>
      <c r="AN633" s="16" t="n">
        <f aca="false">AL633+AK633</f>
        <v>71</v>
      </c>
      <c r="AO633" s="16" t="n">
        <v>66</v>
      </c>
      <c r="AP633" s="36" t="n">
        <f aca="false">(AO633*70)/100</f>
        <v>46.2</v>
      </c>
      <c r="AQ633" s="37" t="n">
        <f aca="false">ROUNDUP(AP633,0)</f>
        <v>47</v>
      </c>
      <c r="AR633" s="16" t="n">
        <v>27</v>
      </c>
      <c r="AS633" s="16" t="n">
        <f aca="false">AR633+AP633</f>
        <v>73.2</v>
      </c>
      <c r="AT633" s="16" t="n">
        <f aca="false">AR633+AQ633</f>
        <v>74</v>
      </c>
      <c r="AU633" s="16" t="n">
        <f aca="false">AO633+AF633+AI633+AH633+AG633</f>
        <v>318</v>
      </c>
      <c r="AV633" s="16" t="n">
        <f aca="false">(AO633+AF633+AI633+AH633+AG633)/5</f>
        <v>63.6</v>
      </c>
      <c r="AW633" s="36" t="n">
        <f aca="false">(AO633+AF633+AI633+AH633+AG633+X633+R633+Q633+K633+J633)</f>
        <v>648</v>
      </c>
      <c r="AX633" s="16" t="n">
        <f aca="false">AW633/10</f>
        <v>64.8</v>
      </c>
      <c r="AY633" s="16" t="n">
        <f aca="false">AS633+AF633+AM633+AH633+AG633+AB633+V633+Q633+O633+J633</f>
        <v>662.9</v>
      </c>
      <c r="AZ633" s="16" t="n">
        <f aca="false">AT633+AF633+AN633+AH633+AG633+AC633+W633+Q633+P633+J633</f>
        <v>665</v>
      </c>
      <c r="BA633" s="16" t="n">
        <f aca="false">AY633/10</f>
        <v>66.29</v>
      </c>
      <c r="BB633" s="16" t="n">
        <f aca="false">AZ633/10</f>
        <v>66.5</v>
      </c>
      <c r="BC633" s="16" t="n">
        <v>2336</v>
      </c>
      <c r="BD633" s="16" t="n">
        <f aca="false">RANK(AX633,$AX$2:$AX$881,0)</f>
        <v>767</v>
      </c>
      <c r="BE633" s="78" t="n">
        <f aca="false">((BC633*100)/2400)*0.4+(AX633*0.6)</f>
        <v>77.8133333333333</v>
      </c>
      <c r="BF633" s="16" t="n">
        <f aca="false">RANK(BE633,$BE$2:$BE$881,0)</f>
        <v>747</v>
      </c>
      <c r="BG633" s="39" t="n">
        <f aca="false">RANK(BB633,$BB$2:$BB$881,0)</f>
        <v>774</v>
      </c>
      <c r="BH633" s="39" t="n">
        <f aca="false">RANK(BC633,$BC$2:$BC$881,0)</f>
        <v>670</v>
      </c>
      <c r="BI633" s="22" t="s">
        <v>130</v>
      </c>
      <c r="BJ633" s="22" t="s">
        <v>129</v>
      </c>
      <c r="BK633" s="40" t="s">
        <v>702</v>
      </c>
      <c r="BL633" s="41" t="n">
        <v>22</v>
      </c>
      <c r="BM633" s="41" t="n">
        <v>41</v>
      </c>
      <c r="BN633" s="41" t="n">
        <v>63</v>
      </c>
      <c r="BO633" s="42" t="n">
        <v>24</v>
      </c>
      <c r="BP633" s="43" t="n">
        <v>44</v>
      </c>
      <c r="BQ633" s="44" t="n">
        <v>68</v>
      </c>
      <c r="BR633" s="42" t="n">
        <v>22</v>
      </c>
      <c r="BS633" s="45" t="n">
        <v>56</v>
      </c>
      <c r="BT633" s="45" t="n">
        <v>78</v>
      </c>
      <c r="BU633" s="46" t="n">
        <v>96</v>
      </c>
      <c r="BV633" s="47" t="n">
        <v>66</v>
      </c>
      <c r="BW633" s="42" t="n">
        <v>96</v>
      </c>
      <c r="BX633" s="88" t="n">
        <v>88</v>
      </c>
      <c r="BY633" s="65" t="n">
        <v>30</v>
      </c>
      <c r="BZ633" s="58" t="n">
        <v>33</v>
      </c>
      <c r="CA633" s="58" t="n">
        <v>63</v>
      </c>
      <c r="CB633" s="59" t="n">
        <v>11</v>
      </c>
      <c r="CC633" s="58" t="n">
        <v>50</v>
      </c>
      <c r="CD633" s="58" t="n">
        <v>61</v>
      </c>
      <c r="CE633" s="58" t="n">
        <v>14</v>
      </c>
      <c r="CF633" s="58" t="n">
        <v>43</v>
      </c>
      <c r="CG633" s="90" t="n">
        <v>57</v>
      </c>
      <c r="CH633" s="58" t="n">
        <v>81</v>
      </c>
      <c r="CI633" s="58" t="n">
        <v>89</v>
      </c>
      <c r="CJ633" s="58" t="n">
        <v>21</v>
      </c>
      <c r="CK633" s="58" t="n">
        <v>57</v>
      </c>
      <c r="CL633" s="59" t="n">
        <v>78</v>
      </c>
      <c r="CM633" s="60"/>
      <c r="CN633" s="60"/>
      <c r="CO633" s="60"/>
      <c r="CP633" s="25" t="n">
        <f aca="false">BX633+BW633+BV633+BU633+BT633+BQ633+BN633</f>
        <v>555</v>
      </c>
      <c r="CQ633" s="25" t="n">
        <f aca="false">CO633+CL633+CI633+CH633+CG633+CD633+CA633</f>
        <v>429</v>
      </c>
      <c r="CR633" s="26" t="n">
        <f aca="false">CP633/7</f>
        <v>79.2857142857143</v>
      </c>
      <c r="CS633" s="26" t="n">
        <f aca="false">CQ633/7</f>
        <v>61.2857142857143</v>
      </c>
      <c r="CT633" s="24" t="n">
        <f aca="false">RANK(CR633,$CR$2:$CR$881,0)</f>
        <v>597</v>
      </c>
      <c r="CU633" s="25" t="n">
        <f aca="false">RANK(CS633,$CS$2:$CS$881,0)</f>
        <v>670</v>
      </c>
      <c r="CV633" s="26" t="n">
        <f aca="false">(CS633+CR633)/2</f>
        <v>70.2857142857143</v>
      </c>
      <c r="CW633" s="25" t="n">
        <f aca="false">RANK(CV633,$CV$2:$CV$881,0)</f>
        <v>633</v>
      </c>
      <c r="CX633" s="50" t="n">
        <f aca="false">(CV633+BB633)/2</f>
        <v>68.3928571428571</v>
      </c>
      <c r="CY633" s="50" t="n">
        <v>709</v>
      </c>
      <c r="CZ633" s="27" t="s">
        <v>132</v>
      </c>
      <c r="DA633" s="27" t="s">
        <v>272</v>
      </c>
      <c r="DB633" s="27" t="s">
        <v>272</v>
      </c>
      <c r="DC633" s="27" t="s">
        <v>134</v>
      </c>
      <c r="DD633" s="27" t="s">
        <v>264</v>
      </c>
      <c r="DE633" s="27" t="s">
        <v>447</v>
      </c>
      <c r="DF633" s="27" t="s">
        <v>398</v>
      </c>
      <c r="DG633" s="27" t="s">
        <v>134</v>
      </c>
      <c r="DH633" s="27" t="s">
        <v>154</v>
      </c>
      <c r="DI633" s="27" t="s">
        <v>645</v>
      </c>
      <c r="DJ633" s="27" t="s">
        <v>141</v>
      </c>
      <c r="DK633" s="27" t="s">
        <v>134</v>
      </c>
      <c r="DL633" s="27" t="s">
        <v>386</v>
      </c>
      <c r="DM633" s="27" t="s">
        <v>412</v>
      </c>
      <c r="DN633" s="27" t="s">
        <v>138</v>
      </c>
      <c r="DO633" s="27" t="s">
        <v>134</v>
      </c>
      <c r="DP633" s="27" t="s">
        <v>191</v>
      </c>
      <c r="DQ633" s="27" t="s">
        <v>481</v>
      </c>
      <c r="DR633" s="27" t="s">
        <v>218</v>
      </c>
      <c r="DS633" s="27" t="s">
        <v>480</v>
      </c>
      <c r="DT633" s="27" t="s">
        <v>135</v>
      </c>
      <c r="DU633" s="27" t="s">
        <v>399</v>
      </c>
      <c r="DV633" s="27" t="s">
        <v>486</v>
      </c>
      <c r="DW633" s="27" t="s">
        <v>191</v>
      </c>
      <c r="DX633" s="27" t="s">
        <v>155</v>
      </c>
      <c r="DY633" s="27" t="s">
        <v>153</v>
      </c>
      <c r="DZ633" s="27" t="n">
        <f aca="false">DY633+DV633+DR633+DN633+DJ633+DF633+DB633</f>
        <v>507</v>
      </c>
      <c r="EA633" s="28" t="n">
        <f aca="false">DZ633/7</f>
        <v>72.4285714285714</v>
      </c>
      <c r="EB633" s="27" t="n">
        <f aca="false">RANK(EA633,$EA$2:$EA$881,0)</f>
        <v>602</v>
      </c>
      <c r="EC633" s="29" t="n">
        <f aca="false">DZ633+CQ633+CP633+AZ633</f>
        <v>2156</v>
      </c>
      <c r="ED633" s="30" t="n">
        <f aca="false">(EA633+CV633+BB633)/3</f>
        <v>69.7380952380952</v>
      </c>
      <c r="EE633" s="51" t="n">
        <f aca="false">ROUND(BE633,3)</f>
        <v>77.813</v>
      </c>
      <c r="EF633" s="51" t="n">
        <f aca="false">ROUND(CR633,3)</f>
        <v>79.286</v>
      </c>
      <c r="EG633" s="51" t="n">
        <f aca="false">ROUND(CS633,3)</f>
        <v>61.286</v>
      </c>
      <c r="EH633" s="51" t="n">
        <f aca="false">ROUND(EA633,3)</f>
        <v>72.429</v>
      </c>
      <c r="EI633" s="51" t="n">
        <f aca="false">ROUND(ED633,3)</f>
        <v>69.738</v>
      </c>
      <c r="EJ633" s="51" t="n">
        <f aca="false">ROUND(CV633,3)</f>
        <v>70.286</v>
      </c>
      <c r="EK633" s="0" t="n">
        <f aca="false">RANK(EI633,$EI$2:$EI$881,0)</f>
        <v>632</v>
      </c>
    </row>
    <row r="634" customFormat="false" ht="15" hidden="false" customHeight="false" outlineLevel="0" collapsed="false">
      <c r="A634" s="4" t="n">
        <v>2007</v>
      </c>
      <c r="B634" s="4" t="n">
        <v>726</v>
      </c>
      <c r="C634" s="27" t="s">
        <v>1856</v>
      </c>
      <c r="D634" s="31" t="n">
        <v>741</v>
      </c>
      <c r="E634" s="16" t="n">
        <v>230506580</v>
      </c>
      <c r="F634" s="56" t="s">
        <v>1857</v>
      </c>
      <c r="G634" s="22" t="s">
        <v>352</v>
      </c>
      <c r="H634" s="22" t="s">
        <v>558</v>
      </c>
      <c r="I634" s="57"/>
      <c r="J634" s="16" t="n">
        <v>75</v>
      </c>
      <c r="K634" s="16" t="n">
        <v>67</v>
      </c>
      <c r="L634" s="34" t="n">
        <f aca="false">(K634*70)/100</f>
        <v>46.9</v>
      </c>
      <c r="M634" s="34" t="n">
        <f aca="false">ROUNDUP(L634,0)</f>
        <v>47</v>
      </c>
      <c r="N634" s="16" t="n">
        <v>23</v>
      </c>
      <c r="O634" s="34" t="n">
        <f aca="false">N634+L634</f>
        <v>69.9</v>
      </c>
      <c r="P634" s="34" t="n">
        <f aca="false">N634+M634</f>
        <v>70</v>
      </c>
      <c r="Q634" s="71" t="n">
        <v>54</v>
      </c>
      <c r="R634" s="16" t="n">
        <v>70</v>
      </c>
      <c r="S634" s="34" t="n">
        <f aca="false">(R634*70)/100</f>
        <v>49</v>
      </c>
      <c r="T634" s="34" t="n">
        <f aca="false">ROUNDUP(S634,0)</f>
        <v>49</v>
      </c>
      <c r="U634" s="16" t="n">
        <v>26</v>
      </c>
      <c r="V634" s="34" t="n">
        <f aca="false">U634+S634</f>
        <v>75</v>
      </c>
      <c r="W634" s="34" t="n">
        <f aca="false">U634+T634</f>
        <v>75</v>
      </c>
      <c r="X634" s="16" t="n">
        <v>73</v>
      </c>
      <c r="Y634" s="34" t="n">
        <f aca="false">(X634*70)/100</f>
        <v>51.1</v>
      </c>
      <c r="Z634" s="34" t="n">
        <f aca="false">ROUNDUP(Y634,0)</f>
        <v>52</v>
      </c>
      <c r="AA634" s="16" t="n">
        <v>28</v>
      </c>
      <c r="AB634" s="34" t="n">
        <f aca="false">AA634+Y634</f>
        <v>79.1</v>
      </c>
      <c r="AC634" s="34" t="n">
        <f aca="false">AA634+Z634</f>
        <v>80</v>
      </c>
      <c r="AD634" s="32" t="n">
        <f aca="false">X634+R634+Q634+K634+J634</f>
        <v>339</v>
      </c>
      <c r="AE634" s="16" t="n">
        <f aca="false">AD634/5</f>
        <v>67.8</v>
      </c>
      <c r="AF634" s="16" t="n">
        <v>81</v>
      </c>
      <c r="AG634" s="16" t="n">
        <v>82</v>
      </c>
      <c r="AH634" s="16" t="n">
        <v>92</v>
      </c>
      <c r="AI634" s="16" t="n">
        <v>93</v>
      </c>
      <c r="AJ634" s="16" t="n">
        <f aca="false">(AI634*70)/100</f>
        <v>65.1</v>
      </c>
      <c r="AK634" s="35" t="n">
        <f aca="false">ROUNDUP(AJ634,0)</f>
        <v>66</v>
      </c>
      <c r="AL634" s="16" t="n">
        <v>26</v>
      </c>
      <c r="AM634" s="16" t="n">
        <f aca="false">AL634+AJ634</f>
        <v>91.1</v>
      </c>
      <c r="AN634" s="16" t="n">
        <f aca="false">AL634+AK634</f>
        <v>92</v>
      </c>
      <c r="AO634" s="16" t="n">
        <v>75</v>
      </c>
      <c r="AP634" s="36" t="n">
        <f aca="false">(AO634*70)/100</f>
        <v>52.5</v>
      </c>
      <c r="AQ634" s="37" t="n">
        <f aca="false">ROUNDUP(AP634,0)</f>
        <v>53</v>
      </c>
      <c r="AR634" s="16" t="n">
        <v>30</v>
      </c>
      <c r="AS634" s="16" t="n">
        <f aca="false">AR634+AP634</f>
        <v>82.5</v>
      </c>
      <c r="AT634" s="16" t="n">
        <f aca="false">AR634+AQ634</f>
        <v>83</v>
      </c>
      <c r="AU634" s="16" t="n">
        <f aca="false">AO634+AF634+AI634+AH634+AG634</f>
        <v>423</v>
      </c>
      <c r="AV634" s="16" t="n">
        <f aca="false">(AO634+AF634+AI634+AH634+AG634)/5</f>
        <v>84.6</v>
      </c>
      <c r="AW634" s="36" t="n">
        <f aca="false">(AO634+AF634+AI634+AH634+AG634+X634+R634+Q634+K634+J634)</f>
        <v>762</v>
      </c>
      <c r="AX634" s="16" t="n">
        <f aca="false">AW634/10</f>
        <v>76.2</v>
      </c>
      <c r="AY634" s="16" t="n">
        <f aca="false">AS634+AF634+AM634+AH634+AG634+AB634+V634+Q634+O634+J634</f>
        <v>781.6</v>
      </c>
      <c r="AZ634" s="16" t="n">
        <f aca="false">AT634+AF634+AN634+AH634+AG634+AC634+W634+Q634+P634+J634</f>
        <v>784</v>
      </c>
      <c r="BA634" s="16" t="n">
        <f aca="false">AY634/10</f>
        <v>78.16</v>
      </c>
      <c r="BB634" s="16" t="n">
        <f aca="false">AZ634/10</f>
        <v>78.4</v>
      </c>
      <c r="BC634" s="16" t="n">
        <v>2374</v>
      </c>
      <c r="BD634" s="16" t="n">
        <f aca="false">RANK(AX634,$AX$2:$AX$881,0)</f>
        <v>600</v>
      </c>
      <c r="BE634" s="54" t="n">
        <f aca="false">((BC634*100)/2400)*0.4+(AX634*0.6)</f>
        <v>85.2866666666667</v>
      </c>
      <c r="BF634" s="16" t="n">
        <f aca="false">RANK(BE634,$BE$2:$BE$881,0)</f>
        <v>546</v>
      </c>
      <c r="BG634" s="39" t="n">
        <f aca="false">RANK(BB634,$BB$2:$BB$881,0)</f>
        <v>520</v>
      </c>
      <c r="BH634" s="39" t="n">
        <f aca="false">RANK(BC634,$BC$2:$BC$881,0)</f>
        <v>222</v>
      </c>
      <c r="BI634" s="22" t="s">
        <v>130</v>
      </c>
      <c r="BJ634" s="22" t="s">
        <v>129</v>
      </c>
      <c r="BK634" s="40" t="s">
        <v>509</v>
      </c>
      <c r="BL634" s="105" t="n">
        <v>20</v>
      </c>
      <c r="BM634" s="59" t="n">
        <v>50</v>
      </c>
      <c r="BN634" s="59" t="n">
        <v>70</v>
      </c>
      <c r="BO634" s="42" t="n">
        <v>27</v>
      </c>
      <c r="BP634" s="59" t="n">
        <v>45</v>
      </c>
      <c r="BQ634" s="59" t="n">
        <v>72</v>
      </c>
      <c r="BR634" s="74" t="n">
        <v>9</v>
      </c>
      <c r="BS634" s="80"/>
      <c r="BT634" s="80"/>
      <c r="BU634" s="88" t="n">
        <v>71</v>
      </c>
      <c r="BV634" s="58" t="n">
        <v>81</v>
      </c>
      <c r="BW634" s="106"/>
      <c r="BX634" s="65" t="n">
        <v>92</v>
      </c>
      <c r="BY634" s="65" t="n">
        <v>23</v>
      </c>
      <c r="BZ634" s="58" t="n">
        <v>48</v>
      </c>
      <c r="CA634" s="58" t="n">
        <v>71</v>
      </c>
      <c r="CB634" s="59" t="n">
        <v>18</v>
      </c>
      <c r="CC634" s="58" t="n">
        <v>48</v>
      </c>
      <c r="CD634" s="58" t="n">
        <v>66</v>
      </c>
      <c r="CE634" s="58" t="n">
        <v>20</v>
      </c>
      <c r="CF634" s="58" t="n">
        <v>46</v>
      </c>
      <c r="CG634" s="58" t="n">
        <v>66</v>
      </c>
      <c r="CH634" s="58" t="n">
        <v>75</v>
      </c>
      <c r="CI634" s="58" t="n">
        <v>66</v>
      </c>
      <c r="CJ634" s="58" t="n">
        <v>25</v>
      </c>
      <c r="CK634" s="58" t="n">
        <v>54</v>
      </c>
      <c r="CL634" s="59" t="n">
        <v>79</v>
      </c>
      <c r="CM634" s="60"/>
      <c r="CN634" s="60"/>
      <c r="CO634" s="60"/>
      <c r="CP634" s="25" t="n">
        <f aca="false">BX634+BW634+BV634+BU634+BT634+BQ634+BN634</f>
        <v>386</v>
      </c>
      <c r="CQ634" s="25" t="n">
        <f aca="false">CO634+CL634+CI634+CH634+CG634+CD634+CA634</f>
        <v>423</v>
      </c>
      <c r="CR634" s="26" t="n">
        <f aca="false">CP634/7</f>
        <v>55.1428571428571</v>
      </c>
      <c r="CS634" s="26" t="n">
        <f aca="false">CQ634/7</f>
        <v>60.4285714285714</v>
      </c>
      <c r="CT634" s="24" t="n">
        <f aca="false">RANK(CR634,$CR$2:$CR$881,0)</f>
        <v>732</v>
      </c>
      <c r="CU634" s="25" t="n">
        <f aca="false">RANK(CS634,$CS$2:$CS$881,0)</f>
        <v>679</v>
      </c>
      <c r="CV634" s="26" t="n">
        <f aca="false">(CS634+CR634)/2</f>
        <v>57.7857142857143</v>
      </c>
      <c r="CW634" s="25" t="n">
        <f aca="false">RANK(CV634,$CV$2:$CV$881,0)</f>
        <v>705</v>
      </c>
      <c r="CX634" s="50" t="n">
        <f aca="false">(CV634+BB634)/2</f>
        <v>68.0928571428572</v>
      </c>
      <c r="CY634" s="50" t="n">
        <v>811</v>
      </c>
      <c r="CZ634" s="27" t="s">
        <v>132</v>
      </c>
      <c r="DA634" s="27" t="s">
        <v>202</v>
      </c>
      <c r="DB634" s="27" t="s">
        <v>202</v>
      </c>
      <c r="DC634" s="27" t="s">
        <v>134</v>
      </c>
      <c r="DD634" s="27" t="s">
        <v>135</v>
      </c>
      <c r="DE634" s="27" t="s">
        <v>447</v>
      </c>
      <c r="DF634" s="27" t="s">
        <v>305</v>
      </c>
      <c r="DG634" s="27" t="s">
        <v>134</v>
      </c>
      <c r="DH634" s="27" t="s">
        <v>154</v>
      </c>
      <c r="DI634" s="27" t="s">
        <v>681</v>
      </c>
      <c r="DJ634" s="27" t="s">
        <v>138</v>
      </c>
      <c r="DK634" s="27" t="s">
        <v>134</v>
      </c>
      <c r="DL634" s="27" t="s">
        <v>182</v>
      </c>
      <c r="DM634" s="27" t="s">
        <v>638</v>
      </c>
      <c r="DN634" s="27" t="s">
        <v>138</v>
      </c>
      <c r="DO634" s="27" t="s">
        <v>134</v>
      </c>
      <c r="DP634" s="27" t="s">
        <v>174</v>
      </c>
      <c r="DQ634" s="27" t="s">
        <v>1395</v>
      </c>
      <c r="DR634" s="27" t="s">
        <v>220</v>
      </c>
      <c r="DS634" s="27" t="s">
        <v>480</v>
      </c>
      <c r="DT634" s="27" t="s">
        <v>135</v>
      </c>
      <c r="DU634" s="27" t="s">
        <v>1423</v>
      </c>
      <c r="DV634" s="27" t="s">
        <v>220</v>
      </c>
      <c r="DW634" s="27" t="s">
        <v>137</v>
      </c>
      <c r="DX634" s="27" t="s">
        <v>143</v>
      </c>
      <c r="DY634" s="27" t="s">
        <v>156</v>
      </c>
      <c r="DZ634" s="27" t="n">
        <f aca="false">DY634+DV634+DR634+DN634+DJ634+DF634+DB634</f>
        <v>508</v>
      </c>
      <c r="EA634" s="28" t="n">
        <f aca="false">DZ634/7</f>
        <v>72.5714285714286</v>
      </c>
      <c r="EB634" s="27" t="n">
        <f aca="false">RANK(EA634,$EA$2:$EA$881,0)</f>
        <v>601</v>
      </c>
      <c r="EC634" s="29" t="n">
        <f aca="false">DZ634+CQ634+CP634+AZ634</f>
        <v>2101</v>
      </c>
      <c r="ED634" s="30" t="n">
        <f aca="false">(EA634+CV634+BB634)/3</f>
        <v>69.5857142857143</v>
      </c>
      <c r="EE634" s="51" t="n">
        <f aca="false">ROUND(BE634,3)</f>
        <v>85.287</v>
      </c>
      <c r="EF634" s="51" t="n">
        <f aca="false">ROUND(CR634,3)</f>
        <v>55.143</v>
      </c>
      <c r="EG634" s="51" t="n">
        <f aca="false">ROUND(CS634,3)</f>
        <v>60.429</v>
      </c>
      <c r="EH634" s="51" t="n">
        <f aca="false">ROUND(EA634,3)</f>
        <v>72.571</v>
      </c>
      <c r="EI634" s="51" t="n">
        <f aca="false">ROUND(ED634,3)</f>
        <v>69.586</v>
      </c>
      <c r="EJ634" s="51" t="n">
        <f aca="false">ROUND(CV634,3)</f>
        <v>57.786</v>
      </c>
      <c r="EK634" s="0" t="n">
        <f aca="false">RANK(EI634,$EI$2:$EI$881,0)</f>
        <v>633</v>
      </c>
    </row>
    <row r="635" customFormat="false" ht="15" hidden="false" customHeight="false" outlineLevel="0" collapsed="false">
      <c r="A635" s="4" t="n">
        <v>1813</v>
      </c>
      <c r="B635" s="4" t="n">
        <v>831</v>
      </c>
      <c r="C635" s="27" t="s">
        <v>1858</v>
      </c>
      <c r="D635" s="31" t="n">
        <v>853</v>
      </c>
      <c r="E635" s="16" t="n">
        <v>230411219</v>
      </c>
      <c r="F635" s="56" t="s">
        <v>1859</v>
      </c>
      <c r="G635" s="22" t="s">
        <v>312</v>
      </c>
      <c r="H635" s="22" t="s">
        <v>271</v>
      </c>
      <c r="I635" s="57"/>
      <c r="J635" s="16" t="n">
        <v>84</v>
      </c>
      <c r="K635" s="16" t="n">
        <v>73</v>
      </c>
      <c r="L635" s="34" t="n">
        <f aca="false">(K635*70)/100</f>
        <v>51.1</v>
      </c>
      <c r="M635" s="34" t="n">
        <f aca="false">ROUNDUP(L635,0)</f>
        <v>52</v>
      </c>
      <c r="N635" s="16" t="n">
        <v>22</v>
      </c>
      <c r="O635" s="34" t="n">
        <f aca="false">N635+L635</f>
        <v>73.1</v>
      </c>
      <c r="P635" s="34" t="n">
        <f aca="false">N635+M635</f>
        <v>74</v>
      </c>
      <c r="Q635" s="16" t="n">
        <v>85</v>
      </c>
      <c r="R635" s="16" t="n">
        <v>70</v>
      </c>
      <c r="S635" s="34" t="n">
        <f aca="false">(R635*70)/100</f>
        <v>49</v>
      </c>
      <c r="T635" s="34" t="n">
        <f aca="false">ROUNDUP(S635,0)</f>
        <v>49</v>
      </c>
      <c r="U635" s="16" t="n">
        <v>21</v>
      </c>
      <c r="V635" s="34" t="n">
        <f aca="false">U635+S635</f>
        <v>70</v>
      </c>
      <c r="W635" s="34" t="n">
        <f aca="false">U635+T635</f>
        <v>70</v>
      </c>
      <c r="X635" s="16" t="n">
        <v>76</v>
      </c>
      <c r="Y635" s="34" t="n">
        <f aca="false">(X635*70)/100</f>
        <v>53.2</v>
      </c>
      <c r="Z635" s="34" t="n">
        <f aca="false">ROUNDUP(Y635,0)</f>
        <v>54</v>
      </c>
      <c r="AA635" s="16" t="n">
        <v>22</v>
      </c>
      <c r="AB635" s="34" t="n">
        <f aca="false">AA635+Y635</f>
        <v>75.2</v>
      </c>
      <c r="AC635" s="34" t="n">
        <f aca="false">AA635+Z635</f>
        <v>76</v>
      </c>
      <c r="AD635" s="32" t="n">
        <f aca="false">X635+R635+Q635+K635+J635</f>
        <v>388</v>
      </c>
      <c r="AE635" s="16" t="n">
        <f aca="false">AD635/5</f>
        <v>77.6</v>
      </c>
      <c r="AF635" s="16" t="n">
        <v>74</v>
      </c>
      <c r="AG635" s="16" t="n">
        <v>76</v>
      </c>
      <c r="AH635" s="16" t="n">
        <v>88</v>
      </c>
      <c r="AI635" s="16" t="n">
        <v>91</v>
      </c>
      <c r="AJ635" s="16" t="n">
        <f aca="false">(AI635*70)/100</f>
        <v>63.7</v>
      </c>
      <c r="AK635" s="35" t="n">
        <f aca="false">ROUNDUP(AJ635,0)</f>
        <v>64</v>
      </c>
      <c r="AL635" s="16" t="n">
        <v>22</v>
      </c>
      <c r="AM635" s="16" t="n">
        <f aca="false">AL635+AJ635</f>
        <v>85.7</v>
      </c>
      <c r="AN635" s="16" t="n">
        <f aca="false">AL635+AK635</f>
        <v>86</v>
      </c>
      <c r="AO635" s="16" t="n">
        <v>71</v>
      </c>
      <c r="AP635" s="36" t="n">
        <f aca="false">(AO635*70)/100</f>
        <v>49.7</v>
      </c>
      <c r="AQ635" s="37" t="n">
        <f aca="false">ROUNDUP(AP635,0)</f>
        <v>50</v>
      </c>
      <c r="AR635" s="16" t="n">
        <v>22</v>
      </c>
      <c r="AS635" s="16" t="n">
        <f aca="false">AR635+AP635</f>
        <v>71.7</v>
      </c>
      <c r="AT635" s="16" t="n">
        <f aca="false">AR635+AQ635</f>
        <v>72</v>
      </c>
      <c r="AU635" s="16" t="n">
        <f aca="false">AO635+AF635+AI635+AH635+AG635</f>
        <v>400</v>
      </c>
      <c r="AV635" s="16" t="n">
        <f aca="false">(AO635+AF635+AI635+AH635+AG635)/5</f>
        <v>80</v>
      </c>
      <c r="AW635" s="36" t="n">
        <f aca="false">(AO635+AF635+AI635+AH635+AG635+X635+R635+Q635+K635+J635)</f>
        <v>788</v>
      </c>
      <c r="AX635" s="16" t="n">
        <f aca="false">AW635/10</f>
        <v>78.8</v>
      </c>
      <c r="AY635" s="16" t="n">
        <f aca="false">AS635+AF635+AM635+AH635+AG635+AB635+V635+Q635+O635+J635</f>
        <v>782.7</v>
      </c>
      <c r="AZ635" s="16" t="n">
        <f aca="false">AT635+AF635+AN635+AH635+AG635+AC635+W635+Q635+P635+J635</f>
        <v>785</v>
      </c>
      <c r="BA635" s="16" t="n">
        <f aca="false">AY635/10</f>
        <v>78.27</v>
      </c>
      <c r="BB635" s="16" t="n">
        <f aca="false">AZ635/10</f>
        <v>78.5</v>
      </c>
      <c r="BC635" s="16" t="n">
        <v>2355</v>
      </c>
      <c r="BD635" s="16" t="n">
        <f aca="false">RANK(AX635,$AX$2:$AX$881,0)</f>
        <v>351</v>
      </c>
      <c r="BE635" s="73" t="n">
        <f aca="false">((BC635*100)/2400)*0.4+(AX635*0.6)</f>
        <v>86.53</v>
      </c>
      <c r="BF635" s="16" t="n">
        <f aca="false">RANK(BE635,$BE$2:$BE$881,0)</f>
        <v>347</v>
      </c>
      <c r="BG635" s="39" t="n">
        <f aca="false">RANK(BB635,$BB$2:$BB$881,0)</f>
        <v>505</v>
      </c>
      <c r="BH635" s="39" t="n">
        <f aca="false">RANK(BC635,$BC$2:$BC$881,0)</f>
        <v>476</v>
      </c>
      <c r="BI635" s="22" t="s">
        <v>130</v>
      </c>
      <c r="BJ635" s="22" t="s">
        <v>129</v>
      </c>
      <c r="BK635" s="22" t="s">
        <v>509</v>
      </c>
      <c r="BL635" s="41" t="n">
        <v>12</v>
      </c>
      <c r="BM635" s="41" t="n">
        <v>50</v>
      </c>
      <c r="BN635" s="41" t="n">
        <v>62</v>
      </c>
      <c r="BO635" s="42" t="n">
        <v>15</v>
      </c>
      <c r="BP635" s="42" t="n">
        <v>0</v>
      </c>
      <c r="BQ635" s="129" t="n">
        <v>15</v>
      </c>
      <c r="BR635" s="42" t="n">
        <v>24</v>
      </c>
      <c r="BS635" s="45" t="n">
        <v>49</v>
      </c>
      <c r="BT635" s="45" t="n">
        <v>73</v>
      </c>
      <c r="BU635" s="46" t="n">
        <v>98</v>
      </c>
      <c r="BV635" s="47" t="n">
        <v>82</v>
      </c>
      <c r="BW635" s="42" t="n">
        <v>83</v>
      </c>
      <c r="BX635" s="48" t="n">
        <v>96</v>
      </c>
      <c r="BY635" s="32" t="n">
        <v>22</v>
      </c>
      <c r="BZ635" s="58" t="n">
        <v>51</v>
      </c>
      <c r="CA635" s="58" t="n">
        <v>73</v>
      </c>
      <c r="CB635" s="32" t="n">
        <v>20</v>
      </c>
      <c r="CC635" s="32" t="n">
        <v>32</v>
      </c>
      <c r="CD635" s="69" t="n">
        <v>52</v>
      </c>
      <c r="CE635" s="32" t="n">
        <v>27</v>
      </c>
      <c r="CF635" s="32" t="n">
        <v>31</v>
      </c>
      <c r="CG635" s="69" t="n">
        <v>58</v>
      </c>
      <c r="CH635" s="32" t="n">
        <v>89</v>
      </c>
      <c r="CI635" s="32" t="n">
        <v>83</v>
      </c>
      <c r="CJ635" s="49" t="n">
        <v>19</v>
      </c>
      <c r="CK635" s="49" t="n">
        <v>44</v>
      </c>
      <c r="CL635" s="49" t="n">
        <v>63</v>
      </c>
      <c r="CM635" s="49" t="n">
        <v>15</v>
      </c>
      <c r="CN635" s="49" t="n">
        <v>53</v>
      </c>
      <c r="CO635" s="49" t="n">
        <v>68</v>
      </c>
      <c r="CP635" s="25" t="n">
        <f aca="false">BX635+BW635+BV635+BU635+BT635+BQ635+BN635</f>
        <v>509</v>
      </c>
      <c r="CQ635" s="25" t="n">
        <f aca="false">CO635+CL635+CI635+CH635+CG635+CD635+CA635</f>
        <v>486</v>
      </c>
      <c r="CR635" s="26" t="n">
        <f aca="false">CP635/7</f>
        <v>72.7142857142857</v>
      </c>
      <c r="CS635" s="26" t="n">
        <f aca="false">CQ635/7</f>
        <v>69.4285714285714</v>
      </c>
      <c r="CT635" s="24" t="n">
        <f aca="false">RANK(CR635,$CR$2:$CR$881,0)</f>
        <v>665</v>
      </c>
      <c r="CU635" s="25" t="n">
        <f aca="false">RANK(CS635,$CS$2:$CS$881,0)</f>
        <v>564</v>
      </c>
      <c r="CV635" s="26" t="n">
        <f aca="false">(CS635+CR635)/2</f>
        <v>71.0714285714286</v>
      </c>
      <c r="CW635" s="25" t="n">
        <f aca="false">RANK(CV635,$CV$2:$CV$881,0)</f>
        <v>626</v>
      </c>
      <c r="CX635" s="50" t="n">
        <f aca="false">(CV635+BB635)/2</f>
        <v>74.7857142857143</v>
      </c>
      <c r="CY635" s="50" t="n">
        <v>608</v>
      </c>
      <c r="CZ635" s="27" t="s">
        <v>132</v>
      </c>
      <c r="DA635" s="27" t="s">
        <v>272</v>
      </c>
      <c r="DB635" s="27" t="s">
        <v>272</v>
      </c>
      <c r="DC635" s="27" t="s">
        <v>134</v>
      </c>
      <c r="DD635" s="27" t="s">
        <v>135</v>
      </c>
      <c r="DE635" s="27" t="s">
        <v>304</v>
      </c>
      <c r="DF635" s="27" t="s">
        <v>272</v>
      </c>
      <c r="DG635" s="27" t="s">
        <v>134</v>
      </c>
      <c r="DH635" s="27" t="s">
        <v>191</v>
      </c>
      <c r="DI635" s="27" t="s">
        <v>1395</v>
      </c>
      <c r="DJ635" s="27" t="s">
        <v>304</v>
      </c>
      <c r="DK635" s="27" t="s">
        <v>480</v>
      </c>
      <c r="DL635" s="27"/>
      <c r="DM635" s="27"/>
      <c r="DN635" s="27"/>
      <c r="DO635" s="27"/>
      <c r="DP635" s="27" t="s">
        <v>264</v>
      </c>
      <c r="DQ635" s="27" t="s">
        <v>415</v>
      </c>
      <c r="DR635" s="27" t="s">
        <v>187</v>
      </c>
      <c r="DS635" s="27" t="s">
        <v>134</v>
      </c>
      <c r="DT635" s="27" t="s">
        <v>264</v>
      </c>
      <c r="DU635" s="27" t="s">
        <v>137</v>
      </c>
      <c r="DV635" s="27" t="s">
        <v>638</v>
      </c>
      <c r="DW635" s="27" t="s">
        <v>264</v>
      </c>
      <c r="DX635" s="27" t="s">
        <v>155</v>
      </c>
      <c r="DY635" s="27" t="s">
        <v>162</v>
      </c>
      <c r="DZ635" s="27" t="n">
        <f aca="false">DY635+DV635+DR635+DN635+DJ635+DF635+DB635</f>
        <v>412</v>
      </c>
      <c r="EA635" s="28" t="n">
        <f aca="false">DZ635/7</f>
        <v>58.8571428571429</v>
      </c>
      <c r="EB635" s="27" t="n">
        <f aca="false">RANK(EA635,$EA$2:$EA$881,0)</f>
        <v>791</v>
      </c>
      <c r="EC635" s="29" t="n">
        <f aca="false">DZ635+CQ635+CP635+AZ635</f>
        <v>2192</v>
      </c>
      <c r="ED635" s="30" t="n">
        <f aca="false">(EA635+CV635+BB635)/3</f>
        <v>69.4761904761905</v>
      </c>
      <c r="EE635" s="51" t="n">
        <f aca="false">ROUND(BE635,3)</f>
        <v>86.53</v>
      </c>
      <c r="EF635" s="51" t="n">
        <f aca="false">ROUND(CR635,3)</f>
        <v>72.714</v>
      </c>
      <c r="EG635" s="51" t="n">
        <f aca="false">ROUND(CS635,3)</f>
        <v>69.429</v>
      </c>
      <c r="EH635" s="51" t="n">
        <f aca="false">ROUND(EA635,3)</f>
        <v>58.857</v>
      </c>
      <c r="EI635" s="51" t="n">
        <f aca="false">ROUND(ED635,3)</f>
        <v>69.476</v>
      </c>
      <c r="EJ635" s="51" t="n">
        <f aca="false">ROUND(CV635,3)</f>
        <v>71.071</v>
      </c>
      <c r="EK635" s="0" t="n">
        <f aca="false">RANK(EI635,$EI$2:$EI$881,0)</f>
        <v>634</v>
      </c>
    </row>
    <row r="636" customFormat="false" ht="15" hidden="false" customHeight="false" outlineLevel="0" collapsed="false">
      <c r="A636" s="4" t="n">
        <v>9132</v>
      </c>
      <c r="B636" s="4" t="n">
        <v>807</v>
      </c>
      <c r="C636" s="27" t="s">
        <v>1860</v>
      </c>
      <c r="D636" s="31" t="n">
        <v>826</v>
      </c>
      <c r="E636" s="32" t="n">
        <v>230325069</v>
      </c>
      <c r="F636" s="8" t="s">
        <v>1861</v>
      </c>
      <c r="G636" s="22" t="s">
        <v>900</v>
      </c>
      <c r="H636" s="22" t="s">
        <v>129</v>
      </c>
      <c r="I636" s="33" t="n">
        <v>2005</v>
      </c>
      <c r="J636" s="32" t="n">
        <v>67</v>
      </c>
      <c r="K636" s="32" t="n">
        <v>58</v>
      </c>
      <c r="L636" s="34" t="n">
        <f aca="false">(K636*70)/100</f>
        <v>40.6</v>
      </c>
      <c r="M636" s="34" t="n">
        <f aca="false">ROUNDUP(L636,0)</f>
        <v>41</v>
      </c>
      <c r="N636" s="32" t="n">
        <v>26</v>
      </c>
      <c r="O636" s="34" t="n">
        <f aca="false">N636+L636</f>
        <v>66.6</v>
      </c>
      <c r="P636" s="34" t="n">
        <f aca="false">N636+M636</f>
        <v>67</v>
      </c>
      <c r="Q636" s="32" t="n">
        <v>61</v>
      </c>
      <c r="R636" s="32" t="n">
        <v>60</v>
      </c>
      <c r="S636" s="34" t="n">
        <f aca="false">(R636*70)/100</f>
        <v>42</v>
      </c>
      <c r="T636" s="34" t="n">
        <f aca="false">ROUNDUP(S636,0)</f>
        <v>42</v>
      </c>
      <c r="U636" s="32" t="n">
        <v>25</v>
      </c>
      <c r="V636" s="34" t="n">
        <f aca="false">U636+S636</f>
        <v>67</v>
      </c>
      <c r="W636" s="34" t="n">
        <f aca="false">U636+T636</f>
        <v>67</v>
      </c>
      <c r="X636" s="32" t="n">
        <v>57</v>
      </c>
      <c r="Y636" s="34" t="n">
        <f aca="false">(X636*70)/100</f>
        <v>39.9</v>
      </c>
      <c r="Z636" s="34" t="n">
        <f aca="false">ROUNDUP(Y636,0)</f>
        <v>40</v>
      </c>
      <c r="AA636" s="32" t="n">
        <v>25</v>
      </c>
      <c r="AB636" s="34" t="n">
        <f aca="false">AA636+Y636</f>
        <v>64.9</v>
      </c>
      <c r="AC636" s="34" t="n">
        <f aca="false">AA636+Z636</f>
        <v>65</v>
      </c>
      <c r="AD636" s="32" t="n">
        <f aca="false">X636+R636+Q636+K636+J636</f>
        <v>303</v>
      </c>
      <c r="AE636" s="16" t="n">
        <f aca="false">AD636/5</f>
        <v>60.6</v>
      </c>
      <c r="AF636" s="71" t="n">
        <v>57</v>
      </c>
      <c r="AG636" s="16" t="n">
        <v>83</v>
      </c>
      <c r="AH636" s="16" t="n">
        <v>80</v>
      </c>
      <c r="AI636" s="16" t="n">
        <v>69</v>
      </c>
      <c r="AJ636" s="16" t="n">
        <f aca="false">(AI636*70)/100</f>
        <v>48.3</v>
      </c>
      <c r="AK636" s="35" t="n">
        <f aca="false">ROUNDUP(AJ636,0)</f>
        <v>49</v>
      </c>
      <c r="AL636" s="16" t="n">
        <v>24</v>
      </c>
      <c r="AM636" s="16" t="n">
        <f aca="false">AL636+AJ636</f>
        <v>72.3</v>
      </c>
      <c r="AN636" s="16" t="n">
        <f aca="false">AL636+AK636</f>
        <v>73</v>
      </c>
      <c r="AO636" s="16" t="n">
        <v>62</v>
      </c>
      <c r="AP636" s="36" t="n">
        <f aca="false">(AO636*70)/100</f>
        <v>43.4</v>
      </c>
      <c r="AQ636" s="37" t="n">
        <f aca="false">ROUNDUP(AP636,0)</f>
        <v>44</v>
      </c>
      <c r="AR636" s="16" t="n">
        <v>26</v>
      </c>
      <c r="AS636" s="16" t="n">
        <f aca="false">AR636+AP636</f>
        <v>69.4</v>
      </c>
      <c r="AT636" s="16" t="n">
        <f aca="false">AR636+AQ636</f>
        <v>70</v>
      </c>
      <c r="AU636" s="16" t="n">
        <f aca="false">AO636+AF636+AI636+AH636+AG636</f>
        <v>351</v>
      </c>
      <c r="AV636" s="16" t="n">
        <f aca="false">(AO636+AF636+AI636+AH636+AG636)/5</f>
        <v>70.2</v>
      </c>
      <c r="AW636" s="36" t="n">
        <f aca="false">(AO636+AF636+AI636+AH636+AG636+X636+R636+Q636+K636+J636)</f>
        <v>654</v>
      </c>
      <c r="AX636" s="16" t="n">
        <f aca="false">AW636/10</f>
        <v>65.4</v>
      </c>
      <c r="AY636" s="16" t="n">
        <f aca="false">AS636+AF636+AM636+AH636+AG636+AB636+V636+Q636+O636+J636</f>
        <v>688.2</v>
      </c>
      <c r="AZ636" s="16" t="n">
        <f aca="false">AT636+AF636+AN636+AH636+AG636+AC636+W636+Q636+P636+J636</f>
        <v>690</v>
      </c>
      <c r="BA636" s="16" t="n">
        <f aca="false">AY636/10</f>
        <v>68.82</v>
      </c>
      <c r="BB636" s="16" t="n">
        <f aca="false">AZ636/10</f>
        <v>69</v>
      </c>
      <c r="BC636" s="16" t="n">
        <v>2361</v>
      </c>
      <c r="BD636" s="16" t="n">
        <f aca="false">RANK(AX636,$AX$2:$AX$881,0)</f>
        <v>764</v>
      </c>
      <c r="BE636" s="78" t="n">
        <f aca="false">((BC636*100)/2400)*0.4+(AX636*0.6)</f>
        <v>78.59</v>
      </c>
      <c r="BF636" s="16" t="n">
        <f aca="false">RANK(BE636,$BE$2:$BE$881,0)</f>
        <v>741</v>
      </c>
      <c r="BG636" s="39" t="n">
        <f aca="false">RANK(BB636,$BB$2:$BB$881,0)</f>
        <v>749</v>
      </c>
      <c r="BH636" s="39" t="n">
        <f aca="false">RANK(BC636,$BC$2:$BC$881,0)</f>
        <v>382</v>
      </c>
      <c r="BI636" s="22" t="s">
        <v>130</v>
      </c>
      <c r="BJ636" s="22" t="s">
        <v>129</v>
      </c>
      <c r="BK636" s="40" t="s">
        <v>702</v>
      </c>
      <c r="BL636" s="41" t="n">
        <v>16</v>
      </c>
      <c r="BM636" s="41" t="n">
        <v>46</v>
      </c>
      <c r="BN636" s="41" t="n">
        <v>62</v>
      </c>
      <c r="BO636" s="42" t="n">
        <v>25</v>
      </c>
      <c r="BP636" s="43" t="n">
        <v>42</v>
      </c>
      <c r="BQ636" s="44" t="n">
        <v>67</v>
      </c>
      <c r="BR636" s="42" t="n">
        <v>19</v>
      </c>
      <c r="BS636" s="45" t="n">
        <v>40</v>
      </c>
      <c r="BT636" s="85" t="n">
        <v>59</v>
      </c>
      <c r="BU636" s="46" t="n">
        <v>100</v>
      </c>
      <c r="BV636" s="47" t="n">
        <v>92</v>
      </c>
      <c r="BW636" s="42" t="n">
        <v>100</v>
      </c>
      <c r="BX636" s="48" t="n">
        <v>84</v>
      </c>
      <c r="BY636" s="32" t="n">
        <v>28</v>
      </c>
      <c r="BZ636" s="32" t="n">
        <v>43</v>
      </c>
      <c r="CA636" s="32" t="n">
        <v>71</v>
      </c>
      <c r="CB636" s="32" t="n">
        <v>17</v>
      </c>
      <c r="CC636" s="32" t="n">
        <v>40</v>
      </c>
      <c r="CD636" s="69" t="n">
        <v>57</v>
      </c>
      <c r="CE636" s="32" t="n">
        <v>17</v>
      </c>
      <c r="CF636" s="32" t="n">
        <v>35</v>
      </c>
      <c r="CG636" s="69" t="n">
        <v>52</v>
      </c>
      <c r="CH636" s="32" t="n">
        <v>99</v>
      </c>
      <c r="CI636" s="32" t="n">
        <v>90</v>
      </c>
      <c r="CJ636" s="49" t="n">
        <v>19</v>
      </c>
      <c r="CK636" s="49" t="n">
        <v>52</v>
      </c>
      <c r="CL636" s="49" t="n">
        <v>71</v>
      </c>
      <c r="CM636" s="49" t="n">
        <v>22</v>
      </c>
      <c r="CN636" s="49" t="n">
        <v>50</v>
      </c>
      <c r="CO636" s="49" t="n">
        <v>72</v>
      </c>
      <c r="CP636" s="25" t="n">
        <f aca="false">BX636+BW636+BV636+BU636+BT636+BQ636+BN636</f>
        <v>564</v>
      </c>
      <c r="CQ636" s="25" t="n">
        <f aca="false">CO636+CL636+CI636+CH636+CG636+CD636+CA636</f>
        <v>512</v>
      </c>
      <c r="CR636" s="26" t="n">
        <f aca="false">CP636/7</f>
        <v>80.5714285714286</v>
      </c>
      <c r="CS636" s="26" t="n">
        <f aca="false">CQ636/7</f>
        <v>73.1428571428571</v>
      </c>
      <c r="CT636" s="24" t="n">
        <f aca="false">RANK(CR636,$CR$2:$CR$881,0)</f>
        <v>575</v>
      </c>
      <c r="CU636" s="25" t="n">
        <f aca="false">RANK(CS636,$CS$2:$CS$881,0)</f>
        <v>480</v>
      </c>
      <c r="CV636" s="26" t="n">
        <f aca="false">(CS636+CR636)/2</f>
        <v>76.8571428571429</v>
      </c>
      <c r="CW636" s="25" t="n">
        <f aca="false">RANK(CV636,$CV$2:$CV$881,0)</f>
        <v>519</v>
      </c>
      <c r="CX636" s="50" t="n">
        <f aca="false">(CV636+BB636)/2</f>
        <v>72.9285714285714</v>
      </c>
      <c r="CY636" s="50" t="n">
        <v>584</v>
      </c>
      <c r="CZ636" s="27" t="s">
        <v>132</v>
      </c>
      <c r="DA636" s="27" t="s">
        <v>133</v>
      </c>
      <c r="DB636" s="27" t="s">
        <v>133</v>
      </c>
      <c r="DC636" s="27" t="s">
        <v>134</v>
      </c>
      <c r="DD636" s="27" t="s">
        <v>174</v>
      </c>
      <c r="DE636" s="27" t="s">
        <v>218</v>
      </c>
      <c r="DF636" s="27" t="s">
        <v>272</v>
      </c>
      <c r="DG636" s="27" t="s">
        <v>134</v>
      </c>
      <c r="DH636" s="27" t="s">
        <v>195</v>
      </c>
      <c r="DI636" s="27" t="s">
        <v>1309</v>
      </c>
      <c r="DJ636" s="27" t="s">
        <v>220</v>
      </c>
      <c r="DK636" s="27" t="s">
        <v>480</v>
      </c>
      <c r="DL636" s="27" t="s">
        <v>195</v>
      </c>
      <c r="DM636" s="27" t="s">
        <v>304</v>
      </c>
      <c r="DN636" s="27" t="s">
        <v>441</v>
      </c>
      <c r="DO636" s="27" t="s">
        <v>134</v>
      </c>
      <c r="DP636" s="27" t="s">
        <v>706</v>
      </c>
      <c r="DQ636" s="27" t="s">
        <v>1395</v>
      </c>
      <c r="DR636" s="27" t="s">
        <v>442</v>
      </c>
      <c r="DS636" s="27" t="s">
        <v>480</v>
      </c>
      <c r="DT636" s="27"/>
      <c r="DU636" s="27"/>
      <c r="DV636" s="27"/>
      <c r="DW636" s="27" t="s">
        <v>154</v>
      </c>
      <c r="DX636" s="27" t="s">
        <v>143</v>
      </c>
      <c r="DY636" s="27" t="s">
        <v>170</v>
      </c>
      <c r="DZ636" s="27" t="n">
        <f aca="false">DY636+DV636+DR636+DN636+DJ636+DF636+DB636</f>
        <v>438</v>
      </c>
      <c r="EA636" s="28" t="n">
        <f aca="false">DZ636/7</f>
        <v>62.5714285714286</v>
      </c>
      <c r="EB636" s="27" t="n">
        <f aca="false">RANK(EA636,$EA$2:$EA$881,0)</f>
        <v>759</v>
      </c>
      <c r="EC636" s="29" t="n">
        <f aca="false">DZ636+CQ636+CP636+AZ636</f>
        <v>2204</v>
      </c>
      <c r="ED636" s="30" t="n">
        <f aca="false">(EA636+CV636+BB636)/3</f>
        <v>69.4761904761905</v>
      </c>
      <c r="EE636" s="51" t="n">
        <f aca="false">ROUND(BE636,3)</f>
        <v>78.59</v>
      </c>
      <c r="EF636" s="51" t="n">
        <f aca="false">ROUND(CR636,3)</f>
        <v>80.571</v>
      </c>
      <c r="EG636" s="51" t="n">
        <f aca="false">ROUND(CS636,3)</f>
        <v>73.143</v>
      </c>
      <c r="EH636" s="51" t="n">
        <f aca="false">ROUND(EA636,3)</f>
        <v>62.571</v>
      </c>
      <c r="EI636" s="51" t="n">
        <f aca="false">ROUND(ED636,3)</f>
        <v>69.476</v>
      </c>
      <c r="EJ636" s="51" t="n">
        <f aca="false">ROUND(CV636,3)</f>
        <v>76.857</v>
      </c>
      <c r="EK636" s="0" t="n">
        <f aca="false">RANK(EI636,$EI$2:$EI$881,0)</f>
        <v>634</v>
      </c>
    </row>
    <row r="637" customFormat="false" ht="15" hidden="false" customHeight="false" outlineLevel="0" collapsed="false">
      <c r="A637" s="4" t="n">
        <v>2010</v>
      </c>
      <c r="B637" s="4" t="n">
        <v>328</v>
      </c>
      <c r="C637" s="27" t="s">
        <v>1862</v>
      </c>
      <c r="D637" s="31" t="n">
        <v>330</v>
      </c>
      <c r="E637" s="16" t="n">
        <v>230611714</v>
      </c>
      <c r="F637" s="56" t="s">
        <v>1863</v>
      </c>
      <c r="G637" s="22" t="s">
        <v>322</v>
      </c>
      <c r="H637" s="22" t="s">
        <v>558</v>
      </c>
      <c r="I637" s="57"/>
      <c r="J637" s="16" t="n">
        <v>77</v>
      </c>
      <c r="K637" s="16" t="n">
        <v>69</v>
      </c>
      <c r="L637" s="34" t="n">
        <f aca="false">(K637*70)/100</f>
        <v>48.3</v>
      </c>
      <c r="M637" s="34" t="n">
        <f aca="false">ROUNDUP(L637,0)</f>
        <v>49</v>
      </c>
      <c r="N637" s="16" t="n">
        <v>25</v>
      </c>
      <c r="O637" s="34" t="n">
        <f aca="false">N637+L637</f>
        <v>73.3</v>
      </c>
      <c r="P637" s="34" t="n">
        <f aca="false">N637+M637</f>
        <v>74</v>
      </c>
      <c r="Q637" s="71" t="n">
        <v>51</v>
      </c>
      <c r="R637" s="16" t="n">
        <v>68</v>
      </c>
      <c r="S637" s="34" t="n">
        <f aca="false">(R637*70)/100</f>
        <v>47.6</v>
      </c>
      <c r="T637" s="34" t="n">
        <f aca="false">ROUNDUP(S637,0)</f>
        <v>48</v>
      </c>
      <c r="U637" s="16" t="n">
        <v>26</v>
      </c>
      <c r="V637" s="34" t="n">
        <f aca="false">U637+S637</f>
        <v>73.6</v>
      </c>
      <c r="W637" s="34" t="n">
        <f aca="false">U637+T637</f>
        <v>74</v>
      </c>
      <c r="X637" s="16" t="n">
        <v>69</v>
      </c>
      <c r="Y637" s="34" t="n">
        <f aca="false">(X637*70)/100</f>
        <v>48.3</v>
      </c>
      <c r="Z637" s="34" t="n">
        <f aca="false">ROUNDUP(Y637,0)</f>
        <v>49</v>
      </c>
      <c r="AA637" s="16" t="n">
        <v>21</v>
      </c>
      <c r="AB637" s="34" t="n">
        <f aca="false">AA637+Y637</f>
        <v>69.3</v>
      </c>
      <c r="AC637" s="34" t="n">
        <f aca="false">AA637+Z637</f>
        <v>70</v>
      </c>
      <c r="AD637" s="32" t="n">
        <f aca="false">X637+R637+Q637+K637+J637</f>
        <v>334</v>
      </c>
      <c r="AE637" s="16" t="n">
        <f aca="false">AD637/5</f>
        <v>66.8</v>
      </c>
      <c r="AF637" s="16" t="n">
        <v>87</v>
      </c>
      <c r="AG637" s="16" t="n">
        <v>87</v>
      </c>
      <c r="AH637" s="16" t="n">
        <v>82</v>
      </c>
      <c r="AI637" s="16" t="n">
        <v>92</v>
      </c>
      <c r="AJ637" s="16" t="n">
        <f aca="false">(AI637*70)/100</f>
        <v>64.4</v>
      </c>
      <c r="AK637" s="35" t="n">
        <f aca="false">ROUNDUP(AJ637,0)</f>
        <v>65</v>
      </c>
      <c r="AL637" s="16" t="n">
        <v>27</v>
      </c>
      <c r="AM637" s="16" t="n">
        <f aca="false">AL637+AJ637</f>
        <v>91.4</v>
      </c>
      <c r="AN637" s="16" t="n">
        <f aca="false">AL637+AK637</f>
        <v>92</v>
      </c>
      <c r="AO637" s="16" t="n">
        <v>79</v>
      </c>
      <c r="AP637" s="36" t="n">
        <f aca="false">(AO637*70)/100</f>
        <v>55.3</v>
      </c>
      <c r="AQ637" s="37" t="n">
        <f aca="false">ROUNDUP(AP637,0)</f>
        <v>56</v>
      </c>
      <c r="AR637" s="16" t="n">
        <v>26</v>
      </c>
      <c r="AS637" s="16" t="n">
        <f aca="false">AR637+AP637</f>
        <v>81.3</v>
      </c>
      <c r="AT637" s="16" t="n">
        <f aca="false">AR637+AQ637</f>
        <v>82</v>
      </c>
      <c r="AU637" s="16" t="n">
        <f aca="false">AO637+AF637+AI637+AH637+AG637</f>
        <v>427</v>
      </c>
      <c r="AV637" s="16" t="n">
        <f aca="false">(AO637+AF637+AI637+AH637+AG637)/5</f>
        <v>85.4</v>
      </c>
      <c r="AW637" s="36" t="n">
        <f aca="false">(AO637+AF637+AI637+AH637+AG637+X637+R637+Q637+K637+J637)</f>
        <v>761</v>
      </c>
      <c r="AX637" s="16" t="n">
        <f aca="false">AW637/10</f>
        <v>76.1</v>
      </c>
      <c r="AY637" s="16" t="n">
        <f aca="false">AS637+AF637+AM637+AH637+AG637+AB637+V637+Q637+O637+J637</f>
        <v>772.9</v>
      </c>
      <c r="AZ637" s="16" t="n">
        <f aca="false">AT637+AF637+AN637+AH637+AG637+AC637+W637+Q637+P637+J637</f>
        <v>776</v>
      </c>
      <c r="BA637" s="16" t="n">
        <f aca="false">AY637/10</f>
        <v>77.29</v>
      </c>
      <c r="BB637" s="16" t="n">
        <f aca="false">AZ637/10</f>
        <v>77.6</v>
      </c>
      <c r="BC637" s="16" t="n">
        <v>2358</v>
      </c>
      <c r="BD637" s="16" t="n">
        <f aca="false">RANK(AX637,$AX$2:$AX$881,0)</f>
        <v>609</v>
      </c>
      <c r="BE637" s="73" t="n">
        <f aca="false">((BC637*100)/2400)*0.4+(AX637*0.6)</f>
        <v>84.96</v>
      </c>
      <c r="BF637" s="16" t="n">
        <f aca="false">RANK(BE637,$BE$2:$BE$881,0)</f>
        <v>622</v>
      </c>
      <c r="BG637" s="39" t="n">
        <f aca="false">RANK(BB637,$BB$2:$BB$881,0)</f>
        <v>596</v>
      </c>
      <c r="BH637" s="39" t="n">
        <f aca="false">RANK(BC637,$BC$2:$BC$881,0)</f>
        <v>429</v>
      </c>
      <c r="BI637" s="22" t="s">
        <v>130</v>
      </c>
      <c r="BJ637" s="22" t="s">
        <v>129</v>
      </c>
      <c r="BK637" s="22" t="s">
        <v>509</v>
      </c>
      <c r="BL637" s="98" t="n">
        <v>6</v>
      </c>
      <c r="BM637" s="61"/>
      <c r="BN637" s="61"/>
      <c r="BO637" s="42" t="n">
        <v>22</v>
      </c>
      <c r="BP637" s="43" t="n">
        <v>53</v>
      </c>
      <c r="BQ637" s="44" t="n">
        <v>75</v>
      </c>
      <c r="BR637" s="42" t="n">
        <v>17</v>
      </c>
      <c r="BS637" s="80"/>
      <c r="BT637" s="80"/>
      <c r="BU637" s="46" t="n">
        <v>100</v>
      </c>
      <c r="BV637" s="47" t="n">
        <v>78</v>
      </c>
      <c r="BW637" s="42" t="n">
        <v>85</v>
      </c>
      <c r="BX637" s="88" t="n">
        <v>90</v>
      </c>
      <c r="BY637" s="65" t="n">
        <v>30</v>
      </c>
      <c r="BZ637" s="58" t="n">
        <v>50</v>
      </c>
      <c r="CA637" s="58" t="n">
        <v>80</v>
      </c>
      <c r="CB637" s="59" t="n">
        <v>22</v>
      </c>
      <c r="CC637" s="58" t="n">
        <v>47</v>
      </c>
      <c r="CD637" s="58" t="n">
        <v>69</v>
      </c>
      <c r="CE637" s="58" t="n">
        <v>18</v>
      </c>
      <c r="CF637" s="58" t="n">
        <v>40</v>
      </c>
      <c r="CG637" s="90" t="n">
        <v>58</v>
      </c>
      <c r="CH637" s="58" t="n">
        <v>94</v>
      </c>
      <c r="CI637" s="58" t="n">
        <v>100</v>
      </c>
      <c r="CJ637" s="58" t="n">
        <v>16</v>
      </c>
      <c r="CK637" s="58" t="n">
        <v>62</v>
      </c>
      <c r="CL637" s="59" t="n">
        <v>78</v>
      </c>
      <c r="CM637" s="60"/>
      <c r="CN637" s="60"/>
      <c r="CO637" s="60"/>
      <c r="CP637" s="25" t="n">
        <f aca="false">BX637+BW637+BV637+BU637+BT637+BQ637+BN637</f>
        <v>428</v>
      </c>
      <c r="CQ637" s="25" t="n">
        <f aca="false">CO637+CL637+CI637+CH637+CG637+CD637+CA637</f>
        <v>479</v>
      </c>
      <c r="CR637" s="26" t="n">
        <f aca="false">CP637/7</f>
        <v>61.1428571428571</v>
      </c>
      <c r="CS637" s="26" t="n">
        <f aca="false">CQ637/7</f>
        <v>68.4285714285714</v>
      </c>
      <c r="CT637" s="24" t="n">
        <f aca="false">RANK(CR637,$CR$2:$CR$881,0)</f>
        <v>717</v>
      </c>
      <c r="CU637" s="25" t="n">
        <f aca="false">RANK(CS637,$CS$2:$CS$881,0)</f>
        <v>581</v>
      </c>
      <c r="CV637" s="26" t="n">
        <f aca="false">(CS637+CR637)/2</f>
        <v>64.7857142857143</v>
      </c>
      <c r="CW637" s="25" t="n">
        <f aca="false">RANK(CV637,$CV$2:$CV$881,0)</f>
        <v>677</v>
      </c>
      <c r="CX637" s="50" t="n">
        <f aca="false">(CV637+BB637)/2</f>
        <v>71.1928571428572</v>
      </c>
      <c r="CY637" s="50" t="n">
        <v>706</v>
      </c>
      <c r="CZ637" s="27" t="s">
        <v>132</v>
      </c>
      <c r="DA637" s="27" t="s">
        <v>205</v>
      </c>
      <c r="DB637" s="27" t="s">
        <v>205</v>
      </c>
      <c r="DC637" s="27" t="s">
        <v>134</v>
      </c>
      <c r="DD637" s="27" t="s">
        <v>195</v>
      </c>
      <c r="DE637" s="27" t="s">
        <v>399</v>
      </c>
      <c r="DF637" s="27" t="s">
        <v>138</v>
      </c>
      <c r="DG637" s="27" t="s">
        <v>134</v>
      </c>
      <c r="DH637" s="27" t="s">
        <v>135</v>
      </c>
      <c r="DI637" s="27" t="s">
        <v>442</v>
      </c>
      <c r="DJ637" s="27" t="s">
        <v>372</v>
      </c>
      <c r="DK637" s="27" t="s">
        <v>134</v>
      </c>
      <c r="DL637" s="27" t="s">
        <v>174</v>
      </c>
      <c r="DM637" s="27" t="s">
        <v>412</v>
      </c>
      <c r="DN637" s="27" t="s">
        <v>486</v>
      </c>
      <c r="DO637" s="27" t="s">
        <v>134</v>
      </c>
      <c r="DP637" s="27"/>
      <c r="DQ637" s="27"/>
      <c r="DR637" s="27"/>
      <c r="DS637" s="27"/>
      <c r="DT637" s="27" t="s">
        <v>135</v>
      </c>
      <c r="DU637" s="27" t="s">
        <v>681</v>
      </c>
      <c r="DV637" s="27" t="s">
        <v>416</v>
      </c>
      <c r="DW637" s="27" t="s">
        <v>154</v>
      </c>
      <c r="DX637" s="27" t="s">
        <v>155</v>
      </c>
      <c r="DY637" s="27" t="s">
        <v>151</v>
      </c>
      <c r="DZ637" s="27" t="n">
        <f aca="false">DY637+DV637+DR637+DN637+DJ637+DF637+DB637</f>
        <v>462</v>
      </c>
      <c r="EA637" s="28" t="n">
        <f aca="false">DZ637/7</f>
        <v>66</v>
      </c>
      <c r="EB637" s="27" t="n">
        <f aca="false">RANK(EA637,$EA$2:$EA$881,0)</f>
        <v>718</v>
      </c>
      <c r="EC637" s="29" t="n">
        <f aca="false">DZ637+CQ637+CP637+AZ637</f>
        <v>2145</v>
      </c>
      <c r="ED637" s="30" t="n">
        <f aca="false">(EA637+CV637+BB637)/3</f>
        <v>69.4619047619048</v>
      </c>
      <c r="EE637" s="51" t="n">
        <f aca="false">ROUND(BE637,3)</f>
        <v>84.96</v>
      </c>
      <c r="EF637" s="51" t="n">
        <f aca="false">ROUND(CR637,3)</f>
        <v>61.143</v>
      </c>
      <c r="EG637" s="51" t="n">
        <f aca="false">ROUND(CS637,3)</f>
        <v>68.429</v>
      </c>
      <c r="EH637" s="51" t="n">
        <f aca="false">ROUND(EA637,3)</f>
        <v>66</v>
      </c>
      <c r="EI637" s="51" t="n">
        <f aca="false">ROUND(ED637,3)</f>
        <v>69.462</v>
      </c>
      <c r="EJ637" s="51" t="n">
        <f aca="false">ROUND(CV637,3)</f>
        <v>64.786</v>
      </c>
      <c r="EK637" s="0" t="n">
        <f aca="false">RANK(EI637,$EI$2:$EI$881,0)</f>
        <v>636</v>
      </c>
    </row>
    <row r="638" customFormat="false" ht="15" hidden="false" customHeight="false" outlineLevel="0" collapsed="false">
      <c r="A638" s="4" t="n">
        <v>8664</v>
      </c>
      <c r="B638" s="4" t="n">
        <v>738</v>
      </c>
      <c r="C638" s="27" t="s">
        <v>1864</v>
      </c>
      <c r="D638" s="31" t="n">
        <v>753</v>
      </c>
      <c r="E638" s="16" t="n">
        <v>230621515</v>
      </c>
      <c r="F638" s="56" t="s">
        <v>1865</v>
      </c>
      <c r="G638" s="22" t="s">
        <v>1866</v>
      </c>
      <c r="H638" s="22" t="s">
        <v>558</v>
      </c>
      <c r="I638" s="57"/>
      <c r="J638" s="71" t="n">
        <v>59</v>
      </c>
      <c r="K638" s="16" t="n">
        <v>48</v>
      </c>
      <c r="L638" s="34" t="n">
        <f aca="false">(K638*70)/100</f>
        <v>33.6</v>
      </c>
      <c r="M638" s="34" t="n">
        <f aca="false">ROUNDUP(L638,0)</f>
        <v>34</v>
      </c>
      <c r="N638" s="16" t="n">
        <v>24</v>
      </c>
      <c r="O638" s="34" t="n">
        <f aca="false">N638+L638</f>
        <v>57.6</v>
      </c>
      <c r="P638" s="91" t="n">
        <f aca="false">N638+M638</f>
        <v>58</v>
      </c>
      <c r="Q638" s="16" t="n">
        <v>68</v>
      </c>
      <c r="R638" s="16" t="n">
        <v>69</v>
      </c>
      <c r="S638" s="34" t="n">
        <f aca="false">(R638*70)/100</f>
        <v>48.3</v>
      </c>
      <c r="T638" s="34" t="n">
        <f aca="false">ROUNDUP(S638,0)</f>
        <v>49</v>
      </c>
      <c r="U638" s="16" t="n">
        <v>26</v>
      </c>
      <c r="V638" s="34" t="n">
        <f aca="false">U638+S638</f>
        <v>74.3</v>
      </c>
      <c r="W638" s="34" t="n">
        <f aca="false">U638+T638</f>
        <v>75</v>
      </c>
      <c r="X638" s="16" t="n">
        <v>73</v>
      </c>
      <c r="Y638" s="34" t="n">
        <f aca="false">(X638*70)/100</f>
        <v>51.1</v>
      </c>
      <c r="Z638" s="34" t="n">
        <f aca="false">ROUNDUP(Y638,0)</f>
        <v>52</v>
      </c>
      <c r="AA638" s="16" t="n">
        <v>29</v>
      </c>
      <c r="AB638" s="34" t="n">
        <f aca="false">AA638+Y638</f>
        <v>80.1</v>
      </c>
      <c r="AC638" s="34" t="n">
        <f aca="false">AA638+Z638</f>
        <v>81</v>
      </c>
      <c r="AD638" s="32" t="n">
        <f aca="false">X638+R638+Q638+K638+J638</f>
        <v>317</v>
      </c>
      <c r="AE638" s="16" t="n">
        <f aca="false">AD638/5</f>
        <v>63.4</v>
      </c>
      <c r="AF638" s="16" t="n">
        <v>63</v>
      </c>
      <c r="AG638" s="71" t="n">
        <v>57</v>
      </c>
      <c r="AH638" s="16" t="n">
        <v>69</v>
      </c>
      <c r="AI638" s="16" t="n">
        <v>74</v>
      </c>
      <c r="AJ638" s="16" t="n">
        <f aca="false">(AI638*70)/100</f>
        <v>51.8</v>
      </c>
      <c r="AK638" s="35" t="n">
        <f aca="false">ROUNDUP(AJ638,0)</f>
        <v>52</v>
      </c>
      <c r="AL638" s="16" t="n">
        <v>28</v>
      </c>
      <c r="AM638" s="16" t="n">
        <f aca="false">AL638+AJ638</f>
        <v>79.8</v>
      </c>
      <c r="AN638" s="16" t="n">
        <f aca="false">AL638+AK638</f>
        <v>80</v>
      </c>
      <c r="AO638" s="16" t="n">
        <v>62</v>
      </c>
      <c r="AP638" s="36" t="n">
        <f aca="false">(AO638*70)/100</f>
        <v>43.4</v>
      </c>
      <c r="AQ638" s="37" t="n">
        <f aca="false">ROUNDUP(AP638,0)</f>
        <v>44</v>
      </c>
      <c r="AR638" s="16" t="n">
        <v>28</v>
      </c>
      <c r="AS638" s="16" t="n">
        <f aca="false">AR638+AP638</f>
        <v>71.4</v>
      </c>
      <c r="AT638" s="16" t="n">
        <f aca="false">AR638+AQ638</f>
        <v>72</v>
      </c>
      <c r="AU638" s="16" t="n">
        <f aca="false">AO638+AF638+AI638+AH638+AG638</f>
        <v>325</v>
      </c>
      <c r="AV638" s="16" t="n">
        <f aca="false">(AO638+AF638+AI638+AH638+AG638)/5</f>
        <v>65</v>
      </c>
      <c r="AW638" s="36" t="n">
        <f aca="false">(AO638+AF638+AI638+AH638+AG638+X638+R638+Q638+K638+J638)</f>
        <v>642</v>
      </c>
      <c r="AX638" s="16" t="n">
        <f aca="false">AW638/10</f>
        <v>64.2</v>
      </c>
      <c r="AY638" s="16" t="n">
        <f aca="false">AS638+AF638+AM638+AH638+AG638+AB638+V638+Q638+O638+J638</f>
        <v>679.2</v>
      </c>
      <c r="AZ638" s="16" t="n">
        <f aca="false">AT638+AF638+AN638+AH638+AG638+AC638+W638+Q638+P638+J638</f>
        <v>682</v>
      </c>
      <c r="BA638" s="16" t="n">
        <f aca="false">AY638/10</f>
        <v>67.92</v>
      </c>
      <c r="BB638" s="16" t="n">
        <f aca="false">AZ638/10</f>
        <v>68.2</v>
      </c>
      <c r="BC638" s="16" t="n">
        <v>2349</v>
      </c>
      <c r="BD638" s="16" t="n">
        <f aca="false">RANK(AX638,$AX$2:$AX$881,0)</f>
        <v>770</v>
      </c>
      <c r="BE638" s="78" t="n">
        <f aca="false">((BC638*100)/2400)*0.4+(AX638*0.6)</f>
        <v>77.67</v>
      </c>
      <c r="BF638" s="16" t="n">
        <f aca="false">RANK(BE638,$BE$2:$BE$881,0)</f>
        <v>751</v>
      </c>
      <c r="BG638" s="39" t="n">
        <f aca="false">RANK(BB638,$BB$2:$BB$881,0)</f>
        <v>757</v>
      </c>
      <c r="BH638" s="39" t="n">
        <f aca="false">RANK(BC638,$BC$2:$BC$881,0)</f>
        <v>542</v>
      </c>
      <c r="BI638" s="22" t="s">
        <v>130</v>
      </c>
      <c r="BJ638" s="22" t="s">
        <v>129</v>
      </c>
      <c r="BK638" s="40" t="s">
        <v>702</v>
      </c>
      <c r="BL638" s="41" t="n">
        <v>19</v>
      </c>
      <c r="BM638" s="41" t="n">
        <v>45</v>
      </c>
      <c r="BN638" s="41" t="n">
        <v>64</v>
      </c>
      <c r="BO638" s="42" t="n">
        <v>27</v>
      </c>
      <c r="BP638" s="43" t="n">
        <v>49</v>
      </c>
      <c r="BQ638" s="44" t="n">
        <v>76</v>
      </c>
      <c r="BR638" s="42" t="n">
        <v>21</v>
      </c>
      <c r="BS638" s="45" t="n">
        <v>52</v>
      </c>
      <c r="BT638" s="45" t="n">
        <v>73</v>
      </c>
      <c r="BU638" s="46" t="n">
        <v>98</v>
      </c>
      <c r="BV638" s="47" t="n">
        <v>82</v>
      </c>
      <c r="BW638" s="42" t="n">
        <v>88</v>
      </c>
      <c r="BX638" s="88" t="n">
        <v>90</v>
      </c>
      <c r="BY638" s="65" t="n">
        <v>25</v>
      </c>
      <c r="BZ638" s="58" t="n">
        <v>62</v>
      </c>
      <c r="CA638" s="58" t="n">
        <v>87</v>
      </c>
      <c r="CB638" s="59" t="n">
        <v>17</v>
      </c>
      <c r="CC638" s="58" t="n">
        <v>43</v>
      </c>
      <c r="CD638" s="58" t="n">
        <v>60</v>
      </c>
      <c r="CE638" s="58" t="n">
        <v>23</v>
      </c>
      <c r="CF638" s="58" t="n">
        <v>62</v>
      </c>
      <c r="CG638" s="58" t="n">
        <v>85</v>
      </c>
      <c r="CH638" s="58" t="n">
        <v>79</v>
      </c>
      <c r="CI638" s="58" t="n">
        <v>89</v>
      </c>
      <c r="CJ638" s="58" t="n">
        <v>20</v>
      </c>
      <c r="CK638" s="58" t="n">
        <v>47</v>
      </c>
      <c r="CL638" s="59" t="n">
        <v>67</v>
      </c>
      <c r="CM638" s="60"/>
      <c r="CN638" s="60"/>
      <c r="CO638" s="60"/>
      <c r="CP638" s="25" t="n">
        <f aca="false">BX638+BW638+BV638+BU638+BT638+BQ638+BN638</f>
        <v>571</v>
      </c>
      <c r="CQ638" s="25" t="n">
        <f aca="false">CO638+CL638+CI638+CH638+CG638+CD638+CA638</f>
        <v>467</v>
      </c>
      <c r="CR638" s="26" t="n">
        <f aca="false">CP638/7</f>
        <v>81.5714285714286</v>
      </c>
      <c r="CS638" s="26" t="n">
        <f aca="false">CQ638/7</f>
        <v>66.7142857142857</v>
      </c>
      <c r="CT638" s="24" t="n">
        <f aca="false">RANK(CR638,$CR$2:$CR$881,0)</f>
        <v>552</v>
      </c>
      <c r="CU638" s="25" t="n">
        <f aca="false">RANK(CS638,$CS$2:$CS$881,0)</f>
        <v>601</v>
      </c>
      <c r="CV638" s="26" t="n">
        <f aca="false">(CS638+CR638)/2</f>
        <v>74.1428571428571</v>
      </c>
      <c r="CW638" s="25" t="n">
        <f aca="false">RANK(CV638,$CV$2:$CV$881,0)</f>
        <v>581</v>
      </c>
      <c r="CX638" s="50" t="n">
        <f aca="false">(CV638+BB638)/2</f>
        <v>71.1714285714286</v>
      </c>
      <c r="CY638" s="50" t="n">
        <v>700</v>
      </c>
      <c r="CZ638" s="27" t="s">
        <v>132</v>
      </c>
      <c r="DA638" s="27" t="s">
        <v>143</v>
      </c>
      <c r="DB638" s="27" t="s">
        <v>143</v>
      </c>
      <c r="DC638" s="27" t="s">
        <v>134</v>
      </c>
      <c r="DD638" s="27" t="s">
        <v>135</v>
      </c>
      <c r="DE638" s="27" t="s">
        <v>304</v>
      </c>
      <c r="DF638" s="27" t="s">
        <v>272</v>
      </c>
      <c r="DG638" s="27" t="s">
        <v>134</v>
      </c>
      <c r="DH638" s="27" t="s">
        <v>154</v>
      </c>
      <c r="DI638" s="27" t="s">
        <v>1407</v>
      </c>
      <c r="DJ638" s="27" t="s">
        <v>136</v>
      </c>
      <c r="DK638" s="27" t="s">
        <v>134</v>
      </c>
      <c r="DL638" s="27" t="s">
        <v>154</v>
      </c>
      <c r="DM638" s="27" t="s">
        <v>140</v>
      </c>
      <c r="DN638" s="27" t="s">
        <v>313</v>
      </c>
      <c r="DO638" s="27" t="s">
        <v>480</v>
      </c>
      <c r="DP638" s="27" t="s">
        <v>825</v>
      </c>
      <c r="DQ638" s="27" t="s">
        <v>638</v>
      </c>
      <c r="DR638" s="27" t="s">
        <v>183</v>
      </c>
      <c r="DS638" s="27" t="s">
        <v>480</v>
      </c>
      <c r="DT638" s="27" t="s">
        <v>137</v>
      </c>
      <c r="DU638" s="27" t="s">
        <v>1395</v>
      </c>
      <c r="DV638" s="27" t="s">
        <v>177</v>
      </c>
      <c r="DW638" s="27" t="s">
        <v>195</v>
      </c>
      <c r="DX638" s="27" t="s">
        <v>161</v>
      </c>
      <c r="DY638" s="27" t="s">
        <v>205</v>
      </c>
      <c r="DZ638" s="27" t="n">
        <f aca="false">DY638+DV638+DR638+DN638+DJ638+DF638+DB638</f>
        <v>462</v>
      </c>
      <c r="EA638" s="28" t="n">
        <f aca="false">DZ638/7</f>
        <v>66</v>
      </c>
      <c r="EB638" s="27" t="n">
        <f aca="false">RANK(EA638,$EA$2:$EA$881,0)</f>
        <v>718</v>
      </c>
      <c r="EC638" s="29" t="n">
        <f aca="false">DZ638+CQ638+CP638+AZ638</f>
        <v>2182</v>
      </c>
      <c r="ED638" s="30" t="n">
        <f aca="false">(EA638+CV638+BB638)/3</f>
        <v>69.4476190476191</v>
      </c>
      <c r="EE638" s="51" t="n">
        <f aca="false">ROUND(BE638,3)</f>
        <v>77.67</v>
      </c>
      <c r="EF638" s="51" t="n">
        <f aca="false">ROUND(CR638,3)</f>
        <v>81.571</v>
      </c>
      <c r="EG638" s="51" t="n">
        <f aca="false">ROUND(CS638,3)</f>
        <v>66.714</v>
      </c>
      <c r="EH638" s="51" t="n">
        <f aca="false">ROUND(EA638,3)</f>
        <v>66</v>
      </c>
      <c r="EI638" s="51" t="n">
        <f aca="false">ROUND(ED638,3)</f>
        <v>69.448</v>
      </c>
      <c r="EJ638" s="51" t="n">
        <f aca="false">ROUND(CV638,3)</f>
        <v>74.143</v>
      </c>
      <c r="EK638" s="0" t="n">
        <f aca="false">RANK(EI638,$EI$2:$EI$881,0)</f>
        <v>637</v>
      </c>
    </row>
    <row r="639" customFormat="false" ht="15" hidden="false" customHeight="false" outlineLevel="0" collapsed="false">
      <c r="A639" s="4" t="n">
        <v>1876</v>
      </c>
      <c r="B639" s="4" t="n">
        <v>762</v>
      </c>
      <c r="C639" s="27" t="s">
        <v>1867</v>
      </c>
      <c r="D639" s="31" t="n">
        <v>779</v>
      </c>
      <c r="E639" s="16" t="n">
        <v>230505257</v>
      </c>
      <c r="F639" s="56" t="s">
        <v>1868</v>
      </c>
      <c r="G639" s="22" t="s">
        <v>1869</v>
      </c>
      <c r="H639" s="22" t="s">
        <v>465</v>
      </c>
      <c r="I639" s="57"/>
      <c r="J639" s="16" t="n">
        <v>80</v>
      </c>
      <c r="K639" s="16" t="n">
        <v>60</v>
      </c>
      <c r="L639" s="34" t="n">
        <f aca="false">(K639*70)/100</f>
        <v>42</v>
      </c>
      <c r="M639" s="34" t="n">
        <f aca="false">ROUNDUP(L639,0)</f>
        <v>42</v>
      </c>
      <c r="N639" s="16" t="n">
        <v>30</v>
      </c>
      <c r="O639" s="34" t="n">
        <f aca="false">N639+L639</f>
        <v>72</v>
      </c>
      <c r="P639" s="34" t="n">
        <f aca="false">N639+M639</f>
        <v>72</v>
      </c>
      <c r="Q639" s="16" t="n">
        <v>72</v>
      </c>
      <c r="R639" s="16" t="n">
        <v>67</v>
      </c>
      <c r="S639" s="34" t="n">
        <f aca="false">(R639*70)/100</f>
        <v>46.9</v>
      </c>
      <c r="T639" s="34" t="n">
        <f aca="false">ROUNDUP(S639,0)</f>
        <v>47</v>
      </c>
      <c r="U639" s="16" t="n">
        <v>29</v>
      </c>
      <c r="V639" s="34" t="n">
        <f aca="false">U639+S639</f>
        <v>75.9</v>
      </c>
      <c r="W639" s="34" t="n">
        <f aca="false">U639+T639</f>
        <v>76</v>
      </c>
      <c r="X639" s="16" t="n">
        <v>69</v>
      </c>
      <c r="Y639" s="34" t="n">
        <f aca="false">(X639*70)/100</f>
        <v>48.3</v>
      </c>
      <c r="Z639" s="34" t="n">
        <f aca="false">ROUNDUP(Y639,0)</f>
        <v>49</v>
      </c>
      <c r="AA639" s="16" t="n">
        <v>30</v>
      </c>
      <c r="AB639" s="34" t="n">
        <f aca="false">AA639+Y639</f>
        <v>78.3</v>
      </c>
      <c r="AC639" s="34" t="n">
        <f aca="false">AA639+Z639</f>
        <v>79</v>
      </c>
      <c r="AD639" s="32" t="n">
        <f aca="false">X639+R639+Q639+K639+J639</f>
        <v>348</v>
      </c>
      <c r="AE639" s="16" t="n">
        <f aca="false">AD639/5</f>
        <v>69.6</v>
      </c>
      <c r="AF639" s="16" t="n">
        <v>83</v>
      </c>
      <c r="AG639" s="16" t="n">
        <v>87</v>
      </c>
      <c r="AH639" s="16" t="n">
        <v>91</v>
      </c>
      <c r="AI639" s="16" t="n">
        <v>69</v>
      </c>
      <c r="AJ639" s="16" t="n">
        <f aca="false">(AI639*70)/100</f>
        <v>48.3</v>
      </c>
      <c r="AK639" s="35" t="n">
        <f aca="false">ROUNDUP(AJ639,0)</f>
        <v>49</v>
      </c>
      <c r="AL639" s="16" t="n">
        <v>25</v>
      </c>
      <c r="AM639" s="16" t="n">
        <f aca="false">AL639+AJ639</f>
        <v>73.3</v>
      </c>
      <c r="AN639" s="16" t="n">
        <f aca="false">AL639+AK639</f>
        <v>74</v>
      </c>
      <c r="AO639" s="16" t="n">
        <v>74</v>
      </c>
      <c r="AP639" s="36" t="n">
        <f aca="false">(AO639*70)/100</f>
        <v>51.8</v>
      </c>
      <c r="AQ639" s="37" t="n">
        <f aca="false">ROUNDUP(AP639,0)</f>
        <v>52</v>
      </c>
      <c r="AR639" s="16" t="n">
        <v>27</v>
      </c>
      <c r="AS639" s="16" t="n">
        <f aca="false">AR639+AP639</f>
        <v>78.8</v>
      </c>
      <c r="AT639" s="16" t="n">
        <f aca="false">AR639+AQ639</f>
        <v>79</v>
      </c>
      <c r="AU639" s="16" t="n">
        <f aca="false">AO639+AF639+AI639+AH639+AG639</f>
        <v>404</v>
      </c>
      <c r="AV639" s="16" t="n">
        <f aca="false">(AO639+AF639+AI639+AH639+AG639)/5</f>
        <v>80.8</v>
      </c>
      <c r="AW639" s="36" t="n">
        <f aca="false">(AO639+AF639+AI639+AH639+AG639+X639+R639+Q639+K639+J639)</f>
        <v>752</v>
      </c>
      <c r="AX639" s="16" t="n">
        <f aca="false">AW639/10</f>
        <v>75.2</v>
      </c>
      <c r="AY639" s="16" t="n">
        <f aca="false">AS639+AF639+AM639+AH639+AG639+AB639+V639+Q639+O639+J639</f>
        <v>791.3</v>
      </c>
      <c r="AZ639" s="16" t="n">
        <f aca="false">AT639+AF639+AN639+AH639+AG639+AC639+W639+Q639+P639+J639</f>
        <v>793</v>
      </c>
      <c r="BA639" s="16" t="n">
        <f aca="false">AY639/10</f>
        <v>79.13</v>
      </c>
      <c r="BB639" s="16" t="n">
        <f aca="false">AZ639/10</f>
        <v>79.3</v>
      </c>
      <c r="BC639" s="16" t="n">
        <v>2396</v>
      </c>
      <c r="BD639" s="16" t="n">
        <f aca="false">RANK(AX639,$AX$2:$AX$881,0)</f>
        <v>675</v>
      </c>
      <c r="BE639" s="54" t="n">
        <f aca="false">((BC639*100)/2400)*0.4+(AX639*0.6)</f>
        <v>85.0533333333333</v>
      </c>
      <c r="BF639" s="16" t="n">
        <f aca="false">RANK(BE639,$BE$2:$BE$881,0)</f>
        <v>604</v>
      </c>
      <c r="BG639" s="39" t="n">
        <f aca="false">RANK(BB639,$BB$2:$BB$881,0)</f>
        <v>424</v>
      </c>
      <c r="BH639" s="39" t="n">
        <f aca="false">RANK(BC639,$BC$2:$BC$881,0)</f>
        <v>12</v>
      </c>
      <c r="BI639" s="22" t="s">
        <v>130</v>
      </c>
      <c r="BJ639" s="22" t="s">
        <v>129</v>
      </c>
      <c r="BK639" s="22" t="s">
        <v>509</v>
      </c>
      <c r="BL639" s="41" t="n">
        <v>28</v>
      </c>
      <c r="BM639" s="41" t="n">
        <v>56</v>
      </c>
      <c r="BN639" s="41" t="n">
        <v>84</v>
      </c>
      <c r="BO639" s="42" t="n">
        <v>23</v>
      </c>
      <c r="BP639" s="43" t="n">
        <v>60</v>
      </c>
      <c r="BQ639" s="44" t="n">
        <v>83</v>
      </c>
      <c r="BR639" s="42" t="n">
        <v>21</v>
      </c>
      <c r="BS639" s="45" t="n">
        <v>59</v>
      </c>
      <c r="BT639" s="45" t="n">
        <v>80</v>
      </c>
      <c r="BU639" s="46" t="n">
        <v>98</v>
      </c>
      <c r="BV639" s="47" t="n">
        <v>96</v>
      </c>
      <c r="BW639" s="42" t="n">
        <v>99</v>
      </c>
      <c r="BX639" s="107"/>
      <c r="BY639" s="130"/>
      <c r="BZ639" s="60"/>
      <c r="CA639" s="60"/>
      <c r="CB639" s="61"/>
      <c r="CC639" s="60"/>
      <c r="CD639" s="60"/>
      <c r="CE639" s="60"/>
      <c r="CF639" s="60"/>
      <c r="CG639" s="60"/>
      <c r="CH639" s="60"/>
      <c r="CI639" s="60"/>
      <c r="CJ639" s="60"/>
      <c r="CK639" s="60"/>
      <c r="CL639" s="61"/>
      <c r="CM639" s="60"/>
      <c r="CN639" s="60"/>
      <c r="CO639" s="60"/>
      <c r="CP639" s="25" t="n">
        <f aca="false">BX639+BW639+BV639+BU639+BT639+BQ639+BN639</f>
        <v>540</v>
      </c>
      <c r="CQ639" s="25" t="n">
        <f aca="false">CO639+CL639+CI639+CH639+CG639+CD639+CA639</f>
        <v>0</v>
      </c>
      <c r="CR639" s="26" t="n">
        <f aca="false">CP639/7</f>
        <v>77.1428571428571</v>
      </c>
      <c r="CS639" s="26" t="n">
        <f aca="false">CQ639/7</f>
        <v>0</v>
      </c>
      <c r="CT639" s="24" t="n">
        <f aca="false">RANK(CR639,$CR$2:$CR$881,0)</f>
        <v>627</v>
      </c>
      <c r="CU639" s="25" t="n">
        <f aca="false">RANK(CS639,$CS$2:$CS$881,0)</f>
        <v>752</v>
      </c>
      <c r="CV639" s="26" t="n">
        <f aca="false">(CS639+CR639)/2</f>
        <v>38.5714285714286</v>
      </c>
      <c r="CW639" s="25" t="n">
        <f aca="false">RANK(CV639,$CV$2:$CV$881,0)</f>
        <v>725</v>
      </c>
      <c r="CX639" s="50" t="n">
        <f aca="false">(CV639+BB639)/2</f>
        <v>58.9357142857143</v>
      </c>
      <c r="CY639" s="50" t="n">
        <v>646</v>
      </c>
      <c r="CZ639" s="27" t="s">
        <v>132</v>
      </c>
      <c r="DA639" s="27" t="s">
        <v>139</v>
      </c>
      <c r="DB639" s="27" t="s">
        <v>139</v>
      </c>
      <c r="DC639" s="27" t="s">
        <v>134</v>
      </c>
      <c r="DD639" s="27" t="s">
        <v>182</v>
      </c>
      <c r="DE639" s="27" t="s">
        <v>177</v>
      </c>
      <c r="DF639" s="27" t="s">
        <v>209</v>
      </c>
      <c r="DG639" s="27" t="s">
        <v>134</v>
      </c>
      <c r="DH639" s="27" t="s">
        <v>164</v>
      </c>
      <c r="DI639" s="27" t="s">
        <v>143</v>
      </c>
      <c r="DJ639" s="27" t="s">
        <v>139</v>
      </c>
      <c r="DK639" s="27" t="s">
        <v>134</v>
      </c>
      <c r="DL639" s="27" t="s">
        <v>160</v>
      </c>
      <c r="DM639" s="27" t="s">
        <v>136</v>
      </c>
      <c r="DN639" s="27" t="s">
        <v>170</v>
      </c>
      <c r="DO639" s="27" t="s">
        <v>134</v>
      </c>
      <c r="DP639" s="27" t="s">
        <v>174</v>
      </c>
      <c r="DQ639" s="27" t="s">
        <v>203</v>
      </c>
      <c r="DR639" s="27" t="s">
        <v>209</v>
      </c>
      <c r="DS639" s="27" t="s">
        <v>134</v>
      </c>
      <c r="DT639" s="27" t="s">
        <v>146</v>
      </c>
      <c r="DU639" s="27" t="s">
        <v>306</v>
      </c>
      <c r="DV639" s="27" t="s">
        <v>175</v>
      </c>
      <c r="DW639" s="27" t="s">
        <v>140</v>
      </c>
      <c r="DX639" s="27" t="s">
        <v>155</v>
      </c>
      <c r="DY639" s="27" t="s">
        <v>147</v>
      </c>
      <c r="DZ639" s="27" t="n">
        <f aca="false">DY639+DV639+DR639+DN639+DJ639+DF639+DB639</f>
        <v>633</v>
      </c>
      <c r="EA639" s="28" t="n">
        <f aca="false">DZ639/7</f>
        <v>90.4285714285714</v>
      </c>
      <c r="EB639" s="27" t="n">
        <f aca="false">RANK(EA639,$EA$2:$EA$881,0)</f>
        <v>48</v>
      </c>
      <c r="EC639" s="29" t="n">
        <f aca="false">DZ639+CQ639+CP639+AZ639</f>
        <v>1966</v>
      </c>
      <c r="ED639" s="30" t="n">
        <f aca="false">(EA639+CV639+BB639)/3</f>
        <v>69.4333333333333</v>
      </c>
      <c r="EE639" s="51" t="n">
        <f aca="false">ROUND(BE639,3)</f>
        <v>85.053</v>
      </c>
      <c r="EF639" s="51" t="n">
        <f aca="false">ROUND(CR639,3)</f>
        <v>77.143</v>
      </c>
      <c r="EG639" s="51" t="n">
        <f aca="false">ROUND(CS639,3)</f>
        <v>0</v>
      </c>
      <c r="EH639" s="51" t="n">
        <f aca="false">ROUND(EA639,3)</f>
        <v>90.429</v>
      </c>
      <c r="EI639" s="51" t="n">
        <f aca="false">ROUND(ED639,3)</f>
        <v>69.433</v>
      </c>
      <c r="EJ639" s="51" t="n">
        <f aca="false">ROUND(CV639,3)</f>
        <v>38.571</v>
      </c>
      <c r="EK639" s="0" t="n">
        <f aca="false">RANK(EI639,$EI$2:$EI$881,0)</f>
        <v>638</v>
      </c>
    </row>
    <row r="640" customFormat="false" ht="33.7" hidden="false" customHeight="false" outlineLevel="0" collapsed="false">
      <c r="A640" s="4" t="n">
        <v>2020</v>
      </c>
      <c r="B640" s="4" t="n">
        <v>470</v>
      </c>
      <c r="C640" s="27" t="s">
        <v>1870</v>
      </c>
      <c r="D640" s="31" t="n">
        <v>478</v>
      </c>
      <c r="E640" s="16" t="n">
        <v>230611742</v>
      </c>
      <c r="F640" s="56" t="s">
        <v>1871</v>
      </c>
      <c r="G640" s="22" t="s">
        <v>371</v>
      </c>
      <c r="H640" s="22" t="s">
        <v>558</v>
      </c>
      <c r="I640" s="57"/>
      <c r="J640" s="16" t="n">
        <v>67</v>
      </c>
      <c r="K640" s="16" t="n">
        <v>70</v>
      </c>
      <c r="L640" s="34" t="n">
        <f aca="false">(K640*70)/100</f>
        <v>49</v>
      </c>
      <c r="M640" s="34" t="n">
        <f aca="false">ROUNDUP(L640,0)</f>
        <v>49</v>
      </c>
      <c r="N640" s="16" t="n">
        <v>24</v>
      </c>
      <c r="O640" s="34" t="n">
        <f aca="false">N640+L640</f>
        <v>73</v>
      </c>
      <c r="P640" s="34" t="n">
        <f aca="false">N640+M640</f>
        <v>73</v>
      </c>
      <c r="Q640" s="16" t="n">
        <v>80</v>
      </c>
      <c r="R640" s="16" t="n">
        <v>68</v>
      </c>
      <c r="S640" s="34" t="n">
        <f aca="false">(R640*70)/100</f>
        <v>47.6</v>
      </c>
      <c r="T640" s="34" t="n">
        <f aca="false">ROUNDUP(S640,0)</f>
        <v>48</v>
      </c>
      <c r="U640" s="16" t="n">
        <v>26</v>
      </c>
      <c r="V640" s="34" t="n">
        <f aca="false">U640+S640</f>
        <v>73.6</v>
      </c>
      <c r="W640" s="34" t="n">
        <f aca="false">U640+T640</f>
        <v>74</v>
      </c>
      <c r="X640" s="16" t="n">
        <v>77</v>
      </c>
      <c r="Y640" s="34" t="n">
        <f aca="false">(X640*70)/100</f>
        <v>53.9</v>
      </c>
      <c r="Z640" s="34" t="n">
        <f aca="false">ROUNDUP(Y640,0)</f>
        <v>54</v>
      </c>
      <c r="AA640" s="16" t="n">
        <v>25</v>
      </c>
      <c r="AB640" s="34" t="n">
        <f aca="false">AA640+Y640</f>
        <v>78.9</v>
      </c>
      <c r="AC640" s="34" t="n">
        <f aca="false">AA640+Z640</f>
        <v>79</v>
      </c>
      <c r="AD640" s="32" t="n">
        <f aca="false">X640+R640+Q640+K640+J640</f>
        <v>362</v>
      </c>
      <c r="AE640" s="16" t="n">
        <f aca="false">AD640/5</f>
        <v>72.4</v>
      </c>
      <c r="AF640" s="16" t="n">
        <v>85</v>
      </c>
      <c r="AG640" s="16" t="n">
        <v>73</v>
      </c>
      <c r="AH640" s="16" t="n">
        <v>87</v>
      </c>
      <c r="AI640" s="16" t="n">
        <v>85</v>
      </c>
      <c r="AJ640" s="16" t="n">
        <f aca="false">(AI640*70)/100</f>
        <v>59.5</v>
      </c>
      <c r="AK640" s="35" t="n">
        <f aca="false">ROUNDUP(AJ640,0)</f>
        <v>60</v>
      </c>
      <c r="AL640" s="16" t="n">
        <v>20</v>
      </c>
      <c r="AM640" s="16" t="n">
        <f aca="false">AL640+AJ640</f>
        <v>79.5</v>
      </c>
      <c r="AN640" s="16" t="n">
        <f aca="false">AL640+AK640</f>
        <v>80</v>
      </c>
      <c r="AO640" s="16" t="n">
        <v>75</v>
      </c>
      <c r="AP640" s="36" t="n">
        <f aca="false">(AO640*70)/100</f>
        <v>52.5</v>
      </c>
      <c r="AQ640" s="37" t="n">
        <f aca="false">ROUNDUP(AP640,0)</f>
        <v>53</v>
      </c>
      <c r="AR640" s="16" t="n">
        <v>28</v>
      </c>
      <c r="AS640" s="16" t="n">
        <f aca="false">AR640+AP640</f>
        <v>80.5</v>
      </c>
      <c r="AT640" s="16" t="n">
        <f aca="false">AR640+AQ640</f>
        <v>81</v>
      </c>
      <c r="AU640" s="16" t="n">
        <f aca="false">AO640+AF640+AI640+AH640+AG640</f>
        <v>405</v>
      </c>
      <c r="AV640" s="16" t="n">
        <f aca="false">(AO640+AF640+AI640+AH640+AG640)/5</f>
        <v>81</v>
      </c>
      <c r="AW640" s="36" t="n">
        <f aca="false">(AO640+AF640+AI640+AH640+AG640+X640+R640+Q640+K640+J640)</f>
        <v>767</v>
      </c>
      <c r="AX640" s="16" t="n">
        <f aca="false">AW640/10</f>
        <v>76.7</v>
      </c>
      <c r="AY640" s="16" t="n">
        <f aca="false">AS640+AF640+AM640+AH640+AG640+AB640+V640+Q640+O640+J640</f>
        <v>777.5</v>
      </c>
      <c r="AZ640" s="16" t="n">
        <f aca="false">AT640+AF640+AN640+AH640+AG640+AC640+W640+Q640+P640+J640</f>
        <v>779</v>
      </c>
      <c r="BA640" s="16" t="n">
        <f aca="false">AY640/10</f>
        <v>77.75</v>
      </c>
      <c r="BB640" s="16" t="n">
        <f aca="false">AZ640/10</f>
        <v>77.9</v>
      </c>
      <c r="BC640" s="16" t="n">
        <v>2346</v>
      </c>
      <c r="BD640" s="16" t="n">
        <f aca="false">RANK(AX640,$AX$2:$AX$881,0)</f>
        <v>536</v>
      </c>
      <c r="BE640" s="54" t="n">
        <f aca="false">((BC640*100)/2400)*0.4+(AX640*0.6)</f>
        <v>85.12</v>
      </c>
      <c r="BF640" s="16" t="n">
        <f aca="false">RANK(BE640,$BE$2:$BE$881,0)</f>
        <v>583</v>
      </c>
      <c r="BG640" s="39" t="n">
        <f aca="false">RANK(BB640,$BB$2:$BB$881,0)</f>
        <v>569</v>
      </c>
      <c r="BH640" s="39" t="n">
        <f aca="false">RANK(BC640,$BC$2:$BC$881,0)</f>
        <v>571</v>
      </c>
      <c r="BI640" s="22" t="s">
        <v>130</v>
      </c>
      <c r="BJ640" s="22" t="s">
        <v>129</v>
      </c>
      <c r="BK640" s="40" t="s">
        <v>509</v>
      </c>
      <c r="BL640" s="41" t="n">
        <v>12</v>
      </c>
      <c r="BM640" s="41" t="n">
        <v>50</v>
      </c>
      <c r="BN640" s="41" t="n">
        <v>62</v>
      </c>
      <c r="BO640" s="42" t="n">
        <v>20</v>
      </c>
      <c r="BP640" s="43" t="n">
        <v>24</v>
      </c>
      <c r="BQ640" s="119" t="n">
        <v>44</v>
      </c>
      <c r="BR640" s="42" t="n">
        <v>14</v>
      </c>
      <c r="BS640" s="80"/>
      <c r="BT640" s="80"/>
      <c r="BU640" s="46" t="n">
        <v>98</v>
      </c>
      <c r="BV640" s="47" t="n">
        <v>66</v>
      </c>
      <c r="BW640" s="42" t="n">
        <v>90</v>
      </c>
      <c r="BX640" s="88" t="n">
        <v>92</v>
      </c>
      <c r="BY640" s="65" t="n">
        <v>29</v>
      </c>
      <c r="BZ640" s="58" t="n">
        <v>44</v>
      </c>
      <c r="CA640" s="58" t="n">
        <v>73</v>
      </c>
      <c r="CB640" s="59" t="n">
        <v>24</v>
      </c>
      <c r="CC640" s="58" t="n">
        <v>50</v>
      </c>
      <c r="CD640" s="58" t="n">
        <v>74</v>
      </c>
      <c r="CE640" s="58" t="n">
        <v>21</v>
      </c>
      <c r="CF640" s="58" t="n">
        <v>42</v>
      </c>
      <c r="CG640" s="58" t="n">
        <v>63</v>
      </c>
      <c r="CH640" s="58" t="n">
        <v>88</v>
      </c>
      <c r="CI640" s="58" t="n">
        <v>65</v>
      </c>
      <c r="CJ640" s="58" t="n">
        <v>25</v>
      </c>
      <c r="CK640" s="58" t="n">
        <v>58</v>
      </c>
      <c r="CL640" s="59" t="n">
        <v>83</v>
      </c>
      <c r="CM640" s="60"/>
      <c r="CN640" s="60"/>
      <c r="CO640" s="60"/>
      <c r="CP640" s="25" t="n">
        <f aca="false">BX640+BW640+BV640+BU640+BT640+BQ640+BN640</f>
        <v>452</v>
      </c>
      <c r="CQ640" s="25" t="n">
        <f aca="false">CO640+CL640+CI640+CH640+CG640+CD640+CA640</f>
        <v>446</v>
      </c>
      <c r="CR640" s="26" t="n">
        <f aca="false">CP640/7</f>
        <v>64.5714285714286</v>
      </c>
      <c r="CS640" s="26" t="n">
        <f aca="false">CQ640/7</f>
        <v>63.7142857142857</v>
      </c>
      <c r="CT640" s="24" t="n">
        <f aca="false">RANK(CR640,$CR$2:$CR$881,0)</f>
        <v>707</v>
      </c>
      <c r="CU640" s="25" t="n">
        <f aca="false">RANK(CS640,$CS$2:$CS$881,0)</f>
        <v>641</v>
      </c>
      <c r="CV640" s="26" t="n">
        <f aca="false">(CS640+CR640)/2</f>
        <v>64.1428571428571</v>
      </c>
      <c r="CW640" s="25" t="n">
        <f aca="false">RANK(CV640,$CV$2:$CV$881,0)</f>
        <v>682</v>
      </c>
      <c r="CX640" s="50" t="n">
        <f aca="false">(CV640+BB640)/2</f>
        <v>71.0214285714286</v>
      </c>
      <c r="CY640" s="50" t="n">
        <v>698</v>
      </c>
      <c r="CZ640" s="27" t="s">
        <v>132</v>
      </c>
      <c r="DA640" s="27" t="s">
        <v>205</v>
      </c>
      <c r="DB640" s="27" t="s">
        <v>205</v>
      </c>
      <c r="DC640" s="27" t="s">
        <v>134</v>
      </c>
      <c r="DD640" s="27" t="s">
        <v>182</v>
      </c>
      <c r="DE640" s="27" t="s">
        <v>375</v>
      </c>
      <c r="DF640" s="27" t="s">
        <v>372</v>
      </c>
      <c r="DG640" s="27" t="s">
        <v>134</v>
      </c>
      <c r="DH640" s="27" t="s">
        <v>182</v>
      </c>
      <c r="DI640" s="27" t="s">
        <v>638</v>
      </c>
      <c r="DJ640" s="27" t="s">
        <v>138</v>
      </c>
      <c r="DK640" s="27" t="s">
        <v>134</v>
      </c>
      <c r="DL640" s="27" t="s">
        <v>137</v>
      </c>
      <c r="DM640" s="27" t="s">
        <v>183</v>
      </c>
      <c r="DN640" s="27" t="s">
        <v>209</v>
      </c>
      <c r="DO640" s="27" t="s">
        <v>134</v>
      </c>
      <c r="DP640" s="27"/>
      <c r="DQ640" s="27"/>
      <c r="DR640" s="27"/>
      <c r="DS640" s="27"/>
      <c r="DT640" s="27" t="s">
        <v>135</v>
      </c>
      <c r="DU640" s="27" t="s">
        <v>146</v>
      </c>
      <c r="DV640" s="27" t="s">
        <v>306</v>
      </c>
      <c r="DW640" s="27" t="s">
        <v>160</v>
      </c>
      <c r="DX640" s="27" t="s">
        <v>138</v>
      </c>
      <c r="DY640" s="27" t="s">
        <v>144</v>
      </c>
      <c r="DZ640" s="27" t="n">
        <f aca="false">DY640+DV640+DR640+DN640+DJ640+DF640+DB640</f>
        <v>461</v>
      </c>
      <c r="EA640" s="28" t="n">
        <f aca="false">DZ640/7</f>
        <v>65.8571428571429</v>
      </c>
      <c r="EB640" s="27" t="n">
        <f aca="false">RANK(EA640,$EA$2:$EA$881,0)</f>
        <v>720</v>
      </c>
      <c r="EC640" s="29" t="n">
        <f aca="false">DZ640+CQ640+CP640+AZ640</f>
        <v>2138</v>
      </c>
      <c r="ED640" s="30" t="n">
        <f aca="false">(EA640+CV640+BB640)/3</f>
        <v>69.3</v>
      </c>
      <c r="EE640" s="51" t="n">
        <f aca="false">ROUND(BE640,3)</f>
        <v>85.12</v>
      </c>
      <c r="EF640" s="51" t="n">
        <f aca="false">ROUND(CR640,3)</f>
        <v>64.571</v>
      </c>
      <c r="EG640" s="51" t="n">
        <f aca="false">ROUND(CS640,3)</f>
        <v>63.714</v>
      </c>
      <c r="EH640" s="51" t="n">
        <f aca="false">ROUND(EA640,3)</f>
        <v>65.857</v>
      </c>
      <c r="EI640" s="51" t="n">
        <f aca="false">ROUND(ED640,3)</f>
        <v>69.3</v>
      </c>
      <c r="EJ640" s="51" t="n">
        <f aca="false">ROUND(CV640,3)</f>
        <v>64.143</v>
      </c>
      <c r="EK640" s="0" t="n">
        <f aca="false">RANK(EI640,$EI$2:$EI$881,0)</f>
        <v>639</v>
      </c>
    </row>
    <row r="641" customFormat="false" ht="15" hidden="false" customHeight="false" outlineLevel="0" collapsed="false">
      <c r="A641" s="4" t="n">
        <v>9058</v>
      </c>
      <c r="B641" s="4" t="n">
        <v>92</v>
      </c>
      <c r="C641" s="27" t="s">
        <v>1872</v>
      </c>
      <c r="D641" s="52" t="n">
        <v>93</v>
      </c>
      <c r="E641" s="16" t="n">
        <v>230804342</v>
      </c>
      <c r="F641" s="56" t="s">
        <v>1873</v>
      </c>
      <c r="G641" s="22" t="s">
        <v>831</v>
      </c>
      <c r="H641" s="22" t="s">
        <v>326</v>
      </c>
      <c r="I641" s="57"/>
      <c r="J641" s="16" t="n">
        <v>70</v>
      </c>
      <c r="K641" s="16" t="n">
        <v>74</v>
      </c>
      <c r="L641" s="34" t="n">
        <f aca="false">(K641*70)/100</f>
        <v>51.8</v>
      </c>
      <c r="M641" s="34" t="n">
        <f aca="false">ROUNDUP(L641,0)</f>
        <v>52</v>
      </c>
      <c r="N641" s="16" t="n">
        <v>24</v>
      </c>
      <c r="O641" s="34" t="n">
        <f aca="false">N641+L641</f>
        <v>75.8</v>
      </c>
      <c r="P641" s="34" t="n">
        <f aca="false">N641+M641</f>
        <v>76</v>
      </c>
      <c r="Q641" s="16" t="n">
        <v>65</v>
      </c>
      <c r="R641" s="16" t="n">
        <v>66</v>
      </c>
      <c r="S641" s="34" t="n">
        <f aca="false">(R641*70)/100</f>
        <v>46.2</v>
      </c>
      <c r="T641" s="34" t="n">
        <f aca="false">ROUNDUP(S641,0)</f>
        <v>47</v>
      </c>
      <c r="U641" s="16" t="n">
        <v>26</v>
      </c>
      <c r="V641" s="34" t="n">
        <f aca="false">U641+S641</f>
        <v>72.2</v>
      </c>
      <c r="W641" s="34" t="n">
        <f aca="false">U641+T641</f>
        <v>73</v>
      </c>
      <c r="X641" s="16" t="n">
        <v>72</v>
      </c>
      <c r="Y641" s="34" t="n">
        <f aca="false">(X641*70)/100</f>
        <v>50.4</v>
      </c>
      <c r="Z641" s="34" t="n">
        <f aca="false">ROUNDUP(Y641,0)</f>
        <v>51</v>
      </c>
      <c r="AA641" s="16" t="n">
        <v>28</v>
      </c>
      <c r="AB641" s="34" t="n">
        <f aca="false">AA641+Y641</f>
        <v>78.4</v>
      </c>
      <c r="AC641" s="34" t="n">
        <f aca="false">AA641+Z641</f>
        <v>79</v>
      </c>
      <c r="AD641" s="32" t="n">
        <f aca="false">X641+R641+Q641+K641+J641</f>
        <v>347</v>
      </c>
      <c r="AE641" s="16" t="n">
        <f aca="false">AD641/5</f>
        <v>69.4</v>
      </c>
      <c r="AF641" s="71" t="n">
        <v>54</v>
      </c>
      <c r="AG641" s="16" t="n">
        <v>65</v>
      </c>
      <c r="AH641" s="16" t="n">
        <v>64</v>
      </c>
      <c r="AI641" s="16" t="n">
        <v>49</v>
      </c>
      <c r="AJ641" s="16" t="n">
        <f aca="false">(AI641*70)/100</f>
        <v>34.3</v>
      </c>
      <c r="AK641" s="35" t="n">
        <f aca="false">ROUNDUP(AJ641,0)</f>
        <v>35</v>
      </c>
      <c r="AL641" s="16" t="n">
        <v>23</v>
      </c>
      <c r="AM641" s="16" t="n">
        <f aca="false">AL641+AJ641</f>
        <v>57.3</v>
      </c>
      <c r="AN641" s="71" t="n">
        <f aca="false">AL641+AK641</f>
        <v>58</v>
      </c>
      <c r="AO641" s="16" t="n">
        <v>50</v>
      </c>
      <c r="AP641" s="36" t="n">
        <f aca="false">(AO641*70)/100</f>
        <v>35</v>
      </c>
      <c r="AQ641" s="37" t="n">
        <f aca="false">ROUNDUP(AP641,0)</f>
        <v>35</v>
      </c>
      <c r="AR641" s="16" t="n">
        <v>28</v>
      </c>
      <c r="AS641" s="16" t="n">
        <f aca="false">AR641+AP641</f>
        <v>63</v>
      </c>
      <c r="AT641" s="16" t="n">
        <f aca="false">AR641+AQ641</f>
        <v>63</v>
      </c>
      <c r="AU641" s="16" t="n">
        <f aca="false">AO641+AF641+AI641+AH641+AG641</f>
        <v>282</v>
      </c>
      <c r="AV641" s="16" t="n">
        <f aca="false">(AO641+AF641+AI641+AH641+AG641)/5</f>
        <v>56.4</v>
      </c>
      <c r="AW641" s="36" t="n">
        <f aca="false">(AO641+AF641+AI641+AH641+AG641+X641+R641+Q641+K641+J641)</f>
        <v>629</v>
      </c>
      <c r="AX641" s="16" t="n">
        <f aca="false">AW641/10</f>
        <v>62.9</v>
      </c>
      <c r="AY641" s="16" t="n">
        <f aca="false">AS641+AF641+AM641+AH641+AG641+AB641+V641+Q641+O641+J641</f>
        <v>664.7</v>
      </c>
      <c r="AZ641" s="16" t="n">
        <f aca="false">AT641+AF641+AN641+AH641+AG641+AC641+W641+Q641+P641+J641</f>
        <v>667</v>
      </c>
      <c r="BA641" s="16" t="n">
        <f aca="false">AY641/10</f>
        <v>66.47</v>
      </c>
      <c r="BB641" s="16" t="n">
        <f aca="false">AZ641/10</f>
        <v>66.7</v>
      </c>
      <c r="BC641" s="16" t="n">
        <v>2378</v>
      </c>
      <c r="BD641" s="16" t="n">
        <f aca="false">RANK(AX641,$AX$2:$AX$881,0)</f>
        <v>782</v>
      </c>
      <c r="BE641" s="78" t="n">
        <f aca="false">((BC641*100)/2400)*0.4+(AX641*0.6)</f>
        <v>77.3733333333333</v>
      </c>
      <c r="BF641" s="16" t="n">
        <f aca="false">RANK(BE641,$BE$2:$BE$881,0)</f>
        <v>758</v>
      </c>
      <c r="BG641" s="39" t="n">
        <f aca="false">RANK(BB641,$BB$2:$BB$881,0)</f>
        <v>771</v>
      </c>
      <c r="BH641" s="39" t="n">
        <f aca="false">RANK(BC641,$BC$2:$BC$881,0)</f>
        <v>173</v>
      </c>
      <c r="BI641" s="22" t="s">
        <v>130</v>
      </c>
      <c r="BJ641" s="22" t="s">
        <v>129</v>
      </c>
      <c r="BK641" s="40" t="s">
        <v>702</v>
      </c>
      <c r="BL641" s="41" t="n">
        <v>13</v>
      </c>
      <c r="BM641" s="41" t="n">
        <v>55</v>
      </c>
      <c r="BN641" s="41" t="n">
        <v>68</v>
      </c>
      <c r="BO641" s="42" t="n">
        <v>20</v>
      </c>
      <c r="BP641" s="43" t="n">
        <v>48</v>
      </c>
      <c r="BQ641" s="44" t="n">
        <v>68</v>
      </c>
      <c r="BR641" s="42" t="n">
        <v>21</v>
      </c>
      <c r="BS641" s="45" t="n">
        <v>50</v>
      </c>
      <c r="BT641" s="45" t="n">
        <v>71</v>
      </c>
      <c r="BU641" s="46" t="n">
        <v>96</v>
      </c>
      <c r="BV641" s="47" t="n">
        <v>90</v>
      </c>
      <c r="BW641" s="42" t="n">
        <v>100</v>
      </c>
      <c r="BX641" s="107"/>
      <c r="BY641" s="32" t="n">
        <v>25</v>
      </c>
      <c r="BZ641" s="58" t="n">
        <v>53</v>
      </c>
      <c r="CA641" s="58" t="n">
        <v>78</v>
      </c>
      <c r="CB641" s="32" t="n">
        <v>20</v>
      </c>
      <c r="CC641" s="60"/>
      <c r="CD641" s="60"/>
      <c r="CE641" s="32" t="n">
        <v>27</v>
      </c>
      <c r="CF641" s="60"/>
      <c r="CG641" s="60"/>
      <c r="CH641" s="58" t="n">
        <v>100</v>
      </c>
      <c r="CI641" s="58" t="n">
        <v>98</v>
      </c>
      <c r="CJ641" s="75" t="n">
        <v>13</v>
      </c>
      <c r="CK641" s="58" t="n">
        <v>44</v>
      </c>
      <c r="CL641" s="59" t="n">
        <v>57</v>
      </c>
      <c r="CM641" s="49" t="n">
        <v>18</v>
      </c>
      <c r="CN641" s="58" t="n">
        <v>57</v>
      </c>
      <c r="CO641" s="58" t="n">
        <v>75</v>
      </c>
      <c r="CP641" s="25" t="n">
        <f aca="false">BX641+BW641+BV641+BU641+BT641+BQ641+BN641</f>
        <v>493</v>
      </c>
      <c r="CQ641" s="25" t="n">
        <f aca="false">CO641+CL641+CI641+CH641+CG641+CD641+CA641</f>
        <v>408</v>
      </c>
      <c r="CR641" s="26" t="n">
        <f aca="false">CP641/7</f>
        <v>70.4285714285714</v>
      </c>
      <c r="CS641" s="26" t="n">
        <f aca="false">CQ641/7</f>
        <v>58.2857142857143</v>
      </c>
      <c r="CT641" s="24" t="n">
        <f aca="false">RANK(CR641,$CR$2:$CR$881,0)</f>
        <v>682</v>
      </c>
      <c r="CU641" s="25" t="n">
        <f aca="false">RANK(CS641,$CS$2:$CS$881,0)</f>
        <v>697</v>
      </c>
      <c r="CV641" s="26" t="n">
        <f aca="false">(CS641+CR641)/2</f>
        <v>64.3571428571429</v>
      </c>
      <c r="CW641" s="25" t="n">
        <f aca="false">RANK(CV641,$CV$2:$CV$881,0)</f>
        <v>681</v>
      </c>
      <c r="CX641" s="50" t="n">
        <f aca="false">(CV641+BB641)/2</f>
        <v>65.5285714285714</v>
      </c>
      <c r="CY641" s="50" t="n">
        <v>703</v>
      </c>
      <c r="CZ641" s="27" t="s">
        <v>132</v>
      </c>
      <c r="DA641" s="27" t="s">
        <v>169</v>
      </c>
      <c r="DB641" s="27" t="s">
        <v>169</v>
      </c>
      <c r="DC641" s="27" t="s">
        <v>134</v>
      </c>
      <c r="DD641" s="27" t="s">
        <v>154</v>
      </c>
      <c r="DE641" s="27" t="s">
        <v>306</v>
      </c>
      <c r="DF641" s="27" t="s">
        <v>305</v>
      </c>
      <c r="DG641" s="27" t="s">
        <v>134</v>
      </c>
      <c r="DH641" s="27" t="s">
        <v>135</v>
      </c>
      <c r="DI641" s="27" t="s">
        <v>220</v>
      </c>
      <c r="DJ641" s="27" t="s">
        <v>196</v>
      </c>
      <c r="DK641" s="27" t="s">
        <v>134</v>
      </c>
      <c r="DL641" s="27" t="s">
        <v>135</v>
      </c>
      <c r="DM641" s="27" t="s">
        <v>645</v>
      </c>
      <c r="DN641" s="27" t="s">
        <v>138</v>
      </c>
      <c r="DO641" s="27" t="s">
        <v>134</v>
      </c>
      <c r="DP641" s="27" t="s">
        <v>264</v>
      </c>
      <c r="DQ641" s="27" t="s">
        <v>399</v>
      </c>
      <c r="DR641" s="27" t="s">
        <v>141</v>
      </c>
      <c r="DS641" s="27" t="s">
        <v>134</v>
      </c>
      <c r="DT641" s="27" t="s">
        <v>182</v>
      </c>
      <c r="DU641" s="27" t="s">
        <v>479</v>
      </c>
      <c r="DV641" s="27" t="s">
        <v>136</v>
      </c>
      <c r="DW641" s="27" t="s">
        <v>140</v>
      </c>
      <c r="DX641" s="27" t="s">
        <v>141</v>
      </c>
      <c r="DY641" s="27" t="s">
        <v>142</v>
      </c>
      <c r="DZ641" s="27" t="n">
        <f aca="false">DY641+DV641+DR641+DN641+DJ641+DF641+DB641</f>
        <v>537</v>
      </c>
      <c r="EA641" s="28" t="n">
        <f aca="false">DZ641/7</f>
        <v>76.7142857142857</v>
      </c>
      <c r="EB641" s="27" t="n">
        <f aca="false">RANK(EA641,$EA$2:$EA$881,0)</f>
        <v>496</v>
      </c>
      <c r="EC641" s="29" t="n">
        <f aca="false">DZ641+CQ641+CP641+AZ641</f>
        <v>2105</v>
      </c>
      <c r="ED641" s="30" t="n">
        <f aca="false">(EA641+CV641+BB641)/3</f>
        <v>69.2571428571429</v>
      </c>
      <c r="EE641" s="51" t="n">
        <f aca="false">ROUND(BE641,3)</f>
        <v>77.373</v>
      </c>
      <c r="EF641" s="51" t="n">
        <f aca="false">ROUND(CR641,3)</f>
        <v>70.429</v>
      </c>
      <c r="EG641" s="51" t="n">
        <f aca="false">ROUND(CS641,3)</f>
        <v>58.286</v>
      </c>
      <c r="EH641" s="51" t="n">
        <f aca="false">ROUND(EA641,3)</f>
        <v>76.714</v>
      </c>
      <c r="EI641" s="51" t="n">
        <f aca="false">ROUND(ED641,3)</f>
        <v>69.257</v>
      </c>
      <c r="EJ641" s="51" t="n">
        <f aca="false">ROUND(CV641,3)</f>
        <v>64.357</v>
      </c>
      <c r="EK641" s="0" t="n">
        <f aca="false">RANK(EI641,$EI$2:$EI$881,0)</f>
        <v>640</v>
      </c>
    </row>
    <row r="642" customFormat="false" ht="15" hidden="false" customHeight="false" outlineLevel="0" collapsed="false">
      <c r="A642" s="4" t="n">
        <v>2060</v>
      </c>
      <c r="B642" s="4" t="n">
        <v>687</v>
      </c>
      <c r="C642" s="27" t="s">
        <v>1874</v>
      </c>
      <c r="D642" s="31" t="n">
        <v>701</v>
      </c>
      <c r="E642" s="16" t="n">
        <v>230615342</v>
      </c>
      <c r="F642" s="56" t="s">
        <v>1875</v>
      </c>
      <c r="G642" s="22" t="s">
        <v>217</v>
      </c>
      <c r="H642" s="22" t="s">
        <v>558</v>
      </c>
      <c r="I642" s="57"/>
      <c r="J642" s="16" t="n">
        <v>82</v>
      </c>
      <c r="K642" s="16" t="n">
        <v>77</v>
      </c>
      <c r="L642" s="34" t="n">
        <f aca="false">(K642*70)/100</f>
        <v>53.9</v>
      </c>
      <c r="M642" s="34" t="n">
        <f aca="false">ROUNDUP(L642,0)</f>
        <v>54</v>
      </c>
      <c r="N642" s="16" t="n">
        <v>23</v>
      </c>
      <c r="O642" s="34" t="n">
        <f aca="false">N642+L642</f>
        <v>76.9</v>
      </c>
      <c r="P642" s="34" t="n">
        <f aca="false">N642+M642</f>
        <v>77</v>
      </c>
      <c r="Q642" s="16" t="n">
        <v>82</v>
      </c>
      <c r="R642" s="16" t="n">
        <v>69</v>
      </c>
      <c r="S642" s="34" t="n">
        <f aca="false">(R642*70)/100</f>
        <v>48.3</v>
      </c>
      <c r="T642" s="34" t="n">
        <f aca="false">ROUNDUP(S642,0)</f>
        <v>49</v>
      </c>
      <c r="U642" s="16" t="n">
        <v>20</v>
      </c>
      <c r="V642" s="34" t="n">
        <f aca="false">U642+S642</f>
        <v>68.3</v>
      </c>
      <c r="W642" s="34" t="n">
        <f aca="false">U642+T642</f>
        <v>69</v>
      </c>
      <c r="X642" s="16" t="n">
        <v>65</v>
      </c>
      <c r="Y642" s="34" t="n">
        <f aca="false">(X642*70)/100</f>
        <v>45.5</v>
      </c>
      <c r="Z642" s="34" t="n">
        <f aca="false">ROUNDUP(Y642,0)</f>
        <v>46</v>
      </c>
      <c r="AA642" s="16" t="n">
        <v>25</v>
      </c>
      <c r="AB642" s="34" t="n">
        <f aca="false">AA642+Y642</f>
        <v>70.5</v>
      </c>
      <c r="AC642" s="34" t="n">
        <f aca="false">AA642+Z642</f>
        <v>71</v>
      </c>
      <c r="AD642" s="32" t="n">
        <f aca="false">X642+R642+Q642+K642+J642</f>
        <v>375</v>
      </c>
      <c r="AE642" s="16" t="n">
        <f aca="false">AD642/5</f>
        <v>75</v>
      </c>
      <c r="AF642" s="16" t="n">
        <v>78</v>
      </c>
      <c r="AG642" s="16" t="n">
        <v>75</v>
      </c>
      <c r="AH642" s="16" t="n">
        <v>88</v>
      </c>
      <c r="AI642" s="16" t="n">
        <v>92</v>
      </c>
      <c r="AJ642" s="16" t="n">
        <f aca="false">(AI642*70)/100</f>
        <v>64.4</v>
      </c>
      <c r="AK642" s="35" t="n">
        <f aca="false">ROUNDUP(AJ642,0)</f>
        <v>65</v>
      </c>
      <c r="AL642" s="16" t="n">
        <v>25</v>
      </c>
      <c r="AM642" s="16" t="n">
        <f aca="false">AL642+AJ642</f>
        <v>89.4</v>
      </c>
      <c r="AN642" s="16" t="n">
        <f aca="false">AL642+AK642</f>
        <v>90</v>
      </c>
      <c r="AO642" s="16" t="n">
        <v>61</v>
      </c>
      <c r="AP642" s="36" t="n">
        <f aca="false">(AO642*70)/100</f>
        <v>42.7</v>
      </c>
      <c r="AQ642" s="37" t="n">
        <f aca="false">ROUNDUP(AP642,0)</f>
        <v>43</v>
      </c>
      <c r="AR642" s="16" t="n">
        <v>29</v>
      </c>
      <c r="AS642" s="16" t="n">
        <f aca="false">AR642+AP642</f>
        <v>71.7</v>
      </c>
      <c r="AT642" s="16" t="n">
        <f aca="false">AR642+AQ642</f>
        <v>72</v>
      </c>
      <c r="AU642" s="16" t="n">
        <f aca="false">AO642+AF642+AI642+AH642+AG642</f>
        <v>394</v>
      </c>
      <c r="AV642" s="16" t="n">
        <f aca="false">(AO642+AF642+AI642+AH642+AG642)/5</f>
        <v>78.8</v>
      </c>
      <c r="AW642" s="36" t="n">
        <f aca="false">(AO642+AF642+AI642+AH642+AG642+X642+R642+Q642+K642+J642)</f>
        <v>769</v>
      </c>
      <c r="AX642" s="16" t="n">
        <f aca="false">AW642/10</f>
        <v>76.9</v>
      </c>
      <c r="AY642" s="16" t="n">
        <f aca="false">AS642+AF642+AM642+AH642+AG642+AB642+V642+Q642+O642+J642</f>
        <v>781.8</v>
      </c>
      <c r="AZ642" s="16" t="n">
        <f aca="false">AT642+AF642+AN642+AH642+AG642+AC642+W642+Q642+P642+J642</f>
        <v>784</v>
      </c>
      <c r="BA642" s="16" t="n">
        <f aca="false">AY642/10</f>
        <v>78.18</v>
      </c>
      <c r="BB642" s="16" t="n">
        <f aca="false">AZ642/10</f>
        <v>78.4</v>
      </c>
      <c r="BC642" s="16" t="n">
        <v>2329</v>
      </c>
      <c r="BD642" s="16" t="n">
        <f aca="false">RANK(AX642,$AX$2:$AX$881,0)</f>
        <v>519</v>
      </c>
      <c r="BE642" s="73" t="n">
        <f aca="false">((BC642*100)/2400)*0.4+(AX642*0.6)</f>
        <v>84.9566666666667</v>
      </c>
      <c r="BF642" s="16" t="n">
        <f aca="false">RANK(BE642,$BE$2:$BE$881,0)</f>
        <v>623</v>
      </c>
      <c r="BG642" s="39" t="n">
        <f aca="false">RANK(BB642,$BB$2:$BB$881,0)</f>
        <v>520</v>
      </c>
      <c r="BH642" s="39" t="n">
        <f aca="false">RANK(BC642,$BC$2:$BC$881,0)</f>
        <v>737</v>
      </c>
      <c r="BI642" s="22" t="s">
        <v>130</v>
      </c>
      <c r="BJ642" s="22" t="s">
        <v>129</v>
      </c>
      <c r="BK642" s="22" t="s">
        <v>509</v>
      </c>
      <c r="BL642" s="98" t="n">
        <v>5</v>
      </c>
      <c r="BM642" s="61"/>
      <c r="BN642" s="61"/>
      <c r="BO642" s="74" t="n">
        <v>4</v>
      </c>
      <c r="BP642" s="61"/>
      <c r="BQ642" s="61"/>
      <c r="BR642" s="74" t="n">
        <v>6</v>
      </c>
      <c r="BS642" s="80"/>
      <c r="BT642" s="80"/>
      <c r="BU642" s="77" t="n">
        <v>97</v>
      </c>
      <c r="BV642" s="60"/>
      <c r="BW642" s="102" t="n">
        <v>92</v>
      </c>
      <c r="BX642" s="88" t="n">
        <v>92</v>
      </c>
      <c r="BY642" s="65" t="n">
        <v>30</v>
      </c>
      <c r="BZ642" s="58" t="n">
        <v>51</v>
      </c>
      <c r="CA642" s="58" t="n">
        <v>81</v>
      </c>
      <c r="CB642" s="59" t="n">
        <v>26</v>
      </c>
      <c r="CC642" s="58" t="n">
        <v>58</v>
      </c>
      <c r="CD642" s="58" t="n">
        <v>84</v>
      </c>
      <c r="CE642" s="58" t="n">
        <v>17</v>
      </c>
      <c r="CF642" s="58" t="n">
        <v>40</v>
      </c>
      <c r="CG642" s="90" t="n">
        <v>57</v>
      </c>
      <c r="CH642" s="58" t="n">
        <v>87</v>
      </c>
      <c r="CI642" s="58" t="n">
        <v>98</v>
      </c>
      <c r="CJ642" s="58" t="n">
        <v>19</v>
      </c>
      <c r="CK642" s="58" t="n">
        <v>60</v>
      </c>
      <c r="CL642" s="59" t="n">
        <v>79</v>
      </c>
      <c r="CM642" s="60"/>
      <c r="CN642" s="60"/>
      <c r="CO642" s="60"/>
      <c r="CP642" s="25" t="n">
        <f aca="false">BX642+BW642+BV642+BU642+BT642+BQ642+BN642</f>
        <v>281</v>
      </c>
      <c r="CQ642" s="25" t="n">
        <f aca="false">CO642+CL642+CI642+CH642+CG642+CD642+CA642</f>
        <v>486</v>
      </c>
      <c r="CR642" s="26" t="n">
        <f aca="false">CP642/7</f>
        <v>40.1428571428571</v>
      </c>
      <c r="CS642" s="26" t="n">
        <f aca="false">CQ642/7</f>
        <v>69.4285714285714</v>
      </c>
      <c r="CT642" s="24" t="n">
        <f aca="false">RANK(CR642,$CR$2:$CR$881,0)</f>
        <v>747</v>
      </c>
      <c r="CU642" s="25" t="n">
        <f aca="false">RANK(CS642,$CS$2:$CS$881,0)</f>
        <v>564</v>
      </c>
      <c r="CV642" s="26" t="n">
        <f aca="false">(CS642+CR642)/2</f>
        <v>54.7857142857143</v>
      </c>
      <c r="CW642" s="25" t="n">
        <f aca="false">RANK(CV642,$CV$2:$CV$881,0)</f>
        <v>708</v>
      </c>
      <c r="CX642" s="50" t="n">
        <f aca="false">(CV642+BB642)/2</f>
        <v>66.5928571428572</v>
      </c>
      <c r="CY642" s="50" t="n">
        <v>810</v>
      </c>
      <c r="CZ642" s="27" t="s">
        <v>132</v>
      </c>
      <c r="DA642" s="27" t="s">
        <v>175</v>
      </c>
      <c r="DB642" s="27" t="s">
        <v>175</v>
      </c>
      <c r="DC642" s="27" t="s">
        <v>134</v>
      </c>
      <c r="DD642" s="27" t="s">
        <v>195</v>
      </c>
      <c r="DE642" s="27" t="s">
        <v>306</v>
      </c>
      <c r="DF642" s="27" t="s">
        <v>443</v>
      </c>
      <c r="DG642" s="27" t="s">
        <v>134</v>
      </c>
      <c r="DH642" s="27" t="s">
        <v>137</v>
      </c>
      <c r="DI642" s="27" t="s">
        <v>412</v>
      </c>
      <c r="DJ642" s="27" t="s">
        <v>382</v>
      </c>
      <c r="DK642" s="27" t="s">
        <v>134</v>
      </c>
      <c r="DL642" s="27" t="s">
        <v>264</v>
      </c>
      <c r="DM642" s="27" t="s">
        <v>442</v>
      </c>
      <c r="DN642" s="27" t="s">
        <v>143</v>
      </c>
      <c r="DO642" s="27" t="s">
        <v>134</v>
      </c>
      <c r="DP642" s="27" t="s">
        <v>604</v>
      </c>
      <c r="DQ642" s="27" t="s">
        <v>897</v>
      </c>
      <c r="DR642" s="27" t="s">
        <v>204</v>
      </c>
      <c r="DS642" s="27" t="s">
        <v>480</v>
      </c>
      <c r="DT642" s="27" t="s">
        <v>174</v>
      </c>
      <c r="DU642" s="27" t="s">
        <v>638</v>
      </c>
      <c r="DV642" s="27" t="s">
        <v>141</v>
      </c>
      <c r="DW642" s="27" t="s">
        <v>264</v>
      </c>
      <c r="DX642" s="27" t="s">
        <v>138</v>
      </c>
      <c r="DY642" s="27" t="s">
        <v>133</v>
      </c>
      <c r="DZ642" s="27" t="n">
        <f aca="false">DY642+DV642+DR642+DN642+DJ642+DF642+DB642</f>
        <v>520</v>
      </c>
      <c r="EA642" s="28" t="n">
        <f aca="false">DZ642/7</f>
        <v>74.2857142857143</v>
      </c>
      <c r="EB642" s="27" t="n">
        <f aca="false">RANK(EA642,$EA$2:$EA$881,0)</f>
        <v>557</v>
      </c>
      <c r="EC642" s="29" t="n">
        <f aca="false">DZ642+CQ642+CP642+AZ642</f>
        <v>2071</v>
      </c>
      <c r="ED642" s="30" t="n">
        <f aca="false">(EA642+CV642+BB642)/3</f>
        <v>69.1571428571429</v>
      </c>
      <c r="EE642" s="51" t="n">
        <f aca="false">ROUND(BE642,3)</f>
        <v>84.957</v>
      </c>
      <c r="EF642" s="51" t="n">
        <f aca="false">ROUND(CR642,3)</f>
        <v>40.143</v>
      </c>
      <c r="EG642" s="51" t="n">
        <f aca="false">ROUND(CS642,3)</f>
        <v>69.429</v>
      </c>
      <c r="EH642" s="51" t="n">
        <f aca="false">ROUND(EA642,3)</f>
        <v>74.286</v>
      </c>
      <c r="EI642" s="51" t="n">
        <f aca="false">ROUND(ED642,3)</f>
        <v>69.157</v>
      </c>
      <c r="EJ642" s="51" t="n">
        <f aca="false">ROUND(CV642,3)</f>
        <v>54.786</v>
      </c>
      <c r="EK642" s="0" t="n">
        <f aca="false">RANK(EI642,$EI$2:$EI$881,0)</f>
        <v>641</v>
      </c>
    </row>
    <row r="643" customFormat="false" ht="15" hidden="false" customHeight="false" outlineLevel="0" collapsed="false">
      <c r="A643" s="4" t="n">
        <v>1854</v>
      </c>
      <c r="B643" s="4" t="n">
        <v>644</v>
      </c>
      <c r="C643" s="27" t="s">
        <v>1876</v>
      </c>
      <c r="D643" s="31" t="n">
        <v>653</v>
      </c>
      <c r="E643" s="16" t="n">
        <v>230250929</v>
      </c>
      <c r="F643" s="56" t="s">
        <v>1877</v>
      </c>
      <c r="G643" s="22" t="s">
        <v>1878</v>
      </c>
      <c r="H643" s="22" t="s">
        <v>326</v>
      </c>
      <c r="I643" s="57"/>
      <c r="J643" s="16" t="n">
        <v>94</v>
      </c>
      <c r="K643" s="16" t="n">
        <v>73</v>
      </c>
      <c r="L643" s="34" t="n">
        <f aca="false">(K643*70)/100</f>
        <v>51.1</v>
      </c>
      <c r="M643" s="34" t="n">
        <f aca="false">ROUNDUP(L643,0)</f>
        <v>52</v>
      </c>
      <c r="N643" s="16" t="n">
        <v>28</v>
      </c>
      <c r="O643" s="34" t="n">
        <f aca="false">N643+L643</f>
        <v>79.1</v>
      </c>
      <c r="P643" s="34" t="n">
        <f aca="false">N643+M643</f>
        <v>80</v>
      </c>
      <c r="Q643" s="16" t="n">
        <v>70</v>
      </c>
      <c r="R643" s="16" t="n">
        <v>76</v>
      </c>
      <c r="S643" s="34" t="n">
        <f aca="false">(R643*70)/100</f>
        <v>53.2</v>
      </c>
      <c r="T643" s="34" t="n">
        <f aca="false">ROUNDUP(S643,0)</f>
        <v>54</v>
      </c>
      <c r="U643" s="16" t="n">
        <v>26</v>
      </c>
      <c r="V643" s="34" t="n">
        <f aca="false">U643+S643</f>
        <v>79.2</v>
      </c>
      <c r="W643" s="34" t="n">
        <f aca="false">U643+T643</f>
        <v>80</v>
      </c>
      <c r="X643" s="16" t="n">
        <v>29</v>
      </c>
      <c r="Y643" s="34" t="n">
        <f aca="false">(X643*70)/100</f>
        <v>20.3</v>
      </c>
      <c r="Z643" s="34" t="n">
        <f aca="false">ROUNDUP(Y643,0)</f>
        <v>21</v>
      </c>
      <c r="AA643" s="16" t="n">
        <v>27</v>
      </c>
      <c r="AB643" s="34" t="n">
        <f aca="false">AA643+Y643</f>
        <v>47.3</v>
      </c>
      <c r="AC643" s="91" t="n">
        <f aca="false">AA643+Z643</f>
        <v>48</v>
      </c>
      <c r="AD643" s="32" t="n">
        <f aca="false">X643+R643+Q643+K643+J643</f>
        <v>342</v>
      </c>
      <c r="AE643" s="16" t="n">
        <f aca="false">AD643/5</f>
        <v>68.4</v>
      </c>
      <c r="AF643" s="16" t="n">
        <v>68</v>
      </c>
      <c r="AG643" s="16" t="n">
        <v>95</v>
      </c>
      <c r="AH643" s="16" t="n">
        <v>88</v>
      </c>
      <c r="AI643" s="16" t="n">
        <v>80</v>
      </c>
      <c r="AJ643" s="16" t="n">
        <f aca="false">(AI643*70)/100</f>
        <v>56</v>
      </c>
      <c r="AK643" s="35" t="n">
        <f aca="false">ROUNDUP(AJ643,0)</f>
        <v>56</v>
      </c>
      <c r="AL643" s="16" t="n">
        <v>30</v>
      </c>
      <c r="AM643" s="16" t="n">
        <f aca="false">AL643+AJ643</f>
        <v>86</v>
      </c>
      <c r="AN643" s="16" t="n">
        <f aca="false">AL643+AK643</f>
        <v>86</v>
      </c>
      <c r="AO643" s="16" t="n">
        <v>86</v>
      </c>
      <c r="AP643" s="36" t="n">
        <f aca="false">(AO643*70)/100</f>
        <v>60.2</v>
      </c>
      <c r="AQ643" s="37" t="n">
        <f aca="false">ROUNDUP(AP643,0)</f>
        <v>61</v>
      </c>
      <c r="AR643" s="16" t="n">
        <v>29</v>
      </c>
      <c r="AS643" s="16" t="n">
        <f aca="false">AR643+AP643</f>
        <v>89.2</v>
      </c>
      <c r="AT643" s="16" t="n">
        <f aca="false">AR643+AQ643</f>
        <v>90</v>
      </c>
      <c r="AU643" s="16" t="n">
        <f aca="false">AO643+AF643+AI643+AH643+AG643</f>
        <v>417</v>
      </c>
      <c r="AV643" s="16" t="n">
        <f aca="false">(AO643+AF643+AI643+AH643+AG643)/5</f>
        <v>83.4</v>
      </c>
      <c r="AW643" s="36" t="n">
        <f aca="false">(AO643+AF643+AI643+AH643+AG643+X643+R643+Q643+K643+J643)</f>
        <v>759</v>
      </c>
      <c r="AX643" s="16" t="n">
        <f aca="false">AW643/10</f>
        <v>75.9</v>
      </c>
      <c r="AY643" s="16" t="n">
        <f aca="false">AS643+AF643+AM643+AH643+AG643+AB643+V643+Q643+O643+J643</f>
        <v>795.8</v>
      </c>
      <c r="AZ643" s="16" t="n">
        <f aca="false">AT643+AF643+AN643+AH643+AG643+AC643+W643+Q643+P643+J643</f>
        <v>799</v>
      </c>
      <c r="BA643" s="16" t="n">
        <f aca="false">AY643/10</f>
        <v>79.58</v>
      </c>
      <c r="BB643" s="16" t="n">
        <f aca="false">AZ643/10</f>
        <v>79.9</v>
      </c>
      <c r="BC643" s="16" t="n">
        <v>2377</v>
      </c>
      <c r="BD643" s="16" t="n">
        <f aca="false">RANK(AX643,$AX$2:$AX$881,0)</f>
        <v>628</v>
      </c>
      <c r="BE643" s="54" t="n">
        <f aca="false">((BC643*100)/2400)*0.4+(AX643*0.6)</f>
        <v>85.1566666666667</v>
      </c>
      <c r="BF643" s="16" t="n">
        <f aca="false">RANK(BE643,$BE$2:$BE$881,0)</f>
        <v>574</v>
      </c>
      <c r="BG643" s="39" t="n">
        <f aca="false">RANK(BB643,$BB$2:$BB$881,0)</f>
        <v>356</v>
      </c>
      <c r="BH643" s="39" t="n">
        <f aca="false">RANK(BC643,$BC$2:$BC$881,0)</f>
        <v>189</v>
      </c>
      <c r="BI643" s="22" t="s">
        <v>130</v>
      </c>
      <c r="BJ643" s="22" t="s">
        <v>129</v>
      </c>
      <c r="BK643" s="40" t="s">
        <v>509</v>
      </c>
      <c r="BL643" s="41" t="n">
        <v>25</v>
      </c>
      <c r="BM643" s="42" t="n">
        <v>48</v>
      </c>
      <c r="BN643" s="42" t="n">
        <v>73</v>
      </c>
      <c r="BO643" s="42" t="n">
        <v>21</v>
      </c>
      <c r="BP643" s="42" t="n">
        <v>57</v>
      </c>
      <c r="BQ643" s="42" t="n">
        <v>78</v>
      </c>
      <c r="BR643" s="42" t="n">
        <v>26</v>
      </c>
      <c r="BS643" s="45" t="n">
        <v>56</v>
      </c>
      <c r="BT643" s="45" t="n">
        <v>82</v>
      </c>
      <c r="BU643" s="46" t="n">
        <v>100</v>
      </c>
      <c r="BV643" s="47" t="n">
        <v>90</v>
      </c>
      <c r="BW643" s="42" t="n">
        <v>100</v>
      </c>
      <c r="BX643" s="48" t="n">
        <v>92</v>
      </c>
      <c r="BY643" s="32" t="n">
        <v>20</v>
      </c>
      <c r="BZ643" s="58" t="n">
        <v>43</v>
      </c>
      <c r="CA643" s="58" t="n">
        <v>63</v>
      </c>
      <c r="CB643" s="32" t="n">
        <v>21</v>
      </c>
      <c r="CC643" s="32" t="n">
        <v>39</v>
      </c>
      <c r="CD643" s="32" t="n">
        <v>60</v>
      </c>
      <c r="CE643" s="32" t="n">
        <v>26</v>
      </c>
      <c r="CF643" s="32" t="n">
        <v>50</v>
      </c>
      <c r="CG643" s="32" t="n">
        <v>76</v>
      </c>
      <c r="CH643" s="32" t="n">
        <v>95</v>
      </c>
      <c r="CI643" s="32" t="n">
        <v>92</v>
      </c>
      <c r="CJ643" s="49" t="n">
        <v>15</v>
      </c>
      <c r="CK643" s="60"/>
      <c r="CL643" s="61"/>
      <c r="CM643" s="49" t="n">
        <v>20</v>
      </c>
      <c r="CN643" s="49" t="n">
        <v>40</v>
      </c>
      <c r="CO643" s="49" t="n">
        <v>60</v>
      </c>
      <c r="CP643" s="25" t="n">
        <f aca="false">BX643+BW643+BV643+BU643+BT643+BQ643+BN643</f>
        <v>615</v>
      </c>
      <c r="CQ643" s="25" t="n">
        <f aca="false">CO643+CL643+CI643+CH643+CG643+CD643+CA643</f>
        <v>446</v>
      </c>
      <c r="CR643" s="26" t="n">
        <f aca="false">CP643/7</f>
        <v>87.8571428571429</v>
      </c>
      <c r="CS643" s="26" t="n">
        <f aca="false">CQ643/7</f>
        <v>63.7142857142857</v>
      </c>
      <c r="CT643" s="24" t="n">
        <f aca="false">RANK(CR643,$CR$2:$CR$881,0)</f>
        <v>315</v>
      </c>
      <c r="CU643" s="25" t="n">
        <f aca="false">RANK(CS643,$CS$2:$CS$881,0)</f>
        <v>641</v>
      </c>
      <c r="CV643" s="26" t="n">
        <f aca="false">(CS643+CR643)/2</f>
        <v>75.7857142857143</v>
      </c>
      <c r="CW643" s="25" t="n">
        <f aca="false">RANK(CV643,$CV$2:$CV$881,0)</f>
        <v>545</v>
      </c>
      <c r="CX643" s="50" t="n">
        <f aca="false">(CV643+BB643)/2</f>
        <v>77.8428571428572</v>
      </c>
      <c r="CY643" s="50" t="n">
        <v>543</v>
      </c>
      <c r="CZ643" s="27" t="s">
        <v>132</v>
      </c>
      <c r="DA643" s="27" t="s">
        <v>305</v>
      </c>
      <c r="DB643" s="27" t="s">
        <v>305</v>
      </c>
      <c r="DC643" s="27" t="s">
        <v>134</v>
      </c>
      <c r="DD643" s="27" t="s">
        <v>135</v>
      </c>
      <c r="DE643" s="27" t="s">
        <v>638</v>
      </c>
      <c r="DF643" s="27" t="s">
        <v>155</v>
      </c>
      <c r="DG643" s="27" t="s">
        <v>134</v>
      </c>
      <c r="DH643" s="27" t="s">
        <v>137</v>
      </c>
      <c r="DI643" s="27" t="s">
        <v>481</v>
      </c>
      <c r="DJ643" s="27" t="s">
        <v>136</v>
      </c>
      <c r="DK643" s="27" t="s">
        <v>134</v>
      </c>
      <c r="DL643" s="27"/>
      <c r="DM643" s="27"/>
      <c r="DN643" s="27"/>
      <c r="DO643" s="27"/>
      <c r="DP643" s="27"/>
      <c r="DQ643" s="27"/>
      <c r="DR643" s="27"/>
      <c r="DS643" s="27"/>
      <c r="DT643" s="27" t="s">
        <v>191</v>
      </c>
      <c r="DU643" s="27" t="s">
        <v>1407</v>
      </c>
      <c r="DV643" s="27" t="s">
        <v>177</v>
      </c>
      <c r="DW643" s="27" t="s">
        <v>135</v>
      </c>
      <c r="DX643" s="27" t="s">
        <v>163</v>
      </c>
      <c r="DY643" s="27" t="s">
        <v>153</v>
      </c>
      <c r="DZ643" s="27" t="n">
        <f aca="false">DY643+DV643+DR643+DN643+DJ643+DF643+DB643</f>
        <v>361</v>
      </c>
      <c r="EA643" s="28" t="n">
        <f aca="false">DZ643/7</f>
        <v>51.5714285714286</v>
      </c>
      <c r="EB643" s="27" t="n">
        <f aca="false">RANK(EA643,$EA$2:$EA$881,0)</f>
        <v>838</v>
      </c>
      <c r="EC643" s="29" t="n">
        <f aca="false">DZ643+CQ643+CP643+AZ643</f>
        <v>2221</v>
      </c>
      <c r="ED643" s="30" t="n">
        <f aca="false">(EA643+CV643+BB643)/3</f>
        <v>69.0857142857143</v>
      </c>
      <c r="EE643" s="51" t="n">
        <f aca="false">ROUND(BE643,3)</f>
        <v>85.157</v>
      </c>
      <c r="EF643" s="51" t="n">
        <f aca="false">ROUND(CR643,3)</f>
        <v>87.857</v>
      </c>
      <c r="EG643" s="51" t="n">
        <f aca="false">ROUND(CS643,3)</f>
        <v>63.714</v>
      </c>
      <c r="EH643" s="51" t="n">
        <f aca="false">ROUND(EA643,3)</f>
        <v>51.571</v>
      </c>
      <c r="EI643" s="51" t="n">
        <f aca="false">ROUND(ED643,3)</f>
        <v>69.086</v>
      </c>
      <c r="EJ643" s="51" t="n">
        <f aca="false">ROUND(CV643,3)</f>
        <v>75.786</v>
      </c>
      <c r="EK643" s="0" t="n">
        <f aca="false">RANK(EI643,$EI$2:$EI$881,0)</f>
        <v>642</v>
      </c>
    </row>
    <row r="644" customFormat="false" ht="15" hidden="false" customHeight="false" outlineLevel="0" collapsed="false">
      <c r="A644" s="4" t="n">
        <v>8896</v>
      </c>
      <c r="B644" s="4" t="n">
        <v>617</v>
      </c>
      <c r="C644" s="27" t="s">
        <v>1879</v>
      </c>
      <c r="D644" s="31" t="n">
        <v>625</v>
      </c>
      <c r="E644" s="62" t="n">
        <v>230320950</v>
      </c>
      <c r="F644" s="8" t="s">
        <v>1880</v>
      </c>
      <c r="G644" s="63" t="s">
        <v>866</v>
      </c>
      <c r="H644" s="22" t="s">
        <v>129</v>
      </c>
      <c r="I644" s="64" t="n">
        <v>2005</v>
      </c>
      <c r="J644" s="62" t="n">
        <v>82</v>
      </c>
      <c r="K644" s="62" t="n">
        <v>64</v>
      </c>
      <c r="L644" s="34" t="n">
        <f aca="false">(K644*70)/100</f>
        <v>44.8</v>
      </c>
      <c r="M644" s="34" t="n">
        <f aca="false">ROUNDUP(L644,0)</f>
        <v>45</v>
      </c>
      <c r="N644" s="32" t="n">
        <v>21</v>
      </c>
      <c r="O644" s="34" t="n">
        <f aca="false">N644+L644</f>
        <v>65.8</v>
      </c>
      <c r="P644" s="34" t="n">
        <f aca="false">N644+M644</f>
        <v>66</v>
      </c>
      <c r="Q644" s="32" t="n">
        <v>65</v>
      </c>
      <c r="R644" s="32" t="n">
        <v>66</v>
      </c>
      <c r="S644" s="34" t="n">
        <f aca="false">(R644*70)/100</f>
        <v>46.2</v>
      </c>
      <c r="T644" s="34" t="n">
        <f aca="false">ROUNDUP(S644,0)</f>
        <v>47</v>
      </c>
      <c r="U644" s="32" t="n">
        <v>15</v>
      </c>
      <c r="V644" s="34" t="n">
        <f aca="false">U644+S644</f>
        <v>61.2</v>
      </c>
      <c r="W644" s="34" t="n">
        <f aca="false">U644+T644</f>
        <v>62</v>
      </c>
      <c r="X644" s="32" t="n">
        <v>65</v>
      </c>
      <c r="Y644" s="34" t="n">
        <f aca="false">(X644*70)/100</f>
        <v>45.5</v>
      </c>
      <c r="Z644" s="34" t="n">
        <f aca="false">ROUNDUP(Y644,0)</f>
        <v>46</v>
      </c>
      <c r="AA644" s="32" t="n">
        <v>24</v>
      </c>
      <c r="AB644" s="34" t="n">
        <f aca="false">AA644+Y644</f>
        <v>69.5</v>
      </c>
      <c r="AC644" s="34" t="n">
        <f aca="false">AA644+Z644</f>
        <v>70</v>
      </c>
      <c r="AD644" s="32" t="n">
        <f aca="false">X644+R644+Q644+K644+J644</f>
        <v>342</v>
      </c>
      <c r="AE644" s="16" t="n">
        <f aca="false">AD644/5</f>
        <v>68.4</v>
      </c>
      <c r="AF644" s="16" t="n">
        <v>71</v>
      </c>
      <c r="AG644" s="16" t="n">
        <v>94</v>
      </c>
      <c r="AH644" s="16" t="n">
        <v>82</v>
      </c>
      <c r="AI644" s="16" t="n">
        <v>67</v>
      </c>
      <c r="AJ644" s="16" t="n">
        <f aca="false">(AI644*70)/100</f>
        <v>46.9</v>
      </c>
      <c r="AK644" s="35" t="n">
        <f aca="false">ROUNDUP(AJ644,0)</f>
        <v>47</v>
      </c>
      <c r="AL644" s="16" t="n">
        <v>23</v>
      </c>
      <c r="AM644" s="16" t="n">
        <f aca="false">AL644+AJ644</f>
        <v>69.9</v>
      </c>
      <c r="AN644" s="16" t="n">
        <f aca="false">AL644+AK644</f>
        <v>70</v>
      </c>
      <c r="AO644" s="16" t="n">
        <v>58</v>
      </c>
      <c r="AP644" s="36" t="n">
        <f aca="false">(AO644*70)/100</f>
        <v>40.6</v>
      </c>
      <c r="AQ644" s="37" t="n">
        <f aca="false">ROUNDUP(AP644,0)</f>
        <v>41</v>
      </c>
      <c r="AR644" s="16" t="n">
        <v>22</v>
      </c>
      <c r="AS644" s="16" t="n">
        <f aca="false">AR644+AP644</f>
        <v>62.6</v>
      </c>
      <c r="AT644" s="16" t="n">
        <f aca="false">AR644+AQ644</f>
        <v>63</v>
      </c>
      <c r="AU644" s="16" t="n">
        <f aca="false">AO644+AF644+AI644+AH644+AG644</f>
        <v>372</v>
      </c>
      <c r="AV644" s="16" t="n">
        <f aca="false">(AO644+AF644+AI644+AH644+AG644)/5</f>
        <v>74.4</v>
      </c>
      <c r="AW644" s="36" t="n">
        <f aca="false">(AO644+AF644+AI644+AH644+AG644+X644+R644+Q644+K644+J644)</f>
        <v>714</v>
      </c>
      <c r="AX644" s="16" t="n">
        <f aca="false">AW644/10</f>
        <v>71.4</v>
      </c>
      <c r="AY644" s="16" t="n">
        <f aca="false">AS644+AF644+AM644+AH644+AG644+AB644+V644+Q644+O644+J644</f>
        <v>723</v>
      </c>
      <c r="AZ644" s="16" t="n">
        <f aca="false">AT644+AF644+AN644+AH644+AG644+AC644+W644+Q644+P644+J644</f>
        <v>725</v>
      </c>
      <c r="BA644" s="16" t="n">
        <f aca="false">AY644/10</f>
        <v>72.3</v>
      </c>
      <c r="BB644" s="16" t="n">
        <f aca="false">AZ644/10</f>
        <v>72.5</v>
      </c>
      <c r="BC644" s="16" t="n">
        <v>2373</v>
      </c>
      <c r="BD644" s="16" t="n">
        <f aca="false">RANK(AX644,$AX$2:$AX$881,0)</f>
        <v>722</v>
      </c>
      <c r="BE644" s="73" t="n">
        <f aca="false">((BC644*100)/2400)*0.4+(AX644*0.6)</f>
        <v>82.39</v>
      </c>
      <c r="BF644" s="16" t="n">
        <f aca="false">RANK(BE644,$BE$2:$BE$881,0)</f>
        <v>708</v>
      </c>
      <c r="BG644" s="39" t="n">
        <f aca="false">RANK(BB644,$BB$2:$BB$881,0)</f>
        <v>722</v>
      </c>
      <c r="BH644" s="39" t="n">
        <f aca="false">RANK(BC644,$BC$2:$BC$881,0)</f>
        <v>233</v>
      </c>
      <c r="BI644" s="22" t="s">
        <v>130</v>
      </c>
      <c r="BJ644" s="22" t="s">
        <v>129</v>
      </c>
      <c r="BK644" s="40" t="s">
        <v>702</v>
      </c>
      <c r="BL644" s="41" t="n">
        <v>16</v>
      </c>
      <c r="BM644" s="41" t="n">
        <v>49</v>
      </c>
      <c r="BN644" s="41" t="n">
        <v>65</v>
      </c>
      <c r="BO644" s="42" t="n">
        <v>22</v>
      </c>
      <c r="BP644" s="43" t="n">
        <v>52</v>
      </c>
      <c r="BQ644" s="44" t="n">
        <v>74</v>
      </c>
      <c r="BR644" s="42" t="n">
        <v>18</v>
      </c>
      <c r="BS644" s="45" t="n">
        <v>56</v>
      </c>
      <c r="BT644" s="45" t="n">
        <v>74</v>
      </c>
      <c r="BU644" s="46" t="n">
        <v>100</v>
      </c>
      <c r="BV644" s="47" t="n">
        <v>86</v>
      </c>
      <c r="BW644" s="42" t="n">
        <v>99</v>
      </c>
      <c r="BX644" s="48" t="n">
        <v>92</v>
      </c>
      <c r="BY644" s="32" t="n">
        <v>25</v>
      </c>
      <c r="BZ644" s="32" t="n">
        <v>41</v>
      </c>
      <c r="CA644" s="32" t="n">
        <v>66</v>
      </c>
      <c r="CB644" s="32" t="n">
        <v>17</v>
      </c>
      <c r="CC644" s="32" t="n">
        <v>31</v>
      </c>
      <c r="CD644" s="69" t="n">
        <v>48</v>
      </c>
      <c r="CE644" s="32" t="n">
        <v>22</v>
      </c>
      <c r="CF644" s="32" t="n">
        <v>48</v>
      </c>
      <c r="CG644" s="32" t="n">
        <v>70</v>
      </c>
      <c r="CH644" s="32" t="n">
        <v>90</v>
      </c>
      <c r="CI644" s="32" t="n">
        <v>98</v>
      </c>
      <c r="CJ644" s="49" t="n">
        <v>12</v>
      </c>
      <c r="CK644" s="49" t="n">
        <v>57</v>
      </c>
      <c r="CL644" s="49" t="n">
        <v>69</v>
      </c>
      <c r="CM644" s="49" t="n">
        <v>21</v>
      </c>
      <c r="CN644" s="49" t="n">
        <v>47</v>
      </c>
      <c r="CO644" s="49" t="n">
        <v>68</v>
      </c>
      <c r="CP644" s="25" t="n">
        <f aca="false">BX644+BW644+BV644+BU644+BT644+BQ644+BN644</f>
        <v>590</v>
      </c>
      <c r="CQ644" s="25" t="n">
        <f aca="false">CO644+CL644+CI644+CH644+CG644+CD644+CA644</f>
        <v>509</v>
      </c>
      <c r="CR644" s="26" t="n">
        <f aca="false">CP644/7</f>
        <v>84.2857142857143</v>
      </c>
      <c r="CS644" s="26" t="n">
        <f aca="false">CQ644/7</f>
        <v>72.7142857142857</v>
      </c>
      <c r="CT644" s="24" t="n">
        <f aca="false">RANK(CR644,$CR$2:$CR$881,0)</f>
        <v>467</v>
      </c>
      <c r="CU644" s="25" t="n">
        <f aca="false">RANK(CS644,$CS$2:$CS$881,0)</f>
        <v>491</v>
      </c>
      <c r="CV644" s="26" t="n">
        <f aca="false">(CS644+CR644)/2</f>
        <v>78.5</v>
      </c>
      <c r="CW644" s="25" t="n">
        <f aca="false">RANK(CV644,$CV$2:$CV$881,0)</f>
        <v>479</v>
      </c>
      <c r="CX644" s="50" t="n">
        <f aca="false">(CV644+BB644)/2</f>
        <v>75.5</v>
      </c>
      <c r="CY644" s="50" t="n">
        <v>549</v>
      </c>
      <c r="CZ644" s="27" t="s">
        <v>132</v>
      </c>
      <c r="DA644" s="27" t="s">
        <v>443</v>
      </c>
      <c r="DB644" s="27" t="s">
        <v>443</v>
      </c>
      <c r="DC644" s="27" t="s">
        <v>134</v>
      </c>
      <c r="DD644" s="27" t="s">
        <v>195</v>
      </c>
      <c r="DE644" s="27" t="s">
        <v>906</v>
      </c>
      <c r="DF644" s="27" t="s">
        <v>204</v>
      </c>
      <c r="DG644" s="27" t="s">
        <v>480</v>
      </c>
      <c r="DH644" s="27" t="s">
        <v>174</v>
      </c>
      <c r="DI644" s="27" t="s">
        <v>1388</v>
      </c>
      <c r="DJ644" s="27" t="s">
        <v>306</v>
      </c>
      <c r="DK644" s="27" t="s">
        <v>480</v>
      </c>
      <c r="DL644" s="27"/>
      <c r="DM644" s="27"/>
      <c r="DN644" s="27"/>
      <c r="DO644" s="27"/>
      <c r="DP644" s="27" t="s">
        <v>1000</v>
      </c>
      <c r="DQ644" s="27" t="s">
        <v>638</v>
      </c>
      <c r="DR644" s="27" t="s">
        <v>204</v>
      </c>
      <c r="DS644" s="27" t="s">
        <v>480</v>
      </c>
      <c r="DT644" s="27" t="s">
        <v>137</v>
      </c>
      <c r="DU644" s="27" t="s">
        <v>479</v>
      </c>
      <c r="DV644" s="27" t="s">
        <v>163</v>
      </c>
      <c r="DW644" s="27" t="s">
        <v>195</v>
      </c>
      <c r="DX644" s="27" t="s">
        <v>218</v>
      </c>
      <c r="DY644" s="27" t="s">
        <v>305</v>
      </c>
      <c r="DZ644" s="27" t="n">
        <f aca="false">DY644+DV644+DR644+DN644+DJ644+DF644+DB644</f>
        <v>392</v>
      </c>
      <c r="EA644" s="28" t="n">
        <f aca="false">DZ644/7</f>
        <v>56</v>
      </c>
      <c r="EB644" s="27" t="n">
        <f aca="false">RANK(EA644,$EA$2:$EA$881,0)</f>
        <v>821</v>
      </c>
      <c r="EC644" s="29" t="n">
        <f aca="false">DZ644+CQ644+CP644+AZ644</f>
        <v>2216</v>
      </c>
      <c r="ED644" s="30" t="n">
        <f aca="false">(EA644+CV644+BB644)/3</f>
        <v>69</v>
      </c>
      <c r="EE644" s="51" t="n">
        <f aca="false">ROUND(BE644,3)</f>
        <v>82.39</v>
      </c>
      <c r="EF644" s="51" t="n">
        <f aca="false">ROUND(CR644,3)</f>
        <v>84.286</v>
      </c>
      <c r="EG644" s="51" t="n">
        <f aca="false">ROUND(CS644,3)</f>
        <v>72.714</v>
      </c>
      <c r="EH644" s="51" t="n">
        <f aca="false">ROUND(EA644,3)</f>
        <v>56</v>
      </c>
      <c r="EI644" s="51" t="n">
        <f aca="false">ROUND(ED644,3)</f>
        <v>69</v>
      </c>
      <c r="EJ644" s="51" t="n">
        <f aca="false">ROUND(CV644,3)</f>
        <v>78.5</v>
      </c>
      <c r="EK644" s="0" t="n">
        <f aca="false">RANK(EI644,$EI$2:$EI$881,0)</f>
        <v>643</v>
      </c>
    </row>
    <row r="645" customFormat="false" ht="15" hidden="false" customHeight="false" outlineLevel="0" collapsed="false">
      <c r="A645" s="4" t="n">
        <v>2083</v>
      </c>
      <c r="B645" s="4" t="n">
        <v>563</v>
      </c>
      <c r="C645" s="27" t="s">
        <v>1881</v>
      </c>
      <c r="D645" s="31" t="n">
        <v>567</v>
      </c>
      <c r="E645" s="16" t="n">
        <v>230615130</v>
      </c>
      <c r="F645" s="56" t="s">
        <v>1882</v>
      </c>
      <c r="G645" s="22" t="s">
        <v>303</v>
      </c>
      <c r="H645" s="22" t="s">
        <v>558</v>
      </c>
      <c r="I645" s="57"/>
      <c r="J645" s="16" t="n">
        <v>67</v>
      </c>
      <c r="K645" s="16" t="n">
        <v>90</v>
      </c>
      <c r="L645" s="34" t="n">
        <f aca="false">(K645*70)/100</f>
        <v>63</v>
      </c>
      <c r="M645" s="34" t="n">
        <f aca="false">ROUNDUP(L645,0)</f>
        <v>63</v>
      </c>
      <c r="N645" s="16" t="n">
        <v>24</v>
      </c>
      <c r="O645" s="34" t="n">
        <f aca="false">N645+L645</f>
        <v>87</v>
      </c>
      <c r="P645" s="34" t="n">
        <f aca="false">N645+M645</f>
        <v>87</v>
      </c>
      <c r="Q645" s="16" t="n">
        <v>68</v>
      </c>
      <c r="R645" s="16" t="n">
        <v>66</v>
      </c>
      <c r="S645" s="34" t="n">
        <f aca="false">(R645*70)/100</f>
        <v>46.2</v>
      </c>
      <c r="T645" s="34" t="n">
        <f aca="false">ROUNDUP(S645,0)</f>
        <v>47</v>
      </c>
      <c r="U645" s="16" t="n">
        <v>29</v>
      </c>
      <c r="V645" s="34" t="n">
        <f aca="false">U645+S645</f>
        <v>75.2</v>
      </c>
      <c r="W645" s="34" t="n">
        <f aca="false">U645+T645</f>
        <v>76</v>
      </c>
      <c r="X645" s="16" t="n">
        <v>64</v>
      </c>
      <c r="Y645" s="34" t="n">
        <f aca="false">(X645*70)/100</f>
        <v>44.8</v>
      </c>
      <c r="Z645" s="34" t="n">
        <f aca="false">ROUNDUP(Y645,0)</f>
        <v>45</v>
      </c>
      <c r="AA645" s="16" t="n">
        <v>24</v>
      </c>
      <c r="AB645" s="34" t="n">
        <f aca="false">AA645+Y645</f>
        <v>68.8</v>
      </c>
      <c r="AC645" s="34" t="n">
        <f aca="false">AA645+Z645</f>
        <v>69</v>
      </c>
      <c r="AD645" s="32" t="n">
        <f aca="false">X645+R645+Q645+K645+J645</f>
        <v>355</v>
      </c>
      <c r="AE645" s="16" t="n">
        <f aca="false">AD645/5</f>
        <v>71</v>
      </c>
      <c r="AF645" s="16" t="n">
        <v>73</v>
      </c>
      <c r="AG645" s="16" t="n">
        <v>85</v>
      </c>
      <c r="AH645" s="16" t="n">
        <v>77</v>
      </c>
      <c r="AI645" s="16" t="n">
        <v>91</v>
      </c>
      <c r="AJ645" s="16" t="n">
        <f aca="false">(AI645*70)/100</f>
        <v>63.7</v>
      </c>
      <c r="AK645" s="35" t="n">
        <f aca="false">ROUNDUP(AJ645,0)</f>
        <v>64</v>
      </c>
      <c r="AL645" s="16" t="n">
        <v>28</v>
      </c>
      <c r="AM645" s="16" t="n">
        <f aca="false">AL645+AJ645</f>
        <v>91.7</v>
      </c>
      <c r="AN645" s="16" t="n">
        <f aca="false">AL645+AK645</f>
        <v>92</v>
      </c>
      <c r="AO645" s="16" t="n">
        <v>79</v>
      </c>
      <c r="AP645" s="36" t="n">
        <f aca="false">(AO645*70)/100</f>
        <v>55.3</v>
      </c>
      <c r="AQ645" s="37" t="n">
        <f aca="false">ROUNDUP(AP645,0)</f>
        <v>56</v>
      </c>
      <c r="AR645" s="16" t="n">
        <v>30</v>
      </c>
      <c r="AS645" s="16" t="n">
        <f aca="false">AR645+AP645</f>
        <v>85.3</v>
      </c>
      <c r="AT645" s="16" t="n">
        <f aca="false">AR645+AQ645</f>
        <v>86</v>
      </c>
      <c r="AU645" s="16" t="n">
        <f aca="false">AO645+AF645+AI645+AH645+AG645</f>
        <v>405</v>
      </c>
      <c r="AV645" s="16" t="n">
        <f aca="false">(AO645+AF645+AI645+AH645+AG645)/5</f>
        <v>81</v>
      </c>
      <c r="AW645" s="36" t="n">
        <f aca="false">(AO645+AF645+AI645+AH645+AG645+X645+R645+Q645+K645+J645)</f>
        <v>760</v>
      </c>
      <c r="AX645" s="16" t="n">
        <f aca="false">AW645/10</f>
        <v>76</v>
      </c>
      <c r="AY645" s="16" t="n">
        <f aca="false">AS645+AF645+AM645+AH645+AG645+AB645+V645+Q645+O645+J645</f>
        <v>778</v>
      </c>
      <c r="AZ645" s="16" t="n">
        <f aca="false">AT645+AF645+AN645+AH645+AG645+AC645+W645+Q645+P645+J645</f>
        <v>780</v>
      </c>
      <c r="BA645" s="16" t="n">
        <f aca="false">AY645/10</f>
        <v>77.8</v>
      </c>
      <c r="BB645" s="16" t="n">
        <f aca="false">AZ645/10</f>
        <v>78</v>
      </c>
      <c r="BC645" s="16" t="n">
        <v>2355</v>
      </c>
      <c r="BD645" s="16" t="n">
        <f aca="false">RANK(AX645,$AX$2:$AX$881,0)</f>
        <v>616</v>
      </c>
      <c r="BE645" s="73" t="n">
        <f aca="false">((BC645*100)/2400)*0.4+(AX645*0.6)</f>
        <v>84.85</v>
      </c>
      <c r="BF645" s="16" t="n">
        <f aca="false">RANK(BE645,$BE$2:$BE$881,0)</f>
        <v>643</v>
      </c>
      <c r="BG645" s="39" t="n">
        <f aca="false">RANK(BB645,$BB$2:$BB$881,0)</f>
        <v>558</v>
      </c>
      <c r="BH645" s="39" t="n">
        <f aca="false">RANK(BC645,$BC$2:$BC$881,0)</f>
        <v>476</v>
      </c>
      <c r="BI645" s="22" t="s">
        <v>130</v>
      </c>
      <c r="BJ645" s="22" t="s">
        <v>129</v>
      </c>
      <c r="BK645" s="22" t="s">
        <v>509</v>
      </c>
      <c r="BL645" s="105" t="n">
        <v>26</v>
      </c>
      <c r="BM645" s="59" t="n">
        <v>50</v>
      </c>
      <c r="BN645" s="59" t="n">
        <v>76</v>
      </c>
      <c r="BO645" s="42" t="n">
        <v>27</v>
      </c>
      <c r="BP645" s="59" t="n">
        <v>39</v>
      </c>
      <c r="BQ645" s="59" t="n">
        <v>66</v>
      </c>
      <c r="BR645" s="42" t="n">
        <v>26</v>
      </c>
      <c r="BS645" s="77" t="n">
        <v>31</v>
      </c>
      <c r="BT645" s="125" t="n">
        <v>57</v>
      </c>
      <c r="BU645" s="77" t="n">
        <v>70</v>
      </c>
      <c r="BV645" s="58" t="n">
        <v>85</v>
      </c>
      <c r="BW645" s="102" t="n">
        <v>92</v>
      </c>
      <c r="BX645" s="88" t="n">
        <v>96</v>
      </c>
      <c r="BY645" s="65" t="n">
        <v>30</v>
      </c>
      <c r="BZ645" s="58" t="n">
        <v>33</v>
      </c>
      <c r="CA645" s="58" t="n">
        <v>63</v>
      </c>
      <c r="CB645" s="59" t="n">
        <v>24</v>
      </c>
      <c r="CC645" s="58" t="n">
        <v>49</v>
      </c>
      <c r="CD645" s="58" t="n">
        <v>73</v>
      </c>
      <c r="CE645" s="58" t="n">
        <v>19</v>
      </c>
      <c r="CF645" s="58" t="n">
        <v>39</v>
      </c>
      <c r="CG645" s="90" t="n">
        <v>58</v>
      </c>
      <c r="CH645" s="58" t="n">
        <v>73</v>
      </c>
      <c r="CI645" s="58" t="n">
        <v>47</v>
      </c>
      <c r="CJ645" s="58" t="n">
        <v>21</v>
      </c>
      <c r="CK645" s="58" t="n">
        <v>59</v>
      </c>
      <c r="CL645" s="59" t="n">
        <v>80</v>
      </c>
      <c r="CM645" s="60"/>
      <c r="CN645" s="60"/>
      <c r="CO645" s="60"/>
      <c r="CP645" s="25" t="n">
        <f aca="false">BX645+BW645+BV645+BU645+BT645+BQ645+BN645</f>
        <v>542</v>
      </c>
      <c r="CQ645" s="25" t="n">
        <f aca="false">CO645+CL645+CI645+CH645+CG645+CD645+CA645</f>
        <v>394</v>
      </c>
      <c r="CR645" s="26" t="n">
        <f aca="false">CP645/7</f>
        <v>77.4285714285714</v>
      </c>
      <c r="CS645" s="26" t="n">
        <f aca="false">CQ645/7</f>
        <v>56.2857142857143</v>
      </c>
      <c r="CT645" s="24" t="n">
        <f aca="false">RANK(CR645,$CR$2:$CR$881,0)</f>
        <v>622</v>
      </c>
      <c r="CU645" s="25" t="n">
        <f aca="false">RANK(CS645,$CS$2:$CS$881,0)</f>
        <v>706</v>
      </c>
      <c r="CV645" s="26" t="n">
        <f aca="false">(CS645+CR645)/2</f>
        <v>66.8571428571429</v>
      </c>
      <c r="CW645" s="25" t="n">
        <f aca="false">RANK(CV645,$CV$2:$CV$881,0)</f>
        <v>668</v>
      </c>
      <c r="CX645" s="50" t="n">
        <f aca="false">(CV645+BB645)/2</f>
        <v>72.4285714285714</v>
      </c>
      <c r="CY645" s="50" t="n">
        <v>820</v>
      </c>
      <c r="CZ645" s="27" t="s">
        <v>132</v>
      </c>
      <c r="DA645" s="27" t="s">
        <v>219</v>
      </c>
      <c r="DB645" s="27" t="s">
        <v>219</v>
      </c>
      <c r="DC645" s="27" t="s">
        <v>134</v>
      </c>
      <c r="DD645" s="27" t="s">
        <v>164</v>
      </c>
      <c r="DE645" s="27" t="s">
        <v>442</v>
      </c>
      <c r="DF645" s="27" t="s">
        <v>443</v>
      </c>
      <c r="DG645" s="27" t="s">
        <v>134</v>
      </c>
      <c r="DH645" s="27" t="s">
        <v>195</v>
      </c>
      <c r="DI645" s="27" t="s">
        <v>673</v>
      </c>
      <c r="DJ645" s="27" t="s">
        <v>203</v>
      </c>
      <c r="DK645" s="27" t="s">
        <v>134</v>
      </c>
      <c r="DL645" s="27" t="s">
        <v>195</v>
      </c>
      <c r="DM645" s="27" t="s">
        <v>989</v>
      </c>
      <c r="DN645" s="27" t="s">
        <v>136</v>
      </c>
      <c r="DO645" s="27" t="s">
        <v>134</v>
      </c>
      <c r="DP645" s="27"/>
      <c r="DQ645" s="27"/>
      <c r="DR645" s="27"/>
      <c r="DS645" s="27"/>
      <c r="DT645" s="27" t="s">
        <v>160</v>
      </c>
      <c r="DU645" s="27" t="s">
        <v>146</v>
      </c>
      <c r="DV645" s="27" t="s">
        <v>183</v>
      </c>
      <c r="DW645" s="27" t="s">
        <v>140</v>
      </c>
      <c r="DX645" s="27" t="s">
        <v>187</v>
      </c>
      <c r="DY645" s="27" t="s">
        <v>139</v>
      </c>
      <c r="DZ645" s="27" t="n">
        <f aca="false">DY645+DV645+DR645+DN645+DJ645+DF645+DB645</f>
        <v>434</v>
      </c>
      <c r="EA645" s="28" t="n">
        <f aca="false">DZ645/7</f>
        <v>62</v>
      </c>
      <c r="EB645" s="27" t="n">
        <f aca="false">RANK(EA645,$EA$2:$EA$881,0)</f>
        <v>764</v>
      </c>
      <c r="EC645" s="29" t="n">
        <f aca="false">DZ645+CQ645+CP645+AZ645</f>
        <v>2150</v>
      </c>
      <c r="ED645" s="30" t="n">
        <f aca="false">(EA645+CV645+BB645)/3</f>
        <v>68.952380952381</v>
      </c>
      <c r="EE645" s="51" t="n">
        <f aca="false">ROUND(BE645,3)</f>
        <v>84.85</v>
      </c>
      <c r="EF645" s="51" t="n">
        <f aca="false">ROUND(CR645,3)</f>
        <v>77.429</v>
      </c>
      <c r="EG645" s="51" t="n">
        <f aca="false">ROUND(CS645,3)</f>
        <v>56.286</v>
      </c>
      <c r="EH645" s="51" t="n">
        <f aca="false">ROUND(EA645,3)</f>
        <v>62</v>
      </c>
      <c r="EI645" s="51" t="n">
        <f aca="false">ROUND(ED645,3)</f>
        <v>68.952</v>
      </c>
      <c r="EJ645" s="51" t="n">
        <f aca="false">ROUND(CV645,3)</f>
        <v>66.857</v>
      </c>
      <c r="EK645" s="0" t="n">
        <f aca="false">RANK(EI645,$EI$2:$EI$881,0)</f>
        <v>644</v>
      </c>
    </row>
    <row r="646" customFormat="false" ht="15" hidden="false" customHeight="false" outlineLevel="0" collapsed="false">
      <c r="A646" s="4" t="n">
        <v>8925</v>
      </c>
      <c r="B646" s="4" t="n">
        <v>66</v>
      </c>
      <c r="C646" s="27" t="s">
        <v>1883</v>
      </c>
      <c r="D646" s="52" t="n">
        <v>69</v>
      </c>
      <c r="E646" s="109" t="n">
        <v>230324216</v>
      </c>
      <c r="F646" s="110" t="s">
        <v>1884</v>
      </c>
      <c r="G646" s="109" t="s">
        <v>342</v>
      </c>
      <c r="H646" s="109" t="s">
        <v>129</v>
      </c>
      <c r="I646" s="19" t="n">
        <v>2005</v>
      </c>
      <c r="J646" s="128" t="n">
        <v>38</v>
      </c>
      <c r="K646" s="111" t="n">
        <v>45</v>
      </c>
      <c r="L646" s="112" t="n">
        <f aca="false">(K646*70)/100</f>
        <v>31.5</v>
      </c>
      <c r="M646" s="112" t="n">
        <f aca="false">ROUNDUP(L646,0)</f>
        <v>32</v>
      </c>
      <c r="N646" s="111" t="n">
        <v>24</v>
      </c>
      <c r="O646" s="112" t="n">
        <f aca="false">N646+L646</f>
        <v>55.5</v>
      </c>
      <c r="P646" s="112" t="n">
        <f aca="false">N646+M646</f>
        <v>56</v>
      </c>
      <c r="Q646" s="113" t="n">
        <v>57</v>
      </c>
      <c r="R646" s="111" t="n">
        <v>55</v>
      </c>
      <c r="S646" s="112" t="n">
        <f aca="false">(R646*70)/100</f>
        <v>38.5</v>
      </c>
      <c r="T646" s="112" t="n">
        <f aca="false">ROUNDUP(S646,0)</f>
        <v>39</v>
      </c>
      <c r="U646" s="111" t="n">
        <v>25</v>
      </c>
      <c r="V646" s="112" t="n">
        <f aca="false">U646+S646</f>
        <v>63.5</v>
      </c>
      <c r="W646" s="112" t="n">
        <f aca="false">U646+T646</f>
        <v>64</v>
      </c>
      <c r="X646" s="111" t="n">
        <v>48</v>
      </c>
      <c r="Y646" s="112" t="n">
        <f aca="false">(X646*70)/100</f>
        <v>33.6</v>
      </c>
      <c r="Z646" s="112" t="n">
        <f aca="false">ROUNDUP(Y646,0)</f>
        <v>34</v>
      </c>
      <c r="AA646" s="111" t="n">
        <v>23</v>
      </c>
      <c r="AB646" s="112" t="n">
        <f aca="false">AA646+Y646</f>
        <v>56.6</v>
      </c>
      <c r="AC646" s="112" t="n">
        <f aca="false">AA646+Z646</f>
        <v>57</v>
      </c>
      <c r="AD646" s="111" t="n">
        <f aca="false">X646+R646+Q646+K646+J646</f>
        <v>243</v>
      </c>
      <c r="AE646" s="114" t="n">
        <v>48.6</v>
      </c>
      <c r="AF646" s="19" t="n">
        <v>49</v>
      </c>
      <c r="AG646" s="19" t="n">
        <v>56</v>
      </c>
      <c r="AH646" s="19" t="n">
        <v>70</v>
      </c>
      <c r="AI646" s="19" t="n">
        <v>81</v>
      </c>
      <c r="AJ646" s="19" t="n">
        <f aca="false">(AI646*70)/100</f>
        <v>56.7</v>
      </c>
      <c r="AK646" s="115" t="n">
        <f aca="false">ROUNDUP(AJ646,0)</f>
        <v>57</v>
      </c>
      <c r="AL646" s="19" t="n">
        <v>28</v>
      </c>
      <c r="AM646" s="19" t="n">
        <f aca="false">AL646+AJ646</f>
        <v>84.7</v>
      </c>
      <c r="AN646" s="19" t="n">
        <f aca="false">AL646+AK646</f>
        <v>85</v>
      </c>
      <c r="AO646" s="19" t="n">
        <v>50</v>
      </c>
      <c r="AP646" s="116" t="n">
        <f aca="false">(AO646*70)/100</f>
        <v>35</v>
      </c>
      <c r="AQ646" s="117" t="n">
        <f aca="false">ROUNDUP(AP646,0)</f>
        <v>35</v>
      </c>
      <c r="AR646" s="19" t="n">
        <v>26</v>
      </c>
      <c r="AS646" s="19" t="n">
        <f aca="false">AR646+AP646</f>
        <v>61</v>
      </c>
      <c r="AT646" s="19" t="n">
        <f aca="false">AR646+AQ646</f>
        <v>61</v>
      </c>
      <c r="AU646" s="19" t="n">
        <f aca="false">AO646+AF646+AI646+AH646+AG646</f>
        <v>306</v>
      </c>
      <c r="AV646" s="19" t="n">
        <f aca="false">(AO646+AF646+AI646+AH646+AG646)/5</f>
        <v>61.2</v>
      </c>
      <c r="AW646" s="116" t="n">
        <f aca="false">(AO646+AF646+AI646+AH646+AG646+X646+R646+Q646+K646+J646)</f>
        <v>549</v>
      </c>
      <c r="AX646" s="16" t="n">
        <f aca="false">AW646/10</f>
        <v>54.9</v>
      </c>
      <c r="AY646" s="16" t="n">
        <f aca="false">AS646+AF646+AM646+AH646+AG646+AB646+V646+Q646+O646+J646</f>
        <v>591.3</v>
      </c>
      <c r="AZ646" s="16" t="n">
        <f aca="false">AT646+AF646+AN646+AH646+AG646+AC646+W646+Q646+P646+J646</f>
        <v>593</v>
      </c>
      <c r="BA646" s="16" t="n">
        <f aca="false">AY646/10</f>
        <v>59.13</v>
      </c>
      <c r="BB646" s="16" t="n">
        <f aca="false">AZ646/10</f>
        <v>59.3</v>
      </c>
      <c r="BC646" s="16" t="n">
        <v>1872</v>
      </c>
      <c r="BD646" s="16" t="n">
        <f aca="false">RANK(AX646,$AX$2:$AX$881,0)</f>
        <v>801</v>
      </c>
      <c r="BE646" s="20" t="n">
        <f aca="false">((BC646*100)/2400)*0.4+(AX646*0.6)</f>
        <v>64.14</v>
      </c>
      <c r="BF646" s="16" t="n">
        <f aca="false">RANK(BE646,$BE$2:$BE$881,0)</f>
        <v>799</v>
      </c>
      <c r="BG646" s="39" t="n">
        <f aca="false">RANK(BB646,$BB$2:$BB$881,0)</f>
        <v>795</v>
      </c>
      <c r="BH646" s="39" t="n">
        <f aca="false">RANK(BC646,$BC$2:$BC$881,0)</f>
        <v>778</v>
      </c>
      <c r="BI646" s="19" t="s">
        <v>130</v>
      </c>
      <c r="BJ646" s="19" t="s">
        <v>129</v>
      </c>
      <c r="BK646" s="109" t="s">
        <v>1596</v>
      </c>
      <c r="BL646" s="44" t="n">
        <v>15</v>
      </c>
      <c r="BM646" s="44" t="n">
        <v>47</v>
      </c>
      <c r="BN646" s="44" t="n">
        <v>62</v>
      </c>
      <c r="BO646" s="44" t="n">
        <v>23</v>
      </c>
      <c r="BP646" s="43" t="n">
        <v>48</v>
      </c>
      <c r="BQ646" s="44" t="n">
        <v>71</v>
      </c>
      <c r="BR646" s="42" t="n">
        <v>18</v>
      </c>
      <c r="BS646" s="45" t="n">
        <v>50</v>
      </c>
      <c r="BT646" s="45" t="n">
        <v>68</v>
      </c>
      <c r="BU646" s="46" t="n">
        <v>98</v>
      </c>
      <c r="BV646" s="42" t="n">
        <v>68</v>
      </c>
      <c r="BW646" s="44" t="n">
        <v>89</v>
      </c>
      <c r="BX646" s="48" t="n">
        <v>82</v>
      </c>
      <c r="BY646" s="32" t="n">
        <v>25</v>
      </c>
      <c r="BZ646" s="32" t="n">
        <v>46</v>
      </c>
      <c r="CA646" s="32" t="n">
        <v>71</v>
      </c>
      <c r="CB646" s="32" t="n">
        <v>24</v>
      </c>
      <c r="CC646" s="32" t="n">
        <v>30</v>
      </c>
      <c r="CD646" s="69" t="n">
        <v>54</v>
      </c>
      <c r="CE646" s="32" t="n">
        <v>25</v>
      </c>
      <c r="CF646" s="32" t="n">
        <v>27</v>
      </c>
      <c r="CG646" s="69" t="n">
        <v>52</v>
      </c>
      <c r="CH646" s="32" t="n">
        <v>95</v>
      </c>
      <c r="CI646" s="32" t="n">
        <v>82</v>
      </c>
      <c r="CJ646" s="49" t="n">
        <v>21</v>
      </c>
      <c r="CK646" s="49" t="n">
        <v>48</v>
      </c>
      <c r="CL646" s="49" t="n">
        <v>69</v>
      </c>
      <c r="CM646" s="49" t="n">
        <v>24</v>
      </c>
      <c r="CN646" s="49" t="n">
        <v>44</v>
      </c>
      <c r="CO646" s="49" t="n">
        <v>68</v>
      </c>
      <c r="CP646" s="25" t="n">
        <f aca="false">BX646+BW646+BV646+BU646+BT646+BQ646+BN646</f>
        <v>538</v>
      </c>
      <c r="CQ646" s="25" t="n">
        <f aca="false">CO646+CL646+CI646+CH646+CG646+CD646+CA646</f>
        <v>491</v>
      </c>
      <c r="CR646" s="26" t="n">
        <f aca="false">CP646/7</f>
        <v>76.8571428571429</v>
      </c>
      <c r="CS646" s="26" t="n">
        <f aca="false">CQ646/7</f>
        <v>70.1428571428571</v>
      </c>
      <c r="CT646" s="24" t="n">
        <f aca="false">RANK(CR646,$CR$2:$CR$881,0)</f>
        <v>629</v>
      </c>
      <c r="CU646" s="25" t="n">
        <f aca="false">RANK(CS646,$CS$2:$CS$881,0)</f>
        <v>552</v>
      </c>
      <c r="CV646" s="26" t="n">
        <f aca="false">(CS646+CR646)/2</f>
        <v>73.5</v>
      </c>
      <c r="CW646" s="25" t="n">
        <f aca="false">RANK(CV646,$CV$2:$CV$881,0)</f>
        <v>592</v>
      </c>
      <c r="CX646" s="50" t="n">
        <f aca="false">(CV646+BB646)/2</f>
        <v>66.4</v>
      </c>
      <c r="CY646" s="50" t="n">
        <v>628</v>
      </c>
      <c r="CZ646" s="27" t="s">
        <v>132</v>
      </c>
      <c r="DA646" s="27" t="s">
        <v>202</v>
      </c>
      <c r="DB646" s="27" t="s">
        <v>202</v>
      </c>
      <c r="DC646" s="27" t="s">
        <v>134</v>
      </c>
      <c r="DD646" s="27" t="s">
        <v>137</v>
      </c>
      <c r="DE646" s="27" t="s">
        <v>306</v>
      </c>
      <c r="DF646" s="27" t="s">
        <v>196</v>
      </c>
      <c r="DG646" s="27" t="s">
        <v>134</v>
      </c>
      <c r="DH646" s="27" t="s">
        <v>135</v>
      </c>
      <c r="DI646" s="27" t="s">
        <v>989</v>
      </c>
      <c r="DJ646" s="27" t="s">
        <v>141</v>
      </c>
      <c r="DK646" s="27" t="s">
        <v>134</v>
      </c>
      <c r="DL646" s="27" t="s">
        <v>154</v>
      </c>
      <c r="DM646" s="27" t="s">
        <v>906</v>
      </c>
      <c r="DN646" s="27" t="s">
        <v>161</v>
      </c>
      <c r="DO646" s="27" t="s">
        <v>134</v>
      </c>
      <c r="DP646" s="27" t="s">
        <v>195</v>
      </c>
      <c r="DQ646" s="27" t="s">
        <v>989</v>
      </c>
      <c r="DR646" s="27" t="s">
        <v>136</v>
      </c>
      <c r="DS646" s="27" t="s">
        <v>134</v>
      </c>
      <c r="DT646" s="27" t="s">
        <v>135</v>
      </c>
      <c r="DU646" s="27" t="s">
        <v>479</v>
      </c>
      <c r="DV646" s="27" t="s">
        <v>152</v>
      </c>
      <c r="DW646" s="27" t="s">
        <v>154</v>
      </c>
      <c r="DX646" s="27" t="s">
        <v>155</v>
      </c>
      <c r="DY646" s="27" t="s">
        <v>151</v>
      </c>
      <c r="DZ646" s="27" t="n">
        <f aca="false">DY646+DV646+DR646+DN646+DJ646+DF646+DB646</f>
        <v>515</v>
      </c>
      <c r="EA646" s="28" t="n">
        <f aca="false">DZ646/7</f>
        <v>73.5714285714286</v>
      </c>
      <c r="EB646" s="27" t="n">
        <f aca="false">RANK(EA646,$EA$2:$EA$881,0)</f>
        <v>582</v>
      </c>
      <c r="EC646" s="29" t="n">
        <f aca="false">DZ646+CQ646+CP646+AZ646</f>
        <v>2137</v>
      </c>
      <c r="ED646" s="30" t="n">
        <f aca="false">(EA646+CV646+BB646)/3</f>
        <v>68.7904761904762</v>
      </c>
      <c r="EE646" s="51" t="n">
        <f aca="false">ROUND(BE646,3)</f>
        <v>64.14</v>
      </c>
      <c r="EF646" s="51" t="n">
        <f aca="false">ROUND(CR646,3)</f>
        <v>76.857</v>
      </c>
      <c r="EG646" s="51" t="n">
        <f aca="false">ROUND(CS646,3)</f>
        <v>70.143</v>
      </c>
      <c r="EH646" s="51" t="n">
        <f aca="false">ROUND(EA646,3)</f>
        <v>73.571</v>
      </c>
      <c r="EI646" s="51" t="n">
        <f aca="false">ROUND(ED646,3)</f>
        <v>68.79</v>
      </c>
      <c r="EJ646" s="51" t="n">
        <f aca="false">ROUND(CV646,3)</f>
        <v>73.5</v>
      </c>
      <c r="EK646" s="0" t="n">
        <f aca="false">RANK(EI646,$EI$2:$EI$881,0)</f>
        <v>645</v>
      </c>
    </row>
    <row r="647" customFormat="false" ht="15" hidden="false" customHeight="false" outlineLevel="0" collapsed="false">
      <c r="A647" s="4" t="n">
        <v>8881</v>
      </c>
      <c r="B647" s="4" t="n">
        <v>352</v>
      </c>
      <c r="C647" s="27" t="s">
        <v>1885</v>
      </c>
      <c r="D647" s="31" t="n">
        <v>357</v>
      </c>
      <c r="E647" s="32" t="n">
        <v>230315724</v>
      </c>
      <c r="F647" s="8" t="s">
        <v>1886</v>
      </c>
      <c r="G647" s="22" t="s">
        <v>1887</v>
      </c>
      <c r="H647" s="22" t="s">
        <v>129</v>
      </c>
      <c r="I647" s="33" t="n">
        <v>2005</v>
      </c>
      <c r="J647" s="32" t="n">
        <v>82</v>
      </c>
      <c r="K647" s="32" t="n">
        <v>74</v>
      </c>
      <c r="L647" s="34" t="n">
        <f aca="false">(K647*70)/100</f>
        <v>51.8</v>
      </c>
      <c r="M647" s="34" t="n">
        <f aca="false">ROUNDUP(L647,0)</f>
        <v>52</v>
      </c>
      <c r="N647" s="32" t="n">
        <v>26</v>
      </c>
      <c r="O647" s="34" t="n">
        <f aca="false">N647+L647</f>
        <v>77.8</v>
      </c>
      <c r="P647" s="34" t="n">
        <f aca="false">N647+M647</f>
        <v>78</v>
      </c>
      <c r="Q647" s="32" t="n">
        <v>67</v>
      </c>
      <c r="R647" s="32" t="n">
        <v>69</v>
      </c>
      <c r="S647" s="34" t="n">
        <f aca="false">(R647*70)/100</f>
        <v>48.3</v>
      </c>
      <c r="T647" s="34" t="n">
        <f aca="false">ROUNDUP(S647,0)</f>
        <v>49</v>
      </c>
      <c r="U647" s="32" t="n">
        <v>18</v>
      </c>
      <c r="V647" s="34" t="n">
        <f aca="false">U647+S647</f>
        <v>66.3</v>
      </c>
      <c r="W647" s="34" t="n">
        <f aca="false">U647+T647</f>
        <v>67</v>
      </c>
      <c r="X647" s="32" t="n">
        <v>73</v>
      </c>
      <c r="Y647" s="34" t="n">
        <f aca="false">(X647*70)/100</f>
        <v>51.1</v>
      </c>
      <c r="Z647" s="34" t="n">
        <f aca="false">ROUNDUP(Y647,0)</f>
        <v>52</v>
      </c>
      <c r="AA647" s="32" t="n">
        <v>22</v>
      </c>
      <c r="AB647" s="34" t="n">
        <f aca="false">AA647+Y647</f>
        <v>73.1</v>
      </c>
      <c r="AC647" s="34" t="n">
        <f aca="false">AA647+Z647</f>
        <v>74</v>
      </c>
      <c r="AD647" s="32" t="n">
        <f aca="false">X647+R647+Q647+K647+J647</f>
        <v>365</v>
      </c>
      <c r="AE647" s="16" t="n">
        <f aca="false">AD647/5</f>
        <v>73</v>
      </c>
      <c r="AF647" s="16" t="n">
        <v>71</v>
      </c>
      <c r="AG647" s="16" t="n">
        <v>86</v>
      </c>
      <c r="AH647" s="16" t="n">
        <v>78</v>
      </c>
      <c r="AI647" s="16" t="n">
        <v>75</v>
      </c>
      <c r="AJ647" s="16" t="n">
        <f aca="false">(AI647*70)/100</f>
        <v>52.5</v>
      </c>
      <c r="AK647" s="35" t="n">
        <f aca="false">ROUNDUP(AJ647,0)</f>
        <v>53</v>
      </c>
      <c r="AL647" s="16" t="n">
        <v>26</v>
      </c>
      <c r="AM647" s="16" t="n">
        <f aca="false">AL647+AJ647</f>
        <v>78.5</v>
      </c>
      <c r="AN647" s="16" t="n">
        <f aca="false">AL647+AK647</f>
        <v>79</v>
      </c>
      <c r="AO647" s="16" t="n">
        <v>58</v>
      </c>
      <c r="AP647" s="36" t="n">
        <f aca="false">(AO647*70)/100</f>
        <v>40.6</v>
      </c>
      <c r="AQ647" s="37" t="n">
        <f aca="false">ROUNDUP(AP647,0)</f>
        <v>41</v>
      </c>
      <c r="AR647" s="16" t="n">
        <v>24</v>
      </c>
      <c r="AS647" s="16" t="n">
        <f aca="false">AR647+AP647</f>
        <v>64.6</v>
      </c>
      <c r="AT647" s="16" t="n">
        <f aca="false">AR647+AQ647</f>
        <v>65</v>
      </c>
      <c r="AU647" s="16" t="n">
        <f aca="false">AO647+AF647+AI647+AH647+AG647</f>
        <v>368</v>
      </c>
      <c r="AV647" s="16" t="n">
        <f aca="false">(AO647+AF647+AI647+AH647+AG647)/5</f>
        <v>73.6</v>
      </c>
      <c r="AW647" s="36" t="n">
        <f aca="false">(AO647+AF647+AI647+AH647+AG647+X647+R647+Q647+K647+J647)</f>
        <v>733</v>
      </c>
      <c r="AX647" s="16" t="n">
        <f aca="false">AW647/10</f>
        <v>73.3</v>
      </c>
      <c r="AY647" s="16" t="n">
        <f aca="false">AS647+AF647+AM647+AH647+AG647+AB647+V647+Q647+O647+J647</f>
        <v>744.3</v>
      </c>
      <c r="AZ647" s="16" t="n">
        <f aca="false">AT647+AF647+AN647+AH647+AG647+AC647+W647+Q647+P647+J647</f>
        <v>747</v>
      </c>
      <c r="BA647" s="16" t="n">
        <f aca="false">AY647/10</f>
        <v>74.43</v>
      </c>
      <c r="BB647" s="16" t="n">
        <f aca="false">AZ647/10</f>
        <v>74.7</v>
      </c>
      <c r="BC647" s="16" t="n">
        <v>2330</v>
      </c>
      <c r="BD647" s="16" t="n">
        <f aca="false">RANK(AX647,$AX$2:$AX$881,0)</f>
        <v>710</v>
      </c>
      <c r="BE647" s="73" t="n">
        <f aca="false">((BC647*100)/2400)*0.4+(AX647*0.6)</f>
        <v>82.8133333333333</v>
      </c>
      <c r="BF647" s="16" t="n">
        <f aca="false">RANK(BE647,$BE$2:$BE$881,0)</f>
        <v>703</v>
      </c>
      <c r="BG647" s="39" t="n">
        <f aca="false">RANK(BB647,$BB$2:$BB$881,0)</f>
        <v>701</v>
      </c>
      <c r="BH647" s="39" t="n">
        <f aca="false">RANK(BC647,$BC$2:$BC$881,0)</f>
        <v>729</v>
      </c>
      <c r="BI647" s="22" t="s">
        <v>130</v>
      </c>
      <c r="BJ647" s="22" t="s">
        <v>129</v>
      </c>
      <c r="BK647" s="40" t="s">
        <v>702</v>
      </c>
      <c r="BL647" s="41" t="n">
        <v>12</v>
      </c>
      <c r="BM647" s="41" t="n">
        <v>52</v>
      </c>
      <c r="BN647" s="41" t="n">
        <v>64</v>
      </c>
      <c r="BO647" s="42" t="n">
        <v>15</v>
      </c>
      <c r="BP647" s="43" t="n">
        <v>54</v>
      </c>
      <c r="BQ647" s="44" t="n">
        <v>69</v>
      </c>
      <c r="BR647" s="42" t="n">
        <v>16</v>
      </c>
      <c r="BS647" s="45" t="n">
        <v>44</v>
      </c>
      <c r="BT647" s="24" t="n">
        <v>60</v>
      </c>
      <c r="BU647" s="46" t="n">
        <v>100</v>
      </c>
      <c r="BV647" s="47" t="n">
        <v>74</v>
      </c>
      <c r="BW647" s="42" t="n">
        <v>96</v>
      </c>
      <c r="BX647" s="48" t="n">
        <v>94</v>
      </c>
      <c r="BY647" s="32" t="n">
        <v>21</v>
      </c>
      <c r="BZ647" s="32" t="n">
        <v>41</v>
      </c>
      <c r="CA647" s="32" t="n">
        <v>62</v>
      </c>
      <c r="CB647" s="32" t="n">
        <v>18</v>
      </c>
      <c r="CC647" s="32" t="n">
        <v>28</v>
      </c>
      <c r="CD647" s="69" t="n">
        <v>46</v>
      </c>
      <c r="CE647" s="32" t="n">
        <v>17</v>
      </c>
      <c r="CF647" s="32" t="n">
        <v>27</v>
      </c>
      <c r="CG647" s="69" t="n">
        <v>44</v>
      </c>
      <c r="CH647" s="32" t="n">
        <v>90</v>
      </c>
      <c r="CI647" s="32" t="n">
        <v>92</v>
      </c>
      <c r="CJ647" s="49" t="n">
        <v>18</v>
      </c>
      <c r="CK647" s="49" t="n">
        <v>50</v>
      </c>
      <c r="CL647" s="49" t="n">
        <v>68</v>
      </c>
      <c r="CM647" s="49" t="n">
        <v>17</v>
      </c>
      <c r="CN647" s="49" t="n">
        <v>48</v>
      </c>
      <c r="CO647" s="49" t="n">
        <v>65</v>
      </c>
      <c r="CP647" s="25" t="n">
        <f aca="false">BX647+BW647+BV647+BU647+BT647+BQ647+BN647</f>
        <v>557</v>
      </c>
      <c r="CQ647" s="25" t="n">
        <f aca="false">CO647+CL647+CI647+CH647+CG647+CD647+CA647</f>
        <v>467</v>
      </c>
      <c r="CR647" s="26" t="n">
        <f aca="false">CP647/7</f>
        <v>79.5714285714286</v>
      </c>
      <c r="CS647" s="26" t="n">
        <f aca="false">CQ647/7</f>
        <v>66.7142857142857</v>
      </c>
      <c r="CT647" s="24" t="n">
        <f aca="false">RANK(CR647,$CR$2:$CR$881,0)</f>
        <v>595</v>
      </c>
      <c r="CU647" s="25" t="n">
        <f aca="false">RANK(CS647,$CS$2:$CS$881,0)</f>
        <v>601</v>
      </c>
      <c r="CV647" s="26" t="n">
        <f aca="false">(CS647+CR647)/2</f>
        <v>73.1428571428571</v>
      </c>
      <c r="CW647" s="25" t="n">
        <f aca="false">RANK(CV647,$CV$2:$CV$881,0)</f>
        <v>602</v>
      </c>
      <c r="CX647" s="50" t="n">
        <f aca="false">(CV647+BB647)/2</f>
        <v>73.9214285714286</v>
      </c>
      <c r="CY647" s="50" t="n">
        <v>569</v>
      </c>
      <c r="CZ647" s="27" t="s">
        <v>132</v>
      </c>
      <c r="DA647" s="27" t="s">
        <v>155</v>
      </c>
      <c r="DB647" s="27" t="s">
        <v>155</v>
      </c>
      <c r="DC647" s="27" t="s">
        <v>134</v>
      </c>
      <c r="DD647" s="27" t="s">
        <v>195</v>
      </c>
      <c r="DE647" s="27" t="s">
        <v>412</v>
      </c>
      <c r="DF647" s="27" t="s">
        <v>398</v>
      </c>
      <c r="DG647" s="27" t="s">
        <v>134</v>
      </c>
      <c r="DH647" s="27" t="s">
        <v>174</v>
      </c>
      <c r="DI647" s="27" t="s">
        <v>1064</v>
      </c>
      <c r="DJ647" s="27" t="s">
        <v>183</v>
      </c>
      <c r="DK647" s="27" t="s">
        <v>480</v>
      </c>
      <c r="DL647" s="27" t="s">
        <v>191</v>
      </c>
      <c r="DM647" s="27" t="s">
        <v>1407</v>
      </c>
      <c r="DN647" s="27" t="s">
        <v>177</v>
      </c>
      <c r="DO647" s="27" t="s">
        <v>134</v>
      </c>
      <c r="DP647" s="27"/>
      <c r="DQ647" s="27"/>
      <c r="DR647" s="27"/>
      <c r="DS647" s="27"/>
      <c r="DT647" s="27" t="s">
        <v>135</v>
      </c>
      <c r="DU647" s="27" t="s">
        <v>1064</v>
      </c>
      <c r="DV647" s="27" t="s">
        <v>161</v>
      </c>
      <c r="DW647" s="27" t="s">
        <v>195</v>
      </c>
      <c r="DX647" s="27" t="s">
        <v>187</v>
      </c>
      <c r="DY647" s="27" t="s">
        <v>178</v>
      </c>
      <c r="DZ647" s="27" t="n">
        <f aca="false">DY647+DV647+DR647+DN647+DJ647+DF647+DB647</f>
        <v>408</v>
      </c>
      <c r="EA647" s="28" t="n">
        <f aca="false">DZ647/7</f>
        <v>58.2857142857143</v>
      </c>
      <c r="EB647" s="27" t="n">
        <f aca="false">RANK(EA647,$EA$2:$EA$881,0)</f>
        <v>804</v>
      </c>
      <c r="EC647" s="29" t="n">
        <f aca="false">DZ647+CQ647+CP647+AZ647</f>
        <v>2179</v>
      </c>
      <c r="ED647" s="30" t="n">
        <f aca="false">(EA647+CV647+BB647)/3</f>
        <v>68.7095238095238</v>
      </c>
      <c r="EE647" s="51" t="n">
        <f aca="false">ROUND(BE647,3)</f>
        <v>82.813</v>
      </c>
      <c r="EF647" s="51" t="n">
        <f aca="false">ROUND(CR647,3)</f>
        <v>79.571</v>
      </c>
      <c r="EG647" s="51" t="n">
        <f aca="false">ROUND(CS647,3)</f>
        <v>66.714</v>
      </c>
      <c r="EH647" s="51" t="n">
        <f aca="false">ROUND(EA647,3)</f>
        <v>58.286</v>
      </c>
      <c r="EI647" s="51" t="n">
        <f aca="false">ROUND(ED647,3)</f>
        <v>68.71</v>
      </c>
      <c r="EJ647" s="51" t="n">
        <f aca="false">ROUND(CV647,3)</f>
        <v>73.143</v>
      </c>
      <c r="EK647" s="0" t="n">
        <f aca="false">RANK(EI647,$EI$2:$EI$881,0)</f>
        <v>646</v>
      </c>
    </row>
    <row r="648" customFormat="false" ht="15" hidden="false" customHeight="false" outlineLevel="0" collapsed="false">
      <c r="A648" s="4" t="n">
        <v>8630</v>
      </c>
      <c r="B648" s="4" t="n">
        <v>653</v>
      </c>
      <c r="C648" s="27" t="s">
        <v>1888</v>
      </c>
      <c r="D648" s="52" t="n">
        <v>664</v>
      </c>
      <c r="E648" s="109" t="n">
        <v>230311337</v>
      </c>
      <c r="F648" s="110" t="s">
        <v>1889</v>
      </c>
      <c r="G648" s="109" t="s">
        <v>532</v>
      </c>
      <c r="H648" s="109" t="s">
        <v>129</v>
      </c>
      <c r="I648" s="19" t="n">
        <v>2005</v>
      </c>
      <c r="J648" s="128" t="n">
        <v>49</v>
      </c>
      <c r="K648" s="111" t="n">
        <v>54</v>
      </c>
      <c r="L648" s="112" t="n">
        <f aca="false">(K648*70)/100</f>
        <v>37.8</v>
      </c>
      <c r="M648" s="112" t="n">
        <f aca="false">ROUNDUP(L648,0)</f>
        <v>38</v>
      </c>
      <c r="N648" s="111" t="n">
        <v>21</v>
      </c>
      <c r="O648" s="112" t="n">
        <f aca="false">N648+L648</f>
        <v>58.8</v>
      </c>
      <c r="P648" s="112" t="n">
        <f aca="false">N648+M648</f>
        <v>59</v>
      </c>
      <c r="Q648" s="113" t="n">
        <v>57</v>
      </c>
      <c r="R648" s="111" t="n">
        <v>54</v>
      </c>
      <c r="S648" s="112" t="n">
        <f aca="false">(R648*70)/100</f>
        <v>37.8</v>
      </c>
      <c r="T648" s="112" t="n">
        <f aca="false">ROUNDUP(S648,0)</f>
        <v>38</v>
      </c>
      <c r="U648" s="111" t="n">
        <v>22</v>
      </c>
      <c r="V648" s="112" t="n">
        <f aca="false">U648+S648</f>
        <v>59.8</v>
      </c>
      <c r="W648" s="112" t="n">
        <f aca="false">U648+T648</f>
        <v>60</v>
      </c>
      <c r="X648" s="111" t="n">
        <v>57</v>
      </c>
      <c r="Y648" s="112" t="n">
        <f aca="false">(X648*70)/100</f>
        <v>39.9</v>
      </c>
      <c r="Z648" s="112" t="n">
        <f aca="false">ROUNDUP(Y648,0)</f>
        <v>40</v>
      </c>
      <c r="AA648" s="111" t="n">
        <v>24</v>
      </c>
      <c r="AB648" s="112" t="n">
        <f aca="false">AA648+Y648</f>
        <v>63.9</v>
      </c>
      <c r="AC648" s="112" t="n">
        <f aca="false">AA648+Z648</f>
        <v>64</v>
      </c>
      <c r="AD648" s="111" t="n">
        <f aca="false">X648+R648+Q648+K648+J648</f>
        <v>271</v>
      </c>
      <c r="AE648" s="114" t="n">
        <v>54.2</v>
      </c>
      <c r="AF648" s="19" t="n">
        <v>48</v>
      </c>
      <c r="AG648" s="19" t="n">
        <v>66</v>
      </c>
      <c r="AH648" s="19" t="n">
        <v>74</v>
      </c>
      <c r="AI648" s="19" t="n">
        <v>68</v>
      </c>
      <c r="AJ648" s="19" t="n">
        <f aca="false">(AI648*70)/100</f>
        <v>47.6</v>
      </c>
      <c r="AK648" s="115" t="n">
        <f aca="false">ROUNDUP(AJ648,0)</f>
        <v>48</v>
      </c>
      <c r="AL648" s="19" t="n">
        <v>27</v>
      </c>
      <c r="AM648" s="19" t="n">
        <f aca="false">AL648+AJ648</f>
        <v>74.6</v>
      </c>
      <c r="AN648" s="19" t="n">
        <f aca="false">AL648+AK648</f>
        <v>75</v>
      </c>
      <c r="AO648" s="19" t="n">
        <v>62</v>
      </c>
      <c r="AP648" s="116" t="n">
        <f aca="false">(AO648*70)/100</f>
        <v>43.4</v>
      </c>
      <c r="AQ648" s="117" t="n">
        <f aca="false">ROUNDUP(AP648,0)</f>
        <v>44</v>
      </c>
      <c r="AR648" s="19" t="n">
        <v>24</v>
      </c>
      <c r="AS648" s="19" t="n">
        <f aca="false">AR648+AP648</f>
        <v>67.4</v>
      </c>
      <c r="AT648" s="19" t="n">
        <f aca="false">AR648+AQ648</f>
        <v>68</v>
      </c>
      <c r="AU648" s="19" t="n">
        <f aca="false">AO648+AF648+AI648+AH648+AG648</f>
        <v>318</v>
      </c>
      <c r="AV648" s="19" t="n">
        <f aca="false">(AO648+AF648+AI648+AH648+AG648)/5</f>
        <v>63.6</v>
      </c>
      <c r="AW648" s="116" t="n">
        <f aca="false">(AO648+AF648+AI648+AH648+AG648+X648+R648+Q648+K648+J648)</f>
        <v>589</v>
      </c>
      <c r="AX648" s="16" t="n">
        <f aca="false">AW648/10</f>
        <v>58.9</v>
      </c>
      <c r="AY648" s="16" t="n">
        <f aca="false">AS648+AF648+AM648+AH648+AG648+AB648+V648+Q648+O648+J648</f>
        <v>618.5</v>
      </c>
      <c r="AZ648" s="16" t="n">
        <f aca="false">AT648+AF648+AN648+AH648+AG648+AC648+W648+Q648+P648+J648</f>
        <v>620</v>
      </c>
      <c r="BA648" s="16" t="n">
        <f aca="false">AY648/10</f>
        <v>61.85</v>
      </c>
      <c r="BB648" s="16" t="n">
        <f aca="false">AZ648/10</f>
        <v>62</v>
      </c>
      <c r="BC648" s="16" t="n">
        <v>2194</v>
      </c>
      <c r="BD648" s="16" t="n">
        <f aca="false">RANK(AX648,$AX$2:$AX$881,0)</f>
        <v>799</v>
      </c>
      <c r="BE648" s="123" t="n">
        <f aca="false">((BC648*100)/2400)*0.4+(AX648*0.6)</f>
        <v>71.9066666666667</v>
      </c>
      <c r="BF648" s="16" t="n">
        <f aca="false">RANK(BE648,$BE$2:$BE$881,0)</f>
        <v>785</v>
      </c>
      <c r="BG648" s="39" t="n">
        <f aca="false">RANK(BB648,$BB$2:$BB$881,0)</f>
        <v>792</v>
      </c>
      <c r="BH648" s="39" t="n">
        <f aca="false">RANK(BC648,$BC$2:$BC$881,0)</f>
        <v>769</v>
      </c>
      <c r="BI648" s="19" t="s">
        <v>130</v>
      </c>
      <c r="BJ648" s="19" t="s">
        <v>129</v>
      </c>
      <c r="BK648" s="109" t="s">
        <v>1596</v>
      </c>
      <c r="BL648" s="41" t="n">
        <v>14</v>
      </c>
      <c r="BM648" s="41" t="n">
        <v>55</v>
      </c>
      <c r="BN648" s="41" t="n">
        <v>69</v>
      </c>
      <c r="BO648" s="42" t="n">
        <v>19</v>
      </c>
      <c r="BP648" s="43" t="n">
        <v>51</v>
      </c>
      <c r="BQ648" s="44" t="n">
        <v>70</v>
      </c>
      <c r="BR648" s="42" t="n">
        <v>21</v>
      </c>
      <c r="BS648" s="45" t="n">
        <v>50</v>
      </c>
      <c r="BT648" s="45" t="n">
        <v>71</v>
      </c>
      <c r="BU648" s="46" t="n">
        <v>99</v>
      </c>
      <c r="BV648" s="47" t="n">
        <v>78</v>
      </c>
      <c r="BW648" s="42" t="n">
        <v>93</v>
      </c>
      <c r="BX648" s="48" t="n">
        <v>88</v>
      </c>
      <c r="BY648" s="32" t="n">
        <v>25</v>
      </c>
      <c r="BZ648" s="32" t="n">
        <v>41</v>
      </c>
      <c r="CA648" s="32" t="n">
        <v>66</v>
      </c>
      <c r="CB648" s="32" t="n">
        <v>18</v>
      </c>
      <c r="CC648" s="32" t="n">
        <v>38</v>
      </c>
      <c r="CD648" s="69" t="n">
        <v>56</v>
      </c>
      <c r="CE648" s="32" t="n">
        <v>29</v>
      </c>
      <c r="CF648" s="32" t="n">
        <v>50</v>
      </c>
      <c r="CG648" s="32" t="n">
        <v>79</v>
      </c>
      <c r="CH648" s="32" t="n">
        <v>90</v>
      </c>
      <c r="CI648" s="32" t="n">
        <v>75</v>
      </c>
      <c r="CJ648" s="49" t="n">
        <v>23</v>
      </c>
      <c r="CK648" s="49" t="n">
        <v>45</v>
      </c>
      <c r="CL648" s="49" t="n">
        <v>68</v>
      </c>
      <c r="CM648" s="49" t="n">
        <v>22</v>
      </c>
      <c r="CN648" s="49" t="n">
        <v>52</v>
      </c>
      <c r="CO648" s="49" t="n">
        <v>74</v>
      </c>
      <c r="CP648" s="25" t="n">
        <f aca="false">BX648+BW648+BV648+BU648+BT648+BQ648+BN648</f>
        <v>568</v>
      </c>
      <c r="CQ648" s="25" t="n">
        <f aca="false">CO648+CL648+CI648+CH648+CG648+CD648+CA648</f>
        <v>508</v>
      </c>
      <c r="CR648" s="26" t="n">
        <f aca="false">CP648/7</f>
        <v>81.1428571428571</v>
      </c>
      <c r="CS648" s="26" t="n">
        <f aca="false">CQ648/7</f>
        <v>72.5714285714286</v>
      </c>
      <c r="CT648" s="24" t="n">
        <f aca="false">RANK(CR648,$CR$2:$CR$881,0)</f>
        <v>564</v>
      </c>
      <c r="CU648" s="25" t="n">
        <f aca="false">RANK(CS648,$CS$2:$CS$881,0)</f>
        <v>492</v>
      </c>
      <c r="CV648" s="26" t="n">
        <f aca="false">(CS648+CR648)/2</f>
        <v>76.8571428571429</v>
      </c>
      <c r="CW648" s="25" t="n">
        <f aca="false">RANK(CV648,$CV$2:$CV$881,0)</f>
        <v>519</v>
      </c>
      <c r="CX648" s="50" t="n">
        <f aca="false">(CV648+BB648)/2</f>
        <v>69.4285714285714</v>
      </c>
      <c r="CY648" s="50" t="n">
        <v>617</v>
      </c>
      <c r="CZ648" s="27" t="s">
        <v>132</v>
      </c>
      <c r="DA648" s="27" t="s">
        <v>205</v>
      </c>
      <c r="DB648" s="27" t="s">
        <v>205</v>
      </c>
      <c r="DC648" s="27" t="s">
        <v>134</v>
      </c>
      <c r="DD648" s="27" t="s">
        <v>182</v>
      </c>
      <c r="DE648" s="27" t="s">
        <v>313</v>
      </c>
      <c r="DF648" s="27" t="s">
        <v>443</v>
      </c>
      <c r="DG648" s="27" t="s">
        <v>134</v>
      </c>
      <c r="DH648" s="27" t="s">
        <v>146</v>
      </c>
      <c r="DI648" s="27" t="s">
        <v>304</v>
      </c>
      <c r="DJ648" s="27" t="s">
        <v>209</v>
      </c>
      <c r="DK648" s="27" t="s">
        <v>134</v>
      </c>
      <c r="DL648" s="27" t="s">
        <v>182</v>
      </c>
      <c r="DM648" s="27" t="s">
        <v>638</v>
      </c>
      <c r="DN648" s="27" t="s">
        <v>138</v>
      </c>
      <c r="DO648" s="27" t="s">
        <v>134</v>
      </c>
      <c r="DP648" s="27"/>
      <c r="DQ648" s="27"/>
      <c r="DR648" s="27"/>
      <c r="DS648" s="27"/>
      <c r="DT648" s="27" t="s">
        <v>164</v>
      </c>
      <c r="DU648" s="27" t="s">
        <v>989</v>
      </c>
      <c r="DV648" s="27" t="s">
        <v>138</v>
      </c>
      <c r="DW648" s="27" t="s">
        <v>137</v>
      </c>
      <c r="DX648" s="27" t="s">
        <v>152</v>
      </c>
      <c r="DY648" s="27" t="s">
        <v>153</v>
      </c>
      <c r="DZ648" s="27" t="n">
        <f aca="false">DY648+DV648+DR648+DN648+DJ648+DF648+DB648</f>
        <v>470</v>
      </c>
      <c r="EA648" s="28" t="n">
        <f aca="false">DZ648/7</f>
        <v>67.1428571428571</v>
      </c>
      <c r="EB648" s="27" t="n">
        <f aca="false">RANK(EA648,$EA$2:$EA$881,0)</f>
        <v>704</v>
      </c>
      <c r="EC648" s="29" t="n">
        <f aca="false">DZ648+CQ648+CP648+AZ648</f>
        <v>2166</v>
      </c>
      <c r="ED648" s="30" t="n">
        <f aca="false">(EA648+CV648+BB648)/3</f>
        <v>68.6666666666667</v>
      </c>
      <c r="EE648" s="51" t="n">
        <f aca="false">ROUND(BE648,3)</f>
        <v>71.907</v>
      </c>
      <c r="EF648" s="51" t="n">
        <f aca="false">ROUND(CR648,3)</f>
        <v>81.143</v>
      </c>
      <c r="EG648" s="51" t="n">
        <f aca="false">ROUND(CS648,3)</f>
        <v>72.571</v>
      </c>
      <c r="EH648" s="51" t="n">
        <f aca="false">ROUND(EA648,3)</f>
        <v>67.143</v>
      </c>
      <c r="EI648" s="51" t="n">
        <f aca="false">ROUND(ED648,3)</f>
        <v>68.667</v>
      </c>
      <c r="EJ648" s="51" t="n">
        <f aca="false">ROUND(CV648,3)</f>
        <v>76.857</v>
      </c>
      <c r="EK648" s="0" t="n">
        <f aca="false">RANK(EI648,$EI$2:$EI$881,0)</f>
        <v>647</v>
      </c>
    </row>
    <row r="649" customFormat="false" ht="15" hidden="false" customHeight="false" outlineLevel="0" collapsed="false">
      <c r="A649" s="4" t="n">
        <v>8841</v>
      </c>
      <c r="B649" s="4" t="n">
        <v>767</v>
      </c>
      <c r="C649" s="27" t="s">
        <v>1890</v>
      </c>
      <c r="D649" s="31" t="n">
        <v>785</v>
      </c>
      <c r="E649" s="62" t="n">
        <v>230322584</v>
      </c>
      <c r="F649" s="8" t="s">
        <v>1891</v>
      </c>
      <c r="G649" s="63" t="s">
        <v>1181</v>
      </c>
      <c r="H649" s="22" t="s">
        <v>129</v>
      </c>
      <c r="I649" s="64" t="n">
        <v>2005</v>
      </c>
      <c r="J649" s="62" t="n">
        <v>84</v>
      </c>
      <c r="K649" s="62" t="n">
        <v>86</v>
      </c>
      <c r="L649" s="34" t="n">
        <f aca="false">(K649*70)/100</f>
        <v>60.2</v>
      </c>
      <c r="M649" s="34" t="n">
        <f aca="false">ROUNDUP(L649,0)</f>
        <v>61</v>
      </c>
      <c r="N649" s="62" t="n">
        <v>26</v>
      </c>
      <c r="O649" s="34" t="n">
        <f aca="false">N649+L649</f>
        <v>86.2</v>
      </c>
      <c r="P649" s="34" t="n">
        <f aca="false">N649+M649</f>
        <v>87</v>
      </c>
      <c r="Q649" s="62" t="n">
        <v>88</v>
      </c>
      <c r="R649" s="62" t="n">
        <v>85</v>
      </c>
      <c r="S649" s="34" t="n">
        <f aca="false">(R649*70)/100</f>
        <v>59.5</v>
      </c>
      <c r="T649" s="34" t="n">
        <f aca="false">ROUNDUP(S649,0)</f>
        <v>60</v>
      </c>
      <c r="U649" s="62" t="n">
        <v>25</v>
      </c>
      <c r="V649" s="34" t="n">
        <f aca="false">U649+S649</f>
        <v>84.5</v>
      </c>
      <c r="W649" s="34" t="n">
        <f aca="false">U649+T649</f>
        <v>85</v>
      </c>
      <c r="X649" s="62" t="n">
        <v>81</v>
      </c>
      <c r="Y649" s="34" t="n">
        <f aca="false">(X649*70)/100</f>
        <v>56.7</v>
      </c>
      <c r="Z649" s="34" t="n">
        <f aca="false">ROUNDUP(Y649,0)</f>
        <v>57</v>
      </c>
      <c r="AA649" s="62" t="n">
        <v>26</v>
      </c>
      <c r="AB649" s="34" t="n">
        <f aca="false">AA649+Y649</f>
        <v>82.7</v>
      </c>
      <c r="AC649" s="34" t="n">
        <f aca="false">AA649+Z649</f>
        <v>83</v>
      </c>
      <c r="AD649" s="32" t="n">
        <f aca="false">X649+R649+Q649+K649+J649</f>
        <v>424</v>
      </c>
      <c r="AE649" s="16" t="n">
        <f aca="false">AD649/5</f>
        <v>84.8</v>
      </c>
      <c r="AF649" s="65" t="n">
        <v>61</v>
      </c>
      <c r="AG649" s="65" t="n">
        <v>76</v>
      </c>
      <c r="AH649" s="65" t="n">
        <v>93</v>
      </c>
      <c r="AI649" s="65" t="n">
        <v>90</v>
      </c>
      <c r="AJ649" s="16" t="n">
        <f aca="false">(AI649*70)/100</f>
        <v>63</v>
      </c>
      <c r="AK649" s="35" t="n">
        <f aca="false">ROUNDUP(AJ649,0)</f>
        <v>63</v>
      </c>
      <c r="AL649" s="65" t="n">
        <v>25</v>
      </c>
      <c r="AM649" s="16" t="n">
        <f aca="false">AL649+AJ649</f>
        <v>88</v>
      </c>
      <c r="AN649" s="16" t="n">
        <f aca="false">AL649+AK649</f>
        <v>88</v>
      </c>
      <c r="AO649" s="65" t="n">
        <v>65</v>
      </c>
      <c r="AP649" s="36" t="n">
        <f aca="false">(AO649*70)/100</f>
        <v>45.5</v>
      </c>
      <c r="AQ649" s="37" t="n">
        <f aca="false">ROUNDUP(AP649,0)</f>
        <v>46</v>
      </c>
      <c r="AR649" s="65" t="n">
        <v>23</v>
      </c>
      <c r="AS649" s="16" t="n">
        <f aca="false">AR649+AP649</f>
        <v>68.5</v>
      </c>
      <c r="AT649" s="16" t="n">
        <f aca="false">AR649+AQ649</f>
        <v>69</v>
      </c>
      <c r="AU649" s="16" t="n">
        <f aca="false">AO649+AF649+AI649+AH649+AG649</f>
        <v>385</v>
      </c>
      <c r="AV649" s="16" t="n">
        <f aca="false">(AO649+AF649+AI649+AH649+AG649)/5</f>
        <v>77</v>
      </c>
      <c r="AW649" s="36" t="n">
        <f aca="false">(AO649+AF649+AI649+AH649+AG649+X649+R649+Q649+K649+J649)</f>
        <v>809</v>
      </c>
      <c r="AX649" s="16" t="n">
        <f aca="false">AW649/10</f>
        <v>80.9</v>
      </c>
      <c r="AY649" s="16" t="n">
        <f aca="false">AS649+AF649+AM649+AH649+AG649+AB649+V649+Q649+O649+J649</f>
        <v>811.9</v>
      </c>
      <c r="AZ649" s="16" t="n">
        <f aca="false">AT649+AF649+AN649+AH649+AG649+AC649+W649+Q649+P649+J649</f>
        <v>814</v>
      </c>
      <c r="BA649" s="16" t="n">
        <f aca="false">AY649/10</f>
        <v>81.19</v>
      </c>
      <c r="BB649" s="16" t="n">
        <f aca="false">AZ649/10</f>
        <v>81.4</v>
      </c>
      <c r="BC649" s="65" t="n">
        <v>2366</v>
      </c>
      <c r="BD649" s="16" t="n">
        <f aca="false">RANK(AX649,$AX$2:$AX$881,0)</f>
        <v>213</v>
      </c>
      <c r="BE649" s="54" t="n">
        <f aca="false">((BC649*100)/2400)*0.4+(AX649*0.6)</f>
        <v>87.9733333333333</v>
      </c>
      <c r="BF649" s="16" t="n">
        <f aca="false">RANK(BE649,$BE$2:$BE$881,0)</f>
        <v>205</v>
      </c>
      <c r="BG649" s="39" t="n">
        <f aca="false">RANK(BB649,$BB$2:$BB$881,0)</f>
        <v>252</v>
      </c>
      <c r="BH649" s="39" t="n">
        <f aca="false">RANK(BC649,$BC$2:$BC$881,0)</f>
        <v>319</v>
      </c>
      <c r="BI649" s="22" t="s">
        <v>130</v>
      </c>
      <c r="BJ649" s="22" t="s">
        <v>129</v>
      </c>
      <c r="BK649" s="40" t="s">
        <v>131</v>
      </c>
      <c r="BL649" s="41" t="n">
        <v>24</v>
      </c>
      <c r="BM649" s="41" t="n">
        <v>52</v>
      </c>
      <c r="BN649" s="41" t="n">
        <v>76</v>
      </c>
      <c r="BO649" s="42" t="n">
        <v>27</v>
      </c>
      <c r="BP649" s="61"/>
      <c r="BQ649" s="61"/>
      <c r="BR649" s="42" t="n">
        <v>24</v>
      </c>
      <c r="BS649" s="45" t="n">
        <v>55</v>
      </c>
      <c r="BT649" s="45" t="n">
        <v>79</v>
      </c>
      <c r="BU649" s="46" t="n">
        <v>100</v>
      </c>
      <c r="BV649" s="47" t="n">
        <v>94</v>
      </c>
      <c r="BW649" s="42" t="n">
        <v>92</v>
      </c>
      <c r="BX649" s="48" t="n">
        <v>94</v>
      </c>
      <c r="BY649" s="32" t="n">
        <v>23</v>
      </c>
      <c r="BZ649" s="32" t="n">
        <v>38</v>
      </c>
      <c r="CA649" s="32" t="n">
        <v>61</v>
      </c>
      <c r="CB649" s="32" t="n">
        <v>20</v>
      </c>
      <c r="CC649" s="32" t="n">
        <v>32</v>
      </c>
      <c r="CD649" s="69" t="n">
        <v>52</v>
      </c>
      <c r="CE649" s="32" t="n">
        <v>24</v>
      </c>
      <c r="CF649" s="32" t="n">
        <v>39</v>
      </c>
      <c r="CG649" s="32" t="n">
        <v>63</v>
      </c>
      <c r="CH649" s="32" t="n">
        <v>99</v>
      </c>
      <c r="CI649" s="32" t="n">
        <v>88</v>
      </c>
      <c r="CJ649" s="49" t="n">
        <v>24</v>
      </c>
      <c r="CK649" s="49" t="n">
        <v>38</v>
      </c>
      <c r="CL649" s="49" t="n">
        <v>62</v>
      </c>
      <c r="CM649" s="49" t="n">
        <v>22</v>
      </c>
      <c r="CN649" s="49" t="n">
        <v>50</v>
      </c>
      <c r="CO649" s="49" t="n">
        <v>72</v>
      </c>
      <c r="CP649" s="25" t="n">
        <f aca="false">BX649+BW649+BV649+BU649+BT649+BQ649+BN649</f>
        <v>535</v>
      </c>
      <c r="CQ649" s="25" t="n">
        <f aca="false">CO649+CL649+CI649+CH649+CG649+CD649+CA649</f>
        <v>497</v>
      </c>
      <c r="CR649" s="26" t="n">
        <f aca="false">CP649/7</f>
        <v>76.4285714285714</v>
      </c>
      <c r="CS649" s="26" t="n">
        <f aca="false">CQ649/7</f>
        <v>71</v>
      </c>
      <c r="CT649" s="24" t="n">
        <f aca="false">RANK(CR649,$CR$2:$CR$881,0)</f>
        <v>632</v>
      </c>
      <c r="CU649" s="25" t="n">
        <f aca="false">RANK(CS649,$CS$2:$CS$881,0)</f>
        <v>538</v>
      </c>
      <c r="CV649" s="26" t="n">
        <f aca="false">(CS649+CR649)/2</f>
        <v>73.7142857142857</v>
      </c>
      <c r="CW649" s="25" t="n">
        <f aca="false">RANK(CV649,$CV$2:$CV$881,0)</f>
        <v>588</v>
      </c>
      <c r="CX649" s="50" t="n">
        <f aca="false">(CV649+BB649)/2</f>
        <v>77.5571428571429</v>
      </c>
      <c r="CY649" s="50" t="n">
        <v>488</v>
      </c>
      <c r="CZ649" s="27" t="s">
        <v>132</v>
      </c>
      <c r="DA649" s="27" t="s">
        <v>443</v>
      </c>
      <c r="DB649" s="27" t="s">
        <v>443</v>
      </c>
      <c r="DC649" s="27" t="s">
        <v>134</v>
      </c>
      <c r="DD649" s="27" t="s">
        <v>195</v>
      </c>
      <c r="DE649" s="27" t="s">
        <v>220</v>
      </c>
      <c r="DF649" s="27" t="s">
        <v>382</v>
      </c>
      <c r="DG649" s="27" t="s">
        <v>134</v>
      </c>
      <c r="DH649" s="27"/>
      <c r="DI649" s="27"/>
      <c r="DJ649" s="27"/>
      <c r="DK649" s="27"/>
      <c r="DL649" s="27" t="s">
        <v>191</v>
      </c>
      <c r="DM649" s="27" t="s">
        <v>673</v>
      </c>
      <c r="DN649" s="27" t="s">
        <v>161</v>
      </c>
      <c r="DO649" s="27" t="s">
        <v>134</v>
      </c>
      <c r="DP649" s="27"/>
      <c r="DQ649" s="27"/>
      <c r="DR649" s="27"/>
      <c r="DS649" s="27"/>
      <c r="DT649" s="27" t="s">
        <v>174</v>
      </c>
      <c r="DU649" s="27" t="s">
        <v>906</v>
      </c>
      <c r="DV649" s="27" t="s">
        <v>177</v>
      </c>
      <c r="DW649" s="27" t="s">
        <v>706</v>
      </c>
      <c r="DX649" s="27" t="s">
        <v>141</v>
      </c>
      <c r="DY649" s="27" t="s">
        <v>205</v>
      </c>
      <c r="DZ649" s="27" t="n">
        <f aca="false">DY649+DV649+DR649+DN649+DJ649+DF649+DB649</f>
        <v>356</v>
      </c>
      <c r="EA649" s="28" t="n">
        <f aca="false">DZ649/7</f>
        <v>50.8571428571429</v>
      </c>
      <c r="EB649" s="27" t="n">
        <f aca="false">RANK(EA649,$EA$2:$EA$881,0)</f>
        <v>841</v>
      </c>
      <c r="EC649" s="29" t="n">
        <f aca="false">DZ649+CQ649+CP649+AZ649</f>
        <v>2202</v>
      </c>
      <c r="ED649" s="30" t="n">
        <f aca="false">(EA649+CV649+BB649)/3</f>
        <v>68.6571428571429</v>
      </c>
      <c r="EE649" s="51" t="n">
        <f aca="false">ROUND(BE649,3)</f>
        <v>87.973</v>
      </c>
      <c r="EF649" s="51" t="n">
        <f aca="false">ROUND(CR649,3)</f>
        <v>76.429</v>
      </c>
      <c r="EG649" s="51" t="n">
        <f aca="false">ROUND(CS649,3)</f>
        <v>71</v>
      </c>
      <c r="EH649" s="51" t="n">
        <f aca="false">ROUND(EA649,3)</f>
        <v>50.857</v>
      </c>
      <c r="EI649" s="51" t="n">
        <f aca="false">ROUND(ED649,3)</f>
        <v>68.657</v>
      </c>
      <c r="EJ649" s="51" t="n">
        <f aca="false">ROUND(CV649,3)</f>
        <v>73.714</v>
      </c>
      <c r="EK649" s="0" t="n">
        <f aca="false">RANK(EI649,$EI$2:$EI$881,0)</f>
        <v>648</v>
      </c>
    </row>
    <row r="650" customFormat="false" ht="15" hidden="false" customHeight="false" outlineLevel="0" collapsed="false">
      <c r="A650" s="4" t="n">
        <v>8581</v>
      </c>
      <c r="B650" s="4" t="n">
        <v>344</v>
      </c>
      <c r="C650" s="27" t="s">
        <v>1892</v>
      </c>
      <c r="D650" s="52" t="n">
        <v>346</v>
      </c>
      <c r="E650" s="109" t="n">
        <v>230317165</v>
      </c>
      <c r="F650" s="110" t="s">
        <v>1893</v>
      </c>
      <c r="G650" s="109" t="s">
        <v>1894</v>
      </c>
      <c r="H650" s="109" t="s">
        <v>129</v>
      </c>
      <c r="I650" s="19" t="n">
        <v>2004</v>
      </c>
      <c r="J650" s="128" t="n">
        <v>55</v>
      </c>
      <c r="K650" s="111" t="n">
        <v>54</v>
      </c>
      <c r="L650" s="112" t="n">
        <f aca="false">(K650*70)/100</f>
        <v>37.8</v>
      </c>
      <c r="M650" s="112" t="n">
        <f aca="false">ROUNDUP(L650,0)</f>
        <v>38</v>
      </c>
      <c r="N650" s="111" t="n">
        <v>28</v>
      </c>
      <c r="O650" s="112" t="n">
        <f aca="false">N650+L650</f>
        <v>65.8</v>
      </c>
      <c r="P650" s="112" t="n">
        <f aca="false">N650+M650</f>
        <v>66</v>
      </c>
      <c r="Q650" s="111" t="n">
        <v>85</v>
      </c>
      <c r="R650" s="111" t="n">
        <v>60</v>
      </c>
      <c r="S650" s="112" t="n">
        <f aca="false">(R650*70)/100</f>
        <v>42</v>
      </c>
      <c r="T650" s="112" t="n">
        <f aca="false">ROUNDUP(S650,0)</f>
        <v>42</v>
      </c>
      <c r="U650" s="111" t="n">
        <v>21</v>
      </c>
      <c r="V650" s="112" t="n">
        <f aca="false">U650+S650</f>
        <v>63</v>
      </c>
      <c r="W650" s="112" t="n">
        <f aca="false">U650+T650</f>
        <v>63</v>
      </c>
      <c r="X650" s="111" t="n">
        <v>69</v>
      </c>
      <c r="Y650" s="112" t="n">
        <f aca="false">(X650*70)/100</f>
        <v>48.3</v>
      </c>
      <c r="Z650" s="112" t="n">
        <f aca="false">ROUNDUP(Y650,0)</f>
        <v>49</v>
      </c>
      <c r="AA650" s="111" t="n">
        <v>26</v>
      </c>
      <c r="AB650" s="112" t="n">
        <f aca="false">AA650+Y650</f>
        <v>74.3</v>
      </c>
      <c r="AC650" s="112" t="n">
        <f aca="false">AA650+Z650</f>
        <v>75</v>
      </c>
      <c r="AD650" s="111" t="n">
        <f aca="false">X650+R650+Q650+K650+J650</f>
        <v>323</v>
      </c>
      <c r="AE650" s="114" t="n">
        <v>64.6</v>
      </c>
      <c r="AF650" s="19" t="n">
        <v>40</v>
      </c>
      <c r="AG650" s="19" t="n">
        <v>62</v>
      </c>
      <c r="AH650" s="19" t="n">
        <v>72</v>
      </c>
      <c r="AI650" s="19" t="n">
        <v>76</v>
      </c>
      <c r="AJ650" s="19" t="n">
        <f aca="false">(AI650*70)/100</f>
        <v>53.2</v>
      </c>
      <c r="AK650" s="115" t="n">
        <f aca="false">ROUNDUP(AJ650,0)</f>
        <v>54</v>
      </c>
      <c r="AL650" s="19" t="n">
        <v>26</v>
      </c>
      <c r="AM650" s="19" t="n">
        <f aca="false">AL650+AJ650</f>
        <v>79.2</v>
      </c>
      <c r="AN650" s="19" t="n">
        <f aca="false">AL650+AK650</f>
        <v>80</v>
      </c>
      <c r="AO650" s="19" t="n">
        <v>36</v>
      </c>
      <c r="AP650" s="116" t="n">
        <f aca="false">(AO650*70)/100</f>
        <v>25.2</v>
      </c>
      <c r="AQ650" s="117" t="n">
        <f aca="false">ROUNDUP(AP650,0)</f>
        <v>26</v>
      </c>
      <c r="AR650" s="19" t="n">
        <v>29</v>
      </c>
      <c r="AS650" s="19" t="n">
        <f aca="false">AR650+AP650</f>
        <v>54.2</v>
      </c>
      <c r="AT650" s="19" t="n">
        <f aca="false">AR650+AQ650</f>
        <v>55</v>
      </c>
      <c r="AU650" s="19" t="n">
        <f aca="false">AO650+AF650+AI650+AH650+AG650</f>
        <v>286</v>
      </c>
      <c r="AV650" s="19" t="n">
        <f aca="false">(AO650+AF650+AI650+AH650+AG650)/5</f>
        <v>57.2</v>
      </c>
      <c r="AW650" s="116" t="n">
        <f aca="false">(AO650+AF650+AI650+AH650+AG650+X650+R650+Q650+K650+J650)</f>
        <v>609</v>
      </c>
      <c r="AX650" s="16" t="n">
        <f aca="false">AW650/10</f>
        <v>60.9</v>
      </c>
      <c r="AY650" s="16" t="n">
        <f aca="false">AS650+AF650+AM650+AH650+AG650+AB650+V650+Q650+O650+J650</f>
        <v>650.5</v>
      </c>
      <c r="AZ650" s="16" t="n">
        <f aca="false">AT650+AF650+AN650+AH650+AG650+AC650+W650+Q650+P650+J650</f>
        <v>653</v>
      </c>
      <c r="BA650" s="16" t="n">
        <f aca="false">AY650/10</f>
        <v>65.05</v>
      </c>
      <c r="BB650" s="16" t="n">
        <f aca="false">AZ650/10</f>
        <v>65.3</v>
      </c>
      <c r="BC650" s="16" t="n">
        <v>2157</v>
      </c>
      <c r="BD650" s="16" t="n">
        <f aca="false">RANK(AX650,$AX$2:$AX$881,0)</f>
        <v>796</v>
      </c>
      <c r="BE650" s="123" t="n">
        <f aca="false">((BC650*100)/2400)*0.4+(AX650*0.6)</f>
        <v>72.49</v>
      </c>
      <c r="BF650" s="16" t="n">
        <f aca="false">RANK(BE650,$BE$2:$BE$881,0)</f>
        <v>781</v>
      </c>
      <c r="BG650" s="39" t="n">
        <f aca="false">RANK(BB650,$BB$2:$BB$881,0)</f>
        <v>783</v>
      </c>
      <c r="BH650" s="39" t="n">
        <f aca="false">RANK(BC650,$BC$2:$BC$881,0)</f>
        <v>772</v>
      </c>
      <c r="BI650" s="19" t="s">
        <v>130</v>
      </c>
      <c r="BJ650" s="19" t="s">
        <v>129</v>
      </c>
      <c r="BK650" s="109" t="s">
        <v>1596</v>
      </c>
      <c r="BL650" s="41" t="n">
        <v>22</v>
      </c>
      <c r="BM650" s="41" t="n">
        <v>53</v>
      </c>
      <c r="BN650" s="41" t="n">
        <v>75</v>
      </c>
      <c r="BO650" s="42" t="n">
        <v>23</v>
      </c>
      <c r="BP650" s="43" t="n">
        <v>50</v>
      </c>
      <c r="BQ650" s="44" t="n">
        <v>73</v>
      </c>
      <c r="BR650" s="42" t="n">
        <v>26</v>
      </c>
      <c r="BS650" s="45" t="n">
        <v>55</v>
      </c>
      <c r="BT650" s="45" t="n">
        <v>81</v>
      </c>
      <c r="BU650" s="46" t="n">
        <v>95</v>
      </c>
      <c r="BV650" s="79" t="n">
        <v>58</v>
      </c>
      <c r="BW650" s="42" t="n">
        <v>89</v>
      </c>
      <c r="BX650" s="48" t="n">
        <v>92</v>
      </c>
      <c r="BY650" s="32" t="n">
        <v>24</v>
      </c>
      <c r="BZ650" s="32" t="n">
        <v>52</v>
      </c>
      <c r="CA650" s="32" t="n">
        <v>76</v>
      </c>
      <c r="CB650" s="32" t="n">
        <v>20</v>
      </c>
      <c r="CC650" s="32" t="n">
        <v>40</v>
      </c>
      <c r="CD650" s="32" t="n">
        <v>60</v>
      </c>
      <c r="CE650" s="32" t="n">
        <v>25</v>
      </c>
      <c r="CF650" s="32" t="n">
        <v>62</v>
      </c>
      <c r="CG650" s="32" t="n">
        <v>87</v>
      </c>
      <c r="CH650" s="32" t="n">
        <v>90</v>
      </c>
      <c r="CI650" s="32" t="n">
        <v>75</v>
      </c>
      <c r="CJ650" s="49" t="n">
        <v>18</v>
      </c>
      <c r="CK650" s="49" t="n">
        <v>48</v>
      </c>
      <c r="CL650" s="49" t="n">
        <v>66</v>
      </c>
      <c r="CM650" s="49" t="n">
        <v>16</v>
      </c>
      <c r="CN650" s="60"/>
      <c r="CO650" s="60"/>
      <c r="CP650" s="25" t="n">
        <f aca="false">BX650+BW650+BV650+BU650+BT650+BQ650+BN650</f>
        <v>563</v>
      </c>
      <c r="CQ650" s="25" t="n">
        <f aca="false">CO650+CL650+CI650+CH650+CG650+CD650+CA650</f>
        <v>454</v>
      </c>
      <c r="CR650" s="26" t="n">
        <f aca="false">CP650/7</f>
        <v>80.4285714285714</v>
      </c>
      <c r="CS650" s="26" t="n">
        <f aca="false">CQ650/7</f>
        <v>64.8571428571429</v>
      </c>
      <c r="CT650" s="24" t="n">
        <f aca="false">RANK(CR650,$CR$2:$CR$881,0)</f>
        <v>579</v>
      </c>
      <c r="CU650" s="25" t="n">
        <f aca="false">RANK(CS650,$CS$2:$CS$881,0)</f>
        <v>627</v>
      </c>
      <c r="CV650" s="26" t="n">
        <f aca="false">(CS650+CR650)/2</f>
        <v>72.6428571428571</v>
      </c>
      <c r="CW650" s="25" t="n">
        <f aca="false">RANK(CV650,$CV$2:$CV$881,0)</f>
        <v>608</v>
      </c>
      <c r="CX650" s="50" t="n">
        <f aca="false">(CV650+BB650)/2</f>
        <v>68.9714285714286</v>
      </c>
      <c r="CY650" s="50" t="n">
        <v>620</v>
      </c>
      <c r="CZ650" s="27" t="s">
        <v>132</v>
      </c>
      <c r="DA650" s="27" t="s">
        <v>305</v>
      </c>
      <c r="DB650" s="27" t="s">
        <v>305</v>
      </c>
      <c r="DC650" s="27" t="s">
        <v>134</v>
      </c>
      <c r="DD650" s="27" t="s">
        <v>140</v>
      </c>
      <c r="DE650" s="27" t="s">
        <v>183</v>
      </c>
      <c r="DF650" s="27" t="s">
        <v>178</v>
      </c>
      <c r="DG650" s="27" t="s">
        <v>134</v>
      </c>
      <c r="DH650" s="27" t="s">
        <v>135</v>
      </c>
      <c r="DI650" s="27" t="s">
        <v>183</v>
      </c>
      <c r="DJ650" s="27" t="s">
        <v>169</v>
      </c>
      <c r="DK650" s="27" t="s">
        <v>134</v>
      </c>
      <c r="DL650" s="27" t="s">
        <v>174</v>
      </c>
      <c r="DM650" s="27" t="s">
        <v>447</v>
      </c>
      <c r="DN650" s="27" t="s">
        <v>441</v>
      </c>
      <c r="DO650" s="27" t="s">
        <v>134</v>
      </c>
      <c r="DP650" s="27"/>
      <c r="DQ650" s="27"/>
      <c r="DR650" s="27"/>
      <c r="DS650" s="27"/>
      <c r="DT650" s="27" t="s">
        <v>135</v>
      </c>
      <c r="DU650" s="27" t="s">
        <v>1064</v>
      </c>
      <c r="DV650" s="27" t="s">
        <v>161</v>
      </c>
      <c r="DW650" s="27" t="s">
        <v>137</v>
      </c>
      <c r="DX650" s="27" t="s">
        <v>163</v>
      </c>
      <c r="DY650" s="27" t="s">
        <v>170</v>
      </c>
      <c r="DZ650" s="27" t="n">
        <f aca="false">DY650+DV650+DR650+DN650+DJ650+DF650+DB650</f>
        <v>475</v>
      </c>
      <c r="EA650" s="28" t="n">
        <f aca="false">DZ650/7</f>
        <v>67.8571428571429</v>
      </c>
      <c r="EB650" s="27" t="n">
        <f aca="false">RANK(EA650,$EA$2:$EA$881,0)</f>
        <v>693</v>
      </c>
      <c r="EC650" s="29" t="n">
        <f aca="false">DZ650+CQ650+CP650+AZ650</f>
        <v>2145</v>
      </c>
      <c r="ED650" s="30" t="n">
        <f aca="false">(EA650+CV650+BB650)/3</f>
        <v>68.6</v>
      </c>
      <c r="EE650" s="51" t="n">
        <f aca="false">ROUND(BE650,3)</f>
        <v>72.49</v>
      </c>
      <c r="EF650" s="51" t="n">
        <f aca="false">ROUND(CR650,3)</f>
        <v>80.429</v>
      </c>
      <c r="EG650" s="51" t="n">
        <f aca="false">ROUND(CS650,3)</f>
        <v>64.857</v>
      </c>
      <c r="EH650" s="51" t="n">
        <f aca="false">ROUND(EA650,3)</f>
        <v>67.857</v>
      </c>
      <c r="EI650" s="51" t="n">
        <f aca="false">ROUND(ED650,3)</f>
        <v>68.6</v>
      </c>
      <c r="EJ650" s="51" t="n">
        <f aca="false">ROUND(CV650,3)</f>
        <v>72.643</v>
      </c>
      <c r="EK650" s="0" t="n">
        <f aca="false">RANK(EI650,$EI$2:$EI$881,0)</f>
        <v>649</v>
      </c>
    </row>
    <row r="651" customFormat="false" ht="15" hidden="false" customHeight="false" outlineLevel="0" collapsed="false">
      <c r="A651" s="4" t="n">
        <v>9025</v>
      </c>
      <c r="B651" s="4" t="n">
        <v>672</v>
      </c>
      <c r="C651" s="27" t="s">
        <v>1895</v>
      </c>
      <c r="D651" s="31" t="n">
        <v>686</v>
      </c>
      <c r="E651" s="32" t="n">
        <v>230311712</v>
      </c>
      <c r="F651" s="8" t="s">
        <v>1896</v>
      </c>
      <c r="G651" s="22" t="s">
        <v>900</v>
      </c>
      <c r="H651" s="22" t="s">
        <v>129</v>
      </c>
      <c r="I651" s="33" t="n">
        <v>2005</v>
      </c>
      <c r="J651" s="32" t="n">
        <v>85</v>
      </c>
      <c r="K651" s="32" t="n">
        <v>73</v>
      </c>
      <c r="L651" s="34" t="n">
        <f aca="false">(K651*70)/100</f>
        <v>51.1</v>
      </c>
      <c r="M651" s="34" t="n">
        <f aca="false">ROUNDUP(L651,0)</f>
        <v>52</v>
      </c>
      <c r="N651" s="32" t="n">
        <v>21</v>
      </c>
      <c r="O651" s="34" t="n">
        <f aca="false">N651+L651</f>
        <v>72.1</v>
      </c>
      <c r="P651" s="34" t="n">
        <f aca="false">N651+M651</f>
        <v>73</v>
      </c>
      <c r="Q651" s="32" t="n">
        <v>72</v>
      </c>
      <c r="R651" s="32" t="n">
        <v>68</v>
      </c>
      <c r="S651" s="34" t="n">
        <f aca="false">(R651*70)/100</f>
        <v>47.6</v>
      </c>
      <c r="T651" s="34" t="n">
        <f aca="false">ROUNDUP(S651,0)</f>
        <v>48</v>
      </c>
      <c r="U651" s="32" t="n">
        <v>19</v>
      </c>
      <c r="V651" s="34" t="n">
        <f aca="false">U651+S651</f>
        <v>66.6</v>
      </c>
      <c r="W651" s="34" t="n">
        <f aca="false">U651+T651</f>
        <v>67</v>
      </c>
      <c r="X651" s="32" t="n">
        <v>63</v>
      </c>
      <c r="Y651" s="34" t="n">
        <f aca="false">(X651*70)/100</f>
        <v>44.1</v>
      </c>
      <c r="Z651" s="34" t="n">
        <f aca="false">ROUNDUP(Y651,0)</f>
        <v>45</v>
      </c>
      <c r="AA651" s="32" t="n">
        <v>26</v>
      </c>
      <c r="AB651" s="34" t="n">
        <f aca="false">AA651+Y651</f>
        <v>70.1</v>
      </c>
      <c r="AC651" s="34" t="n">
        <f aca="false">AA651+Z651</f>
        <v>71</v>
      </c>
      <c r="AD651" s="32" t="n">
        <f aca="false">X651+R651+Q651+K651+J651</f>
        <v>361</v>
      </c>
      <c r="AE651" s="16" t="n">
        <f aca="false">AD651/5</f>
        <v>72.2</v>
      </c>
      <c r="AF651" s="16" t="n">
        <v>61</v>
      </c>
      <c r="AG651" s="16" t="n">
        <v>82</v>
      </c>
      <c r="AH651" s="16" t="n">
        <v>78</v>
      </c>
      <c r="AI651" s="16" t="n">
        <v>68</v>
      </c>
      <c r="AJ651" s="16" t="n">
        <f aca="false">(AI651*70)/100</f>
        <v>47.6</v>
      </c>
      <c r="AK651" s="35" t="n">
        <f aca="false">ROUNDUP(AJ651,0)</f>
        <v>48</v>
      </c>
      <c r="AL651" s="16" t="n">
        <v>25</v>
      </c>
      <c r="AM651" s="16" t="n">
        <f aca="false">AL651+AJ651</f>
        <v>72.6</v>
      </c>
      <c r="AN651" s="16" t="n">
        <f aca="false">AL651+AK651</f>
        <v>73</v>
      </c>
      <c r="AO651" s="16" t="n">
        <v>63</v>
      </c>
      <c r="AP651" s="36" t="n">
        <f aca="false">(AO651*70)/100</f>
        <v>44.1</v>
      </c>
      <c r="AQ651" s="37" t="n">
        <f aca="false">ROUNDUP(AP651,0)</f>
        <v>45</v>
      </c>
      <c r="AR651" s="16" t="n">
        <v>21</v>
      </c>
      <c r="AS651" s="16" t="n">
        <f aca="false">AR651+AP651</f>
        <v>65.1</v>
      </c>
      <c r="AT651" s="16" t="n">
        <f aca="false">AR651+AQ651</f>
        <v>66</v>
      </c>
      <c r="AU651" s="16" t="n">
        <f aca="false">AO651+AF651+AI651+AH651+AG651</f>
        <v>352</v>
      </c>
      <c r="AV651" s="16" t="n">
        <f aca="false">(AO651+AF651+AI651+AH651+AG651)/5</f>
        <v>70.4</v>
      </c>
      <c r="AW651" s="36" t="n">
        <f aca="false">(AO651+AF651+AI651+AH651+AG651+X651+R651+Q651+K651+J651)</f>
        <v>713</v>
      </c>
      <c r="AX651" s="16" t="n">
        <f aca="false">AW651/10</f>
        <v>71.3</v>
      </c>
      <c r="AY651" s="16" t="n">
        <f aca="false">AS651+AF651+AM651+AH651+AG651+AB651+V651+Q651+O651+J651</f>
        <v>724.5</v>
      </c>
      <c r="AZ651" s="16" t="n">
        <f aca="false">AT651+AF651+AN651+AH651+AG651+AC651+W651+Q651+P651+J651</f>
        <v>728</v>
      </c>
      <c r="BA651" s="16" t="n">
        <f aca="false">AY651/10</f>
        <v>72.45</v>
      </c>
      <c r="BB651" s="16" t="n">
        <f aca="false">AZ651/10</f>
        <v>72.8</v>
      </c>
      <c r="BC651" s="16" t="n">
        <v>2358</v>
      </c>
      <c r="BD651" s="16" t="n">
        <f aca="false">RANK(AX651,$AX$2:$AX$881,0)</f>
        <v>724</v>
      </c>
      <c r="BE651" s="73" t="n">
        <f aca="false">((BC651*100)/2400)*0.4+(AX651*0.6)</f>
        <v>82.08</v>
      </c>
      <c r="BF651" s="16" t="n">
        <f aca="false">RANK(BE651,$BE$2:$BE$881,0)</f>
        <v>712</v>
      </c>
      <c r="BG651" s="39" t="n">
        <f aca="false">RANK(BB651,$BB$2:$BB$881,0)</f>
        <v>721</v>
      </c>
      <c r="BH651" s="39" t="n">
        <f aca="false">RANK(BC651,$BC$2:$BC$881,0)</f>
        <v>429</v>
      </c>
      <c r="BI651" s="22" t="s">
        <v>130</v>
      </c>
      <c r="BJ651" s="22" t="s">
        <v>129</v>
      </c>
      <c r="BK651" s="40" t="s">
        <v>702</v>
      </c>
      <c r="BL651" s="41" t="n">
        <v>15</v>
      </c>
      <c r="BM651" s="41" t="n">
        <v>33</v>
      </c>
      <c r="BN651" s="98" t="n">
        <v>48</v>
      </c>
      <c r="BO651" s="42" t="n">
        <v>21</v>
      </c>
      <c r="BP651" s="43" t="n">
        <v>54</v>
      </c>
      <c r="BQ651" s="44" t="n">
        <v>75</v>
      </c>
      <c r="BR651" s="42" t="n">
        <v>23</v>
      </c>
      <c r="BS651" s="45" t="n">
        <v>41</v>
      </c>
      <c r="BT651" s="45" t="n">
        <v>64</v>
      </c>
      <c r="BU651" s="46" t="n">
        <v>99</v>
      </c>
      <c r="BV651" s="47" t="n">
        <v>84</v>
      </c>
      <c r="BW651" s="42" t="n">
        <v>100</v>
      </c>
      <c r="BX651" s="48" t="n">
        <v>88</v>
      </c>
      <c r="BY651" s="32" t="n">
        <v>23</v>
      </c>
      <c r="BZ651" s="32" t="n">
        <v>34</v>
      </c>
      <c r="CA651" s="69" t="n">
        <v>57</v>
      </c>
      <c r="CB651" s="32" t="n">
        <v>22</v>
      </c>
      <c r="CC651" s="32" t="n">
        <v>31</v>
      </c>
      <c r="CD651" s="69" t="n">
        <v>53</v>
      </c>
      <c r="CE651" s="32" t="n">
        <v>24</v>
      </c>
      <c r="CF651" s="32" t="n">
        <v>35</v>
      </c>
      <c r="CG651" s="69" t="n">
        <v>59</v>
      </c>
      <c r="CH651" s="32" t="n">
        <v>92</v>
      </c>
      <c r="CI651" s="32" t="n">
        <v>92</v>
      </c>
      <c r="CJ651" s="49" t="n">
        <v>14</v>
      </c>
      <c r="CK651" s="49" t="n">
        <v>33</v>
      </c>
      <c r="CL651" s="76" t="n">
        <v>47</v>
      </c>
      <c r="CM651" s="49" t="n">
        <v>19</v>
      </c>
      <c r="CN651" s="49" t="n">
        <v>31</v>
      </c>
      <c r="CO651" s="76" t="n">
        <v>50</v>
      </c>
      <c r="CP651" s="25" t="n">
        <f aca="false">BX651+BW651+BV651+BU651+BT651+BQ651+BN651</f>
        <v>558</v>
      </c>
      <c r="CQ651" s="25" t="n">
        <f aca="false">CO651+CL651+CI651+CH651+CG651+CD651+CA651</f>
        <v>450</v>
      </c>
      <c r="CR651" s="26" t="n">
        <f aca="false">CP651/7</f>
        <v>79.7142857142857</v>
      </c>
      <c r="CS651" s="26" t="n">
        <f aca="false">CQ651/7</f>
        <v>64.2857142857143</v>
      </c>
      <c r="CT651" s="24" t="n">
        <f aca="false">RANK(CR651,$CR$2:$CR$881,0)</f>
        <v>590</v>
      </c>
      <c r="CU651" s="25" t="n">
        <f aca="false">RANK(CS651,$CS$2:$CS$881,0)</f>
        <v>637</v>
      </c>
      <c r="CV651" s="26" t="n">
        <f aca="false">(CS651+CR651)/2</f>
        <v>72</v>
      </c>
      <c r="CW651" s="25" t="n">
        <f aca="false">RANK(CV651,$CV$2:$CV$881,0)</f>
        <v>613</v>
      </c>
      <c r="CX651" s="50" t="n">
        <f aca="false">(CV651+BB651)/2</f>
        <v>72.4</v>
      </c>
      <c r="CY651" s="50" t="n">
        <v>591</v>
      </c>
      <c r="CZ651" s="27" t="s">
        <v>132</v>
      </c>
      <c r="DA651" s="27" t="s">
        <v>169</v>
      </c>
      <c r="DB651" s="27" t="s">
        <v>169</v>
      </c>
      <c r="DC651" s="27" t="s">
        <v>134</v>
      </c>
      <c r="DD651" s="27" t="s">
        <v>154</v>
      </c>
      <c r="DE651" s="27" t="s">
        <v>306</v>
      </c>
      <c r="DF651" s="27" t="s">
        <v>305</v>
      </c>
      <c r="DG651" s="27" t="s">
        <v>134</v>
      </c>
      <c r="DH651" s="27" t="s">
        <v>264</v>
      </c>
      <c r="DI651" s="27" t="s">
        <v>638</v>
      </c>
      <c r="DJ651" s="27" t="s">
        <v>152</v>
      </c>
      <c r="DK651" s="27" t="s">
        <v>134</v>
      </c>
      <c r="DL651" s="27" t="s">
        <v>154</v>
      </c>
      <c r="DM651" s="27" t="s">
        <v>1407</v>
      </c>
      <c r="DN651" s="27" t="s">
        <v>136</v>
      </c>
      <c r="DO651" s="27" t="s">
        <v>134</v>
      </c>
      <c r="DP651" s="27"/>
      <c r="DQ651" s="27"/>
      <c r="DR651" s="27"/>
      <c r="DS651" s="27"/>
      <c r="DT651" s="27" t="s">
        <v>182</v>
      </c>
      <c r="DU651" s="27" t="s">
        <v>182</v>
      </c>
      <c r="DV651" s="27" t="s">
        <v>399</v>
      </c>
      <c r="DW651" s="27" t="s">
        <v>195</v>
      </c>
      <c r="DX651" s="27" t="s">
        <v>155</v>
      </c>
      <c r="DY651" s="27" t="s">
        <v>170</v>
      </c>
      <c r="DZ651" s="27" t="n">
        <f aca="false">DY651+DV651+DR651+DN651+DJ651+DF651+DB651</f>
        <v>427</v>
      </c>
      <c r="EA651" s="28" t="n">
        <f aca="false">DZ651/7</f>
        <v>61</v>
      </c>
      <c r="EB651" s="27" t="n">
        <f aca="false">RANK(EA651,$EA$2:$EA$881,0)</f>
        <v>774</v>
      </c>
      <c r="EC651" s="29" t="n">
        <f aca="false">DZ651+CQ651+CP651+AZ651</f>
        <v>2163</v>
      </c>
      <c r="ED651" s="30" t="n">
        <f aca="false">(EA651+CV651+BB651)/3</f>
        <v>68.6</v>
      </c>
      <c r="EE651" s="51" t="n">
        <f aca="false">ROUND(BE651,3)</f>
        <v>82.08</v>
      </c>
      <c r="EF651" s="51" t="n">
        <f aca="false">ROUND(CR651,3)</f>
        <v>79.714</v>
      </c>
      <c r="EG651" s="51" t="n">
        <f aca="false">ROUND(CS651,3)</f>
        <v>64.286</v>
      </c>
      <c r="EH651" s="51" t="n">
        <f aca="false">ROUND(EA651,3)</f>
        <v>61</v>
      </c>
      <c r="EI651" s="51" t="n">
        <f aca="false">ROUND(ED651,3)</f>
        <v>68.6</v>
      </c>
      <c r="EJ651" s="51" t="n">
        <f aca="false">ROUND(CV651,3)</f>
        <v>72</v>
      </c>
      <c r="EK651" s="0" t="n">
        <f aca="false">RANK(EI651,$EI$2:$EI$881,0)</f>
        <v>649</v>
      </c>
    </row>
    <row r="652" customFormat="false" ht="15" hidden="false" customHeight="false" outlineLevel="0" collapsed="false">
      <c r="A652" s="4" t="n">
        <v>8633</v>
      </c>
      <c r="B652" s="4" t="n">
        <v>601</v>
      </c>
      <c r="C652" s="27" t="s">
        <v>1897</v>
      </c>
      <c r="D652" s="31" t="n">
        <v>608</v>
      </c>
      <c r="E652" s="16" t="n">
        <v>230512201</v>
      </c>
      <c r="F652" s="56" t="s">
        <v>1898</v>
      </c>
      <c r="G652" s="22" t="s">
        <v>1268</v>
      </c>
      <c r="H652" s="22" t="s">
        <v>465</v>
      </c>
      <c r="I652" s="57"/>
      <c r="J652" s="16" t="n">
        <v>66</v>
      </c>
      <c r="K652" s="16" t="n">
        <v>84</v>
      </c>
      <c r="L652" s="34" t="n">
        <f aca="false">(K652*70)/100</f>
        <v>58.8</v>
      </c>
      <c r="M652" s="34" t="n">
        <f aca="false">ROUNDUP(L652,0)</f>
        <v>59</v>
      </c>
      <c r="N652" s="16" t="n">
        <v>26</v>
      </c>
      <c r="O652" s="34" t="n">
        <f aca="false">N652+L652</f>
        <v>84.8</v>
      </c>
      <c r="P652" s="34" t="n">
        <f aca="false">N652+M652</f>
        <v>85</v>
      </c>
      <c r="Q652" s="16" t="n">
        <v>83</v>
      </c>
      <c r="R652" s="16" t="n">
        <v>81</v>
      </c>
      <c r="S652" s="34" t="n">
        <f aca="false">(R652*70)/100</f>
        <v>56.7</v>
      </c>
      <c r="T652" s="34" t="n">
        <f aca="false">ROUNDUP(S652,0)</f>
        <v>57</v>
      </c>
      <c r="U652" s="16" t="n">
        <v>27</v>
      </c>
      <c r="V652" s="34" t="n">
        <f aca="false">U652+S652</f>
        <v>83.7</v>
      </c>
      <c r="W652" s="34" t="n">
        <f aca="false">U652+T652</f>
        <v>84</v>
      </c>
      <c r="X652" s="16" t="n">
        <v>69</v>
      </c>
      <c r="Y652" s="34" t="n">
        <f aca="false">(X652*70)/100</f>
        <v>48.3</v>
      </c>
      <c r="Z652" s="34" t="n">
        <f aca="false">ROUNDUP(Y652,0)</f>
        <v>49</v>
      </c>
      <c r="AA652" s="16" t="n">
        <v>28</v>
      </c>
      <c r="AB652" s="34" t="n">
        <f aca="false">AA652+Y652</f>
        <v>76.3</v>
      </c>
      <c r="AC652" s="34" t="n">
        <f aca="false">AA652+Z652</f>
        <v>77</v>
      </c>
      <c r="AD652" s="32" t="n">
        <f aca="false">X652+R652+Q652+K652+J652</f>
        <v>383</v>
      </c>
      <c r="AE652" s="16" t="n">
        <f aca="false">AD652/5</f>
        <v>76.6</v>
      </c>
      <c r="AF652" s="16" t="n">
        <v>69</v>
      </c>
      <c r="AG652" s="16" t="n">
        <v>82</v>
      </c>
      <c r="AH652" s="16" t="n">
        <v>95</v>
      </c>
      <c r="AI652" s="16" t="n">
        <v>95</v>
      </c>
      <c r="AJ652" s="16" t="n">
        <f aca="false">(AI652*70)/100</f>
        <v>66.5</v>
      </c>
      <c r="AK652" s="35" t="n">
        <f aca="false">ROUNDUP(AJ652,0)</f>
        <v>67</v>
      </c>
      <c r="AL652" s="16" t="n">
        <v>30</v>
      </c>
      <c r="AM652" s="16" t="n">
        <f aca="false">AL652+AJ652</f>
        <v>96.5</v>
      </c>
      <c r="AN652" s="16" t="n">
        <f aca="false">AL652+AK652</f>
        <v>97</v>
      </c>
      <c r="AO652" s="16" t="n">
        <v>76</v>
      </c>
      <c r="AP652" s="36" t="n">
        <f aca="false">(AO652*70)/100</f>
        <v>53.2</v>
      </c>
      <c r="AQ652" s="37" t="n">
        <f aca="false">ROUNDUP(AP652,0)</f>
        <v>54</v>
      </c>
      <c r="AR652" s="16" t="n">
        <v>28</v>
      </c>
      <c r="AS652" s="16" t="n">
        <f aca="false">AR652+AP652</f>
        <v>81.2</v>
      </c>
      <c r="AT652" s="16" t="n">
        <f aca="false">AR652+AQ652</f>
        <v>82</v>
      </c>
      <c r="AU652" s="16" t="n">
        <f aca="false">AO652+AF652+AI652+AH652+AG652</f>
        <v>417</v>
      </c>
      <c r="AV652" s="16" t="n">
        <f aca="false">(AO652+AF652+AI652+AH652+AG652)/5</f>
        <v>83.4</v>
      </c>
      <c r="AW652" s="36" t="n">
        <f aca="false">(AO652+AF652+AI652+AH652+AG652+X652+R652+Q652+K652+J652)</f>
        <v>800</v>
      </c>
      <c r="AX652" s="16" t="n">
        <f aca="false">AW652/10</f>
        <v>80</v>
      </c>
      <c r="AY652" s="16" t="n">
        <f aca="false">AS652+AF652+AM652+AH652+AG652+AB652+V652+Q652+O652+J652</f>
        <v>817.5</v>
      </c>
      <c r="AZ652" s="16" t="n">
        <f aca="false">AT652+AF652+AN652+AH652+AG652+AC652+W652+Q652+P652+J652</f>
        <v>820</v>
      </c>
      <c r="BA652" s="16" t="n">
        <f aca="false">AY652/10</f>
        <v>81.75</v>
      </c>
      <c r="BB652" s="16" t="n">
        <f aca="false">AZ652/10</f>
        <v>82</v>
      </c>
      <c r="BC652" s="16" t="n">
        <v>2331</v>
      </c>
      <c r="BD652" s="16" t="n">
        <f aca="false">RANK(AX652,$AX$2:$AX$881,0)</f>
        <v>265</v>
      </c>
      <c r="BE652" s="54" t="n">
        <f aca="false">((BC652*100)/2400)*0.4+(AX652*0.6)</f>
        <v>86.85</v>
      </c>
      <c r="BF652" s="16" t="n">
        <f aca="false">RANK(BE652,$BE$2:$BE$881,0)</f>
        <v>316</v>
      </c>
      <c r="BG652" s="39" t="n">
        <f aca="false">RANK(BB652,$BB$2:$BB$881,0)</f>
        <v>212</v>
      </c>
      <c r="BH652" s="39" t="n">
        <f aca="false">RANK(BC652,$BC$2:$BC$881,0)</f>
        <v>716</v>
      </c>
      <c r="BI652" s="22" t="s">
        <v>130</v>
      </c>
      <c r="BJ652" s="22" t="s">
        <v>129</v>
      </c>
      <c r="BK652" s="40" t="s">
        <v>131</v>
      </c>
      <c r="BL652" s="41" t="n">
        <v>23</v>
      </c>
      <c r="BM652" s="41" t="n">
        <v>59</v>
      </c>
      <c r="BN652" s="41" t="n">
        <v>82</v>
      </c>
      <c r="BO652" s="42" t="n">
        <v>27</v>
      </c>
      <c r="BP652" s="43" t="n">
        <v>64</v>
      </c>
      <c r="BQ652" s="44" t="n">
        <v>91</v>
      </c>
      <c r="BR652" s="42" t="n">
        <v>29</v>
      </c>
      <c r="BS652" s="45" t="n">
        <v>61</v>
      </c>
      <c r="BT652" s="45" t="n">
        <v>90</v>
      </c>
      <c r="BU652" s="46" t="n">
        <v>100</v>
      </c>
      <c r="BV652" s="47" t="n">
        <v>92</v>
      </c>
      <c r="BW652" s="42" t="n">
        <v>98</v>
      </c>
      <c r="BX652" s="107"/>
      <c r="BY652" s="60"/>
      <c r="BZ652" s="60"/>
      <c r="CA652" s="60"/>
      <c r="CB652" s="60"/>
      <c r="CC652" s="60"/>
      <c r="CD652" s="60"/>
      <c r="CE652" s="68" t="n">
        <v>0</v>
      </c>
      <c r="CF652" s="60"/>
      <c r="CG652" s="60"/>
      <c r="CH652" s="60"/>
      <c r="CI652" s="60"/>
      <c r="CJ652" s="60"/>
      <c r="CK652" s="60"/>
      <c r="CL652" s="61"/>
      <c r="CM652" s="60"/>
      <c r="CN652" s="60"/>
      <c r="CO652" s="60"/>
      <c r="CP652" s="25" t="n">
        <f aca="false">BX652+BW652+BV652+BU652+BT652+BQ652+BN652</f>
        <v>553</v>
      </c>
      <c r="CQ652" s="25" t="n">
        <f aca="false">CO652+CL652+CI652+CH652+CG652+CD652+CA652</f>
        <v>0</v>
      </c>
      <c r="CR652" s="26" t="n">
        <f aca="false">CP652/7</f>
        <v>79</v>
      </c>
      <c r="CS652" s="26" t="n">
        <f aca="false">CQ652/7</f>
        <v>0</v>
      </c>
      <c r="CT652" s="24" t="n">
        <f aca="false">RANK(CR652,$CR$2:$CR$881,0)</f>
        <v>604</v>
      </c>
      <c r="CU652" s="25" t="n">
        <f aca="false">RANK(CS652,$CS$2:$CS$881,0)</f>
        <v>752</v>
      </c>
      <c r="CV652" s="26" t="n">
        <f aca="false">(CS652+CR652)/2</f>
        <v>39.5</v>
      </c>
      <c r="CW652" s="25" t="n">
        <f aca="false">RANK(CV652,$CV$2:$CV$881,0)</f>
        <v>722</v>
      </c>
      <c r="CX652" s="50" t="n">
        <f aca="false">(CV652+BB652)/2</f>
        <v>60.75</v>
      </c>
      <c r="CY652" s="50" t="n">
        <v>640</v>
      </c>
      <c r="CZ652" s="27" t="s">
        <v>132</v>
      </c>
      <c r="DA652" s="27" t="s">
        <v>133</v>
      </c>
      <c r="DB652" s="27" t="s">
        <v>133</v>
      </c>
      <c r="DC652" s="27" t="s">
        <v>134</v>
      </c>
      <c r="DD652" s="27" t="s">
        <v>182</v>
      </c>
      <c r="DE652" s="27" t="s">
        <v>183</v>
      </c>
      <c r="DF652" s="27" t="s">
        <v>205</v>
      </c>
      <c r="DG652" s="27" t="s">
        <v>134</v>
      </c>
      <c r="DH652" s="27" t="s">
        <v>164</v>
      </c>
      <c r="DI652" s="27" t="s">
        <v>183</v>
      </c>
      <c r="DJ652" s="27" t="s">
        <v>175</v>
      </c>
      <c r="DK652" s="27" t="s">
        <v>134</v>
      </c>
      <c r="DL652" s="27" t="s">
        <v>135</v>
      </c>
      <c r="DM652" s="27" t="s">
        <v>306</v>
      </c>
      <c r="DN652" s="27" t="s">
        <v>219</v>
      </c>
      <c r="DO652" s="27" t="s">
        <v>134</v>
      </c>
      <c r="DP652" s="27" t="s">
        <v>195</v>
      </c>
      <c r="DQ652" s="27" t="s">
        <v>220</v>
      </c>
      <c r="DR652" s="27" t="s">
        <v>382</v>
      </c>
      <c r="DS652" s="27" t="s">
        <v>134</v>
      </c>
      <c r="DT652" s="27" t="s">
        <v>137</v>
      </c>
      <c r="DU652" s="27" t="s">
        <v>313</v>
      </c>
      <c r="DV652" s="27" t="s">
        <v>305</v>
      </c>
      <c r="DW652" s="27" t="s">
        <v>195</v>
      </c>
      <c r="DX652" s="27" t="s">
        <v>155</v>
      </c>
      <c r="DY652" s="27" t="s">
        <v>170</v>
      </c>
      <c r="DZ652" s="27" t="n">
        <f aca="false">DY652+DV652+DR652+DN652+DJ652+DF652+DB652</f>
        <v>581</v>
      </c>
      <c r="EA652" s="28" t="n">
        <f aca="false">DZ652/7</f>
        <v>83</v>
      </c>
      <c r="EB652" s="27" t="n">
        <f aca="false">RANK(EA652,$EA$2:$EA$881,0)</f>
        <v>271</v>
      </c>
      <c r="EC652" s="29" t="n">
        <f aca="false">DZ652+CQ652+CP652+AZ652</f>
        <v>1954</v>
      </c>
      <c r="ED652" s="30" t="n">
        <f aca="false">(EA652+CV652+BB652)/3</f>
        <v>68.1666666666667</v>
      </c>
      <c r="EE652" s="51" t="n">
        <f aca="false">ROUND(BE652,3)</f>
        <v>86.85</v>
      </c>
      <c r="EF652" s="51" t="n">
        <f aca="false">ROUND(CR652,3)</f>
        <v>79</v>
      </c>
      <c r="EG652" s="51" t="n">
        <f aca="false">ROUND(CS652,3)</f>
        <v>0</v>
      </c>
      <c r="EH652" s="51" t="n">
        <f aca="false">ROUND(EA652,3)</f>
        <v>83</v>
      </c>
      <c r="EI652" s="51" t="n">
        <f aca="false">ROUND(ED652,3)</f>
        <v>68.167</v>
      </c>
      <c r="EJ652" s="51" t="n">
        <f aca="false">ROUND(CV652,3)</f>
        <v>39.5</v>
      </c>
      <c r="EK652" s="0" t="n">
        <f aca="false">RANK(EI652,$EI$2:$EI$881,0)</f>
        <v>651</v>
      </c>
    </row>
    <row r="653" customFormat="false" ht="33.7" hidden="false" customHeight="false" outlineLevel="0" collapsed="false">
      <c r="A653" s="4" t="n">
        <v>8765</v>
      </c>
      <c r="B653" s="4" t="n">
        <v>567</v>
      </c>
      <c r="C653" s="27" t="s">
        <v>1899</v>
      </c>
      <c r="D653" s="31" t="n">
        <v>572</v>
      </c>
      <c r="E653" s="16" t="n">
        <v>230512554</v>
      </c>
      <c r="F653" s="56" t="s">
        <v>1900</v>
      </c>
      <c r="G653" s="22" t="s">
        <v>1767</v>
      </c>
      <c r="H653" s="22" t="s">
        <v>465</v>
      </c>
      <c r="I653" s="57"/>
      <c r="J653" s="16" t="n">
        <v>76</v>
      </c>
      <c r="K653" s="16" t="n">
        <v>63</v>
      </c>
      <c r="L653" s="34" t="n">
        <f aca="false">(K653*70)/100</f>
        <v>44.1</v>
      </c>
      <c r="M653" s="34" t="n">
        <f aca="false">ROUNDUP(L653,0)</f>
        <v>45</v>
      </c>
      <c r="N653" s="16" t="n">
        <v>25</v>
      </c>
      <c r="O653" s="34" t="n">
        <f aca="false">N653+L653</f>
        <v>69.1</v>
      </c>
      <c r="P653" s="34" t="n">
        <f aca="false">N653+M653</f>
        <v>70</v>
      </c>
      <c r="Q653" s="16" t="n">
        <v>63</v>
      </c>
      <c r="R653" s="16" t="n">
        <v>68</v>
      </c>
      <c r="S653" s="34" t="n">
        <f aca="false">(R653*70)/100</f>
        <v>47.6</v>
      </c>
      <c r="T653" s="34" t="n">
        <f aca="false">ROUNDUP(S653,0)</f>
        <v>48</v>
      </c>
      <c r="U653" s="16" t="n">
        <v>25</v>
      </c>
      <c r="V653" s="34" t="n">
        <f aca="false">U653+S653</f>
        <v>72.6</v>
      </c>
      <c r="W653" s="34" t="n">
        <f aca="false">U653+T653</f>
        <v>73</v>
      </c>
      <c r="X653" s="16" t="n">
        <v>69</v>
      </c>
      <c r="Y653" s="34" t="n">
        <f aca="false">(X653*70)/100</f>
        <v>48.3</v>
      </c>
      <c r="Z653" s="34" t="n">
        <f aca="false">ROUNDUP(Y653,0)</f>
        <v>49</v>
      </c>
      <c r="AA653" s="16" t="n">
        <v>28</v>
      </c>
      <c r="AB653" s="34" t="n">
        <f aca="false">AA653+Y653</f>
        <v>76.3</v>
      </c>
      <c r="AC653" s="34" t="n">
        <f aca="false">AA653+Z653</f>
        <v>77</v>
      </c>
      <c r="AD653" s="32" t="n">
        <f aca="false">X653+R653+Q653+K653+J653</f>
        <v>339</v>
      </c>
      <c r="AE653" s="16" t="n">
        <f aca="false">AD653/5</f>
        <v>67.8</v>
      </c>
      <c r="AF653" s="71" t="n">
        <v>43</v>
      </c>
      <c r="AG653" s="71" t="n">
        <v>45</v>
      </c>
      <c r="AH653" s="71" t="n">
        <v>58</v>
      </c>
      <c r="AI653" s="16" t="n">
        <v>77</v>
      </c>
      <c r="AJ653" s="16" t="n">
        <f aca="false">(AI653*70)/100</f>
        <v>53.9</v>
      </c>
      <c r="AK653" s="35" t="n">
        <f aca="false">ROUNDUP(AJ653,0)</f>
        <v>54</v>
      </c>
      <c r="AL653" s="16" t="n">
        <v>21</v>
      </c>
      <c r="AM653" s="16" t="n">
        <f aca="false">AL653+AJ653</f>
        <v>74.9</v>
      </c>
      <c r="AN653" s="16" t="n">
        <f aca="false">AL653+AK653</f>
        <v>75</v>
      </c>
      <c r="AO653" s="16" t="n">
        <v>63</v>
      </c>
      <c r="AP653" s="36" t="n">
        <f aca="false">(AO653*70)/100</f>
        <v>44.1</v>
      </c>
      <c r="AQ653" s="37" t="n">
        <f aca="false">ROUNDUP(AP653,0)</f>
        <v>45</v>
      </c>
      <c r="AR653" s="16" t="n">
        <v>20</v>
      </c>
      <c r="AS653" s="16" t="n">
        <f aca="false">AR653+AP653</f>
        <v>64.1</v>
      </c>
      <c r="AT653" s="16" t="n">
        <f aca="false">AR653+AQ653</f>
        <v>65</v>
      </c>
      <c r="AU653" s="16" t="n">
        <f aca="false">AO653+AF653+AI653+AH653+AG653</f>
        <v>286</v>
      </c>
      <c r="AV653" s="16" t="n">
        <f aca="false">(AO653+AF653+AI653+AH653+AG653)/5</f>
        <v>57.2</v>
      </c>
      <c r="AW653" s="36" t="n">
        <f aca="false">(AO653+AF653+AI653+AH653+AG653+X653+R653+Q653+K653+J653)</f>
        <v>625</v>
      </c>
      <c r="AX653" s="16" t="n">
        <f aca="false">AW653/10</f>
        <v>62.5</v>
      </c>
      <c r="AY653" s="16" t="n">
        <f aca="false">AS653+AF653+AM653+AH653+AG653+AB653+V653+Q653+O653+J653</f>
        <v>642</v>
      </c>
      <c r="AZ653" s="16" t="n">
        <f aca="false">AT653+AF653+AN653+AH653+AG653+AC653+W653+Q653+P653+J653</f>
        <v>645</v>
      </c>
      <c r="BA653" s="16" t="n">
        <f aca="false">AY653/10</f>
        <v>64.2</v>
      </c>
      <c r="BB653" s="16" t="n">
        <f aca="false">AZ653/10</f>
        <v>64.5</v>
      </c>
      <c r="BC653" s="16" t="n">
        <v>2376</v>
      </c>
      <c r="BD653" s="16" t="n">
        <f aca="false">RANK(AX653,$AX$2:$AX$881,0)</f>
        <v>788</v>
      </c>
      <c r="BE653" s="78" t="n">
        <f aca="false">((BC653*100)/2400)*0.4+(AX653*0.6)</f>
        <v>77.1</v>
      </c>
      <c r="BF653" s="16" t="n">
        <f aca="false">RANK(BE653,$BE$2:$BE$881,0)</f>
        <v>765</v>
      </c>
      <c r="BG653" s="39" t="n">
        <f aca="false">RANK(BB653,$BB$2:$BB$881,0)</f>
        <v>786</v>
      </c>
      <c r="BH653" s="39" t="n">
        <f aca="false">RANK(BC653,$BC$2:$BC$881,0)</f>
        <v>203</v>
      </c>
      <c r="BI653" s="22" t="s">
        <v>130</v>
      </c>
      <c r="BJ653" s="22" t="s">
        <v>129</v>
      </c>
      <c r="BK653" s="40" t="s">
        <v>702</v>
      </c>
      <c r="BL653" s="41" t="n">
        <v>24</v>
      </c>
      <c r="BM653" s="41" t="n">
        <v>56</v>
      </c>
      <c r="BN653" s="41" t="n">
        <v>80</v>
      </c>
      <c r="BO653" s="42" t="n">
        <v>24</v>
      </c>
      <c r="BP653" s="42" t="n">
        <v>64</v>
      </c>
      <c r="BQ653" s="42" t="n">
        <v>88</v>
      </c>
      <c r="BR653" s="42" t="n">
        <v>21</v>
      </c>
      <c r="BS653" s="77" t="n">
        <v>41</v>
      </c>
      <c r="BT653" s="77" t="n">
        <v>62</v>
      </c>
      <c r="BU653" s="46" t="n">
        <v>100</v>
      </c>
      <c r="BV653" s="47" t="n">
        <v>92</v>
      </c>
      <c r="BW653" s="42" t="n">
        <v>98</v>
      </c>
      <c r="BX653" s="48" t="n">
        <v>88</v>
      </c>
      <c r="BY653" s="32" t="n">
        <v>28</v>
      </c>
      <c r="BZ653" s="32" t="n">
        <v>48</v>
      </c>
      <c r="CA653" s="32" t="n">
        <v>76</v>
      </c>
      <c r="CB653" s="32" t="n">
        <v>23</v>
      </c>
      <c r="CC653" s="32" t="n">
        <v>39</v>
      </c>
      <c r="CD653" s="32" t="n">
        <v>62</v>
      </c>
      <c r="CE653" s="32" t="n">
        <v>22</v>
      </c>
      <c r="CF653" s="32" t="n">
        <v>32</v>
      </c>
      <c r="CG653" s="69" t="n">
        <v>54</v>
      </c>
      <c r="CH653" s="32" t="n">
        <v>96</v>
      </c>
      <c r="CI653" s="32" t="n">
        <v>96</v>
      </c>
      <c r="CJ653" s="49" t="n">
        <v>27</v>
      </c>
      <c r="CK653" s="49" t="n">
        <v>49</v>
      </c>
      <c r="CL653" s="49" t="n">
        <v>76</v>
      </c>
      <c r="CM653" s="49" t="n">
        <v>22</v>
      </c>
      <c r="CN653" s="49" t="n">
        <v>52</v>
      </c>
      <c r="CO653" s="49" t="n">
        <v>74</v>
      </c>
      <c r="CP653" s="25" t="n">
        <f aca="false">BX653+BW653+BV653+BU653+BT653+BQ653+BN653</f>
        <v>608</v>
      </c>
      <c r="CQ653" s="25" t="n">
        <f aca="false">CO653+CL653+CI653+CH653+CG653+CD653+CA653</f>
        <v>534</v>
      </c>
      <c r="CR653" s="26" t="n">
        <f aca="false">CP653/7</f>
        <v>86.8571428571429</v>
      </c>
      <c r="CS653" s="26" t="n">
        <f aca="false">CQ653/7</f>
        <v>76.2857142857143</v>
      </c>
      <c r="CT653" s="24" t="n">
        <f aca="false">RANK(CR653,$CR$2:$CR$881,0)</f>
        <v>359</v>
      </c>
      <c r="CU653" s="25" t="n">
        <f aca="false">RANK(CS653,$CS$2:$CS$881,0)</f>
        <v>391</v>
      </c>
      <c r="CV653" s="26" t="n">
        <f aca="false">(CS653+CR653)/2</f>
        <v>81.5714285714286</v>
      </c>
      <c r="CW653" s="25" t="n">
        <f aca="false">RANK(CV653,$CV$2:$CV$881,0)</f>
        <v>361</v>
      </c>
      <c r="CX653" s="50" t="n">
        <f aca="false">(CV653+BB653)/2</f>
        <v>73.0357142857143</v>
      </c>
      <c r="CY653" s="50" t="n">
        <v>582</v>
      </c>
      <c r="CZ653" s="27" t="s">
        <v>132</v>
      </c>
      <c r="DA653" s="27" t="s">
        <v>162</v>
      </c>
      <c r="DB653" s="27" t="s">
        <v>162</v>
      </c>
      <c r="DC653" s="27" t="s">
        <v>134</v>
      </c>
      <c r="DD653" s="27" t="s">
        <v>135</v>
      </c>
      <c r="DE653" s="27" t="s">
        <v>220</v>
      </c>
      <c r="DF653" s="27" t="s">
        <v>196</v>
      </c>
      <c r="DG653" s="27" t="s">
        <v>134</v>
      </c>
      <c r="DH653" s="27" t="s">
        <v>160</v>
      </c>
      <c r="DI653" s="27" t="s">
        <v>447</v>
      </c>
      <c r="DJ653" s="27" t="s">
        <v>196</v>
      </c>
      <c r="DK653" s="27" t="s">
        <v>134</v>
      </c>
      <c r="DL653" s="27" t="s">
        <v>195</v>
      </c>
      <c r="DM653" s="27" t="s">
        <v>220</v>
      </c>
      <c r="DN653" s="27" t="s">
        <v>382</v>
      </c>
      <c r="DO653" s="27" t="s">
        <v>134</v>
      </c>
      <c r="DP653" s="27"/>
      <c r="DQ653" s="27"/>
      <c r="DR653" s="27"/>
      <c r="DS653" s="27"/>
      <c r="DT653" s="27" t="s">
        <v>137</v>
      </c>
      <c r="DU653" s="27" t="s">
        <v>313</v>
      </c>
      <c r="DV653" s="27" t="s">
        <v>305</v>
      </c>
      <c r="DW653" s="27"/>
      <c r="DX653" s="27"/>
      <c r="DY653" s="27"/>
      <c r="DZ653" s="27" t="n">
        <f aca="false">DY653+DV653+DR653+DN653+DJ653+DF653+DB653</f>
        <v>406</v>
      </c>
      <c r="EA653" s="28" t="n">
        <f aca="false">DZ653/7</f>
        <v>58</v>
      </c>
      <c r="EB653" s="27" t="n">
        <f aca="false">RANK(EA653,$EA$2:$EA$881,0)</f>
        <v>807</v>
      </c>
      <c r="EC653" s="29" t="n">
        <f aca="false">DZ653+CQ653+CP653+AZ653</f>
        <v>2193</v>
      </c>
      <c r="ED653" s="30" t="n">
        <f aca="false">(EA653+CV653+BB653)/3</f>
        <v>68.0238095238095</v>
      </c>
      <c r="EE653" s="51" t="n">
        <f aca="false">ROUND(BE653,3)</f>
        <v>77.1</v>
      </c>
      <c r="EF653" s="51" t="n">
        <f aca="false">ROUND(CR653,3)</f>
        <v>86.857</v>
      </c>
      <c r="EG653" s="51" t="n">
        <f aca="false">ROUND(CS653,3)</f>
        <v>76.286</v>
      </c>
      <c r="EH653" s="51" t="n">
        <f aca="false">ROUND(EA653,3)</f>
        <v>58</v>
      </c>
      <c r="EI653" s="51" t="n">
        <f aca="false">ROUND(ED653,3)</f>
        <v>68.024</v>
      </c>
      <c r="EJ653" s="51" t="n">
        <f aca="false">ROUND(CV653,3)</f>
        <v>81.571</v>
      </c>
      <c r="EK653" s="0" t="n">
        <f aca="false">RANK(EI653,$EI$2:$EI$881,0)</f>
        <v>652</v>
      </c>
    </row>
    <row r="654" customFormat="false" ht="15" hidden="false" customHeight="false" outlineLevel="0" collapsed="false">
      <c r="A654" s="4" t="n">
        <v>9113</v>
      </c>
      <c r="B654" s="4" t="n">
        <v>113</v>
      </c>
      <c r="C654" s="27" t="s">
        <v>1901</v>
      </c>
      <c r="D654" s="31" t="n">
        <v>113</v>
      </c>
      <c r="E654" s="16" t="n">
        <v>230418231</v>
      </c>
      <c r="F654" s="56" t="s">
        <v>1902</v>
      </c>
      <c r="G654" s="22" t="s">
        <v>717</v>
      </c>
      <c r="H654" s="22" t="s">
        <v>558</v>
      </c>
      <c r="I654" s="57"/>
      <c r="J654" s="16" t="n">
        <v>78</v>
      </c>
      <c r="K654" s="16" t="n">
        <v>51</v>
      </c>
      <c r="L654" s="34" t="n">
        <f aca="false">(K654*70)/100</f>
        <v>35.7</v>
      </c>
      <c r="M654" s="34" t="n">
        <f aca="false">ROUNDUP(L654,0)</f>
        <v>36</v>
      </c>
      <c r="N654" s="16" t="n">
        <v>27</v>
      </c>
      <c r="O654" s="34" t="n">
        <f aca="false">N654+L654</f>
        <v>62.7</v>
      </c>
      <c r="P654" s="34" t="n">
        <f aca="false">N654+M654</f>
        <v>63</v>
      </c>
      <c r="Q654" s="16" t="n">
        <v>64</v>
      </c>
      <c r="R654" s="16" t="n">
        <v>60</v>
      </c>
      <c r="S654" s="34" t="n">
        <f aca="false">(R654*70)/100</f>
        <v>42</v>
      </c>
      <c r="T654" s="34" t="n">
        <f aca="false">ROUNDUP(S654,0)</f>
        <v>42</v>
      </c>
      <c r="U654" s="16" t="n">
        <v>26</v>
      </c>
      <c r="V654" s="34" t="n">
        <f aca="false">U654+S654</f>
        <v>68</v>
      </c>
      <c r="W654" s="34" t="n">
        <f aca="false">U654+T654</f>
        <v>68</v>
      </c>
      <c r="X654" s="16" t="n">
        <v>62</v>
      </c>
      <c r="Y654" s="34" t="n">
        <f aca="false">(X654*70)/100</f>
        <v>43.4</v>
      </c>
      <c r="Z654" s="34" t="n">
        <f aca="false">ROUNDUP(Y654,0)</f>
        <v>44</v>
      </c>
      <c r="AA654" s="16" t="n">
        <v>25</v>
      </c>
      <c r="AB654" s="34" t="n">
        <f aca="false">AA654+Y654</f>
        <v>68.4</v>
      </c>
      <c r="AC654" s="34" t="n">
        <f aca="false">AA654+Z654</f>
        <v>69</v>
      </c>
      <c r="AD654" s="32" t="n">
        <f aca="false">X654+R654+Q654+K654+J654</f>
        <v>315</v>
      </c>
      <c r="AE654" s="16" t="n">
        <f aca="false">AD654/5</f>
        <v>63</v>
      </c>
      <c r="AF654" s="16" t="n">
        <v>68</v>
      </c>
      <c r="AG654" s="16" t="n">
        <v>86</v>
      </c>
      <c r="AH654" s="16" t="n">
        <v>77</v>
      </c>
      <c r="AI654" s="16" t="n">
        <v>49</v>
      </c>
      <c r="AJ654" s="16" t="n">
        <f aca="false">(AI654*70)/100</f>
        <v>34.3</v>
      </c>
      <c r="AK654" s="35" t="n">
        <f aca="false">ROUNDUP(AJ654,0)</f>
        <v>35</v>
      </c>
      <c r="AL654" s="16" t="n">
        <v>21</v>
      </c>
      <c r="AM654" s="16" t="n">
        <f aca="false">AL654+AJ654</f>
        <v>55.3</v>
      </c>
      <c r="AN654" s="71" t="n">
        <f aca="false">AL654+AK654</f>
        <v>56</v>
      </c>
      <c r="AO654" s="16" t="n">
        <v>43</v>
      </c>
      <c r="AP654" s="36" t="n">
        <f aca="false">(AO654*70)/100</f>
        <v>30.1</v>
      </c>
      <c r="AQ654" s="37" t="n">
        <f aca="false">ROUNDUP(AP654,0)</f>
        <v>31</v>
      </c>
      <c r="AR654" s="16" t="n">
        <v>28</v>
      </c>
      <c r="AS654" s="16" t="n">
        <f aca="false">AR654+AP654</f>
        <v>58.1</v>
      </c>
      <c r="AT654" s="71" t="n">
        <f aca="false">AR654+AQ654</f>
        <v>59</v>
      </c>
      <c r="AU654" s="16" t="n">
        <f aca="false">AO654+AF654+AI654+AH654+AG654</f>
        <v>323</v>
      </c>
      <c r="AV654" s="16" t="n">
        <f aca="false">(AO654+AF654+AI654+AH654+AG654)/5</f>
        <v>64.6</v>
      </c>
      <c r="AW654" s="36" t="n">
        <f aca="false">(AO654+AF654+AI654+AH654+AG654+X654+R654+Q654+K654+J654)</f>
        <v>638</v>
      </c>
      <c r="AX654" s="16" t="n">
        <f aca="false">AW654/10</f>
        <v>63.8</v>
      </c>
      <c r="AY654" s="16" t="n">
        <f aca="false">AS654+AF654+AM654+AH654+AG654+AB654+V654+Q654+O654+J654</f>
        <v>685.5</v>
      </c>
      <c r="AZ654" s="16" t="n">
        <f aca="false">AT654+AF654+AN654+AH654+AG654+AC654+W654+Q654+P654+J654</f>
        <v>688</v>
      </c>
      <c r="BA654" s="16" t="n">
        <f aca="false">AY654/10</f>
        <v>68.55</v>
      </c>
      <c r="BB654" s="16" t="n">
        <f aca="false">AZ654/10</f>
        <v>68.8</v>
      </c>
      <c r="BC654" s="16" t="n">
        <v>2354</v>
      </c>
      <c r="BD654" s="16" t="n">
        <f aca="false">RANK(AX654,$AX$2:$AX$881,0)</f>
        <v>775</v>
      </c>
      <c r="BE654" s="78" t="n">
        <f aca="false">((BC654*100)/2400)*0.4+(AX654*0.6)</f>
        <v>77.5133333333333</v>
      </c>
      <c r="BF654" s="16" t="n">
        <f aca="false">RANK(BE654,$BE$2:$BE$881,0)</f>
        <v>754</v>
      </c>
      <c r="BG654" s="39" t="n">
        <f aca="false">RANK(BB654,$BB$2:$BB$881,0)</f>
        <v>751</v>
      </c>
      <c r="BH654" s="39" t="n">
        <f aca="false">RANK(BC654,$BC$2:$BC$881,0)</f>
        <v>490</v>
      </c>
      <c r="BI654" s="22" t="s">
        <v>130</v>
      </c>
      <c r="BJ654" s="22" t="s">
        <v>129</v>
      </c>
      <c r="BK654" s="40" t="s">
        <v>702</v>
      </c>
      <c r="BL654" s="41" t="n">
        <v>12</v>
      </c>
      <c r="BM654" s="41" t="n">
        <v>29</v>
      </c>
      <c r="BN654" s="98" t="n">
        <v>41</v>
      </c>
      <c r="BO654" s="42" t="n">
        <v>24</v>
      </c>
      <c r="BP654" s="43" t="n">
        <v>54</v>
      </c>
      <c r="BQ654" s="44" t="n">
        <v>78</v>
      </c>
      <c r="BR654" s="42" t="n">
        <v>13</v>
      </c>
      <c r="BS654" s="45" t="n">
        <v>40</v>
      </c>
      <c r="BT654" s="85" t="n">
        <v>53</v>
      </c>
      <c r="BU654" s="46" t="n">
        <v>100</v>
      </c>
      <c r="BV654" s="47" t="n">
        <v>96</v>
      </c>
      <c r="BW654" s="42" t="n">
        <v>98</v>
      </c>
      <c r="BX654" s="62" t="n">
        <v>88</v>
      </c>
      <c r="BY654" s="62" t="n">
        <v>24</v>
      </c>
      <c r="BZ654" s="62" t="n">
        <v>39</v>
      </c>
      <c r="CA654" s="62" t="n">
        <v>63</v>
      </c>
      <c r="CB654" s="62" t="n">
        <v>15</v>
      </c>
      <c r="CC654" s="62" t="n">
        <v>31</v>
      </c>
      <c r="CD654" s="89" t="n">
        <v>46</v>
      </c>
      <c r="CE654" s="62" t="n">
        <v>29</v>
      </c>
      <c r="CF654" s="62" t="n">
        <v>44</v>
      </c>
      <c r="CG654" s="62" t="n">
        <v>73</v>
      </c>
      <c r="CH654" s="62" t="n">
        <v>95</v>
      </c>
      <c r="CI654" s="62" t="n">
        <v>83</v>
      </c>
      <c r="CJ654" s="75" t="n">
        <v>20</v>
      </c>
      <c r="CK654" s="75" t="n">
        <v>46</v>
      </c>
      <c r="CL654" s="75" t="n">
        <v>66</v>
      </c>
      <c r="CM654" s="49" t="n">
        <v>22</v>
      </c>
      <c r="CN654" s="49" t="n">
        <v>51</v>
      </c>
      <c r="CO654" s="49" t="n">
        <v>73</v>
      </c>
      <c r="CP654" s="25" t="n">
        <f aca="false">BX654+BW654+BV654+BU654+BT654+BQ654+BN654</f>
        <v>554</v>
      </c>
      <c r="CQ654" s="25" t="n">
        <f aca="false">CO654+CL654+CI654+CH654+CG654+CD654+CA654</f>
        <v>499</v>
      </c>
      <c r="CR654" s="26" t="n">
        <f aca="false">CP654/7</f>
        <v>79.1428571428571</v>
      </c>
      <c r="CS654" s="26" t="n">
        <f aca="false">CQ654/7</f>
        <v>71.2857142857143</v>
      </c>
      <c r="CT654" s="24" t="n">
        <f aca="false">RANK(CR654,$CR$2:$CR$881,0)</f>
        <v>601</v>
      </c>
      <c r="CU654" s="25" t="n">
        <f aca="false">RANK(CS654,$CS$2:$CS$881,0)</f>
        <v>532</v>
      </c>
      <c r="CV654" s="26" t="n">
        <f aca="false">(CS654+CR654)/2</f>
        <v>75.2142857142857</v>
      </c>
      <c r="CW654" s="25" t="n">
        <f aca="false">RANK(CV654,$CV$2:$CV$881,0)</f>
        <v>552</v>
      </c>
      <c r="CX654" s="50" t="n">
        <f aca="false">(CV654+BB654)/2</f>
        <v>72.0071428571429</v>
      </c>
      <c r="CY654" s="50" t="n">
        <v>595</v>
      </c>
      <c r="CZ654" s="27" t="s">
        <v>132</v>
      </c>
      <c r="DA654" s="27" t="s">
        <v>272</v>
      </c>
      <c r="DB654" s="27" t="s">
        <v>272</v>
      </c>
      <c r="DC654" s="27" t="s">
        <v>134</v>
      </c>
      <c r="DD654" s="27" t="s">
        <v>154</v>
      </c>
      <c r="DE654" s="27" t="s">
        <v>183</v>
      </c>
      <c r="DF654" s="27" t="s">
        <v>196</v>
      </c>
      <c r="DG654" s="27" t="s">
        <v>134</v>
      </c>
      <c r="DH654" s="27" t="s">
        <v>160</v>
      </c>
      <c r="DI654" s="27" t="s">
        <v>1151</v>
      </c>
      <c r="DJ654" s="27" t="s">
        <v>177</v>
      </c>
      <c r="DK654" s="27" t="s">
        <v>134</v>
      </c>
      <c r="DL654" s="27" t="s">
        <v>386</v>
      </c>
      <c r="DM654" s="27" t="s">
        <v>897</v>
      </c>
      <c r="DN654" s="27" t="s">
        <v>161</v>
      </c>
      <c r="DO654" s="27" t="s">
        <v>134</v>
      </c>
      <c r="DP654" s="27"/>
      <c r="DQ654" s="27"/>
      <c r="DR654" s="27"/>
      <c r="DS654" s="27"/>
      <c r="DT654" s="27" t="s">
        <v>191</v>
      </c>
      <c r="DU654" s="27" t="s">
        <v>1423</v>
      </c>
      <c r="DV654" s="27" t="s">
        <v>412</v>
      </c>
      <c r="DW654" s="27" t="s">
        <v>191</v>
      </c>
      <c r="DX654" s="27" t="s">
        <v>143</v>
      </c>
      <c r="DY654" s="27" t="s">
        <v>133</v>
      </c>
      <c r="DZ654" s="27" t="n">
        <f aca="false">DY654+DV654+DR654+DN654+DJ654+DF654+DB654</f>
        <v>420</v>
      </c>
      <c r="EA654" s="28" t="n">
        <f aca="false">DZ654/7</f>
        <v>60</v>
      </c>
      <c r="EB654" s="27" t="n">
        <f aca="false">RANK(EA654,$EA$2:$EA$881,0)</f>
        <v>781</v>
      </c>
      <c r="EC654" s="29" t="n">
        <f aca="false">DZ654+CQ654+CP654+AZ654</f>
        <v>2161</v>
      </c>
      <c r="ED654" s="30" t="n">
        <f aca="false">(EA654+CV654+BB654)/3</f>
        <v>68.0047619047619</v>
      </c>
      <c r="EE654" s="51" t="n">
        <f aca="false">ROUND(BE654,3)</f>
        <v>77.513</v>
      </c>
      <c r="EF654" s="51" t="n">
        <f aca="false">ROUND(CR654,3)</f>
        <v>79.143</v>
      </c>
      <c r="EG654" s="51" t="n">
        <f aca="false">ROUND(CS654,3)</f>
        <v>71.286</v>
      </c>
      <c r="EH654" s="51" t="n">
        <f aca="false">ROUND(EA654,3)</f>
        <v>60</v>
      </c>
      <c r="EI654" s="51" t="n">
        <f aca="false">ROUND(ED654,3)</f>
        <v>68.005</v>
      </c>
      <c r="EJ654" s="51" t="n">
        <f aca="false">ROUND(CV654,3)</f>
        <v>75.214</v>
      </c>
      <c r="EK654" s="0" t="n">
        <f aca="false">RANK(EI654,$EI$2:$EI$881,0)</f>
        <v>653</v>
      </c>
    </row>
    <row r="655" customFormat="false" ht="15" hidden="false" customHeight="false" outlineLevel="0" collapsed="false">
      <c r="A655" s="4" t="n">
        <v>1829</v>
      </c>
      <c r="B655" s="4" t="n">
        <v>12</v>
      </c>
      <c r="C655" s="27" t="s">
        <v>1903</v>
      </c>
      <c r="D655" s="52" t="n">
        <v>14</v>
      </c>
      <c r="E655" s="65" t="n">
        <v>230611987</v>
      </c>
      <c r="F655" s="56" t="s">
        <v>1904</v>
      </c>
      <c r="G655" s="63" t="s">
        <v>1905</v>
      </c>
      <c r="H655" s="63" t="s">
        <v>558</v>
      </c>
      <c r="I655" s="96"/>
      <c r="J655" s="65" t="n">
        <v>88</v>
      </c>
      <c r="K655" s="65" t="n">
        <v>76</v>
      </c>
      <c r="L655" s="34" t="n">
        <f aca="false">(K655*70)/100</f>
        <v>53.2</v>
      </c>
      <c r="M655" s="34" t="n">
        <f aca="false">ROUNDUP(L655,0)</f>
        <v>54</v>
      </c>
      <c r="N655" s="65" t="n">
        <v>26</v>
      </c>
      <c r="O655" s="34" t="n">
        <f aca="false">N655+L655</f>
        <v>79.2</v>
      </c>
      <c r="P655" s="34" t="n">
        <f aca="false">N655+M655</f>
        <v>80</v>
      </c>
      <c r="Q655" s="65" t="n">
        <v>63</v>
      </c>
      <c r="R655" s="65" t="n">
        <v>70</v>
      </c>
      <c r="S655" s="34" t="n">
        <f aca="false">(R655*70)/100</f>
        <v>49</v>
      </c>
      <c r="T655" s="34" t="n">
        <f aca="false">ROUNDUP(S655,0)</f>
        <v>49</v>
      </c>
      <c r="U655" s="65" t="n">
        <v>27</v>
      </c>
      <c r="V655" s="34" t="n">
        <f aca="false">U655+S655</f>
        <v>76</v>
      </c>
      <c r="W655" s="34" t="n">
        <f aca="false">U655+T655</f>
        <v>76</v>
      </c>
      <c r="X655" s="65" t="n">
        <v>53</v>
      </c>
      <c r="Y655" s="34" t="n">
        <f aca="false">(X655*70)/100</f>
        <v>37.1</v>
      </c>
      <c r="Z655" s="34" t="n">
        <f aca="false">ROUNDUP(Y655,0)</f>
        <v>38</v>
      </c>
      <c r="AA655" s="65" t="n">
        <v>24</v>
      </c>
      <c r="AB655" s="34" t="n">
        <f aca="false">AA655+Y655</f>
        <v>61.1</v>
      </c>
      <c r="AC655" s="34" t="n">
        <f aca="false">AA655+Z655</f>
        <v>62</v>
      </c>
      <c r="AD655" s="32" t="n">
        <f aca="false">X655+R655+Q655+K655+J655</f>
        <v>350</v>
      </c>
      <c r="AE655" s="16" t="n">
        <f aca="false">AD655/5</f>
        <v>70</v>
      </c>
      <c r="AF655" s="65" t="n">
        <v>76</v>
      </c>
      <c r="AG655" s="65" t="n">
        <v>96</v>
      </c>
      <c r="AH655" s="65" t="n">
        <v>83</v>
      </c>
      <c r="AI655" s="65" t="n">
        <v>93</v>
      </c>
      <c r="AJ655" s="16" t="n">
        <f aca="false">(AI655*70)/100</f>
        <v>65.1</v>
      </c>
      <c r="AK655" s="35" t="n">
        <f aca="false">ROUNDUP(AJ655,0)</f>
        <v>66</v>
      </c>
      <c r="AL655" s="65" t="n">
        <v>27</v>
      </c>
      <c r="AM655" s="16" t="n">
        <f aca="false">AL655+AJ655</f>
        <v>92.1</v>
      </c>
      <c r="AN655" s="16" t="n">
        <f aca="false">AL655+AK655</f>
        <v>93</v>
      </c>
      <c r="AO655" s="65" t="n">
        <v>72</v>
      </c>
      <c r="AP655" s="36" t="n">
        <f aca="false">(AO655*70)/100</f>
        <v>50.4</v>
      </c>
      <c r="AQ655" s="37" t="n">
        <f aca="false">ROUNDUP(AP655,0)</f>
        <v>51</v>
      </c>
      <c r="AR655" s="65" t="n">
        <v>26</v>
      </c>
      <c r="AS655" s="16" t="n">
        <f aca="false">AR655+AP655</f>
        <v>76.4</v>
      </c>
      <c r="AT655" s="16" t="n">
        <f aca="false">AR655+AQ655</f>
        <v>77</v>
      </c>
      <c r="AU655" s="16" t="n">
        <f aca="false">AO655+AF655+AI655+AH655+AG655</f>
        <v>420</v>
      </c>
      <c r="AV655" s="16" t="n">
        <f aca="false">(AO655+AF655+AI655+AH655+AG655)/5</f>
        <v>84</v>
      </c>
      <c r="AW655" s="36" t="n">
        <f aca="false">(AO655+AF655+AI655+AH655+AG655+X655+R655+Q655+K655+J655)</f>
        <v>770</v>
      </c>
      <c r="AX655" s="16" t="n">
        <f aca="false">AW655/10</f>
        <v>77</v>
      </c>
      <c r="AY655" s="16" t="n">
        <f aca="false">AS655+AF655+AM655+AH655+AG655+AB655+V655+Q655+O655+J655</f>
        <v>790.8</v>
      </c>
      <c r="AZ655" s="16" t="n">
        <f aca="false">AT655+AF655+AN655+AH655+AG655+AC655+W655+Q655+P655+J655</f>
        <v>794</v>
      </c>
      <c r="BA655" s="16" t="n">
        <f aca="false">AY655/10</f>
        <v>79.08</v>
      </c>
      <c r="BB655" s="16" t="n">
        <f aca="false">AZ655/10</f>
        <v>79.4</v>
      </c>
      <c r="BC655" s="65" t="n">
        <v>2350</v>
      </c>
      <c r="BD655" s="16" t="n">
        <f aca="false">RANK(AX655,$AX$2:$AX$881,0)</f>
        <v>508</v>
      </c>
      <c r="BE655" s="54" t="n">
        <f aca="false">((BC655*100)/2400)*0.4+(AX655*0.6)</f>
        <v>85.3666666666667</v>
      </c>
      <c r="BF655" s="16" t="n">
        <f aca="false">RANK(BE655,$BE$2:$BE$881,0)</f>
        <v>533</v>
      </c>
      <c r="BG655" s="39" t="n">
        <f aca="false">RANK(BB655,$BB$2:$BB$881,0)</f>
        <v>414</v>
      </c>
      <c r="BH655" s="39" t="n">
        <f aca="false">RANK(BC655,$BC$2:$BC$881,0)</f>
        <v>532</v>
      </c>
      <c r="BI655" s="63" t="s">
        <v>130</v>
      </c>
      <c r="BJ655" s="22" t="s">
        <v>129</v>
      </c>
      <c r="BK655" s="40" t="s">
        <v>509</v>
      </c>
      <c r="BL655" s="41" t="n">
        <v>24</v>
      </c>
      <c r="BM655" s="59" t="n">
        <v>46</v>
      </c>
      <c r="BN655" s="59" t="n">
        <v>70</v>
      </c>
      <c r="BO655" s="42" t="n">
        <v>27</v>
      </c>
      <c r="BP655" s="59" t="n">
        <v>45</v>
      </c>
      <c r="BQ655" s="59" t="n">
        <v>72</v>
      </c>
      <c r="BR655" s="74" t="n">
        <v>8</v>
      </c>
      <c r="BS655" s="80"/>
      <c r="BT655" s="80"/>
      <c r="BU655" s="88" t="n">
        <v>69</v>
      </c>
      <c r="BV655" s="58" t="n">
        <v>69</v>
      </c>
      <c r="BW655" s="102" t="n">
        <v>84</v>
      </c>
      <c r="BX655" s="121" t="n">
        <v>94</v>
      </c>
      <c r="BY655" s="58" t="n">
        <v>29</v>
      </c>
      <c r="BZ655" s="58" t="n">
        <v>43</v>
      </c>
      <c r="CA655" s="58" t="n">
        <v>72</v>
      </c>
      <c r="CB655" s="58" t="n">
        <v>16</v>
      </c>
      <c r="CC655" s="58" t="n">
        <v>37</v>
      </c>
      <c r="CD655" s="58" t="n">
        <v>53</v>
      </c>
      <c r="CE655" s="62" t="n">
        <v>16</v>
      </c>
      <c r="CF655" s="58" t="n">
        <v>47</v>
      </c>
      <c r="CG655" s="58" t="n">
        <v>63</v>
      </c>
      <c r="CH655" s="58" t="n">
        <v>80</v>
      </c>
      <c r="CI655" s="58" t="n">
        <v>74</v>
      </c>
      <c r="CJ655" s="58" t="n">
        <v>27</v>
      </c>
      <c r="CK655" s="58" t="n">
        <v>52</v>
      </c>
      <c r="CL655" s="59" t="n">
        <v>79</v>
      </c>
      <c r="CM655" s="60"/>
      <c r="CN655" s="60"/>
      <c r="CO655" s="60"/>
      <c r="CP655" s="25" t="n">
        <f aca="false">BX655+BW655+BV655+BU655+BT655+BQ655+BN655</f>
        <v>458</v>
      </c>
      <c r="CQ655" s="25" t="n">
        <f aca="false">CO655+CL655+CI655+CH655+CG655+CD655+CA655</f>
        <v>421</v>
      </c>
      <c r="CR655" s="26" t="n">
        <f aca="false">CP655/7</f>
        <v>65.4285714285714</v>
      </c>
      <c r="CS655" s="26" t="n">
        <f aca="false">CQ655/7</f>
        <v>60.1428571428571</v>
      </c>
      <c r="CT655" s="24" t="n">
        <f aca="false">RANK(CR655,$CR$2:$CR$881,0)</f>
        <v>705</v>
      </c>
      <c r="CU655" s="25" t="n">
        <f aca="false">RANK(CS655,$CS$2:$CS$881,0)</f>
        <v>682</v>
      </c>
      <c r="CV655" s="26" t="n">
        <f aca="false">(CS655+CR655)/2</f>
        <v>62.7857142857143</v>
      </c>
      <c r="CW655" s="25" t="n">
        <f aca="false">RANK(CV655,$CV$2:$CV$881,0)</f>
        <v>686</v>
      </c>
      <c r="CX655" s="50" t="n">
        <f aca="false">(CV655+BB655)/2</f>
        <v>71.0928571428572</v>
      </c>
      <c r="CY655" s="50" t="n">
        <v>776</v>
      </c>
      <c r="CZ655" s="27" t="s">
        <v>132</v>
      </c>
      <c r="DA655" s="27" t="s">
        <v>138</v>
      </c>
      <c r="DB655" s="27" t="s">
        <v>138</v>
      </c>
      <c r="DC655" s="27" t="s">
        <v>134</v>
      </c>
      <c r="DD655" s="27" t="s">
        <v>174</v>
      </c>
      <c r="DE655" s="27" t="s">
        <v>399</v>
      </c>
      <c r="DF655" s="27" t="s">
        <v>155</v>
      </c>
      <c r="DG655" s="27" t="s">
        <v>134</v>
      </c>
      <c r="DH655" s="27" t="s">
        <v>386</v>
      </c>
      <c r="DI655" s="27" t="s">
        <v>638</v>
      </c>
      <c r="DJ655" s="27" t="s">
        <v>136</v>
      </c>
      <c r="DK655" s="27" t="s">
        <v>134</v>
      </c>
      <c r="DL655" s="27" t="s">
        <v>264</v>
      </c>
      <c r="DM655" s="27" t="s">
        <v>989</v>
      </c>
      <c r="DN655" s="27" t="s">
        <v>161</v>
      </c>
      <c r="DO655" s="27" t="s">
        <v>134</v>
      </c>
      <c r="DP655" s="27" t="s">
        <v>706</v>
      </c>
      <c r="DQ655" s="27" t="s">
        <v>1309</v>
      </c>
      <c r="DR655" s="27" t="s">
        <v>375</v>
      </c>
      <c r="DS655" s="27" t="s">
        <v>480</v>
      </c>
      <c r="DT655" s="27" t="s">
        <v>191</v>
      </c>
      <c r="DU655" s="27" t="s">
        <v>135</v>
      </c>
      <c r="DV655" s="27" t="s">
        <v>638</v>
      </c>
      <c r="DW655" s="27" t="s">
        <v>191</v>
      </c>
      <c r="DX655" s="27" t="s">
        <v>447</v>
      </c>
      <c r="DY655" s="27" t="s">
        <v>486</v>
      </c>
      <c r="DZ655" s="27" t="n">
        <f aca="false">DY655+DV655+DR655+DN655+DJ655+DF655+DB655</f>
        <v>431</v>
      </c>
      <c r="EA655" s="28" t="n">
        <f aca="false">DZ655/7</f>
        <v>61.5714285714286</v>
      </c>
      <c r="EB655" s="27" t="n">
        <f aca="false">RANK(EA655,$EA$2:$EA$881,0)</f>
        <v>766</v>
      </c>
      <c r="EC655" s="29" t="n">
        <f aca="false">DZ655+CQ655+CP655+AZ655</f>
        <v>2104</v>
      </c>
      <c r="ED655" s="30" t="n">
        <f aca="false">(EA655+CV655+BB655)/3</f>
        <v>67.9190476190476</v>
      </c>
      <c r="EE655" s="51" t="n">
        <f aca="false">ROUND(BE655,3)</f>
        <v>85.367</v>
      </c>
      <c r="EF655" s="51" t="n">
        <f aca="false">ROUND(CR655,3)</f>
        <v>65.429</v>
      </c>
      <c r="EG655" s="51" t="n">
        <f aca="false">ROUND(CS655,3)</f>
        <v>60.143</v>
      </c>
      <c r="EH655" s="51" t="n">
        <f aca="false">ROUND(EA655,3)</f>
        <v>61.571</v>
      </c>
      <c r="EI655" s="51" t="n">
        <f aca="false">ROUND(ED655,3)</f>
        <v>67.919</v>
      </c>
      <c r="EJ655" s="51" t="n">
        <f aca="false">ROUND(CV655,3)</f>
        <v>62.786</v>
      </c>
      <c r="EK655" s="0" t="n">
        <f aca="false">RANK(EI655,$EI$2:$EI$881,0)</f>
        <v>654</v>
      </c>
    </row>
    <row r="656" customFormat="false" ht="15" hidden="false" customHeight="false" outlineLevel="0" collapsed="false">
      <c r="A656" s="4" t="n">
        <v>8974</v>
      </c>
      <c r="B656" s="4" t="n">
        <v>110</v>
      </c>
      <c r="C656" s="27" t="s">
        <v>1906</v>
      </c>
      <c r="D656" s="52" t="n">
        <v>110</v>
      </c>
      <c r="E656" s="16" t="n">
        <v>230241841</v>
      </c>
      <c r="F656" s="56" t="s">
        <v>1907</v>
      </c>
      <c r="G656" s="22" t="s">
        <v>1908</v>
      </c>
      <c r="H656" s="22" t="s">
        <v>326</v>
      </c>
      <c r="I656" s="57"/>
      <c r="J656" s="16" t="n">
        <v>80</v>
      </c>
      <c r="K656" s="16" t="n">
        <v>58</v>
      </c>
      <c r="L656" s="34" t="n">
        <f aca="false">(K656*70)/100</f>
        <v>40.6</v>
      </c>
      <c r="M656" s="34" t="n">
        <f aca="false">ROUNDUP(L656,0)</f>
        <v>41</v>
      </c>
      <c r="N656" s="16" t="n">
        <v>18</v>
      </c>
      <c r="O656" s="34" t="n">
        <f aca="false">N656+L656</f>
        <v>58.6</v>
      </c>
      <c r="P656" s="91" t="n">
        <f aca="false">N656+M656</f>
        <v>59</v>
      </c>
      <c r="Q656" s="71" t="n">
        <v>52</v>
      </c>
      <c r="R656" s="16" t="n">
        <v>63</v>
      </c>
      <c r="S656" s="34" t="n">
        <f aca="false">(R656*70)/100</f>
        <v>44.1</v>
      </c>
      <c r="T656" s="34" t="n">
        <f aca="false">ROUNDUP(S656,0)</f>
        <v>45</v>
      </c>
      <c r="U656" s="16" t="n">
        <v>20</v>
      </c>
      <c r="V656" s="34" t="n">
        <f aca="false">U656+S656</f>
        <v>64.1</v>
      </c>
      <c r="W656" s="34" t="n">
        <f aca="false">U656+T656</f>
        <v>65</v>
      </c>
      <c r="X656" s="16" t="n">
        <v>58</v>
      </c>
      <c r="Y656" s="34" t="n">
        <f aca="false">(X656*70)/100</f>
        <v>40.6</v>
      </c>
      <c r="Z656" s="34" t="n">
        <f aca="false">ROUNDUP(Y656,0)</f>
        <v>41</v>
      </c>
      <c r="AA656" s="16" t="n">
        <v>24</v>
      </c>
      <c r="AB656" s="34" t="n">
        <f aca="false">AA656+Y656</f>
        <v>64.6</v>
      </c>
      <c r="AC656" s="34" t="n">
        <f aca="false">AA656+Z656</f>
        <v>65</v>
      </c>
      <c r="AD656" s="32" t="n">
        <f aca="false">X656+R656+Q656+K656+J656</f>
        <v>311</v>
      </c>
      <c r="AE656" s="16" t="n">
        <f aca="false">AD656/5</f>
        <v>62.2</v>
      </c>
      <c r="AF656" s="71" t="n">
        <v>55</v>
      </c>
      <c r="AG656" s="16" t="n">
        <v>68</v>
      </c>
      <c r="AH656" s="16" t="n">
        <v>88</v>
      </c>
      <c r="AI656" s="16" t="n">
        <v>75</v>
      </c>
      <c r="AJ656" s="16" t="n">
        <f aca="false">(AI656*70)/100</f>
        <v>52.5</v>
      </c>
      <c r="AK656" s="35" t="n">
        <f aca="false">ROUNDUP(AJ656,0)</f>
        <v>53</v>
      </c>
      <c r="AL656" s="16" t="n">
        <v>16</v>
      </c>
      <c r="AM656" s="16" t="n">
        <f aca="false">AL656+AJ656</f>
        <v>68.5</v>
      </c>
      <c r="AN656" s="16" t="n">
        <f aca="false">AL656+AK656</f>
        <v>69</v>
      </c>
      <c r="AO656" s="16" t="n">
        <v>61</v>
      </c>
      <c r="AP656" s="36" t="n">
        <f aca="false">(AO656*70)/100</f>
        <v>42.7</v>
      </c>
      <c r="AQ656" s="37" t="n">
        <f aca="false">ROUNDUP(AP656,0)</f>
        <v>43</v>
      </c>
      <c r="AR656" s="16" t="n">
        <v>20</v>
      </c>
      <c r="AS656" s="16" t="n">
        <f aca="false">AR656+AP656</f>
        <v>62.7</v>
      </c>
      <c r="AT656" s="16" t="n">
        <f aca="false">AR656+AQ656</f>
        <v>63</v>
      </c>
      <c r="AU656" s="16" t="n">
        <f aca="false">AO656+AF656+AI656+AH656+AG656</f>
        <v>347</v>
      </c>
      <c r="AV656" s="16" t="n">
        <f aca="false">(AO656+AF656+AI656+AH656+AG656)/5</f>
        <v>69.4</v>
      </c>
      <c r="AW656" s="36" t="n">
        <f aca="false">(AO656+AF656+AI656+AH656+AG656+X656+R656+Q656+K656+J656)</f>
        <v>658</v>
      </c>
      <c r="AX656" s="16" t="n">
        <f aca="false">AW656/10</f>
        <v>65.8</v>
      </c>
      <c r="AY656" s="16" t="n">
        <f aca="false">AS656+AF656+AM656+AH656+AG656+AB656+V656+Q656+O656+J656</f>
        <v>661.5</v>
      </c>
      <c r="AZ656" s="16" t="n">
        <f aca="false">AT656+AF656+AN656+AH656+AG656+AC656+W656+Q656+P656+J656</f>
        <v>664</v>
      </c>
      <c r="BA656" s="16" t="n">
        <f aca="false">AY656/10</f>
        <v>66.15</v>
      </c>
      <c r="BB656" s="16" t="n">
        <f aca="false">AZ656/10</f>
        <v>66.4</v>
      </c>
      <c r="BC656" s="16" t="n">
        <v>2333</v>
      </c>
      <c r="BD656" s="16" t="n">
        <f aca="false">RANK(AX656,$AX$2:$AX$881,0)</f>
        <v>760</v>
      </c>
      <c r="BE656" s="78" t="n">
        <f aca="false">((BC656*100)/2400)*0.4+(AX656*0.6)</f>
        <v>78.3633333333333</v>
      </c>
      <c r="BF656" s="16" t="n">
        <f aca="false">RANK(BE656,$BE$2:$BE$881,0)</f>
        <v>744</v>
      </c>
      <c r="BG656" s="39" t="n">
        <f aca="false">RANK(BB656,$BB$2:$BB$881,0)</f>
        <v>776</v>
      </c>
      <c r="BH656" s="39" t="n">
        <f aca="false">RANK(BC656,$BC$2:$BC$881,0)</f>
        <v>697</v>
      </c>
      <c r="BI656" s="22" t="s">
        <v>130</v>
      </c>
      <c r="BJ656" s="22" t="s">
        <v>129</v>
      </c>
      <c r="BK656" s="40" t="s">
        <v>702</v>
      </c>
      <c r="BL656" s="41" t="n">
        <v>16</v>
      </c>
      <c r="BM656" s="41" t="n">
        <v>35</v>
      </c>
      <c r="BN656" s="98" t="n">
        <v>51</v>
      </c>
      <c r="BO656" s="42" t="n">
        <v>15</v>
      </c>
      <c r="BP656" s="43" t="n">
        <v>51</v>
      </c>
      <c r="BQ656" s="44" t="n">
        <v>66</v>
      </c>
      <c r="BR656" s="42" t="n">
        <v>21</v>
      </c>
      <c r="BS656" s="45" t="n">
        <v>48</v>
      </c>
      <c r="BT656" s="45" t="n">
        <v>69</v>
      </c>
      <c r="BU656" s="46" t="n">
        <v>100</v>
      </c>
      <c r="BV656" s="47" t="n">
        <v>70</v>
      </c>
      <c r="BW656" s="42" t="n">
        <v>99</v>
      </c>
      <c r="BX656" s="48" t="n">
        <v>80</v>
      </c>
      <c r="BY656" s="32" t="n">
        <v>20</v>
      </c>
      <c r="BZ656" s="32" t="n">
        <v>46</v>
      </c>
      <c r="CA656" s="48" t="n">
        <v>66</v>
      </c>
      <c r="CB656" s="32" t="n">
        <v>16</v>
      </c>
      <c r="CC656" s="32" t="n">
        <v>33</v>
      </c>
      <c r="CD656" s="69" t="n">
        <v>49</v>
      </c>
      <c r="CE656" s="32" t="n">
        <v>14</v>
      </c>
      <c r="CF656" s="32" t="n">
        <v>25</v>
      </c>
      <c r="CG656" s="69" t="n">
        <v>39</v>
      </c>
      <c r="CH656" s="32" t="n">
        <v>93</v>
      </c>
      <c r="CI656" s="32" t="n">
        <v>66</v>
      </c>
      <c r="CJ656" s="49" t="n">
        <v>18</v>
      </c>
      <c r="CK656" s="49" t="n">
        <v>47</v>
      </c>
      <c r="CL656" s="84" t="n">
        <v>65</v>
      </c>
      <c r="CM656" s="49" t="n">
        <v>20</v>
      </c>
      <c r="CN656" s="49" t="n">
        <v>42</v>
      </c>
      <c r="CO656" s="49" t="n">
        <v>62</v>
      </c>
      <c r="CP656" s="25" t="n">
        <f aca="false">BX656+BW656+BV656+BU656+BT656+BQ656+BN656</f>
        <v>535</v>
      </c>
      <c r="CQ656" s="25" t="n">
        <f aca="false">CO656+CL656+CI656+CH656+CG656+CD656+CA656</f>
        <v>440</v>
      </c>
      <c r="CR656" s="26" t="n">
        <f aca="false">CP656/7</f>
        <v>76.4285714285714</v>
      </c>
      <c r="CS656" s="26" t="n">
        <f aca="false">CQ656/7</f>
        <v>62.8571428571429</v>
      </c>
      <c r="CT656" s="24" t="n">
        <f aca="false">RANK(CR656,$CR$2:$CR$881,0)</f>
        <v>632</v>
      </c>
      <c r="CU656" s="25" t="n">
        <f aca="false">RANK(CS656,$CS$2:$CS$881,0)</f>
        <v>654</v>
      </c>
      <c r="CV656" s="26" t="n">
        <f aca="false">(CS656+CR656)/2</f>
        <v>69.6428571428571</v>
      </c>
      <c r="CW656" s="25" t="n">
        <f aca="false">RANK(CV656,$CV$2:$CV$881,0)</f>
        <v>635</v>
      </c>
      <c r="CX656" s="50" t="n">
        <f aca="false">(CV656+BB656)/2</f>
        <v>68.0214285714286</v>
      </c>
      <c r="CY656" s="50" t="n">
        <v>629</v>
      </c>
      <c r="CZ656" s="27" t="s">
        <v>132</v>
      </c>
      <c r="DA656" s="27" t="s">
        <v>163</v>
      </c>
      <c r="DB656" s="27" t="s">
        <v>163</v>
      </c>
      <c r="DC656" s="27" t="s">
        <v>134</v>
      </c>
      <c r="DD656" s="27" t="s">
        <v>154</v>
      </c>
      <c r="DE656" s="27" t="s">
        <v>681</v>
      </c>
      <c r="DF656" s="27" t="s">
        <v>138</v>
      </c>
      <c r="DG656" s="27" t="s">
        <v>134</v>
      </c>
      <c r="DH656" s="27" t="s">
        <v>182</v>
      </c>
      <c r="DI656" s="27" t="s">
        <v>897</v>
      </c>
      <c r="DJ656" s="27" t="s">
        <v>141</v>
      </c>
      <c r="DK656" s="27" t="s">
        <v>134</v>
      </c>
      <c r="DL656" s="27" t="s">
        <v>174</v>
      </c>
      <c r="DM656" s="27" t="s">
        <v>989</v>
      </c>
      <c r="DN656" s="27" t="s">
        <v>152</v>
      </c>
      <c r="DO656" s="27" t="s">
        <v>134</v>
      </c>
      <c r="DP656" s="27" t="s">
        <v>386</v>
      </c>
      <c r="DQ656" s="27" t="s">
        <v>645</v>
      </c>
      <c r="DR656" s="27" t="s">
        <v>203</v>
      </c>
      <c r="DS656" s="27" t="s">
        <v>134</v>
      </c>
      <c r="DT656" s="27" t="s">
        <v>164</v>
      </c>
      <c r="DU656" s="27" t="s">
        <v>1423</v>
      </c>
      <c r="DV656" s="27" t="s">
        <v>183</v>
      </c>
      <c r="DW656" s="27" t="s">
        <v>174</v>
      </c>
      <c r="DX656" s="27" t="s">
        <v>141</v>
      </c>
      <c r="DY656" s="27" t="s">
        <v>162</v>
      </c>
      <c r="DZ656" s="27" t="n">
        <f aca="false">DY656+DV656+DR656+DN656+DJ656+DF656+DB656</f>
        <v>474</v>
      </c>
      <c r="EA656" s="28" t="n">
        <f aca="false">DZ656/7</f>
        <v>67.7142857142857</v>
      </c>
      <c r="EB656" s="27" t="n">
        <f aca="false">RANK(EA656,$EA$2:$EA$881,0)</f>
        <v>697</v>
      </c>
      <c r="EC656" s="29" t="n">
        <f aca="false">DZ656+CQ656+CP656+AZ656</f>
        <v>2113</v>
      </c>
      <c r="ED656" s="30" t="n">
        <f aca="false">(EA656+CV656+BB656)/3</f>
        <v>67.9190476190476</v>
      </c>
      <c r="EE656" s="51" t="n">
        <f aca="false">ROUND(BE656,3)</f>
        <v>78.363</v>
      </c>
      <c r="EF656" s="51" t="n">
        <f aca="false">ROUND(CR656,3)</f>
        <v>76.429</v>
      </c>
      <c r="EG656" s="51" t="n">
        <f aca="false">ROUND(CS656,3)</f>
        <v>62.857</v>
      </c>
      <c r="EH656" s="51" t="n">
        <f aca="false">ROUND(EA656,3)</f>
        <v>67.714</v>
      </c>
      <c r="EI656" s="51" t="n">
        <f aca="false">ROUND(ED656,3)</f>
        <v>67.919</v>
      </c>
      <c r="EJ656" s="51" t="n">
        <f aca="false">ROUND(CV656,3)</f>
        <v>69.643</v>
      </c>
      <c r="EK656" s="0" t="n">
        <f aca="false">RANK(EI656,$EI$2:$EI$881,0)</f>
        <v>654</v>
      </c>
    </row>
    <row r="657" customFormat="false" ht="15" hidden="false" customHeight="false" outlineLevel="0" collapsed="false">
      <c r="A657" s="4" t="n">
        <v>8909</v>
      </c>
      <c r="B657" s="4" t="n">
        <v>636</v>
      </c>
      <c r="C657" s="27" t="s">
        <v>1909</v>
      </c>
      <c r="D657" s="31" t="n">
        <v>645</v>
      </c>
      <c r="E657" s="32" t="n">
        <v>230327545</v>
      </c>
      <c r="F657" s="8" t="s">
        <v>1910</v>
      </c>
      <c r="G657" s="22" t="s">
        <v>1620</v>
      </c>
      <c r="H657" s="22" t="s">
        <v>129</v>
      </c>
      <c r="I657" s="33" t="n">
        <v>2004</v>
      </c>
      <c r="J657" s="32" t="n">
        <v>78</v>
      </c>
      <c r="K657" s="32" t="n">
        <v>70</v>
      </c>
      <c r="L657" s="34" t="n">
        <f aca="false">(K657*70)/100</f>
        <v>49</v>
      </c>
      <c r="M657" s="34" t="n">
        <f aca="false">ROUNDUP(L657,0)</f>
        <v>49</v>
      </c>
      <c r="N657" s="32" t="n">
        <v>23</v>
      </c>
      <c r="O657" s="34" t="n">
        <f aca="false">N657+L657</f>
        <v>72</v>
      </c>
      <c r="P657" s="34" t="n">
        <f aca="false">N657+M657</f>
        <v>72</v>
      </c>
      <c r="Q657" s="32" t="n">
        <v>68</v>
      </c>
      <c r="R657" s="32" t="n">
        <v>61</v>
      </c>
      <c r="S657" s="34" t="n">
        <f aca="false">(R657*70)/100</f>
        <v>42.7</v>
      </c>
      <c r="T657" s="34" t="n">
        <f aca="false">ROUNDUP(S657,0)</f>
        <v>43</v>
      </c>
      <c r="U657" s="32" t="n">
        <v>17</v>
      </c>
      <c r="V657" s="34" t="n">
        <f aca="false">U657+S657</f>
        <v>59.7</v>
      </c>
      <c r="W657" s="34" t="n">
        <f aca="false">U657+T657</f>
        <v>60</v>
      </c>
      <c r="X657" s="32" t="n">
        <v>60</v>
      </c>
      <c r="Y657" s="34" t="n">
        <f aca="false">(X657*70)/100</f>
        <v>42</v>
      </c>
      <c r="Z657" s="34" t="n">
        <f aca="false">ROUNDUP(Y657,0)</f>
        <v>42</v>
      </c>
      <c r="AA657" s="32" t="n">
        <v>25</v>
      </c>
      <c r="AB657" s="34" t="n">
        <f aca="false">AA657+Y657</f>
        <v>67</v>
      </c>
      <c r="AC657" s="34" t="n">
        <f aca="false">AA657+Z657</f>
        <v>67</v>
      </c>
      <c r="AD657" s="32" t="n">
        <f aca="false">X657+R657+Q657+K657+J657</f>
        <v>337</v>
      </c>
      <c r="AE657" s="16" t="n">
        <f aca="false">AD657/5</f>
        <v>67.4</v>
      </c>
      <c r="AF657" s="16" t="n">
        <v>63</v>
      </c>
      <c r="AG657" s="16" t="n">
        <v>85</v>
      </c>
      <c r="AH657" s="16" t="n">
        <v>90</v>
      </c>
      <c r="AI657" s="16" t="n">
        <v>77</v>
      </c>
      <c r="AJ657" s="16" t="n">
        <f aca="false">(AI657*70)/100</f>
        <v>53.9</v>
      </c>
      <c r="AK657" s="35" t="n">
        <f aca="false">ROUNDUP(AJ657,0)</f>
        <v>54</v>
      </c>
      <c r="AL657" s="16" t="n">
        <v>25</v>
      </c>
      <c r="AM657" s="16" t="n">
        <f aca="false">AL657+AJ657</f>
        <v>78.9</v>
      </c>
      <c r="AN657" s="16" t="n">
        <f aca="false">AL657+AK657</f>
        <v>79</v>
      </c>
      <c r="AO657" s="16" t="n">
        <v>60</v>
      </c>
      <c r="AP657" s="36" t="n">
        <f aca="false">(AO657*70)/100</f>
        <v>42</v>
      </c>
      <c r="AQ657" s="37" t="n">
        <f aca="false">ROUNDUP(AP657,0)</f>
        <v>42</v>
      </c>
      <c r="AR657" s="16" t="n">
        <v>26</v>
      </c>
      <c r="AS657" s="16" t="n">
        <f aca="false">AR657+AP657</f>
        <v>68</v>
      </c>
      <c r="AT657" s="16" t="n">
        <f aca="false">AR657+AQ657</f>
        <v>68</v>
      </c>
      <c r="AU657" s="16" t="n">
        <f aca="false">AO657+AF657+AI657+AH657+AG657</f>
        <v>375</v>
      </c>
      <c r="AV657" s="16" t="n">
        <f aca="false">(AO657+AF657+AI657+AH657+AG657)/5</f>
        <v>75</v>
      </c>
      <c r="AW657" s="36" t="n">
        <f aca="false">(AO657+AF657+AI657+AH657+AG657+X657+R657+Q657+K657+J657)</f>
        <v>712</v>
      </c>
      <c r="AX657" s="16" t="n">
        <f aca="false">AW657/10</f>
        <v>71.2</v>
      </c>
      <c r="AY657" s="16" t="n">
        <f aca="false">AS657+AF657+AM657+AH657+AG657+AB657+V657+Q657+O657+J657</f>
        <v>729.6</v>
      </c>
      <c r="AZ657" s="16" t="n">
        <f aca="false">AT657+AF657+AN657+AH657+AG657+AC657+W657+Q657+P657+J657</f>
        <v>730</v>
      </c>
      <c r="BA657" s="16" t="n">
        <f aca="false">AY657/10</f>
        <v>72.96</v>
      </c>
      <c r="BB657" s="16" t="n">
        <f aca="false">AZ657/10</f>
        <v>73</v>
      </c>
      <c r="BC657" s="16" t="n">
        <v>2354</v>
      </c>
      <c r="BD657" s="16" t="n">
        <f aca="false">RANK(AX657,$AX$2:$AX$881,0)</f>
        <v>726</v>
      </c>
      <c r="BE657" s="73" t="n">
        <f aca="false">((BC657*100)/2400)*0.4+(AX657*0.6)</f>
        <v>81.9533333333333</v>
      </c>
      <c r="BF657" s="16" t="n">
        <f aca="false">RANK(BE657,$BE$2:$BE$881,0)</f>
        <v>714</v>
      </c>
      <c r="BG657" s="39" t="n">
        <f aca="false">RANK(BB657,$BB$2:$BB$881,0)</f>
        <v>717</v>
      </c>
      <c r="BH657" s="39" t="n">
        <f aca="false">RANK(BC657,$BC$2:$BC$881,0)</f>
        <v>490</v>
      </c>
      <c r="BI657" s="22" t="s">
        <v>130</v>
      </c>
      <c r="BJ657" s="22" t="s">
        <v>129</v>
      </c>
      <c r="BK657" s="40" t="s">
        <v>702</v>
      </c>
      <c r="BL657" s="41" t="n">
        <v>16</v>
      </c>
      <c r="BM657" s="41" t="n">
        <v>45</v>
      </c>
      <c r="BN657" s="41" t="n">
        <v>61</v>
      </c>
      <c r="BO657" s="42" t="n">
        <v>21</v>
      </c>
      <c r="BP657" s="43" t="n">
        <v>54</v>
      </c>
      <c r="BQ657" s="44" t="n">
        <v>75</v>
      </c>
      <c r="BR657" s="42" t="n">
        <v>19</v>
      </c>
      <c r="BS657" s="45" t="n">
        <v>49</v>
      </c>
      <c r="BT657" s="45" t="n">
        <v>68</v>
      </c>
      <c r="BU657" s="46" t="n">
        <v>98</v>
      </c>
      <c r="BV657" s="47" t="n">
        <v>84</v>
      </c>
      <c r="BW657" s="42" t="n">
        <v>92</v>
      </c>
      <c r="BX657" s="48" t="n">
        <v>84</v>
      </c>
      <c r="BY657" s="32" t="n">
        <v>21</v>
      </c>
      <c r="BZ657" s="68" t="n">
        <v>55</v>
      </c>
      <c r="CA657" s="62" t="n">
        <v>76</v>
      </c>
      <c r="CB657" s="32" t="n">
        <v>18</v>
      </c>
      <c r="CC657" s="32" t="n">
        <v>30</v>
      </c>
      <c r="CD657" s="69" t="n">
        <v>48</v>
      </c>
      <c r="CE657" s="32" t="n">
        <v>19</v>
      </c>
      <c r="CF657" s="60"/>
      <c r="CG657" s="60"/>
      <c r="CH657" s="32" t="n">
        <v>95</v>
      </c>
      <c r="CI657" s="32" t="n">
        <v>96</v>
      </c>
      <c r="CJ657" s="49" t="n">
        <v>18</v>
      </c>
      <c r="CK657" s="49" t="n">
        <v>56</v>
      </c>
      <c r="CL657" s="84" t="n">
        <v>74</v>
      </c>
      <c r="CM657" s="49" t="n">
        <v>16</v>
      </c>
      <c r="CN657" s="49" t="n">
        <v>53</v>
      </c>
      <c r="CO657" s="49" t="n">
        <v>69</v>
      </c>
      <c r="CP657" s="25" t="n">
        <f aca="false">BX657+BW657+BV657+BU657+BT657+BQ657+BN657</f>
        <v>562</v>
      </c>
      <c r="CQ657" s="25" t="n">
        <f aca="false">CO657+CL657+CI657+CH657+CG657+CD657+CA657</f>
        <v>458</v>
      </c>
      <c r="CR657" s="26" t="n">
        <f aca="false">CP657/7</f>
        <v>80.2857142857143</v>
      </c>
      <c r="CS657" s="26" t="n">
        <f aca="false">CQ657/7</f>
        <v>65.4285714285714</v>
      </c>
      <c r="CT657" s="24" t="n">
        <f aca="false">RANK(CR657,$CR$2:$CR$881,0)</f>
        <v>581</v>
      </c>
      <c r="CU657" s="25" t="n">
        <f aca="false">RANK(CS657,$CS$2:$CS$881,0)</f>
        <v>621</v>
      </c>
      <c r="CV657" s="26" t="n">
        <f aca="false">(CS657+CR657)/2</f>
        <v>72.8571428571429</v>
      </c>
      <c r="CW657" s="25" t="n">
        <f aca="false">RANK(CV657,$CV$2:$CV$881,0)</f>
        <v>605</v>
      </c>
      <c r="CX657" s="50" t="n">
        <f aca="false">(CV657+BB657)/2</f>
        <v>72.9285714285714</v>
      </c>
      <c r="CY657" s="50" t="n">
        <v>614</v>
      </c>
      <c r="CZ657" s="27" t="s">
        <v>132</v>
      </c>
      <c r="DA657" s="27" t="s">
        <v>305</v>
      </c>
      <c r="DB657" s="27" t="s">
        <v>305</v>
      </c>
      <c r="DC657" s="27" t="s">
        <v>134</v>
      </c>
      <c r="DD657" s="27" t="s">
        <v>182</v>
      </c>
      <c r="DE657" s="27" t="s">
        <v>204</v>
      </c>
      <c r="DF657" s="27" t="s">
        <v>169</v>
      </c>
      <c r="DG657" s="27" t="s">
        <v>134</v>
      </c>
      <c r="DH657" s="27" t="s">
        <v>174</v>
      </c>
      <c r="DI657" s="27" t="s">
        <v>481</v>
      </c>
      <c r="DJ657" s="27" t="s">
        <v>204</v>
      </c>
      <c r="DK657" s="27" t="s">
        <v>480</v>
      </c>
      <c r="DL657" s="27" t="s">
        <v>264</v>
      </c>
      <c r="DM657" s="27" t="s">
        <v>375</v>
      </c>
      <c r="DN657" s="27" t="s">
        <v>138</v>
      </c>
      <c r="DO657" s="27" t="s">
        <v>134</v>
      </c>
      <c r="DP657" s="27"/>
      <c r="DQ657" s="27"/>
      <c r="DR657" s="27"/>
      <c r="DS657" s="27"/>
      <c r="DT657" s="27" t="s">
        <v>154</v>
      </c>
      <c r="DU657" s="27" t="s">
        <v>619</v>
      </c>
      <c r="DV657" s="27" t="s">
        <v>154</v>
      </c>
      <c r="DW657" s="27" t="s">
        <v>154</v>
      </c>
      <c r="DX657" s="27" t="s">
        <v>138</v>
      </c>
      <c r="DY657" s="27" t="s">
        <v>176</v>
      </c>
      <c r="DZ657" s="27" t="n">
        <f aca="false">DY657+DV657+DR657+DN657+DJ657+DF657+DB657</f>
        <v>404</v>
      </c>
      <c r="EA657" s="28" t="n">
        <f aca="false">DZ657/7</f>
        <v>57.7142857142857</v>
      </c>
      <c r="EB657" s="27" t="n">
        <f aca="false">RANK(EA657,$EA$2:$EA$881,0)</f>
        <v>809</v>
      </c>
      <c r="EC657" s="29" t="n">
        <f aca="false">DZ657+CQ657+CP657+AZ657</f>
        <v>2154</v>
      </c>
      <c r="ED657" s="30" t="n">
        <f aca="false">(EA657+CV657+BB657)/3</f>
        <v>67.8571428571429</v>
      </c>
      <c r="EE657" s="51" t="n">
        <f aca="false">ROUND(BE657,3)</f>
        <v>81.953</v>
      </c>
      <c r="EF657" s="51" t="n">
        <f aca="false">ROUND(CR657,3)</f>
        <v>80.286</v>
      </c>
      <c r="EG657" s="51" t="n">
        <f aca="false">ROUND(CS657,3)</f>
        <v>65.429</v>
      </c>
      <c r="EH657" s="51" t="n">
        <f aca="false">ROUND(EA657,3)</f>
        <v>57.714</v>
      </c>
      <c r="EI657" s="51" t="n">
        <f aca="false">ROUND(ED657,3)</f>
        <v>67.857</v>
      </c>
      <c r="EJ657" s="51" t="n">
        <f aca="false">ROUND(CV657,3)</f>
        <v>72.857</v>
      </c>
      <c r="EK657" s="0" t="n">
        <f aca="false">RANK(EI657,$EI$2:$EI$881,0)</f>
        <v>656</v>
      </c>
    </row>
    <row r="658" customFormat="false" ht="15" hidden="false" customHeight="false" outlineLevel="0" collapsed="false">
      <c r="A658" s="4" t="n">
        <v>1943</v>
      </c>
      <c r="B658" s="4" t="n">
        <v>340</v>
      </c>
      <c r="C658" s="27" t="s">
        <v>1911</v>
      </c>
      <c r="D658" s="31" t="n">
        <v>342</v>
      </c>
      <c r="E658" s="16" t="n">
        <v>230119562</v>
      </c>
      <c r="F658" s="56" t="s">
        <v>1912</v>
      </c>
      <c r="G658" s="22" t="s">
        <v>1913</v>
      </c>
      <c r="H658" s="22" t="s">
        <v>326</v>
      </c>
      <c r="I658" s="57"/>
      <c r="J658" s="16" t="n">
        <v>76</v>
      </c>
      <c r="K658" s="16" t="n">
        <v>80</v>
      </c>
      <c r="L658" s="34" t="n">
        <f aca="false">(K658*70)/100</f>
        <v>56</v>
      </c>
      <c r="M658" s="34" t="n">
        <f aca="false">ROUNDUP(L658,0)</f>
        <v>56</v>
      </c>
      <c r="N658" s="16" t="n">
        <v>23</v>
      </c>
      <c r="O658" s="34" t="n">
        <f aca="false">N658+L658</f>
        <v>79</v>
      </c>
      <c r="P658" s="34" t="n">
        <f aca="false">N658+M658</f>
        <v>79</v>
      </c>
      <c r="Q658" s="71" t="n">
        <v>54</v>
      </c>
      <c r="R658" s="16" t="n">
        <v>82</v>
      </c>
      <c r="S658" s="34" t="n">
        <f aca="false">(R658*70)/100</f>
        <v>57.4</v>
      </c>
      <c r="T658" s="34" t="n">
        <f aca="false">ROUNDUP(S658,0)</f>
        <v>58</v>
      </c>
      <c r="U658" s="16" t="n">
        <v>23</v>
      </c>
      <c r="V658" s="34" t="n">
        <f aca="false">U658+S658</f>
        <v>80.4</v>
      </c>
      <c r="W658" s="34" t="n">
        <f aca="false">U658+T658</f>
        <v>81</v>
      </c>
      <c r="X658" s="16" t="n">
        <v>71</v>
      </c>
      <c r="Y658" s="34" t="n">
        <f aca="false">(X658*70)/100</f>
        <v>49.7</v>
      </c>
      <c r="Z658" s="34" t="n">
        <f aca="false">ROUNDUP(Y658,0)</f>
        <v>50</v>
      </c>
      <c r="AA658" s="16" t="n">
        <v>24</v>
      </c>
      <c r="AB658" s="34" t="n">
        <f aca="false">AA658+Y658</f>
        <v>73.7</v>
      </c>
      <c r="AC658" s="34" t="n">
        <f aca="false">AA658+Z658</f>
        <v>74</v>
      </c>
      <c r="AD658" s="32" t="n">
        <f aca="false">X658+R658+Q658+K658+J658</f>
        <v>363</v>
      </c>
      <c r="AE658" s="16" t="n">
        <f aca="false">AD658/5</f>
        <v>72.6</v>
      </c>
      <c r="AF658" s="71" t="n">
        <v>51</v>
      </c>
      <c r="AG658" s="16" t="n">
        <v>77</v>
      </c>
      <c r="AH658" s="16" t="n">
        <v>93</v>
      </c>
      <c r="AI658" s="16" t="n">
        <v>89</v>
      </c>
      <c r="AJ658" s="16" t="n">
        <f aca="false">(AI658*70)/100</f>
        <v>62.3</v>
      </c>
      <c r="AK658" s="35" t="n">
        <f aca="false">ROUNDUP(AJ658,0)</f>
        <v>63</v>
      </c>
      <c r="AL658" s="16" t="n">
        <v>26</v>
      </c>
      <c r="AM658" s="16" t="n">
        <f aca="false">AL658+AJ658</f>
        <v>88.3</v>
      </c>
      <c r="AN658" s="16" t="n">
        <f aca="false">AL658+AK658</f>
        <v>89</v>
      </c>
      <c r="AO658" s="16" t="n">
        <v>81</v>
      </c>
      <c r="AP658" s="36" t="n">
        <f aca="false">(AO658*70)/100</f>
        <v>56.7</v>
      </c>
      <c r="AQ658" s="37" t="n">
        <f aca="false">ROUNDUP(AP658,0)</f>
        <v>57</v>
      </c>
      <c r="AR658" s="16" t="n">
        <v>25</v>
      </c>
      <c r="AS658" s="16" t="n">
        <f aca="false">AR658+AP658</f>
        <v>81.7</v>
      </c>
      <c r="AT658" s="16" t="n">
        <f aca="false">AR658+AQ658</f>
        <v>82</v>
      </c>
      <c r="AU658" s="16" t="n">
        <f aca="false">AO658+AF658+AI658+AH658+AG658</f>
        <v>391</v>
      </c>
      <c r="AV658" s="16" t="n">
        <f aca="false">(AO658+AF658+AI658+AH658+AG658)/5</f>
        <v>78.2</v>
      </c>
      <c r="AW658" s="36" t="n">
        <f aca="false">(AO658+AF658+AI658+AH658+AG658+X658+R658+Q658+K658+J658)</f>
        <v>754</v>
      </c>
      <c r="AX658" s="16" t="n">
        <f aca="false">AW658/10</f>
        <v>75.4</v>
      </c>
      <c r="AY658" s="16" t="n">
        <f aca="false">AS658+AF658+AM658+AH658+AG658+AB658+V658+Q658+O658+J658</f>
        <v>754.1</v>
      </c>
      <c r="AZ658" s="16" t="n">
        <f aca="false">AT658+AF658+AN658+AH658+AG658+AC658+W658+Q658+P658+J658</f>
        <v>756</v>
      </c>
      <c r="BA658" s="16" t="n">
        <f aca="false">AY658/10</f>
        <v>75.41</v>
      </c>
      <c r="BB658" s="16" t="n">
        <f aca="false">AZ658/10</f>
        <v>75.6</v>
      </c>
      <c r="BC658" s="16" t="n">
        <v>2376</v>
      </c>
      <c r="BD658" s="16" t="n">
        <f aca="false">RANK(AX658,$AX$2:$AX$881,0)</f>
        <v>665</v>
      </c>
      <c r="BE658" s="73" t="n">
        <f aca="false">((BC658*100)/2400)*0.4+(AX658*0.6)</f>
        <v>84.84</v>
      </c>
      <c r="BF658" s="16" t="n">
        <f aca="false">RANK(BE658,$BE$2:$BE$881,0)</f>
        <v>646</v>
      </c>
      <c r="BG658" s="39" t="n">
        <f aca="false">RANK(BB658,$BB$2:$BB$881,0)</f>
        <v>691</v>
      </c>
      <c r="BH658" s="39" t="n">
        <f aca="false">RANK(BC658,$BC$2:$BC$881,0)</f>
        <v>203</v>
      </c>
      <c r="BI658" s="22" t="s">
        <v>130</v>
      </c>
      <c r="BJ658" s="22" t="s">
        <v>129</v>
      </c>
      <c r="BK658" s="22" t="s">
        <v>509</v>
      </c>
      <c r="BL658" s="41" t="n">
        <v>14</v>
      </c>
      <c r="BM658" s="41" t="n">
        <v>50</v>
      </c>
      <c r="BN658" s="41" t="n">
        <v>64</v>
      </c>
      <c r="BO658" s="42" t="n">
        <v>15</v>
      </c>
      <c r="BP658" s="43" t="n">
        <v>45</v>
      </c>
      <c r="BQ658" s="44" t="n">
        <v>60</v>
      </c>
      <c r="BR658" s="42" t="n">
        <v>22</v>
      </c>
      <c r="BS658" s="45" t="n">
        <v>55</v>
      </c>
      <c r="BT658" s="45" t="n">
        <v>77</v>
      </c>
      <c r="BU658" s="77" t="n">
        <v>92</v>
      </c>
      <c r="BV658" s="47" t="n">
        <v>72</v>
      </c>
      <c r="BW658" s="43" t="n">
        <v>80</v>
      </c>
      <c r="BX658" s="48" t="n">
        <v>88</v>
      </c>
      <c r="BY658" s="32" t="n">
        <v>18</v>
      </c>
      <c r="BZ658" s="32" t="n">
        <v>38</v>
      </c>
      <c r="CA658" s="69" t="n">
        <v>56</v>
      </c>
      <c r="CB658" s="32" t="n">
        <v>22</v>
      </c>
      <c r="CC658" s="32" t="n">
        <v>37</v>
      </c>
      <c r="CD658" s="69" t="n">
        <v>59</v>
      </c>
      <c r="CE658" s="32" t="n">
        <v>24</v>
      </c>
      <c r="CF658" s="32" t="n">
        <v>49</v>
      </c>
      <c r="CG658" s="32" t="n">
        <v>73</v>
      </c>
      <c r="CH658" s="32" t="n">
        <v>96</v>
      </c>
      <c r="CI658" s="32" t="n">
        <v>90</v>
      </c>
      <c r="CJ658" s="60"/>
      <c r="CK658" s="60"/>
      <c r="CL658" s="61"/>
      <c r="CM658" s="49" t="n">
        <v>16</v>
      </c>
      <c r="CN658" s="49" t="n">
        <v>44</v>
      </c>
      <c r="CO658" s="49" t="n">
        <v>60</v>
      </c>
      <c r="CP658" s="25" t="n">
        <f aca="false">BX658+BW658+BV658+BU658+BT658+BQ658+BN658</f>
        <v>533</v>
      </c>
      <c r="CQ658" s="25" t="n">
        <f aca="false">CO658+CL658+CI658+CH658+CG658+CD658+CA658</f>
        <v>434</v>
      </c>
      <c r="CR658" s="26" t="n">
        <f aca="false">CP658/7</f>
        <v>76.1428571428571</v>
      </c>
      <c r="CS658" s="26" t="n">
        <f aca="false">CQ658/7</f>
        <v>62</v>
      </c>
      <c r="CT658" s="24" t="n">
        <f aca="false">RANK(CR658,$CR$2:$CR$881,0)</f>
        <v>634</v>
      </c>
      <c r="CU658" s="25" t="n">
        <f aca="false">RANK(CS658,$CS$2:$CS$881,0)</f>
        <v>664</v>
      </c>
      <c r="CV658" s="26" t="n">
        <f aca="false">(CS658+CR658)/2</f>
        <v>69.0714285714286</v>
      </c>
      <c r="CW658" s="25" t="n">
        <f aca="false">RANK(CV658,$CV$2:$CV$881,0)</f>
        <v>644</v>
      </c>
      <c r="CX658" s="50" t="n">
        <f aca="false">(CV658+BB658)/2</f>
        <v>72.3357142857143</v>
      </c>
      <c r="CY658" s="50" t="n">
        <v>592</v>
      </c>
      <c r="CZ658" s="27" t="s">
        <v>132</v>
      </c>
      <c r="DA658" s="27" t="s">
        <v>133</v>
      </c>
      <c r="DB658" s="27" t="s">
        <v>133</v>
      </c>
      <c r="DC658" s="27" t="s">
        <v>134</v>
      </c>
      <c r="DD658" s="27" t="s">
        <v>706</v>
      </c>
      <c r="DE658" s="27" t="s">
        <v>399</v>
      </c>
      <c r="DF658" s="27" t="s">
        <v>136</v>
      </c>
      <c r="DG658" s="27" t="s">
        <v>134</v>
      </c>
      <c r="DH658" s="27" t="s">
        <v>264</v>
      </c>
      <c r="DI658" s="27" t="s">
        <v>313</v>
      </c>
      <c r="DJ658" s="27" t="s">
        <v>416</v>
      </c>
      <c r="DK658" s="27" t="s">
        <v>134</v>
      </c>
      <c r="DL658" s="27" t="s">
        <v>191</v>
      </c>
      <c r="DM658" s="27" t="s">
        <v>375</v>
      </c>
      <c r="DN658" s="27" t="s">
        <v>155</v>
      </c>
      <c r="DO658" s="27" t="s">
        <v>134</v>
      </c>
      <c r="DP658" s="27"/>
      <c r="DQ658" s="27"/>
      <c r="DR658" s="27"/>
      <c r="DS658" s="27"/>
      <c r="DT658" s="27" t="s">
        <v>182</v>
      </c>
      <c r="DU658" s="27" t="s">
        <v>897</v>
      </c>
      <c r="DV658" s="27" t="s">
        <v>141</v>
      </c>
      <c r="DW658" s="27" t="s">
        <v>825</v>
      </c>
      <c r="DX658" s="27" t="s">
        <v>906</v>
      </c>
      <c r="DY658" s="27" t="s">
        <v>412</v>
      </c>
      <c r="DZ658" s="27" t="n">
        <f aca="false">DY658+DV658+DR658+DN658+DJ658+DF658+DB658</f>
        <v>410</v>
      </c>
      <c r="EA658" s="28" t="n">
        <f aca="false">DZ658/7</f>
        <v>58.5714285714286</v>
      </c>
      <c r="EB658" s="27" t="n">
        <f aca="false">RANK(EA658,$EA$2:$EA$881,0)</f>
        <v>796</v>
      </c>
      <c r="EC658" s="29" t="n">
        <f aca="false">DZ658+CQ658+CP658+AZ658</f>
        <v>2133</v>
      </c>
      <c r="ED658" s="30" t="n">
        <f aca="false">(EA658+CV658+BB658)/3</f>
        <v>67.747619047619</v>
      </c>
      <c r="EE658" s="51" t="n">
        <f aca="false">ROUND(BE658,3)</f>
        <v>84.84</v>
      </c>
      <c r="EF658" s="51" t="n">
        <f aca="false">ROUND(CR658,3)</f>
        <v>76.143</v>
      </c>
      <c r="EG658" s="51" t="n">
        <f aca="false">ROUND(CS658,3)</f>
        <v>62</v>
      </c>
      <c r="EH658" s="51" t="n">
        <f aca="false">ROUND(EA658,3)</f>
        <v>58.571</v>
      </c>
      <c r="EI658" s="51" t="n">
        <f aca="false">ROUND(ED658,3)</f>
        <v>67.748</v>
      </c>
      <c r="EJ658" s="51" t="n">
        <f aca="false">ROUND(CV658,3)</f>
        <v>69.071</v>
      </c>
      <c r="EK658" s="0" t="n">
        <f aca="false">RANK(EI658,$EI$2:$EI$881,0)</f>
        <v>657</v>
      </c>
    </row>
    <row r="659" customFormat="false" ht="15" hidden="false" customHeight="false" outlineLevel="0" collapsed="false">
      <c r="A659" s="4" t="n">
        <v>1885</v>
      </c>
      <c r="B659" s="4" t="n">
        <v>739</v>
      </c>
      <c r="C659" s="27" t="s">
        <v>1914</v>
      </c>
      <c r="D659" s="31" t="n">
        <v>754</v>
      </c>
      <c r="E659" s="16" t="n">
        <v>230514789</v>
      </c>
      <c r="F659" s="56" t="s">
        <v>1915</v>
      </c>
      <c r="G659" s="22" t="s">
        <v>286</v>
      </c>
      <c r="H659" s="22" t="s">
        <v>465</v>
      </c>
      <c r="I659" s="57"/>
      <c r="J659" s="16" t="n">
        <v>70</v>
      </c>
      <c r="K659" s="16" t="n">
        <v>85</v>
      </c>
      <c r="L659" s="34" t="n">
        <f aca="false">(K659*70)/100</f>
        <v>59.5</v>
      </c>
      <c r="M659" s="34" t="n">
        <f aca="false">ROUNDUP(L659,0)</f>
        <v>60</v>
      </c>
      <c r="N659" s="16" t="n">
        <v>26</v>
      </c>
      <c r="O659" s="34" t="n">
        <f aca="false">N659+L659</f>
        <v>85.5</v>
      </c>
      <c r="P659" s="34" t="n">
        <f aca="false">N659+M659</f>
        <v>86</v>
      </c>
      <c r="Q659" s="16" t="n">
        <v>79</v>
      </c>
      <c r="R659" s="16" t="n">
        <v>73</v>
      </c>
      <c r="S659" s="34" t="n">
        <f aca="false">(R659*70)/100</f>
        <v>51.1</v>
      </c>
      <c r="T659" s="34" t="n">
        <f aca="false">ROUNDUP(S659,0)</f>
        <v>52</v>
      </c>
      <c r="U659" s="16" t="n">
        <v>29</v>
      </c>
      <c r="V659" s="34" t="n">
        <f aca="false">U659+S659</f>
        <v>80.1</v>
      </c>
      <c r="W659" s="34" t="n">
        <f aca="false">U659+T659</f>
        <v>81</v>
      </c>
      <c r="X659" s="16" t="n">
        <v>68</v>
      </c>
      <c r="Y659" s="34" t="n">
        <f aca="false">(X659*70)/100</f>
        <v>47.6</v>
      </c>
      <c r="Z659" s="34" t="n">
        <f aca="false">ROUNDUP(Y659,0)</f>
        <v>48</v>
      </c>
      <c r="AA659" s="16" t="n">
        <v>29</v>
      </c>
      <c r="AB659" s="34" t="n">
        <f aca="false">AA659+Y659</f>
        <v>76.6</v>
      </c>
      <c r="AC659" s="34" t="n">
        <f aca="false">AA659+Z659</f>
        <v>77</v>
      </c>
      <c r="AD659" s="32" t="n">
        <f aca="false">X659+R659+Q659+K659+J659</f>
        <v>375</v>
      </c>
      <c r="AE659" s="16" t="n">
        <f aca="false">AD659/5</f>
        <v>75</v>
      </c>
      <c r="AF659" s="16" t="n">
        <v>78</v>
      </c>
      <c r="AG659" s="16" t="n">
        <v>83</v>
      </c>
      <c r="AH659" s="16" t="n">
        <v>89</v>
      </c>
      <c r="AI659" s="16" t="n">
        <v>82</v>
      </c>
      <c r="AJ659" s="16" t="n">
        <f aca="false">(AI659*70)/100</f>
        <v>57.4</v>
      </c>
      <c r="AK659" s="35" t="n">
        <f aca="false">ROUNDUP(AJ659,0)</f>
        <v>58</v>
      </c>
      <c r="AL659" s="16" t="n">
        <v>22</v>
      </c>
      <c r="AM659" s="16" t="n">
        <f aca="false">AL659+AJ659</f>
        <v>79.4</v>
      </c>
      <c r="AN659" s="16" t="n">
        <f aca="false">AL659+AK659</f>
        <v>80</v>
      </c>
      <c r="AO659" s="16" t="n">
        <v>63</v>
      </c>
      <c r="AP659" s="36" t="n">
        <f aca="false">(AO659*70)/100</f>
        <v>44.1</v>
      </c>
      <c r="AQ659" s="37" t="n">
        <f aca="false">ROUNDUP(AP659,0)</f>
        <v>45</v>
      </c>
      <c r="AR659" s="16" t="n">
        <v>29</v>
      </c>
      <c r="AS659" s="16" t="n">
        <f aca="false">AR659+AP659</f>
        <v>73.1</v>
      </c>
      <c r="AT659" s="16" t="n">
        <f aca="false">AR659+AQ659</f>
        <v>74</v>
      </c>
      <c r="AU659" s="16" t="n">
        <f aca="false">AO659+AF659+AI659+AH659+AG659</f>
        <v>395</v>
      </c>
      <c r="AV659" s="16" t="n">
        <f aca="false">(AO659+AF659+AI659+AH659+AG659)/5</f>
        <v>79</v>
      </c>
      <c r="AW659" s="36" t="n">
        <f aca="false">(AO659+AF659+AI659+AH659+AG659+X659+R659+Q659+K659+J659)</f>
        <v>770</v>
      </c>
      <c r="AX659" s="16" t="n">
        <f aca="false">AW659/10</f>
        <v>77</v>
      </c>
      <c r="AY659" s="16" t="n">
        <f aca="false">AS659+AF659+AM659+AH659+AG659+AB659+V659+Q659+O659+J659</f>
        <v>793.7</v>
      </c>
      <c r="AZ659" s="16" t="n">
        <f aca="false">AT659+AF659+AN659+AH659+AG659+AC659+W659+Q659+P659+J659</f>
        <v>797</v>
      </c>
      <c r="BA659" s="16" t="n">
        <f aca="false">AY659/10</f>
        <v>79.37</v>
      </c>
      <c r="BB659" s="16" t="n">
        <f aca="false">AZ659/10</f>
        <v>79.7</v>
      </c>
      <c r="BC659" s="16" t="n">
        <v>2358</v>
      </c>
      <c r="BD659" s="16" t="n">
        <f aca="false">RANK(AX659,$AX$2:$AX$881,0)</f>
        <v>508</v>
      </c>
      <c r="BE659" s="54" t="n">
        <f aca="false">((BC659*100)/2400)*0.4+(AX659*0.6)</f>
        <v>85.5</v>
      </c>
      <c r="BF659" s="16" t="n">
        <f aca="false">RANK(BE659,$BE$2:$BE$881,0)</f>
        <v>506</v>
      </c>
      <c r="BG659" s="39" t="n">
        <f aca="false">RANK(BB659,$BB$2:$BB$881,0)</f>
        <v>381</v>
      </c>
      <c r="BH659" s="39" t="n">
        <f aca="false">RANK(BC659,$BC$2:$BC$881,0)</f>
        <v>429</v>
      </c>
      <c r="BI659" s="22" t="s">
        <v>130</v>
      </c>
      <c r="BJ659" s="22" t="s">
        <v>129</v>
      </c>
      <c r="BK659" s="40" t="s">
        <v>509</v>
      </c>
      <c r="BL659" s="41" t="n">
        <v>19</v>
      </c>
      <c r="BM659" s="41" t="n">
        <v>57</v>
      </c>
      <c r="BN659" s="41" t="n">
        <v>76</v>
      </c>
      <c r="BO659" s="42" t="n">
        <v>24</v>
      </c>
      <c r="BP659" s="43" t="n">
        <v>58</v>
      </c>
      <c r="BQ659" s="44" t="n">
        <v>82</v>
      </c>
      <c r="BR659" s="42" t="n">
        <v>19</v>
      </c>
      <c r="BS659" s="45" t="n">
        <v>60</v>
      </c>
      <c r="BT659" s="45" t="n">
        <v>79</v>
      </c>
      <c r="BU659" s="46" t="n">
        <v>100</v>
      </c>
      <c r="BV659" s="47" t="n">
        <v>86</v>
      </c>
      <c r="BW659" s="42" t="n">
        <v>100</v>
      </c>
      <c r="BX659" s="107"/>
      <c r="BY659" s="130"/>
      <c r="BZ659" s="60"/>
      <c r="CA659" s="60"/>
      <c r="CB659" s="61"/>
      <c r="CC659" s="60"/>
      <c r="CD659" s="60"/>
      <c r="CE659" s="60"/>
      <c r="CF659" s="60"/>
      <c r="CG659" s="60"/>
      <c r="CH659" s="60"/>
      <c r="CI659" s="60"/>
      <c r="CJ659" s="60"/>
      <c r="CK659" s="60"/>
      <c r="CL659" s="61"/>
      <c r="CM659" s="60"/>
      <c r="CN659" s="60"/>
      <c r="CO659" s="60"/>
      <c r="CP659" s="25" t="n">
        <f aca="false">BX659+BW659+BV659+BU659+BT659+BQ659+BN659</f>
        <v>523</v>
      </c>
      <c r="CQ659" s="25" t="n">
        <f aca="false">CO659+CL659+CI659+CH659+CG659+CD659+CA659</f>
        <v>0</v>
      </c>
      <c r="CR659" s="26" t="n">
        <f aca="false">CP659/7</f>
        <v>74.7142857142857</v>
      </c>
      <c r="CS659" s="26" t="n">
        <f aca="false">CQ659/7</f>
        <v>0</v>
      </c>
      <c r="CT659" s="24" t="n">
        <f aca="false">RANK(CR659,$CR$2:$CR$881,0)</f>
        <v>649</v>
      </c>
      <c r="CU659" s="25" t="n">
        <f aca="false">RANK(CS659,$CS$2:$CS$881,0)</f>
        <v>752</v>
      </c>
      <c r="CV659" s="26" t="n">
        <f aca="false">(CS659+CR659)/2</f>
        <v>37.3571428571429</v>
      </c>
      <c r="CW659" s="25" t="n">
        <f aca="false">RANK(CV659,$CV$2:$CV$881,0)</f>
        <v>727</v>
      </c>
      <c r="CX659" s="50" t="n">
        <f aca="false">(CV659+BB659)/2</f>
        <v>58.5285714285714</v>
      </c>
      <c r="CY659" s="50" t="n">
        <v>651</v>
      </c>
      <c r="CZ659" s="27" t="s">
        <v>132</v>
      </c>
      <c r="DA659" s="27" t="s">
        <v>205</v>
      </c>
      <c r="DB659" s="27" t="s">
        <v>205</v>
      </c>
      <c r="DC659" s="27" t="s">
        <v>134</v>
      </c>
      <c r="DD659" s="27" t="s">
        <v>182</v>
      </c>
      <c r="DE659" s="27" t="s">
        <v>136</v>
      </c>
      <c r="DF659" s="27" t="s">
        <v>178</v>
      </c>
      <c r="DG659" s="27" t="s">
        <v>134</v>
      </c>
      <c r="DH659" s="27" t="s">
        <v>164</v>
      </c>
      <c r="DI659" s="27" t="s">
        <v>163</v>
      </c>
      <c r="DJ659" s="27" t="s">
        <v>176</v>
      </c>
      <c r="DK659" s="27" t="s">
        <v>134</v>
      </c>
      <c r="DL659" s="27" t="s">
        <v>137</v>
      </c>
      <c r="DM659" s="27" t="s">
        <v>220</v>
      </c>
      <c r="DN659" s="27" t="s">
        <v>205</v>
      </c>
      <c r="DO659" s="27" t="s">
        <v>134</v>
      </c>
      <c r="DP659" s="27" t="s">
        <v>154</v>
      </c>
      <c r="DQ659" s="27" t="s">
        <v>220</v>
      </c>
      <c r="DR659" s="27" t="s">
        <v>272</v>
      </c>
      <c r="DS659" s="27" t="s">
        <v>134</v>
      </c>
      <c r="DT659" s="27" t="s">
        <v>135</v>
      </c>
      <c r="DU659" s="27" t="s">
        <v>177</v>
      </c>
      <c r="DV659" s="27" t="s">
        <v>175</v>
      </c>
      <c r="DW659" s="27" t="s">
        <v>137</v>
      </c>
      <c r="DX659" s="27" t="s">
        <v>155</v>
      </c>
      <c r="DY659" s="27" t="s">
        <v>142</v>
      </c>
      <c r="DZ659" s="27" t="n">
        <f aca="false">DY659+DV659+DR659+DN659+DJ659+DF659+DB659</f>
        <v>603</v>
      </c>
      <c r="EA659" s="28" t="n">
        <f aca="false">DZ659/7</f>
        <v>86.1428571428571</v>
      </c>
      <c r="EB659" s="27" t="n">
        <f aca="false">RANK(EA659,$EA$2:$EA$881,0)</f>
        <v>152</v>
      </c>
      <c r="EC659" s="29" t="n">
        <f aca="false">DZ659+CQ659+CP659+AZ659</f>
        <v>1923</v>
      </c>
      <c r="ED659" s="30" t="n">
        <f aca="false">(EA659+CV659+BB659)/3</f>
        <v>67.7333333333333</v>
      </c>
      <c r="EE659" s="51" t="n">
        <f aca="false">ROUND(BE659,3)</f>
        <v>85.5</v>
      </c>
      <c r="EF659" s="51" t="n">
        <f aca="false">ROUND(CR659,3)</f>
        <v>74.714</v>
      </c>
      <c r="EG659" s="51" t="n">
        <f aca="false">ROUND(CS659,3)</f>
        <v>0</v>
      </c>
      <c r="EH659" s="51" t="n">
        <f aca="false">ROUND(EA659,3)</f>
        <v>86.143</v>
      </c>
      <c r="EI659" s="51" t="n">
        <f aca="false">ROUND(ED659,3)</f>
        <v>67.733</v>
      </c>
      <c r="EJ659" s="51" t="n">
        <f aca="false">ROUND(CV659,3)</f>
        <v>37.357</v>
      </c>
      <c r="EK659" s="0" t="n">
        <f aca="false">RANK(EI659,$EI$2:$EI$881,0)</f>
        <v>658</v>
      </c>
    </row>
    <row r="660" customFormat="false" ht="15" hidden="false" customHeight="false" outlineLevel="0" collapsed="false">
      <c r="A660" s="4" t="n">
        <v>1966</v>
      </c>
      <c r="B660" s="4" t="n">
        <v>58</v>
      </c>
      <c r="C660" s="27" t="s">
        <v>1916</v>
      </c>
      <c r="D660" s="52" t="n">
        <v>61</v>
      </c>
      <c r="E660" s="16" t="n">
        <v>230621170</v>
      </c>
      <c r="F660" s="56" t="s">
        <v>1917</v>
      </c>
      <c r="G660" s="22" t="s">
        <v>1918</v>
      </c>
      <c r="H660" s="22" t="s">
        <v>558</v>
      </c>
      <c r="I660" s="57"/>
      <c r="J660" s="16" t="n">
        <v>93</v>
      </c>
      <c r="K660" s="16" t="n">
        <v>74</v>
      </c>
      <c r="L660" s="34" t="n">
        <f aca="false">(K660*70)/100</f>
        <v>51.8</v>
      </c>
      <c r="M660" s="34" t="n">
        <f aca="false">ROUNDUP(L660,0)</f>
        <v>52</v>
      </c>
      <c r="N660" s="16" t="n">
        <v>25</v>
      </c>
      <c r="O660" s="34" t="n">
        <f aca="false">N660+L660</f>
        <v>76.8</v>
      </c>
      <c r="P660" s="34" t="n">
        <f aca="false">N660+M660</f>
        <v>77</v>
      </c>
      <c r="Q660" s="16" t="n">
        <v>77</v>
      </c>
      <c r="R660" s="16" t="n">
        <v>77</v>
      </c>
      <c r="S660" s="34" t="n">
        <f aca="false">(R660*70)/100</f>
        <v>53.9</v>
      </c>
      <c r="T660" s="34" t="n">
        <f aca="false">ROUNDUP(S660,0)</f>
        <v>54</v>
      </c>
      <c r="U660" s="16" t="n">
        <v>24</v>
      </c>
      <c r="V660" s="34" t="n">
        <f aca="false">U660+S660</f>
        <v>77.9</v>
      </c>
      <c r="W660" s="34" t="n">
        <f aca="false">U660+T660</f>
        <v>78</v>
      </c>
      <c r="X660" s="16" t="n">
        <v>69</v>
      </c>
      <c r="Y660" s="34" t="n">
        <f aca="false">(X660*70)/100</f>
        <v>48.3</v>
      </c>
      <c r="Z660" s="34" t="n">
        <f aca="false">ROUNDUP(Y660,0)</f>
        <v>49</v>
      </c>
      <c r="AA660" s="16" t="n">
        <v>22</v>
      </c>
      <c r="AB660" s="34" t="n">
        <f aca="false">AA660+Y660</f>
        <v>70.3</v>
      </c>
      <c r="AC660" s="34" t="n">
        <f aca="false">AA660+Z660</f>
        <v>71</v>
      </c>
      <c r="AD660" s="32" t="n">
        <f aca="false">X660+R660+Q660+K660+J660</f>
        <v>390</v>
      </c>
      <c r="AE660" s="16" t="n">
        <f aca="false">AD660/5</f>
        <v>78</v>
      </c>
      <c r="AF660" s="71" t="n">
        <v>56</v>
      </c>
      <c r="AG660" s="16" t="n">
        <v>92</v>
      </c>
      <c r="AH660" s="16" t="n">
        <v>83</v>
      </c>
      <c r="AI660" s="16" t="n">
        <v>72</v>
      </c>
      <c r="AJ660" s="16" t="n">
        <f aca="false">(AI660*70)/100</f>
        <v>50.4</v>
      </c>
      <c r="AK660" s="35" t="n">
        <f aca="false">ROUNDUP(AJ660,0)</f>
        <v>51</v>
      </c>
      <c r="AL660" s="16" t="n">
        <v>29</v>
      </c>
      <c r="AM660" s="16" t="n">
        <f aca="false">AL660+AJ660</f>
        <v>79.4</v>
      </c>
      <c r="AN660" s="16" t="n">
        <f aca="false">AL660+AK660</f>
        <v>80</v>
      </c>
      <c r="AO660" s="16" t="n">
        <v>64</v>
      </c>
      <c r="AP660" s="36" t="n">
        <f aca="false">(AO660*70)/100</f>
        <v>44.8</v>
      </c>
      <c r="AQ660" s="37" t="n">
        <f aca="false">ROUNDUP(AP660,0)</f>
        <v>45</v>
      </c>
      <c r="AR660" s="16" t="n">
        <v>25</v>
      </c>
      <c r="AS660" s="16" t="n">
        <f aca="false">AR660+AP660</f>
        <v>69.8</v>
      </c>
      <c r="AT660" s="16" t="n">
        <f aca="false">AR660+AQ660</f>
        <v>70</v>
      </c>
      <c r="AU660" s="16" t="n">
        <f aca="false">AO660+AF660+AI660+AH660+AG660</f>
        <v>367</v>
      </c>
      <c r="AV660" s="16" t="n">
        <f aca="false">(AO660+AF660+AI660+AH660+AG660)/5</f>
        <v>73.4</v>
      </c>
      <c r="AW660" s="36" t="n">
        <f aca="false">(AO660+AF660+AI660+AH660+AG660+X660+R660+Q660+K660+J660)</f>
        <v>757</v>
      </c>
      <c r="AX660" s="16" t="n">
        <f aca="false">AW660/10</f>
        <v>75.7</v>
      </c>
      <c r="AY660" s="16" t="n">
        <f aca="false">AS660+AF660+AM660+AH660+AG660+AB660+V660+Q660+O660+J660</f>
        <v>775.2</v>
      </c>
      <c r="AZ660" s="16" t="n">
        <f aca="false">AT660+AF660+AN660+AH660+AG660+AC660+W660+Q660+P660+J660</f>
        <v>777</v>
      </c>
      <c r="BA660" s="16" t="n">
        <f aca="false">AY660/10</f>
        <v>77.52</v>
      </c>
      <c r="BB660" s="16" t="n">
        <f aca="false">AZ660/10</f>
        <v>77.7</v>
      </c>
      <c r="BC660" s="16" t="n">
        <v>2363</v>
      </c>
      <c r="BD660" s="16" t="n">
        <f aca="false">RANK(AX660,$AX$2:$AX$881,0)</f>
        <v>640</v>
      </c>
      <c r="BE660" s="73" t="n">
        <f aca="false">((BC660*100)/2400)*0.4+(AX660*0.6)</f>
        <v>84.8033333333333</v>
      </c>
      <c r="BF660" s="16" t="n">
        <f aca="false">RANK(BE660,$BE$2:$BE$881,0)</f>
        <v>659</v>
      </c>
      <c r="BG660" s="39" t="n">
        <f aca="false">RANK(BB660,$BB$2:$BB$881,0)</f>
        <v>586</v>
      </c>
      <c r="BH660" s="39" t="n">
        <f aca="false">RANK(BC660,$BC$2:$BC$881,0)</f>
        <v>356</v>
      </c>
      <c r="BI660" s="22" t="s">
        <v>130</v>
      </c>
      <c r="BJ660" s="22" t="s">
        <v>129</v>
      </c>
      <c r="BK660" s="22" t="s">
        <v>509</v>
      </c>
      <c r="BL660" s="41" t="n">
        <v>19</v>
      </c>
      <c r="BM660" s="41" t="n">
        <v>42</v>
      </c>
      <c r="BN660" s="41" t="n">
        <v>61</v>
      </c>
      <c r="BO660" s="42" t="n">
        <v>19</v>
      </c>
      <c r="BP660" s="43" t="n">
        <v>46</v>
      </c>
      <c r="BQ660" s="44" t="n">
        <v>65</v>
      </c>
      <c r="BR660" s="42" t="n">
        <v>18</v>
      </c>
      <c r="BS660" s="80"/>
      <c r="BT660" s="80"/>
      <c r="BU660" s="46" t="n">
        <v>99</v>
      </c>
      <c r="BV660" s="47" t="n">
        <v>88</v>
      </c>
      <c r="BW660" s="42" t="n">
        <v>95</v>
      </c>
      <c r="BX660" s="88" t="n">
        <v>90</v>
      </c>
      <c r="BY660" s="65" t="n">
        <v>29</v>
      </c>
      <c r="BZ660" s="58" t="n">
        <v>42</v>
      </c>
      <c r="CA660" s="58" t="n">
        <v>71</v>
      </c>
      <c r="CB660" s="59" t="n">
        <v>11</v>
      </c>
      <c r="CC660" s="58" t="n">
        <v>39</v>
      </c>
      <c r="CD660" s="58" t="n">
        <v>50</v>
      </c>
      <c r="CE660" s="58" t="n">
        <v>13</v>
      </c>
      <c r="CF660" s="58" t="n">
        <v>36</v>
      </c>
      <c r="CG660" s="90" t="n">
        <v>49</v>
      </c>
      <c r="CH660" s="58" t="n">
        <v>85</v>
      </c>
      <c r="CI660" s="58" t="n">
        <v>92</v>
      </c>
      <c r="CJ660" s="58" t="n">
        <v>17</v>
      </c>
      <c r="CK660" s="58" t="n">
        <v>42</v>
      </c>
      <c r="CL660" s="59" t="n">
        <v>59</v>
      </c>
      <c r="CM660" s="60"/>
      <c r="CN660" s="60"/>
      <c r="CO660" s="60"/>
      <c r="CP660" s="25" t="n">
        <f aca="false">BX660+BW660+BV660+BU660+BT660+BQ660+BN660</f>
        <v>498</v>
      </c>
      <c r="CQ660" s="25" t="n">
        <f aca="false">CO660+CL660+CI660+CH660+CG660+CD660+CA660</f>
        <v>406</v>
      </c>
      <c r="CR660" s="26" t="n">
        <f aca="false">CP660/7</f>
        <v>71.1428571428571</v>
      </c>
      <c r="CS660" s="26" t="n">
        <f aca="false">CQ660/7</f>
        <v>58</v>
      </c>
      <c r="CT660" s="24" t="n">
        <f aca="false">RANK(CR660,$CR$2:$CR$881,0)</f>
        <v>677</v>
      </c>
      <c r="CU660" s="25" t="n">
        <f aca="false">RANK(CS660,$CS$2:$CS$881,0)</f>
        <v>700</v>
      </c>
      <c r="CV660" s="26" t="n">
        <f aca="false">(CS660+CR660)/2</f>
        <v>64.5714285714286</v>
      </c>
      <c r="CW660" s="25" t="n">
        <f aca="false">RANK(CV660,$CV$2:$CV$881,0)</f>
        <v>679</v>
      </c>
      <c r="CX660" s="50" t="n">
        <f aca="false">(CV660+BB660)/2</f>
        <v>71.1357142857143</v>
      </c>
      <c r="CY660" s="50" t="n">
        <v>689</v>
      </c>
      <c r="CZ660" s="27" t="s">
        <v>132</v>
      </c>
      <c r="DA660" s="27" t="s">
        <v>219</v>
      </c>
      <c r="DB660" s="27" t="s">
        <v>219</v>
      </c>
      <c r="DC660" s="27" t="s">
        <v>134</v>
      </c>
      <c r="DD660" s="27" t="s">
        <v>195</v>
      </c>
      <c r="DE660" s="27" t="s">
        <v>681</v>
      </c>
      <c r="DF660" s="27" t="s">
        <v>141</v>
      </c>
      <c r="DG660" s="27" t="s">
        <v>134</v>
      </c>
      <c r="DH660" s="27" t="s">
        <v>182</v>
      </c>
      <c r="DI660" s="27" t="s">
        <v>638</v>
      </c>
      <c r="DJ660" s="27" t="s">
        <v>138</v>
      </c>
      <c r="DK660" s="27" t="s">
        <v>134</v>
      </c>
      <c r="DL660" s="27" t="s">
        <v>174</v>
      </c>
      <c r="DM660" s="27" t="s">
        <v>645</v>
      </c>
      <c r="DN660" s="27" t="s">
        <v>187</v>
      </c>
      <c r="DO660" s="27" t="s">
        <v>134</v>
      </c>
      <c r="DP660" s="27"/>
      <c r="DQ660" s="27"/>
      <c r="DR660" s="27"/>
      <c r="DS660" s="27"/>
      <c r="DT660" s="27" t="s">
        <v>135</v>
      </c>
      <c r="DU660" s="27" t="s">
        <v>1388</v>
      </c>
      <c r="DV660" s="27" t="s">
        <v>183</v>
      </c>
      <c r="DW660" s="27" t="s">
        <v>182</v>
      </c>
      <c r="DX660" s="27" t="s">
        <v>177</v>
      </c>
      <c r="DY660" s="27" t="s">
        <v>209</v>
      </c>
      <c r="DZ660" s="27" t="n">
        <f aca="false">DY660+DV660+DR660+DN660+DJ660+DF660+DB660</f>
        <v>424</v>
      </c>
      <c r="EA660" s="28" t="n">
        <f aca="false">DZ660/7</f>
        <v>60.5714285714286</v>
      </c>
      <c r="EB660" s="27" t="n">
        <f aca="false">RANK(EA660,$EA$2:$EA$881,0)</f>
        <v>778</v>
      </c>
      <c r="EC660" s="29" t="n">
        <f aca="false">DZ660+CQ660+CP660+AZ660</f>
        <v>2105</v>
      </c>
      <c r="ED660" s="30" t="n">
        <f aca="false">(EA660+CV660+BB660)/3</f>
        <v>67.6142857142857</v>
      </c>
      <c r="EE660" s="51" t="n">
        <f aca="false">ROUND(BE660,3)</f>
        <v>84.803</v>
      </c>
      <c r="EF660" s="51" t="n">
        <f aca="false">ROUND(CR660,3)</f>
        <v>71.143</v>
      </c>
      <c r="EG660" s="51" t="n">
        <f aca="false">ROUND(CS660,3)</f>
        <v>58</v>
      </c>
      <c r="EH660" s="51" t="n">
        <f aca="false">ROUND(EA660,3)</f>
        <v>60.571</v>
      </c>
      <c r="EI660" s="51" t="n">
        <f aca="false">ROUND(ED660,3)</f>
        <v>67.614</v>
      </c>
      <c r="EJ660" s="51" t="n">
        <f aca="false">ROUND(CV660,3)</f>
        <v>64.571</v>
      </c>
      <c r="EK660" s="0" t="n">
        <f aca="false">RANK(EI660,$EI$2:$EI$881,0)</f>
        <v>659</v>
      </c>
    </row>
    <row r="661" customFormat="false" ht="15" hidden="false" customHeight="false" outlineLevel="0" collapsed="false">
      <c r="A661" s="4" t="n">
        <v>1998</v>
      </c>
      <c r="B661" s="4" t="n">
        <v>523</v>
      </c>
      <c r="C661" s="27" t="s">
        <v>1919</v>
      </c>
      <c r="D661" s="31" t="n">
        <v>528</v>
      </c>
      <c r="E661" s="16" t="n">
        <v>230615330</v>
      </c>
      <c r="F661" s="56" t="s">
        <v>1920</v>
      </c>
      <c r="G661" s="22" t="s">
        <v>1921</v>
      </c>
      <c r="H661" s="22" t="s">
        <v>558</v>
      </c>
      <c r="I661" s="57"/>
      <c r="J661" s="16" t="n">
        <v>84</v>
      </c>
      <c r="K661" s="16" t="n">
        <v>66</v>
      </c>
      <c r="L661" s="34" t="n">
        <f aca="false">(K661*70)/100</f>
        <v>46.2</v>
      </c>
      <c r="M661" s="34" t="n">
        <f aca="false">ROUNDUP(L661,0)</f>
        <v>47</v>
      </c>
      <c r="N661" s="16" t="n">
        <v>22</v>
      </c>
      <c r="O661" s="34" t="n">
        <f aca="false">N661+L661</f>
        <v>68.2</v>
      </c>
      <c r="P661" s="34" t="n">
        <f aca="false">N661+M661</f>
        <v>69</v>
      </c>
      <c r="Q661" s="16" t="n">
        <v>69</v>
      </c>
      <c r="R661" s="16" t="n">
        <v>80</v>
      </c>
      <c r="S661" s="34" t="n">
        <f aca="false">(R661*70)/100</f>
        <v>56</v>
      </c>
      <c r="T661" s="34" t="n">
        <f aca="false">ROUNDUP(S661,0)</f>
        <v>56</v>
      </c>
      <c r="U661" s="16" t="n">
        <v>26</v>
      </c>
      <c r="V661" s="34" t="n">
        <f aca="false">U661+S661</f>
        <v>82</v>
      </c>
      <c r="W661" s="34" t="n">
        <f aca="false">U661+T661</f>
        <v>82</v>
      </c>
      <c r="X661" s="16" t="n">
        <v>66</v>
      </c>
      <c r="Y661" s="34" t="n">
        <f aca="false">(X661*70)/100</f>
        <v>46.2</v>
      </c>
      <c r="Z661" s="34" t="n">
        <f aca="false">ROUNDUP(Y661,0)</f>
        <v>47</v>
      </c>
      <c r="AA661" s="16" t="n">
        <v>25</v>
      </c>
      <c r="AB661" s="34" t="n">
        <f aca="false">AA661+Y661</f>
        <v>71.2</v>
      </c>
      <c r="AC661" s="34" t="n">
        <f aca="false">AA661+Z661</f>
        <v>72</v>
      </c>
      <c r="AD661" s="32" t="n">
        <f aca="false">X661+R661+Q661+K661+J661</f>
        <v>365</v>
      </c>
      <c r="AE661" s="16" t="n">
        <f aca="false">AD661/5</f>
        <v>73</v>
      </c>
      <c r="AF661" s="16" t="n">
        <v>66</v>
      </c>
      <c r="AG661" s="16" t="n">
        <v>88</v>
      </c>
      <c r="AH661" s="16" t="n">
        <v>84</v>
      </c>
      <c r="AI661" s="16" t="n">
        <v>86</v>
      </c>
      <c r="AJ661" s="16" t="n">
        <f aca="false">(AI661*70)/100</f>
        <v>60.2</v>
      </c>
      <c r="AK661" s="35" t="n">
        <f aca="false">ROUNDUP(AJ661,0)</f>
        <v>61</v>
      </c>
      <c r="AL661" s="16" t="n">
        <v>28</v>
      </c>
      <c r="AM661" s="16" t="n">
        <f aca="false">AL661+AJ661</f>
        <v>88.2</v>
      </c>
      <c r="AN661" s="16" t="n">
        <f aca="false">AL661+AK661</f>
        <v>89</v>
      </c>
      <c r="AO661" s="16" t="n">
        <v>68</v>
      </c>
      <c r="AP661" s="36" t="n">
        <f aca="false">(AO661*70)/100</f>
        <v>47.6</v>
      </c>
      <c r="AQ661" s="37" t="n">
        <f aca="false">ROUNDUP(AP661,0)</f>
        <v>48</v>
      </c>
      <c r="AR661" s="16" t="n">
        <v>26</v>
      </c>
      <c r="AS661" s="16" t="n">
        <f aca="false">AR661+AP661</f>
        <v>73.6</v>
      </c>
      <c r="AT661" s="16" t="n">
        <f aca="false">AR661+AQ661</f>
        <v>74</v>
      </c>
      <c r="AU661" s="16" t="n">
        <f aca="false">AO661+AF661+AI661+AH661+AG661</f>
        <v>392</v>
      </c>
      <c r="AV661" s="16" t="n">
        <f aca="false">(AO661+AF661+AI661+AH661+AG661)/5</f>
        <v>78.4</v>
      </c>
      <c r="AW661" s="36" t="n">
        <f aca="false">(AO661+AF661+AI661+AH661+AG661+X661+R661+Q661+K661+J661)</f>
        <v>757</v>
      </c>
      <c r="AX661" s="16" t="n">
        <f aca="false">AW661/10</f>
        <v>75.7</v>
      </c>
      <c r="AY661" s="16" t="n">
        <f aca="false">AS661+AF661+AM661+AH661+AG661+AB661+V661+Q661+O661+J661</f>
        <v>774.2</v>
      </c>
      <c r="AZ661" s="16" t="n">
        <f aca="false">AT661+AF661+AN661+AH661+AG661+AC661+W661+Q661+P661+J661</f>
        <v>777</v>
      </c>
      <c r="BA661" s="16" t="n">
        <f aca="false">AY661/10</f>
        <v>77.42</v>
      </c>
      <c r="BB661" s="16" t="n">
        <f aca="false">AZ661/10</f>
        <v>77.7</v>
      </c>
      <c r="BC661" s="16" t="n">
        <v>2392</v>
      </c>
      <c r="BD661" s="16" t="n">
        <f aca="false">RANK(AX661,$AX$2:$AX$881,0)</f>
        <v>640</v>
      </c>
      <c r="BE661" s="54" t="n">
        <f aca="false">((BC661*100)/2400)*0.4+(AX661*0.6)</f>
        <v>85.2866666666667</v>
      </c>
      <c r="BF661" s="16" t="n">
        <f aca="false">RANK(BE661,$BE$2:$BE$881,0)</f>
        <v>544</v>
      </c>
      <c r="BG661" s="39" t="n">
        <f aca="false">RANK(BB661,$BB$2:$BB$881,0)</f>
        <v>586</v>
      </c>
      <c r="BH661" s="39" t="n">
        <f aca="false">RANK(BC661,$BC$2:$BC$881,0)</f>
        <v>28</v>
      </c>
      <c r="BI661" s="22" t="s">
        <v>130</v>
      </c>
      <c r="BJ661" s="22" t="s">
        <v>129</v>
      </c>
      <c r="BK661" s="40" t="s">
        <v>509</v>
      </c>
      <c r="BL661" s="127" t="n">
        <v>18</v>
      </c>
      <c r="BM661" s="42" t="n">
        <v>50</v>
      </c>
      <c r="BN661" s="42" t="n">
        <v>68</v>
      </c>
      <c r="BO661" s="42" t="n">
        <v>24</v>
      </c>
      <c r="BP661" s="59" t="n">
        <v>51</v>
      </c>
      <c r="BQ661" s="59" t="n">
        <v>75</v>
      </c>
      <c r="BR661" s="74" t="n">
        <v>9</v>
      </c>
      <c r="BS661" s="80"/>
      <c r="BT661" s="80"/>
      <c r="BU661" s="77" t="n">
        <v>80</v>
      </c>
      <c r="BV661" s="58" t="n">
        <v>63</v>
      </c>
      <c r="BW661" s="102" t="n">
        <v>82</v>
      </c>
      <c r="BX661" s="88" t="n">
        <v>86</v>
      </c>
      <c r="BY661" s="65" t="n">
        <v>30</v>
      </c>
      <c r="BZ661" s="58" t="n">
        <v>38</v>
      </c>
      <c r="CA661" s="58" t="n">
        <v>68</v>
      </c>
      <c r="CB661" s="59" t="n">
        <v>16</v>
      </c>
      <c r="CC661" s="58" t="n">
        <v>38</v>
      </c>
      <c r="CD661" s="58" t="n">
        <v>54</v>
      </c>
      <c r="CE661" s="58" t="n">
        <v>18</v>
      </c>
      <c r="CF661" s="58" t="n">
        <v>37</v>
      </c>
      <c r="CG661" s="90" t="n">
        <v>55</v>
      </c>
      <c r="CH661" s="58" t="n">
        <v>86</v>
      </c>
      <c r="CI661" s="58" t="n">
        <v>76</v>
      </c>
      <c r="CJ661" s="58" t="n">
        <v>23</v>
      </c>
      <c r="CK661" s="58" t="n">
        <v>52</v>
      </c>
      <c r="CL661" s="59" t="n">
        <v>75</v>
      </c>
      <c r="CM661" s="60"/>
      <c r="CN661" s="60"/>
      <c r="CO661" s="60"/>
      <c r="CP661" s="25" t="n">
        <f aca="false">BX661+BW661+BV661+BU661+BT661+BQ661+BN661</f>
        <v>454</v>
      </c>
      <c r="CQ661" s="25" t="n">
        <f aca="false">CO661+CL661+CI661+CH661+CG661+CD661+CA661</f>
        <v>414</v>
      </c>
      <c r="CR661" s="26" t="n">
        <f aca="false">CP661/7</f>
        <v>64.8571428571429</v>
      </c>
      <c r="CS661" s="26" t="n">
        <f aca="false">CQ661/7</f>
        <v>59.1428571428571</v>
      </c>
      <c r="CT661" s="24" t="n">
        <f aca="false">RANK(CR661,$CR$2:$CR$881,0)</f>
        <v>706</v>
      </c>
      <c r="CU661" s="25" t="n">
        <f aca="false">RANK(CS661,$CS$2:$CS$881,0)</f>
        <v>691</v>
      </c>
      <c r="CV661" s="26" t="n">
        <f aca="false">(CS661+CR661)/2</f>
        <v>62</v>
      </c>
      <c r="CW661" s="25" t="n">
        <f aca="false">RANK(CV661,$CV$2:$CV$881,0)</f>
        <v>690</v>
      </c>
      <c r="CX661" s="50" t="n">
        <f aca="false">(CV661+BB661)/2</f>
        <v>69.85</v>
      </c>
      <c r="CY661" s="50" t="n">
        <v>826</v>
      </c>
      <c r="CZ661" s="27" t="s">
        <v>132</v>
      </c>
      <c r="DA661" s="27" t="s">
        <v>205</v>
      </c>
      <c r="DB661" s="27" t="s">
        <v>205</v>
      </c>
      <c r="DC661" s="27" t="s">
        <v>134</v>
      </c>
      <c r="DD661" s="27" t="s">
        <v>174</v>
      </c>
      <c r="DE661" s="27" t="s">
        <v>203</v>
      </c>
      <c r="DF661" s="27" t="s">
        <v>209</v>
      </c>
      <c r="DG661" s="27" t="s">
        <v>134</v>
      </c>
      <c r="DH661" s="27" t="s">
        <v>264</v>
      </c>
      <c r="DI661" s="27" t="s">
        <v>1407</v>
      </c>
      <c r="DJ661" s="27" t="s">
        <v>204</v>
      </c>
      <c r="DK661" s="27" t="s">
        <v>480</v>
      </c>
      <c r="DL661" s="27" t="s">
        <v>264</v>
      </c>
      <c r="DM661" s="27" t="s">
        <v>313</v>
      </c>
      <c r="DN661" s="27" t="s">
        <v>416</v>
      </c>
      <c r="DO661" s="27" t="s">
        <v>134</v>
      </c>
      <c r="DP661" s="27"/>
      <c r="DQ661" s="27"/>
      <c r="DR661" s="27"/>
      <c r="DS661" s="27"/>
      <c r="DT661" s="27" t="s">
        <v>135</v>
      </c>
      <c r="DU661" s="27" t="s">
        <v>1395</v>
      </c>
      <c r="DV661" s="27" t="s">
        <v>204</v>
      </c>
      <c r="DW661" s="27" t="s">
        <v>195</v>
      </c>
      <c r="DX661" s="27" t="s">
        <v>152</v>
      </c>
      <c r="DY661" s="27" t="s">
        <v>175</v>
      </c>
      <c r="DZ661" s="27" t="n">
        <f aca="false">DY661+DV661+DR661+DN661+DJ661+DF661+DB661</f>
        <v>440</v>
      </c>
      <c r="EA661" s="28" t="n">
        <f aca="false">DZ661/7</f>
        <v>62.8571428571429</v>
      </c>
      <c r="EB661" s="27" t="n">
        <f aca="false">RANK(EA661,$EA$2:$EA$881,0)</f>
        <v>758</v>
      </c>
      <c r="EC661" s="29" t="n">
        <f aca="false">DZ661+CQ661+CP661+AZ661</f>
        <v>2085</v>
      </c>
      <c r="ED661" s="30" t="n">
        <f aca="false">(EA661+CV661+BB661)/3</f>
        <v>67.5190476190476</v>
      </c>
      <c r="EE661" s="51" t="n">
        <f aca="false">ROUND(BE661,3)</f>
        <v>85.287</v>
      </c>
      <c r="EF661" s="51" t="n">
        <f aca="false">ROUND(CR661,3)</f>
        <v>64.857</v>
      </c>
      <c r="EG661" s="51" t="n">
        <f aca="false">ROUND(CS661,3)</f>
        <v>59.143</v>
      </c>
      <c r="EH661" s="51" t="n">
        <f aca="false">ROUND(EA661,3)</f>
        <v>62.857</v>
      </c>
      <c r="EI661" s="51" t="n">
        <f aca="false">ROUND(ED661,3)</f>
        <v>67.519</v>
      </c>
      <c r="EJ661" s="51" t="n">
        <f aca="false">ROUND(CV661,3)</f>
        <v>62</v>
      </c>
      <c r="EK661" s="0" t="n">
        <f aca="false">RANK(EI661,$EI$2:$EI$881,0)</f>
        <v>660</v>
      </c>
    </row>
    <row r="662" customFormat="false" ht="15" hidden="false" customHeight="false" outlineLevel="0" collapsed="false">
      <c r="A662" s="4" t="n">
        <v>8946</v>
      </c>
      <c r="B662" s="4" t="n">
        <v>51</v>
      </c>
      <c r="C662" s="27" t="s">
        <v>1922</v>
      </c>
      <c r="D662" s="52" t="n">
        <v>53</v>
      </c>
      <c r="E662" s="32" t="n">
        <v>230312473</v>
      </c>
      <c r="F662" s="8" t="s">
        <v>1923</v>
      </c>
      <c r="G662" s="22" t="s">
        <v>1400</v>
      </c>
      <c r="H662" s="22" t="s">
        <v>129</v>
      </c>
      <c r="I662" s="33" t="n">
        <v>2005</v>
      </c>
      <c r="J662" s="32" t="n">
        <v>82</v>
      </c>
      <c r="K662" s="32" t="n">
        <v>56</v>
      </c>
      <c r="L662" s="34" t="n">
        <f aca="false">(K662*70)/100</f>
        <v>39.2</v>
      </c>
      <c r="M662" s="34" t="n">
        <f aca="false">ROUNDUP(L662,0)</f>
        <v>40</v>
      </c>
      <c r="N662" s="32" t="n">
        <v>21</v>
      </c>
      <c r="O662" s="34" t="n">
        <f aca="false">N662+L662</f>
        <v>60.2</v>
      </c>
      <c r="P662" s="34" t="n">
        <f aca="false">N662+M662</f>
        <v>61</v>
      </c>
      <c r="Q662" s="32" t="n">
        <v>65</v>
      </c>
      <c r="R662" s="32" t="n">
        <v>54</v>
      </c>
      <c r="S662" s="34" t="n">
        <f aca="false">(R662*70)/100</f>
        <v>37.8</v>
      </c>
      <c r="T662" s="34" t="n">
        <f aca="false">ROUNDUP(S662,0)</f>
        <v>38</v>
      </c>
      <c r="U662" s="32" t="n">
        <v>21</v>
      </c>
      <c r="V662" s="34" t="n">
        <f aca="false">U662+S662</f>
        <v>58.8</v>
      </c>
      <c r="W662" s="91" t="n">
        <f aca="false">U662+T662</f>
        <v>59</v>
      </c>
      <c r="X662" s="32" t="n">
        <v>61</v>
      </c>
      <c r="Y662" s="34" t="n">
        <f aca="false">(X662*70)/100</f>
        <v>42.7</v>
      </c>
      <c r="Z662" s="34" t="n">
        <f aca="false">ROUNDUP(Y662,0)</f>
        <v>43</v>
      </c>
      <c r="AA662" s="32" t="n">
        <v>25</v>
      </c>
      <c r="AB662" s="34" t="n">
        <f aca="false">AA662+Y662</f>
        <v>67.7</v>
      </c>
      <c r="AC662" s="34" t="n">
        <f aca="false">AA662+Z662</f>
        <v>68</v>
      </c>
      <c r="AD662" s="32" t="n">
        <f aca="false">X662+R662+Q662+K662+J662</f>
        <v>318</v>
      </c>
      <c r="AE662" s="16" t="n">
        <f aca="false">AD662/5</f>
        <v>63.6</v>
      </c>
      <c r="AF662" s="16" t="n">
        <v>60</v>
      </c>
      <c r="AG662" s="16" t="n">
        <v>95</v>
      </c>
      <c r="AH662" s="16" t="n">
        <v>77</v>
      </c>
      <c r="AI662" s="16" t="n">
        <v>68</v>
      </c>
      <c r="AJ662" s="16" t="n">
        <f aca="false">(AI662*70)/100</f>
        <v>47.6</v>
      </c>
      <c r="AK662" s="35" t="n">
        <f aca="false">ROUNDUP(AJ662,0)</f>
        <v>48</v>
      </c>
      <c r="AL662" s="16" t="n">
        <v>24</v>
      </c>
      <c r="AM662" s="16" t="n">
        <f aca="false">AL662+AJ662</f>
        <v>71.6</v>
      </c>
      <c r="AN662" s="16" t="n">
        <f aca="false">AL662+AK662</f>
        <v>72</v>
      </c>
      <c r="AO662" s="16" t="n">
        <v>68</v>
      </c>
      <c r="AP662" s="36" t="n">
        <f aca="false">(AO662*70)/100</f>
        <v>47.6</v>
      </c>
      <c r="AQ662" s="37" t="n">
        <f aca="false">ROUNDUP(AP662,0)</f>
        <v>48</v>
      </c>
      <c r="AR662" s="16" t="n">
        <v>28</v>
      </c>
      <c r="AS662" s="16" t="n">
        <f aca="false">AR662+AP662</f>
        <v>75.6</v>
      </c>
      <c r="AT662" s="16" t="n">
        <f aca="false">AR662+AQ662</f>
        <v>76</v>
      </c>
      <c r="AU662" s="16" t="n">
        <f aca="false">AO662+AF662+AI662+AH662+AG662</f>
        <v>368</v>
      </c>
      <c r="AV662" s="16" t="n">
        <f aca="false">(AO662+AF662+AI662+AH662+AG662)/5</f>
        <v>73.6</v>
      </c>
      <c r="AW662" s="36" t="n">
        <f aca="false">(AO662+AF662+AI662+AH662+AG662+X662+R662+Q662+K662+J662)</f>
        <v>686</v>
      </c>
      <c r="AX662" s="16" t="n">
        <f aca="false">AW662/10</f>
        <v>68.6</v>
      </c>
      <c r="AY662" s="16" t="n">
        <f aca="false">AS662+AF662+AM662+AH662+AG662+AB662+V662+Q662+O662+J662</f>
        <v>712.9</v>
      </c>
      <c r="AZ662" s="16" t="n">
        <f aca="false">AT662+AF662+AN662+AH662+AG662+AC662+W662+Q662+P662+J662</f>
        <v>715</v>
      </c>
      <c r="BA662" s="16" t="n">
        <f aca="false">AY662/10</f>
        <v>71.29</v>
      </c>
      <c r="BB662" s="16" t="n">
        <f aca="false">AZ662/10</f>
        <v>71.5</v>
      </c>
      <c r="BC662" s="16" t="n">
        <v>2328</v>
      </c>
      <c r="BD662" s="16" t="n">
        <f aca="false">RANK(AX662,$AX$2:$AX$881,0)</f>
        <v>745</v>
      </c>
      <c r="BE662" s="78" t="n">
        <f aca="false">((BC662*100)/2400)*0.4+(AX662*0.6)</f>
        <v>79.96</v>
      </c>
      <c r="BF662" s="16" t="n">
        <f aca="false">RANK(BE662,$BE$2:$BE$881,0)</f>
        <v>729</v>
      </c>
      <c r="BG662" s="39" t="n">
        <f aca="false">RANK(BB662,$BB$2:$BB$881,0)</f>
        <v>734</v>
      </c>
      <c r="BH662" s="39" t="n">
        <f aca="false">RANK(BC662,$BC$2:$BC$881,0)</f>
        <v>745</v>
      </c>
      <c r="BI662" s="22" t="s">
        <v>130</v>
      </c>
      <c r="BJ662" s="22" t="s">
        <v>129</v>
      </c>
      <c r="BK662" s="40" t="s">
        <v>702</v>
      </c>
      <c r="BL662" s="41" t="n">
        <v>12</v>
      </c>
      <c r="BM662" s="41" t="n">
        <v>34</v>
      </c>
      <c r="BN662" s="98" t="n">
        <v>46</v>
      </c>
      <c r="BO662" s="42" t="n">
        <v>13</v>
      </c>
      <c r="BP662" s="43" t="n">
        <v>55</v>
      </c>
      <c r="BQ662" s="44" t="n">
        <v>68</v>
      </c>
      <c r="BR662" s="42" t="n">
        <v>16</v>
      </c>
      <c r="BS662" s="45" t="n">
        <v>44</v>
      </c>
      <c r="BT662" s="45" t="n">
        <v>60</v>
      </c>
      <c r="BU662" s="46" t="n">
        <v>98</v>
      </c>
      <c r="BV662" s="47" t="n">
        <v>80</v>
      </c>
      <c r="BW662" s="42" t="n">
        <v>82</v>
      </c>
      <c r="BX662" s="48" t="n">
        <v>88</v>
      </c>
      <c r="BY662" s="32" t="n">
        <v>21</v>
      </c>
      <c r="BZ662" s="32" t="n">
        <v>50</v>
      </c>
      <c r="CA662" s="48" t="n">
        <v>71</v>
      </c>
      <c r="CB662" s="32" t="n">
        <v>17</v>
      </c>
      <c r="CC662" s="32" t="n">
        <v>30</v>
      </c>
      <c r="CD662" s="69" t="n">
        <v>47</v>
      </c>
      <c r="CE662" s="32" t="n">
        <v>25</v>
      </c>
      <c r="CF662" s="32" t="n">
        <v>32</v>
      </c>
      <c r="CG662" s="69" t="n">
        <v>57</v>
      </c>
      <c r="CH662" s="32" t="n">
        <v>92</v>
      </c>
      <c r="CI662" s="32" t="n">
        <v>96</v>
      </c>
      <c r="CJ662" s="49" t="n">
        <v>16</v>
      </c>
      <c r="CK662" s="49" t="n">
        <v>44</v>
      </c>
      <c r="CL662" s="84" t="n">
        <v>60</v>
      </c>
      <c r="CM662" s="49" t="n">
        <v>22</v>
      </c>
      <c r="CN662" s="49" t="n">
        <v>57</v>
      </c>
      <c r="CO662" s="84" t="n">
        <v>79</v>
      </c>
      <c r="CP662" s="25" t="n">
        <f aca="false">BX662+BW662+BV662+BU662+BT662+BQ662+BN662</f>
        <v>522</v>
      </c>
      <c r="CQ662" s="25" t="n">
        <f aca="false">CO662+CL662+CI662+CH662+CG662+CD662+CA662</f>
        <v>502</v>
      </c>
      <c r="CR662" s="26" t="n">
        <f aca="false">CP662/7</f>
        <v>74.5714285714286</v>
      </c>
      <c r="CS662" s="26" t="n">
        <f aca="false">CQ662/7</f>
        <v>71.7142857142857</v>
      </c>
      <c r="CT662" s="24" t="n">
        <f aca="false">RANK(CR662,$CR$2:$CR$881,0)</f>
        <v>651</v>
      </c>
      <c r="CU662" s="25" t="n">
        <f aca="false">RANK(CS662,$CS$2:$CS$881,0)</f>
        <v>517</v>
      </c>
      <c r="CV662" s="26" t="n">
        <f aca="false">(CS662+CR662)/2</f>
        <v>73.1428571428571</v>
      </c>
      <c r="CW662" s="25" t="n">
        <f aca="false">RANK(CV662,$CV$2:$CV$881,0)</f>
        <v>602</v>
      </c>
      <c r="CX662" s="50" t="n">
        <f aca="false">(CV662+BB662)/2</f>
        <v>72.3214285714286</v>
      </c>
      <c r="CY662" s="50" t="n">
        <v>609</v>
      </c>
      <c r="CZ662" s="27" t="s">
        <v>132</v>
      </c>
      <c r="DA662" s="27" t="s">
        <v>486</v>
      </c>
      <c r="DB662" s="27" t="s">
        <v>486</v>
      </c>
      <c r="DC662" s="27" t="s">
        <v>134</v>
      </c>
      <c r="DD662" s="27" t="s">
        <v>174</v>
      </c>
      <c r="DE662" s="27" t="s">
        <v>638</v>
      </c>
      <c r="DF662" s="27" t="s">
        <v>141</v>
      </c>
      <c r="DG662" s="27" t="s">
        <v>134</v>
      </c>
      <c r="DH662" s="27" t="s">
        <v>154</v>
      </c>
      <c r="DI662" s="27" t="s">
        <v>1064</v>
      </c>
      <c r="DJ662" s="27" t="s">
        <v>204</v>
      </c>
      <c r="DK662" s="27" t="s">
        <v>480</v>
      </c>
      <c r="DL662" s="27" t="s">
        <v>174</v>
      </c>
      <c r="DM662" s="27" t="s">
        <v>1388</v>
      </c>
      <c r="DN662" s="27" t="s">
        <v>306</v>
      </c>
      <c r="DO662" s="27" t="s">
        <v>480</v>
      </c>
      <c r="DP662" s="27"/>
      <c r="DQ662" s="27"/>
      <c r="DR662" s="27"/>
      <c r="DS662" s="27"/>
      <c r="DT662" s="27" t="s">
        <v>386</v>
      </c>
      <c r="DU662" s="27" t="s">
        <v>479</v>
      </c>
      <c r="DV662" s="27" t="s">
        <v>218</v>
      </c>
      <c r="DW662" s="27" t="s">
        <v>160</v>
      </c>
      <c r="DX662" s="27" t="s">
        <v>163</v>
      </c>
      <c r="DY662" s="27" t="s">
        <v>151</v>
      </c>
      <c r="DZ662" s="27" t="n">
        <f aca="false">DY662+DV662+DR662+DN662+DJ662+DF662+DB662</f>
        <v>404</v>
      </c>
      <c r="EA662" s="28" t="n">
        <f aca="false">DZ662/7</f>
        <v>57.7142857142857</v>
      </c>
      <c r="EB662" s="27" t="n">
        <f aca="false">RANK(EA662,$EA$2:$EA$881,0)</f>
        <v>809</v>
      </c>
      <c r="EC662" s="29" t="n">
        <f aca="false">DZ662+CQ662+CP662+AZ662</f>
        <v>2143</v>
      </c>
      <c r="ED662" s="30" t="n">
        <f aca="false">(EA662+CV662+BB662)/3</f>
        <v>67.452380952381</v>
      </c>
      <c r="EE662" s="51" t="n">
        <f aca="false">ROUND(BE662,3)</f>
        <v>79.96</v>
      </c>
      <c r="EF662" s="51" t="n">
        <f aca="false">ROUND(CR662,3)</f>
        <v>74.571</v>
      </c>
      <c r="EG662" s="51" t="n">
        <f aca="false">ROUND(CS662,3)</f>
        <v>71.714</v>
      </c>
      <c r="EH662" s="51" t="n">
        <f aca="false">ROUND(EA662,3)</f>
        <v>57.714</v>
      </c>
      <c r="EI662" s="51" t="n">
        <f aca="false">ROUND(ED662,3)</f>
        <v>67.452</v>
      </c>
      <c r="EJ662" s="51" t="n">
        <f aca="false">ROUND(CV662,3)</f>
        <v>73.143</v>
      </c>
      <c r="EK662" s="0" t="n">
        <f aca="false">RANK(EI662,$EI$2:$EI$881,0)</f>
        <v>661</v>
      </c>
    </row>
    <row r="663" customFormat="false" ht="15" hidden="false" customHeight="false" outlineLevel="0" collapsed="false">
      <c r="A663" s="4" t="n">
        <v>2085</v>
      </c>
      <c r="B663" s="4" t="n">
        <v>656</v>
      </c>
      <c r="C663" s="27" t="s">
        <v>1924</v>
      </c>
      <c r="D663" s="31" t="n">
        <v>669</v>
      </c>
      <c r="E663" s="16" t="n">
        <v>230612855</v>
      </c>
      <c r="F663" s="56" t="s">
        <v>1925</v>
      </c>
      <c r="G663" s="22" t="s">
        <v>484</v>
      </c>
      <c r="H663" s="22" t="s">
        <v>558</v>
      </c>
      <c r="I663" s="57"/>
      <c r="J663" s="16" t="n">
        <v>86</v>
      </c>
      <c r="K663" s="16" t="n">
        <v>75</v>
      </c>
      <c r="L663" s="34" t="n">
        <f aca="false">(K663*70)/100</f>
        <v>52.5</v>
      </c>
      <c r="M663" s="34" t="n">
        <f aca="false">ROUNDUP(L663,0)</f>
        <v>53</v>
      </c>
      <c r="N663" s="16" t="n">
        <v>23</v>
      </c>
      <c r="O663" s="34" t="n">
        <f aca="false">N663+L663</f>
        <v>75.5</v>
      </c>
      <c r="P663" s="34" t="n">
        <f aca="false">N663+M663</f>
        <v>76</v>
      </c>
      <c r="Q663" s="16" t="n">
        <v>64</v>
      </c>
      <c r="R663" s="16" t="n">
        <v>70</v>
      </c>
      <c r="S663" s="34" t="n">
        <f aca="false">(R663*70)/100</f>
        <v>49</v>
      </c>
      <c r="T663" s="34" t="n">
        <f aca="false">ROUNDUP(S663,0)</f>
        <v>49</v>
      </c>
      <c r="U663" s="16" t="n">
        <v>29</v>
      </c>
      <c r="V663" s="34" t="n">
        <f aca="false">U663+S663</f>
        <v>78</v>
      </c>
      <c r="W663" s="34" t="n">
        <f aca="false">U663+T663</f>
        <v>78</v>
      </c>
      <c r="X663" s="16" t="n">
        <v>70</v>
      </c>
      <c r="Y663" s="34" t="n">
        <f aca="false">(X663*70)/100</f>
        <v>49</v>
      </c>
      <c r="Z663" s="34" t="n">
        <f aca="false">ROUNDUP(Y663,0)</f>
        <v>49</v>
      </c>
      <c r="AA663" s="16" t="n">
        <v>27</v>
      </c>
      <c r="AB663" s="34" t="n">
        <f aca="false">AA663+Y663</f>
        <v>76</v>
      </c>
      <c r="AC663" s="34" t="n">
        <f aca="false">AA663+Z663</f>
        <v>76</v>
      </c>
      <c r="AD663" s="32" t="n">
        <f aca="false">X663+R663+Q663+K663+J663</f>
        <v>365</v>
      </c>
      <c r="AE663" s="16" t="n">
        <f aca="false">AD663/5</f>
        <v>73</v>
      </c>
      <c r="AF663" s="16" t="n">
        <v>75</v>
      </c>
      <c r="AG663" s="16" t="n">
        <v>92</v>
      </c>
      <c r="AH663" s="16" t="n">
        <v>84</v>
      </c>
      <c r="AI663" s="16" t="n">
        <v>83</v>
      </c>
      <c r="AJ663" s="16" t="n">
        <f aca="false">(AI663*70)/100</f>
        <v>58.1</v>
      </c>
      <c r="AK663" s="35" t="n">
        <f aca="false">ROUNDUP(AJ663,0)</f>
        <v>59</v>
      </c>
      <c r="AL663" s="16" t="n">
        <v>28</v>
      </c>
      <c r="AM663" s="16" t="n">
        <f aca="false">AL663+AJ663</f>
        <v>86.1</v>
      </c>
      <c r="AN663" s="16" t="n">
        <f aca="false">AL663+AK663</f>
        <v>87</v>
      </c>
      <c r="AO663" s="16" t="n">
        <v>74</v>
      </c>
      <c r="AP663" s="36" t="n">
        <f aca="false">(AO663*70)/100</f>
        <v>51.8</v>
      </c>
      <c r="AQ663" s="37" t="n">
        <f aca="false">ROUNDUP(AP663,0)</f>
        <v>52</v>
      </c>
      <c r="AR663" s="16" t="n">
        <v>30</v>
      </c>
      <c r="AS663" s="16" t="n">
        <f aca="false">AR663+AP663</f>
        <v>81.8</v>
      </c>
      <c r="AT663" s="16" t="n">
        <f aca="false">AR663+AQ663</f>
        <v>82</v>
      </c>
      <c r="AU663" s="16" t="n">
        <f aca="false">AO663+AF663+AI663+AH663+AG663</f>
        <v>408</v>
      </c>
      <c r="AV663" s="16" t="n">
        <f aca="false">(AO663+AF663+AI663+AH663+AG663)/5</f>
        <v>81.6</v>
      </c>
      <c r="AW663" s="36" t="n">
        <f aca="false">(AO663+AF663+AI663+AH663+AG663+X663+R663+Q663+K663+J663)</f>
        <v>773</v>
      </c>
      <c r="AX663" s="16" t="n">
        <f aca="false">AW663/10</f>
        <v>77.3</v>
      </c>
      <c r="AY663" s="16" t="n">
        <f aca="false">AS663+AF663+AM663+AH663+AG663+AB663+V663+Q663+O663+J663</f>
        <v>798.4</v>
      </c>
      <c r="AZ663" s="16" t="n">
        <f aca="false">AT663+AF663+AN663+AH663+AG663+AC663+W663+Q663+P663+J663</f>
        <v>800</v>
      </c>
      <c r="BA663" s="16" t="n">
        <f aca="false">AY663/10</f>
        <v>79.84</v>
      </c>
      <c r="BB663" s="16" t="n">
        <f aca="false">AZ663/10</f>
        <v>80</v>
      </c>
      <c r="BC663" s="16" t="n">
        <v>2365</v>
      </c>
      <c r="BD663" s="16" t="n">
        <f aca="false">RANK(AX663,$AX$2:$AX$881,0)</f>
        <v>472</v>
      </c>
      <c r="BE663" s="54" t="n">
        <f aca="false">((BC663*100)/2400)*0.4+(AX663*0.6)</f>
        <v>85.7966666666667</v>
      </c>
      <c r="BF663" s="16" t="n">
        <f aca="false">RANK(BE663,$BE$2:$BE$881,0)</f>
        <v>460</v>
      </c>
      <c r="BG663" s="39" t="n">
        <f aca="false">RANK(BB663,$BB$2:$BB$881,0)</f>
        <v>352</v>
      </c>
      <c r="BH663" s="39" t="n">
        <f aca="false">RANK(BC663,$BC$2:$BC$881,0)</f>
        <v>333</v>
      </c>
      <c r="BI663" s="22" t="s">
        <v>130</v>
      </c>
      <c r="BJ663" s="22" t="s">
        <v>129</v>
      </c>
      <c r="BK663" s="40" t="s">
        <v>509</v>
      </c>
      <c r="BL663" s="105" t="n">
        <v>20</v>
      </c>
      <c r="BM663" s="42" t="n">
        <v>49</v>
      </c>
      <c r="BN663" s="42" t="n">
        <v>69</v>
      </c>
      <c r="BO663" s="74" t="n">
        <v>6</v>
      </c>
      <c r="BP663" s="61"/>
      <c r="BQ663" s="61"/>
      <c r="BR663" s="74" t="n">
        <v>8</v>
      </c>
      <c r="BS663" s="80"/>
      <c r="BT663" s="80"/>
      <c r="BU663" s="80"/>
      <c r="BV663" s="58" t="n">
        <v>74</v>
      </c>
      <c r="BW663" s="102" t="n">
        <v>94</v>
      </c>
      <c r="BX663" s="88" t="n">
        <v>92</v>
      </c>
      <c r="BY663" s="65" t="n">
        <v>29</v>
      </c>
      <c r="BZ663" s="58" t="n">
        <v>39</v>
      </c>
      <c r="CA663" s="58" t="n">
        <v>68</v>
      </c>
      <c r="CB663" s="59" t="n">
        <v>24</v>
      </c>
      <c r="CC663" s="58" t="n">
        <v>51</v>
      </c>
      <c r="CD663" s="58" t="n">
        <v>75</v>
      </c>
      <c r="CE663" s="58" t="n">
        <v>14</v>
      </c>
      <c r="CF663" s="58" t="n">
        <v>26</v>
      </c>
      <c r="CG663" s="90" t="n">
        <v>40</v>
      </c>
      <c r="CH663" s="58" t="n">
        <v>83</v>
      </c>
      <c r="CI663" s="58" t="n">
        <v>62</v>
      </c>
      <c r="CJ663" s="58" t="n">
        <v>20</v>
      </c>
      <c r="CK663" s="58" t="n">
        <v>57</v>
      </c>
      <c r="CL663" s="59" t="n">
        <v>77</v>
      </c>
      <c r="CM663" s="60"/>
      <c r="CN663" s="60"/>
      <c r="CO663" s="60"/>
      <c r="CP663" s="25" t="n">
        <f aca="false">BX663+BW663+BV663+BU663+BT663+BQ663+BN663</f>
        <v>329</v>
      </c>
      <c r="CQ663" s="25" t="n">
        <f aca="false">CO663+CL663+CI663+CH663+CG663+CD663+CA663</f>
        <v>405</v>
      </c>
      <c r="CR663" s="26" t="n">
        <f aca="false">CP663/7</f>
        <v>47</v>
      </c>
      <c r="CS663" s="26" t="n">
        <f aca="false">CQ663/7</f>
        <v>57.8571428571429</v>
      </c>
      <c r="CT663" s="24" t="n">
        <f aca="false">RANK(CR663,$CR$2:$CR$881,0)</f>
        <v>742</v>
      </c>
      <c r="CU663" s="25" t="n">
        <f aca="false">RANK(CS663,$CS$2:$CS$881,0)</f>
        <v>702</v>
      </c>
      <c r="CV663" s="26" t="n">
        <f aca="false">(CS663+CR663)/2</f>
        <v>52.4285714285714</v>
      </c>
      <c r="CW663" s="25" t="n">
        <f aca="false">RANK(CV663,$CV$2:$CV$881,0)</f>
        <v>711</v>
      </c>
      <c r="CX663" s="50" t="n">
        <f aca="false">(CV663+BB663)/2</f>
        <v>66.2142857142857</v>
      </c>
      <c r="CY663" s="50" t="n">
        <v>761</v>
      </c>
      <c r="CZ663" s="27" t="s">
        <v>132</v>
      </c>
      <c r="DA663" s="27" t="s">
        <v>175</v>
      </c>
      <c r="DB663" s="27" t="s">
        <v>175</v>
      </c>
      <c r="DC663" s="27" t="s">
        <v>134</v>
      </c>
      <c r="DD663" s="27" t="s">
        <v>154</v>
      </c>
      <c r="DE663" s="27" t="s">
        <v>304</v>
      </c>
      <c r="DF663" s="27" t="s">
        <v>382</v>
      </c>
      <c r="DG663" s="27" t="s">
        <v>134</v>
      </c>
      <c r="DH663" s="27" t="s">
        <v>195</v>
      </c>
      <c r="DI663" s="27" t="s">
        <v>645</v>
      </c>
      <c r="DJ663" s="27" t="s">
        <v>163</v>
      </c>
      <c r="DK663" s="27" t="s">
        <v>134</v>
      </c>
      <c r="DL663" s="27" t="s">
        <v>195</v>
      </c>
      <c r="DM663" s="27" t="s">
        <v>1407</v>
      </c>
      <c r="DN663" s="27" t="s">
        <v>161</v>
      </c>
      <c r="DO663" s="27" t="s">
        <v>134</v>
      </c>
      <c r="DP663" s="27" t="s">
        <v>825</v>
      </c>
      <c r="DQ663" s="27" t="s">
        <v>481</v>
      </c>
      <c r="DR663" s="27" t="s">
        <v>375</v>
      </c>
      <c r="DS663" s="27" t="s">
        <v>480</v>
      </c>
      <c r="DT663" s="27" t="s">
        <v>154</v>
      </c>
      <c r="DU663" s="27" t="s">
        <v>1395</v>
      </c>
      <c r="DV663" s="27" t="s">
        <v>218</v>
      </c>
      <c r="DW663" s="27" t="s">
        <v>191</v>
      </c>
      <c r="DX663" s="27" t="s">
        <v>143</v>
      </c>
      <c r="DY663" s="27" t="s">
        <v>133</v>
      </c>
      <c r="DZ663" s="27" t="n">
        <f aca="false">DY663+DV663+DR663+DN663+DJ663+DF663+DB663</f>
        <v>483</v>
      </c>
      <c r="EA663" s="28" t="n">
        <f aca="false">DZ663/7</f>
        <v>69</v>
      </c>
      <c r="EB663" s="27" t="n">
        <f aca="false">RANK(EA663,$EA$2:$EA$881,0)</f>
        <v>673</v>
      </c>
      <c r="EC663" s="29" t="n">
        <f aca="false">DZ663+CQ663+CP663+AZ663</f>
        <v>2017</v>
      </c>
      <c r="ED663" s="30" t="n">
        <f aca="false">(EA663+CV663+BB663)/3</f>
        <v>67.1428571428572</v>
      </c>
      <c r="EE663" s="51" t="n">
        <f aca="false">ROUND(BE663,3)</f>
        <v>85.797</v>
      </c>
      <c r="EF663" s="51" t="n">
        <f aca="false">ROUND(CR663,3)</f>
        <v>47</v>
      </c>
      <c r="EG663" s="51" t="n">
        <f aca="false">ROUND(CS663,3)</f>
        <v>57.857</v>
      </c>
      <c r="EH663" s="51" t="n">
        <f aca="false">ROUND(EA663,3)</f>
        <v>69</v>
      </c>
      <c r="EI663" s="51" t="n">
        <f aca="false">ROUND(ED663,3)</f>
        <v>67.143</v>
      </c>
      <c r="EJ663" s="51" t="n">
        <f aca="false">ROUND(CV663,3)</f>
        <v>52.429</v>
      </c>
      <c r="EK663" s="0" t="n">
        <f aca="false">RANK(EI663,$EI$2:$EI$881,0)</f>
        <v>662</v>
      </c>
    </row>
    <row r="664" customFormat="false" ht="15" hidden="false" customHeight="false" outlineLevel="0" collapsed="false">
      <c r="A664" s="4" t="n">
        <v>2074</v>
      </c>
      <c r="B664" s="4" t="n">
        <v>718</v>
      </c>
      <c r="C664" s="27" t="s">
        <v>1926</v>
      </c>
      <c r="D664" s="31" t="n">
        <v>733</v>
      </c>
      <c r="E664" s="16" t="n">
        <v>230611650</v>
      </c>
      <c r="F664" s="56" t="s">
        <v>1927</v>
      </c>
      <c r="G664" s="22" t="s">
        <v>249</v>
      </c>
      <c r="H664" s="22" t="s">
        <v>558</v>
      </c>
      <c r="I664" s="57"/>
      <c r="J664" s="16" t="n">
        <v>63</v>
      </c>
      <c r="K664" s="16" t="n">
        <v>72</v>
      </c>
      <c r="L664" s="34" t="n">
        <f aca="false">(K664*70)/100</f>
        <v>50.4</v>
      </c>
      <c r="M664" s="34" t="n">
        <f aca="false">ROUNDUP(L664,0)</f>
        <v>51</v>
      </c>
      <c r="N664" s="16" t="n">
        <v>23</v>
      </c>
      <c r="O664" s="34" t="n">
        <f aca="false">N664+L664</f>
        <v>73.4</v>
      </c>
      <c r="P664" s="34" t="n">
        <f aca="false">N664+M664</f>
        <v>74</v>
      </c>
      <c r="Q664" s="16" t="n">
        <v>70</v>
      </c>
      <c r="R664" s="16" t="n">
        <v>73</v>
      </c>
      <c r="S664" s="34" t="n">
        <f aca="false">(R664*70)/100</f>
        <v>51.1</v>
      </c>
      <c r="T664" s="34" t="n">
        <f aca="false">ROUNDUP(S664,0)</f>
        <v>52</v>
      </c>
      <c r="U664" s="16" t="n">
        <v>27</v>
      </c>
      <c r="V664" s="34" t="n">
        <f aca="false">U664+S664</f>
        <v>78.1</v>
      </c>
      <c r="W664" s="34" t="n">
        <f aca="false">U664+T664</f>
        <v>79</v>
      </c>
      <c r="X664" s="16" t="n">
        <v>76</v>
      </c>
      <c r="Y664" s="34" t="n">
        <f aca="false">(X664*70)/100</f>
        <v>53.2</v>
      </c>
      <c r="Z664" s="34" t="n">
        <f aca="false">ROUNDUP(Y664,0)</f>
        <v>54</v>
      </c>
      <c r="AA664" s="16" t="n">
        <v>25</v>
      </c>
      <c r="AB664" s="34" t="n">
        <f aca="false">AA664+Y664</f>
        <v>78.2</v>
      </c>
      <c r="AC664" s="34" t="n">
        <f aca="false">AA664+Z664</f>
        <v>79</v>
      </c>
      <c r="AD664" s="32" t="n">
        <f aca="false">X664+R664+Q664+K664+J664</f>
        <v>354</v>
      </c>
      <c r="AE664" s="16" t="n">
        <f aca="false">AD664/5</f>
        <v>70.8</v>
      </c>
      <c r="AF664" s="16" t="n">
        <v>79</v>
      </c>
      <c r="AG664" s="16" t="n">
        <v>77</v>
      </c>
      <c r="AH664" s="16" t="n">
        <v>89</v>
      </c>
      <c r="AI664" s="16" t="n">
        <v>87</v>
      </c>
      <c r="AJ664" s="16" t="n">
        <f aca="false">(AI664*70)/100</f>
        <v>60.9</v>
      </c>
      <c r="AK664" s="35" t="n">
        <f aca="false">ROUNDUP(AJ664,0)</f>
        <v>61</v>
      </c>
      <c r="AL664" s="16" t="n">
        <v>23</v>
      </c>
      <c r="AM664" s="16" t="n">
        <f aca="false">AL664+AJ664</f>
        <v>83.9</v>
      </c>
      <c r="AN664" s="16" t="n">
        <f aca="false">AL664+AK664</f>
        <v>84</v>
      </c>
      <c r="AO664" s="16" t="n">
        <v>76</v>
      </c>
      <c r="AP664" s="36" t="n">
        <f aca="false">(AO664*70)/100</f>
        <v>53.2</v>
      </c>
      <c r="AQ664" s="37" t="n">
        <f aca="false">ROUNDUP(AP664,0)</f>
        <v>54</v>
      </c>
      <c r="AR664" s="16" t="n">
        <v>30</v>
      </c>
      <c r="AS664" s="16" t="n">
        <f aca="false">AR664+AP664</f>
        <v>83.2</v>
      </c>
      <c r="AT664" s="16" t="n">
        <f aca="false">AR664+AQ664</f>
        <v>84</v>
      </c>
      <c r="AU664" s="16" t="n">
        <f aca="false">AO664+AF664+AI664+AH664+AG664</f>
        <v>408</v>
      </c>
      <c r="AV664" s="16" t="n">
        <f aca="false">(AO664+AF664+AI664+AH664+AG664)/5</f>
        <v>81.6</v>
      </c>
      <c r="AW664" s="36" t="n">
        <f aca="false">(AO664+AF664+AI664+AH664+AG664+X664+R664+Q664+K664+J664)</f>
        <v>762</v>
      </c>
      <c r="AX664" s="16" t="n">
        <f aca="false">AW664/10</f>
        <v>76.2</v>
      </c>
      <c r="AY664" s="16" t="n">
        <f aca="false">AS664+AF664+AM664+AH664+AG664+AB664+V664+Q664+O664+J664</f>
        <v>774.8</v>
      </c>
      <c r="AZ664" s="16" t="n">
        <f aca="false">AT664+AF664+AN664+AH664+AG664+AC664+W664+Q664+P664+J664</f>
        <v>778</v>
      </c>
      <c r="BA664" s="16" t="n">
        <f aca="false">AY664/10</f>
        <v>77.48</v>
      </c>
      <c r="BB664" s="16" t="n">
        <f aca="false">AZ664/10</f>
        <v>77.8</v>
      </c>
      <c r="BC664" s="16" t="n">
        <v>2384</v>
      </c>
      <c r="BD664" s="16" t="n">
        <f aca="false">RANK(AX664,$AX$2:$AX$881,0)</f>
        <v>600</v>
      </c>
      <c r="BE664" s="54" t="n">
        <f aca="false">((BC664*100)/2400)*0.4+(AX664*0.6)</f>
        <v>85.4533333333333</v>
      </c>
      <c r="BF664" s="16" t="n">
        <f aca="false">RANK(BE664,$BE$2:$BE$881,0)</f>
        <v>519</v>
      </c>
      <c r="BG664" s="39" t="n">
        <f aca="false">RANK(BB664,$BB$2:$BB$881,0)</f>
        <v>577</v>
      </c>
      <c r="BH664" s="39" t="n">
        <f aca="false">RANK(BC664,$BC$2:$BC$881,0)</f>
        <v>109</v>
      </c>
      <c r="BI664" s="22" t="s">
        <v>130</v>
      </c>
      <c r="BJ664" s="22" t="s">
        <v>129</v>
      </c>
      <c r="BK664" s="40" t="s">
        <v>509</v>
      </c>
      <c r="BL664" s="41" t="n">
        <v>19</v>
      </c>
      <c r="BM664" s="59" t="n">
        <v>46</v>
      </c>
      <c r="BN664" s="59" t="n">
        <v>65</v>
      </c>
      <c r="BO664" s="42" t="n">
        <v>21</v>
      </c>
      <c r="BP664" s="59" t="n">
        <v>47</v>
      </c>
      <c r="BQ664" s="59" t="n">
        <v>68</v>
      </c>
      <c r="BR664" s="42" t="n">
        <v>19</v>
      </c>
      <c r="BS664" s="88" t="n">
        <v>33</v>
      </c>
      <c r="BT664" s="125" t="n">
        <v>52</v>
      </c>
      <c r="BU664" s="131" t="n">
        <v>75</v>
      </c>
      <c r="BV664" s="58" t="n">
        <v>72</v>
      </c>
      <c r="BW664" s="102" t="n">
        <v>94</v>
      </c>
      <c r="BX664" s="88" t="n">
        <v>92</v>
      </c>
      <c r="BY664" s="65" t="n">
        <v>30</v>
      </c>
      <c r="BZ664" s="58" t="n">
        <v>50</v>
      </c>
      <c r="CA664" s="58" t="n">
        <v>80</v>
      </c>
      <c r="CB664" s="59" t="n">
        <v>22</v>
      </c>
      <c r="CC664" s="58" t="n">
        <v>43</v>
      </c>
      <c r="CD664" s="58" t="n">
        <v>65</v>
      </c>
      <c r="CE664" s="58" t="n">
        <v>15</v>
      </c>
      <c r="CF664" s="58" t="n">
        <v>35</v>
      </c>
      <c r="CG664" s="90" t="n">
        <v>50</v>
      </c>
      <c r="CH664" s="58" t="n">
        <v>89</v>
      </c>
      <c r="CI664" s="58" t="n">
        <v>86</v>
      </c>
      <c r="CJ664" s="58" t="n">
        <v>18</v>
      </c>
      <c r="CK664" s="58" t="n">
        <v>40</v>
      </c>
      <c r="CL664" s="59" t="n">
        <v>58</v>
      </c>
      <c r="CM664" s="60"/>
      <c r="CN664" s="60"/>
      <c r="CO664" s="60"/>
      <c r="CP664" s="25" t="n">
        <f aca="false">BX664+BW664+BV664+BU664+BT664+BQ664+BN664</f>
        <v>518</v>
      </c>
      <c r="CQ664" s="25" t="n">
        <f aca="false">CO664+CL664+CI664+CH664+CG664+CD664+CA664</f>
        <v>428</v>
      </c>
      <c r="CR664" s="26" t="n">
        <f aca="false">CP664/7</f>
        <v>74</v>
      </c>
      <c r="CS664" s="26" t="n">
        <f aca="false">CQ664/7</f>
        <v>61.1428571428571</v>
      </c>
      <c r="CT664" s="24" t="n">
        <f aca="false">RANK(CR664,$CR$2:$CR$881,0)</f>
        <v>660</v>
      </c>
      <c r="CU664" s="25" t="n">
        <f aca="false">RANK(CS664,$CS$2:$CS$881,0)</f>
        <v>673</v>
      </c>
      <c r="CV664" s="26" t="n">
        <f aca="false">(CS664+CR664)/2</f>
        <v>67.5714285714286</v>
      </c>
      <c r="CW664" s="25" t="n">
        <f aca="false">RANK(CV664,$CV$2:$CV$881,0)</f>
        <v>656</v>
      </c>
      <c r="CX664" s="50" t="n">
        <f aca="false">(CV664+BB664)/2</f>
        <v>72.6857142857143</v>
      </c>
      <c r="CY664" s="50" t="n">
        <v>824</v>
      </c>
      <c r="CZ664" s="27" t="s">
        <v>132</v>
      </c>
      <c r="DA664" s="27" t="s">
        <v>153</v>
      </c>
      <c r="DB664" s="27" t="s">
        <v>153</v>
      </c>
      <c r="DC664" s="27" t="s">
        <v>134</v>
      </c>
      <c r="DD664" s="27" t="s">
        <v>264</v>
      </c>
      <c r="DE664" s="27" t="s">
        <v>183</v>
      </c>
      <c r="DF664" s="27" t="s">
        <v>382</v>
      </c>
      <c r="DG664" s="27" t="s">
        <v>134</v>
      </c>
      <c r="DH664" s="27" t="s">
        <v>135</v>
      </c>
      <c r="DI664" s="27" t="s">
        <v>399</v>
      </c>
      <c r="DJ664" s="27" t="s">
        <v>486</v>
      </c>
      <c r="DK664" s="27" t="s">
        <v>134</v>
      </c>
      <c r="DL664" s="27" t="s">
        <v>485</v>
      </c>
      <c r="DM664" s="27" t="s">
        <v>638</v>
      </c>
      <c r="DN664" s="27" t="s">
        <v>203</v>
      </c>
      <c r="DO664" s="27" t="s">
        <v>134</v>
      </c>
      <c r="DP664" s="27"/>
      <c r="DQ664" s="27"/>
      <c r="DR664" s="27"/>
      <c r="DS664" s="27"/>
      <c r="DT664" s="27"/>
      <c r="DU664" s="27"/>
      <c r="DV664" s="27"/>
      <c r="DW664" s="27" t="s">
        <v>706</v>
      </c>
      <c r="DX664" s="27" t="s">
        <v>155</v>
      </c>
      <c r="DY664" s="27" t="s">
        <v>175</v>
      </c>
      <c r="DZ664" s="27" t="n">
        <f aca="false">DY664+DV664+DR664+DN664+DJ664+DF664+DB664</f>
        <v>387</v>
      </c>
      <c r="EA664" s="28" t="n">
        <f aca="false">DZ664/7</f>
        <v>55.2857142857143</v>
      </c>
      <c r="EB664" s="27" t="n">
        <f aca="false">RANK(EA664,$EA$2:$EA$881,0)</f>
        <v>825</v>
      </c>
      <c r="EC664" s="29" t="n">
        <f aca="false">DZ664+CQ664+CP664+AZ664</f>
        <v>2111</v>
      </c>
      <c r="ED664" s="30" t="n">
        <f aca="false">(EA664+CV664+BB664)/3</f>
        <v>66.8857142857143</v>
      </c>
      <c r="EE664" s="51" t="n">
        <f aca="false">ROUND(BE664,3)</f>
        <v>85.453</v>
      </c>
      <c r="EF664" s="51" t="n">
        <f aca="false">ROUND(CR664,3)</f>
        <v>74</v>
      </c>
      <c r="EG664" s="51" t="n">
        <f aca="false">ROUND(CS664,3)</f>
        <v>61.143</v>
      </c>
      <c r="EH664" s="51" t="n">
        <f aca="false">ROUND(EA664,3)</f>
        <v>55.286</v>
      </c>
      <c r="EI664" s="51" t="n">
        <f aca="false">ROUND(ED664,3)</f>
        <v>66.886</v>
      </c>
      <c r="EJ664" s="51" t="n">
        <f aca="false">ROUND(CV664,3)</f>
        <v>67.571</v>
      </c>
      <c r="EK664" s="0" t="n">
        <f aca="false">RANK(EI664,$EI$2:$EI$881,0)</f>
        <v>663</v>
      </c>
    </row>
    <row r="665" customFormat="false" ht="15" hidden="false" customHeight="false" outlineLevel="0" collapsed="false">
      <c r="A665" s="4" t="n">
        <v>8584</v>
      </c>
      <c r="B665" s="4" t="n">
        <v>312</v>
      </c>
      <c r="C665" s="27" t="s">
        <v>1928</v>
      </c>
      <c r="D665" s="52" t="n">
        <v>313</v>
      </c>
      <c r="E665" s="109" t="n">
        <v>230322809</v>
      </c>
      <c r="F665" s="110" t="s">
        <v>1929</v>
      </c>
      <c r="G665" s="109" t="s">
        <v>280</v>
      </c>
      <c r="H665" s="109" t="s">
        <v>129</v>
      </c>
      <c r="I665" s="19" t="n">
        <v>2005</v>
      </c>
      <c r="J665" s="128" t="n">
        <v>50</v>
      </c>
      <c r="K665" s="111" t="n">
        <v>41</v>
      </c>
      <c r="L665" s="112" t="n">
        <f aca="false">(K665*70)/100</f>
        <v>28.7</v>
      </c>
      <c r="M665" s="112" t="n">
        <f aca="false">ROUNDUP(L665,0)</f>
        <v>29</v>
      </c>
      <c r="N665" s="111" t="n">
        <v>23</v>
      </c>
      <c r="O665" s="112" t="n">
        <f aca="false">N665+L665</f>
        <v>51.7</v>
      </c>
      <c r="P665" s="112" t="n">
        <f aca="false">N665+M665</f>
        <v>52</v>
      </c>
      <c r="Q665" s="113" t="n">
        <v>52</v>
      </c>
      <c r="R665" s="111" t="n">
        <v>42</v>
      </c>
      <c r="S665" s="112" t="n">
        <f aca="false">(R665*70)/100</f>
        <v>29.4</v>
      </c>
      <c r="T665" s="112" t="n">
        <f aca="false">ROUNDUP(S665,0)</f>
        <v>30</v>
      </c>
      <c r="U665" s="111" t="n">
        <v>18</v>
      </c>
      <c r="V665" s="112" t="n">
        <f aca="false">U665+S665</f>
        <v>47.4</v>
      </c>
      <c r="W665" s="112" t="n">
        <f aca="false">U665+T665</f>
        <v>48</v>
      </c>
      <c r="X665" s="111" t="n">
        <v>46</v>
      </c>
      <c r="Y665" s="112" t="n">
        <f aca="false">(X665*70)/100</f>
        <v>32.2</v>
      </c>
      <c r="Z665" s="112" t="n">
        <f aca="false">ROUNDUP(Y665,0)</f>
        <v>33</v>
      </c>
      <c r="AA665" s="111" t="n">
        <v>20</v>
      </c>
      <c r="AB665" s="112" t="n">
        <f aca="false">AA665+Y665</f>
        <v>52.2</v>
      </c>
      <c r="AC665" s="112" t="n">
        <f aca="false">AA665+Z665</f>
        <v>53</v>
      </c>
      <c r="AD665" s="111" t="n">
        <f aca="false">X665+R665+Q665+K665+J665</f>
        <v>231</v>
      </c>
      <c r="AE665" s="114" t="n">
        <v>46.2</v>
      </c>
      <c r="AF665" s="19" t="n">
        <v>43</v>
      </c>
      <c r="AG665" s="19" t="n">
        <v>53</v>
      </c>
      <c r="AH665" s="19" t="n">
        <v>62</v>
      </c>
      <c r="AI665" s="19" t="n">
        <v>47</v>
      </c>
      <c r="AJ665" s="19" t="n">
        <f aca="false">(AI665*70)/100</f>
        <v>32.9</v>
      </c>
      <c r="AK665" s="115" t="n">
        <f aca="false">ROUNDUP(AJ665,0)</f>
        <v>33</v>
      </c>
      <c r="AL665" s="19" t="n">
        <v>27</v>
      </c>
      <c r="AM665" s="19" t="n">
        <f aca="false">AL665+AJ665</f>
        <v>59.9</v>
      </c>
      <c r="AN665" s="19" t="n">
        <f aca="false">AL665+AK665</f>
        <v>60</v>
      </c>
      <c r="AO665" s="19" t="n">
        <v>53</v>
      </c>
      <c r="AP665" s="116" t="n">
        <f aca="false">(AO665*70)/100</f>
        <v>37.1</v>
      </c>
      <c r="AQ665" s="117" t="n">
        <f aca="false">ROUNDUP(AP665,0)</f>
        <v>38</v>
      </c>
      <c r="AR665" s="19" t="n">
        <v>23</v>
      </c>
      <c r="AS665" s="19" t="n">
        <f aca="false">AR665+AP665</f>
        <v>60.1</v>
      </c>
      <c r="AT665" s="19" t="n">
        <f aca="false">AR665+AQ665</f>
        <v>61</v>
      </c>
      <c r="AU665" s="19" t="n">
        <f aca="false">AO665+AF665+AI665+AH665+AG665</f>
        <v>258</v>
      </c>
      <c r="AV665" s="19" t="n">
        <f aca="false">(AO665+AF665+AI665+AH665+AG665)/5</f>
        <v>51.6</v>
      </c>
      <c r="AW665" s="116" t="n">
        <f aca="false">(AO665+AF665+AI665+AH665+AG665+X665+R665+Q665+K665+J665)</f>
        <v>489</v>
      </c>
      <c r="AX665" s="16" t="n">
        <f aca="false">AW665/10</f>
        <v>48.9</v>
      </c>
      <c r="AY665" s="16" t="n">
        <f aca="false">AS665+AF665+AM665+AH665+AG665+AB665+V665+Q665+O665+J665</f>
        <v>531.3</v>
      </c>
      <c r="AZ665" s="16" t="n">
        <f aca="false">AT665+AF665+AN665+AH665+AG665+AC665+W665+Q665+P665+J665</f>
        <v>534</v>
      </c>
      <c r="BA665" s="16" t="n">
        <f aca="false">AY665/10</f>
        <v>53.13</v>
      </c>
      <c r="BB665" s="16" t="n">
        <f aca="false">AZ665/10</f>
        <v>53.4</v>
      </c>
      <c r="BC665" s="16" t="n">
        <v>2086</v>
      </c>
      <c r="BD665" s="16" t="n">
        <f aca="false">RANK(AX665,$AX$2:$AX$881,0)</f>
        <v>805</v>
      </c>
      <c r="BE665" s="20" t="n">
        <f aca="false">((BC665*100)/2400)*0.4+(AX665*0.6)</f>
        <v>64.1066666666667</v>
      </c>
      <c r="BF665" s="16" t="n">
        <f aca="false">RANK(BE665,$BE$2:$BE$881,0)</f>
        <v>800</v>
      </c>
      <c r="BG665" s="39" t="n">
        <f aca="false">RANK(BB665,$BB$2:$BB$881,0)</f>
        <v>799</v>
      </c>
      <c r="BH665" s="39" t="n">
        <f aca="false">RANK(BC665,$BC$2:$BC$881,0)</f>
        <v>774</v>
      </c>
      <c r="BI665" s="19" t="s">
        <v>130</v>
      </c>
      <c r="BJ665" s="19" t="s">
        <v>129</v>
      </c>
      <c r="BK665" s="109" t="s">
        <v>1596</v>
      </c>
      <c r="BL665" s="41" t="n">
        <v>17</v>
      </c>
      <c r="BM665" s="41" t="n">
        <v>43</v>
      </c>
      <c r="BN665" s="41" t="n">
        <v>60</v>
      </c>
      <c r="BO665" s="42" t="n">
        <v>15</v>
      </c>
      <c r="BP665" s="43" t="n">
        <v>47</v>
      </c>
      <c r="BQ665" s="44" t="n">
        <v>62</v>
      </c>
      <c r="BR665" s="42" t="n">
        <v>22</v>
      </c>
      <c r="BS665" s="45" t="n">
        <v>42</v>
      </c>
      <c r="BT665" s="45" t="n">
        <v>64</v>
      </c>
      <c r="BU665" s="46" t="n">
        <v>92</v>
      </c>
      <c r="BV665" s="47" t="n">
        <v>80</v>
      </c>
      <c r="BW665" s="42" t="n">
        <v>92</v>
      </c>
      <c r="BX665" s="48" t="n">
        <v>92</v>
      </c>
      <c r="BY665" s="32" t="n">
        <v>17</v>
      </c>
      <c r="BZ665" s="32" t="n">
        <v>51</v>
      </c>
      <c r="CA665" s="48" t="n">
        <v>68</v>
      </c>
      <c r="CB665" s="32" t="n">
        <v>20</v>
      </c>
      <c r="CC665" s="32" t="n">
        <v>32</v>
      </c>
      <c r="CD665" s="69" t="n">
        <v>52</v>
      </c>
      <c r="CE665" s="32" t="n">
        <v>19</v>
      </c>
      <c r="CF665" s="32" t="n">
        <v>35</v>
      </c>
      <c r="CG665" s="69" t="n">
        <v>54</v>
      </c>
      <c r="CH665" s="32" t="n">
        <v>90</v>
      </c>
      <c r="CI665" s="32" t="n">
        <v>72</v>
      </c>
      <c r="CJ665" s="49" t="n">
        <v>19</v>
      </c>
      <c r="CK665" s="49" t="n">
        <v>42</v>
      </c>
      <c r="CL665" s="84" t="n">
        <v>61</v>
      </c>
      <c r="CM665" s="49" t="n">
        <v>20</v>
      </c>
      <c r="CN665" s="49" t="n">
        <v>58</v>
      </c>
      <c r="CO665" s="84" t="n">
        <v>78</v>
      </c>
      <c r="CP665" s="25" t="n">
        <f aca="false">BX665+BW665+BV665+BU665+BT665+BQ665+BN665</f>
        <v>542</v>
      </c>
      <c r="CQ665" s="25" t="n">
        <f aca="false">CO665+CL665+CI665+CH665+CG665+CD665+CA665</f>
        <v>475</v>
      </c>
      <c r="CR665" s="26" t="n">
        <f aca="false">CP665/7</f>
        <v>77.4285714285714</v>
      </c>
      <c r="CS665" s="26" t="n">
        <f aca="false">CQ665/7</f>
        <v>67.8571428571429</v>
      </c>
      <c r="CT665" s="24" t="n">
        <f aca="false">RANK(CR665,$CR$2:$CR$881,0)</f>
        <v>622</v>
      </c>
      <c r="CU665" s="25" t="n">
        <f aca="false">RANK(CS665,$CS$2:$CS$881,0)</f>
        <v>590</v>
      </c>
      <c r="CV665" s="26" t="n">
        <f aca="false">(CS665+CR665)/2</f>
        <v>72.6428571428571</v>
      </c>
      <c r="CW665" s="25" t="n">
        <f aca="false">RANK(CV665,$CV$2:$CV$881,0)</f>
        <v>608</v>
      </c>
      <c r="CX665" s="50" t="n">
        <f aca="false">(CV665+BB665)/2</f>
        <v>63.0214285714286</v>
      </c>
      <c r="CY665" s="50" t="n">
        <v>635</v>
      </c>
      <c r="CZ665" s="27" t="s">
        <v>132</v>
      </c>
      <c r="DA665" s="27" t="s">
        <v>202</v>
      </c>
      <c r="DB665" s="27" t="s">
        <v>202</v>
      </c>
      <c r="DC665" s="27" t="s">
        <v>134</v>
      </c>
      <c r="DD665" s="27" t="s">
        <v>164</v>
      </c>
      <c r="DE665" s="27" t="s">
        <v>313</v>
      </c>
      <c r="DF665" s="27" t="s">
        <v>272</v>
      </c>
      <c r="DG665" s="27" t="s">
        <v>134</v>
      </c>
      <c r="DH665" s="27" t="s">
        <v>174</v>
      </c>
      <c r="DI665" s="27" t="s">
        <v>989</v>
      </c>
      <c r="DJ665" s="27" t="s">
        <v>152</v>
      </c>
      <c r="DK665" s="27" t="s">
        <v>134</v>
      </c>
      <c r="DL665" s="27" t="s">
        <v>195</v>
      </c>
      <c r="DM665" s="27" t="s">
        <v>375</v>
      </c>
      <c r="DN665" s="27" t="s">
        <v>416</v>
      </c>
      <c r="DO665" s="27" t="s">
        <v>134</v>
      </c>
      <c r="DP665" s="27" t="s">
        <v>191</v>
      </c>
      <c r="DQ665" s="27" t="s">
        <v>906</v>
      </c>
      <c r="DR665" s="27" t="s">
        <v>183</v>
      </c>
      <c r="DS665" s="27" t="s">
        <v>480</v>
      </c>
      <c r="DT665" s="27" t="s">
        <v>154</v>
      </c>
      <c r="DU665" s="27" t="s">
        <v>673</v>
      </c>
      <c r="DV665" s="27" t="s">
        <v>152</v>
      </c>
      <c r="DW665" s="27" t="s">
        <v>146</v>
      </c>
      <c r="DX665" s="27" t="s">
        <v>155</v>
      </c>
      <c r="DY665" s="27" t="s">
        <v>165</v>
      </c>
      <c r="DZ665" s="27" t="n">
        <f aca="false">DY665+DV665+DR665+DN665+DJ665+DF665+DB665</f>
        <v>522</v>
      </c>
      <c r="EA665" s="28" t="n">
        <f aca="false">DZ665/7</f>
        <v>74.5714285714286</v>
      </c>
      <c r="EB665" s="27" t="n">
        <f aca="false">RANK(EA665,$EA$2:$EA$881,0)</f>
        <v>547</v>
      </c>
      <c r="EC665" s="29" t="n">
        <f aca="false">DZ665+CQ665+CP665+AZ665</f>
        <v>2073</v>
      </c>
      <c r="ED665" s="30" t="n">
        <f aca="false">(EA665+CV665+BB665)/3</f>
        <v>66.8714285714286</v>
      </c>
      <c r="EE665" s="51" t="n">
        <f aca="false">ROUND(BE665,3)</f>
        <v>64.107</v>
      </c>
      <c r="EF665" s="51" t="n">
        <f aca="false">ROUND(CR665,3)</f>
        <v>77.429</v>
      </c>
      <c r="EG665" s="51" t="n">
        <f aca="false">ROUND(CS665,3)</f>
        <v>67.857</v>
      </c>
      <c r="EH665" s="51" t="n">
        <f aca="false">ROUND(EA665,3)</f>
        <v>74.571</v>
      </c>
      <c r="EI665" s="51" t="n">
        <f aca="false">ROUND(ED665,3)</f>
        <v>66.871</v>
      </c>
      <c r="EJ665" s="51" t="n">
        <f aca="false">ROUND(CV665,3)</f>
        <v>72.643</v>
      </c>
      <c r="EK665" s="0" t="n">
        <f aca="false">RANK(EI665,$EI$2:$EI$881,0)</f>
        <v>664</v>
      </c>
    </row>
    <row r="666" customFormat="false" ht="15" hidden="false" customHeight="false" outlineLevel="0" collapsed="false">
      <c r="A666" s="4" t="n">
        <v>8899</v>
      </c>
      <c r="B666" s="4" t="n">
        <v>241</v>
      </c>
      <c r="C666" s="27" t="s">
        <v>1930</v>
      </c>
      <c r="D666" s="31" t="n">
        <v>242</v>
      </c>
      <c r="E666" s="16" t="n">
        <v>230312388</v>
      </c>
      <c r="F666" s="56" t="s">
        <v>1931</v>
      </c>
      <c r="G666" s="22" t="s">
        <v>1932</v>
      </c>
      <c r="H666" s="22" t="s">
        <v>129</v>
      </c>
      <c r="I666" s="57"/>
      <c r="J666" s="16" t="n">
        <v>60</v>
      </c>
      <c r="K666" s="16" t="n">
        <v>70</v>
      </c>
      <c r="L666" s="34" t="n">
        <f aca="false">(K666*70)/100</f>
        <v>49</v>
      </c>
      <c r="M666" s="34" t="n">
        <f aca="false">ROUNDUP(L666,0)</f>
        <v>49</v>
      </c>
      <c r="N666" s="16" t="n">
        <v>21</v>
      </c>
      <c r="O666" s="34" t="n">
        <f aca="false">N666+L666</f>
        <v>70</v>
      </c>
      <c r="P666" s="34" t="n">
        <f aca="false">N666+M666</f>
        <v>70</v>
      </c>
      <c r="Q666" s="71" t="n">
        <v>56</v>
      </c>
      <c r="R666" s="16" t="n">
        <v>62</v>
      </c>
      <c r="S666" s="34" t="n">
        <f aca="false">(R666*70)/100</f>
        <v>43.4</v>
      </c>
      <c r="T666" s="34" t="n">
        <f aca="false">ROUNDUP(S666,0)</f>
        <v>44</v>
      </c>
      <c r="U666" s="16" t="n">
        <v>15</v>
      </c>
      <c r="V666" s="34" t="n">
        <f aca="false">U666+S666</f>
        <v>58.4</v>
      </c>
      <c r="W666" s="91" t="n">
        <f aca="false">U666+T666</f>
        <v>59</v>
      </c>
      <c r="X666" s="16" t="n">
        <v>60</v>
      </c>
      <c r="Y666" s="34" t="n">
        <f aca="false">(X666*70)/100</f>
        <v>42</v>
      </c>
      <c r="Z666" s="34" t="n">
        <f aca="false">ROUNDUP(Y666,0)</f>
        <v>42</v>
      </c>
      <c r="AA666" s="16" t="n">
        <v>23</v>
      </c>
      <c r="AB666" s="34" t="n">
        <f aca="false">AA666+Y666</f>
        <v>65</v>
      </c>
      <c r="AC666" s="34" t="n">
        <f aca="false">AA666+Z666</f>
        <v>65</v>
      </c>
      <c r="AD666" s="32" t="n">
        <f aca="false">X666+R666+Q666+K666+J666</f>
        <v>308</v>
      </c>
      <c r="AE666" s="16" t="n">
        <f aca="false">AD666/5</f>
        <v>61.6</v>
      </c>
      <c r="AF666" s="71" t="n">
        <v>52</v>
      </c>
      <c r="AG666" s="16" t="n">
        <v>68</v>
      </c>
      <c r="AH666" s="16" t="n">
        <v>64</v>
      </c>
      <c r="AI666" s="16" t="n">
        <v>60</v>
      </c>
      <c r="AJ666" s="16" t="n">
        <f aca="false">(AI666*70)/100</f>
        <v>42</v>
      </c>
      <c r="AK666" s="35" t="n">
        <f aca="false">ROUNDUP(AJ666,0)</f>
        <v>42</v>
      </c>
      <c r="AL666" s="16" t="n">
        <v>23</v>
      </c>
      <c r="AM666" s="16" t="n">
        <f aca="false">AL666+AJ666</f>
        <v>65</v>
      </c>
      <c r="AN666" s="16" t="n">
        <f aca="false">AL666+AK666</f>
        <v>65</v>
      </c>
      <c r="AO666" s="16" t="n">
        <v>53</v>
      </c>
      <c r="AP666" s="36" t="n">
        <f aca="false">(AO666*70)/100</f>
        <v>37.1</v>
      </c>
      <c r="AQ666" s="37" t="n">
        <f aca="false">ROUNDUP(AP666,0)</f>
        <v>38</v>
      </c>
      <c r="AR666" s="16" t="n">
        <v>27</v>
      </c>
      <c r="AS666" s="16" t="n">
        <f aca="false">AR666+AP666</f>
        <v>64.1</v>
      </c>
      <c r="AT666" s="16" t="n">
        <f aca="false">AR666+AQ666</f>
        <v>65</v>
      </c>
      <c r="AU666" s="16" t="n">
        <f aca="false">AO666+AF666+AI666+AH666+AG666</f>
        <v>297</v>
      </c>
      <c r="AV666" s="16" t="n">
        <f aca="false">(AO666+AF666+AI666+AH666+AG666)/5</f>
        <v>59.4</v>
      </c>
      <c r="AW666" s="36" t="n">
        <f aca="false">(AO666+AF666+AI666+AH666+AG666+X666+R666+Q666+K666+J666)</f>
        <v>605</v>
      </c>
      <c r="AX666" s="16" t="n">
        <f aca="false">AW666/10</f>
        <v>60.5</v>
      </c>
      <c r="AY666" s="16" t="n">
        <f aca="false">AS666+AF666+AM666+AH666+AG666+AB666+V666+Q666+O666+J666</f>
        <v>622.5</v>
      </c>
      <c r="AZ666" s="16" t="n">
        <f aca="false">AT666+AF666+AN666+AH666+AG666+AC666+W666+Q666+P666+J666</f>
        <v>624</v>
      </c>
      <c r="BA666" s="16" t="n">
        <f aca="false">AY666/10</f>
        <v>62.25</v>
      </c>
      <c r="BB666" s="16" t="n">
        <f aca="false">AZ666/10</f>
        <v>62.4</v>
      </c>
      <c r="BC666" s="16" t="n">
        <v>2186</v>
      </c>
      <c r="BD666" s="16" t="n">
        <f aca="false">RANK(AX666,$AX$2:$AX$881,0)</f>
        <v>797</v>
      </c>
      <c r="BE666" s="78" t="n">
        <f aca="false">((BC666*100)/2400)*0.4+(AX666*0.6)</f>
        <v>72.7333333333333</v>
      </c>
      <c r="BF666" s="16" t="n">
        <f aca="false">RANK(BE666,$BE$2:$BE$881,0)</f>
        <v>780</v>
      </c>
      <c r="BG666" s="39" t="n">
        <f aca="false">RANK(BB666,$BB$2:$BB$881,0)</f>
        <v>791</v>
      </c>
      <c r="BH666" s="39" t="n">
        <f aca="false">RANK(BC666,$BC$2:$BC$881,0)</f>
        <v>770</v>
      </c>
      <c r="BI666" s="22" t="s">
        <v>130</v>
      </c>
      <c r="BJ666" s="22" t="s">
        <v>129</v>
      </c>
      <c r="BK666" s="22" t="s">
        <v>1220</v>
      </c>
      <c r="BL666" s="41" t="n">
        <v>17</v>
      </c>
      <c r="BM666" s="41" t="n">
        <v>46</v>
      </c>
      <c r="BN666" s="41" t="n">
        <v>63</v>
      </c>
      <c r="BO666" s="42" t="n">
        <v>20</v>
      </c>
      <c r="BP666" s="43" t="n">
        <v>55</v>
      </c>
      <c r="BQ666" s="44" t="n">
        <v>75</v>
      </c>
      <c r="BR666" s="42" t="n">
        <v>21</v>
      </c>
      <c r="BS666" s="45" t="n">
        <v>55</v>
      </c>
      <c r="BT666" s="45" t="n">
        <v>76</v>
      </c>
      <c r="BU666" s="46" t="n">
        <v>90</v>
      </c>
      <c r="BV666" s="47" t="n">
        <v>80</v>
      </c>
      <c r="BW666" s="42" t="n">
        <v>100</v>
      </c>
      <c r="BX666" s="48" t="n">
        <v>74</v>
      </c>
      <c r="BY666" s="32" t="n">
        <v>22</v>
      </c>
      <c r="BZ666" s="32" t="n">
        <v>43</v>
      </c>
      <c r="CA666" s="32" t="n">
        <v>65</v>
      </c>
      <c r="CB666" s="32" t="n">
        <v>17</v>
      </c>
      <c r="CC666" s="32" t="n">
        <v>19</v>
      </c>
      <c r="CD666" s="69" t="n">
        <v>36</v>
      </c>
      <c r="CE666" s="32" t="n">
        <v>18</v>
      </c>
      <c r="CF666" s="32" t="n">
        <v>40</v>
      </c>
      <c r="CG666" s="69" t="n">
        <v>58</v>
      </c>
      <c r="CH666" s="32" t="n">
        <v>89</v>
      </c>
      <c r="CI666" s="32" t="n">
        <v>75</v>
      </c>
      <c r="CJ666" s="49" t="n">
        <v>15</v>
      </c>
      <c r="CK666" s="49" t="n">
        <v>41</v>
      </c>
      <c r="CL666" s="76" t="n">
        <v>56</v>
      </c>
      <c r="CM666" s="49" t="n">
        <v>20</v>
      </c>
      <c r="CN666" s="49" t="n">
        <v>43</v>
      </c>
      <c r="CO666" s="49" t="n">
        <v>63</v>
      </c>
      <c r="CP666" s="25" t="n">
        <f aca="false">BX666+BW666+BV666+BU666+BT666+BQ666+BN666</f>
        <v>558</v>
      </c>
      <c r="CQ666" s="25" t="n">
        <f aca="false">CO666+CL666+CI666+CH666+CG666+CD666+CA666</f>
        <v>442</v>
      </c>
      <c r="CR666" s="26" t="n">
        <f aca="false">CP666/7</f>
        <v>79.7142857142857</v>
      </c>
      <c r="CS666" s="26" t="n">
        <f aca="false">CQ666/7</f>
        <v>63.1428571428571</v>
      </c>
      <c r="CT666" s="24" t="n">
        <f aca="false">RANK(CR666,$CR$2:$CR$881,0)</f>
        <v>590</v>
      </c>
      <c r="CU666" s="25" t="n">
        <f aca="false">RANK(CS666,$CS$2:$CS$881,0)</f>
        <v>649</v>
      </c>
      <c r="CV666" s="26" t="n">
        <f aca="false">(CS666+CR666)/2</f>
        <v>71.4285714285714</v>
      </c>
      <c r="CW666" s="25" t="n">
        <f aca="false">RANK(CV666,$CV$2:$CV$881,0)</f>
        <v>623</v>
      </c>
      <c r="CX666" s="50" t="n">
        <f aca="false">(CV666+BB666)/2</f>
        <v>66.9142857142857</v>
      </c>
      <c r="CY666" s="50" t="n">
        <v>627</v>
      </c>
      <c r="CZ666" s="27" t="s">
        <v>132</v>
      </c>
      <c r="DA666" s="27" t="s">
        <v>441</v>
      </c>
      <c r="DB666" s="27" t="s">
        <v>441</v>
      </c>
      <c r="DC666" s="27" t="s">
        <v>134</v>
      </c>
      <c r="DD666" s="27" t="s">
        <v>191</v>
      </c>
      <c r="DE666" s="27" t="s">
        <v>645</v>
      </c>
      <c r="DF666" s="27" t="s">
        <v>152</v>
      </c>
      <c r="DG666" s="27" t="s">
        <v>134</v>
      </c>
      <c r="DH666" s="27" t="s">
        <v>154</v>
      </c>
      <c r="DI666" s="27" t="s">
        <v>645</v>
      </c>
      <c r="DJ666" s="27" t="s">
        <v>141</v>
      </c>
      <c r="DK666" s="27" t="s">
        <v>134</v>
      </c>
      <c r="DL666" s="27" t="s">
        <v>195</v>
      </c>
      <c r="DM666" s="27" t="s">
        <v>897</v>
      </c>
      <c r="DN666" s="27" t="s">
        <v>152</v>
      </c>
      <c r="DO666" s="27" t="s">
        <v>134</v>
      </c>
      <c r="DP666" s="27" t="s">
        <v>706</v>
      </c>
      <c r="DQ666" s="27" t="s">
        <v>906</v>
      </c>
      <c r="DR666" s="27" t="s">
        <v>447</v>
      </c>
      <c r="DS666" s="27" t="s">
        <v>480</v>
      </c>
      <c r="DT666" s="27" t="s">
        <v>191</v>
      </c>
      <c r="DU666" s="27" t="s">
        <v>673</v>
      </c>
      <c r="DV666" s="27" t="s">
        <v>161</v>
      </c>
      <c r="DW666" s="27" t="s">
        <v>174</v>
      </c>
      <c r="DX666" s="27" t="s">
        <v>183</v>
      </c>
      <c r="DY666" s="27" t="s">
        <v>219</v>
      </c>
      <c r="DZ666" s="27" t="n">
        <f aca="false">DY666+DV666+DR666+DN666+DJ666+DF666+DB666</f>
        <v>464</v>
      </c>
      <c r="EA666" s="28" t="n">
        <f aca="false">DZ666/7</f>
        <v>66.2857142857143</v>
      </c>
      <c r="EB666" s="27" t="n">
        <f aca="false">RANK(EA666,$EA$2:$EA$881,0)</f>
        <v>715</v>
      </c>
      <c r="EC666" s="29" t="n">
        <f aca="false">DZ666+CQ666+CP666+AZ666</f>
        <v>2088</v>
      </c>
      <c r="ED666" s="30" t="n">
        <f aca="false">(EA666+CV666+BB666)/3</f>
        <v>66.7047619047619</v>
      </c>
      <c r="EE666" s="51" t="n">
        <f aca="false">ROUND(BE666,3)</f>
        <v>72.733</v>
      </c>
      <c r="EF666" s="51" t="n">
        <f aca="false">ROUND(CR666,3)</f>
        <v>79.714</v>
      </c>
      <c r="EG666" s="51" t="n">
        <f aca="false">ROUND(CS666,3)</f>
        <v>63.143</v>
      </c>
      <c r="EH666" s="51" t="n">
        <f aca="false">ROUND(EA666,3)</f>
        <v>66.286</v>
      </c>
      <c r="EI666" s="51" t="n">
        <f aca="false">ROUND(ED666,3)</f>
        <v>66.705</v>
      </c>
      <c r="EJ666" s="51" t="n">
        <f aca="false">ROUND(CV666,3)</f>
        <v>71.429</v>
      </c>
      <c r="EK666" s="0" t="n">
        <f aca="false">RANK(EI666,$EI$2:$EI$881,0)</f>
        <v>665</v>
      </c>
    </row>
    <row r="667" customFormat="false" ht="15" hidden="false" customHeight="false" outlineLevel="0" collapsed="false">
      <c r="A667" s="4" t="n">
        <v>2004</v>
      </c>
      <c r="B667" s="4" t="n">
        <v>158</v>
      </c>
      <c r="C667" s="27" t="s">
        <v>1933</v>
      </c>
      <c r="D667" s="31" t="n">
        <v>158</v>
      </c>
      <c r="E667" s="16" t="n">
        <v>230611960</v>
      </c>
      <c r="F667" s="56" t="s">
        <v>1934</v>
      </c>
      <c r="G667" s="22" t="s">
        <v>532</v>
      </c>
      <c r="H667" s="22" t="s">
        <v>558</v>
      </c>
      <c r="I667" s="57"/>
      <c r="J667" s="16" t="n">
        <v>84</v>
      </c>
      <c r="K667" s="16" t="n">
        <v>72</v>
      </c>
      <c r="L667" s="34" t="n">
        <f aca="false">(K667*70)/100</f>
        <v>50.4</v>
      </c>
      <c r="M667" s="34" t="n">
        <f aca="false">ROUNDUP(L667,0)</f>
        <v>51</v>
      </c>
      <c r="N667" s="16" t="n">
        <v>19</v>
      </c>
      <c r="O667" s="34" t="n">
        <f aca="false">N667+L667</f>
        <v>69.4</v>
      </c>
      <c r="P667" s="34" t="n">
        <f aca="false">N667+M667</f>
        <v>70</v>
      </c>
      <c r="Q667" s="16" t="n">
        <v>71</v>
      </c>
      <c r="R667" s="16" t="n">
        <v>60</v>
      </c>
      <c r="S667" s="34" t="n">
        <f aca="false">(R667*70)/100</f>
        <v>42</v>
      </c>
      <c r="T667" s="34" t="n">
        <f aca="false">ROUNDUP(S667,0)</f>
        <v>42</v>
      </c>
      <c r="U667" s="16" t="n">
        <v>27</v>
      </c>
      <c r="V667" s="34" t="n">
        <f aca="false">U667+S667</f>
        <v>69</v>
      </c>
      <c r="W667" s="34" t="n">
        <f aca="false">U667+T667</f>
        <v>69</v>
      </c>
      <c r="X667" s="16" t="n">
        <v>69</v>
      </c>
      <c r="Y667" s="34" t="n">
        <f aca="false">(X667*70)/100</f>
        <v>48.3</v>
      </c>
      <c r="Z667" s="34" t="n">
        <f aca="false">ROUNDUP(Y667,0)</f>
        <v>49</v>
      </c>
      <c r="AA667" s="16" t="n">
        <v>24</v>
      </c>
      <c r="AB667" s="34" t="n">
        <f aca="false">AA667+Y667</f>
        <v>72.3</v>
      </c>
      <c r="AC667" s="34" t="n">
        <f aca="false">AA667+Z667</f>
        <v>73</v>
      </c>
      <c r="AD667" s="32" t="n">
        <f aca="false">X667+R667+Q667+K667+J667</f>
        <v>356</v>
      </c>
      <c r="AE667" s="16" t="n">
        <f aca="false">AD667/5</f>
        <v>71.2</v>
      </c>
      <c r="AF667" s="16" t="n">
        <v>75</v>
      </c>
      <c r="AG667" s="16" t="n">
        <v>89</v>
      </c>
      <c r="AH667" s="16" t="n">
        <v>87</v>
      </c>
      <c r="AI667" s="16" t="n">
        <v>83</v>
      </c>
      <c r="AJ667" s="16" t="n">
        <f aca="false">(AI667*70)/100</f>
        <v>58.1</v>
      </c>
      <c r="AK667" s="35" t="n">
        <f aca="false">ROUNDUP(AJ667,0)</f>
        <v>59</v>
      </c>
      <c r="AL667" s="16" t="n">
        <v>22</v>
      </c>
      <c r="AM667" s="16" t="n">
        <f aca="false">AL667+AJ667</f>
        <v>80.1</v>
      </c>
      <c r="AN667" s="16" t="n">
        <f aca="false">AL667+AK667</f>
        <v>81</v>
      </c>
      <c r="AO667" s="16" t="n">
        <v>64</v>
      </c>
      <c r="AP667" s="36" t="n">
        <f aca="false">(AO667*70)/100</f>
        <v>44.8</v>
      </c>
      <c r="AQ667" s="37" t="n">
        <f aca="false">ROUNDUP(AP667,0)</f>
        <v>45</v>
      </c>
      <c r="AR667" s="16" t="n">
        <v>25</v>
      </c>
      <c r="AS667" s="16" t="n">
        <f aca="false">AR667+AP667</f>
        <v>69.8</v>
      </c>
      <c r="AT667" s="16" t="n">
        <f aca="false">AR667+AQ667</f>
        <v>70</v>
      </c>
      <c r="AU667" s="16" t="n">
        <f aca="false">AO667+AF667+AI667+AH667+AG667</f>
        <v>398</v>
      </c>
      <c r="AV667" s="16" t="n">
        <f aca="false">(AO667+AF667+AI667+AH667+AG667)/5</f>
        <v>79.6</v>
      </c>
      <c r="AW667" s="36" t="n">
        <f aca="false">(AO667+AF667+AI667+AH667+AG667+X667+R667+Q667+K667+J667)</f>
        <v>754</v>
      </c>
      <c r="AX667" s="16" t="n">
        <f aca="false">AW667/10</f>
        <v>75.4</v>
      </c>
      <c r="AY667" s="16" t="n">
        <f aca="false">AS667+AF667+AM667+AH667+AG667+AB667+V667+Q667+O667+J667</f>
        <v>766.6</v>
      </c>
      <c r="AZ667" s="16" t="n">
        <f aca="false">AT667+AF667+AN667+AH667+AG667+AC667+W667+Q667+P667+J667</f>
        <v>769</v>
      </c>
      <c r="BA667" s="16" t="n">
        <f aca="false">AY667/10</f>
        <v>76.66</v>
      </c>
      <c r="BB667" s="16" t="n">
        <f aca="false">AZ667/10</f>
        <v>76.9</v>
      </c>
      <c r="BC667" s="16" t="n">
        <v>2397</v>
      </c>
      <c r="BD667" s="16" t="n">
        <f aca="false">RANK(AX667,$AX$2:$AX$881,0)</f>
        <v>665</v>
      </c>
      <c r="BE667" s="54" t="n">
        <f aca="false">((BC667*100)/2400)*0.4+(AX667*0.6)</f>
        <v>85.19</v>
      </c>
      <c r="BF667" s="16" t="n">
        <f aca="false">RANK(BE667,$BE$2:$BE$881,0)</f>
        <v>568</v>
      </c>
      <c r="BG667" s="39" t="n">
        <f aca="false">RANK(BB667,$BB$2:$BB$881,0)</f>
        <v>648</v>
      </c>
      <c r="BH667" s="39" t="n">
        <f aca="false">RANK(BC667,$BC$2:$BC$881,0)</f>
        <v>11</v>
      </c>
      <c r="BI667" s="22" t="s">
        <v>130</v>
      </c>
      <c r="BJ667" s="22" t="s">
        <v>129</v>
      </c>
      <c r="BK667" s="40" t="s">
        <v>509</v>
      </c>
      <c r="BL667" s="41" t="n">
        <v>22</v>
      </c>
      <c r="BM667" s="59" t="n">
        <v>44</v>
      </c>
      <c r="BN667" s="59" t="n">
        <v>66</v>
      </c>
      <c r="BO667" s="42" t="n">
        <v>26</v>
      </c>
      <c r="BP667" s="59" t="n">
        <v>46</v>
      </c>
      <c r="BQ667" s="59" t="n">
        <v>72</v>
      </c>
      <c r="BR667" s="74" t="n">
        <v>7</v>
      </c>
      <c r="BS667" s="80"/>
      <c r="BT667" s="80"/>
      <c r="BU667" s="88" t="n">
        <v>68</v>
      </c>
      <c r="BV667" s="58" t="n">
        <v>79</v>
      </c>
      <c r="BW667" s="102" t="n">
        <v>86</v>
      </c>
      <c r="BX667" s="88" t="n">
        <v>94</v>
      </c>
      <c r="BY667" s="65" t="n">
        <v>21</v>
      </c>
      <c r="BZ667" s="58" t="n">
        <v>50</v>
      </c>
      <c r="CA667" s="58" t="n">
        <v>71</v>
      </c>
      <c r="CB667" s="59" t="n">
        <v>20</v>
      </c>
      <c r="CC667" s="58" t="n">
        <v>53</v>
      </c>
      <c r="CD667" s="58" t="n">
        <v>73</v>
      </c>
      <c r="CE667" s="58" t="n">
        <v>18</v>
      </c>
      <c r="CF667" s="58" t="n">
        <v>37</v>
      </c>
      <c r="CG667" s="90" t="n">
        <v>55</v>
      </c>
      <c r="CH667" s="58" t="n">
        <v>86</v>
      </c>
      <c r="CI667" s="58" t="n">
        <v>72</v>
      </c>
      <c r="CJ667" s="58" t="n">
        <v>16</v>
      </c>
      <c r="CK667" s="58" t="n">
        <v>48</v>
      </c>
      <c r="CL667" s="59" t="n">
        <v>64</v>
      </c>
      <c r="CM667" s="60"/>
      <c r="CN667" s="60"/>
      <c r="CO667" s="60"/>
      <c r="CP667" s="25" t="n">
        <f aca="false">BX667+BW667+BV667+BU667+BT667+BQ667+BN667</f>
        <v>465</v>
      </c>
      <c r="CQ667" s="25" t="n">
        <f aca="false">CO667+CL667+CI667+CH667+CG667+CD667+CA667</f>
        <v>421</v>
      </c>
      <c r="CR667" s="26" t="n">
        <f aca="false">CP667/7</f>
        <v>66.4285714285714</v>
      </c>
      <c r="CS667" s="26" t="n">
        <f aca="false">CQ667/7</f>
        <v>60.1428571428571</v>
      </c>
      <c r="CT667" s="24" t="n">
        <f aca="false">RANK(CR667,$CR$2:$CR$881,0)</f>
        <v>699</v>
      </c>
      <c r="CU667" s="25" t="n">
        <f aca="false">RANK(CS667,$CS$2:$CS$881,0)</f>
        <v>682</v>
      </c>
      <c r="CV667" s="26" t="n">
        <f aca="false">(CS667+CR667)/2</f>
        <v>63.2857142857143</v>
      </c>
      <c r="CW667" s="25" t="n">
        <f aca="false">RANK(CV667,$CV$2:$CV$881,0)</f>
        <v>685</v>
      </c>
      <c r="CX667" s="50" t="n">
        <f aca="false">(CV667+BB667)/2</f>
        <v>70.0928571428572</v>
      </c>
      <c r="CY667" s="50" t="n">
        <v>843</v>
      </c>
      <c r="CZ667" s="27" t="s">
        <v>132</v>
      </c>
      <c r="DA667" s="27" t="s">
        <v>441</v>
      </c>
      <c r="DB667" s="27" t="s">
        <v>441</v>
      </c>
      <c r="DC667" s="27" t="s">
        <v>134</v>
      </c>
      <c r="DD667" s="27" t="s">
        <v>174</v>
      </c>
      <c r="DE667" s="27" t="s">
        <v>375</v>
      </c>
      <c r="DF667" s="27" t="s">
        <v>398</v>
      </c>
      <c r="DG667" s="27" t="s">
        <v>134</v>
      </c>
      <c r="DH667" s="27" t="s">
        <v>195</v>
      </c>
      <c r="DI667" s="27" t="s">
        <v>681</v>
      </c>
      <c r="DJ667" s="27" t="s">
        <v>141</v>
      </c>
      <c r="DK667" s="27" t="s">
        <v>134</v>
      </c>
      <c r="DL667" s="27" t="s">
        <v>195</v>
      </c>
      <c r="DM667" s="27" t="s">
        <v>681</v>
      </c>
      <c r="DN667" s="27" t="s">
        <v>141</v>
      </c>
      <c r="DO667" s="27" t="s">
        <v>134</v>
      </c>
      <c r="DP667" s="27"/>
      <c r="DQ667" s="27"/>
      <c r="DR667" s="27"/>
      <c r="DS667" s="27"/>
      <c r="DT667" s="27" t="s">
        <v>154</v>
      </c>
      <c r="DU667" s="27" t="s">
        <v>1395</v>
      </c>
      <c r="DV667" s="27" t="s">
        <v>218</v>
      </c>
      <c r="DW667" s="27" t="s">
        <v>160</v>
      </c>
      <c r="DX667" s="27" t="s">
        <v>447</v>
      </c>
      <c r="DY667" s="27" t="s">
        <v>196</v>
      </c>
      <c r="DZ667" s="27" t="n">
        <f aca="false">DY667+DV667+DR667+DN667+DJ667+DF667+DB667</f>
        <v>419</v>
      </c>
      <c r="EA667" s="28" t="n">
        <f aca="false">DZ667/7</f>
        <v>59.8571428571429</v>
      </c>
      <c r="EB667" s="27" t="n">
        <f aca="false">RANK(EA667,$EA$2:$EA$881,0)</f>
        <v>784</v>
      </c>
      <c r="EC667" s="29" t="n">
        <f aca="false">DZ667+CQ667+CP667+AZ667</f>
        <v>2074</v>
      </c>
      <c r="ED667" s="30" t="n">
        <f aca="false">(EA667+CV667+BB667)/3</f>
        <v>66.6809523809524</v>
      </c>
      <c r="EE667" s="51" t="n">
        <f aca="false">ROUND(BE667,3)</f>
        <v>85.19</v>
      </c>
      <c r="EF667" s="51" t="n">
        <f aca="false">ROUND(CR667,3)</f>
        <v>66.429</v>
      </c>
      <c r="EG667" s="51" t="n">
        <f aca="false">ROUND(CS667,3)</f>
        <v>60.143</v>
      </c>
      <c r="EH667" s="51" t="n">
        <f aca="false">ROUND(EA667,3)</f>
        <v>59.857</v>
      </c>
      <c r="EI667" s="51" t="n">
        <f aca="false">ROUND(ED667,3)</f>
        <v>66.681</v>
      </c>
      <c r="EJ667" s="51" t="n">
        <f aca="false">ROUND(CV667,3)</f>
        <v>63.286</v>
      </c>
      <c r="EK667" s="0" t="n">
        <f aca="false">RANK(EI667,$EI$2:$EI$881,0)</f>
        <v>666</v>
      </c>
    </row>
    <row r="668" customFormat="false" ht="15" hidden="false" customHeight="false" outlineLevel="0" collapsed="false">
      <c r="A668" s="4" t="n">
        <v>2030</v>
      </c>
      <c r="B668" s="4" t="n">
        <v>746</v>
      </c>
      <c r="C668" s="27" t="s">
        <v>1935</v>
      </c>
      <c r="D668" s="31" t="n">
        <v>761</v>
      </c>
      <c r="E668" s="16" t="n">
        <v>230224179</v>
      </c>
      <c r="F668" s="56" t="s">
        <v>1936</v>
      </c>
      <c r="G668" s="22" t="s">
        <v>280</v>
      </c>
      <c r="H668" s="22" t="s">
        <v>326</v>
      </c>
      <c r="I668" s="57"/>
      <c r="J668" s="16" t="n">
        <v>94</v>
      </c>
      <c r="K668" s="16" t="n">
        <v>77</v>
      </c>
      <c r="L668" s="34" t="n">
        <f aca="false">(K668*70)/100</f>
        <v>53.9</v>
      </c>
      <c r="M668" s="34" t="n">
        <f aca="false">ROUNDUP(L668,0)</f>
        <v>54</v>
      </c>
      <c r="N668" s="16" t="n">
        <v>26</v>
      </c>
      <c r="O668" s="34" t="n">
        <f aca="false">N668+L668</f>
        <v>79.9</v>
      </c>
      <c r="P668" s="34" t="n">
        <f aca="false">N668+M668</f>
        <v>80</v>
      </c>
      <c r="Q668" s="71" t="n">
        <v>57</v>
      </c>
      <c r="R668" s="16" t="n">
        <v>68</v>
      </c>
      <c r="S668" s="34" t="n">
        <f aca="false">(R668*70)/100</f>
        <v>47.6</v>
      </c>
      <c r="T668" s="34" t="n">
        <f aca="false">ROUNDUP(S668,0)</f>
        <v>48</v>
      </c>
      <c r="U668" s="16" t="n">
        <v>26</v>
      </c>
      <c r="V668" s="34" t="n">
        <f aca="false">U668+S668</f>
        <v>73.6</v>
      </c>
      <c r="W668" s="34" t="n">
        <f aca="false">U668+T668</f>
        <v>74</v>
      </c>
      <c r="X668" s="16" t="n">
        <v>49</v>
      </c>
      <c r="Y668" s="34" t="n">
        <f aca="false">(X668*70)/100</f>
        <v>34.3</v>
      </c>
      <c r="Z668" s="34" t="n">
        <f aca="false">ROUNDUP(Y668,0)</f>
        <v>35</v>
      </c>
      <c r="AA668" s="16" t="n">
        <v>26</v>
      </c>
      <c r="AB668" s="34" t="n">
        <f aca="false">AA668+Y668</f>
        <v>60.3</v>
      </c>
      <c r="AC668" s="34" t="n">
        <f aca="false">AA668+Z668</f>
        <v>61</v>
      </c>
      <c r="AD668" s="32" t="n">
        <f aca="false">X668+R668+Q668+K668+J668</f>
        <v>345</v>
      </c>
      <c r="AE668" s="16" t="n">
        <f aca="false">AD668/5</f>
        <v>69</v>
      </c>
      <c r="AF668" s="16" t="n">
        <v>88</v>
      </c>
      <c r="AG668" s="16" t="n">
        <v>99</v>
      </c>
      <c r="AH668" s="16" t="n">
        <v>86</v>
      </c>
      <c r="AI668" s="16" t="n">
        <v>72</v>
      </c>
      <c r="AJ668" s="16" t="n">
        <f aca="false">(AI668*70)/100</f>
        <v>50.4</v>
      </c>
      <c r="AK668" s="35" t="n">
        <f aca="false">ROUNDUP(AJ668,0)</f>
        <v>51</v>
      </c>
      <c r="AL668" s="16" t="n">
        <v>19</v>
      </c>
      <c r="AM668" s="16" t="n">
        <f aca="false">AL668+AJ668</f>
        <v>69.4</v>
      </c>
      <c r="AN668" s="16" t="n">
        <f aca="false">AL668+AK668</f>
        <v>70</v>
      </c>
      <c r="AO668" s="16" t="n">
        <v>74</v>
      </c>
      <c r="AP668" s="36" t="n">
        <f aca="false">(AO668*70)/100</f>
        <v>51.8</v>
      </c>
      <c r="AQ668" s="37" t="n">
        <f aca="false">ROUNDUP(AP668,0)</f>
        <v>52</v>
      </c>
      <c r="AR668" s="16" t="n">
        <v>25</v>
      </c>
      <c r="AS668" s="16" t="n">
        <f aca="false">AR668+AP668</f>
        <v>76.8</v>
      </c>
      <c r="AT668" s="16" t="n">
        <f aca="false">AR668+AQ668</f>
        <v>77</v>
      </c>
      <c r="AU668" s="16" t="n">
        <f aca="false">AO668+AF668+AI668+AH668+AG668</f>
        <v>419</v>
      </c>
      <c r="AV668" s="16" t="n">
        <f aca="false">(AO668+AF668+AI668+AH668+AG668)/5</f>
        <v>83.8</v>
      </c>
      <c r="AW668" s="36" t="n">
        <f aca="false">(AO668+AF668+AI668+AH668+AG668+X668+R668+Q668+K668+J668)</f>
        <v>764</v>
      </c>
      <c r="AX668" s="16" t="n">
        <f aca="false">AW668/10</f>
        <v>76.4</v>
      </c>
      <c r="AY668" s="16" t="n">
        <f aca="false">AS668+AF668+AM668+AH668+AG668+AB668+V668+Q668+O668+J668</f>
        <v>784</v>
      </c>
      <c r="AZ668" s="16" t="n">
        <f aca="false">AT668+AF668+AN668+AH668+AG668+AC668+W668+Q668+P668+J668</f>
        <v>786</v>
      </c>
      <c r="BA668" s="16" t="n">
        <f aca="false">AY668/10</f>
        <v>78.4</v>
      </c>
      <c r="BB668" s="16" t="n">
        <f aca="false">AZ668/10</f>
        <v>78.6</v>
      </c>
      <c r="BC668" s="16" t="n">
        <v>2367</v>
      </c>
      <c r="BD668" s="16" t="n">
        <f aca="false">RANK(AX668,$AX$2:$AX$881,0)</f>
        <v>577</v>
      </c>
      <c r="BE668" s="54" t="n">
        <f aca="false">((BC668*100)/2400)*0.4+(AX668*0.6)</f>
        <v>85.29</v>
      </c>
      <c r="BF668" s="16" t="n">
        <f aca="false">RANK(BE668,$BE$2:$BE$881,0)</f>
        <v>543</v>
      </c>
      <c r="BG668" s="39" t="n">
        <f aca="false">RANK(BB668,$BB$2:$BB$881,0)</f>
        <v>494</v>
      </c>
      <c r="BH668" s="39" t="n">
        <f aca="false">RANK(BC668,$BC$2:$BC$881,0)</f>
        <v>308</v>
      </c>
      <c r="BI668" s="22" t="s">
        <v>130</v>
      </c>
      <c r="BJ668" s="22" t="s">
        <v>129</v>
      </c>
      <c r="BK668" s="40" t="s">
        <v>509</v>
      </c>
      <c r="BL668" s="41" t="n">
        <v>21</v>
      </c>
      <c r="BM668" s="41" t="n">
        <v>38</v>
      </c>
      <c r="BN668" s="98" t="n">
        <v>59</v>
      </c>
      <c r="BO668" s="42" t="n">
        <v>21</v>
      </c>
      <c r="BP668" s="42" t="n">
        <v>52</v>
      </c>
      <c r="BQ668" s="42" t="n">
        <v>73</v>
      </c>
      <c r="BR668" s="42" t="n">
        <v>19</v>
      </c>
      <c r="BS668" s="24" t="n">
        <v>40</v>
      </c>
      <c r="BT668" s="85" t="n">
        <v>59</v>
      </c>
      <c r="BU668" s="46" t="n">
        <v>99</v>
      </c>
      <c r="BV668" s="47" t="n">
        <v>86</v>
      </c>
      <c r="BW668" s="42" t="n">
        <v>93</v>
      </c>
      <c r="BX668" s="48" t="n">
        <v>82</v>
      </c>
      <c r="BY668" s="25" t="n">
        <v>22</v>
      </c>
      <c r="BZ668" s="25" t="n">
        <v>48</v>
      </c>
      <c r="CA668" s="24" t="n">
        <v>70</v>
      </c>
      <c r="CB668" s="59" t="n">
        <v>18</v>
      </c>
      <c r="CC668" s="58" t="n">
        <v>40</v>
      </c>
      <c r="CD668" s="90" t="n">
        <v>58</v>
      </c>
      <c r="CE668" s="32" t="n">
        <v>15</v>
      </c>
      <c r="CF668" s="32" t="n">
        <v>45</v>
      </c>
      <c r="CG668" s="32" t="n">
        <v>60</v>
      </c>
      <c r="CH668" s="32" t="n">
        <v>92</v>
      </c>
      <c r="CI668" s="32" t="n">
        <v>98</v>
      </c>
      <c r="CJ668" s="49" t="n">
        <v>13</v>
      </c>
      <c r="CK668" s="49" t="n">
        <v>37</v>
      </c>
      <c r="CL668" s="76" t="n">
        <v>50</v>
      </c>
      <c r="CM668" s="49" t="n">
        <v>14</v>
      </c>
      <c r="CN668" s="49" t="n">
        <v>49</v>
      </c>
      <c r="CO668" s="49" t="n">
        <v>63</v>
      </c>
      <c r="CP668" s="25" t="n">
        <f aca="false">BX668+BW668+BV668+BU668+BT668+BQ668+BN668</f>
        <v>551</v>
      </c>
      <c r="CQ668" s="25" t="n">
        <f aca="false">CO668+CL668+CI668+CH668+CG668+CD668+CA668</f>
        <v>491</v>
      </c>
      <c r="CR668" s="26" t="n">
        <f aca="false">CP668/7</f>
        <v>78.7142857142857</v>
      </c>
      <c r="CS668" s="26" t="n">
        <f aca="false">CQ668/7</f>
        <v>70.1428571428571</v>
      </c>
      <c r="CT668" s="24" t="n">
        <f aca="false">RANK(CR668,$CR$2:$CR$881,0)</f>
        <v>607</v>
      </c>
      <c r="CU668" s="25" t="n">
        <f aca="false">RANK(CS668,$CS$2:$CS$881,0)</f>
        <v>552</v>
      </c>
      <c r="CV668" s="26" t="n">
        <f aca="false">(CS668+CR668)/2</f>
        <v>74.4285714285714</v>
      </c>
      <c r="CW668" s="25" t="n">
        <f aca="false">RANK(CV668,$CV$2:$CV$881,0)</f>
        <v>574</v>
      </c>
      <c r="CX668" s="50" t="n">
        <f aca="false">(CV668+BB668)/2</f>
        <v>76.5142857142857</v>
      </c>
      <c r="CY668" s="50" t="n">
        <v>545</v>
      </c>
      <c r="CZ668" s="27" t="s">
        <v>132</v>
      </c>
      <c r="DA668" s="27" t="s">
        <v>486</v>
      </c>
      <c r="DB668" s="27" t="s">
        <v>486</v>
      </c>
      <c r="DC668" s="27" t="s">
        <v>134</v>
      </c>
      <c r="DD668" s="27" t="s">
        <v>386</v>
      </c>
      <c r="DE668" s="27" t="s">
        <v>146</v>
      </c>
      <c r="DF668" s="27" t="s">
        <v>399</v>
      </c>
      <c r="DG668" s="27" t="s">
        <v>480</v>
      </c>
      <c r="DH668" s="27" t="s">
        <v>182</v>
      </c>
      <c r="DI668" s="27" t="s">
        <v>681</v>
      </c>
      <c r="DJ668" s="27" t="s">
        <v>155</v>
      </c>
      <c r="DK668" s="27" t="s">
        <v>134</v>
      </c>
      <c r="DL668" s="27" t="s">
        <v>604</v>
      </c>
      <c r="DM668" s="27" t="s">
        <v>673</v>
      </c>
      <c r="DN668" s="27" t="s">
        <v>218</v>
      </c>
      <c r="DO668" s="27" t="s">
        <v>480</v>
      </c>
      <c r="DP668" s="27"/>
      <c r="DQ668" s="27"/>
      <c r="DR668" s="27"/>
      <c r="DS668" s="27"/>
      <c r="DT668" s="27"/>
      <c r="DU668" s="27"/>
      <c r="DV668" s="27"/>
      <c r="DW668" s="27" t="s">
        <v>164</v>
      </c>
      <c r="DX668" s="27" t="s">
        <v>412</v>
      </c>
      <c r="DY668" s="27" t="s">
        <v>305</v>
      </c>
      <c r="DZ668" s="27" t="n">
        <f aca="false">DY668+DV668+DR668+DN668+DJ668+DF668+DB668</f>
        <v>326</v>
      </c>
      <c r="EA668" s="28" t="n">
        <f aca="false">DZ668/7</f>
        <v>46.5714285714286</v>
      </c>
      <c r="EB668" s="27" t="n">
        <f aca="false">RANK(EA668,$EA$2:$EA$881,0)</f>
        <v>847</v>
      </c>
      <c r="EC668" s="29" t="n">
        <f aca="false">DZ668+CQ668+CP668+AZ668</f>
        <v>2154</v>
      </c>
      <c r="ED668" s="30" t="n">
        <f aca="false">(EA668+CV668+BB668)/3</f>
        <v>66.5333333333333</v>
      </c>
      <c r="EE668" s="51" t="n">
        <f aca="false">ROUND(BE668,3)</f>
        <v>85.29</v>
      </c>
      <c r="EF668" s="51" t="n">
        <f aca="false">ROUND(CR668,3)</f>
        <v>78.714</v>
      </c>
      <c r="EG668" s="51" t="n">
        <f aca="false">ROUND(CS668,3)</f>
        <v>70.143</v>
      </c>
      <c r="EH668" s="51" t="n">
        <f aca="false">ROUND(EA668,3)</f>
        <v>46.571</v>
      </c>
      <c r="EI668" s="51" t="n">
        <f aca="false">ROUND(ED668,3)</f>
        <v>66.533</v>
      </c>
      <c r="EJ668" s="51" t="n">
        <f aca="false">ROUND(CV668,3)</f>
        <v>74.429</v>
      </c>
      <c r="EK668" s="0" t="n">
        <f aca="false">RANK(EI668,$EI$2:$EI$881,0)</f>
        <v>667</v>
      </c>
    </row>
    <row r="669" customFormat="false" ht="15" hidden="false" customHeight="false" outlineLevel="0" collapsed="false">
      <c r="A669" s="4" t="n">
        <v>1953</v>
      </c>
      <c r="B669" s="4" t="n">
        <v>248</v>
      </c>
      <c r="C669" s="27" t="s">
        <v>1937</v>
      </c>
      <c r="D669" s="31" t="n">
        <v>249</v>
      </c>
      <c r="E669" s="16" t="n">
        <v>230508980</v>
      </c>
      <c r="F669" s="56" t="s">
        <v>1938</v>
      </c>
      <c r="G669" s="22" t="s">
        <v>345</v>
      </c>
      <c r="H669" s="22" t="s">
        <v>465</v>
      </c>
      <c r="I669" s="57"/>
      <c r="J669" s="16" t="n">
        <v>72</v>
      </c>
      <c r="K669" s="16" t="n">
        <v>86</v>
      </c>
      <c r="L669" s="34" t="n">
        <f aca="false">(K669*70)/100</f>
        <v>60.2</v>
      </c>
      <c r="M669" s="34" t="n">
        <f aca="false">ROUNDUP(L669,0)</f>
        <v>61</v>
      </c>
      <c r="N669" s="16" t="n">
        <v>26</v>
      </c>
      <c r="O669" s="34" t="n">
        <f aca="false">N669+L669</f>
        <v>86.2</v>
      </c>
      <c r="P669" s="34" t="n">
        <f aca="false">N669+M669</f>
        <v>87</v>
      </c>
      <c r="Q669" s="16" t="n">
        <v>75</v>
      </c>
      <c r="R669" s="16" t="n">
        <v>76</v>
      </c>
      <c r="S669" s="34" t="n">
        <f aca="false">(R669*70)/100</f>
        <v>53.2</v>
      </c>
      <c r="T669" s="34" t="n">
        <f aca="false">ROUNDUP(S669,0)</f>
        <v>54</v>
      </c>
      <c r="U669" s="16" t="n">
        <v>25</v>
      </c>
      <c r="V669" s="34" t="n">
        <f aca="false">U669+S669</f>
        <v>78.2</v>
      </c>
      <c r="W669" s="34" t="n">
        <f aca="false">U669+T669</f>
        <v>79</v>
      </c>
      <c r="X669" s="16" t="n">
        <v>73</v>
      </c>
      <c r="Y669" s="34" t="n">
        <f aca="false">(X669*70)/100</f>
        <v>51.1</v>
      </c>
      <c r="Z669" s="34" t="n">
        <f aca="false">ROUNDUP(Y669,0)</f>
        <v>52</v>
      </c>
      <c r="AA669" s="16" t="n">
        <v>28</v>
      </c>
      <c r="AB669" s="34" t="n">
        <f aca="false">AA669+Y669</f>
        <v>79.1</v>
      </c>
      <c r="AC669" s="34" t="n">
        <f aca="false">AA669+Z669</f>
        <v>80</v>
      </c>
      <c r="AD669" s="32" t="n">
        <f aca="false">X669+R669+Q669+K669+J669</f>
        <v>382</v>
      </c>
      <c r="AE669" s="16" t="n">
        <f aca="false">AD669/5</f>
        <v>76.4</v>
      </c>
      <c r="AF669" s="16" t="n">
        <v>71</v>
      </c>
      <c r="AG669" s="16" t="n">
        <v>76</v>
      </c>
      <c r="AH669" s="16" t="n">
        <v>80</v>
      </c>
      <c r="AI669" s="16" t="n">
        <v>97</v>
      </c>
      <c r="AJ669" s="16" t="n">
        <f aca="false">(AI669*70)/100</f>
        <v>67.9</v>
      </c>
      <c r="AK669" s="35" t="n">
        <f aca="false">ROUNDUP(AJ669,0)</f>
        <v>68</v>
      </c>
      <c r="AL669" s="16" t="n">
        <v>21</v>
      </c>
      <c r="AM669" s="16" t="n">
        <f aca="false">AL669+AJ669</f>
        <v>88.9</v>
      </c>
      <c r="AN669" s="16" t="n">
        <f aca="false">AL669+AK669</f>
        <v>89</v>
      </c>
      <c r="AO669" s="16" t="n">
        <v>66</v>
      </c>
      <c r="AP669" s="36" t="n">
        <f aca="false">(AO669*70)/100</f>
        <v>46.2</v>
      </c>
      <c r="AQ669" s="37" t="n">
        <f aca="false">ROUNDUP(AP669,0)</f>
        <v>47</v>
      </c>
      <c r="AR669" s="16" t="n">
        <v>19</v>
      </c>
      <c r="AS669" s="16" t="n">
        <f aca="false">AR669+AP669</f>
        <v>65.2</v>
      </c>
      <c r="AT669" s="16" t="n">
        <f aca="false">AR669+AQ669</f>
        <v>66</v>
      </c>
      <c r="AU669" s="16" t="n">
        <f aca="false">AO669+AF669+AI669+AH669+AG669</f>
        <v>390</v>
      </c>
      <c r="AV669" s="16" t="n">
        <f aca="false">(AO669+AF669+AI669+AH669+AG669)/5</f>
        <v>78</v>
      </c>
      <c r="AW669" s="36" t="n">
        <f aca="false">(AO669+AF669+AI669+AH669+AG669+X669+R669+Q669+K669+J669)</f>
        <v>772</v>
      </c>
      <c r="AX669" s="16" t="n">
        <f aca="false">AW669/10</f>
        <v>77.2</v>
      </c>
      <c r="AY669" s="16" t="n">
        <f aca="false">AS669+AF669+AM669+AH669+AG669+AB669+V669+Q669+O669+J669</f>
        <v>771.6</v>
      </c>
      <c r="AZ669" s="16" t="n">
        <f aca="false">AT669+AF669+AN669+AH669+AG669+AC669+W669+Q669+P669+J669</f>
        <v>775</v>
      </c>
      <c r="BA669" s="16" t="n">
        <f aca="false">AY669/10</f>
        <v>77.16</v>
      </c>
      <c r="BB669" s="16" t="n">
        <f aca="false">AZ669/10</f>
        <v>77.5</v>
      </c>
      <c r="BC669" s="16" t="n">
        <v>2344</v>
      </c>
      <c r="BD669" s="16" t="n">
        <f aca="false">RANK(AX669,$AX$2:$AX$881,0)</f>
        <v>482</v>
      </c>
      <c r="BE669" s="54" t="n">
        <f aca="false">((BC669*100)/2400)*0.4+(AX669*0.6)</f>
        <v>85.3866666666667</v>
      </c>
      <c r="BF669" s="16" t="n">
        <f aca="false">RANK(BE669,$BE$2:$BE$881,0)</f>
        <v>530</v>
      </c>
      <c r="BG669" s="39" t="n">
        <f aca="false">RANK(BB669,$BB$2:$BB$881,0)</f>
        <v>603</v>
      </c>
      <c r="BH669" s="39" t="n">
        <f aca="false">RANK(BC669,$BC$2:$BC$881,0)</f>
        <v>598</v>
      </c>
      <c r="BI669" s="22" t="s">
        <v>130</v>
      </c>
      <c r="BJ669" s="22" t="s">
        <v>129</v>
      </c>
      <c r="BK669" s="40" t="s">
        <v>509</v>
      </c>
      <c r="BL669" s="41" t="n">
        <v>24</v>
      </c>
      <c r="BM669" s="41" t="n">
        <v>57</v>
      </c>
      <c r="BN669" s="41" t="n">
        <v>81</v>
      </c>
      <c r="BO669" s="42" t="n">
        <v>23</v>
      </c>
      <c r="BP669" s="43" t="n">
        <v>65</v>
      </c>
      <c r="BQ669" s="44" t="n">
        <v>88</v>
      </c>
      <c r="BR669" s="42" t="n">
        <v>26</v>
      </c>
      <c r="BS669" s="45" t="n">
        <v>52</v>
      </c>
      <c r="BT669" s="45" t="n">
        <v>78</v>
      </c>
      <c r="BU669" s="46" t="n">
        <v>98</v>
      </c>
      <c r="BV669" s="47" t="n">
        <v>76</v>
      </c>
      <c r="BW669" s="42" t="n">
        <v>96</v>
      </c>
      <c r="BX669" s="107"/>
      <c r="BY669" s="130"/>
      <c r="BZ669" s="60"/>
      <c r="CA669" s="60"/>
      <c r="CB669" s="61"/>
      <c r="CC669" s="60"/>
      <c r="CD669" s="60"/>
      <c r="CE669" s="60"/>
      <c r="CF669" s="60"/>
      <c r="CG669" s="60"/>
      <c r="CH669" s="60"/>
      <c r="CI669" s="60"/>
      <c r="CJ669" s="60"/>
      <c r="CK669" s="60"/>
      <c r="CL669" s="61"/>
      <c r="CM669" s="60"/>
      <c r="CN669" s="60"/>
      <c r="CO669" s="60"/>
      <c r="CP669" s="25" t="n">
        <f aca="false">BX669+BW669+BV669+BU669+BT669+BQ669+BN669</f>
        <v>517</v>
      </c>
      <c r="CQ669" s="25" t="n">
        <f aca="false">CO669+CL669+CI669+CH669+CG669+CD669+CA669</f>
        <v>0</v>
      </c>
      <c r="CR669" s="26" t="n">
        <f aca="false">CP669/7</f>
        <v>73.8571428571429</v>
      </c>
      <c r="CS669" s="26" t="n">
        <f aca="false">CQ669/7</f>
        <v>0</v>
      </c>
      <c r="CT669" s="24" t="n">
        <f aca="false">RANK(CR669,$CR$2:$CR$881,0)</f>
        <v>661</v>
      </c>
      <c r="CU669" s="25" t="n">
        <f aca="false">RANK(CS669,$CS$2:$CS$881,0)</f>
        <v>752</v>
      </c>
      <c r="CV669" s="26" t="n">
        <f aca="false">(CS669+CR669)/2</f>
        <v>36.9285714285714</v>
      </c>
      <c r="CW669" s="25" t="n">
        <f aca="false">RANK(CV669,$CV$2:$CV$881,0)</f>
        <v>730</v>
      </c>
      <c r="CX669" s="50" t="n">
        <f aca="false">(CV669+BB669)/2</f>
        <v>57.2142857142857</v>
      </c>
      <c r="CY669" s="50" t="n">
        <v>660</v>
      </c>
      <c r="CZ669" s="27" t="s">
        <v>132</v>
      </c>
      <c r="DA669" s="27" t="s">
        <v>153</v>
      </c>
      <c r="DB669" s="27" t="s">
        <v>153</v>
      </c>
      <c r="DC669" s="27" t="s">
        <v>134</v>
      </c>
      <c r="DD669" s="27" t="s">
        <v>137</v>
      </c>
      <c r="DE669" s="27" t="s">
        <v>218</v>
      </c>
      <c r="DF669" s="27" t="s">
        <v>169</v>
      </c>
      <c r="DG669" s="27" t="s">
        <v>134</v>
      </c>
      <c r="DH669" s="27" t="s">
        <v>160</v>
      </c>
      <c r="DI669" s="27" t="s">
        <v>161</v>
      </c>
      <c r="DJ669" s="27" t="s">
        <v>162</v>
      </c>
      <c r="DK669" s="27" t="s">
        <v>134</v>
      </c>
      <c r="DL669" s="27" t="s">
        <v>154</v>
      </c>
      <c r="DM669" s="27" t="s">
        <v>152</v>
      </c>
      <c r="DN669" s="27" t="s">
        <v>178</v>
      </c>
      <c r="DO669" s="27" t="s">
        <v>134</v>
      </c>
      <c r="DP669" s="27" t="s">
        <v>154</v>
      </c>
      <c r="DQ669" s="27" t="s">
        <v>304</v>
      </c>
      <c r="DR669" s="27" t="s">
        <v>382</v>
      </c>
      <c r="DS669" s="27" t="s">
        <v>134</v>
      </c>
      <c r="DT669" s="27" t="s">
        <v>137</v>
      </c>
      <c r="DU669" s="27" t="s">
        <v>638</v>
      </c>
      <c r="DV669" s="27" t="s">
        <v>416</v>
      </c>
      <c r="DW669" s="27" t="s">
        <v>160</v>
      </c>
      <c r="DX669" s="27" t="s">
        <v>143</v>
      </c>
      <c r="DY669" s="27" t="s">
        <v>142</v>
      </c>
      <c r="DZ669" s="27" t="n">
        <f aca="false">DY669+DV669+DR669+DN669+DJ669+DF669+DB669</f>
        <v>593</v>
      </c>
      <c r="EA669" s="28" t="n">
        <f aca="false">DZ669/7</f>
        <v>84.7142857142857</v>
      </c>
      <c r="EB669" s="27" t="n">
        <f aca="false">RANK(EA669,$EA$2:$EA$881,0)</f>
        <v>195</v>
      </c>
      <c r="EC669" s="29" t="n">
        <f aca="false">DZ669+CQ669+CP669+AZ669</f>
        <v>1885</v>
      </c>
      <c r="ED669" s="30" t="n">
        <f aca="false">(EA669+CV669+BB669)/3</f>
        <v>66.3809523809524</v>
      </c>
      <c r="EE669" s="51" t="n">
        <f aca="false">ROUND(BE669,3)</f>
        <v>85.387</v>
      </c>
      <c r="EF669" s="51" t="n">
        <f aca="false">ROUND(CR669,3)</f>
        <v>73.857</v>
      </c>
      <c r="EG669" s="51" t="n">
        <f aca="false">ROUND(CS669,3)</f>
        <v>0</v>
      </c>
      <c r="EH669" s="51" t="n">
        <f aca="false">ROUND(EA669,3)</f>
        <v>84.714</v>
      </c>
      <c r="EI669" s="51" t="n">
        <f aca="false">ROUND(ED669,3)</f>
        <v>66.381</v>
      </c>
      <c r="EJ669" s="51" t="n">
        <f aca="false">ROUND(CV669,3)</f>
        <v>36.929</v>
      </c>
      <c r="EK669" s="0" t="n">
        <f aca="false">RANK(EI669,$EI$2:$EI$881,0)</f>
        <v>668</v>
      </c>
    </row>
    <row r="670" customFormat="false" ht="15" hidden="false" customHeight="false" outlineLevel="0" collapsed="false">
      <c r="A670" s="4" t="n">
        <v>8726</v>
      </c>
      <c r="B670" s="4" t="n">
        <v>440</v>
      </c>
      <c r="C670" s="27" t="s">
        <v>1939</v>
      </c>
      <c r="D670" s="31" t="n">
        <v>446</v>
      </c>
      <c r="E670" s="16" t="n">
        <v>230507071</v>
      </c>
      <c r="F670" s="56" t="s">
        <v>1940</v>
      </c>
      <c r="G670" s="22" t="s">
        <v>246</v>
      </c>
      <c r="H670" s="22" t="s">
        <v>558</v>
      </c>
      <c r="I670" s="57"/>
      <c r="J670" s="16" t="n">
        <v>63</v>
      </c>
      <c r="K670" s="16" t="n">
        <v>64</v>
      </c>
      <c r="L670" s="34" t="n">
        <f aca="false">(K670*70)/100</f>
        <v>44.8</v>
      </c>
      <c r="M670" s="34" t="n">
        <f aca="false">ROUNDUP(L670,0)</f>
        <v>45</v>
      </c>
      <c r="N670" s="16" t="n">
        <v>25</v>
      </c>
      <c r="O670" s="34" t="n">
        <f aca="false">N670+L670</f>
        <v>69.8</v>
      </c>
      <c r="P670" s="34" t="n">
        <f aca="false">N670+M670</f>
        <v>70</v>
      </c>
      <c r="Q670" s="71" t="n">
        <v>39</v>
      </c>
      <c r="R670" s="16" t="n">
        <v>57</v>
      </c>
      <c r="S670" s="34" t="n">
        <f aca="false">(R670*70)/100</f>
        <v>39.9</v>
      </c>
      <c r="T670" s="34" t="n">
        <f aca="false">ROUNDUP(S670,0)</f>
        <v>40</v>
      </c>
      <c r="U670" s="16" t="n">
        <v>29</v>
      </c>
      <c r="V670" s="34" t="n">
        <f aca="false">U670+S670</f>
        <v>68.9</v>
      </c>
      <c r="W670" s="34" t="n">
        <f aca="false">U670+T670</f>
        <v>69</v>
      </c>
      <c r="X670" s="16" t="n">
        <v>63</v>
      </c>
      <c r="Y670" s="34" t="n">
        <f aca="false">(X670*70)/100</f>
        <v>44.1</v>
      </c>
      <c r="Z670" s="34" t="n">
        <f aca="false">ROUNDUP(Y670,0)</f>
        <v>45</v>
      </c>
      <c r="AA670" s="16" t="n">
        <v>26</v>
      </c>
      <c r="AB670" s="34" t="n">
        <f aca="false">AA670+Y670</f>
        <v>70.1</v>
      </c>
      <c r="AC670" s="34" t="n">
        <f aca="false">AA670+Z670</f>
        <v>71</v>
      </c>
      <c r="AD670" s="32" t="n">
        <f aca="false">X670+R670+Q670+K670+J670</f>
        <v>286</v>
      </c>
      <c r="AE670" s="16" t="n">
        <f aca="false">AD670/5</f>
        <v>57.2</v>
      </c>
      <c r="AF670" s="16" t="n">
        <v>61</v>
      </c>
      <c r="AG670" s="16" t="n">
        <v>83</v>
      </c>
      <c r="AH670" s="16" t="n">
        <v>61</v>
      </c>
      <c r="AI670" s="16" t="n">
        <v>77</v>
      </c>
      <c r="AJ670" s="16" t="n">
        <f aca="false">(AI670*70)/100</f>
        <v>53.9</v>
      </c>
      <c r="AK670" s="35" t="n">
        <f aca="false">ROUNDUP(AJ670,0)</f>
        <v>54</v>
      </c>
      <c r="AL670" s="16" t="n">
        <v>29</v>
      </c>
      <c r="AM670" s="16" t="n">
        <f aca="false">AL670+AJ670</f>
        <v>82.9</v>
      </c>
      <c r="AN670" s="16" t="n">
        <f aca="false">AL670+AK670</f>
        <v>83</v>
      </c>
      <c r="AO670" s="16" t="n">
        <v>58</v>
      </c>
      <c r="AP670" s="36" t="n">
        <f aca="false">(AO670*70)/100</f>
        <v>40.6</v>
      </c>
      <c r="AQ670" s="37" t="n">
        <f aca="false">ROUNDUP(AP670,0)</f>
        <v>41</v>
      </c>
      <c r="AR670" s="16" t="n">
        <v>28</v>
      </c>
      <c r="AS670" s="16" t="n">
        <f aca="false">AR670+AP670</f>
        <v>68.6</v>
      </c>
      <c r="AT670" s="16" t="n">
        <f aca="false">AR670+AQ670</f>
        <v>69</v>
      </c>
      <c r="AU670" s="16" t="n">
        <f aca="false">AO670+AF670+AI670+AH670+AG670</f>
        <v>340</v>
      </c>
      <c r="AV670" s="16" t="n">
        <f aca="false">(AO670+AF670+AI670+AH670+AG670)/5</f>
        <v>68</v>
      </c>
      <c r="AW670" s="36" t="n">
        <f aca="false">(AO670+AF670+AI670+AH670+AG670+X670+R670+Q670+K670+J670)</f>
        <v>626</v>
      </c>
      <c r="AX670" s="16" t="n">
        <f aca="false">AW670/10</f>
        <v>62.6</v>
      </c>
      <c r="AY670" s="16" t="n">
        <f aca="false">AS670+AF670+AM670+AH670+AG670+AB670+V670+Q670+O670+J670</f>
        <v>667.3</v>
      </c>
      <c r="AZ670" s="16" t="n">
        <f aca="false">AT670+AF670+AN670+AH670+AG670+AC670+W670+Q670+P670+J670</f>
        <v>669</v>
      </c>
      <c r="BA670" s="16" t="n">
        <f aca="false">AY670/10</f>
        <v>66.73</v>
      </c>
      <c r="BB670" s="16" t="n">
        <f aca="false">AZ670/10</f>
        <v>66.9</v>
      </c>
      <c r="BC670" s="16" t="n">
        <v>2363</v>
      </c>
      <c r="BD670" s="16" t="n">
        <f aca="false">RANK(AX670,$AX$2:$AX$881,0)</f>
        <v>786</v>
      </c>
      <c r="BE670" s="78" t="n">
        <f aca="false">((BC670*100)/2400)*0.4+(AX670*0.6)</f>
        <v>76.9433333333333</v>
      </c>
      <c r="BF670" s="16" t="n">
        <f aca="false">RANK(BE670,$BE$2:$BE$881,0)</f>
        <v>768</v>
      </c>
      <c r="BG670" s="39" t="n">
        <f aca="false">RANK(BB670,$BB$2:$BB$881,0)</f>
        <v>770</v>
      </c>
      <c r="BH670" s="39" t="n">
        <f aca="false">RANK(BC670,$BC$2:$BC$881,0)</f>
        <v>356</v>
      </c>
      <c r="BI670" s="22" t="s">
        <v>130</v>
      </c>
      <c r="BJ670" s="22" t="s">
        <v>129</v>
      </c>
      <c r="BK670" s="40" t="s">
        <v>702</v>
      </c>
      <c r="BL670" s="41" t="n">
        <v>21</v>
      </c>
      <c r="BM670" s="41" t="n">
        <v>59</v>
      </c>
      <c r="BN670" s="41" t="n">
        <v>80</v>
      </c>
      <c r="BO670" s="42" t="n">
        <v>26</v>
      </c>
      <c r="BP670" s="43" t="n">
        <v>49</v>
      </c>
      <c r="BQ670" s="44" t="n">
        <v>75</v>
      </c>
      <c r="BR670" s="74" t="n">
        <v>9</v>
      </c>
      <c r="BS670" s="80"/>
      <c r="BT670" s="80"/>
      <c r="BU670" s="46" t="n">
        <v>100</v>
      </c>
      <c r="BV670" s="47" t="n">
        <v>80</v>
      </c>
      <c r="BW670" s="42" t="n">
        <v>98</v>
      </c>
      <c r="BX670" s="88" t="n">
        <v>94</v>
      </c>
      <c r="BY670" s="65" t="n">
        <v>25</v>
      </c>
      <c r="BZ670" s="58" t="n">
        <v>49</v>
      </c>
      <c r="CA670" s="58" t="n">
        <v>74</v>
      </c>
      <c r="CB670" s="59" t="n">
        <v>12</v>
      </c>
      <c r="CC670" s="58" t="n">
        <v>42</v>
      </c>
      <c r="CD670" s="58" t="n">
        <v>54</v>
      </c>
      <c r="CE670" s="58" t="n">
        <v>17</v>
      </c>
      <c r="CF670" s="58" t="n">
        <v>23</v>
      </c>
      <c r="CG670" s="90" t="n">
        <v>40</v>
      </c>
      <c r="CH670" s="58" t="n">
        <v>90</v>
      </c>
      <c r="CI670" s="58" t="n">
        <v>78</v>
      </c>
      <c r="CJ670" s="58" t="n">
        <v>23</v>
      </c>
      <c r="CK670" s="58" t="n">
        <v>59</v>
      </c>
      <c r="CL670" s="59" t="n">
        <v>82</v>
      </c>
      <c r="CM670" s="60"/>
      <c r="CN670" s="60"/>
      <c r="CO670" s="60"/>
      <c r="CP670" s="25" t="n">
        <f aca="false">BX670+BW670+BV670+BU670+BT670+BQ670+BN670</f>
        <v>527</v>
      </c>
      <c r="CQ670" s="25" t="n">
        <f aca="false">CO670+CL670+CI670+CH670+CG670+CD670+CA670</f>
        <v>418</v>
      </c>
      <c r="CR670" s="26" t="n">
        <f aca="false">CP670/7</f>
        <v>75.2857142857143</v>
      </c>
      <c r="CS670" s="26" t="n">
        <f aca="false">CQ670/7</f>
        <v>59.7142857142857</v>
      </c>
      <c r="CT670" s="24" t="n">
        <f aca="false">RANK(CR670,$CR$2:$CR$881,0)</f>
        <v>644</v>
      </c>
      <c r="CU670" s="25" t="n">
        <f aca="false">RANK(CS670,$CS$2:$CS$881,0)</f>
        <v>688</v>
      </c>
      <c r="CV670" s="26" t="n">
        <f aca="false">(CS670+CR670)/2</f>
        <v>67.5</v>
      </c>
      <c r="CW670" s="25" t="n">
        <f aca="false">RANK(CV670,$CV$2:$CV$881,0)</f>
        <v>657</v>
      </c>
      <c r="CX670" s="50" t="n">
        <f aca="false">(CV670+BB670)/2</f>
        <v>67.2</v>
      </c>
      <c r="CY670" s="50" t="n">
        <v>713</v>
      </c>
      <c r="CZ670" s="27" t="s">
        <v>132</v>
      </c>
      <c r="DA670" s="27" t="s">
        <v>441</v>
      </c>
      <c r="DB670" s="27" t="s">
        <v>441</v>
      </c>
      <c r="DC670" s="27" t="s">
        <v>134</v>
      </c>
      <c r="DD670" s="27" t="s">
        <v>154</v>
      </c>
      <c r="DE670" s="27" t="s">
        <v>681</v>
      </c>
      <c r="DF670" s="27" t="s">
        <v>138</v>
      </c>
      <c r="DG670" s="27" t="s">
        <v>134</v>
      </c>
      <c r="DH670" s="27" t="s">
        <v>137</v>
      </c>
      <c r="DI670" s="27" t="s">
        <v>375</v>
      </c>
      <c r="DJ670" s="27" t="s">
        <v>443</v>
      </c>
      <c r="DK670" s="27" t="s">
        <v>134</v>
      </c>
      <c r="DL670" s="27" t="s">
        <v>154</v>
      </c>
      <c r="DM670" s="27" t="s">
        <v>638</v>
      </c>
      <c r="DN670" s="27" t="s">
        <v>143</v>
      </c>
      <c r="DO670" s="27" t="s">
        <v>134</v>
      </c>
      <c r="DP670" s="27"/>
      <c r="DQ670" s="27"/>
      <c r="DR670" s="27"/>
      <c r="DS670" s="27"/>
      <c r="DT670" s="27" t="s">
        <v>140</v>
      </c>
      <c r="DU670" s="27" t="s">
        <v>1407</v>
      </c>
      <c r="DV670" s="27" t="s">
        <v>138</v>
      </c>
      <c r="DW670" s="27" t="s">
        <v>137</v>
      </c>
      <c r="DX670" s="27" t="s">
        <v>138</v>
      </c>
      <c r="DY670" s="27" t="s">
        <v>139</v>
      </c>
      <c r="DZ670" s="27" t="n">
        <f aca="false">DY670+DV670+DR670+DN670+DJ670+DF670+DB670</f>
        <v>452</v>
      </c>
      <c r="EA670" s="28" t="n">
        <f aca="false">DZ670/7</f>
        <v>64.5714285714286</v>
      </c>
      <c r="EB670" s="27" t="n">
        <f aca="false">RANK(EA670,$EA$2:$EA$881,0)</f>
        <v>739</v>
      </c>
      <c r="EC670" s="29" t="n">
        <f aca="false">DZ670+CQ670+CP670+AZ670</f>
        <v>2066</v>
      </c>
      <c r="ED670" s="30" t="n">
        <f aca="false">(EA670+CV670+BB670)/3</f>
        <v>66.3238095238095</v>
      </c>
      <c r="EE670" s="51" t="n">
        <f aca="false">ROUND(BE670,3)</f>
        <v>76.943</v>
      </c>
      <c r="EF670" s="51" t="n">
        <f aca="false">ROUND(CR670,3)</f>
        <v>75.286</v>
      </c>
      <c r="EG670" s="51" t="n">
        <f aca="false">ROUND(CS670,3)</f>
        <v>59.714</v>
      </c>
      <c r="EH670" s="51" t="n">
        <f aca="false">ROUND(EA670,3)</f>
        <v>64.571</v>
      </c>
      <c r="EI670" s="51" t="n">
        <f aca="false">ROUND(ED670,3)</f>
        <v>66.324</v>
      </c>
      <c r="EJ670" s="51" t="n">
        <f aca="false">ROUND(CV670,3)</f>
        <v>67.5</v>
      </c>
      <c r="EK670" s="0" t="n">
        <f aca="false">RANK(EI670,$EI$2:$EI$881,0)</f>
        <v>669</v>
      </c>
    </row>
    <row r="671" customFormat="false" ht="15" hidden="false" customHeight="false" outlineLevel="0" collapsed="false">
      <c r="A671" s="4" t="n">
        <v>9069</v>
      </c>
      <c r="B671" s="4" t="n">
        <v>22</v>
      </c>
      <c r="C671" s="27" t="s">
        <v>1941</v>
      </c>
      <c r="D671" s="52" t="n">
        <v>23</v>
      </c>
      <c r="E671" s="16" t="n">
        <v>230610094</v>
      </c>
      <c r="F671" s="56" t="s">
        <v>1942</v>
      </c>
      <c r="G671" s="22" t="s">
        <v>952</v>
      </c>
      <c r="H671" s="22" t="s">
        <v>558</v>
      </c>
      <c r="I671" s="57"/>
      <c r="J671" s="16" t="n">
        <v>68</v>
      </c>
      <c r="K671" s="16" t="n">
        <v>77</v>
      </c>
      <c r="L671" s="34" t="n">
        <f aca="false">(K671*70)/100</f>
        <v>53.9</v>
      </c>
      <c r="M671" s="34" t="n">
        <f aca="false">ROUNDUP(L671,0)</f>
        <v>54</v>
      </c>
      <c r="N671" s="16" t="n">
        <v>27</v>
      </c>
      <c r="O671" s="34" t="n">
        <f aca="false">N671+L671</f>
        <v>80.9</v>
      </c>
      <c r="P671" s="34" t="n">
        <f aca="false">N671+M671</f>
        <v>81</v>
      </c>
      <c r="Q671" s="16" t="n">
        <v>72</v>
      </c>
      <c r="R671" s="16" t="n">
        <v>78</v>
      </c>
      <c r="S671" s="34" t="n">
        <f aca="false">(R671*70)/100</f>
        <v>54.6</v>
      </c>
      <c r="T671" s="34" t="n">
        <f aca="false">ROUNDUP(S671,0)</f>
        <v>55</v>
      </c>
      <c r="U671" s="16" t="n">
        <v>27</v>
      </c>
      <c r="V671" s="34" t="n">
        <f aca="false">U671+S671</f>
        <v>81.6</v>
      </c>
      <c r="W671" s="34" t="n">
        <f aca="false">U671+T671</f>
        <v>82</v>
      </c>
      <c r="X671" s="16" t="n">
        <v>78</v>
      </c>
      <c r="Y671" s="34" t="n">
        <f aca="false">(X671*70)/100</f>
        <v>54.6</v>
      </c>
      <c r="Z671" s="34" t="n">
        <f aca="false">ROUNDUP(Y671,0)</f>
        <v>55</v>
      </c>
      <c r="AA671" s="16" t="n">
        <v>22</v>
      </c>
      <c r="AB671" s="34" t="n">
        <f aca="false">AA671+Y671</f>
        <v>76.6</v>
      </c>
      <c r="AC671" s="34" t="n">
        <f aca="false">AA671+Z671</f>
        <v>77</v>
      </c>
      <c r="AD671" s="32" t="n">
        <f aca="false">X671+R671+Q671+K671+J671</f>
        <v>373</v>
      </c>
      <c r="AE671" s="16" t="n">
        <f aca="false">AD671/5</f>
        <v>74.6</v>
      </c>
      <c r="AF671" s="16" t="n">
        <v>73</v>
      </c>
      <c r="AG671" s="16" t="n">
        <v>88</v>
      </c>
      <c r="AH671" s="16" t="n">
        <v>89</v>
      </c>
      <c r="AI671" s="16" t="n">
        <v>84</v>
      </c>
      <c r="AJ671" s="16" t="n">
        <f aca="false">(AI671*70)/100</f>
        <v>58.8</v>
      </c>
      <c r="AK671" s="35" t="n">
        <f aca="false">ROUNDUP(AJ671,0)</f>
        <v>59</v>
      </c>
      <c r="AL671" s="16" t="n">
        <v>22</v>
      </c>
      <c r="AM671" s="16" t="n">
        <f aca="false">AL671+AJ671</f>
        <v>80.8</v>
      </c>
      <c r="AN671" s="16" t="n">
        <f aca="false">AL671+AK671</f>
        <v>81</v>
      </c>
      <c r="AO671" s="16" t="n">
        <v>82</v>
      </c>
      <c r="AP671" s="36" t="n">
        <f aca="false">(AO671*70)/100</f>
        <v>57.4</v>
      </c>
      <c r="AQ671" s="37" t="n">
        <f aca="false">ROUNDUP(AP671,0)</f>
        <v>58</v>
      </c>
      <c r="AR671" s="16" t="n">
        <v>26</v>
      </c>
      <c r="AS671" s="16" t="n">
        <f aca="false">AR671+AP671</f>
        <v>83.4</v>
      </c>
      <c r="AT671" s="16" t="n">
        <f aca="false">AR671+AQ671</f>
        <v>84</v>
      </c>
      <c r="AU671" s="16" t="n">
        <f aca="false">AO671+AF671+AI671+AH671+AG671</f>
        <v>416</v>
      </c>
      <c r="AV671" s="16" t="n">
        <f aca="false">(AO671+AF671+AI671+AH671+AG671)/5</f>
        <v>83.2</v>
      </c>
      <c r="AW671" s="36" t="n">
        <f aca="false">(AO671+AF671+AI671+AH671+AG671+X671+R671+Q671+K671+J671)</f>
        <v>789</v>
      </c>
      <c r="AX671" s="16" t="n">
        <f aca="false">AW671/10</f>
        <v>78.9</v>
      </c>
      <c r="AY671" s="16" t="n">
        <f aca="false">AS671+AF671+AM671+AH671+AG671+AB671+V671+Q671+O671+J671</f>
        <v>793.3</v>
      </c>
      <c r="AZ671" s="16" t="n">
        <f aca="false">AT671+AF671+AN671+AH671+AG671+AC671+W671+Q671+P671+J671</f>
        <v>795</v>
      </c>
      <c r="BA671" s="16" t="n">
        <f aca="false">AY671/10</f>
        <v>79.33</v>
      </c>
      <c r="BB671" s="16" t="n">
        <f aca="false">AZ671/10</f>
        <v>79.5</v>
      </c>
      <c r="BC671" s="16" t="n">
        <v>2335</v>
      </c>
      <c r="BD671" s="16" t="n">
        <f aca="false">RANK(AX671,$AX$2:$AX$881,0)</f>
        <v>339</v>
      </c>
      <c r="BE671" s="54" t="n">
        <f aca="false">((BC671*100)/2400)*0.4+(AX671*0.6)</f>
        <v>86.2566666666667</v>
      </c>
      <c r="BF671" s="16" t="n">
        <f aca="false">RANK(BE671,$BE$2:$BE$881,0)</f>
        <v>393</v>
      </c>
      <c r="BG671" s="39" t="n">
        <f aca="false">RANK(BB671,$BB$2:$BB$881,0)</f>
        <v>407</v>
      </c>
      <c r="BH671" s="39" t="n">
        <f aca="false">RANK(BC671,$BC$2:$BC$881,0)</f>
        <v>681</v>
      </c>
      <c r="BI671" s="22" t="s">
        <v>130</v>
      </c>
      <c r="BJ671" s="22" t="s">
        <v>129</v>
      </c>
      <c r="BK671" s="40" t="s">
        <v>131</v>
      </c>
      <c r="BL671" s="41" t="n">
        <v>18</v>
      </c>
      <c r="BM671" s="41" t="n">
        <v>55</v>
      </c>
      <c r="BN671" s="41" t="n">
        <v>73</v>
      </c>
      <c r="BO671" s="42" t="n">
        <v>20</v>
      </c>
      <c r="BP671" s="61"/>
      <c r="BQ671" s="61"/>
      <c r="BR671" s="42" t="n">
        <v>18</v>
      </c>
      <c r="BS671" s="80"/>
      <c r="BT671" s="80"/>
      <c r="BU671" s="46" t="n">
        <v>100</v>
      </c>
      <c r="BV671" s="47" t="n">
        <v>82</v>
      </c>
      <c r="BW671" s="42" t="n">
        <v>98</v>
      </c>
      <c r="BX671" s="88" t="n">
        <v>92</v>
      </c>
      <c r="BY671" s="65" t="n">
        <v>29</v>
      </c>
      <c r="BZ671" s="58" t="n">
        <v>49</v>
      </c>
      <c r="CA671" s="58" t="n">
        <v>78</v>
      </c>
      <c r="CB671" s="59" t="n">
        <v>17</v>
      </c>
      <c r="CC671" s="58" t="n">
        <v>47</v>
      </c>
      <c r="CD671" s="58" t="n">
        <v>64</v>
      </c>
      <c r="CE671" s="58" t="n">
        <v>24</v>
      </c>
      <c r="CF671" s="58" t="n">
        <v>38</v>
      </c>
      <c r="CG671" s="58" t="n">
        <v>62</v>
      </c>
      <c r="CH671" s="58" t="n">
        <v>90</v>
      </c>
      <c r="CI671" s="132"/>
      <c r="CJ671" s="58" t="n">
        <v>23</v>
      </c>
      <c r="CK671" s="58" t="n">
        <v>60</v>
      </c>
      <c r="CL671" s="59" t="n">
        <v>83</v>
      </c>
      <c r="CM671" s="60"/>
      <c r="CN671" s="60"/>
      <c r="CO671" s="60"/>
      <c r="CP671" s="25" t="n">
        <f aca="false">BX671+BW671+BV671+BU671+BT671+BQ671+BN671</f>
        <v>445</v>
      </c>
      <c r="CQ671" s="25" t="n">
        <f aca="false">CO671+CL671+CI671+CH671+CG671+CD671+CA671</f>
        <v>377</v>
      </c>
      <c r="CR671" s="26" t="n">
        <f aca="false">CP671/7</f>
        <v>63.5714285714286</v>
      </c>
      <c r="CS671" s="26" t="n">
        <f aca="false">CQ671/7</f>
        <v>53.8571428571429</v>
      </c>
      <c r="CT671" s="24" t="n">
        <f aca="false">RANK(CR671,$CR$2:$CR$881,0)</f>
        <v>708</v>
      </c>
      <c r="CU671" s="25" t="n">
        <f aca="false">RANK(CS671,$CS$2:$CS$881,0)</f>
        <v>709</v>
      </c>
      <c r="CV671" s="26" t="n">
        <f aca="false">(CS671+CR671)/2</f>
        <v>58.7142857142857</v>
      </c>
      <c r="CW671" s="25" t="n">
        <f aca="false">RANK(CV671,$CV$2:$CV$881,0)</f>
        <v>702</v>
      </c>
      <c r="CX671" s="50" t="n">
        <f aca="false">(CV671+BB671)/2</f>
        <v>69.1071428571429</v>
      </c>
      <c r="CY671" s="50" t="n">
        <v>695</v>
      </c>
      <c r="CZ671" s="27" t="s">
        <v>132</v>
      </c>
      <c r="DA671" s="27" t="s">
        <v>169</v>
      </c>
      <c r="DB671" s="27" t="s">
        <v>169</v>
      </c>
      <c r="DC671" s="27" t="s">
        <v>134</v>
      </c>
      <c r="DD671" s="27" t="s">
        <v>154</v>
      </c>
      <c r="DE671" s="27" t="s">
        <v>161</v>
      </c>
      <c r="DF671" s="27" t="s">
        <v>209</v>
      </c>
      <c r="DG671" s="27" t="s">
        <v>134</v>
      </c>
      <c r="DH671" s="27" t="s">
        <v>182</v>
      </c>
      <c r="DI671" s="27" t="s">
        <v>447</v>
      </c>
      <c r="DJ671" s="27" t="s">
        <v>382</v>
      </c>
      <c r="DK671" s="27" t="s">
        <v>134</v>
      </c>
      <c r="DL671" s="27" t="s">
        <v>135</v>
      </c>
      <c r="DM671" s="27" t="s">
        <v>218</v>
      </c>
      <c r="DN671" s="27" t="s">
        <v>205</v>
      </c>
      <c r="DO671" s="27" t="s">
        <v>134</v>
      </c>
      <c r="DP671" s="27"/>
      <c r="DQ671" s="27"/>
      <c r="DR671" s="27"/>
      <c r="DS671" s="27"/>
      <c r="DT671" s="27"/>
      <c r="DU671" s="27"/>
      <c r="DV671" s="27"/>
      <c r="DW671" s="27" t="s">
        <v>140</v>
      </c>
      <c r="DX671" s="27" t="s">
        <v>155</v>
      </c>
      <c r="DY671" s="27" t="s">
        <v>147</v>
      </c>
      <c r="DZ671" s="27" t="n">
        <f aca="false">DY671+DV671+DR671+DN671+DJ671+DF671+DB671</f>
        <v>425</v>
      </c>
      <c r="EA671" s="28" t="n">
        <f aca="false">DZ671/7</f>
        <v>60.7142857142857</v>
      </c>
      <c r="EB671" s="27" t="n">
        <f aca="false">RANK(EA671,$EA$2:$EA$881,0)</f>
        <v>777</v>
      </c>
      <c r="EC671" s="29" t="n">
        <f aca="false">DZ671+CQ671+CP671+AZ671</f>
        <v>2042</v>
      </c>
      <c r="ED671" s="30" t="n">
        <f aca="false">(EA671+CV671+BB671)/3</f>
        <v>66.3095238095238</v>
      </c>
      <c r="EE671" s="51" t="n">
        <f aca="false">ROUND(BE671,3)</f>
        <v>86.257</v>
      </c>
      <c r="EF671" s="51" t="n">
        <f aca="false">ROUND(CR671,3)</f>
        <v>63.571</v>
      </c>
      <c r="EG671" s="51" t="n">
        <f aca="false">ROUND(CS671,3)</f>
        <v>53.857</v>
      </c>
      <c r="EH671" s="51" t="n">
        <f aca="false">ROUND(EA671,3)</f>
        <v>60.714</v>
      </c>
      <c r="EI671" s="51" t="n">
        <f aca="false">ROUND(ED671,3)</f>
        <v>66.31</v>
      </c>
      <c r="EJ671" s="51" t="n">
        <f aca="false">ROUND(CV671,3)</f>
        <v>58.714</v>
      </c>
      <c r="EK671" s="0" t="n">
        <f aca="false">RANK(EI671,$EI$2:$EI$881,0)</f>
        <v>670</v>
      </c>
    </row>
    <row r="672" customFormat="false" ht="15" hidden="false" customHeight="false" outlineLevel="0" collapsed="false">
      <c r="A672" s="4" t="n">
        <v>9062</v>
      </c>
      <c r="B672" s="4" t="n">
        <v>627</v>
      </c>
      <c r="C672" s="27" t="s">
        <v>1943</v>
      </c>
      <c r="D672" s="31" t="n">
        <v>635</v>
      </c>
      <c r="E672" s="16" t="n">
        <v>230512812</v>
      </c>
      <c r="F672" s="56" t="s">
        <v>1944</v>
      </c>
      <c r="G672" s="22" t="s">
        <v>1945</v>
      </c>
      <c r="H672" s="22" t="s">
        <v>465</v>
      </c>
      <c r="I672" s="57"/>
      <c r="J672" s="16" t="n">
        <v>84</v>
      </c>
      <c r="K672" s="16" t="n">
        <v>73</v>
      </c>
      <c r="L672" s="34" t="n">
        <f aca="false">(K672*70)/100</f>
        <v>51.1</v>
      </c>
      <c r="M672" s="34" t="n">
        <f aca="false">ROUNDUP(L672,0)</f>
        <v>52</v>
      </c>
      <c r="N672" s="16" t="n">
        <v>28</v>
      </c>
      <c r="O672" s="34" t="n">
        <f aca="false">N672+L672</f>
        <v>79.1</v>
      </c>
      <c r="P672" s="34" t="n">
        <f aca="false">N672+M672</f>
        <v>80</v>
      </c>
      <c r="Q672" s="16" t="n">
        <v>68</v>
      </c>
      <c r="R672" s="16" t="n">
        <v>74</v>
      </c>
      <c r="S672" s="34" t="n">
        <f aca="false">(R672*70)/100</f>
        <v>51.8</v>
      </c>
      <c r="T672" s="34" t="n">
        <f aca="false">ROUNDUP(S672,0)</f>
        <v>52</v>
      </c>
      <c r="U672" s="16" t="n">
        <v>29</v>
      </c>
      <c r="V672" s="34" t="n">
        <f aca="false">U672+S672</f>
        <v>80.8</v>
      </c>
      <c r="W672" s="34" t="n">
        <f aca="false">U672+T672</f>
        <v>81</v>
      </c>
      <c r="X672" s="16" t="n">
        <v>71</v>
      </c>
      <c r="Y672" s="34" t="n">
        <f aca="false">(X672*70)/100</f>
        <v>49.7</v>
      </c>
      <c r="Z672" s="34" t="n">
        <f aca="false">ROUNDUP(Y672,0)</f>
        <v>50</v>
      </c>
      <c r="AA672" s="16" t="n">
        <v>29</v>
      </c>
      <c r="AB672" s="34" t="n">
        <f aca="false">AA672+Y672</f>
        <v>78.7</v>
      </c>
      <c r="AC672" s="34" t="n">
        <f aca="false">AA672+Z672</f>
        <v>79</v>
      </c>
      <c r="AD672" s="32" t="n">
        <f aca="false">X672+R672+Q672+K672+J672</f>
        <v>370</v>
      </c>
      <c r="AE672" s="16" t="n">
        <f aca="false">AD672/5</f>
        <v>74</v>
      </c>
      <c r="AF672" s="16" t="n">
        <v>69</v>
      </c>
      <c r="AG672" s="16" t="n">
        <v>93</v>
      </c>
      <c r="AH672" s="16" t="n">
        <v>80</v>
      </c>
      <c r="AI672" s="16" t="n">
        <v>90</v>
      </c>
      <c r="AJ672" s="16" t="n">
        <f aca="false">(AI672*70)/100</f>
        <v>63</v>
      </c>
      <c r="AK672" s="35" t="n">
        <f aca="false">ROUNDUP(AJ672,0)</f>
        <v>63</v>
      </c>
      <c r="AL672" s="16" t="n">
        <v>29</v>
      </c>
      <c r="AM672" s="16" t="n">
        <f aca="false">AL672+AJ672</f>
        <v>92</v>
      </c>
      <c r="AN672" s="16" t="n">
        <f aca="false">AL672+AK672</f>
        <v>92</v>
      </c>
      <c r="AO672" s="16" t="n">
        <v>70</v>
      </c>
      <c r="AP672" s="36" t="n">
        <f aca="false">(AO672*70)/100</f>
        <v>49</v>
      </c>
      <c r="AQ672" s="37" t="n">
        <f aca="false">ROUNDUP(AP672,0)</f>
        <v>49</v>
      </c>
      <c r="AR672" s="16" t="n">
        <v>29</v>
      </c>
      <c r="AS672" s="16" t="n">
        <f aca="false">AR672+AP672</f>
        <v>78</v>
      </c>
      <c r="AT672" s="16" t="n">
        <f aca="false">AR672+AQ672</f>
        <v>78</v>
      </c>
      <c r="AU672" s="16" t="n">
        <f aca="false">AO672+AF672+AI672+AH672+AG672</f>
        <v>402</v>
      </c>
      <c r="AV672" s="16" t="n">
        <f aca="false">(AO672+AF672+AI672+AH672+AG672)/5</f>
        <v>80.4</v>
      </c>
      <c r="AW672" s="36" t="n">
        <f aca="false">(AO672+AF672+AI672+AH672+AG672+X672+R672+Q672+K672+J672)</f>
        <v>772</v>
      </c>
      <c r="AX672" s="16" t="n">
        <f aca="false">AW672/10</f>
        <v>77.2</v>
      </c>
      <c r="AY672" s="16" t="n">
        <f aca="false">AS672+AF672+AM672+AH672+AG672+AB672+V672+Q672+O672+J672</f>
        <v>802.6</v>
      </c>
      <c r="AZ672" s="16" t="n">
        <f aca="false">AT672+AF672+AN672+AH672+AG672+AC672+W672+Q672+P672+J672</f>
        <v>804</v>
      </c>
      <c r="BA672" s="16" t="n">
        <f aca="false">AY672/10</f>
        <v>80.26</v>
      </c>
      <c r="BB672" s="16" t="n">
        <f aca="false">AZ672/10</f>
        <v>80.4</v>
      </c>
      <c r="BC672" s="16" t="n">
        <v>2392</v>
      </c>
      <c r="BD672" s="16" t="n">
        <f aca="false">RANK(AX672,$AX$2:$AX$881,0)</f>
        <v>482</v>
      </c>
      <c r="BE672" s="54" t="n">
        <f aca="false">((BC672*100)/2400)*0.4+(AX672*0.6)</f>
        <v>86.1866666666667</v>
      </c>
      <c r="BF672" s="16" t="n">
        <f aca="false">RANK(BE672,$BE$2:$BE$881,0)</f>
        <v>405</v>
      </c>
      <c r="BG672" s="39" t="n">
        <f aca="false">RANK(BB672,$BB$2:$BB$881,0)</f>
        <v>318</v>
      </c>
      <c r="BH672" s="39" t="n">
        <f aca="false">RANK(BC672,$BC$2:$BC$881,0)</f>
        <v>28</v>
      </c>
      <c r="BI672" s="22" t="s">
        <v>130</v>
      </c>
      <c r="BJ672" s="22" t="s">
        <v>129</v>
      </c>
      <c r="BK672" s="40" t="s">
        <v>131</v>
      </c>
      <c r="BL672" s="41" t="n">
        <v>27</v>
      </c>
      <c r="BM672" s="41" t="n">
        <v>56</v>
      </c>
      <c r="BN672" s="41" t="n">
        <v>83</v>
      </c>
      <c r="BO672" s="42" t="n">
        <v>28</v>
      </c>
      <c r="BP672" s="43" t="n">
        <v>44</v>
      </c>
      <c r="BQ672" s="44" t="n">
        <v>72</v>
      </c>
      <c r="BR672" s="42" t="n">
        <v>21</v>
      </c>
      <c r="BS672" s="45" t="n">
        <v>50</v>
      </c>
      <c r="BT672" s="45" t="n">
        <v>71</v>
      </c>
      <c r="BU672" s="46" t="n">
        <v>100</v>
      </c>
      <c r="BV672" s="47" t="n">
        <v>96</v>
      </c>
      <c r="BW672" s="42" t="n">
        <v>99</v>
      </c>
      <c r="BX672" s="107"/>
      <c r="BY672" s="130"/>
      <c r="BZ672" s="60"/>
      <c r="CA672" s="60"/>
      <c r="CB672" s="61"/>
      <c r="CC672" s="60"/>
      <c r="CD672" s="60"/>
      <c r="CE672" s="60"/>
      <c r="CF672" s="60"/>
      <c r="CG672" s="60"/>
      <c r="CH672" s="60"/>
      <c r="CI672" s="60"/>
      <c r="CJ672" s="60"/>
      <c r="CK672" s="60"/>
      <c r="CL672" s="61"/>
      <c r="CM672" s="60"/>
      <c r="CN672" s="60"/>
      <c r="CO672" s="60"/>
      <c r="CP672" s="25" t="n">
        <f aca="false">BX672+BW672+BV672+BU672+BT672+BQ672+BN672</f>
        <v>521</v>
      </c>
      <c r="CQ672" s="25" t="n">
        <f aca="false">CO672+CL672+CI672+CH672+CG672+CD672+CA672</f>
        <v>0</v>
      </c>
      <c r="CR672" s="26" t="n">
        <f aca="false">CP672/7</f>
        <v>74.4285714285714</v>
      </c>
      <c r="CS672" s="26" t="n">
        <f aca="false">CQ672/7</f>
        <v>0</v>
      </c>
      <c r="CT672" s="24" t="n">
        <f aca="false">RANK(CR672,$CR$2:$CR$881,0)</f>
        <v>654</v>
      </c>
      <c r="CU672" s="25" t="n">
        <f aca="false">RANK(CS672,$CS$2:$CS$881,0)</f>
        <v>752</v>
      </c>
      <c r="CV672" s="26" t="n">
        <f aca="false">(CS672+CR672)/2</f>
        <v>37.2142857142857</v>
      </c>
      <c r="CW672" s="25" t="n">
        <f aca="false">RANK(CV672,$CV$2:$CV$881,0)</f>
        <v>729</v>
      </c>
      <c r="CX672" s="50" t="n">
        <f aca="false">(CV672+BB672)/2</f>
        <v>58.8071428571429</v>
      </c>
      <c r="CY672" s="50" t="n">
        <v>649</v>
      </c>
      <c r="CZ672" s="27" t="s">
        <v>132</v>
      </c>
      <c r="DA672" s="27" t="s">
        <v>139</v>
      </c>
      <c r="DB672" s="27" t="s">
        <v>139</v>
      </c>
      <c r="DC672" s="27" t="s">
        <v>134</v>
      </c>
      <c r="DD672" s="27" t="s">
        <v>135</v>
      </c>
      <c r="DE672" s="27" t="s">
        <v>447</v>
      </c>
      <c r="DF672" s="27" t="s">
        <v>305</v>
      </c>
      <c r="DG672" s="27" t="s">
        <v>134</v>
      </c>
      <c r="DH672" s="27" t="s">
        <v>137</v>
      </c>
      <c r="DI672" s="27" t="s">
        <v>375</v>
      </c>
      <c r="DJ672" s="27" t="s">
        <v>443</v>
      </c>
      <c r="DK672" s="27" t="s">
        <v>134</v>
      </c>
      <c r="DL672" s="27" t="s">
        <v>182</v>
      </c>
      <c r="DM672" s="27" t="s">
        <v>218</v>
      </c>
      <c r="DN672" s="27" t="s">
        <v>196</v>
      </c>
      <c r="DO672" s="27" t="s">
        <v>134</v>
      </c>
      <c r="DP672" s="27" t="s">
        <v>174</v>
      </c>
      <c r="DQ672" s="27" t="s">
        <v>375</v>
      </c>
      <c r="DR672" s="27" t="s">
        <v>398</v>
      </c>
      <c r="DS672" s="27" t="s">
        <v>134</v>
      </c>
      <c r="DT672" s="27" t="s">
        <v>146</v>
      </c>
      <c r="DU672" s="27" t="s">
        <v>415</v>
      </c>
      <c r="DV672" s="27" t="s">
        <v>382</v>
      </c>
      <c r="DW672" s="27" t="s">
        <v>191</v>
      </c>
      <c r="DX672" s="27" t="s">
        <v>155</v>
      </c>
      <c r="DY672" s="27" t="s">
        <v>153</v>
      </c>
      <c r="DZ672" s="27" t="n">
        <f aca="false">DY672+DV672+DR672+DN672+DJ672+DF672+DB672</f>
        <v>569</v>
      </c>
      <c r="EA672" s="28" t="n">
        <f aca="false">DZ672/7</f>
        <v>81.2857142857143</v>
      </c>
      <c r="EB672" s="27" t="n">
        <f aca="false">RANK(EA672,$EA$2:$EA$881,0)</f>
        <v>335</v>
      </c>
      <c r="EC672" s="29" t="n">
        <f aca="false">DZ672+CQ672+CP672+AZ672</f>
        <v>1894</v>
      </c>
      <c r="ED672" s="30" t="n">
        <f aca="false">(EA672+CV672+BB672)/3</f>
        <v>66.3</v>
      </c>
      <c r="EE672" s="51" t="n">
        <f aca="false">ROUND(BE672,3)</f>
        <v>86.187</v>
      </c>
      <c r="EF672" s="51" t="n">
        <f aca="false">ROUND(CR672,3)</f>
        <v>74.429</v>
      </c>
      <c r="EG672" s="51" t="n">
        <f aca="false">ROUND(CS672,3)</f>
        <v>0</v>
      </c>
      <c r="EH672" s="51" t="n">
        <f aca="false">ROUND(EA672,3)</f>
        <v>81.286</v>
      </c>
      <c r="EI672" s="51" t="n">
        <f aca="false">ROUND(ED672,3)</f>
        <v>66.3</v>
      </c>
      <c r="EJ672" s="51" t="n">
        <f aca="false">ROUND(CV672,3)</f>
        <v>37.214</v>
      </c>
      <c r="EK672" s="0" t="n">
        <f aca="false">RANK(EI672,$EI$2:$EI$881,0)</f>
        <v>671</v>
      </c>
    </row>
    <row r="673" customFormat="false" ht="15" hidden="false" customHeight="false" outlineLevel="0" collapsed="false">
      <c r="A673" s="4" t="n">
        <v>8976</v>
      </c>
      <c r="B673" s="4" t="n">
        <v>708</v>
      </c>
      <c r="C673" s="27" t="s">
        <v>1946</v>
      </c>
      <c r="D673" s="31" t="n">
        <v>722</v>
      </c>
      <c r="E673" s="32" t="n">
        <v>230315720</v>
      </c>
      <c r="F673" s="8" t="s">
        <v>1947</v>
      </c>
      <c r="G673" s="22" t="s">
        <v>1948</v>
      </c>
      <c r="H673" s="22" t="s">
        <v>129</v>
      </c>
      <c r="I673" s="33" t="n">
        <v>2005</v>
      </c>
      <c r="J673" s="32" t="n">
        <v>73</v>
      </c>
      <c r="K673" s="32" t="n">
        <v>79</v>
      </c>
      <c r="L673" s="34" t="n">
        <f aca="false">(K673*70)/100</f>
        <v>55.3</v>
      </c>
      <c r="M673" s="34" t="n">
        <f aca="false">ROUNDUP(L673,0)</f>
        <v>56</v>
      </c>
      <c r="N673" s="32" t="n">
        <v>27</v>
      </c>
      <c r="O673" s="34" t="n">
        <f aca="false">N673+L673</f>
        <v>82.3</v>
      </c>
      <c r="P673" s="34" t="n">
        <f aca="false">N673+M673</f>
        <v>83</v>
      </c>
      <c r="Q673" s="32" t="n">
        <v>62</v>
      </c>
      <c r="R673" s="32" t="n">
        <v>86</v>
      </c>
      <c r="S673" s="34" t="n">
        <f aca="false">(R673*70)/100</f>
        <v>60.2</v>
      </c>
      <c r="T673" s="34" t="n">
        <f aca="false">ROUNDUP(S673,0)</f>
        <v>61</v>
      </c>
      <c r="U673" s="32" t="n">
        <v>26</v>
      </c>
      <c r="V673" s="34" t="n">
        <f aca="false">U673+S673</f>
        <v>86.2</v>
      </c>
      <c r="W673" s="34" t="n">
        <f aca="false">U673+T673</f>
        <v>87</v>
      </c>
      <c r="X673" s="32" t="n">
        <v>71</v>
      </c>
      <c r="Y673" s="34" t="n">
        <f aca="false">(X673*70)/100</f>
        <v>49.7</v>
      </c>
      <c r="Z673" s="34" t="n">
        <f aca="false">ROUNDUP(Y673,0)</f>
        <v>50</v>
      </c>
      <c r="AA673" s="32" t="n">
        <v>25</v>
      </c>
      <c r="AB673" s="34" t="n">
        <f aca="false">AA673+Y673</f>
        <v>74.7</v>
      </c>
      <c r="AC673" s="34" t="n">
        <f aca="false">AA673+Z673</f>
        <v>75</v>
      </c>
      <c r="AD673" s="32" t="n">
        <f aca="false">X673+R673+Q673+K673+J673</f>
        <v>371</v>
      </c>
      <c r="AE673" s="16" t="n">
        <f aca="false">AD673/5</f>
        <v>74.2</v>
      </c>
      <c r="AF673" s="16" t="n">
        <v>63</v>
      </c>
      <c r="AG673" s="16" t="n">
        <v>79</v>
      </c>
      <c r="AH673" s="16" t="n">
        <v>87</v>
      </c>
      <c r="AI673" s="16" t="n">
        <v>82</v>
      </c>
      <c r="AJ673" s="16" t="n">
        <f aca="false">(AI673*70)/100</f>
        <v>57.4</v>
      </c>
      <c r="AK673" s="35" t="n">
        <f aca="false">ROUNDUP(AJ673,0)</f>
        <v>58</v>
      </c>
      <c r="AL673" s="16" t="n">
        <v>24</v>
      </c>
      <c r="AM673" s="16" t="n">
        <f aca="false">AL673+AJ673</f>
        <v>81.4</v>
      </c>
      <c r="AN673" s="16" t="n">
        <f aca="false">AL673+AK673</f>
        <v>82</v>
      </c>
      <c r="AO673" s="16" t="n">
        <v>69</v>
      </c>
      <c r="AP673" s="36" t="n">
        <f aca="false">(AO673*70)/100</f>
        <v>48.3</v>
      </c>
      <c r="AQ673" s="37" t="n">
        <f aca="false">ROUNDUP(AP673,0)</f>
        <v>49</v>
      </c>
      <c r="AR673" s="16" t="n">
        <v>28</v>
      </c>
      <c r="AS673" s="16" t="n">
        <f aca="false">AR673+AP673</f>
        <v>76.3</v>
      </c>
      <c r="AT673" s="16" t="n">
        <f aca="false">AR673+AQ673</f>
        <v>77</v>
      </c>
      <c r="AU673" s="16" t="n">
        <f aca="false">AO673+AF673+AI673+AH673+AG673</f>
        <v>380</v>
      </c>
      <c r="AV673" s="16" t="n">
        <f aca="false">(AO673+AF673+AI673+AH673+AG673)/5</f>
        <v>76</v>
      </c>
      <c r="AW673" s="36" t="n">
        <f aca="false">(AO673+AF673+AI673+AH673+AG673+X673+R673+Q673+K673+J673)</f>
        <v>751</v>
      </c>
      <c r="AX673" s="16" t="n">
        <f aca="false">AW673/10</f>
        <v>75.1</v>
      </c>
      <c r="AY673" s="16" t="n">
        <f aca="false">AS673+AF673+AM673+AH673+AG673+AB673+V673+Q673+O673+J673</f>
        <v>764.9</v>
      </c>
      <c r="AZ673" s="16" t="n">
        <f aca="false">AT673+AF673+AN673+AH673+AG673+AC673+W673+Q673+P673+J673</f>
        <v>768</v>
      </c>
      <c r="BA673" s="16" t="n">
        <f aca="false">AY673/10</f>
        <v>76.49</v>
      </c>
      <c r="BB673" s="16" t="n">
        <f aca="false">AZ673/10</f>
        <v>76.8</v>
      </c>
      <c r="BC673" s="16" t="n">
        <v>2334</v>
      </c>
      <c r="BD673" s="16" t="n">
        <f aca="false">RANK(AX673,$AX$2:$AX$881,0)</f>
        <v>682</v>
      </c>
      <c r="BE673" s="73" t="n">
        <f aca="false">((BC673*100)/2400)*0.4+(AX673*0.6)</f>
        <v>83.96</v>
      </c>
      <c r="BF673" s="16" t="n">
        <f aca="false">RANK(BE673,$BE$2:$BE$881,0)</f>
        <v>686</v>
      </c>
      <c r="BG673" s="39" t="n">
        <f aca="false">RANK(BB673,$BB$2:$BB$881,0)</f>
        <v>655</v>
      </c>
      <c r="BH673" s="39" t="n">
        <f aca="false">RANK(BC673,$BC$2:$BC$881,0)</f>
        <v>687</v>
      </c>
      <c r="BI673" s="22" t="s">
        <v>130</v>
      </c>
      <c r="BJ673" s="22" t="s">
        <v>129</v>
      </c>
      <c r="BK673" s="40" t="s">
        <v>702</v>
      </c>
      <c r="BL673" s="41" t="n">
        <v>16</v>
      </c>
      <c r="BM673" s="41" t="n">
        <v>44</v>
      </c>
      <c r="BN673" s="41" t="n">
        <v>60</v>
      </c>
      <c r="BO673" s="42" t="n">
        <v>17</v>
      </c>
      <c r="BP673" s="43" t="n">
        <v>44</v>
      </c>
      <c r="BQ673" s="44" t="n">
        <v>61</v>
      </c>
      <c r="BR673" s="42" t="n">
        <v>19</v>
      </c>
      <c r="BS673" s="45" t="n">
        <v>48</v>
      </c>
      <c r="BT673" s="45" t="n">
        <v>67</v>
      </c>
      <c r="BU673" s="46" t="n">
        <v>82</v>
      </c>
      <c r="BV673" s="47" t="n">
        <v>72</v>
      </c>
      <c r="BW673" s="42" t="n">
        <v>68</v>
      </c>
      <c r="BX673" s="48" t="n">
        <v>82</v>
      </c>
      <c r="BY673" s="32" t="n">
        <v>26</v>
      </c>
      <c r="BZ673" s="32" t="n">
        <v>25</v>
      </c>
      <c r="CA673" s="69" t="n">
        <v>51</v>
      </c>
      <c r="CB673" s="32" t="n">
        <v>17</v>
      </c>
      <c r="CC673" s="32" t="n">
        <v>28</v>
      </c>
      <c r="CD673" s="69" t="n">
        <v>45</v>
      </c>
      <c r="CE673" s="32" t="n">
        <v>27</v>
      </c>
      <c r="CF673" s="32" t="n">
        <v>35</v>
      </c>
      <c r="CG673" s="32" t="n">
        <v>62</v>
      </c>
      <c r="CH673" s="32" t="n">
        <v>89</v>
      </c>
      <c r="CI673" s="32" t="n">
        <v>69</v>
      </c>
      <c r="CJ673" s="49" t="n">
        <v>17</v>
      </c>
      <c r="CK673" s="49" t="n">
        <v>33</v>
      </c>
      <c r="CL673" s="76" t="n">
        <v>50</v>
      </c>
      <c r="CM673" s="49" t="n">
        <v>21</v>
      </c>
      <c r="CN673" s="49" t="n">
        <v>37</v>
      </c>
      <c r="CO673" s="76" t="n">
        <v>58</v>
      </c>
      <c r="CP673" s="25" t="n">
        <f aca="false">BX673+BW673+BV673+BU673+BT673+BQ673+BN673</f>
        <v>492</v>
      </c>
      <c r="CQ673" s="25" t="n">
        <f aca="false">CO673+CL673+CI673+CH673+CG673+CD673+CA673</f>
        <v>424</v>
      </c>
      <c r="CR673" s="26" t="n">
        <f aca="false">CP673/7</f>
        <v>70.2857142857143</v>
      </c>
      <c r="CS673" s="26" t="n">
        <f aca="false">CQ673/7</f>
        <v>60.5714285714286</v>
      </c>
      <c r="CT673" s="24" t="n">
        <f aca="false">RANK(CR673,$CR$2:$CR$881,0)</f>
        <v>684</v>
      </c>
      <c r="CU673" s="25" t="n">
        <f aca="false">RANK(CS673,$CS$2:$CS$881,0)</f>
        <v>676</v>
      </c>
      <c r="CV673" s="26" t="n">
        <f aca="false">(CS673+CR673)/2</f>
        <v>65.4285714285714</v>
      </c>
      <c r="CW673" s="25" t="n">
        <f aca="false">RANK(CV673,$CV$2:$CV$881,0)</f>
        <v>674</v>
      </c>
      <c r="CX673" s="50" t="n">
        <f aca="false">(CV673+BB673)/2</f>
        <v>71.1142857142857</v>
      </c>
      <c r="CY673" s="50" t="n">
        <v>604</v>
      </c>
      <c r="CZ673" s="27" t="s">
        <v>132</v>
      </c>
      <c r="DA673" s="27" t="s">
        <v>441</v>
      </c>
      <c r="DB673" s="27" t="s">
        <v>441</v>
      </c>
      <c r="DC673" s="27" t="s">
        <v>134</v>
      </c>
      <c r="DD673" s="27" t="s">
        <v>485</v>
      </c>
      <c r="DE673" s="27" t="s">
        <v>306</v>
      </c>
      <c r="DF673" s="27" t="s">
        <v>398</v>
      </c>
      <c r="DG673" s="27" t="s">
        <v>134</v>
      </c>
      <c r="DH673" s="27" t="s">
        <v>182</v>
      </c>
      <c r="DI673" s="27" t="s">
        <v>1309</v>
      </c>
      <c r="DJ673" s="27" t="s">
        <v>204</v>
      </c>
      <c r="DK673" s="27" t="s">
        <v>480</v>
      </c>
      <c r="DL673" s="27" t="s">
        <v>264</v>
      </c>
      <c r="DM673" s="27" t="s">
        <v>1309</v>
      </c>
      <c r="DN673" s="27" t="s">
        <v>304</v>
      </c>
      <c r="DO673" s="27" t="s">
        <v>480</v>
      </c>
      <c r="DP673" s="27"/>
      <c r="DQ673" s="27"/>
      <c r="DR673" s="27"/>
      <c r="DS673" s="27"/>
      <c r="DT673" s="27" t="s">
        <v>191</v>
      </c>
      <c r="DU673" s="27" t="s">
        <v>1407</v>
      </c>
      <c r="DV673" s="27" t="s">
        <v>177</v>
      </c>
      <c r="DW673" s="27" t="s">
        <v>825</v>
      </c>
      <c r="DX673" s="27" t="s">
        <v>183</v>
      </c>
      <c r="DY673" s="27" t="s">
        <v>416</v>
      </c>
      <c r="DZ673" s="27" t="n">
        <f aca="false">DY673+DV673+DR673+DN673+DJ673+DF673+DB673</f>
        <v>391</v>
      </c>
      <c r="EA673" s="28" t="n">
        <f aca="false">DZ673/7</f>
        <v>55.8571428571429</v>
      </c>
      <c r="EB673" s="27" t="n">
        <f aca="false">RANK(EA673,$EA$2:$EA$881,0)</f>
        <v>822</v>
      </c>
      <c r="EC673" s="29" t="n">
        <f aca="false">DZ673+CQ673+CP673+AZ673</f>
        <v>2075</v>
      </c>
      <c r="ED673" s="30" t="n">
        <f aca="false">(EA673+CV673+BB673)/3</f>
        <v>66.0285714285714</v>
      </c>
      <c r="EE673" s="51" t="n">
        <f aca="false">ROUND(BE673,3)</f>
        <v>83.96</v>
      </c>
      <c r="EF673" s="51" t="n">
        <f aca="false">ROUND(CR673,3)</f>
        <v>70.286</v>
      </c>
      <c r="EG673" s="51" t="n">
        <f aca="false">ROUND(CS673,3)</f>
        <v>60.571</v>
      </c>
      <c r="EH673" s="51" t="n">
        <f aca="false">ROUND(EA673,3)</f>
        <v>55.857</v>
      </c>
      <c r="EI673" s="51" t="n">
        <f aca="false">ROUND(ED673,3)</f>
        <v>66.029</v>
      </c>
      <c r="EJ673" s="51" t="n">
        <f aca="false">ROUND(CV673,3)</f>
        <v>65.429</v>
      </c>
      <c r="EK673" s="0" t="n">
        <f aca="false">RANK(EI673,$EI$2:$EI$881,0)</f>
        <v>672</v>
      </c>
    </row>
    <row r="674" customFormat="false" ht="15" hidden="false" customHeight="false" outlineLevel="0" collapsed="false">
      <c r="A674" s="4" t="n">
        <v>1862</v>
      </c>
      <c r="B674" s="4" t="n">
        <v>86</v>
      </c>
      <c r="C674" s="27" t="s">
        <v>1949</v>
      </c>
      <c r="D674" s="52" t="n">
        <v>87</v>
      </c>
      <c r="E674" s="16" t="n">
        <v>230610373</v>
      </c>
      <c r="F674" s="56" t="s">
        <v>1950</v>
      </c>
      <c r="G674" s="22" t="s">
        <v>1951</v>
      </c>
      <c r="H674" s="22" t="s">
        <v>558</v>
      </c>
      <c r="I674" s="57"/>
      <c r="J674" s="16" t="n">
        <v>68</v>
      </c>
      <c r="K674" s="16" t="n">
        <v>95</v>
      </c>
      <c r="L674" s="34" t="n">
        <f aca="false">(K674*70)/100</f>
        <v>66.5</v>
      </c>
      <c r="M674" s="34" t="n">
        <f aca="false">ROUNDUP(L674,0)</f>
        <v>67</v>
      </c>
      <c r="N674" s="16" t="n">
        <v>25</v>
      </c>
      <c r="O674" s="34" t="n">
        <f aca="false">N674+L674</f>
        <v>91.5</v>
      </c>
      <c r="P674" s="34" t="n">
        <f aca="false">N674+M674</f>
        <v>92</v>
      </c>
      <c r="Q674" s="16" t="n">
        <v>72</v>
      </c>
      <c r="R674" s="16" t="n">
        <v>77</v>
      </c>
      <c r="S674" s="34" t="n">
        <f aca="false">(R674*70)/100</f>
        <v>53.9</v>
      </c>
      <c r="T674" s="34" t="n">
        <f aca="false">ROUNDUP(S674,0)</f>
        <v>54</v>
      </c>
      <c r="U674" s="16" t="n">
        <v>26</v>
      </c>
      <c r="V674" s="34" t="n">
        <f aca="false">U674+S674</f>
        <v>79.9</v>
      </c>
      <c r="W674" s="34" t="n">
        <f aca="false">U674+T674</f>
        <v>80</v>
      </c>
      <c r="X674" s="16" t="n">
        <v>66</v>
      </c>
      <c r="Y674" s="34" t="n">
        <f aca="false">(X674*70)/100</f>
        <v>46.2</v>
      </c>
      <c r="Z674" s="34" t="n">
        <f aca="false">ROUNDUP(Y674,0)</f>
        <v>47</v>
      </c>
      <c r="AA674" s="16" t="n">
        <v>21</v>
      </c>
      <c r="AB674" s="34" t="n">
        <f aca="false">AA674+Y674</f>
        <v>67.2</v>
      </c>
      <c r="AC674" s="34" t="n">
        <f aca="false">AA674+Z674</f>
        <v>68</v>
      </c>
      <c r="AD674" s="32" t="n">
        <f aca="false">X674+R674+Q674+K674+J674</f>
        <v>378</v>
      </c>
      <c r="AE674" s="16" t="n">
        <f aca="false">AD674/5</f>
        <v>75.6</v>
      </c>
      <c r="AF674" s="71" t="n">
        <v>58</v>
      </c>
      <c r="AG674" s="16" t="n">
        <v>76</v>
      </c>
      <c r="AH674" s="16" t="n">
        <v>89</v>
      </c>
      <c r="AI674" s="16" t="n">
        <v>92</v>
      </c>
      <c r="AJ674" s="16" t="n">
        <f aca="false">(AI674*70)/100</f>
        <v>64.4</v>
      </c>
      <c r="AK674" s="35" t="n">
        <f aca="false">ROUNDUP(AJ674,0)</f>
        <v>65</v>
      </c>
      <c r="AL674" s="16" t="n">
        <v>26</v>
      </c>
      <c r="AM674" s="16" t="n">
        <f aca="false">AL674+AJ674</f>
        <v>90.4</v>
      </c>
      <c r="AN674" s="16" t="n">
        <f aca="false">AL674+AK674</f>
        <v>91</v>
      </c>
      <c r="AO674" s="16" t="n">
        <v>71</v>
      </c>
      <c r="AP674" s="36" t="n">
        <f aca="false">(AO674*70)/100</f>
        <v>49.7</v>
      </c>
      <c r="AQ674" s="37" t="n">
        <f aca="false">ROUNDUP(AP674,0)</f>
        <v>50</v>
      </c>
      <c r="AR674" s="16" t="n">
        <v>24</v>
      </c>
      <c r="AS674" s="16" t="n">
        <f aca="false">AR674+AP674</f>
        <v>73.7</v>
      </c>
      <c r="AT674" s="16" t="n">
        <f aca="false">AR674+AQ674</f>
        <v>74</v>
      </c>
      <c r="AU674" s="16" t="n">
        <f aca="false">AO674+AF674+AI674+AH674+AG674</f>
        <v>386</v>
      </c>
      <c r="AV674" s="16" t="n">
        <f aca="false">(AO674+AF674+AI674+AH674+AG674)/5</f>
        <v>77.2</v>
      </c>
      <c r="AW674" s="36" t="n">
        <f aca="false">(AO674+AF674+AI674+AH674+AG674+X674+R674+Q674+K674+J674)</f>
        <v>764</v>
      </c>
      <c r="AX674" s="16" t="n">
        <f aca="false">AW674/10</f>
        <v>76.4</v>
      </c>
      <c r="AY674" s="16" t="n">
        <f aca="false">AS674+AF674+AM674+AH674+AG674+AB674+V674+Q674+O674+J674</f>
        <v>765.7</v>
      </c>
      <c r="AZ674" s="16" t="n">
        <f aca="false">AT674+AF674+AN674+AH674+AG674+AC674+W674+Q674+P674+J674</f>
        <v>768</v>
      </c>
      <c r="BA674" s="16" t="n">
        <f aca="false">AY674/10</f>
        <v>76.57</v>
      </c>
      <c r="BB674" s="16" t="n">
        <f aca="false">AZ674/10</f>
        <v>76.8</v>
      </c>
      <c r="BC674" s="16" t="n">
        <v>2382</v>
      </c>
      <c r="BD674" s="16" t="n">
        <f aca="false">RANK(AX674,$AX$2:$AX$881,0)</f>
        <v>577</v>
      </c>
      <c r="BE674" s="54" t="n">
        <f aca="false">((BC674*100)/2400)*0.4+(AX674*0.6)</f>
        <v>85.54</v>
      </c>
      <c r="BF674" s="16" t="n">
        <f aca="false">RANK(BE674,$BE$2:$BE$881,0)</f>
        <v>497</v>
      </c>
      <c r="BG674" s="39" t="n">
        <f aca="false">RANK(BB674,$BB$2:$BB$881,0)</f>
        <v>655</v>
      </c>
      <c r="BH674" s="39" t="n">
        <f aca="false">RANK(BC674,$BC$2:$BC$881,0)</f>
        <v>124</v>
      </c>
      <c r="BI674" s="22" t="s">
        <v>130</v>
      </c>
      <c r="BJ674" s="22" t="s">
        <v>129</v>
      </c>
      <c r="BK674" s="40" t="s">
        <v>509</v>
      </c>
      <c r="BL674" s="101" t="n">
        <v>7.5</v>
      </c>
      <c r="BM674" s="61"/>
      <c r="BN674" s="61"/>
      <c r="BO674" s="42" t="n">
        <v>30</v>
      </c>
      <c r="BP674" s="59" t="n">
        <v>57</v>
      </c>
      <c r="BQ674" s="59" t="n">
        <v>87</v>
      </c>
      <c r="BR674" s="42" t="n">
        <v>21</v>
      </c>
      <c r="BS674" s="88" t="n">
        <v>45</v>
      </c>
      <c r="BT674" s="88" t="n">
        <v>66</v>
      </c>
      <c r="BU674" s="88" t="n">
        <v>84</v>
      </c>
      <c r="BV674" s="58" t="n">
        <v>92</v>
      </c>
      <c r="BW674" s="106"/>
      <c r="BX674" s="88" t="n">
        <v>90</v>
      </c>
      <c r="BY674" s="65" t="n">
        <v>29</v>
      </c>
      <c r="BZ674" s="58" t="n">
        <v>49</v>
      </c>
      <c r="CA674" s="58" t="n">
        <v>78</v>
      </c>
      <c r="CB674" s="59" t="n">
        <v>19</v>
      </c>
      <c r="CC674" s="58" t="n">
        <v>38</v>
      </c>
      <c r="CD674" s="58" t="n">
        <v>57</v>
      </c>
      <c r="CE674" s="58" t="n">
        <v>24</v>
      </c>
      <c r="CF674" s="58" t="n">
        <v>40</v>
      </c>
      <c r="CG674" s="58" t="n">
        <v>64</v>
      </c>
      <c r="CH674" s="58" t="n">
        <v>84</v>
      </c>
      <c r="CI674" s="58" t="n">
        <v>85</v>
      </c>
      <c r="CJ674" s="58" t="n">
        <v>19</v>
      </c>
      <c r="CK674" s="58" t="n">
        <v>54</v>
      </c>
      <c r="CL674" s="59" t="n">
        <v>73</v>
      </c>
      <c r="CM674" s="60"/>
      <c r="CN674" s="60"/>
      <c r="CO674" s="60"/>
      <c r="CP674" s="25" t="n">
        <f aca="false">BX674+BW674+BV674+BU674+BT674+BQ674+BN674</f>
        <v>419</v>
      </c>
      <c r="CQ674" s="25" t="n">
        <f aca="false">CO674+CL674+CI674+CH674+CG674+CD674+CA674</f>
        <v>441</v>
      </c>
      <c r="CR674" s="26" t="n">
        <f aca="false">CP674/7</f>
        <v>59.8571428571429</v>
      </c>
      <c r="CS674" s="26" t="n">
        <f aca="false">CQ674/7</f>
        <v>63</v>
      </c>
      <c r="CT674" s="24" t="n">
        <f aca="false">RANK(CR674,$CR$2:$CR$881,0)</f>
        <v>719</v>
      </c>
      <c r="CU674" s="25" t="n">
        <f aca="false">RANK(CS674,$CS$2:$CS$881,0)</f>
        <v>652</v>
      </c>
      <c r="CV674" s="26" t="n">
        <f aca="false">(CS674+CR674)/2</f>
        <v>61.4285714285714</v>
      </c>
      <c r="CW674" s="25" t="n">
        <f aca="false">RANK(CV674,$CV$2:$CV$881,0)</f>
        <v>694</v>
      </c>
      <c r="CX674" s="50" t="n">
        <f aca="false">(CV674+BB674)/2</f>
        <v>69.1142857142857</v>
      </c>
      <c r="CY674" s="50" t="n">
        <v>845</v>
      </c>
      <c r="CZ674" s="27"/>
      <c r="DA674" s="27"/>
      <c r="DB674" s="27"/>
      <c r="DC674" s="27"/>
      <c r="DD674" s="27" t="s">
        <v>195</v>
      </c>
      <c r="DE674" s="27" t="s">
        <v>415</v>
      </c>
      <c r="DF674" s="27" t="s">
        <v>143</v>
      </c>
      <c r="DG674" s="27" t="s">
        <v>134</v>
      </c>
      <c r="DH674" s="27" t="s">
        <v>135</v>
      </c>
      <c r="DI674" s="27" t="s">
        <v>638</v>
      </c>
      <c r="DJ674" s="27" t="s">
        <v>155</v>
      </c>
      <c r="DK674" s="27" t="s">
        <v>134</v>
      </c>
      <c r="DL674" s="27" t="s">
        <v>195</v>
      </c>
      <c r="DM674" s="27" t="s">
        <v>638</v>
      </c>
      <c r="DN674" s="27" t="s">
        <v>187</v>
      </c>
      <c r="DO674" s="27" t="s">
        <v>134</v>
      </c>
      <c r="DP674" s="27" t="s">
        <v>706</v>
      </c>
      <c r="DQ674" s="27" t="s">
        <v>897</v>
      </c>
      <c r="DR674" s="27" t="s">
        <v>183</v>
      </c>
      <c r="DS674" s="27" t="s">
        <v>480</v>
      </c>
      <c r="DT674" s="27" t="s">
        <v>135</v>
      </c>
      <c r="DU674" s="27" t="s">
        <v>479</v>
      </c>
      <c r="DV674" s="27" t="s">
        <v>152</v>
      </c>
      <c r="DW674" s="27" t="s">
        <v>191</v>
      </c>
      <c r="DX674" s="27" t="s">
        <v>138</v>
      </c>
      <c r="DY674" s="27" t="s">
        <v>162</v>
      </c>
      <c r="DZ674" s="27" t="n">
        <f aca="false">DY674+DV674+DR674+DN674+DJ674+DF674+DB674</f>
        <v>415</v>
      </c>
      <c r="EA674" s="28" t="n">
        <f aca="false">DZ674/7</f>
        <v>59.2857142857143</v>
      </c>
      <c r="EB674" s="27" t="n">
        <f aca="false">RANK(EA674,$EA$2:$EA$881,0)</f>
        <v>788</v>
      </c>
      <c r="EC674" s="29" t="n">
        <f aca="false">DZ674+CQ674+CP674+AZ674</f>
        <v>2043</v>
      </c>
      <c r="ED674" s="30" t="n">
        <f aca="false">(EA674+CV674+BB674)/3</f>
        <v>65.8380952380953</v>
      </c>
      <c r="EE674" s="51" t="n">
        <f aca="false">ROUND(BE674,3)</f>
        <v>85.54</v>
      </c>
      <c r="EF674" s="51" t="n">
        <f aca="false">ROUND(CR674,3)</f>
        <v>59.857</v>
      </c>
      <c r="EG674" s="51" t="n">
        <f aca="false">ROUND(CS674,3)</f>
        <v>63</v>
      </c>
      <c r="EH674" s="51" t="n">
        <f aca="false">ROUND(EA674,3)</f>
        <v>59.286</v>
      </c>
      <c r="EI674" s="51" t="n">
        <f aca="false">ROUND(ED674,3)</f>
        <v>65.838</v>
      </c>
      <c r="EJ674" s="51" t="n">
        <f aca="false">ROUND(CV674,3)</f>
        <v>61.429</v>
      </c>
      <c r="EK674" s="0" t="n">
        <f aca="false">RANK(EI674,$EI$2:$EI$881,0)</f>
        <v>673</v>
      </c>
    </row>
    <row r="675" customFormat="false" ht="15" hidden="false" customHeight="false" outlineLevel="0" collapsed="false">
      <c r="A675" s="4" t="n">
        <v>2090</v>
      </c>
      <c r="B675" s="4" t="n">
        <v>652</v>
      </c>
      <c r="C675" s="27" t="s">
        <v>1952</v>
      </c>
      <c r="D675" s="31" t="n">
        <v>662</v>
      </c>
      <c r="E675" s="16" t="n">
        <v>230220634</v>
      </c>
      <c r="F675" s="56" t="s">
        <v>1953</v>
      </c>
      <c r="G675" s="22" t="s">
        <v>885</v>
      </c>
      <c r="H675" s="22" t="s">
        <v>326</v>
      </c>
      <c r="I675" s="57"/>
      <c r="J675" s="16" t="n">
        <v>75</v>
      </c>
      <c r="K675" s="16" t="n">
        <v>91</v>
      </c>
      <c r="L675" s="34" t="n">
        <f aca="false">(K675*70)/100</f>
        <v>63.7</v>
      </c>
      <c r="M675" s="34" t="n">
        <f aca="false">ROUNDUP(L675,0)</f>
        <v>64</v>
      </c>
      <c r="N675" s="16" t="n">
        <v>26</v>
      </c>
      <c r="O675" s="34" t="n">
        <f aca="false">N675+L675</f>
        <v>89.7</v>
      </c>
      <c r="P675" s="34" t="n">
        <f aca="false">N675+M675</f>
        <v>90</v>
      </c>
      <c r="Q675" s="16" t="n">
        <v>77</v>
      </c>
      <c r="R675" s="16" t="n">
        <v>83</v>
      </c>
      <c r="S675" s="34" t="n">
        <f aca="false">(R675*70)/100</f>
        <v>58.1</v>
      </c>
      <c r="T675" s="34" t="n">
        <f aca="false">ROUNDUP(S675,0)</f>
        <v>59</v>
      </c>
      <c r="U675" s="16" t="n">
        <v>22</v>
      </c>
      <c r="V675" s="34" t="n">
        <f aca="false">U675+S675</f>
        <v>80.1</v>
      </c>
      <c r="W675" s="34" t="n">
        <f aca="false">U675+T675</f>
        <v>81</v>
      </c>
      <c r="X675" s="16" t="n">
        <v>66</v>
      </c>
      <c r="Y675" s="34" t="n">
        <f aca="false">(X675*70)/100</f>
        <v>46.2</v>
      </c>
      <c r="Z675" s="34" t="n">
        <f aca="false">ROUNDUP(Y675,0)</f>
        <v>47</v>
      </c>
      <c r="AA675" s="16" t="n">
        <v>22</v>
      </c>
      <c r="AB675" s="34" t="n">
        <f aca="false">AA675+Y675</f>
        <v>68.2</v>
      </c>
      <c r="AC675" s="34" t="n">
        <f aca="false">AA675+Z675</f>
        <v>69</v>
      </c>
      <c r="AD675" s="32" t="n">
        <f aca="false">X675+R675+Q675+K675+J675</f>
        <v>392</v>
      </c>
      <c r="AE675" s="16" t="n">
        <f aca="false">AD675/5</f>
        <v>78.4</v>
      </c>
      <c r="AF675" s="16" t="n">
        <v>62</v>
      </c>
      <c r="AG675" s="16" t="n">
        <v>79</v>
      </c>
      <c r="AH675" s="16" t="n">
        <v>97</v>
      </c>
      <c r="AI675" s="16" t="n">
        <v>88</v>
      </c>
      <c r="AJ675" s="16" t="n">
        <f aca="false">(AI675*70)/100</f>
        <v>61.6</v>
      </c>
      <c r="AK675" s="35" t="n">
        <f aca="false">ROUNDUP(AJ675,0)</f>
        <v>62</v>
      </c>
      <c r="AL675" s="16" t="n">
        <v>18</v>
      </c>
      <c r="AM675" s="16" t="n">
        <f aca="false">AL675+AJ675</f>
        <v>79.6</v>
      </c>
      <c r="AN675" s="16" t="n">
        <f aca="false">AL675+AK675</f>
        <v>80</v>
      </c>
      <c r="AO675" s="16" t="n">
        <v>67</v>
      </c>
      <c r="AP675" s="36" t="n">
        <f aca="false">(AO675*70)/100</f>
        <v>46.9</v>
      </c>
      <c r="AQ675" s="37" t="n">
        <f aca="false">ROUNDUP(AP675,0)</f>
        <v>47</v>
      </c>
      <c r="AR675" s="16" t="n">
        <v>23</v>
      </c>
      <c r="AS675" s="16" t="n">
        <f aca="false">AR675+AP675</f>
        <v>69.9</v>
      </c>
      <c r="AT675" s="16" t="n">
        <f aca="false">AR675+AQ675</f>
        <v>70</v>
      </c>
      <c r="AU675" s="16" t="n">
        <f aca="false">AO675+AF675+AI675+AH675+AG675</f>
        <v>393</v>
      </c>
      <c r="AV675" s="16" t="n">
        <f aca="false">(AO675+AF675+AI675+AH675+AG675)/5</f>
        <v>78.6</v>
      </c>
      <c r="AW675" s="36" t="n">
        <f aca="false">(AO675+AF675+AI675+AH675+AG675+X675+R675+Q675+K675+J675)</f>
        <v>785</v>
      </c>
      <c r="AX675" s="16" t="n">
        <f aca="false">AW675/10</f>
        <v>78.5</v>
      </c>
      <c r="AY675" s="16" t="n">
        <f aca="false">AS675+AF675+AM675+AH675+AG675+AB675+V675+Q675+O675+J675</f>
        <v>777.5</v>
      </c>
      <c r="AZ675" s="16" t="n">
        <f aca="false">AT675+AF675+AN675+AH675+AG675+AC675+W675+Q675+P675+J675</f>
        <v>780</v>
      </c>
      <c r="BA675" s="16" t="n">
        <f aca="false">AY675/10</f>
        <v>77.75</v>
      </c>
      <c r="BB675" s="16" t="n">
        <f aca="false">AZ675/10</f>
        <v>78</v>
      </c>
      <c r="BC675" s="16" t="n">
        <v>2337</v>
      </c>
      <c r="BD675" s="16" t="n">
        <f aca="false">RANK(AX675,$AX$2:$AX$881,0)</f>
        <v>375</v>
      </c>
      <c r="BE675" s="73" t="n">
        <f aca="false">((BC675*100)/2400)*0.4+(AX675*0.6)</f>
        <v>86.05</v>
      </c>
      <c r="BF675" s="16" t="n">
        <f aca="false">RANK(BE675,$BE$2:$BE$881,0)</f>
        <v>429</v>
      </c>
      <c r="BG675" s="39" t="n">
        <f aca="false">RANK(BB675,$BB$2:$BB$881,0)</f>
        <v>558</v>
      </c>
      <c r="BH675" s="39" t="n">
        <f aca="false">RANK(BC675,$BC$2:$BC$881,0)</f>
        <v>658</v>
      </c>
      <c r="BI675" s="22" t="s">
        <v>130</v>
      </c>
      <c r="BJ675" s="22" t="s">
        <v>129</v>
      </c>
      <c r="BK675" s="22" t="s">
        <v>509</v>
      </c>
      <c r="BL675" s="41" t="n">
        <v>13</v>
      </c>
      <c r="BM675" s="41" t="n">
        <v>40</v>
      </c>
      <c r="BN675" s="98" t="n">
        <v>53</v>
      </c>
      <c r="BO675" s="42" t="n">
        <v>12</v>
      </c>
      <c r="BP675" s="42" t="n">
        <v>51</v>
      </c>
      <c r="BQ675" s="42" t="n">
        <v>63</v>
      </c>
      <c r="BR675" s="42" t="n">
        <v>19</v>
      </c>
      <c r="BS675" s="77" t="n">
        <v>54</v>
      </c>
      <c r="BT675" s="77" t="n">
        <v>73</v>
      </c>
      <c r="BU675" s="46" t="n">
        <v>95</v>
      </c>
      <c r="BV675" s="47" t="n">
        <v>96</v>
      </c>
      <c r="BW675" s="42" t="n">
        <v>76</v>
      </c>
      <c r="BX675" s="48" t="n">
        <v>90</v>
      </c>
      <c r="BY675" s="32" t="n">
        <v>17</v>
      </c>
      <c r="BZ675" s="32" t="n">
        <v>45</v>
      </c>
      <c r="CA675" s="48" t="n">
        <v>62</v>
      </c>
      <c r="CB675" s="32" t="n">
        <v>16</v>
      </c>
      <c r="CC675" s="32" t="n">
        <v>31</v>
      </c>
      <c r="CD675" s="69" t="n">
        <v>47</v>
      </c>
      <c r="CE675" s="32" t="n">
        <v>21</v>
      </c>
      <c r="CF675" s="32" t="n">
        <v>25</v>
      </c>
      <c r="CG675" s="69" t="n">
        <v>46</v>
      </c>
      <c r="CH675" s="32" t="n">
        <v>95</v>
      </c>
      <c r="CI675" s="32" t="n">
        <v>83</v>
      </c>
      <c r="CJ675" s="49" t="n">
        <v>15</v>
      </c>
      <c r="CK675" s="58" t="n">
        <v>51</v>
      </c>
      <c r="CL675" s="59" t="n">
        <v>66</v>
      </c>
      <c r="CM675" s="49" t="n">
        <v>22</v>
      </c>
      <c r="CN675" s="49" t="n">
        <v>43</v>
      </c>
      <c r="CO675" s="49" t="n">
        <v>65</v>
      </c>
      <c r="CP675" s="25" t="n">
        <f aca="false">BX675+BW675+BV675+BU675+BT675+BQ675+BN675</f>
        <v>546</v>
      </c>
      <c r="CQ675" s="25" t="n">
        <f aca="false">CO675+CL675+CI675+CH675+CG675+CD675+CA675</f>
        <v>464</v>
      </c>
      <c r="CR675" s="26" t="n">
        <f aca="false">CP675/7</f>
        <v>78</v>
      </c>
      <c r="CS675" s="26" t="n">
        <f aca="false">CQ675/7</f>
        <v>66.2857142857143</v>
      </c>
      <c r="CT675" s="24" t="n">
        <f aca="false">RANK(CR675,$CR$2:$CR$881,0)</f>
        <v>612</v>
      </c>
      <c r="CU675" s="25" t="n">
        <f aca="false">RANK(CS675,$CS$2:$CS$881,0)</f>
        <v>609</v>
      </c>
      <c r="CV675" s="26" t="n">
        <f aca="false">(CS675+CR675)/2</f>
        <v>72.1428571428571</v>
      </c>
      <c r="CW675" s="25" t="n">
        <f aca="false">RANK(CV675,$CV$2:$CV$881,0)</f>
        <v>612</v>
      </c>
      <c r="CX675" s="50" t="n">
        <f aca="false">(CV675+BB675)/2</f>
        <v>75.0714285714286</v>
      </c>
      <c r="CY675" s="50" t="n">
        <v>605</v>
      </c>
      <c r="CZ675" s="27" t="s">
        <v>132</v>
      </c>
      <c r="DA675" s="27" t="s">
        <v>219</v>
      </c>
      <c r="DB675" s="27" t="s">
        <v>219</v>
      </c>
      <c r="DC675" s="27" t="s">
        <v>134</v>
      </c>
      <c r="DD675" s="27" t="s">
        <v>135</v>
      </c>
      <c r="DE675" s="27" t="s">
        <v>1151</v>
      </c>
      <c r="DF675" s="27" t="s">
        <v>218</v>
      </c>
      <c r="DG675" s="27" t="s">
        <v>480</v>
      </c>
      <c r="DH675" s="27" t="s">
        <v>386</v>
      </c>
      <c r="DI675" s="27" t="s">
        <v>375</v>
      </c>
      <c r="DJ675" s="27" t="s">
        <v>143</v>
      </c>
      <c r="DK675" s="27" t="s">
        <v>134</v>
      </c>
      <c r="DL675" s="27" t="s">
        <v>604</v>
      </c>
      <c r="DM675" s="27" t="s">
        <v>479</v>
      </c>
      <c r="DN675" s="27" t="s">
        <v>306</v>
      </c>
      <c r="DO675" s="27" t="s">
        <v>480</v>
      </c>
      <c r="DP675" s="27"/>
      <c r="DQ675" s="27"/>
      <c r="DR675" s="27"/>
      <c r="DS675" s="27"/>
      <c r="DT675" s="27"/>
      <c r="DU675" s="27"/>
      <c r="DV675" s="27"/>
      <c r="DW675" s="27" t="s">
        <v>718</v>
      </c>
      <c r="DX675" s="27" t="s">
        <v>204</v>
      </c>
      <c r="DY675" s="27" t="s">
        <v>416</v>
      </c>
      <c r="DZ675" s="27" t="n">
        <f aca="false">DY675+DV675+DR675+DN675+DJ675+DF675+DB675</f>
        <v>331</v>
      </c>
      <c r="EA675" s="28" t="n">
        <f aca="false">DZ675/7</f>
        <v>47.2857142857143</v>
      </c>
      <c r="EB675" s="27" t="n">
        <f aca="false">RANK(EA675,$EA$2:$EA$881,0)</f>
        <v>844</v>
      </c>
      <c r="EC675" s="29" t="n">
        <f aca="false">DZ675+CQ675+CP675+AZ675</f>
        <v>2121</v>
      </c>
      <c r="ED675" s="30" t="n">
        <f aca="false">(EA675+CV675+BB675)/3</f>
        <v>65.8095238095238</v>
      </c>
      <c r="EE675" s="51" t="n">
        <f aca="false">ROUND(BE675,3)</f>
        <v>86.05</v>
      </c>
      <c r="EF675" s="51" t="n">
        <f aca="false">ROUND(CR675,3)</f>
        <v>78</v>
      </c>
      <c r="EG675" s="51" t="n">
        <f aca="false">ROUND(CS675,3)</f>
        <v>66.286</v>
      </c>
      <c r="EH675" s="51" t="n">
        <f aca="false">ROUND(EA675,3)</f>
        <v>47.286</v>
      </c>
      <c r="EI675" s="51" t="n">
        <f aca="false">ROUND(ED675,3)</f>
        <v>65.81</v>
      </c>
      <c r="EJ675" s="51" t="n">
        <f aca="false">ROUND(CV675,3)</f>
        <v>72.143</v>
      </c>
      <c r="EK675" s="0" t="n">
        <f aca="false">RANK(EI675,$EI$2:$EI$881,0)</f>
        <v>674</v>
      </c>
    </row>
    <row r="676" customFormat="false" ht="15" hidden="false" customHeight="false" outlineLevel="0" collapsed="false">
      <c r="A676" s="4" t="n">
        <v>1991</v>
      </c>
      <c r="B676" s="4" t="n">
        <v>789</v>
      </c>
      <c r="C676" s="27" t="s">
        <v>1954</v>
      </c>
      <c r="D676" s="31" t="n">
        <v>808</v>
      </c>
      <c r="E676" s="32" t="n">
        <v>230319416</v>
      </c>
      <c r="F676" s="8" t="s">
        <v>1955</v>
      </c>
      <c r="G676" s="22" t="s">
        <v>1079</v>
      </c>
      <c r="H676" s="22" t="s">
        <v>129</v>
      </c>
      <c r="I676" s="33" t="n">
        <v>2005</v>
      </c>
      <c r="J676" s="32" t="n">
        <v>84</v>
      </c>
      <c r="K676" s="32" t="n">
        <v>51</v>
      </c>
      <c r="L676" s="34" t="n">
        <f aca="false">(K676*70)/100</f>
        <v>35.7</v>
      </c>
      <c r="M676" s="34" t="n">
        <f aca="false">ROUNDUP(L676,0)</f>
        <v>36</v>
      </c>
      <c r="N676" s="32" t="n">
        <v>25</v>
      </c>
      <c r="O676" s="34" t="n">
        <f aca="false">N676+L676</f>
        <v>60.7</v>
      </c>
      <c r="P676" s="34" t="n">
        <f aca="false">N676+M676</f>
        <v>61</v>
      </c>
      <c r="Q676" s="32" t="n">
        <v>66</v>
      </c>
      <c r="R676" s="32" t="n">
        <v>72</v>
      </c>
      <c r="S676" s="34" t="n">
        <f aca="false">(R676*70)/100</f>
        <v>50.4</v>
      </c>
      <c r="T676" s="34" t="n">
        <f aca="false">ROUNDUP(S676,0)</f>
        <v>51</v>
      </c>
      <c r="U676" s="32" t="n">
        <v>16</v>
      </c>
      <c r="V676" s="34" t="n">
        <f aca="false">U676+S676</f>
        <v>66.4</v>
      </c>
      <c r="W676" s="34" t="n">
        <f aca="false">U676+T676</f>
        <v>67</v>
      </c>
      <c r="X676" s="32" t="n">
        <v>67</v>
      </c>
      <c r="Y676" s="34" t="n">
        <f aca="false">(X676*70)/100</f>
        <v>46.9</v>
      </c>
      <c r="Z676" s="34" t="n">
        <f aca="false">ROUNDUP(Y676,0)</f>
        <v>47</v>
      </c>
      <c r="AA676" s="32" t="n">
        <v>27</v>
      </c>
      <c r="AB676" s="34" t="n">
        <f aca="false">AA676+Y676</f>
        <v>73.9</v>
      </c>
      <c r="AC676" s="34" t="n">
        <f aca="false">AA676+Z676</f>
        <v>74</v>
      </c>
      <c r="AD676" s="32" t="n">
        <f aca="false">X676+R676+Q676+K676+J676</f>
        <v>340</v>
      </c>
      <c r="AE676" s="16" t="n">
        <f aca="false">AD676/5</f>
        <v>68</v>
      </c>
      <c r="AF676" s="16" t="n">
        <v>84</v>
      </c>
      <c r="AG676" s="16" t="n">
        <v>89</v>
      </c>
      <c r="AH676" s="16" t="n">
        <v>94</v>
      </c>
      <c r="AI676" s="16" t="n">
        <v>92</v>
      </c>
      <c r="AJ676" s="16" t="n">
        <f aca="false">(AI676*70)/100</f>
        <v>64.4</v>
      </c>
      <c r="AK676" s="35" t="n">
        <f aca="false">ROUNDUP(AJ676,0)</f>
        <v>65</v>
      </c>
      <c r="AL676" s="16" t="n">
        <v>23</v>
      </c>
      <c r="AM676" s="16" t="n">
        <f aca="false">AL676+AJ676</f>
        <v>87.4</v>
      </c>
      <c r="AN676" s="16" t="n">
        <f aca="false">AL676+AK676</f>
        <v>88</v>
      </c>
      <c r="AO676" s="16" t="n">
        <v>74</v>
      </c>
      <c r="AP676" s="36" t="n">
        <f aca="false">(AO676*70)/100</f>
        <v>51.8</v>
      </c>
      <c r="AQ676" s="37" t="n">
        <f aca="false">ROUNDUP(AP676,0)</f>
        <v>52</v>
      </c>
      <c r="AR676" s="16" t="n">
        <v>26</v>
      </c>
      <c r="AS676" s="16" t="n">
        <f aca="false">AR676+AP676</f>
        <v>77.8</v>
      </c>
      <c r="AT676" s="16" t="n">
        <f aca="false">AR676+AQ676</f>
        <v>78</v>
      </c>
      <c r="AU676" s="16" t="n">
        <f aca="false">AO676+AF676+AI676+AH676+AG676</f>
        <v>433</v>
      </c>
      <c r="AV676" s="16" t="n">
        <f aca="false">(AO676+AF676+AI676+AH676+AG676)/5</f>
        <v>86.6</v>
      </c>
      <c r="AW676" s="36" t="n">
        <f aca="false">(AO676+AF676+AI676+AH676+AG676+X676+R676+Q676+K676+J676)</f>
        <v>773</v>
      </c>
      <c r="AX676" s="16" t="n">
        <f aca="false">AW676/10</f>
        <v>77.3</v>
      </c>
      <c r="AY676" s="16" t="n">
        <f aca="false">AS676+AF676+AM676+AH676+AG676+AB676+V676+Q676+O676+J676</f>
        <v>783.2</v>
      </c>
      <c r="AZ676" s="16" t="n">
        <f aca="false">AT676+AF676+AN676+AH676+AG676+AC676+W676+Q676+P676+J676</f>
        <v>785</v>
      </c>
      <c r="BA676" s="16" t="n">
        <f aca="false">AY676/10</f>
        <v>78.32</v>
      </c>
      <c r="BB676" s="16" t="n">
        <f aca="false">AZ676/10</f>
        <v>78.5</v>
      </c>
      <c r="BC676" s="16" t="n">
        <v>2358</v>
      </c>
      <c r="BD676" s="16" t="n">
        <f aca="false">RANK(AX676,$AX$2:$AX$881,0)</f>
        <v>472</v>
      </c>
      <c r="BE676" s="54" t="n">
        <f aca="false">((BC676*100)/2400)*0.4+(AX676*0.6)</f>
        <v>85.68</v>
      </c>
      <c r="BF676" s="16" t="n">
        <f aca="false">RANK(BE676,$BE$2:$BE$881,0)</f>
        <v>481</v>
      </c>
      <c r="BG676" s="39" t="n">
        <f aca="false">RANK(BB676,$BB$2:$BB$881,0)</f>
        <v>505</v>
      </c>
      <c r="BH676" s="39" t="n">
        <f aca="false">RANK(BC676,$BC$2:$BC$881,0)</f>
        <v>429</v>
      </c>
      <c r="BI676" s="22" t="s">
        <v>130</v>
      </c>
      <c r="BJ676" s="22" t="s">
        <v>129</v>
      </c>
      <c r="BK676" s="40" t="s">
        <v>509</v>
      </c>
      <c r="BL676" s="41" t="n">
        <v>17</v>
      </c>
      <c r="BM676" s="41" t="n">
        <v>45</v>
      </c>
      <c r="BN676" s="41" t="n">
        <v>62</v>
      </c>
      <c r="BO676" s="42" t="n">
        <v>25</v>
      </c>
      <c r="BP676" s="43" t="n">
        <v>66</v>
      </c>
      <c r="BQ676" s="44" t="n">
        <v>91</v>
      </c>
      <c r="BR676" s="42" t="n">
        <v>22</v>
      </c>
      <c r="BS676" s="45" t="n">
        <v>50</v>
      </c>
      <c r="BT676" s="45" t="n">
        <v>72</v>
      </c>
      <c r="BU676" s="46" t="n">
        <v>100</v>
      </c>
      <c r="BV676" s="47" t="n">
        <v>90</v>
      </c>
      <c r="BW676" s="42" t="n">
        <v>96</v>
      </c>
      <c r="BX676" s="48" t="n">
        <v>94</v>
      </c>
      <c r="BY676" s="32" t="n">
        <v>26</v>
      </c>
      <c r="BZ676" s="68" t="n">
        <v>0</v>
      </c>
      <c r="CA676" s="69" t="n">
        <v>26</v>
      </c>
      <c r="CB676" s="32" t="n">
        <v>24</v>
      </c>
      <c r="CC676" s="60"/>
      <c r="CD676" s="60"/>
      <c r="CE676" s="32" t="n">
        <v>27</v>
      </c>
      <c r="CF676" s="32" t="n">
        <v>36</v>
      </c>
      <c r="CG676" s="32" t="n">
        <v>63</v>
      </c>
      <c r="CH676" s="32" t="n">
        <v>99</v>
      </c>
      <c r="CI676" s="32" t="n">
        <v>99</v>
      </c>
      <c r="CJ676" s="49" t="n">
        <v>22</v>
      </c>
      <c r="CK676" s="49" t="n">
        <v>44</v>
      </c>
      <c r="CL676" s="49" t="n">
        <v>66</v>
      </c>
      <c r="CM676" s="49" t="n">
        <v>22</v>
      </c>
      <c r="CN676" s="49" t="n">
        <v>52</v>
      </c>
      <c r="CO676" s="49" t="n">
        <v>74</v>
      </c>
      <c r="CP676" s="25" t="n">
        <f aca="false">BX676+BW676+BV676+BU676+BT676+BQ676+BN676</f>
        <v>605</v>
      </c>
      <c r="CQ676" s="25" t="n">
        <f aca="false">CO676+CL676+CI676+CH676+CG676+CD676+CA676</f>
        <v>427</v>
      </c>
      <c r="CR676" s="26" t="n">
        <f aca="false">CP676/7</f>
        <v>86.4285714285714</v>
      </c>
      <c r="CS676" s="26" t="n">
        <f aca="false">CQ676/7</f>
        <v>61</v>
      </c>
      <c r="CT676" s="24" t="n">
        <f aca="false">RANK(CR676,$CR$2:$CR$881,0)</f>
        <v>377</v>
      </c>
      <c r="CU676" s="25" t="n">
        <f aca="false">RANK(CS676,$CS$2:$CS$881,0)</f>
        <v>674</v>
      </c>
      <c r="CV676" s="26" t="n">
        <f aca="false">(CS676+CR676)/2</f>
        <v>73.7142857142857</v>
      </c>
      <c r="CW676" s="25" t="n">
        <f aca="false">RANK(CV676,$CV$2:$CV$881,0)</f>
        <v>588</v>
      </c>
      <c r="CX676" s="50" t="n">
        <f aca="false">(CV676+BB676)/2</f>
        <v>76.1071428571429</v>
      </c>
      <c r="CY676" s="50" t="n">
        <v>530</v>
      </c>
      <c r="CZ676" s="27" t="s">
        <v>132</v>
      </c>
      <c r="DA676" s="27" t="s">
        <v>133</v>
      </c>
      <c r="DB676" s="27" t="s">
        <v>133</v>
      </c>
      <c r="DC676" s="27" t="s">
        <v>134</v>
      </c>
      <c r="DD676" s="27" t="s">
        <v>264</v>
      </c>
      <c r="DE676" s="27" t="s">
        <v>673</v>
      </c>
      <c r="DF676" s="27" t="s">
        <v>177</v>
      </c>
      <c r="DG676" s="27" t="s">
        <v>134</v>
      </c>
      <c r="DH676" s="27"/>
      <c r="DI676" s="27"/>
      <c r="DJ676" s="27"/>
      <c r="DK676" s="27"/>
      <c r="DL676" s="27" t="s">
        <v>182</v>
      </c>
      <c r="DM676" s="27" t="s">
        <v>619</v>
      </c>
      <c r="DN676" s="27" t="s">
        <v>182</v>
      </c>
      <c r="DO676" s="27" t="s">
        <v>480</v>
      </c>
      <c r="DP676" s="27"/>
      <c r="DQ676" s="27"/>
      <c r="DR676" s="27"/>
      <c r="DS676" s="27"/>
      <c r="DT676" s="27" t="s">
        <v>182</v>
      </c>
      <c r="DU676" s="27" t="s">
        <v>164</v>
      </c>
      <c r="DV676" s="27" t="s">
        <v>412</v>
      </c>
      <c r="DW676" s="27" t="s">
        <v>174</v>
      </c>
      <c r="DX676" s="27" t="s">
        <v>138</v>
      </c>
      <c r="DY676" s="27" t="s">
        <v>170</v>
      </c>
      <c r="DZ676" s="27" t="n">
        <f aca="false">DY676+DV676+DR676+DN676+DJ676+DF676+DB676</f>
        <v>314</v>
      </c>
      <c r="EA676" s="28" t="n">
        <f aca="false">DZ676/7</f>
        <v>44.8571428571429</v>
      </c>
      <c r="EB676" s="27" t="n">
        <f aca="false">RANK(EA676,$EA$2:$EA$881,0)</f>
        <v>852</v>
      </c>
      <c r="EC676" s="29" t="n">
        <f aca="false">DZ676+CQ676+CP676+AZ676</f>
        <v>2131</v>
      </c>
      <c r="ED676" s="30" t="n">
        <f aca="false">(EA676+CV676+BB676)/3</f>
        <v>65.6904761904762</v>
      </c>
      <c r="EE676" s="51" t="n">
        <f aca="false">ROUND(BE676,3)</f>
        <v>85.68</v>
      </c>
      <c r="EF676" s="51" t="n">
        <f aca="false">ROUND(CR676,3)</f>
        <v>86.429</v>
      </c>
      <c r="EG676" s="51" t="n">
        <f aca="false">ROUND(CS676,3)</f>
        <v>61</v>
      </c>
      <c r="EH676" s="51" t="n">
        <f aca="false">ROUND(EA676,3)</f>
        <v>44.857</v>
      </c>
      <c r="EI676" s="51" t="n">
        <f aca="false">ROUND(ED676,3)</f>
        <v>65.69</v>
      </c>
      <c r="EJ676" s="51" t="n">
        <f aca="false">ROUND(CV676,3)</f>
        <v>73.714</v>
      </c>
      <c r="EK676" s="0" t="n">
        <f aca="false">RANK(EI676,$EI$2:$EI$881,0)</f>
        <v>675</v>
      </c>
    </row>
    <row r="677" customFormat="false" ht="15" hidden="false" customHeight="false" outlineLevel="0" collapsed="false">
      <c r="A677" s="4" t="n">
        <v>2057</v>
      </c>
      <c r="B677" s="4" t="n">
        <v>290</v>
      </c>
      <c r="C677" s="27" t="s">
        <v>1956</v>
      </c>
      <c r="D677" s="31" t="n">
        <v>288</v>
      </c>
      <c r="E677" s="16" t="n">
        <v>234300050</v>
      </c>
      <c r="F677" s="56" t="s">
        <v>1957</v>
      </c>
      <c r="G677" s="22" t="s">
        <v>322</v>
      </c>
      <c r="H677" s="22" t="s">
        <v>271</v>
      </c>
      <c r="I677" s="57"/>
      <c r="J677" s="16" t="n">
        <v>72</v>
      </c>
      <c r="K677" s="16" t="n">
        <v>77</v>
      </c>
      <c r="L677" s="34" t="n">
        <f aca="false">(K677*70)/100</f>
        <v>53.9</v>
      </c>
      <c r="M677" s="34" t="n">
        <f aca="false">ROUNDUP(L677,0)</f>
        <v>54</v>
      </c>
      <c r="N677" s="16" t="n">
        <v>25</v>
      </c>
      <c r="O677" s="34" t="n">
        <f aca="false">N677+L677</f>
        <v>78.9</v>
      </c>
      <c r="P677" s="34" t="n">
        <f aca="false">N677+M677</f>
        <v>79</v>
      </c>
      <c r="Q677" s="16" t="n">
        <v>81</v>
      </c>
      <c r="R677" s="16" t="n">
        <v>72</v>
      </c>
      <c r="S677" s="34" t="n">
        <f aca="false">(R677*70)/100</f>
        <v>50.4</v>
      </c>
      <c r="T677" s="34" t="n">
        <f aca="false">ROUNDUP(S677,0)</f>
        <v>51</v>
      </c>
      <c r="U677" s="16" t="n">
        <v>21</v>
      </c>
      <c r="V677" s="34" t="n">
        <f aca="false">U677+S677</f>
        <v>71.4</v>
      </c>
      <c r="W677" s="34" t="n">
        <f aca="false">U677+T677</f>
        <v>72</v>
      </c>
      <c r="X677" s="16" t="n">
        <v>68</v>
      </c>
      <c r="Y677" s="34" t="n">
        <f aca="false">(X677*70)/100</f>
        <v>47.6</v>
      </c>
      <c r="Z677" s="34" t="n">
        <f aca="false">ROUNDUP(Y677,0)</f>
        <v>48</v>
      </c>
      <c r="AA677" s="16" t="n">
        <v>25</v>
      </c>
      <c r="AB677" s="34" t="n">
        <f aca="false">AA677+Y677</f>
        <v>72.6</v>
      </c>
      <c r="AC677" s="34" t="n">
        <f aca="false">AA677+Z677</f>
        <v>73</v>
      </c>
      <c r="AD677" s="32" t="n">
        <f aca="false">X677+R677+Q677+K677+J677</f>
        <v>370</v>
      </c>
      <c r="AE677" s="16" t="n">
        <f aca="false">AD677/5</f>
        <v>74</v>
      </c>
      <c r="AF677" s="16" t="n">
        <v>74</v>
      </c>
      <c r="AG677" s="16" t="n">
        <v>76</v>
      </c>
      <c r="AH677" s="16" t="n">
        <v>89</v>
      </c>
      <c r="AI677" s="16" t="n">
        <v>78</v>
      </c>
      <c r="AJ677" s="16" t="n">
        <f aca="false">(AI677*70)/100</f>
        <v>54.6</v>
      </c>
      <c r="AK677" s="35" t="n">
        <f aca="false">ROUNDUP(AJ677,0)</f>
        <v>55</v>
      </c>
      <c r="AL677" s="16" t="n">
        <v>25</v>
      </c>
      <c r="AM677" s="16" t="n">
        <f aca="false">AL677+AJ677</f>
        <v>79.6</v>
      </c>
      <c r="AN677" s="16" t="n">
        <f aca="false">AL677+AK677</f>
        <v>80</v>
      </c>
      <c r="AO677" s="16" t="n">
        <v>68</v>
      </c>
      <c r="AP677" s="36" t="n">
        <f aca="false">(AO677*70)/100</f>
        <v>47.6</v>
      </c>
      <c r="AQ677" s="37" t="n">
        <f aca="false">ROUNDUP(AP677,0)</f>
        <v>48</v>
      </c>
      <c r="AR677" s="16" t="n">
        <v>18</v>
      </c>
      <c r="AS677" s="16" t="n">
        <f aca="false">AR677+AP677</f>
        <v>65.6</v>
      </c>
      <c r="AT677" s="16" t="n">
        <f aca="false">AR677+AQ677</f>
        <v>66</v>
      </c>
      <c r="AU677" s="16" t="n">
        <f aca="false">AO677+AF677+AI677+AH677+AG677</f>
        <v>385</v>
      </c>
      <c r="AV677" s="16" t="n">
        <f aca="false">(AO677+AF677+AI677+AH677+AG677)/5</f>
        <v>77</v>
      </c>
      <c r="AW677" s="36" t="n">
        <f aca="false">(AO677+AF677+AI677+AH677+AG677+X677+R677+Q677+K677+J677)</f>
        <v>755</v>
      </c>
      <c r="AX677" s="16" t="n">
        <f aca="false">AW677/10</f>
        <v>75.5</v>
      </c>
      <c r="AY677" s="16" t="n">
        <f aca="false">AS677+AF677+AM677+AH677+AG677+AB677+V677+Q677+O677+J677</f>
        <v>760.1</v>
      </c>
      <c r="AZ677" s="16" t="n">
        <f aca="false">AT677+AF677+AN677+AH677+AG677+AC677+W677+Q677+P677+J677</f>
        <v>762</v>
      </c>
      <c r="BA677" s="16" t="n">
        <f aca="false">AY677/10</f>
        <v>76.01</v>
      </c>
      <c r="BB677" s="16" t="n">
        <f aca="false">AZ677/10</f>
        <v>76.2</v>
      </c>
      <c r="BC677" s="72" t="n">
        <v>0</v>
      </c>
      <c r="BD677" s="16" t="n">
        <f aca="false">RANK(AX677,$AX$2:$AX$881,0)</f>
        <v>659</v>
      </c>
      <c r="BE677" s="78" t="n">
        <f aca="false">AX677</f>
        <v>75.5</v>
      </c>
      <c r="BF677" s="16" t="n">
        <f aca="false">RANK(BE677,$BE$2:$BE$881,0)</f>
        <v>774</v>
      </c>
      <c r="BG677" s="39" t="n">
        <f aca="false">RANK(BB677,$BB$2:$BB$881,0)</f>
        <v>672</v>
      </c>
      <c r="BH677" s="39" t="n">
        <f aca="false">RANK(BC677,$BC$2:$BC$881,0)</f>
        <v>780</v>
      </c>
      <c r="BI677" s="22" t="s">
        <v>130</v>
      </c>
      <c r="BJ677" s="22" t="s">
        <v>129</v>
      </c>
      <c r="BK677" s="22" t="s">
        <v>526</v>
      </c>
      <c r="BL677" s="41" t="n">
        <v>24</v>
      </c>
      <c r="BM677" s="41" t="n">
        <v>50</v>
      </c>
      <c r="BN677" s="41" t="n">
        <v>74</v>
      </c>
      <c r="BO677" s="42" t="n">
        <v>24</v>
      </c>
      <c r="BP677" s="43" t="n">
        <v>68</v>
      </c>
      <c r="BQ677" s="44" t="n">
        <v>92</v>
      </c>
      <c r="BR677" s="42" t="n">
        <v>22</v>
      </c>
      <c r="BS677" s="45" t="n">
        <v>56</v>
      </c>
      <c r="BT677" s="45" t="n">
        <v>78</v>
      </c>
      <c r="BU677" s="46" t="n">
        <v>100</v>
      </c>
      <c r="BV677" s="47" t="n">
        <v>68</v>
      </c>
      <c r="BW677" s="42" t="n">
        <v>99</v>
      </c>
      <c r="BX677" s="80"/>
      <c r="BY677" s="130"/>
      <c r="BZ677" s="60"/>
      <c r="CA677" s="60"/>
      <c r="CB677" s="61"/>
      <c r="CC677" s="60"/>
      <c r="CD677" s="60"/>
      <c r="CE677" s="60"/>
      <c r="CF677" s="60"/>
      <c r="CG677" s="60"/>
      <c r="CH677" s="60"/>
      <c r="CI677" s="60"/>
      <c r="CJ677" s="60"/>
      <c r="CK677" s="60"/>
      <c r="CL677" s="61"/>
      <c r="CM677" s="60"/>
      <c r="CN677" s="60"/>
      <c r="CO677" s="60"/>
      <c r="CP677" s="25" t="n">
        <f aca="false">BX677+BW677+BV677+BU677+BT677+BQ677+BN677</f>
        <v>511</v>
      </c>
      <c r="CQ677" s="25" t="n">
        <f aca="false">CO677+CL677+CI677+CH677+CG677+CD677+CA677</f>
        <v>0</v>
      </c>
      <c r="CR677" s="26" t="n">
        <f aca="false">CP677/7</f>
        <v>73</v>
      </c>
      <c r="CS677" s="26" t="n">
        <f aca="false">CQ677/7</f>
        <v>0</v>
      </c>
      <c r="CT677" s="24" t="n">
        <f aca="false">RANK(CR677,$CR$2:$CR$881,0)</f>
        <v>663</v>
      </c>
      <c r="CU677" s="25" t="n">
        <f aca="false">RANK(CS677,$CS$2:$CS$881,0)</f>
        <v>752</v>
      </c>
      <c r="CV677" s="26" t="n">
        <f aca="false">(CS677+CR677)/2</f>
        <v>36.5</v>
      </c>
      <c r="CW677" s="25" t="n">
        <f aca="false">RANK(CV677,$CV$2:$CV$881,0)</f>
        <v>731</v>
      </c>
      <c r="CX677" s="50" t="n">
        <f aca="false">(CV677+BB677)/2</f>
        <v>56.35</v>
      </c>
      <c r="CY677" s="50" t="n">
        <v>668</v>
      </c>
      <c r="CZ677" s="27" t="s">
        <v>132</v>
      </c>
      <c r="DA677" s="27" t="s">
        <v>133</v>
      </c>
      <c r="DB677" s="27" t="s">
        <v>133</v>
      </c>
      <c r="DC677" s="27" t="s">
        <v>134</v>
      </c>
      <c r="DD677" s="27" t="s">
        <v>137</v>
      </c>
      <c r="DE677" s="27" t="s">
        <v>183</v>
      </c>
      <c r="DF677" s="27" t="s">
        <v>209</v>
      </c>
      <c r="DG677" s="27" t="s">
        <v>134</v>
      </c>
      <c r="DH677" s="27" t="s">
        <v>174</v>
      </c>
      <c r="DI677" s="27" t="s">
        <v>183</v>
      </c>
      <c r="DJ677" s="27" t="s">
        <v>219</v>
      </c>
      <c r="DK677" s="27" t="s">
        <v>134</v>
      </c>
      <c r="DL677" s="27" t="s">
        <v>137</v>
      </c>
      <c r="DM677" s="27" t="s">
        <v>447</v>
      </c>
      <c r="DN677" s="27" t="s">
        <v>272</v>
      </c>
      <c r="DO677" s="27" t="s">
        <v>134</v>
      </c>
      <c r="DP677" s="27" t="s">
        <v>191</v>
      </c>
      <c r="DQ677" s="27" t="s">
        <v>204</v>
      </c>
      <c r="DR677" s="27" t="s">
        <v>272</v>
      </c>
      <c r="DS677" s="27" t="s">
        <v>134</v>
      </c>
      <c r="DT677" s="27" t="s">
        <v>137</v>
      </c>
      <c r="DU677" s="27" t="s">
        <v>412</v>
      </c>
      <c r="DV677" s="27" t="s">
        <v>382</v>
      </c>
      <c r="DW677" s="27" t="s">
        <v>140</v>
      </c>
      <c r="DX677" s="27" t="s">
        <v>155</v>
      </c>
      <c r="DY677" s="27" t="s">
        <v>147</v>
      </c>
      <c r="DZ677" s="27" t="n">
        <f aca="false">DY677+DV677+DR677+DN677+DJ677+DF677+DB677</f>
        <v>586</v>
      </c>
      <c r="EA677" s="28" t="n">
        <f aca="false">DZ677/7</f>
        <v>83.7142857142857</v>
      </c>
      <c r="EB677" s="27" t="n">
        <f aca="false">RANK(EA677,$EA$2:$EA$881,0)</f>
        <v>237</v>
      </c>
      <c r="EC677" s="29" t="n">
        <f aca="false">DZ677+CQ677+CP677+AZ677</f>
        <v>1859</v>
      </c>
      <c r="ED677" s="30" t="n">
        <f aca="false">(EA677+CV677+BB677)/3</f>
        <v>65.4714285714286</v>
      </c>
      <c r="EE677" s="51" t="n">
        <f aca="false">ROUND(BE677,3)</f>
        <v>75.5</v>
      </c>
      <c r="EF677" s="51" t="n">
        <f aca="false">ROUND(CR677,3)</f>
        <v>73</v>
      </c>
      <c r="EG677" s="51" t="n">
        <f aca="false">ROUND(CS677,3)</f>
        <v>0</v>
      </c>
      <c r="EH677" s="51" t="n">
        <f aca="false">ROUND(EA677,3)</f>
        <v>83.714</v>
      </c>
      <c r="EI677" s="51" t="n">
        <f aca="false">ROUND(ED677,3)</f>
        <v>65.471</v>
      </c>
      <c r="EJ677" s="51" t="n">
        <f aca="false">ROUND(CV677,3)</f>
        <v>36.5</v>
      </c>
      <c r="EK677" s="0" t="n">
        <f aca="false">RANK(EI677,$EI$2:$EI$881,0)</f>
        <v>676</v>
      </c>
    </row>
    <row r="678" customFormat="false" ht="15" hidden="false" customHeight="false" outlineLevel="0" collapsed="false">
      <c r="A678" s="4" t="n">
        <v>1970</v>
      </c>
      <c r="B678" s="4" t="n">
        <v>724</v>
      </c>
      <c r="C678" s="27" t="s">
        <v>1958</v>
      </c>
      <c r="D678" s="31" t="n">
        <v>739</v>
      </c>
      <c r="E678" s="16" t="n">
        <v>230407275</v>
      </c>
      <c r="F678" s="56" t="s">
        <v>1959</v>
      </c>
      <c r="G678" s="22" t="s">
        <v>1960</v>
      </c>
      <c r="H678" s="22" t="s">
        <v>271</v>
      </c>
      <c r="I678" s="57"/>
      <c r="J678" s="16" t="n">
        <v>65</v>
      </c>
      <c r="K678" s="16" t="n">
        <v>87</v>
      </c>
      <c r="L678" s="34" t="n">
        <f aca="false">(K678*70)/100</f>
        <v>60.9</v>
      </c>
      <c r="M678" s="34" t="n">
        <f aca="false">ROUNDUP(L678,0)</f>
        <v>61</v>
      </c>
      <c r="N678" s="16" t="n">
        <v>18</v>
      </c>
      <c r="O678" s="34" t="n">
        <f aca="false">N678+L678</f>
        <v>78.9</v>
      </c>
      <c r="P678" s="34" t="n">
        <f aca="false">N678+M678</f>
        <v>79</v>
      </c>
      <c r="Q678" s="16" t="n">
        <v>77</v>
      </c>
      <c r="R678" s="16" t="n">
        <v>86</v>
      </c>
      <c r="S678" s="34" t="n">
        <f aca="false">(R678*70)/100</f>
        <v>60.2</v>
      </c>
      <c r="T678" s="34" t="n">
        <f aca="false">ROUNDUP(S678,0)</f>
        <v>61</v>
      </c>
      <c r="U678" s="16" t="n">
        <v>22</v>
      </c>
      <c r="V678" s="34" t="n">
        <f aca="false">U678+S678</f>
        <v>82.2</v>
      </c>
      <c r="W678" s="34" t="n">
        <f aca="false">U678+T678</f>
        <v>83</v>
      </c>
      <c r="X678" s="16" t="n">
        <v>68</v>
      </c>
      <c r="Y678" s="34" t="n">
        <f aca="false">(X678*70)/100</f>
        <v>47.6</v>
      </c>
      <c r="Z678" s="34" t="n">
        <f aca="false">ROUNDUP(Y678,0)</f>
        <v>48</v>
      </c>
      <c r="AA678" s="16" t="n">
        <v>27</v>
      </c>
      <c r="AB678" s="34" t="n">
        <f aca="false">AA678+Y678</f>
        <v>74.6</v>
      </c>
      <c r="AC678" s="34" t="n">
        <f aca="false">AA678+Z678</f>
        <v>75</v>
      </c>
      <c r="AD678" s="32" t="n">
        <f aca="false">X678+R678+Q678+K678+J678</f>
        <v>383</v>
      </c>
      <c r="AE678" s="16" t="n">
        <f aca="false">AD678/5</f>
        <v>76.6</v>
      </c>
      <c r="AF678" s="16" t="n">
        <v>70</v>
      </c>
      <c r="AG678" s="16" t="n">
        <v>76</v>
      </c>
      <c r="AH678" s="16" t="n">
        <v>88</v>
      </c>
      <c r="AI678" s="16" t="n">
        <v>94</v>
      </c>
      <c r="AJ678" s="16" t="n">
        <f aca="false">(AI678*70)/100</f>
        <v>65.8</v>
      </c>
      <c r="AK678" s="35" t="n">
        <f aca="false">ROUNDUP(AJ678,0)</f>
        <v>66</v>
      </c>
      <c r="AL678" s="16" t="n">
        <v>18</v>
      </c>
      <c r="AM678" s="16" t="n">
        <f aca="false">AL678+AJ678</f>
        <v>83.8</v>
      </c>
      <c r="AN678" s="16" t="n">
        <f aca="false">AL678+AK678</f>
        <v>84</v>
      </c>
      <c r="AO678" s="16" t="n">
        <v>57</v>
      </c>
      <c r="AP678" s="36" t="n">
        <f aca="false">(AO678*70)/100</f>
        <v>39.9</v>
      </c>
      <c r="AQ678" s="37" t="n">
        <f aca="false">ROUNDUP(AP678,0)</f>
        <v>40</v>
      </c>
      <c r="AR678" s="16" t="n">
        <v>22</v>
      </c>
      <c r="AS678" s="16" t="n">
        <f aca="false">AR678+AP678</f>
        <v>61.9</v>
      </c>
      <c r="AT678" s="16" t="n">
        <f aca="false">AR678+AQ678</f>
        <v>62</v>
      </c>
      <c r="AU678" s="16" t="n">
        <f aca="false">AO678+AF678+AI678+AH678+AG678</f>
        <v>385</v>
      </c>
      <c r="AV678" s="16" t="n">
        <f aca="false">(AO678+AF678+AI678+AH678+AG678)/5</f>
        <v>77</v>
      </c>
      <c r="AW678" s="36" t="n">
        <f aca="false">(AO678+AF678+AI678+AH678+AG678+X678+R678+Q678+K678+J678)</f>
        <v>768</v>
      </c>
      <c r="AX678" s="16" t="n">
        <f aca="false">AW678/10</f>
        <v>76.8</v>
      </c>
      <c r="AY678" s="16" t="n">
        <f aca="false">AS678+AF678+AM678+AH678+AG678+AB678+V678+Q678+O678+J678</f>
        <v>757.4</v>
      </c>
      <c r="AZ678" s="16" t="n">
        <f aca="false">AT678+AF678+AN678+AH678+AG678+AC678+W678+Q678+P678+J678</f>
        <v>759</v>
      </c>
      <c r="BA678" s="16" t="n">
        <f aca="false">AY678/10</f>
        <v>75.74</v>
      </c>
      <c r="BB678" s="16" t="n">
        <f aca="false">AZ678/10</f>
        <v>75.9</v>
      </c>
      <c r="BC678" s="16" t="n">
        <v>2345</v>
      </c>
      <c r="BD678" s="16" t="n">
        <f aca="false">RANK(AX678,$AX$2:$AX$881,0)</f>
        <v>527</v>
      </c>
      <c r="BE678" s="54" t="n">
        <f aca="false">((BC678*100)/2400)*0.4+(AX678*0.6)</f>
        <v>85.1633333333333</v>
      </c>
      <c r="BF678" s="16" t="n">
        <f aca="false">RANK(BE678,$BE$2:$BE$881,0)</f>
        <v>572</v>
      </c>
      <c r="BG678" s="39" t="n">
        <f aca="false">RANK(BB678,$BB$2:$BB$881,0)</f>
        <v>680</v>
      </c>
      <c r="BH678" s="39" t="n">
        <f aca="false">RANK(BC678,$BC$2:$BC$881,0)</f>
        <v>585</v>
      </c>
      <c r="BI678" s="22" t="s">
        <v>130</v>
      </c>
      <c r="BJ678" s="22" t="s">
        <v>129</v>
      </c>
      <c r="BK678" s="40" t="s">
        <v>509</v>
      </c>
      <c r="BL678" s="41" t="n">
        <v>18</v>
      </c>
      <c r="BM678" s="41" t="n">
        <v>56</v>
      </c>
      <c r="BN678" s="41" t="n">
        <v>74</v>
      </c>
      <c r="BO678" s="42" t="n">
        <v>24</v>
      </c>
      <c r="BP678" s="43" t="n">
        <v>52</v>
      </c>
      <c r="BQ678" s="44" t="n">
        <v>76</v>
      </c>
      <c r="BR678" s="42" t="n">
        <v>25</v>
      </c>
      <c r="BS678" s="45" t="n">
        <v>48</v>
      </c>
      <c r="BT678" s="45" t="n">
        <v>73</v>
      </c>
      <c r="BU678" s="46" t="n">
        <v>100</v>
      </c>
      <c r="BV678" s="47" t="n">
        <v>82</v>
      </c>
      <c r="BW678" s="42" t="n">
        <v>98</v>
      </c>
      <c r="BX678" s="80"/>
      <c r="BY678" s="130"/>
      <c r="BZ678" s="60"/>
      <c r="CA678" s="60"/>
      <c r="CB678" s="61"/>
      <c r="CC678" s="60"/>
      <c r="CD678" s="60"/>
      <c r="CE678" s="60"/>
      <c r="CF678" s="60"/>
      <c r="CG678" s="60"/>
      <c r="CH678" s="60"/>
      <c r="CI678" s="58" t="n">
        <v>98</v>
      </c>
      <c r="CJ678" s="60"/>
      <c r="CK678" s="60"/>
      <c r="CL678" s="61"/>
      <c r="CM678" s="60"/>
      <c r="CN678" s="60"/>
      <c r="CO678" s="60"/>
      <c r="CP678" s="25" t="n">
        <f aca="false">BX678+BW678+BV678+BU678+BT678+BQ678+BN678</f>
        <v>503</v>
      </c>
      <c r="CQ678" s="25" t="n">
        <f aca="false">CO678+CL678+CI678+CH678+CG678+CD678+CA678</f>
        <v>98</v>
      </c>
      <c r="CR678" s="26" t="n">
        <f aca="false">CP678/7</f>
        <v>71.8571428571429</v>
      </c>
      <c r="CS678" s="26" t="n">
        <f aca="false">CQ678/7</f>
        <v>14</v>
      </c>
      <c r="CT678" s="24" t="n">
        <f aca="false">RANK(CR678,$CR$2:$CR$881,0)</f>
        <v>672</v>
      </c>
      <c r="CU678" s="25" t="n">
        <f aca="false">RANK(CS678,$CS$2:$CS$881,0)</f>
        <v>736</v>
      </c>
      <c r="CV678" s="26" t="n">
        <f aca="false">(CS678+CR678)/2</f>
        <v>42.9285714285714</v>
      </c>
      <c r="CW678" s="25" t="n">
        <f aca="false">RANK(CV678,$CV$2:$CV$881,0)</f>
        <v>720</v>
      </c>
      <c r="CX678" s="50" t="n">
        <f aca="false">(CV678+BB678)/2</f>
        <v>59.4142857142857</v>
      </c>
      <c r="CY678" s="50" t="n">
        <v>672</v>
      </c>
      <c r="CZ678" s="27" t="s">
        <v>132</v>
      </c>
      <c r="DA678" s="27" t="s">
        <v>272</v>
      </c>
      <c r="DB678" s="27" t="s">
        <v>272</v>
      </c>
      <c r="DC678" s="27" t="s">
        <v>134</v>
      </c>
      <c r="DD678" s="27" t="s">
        <v>160</v>
      </c>
      <c r="DE678" s="27" t="s">
        <v>204</v>
      </c>
      <c r="DF678" s="27" t="s">
        <v>178</v>
      </c>
      <c r="DG678" s="27" t="s">
        <v>134</v>
      </c>
      <c r="DH678" s="27" t="s">
        <v>164</v>
      </c>
      <c r="DI678" s="27" t="s">
        <v>412</v>
      </c>
      <c r="DJ678" s="27" t="s">
        <v>305</v>
      </c>
      <c r="DK678" s="27" t="s">
        <v>134</v>
      </c>
      <c r="DL678" s="27" t="s">
        <v>604</v>
      </c>
      <c r="DM678" s="27" t="s">
        <v>161</v>
      </c>
      <c r="DN678" s="27" t="s">
        <v>382</v>
      </c>
      <c r="DO678" s="27" t="s">
        <v>134</v>
      </c>
      <c r="DP678" s="27" t="s">
        <v>191</v>
      </c>
      <c r="DQ678" s="27" t="s">
        <v>1064</v>
      </c>
      <c r="DR678" s="27" t="s">
        <v>220</v>
      </c>
      <c r="DS678" s="27" t="s">
        <v>480</v>
      </c>
      <c r="DT678" s="27" t="s">
        <v>154</v>
      </c>
      <c r="DU678" s="27" t="s">
        <v>673</v>
      </c>
      <c r="DV678" s="27" t="s">
        <v>152</v>
      </c>
      <c r="DW678" s="27" t="s">
        <v>164</v>
      </c>
      <c r="DX678" s="27" t="s">
        <v>155</v>
      </c>
      <c r="DY678" s="27" t="s">
        <v>144</v>
      </c>
      <c r="DZ678" s="27" t="n">
        <f aca="false">DY678+DV678+DR678+DN678+DJ678+DF678+DB678</f>
        <v>538</v>
      </c>
      <c r="EA678" s="28" t="n">
        <f aca="false">DZ678/7</f>
        <v>76.8571428571429</v>
      </c>
      <c r="EB678" s="27" t="n">
        <f aca="false">RANK(EA678,$EA$2:$EA$881,0)</f>
        <v>493</v>
      </c>
      <c r="EC678" s="29" t="n">
        <f aca="false">DZ678+CQ678+CP678+AZ678</f>
        <v>1898</v>
      </c>
      <c r="ED678" s="30" t="n">
        <f aca="false">(EA678+CV678+BB678)/3</f>
        <v>65.2285714285714</v>
      </c>
      <c r="EE678" s="51" t="n">
        <f aca="false">ROUND(BE678,3)</f>
        <v>85.163</v>
      </c>
      <c r="EF678" s="51" t="n">
        <f aca="false">ROUND(CR678,3)</f>
        <v>71.857</v>
      </c>
      <c r="EG678" s="51" t="n">
        <f aca="false">ROUND(CS678,3)</f>
        <v>14</v>
      </c>
      <c r="EH678" s="51" t="n">
        <f aca="false">ROUND(EA678,3)</f>
        <v>76.857</v>
      </c>
      <c r="EI678" s="51" t="n">
        <f aca="false">ROUND(ED678,3)</f>
        <v>65.229</v>
      </c>
      <c r="EJ678" s="51" t="n">
        <f aca="false">ROUND(CV678,3)</f>
        <v>42.929</v>
      </c>
      <c r="EK678" s="0" t="n">
        <f aca="false">RANK(EI678,$EI$2:$EI$881,0)</f>
        <v>677</v>
      </c>
    </row>
    <row r="679" customFormat="false" ht="15" hidden="false" customHeight="false" outlineLevel="0" collapsed="false">
      <c r="A679" s="4" t="n">
        <v>8853</v>
      </c>
      <c r="B679" s="4" t="n">
        <v>492</v>
      </c>
      <c r="C679" s="27" t="s">
        <v>1961</v>
      </c>
      <c r="D679" s="31" t="n">
        <v>501</v>
      </c>
      <c r="E679" s="16" t="n">
        <v>230243765</v>
      </c>
      <c r="F679" s="56" t="s">
        <v>1962</v>
      </c>
      <c r="G679" s="22" t="s">
        <v>1963</v>
      </c>
      <c r="H679" s="22" t="s">
        <v>326</v>
      </c>
      <c r="I679" s="57"/>
      <c r="J679" s="16" t="n">
        <v>75</v>
      </c>
      <c r="K679" s="16" t="n">
        <v>59</v>
      </c>
      <c r="L679" s="34" t="n">
        <f aca="false">(K679*70)/100</f>
        <v>41.3</v>
      </c>
      <c r="M679" s="34" t="n">
        <f aca="false">ROUNDUP(L679,0)</f>
        <v>42</v>
      </c>
      <c r="N679" s="16" t="n">
        <v>14</v>
      </c>
      <c r="O679" s="34" t="n">
        <f aca="false">N679+L679</f>
        <v>55.3</v>
      </c>
      <c r="P679" s="91" t="n">
        <f aca="false">N679+M679</f>
        <v>56</v>
      </c>
      <c r="Q679" s="16" t="n">
        <v>70</v>
      </c>
      <c r="R679" s="16" t="n">
        <v>66</v>
      </c>
      <c r="S679" s="34" t="n">
        <f aca="false">(R679*70)/100</f>
        <v>46.2</v>
      </c>
      <c r="T679" s="34" t="n">
        <f aca="false">ROUNDUP(S679,0)</f>
        <v>47</v>
      </c>
      <c r="U679" s="16" t="n">
        <v>26</v>
      </c>
      <c r="V679" s="34" t="n">
        <f aca="false">U679+S679</f>
        <v>72.2</v>
      </c>
      <c r="W679" s="34" t="n">
        <f aca="false">U679+T679</f>
        <v>73</v>
      </c>
      <c r="X679" s="16" t="n">
        <v>64</v>
      </c>
      <c r="Y679" s="34" t="n">
        <f aca="false">(X679*70)/100</f>
        <v>44.8</v>
      </c>
      <c r="Z679" s="34" t="n">
        <f aca="false">ROUNDUP(Y679,0)</f>
        <v>45</v>
      </c>
      <c r="AA679" s="16" t="n">
        <v>24</v>
      </c>
      <c r="AB679" s="34" t="n">
        <f aca="false">AA679+Y679</f>
        <v>68.8</v>
      </c>
      <c r="AC679" s="34" t="n">
        <f aca="false">AA679+Z679</f>
        <v>69</v>
      </c>
      <c r="AD679" s="32" t="n">
        <f aca="false">X679+R679+Q679+K679+J679</f>
        <v>334</v>
      </c>
      <c r="AE679" s="16" t="n">
        <f aca="false">AD679/5</f>
        <v>66.8</v>
      </c>
      <c r="AF679" s="71" t="n">
        <v>53</v>
      </c>
      <c r="AG679" s="71" t="n">
        <v>59</v>
      </c>
      <c r="AH679" s="16" t="n">
        <v>75</v>
      </c>
      <c r="AI679" s="16" t="n">
        <v>48</v>
      </c>
      <c r="AJ679" s="16" t="n">
        <f aca="false">(AI679*70)/100</f>
        <v>33.6</v>
      </c>
      <c r="AK679" s="35" t="n">
        <f aca="false">ROUNDUP(AJ679,0)</f>
        <v>34</v>
      </c>
      <c r="AL679" s="16" t="n">
        <v>12</v>
      </c>
      <c r="AM679" s="16" t="n">
        <f aca="false">AL679+AJ679</f>
        <v>45.6</v>
      </c>
      <c r="AN679" s="71" t="n">
        <f aca="false">AL679+AK679</f>
        <v>46</v>
      </c>
      <c r="AO679" s="16" t="n">
        <v>58</v>
      </c>
      <c r="AP679" s="36" t="n">
        <f aca="false">(AO679*70)/100</f>
        <v>40.6</v>
      </c>
      <c r="AQ679" s="37" t="n">
        <f aca="false">ROUNDUP(AP679,0)</f>
        <v>41</v>
      </c>
      <c r="AR679" s="16" t="n">
        <v>24</v>
      </c>
      <c r="AS679" s="16" t="n">
        <f aca="false">AR679+AP679</f>
        <v>64.6</v>
      </c>
      <c r="AT679" s="16" t="n">
        <f aca="false">AR679+AQ679</f>
        <v>65</v>
      </c>
      <c r="AU679" s="16" t="n">
        <f aca="false">AO679+AF679+AI679+AH679+AG679</f>
        <v>293</v>
      </c>
      <c r="AV679" s="16" t="n">
        <f aca="false">(AO679+AF679+AI679+AH679+AG679)/5</f>
        <v>58.6</v>
      </c>
      <c r="AW679" s="36" t="n">
        <f aca="false">(AO679+AF679+AI679+AH679+AG679+X679+R679+Q679+K679+J679)</f>
        <v>627</v>
      </c>
      <c r="AX679" s="16" t="n">
        <f aca="false">AW679/10</f>
        <v>62.7</v>
      </c>
      <c r="AY679" s="16" t="n">
        <f aca="false">AS679+AF679+AM679+AH679+AG679+AB679+V679+Q679+O679+J679</f>
        <v>638.5</v>
      </c>
      <c r="AZ679" s="16" t="n">
        <f aca="false">AT679+AF679+AN679+AH679+AG679+AC679+W679+Q679+P679+J679</f>
        <v>641</v>
      </c>
      <c r="BA679" s="16" t="n">
        <f aca="false">AY679/10</f>
        <v>63.85</v>
      </c>
      <c r="BB679" s="16" t="n">
        <f aca="false">AZ679/10</f>
        <v>64.1</v>
      </c>
      <c r="BC679" s="16" t="n">
        <v>2380</v>
      </c>
      <c r="BD679" s="16" t="n">
        <f aca="false">RANK(AX679,$AX$2:$AX$881,0)</f>
        <v>783</v>
      </c>
      <c r="BE679" s="78" t="n">
        <f aca="false">((BC679*100)/2400)*0.4+(AX679*0.6)</f>
        <v>77.2866666666667</v>
      </c>
      <c r="BF679" s="16" t="n">
        <f aca="false">RANK(BE679,$BE$2:$BE$881,0)</f>
        <v>760</v>
      </c>
      <c r="BG679" s="39" t="n">
        <f aca="false">RANK(BB679,$BB$2:$BB$881,0)</f>
        <v>788</v>
      </c>
      <c r="BH679" s="39" t="n">
        <f aca="false">RANK(BC679,$BC$2:$BC$881,0)</f>
        <v>148</v>
      </c>
      <c r="BI679" s="22" t="s">
        <v>130</v>
      </c>
      <c r="BJ679" s="22" t="s">
        <v>129</v>
      </c>
      <c r="BK679" s="40" t="s">
        <v>702</v>
      </c>
      <c r="BL679" s="41" t="n">
        <v>20</v>
      </c>
      <c r="BM679" s="41" t="n">
        <v>49</v>
      </c>
      <c r="BN679" s="41" t="n">
        <v>69</v>
      </c>
      <c r="BO679" s="42" t="n">
        <v>20</v>
      </c>
      <c r="BP679" s="43" t="n">
        <v>49</v>
      </c>
      <c r="BQ679" s="44" t="n">
        <v>69</v>
      </c>
      <c r="BR679" s="74" t="n">
        <v>4</v>
      </c>
      <c r="BS679" s="80"/>
      <c r="BT679" s="80"/>
      <c r="BU679" s="46" t="n">
        <v>100</v>
      </c>
      <c r="BV679" s="47" t="n">
        <v>72</v>
      </c>
      <c r="BW679" s="42" t="n">
        <v>88</v>
      </c>
      <c r="BX679" s="48" t="n">
        <v>82</v>
      </c>
      <c r="BY679" s="32" t="n">
        <v>20</v>
      </c>
      <c r="BZ679" s="58" t="n">
        <v>47</v>
      </c>
      <c r="CA679" s="58" t="n">
        <v>67</v>
      </c>
      <c r="CB679" s="32" t="n">
        <v>18</v>
      </c>
      <c r="CC679" s="32" t="n">
        <v>32</v>
      </c>
      <c r="CD679" s="69" t="n">
        <v>50</v>
      </c>
      <c r="CE679" s="32" t="n">
        <v>24</v>
      </c>
      <c r="CF679" s="32" t="n">
        <v>42</v>
      </c>
      <c r="CG679" s="32" t="n">
        <v>66</v>
      </c>
      <c r="CH679" s="32" t="n">
        <v>90</v>
      </c>
      <c r="CI679" s="32" t="n">
        <v>85</v>
      </c>
      <c r="CJ679" s="49" t="n">
        <v>20</v>
      </c>
      <c r="CK679" s="49" t="n">
        <v>46</v>
      </c>
      <c r="CL679" s="84" t="n">
        <v>66</v>
      </c>
      <c r="CM679" s="83" t="n">
        <v>7</v>
      </c>
      <c r="CN679" s="60"/>
      <c r="CO679" s="60"/>
      <c r="CP679" s="25" t="n">
        <f aca="false">BX679+BW679+BV679+BU679+BT679+BQ679+BN679</f>
        <v>480</v>
      </c>
      <c r="CQ679" s="25" t="n">
        <f aca="false">CO679+CL679+CI679+CH679+CG679+CD679+CA679</f>
        <v>424</v>
      </c>
      <c r="CR679" s="26" t="n">
        <f aca="false">CP679/7</f>
        <v>68.5714285714286</v>
      </c>
      <c r="CS679" s="26" t="n">
        <f aca="false">CQ679/7</f>
        <v>60.5714285714286</v>
      </c>
      <c r="CT679" s="24" t="n">
        <f aca="false">RANK(CR679,$CR$2:$CR$881,0)</f>
        <v>692</v>
      </c>
      <c r="CU679" s="25" t="n">
        <f aca="false">RANK(CS679,$CS$2:$CS$881,0)</f>
        <v>676</v>
      </c>
      <c r="CV679" s="26" t="n">
        <f aca="false">(CS679+CR679)/2</f>
        <v>64.5714285714286</v>
      </c>
      <c r="CW679" s="25" t="n">
        <f aca="false">RANK(CV679,$CV$2:$CV$881,0)</f>
        <v>679</v>
      </c>
      <c r="CX679" s="50" t="n">
        <f aca="false">(CV679+BB679)/2</f>
        <v>64.3357142857143</v>
      </c>
      <c r="CY679" s="50" t="n">
        <v>636</v>
      </c>
      <c r="CZ679" s="27" t="s">
        <v>132</v>
      </c>
      <c r="DA679" s="27" t="s">
        <v>169</v>
      </c>
      <c r="DB679" s="27" t="s">
        <v>169</v>
      </c>
      <c r="DC679" s="27" t="s">
        <v>134</v>
      </c>
      <c r="DD679" s="27" t="s">
        <v>174</v>
      </c>
      <c r="DE679" s="27" t="s">
        <v>304</v>
      </c>
      <c r="DF679" s="27" t="s">
        <v>443</v>
      </c>
      <c r="DG679" s="27" t="s">
        <v>134</v>
      </c>
      <c r="DH679" s="27" t="s">
        <v>160</v>
      </c>
      <c r="DI679" s="27" t="s">
        <v>447</v>
      </c>
      <c r="DJ679" s="27" t="s">
        <v>196</v>
      </c>
      <c r="DK679" s="27" t="s">
        <v>134</v>
      </c>
      <c r="DL679" s="27" t="s">
        <v>135</v>
      </c>
      <c r="DM679" s="27" t="s">
        <v>645</v>
      </c>
      <c r="DN679" s="27" t="s">
        <v>138</v>
      </c>
      <c r="DO679" s="27" t="s">
        <v>134</v>
      </c>
      <c r="DP679" s="27"/>
      <c r="DQ679" s="27"/>
      <c r="DR679" s="27"/>
      <c r="DS679" s="27"/>
      <c r="DT679" s="27" t="s">
        <v>164</v>
      </c>
      <c r="DU679" s="27" t="s">
        <v>479</v>
      </c>
      <c r="DV679" s="27" t="s">
        <v>187</v>
      </c>
      <c r="DW679" s="27" t="s">
        <v>182</v>
      </c>
      <c r="DX679" s="27" t="s">
        <v>138</v>
      </c>
      <c r="DY679" s="27" t="s">
        <v>151</v>
      </c>
      <c r="DZ679" s="27" t="n">
        <f aca="false">DY679+DV679+DR679+DN679+DJ679+DF679+DB679</f>
        <v>468</v>
      </c>
      <c r="EA679" s="28" t="n">
        <f aca="false">DZ679/7</f>
        <v>66.8571428571429</v>
      </c>
      <c r="EB679" s="27" t="n">
        <f aca="false">RANK(EA679,$EA$2:$EA$881,0)</f>
        <v>705</v>
      </c>
      <c r="EC679" s="29" t="n">
        <f aca="false">DZ679+CQ679+CP679+AZ679</f>
        <v>2013</v>
      </c>
      <c r="ED679" s="30" t="n">
        <f aca="false">(EA679+CV679+BB679)/3</f>
        <v>65.1761904761905</v>
      </c>
      <c r="EE679" s="51" t="n">
        <f aca="false">ROUND(BE679,3)</f>
        <v>77.287</v>
      </c>
      <c r="EF679" s="51" t="n">
        <f aca="false">ROUND(CR679,3)</f>
        <v>68.571</v>
      </c>
      <c r="EG679" s="51" t="n">
        <f aca="false">ROUND(CS679,3)</f>
        <v>60.571</v>
      </c>
      <c r="EH679" s="51" t="n">
        <f aca="false">ROUND(EA679,3)</f>
        <v>66.857</v>
      </c>
      <c r="EI679" s="51" t="n">
        <f aca="false">ROUND(ED679,3)</f>
        <v>65.176</v>
      </c>
      <c r="EJ679" s="51" t="n">
        <f aca="false">ROUND(CV679,3)</f>
        <v>64.571</v>
      </c>
      <c r="EK679" s="0" t="n">
        <f aca="false">RANK(EI679,$EI$2:$EI$881,0)</f>
        <v>678</v>
      </c>
    </row>
    <row r="680" customFormat="false" ht="15" hidden="false" customHeight="false" outlineLevel="0" collapsed="false">
      <c r="A680" s="4" t="n">
        <v>2063</v>
      </c>
      <c r="B680" s="4" t="n">
        <v>680</v>
      </c>
      <c r="C680" s="27" t="s">
        <v>1964</v>
      </c>
      <c r="D680" s="31" t="n">
        <v>694</v>
      </c>
      <c r="E680" s="16" t="n">
        <v>230120654</v>
      </c>
      <c r="F680" s="56" t="s">
        <v>1965</v>
      </c>
      <c r="G680" s="22" t="s">
        <v>664</v>
      </c>
      <c r="H680" s="22" t="s">
        <v>326</v>
      </c>
      <c r="I680" s="57"/>
      <c r="J680" s="16" t="n">
        <v>90</v>
      </c>
      <c r="K680" s="16" t="n">
        <v>76</v>
      </c>
      <c r="L680" s="34" t="n">
        <f aca="false">(K680*70)/100</f>
        <v>53.2</v>
      </c>
      <c r="M680" s="34" t="n">
        <f aca="false">ROUNDUP(L680,0)</f>
        <v>54</v>
      </c>
      <c r="N680" s="16" t="n">
        <v>26</v>
      </c>
      <c r="O680" s="34" t="n">
        <f aca="false">N680+L680</f>
        <v>79.2</v>
      </c>
      <c r="P680" s="34" t="n">
        <f aca="false">N680+M680</f>
        <v>80</v>
      </c>
      <c r="Q680" s="16" t="n">
        <v>61</v>
      </c>
      <c r="R680" s="16" t="n">
        <v>75</v>
      </c>
      <c r="S680" s="34" t="n">
        <f aca="false">(R680*70)/100</f>
        <v>52.5</v>
      </c>
      <c r="T680" s="34" t="n">
        <f aca="false">ROUNDUP(S680,0)</f>
        <v>53</v>
      </c>
      <c r="U680" s="16" t="n">
        <v>23</v>
      </c>
      <c r="V680" s="34" t="n">
        <f aca="false">U680+S680</f>
        <v>75.5</v>
      </c>
      <c r="W680" s="34" t="n">
        <f aca="false">U680+T680</f>
        <v>76</v>
      </c>
      <c r="X680" s="16" t="n">
        <v>71</v>
      </c>
      <c r="Y680" s="34" t="n">
        <f aca="false">(X680*70)/100</f>
        <v>49.7</v>
      </c>
      <c r="Z680" s="34" t="n">
        <f aca="false">ROUNDUP(Y680,0)</f>
        <v>50</v>
      </c>
      <c r="AA680" s="16" t="n">
        <v>28</v>
      </c>
      <c r="AB680" s="34" t="n">
        <f aca="false">AA680+Y680</f>
        <v>77.7</v>
      </c>
      <c r="AC680" s="34" t="n">
        <f aca="false">AA680+Z680</f>
        <v>78</v>
      </c>
      <c r="AD680" s="32" t="n">
        <f aca="false">X680+R680+Q680+K680+J680</f>
        <v>373</v>
      </c>
      <c r="AE680" s="16" t="n">
        <f aca="false">AD680/5</f>
        <v>74.6</v>
      </c>
      <c r="AF680" s="71" t="n">
        <v>52</v>
      </c>
      <c r="AG680" s="16" t="n">
        <v>93</v>
      </c>
      <c r="AH680" s="16" t="n">
        <v>84</v>
      </c>
      <c r="AI680" s="16" t="n">
        <v>90</v>
      </c>
      <c r="AJ680" s="16" t="n">
        <f aca="false">(AI680*70)/100</f>
        <v>63</v>
      </c>
      <c r="AK680" s="35" t="n">
        <f aca="false">ROUNDUP(AJ680,0)</f>
        <v>63</v>
      </c>
      <c r="AL680" s="16" t="n">
        <v>30</v>
      </c>
      <c r="AM680" s="16" t="n">
        <f aca="false">AL680+AJ680</f>
        <v>93</v>
      </c>
      <c r="AN680" s="16" t="n">
        <f aca="false">AL680+AK680</f>
        <v>93</v>
      </c>
      <c r="AO680" s="16" t="n">
        <v>74</v>
      </c>
      <c r="AP680" s="36" t="n">
        <f aca="false">(AO680*70)/100</f>
        <v>51.8</v>
      </c>
      <c r="AQ680" s="37" t="n">
        <f aca="false">ROUNDUP(AP680,0)</f>
        <v>52</v>
      </c>
      <c r="AR680" s="16" t="n">
        <v>27</v>
      </c>
      <c r="AS680" s="16" t="n">
        <f aca="false">AR680+AP680</f>
        <v>78.8</v>
      </c>
      <c r="AT680" s="16" t="n">
        <f aca="false">AR680+AQ680</f>
        <v>79</v>
      </c>
      <c r="AU680" s="16" t="n">
        <f aca="false">AO680+AF680+AI680+AH680+AG680</f>
        <v>393</v>
      </c>
      <c r="AV680" s="16" t="n">
        <f aca="false">(AO680+AF680+AI680+AH680+AG680)/5</f>
        <v>78.6</v>
      </c>
      <c r="AW680" s="36" t="n">
        <f aca="false">(AO680+AF680+AI680+AH680+AG680+X680+R680+Q680+K680+J680)</f>
        <v>766</v>
      </c>
      <c r="AX680" s="16" t="n">
        <f aca="false">AW680/10</f>
        <v>76.6</v>
      </c>
      <c r="AY680" s="16" t="n">
        <f aca="false">AS680+AF680+AM680+AH680+AG680+AB680+V680+Q680+O680+J680</f>
        <v>784.2</v>
      </c>
      <c r="AZ680" s="16" t="n">
        <f aca="false">AT680+AF680+AN680+AH680+AG680+AC680+W680+Q680+P680+J680</f>
        <v>786</v>
      </c>
      <c r="BA680" s="16" t="n">
        <f aca="false">AY680/10</f>
        <v>78.42</v>
      </c>
      <c r="BB680" s="16" t="n">
        <f aca="false">AZ680/10</f>
        <v>78.6</v>
      </c>
      <c r="BC680" s="16" t="n">
        <v>2371</v>
      </c>
      <c r="BD680" s="16" t="n">
        <f aca="false">RANK(AX680,$AX$2:$AX$881,0)</f>
        <v>547</v>
      </c>
      <c r="BE680" s="54" t="n">
        <f aca="false">((BC680*100)/2400)*0.4+(AX680*0.6)</f>
        <v>85.4766666666667</v>
      </c>
      <c r="BF680" s="16" t="n">
        <f aca="false">RANK(BE680,$BE$2:$BE$881,0)</f>
        <v>511</v>
      </c>
      <c r="BG680" s="39" t="n">
        <f aca="false">RANK(BB680,$BB$2:$BB$881,0)</f>
        <v>494</v>
      </c>
      <c r="BH680" s="39" t="n">
        <f aca="false">RANK(BC680,$BC$2:$BC$881,0)</f>
        <v>257</v>
      </c>
      <c r="BI680" s="22" t="s">
        <v>130</v>
      </c>
      <c r="BJ680" s="22" t="s">
        <v>129</v>
      </c>
      <c r="BK680" s="40" t="s">
        <v>509</v>
      </c>
      <c r="BL680" s="41" t="n">
        <v>17</v>
      </c>
      <c r="BM680" s="41" t="n">
        <v>48</v>
      </c>
      <c r="BN680" s="41" t="n">
        <v>65</v>
      </c>
      <c r="BO680" s="42" t="n">
        <v>22</v>
      </c>
      <c r="BP680" s="43" t="n">
        <v>42</v>
      </c>
      <c r="BQ680" s="44" t="n">
        <v>64</v>
      </c>
      <c r="BR680" s="42" t="n">
        <v>22</v>
      </c>
      <c r="BS680" s="45" t="n">
        <v>56</v>
      </c>
      <c r="BT680" s="45" t="n">
        <v>78</v>
      </c>
      <c r="BU680" s="46" t="n">
        <v>100</v>
      </c>
      <c r="BV680" s="47" t="n">
        <v>82</v>
      </c>
      <c r="BW680" s="42" t="n">
        <v>98</v>
      </c>
      <c r="BX680" s="48" t="n">
        <v>92</v>
      </c>
      <c r="BY680" s="32" t="n">
        <v>19</v>
      </c>
      <c r="BZ680" s="32" t="n">
        <v>41</v>
      </c>
      <c r="CA680" s="48" t="n">
        <v>60</v>
      </c>
      <c r="CB680" s="32" t="n">
        <v>22</v>
      </c>
      <c r="CC680" s="32" t="n">
        <v>24</v>
      </c>
      <c r="CD680" s="69" t="n">
        <v>46</v>
      </c>
      <c r="CE680" s="32" t="n">
        <v>21</v>
      </c>
      <c r="CF680" s="32" t="n">
        <v>37</v>
      </c>
      <c r="CG680" s="69" t="n">
        <v>58</v>
      </c>
      <c r="CH680" s="32" t="n">
        <v>95</v>
      </c>
      <c r="CI680" s="32" t="n">
        <v>96</v>
      </c>
      <c r="CJ680" s="83" t="n">
        <v>6</v>
      </c>
      <c r="CK680" s="60"/>
      <c r="CL680" s="61"/>
      <c r="CM680" s="49" t="n">
        <v>20</v>
      </c>
      <c r="CN680" s="49" t="n">
        <v>39</v>
      </c>
      <c r="CO680" s="76" t="n">
        <v>59</v>
      </c>
      <c r="CP680" s="25" t="n">
        <f aca="false">BX680+BW680+BV680+BU680+BT680+BQ680+BN680</f>
        <v>579</v>
      </c>
      <c r="CQ680" s="25" t="n">
        <f aca="false">CO680+CL680+CI680+CH680+CG680+CD680+CA680</f>
        <v>414</v>
      </c>
      <c r="CR680" s="26" t="n">
        <f aca="false">CP680/7</f>
        <v>82.7142857142857</v>
      </c>
      <c r="CS680" s="26" t="n">
        <f aca="false">CQ680/7</f>
        <v>59.1428571428571</v>
      </c>
      <c r="CT680" s="24" t="n">
        <f aca="false">RANK(CR680,$CR$2:$CR$881,0)</f>
        <v>527</v>
      </c>
      <c r="CU680" s="25" t="n">
        <f aca="false">RANK(CS680,$CS$2:$CS$881,0)</f>
        <v>691</v>
      </c>
      <c r="CV680" s="26" t="n">
        <f aca="false">(CS680+CR680)/2</f>
        <v>70.9285714285714</v>
      </c>
      <c r="CW680" s="25" t="n">
        <f aca="false">RANK(CV680,$CV$2:$CV$881,0)</f>
        <v>627</v>
      </c>
      <c r="CX680" s="50" t="n">
        <f aca="false">(CV680+BB680)/2</f>
        <v>74.7642857142857</v>
      </c>
      <c r="CY680" s="50" t="n">
        <v>567</v>
      </c>
      <c r="CZ680" s="27" t="s">
        <v>132</v>
      </c>
      <c r="DA680" s="27" t="s">
        <v>177</v>
      </c>
      <c r="DB680" s="27" t="s">
        <v>177</v>
      </c>
      <c r="DC680" s="27" t="s">
        <v>134</v>
      </c>
      <c r="DD680" s="27" t="s">
        <v>195</v>
      </c>
      <c r="DE680" s="27" t="s">
        <v>1395</v>
      </c>
      <c r="DF680" s="27" t="s">
        <v>306</v>
      </c>
      <c r="DG680" s="27" t="s">
        <v>480</v>
      </c>
      <c r="DH680" s="27" t="s">
        <v>174</v>
      </c>
      <c r="DI680" s="27" t="s">
        <v>906</v>
      </c>
      <c r="DJ680" s="27" t="s">
        <v>177</v>
      </c>
      <c r="DK680" s="27" t="s">
        <v>134</v>
      </c>
      <c r="DL680" s="27" t="s">
        <v>264</v>
      </c>
      <c r="DM680" s="27" t="s">
        <v>479</v>
      </c>
      <c r="DN680" s="27" t="s">
        <v>183</v>
      </c>
      <c r="DO680" s="27" t="s">
        <v>480</v>
      </c>
      <c r="DP680" s="27"/>
      <c r="DQ680" s="27"/>
      <c r="DR680" s="27"/>
      <c r="DS680" s="27"/>
      <c r="DT680" s="27" t="s">
        <v>191</v>
      </c>
      <c r="DU680" s="27" t="s">
        <v>191</v>
      </c>
      <c r="DV680" s="27" t="s">
        <v>1407</v>
      </c>
      <c r="DW680" s="27" t="s">
        <v>485</v>
      </c>
      <c r="DX680" s="27" t="s">
        <v>146</v>
      </c>
      <c r="DY680" s="27" t="s">
        <v>415</v>
      </c>
      <c r="DZ680" s="27" t="n">
        <f aca="false">DY680+DV680+DR680+DN680+DJ680+DF680+DB680</f>
        <v>320</v>
      </c>
      <c r="EA680" s="28" t="n">
        <f aca="false">DZ680/7</f>
        <v>45.7142857142857</v>
      </c>
      <c r="EB680" s="27" t="n">
        <f aca="false">RANK(EA680,$EA$2:$EA$881,0)</f>
        <v>850</v>
      </c>
      <c r="EC680" s="29" t="n">
        <f aca="false">DZ680+CQ680+CP680+AZ680</f>
        <v>2099</v>
      </c>
      <c r="ED680" s="30" t="n">
        <f aca="false">(EA680+CV680+BB680)/3</f>
        <v>65.0809523809524</v>
      </c>
      <c r="EE680" s="51" t="n">
        <f aca="false">ROUND(BE680,3)</f>
        <v>85.477</v>
      </c>
      <c r="EF680" s="51" t="n">
        <f aca="false">ROUND(CR680,3)</f>
        <v>82.714</v>
      </c>
      <c r="EG680" s="51" t="n">
        <f aca="false">ROUND(CS680,3)</f>
        <v>59.143</v>
      </c>
      <c r="EH680" s="51" t="n">
        <f aca="false">ROUND(EA680,3)</f>
        <v>45.714</v>
      </c>
      <c r="EI680" s="51" t="n">
        <f aca="false">ROUND(ED680,3)</f>
        <v>65.081</v>
      </c>
      <c r="EJ680" s="51" t="n">
        <f aca="false">ROUND(CV680,3)</f>
        <v>70.929</v>
      </c>
      <c r="EK680" s="0" t="n">
        <f aca="false">RANK(EI680,$EI$2:$EI$881,0)</f>
        <v>679</v>
      </c>
    </row>
    <row r="681" customFormat="false" ht="17.45" hidden="false" customHeight="false" outlineLevel="0" collapsed="false">
      <c r="A681" s="4" t="n">
        <v>9117</v>
      </c>
      <c r="B681" s="4" t="n">
        <v>690</v>
      </c>
      <c r="C681" s="27" t="s">
        <v>1966</v>
      </c>
      <c r="D681" s="31" t="n">
        <v>704</v>
      </c>
      <c r="E681" s="16" t="n">
        <v>230224072</v>
      </c>
      <c r="F681" s="56" t="s">
        <v>1967</v>
      </c>
      <c r="G681" s="22" t="s">
        <v>1057</v>
      </c>
      <c r="H681" s="22" t="s">
        <v>326</v>
      </c>
      <c r="I681" s="57"/>
      <c r="J681" s="16" t="n">
        <v>78</v>
      </c>
      <c r="K681" s="16" t="n">
        <v>70</v>
      </c>
      <c r="L681" s="34" t="n">
        <f aca="false">(K681*70)/100</f>
        <v>49</v>
      </c>
      <c r="M681" s="34" t="n">
        <f aca="false">ROUNDUP(L681,0)</f>
        <v>49</v>
      </c>
      <c r="N681" s="16" t="n">
        <v>22</v>
      </c>
      <c r="O681" s="34" t="n">
        <f aca="false">N681+L681</f>
        <v>71</v>
      </c>
      <c r="P681" s="34" t="n">
        <f aca="false">N681+M681</f>
        <v>71</v>
      </c>
      <c r="Q681" s="16" t="n">
        <v>69</v>
      </c>
      <c r="R681" s="16" t="n">
        <v>78</v>
      </c>
      <c r="S681" s="34" t="n">
        <f aca="false">(R681*70)/100</f>
        <v>54.6</v>
      </c>
      <c r="T681" s="34" t="n">
        <f aca="false">ROUNDUP(S681,0)</f>
        <v>55</v>
      </c>
      <c r="U681" s="16" t="n">
        <v>23</v>
      </c>
      <c r="V681" s="34" t="n">
        <f aca="false">U681+S681</f>
        <v>77.6</v>
      </c>
      <c r="W681" s="34" t="n">
        <f aca="false">U681+T681</f>
        <v>78</v>
      </c>
      <c r="X681" s="16" t="n">
        <v>70</v>
      </c>
      <c r="Y681" s="34" t="n">
        <f aca="false">(X681*70)/100</f>
        <v>49</v>
      </c>
      <c r="Z681" s="34" t="n">
        <f aca="false">ROUNDUP(Y681,0)</f>
        <v>49</v>
      </c>
      <c r="AA681" s="16" t="n">
        <v>27</v>
      </c>
      <c r="AB681" s="34" t="n">
        <f aca="false">AA681+Y681</f>
        <v>76</v>
      </c>
      <c r="AC681" s="34" t="n">
        <f aca="false">AA681+Z681</f>
        <v>76</v>
      </c>
      <c r="AD681" s="32" t="n">
        <f aca="false">X681+R681+Q681+K681+J681</f>
        <v>365</v>
      </c>
      <c r="AE681" s="16" t="n">
        <f aca="false">AD681/5</f>
        <v>73</v>
      </c>
      <c r="AF681" s="16" t="n">
        <v>77</v>
      </c>
      <c r="AG681" s="16" t="n">
        <v>83</v>
      </c>
      <c r="AH681" s="16" t="n">
        <v>95</v>
      </c>
      <c r="AI681" s="16" t="n">
        <v>92</v>
      </c>
      <c r="AJ681" s="16" t="n">
        <f aca="false">(AI681*70)/100</f>
        <v>64.4</v>
      </c>
      <c r="AK681" s="35" t="n">
        <f aca="false">ROUNDUP(AJ681,0)</f>
        <v>65</v>
      </c>
      <c r="AL681" s="16" t="n">
        <v>19</v>
      </c>
      <c r="AM681" s="16" t="n">
        <f aca="false">AL681+AJ681</f>
        <v>83.4</v>
      </c>
      <c r="AN681" s="16" t="n">
        <f aca="false">AL681+AK681</f>
        <v>84</v>
      </c>
      <c r="AO681" s="16" t="n">
        <v>77</v>
      </c>
      <c r="AP681" s="36" t="n">
        <f aca="false">(AO681*70)/100</f>
        <v>53.9</v>
      </c>
      <c r="AQ681" s="37" t="n">
        <f aca="false">ROUNDUP(AP681,0)</f>
        <v>54</v>
      </c>
      <c r="AR681" s="16" t="n">
        <v>24</v>
      </c>
      <c r="AS681" s="16" t="n">
        <f aca="false">AR681+AP681</f>
        <v>77.9</v>
      </c>
      <c r="AT681" s="16" t="n">
        <f aca="false">AR681+AQ681</f>
        <v>78</v>
      </c>
      <c r="AU681" s="16" t="n">
        <f aca="false">AO681+AF681+AI681+AH681+AG681</f>
        <v>424</v>
      </c>
      <c r="AV681" s="16" t="n">
        <f aca="false">(AO681+AF681+AI681+AH681+AG681)/5</f>
        <v>84.8</v>
      </c>
      <c r="AW681" s="36" t="n">
        <f aca="false">(AO681+AF681+AI681+AH681+AG681+X681+R681+Q681+K681+J681)</f>
        <v>789</v>
      </c>
      <c r="AX681" s="16" t="n">
        <f aca="false">AW681/10</f>
        <v>78.9</v>
      </c>
      <c r="AY681" s="16" t="n">
        <f aca="false">AS681+AF681+AM681+AH681+AG681+AB681+V681+Q681+O681+J681</f>
        <v>787.9</v>
      </c>
      <c r="AZ681" s="16" t="n">
        <f aca="false">AT681+AF681+AN681+AH681+AG681+AC681+W681+Q681+P681+J681</f>
        <v>789</v>
      </c>
      <c r="BA681" s="16" t="n">
        <f aca="false">AY681/10</f>
        <v>78.79</v>
      </c>
      <c r="BB681" s="16" t="n">
        <f aca="false">AZ681/10</f>
        <v>78.9</v>
      </c>
      <c r="BC681" s="16" t="n">
        <v>2336</v>
      </c>
      <c r="BD681" s="16" t="n">
        <f aca="false">RANK(AX681,$AX$2:$AX$881,0)</f>
        <v>339</v>
      </c>
      <c r="BE681" s="54" t="n">
        <f aca="false">((BC681*100)/2400)*0.4+(AX681*0.6)</f>
        <v>86.2733333333333</v>
      </c>
      <c r="BF681" s="16" t="n">
        <f aca="false">RANK(BE681,$BE$2:$BE$881,0)</f>
        <v>391</v>
      </c>
      <c r="BG681" s="39" t="n">
        <f aca="false">RANK(BB681,$BB$2:$BB$881,0)</f>
        <v>463</v>
      </c>
      <c r="BH681" s="39" t="n">
        <f aca="false">RANK(BC681,$BC$2:$BC$881,0)</f>
        <v>670</v>
      </c>
      <c r="BI681" s="22" t="s">
        <v>130</v>
      </c>
      <c r="BJ681" s="22" t="s">
        <v>129</v>
      </c>
      <c r="BK681" s="40" t="s">
        <v>131</v>
      </c>
      <c r="BL681" s="41" t="n">
        <v>12</v>
      </c>
      <c r="BM681" s="41" t="n">
        <v>29</v>
      </c>
      <c r="BN681" s="98" t="n">
        <v>41</v>
      </c>
      <c r="BO681" s="42" t="n">
        <v>19</v>
      </c>
      <c r="BP681" s="43" t="n">
        <v>52</v>
      </c>
      <c r="BQ681" s="44" t="n">
        <v>71</v>
      </c>
      <c r="BR681" s="42" t="n">
        <v>18</v>
      </c>
      <c r="BS681" s="45" t="n">
        <v>53</v>
      </c>
      <c r="BT681" s="45" t="n">
        <v>71</v>
      </c>
      <c r="BU681" s="46" t="n">
        <v>98</v>
      </c>
      <c r="BV681" s="47" t="n">
        <v>62</v>
      </c>
      <c r="BW681" s="42" t="n">
        <v>99</v>
      </c>
      <c r="BX681" s="24" t="n">
        <v>84</v>
      </c>
      <c r="BY681" s="32" t="n">
        <v>16</v>
      </c>
      <c r="BZ681" s="32" t="n">
        <v>52</v>
      </c>
      <c r="CA681" s="89" t="n">
        <v>68</v>
      </c>
      <c r="CB681" s="32" t="n">
        <v>18</v>
      </c>
      <c r="CC681" s="32" t="n">
        <v>26</v>
      </c>
      <c r="CD681" s="69" t="n">
        <v>44</v>
      </c>
      <c r="CE681" s="32" t="n">
        <v>20</v>
      </c>
      <c r="CF681" s="32" t="n">
        <v>37</v>
      </c>
      <c r="CG681" s="69" t="n">
        <v>57</v>
      </c>
      <c r="CH681" s="32" t="n">
        <v>89</v>
      </c>
      <c r="CI681" s="32" t="n">
        <v>98</v>
      </c>
      <c r="CJ681" s="71" t="n">
        <v>10</v>
      </c>
      <c r="CK681" s="60"/>
      <c r="CL681" s="61"/>
      <c r="CM681" s="49" t="n">
        <v>14</v>
      </c>
      <c r="CN681" s="49" t="n">
        <v>51</v>
      </c>
      <c r="CO681" s="84" t="n">
        <v>65</v>
      </c>
      <c r="CP681" s="25" t="n">
        <f aca="false">BX681+BW681+BV681+BU681+BT681+BQ681+BN681</f>
        <v>526</v>
      </c>
      <c r="CQ681" s="25" t="n">
        <f aca="false">CO681+CL681+CI681+CH681+CG681+CD681+CA681</f>
        <v>421</v>
      </c>
      <c r="CR681" s="26" t="n">
        <f aca="false">CP681/7</f>
        <v>75.1428571428571</v>
      </c>
      <c r="CS681" s="26" t="n">
        <f aca="false">CQ681/7</f>
        <v>60.1428571428571</v>
      </c>
      <c r="CT681" s="24" t="n">
        <f aca="false">RANK(CR681,$CR$2:$CR$881,0)</f>
        <v>647</v>
      </c>
      <c r="CU681" s="25" t="n">
        <f aca="false">RANK(CS681,$CS$2:$CS$881,0)</f>
        <v>682</v>
      </c>
      <c r="CV681" s="26" t="n">
        <f aca="false">(CS681+CR681)/2</f>
        <v>67.6428571428571</v>
      </c>
      <c r="CW681" s="25" t="n">
        <f aca="false">RANK(CV681,$CV$2:$CV$881,0)</f>
        <v>655</v>
      </c>
      <c r="CX681" s="50" t="n">
        <f aca="false">(CV681+BB681)/2</f>
        <v>73.2714285714286</v>
      </c>
      <c r="CY681" s="50" t="n">
        <v>589</v>
      </c>
      <c r="CZ681" s="27" t="s">
        <v>132</v>
      </c>
      <c r="DA681" s="27" t="s">
        <v>203</v>
      </c>
      <c r="DB681" s="27" t="s">
        <v>203</v>
      </c>
      <c r="DC681" s="27" t="s">
        <v>134</v>
      </c>
      <c r="DD681" s="27" t="s">
        <v>264</v>
      </c>
      <c r="DE681" s="27" t="s">
        <v>1395</v>
      </c>
      <c r="DF681" s="27" t="s">
        <v>447</v>
      </c>
      <c r="DG681" s="27" t="s">
        <v>480</v>
      </c>
      <c r="DH681" s="27" t="s">
        <v>135</v>
      </c>
      <c r="DI681" s="27" t="s">
        <v>1423</v>
      </c>
      <c r="DJ681" s="27" t="s">
        <v>220</v>
      </c>
      <c r="DK681" s="27" t="s">
        <v>480</v>
      </c>
      <c r="DL681" s="27" t="s">
        <v>264</v>
      </c>
      <c r="DM681" s="27" t="s">
        <v>673</v>
      </c>
      <c r="DN681" s="27" t="s">
        <v>177</v>
      </c>
      <c r="DO681" s="27" t="s">
        <v>134</v>
      </c>
      <c r="DP681" s="27"/>
      <c r="DQ681" s="27"/>
      <c r="DR681" s="27"/>
      <c r="DS681" s="27"/>
      <c r="DT681" s="27" t="s">
        <v>706</v>
      </c>
      <c r="DU681" s="27" t="s">
        <v>182</v>
      </c>
      <c r="DV681" s="27" t="s">
        <v>479</v>
      </c>
      <c r="DW681" s="27" t="s">
        <v>1000</v>
      </c>
      <c r="DX681" s="27" t="s">
        <v>447</v>
      </c>
      <c r="DY681" s="27" t="s">
        <v>141</v>
      </c>
      <c r="DZ681" s="27" t="n">
        <f aca="false">DY681+DV681+DR681+DN681+DJ681+DF681+DB681</f>
        <v>337</v>
      </c>
      <c r="EA681" s="28" t="n">
        <f aca="false">DZ681/7</f>
        <v>48.1428571428571</v>
      </c>
      <c r="EB681" s="27" t="n">
        <f aca="false">RANK(EA681,$EA$2:$EA$881,0)</f>
        <v>843</v>
      </c>
      <c r="EC681" s="29" t="n">
        <f aca="false">DZ681+CQ681+CP681+AZ681</f>
        <v>2073</v>
      </c>
      <c r="ED681" s="30" t="n">
        <f aca="false">(EA681+CV681+BB681)/3</f>
        <v>64.8952380952381</v>
      </c>
      <c r="EE681" s="51" t="n">
        <f aca="false">ROUND(BE681,3)</f>
        <v>86.273</v>
      </c>
      <c r="EF681" s="51" t="n">
        <f aca="false">ROUND(CR681,3)</f>
        <v>75.143</v>
      </c>
      <c r="EG681" s="51" t="n">
        <f aca="false">ROUND(CS681,3)</f>
        <v>60.143</v>
      </c>
      <c r="EH681" s="51" t="n">
        <f aca="false">ROUND(EA681,3)</f>
        <v>48.143</v>
      </c>
      <c r="EI681" s="51" t="n">
        <f aca="false">ROUND(ED681,3)</f>
        <v>64.895</v>
      </c>
      <c r="EJ681" s="51" t="n">
        <f aca="false">ROUND(CV681,3)</f>
        <v>67.643</v>
      </c>
      <c r="EK681" s="0" t="n">
        <f aca="false">RANK(EI681,$EI$2:$EI$881,0)</f>
        <v>680</v>
      </c>
    </row>
    <row r="682" customFormat="false" ht="15" hidden="false" customHeight="false" outlineLevel="0" collapsed="false">
      <c r="A682" s="4" t="n">
        <v>1833</v>
      </c>
      <c r="B682" s="4" t="n">
        <v>432</v>
      </c>
      <c r="C682" s="27" t="s">
        <v>1968</v>
      </c>
      <c r="D682" s="31" t="n">
        <v>437</v>
      </c>
      <c r="E682" s="16" t="n">
        <v>230512337</v>
      </c>
      <c r="F682" s="56" t="s">
        <v>1969</v>
      </c>
      <c r="G682" s="22" t="s">
        <v>1970</v>
      </c>
      <c r="H682" s="22" t="s">
        <v>558</v>
      </c>
      <c r="I682" s="57"/>
      <c r="J682" s="16" t="n">
        <v>77</v>
      </c>
      <c r="K682" s="16" t="n">
        <v>62</v>
      </c>
      <c r="L682" s="34" t="n">
        <f aca="false">(K682*70)/100</f>
        <v>43.4</v>
      </c>
      <c r="M682" s="34" t="n">
        <f aca="false">ROUNDUP(L682,0)</f>
        <v>44</v>
      </c>
      <c r="N682" s="16" t="n">
        <v>29</v>
      </c>
      <c r="O682" s="34" t="n">
        <f aca="false">N682+L682</f>
        <v>72.4</v>
      </c>
      <c r="P682" s="34" t="n">
        <f aca="false">N682+M682</f>
        <v>73</v>
      </c>
      <c r="Q682" s="16" t="n">
        <v>73</v>
      </c>
      <c r="R682" s="16" t="n">
        <v>64</v>
      </c>
      <c r="S682" s="34" t="n">
        <f aca="false">(R682*70)/100</f>
        <v>44.8</v>
      </c>
      <c r="T682" s="34" t="n">
        <f aca="false">ROUNDUP(S682,0)</f>
        <v>45</v>
      </c>
      <c r="U682" s="16" t="n">
        <v>26</v>
      </c>
      <c r="V682" s="34" t="n">
        <f aca="false">U682+S682</f>
        <v>70.8</v>
      </c>
      <c r="W682" s="34" t="n">
        <f aca="false">U682+T682</f>
        <v>71</v>
      </c>
      <c r="X682" s="16" t="n">
        <v>67</v>
      </c>
      <c r="Y682" s="34" t="n">
        <f aca="false">(X682*70)/100</f>
        <v>46.9</v>
      </c>
      <c r="Z682" s="34" t="n">
        <f aca="false">ROUNDUP(Y682,0)</f>
        <v>47</v>
      </c>
      <c r="AA682" s="16" t="n">
        <v>26</v>
      </c>
      <c r="AB682" s="34" t="n">
        <f aca="false">AA682+Y682</f>
        <v>72.9</v>
      </c>
      <c r="AC682" s="34" t="n">
        <f aca="false">AA682+Z682</f>
        <v>73</v>
      </c>
      <c r="AD682" s="32" t="n">
        <f aca="false">X682+R682+Q682+K682+J682</f>
        <v>343</v>
      </c>
      <c r="AE682" s="16" t="n">
        <f aca="false">AD682/5</f>
        <v>68.6</v>
      </c>
      <c r="AF682" s="16" t="n">
        <v>77</v>
      </c>
      <c r="AG682" s="16" t="n">
        <v>83</v>
      </c>
      <c r="AH682" s="16" t="n">
        <v>93</v>
      </c>
      <c r="AI682" s="16" t="n">
        <v>86</v>
      </c>
      <c r="AJ682" s="16" t="n">
        <f aca="false">(AI682*70)/100</f>
        <v>60.2</v>
      </c>
      <c r="AK682" s="35" t="n">
        <f aca="false">ROUNDUP(AJ682,0)</f>
        <v>61</v>
      </c>
      <c r="AL682" s="16" t="n">
        <v>28</v>
      </c>
      <c r="AM682" s="16" t="n">
        <f aca="false">AL682+AJ682</f>
        <v>88.2</v>
      </c>
      <c r="AN682" s="16" t="n">
        <f aca="false">AL682+AK682</f>
        <v>89</v>
      </c>
      <c r="AO682" s="16" t="n">
        <v>70</v>
      </c>
      <c r="AP682" s="36" t="n">
        <f aca="false">(AO682*70)/100</f>
        <v>49</v>
      </c>
      <c r="AQ682" s="37" t="n">
        <f aca="false">ROUNDUP(AP682,0)</f>
        <v>49</v>
      </c>
      <c r="AR682" s="16" t="n">
        <v>27</v>
      </c>
      <c r="AS682" s="16" t="n">
        <f aca="false">AR682+AP682</f>
        <v>76</v>
      </c>
      <c r="AT682" s="16" t="n">
        <f aca="false">AR682+AQ682</f>
        <v>76</v>
      </c>
      <c r="AU682" s="16" t="n">
        <f aca="false">AO682+AF682+AI682+AH682+AG682</f>
        <v>409</v>
      </c>
      <c r="AV682" s="16" t="n">
        <f aca="false">(AO682+AF682+AI682+AH682+AG682)/5</f>
        <v>81.8</v>
      </c>
      <c r="AW682" s="36" t="n">
        <f aca="false">(AO682+AF682+AI682+AH682+AG682+X682+R682+Q682+K682+J682)</f>
        <v>752</v>
      </c>
      <c r="AX682" s="16" t="n">
        <f aca="false">AW682/10</f>
        <v>75.2</v>
      </c>
      <c r="AY682" s="16" t="n">
        <f aca="false">AS682+AF682+AM682+AH682+AG682+AB682+V682+Q682+O682+J682</f>
        <v>783.3</v>
      </c>
      <c r="AZ682" s="16" t="n">
        <f aca="false">AT682+AF682+AN682+AH682+AG682+AC682+W682+Q682+P682+J682</f>
        <v>785</v>
      </c>
      <c r="BA682" s="16" t="n">
        <f aca="false">AY682/10</f>
        <v>78.33</v>
      </c>
      <c r="BB682" s="16" t="n">
        <f aca="false">AZ682/10</f>
        <v>78.5</v>
      </c>
      <c r="BC682" s="16" t="n">
        <v>2382</v>
      </c>
      <c r="BD682" s="16" t="n">
        <f aca="false">RANK(AX682,$AX$2:$AX$881,0)</f>
        <v>675</v>
      </c>
      <c r="BE682" s="73" t="n">
        <f aca="false">((BC682*100)/2400)*0.4+(AX682*0.6)</f>
        <v>84.82</v>
      </c>
      <c r="BF682" s="16" t="n">
        <f aca="false">RANK(BE682,$BE$2:$BE$881,0)</f>
        <v>655</v>
      </c>
      <c r="BG682" s="39" t="n">
        <f aca="false">RANK(BB682,$BB$2:$BB$881,0)</f>
        <v>505</v>
      </c>
      <c r="BH682" s="39" t="n">
        <f aca="false">RANK(BC682,$BC$2:$BC$881,0)</f>
        <v>124</v>
      </c>
      <c r="BI682" s="22" t="s">
        <v>130</v>
      </c>
      <c r="BJ682" s="22" t="s">
        <v>129</v>
      </c>
      <c r="BK682" s="22" t="s">
        <v>509</v>
      </c>
      <c r="BL682" s="41" t="n">
        <v>24</v>
      </c>
      <c r="BM682" s="41" t="n">
        <v>59</v>
      </c>
      <c r="BN682" s="41" t="n">
        <v>83</v>
      </c>
      <c r="BO682" s="74" t="n">
        <v>7</v>
      </c>
      <c r="BP682" s="61"/>
      <c r="BQ682" s="61"/>
      <c r="BR682" s="74" t="n">
        <v>8</v>
      </c>
      <c r="BS682" s="80"/>
      <c r="BT682" s="80"/>
      <c r="BU682" s="46" t="n">
        <v>100</v>
      </c>
      <c r="BV682" s="47" t="n">
        <v>88</v>
      </c>
      <c r="BW682" s="42" t="n">
        <v>99</v>
      </c>
      <c r="BX682" s="107"/>
      <c r="BY682" s="130"/>
      <c r="BZ682" s="60"/>
      <c r="CA682" s="60"/>
      <c r="CB682" s="61"/>
      <c r="CC682" s="60"/>
      <c r="CD682" s="60"/>
      <c r="CE682" s="60"/>
      <c r="CF682" s="60"/>
      <c r="CG682" s="60"/>
      <c r="CH682" s="60"/>
      <c r="CI682" s="60"/>
      <c r="CJ682" s="60"/>
      <c r="CK682" s="60"/>
      <c r="CL682" s="61"/>
      <c r="CM682" s="60"/>
      <c r="CN682" s="60"/>
      <c r="CO682" s="60"/>
      <c r="CP682" s="25" t="n">
        <f aca="false">BX682+BW682+BV682+BU682+BT682+BQ682+BN682</f>
        <v>370</v>
      </c>
      <c r="CQ682" s="25" t="n">
        <f aca="false">CO682+CL682+CI682+CH682+CG682+CD682+CA682</f>
        <v>0</v>
      </c>
      <c r="CR682" s="26" t="n">
        <f aca="false">CP682/7</f>
        <v>52.8571428571429</v>
      </c>
      <c r="CS682" s="26" t="n">
        <f aca="false">CQ682/7</f>
        <v>0</v>
      </c>
      <c r="CT682" s="24" t="n">
        <f aca="false">RANK(CR682,$CR$2:$CR$881,0)</f>
        <v>734</v>
      </c>
      <c r="CU682" s="25" t="n">
        <f aca="false">RANK(CS682,$CS$2:$CS$881,0)</f>
        <v>752</v>
      </c>
      <c r="CV682" s="26" t="n">
        <f aca="false">(CS682+CR682)/2</f>
        <v>26.4285714285714</v>
      </c>
      <c r="CW682" s="25" t="n">
        <f aca="false">RANK(CV682,$CV$2:$CV$881,0)</f>
        <v>743</v>
      </c>
      <c r="CX682" s="50" t="n">
        <f aca="false">(CV682+BB682)/2</f>
        <v>52.4642857142857</v>
      </c>
      <c r="CY682" s="50" t="n">
        <v>693</v>
      </c>
      <c r="CZ682" s="27" t="s">
        <v>132</v>
      </c>
      <c r="DA682" s="27" t="s">
        <v>153</v>
      </c>
      <c r="DB682" s="27" t="s">
        <v>153</v>
      </c>
      <c r="DC682" s="27" t="s">
        <v>134</v>
      </c>
      <c r="DD682" s="27" t="s">
        <v>137</v>
      </c>
      <c r="DE682" s="27" t="s">
        <v>136</v>
      </c>
      <c r="DF682" s="27" t="s">
        <v>162</v>
      </c>
      <c r="DG682" s="27" t="s">
        <v>134</v>
      </c>
      <c r="DH682" s="27" t="s">
        <v>135</v>
      </c>
      <c r="DI682" s="27" t="s">
        <v>203</v>
      </c>
      <c r="DJ682" s="27" t="s">
        <v>178</v>
      </c>
      <c r="DK682" s="27" t="s">
        <v>134</v>
      </c>
      <c r="DL682" s="27" t="s">
        <v>160</v>
      </c>
      <c r="DM682" s="27" t="s">
        <v>136</v>
      </c>
      <c r="DN682" s="27" t="s">
        <v>170</v>
      </c>
      <c r="DO682" s="27" t="s">
        <v>134</v>
      </c>
      <c r="DP682" s="27" t="s">
        <v>135</v>
      </c>
      <c r="DQ682" s="27" t="s">
        <v>218</v>
      </c>
      <c r="DR682" s="27" t="s">
        <v>205</v>
      </c>
      <c r="DS682" s="27" t="s">
        <v>134</v>
      </c>
      <c r="DT682" s="27" t="s">
        <v>140</v>
      </c>
      <c r="DU682" s="27" t="s">
        <v>161</v>
      </c>
      <c r="DV682" s="27" t="s">
        <v>153</v>
      </c>
      <c r="DW682" s="27" t="s">
        <v>140</v>
      </c>
      <c r="DX682" s="27" t="s">
        <v>155</v>
      </c>
      <c r="DY682" s="27" t="s">
        <v>147</v>
      </c>
      <c r="DZ682" s="27" t="n">
        <f aca="false">DY682+DV682+DR682+DN682+DJ682+DF682+DB682</f>
        <v>628</v>
      </c>
      <c r="EA682" s="28" t="n">
        <f aca="false">DZ682/7</f>
        <v>89.7142857142857</v>
      </c>
      <c r="EB682" s="27" t="n">
        <f aca="false">RANK(EA682,$EA$2:$EA$881,0)</f>
        <v>59</v>
      </c>
      <c r="EC682" s="29" t="n">
        <f aca="false">DZ682+CQ682+CP682+AZ682</f>
        <v>1783</v>
      </c>
      <c r="ED682" s="30" t="n">
        <f aca="false">(EA682+CV682+BB682)/3</f>
        <v>64.8809523809524</v>
      </c>
      <c r="EE682" s="51" t="n">
        <f aca="false">ROUND(BE682,3)</f>
        <v>84.82</v>
      </c>
      <c r="EF682" s="51" t="n">
        <f aca="false">ROUND(CR682,3)</f>
        <v>52.857</v>
      </c>
      <c r="EG682" s="51" t="n">
        <f aca="false">ROUND(CS682,3)</f>
        <v>0</v>
      </c>
      <c r="EH682" s="51" t="n">
        <f aca="false">ROUND(EA682,3)</f>
        <v>89.714</v>
      </c>
      <c r="EI682" s="51" t="n">
        <f aca="false">ROUND(ED682,3)</f>
        <v>64.881</v>
      </c>
      <c r="EJ682" s="51" t="n">
        <f aca="false">ROUND(CV682,3)</f>
        <v>26.429</v>
      </c>
      <c r="EK682" s="0" t="n">
        <f aca="false">RANK(EI682,$EI$2:$EI$881,0)</f>
        <v>681</v>
      </c>
    </row>
    <row r="683" customFormat="false" ht="15" hidden="false" customHeight="false" outlineLevel="0" collapsed="false">
      <c r="A683" s="4" t="n">
        <v>8598</v>
      </c>
      <c r="B683" s="4" t="n">
        <v>629</v>
      </c>
      <c r="C683" s="27" t="s">
        <v>1971</v>
      </c>
      <c r="D683" s="52" t="n">
        <v>637</v>
      </c>
      <c r="E683" s="109" t="n">
        <v>230320953</v>
      </c>
      <c r="F683" s="110" t="s">
        <v>1972</v>
      </c>
      <c r="G683" s="109" t="s">
        <v>243</v>
      </c>
      <c r="H683" s="109" t="s">
        <v>558</v>
      </c>
      <c r="I683" s="133" t="n">
        <v>2005</v>
      </c>
      <c r="J683" s="113" t="n">
        <v>43</v>
      </c>
      <c r="K683" s="111" t="n">
        <v>31</v>
      </c>
      <c r="L683" s="112" t="n">
        <f aca="false">(K683*70)/100</f>
        <v>21.7</v>
      </c>
      <c r="M683" s="112" t="n">
        <f aca="false">ROUNDUP(L683,0)</f>
        <v>22</v>
      </c>
      <c r="N683" s="111" t="n">
        <v>23</v>
      </c>
      <c r="O683" s="112" t="n">
        <f aca="false">N683+L683</f>
        <v>44.7</v>
      </c>
      <c r="P683" s="112" t="n">
        <f aca="false">N683+M683</f>
        <v>45</v>
      </c>
      <c r="Q683" s="113" t="n">
        <v>36</v>
      </c>
      <c r="R683" s="111" t="n">
        <v>53</v>
      </c>
      <c r="S683" s="112" t="n">
        <f aca="false">(R683*70)/100</f>
        <v>37.1</v>
      </c>
      <c r="T683" s="112" t="n">
        <f aca="false">ROUNDUP(S683,0)</f>
        <v>38</v>
      </c>
      <c r="U683" s="111" t="n">
        <v>20</v>
      </c>
      <c r="V683" s="112" t="n">
        <f aca="false">U683+S683</f>
        <v>57.1</v>
      </c>
      <c r="W683" s="112" t="n">
        <f aca="false">U683+T683</f>
        <v>58</v>
      </c>
      <c r="X683" s="111" t="n">
        <v>43</v>
      </c>
      <c r="Y683" s="112" t="n">
        <f aca="false">(X683*70)/100</f>
        <v>30.1</v>
      </c>
      <c r="Z683" s="112" t="n">
        <f aca="false">ROUNDUP(Y683,0)</f>
        <v>31</v>
      </c>
      <c r="AA683" s="111" t="n">
        <v>21</v>
      </c>
      <c r="AB683" s="112" t="n">
        <f aca="false">AA683+Y683</f>
        <v>51.1</v>
      </c>
      <c r="AC683" s="112" t="n">
        <f aca="false">AA683+Z683</f>
        <v>52</v>
      </c>
      <c r="AD683" s="111" t="n">
        <f aca="false">X683+R683+Q683+K683+J683</f>
        <v>206</v>
      </c>
      <c r="AE683" s="114" t="n">
        <v>41.2</v>
      </c>
      <c r="AF683" s="19" t="n">
        <v>57</v>
      </c>
      <c r="AG683" s="19" t="n">
        <v>65</v>
      </c>
      <c r="AH683" s="19" t="n">
        <v>75</v>
      </c>
      <c r="AI683" s="19" t="n">
        <v>77</v>
      </c>
      <c r="AJ683" s="19" t="n">
        <f aca="false">(AI683*70)/100</f>
        <v>53.9</v>
      </c>
      <c r="AK683" s="115" t="n">
        <f aca="false">ROUNDUP(AJ683,0)</f>
        <v>54</v>
      </c>
      <c r="AL683" s="19" t="n">
        <v>27</v>
      </c>
      <c r="AM683" s="19" t="n">
        <f aca="false">AL683+AJ683</f>
        <v>80.9</v>
      </c>
      <c r="AN683" s="19" t="n">
        <f aca="false">AL683+AK683</f>
        <v>81</v>
      </c>
      <c r="AO683" s="19" t="n">
        <v>35</v>
      </c>
      <c r="AP683" s="116" t="n">
        <f aca="false">(AO683*70)/100</f>
        <v>24.5</v>
      </c>
      <c r="AQ683" s="117" t="n">
        <f aca="false">ROUNDUP(AP683,0)</f>
        <v>25</v>
      </c>
      <c r="AR683" s="19" t="n">
        <v>20</v>
      </c>
      <c r="AS683" s="19" t="n">
        <f aca="false">AR683+AP683</f>
        <v>44.5</v>
      </c>
      <c r="AT683" s="19" t="n">
        <f aca="false">AR683+AQ683</f>
        <v>45</v>
      </c>
      <c r="AU683" s="19" t="n">
        <f aca="false">AO683+AF683+AI683+AH683+AG683</f>
        <v>309</v>
      </c>
      <c r="AV683" s="19" t="n">
        <f aca="false">(AO683+AF683+AI683+AH683+AG683)/5</f>
        <v>61.8</v>
      </c>
      <c r="AW683" s="116" t="n">
        <f aca="false">(AO683+AF683+AI683+AH683+AG683+X683+R683+Q683+K683+J683)</f>
        <v>515</v>
      </c>
      <c r="AX683" s="16" t="n">
        <f aca="false">AW683/10</f>
        <v>51.5</v>
      </c>
      <c r="AY683" s="16" t="n">
        <f aca="false">AS683+AF683+AM683+AH683+AG683+AB683+V683+Q683+O683+J683</f>
        <v>554.3</v>
      </c>
      <c r="AZ683" s="16" t="n">
        <f aca="false">AT683+AF683+AN683+AH683+AG683+AC683+W683+Q683+P683+J683</f>
        <v>557</v>
      </c>
      <c r="BA683" s="16" t="n">
        <f aca="false">AY683/10</f>
        <v>55.43</v>
      </c>
      <c r="BB683" s="16" t="n">
        <f aca="false">AZ683/10</f>
        <v>55.7</v>
      </c>
      <c r="BC683" s="134" t="n">
        <v>2271</v>
      </c>
      <c r="BD683" s="16" t="n">
        <f aca="false">RANK(AX683,$AX$2:$AX$881,0)</f>
        <v>803</v>
      </c>
      <c r="BE683" s="20" t="n">
        <f aca="false">((BC683*100)/2400)*0.4+(AX683*0.6)</f>
        <v>68.75</v>
      </c>
      <c r="BF683" s="16" t="n">
        <f aca="false">RANK(BE683,$BE$2:$BE$881,0)</f>
        <v>793</v>
      </c>
      <c r="BG683" s="39" t="n">
        <f aca="false">RANK(BB683,$BB$2:$BB$881,0)</f>
        <v>797</v>
      </c>
      <c r="BH683" s="39" t="n">
        <f aca="false">RANK(BC683,$BC$2:$BC$881,0)</f>
        <v>763</v>
      </c>
      <c r="BI683" s="19" t="s">
        <v>130</v>
      </c>
      <c r="BJ683" s="19" t="s">
        <v>129</v>
      </c>
      <c r="BK683" s="109" t="s">
        <v>1596</v>
      </c>
      <c r="BL683" s="41" t="n">
        <v>25</v>
      </c>
      <c r="BM683" s="41" t="n">
        <v>43</v>
      </c>
      <c r="BN683" s="41" t="n">
        <v>68</v>
      </c>
      <c r="BO683" s="42" t="n">
        <v>22</v>
      </c>
      <c r="BP683" s="43" t="n">
        <v>46</v>
      </c>
      <c r="BQ683" s="44" t="n">
        <v>68</v>
      </c>
      <c r="BR683" s="42" t="n">
        <v>17</v>
      </c>
      <c r="BS683" s="45" t="n">
        <v>43</v>
      </c>
      <c r="BT683" s="45" t="n">
        <v>60</v>
      </c>
      <c r="BU683" s="46" t="n">
        <v>100</v>
      </c>
      <c r="BV683" s="47" t="n">
        <v>82</v>
      </c>
      <c r="BW683" s="42" t="n">
        <v>96</v>
      </c>
      <c r="BX683" s="88" t="n">
        <v>92</v>
      </c>
      <c r="BY683" s="58" t="n">
        <v>29</v>
      </c>
      <c r="BZ683" s="58" t="n">
        <v>38</v>
      </c>
      <c r="CA683" s="58" t="n">
        <v>67</v>
      </c>
      <c r="CB683" s="58" t="n">
        <v>21</v>
      </c>
      <c r="CC683" s="58" t="n">
        <v>48</v>
      </c>
      <c r="CD683" s="58" t="n">
        <v>69</v>
      </c>
      <c r="CE683" s="58" t="n">
        <v>12</v>
      </c>
      <c r="CF683" s="58" t="n">
        <v>33</v>
      </c>
      <c r="CG683" s="90" t="n">
        <v>45</v>
      </c>
      <c r="CH683" s="58" t="n">
        <v>81</v>
      </c>
      <c r="CI683" s="58" t="n">
        <v>72</v>
      </c>
      <c r="CJ683" s="58" t="n">
        <v>20</v>
      </c>
      <c r="CK683" s="58" t="n">
        <v>51</v>
      </c>
      <c r="CL683" s="59" t="n">
        <v>71</v>
      </c>
      <c r="CM683" s="60"/>
      <c r="CN683" s="60"/>
      <c r="CO683" s="60"/>
      <c r="CP683" s="25" t="n">
        <f aca="false">BX683+BW683+BV683+BU683+BT683+BQ683+BN683</f>
        <v>566</v>
      </c>
      <c r="CQ683" s="25" t="n">
        <f aca="false">CO683+CL683+CI683+CH683+CG683+CD683+CA683</f>
        <v>405</v>
      </c>
      <c r="CR683" s="26" t="n">
        <f aca="false">CP683/7</f>
        <v>80.8571428571429</v>
      </c>
      <c r="CS683" s="26" t="n">
        <f aca="false">CQ683/7</f>
        <v>57.8571428571429</v>
      </c>
      <c r="CT683" s="24" t="n">
        <f aca="false">RANK(CR683,$CR$2:$CR$881,0)</f>
        <v>569</v>
      </c>
      <c r="CU683" s="25" t="n">
        <f aca="false">RANK(CS683,$CS$2:$CS$881,0)</f>
        <v>702</v>
      </c>
      <c r="CV683" s="26" t="n">
        <f aca="false">(CS683+CR683)/2</f>
        <v>69.3571428571429</v>
      </c>
      <c r="CW683" s="25" t="n">
        <f aca="false">RANK(CV683,$CV$2:$CV$881,0)</f>
        <v>640</v>
      </c>
      <c r="CX683" s="50" t="n">
        <f aca="false">(CV683+BB683)/2</f>
        <v>62.5285714285714</v>
      </c>
      <c r="CY683" s="50" t="n">
        <v>717</v>
      </c>
      <c r="CZ683" s="27" t="s">
        <v>132</v>
      </c>
      <c r="DA683" s="27" t="s">
        <v>443</v>
      </c>
      <c r="DB683" s="27" t="s">
        <v>443</v>
      </c>
      <c r="DC683" s="27" t="s">
        <v>134</v>
      </c>
      <c r="DD683" s="27" t="s">
        <v>154</v>
      </c>
      <c r="DE683" s="27" t="s">
        <v>220</v>
      </c>
      <c r="DF683" s="27" t="s">
        <v>272</v>
      </c>
      <c r="DG683" s="27" t="s">
        <v>134</v>
      </c>
      <c r="DH683" s="27" t="s">
        <v>164</v>
      </c>
      <c r="DI683" s="27" t="s">
        <v>1407</v>
      </c>
      <c r="DJ683" s="27" t="s">
        <v>141</v>
      </c>
      <c r="DK683" s="27" t="s">
        <v>134</v>
      </c>
      <c r="DL683" s="27" t="s">
        <v>386</v>
      </c>
      <c r="DM683" s="27" t="s">
        <v>415</v>
      </c>
      <c r="DN683" s="27" t="s">
        <v>163</v>
      </c>
      <c r="DO683" s="27" t="s">
        <v>134</v>
      </c>
      <c r="DP683" s="27" t="s">
        <v>485</v>
      </c>
      <c r="DQ683" s="27" t="s">
        <v>1309</v>
      </c>
      <c r="DR683" s="27" t="s">
        <v>313</v>
      </c>
      <c r="DS683" s="27" t="s">
        <v>480</v>
      </c>
      <c r="DT683" s="27" t="s">
        <v>154</v>
      </c>
      <c r="DU683" s="27" t="s">
        <v>1388</v>
      </c>
      <c r="DV683" s="27" t="s">
        <v>220</v>
      </c>
      <c r="DW683" s="27" t="s">
        <v>154</v>
      </c>
      <c r="DX683" s="27" t="s">
        <v>138</v>
      </c>
      <c r="DY683" s="27" t="s">
        <v>176</v>
      </c>
      <c r="DZ683" s="27" t="n">
        <f aca="false">DY683+DV683+DR683+DN683+DJ683+DF683+DB683</f>
        <v>487</v>
      </c>
      <c r="EA683" s="28" t="n">
        <f aca="false">DZ683/7</f>
        <v>69.5714285714286</v>
      </c>
      <c r="EB683" s="27" t="n">
        <f aca="false">RANK(EA683,$EA$2:$EA$881,0)</f>
        <v>661</v>
      </c>
      <c r="EC683" s="29" t="n">
        <f aca="false">DZ683+CQ683+CP683+AZ683</f>
        <v>2015</v>
      </c>
      <c r="ED683" s="30" t="n">
        <f aca="false">(EA683+CV683+BB683)/3</f>
        <v>64.8761904761905</v>
      </c>
      <c r="EE683" s="51" t="n">
        <f aca="false">ROUND(BE683,3)</f>
        <v>68.75</v>
      </c>
      <c r="EF683" s="51" t="n">
        <f aca="false">ROUND(CR683,3)</f>
        <v>80.857</v>
      </c>
      <c r="EG683" s="51" t="n">
        <f aca="false">ROUND(CS683,3)</f>
        <v>57.857</v>
      </c>
      <c r="EH683" s="51" t="n">
        <f aca="false">ROUND(EA683,3)</f>
        <v>69.571</v>
      </c>
      <c r="EI683" s="51" t="n">
        <f aca="false">ROUND(ED683,3)</f>
        <v>64.876</v>
      </c>
      <c r="EJ683" s="51" t="n">
        <f aca="false">ROUND(CV683,3)</f>
        <v>69.357</v>
      </c>
      <c r="EK683" s="0" t="n">
        <f aca="false">RANK(EI683,$EI$2:$EI$881,0)</f>
        <v>682</v>
      </c>
    </row>
    <row r="684" customFormat="false" ht="15" hidden="false" customHeight="false" outlineLevel="0" collapsed="false">
      <c r="A684" s="4" t="n">
        <v>1822</v>
      </c>
      <c r="B684" s="4" t="n">
        <v>229</v>
      </c>
      <c r="C684" s="27" t="s">
        <v>1973</v>
      </c>
      <c r="D684" s="31" t="n">
        <v>230</v>
      </c>
      <c r="E684" s="16" t="n">
        <v>230515632</v>
      </c>
      <c r="F684" s="56" t="s">
        <v>1974</v>
      </c>
      <c r="G684" s="22" t="s">
        <v>1975</v>
      </c>
      <c r="H684" s="22" t="s">
        <v>558</v>
      </c>
      <c r="I684" s="57"/>
      <c r="J684" s="16" t="n">
        <v>67</v>
      </c>
      <c r="K684" s="16" t="n">
        <v>79</v>
      </c>
      <c r="L684" s="34" t="n">
        <f aca="false">(K684*70)/100</f>
        <v>55.3</v>
      </c>
      <c r="M684" s="34" t="n">
        <f aca="false">ROUNDUP(L684,0)</f>
        <v>56</v>
      </c>
      <c r="N684" s="16" t="n">
        <v>30</v>
      </c>
      <c r="O684" s="34" t="n">
        <f aca="false">N684+L684</f>
        <v>85.3</v>
      </c>
      <c r="P684" s="34" t="n">
        <f aca="false">N684+M684</f>
        <v>86</v>
      </c>
      <c r="Q684" s="16" t="n">
        <v>60</v>
      </c>
      <c r="R684" s="16" t="n">
        <v>81</v>
      </c>
      <c r="S684" s="34" t="n">
        <f aca="false">(R684*70)/100</f>
        <v>56.7</v>
      </c>
      <c r="T684" s="34" t="n">
        <f aca="false">ROUNDUP(S684,0)</f>
        <v>57</v>
      </c>
      <c r="U684" s="16" t="n">
        <v>28</v>
      </c>
      <c r="V684" s="34" t="n">
        <f aca="false">U684+S684</f>
        <v>84.7</v>
      </c>
      <c r="W684" s="34" t="n">
        <f aca="false">U684+T684</f>
        <v>85</v>
      </c>
      <c r="X684" s="16" t="n">
        <v>69</v>
      </c>
      <c r="Y684" s="34" t="n">
        <f aca="false">(X684*70)/100</f>
        <v>48.3</v>
      </c>
      <c r="Z684" s="34" t="n">
        <f aca="false">ROUNDUP(Y684,0)</f>
        <v>49</v>
      </c>
      <c r="AA684" s="16" t="n">
        <v>24</v>
      </c>
      <c r="AB684" s="34" t="n">
        <f aca="false">AA684+Y684</f>
        <v>72.3</v>
      </c>
      <c r="AC684" s="34" t="n">
        <f aca="false">AA684+Z684</f>
        <v>73</v>
      </c>
      <c r="AD684" s="32" t="n">
        <f aca="false">X684+R684+Q684+K684+J684</f>
        <v>356</v>
      </c>
      <c r="AE684" s="16" t="n">
        <f aca="false">AD684/5</f>
        <v>71.2</v>
      </c>
      <c r="AF684" s="16" t="n">
        <v>76</v>
      </c>
      <c r="AG684" s="16" t="n">
        <v>84</v>
      </c>
      <c r="AH684" s="16" t="n">
        <v>91</v>
      </c>
      <c r="AI684" s="16" t="n">
        <v>88</v>
      </c>
      <c r="AJ684" s="16" t="n">
        <f aca="false">(AI684*70)/100</f>
        <v>61.6</v>
      </c>
      <c r="AK684" s="35" t="n">
        <f aca="false">ROUNDUP(AJ684,0)</f>
        <v>62</v>
      </c>
      <c r="AL684" s="16" t="n">
        <v>25</v>
      </c>
      <c r="AM684" s="16" t="n">
        <f aca="false">AL684+AJ684</f>
        <v>86.6</v>
      </c>
      <c r="AN684" s="16" t="n">
        <f aca="false">AL684+AK684</f>
        <v>87</v>
      </c>
      <c r="AO684" s="16" t="n">
        <v>75</v>
      </c>
      <c r="AP684" s="36" t="n">
        <f aca="false">(AO684*70)/100</f>
        <v>52.5</v>
      </c>
      <c r="AQ684" s="37" t="n">
        <f aca="false">ROUNDUP(AP684,0)</f>
        <v>53</v>
      </c>
      <c r="AR684" s="16" t="n">
        <v>27</v>
      </c>
      <c r="AS684" s="16" t="n">
        <f aca="false">AR684+AP684</f>
        <v>79.5</v>
      </c>
      <c r="AT684" s="16" t="n">
        <f aca="false">AR684+AQ684</f>
        <v>80</v>
      </c>
      <c r="AU684" s="16" t="n">
        <f aca="false">AO684+AF684+AI684+AH684+AG684</f>
        <v>414</v>
      </c>
      <c r="AV684" s="16" t="n">
        <f aca="false">(AO684+AF684+AI684+AH684+AG684)/5</f>
        <v>82.8</v>
      </c>
      <c r="AW684" s="36" t="n">
        <f aca="false">(AO684+AF684+AI684+AH684+AG684+X684+R684+Q684+K684+J684)</f>
        <v>770</v>
      </c>
      <c r="AX684" s="16" t="n">
        <f aca="false">AW684/10</f>
        <v>77</v>
      </c>
      <c r="AY684" s="16" t="n">
        <f aca="false">AS684+AF684+AM684+AH684+AG684+AB684+V684+Q684+O684+J684</f>
        <v>786.4</v>
      </c>
      <c r="AZ684" s="16" t="n">
        <f aca="false">AT684+AF684+AN684+AH684+AG684+AC684+W684+Q684+P684+J684</f>
        <v>789</v>
      </c>
      <c r="BA684" s="16" t="n">
        <f aca="false">AY684/10</f>
        <v>78.64</v>
      </c>
      <c r="BB684" s="16" t="n">
        <f aca="false">AZ684/10</f>
        <v>78.9</v>
      </c>
      <c r="BC684" s="16" t="n">
        <v>2356</v>
      </c>
      <c r="BD684" s="16" t="n">
        <f aca="false">RANK(AX684,$AX$2:$AX$881,0)</f>
        <v>508</v>
      </c>
      <c r="BE684" s="54" t="n">
        <f aca="false">((BC684*100)/2400)*0.4+(AX684*0.6)</f>
        <v>85.4666666666667</v>
      </c>
      <c r="BF684" s="16" t="n">
        <f aca="false">RANK(BE684,$BE$2:$BE$881,0)</f>
        <v>514</v>
      </c>
      <c r="BG684" s="39" t="n">
        <f aca="false">RANK(BB684,$BB$2:$BB$881,0)</f>
        <v>463</v>
      </c>
      <c r="BH684" s="39" t="n">
        <f aca="false">RANK(BC684,$BC$2:$BC$881,0)</f>
        <v>462</v>
      </c>
      <c r="BI684" s="22" t="s">
        <v>130</v>
      </c>
      <c r="BJ684" s="22" t="s">
        <v>129</v>
      </c>
      <c r="BK684" s="40" t="s">
        <v>509</v>
      </c>
      <c r="BL684" s="41" t="n">
        <v>17</v>
      </c>
      <c r="BM684" s="41" t="n">
        <v>58</v>
      </c>
      <c r="BN684" s="41" t="n">
        <v>75</v>
      </c>
      <c r="BO684" s="74" t="n">
        <v>8</v>
      </c>
      <c r="BP684" s="61"/>
      <c r="BQ684" s="61"/>
      <c r="BR684" s="74" t="n">
        <v>10</v>
      </c>
      <c r="BS684" s="80"/>
      <c r="BT684" s="80"/>
      <c r="BU684" s="46" t="n">
        <v>100</v>
      </c>
      <c r="BV684" s="47" t="n">
        <v>90</v>
      </c>
      <c r="BW684" s="42" t="n">
        <v>100</v>
      </c>
      <c r="BX684" s="107"/>
      <c r="BY684" s="130"/>
      <c r="BZ684" s="60"/>
      <c r="CA684" s="60"/>
      <c r="CB684" s="61"/>
      <c r="CC684" s="60"/>
      <c r="CD684" s="60"/>
      <c r="CE684" s="60"/>
      <c r="CF684" s="60"/>
      <c r="CG684" s="60"/>
      <c r="CH684" s="60"/>
      <c r="CI684" s="60"/>
      <c r="CJ684" s="60"/>
      <c r="CK684" s="60"/>
      <c r="CL684" s="61"/>
      <c r="CM684" s="60"/>
      <c r="CN684" s="60"/>
      <c r="CO684" s="60"/>
      <c r="CP684" s="25" t="n">
        <f aca="false">BX684+BW684+BV684+BU684+BT684+BQ684+BN684</f>
        <v>365</v>
      </c>
      <c r="CQ684" s="25" t="n">
        <f aca="false">CO684+CL684+CI684+CH684+CG684+CD684+CA684</f>
        <v>0</v>
      </c>
      <c r="CR684" s="26" t="n">
        <f aca="false">CP684/7</f>
        <v>52.1428571428571</v>
      </c>
      <c r="CS684" s="26" t="n">
        <f aca="false">CQ684/7</f>
        <v>0</v>
      </c>
      <c r="CT684" s="24" t="n">
        <f aca="false">RANK(CR684,$CR$2:$CR$881,0)</f>
        <v>735</v>
      </c>
      <c r="CU684" s="25" t="n">
        <f aca="false">RANK(CS684,$CS$2:$CS$881,0)</f>
        <v>752</v>
      </c>
      <c r="CV684" s="26" t="n">
        <f aca="false">(CS684+CR684)/2</f>
        <v>26.0714285714286</v>
      </c>
      <c r="CW684" s="25" t="n">
        <f aca="false">RANK(CV684,$CV$2:$CV$881,0)</f>
        <v>744</v>
      </c>
      <c r="CX684" s="50" t="n">
        <f aca="false">(CV684+BB684)/2</f>
        <v>52.4857142857143</v>
      </c>
      <c r="CY684" s="50" t="n">
        <v>692</v>
      </c>
      <c r="CZ684" s="27" t="s">
        <v>132</v>
      </c>
      <c r="DA684" s="27" t="s">
        <v>133</v>
      </c>
      <c r="DB684" s="27" t="s">
        <v>133</v>
      </c>
      <c r="DC684" s="27" t="s">
        <v>134</v>
      </c>
      <c r="DD684" s="27" t="s">
        <v>182</v>
      </c>
      <c r="DE684" s="27" t="s">
        <v>203</v>
      </c>
      <c r="DF684" s="27" t="s">
        <v>202</v>
      </c>
      <c r="DG684" s="27" t="s">
        <v>134</v>
      </c>
      <c r="DH684" s="27" t="s">
        <v>135</v>
      </c>
      <c r="DI684" s="27" t="s">
        <v>187</v>
      </c>
      <c r="DJ684" s="27" t="s">
        <v>170</v>
      </c>
      <c r="DK684" s="27" t="s">
        <v>134</v>
      </c>
      <c r="DL684" s="27" t="s">
        <v>135</v>
      </c>
      <c r="DM684" s="27" t="s">
        <v>187</v>
      </c>
      <c r="DN684" s="27" t="s">
        <v>170</v>
      </c>
      <c r="DO684" s="27" t="s">
        <v>134</v>
      </c>
      <c r="DP684" s="27" t="s">
        <v>264</v>
      </c>
      <c r="DQ684" s="27" t="s">
        <v>203</v>
      </c>
      <c r="DR684" s="27" t="s">
        <v>196</v>
      </c>
      <c r="DS684" s="27" t="s">
        <v>134</v>
      </c>
      <c r="DT684" s="27" t="s">
        <v>160</v>
      </c>
      <c r="DU684" s="27" t="s">
        <v>163</v>
      </c>
      <c r="DV684" s="27" t="s">
        <v>151</v>
      </c>
      <c r="DW684" s="27" t="s">
        <v>135</v>
      </c>
      <c r="DX684" s="27" t="s">
        <v>155</v>
      </c>
      <c r="DY684" s="27" t="s">
        <v>139</v>
      </c>
      <c r="DZ684" s="27" t="n">
        <f aca="false">DY684+DV684+DR684+DN684+DJ684+DF684+DB684</f>
        <v>625</v>
      </c>
      <c r="EA684" s="28" t="n">
        <f aca="false">DZ684/7</f>
        <v>89.2857142857143</v>
      </c>
      <c r="EB684" s="27" t="n">
        <f aca="false">RANK(EA684,$EA$2:$EA$881,0)</f>
        <v>74</v>
      </c>
      <c r="EC684" s="29" t="n">
        <f aca="false">DZ684+CQ684+CP684+AZ684</f>
        <v>1779</v>
      </c>
      <c r="ED684" s="30" t="n">
        <f aca="false">(EA684+CV684+BB684)/3</f>
        <v>64.752380952381</v>
      </c>
      <c r="EE684" s="51" t="n">
        <f aca="false">ROUND(BE684,3)</f>
        <v>85.467</v>
      </c>
      <c r="EF684" s="51" t="n">
        <f aca="false">ROUND(CR684,3)</f>
        <v>52.143</v>
      </c>
      <c r="EG684" s="51" t="n">
        <f aca="false">ROUND(CS684,3)</f>
        <v>0</v>
      </c>
      <c r="EH684" s="51" t="n">
        <f aca="false">ROUND(EA684,3)</f>
        <v>89.286</v>
      </c>
      <c r="EI684" s="51" t="n">
        <f aca="false">ROUND(ED684,3)</f>
        <v>64.752</v>
      </c>
      <c r="EJ684" s="51" t="n">
        <f aca="false">ROUND(CV684,3)</f>
        <v>26.071</v>
      </c>
      <c r="EK684" s="0" t="n">
        <f aca="false">RANK(EI684,$EI$2:$EI$881,0)</f>
        <v>683</v>
      </c>
    </row>
    <row r="685" customFormat="false" ht="15" hidden="false" customHeight="false" outlineLevel="0" collapsed="false">
      <c r="A685" s="4" t="n">
        <v>1899</v>
      </c>
      <c r="B685" s="4" t="n">
        <v>4</v>
      </c>
      <c r="C685" s="27" t="s">
        <v>1976</v>
      </c>
      <c r="D685" s="52" t="n">
        <v>6</v>
      </c>
      <c r="E685" s="16" t="n">
        <v>230120632</v>
      </c>
      <c r="F685" s="56" t="s">
        <v>1977</v>
      </c>
      <c r="G685" s="22" t="s">
        <v>1258</v>
      </c>
      <c r="H685" s="22" t="s">
        <v>326</v>
      </c>
      <c r="I685" s="57"/>
      <c r="J685" s="16" t="n">
        <v>85</v>
      </c>
      <c r="K685" s="16" t="n">
        <v>60</v>
      </c>
      <c r="L685" s="34" t="n">
        <f aca="false">(K685*70)/100</f>
        <v>42</v>
      </c>
      <c r="M685" s="34" t="n">
        <f aca="false">ROUNDUP(L685,0)</f>
        <v>42</v>
      </c>
      <c r="N685" s="16" t="n">
        <v>27</v>
      </c>
      <c r="O685" s="34" t="n">
        <f aca="false">N685+L685</f>
        <v>69</v>
      </c>
      <c r="P685" s="34" t="n">
        <f aca="false">N685+M685</f>
        <v>69</v>
      </c>
      <c r="Q685" s="16" t="n">
        <v>76</v>
      </c>
      <c r="R685" s="16" t="n">
        <v>71</v>
      </c>
      <c r="S685" s="34" t="n">
        <f aca="false">(R685*70)/100</f>
        <v>49.7</v>
      </c>
      <c r="T685" s="34" t="n">
        <f aca="false">ROUNDUP(S685,0)</f>
        <v>50</v>
      </c>
      <c r="U685" s="16" t="n">
        <v>28</v>
      </c>
      <c r="V685" s="34" t="n">
        <f aca="false">U685+S685</f>
        <v>77.7</v>
      </c>
      <c r="W685" s="34" t="n">
        <f aca="false">U685+T685</f>
        <v>78</v>
      </c>
      <c r="X685" s="16" t="n">
        <v>80</v>
      </c>
      <c r="Y685" s="34" t="n">
        <f aca="false">(X685*70)/100</f>
        <v>56</v>
      </c>
      <c r="Z685" s="34" t="n">
        <f aca="false">ROUNDUP(Y685,0)</f>
        <v>56</v>
      </c>
      <c r="AA685" s="16" t="n">
        <v>28</v>
      </c>
      <c r="AB685" s="34" t="n">
        <f aca="false">AA685+Y685</f>
        <v>84</v>
      </c>
      <c r="AC685" s="34" t="n">
        <f aca="false">AA685+Z685</f>
        <v>84</v>
      </c>
      <c r="AD685" s="32" t="n">
        <f aca="false">X685+R685+Q685+K685+J685</f>
        <v>372</v>
      </c>
      <c r="AE685" s="16" t="n">
        <f aca="false">AD685/5</f>
        <v>74.4</v>
      </c>
      <c r="AF685" s="16" t="n">
        <v>65</v>
      </c>
      <c r="AG685" s="16" t="n">
        <v>89</v>
      </c>
      <c r="AH685" s="16" t="n">
        <v>76</v>
      </c>
      <c r="AI685" s="16" t="n">
        <v>87</v>
      </c>
      <c r="AJ685" s="16" t="n">
        <f aca="false">(AI685*70)/100</f>
        <v>60.9</v>
      </c>
      <c r="AK685" s="35" t="n">
        <f aca="false">ROUNDUP(AJ685,0)</f>
        <v>61</v>
      </c>
      <c r="AL685" s="16" t="n">
        <v>25</v>
      </c>
      <c r="AM685" s="16" t="n">
        <f aca="false">AL685+AJ685</f>
        <v>85.9</v>
      </c>
      <c r="AN685" s="16" t="n">
        <f aca="false">AL685+AK685</f>
        <v>86</v>
      </c>
      <c r="AO685" s="16" t="n">
        <v>68</v>
      </c>
      <c r="AP685" s="36" t="n">
        <f aca="false">(AO685*70)/100</f>
        <v>47.6</v>
      </c>
      <c r="AQ685" s="37" t="n">
        <f aca="false">ROUNDUP(AP685,0)</f>
        <v>48</v>
      </c>
      <c r="AR685" s="16" t="n">
        <v>26</v>
      </c>
      <c r="AS685" s="16" t="n">
        <f aca="false">AR685+AP685</f>
        <v>73.6</v>
      </c>
      <c r="AT685" s="16" t="n">
        <f aca="false">AR685+AQ685</f>
        <v>74</v>
      </c>
      <c r="AU685" s="16" t="n">
        <f aca="false">AO685+AF685+AI685+AH685+AG685</f>
        <v>385</v>
      </c>
      <c r="AV685" s="16" t="n">
        <f aca="false">(AO685+AF685+AI685+AH685+AG685)/5</f>
        <v>77</v>
      </c>
      <c r="AW685" s="36" t="n">
        <f aca="false">(AO685+AF685+AI685+AH685+AG685+X685+R685+Q685+K685+J685)</f>
        <v>757</v>
      </c>
      <c r="AX685" s="16" t="n">
        <f aca="false">AW685/10</f>
        <v>75.7</v>
      </c>
      <c r="AY685" s="16" t="n">
        <f aca="false">AS685+AF685+AM685+AH685+AG685+AB685+V685+Q685+O685+J685</f>
        <v>781.2</v>
      </c>
      <c r="AZ685" s="16" t="n">
        <f aca="false">AT685+AF685+AN685+AH685+AG685+AC685+W685+Q685+P685+J685</f>
        <v>782</v>
      </c>
      <c r="BA685" s="16" t="n">
        <f aca="false">AY685/10</f>
        <v>78.12</v>
      </c>
      <c r="BB685" s="16" t="n">
        <f aca="false">AZ685/10</f>
        <v>78.2</v>
      </c>
      <c r="BC685" s="16" t="n">
        <v>2367</v>
      </c>
      <c r="BD685" s="16" t="n">
        <f aca="false">RANK(AX685,$AX$2:$AX$881,0)</f>
        <v>640</v>
      </c>
      <c r="BE685" s="73" t="n">
        <f aca="false">((BC685*100)/2400)*0.4+(AX685*0.6)</f>
        <v>84.87</v>
      </c>
      <c r="BF685" s="16" t="n">
        <f aca="false">RANK(BE685,$BE$2:$BE$881,0)</f>
        <v>641</v>
      </c>
      <c r="BG685" s="39" t="n">
        <f aca="false">RANK(BB685,$BB$2:$BB$881,0)</f>
        <v>541</v>
      </c>
      <c r="BH685" s="39" t="n">
        <f aca="false">RANK(BC685,$BC$2:$BC$881,0)</f>
        <v>308</v>
      </c>
      <c r="BI685" s="22" t="s">
        <v>130</v>
      </c>
      <c r="BJ685" s="22" t="s">
        <v>129</v>
      </c>
      <c r="BK685" s="22" t="s">
        <v>509</v>
      </c>
      <c r="BL685" s="41" t="n">
        <v>16</v>
      </c>
      <c r="BM685" s="41" t="n">
        <v>59</v>
      </c>
      <c r="BN685" s="41" t="n">
        <v>75</v>
      </c>
      <c r="BO685" s="42" t="n">
        <v>24</v>
      </c>
      <c r="BP685" s="42" t="n">
        <v>64</v>
      </c>
      <c r="BQ685" s="42" t="n">
        <v>88</v>
      </c>
      <c r="BR685" s="42" t="n">
        <v>21</v>
      </c>
      <c r="BS685" s="77" t="n">
        <v>57</v>
      </c>
      <c r="BT685" s="77" t="n">
        <v>78</v>
      </c>
      <c r="BU685" s="46" t="n">
        <v>100</v>
      </c>
      <c r="BV685" s="47" t="n">
        <v>100</v>
      </c>
      <c r="BW685" s="42" t="n">
        <v>86</v>
      </c>
      <c r="BX685" s="48" t="n">
        <v>92</v>
      </c>
      <c r="BY685" s="32" t="n">
        <v>18</v>
      </c>
      <c r="BZ685" s="58" t="n">
        <v>58</v>
      </c>
      <c r="CA685" s="58" t="n">
        <v>76</v>
      </c>
      <c r="CB685" s="32" t="n">
        <v>25</v>
      </c>
      <c r="CC685" s="60"/>
      <c r="CD685" s="60"/>
      <c r="CE685" s="32" t="n">
        <v>26</v>
      </c>
      <c r="CF685" s="60"/>
      <c r="CG685" s="60"/>
      <c r="CH685" s="32" t="n">
        <v>95</v>
      </c>
      <c r="CI685" s="32" t="n">
        <v>99</v>
      </c>
      <c r="CJ685" s="49" t="n">
        <v>18</v>
      </c>
      <c r="CK685" s="49" t="n">
        <v>56</v>
      </c>
      <c r="CL685" s="84" t="n">
        <v>74</v>
      </c>
      <c r="CM685" s="60"/>
      <c r="CN685" s="60"/>
      <c r="CO685" s="60"/>
      <c r="CP685" s="25" t="n">
        <f aca="false">BX685+BW685+BV685+BU685+BT685+BQ685+BN685</f>
        <v>619</v>
      </c>
      <c r="CQ685" s="25" t="n">
        <f aca="false">CO685+CL685+CI685+CH685+CG685+CD685+CA685</f>
        <v>344</v>
      </c>
      <c r="CR685" s="26" t="n">
        <f aca="false">CP685/7</f>
        <v>88.4285714285714</v>
      </c>
      <c r="CS685" s="26" t="n">
        <f aca="false">CQ685/7</f>
        <v>49.1428571428571</v>
      </c>
      <c r="CT685" s="24" t="n">
        <f aca="false">RANK(CR685,$CR$2:$CR$881,0)</f>
        <v>276</v>
      </c>
      <c r="CU685" s="25" t="n">
        <f aca="false">RANK(CS685,$CS$2:$CS$881,0)</f>
        <v>718</v>
      </c>
      <c r="CV685" s="26" t="n">
        <f aca="false">(CS685+CR685)/2</f>
        <v>68.7857142857143</v>
      </c>
      <c r="CW685" s="25" t="n">
        <f aca="false">RANK(CV685,$CV$2:$CV$881,0)</f>
        <v>647</v>
      </c>
      <c r="CX685" s="50" t="n">
        <f aca="false">(CV685+BB685)/2</f>
        <v>73.4928571428572</v>
      </c>
      <c r="CY685" s="50" t="n">
        <v>615</v>
      </c>
      <c r="CZ685" s="27" t="s">
        <v>132</v>
      </c>
      <c r="DA685" s="27" t="s">
        <v>175</v>
      </c>
      <c r="DB685" s="27" t="s">
        <v>175</v>
      </c>
      <c r="DC685" s="27" t="s">
        <v>134</v>
      </c>
      <c r="DD685" s="27" t="s">
        <v>174</v>
      </c>
      <c r="DE685" s="27" t="s">
        <v>183</v>
      </c>
      <c r="DF685" s="27" t="s">
        <v>219</v>
      </c>
      <c r="DG685" s="27" t="s">
        <v>134</v>
      </c>
      <c r="DH685" s="27"/>
      <c r="DI685" s="27"/>
      <c r="DJ685" s="27"/>
      <c r="DK685" s="27"/>
      <c r="DL685" s="27" t="s">
        <v>191</v>
      </c>
      <c r="DM685" s="27" t="s">
        <v>638</v>
      </c>
      <c r="DN685" s="27" t="s">
        <v>163</v>
      </c>
      <c r="DO685" s="27" t="s">
        <v>134</v>
      </c>
      <c r="DP685" s="27"/>
      <c r="DQ685" s="27"/>
      <c r="DR685" s="27"/>
      <c r="DS685" s="27"/>
      <c r="DT685" s="27"/>
      <c r="DU685" s="27"/>
      <c r="DV685" s="27"/>
      <c r="DW685" s="27" t="s">
        <v>146</v>
      </c>
      <c r="DX685" s="27" t="s">
        <v>141</v>
      </c>
      <c r="DY685" s="27" t="s">
        <v>144</v>
      </c>
      <c r="DZ685" s="27" t="n">
        <f aca="false">DY685+DV685+DR685+DN685+DJ685+DF685+DB685</f>
        <v>327</v>
      </c>
      <c r="EA685" s="28" t="n">
        <f aca="false">DZ685/7</f>
        <v>46.7142857142857</v>
      </c>
      <c r="EB685" s="27" t="n">
        <f aca="false">RANK(EA685,$EA$2:$EA$881,0)</f>
        <v>846</v>
      </c>
      <c r="EC685" s="29" t="n">
        <f aca="false">DZ685+CQ685+CP685+AZ685</f>
        <v>2072</v>
      </c>
      <c r="ED685" s="30" t="n">
        <f aca="false">(EA685+CV685+BB685)/3</f>
        <v>64.5666666666667</v>
      </c>
      <c r="EE685" s="51" t="n">
        <f aca="false">ROUND(BE685,3)</f>
        <v>84.87</v>
      </c>
      <c r="EF685" s="51" t="n">
        <f aca="false">ROUND(CR685,3)</f>
        <v>88.429</v>
      </c>
      <c r="EG685" s="51" t="n">
        <f aca="false">ROUND(CS685,3)</f>
        <v>49.143</v>
      </c>
      <c r="EH685" s="51" t="n">
        <f aca="false">ROUND(EA685,3)</f>
        <v>46.714</v>
      </c>
      <c r="EI685" s="51" t="n">
        <f aca="false">ROUND(ED685,3)</f>
        <v>64.567</v>
      </c>
      <c r="EJ685" s="51" t="n">
        <f aca="false">ROUND(CV685,3)</f>
        <v>68.786</v>
      </c>
      <c r="EK685" s="0" t="n">
        <f aca="false">RANK(EI685,$EI$2:$EI$881,0)</f>
        <v>684</v>
      </c>
    </row>
    <row r="686" customFormat="false" ht="15" hidden="false" customHeight="false" outlineLevel="0" collapsed="false">
      <c r="A686" s="4" t="n">
        <v>8789</v>
      </c>
      <c r="B686" s="4" t="n">
        <v>694</v>
      </c>
      <c r="C686" s="27" t="s">
        <v>1978</v>
      </c>
      <c r="D686" s="31" t="n">
        <v>708</v>
      </c>
      <c r="E686" s="16" t="n">
        <v>230124244</v>
      </c>
      <c r="F686" s="56" t="s">
        <v>1979</v>
      </c>
      <c r="G686" s="22" t="s">
        <v>243</v>
      </c>
      <c r="H686" s="22" t="s">
        <v>326</v>
      </c>
      <c r="I686" s="57"/>
      <c r="J686" s="16" t="n">
        <v>74</v>
      </c>
      <c r="K686" s="16" t="n">
        <v>88</v>
      </c>
      <c r="L686" s="34" t="n">
        <f aca="false">(K686*70)/100</f>
        <v>61.6</v>
      </c>
      <c r="M686" s="34" t="n">
        <f aca="false">ROUNDUP(L686,0)</f>
        <v>62</v>
      </c>
      <c r="N686" s="16" t="n">
        <v>25</v>
      </c>
      <c r="O686" s="34" t="n">
        <f aca="false">N686+L686</f>
        <v>86.6</v>
      </c>
      <c r="P686" s="34" t="n">
        <f aca="false">N686+M686</f>
        <v>87</v>
      </c>
      <c r="Q686" s="16" t="n">
        <v>80</v>
      </c>
      <c r="R686" s="16" t="n">
        <v>72</v>
      </c>
      <c r="S686" s="34" t="n">
        <f aca="false">(R686*70)/100</f>
        <v>50.4</v>
      </c>
      <c r="T686" s="34" t="n">
        <f aca="false">ROUNDUP(S686,0)</f>
        <v>51</v>
      </c>
      <c r="U686" s="16" t="n">
        <v>26</v>
      </c>
      <c r="V686" s="34" t="n">
        <f aca="false">U686+S686</f>
        <v>76.4</v>
      </c>
      <c r="W686" s="34" t="n">
        <f aca="false">U686+T686</f>
        <v>77</v>
      </c>
      <c r="X686" s="16" t="n">
        <v>78</v>
      </c>
      <c r="Y686" s="34" t="n">
        <f aca="false">(X686*70)/100</f>
        <v>54.6</v>
      </c>
      <c r="Z686" s="34" t="n">
        <f aca="false">ROUNDUP(Y686,0)</f>
        <v>55</v>
      </c>
      <c r="AA686" s="16" t="n">
        <v>21</v>
      </c>
      <c r="AB686" s="34" t="n">
        <f aca="false">AA686+Y686</f>
        <v>75.6</v>
      </c>
      <c r="AC686" s="34" t="n">
        <f aca="false">AA686+Z686</f>
        <v>76</v>
      </c>
      <c r="AD686" s="32" t="n">
        <f aca="false">X686+R686+Q686+K686+J686</f>
        <v>392</v>
      </c>
      <c r="AE686" s="16" t="n">
        <f aca="false">AD686/5</f>
        <v>78.4</v>
      </c>
      <c r="AF686" s="16" t="n">
        <v>78</v>
      </c>
      <c r="AG686" s="16" t="n">
        <v>65</v>
      </c>
      <c r="AH686" s="16" t="n">
        <v>87</v>
      </c>
      <c r="AI686" s="16" t="n">
        <v>91</v>
      </c>
      <c r="AJ686" s="16" t="n">
        <f aca="false">(AI686*70)/100</f>
        <v>63.7</v>
      </c>
      <c r="AK686" s="35" t="n">
        <f aca="false">ROUNDUP(AJ686,0)</f>
        <v>64</v>
      </c>
      <c r="AL686" s="16" t="n">
        <v>21</v>
      </c>
      <c r="AM686" s="16" t="n">
        <f aca="false">AL686+AJ686</f>
        <v>84.7</v>
      </c>
      <c r="AN686" s="16" t="n">
        <f aca="false">AL686+AK686</f>
        <v>85</v>
      </c>
      <c r="AO686" s="16" t="n">
        <v>72</v>
      </c>
      <c r="AP686" s="36" t="n">
        <f aca="false">(AO686*70)/100</f>
        <v>50.4</v>
      </c>
      <c r="AQ686" s="37" t="n">
        <f aca="false">ROUNDUP(AP686,0)</f>
        <v>51</v>
      </c>
      <c r="AR686" s="16" t="n">
        <v>26</v>
      </c>
      <c r="AS686" s="16" t="n">
        <f aca="false">AR686+AP686</f>
        <v>76.4</v>
      </c>
      <c r="AT686" s="16" t="n">
        <f aca="false">AR686+AQ686</f>
        <v>77</v>
      </c>
      <c r="AU686" s="16" t="n">
        <f aca="false">AO686+AF686+AI686+AH686+AG686</f>
        <v>393</v>
      </c>
      <c r="AV686" s="16" t="n">
        <f aca="false">(AO686+AF686+AI686+AH686+AG686)/5</f>
        <v>78.6</v>
      </c>
      <c r="AW686" s="36" t="n">
        <f aca="false">(AO686+AF686+AI686+AH686+AG686+X686+R686+Q686+K686+J686)</f>
        <v>785</v>
      </c>
      <c r="AX686" s="16" t="n">
        <f aca="false">AW686/10</f>
        <v>78.5</v>
      </c>
      <c r="AY686" s="16" t="n">
        <f aca="false">AS686+AF686+AM686+AH686+AG686+AB686+V686+Q686+O686+J686</f>
        <v>783.7</v>
      </c>
      <c r="AZ686" s="16" t="n">
        <f aca="false">AT686+AF686+AN686+AH686+AG686+AC686+W686+Q686+P686+J686</f>
        <v>786</v>
      </c>
      <c r="BA686" s="16" t="n">
        <f aca="false">AY686/10</f>
        <v>78.37</v>
      </c>
      <c r="BB686" s="16" t="n">
        <f aca="false">AZ686/10</f>
        <v>78.6</v>
      </c>
      <c r="BC686" s="16" t="n">
        <v>2352</v>
      </c>
      <c r="BD686" s="16" t="n">
        <f aca="false">RANK(AX686,$AX$2:$AX$881,0)</f>
        <v>375</v>
      </c>
      <c r="BE686" s="54" t="n">
        <f aca="false">((BC686*100)/2400)*0.4+(AX686*0.6)</f>
        <v>86.3</v>
      </c>
      <c r="BF686" s="16" t="n">
        <f aca="false">RANK(BE686,$BE$2:$BE$881,0)</f>
        <v>382</v>
      </c>
      <c r="BG686" s="39" t="n">
        <f aca="false">RANK(BB686,$BB$2:$BB$881,0)</f>
        <v>494</v>
      </c>
      <c r="BH686" s="39" t="n">
        <f aca="false">RANK(BC686,$BC$2:$BC$881,0)</f>
        <v>515</v>
      </c>
      <c r="BI686" s="22" t="s">
        <v>130</v>
      </c>
      <c r="BJ686" s="22" t="s">
        <v>129</v>
      </c>
      <c r="BK686" s="40" t="s">
        <v>131</v>
      </c>
      <c r="BL686" s="41" t="n">
        <v>20</v>
      </c>
      <c r="BM686" s="41" t="n">
        <v>42</v>
      </c>
      <c r="BN686" s="41" t="n">
        <v>62</v>
      </c>
      <c r="BO686" s="42" t="n">
        <v>22</v>
      </c>
      <c r="BP686" s="43" t="n">
        <v>41</v>
      </c>
      <c r="BQ686" s="44" t="n">
        <v>63</v>
      </c>
      <c r="BR686" s="42" t="n">
        <v>20</v>
      </c>
      <c r="BS686" s="45" t="n">
        <v>58</v>
      </c>
      <c r="BT686" s="45" t="n">
        <v>78</v>
      </c>
      <c r="BU686" s="46" t="n">
        <v>92</v>
      </c>
      <c r="BV686" s="47" t="n">
        <v>76</v>
      </c>
      <c r="BW686" s="42" t="n">
        <v>98</v>
      </c>
      <c r="BX686" s="48" t="n">
        <v>86</v>
      </c>
      <c r="BY686" s="32" t="n">
        <v>18</v>
      </c>
      <c r="BZ686" s="32" t="n">
        <v>46</v>
      </c>
      <c r="CA686" s="32" t="n">
        <v>64</v>
      </c>
      <c r="CB686" s="32" t="n">
        <v>20</v>
      </c>
      <c r="CC686" s="32" t="n">
        <v>31</v>
      </c>
      <c r="CD686" s="69" t="n">
        <v>51</v>
      </c>
      <c r="CE686" s="32" t="n">
        <v>27</v>
      </c>
      <c r="CF686" s="60"/>
      <c r="CG686" s="60"/>
      <c r="CH686" s="32" t="n">
        <v>96</v>
      </c>
      <c r="CI686" s="32" t="n">
        <v>86</v>
      </c>
      <c r="CJ686" s="49" t="n">
        <v>17</v>
      </c>
      <c r="CK686" s="49" t="n">
        <v>30</v>
      </c>
      <c r="CL686" s="76" t="n">
        <v>47</v>
      </c>
      <c r="CM686" s="49" t="n">
        <v>17</v>
      </c>
      <c r="CN686" s="49" t="n">
        <v>55</v>
      </c>
      <c r="CO686" s="84" t="n">
        <v>72</v>
      </c>
      <c r="CP686" s="25" t="n">
        <f aca="false">BX686+BW686+BV686+BU686+BT686+BQ686+BN686</f>
        <v>555</v>
      </c>
      <c r="CQ686" s="25" t="n">
        <f aca="false">CO686+CL686+CI686+CH686+CG686+CD686+CA686</f>
        <v>416</v>
      </c>
      <c r="CR686" s="26" t="n">
        <f aca="false">CP686/7</f>
        <v>79.2857142857143</v>
      </c>
      <c r="CS686" s="26" t="n">
        <f aca="false">CQ686/7</f>
        <v>59.4285714285714</v>
      </c>
      <c r="CT686" s="24" t="n">
        <f aca="false">RANK(CR686,$CR$2:$CR$881,0)</f>
        <v>597</v>
      </c>
      <c r="CU686" s="25" t="n">
        <f aca="false">RANK(CS686,$CS$2:$CS$881,0)</f>
        <v>690</v>
      </c>
      <c r="CV686" s="26" t="n">
        <f aca="false">(CS686+CR686)/2</f>
        <v>69.3571428571429</v>
      </c>
      <c r="CW686" s="25" t="n">
        <f aca="false">RANK(CV686,$CV$2:$CV$881,0)</f>
        <v>640</v>
      </c>
      <c r="CX686" s="50" t="n">
        <f aca="false">(CV686+BB686)/2</f>
        <v>73.9785714285714</v>
      </c>
      <c r="CY686" s="50" t="n">
        <v>577</v>
      </c>
      <c r="CZ686" s="27" t="s">
        <v>132</v>
      </c>
      <c r="DA686" s="27" t="s">
        <v>486</v>
      </c>
      <c r="DB686" s="27" t="s">
        <v>486</v>
      </c>
      <c r="DC686" s="27" t="s">
        <v>134</v>
      </c>
      <c r="DD686" s="27" t="s">
        <v>264</v>
      </c>
      <c r="DE686" s="27" t="s">
        <v>673</v>
      </c>
      <c r="DF686" s="27" t="s">
        <v>177</v>
      </c>
      <c r="DG686" s="27" t="s">
        <v>134</v>
      </c>
      <c r="DH686" s="27" t="s">
        <v>154</v>
      </c>
      <c r="DI686" s="27" t="s">
        <v>137</v>
      </c>
      <c r="DJ686" s="27" t="s">
        <v>442</v>
      </c>
      <c r="DK686" s="27" t="s">
        <v>480</v>
      </c>
      <c r="DL686" s="27" t="s">
        <v>174</v>
      </c>
      <c r="DM686" s="27" t="s">
        <v>1395</v>
      </c>
      <c r="DN686" s="27" t="s">
        <v>220</v>
      </c>
      <c r="DO686" s="27" t="s">
        <v>480</v>
      </c>
      <c r="DP686" s="27"/>
      <c r="DQ686" s="27"/>
      <c r="DR686" s="27"/>
      <c r="DS686" s="27"/>
      <c r="DT686" s="27"/>
      <c r="DU686" s="27"/>
      <c r="DV686" s="27"/>
      <c r="DW686" s="27" t="s">
        <v>706</v>
      </c>
      <c r="DX686" s="27" t="s">
        <v>141</v>
      </c>
      <c r="DY686" s="27" t="s">
        <v>205</v>
      </c>
      <c r="DZ686" s="27" t="n">
        <f aca="false">DY686+DV686+DR686+DN686+DJ686+DF686+DB686</f>
        <v>320</v>
      </c>
      <c r="EA686" s="28" t="n">
        <f aca="false">DZ686/7</f>
        <v>45.7142857142857</v>
      </c>
      <c r="EB686" s="27" t="n">
        <f aca="false">RANK(EA686,$EA$2:$EA$881,0)</f>
        <v>850</v>
      </c>
      <c r="EC686" s="29" t="n">
        <f aca="false">DZ686+CQ686+CP686+AZ686</f>
        <v>2077</v>
      </c>
      <c r="ED686" s="30" t="n">
        <f aca="false">(EA686+CV686+BB686)/3</f>
        <v>64.5571428571429</v>
      </c>
      <c r="EE686" s="51" t="n">
        <f aca="false">ROUND(BE686,3)</f>
        <v>86.3</v>
      </c>
      <c r="EF686" s="51" t="n">
        <f aca="false">ROUND(CR686,3)</f>
        <v>79.286</v>
      </c>
      <c r="EG686" s="51" t="n">
        <f aca="false">ROUND(CS686,3)</f>
        <v>59.429</v>
      </c>
      <c r="EH686" s="51" t="n">
        <f aca="false">ROUND(EA686,3)</f>
        <v>45.714</v>
      </c>
      <c r="EI686" s="51" t="n">
        <f aca="false">ROUND(ED686,3)</f>
        <v>64.557</v>
      </c>
      <c r="EJ686" s="51" t="n">
        <f aca="false">ROUND(CV686,3)</f>
        <v>69.357</v>
      </c>
      <c r="EK686" s="0" t="n">
        <f aca="false">RANK(EI686,$EI$2:$EI$881,0)</f>
        <v>685</v>
      </c>
    </row>
    <row r="687" customFormat="false" ht="15" hidden="false" customHeight="false" outlineLevel="0" collapsed="false">
      <c r="A687" s="4" t="n">
        <v>1949</v>
      </c>
      <c r="B687" s="4" t="n">
        <v>580</v>
      </c>
      <c r="C687" s="27" t="s">
        <v>1980</v>
      </c>
      <c r="D687" s="31" t="n">
        <v>585</v>
      </c>
      <c r="E687" s="16" t="n">
        <v>230407477</v>
      </c>
      <c r="F687" s="56" t="s">
        <v>1981</v>
      </c>
      <c r="G687" s="22" t="s">
        <v>368</v>
      </c>
      <c r="H687" s="22" t="s">
        <v>271</v>
      </c>
      <c r="I687" s="57"/>
      <c r="J687" s="16" t="n">
        <v>80</v>
      </c>
      <c r="K687" s="16" t="n">
        <v>86</v>
      </c>
      <c r="L687" s="34" t="n">
        <f aca="false">(K687*70)/100</f>
        <v>60.2</v>
      </c>
      <c r="M687" s="34" t="n">
        <f aca="false">ROUNDUP(L687,0)</f>
        <v>61</v>
      </c>
      <c r="N687" s="16" t="n">
        <v>24</v>
      </c>
      <c r="O687" s="34" t="n">
        <f aca="false">N687+L687</f>
        <v>84.2</v>
      </c>
      <c r="P687" s="34" t="n">
        <f aca="false">N687+M687</f>
        <v>85</v>
      </c>
      <c r="Q687" s="16" t="n">
        <v>78</v>
      </c>
      <c r="R687" s="16" t="n">
        <v>68</v>
      </c>
      <c r="S687" s="34" t="n">
        <f aca="false">(R687*70)/100</f>
        <v>47.6</v>
      </c>
      <c r="T687" s="34" t="n">
        <f aca="false">ROUNDUP(S687,0)</f>
        <v>48</v>
      </c>
      <c r="U687" s="16" t="n">
        <v>25</v>
      </c>
      <c r="V687" s="34" t="n">
        <f aca="false">U687+S687</f>
        <v>72.6</v>
      </c>
      <c r="W687" s="34" t="n">
        <f aca="false">U687+T687</f>
        <v>73</v>
      </c>
      <c r="X687" s="16" t="n">
        <v>66</v>
      </c>
      <c r="Y687" s="34" t="n">
        <f aca="false">(X687*70)/100</f>
        <v>46.2</v>
      </c>
      <c r="Z687" s="34" t="n">
        <f aca="false">ROUNDUP(Y687,0)</f>
        <v>47</v>
      </c>
      <c r="AA687" s="16" t="n">
        <v>27</v>
      </c>
      <c r="AB687" s="34" t="n">
        <f aca="false">AA687+Y687</f>
        <v>73.2</v>
      </c>
      <c r="AC687" s="34" t="n">
        <f aca="false">AA687+Z687</f>
        <v>74</v>
      </c>
      <c r="AD687" s="32" t="n">
        <f aca="false">X687+R687+Q687+K687+J687</f>
        <v>378</v>
      </c>
      <c r="AE687" s="16" t="n">
        <f aca="false">AD687/5</f>
        <v>75.6</v>
      </c>
      <c r="AF687" s="16" t="n">
        <v>60</v>
      </c>
      <c r="AG687" s="16" t="n">
        <v>87</v>
      </c>
      <c r="AH687" s="16" t="n">
        <v>90</v>
      </c>
      <c r="AI687" s="16" t="n">
        <v>69</v>
      </c>
      <c r="AJ687" s="16" t="n">
        <f aca="false">(AI687*70)/100</f>
        <v>48.3</v>
      </c>
      <c r="AK687" s="35" t="n">
        <f aca="false">ROUNDUP(AJ687,0)</f>
        <v>49</v>
      </c>
      <c r="AL687" s="16" t="n">
        <v>24</v>
      </c>
      <c r="AM687" s="16" t="n">
        <f aca="false">AL687+AJ687</f>
        <v>72.3</v>
      </c>
      <c r="AN687" s="16" t="n">
        <f aca="false">AL687+AK687</f>
        <v>73</v>
      </c>
      <c r="AO687" s="16" t="n">
        <v>69</v>
      </c>
      <c r="AP687" s="36" t="n">
        <f aca="false">(AO687*70)/100</f>
        <v>48.3</v>
      </c>
      <c r="AQ687" s="37" t="n">
        <f aca="false">ROUNDUP(AP687,0)</f>
        <v>49</v>
      </c>
      <c r="AR687" s="16" t="n">
        <v>22</v>
      </c>
      <c r="AS687" s="16" t="n">
        <f aca="false">AR687+AP687</f>
        <v>70.3</v>
      </c>
      <c r="AT687" s="16" t="n">
        <f aca="false">AR687+AQ687</f>
        <v>71</v>
      </c>
      <c r="AU687" s="16" t="n">
        <f aca="false">AO687+AF687+AI687+AH687+AG687</f>
        <v>375</v>
      </c>
      <c r="AV687" s="16" t="n">
        <f aca="false">(AO687+AF687+AI687+AH687+AG687)/5</f>
        <v>75</v>
      </c>
      <c r="AW687" s="36" t="n">
        <f aca="false">(AO687+AF687+AI687+AH687+AG687+X687+R687+Q687+K687+J687)</f>
        <v>753</v>
      </c>
      <c r="AX687" s="16" t="n">
        <f aca="false">AW687/10</f>
        <v>75.3</v>
      </c>
      <c r="AY687" s="16" t="n">
        <f aca="false">AS687+AF687+AM687+AH687+AG687+AB687+V687+Q687+O687+J687</f>
        <v>767.6</v>
      </c>
      <c r="AZ687" s="16" t="n">
        <f aca="false">AT687+AF687+AN687+AH687+AG687+AC687+W687+Q687+P687+J687</f>
        <v>771</v>
      </c>
      <c r="BA687" s="16" t="n">
        <f aca="false">AY687/10</f>
        <v>76.76</v>
      </c>
      <c r="BB687" s="16" t="n">
        <f aca="false">AZ687/10</f>
        <v>77.1</v>
      </c>
      <c r="BC687" s="16" t="n">
        <v>2399</v>
      </c>
      <c r="BD687" s="16" t="n">
        <f aca="false">RANK(AX687,$AX$2:$AX$881,0)</f>
        <v>671</v>
      </c>
      <c r="BE687" s="54" t="n">
        <f aca="false">((BC687*100)/2400)*0.4+(AX687*0.6)</f>
        <v>85.1633333333333</v>
      </c>
      <c r="BF687" s="16" t="n">
        <f aca="false">RANK(BE687,$BE$2:$BE$881,0)</f>
        <v>572</v>
      </c>
      <c r="BG687" s="39" t="n">
        <f aca="false">RANK(BB687,$BB$2:$BB$881,0)</f>
        <v>632</v>
      </c>
      <c r="BH687" s="39" t="n">
        <f aca="false">RANK(BC687,$BC$2:$BC$881,0)</f>
        <v>5</v>
      </c>
      <c r="BI687" s="22" t="s">
        <v>130</v>
      </c>
      <c r="BJ687" s="22" t="s">
        <v>129</v>
      </c>
      <c r="BK687" s="40" t="s">
        <v>509</v>
      </c>
      <c r="BL687" s="41" t="n">
        <v>17</v>
      </c>
      <c r="BM687" s="41" t="n">
        <v>45</v>
      </c>
      <c r="BN687" s="41" t="n">
        <v>62</v>
      </c>
      <c r="BO687" s="42" t="n">
        <v>24</v>
      </c>
      <c r="BP687" s="43" t="n">
        <v>53</v>
      </c>
      <c r="BQ687" s="44" t="n">
        <v>77</v>
      </c>
      <c r="BR687" s="42" t="n">
        <v>23</v>
      </c>
      <c r="BS687" s="45" t="n">
        <v>40</v>
      </c>
      <c r="BT687" s="45" t="n">
        <v>63</v>
      </c>
      <c r="BU687" s="46" t="n">
        <v>100</v>
      </c>
      <c r="BV687" s="47" t="n">
        <v>82</v>
      </c>
      <c r="BW687" s="42" t="n">
        <v>96</v>
      </c>
      <c r="BX687" s="80"/>
      <c r="BY687" s="65" t="n">
        <v>28</v>
      </c>
      <c r="BZ687" s="58" t="n">
        <v>47</v>
      </c>
      <c r="CA687" s="58" t="n">
        <v>75</v>
      </c>
      <c r="CB687" s="61"/>
      <c r="CC687" s="60"/>
      <c r="CD687" s="60"/>
      <c r="CE687" s="60"/>
      <c r="CF687" s="60"/>
      <c r="CG687" s="60"/>
      <c r="CH687" s="60"/>
      <c r="CI687" s="60"/>
      <c r="CJ687" s="60"/>
      <c r="CK687" s="60"/>
      <c r="CL687" s="61"/>
      <c r="CM687" s="60"/>
      <c r="CN687" s="60"/>
      <c r="CO687" s="60"/>
      <c r="CP687" s="25" t="n">
        <f aca="false">BX687+BW687+BV687+BU687+BT687+BQ687+BN687</f>
        <v>480</v>
      </c>
      <c r="CQ687" s="25" t="n">
        <f aca="false">CO687+CL687+CI687+CH687+CG687+CD687+CA687</f>
        <v>75</v>
      </c>
      <c r="CR687" s="26" t="n">
        <f aca="false">CP687/7</f>
        <v>68.5714285714286</v>
      </c>
      <c r="CS687" s="26" t="n">
        <f aca="false">CQ687/7</f>
        <v>10.7142857142857</v>
      </c>
      <c r="CT687" s="24" t="n">
        <f aca="false">RANK(CR687,$CR$2:$CR$881,0)</f>
        <v>692</v>
      </c>
      <c r="CU687" s="25" t="n">
        <f aca="false">RANK(CS687,$CS$2:$CS$881,0)</f>
        <v>739</v>
      </c>
      <c r="CV687" s="26" t="n">
        <f aca="false">(CS687+CR687)/2</f>
        <v>39.6428571428571</v>
      </c>
      <c r="CW687" s="25" t="n">
        <f aca="false">RANK(CV687,$CV$2:$CV$881,0)</f>
        <v>721</v>
      </c>
      <c r="CX687" s="50" t="n">
        <f aca="false">(CV687+BB687)/2</f>
        <v>58.3714285714286</v>
      </c>
      <c r="CY687" s="50" t="n">
        <v>674</v>
      </c>
      <c r="CZ687" s="27" t="s">
        <v>132</v>
      </c>
      <c r="DA687" s="27" t="s">
        <v>202</v>
      </c>
      <c r="DB687" s="27" t="s">
        <v>202</v>
      </c>
      <c r="DC687" s="27" t="s">
        <v>134</v>
      </c>
      <c r="DD687" s="27" t="s">
        <v>140</v>
      </c>
      <c r="DE687" s="27" t="s">
        <v>415</v>
      </c>
      <c r="DF687" s="27" t="s">
        <v>443</v>
      </c>
      <c r="DG687" s="27" t="s">
        <v>134</v>
      </c>
      <c r="DH687" s="27" t="s">
        <v>160</v>
      </c>
      <c r="DI687" s="27" t="s">
        <v>375</v>
      </c>
      <c r="DJ687" s="27" t="s">
        <v>305</v>
      </c>
      <c r="DK687" s="27" t="s">
        <v>134</v>
      </c>
      <c r="DL687" s="27" t="s">
        <v>137</v>
      </c>
      <c r="DM687" s="27" t="s">
        <v>442</v>
      </c>
      <c r="DN687" s="27" t="s">
        <v>441</v>
      </c>
      <c r="DO687" s="27" t="s">
        <v>134</v>
      </c>
      <c r="DP687" s="27" t="s">
        <v>604</v>
      </c>
      <c r="DQ687" s="27" t="s">
        <v>638</v>
      </c>
      <c r="DR687" s="27" t="s">
        <v>161</v>
      </c>
      <c r="DS687" s="27" t="s">
        <v>134</v>
      </c>
      <c r="DT687" s="27" t="s">
        <v>135</v>
      </c>
      <c r="DU687" s="27" t="s">
        <v>989</v>
      </c>
      <c r="DV687" s="27" t="s">
        <v>141</v>
      </c>
      <c r="DW687" s="27" t="s">
        <v>140</v>
      </c>
      <c r="DX687" s="27" t="s">
        <v>187</v>
      </c>
      <c r="DY687" s="27" t="s">
        <v>139</v>
      </c>
      <c r="DZ687" s="27" t="n">
        <f aca="false">DY687+DV687+DR687+DN687+DJ687+DF687+DB687</f>
        <v>538</v>
      </c>
      <c r="EA687" s="28" t="n">
        <f aca="false">DZ687/7</f>
        <v>76.8571428571429</v>
      </c>
      <c r="EB687" s="27" t="n">
        <f aca="false">RANK(EA687,$EA$2:$EA$881,0)</f>
        <v>493</v>
      </c>
      <c r="EC687" s="29" t="n">
        <f aca="false">DZ687+CQ687+CP687+AZ687</f>
        <v>1864</v>
      </c>
      <c r="ED687" s="30" t="n">
        <f aca="false">(EA687+CV687+BB687)/3</f>
        <v>64.5333333333333</v>
      </c>
      <c r="EE687" s="51" t="n">
        <f aca="false">ROUND(BE687,3)</f>
        <v>85.163</v>
      </c>
      <c r="EF687" s="51" t="n">
        <f aca="false">ROUND(CR687,3)</f>
        <v>68.571</v>
      </c>
      <c r="EG687" s="51" t="n">
        <f aca="false">ROUND(CS687,3)</f>
        <v>10.714</v>
      </c>
      <c r="EH687" s="51" t="n">
        <f aca="false">ROUND(EA687,3)</f>
        <v>76.857</v>
      </c>
      <c r="EI687" s="51" t="n">
        <f aca="false">ROUND(ED687,3)</f>
        <v>64.533</v>
      </c>
      <c r="EJ687" s="51" t="n">
        <f aca="false">ROUND(CV687,3)</f>
        <v>39.643</v>
      </c>
      <c r="EK687" s="0" t="n">
        <f aca="false">RANK(EI687,$EI$2:$EI$881,0)</f>
        <v>686</v>
      </c>
    </row>
    <row r="688" customFormat="false" ht="15" hidden="false" customHeight="false" outlineLevel="0" collapsed="false">
      <c r="A688" s="4" t="n">
        <v>1921</v>
      </c>
      <c r="B688" s="4" t="n">
        <v>720</v>
      </c>
      <c r="C688" s="27" t="s">
        <v>1982</v>
      </c>
      <c r="D688" s="31" t="n">
        <v>735</v>
      </c>
      <c r="E688" s="16" t="n">
        <v>230120450</v>
      </c>
      <c r="F688" s="56" t="s">
        <v>1983</v>
      </c>
      <c r="G688" s="22" t="s">
        <v>1984</v>
      </c>
      <c r="H688" s="22" t="s">
        <v>326</v>
      </c>
      <c r="I688" s="57"/>
      <c r="J688" s="16" t="n">
        <v>83</v>
      </c>
      <c r="K688" s="16" t="n">
        <v>80</v>
      </c>
      <c r="L688" s="34" t="n">
        <f aca="false">(K688*70)/100</f>
        <v>56</v>
      </c>
      <c r="M688" s="34" t="n">
        <f aca="false">ROUNDUP(L688,0)</f>
        <v>56</v>
      </c>
      <c r="N688" s="16" t="n">
        <v>23</v>
      </c>
      <c r="O688" s="34" t="n">
        <f aca="false">N688+L688</f>
        <v>79</v>
      </c>
      <c r="P688" s="34" t="n">
        <f aca="false">N688+M688</f>
        <v>79</v>
      </c>
      <c r="Q688" s="16" t="n">
        <v>69</v>
      </c>
      <c r="R688" s="16" t="n">
        <v>78</v>
      </c>
      <c r="S688" s="34" t="n">
        <f aca="false">(R688*70)/100</f>
        <v>54.6</v>
      </c>
      <c r="T688" s="34" t="n">
        <f aca="false">ROUNDUP(S688,0)</f>
        <v>55</v>
      </c>
      <c r="U688" s="16" t="n">
        <v>24</v>
      </c>
      <c r="V688" s="34" t="n">
        <f aca="false">U688+S688</f>
        <v>78.6</v>
      </c>
      <c r="W688" s="34" t="n">
        <f aca="false">U688+T688</f>
        <v>79</v>
      </c>
      <c r="X688" s="16" t="n">
        <v>74</v>
      </c>
      <c r="Y688" s="34" t="n">
        <f aca="false">(X688*70)/100</f>
        <v>51.8</v>
      </c>
      <c r="Z688" s="34" t="n">
        <f aca="false">ROUNDUP(Y688,0)</f>
        <v>52</v>
      </c>
      <c r="AA688" s="16" t="n">
        <v>23</v>
      </c>
      <c r="AB688" s="34" t="n">
        <f aca="false">AA688+Y688</f>
        <v>74.8</v>
      </c>
      <c r="AC688" s="34" t="n">
        <f aca="false">AA688+Z688</f>
        <v>75</v>
      </c>
      <c r="AD688" s="32" t="n">
        <f aca="false">X688+R688+Q688+K688+J688</f>
        <v>384</v>
      </c>
      <c r="AE688" s="16" t="n">
        <f aca="false">AD688/5</f>
        <v>76.8</v>
      </c>
      <c r="AF688" s="16" t="n">
        <v>65</v>
      </c>
      <c r="AG688" s="16" t="n">
        <v>82</v>
      </c>
      <c r="AH688" s="16" t="n">
        <v>86</v>
      </c>
      <c r="AI688" s="16" t="n">
        <v>80</v>
      </c>
      <c r="AJ688" s="16" t="n">
        <f aca="false">(AI688*70)/100</f>
        <v>56</v>
      </c>
      <c r="AK688" s="35" t="n">
        <f aca="false">ROUNDUP(AJ688,0)</f>
        <v>56</v>
      </c>
      <c r="AL688" s="16" t="n">
        <v>23</v>
      </c>
      <c r="AM688" s="16" t="n">
        <f aca="false">AL688+AJ688</f>
        <v>79</v>
      </c>
      <c r="AN688" s="16" t="n">
        <f aca="false">AL688+AK688</f>
        <v>79</v>
      </c>
      <c r="AO688" s="16" t="n">
        <v>75</v>
      </c>
      <c r="AP688" s="36" t="n">
        <f aca="false">(AO688*70)/100</f>
        <v>52.5</v>
      </c>
      <c r="AQ688" s="37" t="n">
        <f aca="false">ROUNDUP(AP688,0)</f>
        <v>53</v>
      </c>
      <c r="AR688" s="16" t="n">
        <v>26</v>
      </c>
      <c r="AS688" s="16" t="n">
        <f aca="false">AR688+AP688</f>
        <v>78.5</v>
      </c>
      <c r="AT688" s="16" t="n">
        <f aca="false">AR688+AQ688</f>
        <v>79</v>
      </c>
      <c r="AU688" s="16" t="n">
        <f aca="false">AO688+AF688+AI688+AH688+AG688</f>
        <v>388</v>
      </c>
      <c r="AV688" s="16" t="n">
        <f aca="false">(AO688+AF688+AI688+AH688+AG688)/5</f>
        <v>77.6</v>
      </c>
      <c r="AW688" s="36" t="n">
        <f aca="false">(AO688+AF688+AI688+AH688+AG688+X688+R688+Q688+K688+J688)</f>
        <v>772</v>
      </c>
      <c r="AX688" s="16" t="n">
        <f aca="false">AW688/10</f>
        <v>77.2</v>
      </c>
      <c r="AY688" s="16" t="n">
        <f aca="false">AS688+AF688+AM688+AH688+AG688+AB688+V688+Q688+O688+J688</f>
        <v>774.9</v>
      </c>
      <c r="AZ688" s="16" t="n">
        <f aca="false">AT688+AF688+AN688+AH688+AG688+AC688+W688+Q688+P688+J688</f>
        <v>776</v>
      </c>
      <c r="BA688" s="16" t="n">
        <f aca="false">AY688/10</f>
        <v>77.49</v>
      </c>
      <c r="BB688" s="16" t="n">
        <f aca="false">AZ688/10</f>
        <v>77.6</v>
      </c>
      <c r="BC688" s="16" t="n">
        <v>2337</v>
      </c>
      <c r="BD688" s="16" t="n">
        <f aca="false">RANK(AX688,$AX$2:$AX$881,0)</f>
        <v>482</v>
      </c>
      <c r="BE688" s="54" t="n">
        <f aca="false">((BC688*100)/2400)*0.4+(AX688*0.6)</f>
        <v>85.27</v>
      </c>
      <c r="BF688" s="16" t="n">
        <f aca="false">RANK(BE688,$BE$2:$BE$881,0)</f>
        <v>549</v>
      </c>
      <c r="BG688" s="39" t="n">
        <f aca="false">RANK(BB688,$BB$2:$BB$881,0)</f>
        <v>596</v>
      </c>
      <c r="BH688" s="39" t="n">
        <f aca="false">RANK(BC688,$BC$2:$BC$881,0)</f>
        <v>658</v>
      </c>
      <c r="BI688" s="22" t="s">
        <v>130</v>
      </c>
      <c r="BJ688" s="22" t="s">
        <v>129</v>
      </c>
      <c r="BK688" s="40" t="s">
        <v>509</v>
      </c>
      <c r="BL688" s="98" t="n">
        <v>7</v>
      </c>
      <c r="BM688" s="61"/>
      <c r="BN688" s="61"/>
      <c r="BO688" s="42" t="n">
        <v>20</v>
      </c>
      <c r="BP688" s="43" t="n">
        <v>41</v>
      </c>
      <c r="BQ688" s="44" t="n">
        <v>61</v>
      </c>
      <c r="BR688" s="42" t="n">
        <v>17</v>
      </c>
      <c r="BS688" s="45" t="n">
        <v>43</v>
      </c>
      <c r="BT688" s="24" t="n">
        <v>60</v>
      </c>
      <c r="BU688" s="46" t="n">
        <v>96</v>
      </c>
      <c r="BV688" s="47" t="n">
        <v>70</v>
      </c>
      <c r="BW688" s="42" t="n">
        <v>93</v>
      </c>
      <c r="BX688" s="48" t="n">
        <v>84</v>
      </c>
      <c r="BY688" s="32" t="n">
        <v>21</v>
      </c>
      <c r="BZ688" s="32" t="n">
        <v>48</v>
      </c>
      <c r="CA688" s="32" t="n">
        <v>69</v>
      </c>
      <c r="CB688" s="32" t="n">
        <v>17</v>
      </c>
      <c r="CC688" s="32" t="n">
        <v>29</v>
      </c>
      <c r="CD688" s="69" t="n">
        <v>46</v>
      </c>
      <c r="CE688" s="32" t="n">
        <v>24</v>
      </c>
      <c r="CF688" s="32" t="n">
        <v>43</v>
      </c>
      <c r="CG688" s="32" t="n">
        <v>67</v>
      </c>
      <c r="CH688" s="32" t="n">
        <v>96</v>
      </c>
      <c r="CI688" s="32" t="n">
        <v>86</v>
      </c>
      <c r="CJ688" s="49" t="n">
        <v>16</v>
      </c>
      <c r="CK688" s="49" t="n">
        <v>32</v>
      </c>
      <c r="CL688" s="76" t="n">
        <v>48</v>
      </c>
      <c r="CM688" s="49" t="n">
        <v>20</v>
      </c>
      <c r="CN688" s="49" t="n">
        <v>47</v>
      </c>
      <c r="CO688" s="49" t="n">
        <v>67</v>
      </c>
      <c r="CP688" s="25" t="n">
        <f aca="false">BX688+BW688+BV688+BU688+BT688+BQ688+BN688</f>
        <v>464</v>
      </c>
      <c r="CQ688" s="25" t="n">
        <f aca="false">CO688+CL688+CI688+CH688+CG688+CD688+CA688</f>
        <v>479</v>
      </c>
      <c r="CR688" s="26" t="n">
        <f aca="false">CP688/7</f>
        <v>66.2857142857143</v>
      </c>
      <c r="CS688" s="26" t="n">
        <f aca="false">CQ688/7</f>
        <v>68.4285714285714</v>
      </c>
      <c r="CT688" s="24" t="n">
        <f aca="false">RANK(CR688,$CR$2:$CR$881,0)</f>
        <v>702</v>
      </c>
      <c r="CU688" s="25" t="n">
        <f aca="false">RANK(CS688,$CS$2:$CS$881,0)</f>
        <v>581</v>
      </c>
      <c r="CV688" s="26" t="n">
        <f aca="false">(CS688+CR688)/2</f>
        <v>67.3571428571429</v>
      </c>
      <c r="CW688" s="25" t="n">
        <f aca="false">RANK(CV688,$CV$2:$CV$881,0)</f>
        <v>659</v>
      </c>
      <c r="CX688" s="50" t="n">
        <f aca="false">(CV688+BB688)/2</f>
        <v>72.4785714285714</v>
      </c>
      <c r="CY688" s="50" t="n">
        <v>590</v>
      </c>
      <c r="CZ688" s="27" t="s">
        <v>132</v>
      </c>
      <c r="DA688" s="27" t="s">
        <v>202</v>
      </c>
      <c r="DB688" s="27" t="s">
        <v>202</v>
      </c>
      <c r="DC688" s="27" t="s">
        <v>134</v>
      </c>
      <c r="DD688" s="27" t="s">
        <v>195</v>
      </c>
      <c r="DE688" s="27" t="s">
        <v>479</v>
      </c>
      <c r="DF688" s="27" t="s">
        <v>177</v>
      </c>
      <c r="DG688" s="27" t="s">
        <v>134</v>
      </c>
      <c r="DH688" s="27" t="s">
        <v>182</v>
      </c>
      <c r="DI688" s="27" t="s">
        <v>645</v>
      </c>
      <c r="DJ688" s="27" t="s">
        <v>143</v>
      </c>
      <c r="DK688" s="27" t="s">
        <v>134</v>
      </c>
      <c r="DL688" s="27" t="s">
        <v>386</v>
      </c>
      <c r="DM688" s="27" t="s">
        <v>304</v>
      </c>
      <c r="DN688" s="27" t="s">
        <v>398</v>
      </c>
      <c r="DO688" s="27" t="s">
        <v>134</v>
      </c>
      <c r="DP688" s="27"/>
      <c r="DQ688" s="27"/>
      <c r="DR688" s="27"/>
      <c r="DS688" s="27"/>
      <c r="DT688" s="27" t="s">
        <v>825</v>
      </c>
      <c r="DU688" s="27" t="s">
        <v>1151</v>
      </c>
      <c r="DV688" s="27" t="s">
        <v>638</v>
      </c>
      <c r="DW688" s="27"/>
      <c r="DX688" s="27"/>
      <c r="DY688" s="27"/>
      <c r="DZ688" s="27" t="n">
        <f aca="false">DY688+DV688+DR688+DN688+DJ688+DF688+DB688</f>
        <v>331</v>
      </c>
      <c r="EA688" s="28" t="n">
        <f aca="false">DZ688/7</f>
        <v>47.2857142857143</v>
      </c>
      <c r="EB688" s="27" t="n">
        <f aca="false">RANK(EA688,$EA$2:$EA$881,0)</f>
        <v>844</v>
      </c>
      <c r="EC688" s="29" t="n">
        <f aca="false">DZ688+CQ688+CP688+AZ688</f>
        <v>2050</v>
      </c>
      <c r="ED688" s="30" t="n">
        <f aca="false">(EA688+CV688+BB688)/3</f>
        <v>64.0809523809524</v>
      </c>
      <c r="EE688" s="51" t="n">
        <f aca="false">ROUND(BE688,3)</f>
        <v>85.27</v>
      </c>
      <c r="EF688" s="51" t="n">
        <f aca="false">ROUND(CR688,3)</f>
        <v>66.286</v>
      </c>
      <c r="EG688" s="51" t="n">
        <f aca="false">ROUND(CS688,3)</f>
        <v>68.429</v>
      </c>
      <c r="EH688" s="51" t="n">
        <f aca="false">ROUND(EA688,3)</f>
        <v>47.286</v>
      </c>
      <c r="EI688" s="51" t="n">
        <f aca="false">ROUND(ED688,3)</f>
        <v>64.081</v>
      </c>
      <c r="EJ688" s="51" t="n">
        <f aca="false">ROUND(CV688,3)</f>
        <v>67.357</v>
      </c>
      <c r="EK688" s="0" t="n">
        <f aca="false">RANK(EI688,$EI$2:$EI$881,0)</f>
        <v>687</v>
      </c>
    </row>
    <row r="689" customFormat="false" ht="15" hidden="false" customHeight="false" outlineLevel="0" collapsed="false">
      <c r="A689" s="4" t="n">
        <v>8978</v>
      </c>
      <c r="B689" s="4" t="n">
        <v>546</v>
      </c>
      <c r="C689" s="27" t="s">
        <v>1985</v>
      </c>
      <c r="D689" s="31" t="n">
        <v>551</v>
      </c>
      <c r="E689" s="16" t="n">
        <v>230610572</v>
      </c>
      <c r="F689" s="56" t="s">
        <v>1986</v>
      </c>
      <c r="G689" s="22" t="s">
        <v>1987</v>
      </c>
      <c r="H689" s="22" t="s">
        <v>558</v>
      </c>
      <c r="I689" s="57"/>
      <c r="J689" s="16" t="n">
        <v>72</v>
      </c>
      <c r="K689" s="16" t="n">
        <v>73</v>
      </c>
      <c r="L689" s="34" t="n">
        <f aca="false">(K689*70)/100</f>
        <v>51.1</v>
      </c>
      <c r="M689" s="34" t="n">
        <f aca="false">ROUNDUP(L689,0)</f>
        <v>52</v>
      </c>
      <c r="N689" s="16" t="n">
        <v>19</v>
      </c>
      <c r="O689" s="34" t="n">
        <f aca="false">N689+L689</f>
        <v>70.1</v>
      </c>
      <c r="P689" s="34" t="n">
        <f aca="false">N689+M689</f>
        <v>71</v>
      </c>
      <c r="Q689" s="16" t="n">
        <v>82</v>
      </c>
      <c r="R689" s="16" t="n">
        <v>78</v>
      </c>
      <c r="S689" s="34" t="n">
        <f aca="false">(R689*70)/100</f>
        <v>54.6</v>
      </c>
      <c r="T689" s="34" t="n">
        <f aca="false">ROUNDUP(S689,0)</f>
        <v>55</v>
      </c>
      <c r="U689" s="16" t="n">
        <v>21</v>
      </c>
      <c r="V689" s="34" t="n">
        <f aca="false">U689+S689</f>
        <v>75.6</v>
      </c>
      <c r="W689" s="34" t="n">
        <f aca="false">U689+T689</f>
        <v>76</v>
      </c>
      <c r="X689" s="16" t="n">
        <v>66</v>
      </c>
      <c r="Y689" s="34" t="n">
        <f aca="false">(X689*70)/100</f>
        <v>46.2</v>
      </c>
      <c r="Z689" s="34" t="n">
        <f aca="false">ROUNDUP(Y689,0)</f>
        <v>47</v>
      </c>
      <c r="AA689" s="16" t="n">
        <v>17</v>
      </c>
      <c r="AB689" s="34" t="n">
        <f aca="false">AA689+Y689</f>
        <v>63.2</v>
      </c>
      <c r="AC689" s="34" t="n">
        <f aca="false">AA689+Z689</f>
        <v>64</v>
      </c>
      <c r="AD689" s="32" t="n">
        <f aca="false">X689+R689+Q689+K689+J689</f>
        <v>371</v>
      </c>
      <c r="AE689" s="16" t="n">
        <f aca="false">AD689/5</f>
        <v>74.2</v>
      </c>
      <c r="AF689" s="16" t="n">
        <v>77</v>
      </c>
      <c r="AG689" s="16" t="n">
        <v>80</v>
      </c>
      <c r="AH689" s="16" t="n">
        <v>89</v>
      </c>
      <c r="AI689" s="16" t="n">
        <v>96</v>
      </c>
      <c r="AJ689" s="16" t="n">
        <f aca="false">(AI689*70)/100</f>
        <v>67.2</v>
      </c>
      <c r="AK689" s="35" t="n">
        <f aca="false">ROUNDUP(AJ689,0)</f>
        <v>68</v>
      </c>
      <c r="AL689" s="16" t="n">
        <v>27</v>
      </c>
      <c r="AM689" s="16" t="n">
        <f aca="false">AL689+AJ689</f>
        <v>94.2</v>
      </c>
      <c r="AN689" s="16" t="n">
        <f aca="false">AL689+AK689</f>
        <v>95</v>
      </c>
      <c r="AO689" s="16" t="n">
        <v>79</v>
      </c>
      <c r="AP689" s="36" t="n">
        <f aca="false">(AO689*70)/100</f>
        <v>55.3</v>
      </c>
      <c r="AQ689" s="37" t="n">
        <f aca="false">ROUNDUP(AP689,0)</f>
        <v>56</v>
      </c>
      <c r="AR689" s="16" t="n">
        <v>23</v>
      </c>
      <c r="AS689" s="16" t="n">
        <f aca="false">AR689+AP689</f>
        <v>78.3</v>
      </c>
      <c r="AT689" s="16" t="n">
        <f aca="false">AR689+AQ689</f>
        <v>79</v>
      </c>
      <c r="AU689" s="16" t="n">
        <f aca="false">AO689+AF689+AI689+AH689+AG689</f>
        <v>421</v>
      </c>
      <c r="AV689" s="16" t="n">
        <f aca="false">(AO689+AF689+AI689+AH689+AG689)/5</f>
        <v>84.2</v>
      </c>
      <c r="AW689" s="36" t="n">
        <f aca="false">(AO689+AF689+AI689+AH689+AG689+X689+R689+Q689+K689+J689)</f>
        <v>792</v>
      </c>
      <c r="AX689" s="16" t="n">
        <f aca="false">AW689/10</f>
        <v>79.2</v>
      </c>
      <c r="AY689" s="16" t="n">
        <f aca="false">AS689+AF689+AM689+AH689+AG689+AB689+V689+Q689+O689+J689</f>
        <v>781.4</v>
      </c>
      <c r="AZ689" s="16" t="n">
        <f aca="false">AT689+AF689+AN689+AH689+AG689+AC689+W689+Q689+P689+J689</f>
        <v>785</v>
      </c>
      <c r="BA689" s="16" t="n">
        <f aca="false">AY689/10</f>
        <v>78.14</v>
      </c>
      <c r="BB689" s="16" t="n">
        <f aca="false">AZ689/10</f>
        <v>78.5</v>
      </c>
      <c r="BC689" s="16" t="n">
        <v>2329</v>
      </c>
      <c r="BD689" s="16" t="n">
        <f aca="false">RANK(AX689,$AX$2:$AX$881,0)</f>
        <v>316</v>
      </c>
      <c r="BE689" s="54" t="n">
        <f aca="false">((BC689*100)/2400)*0.4+(AX689*0.6)</f>
        <v>86.3366666666667</v>
      </c>
      <c r="BF689" s="16" t="n">
        <f aca="false">RANK(BE689,$BE$2:$BE$881,0)</f>
        <v>372</v>
      </c>
      <c r="BG689" s="39" t="n">
        <f aca="false">RANK(BB689,$BB$2:$BB$881,0)</f>
        <v>505</v>
      </c>
      <c r="BH689" s="39" t="n">
        <f aca="false">RANK(BC689,$BC$2:$BC$881,0)</f>
        <v>737</v>
      </c>
      <c r="BI689" s="22" t="s">
        <v>130</v>
      </c>
      <c r="BJ689" s="22" t="s">
        <v>129</v>
      </c>
      <c r="BK689" s="40" t="s">
        <v>131</v>
      </c>
      <c r="BL689" s="105" t="n">
        <v>13.5</v>
      </c>
      <c r="BM689" s="61"/>
      <c r="BN689" s="61"/>
      <c r="BO689" s="42" t="n">
        <v>27</v>
      </c>
      <c r="BP689" s="59" t="n">
        <v>49</v>
      </c>
      <c r="BQ689" s="59" t="n">
        <v>76</v>
      </c>
      <c r="BR689" s="42" t="n">
        <v>23</v>
      </c>
      <c r="BS689" s="88" t="n">
        <v>18</v>
      </c>
      <c r="BT689" s="125" t="n">
        <v>41</v>
      </c>
      <c r="BU689" s="88" t="n">
        <v>60</v>
      </c>
      <c r="BV689" s="58" t="n">
        <v>61</v>
      </c>
      <c r="BW689" s="106"/>
      <c r="BX689" s="88" t="n">
        <v>92</v>
      </c>
      <c r="BY689" s="65" t="n">
        <v>28</v>
      </c>
      <c r="BZ689" s="58" t="n">
        <v>45</v>
      </c>
      <c r="CA689" s="58" t="n">
        <v>73</v>
      </c>
      <c r="CB689" s="59" t="n">
        <v>11</v>
      </c>
      <c r="CC689" s="58" t="n">
        <v>40</v>
      </c>
      <c r="CD689" s="58" t="n">
        <v>51</v>
      </c>
      <c r="CE689" s="58" t="n">
        <v>18</v>
      </c>
      <c r="CF689" s="58" t="n">
        <v>30</v>
      </c>
      <c r="CG689" s="90" t="n">
        <v>48</v>
      </c>
      <c r="CH689" s="58" t="n">
        <v>71</v>
      </c>
      <c r="CI689" s="58" t="n">
        <v>36</v>
      </c>
      <c r="CJ689" s="58" t="n">
        <v>17</v>
      </c>
      <c r="CK689" s="58" t="n">
        <v>56</v>
      </c>
      <c r="CL689" s="59" t="n">
        <v>73</v>
      </c>
      <c r="CM689" s="60"/>
      <c r="CN689" s="60"/>
      <c r="CO689" s="60"/>
      <c r="CP689" s="25" t="n">
        <f aca="false">BX689+BW689+BV689+BU689+BT689+BQ689+BN689</f>
        <v>330</v>
      </c>
      <c r="CQ689" s="25" t="n">
        <f aca="false">CO689+CL689+CI689+CH689+CG689+CD689+CA689</f>
        <v>352</v>
      </c>
      <c r="CR689" s="26" t="n">
        <f aca="false">CP689/7</f>
        <v>47.1428571428571</v>
      </c>
      <c r="CS689" s="26" t="n">
        <f aca="false">CQ689/7</f>
        <v>50.2857142857143</v>
      </c>
      <c r="CT689" s="24" t="n">
        <f aca="false">RANK(CR689,$CR$2:$CR$881,0)</f>
        <v>741</v>
      </c>
      <c r="CU689" s="25" t="n">
        <f aca="false">RANK(CS689,$CS$2:$CS$881,0)</f>
        <v>717</v>
      </c>
      <c r="CV689" s="26" t="n">
        <f aca="false">(CS689+CR689)/2</f>
        <v>48.7142857142857</v>
      </c>
      <c r="CW689" s="25" t="n">
        <f aca="false">RANK(CV689,$CV$2:$CV$881,0)</f>
        <v>716</v>
      </c>
      <c r="CX689" s="50" t="n">
        <f aca="false">(CV689+BB689)/2</f>
        <v>63.6071428571429</v>
      </c>
      <c r="CY689" s="50" t="n">
        <v>803</v>
      </c>
      <c r="CZ689" s="27" t="s">
        <v>132</v>
      </c>
      <c r="DA689" s="27" t="s">
        <v>272</v>
      </c>
      <c r="DB689" s="27" t="s">
        <v>272</v>
      </c>
      <c r="DC689" s="27" t="s">
        <v>134</v>
      </c>
      <c r="DD689" s="27" t="s">
        <v>386</v>
      </c>
      <c r="DE689" s="27" t="s">
        <v>306</v>
      </c>
      <c r="DF689" s="27" t="s">
        <v>486</v>
      </c>
      <c r="DG689" s="27" t="s">
        <v>134</v>
      </c>
      <c r="DH689" s="27" t="s">
        <v>135</v>
      </c>
      <c r="DI689" s="27" t="s">
        <v>399</v>
      </c>
      <c r="DJ689" s="27" t="s">
        <v>486</v>
      </c>
      <c r="DK689" s="27" t="s">
        <v>134</v>
      </c>
      <c r="DL689" s="27" t="s">
        <v>604</v>
      </c>
      <c r="DM689" s="27" t="s">
        <v>399</v>
      </c>
      <c r="DN689" s="27" t="s">
        <v>152</v>
      </c>
      <c r="DO689" s="27" t="s">
        <v>134</v>
      </c>
      <c r="DP689" s="27"/>
      <c r="DQ689" s="27"/>
      <c r="DR689" s="27"/>
      <c r="DS689" s="27"/>
      <c r="DT689" s="27" t="s">
        <v>182</v>
      </c>
      <c r="DU689" s="27" t="s">
        <v>375</v>
      </c>
      <c r="DV689" s="27" t="s">
        <v>372</v>
      </c>
      <c r="DW689" s="27" t="s">
        <v>191</v>
      </c>
      <c r="DX689" s="27" t="s">
        <v>155</v>
      </c>
      <c r="DY689" s="27" t="s">
        <v>153</v>
      </c>
      <c r="DZ689" s="27" t="n">
        <f aca="false">DY689+DV689+DR689+DN689+DJ689+DF689+DB689</f>
        <v>453</v>
      </c>
      <c r="EA689" s="28" t="n">
        <f aca="false">DZ689/7</f>
        <v>64.7142857142857</v>
      </c>
      <c r="EB689" s="27" t="n">
        <f aca="false">RANK(EA689,$EA$2:$EA$881,0)</f>
        <v>736</v>
      </c>
      <c r="EC689" s="29" t="n">
        <f aca="false">DZ689+CQ689+CP689+AZ689</f>
        <v>1920</v>
      </c>
      <c r="ED689" s="30" t="n">
        <f aca="false">(EA689+CV689+BB689)/3</f>
        <v>63.9761904761905</v>
      </c>
      <c r="EE689" s="51" t="n">
        <f aca="false">ROUND(BE689,3)</f>
        <v>86.337</v>
      </c>
      <c r="EF689" s="51" t="n">
        <f aca="false">ROUND(CR689,3)</f>
        <v>47.143</v>
      </c>
      <c r="EG689" s="51" t="n">
        <f aca="false">ROUND(CS689,3)</f>
        <v>50.286</v>
      </c>
      <c r="EH689" s="51" t="n">
        <f aca="false">ROUND(EA689,3)</f>
        <v>64.714</v>
      </c>
      <c r="EI689" s="51" t="n">
        <f aca="false">ROUND(ED689,3)</f>
        <v>63.976</v>
      </c>
      <c r="EJ689" s="51" t="n">
        <f aca="false">ROUND(CV689,3)</f>
        <v>48.714</v>
      </c>
      <c r="EK689" s="0" t="n">
        <f aca="false">RANK(EI689,$EI$2:$EI$881,0)</f>
        <v>688</v>
      </c>
    </row>
    <row r="690" customFormat="false" ht="15" hidden="false" customHeight="false" outlineLevel="0" collapsed="false">
      <c r="A690" s="4" t="n">
        <v>8966</v>
      </c>
      <c r="B690" s="4" t="n">
        <v>457</v>
      </c>
      <c r="C690" s="27" t="s">
        <v>1988</v>
      </c>
      <c r="D690" s="31" t="n">
        <v>462</v>
      </c>
      <c r="E690" s="16" t="n">
        <v>230621549</v>
      </c>
      <c r="F690" s="56" t="s">
        <v>1989</v>
      </c>
      <c r="G690" s="22" t="s">
        <v>1918</v>
      </c>
      <c r="H690" s="22" t="s">
        <v>558</v>
      </c>
      <c r="I690" s="57"/>
      <c r="J690" s="16" t="n">
        <v>82</v>
      </c>
      <c r="K690" s="16" t="n">
        <v>55</v>
      </c>
      <c r="L690" s="34" t="n">
        <f aca="false">(K690*70)/100</f>
        <v>38.5</v>
      </c>
      <c r="M690" s="34" t="n">
        <f aca="false">ROUNDUP(L690,0)</f>
        <v>39</v>
      </c>
      <c r="N690" s="16" t="n">
        <v>26</v>
      </c>
      <c r="O690" s="34" t="n">
        <f aca="false">N690+L690</f>
        <v>64.5</v>
      </c>
      <c r="P690" s="34" t="n">
        <f aca="false">N690+M690</f>
        <v>65</v>
      </c>
      <c r="Q690" s="16" t="n">
        <v>69</v>
      </c>
      <c r="R690" s="16" t="n">
        <v>66</v>
      </c>
      <c r="S690" s="34" t="n">
        <f aca="false">(R690*70)/100</f>
        <v>46.2</v>
      </c>
      <c r="T690" s="34" t="n">
        <f aca="false">ROUNDUP(S690,0)</f>
        <v>47</v>
      </c>
      <c r="U690" s="16" t="n">
        <v>26</v>
      </c>
      <c r="V690" s="34" t="n">
        <f aca="false">U690+S690</f>
        <v>72.2</v>
      </c>
      <c r="W690" s="34" t="n">
        <f aca="false">U690+T690</f>
        <v>73</v>
      </c>
      <c r="X690" s="16" t="n">
        <v>56</v>
      </c>
      <c r="Y690" s="34" t="n">
        <f aca="false">(X690*70)/100</f>
        <v>39.2</v>
      </c>
      <c r="Z690" s="34" t="n">
        <f aca="false">ROUNDUP(Y690,0)</f>
        <v>40</v>
      </c>
      <c r="AA690" s="16" t="n">
        <v>23</v>
      </c>
      <c r="AB690" s="34" t="n">
        <f aca="false">AA690+Y690</f>
        <v>62.2</v>
      </c>
      <c r="AC690" s="34" t="n">
        <f aca="false">AA690+Z690</f>
        <v>63</v>
      </c>
      <c r="AD690" s="32" t="n">
        <f aca="false">X690+R690+Q690+K690+J690</f>
        <v>328</v>
      </c>
      <c r="AE690" s="16" t="n">
        <f aca="false">AD690/5</f>
        <v>65.6</v>
      </c>
      <c r="AF690" s="71" t="n">
        <v>59</v>
      </c>
      <c r="AG690" s="16" t="n">
        <v>85</v>
      </c>
      <c r="AH690" s="71" t="n">
        <v>58</v>
      </c>
      <c r="AI690" s="16" t="n">
        <v>47</v>
      </c>
      <c r="AJ690" s="16" t="n">
        <f aca="false">(AI690*70)/100</f>
        <v>32.9</v>
      </c>
      <c r="AK690" s="35" t="n">
        <f aca="false">ROUNDUP(AJ690,0)</f>
        <v>33</v>
      </c>
      <c r="AL690" s="16" t="n">
        <v>25</v>
      </c>
      <c r="AM690" s="16" t="n">
        <f aca="false">AL690+AJ690</f>
        <v>57.9</v>
      </c>
      <c r="AN690" s="71" t="n">
        <f aca="false">AL690+AK690</f>
        <v>58</v>
      </c>
      <c r="AO690" s="16" t="n">
        <v>60</v>
      </c>
      <c r="AP690" s="36" t="n">
        <f aca="false">(AO690*70)/100</f>
        <v>42</v>
      </c>
      <c r="AQ690" s="37" t="n">
        <f aca="false">ROUNDUP(AP690,0)</f>
        <v>42</v>
      </c>
      <c r="AR690" s="16" t="n">
        <v>26</v>
      </c>
      <c r="AS690" s="16" t="n">
        <f aca="false">AR690+AP690</f>
        <v>68</v>
      </c>
      <c r="AT690" s="16" t="n">
        <f aca="false">AR690+AQ690</f>
        <v>68</v>
      </c>
      <c r="AU690" s="16" t="n">
        <f aca="false">AO690+AF690+AI690+AH690+AG690</f>
        <v>309</v>
      </c>
      <c r="AV690" s="16" t="n">
        <f aca="false">(AO690+AF690+AI690+AH690+AG690)/5</f>
        <v>61.8</v>
      </c>
      <c r="AW690" s="36" t="n">
        <f aca="false">(AO690+AF690+AI690+AH690+AG690+X690+R690+Q690+K690+J690)</f>
        <v>637</v>
      </c>
      <c r="AX690" s="16" t="n">
        <f aca="false">AW690/10</f>
        <v>63.7</v>
      </c>
      <c r="AY690" s="16" t="n">
        <f aca="false">AS690+AF690+AM690+AH690+AG690+AB690+V690+Q690+O690+J690</f>
        <v>677.8</v>
      </c>
      <c r="AZ690" s="16" t="n">
        <f aca="false">AT690+AF690+AN690+AH690+AG690+AC690+W690+Q690+P690+J690</f>
        <v>680</v>
      </c>
      <c r="BA690" s="16" t="n">
        <f aca="false">AY690/10</f>
        <v>67.78</v>
      </c>
      <c r="BB690" s="16" t="n">
        <f aca="false">AZ690/10</f>
        <v>68</v>
      </c>
      <c r="BC690" s="16" t="n">
        <v>2331</v>
      </c>
      <c r="BD690" s="16" t="n">
        <f aca="false">RANK(AX690,$AX$2:$AX$881,0)</f>
        <v>777</v>
      </c>
      <c r="BE690" s="78" t="n">
        <f aca="false">((BC690*100)/2400)*0.4+(AX690*0.6)</f>
        <v>77.07</v>
      </c>
      <c r="BF690" s="16" t="n">
        <f aca="false">RANK(BE690,$BE$2:$BE$881,0)</f>
        <v>766</v>
      </c>
      <c r="BG690" s="39" t="n">
        <f aca="false">RANK(BB690,$BB$2:$BB$881,0)</f>
        <v>759</v>
      </c>
      <c r="BH690" s="39" t="n">
        <f aca="false">RANK(BC690,$BC$2:$BC$881,0)</f>
        <v>716</v>
      </c>
      <c r="BI690" s="22" t="s">
        <v>130</v>
      </c>
      <c r="BJ690" s="22" t="s">
        <v>129</v>
      </c>
      <c r="BK690" s="40" t="s">
        <v>702</v>
      </c>
      <c r="BL690" s="41" t="n">
        <v>12</v>
      </c>
      <c r="BM690" s="41" t="n">
        <v>53</v>
      </c>
      <c r="BN690" s="41" t="n">
        <v>65</v>
      </c>
      <c r="BO690" s="42" t="n">
        <v>18</v>
      </c>
      <c r="BP690" s="43" t="n">
        <v>28</v>
      </c>
      <c r="BQ690" s="119" t="n">
        <v>46</v>
      </c>
      <c r="BR690" s="42" t="n">
        <v>19</v>
      </c>
      <c r="BS690" s="45" t="n">
        <v>47</v>
      </c>
      <c r="BT690" s="45" t="n">
        <v>66</v>
      </c>
      <c r="BU690" s="46" t="n">
        <v>96</v>
      </c>
      <c r="BV690" s="47" t="n">
        <v>92</v>
      </c>
      <c r="BW690" s="42" t="n">
        <v>89</v>
      </c>
      <c r="BX690" s="88" t="n">
        <v>88</v>
      </c>
      <c r="BY690" s="65" t="n">
        <v>25</v>
      </c>
      <c r="BZ690" s="58" t="n">
        <v>46</v>
      </c>
      <c r="CA690" s="58" t="n">
        <v>71</v>
      </c>
      <c r="CB690" s="59" t="n">
        <v>13</v>
      </c>
      <c r="CC690" s="58" t="n">
        <v>28</v>
      </c>
      <c r="CD690" s="58" t="n">
        <v>41</v>
      </c>
      <c r="CE690" s="58" t="n">
        <v>12</v>
      </c>
      <c r="CF690" s="58" t="n">
        <v>34</v>
      </c>
      <c r="CG690" s="90" t="n">
        <v>46</v>
      </c>
      <c r="CH690" s="58" t="n">
        <v>87</v>
      </c>
      <c r="CI690" s="58" t="n">
        <v>62</v>
      </c>
      <c r="CJ690" s="58"/>
      <c r="CK690" s="58"/>
      <c r="CL690" s="59"/>
      <c r="CM690" s="60"/>
      <c r="CN690" s="60"/>
      <c r="CO690" s="60"/>
      <c r="CP690" s="25" t="n">
        <f aca="false">BX690+BW690+BV690+BU690+BT690+BQ690+BN690</f>
        <v>542</v>
      </c>
      <c r="CQ690" s="25" t="n">
        <f aca="false">CO690+CL690+CI690+CH690+CG690+CD690+CA690</f>
        <v>307</v>
      </c>
      <c r="CR690" s="26" t="n">
        <f aca="false">CP690/7</f>
        <v>77.4285714285714</v>
      </c>
      <c r="CS690" s="26" t="n">
        <f aca="false">CQ690/7</f>
        <v>43.8571428571429</v>
      </c>
      <c r="CT690" s="24" t="n">
        <f aca="false">RANK(CR690,$CR$2:$CR$881,0)</f>
        <v>622</v>
      </c>
      <c r="CU690" s="25" t="n">
        <f aca="false">RANK(CS690,$CS$2:$CS$881,0)</f>
        <v>722</v>
      </c>
      <c r="CV690" s="26" t="n">
        <f aca="false">(CS690+CR690)/2</f>
        <v>60.6428571428571</v>
      </c>
      <c r="CW690" s="25" t="n">
        <f aca="false">RANK(CV690,$CV$2:$CV$881,0)</f>
        <v>697</v>
      </c>
      <c r="CX690" s="50" t="n">
        <f aca="false">(CV690+BB690)/2</f>
        <v>64.3214285714286</v>
      </c>
      <c r="CY690" s="50" t="n">
        <v>712</v>
      </c>
      <c r="CZ690" s="27" t="s">
        <v>132</v>
      </c>
      <c r="DA690" s="27" t="s">
        <v>219</v>
      </c>
      <c r="DB690" s="27" t="s">
        <v>219</v>
      </c>
      <c r="DC690" s="27" t="s">
        <v>134</v>
      </c>
      <c r="DD690" s="27" t="s">
        <v>135</v>
      </c>
      <c r="DE690" s="27" t="s">
        <v>479</v>
      </c>
      <c r="DF690" s="27" t="s">
        <v>152</v>
      </c>
      <c r="DG690" s="27" t="s">
        <v>134</v>
      </c>
      <c r="DH690" s="27" t="s">
        <v>174</v>
      </c>
      <c r="DI690" s="27" t="s">
        <v>160</v>
      </c>
      <c r="DJ690" s="27" t="s">
        <v>375</v>
      </c>
      <c r="DK690" s="27" t="s">
        <v>480</v>
      </c>
      <c r="DL690" s="27" t="s">
        <v>174</v>
      </c>
      <c r="DM690" s="27" t="s">
        <v>479</v>
      </c>
      <c r="DN690" s="27" t="s">
        <v>161</v>
      </c>
      <c r="DO690" s="27" t="s">
        <v>134</v>
      </c>
      <c r="DP690" s="27" t="s">
        <v>718</v>
      </c>
      <c r="DQ690" s="27" t="s">
        <v>906</v>
      </c>
      <c r="DR690" s="27" t="s">
        <v>375</v>
      </c>
      <c r="DS690" s="27" t="s">
        <v>480</v>
      </c>
      <c r="DT690" s="27" t="s">
        <v>182</v>
      </c>
      <c r="DU690" s="27" t="s">
        <v>1395</v>
      </c>
      <c r="DV690" s="27" t="s">
        <v>183</v>
      </c>
      <c r="DW690" s="27" t="s">
        <v>718</v>
      </c>
      <c r="DX690" s="27" t="s">
        <v>203</v>
      </c>
      <c r="DY690" s="27" t="s">
        <v>372</v>
      </c>
      <c r="DZ690" s="27" t="n">
        <f aca="false">DY690+DV690+DR690+DN690+DJ690+DF690+DB690</f>
        <v>437</v>
      </c>
      <c r="EA690" s="28" t="n">
        <f aca="false">DZ690/7</f>
        <v>62.4285714285714</v>
      </c>
      <c r="EB690" s="27" t="n">
        <f aca="false">RANK(EA690,$EA$2:$EA$881,0)</f>
        <v>761</v>
      </c>
      <c r="EC690" s="29" t="n">
        <f aca="false">DZ690+CQ690+CP690+AZ690</f>
        <v>1966</v>
      </c>
      <c r="ED690" s="30" t="n">
        <f aca="false">(EA690+CV690+BB690)/3</f>
        <v>63.6904761904762</v>
      </c>
      <c r="EE690" s="51" t="n">
        <f aca="false">ROUND(BE690,3)</f>
        <v>77.07</v>
      </c>
      <c r="EF690" s="51" t="n">
        <f aca="false">ROUND(CR690,3)</f>
        <v>77.429</v>
      </c>
      <c r="EG690" s="51" t="n">
        <f aca="false">ROUND(CS690,3)</f>
        <v>43.857</v>
      </c>
      <c r="EH690" s="51" t="n">
        <f aca="false">ROUND(EA690,3)</f>
        <v>62.429</v>
      </c>
      <c r="EI690" s="51" t="n">
        <f aca="false">ROUND(ED690,3)</f>
        <v>63.69</v>
      </c>
      <c r="EJ690" s="51" t="n">
        <f aca="false">ROUND(CV690,3)</f>
        <v>60.643</v>
      </c>
      <c r="EK690" s="0" t="n">
        <f aca="false">RANK(EI690,$EI$2:$EI$881,0)</f>
        <v>689</v>
      </c>
    </row>
    <row r="691" customFormat="false" ht="15" hidden="false" customHeight="false" outlineLevel="0" collapsed="false">
      <c r="A691" s="4" t="n">
        <v>1958</v>
      </c>
      <c r="B691" s="4" t="n">
        <v>62</v>
      </c>
      <c r="C691" s="27" t="s">
        <v>1990</v>
      </c>
      <c r="D691" s="52" t="n">
        <v>65</v>
      </c>
      <c r="E691" s="16" t="n">
        <v>230417619</v>
      </c>
      <c r="F691" s="56" t="s">
        <v>1991</v>
      </c>
      <c r="G691" s="22" t="s">
        <v>1284</v>
      </c>
      <c r="H691" s="22" t="s">
        <v>271</v>
      </c>
      <c r="I691" s="57"/>
      <c r="J691" s="16" t="n">
        <v>62</v>
      </c>
      <c r="K691" s="16" t="n">
        <v>84</v>
      </c>
      <c r="L691" s="34" t="n">
        <f aca="false">(K691*70)/100</f>
        <v>58.8</v>
      </c>
      <c r="M691" s="34" t="n">
        <f aca="false">ROUNDUP(L691,0)</f>
        <v>59</v>
      </c>
      <c r="N691" s="16" t="n">
        <v>19</v>
      </c>
      <c r="O691" s="34" t="n">
        <f aca="false">N691+L691</f>
        <v>77.8</v>
      </c>
      <c r="P691" s="34" t="n">
        <f aca="false">N691+M691</f>
        <v>78</v>
      </c>
      <c r="Q691" s="16" t="n">
        <v>74</v>
      </c>
      <c r="R691" s="16" t="n">
        <v>78</v>
      </c>
      <c r="S691" s="34" t="n">
        <f aca="false">(R691*70)/100</f>
        <v>54.6</v>
      </c>
      <c r="T691" s="34" t="n">
        <f aca="false">ROUNDUP(S691,0)</f>
        <v>55</v>
      </c>
      <c r="U691" s="16" t="n">
        <v>23</v>
      </c>
      <c r="V691" s="34" t="n">
        <f aca="false">U691+S691</f>
        <v>77.6</v>
      </c>
      <c r="W691" s="34" t="n">
        <f aca="false">U691+T691</f>
        <v>78</v>
      </c>
      <c r="X691" s="16" t="n">
        <v>66</v>
      </c>
      <c r="Y691" s="34" t="n">
        <f aca="false">(X691*70)/100</f>
        <v>46.2</v>
      </c>
      <c r="Z691" s="34" t="n">
        <f aca="false">ROUNDUP(Y691,0)</f>
        <v>47</v>
      </c>
      <c r="AA691" s="16" t="n">
        <v>26</v>
      </c>
      <c r="AB691" s="34" t="n">
        <f aca="false">AA691+Y691</f>
        <v>72.2</v>
      </c>
      <c r="AC691" s="34" t="n">
        <f aca="false">AA691+Z691</f>
        <v>73</v>
      </c>
      <c r="AD691" s="32" t="n">
        <f aca="false">X691+R691+Q691+K691+J691</f>
        <v>364</v>
      </c>
      <c r="AE691" s="16" t="n">
        <f aca="false">AD691/5</f>
        <v>72.8</v>
      </c>
      <c r="AF691" s="71" t="n">
        <v>59</v>
      </c>
      <c r="AG691" s="16" t="n">
        <v>82</v>
      </c>
      <c r="AH691" s="16" t="n">
        <v>90</v>
      </c>
      <c r="AI691" s="16" t="n">
        <v>85</v>
      </c>
      <c r="AJ691" s="16" t="n">
        <f aca="false">(AI691*70)/100</f>
        <v>59.5</v>
      </c>
      <c r="AK691" s="35" t="n">
        <f aca="false">ROUNDUP(AJ691,0)</f>
        <v>60</v>
      </c>
      <c r="AL691" s="16" t="n">
        <v>19</v>
      </c>
      <c r="AM691" s="16" t="n">
        <f aca="false">AL691+AJ691</f>
        <v>78.5</v>
      </c>
      <c r="AN691" s="16" t="n">
        <f aca="false">AL691+AK691</f>
        <v>79</v>
      </c>
      <c r="AO691" s="16" t="n">
        <v>71</v>
      </c>
      <c r="AP691" s="36" t="n">
        <f aca="false">(AO691*70)/100</f>
        <v>49.7</v>
      </c>
      <c r="AQ691" s="37" t="n">
        <f aca="false">ROUNDUP(AP691,0)</f>
        <v>50</v>
      </c>
      <c r="AR691" s="16" t="n">
        <v>19</v>
      </c>
      <c r="AS691" s="16" t="n">
        <f aca="false">AR691+AP691</f>
        <v>68.7</v>
      </c>
      <c r="AT691" s="16" t="n">
        <f aca="false">AR691+AQ691</f>
        <v>69</v>
      </c>
      <c r="AU691" s="16" t="n">
        <f aca="false">AO691+AF691+AI691+AH691+AG691</f>
        <v>387</v>
      </c>
      <c r="AV691" s="16" t="n">
        <f aca="false">(AO691+AF691+AI691+AH691+AG691)/5</f>
        <v>77.4</v>
      </c>
      <c r="AW691" s="36" t="n">
        <f aca="false">(AO691+AF691+AI691+AH691+AG691+X691+R691+Q691+K691+J691)</f>
        <v>751</v>
      </c>
      <c r="AX691" s="16" t="n">
        <f aca="false">AW691/10</f>
        <v>75.1</v>
      </c>
      <c r="AY691" s="16" t="n">
        <f aca="false">AS691+AF691+AM691+AH691+AG691+AB691+V691+Q691+O691+J691</f>
        <v>741.8</v>
      </c>
      <c r="AZ691" s="16" t="n">
        <f aca="false">AT691+AF691+AN691+AH691+AG691+AC691+W691+Q691+P691+J691</f>
        <v>744</v>
      </c>
      <c r="BA691" s="16" t="n">
        <f aca="false">AY691/10</f>
        <v>74.18</v>
      </c>
      <c r="BB691" s="16" t="n">
        <f aca="false">AZ691/10</f>
        <v>74.4</v>
      </c>
      <c r="BC691" s="16" t="n">
        <v>2387</v>
      </c>
      <c r="BD691" s="16" t="n">
        <f aca="false">RANK(AX691,$AX$2:$AX$881,0)</f>
        <v>682</v>
      </c>
      <c r="BE691" s="73" t="n">
        <f aca="false">((BC691*100)/2400)*0.4+(AX691*0.6)</f>
        <v>84.8433333333333</v>
      </c>
      <c r="BF691" s="16" t="n">
        <f aca="false">RANK(BE691,$BE$2:$BE$881,0)</f>
        <v>645</v>
      </c>
      <c r="BG691" s="39" t="n">
        <f aca="false">RANK(BB691,$BB$2:$BB$881,0)</f>
        <v>709</v>
      </c>
      <c r="BH691" s="39" t="n">
        <f aca="false">RANK(BC691,$BC$2:$BC$881,0)</f>
        <v>76</v>
      </c>
      <c r="BI691" s="22" t="s">
        <v>130</v>
      </c>
      <c r="BJ691" s="22" t="s">
        <v>129</v>
      </c>
      <c r="BK691" s="22" t="s">
        <v>509</v>
      </c>
      <c r="BL691" s="41" t="n">
        <v>17</v>
      </c>
      <c r="BM691" s="41" t="n">
        <v>51</v>
      </c>
      <c r="BN691" s="41" t="n">
        <v>68</v>
      </c>
      <c r="BO691" s="42" t="n">
        <v>21</v>
      </c>
      <c r="BP691" s="43" t="n">
        <v>47</v>
      </c>
      <c r="BQ691" s="44" t="n">
        <v>68</v>
      </c>
      <c r="BR691" s="42" t="n">
        <v>19</v>
      </c>
      <c r="BS691" s="45" t="n">
        <v>52</v>
      </c>
      <c r="BT691" s="45" t="n">
        <v>71</v>
      </c>
      <c r="BU691" s="46" t="n">
        <v>96</v>
      </c>
      <c r="BV691" s="47" t="n">
        <v>88</v>
      </c>
      <c r="BW691" s="42" t="n">
        <v>86</v>
      </c>
      <c r="BX691" s="80"/>
      <c r="BY691" s="65" t="n">
        <v>19</v>
      </c>
      <c r="BZ691" s="58" t="n">
        <v>55</v>
      </c>
      <c r="CA691" s="58" t="n">
        <v>74</v>
      </c>
      <c r="CB691" s="61"/>
      <c r="CC691" s="60"/>
      <c r="CD691" s="60"/>
      <c r="CE691" s="60"/>
      <c r="CF691" s="60"/>
      <c r="CG691" s="60"/>
      <c r="CH691" s="60"/>
      <c r="CI691" s="60"/>
      <c r="CJ691" s="60"/>
      <c r="CK691" s="60"/>
      <c r="CL691" s="61"/>
      <c r="CM691" s="60"/>
      <c r="CN691" s="60"/>
      <c r="CO691" s="60"/>
      <c r="CP691" s="25" t="n">
        <f aca="false">BX691+BW691+BV691+BU691+BT691+BQ691+BN691</f>
        <v>477</v>
      </c>
      <c r="CQ691" s="25" t="n">
        <f aca="false">CO691+CL691+CI691+CH691+CG691+CD691+CA691</f>
        <v>74</v>
      </c>
      <c r="CR691" s="26" t="n">
        <f aca="false">CP691/7</f>
        <v>68.1428571428571</v>
      </c>
      <c r="CS691" s="26" t="n">
        <f aca="false">CQ691/7</f>
        <v>10.5714285714286</v>
      </c>
      <c r="CT691" s="24" t="n">
        <f aca="false">RANK(CR691,$CR$2:$CR$881,0)</f>
        <v>696</v>
      </c>
      <c r="CU691" s="25" t="n">
        <f aca="false">RANK(CS691,$CS$2:$CS$881,0)</f>
        <v>740</v>
      </c>
      <c r="CV691" s="26" t="n">
        <f aca="false">(CS691+CR691)/2</f>
        <v>39.3571428571429</v>
      </c>
      <c r="CW691" s="25" t="n">
        <f aca="false">RANK(CV691,$CV$2:$CV$881,0)</f>
        <v>723</v>
      </c>
      <c r="CX691" s="50" t="n">
        <f aca="false">(CV691+BB691)/2</f>
        <v>56.8785714285714</v>
      </c>
      <c r="CY691" s="50" t="n">
        <v>684</v>
      </c>
      <c r="CZ691" s="27" t="s">
        <v>132</v>
      </c>
      <c r="DA691" s="27" t="s">
        <v>169</v>
      </c>
      <c r="DB691" s="27" t="s">
        <v>169</v>
      </c>
      <c r="DC691" s="27" t="s">
        <v>134</v>
      </c>
      <c r="DD691" s="27" t="s">
        <v>191</v>
      </c>
      <c r="DE691" s="27" t="s">
        <v>304</v>
      </c>
      <c r="DF691" s="27" t="s">
        <v>372</v>
      </c>
      <c r="DG691" s="27" t="s">
        <v>134</v>
      </c>
      <c r="DH691" s="27" t="s">
        <v>164</v>
      </c>
      <c r="DI691" s="27" t="s">
        <v>375</v>
      </c>
      <c r="DJ691" s="27" t="s">
        <v>382</v>
      </c>
      <c r="DK691" s="27" t="s">
        <v>134</v>
      </c>
      <c r="DL691" s="27" t="s">
        <v>182</v>
      </c>
      <c r="DM691" s="27" t="s">
        <v>638</v>
      </c>
      <c r="DN691" s="27" t="s">
        <v>138</v>
      </c>
      <c r="DO691" s="27" t="s">
        <v>134</v>
      </c>
      <c r="DP691" s="27" t="s">
        <v>485</v>
      </c>
      <c r="DQ691" s="27" t="s">
        <v>375</v>
      </c>
      <c r="DR691" s="27" t="s">
        <v>141</v>
      </c>
      <c r="DS691" s="27" t="s">
        <v>134</v>
      </c>
      <c r="DT691" s="27" t="s">
        <v>160</v>
      </c>
      <c r="DU691" s="27" t="s">
        <v>399</v>
      </c>
      <c r="DV691" s="27" t="s">
        <v>443</v>
      </c>
      <c r="DW691" s="27" t="s">
        <v>182</v>
      </c>
      <c r="DX691" s="27" t="s">
        <v>141</v>
      </c>
      <c r="DY691" s="27" t="s">
        <v>170</v>
      </c>
      <c r="DZ691" s="27" t="n">
        <f aca="false">DY691+DV691+DR691+DN691+DJ691+DF691+DB691</f>
        <v>537</v>
      </c>
      <c r="EA691" s="28" t="n">
        <f aca="false">DZ691/7</f>
        <v>76.7142857142857</v>
      </c>
      <c r="EB691" s="27" t="n">
        <f aca="false">RANK(EA691,$EA$2:$EA$881,0)</f>
        <v>496</v>
      </c>
      <c r="EC691" s="29" t="n">
        <f aca="false">DZ691+CQ691+CP691+AZ691</f>
        <v>1832</v>
      </c>
      <c r="ED691" s="30" t="n">
        <f aca="false">(EA691+CV691+BB691)/3</f>
        <v>63.4904761904762</v>
      </c>
      <c r="EE691" s="51" t="n">
        <f aca="false">ROUND(BE691,3)</f>
        <v>84.843</v>
      </c>
      <c r="EF691" s="51" t="n">
        <f aca="false">ROUND(CR691,3)</f>
        <v>68.143</v>
      </c>
      <c r="EG691" s="51" t="n">
        <f aca="false">ROUND(CS691,3)</f>
        <v>10.571</v>
      </c>
      <c r="EH691" s="51" t="n">
        <f aca="false">ROUND(EA691,3)</f>
        <v>76.714</v>
      </c>
      <c r="EI691" s="51" t="n">
        <f aca="false">ROUND(ED691,3)</f>
        <v>63.49</v>
      </c>
      <c r="EJ691" s="51" t="n">
        <f aca="false">ROUND(CV691,3)</f>
        <v>39.357</v>
      </c>
      <c r="EK691" s="0" t="n">
        <f aca="false">RANK(EI691,$EI$2:$EI$881,0)</f>
        <v>690</v>
      </c>
    </row>
    <row r="692" customFormat="false" ht="15" hidden="false" customHeight="false" outlineLevel="0" collapsed="false">
      <c r="A692" s="4" t="n">
        <v>9070</v>
      </c>
      <c r="B692" s="4" t="n">
        <v>370</v>
      </c>
      <c r="C692" s="27" t="s">
        <v>1992</v>
      </c>
      <c r="D692" s="31" t="n">
        <v>375</v>
      </c>
      <c r="E692" s="16" t="n">
        <v>230620569</v>
      </c>
      <c r="F692" s="56" t="s">
        <v>1993</v>
      </c>
      <c r="G692" s="22" t="s">
        <v>1994</v>
      </c>
      <c r="H692" s="22" t="s">
        <v>558</v>
      </c>
      <c r="I692" s="57"/>
      <c r="J692" s="16" t="n">
        <v>76</v>
      </c>
      <c r="K692" s="16" t="n">
        <v>68</v>
      </c>
      <c r="L692" s="34" t="n">
        <f aca="false">(K692*70)/100</f>
        <v>47.6</v>
      </c>
      <c r="M692" s="34" t="n">
        <f aca="false">ROUNDUP(L692,0)</f>
        <v>48</v>
      </c>
      <c r="N692" s="16" t="n">
        <v>22</v>
      </c>
      <c r="O692" s="34" t="n">
        <f aca="false">N692+L692</f>
        <v>69.6</v>
      </c>
      <c r="P692" s="34" t="n">
        <f aca="false">N692+M692</f>
        <v>70</v>
      </c>
      <c r="Q692" s="71" t="n">
        <v>49</v>
      </c>
      <c r="R692" s="16" t="n">
        <v>70</v>
      </c>
      <c r="S692" s="34" t="n">
        <f aca="false">(R692*70)/100</f>
        <v>49</v>
      </c>
      <c r="T692" s="34" t="n">
        <f aca="false">ROUNDUP(S692,0)</f>
        <v>49</v>
      </c>
      <c r="U692" s="16" t="n">
        <v>27</v>
      </c>
      <c r="V692" s="34" t="n">
        <f aca="false">U692+S692</f>
        <v>76</v>
      </c>
      <c r="W692" s="34" t="n">
        <f aca="false">U692+T692</f>
        <v>76</v>
      </c>
      <c r="X692" s="16" t="n">
        <v>56</v>
      </c>
      <c r="Y692" s="34" t="n">
        <f aca="false">(X692*70)/100</f>
        <v>39.2</v>
      </c>
      <c r="Z692" s="34" t="n">
        <f aca="false">ROUNDUP(Y692,0)</f>
        <v>40</v>
      </c>
      <c r="AA692" s="16" t="n">
        <v>19</v>
      </c>
      <c r="AB692" s="34" t="n">
        <f aca="false">AA692+Y692</f>
        <v>58.2</v>
      </c>
      <c r="AC692" s="91" t="n">
        <f aca="false">AA692+Z692</f>
        <v>59</v>
      </c>
      <c r="AD692" s="32" t="n">
        <f aca="false">X692+R692+Q692+K692+J692</f>
        <v>319</v>
      </c>
      <c r="AE692" s="16" t="n">
        <f aca="false">AD692/5</f>
        <v>63.8</v>
      </c>
      <c r="AF692" s="71" t="n">
        <v>45</v>
      </c>
      <c r="AG692" s="16" t="n">
        <v>74</v>
      </c>
      <c r="AH692" s="16" t="n">
        <v>72</v>
      </c>
      <c r="AI692" s="16" t="n">
        <v>55</v>
      </c>
      <c r="AJ692" s="16" t="n">
        <f aca="false">(AI692*70)/100</f>
        <v>38.5</v>
      </c>
      <c r="AK692" s="35" t="n">
        <f aca="false">ROUNDUP(AJ692,0)</f>
        <v>39</v>
      </c>
      <c r="AL692" s="16" t="n">
        <v>23</v>
      </c>
      <c r="AM692" s="16" t="n">
        <f aca="false">AL692+AJ692</f>
        <v>61.5</v>
      </c>
      <c r="AN692" s="16" t="n">
        <f aca="false">AL692+AK692</f>
        <v>62</v>
      </c>
      <c r="AO692" s="16" t="n">
        <v>74</v>
      </c>
      <c r="AP692" s="36" t="n">
        <f aca="false">(AO692*70)/100</f>
        <v>51.8</v>
      </c>
      <c r="AQ692" s="37" t="n">
        <f aca="false">ROUNDUP(AP692,0)</f>
        <v>52</v>
      </c>
      <c r="AR692" s="16" t="n">
        <v>24</v>
      </c>
      <c r="AS692" s="16" t="n">
        <f aca="false">AR692+AP692</f>
        <v>75.8</v>
      </c>
      <c r="AT692" s="16" t="n">
        <f aca="false">AR692+AQ692</f>
        <v>76</v>
      </c>
      <c r="AU692" s="16" t="n">
        <f aca="false">AO692+AF692+AI692+AH692+AG692</f>
        <v>320</v>
      </c>
      <c r="AV692" s="16" t="n">
        <f aca="false">(AO692+AF692+AI692+AH692+AG692)/5</f>
        <v>64</v>
      </c>
      <c r="AW692" s="36" t="n">
        <f aca="false">(AO692+AF692+AI692+AH692+AG692+X692+R692+Q692+K692+J692)</f>
        <v>639</v>
      </c>
      <c r="AX692" s="16" t="n">
        <f aca="false">AW692/10</f>
        <v>63.9</v>
      </c>
      <c r="AY692" s="16" t="n">
        <f aca="false">AS692+AF692+AM692+AH692+AG692+AB692+V692+Q692+O692+J692</f>
        <v>657.1</v>
      </c>
      <c r="AZ692" s="16" t="n">
        <f aca="false">AT692+AF692+AN692+AH692+AG692+AC692+W692+Q692+P692+J692</f>
        <v>659</v>
      </c>
      <c r="BA692" s="16" t="n">
        <f aca="false">AY692/10</f>
        <v>65.71</v>
      </c>
      <c r="BB692" s="16" t="n">
        <f aca="false">AZ692/10</f>
        <v>65.9</v>
      </c>
      <c r="BC692" s="16" t="n">
        <v>2370</v>
      </c>
      <c r="BD692" s="16" t="n">
        <f aca="false">RANK(AX692,$AX$2:$AX$881,0)</f>
        <v>773</v>
      </c>
      <c r="BE692" s="78" t="n">
        <f aca="false">((BC692*100)/2400)*0.4+(AX692*0.6)</f>
        <v>77.84</v>
      </c>
      <c r="BF692" s="16" t="n">
        <f aca="false">RANK(BE692,$BE$2:$BE$881,0)</f>
        <v>746</v>
      </c>
      <c r="BG692" s="39" t="n">
        <f aca="false">RANK(BB692,$BB$2:$BB$881,0)</f>
        <v>779</v>
      </c>
      <c r="BH692" s="39" t="n">
        <f aca="false">RANK(BC692,$BC$2:$BC$881,0)</f>
        <v>268</v>
      </c>
      <c r="BI692" s="22" t="s">
        <v>130</v>
      </c>
      <c r="BJ692" s="22" t="s">
        <v>129</v>
      </c>
      <c r="BK692" s="40" t="s">
        <v>702</v>
      </c>
      <c r="BL692" s="44" t="n">
        <v>23</v>
      </c>
      <c r="BM692" s="44" t="n">
        <v>56</v>
      </c>
      <c r="BN692" s="44" t="n">
        <v>79</v>
      </c>
      <c r="BO692" s="44" t="n">
        <v>28</v>
      </c>
      <c r="BP692" s="43" t="n">
        <v>36</v>
      </c>
      <c r="BQ692" s="44" t="n">
        <v>64</v>
      </c>
      <c r="BR692" s="44" t="n">
        <v>25</v>
      </c>
      <c r="BS692" s="45" t="n">
        <v>45</v>
      </c>
      <c r="BT692" s="45" t="n">
        <v>70</v>
      </c>
      <c r="BU692" s="46" t="n">
        <v>100</v>
      </c>
      <c r="BV692" s="47" t="n">
        <v>86</v>
      </c>
      <c r="BW692" s="44" t="n">
        <v>80</v>
      </c>
      <c r="BX692" s="88" t="n">
        <v>94</v>
      </c>
      <c r="BY692" s="65" t="n">
        <v>30</v>
      </c>
      <c r="BZ692" s="58" t="n">
        <v>40</v>
      </c>
      <c r="CA692" s="58" t="n">
        <v>70</v>
      </c>
      <c r="CB692" s="59" t="n">
        <v>18</v>
      </c>
      <c r="CC692" s="58" t="n">
        <v>42</v>
      </c>
      <c r="CD692" s="58" t="n">
        <v>60</v>
      </c>
      <c r="CE692" s="58" t="n">
        <v>18</v>
      </c>
      <c r="CF692" s="58" t="n">
        <v>41</v>
      </c>
      <c r="CG692" s="90" t="n">
        <v>59</v>
      </c>
      <c r="CH692" s="58" t="n">
        <v>73</v>
      </c>
      <c r="CI692" s="58" t="n">
        <v>100</v>
      </c>
      <c r="CJ692" s="58" t="n">
        <v>25</v>
      </c>
      <c r="CK692" s="58" t="n">
        <v>46</v>
      </c>
      <c r="CL692" s="59" t="n">
        <v>71</v>
      </c>
      <c r="CM692" s="60"/>
      <c r="CN692" s="60"/>
      <c r="CO692" s="60"/>
      <c r="CP692" s="25" t="n">
        <f aca="false">BX692+BW692+BV692+BU692+BT692+BQ692+BN692</f>
        <v>573</v>
      </c>
      <c r="CQ692" s="25" t="n">
        <f aca="false">CO692+CL692+CI692+CH692+CG692+CD692+CA692</f>
        <v>433</v>
      </c>
      <c r="CR692" s="26" t="n">
        <f aca="false">CP692/7</f>
        <v>81.8571428571429</v>
      </c>
      <c r="CS692" s="26" t="n">
        <f aca="false">CQ692/7</f>
        <v>61.8571428571429</v>
      </c>
      <c r="CT692" s="24" t="n">
        <f aca="false">RANK(CR692,$CR$2:$CR$881,0)</f>
        <v>549</v>
      </c>
      <c r="CU692" s="25" t="n">
        <f aca="false">RANK(CS692,$CS$2:$CS$881,0)</f>
        <v>665</v>
      </c>
      <c r="CV692" s="26" t="n">
        <f aca="false">(CS692+CR692)/2</f>
        <v>71.8571428571429</v>
      </c>
      <c r="CW692" s="25" t="n">
        <f aca="false">RANK(CV692,$CV$2:$CV$881,0)</f>
        <v>614</v>
      </c>
      <c r="CX692" s="50" t="n">
        <f aca="false">(CV692+BB692)/2</f>
        <v>68.8785714285714</v>
      </c>
      <c r="CY692" s="50" t="n">
        <v>708</v>
      </c>
      <c r="CZ692" s="27" t="s">
        <v>132</v>
      </c>
      <c r="DA692" s="27" t="s">
        <v>441</v>
      </c>
      <c r="DB692" s="27" t="s">
        <v>441</v>
      </c>
      <c r="DC692" s="27" t="s">
        <v>134</v>
      </c>
      <c r="DD692" s="27" t="s">
        <v>135</v>
      </c>
      <c r="DE692" s="27" t="s">
        <v>204</v>
      </c>
      <c r="DF692" s="27" t="s">
        <v>209</v>
      </c>
      <c r="DG692" s="27" t="s">
        <v>134</v>
      </c>
      <c r="DH692" s="27" t="s">
        <v>182</v>
      </c>
      <c r="DI692" s="27" t="s">
        <v>906</v>
      </c>
      <c r="DJ692" s="27" t="s">
        <v>203</v>
      </c>
      <c r="DK692" s="27" t="s">
        <v>134</v>
      </c>
      <c r="DL692" s="27"/>
      <c r="DM692" s="27"/>
      <c r="DN692" s="27"/>
      <c r="DO692" s="27"/>
      <c r="DP692" s="27"/>
      <c r="DQ692" s="27"/>
      <c r="DR692" s="27"/>
      <c r="DS692" s="27"/>
      <c r="DT692" s="27" t="s">
        <v>174</v>
      </c>
      <c r="DU692" s="27" t="s">
        <v>1407</v>
      </c>
      <c r="DV692" s="27" t="s">
        <v>203</v>
      </c>
      <c r="DW692" s="27" t="s">
        <v>604</v>
      </c>
      <c r="DX692" s="27" t="s">
        <v>138</v>
      </c>
      <c r="DY692" s="27" t="s">
        <v>175</v>
      </c>
      <c r="DZ692" s="27" t="n">
        <f aca="false">DY692+DV692+DR692+DN692+DJ692+DF692+DB692</f>
        <v>368</v>
      </c>
      <c r="EA692" s="28" t="n">
        <f aca="false">DZ692/7</f>
        <v>52.5714285714286</v>
      </c>
      <c r="EB692" s="27" t="n">
        <f aca="false">RANK(EA692,$EA$2:$EA$881,0)</f>
        <v>836</v>
      </c>
      <c r="EC692" s="29" t="n">
        <f aca="false">DZ692+CQ692+CP692+AZ692</f>
        <v>2033</v>
      </c>
      <c r="ED692" s="30" t="n">
        <f aca="false">(EA692+CV692+BB692)/3</f>
        <v>63.4428571428571</v>
      </c>
      <c r="EE692" s="51" t="n">
        <f aca="false">ROUND(BE692,3)</f>
        <v>77.84</v>
      </c>
      <c r="EF692" s="51" t="n">
        <f aca="false">ROUND(CR692,3)</f>
        <v>81.857</v>
      </c>
      <c r="EG692" s="51" t="n">
        <f aca="false">ROUND(CS692,3)</f>
        <v>61.857</v>
      </c>
      <c r="EH692" s="51" t="n">
        <f aca="false">ROUND(EA692,3)</f>
        <v>52.571</v>
      </c>
      <c r="EI692" s="51" t="n">
        <f aca="false">ROUND(ED692,3)</f>
        <v>63.443</v>
      </c>
      <c r="EJ692" s="51" t="n">
        <f aca="false">ROUND(CV692,3)</f>
        <v>71.857</v>
      </c>
      <c r="EK692" s="0" t="n">
        <f aca="false">RANK(EI692,$EI$2:$EI$881,0)</f>
        <v>691</v>
      </c>
    </row>
    <row r="693" customFormat="false" ht="15" hidden="false" customHeight="false" outlineLevel="0" collapsed="false">
      <c r="A693" s="4" t="n">
        <v>8611</v>
      </c>
      <c r="B693" s="4" t="n">
        <v>866</v>
      </c>
      <c r="C693" s="27" t="s">
        <v>1995</v>
      </c>
      <c r="D693" s="31" t="n">
        <v>886</v>
      </c>
      <c r="E693" s="32" t="n">
        <v>230312082</v>
      </c>
      <c r="F693" s="8" t="s">
        <v>1996</v>
      </c>
      <c r="G693" s="22" t="s">
        <v>1302</v>
      </c>
      <c r="H693" s="22" t="s">
        <v>129</v>
      </c>
      <c r="I693" s="33" t="n">
        <v>2005</v>
      </c>
      <c r="J693" s="32" t="n">
        <v>61</v>
      </c>
      <c r="K693" s="32" t="n">
        <v>63</v>
      </c>
      <c r="L693" s="34" t="n">
        <f aca="false">(K693*70)/100</f>
        <v>44.1</v>
      </c>
      <c r="M693" s="34" t="n">
        <f aca="false">ROUNDUP(L693,0)</f>
        <v>45</v>
      </c>
      <c r="N693" s="32" t="n">
        <v>18</v>
      </c>
      <c r="O693" s="34" t="n">
        <f aca="false">N693+L693</f>
        <v>62.1</v>
      </c>
      <c r="P693" s="34" t="n">
        <f aca="false">N693+M693</f>
        <v>63</v>
      </c>
      <c r="Q693" s="32" t="n">
        <v>82</v>
      </c>
      <c r="R693" s="32" t="n">
        <v>57</v>
      </c>
      <c r="S693" s="34" t="n">
        <f aca="false">(R693*70)/100</f>
        <v>39.9</v>
      </c>
      <c r="T693" s="34" t="n">
        <f aca="false">ROUNDUP(S693,0)</f>
        <v>40</v>
      </c>
      <c r="U693" s="32" t="n">
        <v>21</v>
      </c>
      <c r="V693" s="34" t="n">
        <f aca="false">U693+S693</f>
        <v>60.9</v>
      </c>
      <c r="W693" s="34" t="n">
        <f aca="false">U693+T693</f>
        <v>61</v>
      </c>
      <c r="X693" s="32" t="n">
        <v>53</v>
      </c>
      <c r="Y693" s="34" t="n">
        <f aca="false">(X693*70)/100</f>
        <v>37.1</v>
      </c>
      <c r="Z693" s="34" t="n">
        <f aca="false">ROUNDUP(Y693,0)</f>
        <v>38</v>
      </c>
      <c r="AA693" s="16" t="n">
        <v>21</v>
      </c>
      <c r="AB693" s="34" t="n">
        <f aca="false">AA693+Y693</f>
        <v>58.1</v>
      </c>
      <c r="AC693" s="91" t="n">
        <f aca="false">AA693+Z693</f>
        <v>59</v>
      </c>
      <c r="AD693" s="32" t="n">
        <f aca="false">X693+R693+Q693+K693+J693</f>
        <v>316</v>
      </c>
      <c r="AE693" s="16" t="n">
        <f aca="false">AD693/5</f>
        <v>63.2</v>
      </c>
      <c r="AF693" s="16" t="n">
        <v>80</v>
      </c>
      <c r="AG693" s="16" t="n">
        <v>75</v>
      </c>
      <c r="AH693" s="16" t="n">
        <v>80</v>
      </c>
      <c r="AI693" s="16" t="n">
        <v>62</v>
      </c>
      <c r="AJ693" s="16" t="n">
        <f aca="false">(AI693*70)/100</f>
        <v>43.4</v>
      </c>
      <c r="AK693" s="35" t="n">
        <f aca="false">ROUNDUP(AJ693,0)</f>
        <v>44</v>
      </c>
      <c r="AL693" s="16" t="n">
        <v>17</v>
      </c>
      <c r="AM693" s="16" t="n">
        <f aca="false">AL693+AJ693</f>
        <v>60.4</v>
      </c>
      <c r="AN693" s="16" t="n">
        <f aca="false">AL693+AK693</f>
        <v>61</v>
      </c>
      <c r="AO693" s="16" t="n">
        <v>73</v>
      </c>
      <c r="AP693" s="36" t="n">
        <f aca="false">(AO693*70)/100</f>
        <v>51.1</v>
      </c>
      <c r="AQ693" s="37" t="n">
        <f aca="false">ROUNDUP(AP693,0)</f>
        <v>52</v>
      </c>
      <c r="AR693" s="16" t="n">
        <v>24</v>
      </c>
      <c r="AS693" s="16" t="n">
        <f aca="false">AR693+AP693</f>
        <v>75.1</v>
      </c>
      <c r="AT693" s="16" t="n">
        <f aca="false">AR693+AQ693</f>
        <v>76</v>
      </c>
      <c r="AU693" s="16" t="n">
        <f aca="false">AO693+AF693+AI693+AH693+AG693</f>
        <v>370</v>
      </c>
      <c r="AV693" s="16" t="n">
        <f aca="false">(AO693+AF693+AI693+AH693+AG693)/5</f>
        <v>74</v>
      </c>
      <c r="AW693" s="36" t="n">
        <f aca="false">(AO693+AF693+AI693+AH693+AG693+X693+R693+Q693+K693+J693)</f>
        <v>686</v>
      </c>
      <c r="AX693" s="16" t="n">
        <f aca="false">AW693/10</f>
        <v>68.6</v>
      </c>
      <c r="AY693" s="16" t="n">
        <f aca="false">AS693+AF693+AM693+AH693+AG693+AB693+V693+Q693+O693+J693</f>
        <v>694.6</v>
      </c>
      <c r="AZ693" s="16" t="n">
        <f aca="false">AT693+AF693+AN693+AH693+AG693+AC693+W693+Q693+P693+J693</f>
        <v>698</v>
      </c>
      <c r="BA693" s="16" t="n">
        <f aca="false">AY693/10</f>
        <v>69.46</v>
      </c>
      <c r="BB693" s="16" t="n">
        <f aca="false">AZ693/10</f>
        <v>69.8</v>
      </c>
      <c r="BC693" s="16" t="n">
        <v>2357</v>
      </c>
      <c r="BD693" s="16" t="n">
        <f aca="false">RANK(AX693,$AX$2:$AX$881,0)</f>
        <v>745</v>
      </c>
      <c r="BE693" s="73" t="n">
        <f aca="false">((BC693*100)/2400)*0.4+(AX693*0.6)</f>
        <v>80.4433333333333</v>
      </c>
      <c r="BF693" s="16" t="n">
        <f aca="false">RANK(BE693,$BE$2:$BE$881,0)</f>
        <v>725</v>
      </c>
      <c r="BG693" s="39" t="n">
        <f aca="false">RANK(BB693,$BB$2:$BB$881,0)</f>
        <v>744</v>
      </c>
      <c r="BH693" s="39" t="n">
        <f aca="false">RANK(BC693,$BC$2:$BC$881,0)</f>
        <v>444</v>
      </c>
      <c r="BI693" s="22" t="s">
        <v>130</v>
      </c>
      <c r="BJ693" s="22" t="s">
        <v>129</v>
      </c>
      <c r="BK693" s="40" t="s">
        <v>702</v>
      </c>
      <c r="BL693" s="41" t="n">
        <v>12</v>
      </c>
      <c r="BM693" s="41" t="n">
        <v>51</v>
      </c>
      <c r="BN693" s="41" t="n">
        <v>63</v>
      </c>
      <c r="BO693" s="42" t="n">
        <v>24</v>
      </c>
      <c r="BP693" s="43" t="n">
        <v>49</v>
      </c>
      <c r="BQ693" s="44" t="n">
        <v>73</v>
      </c>
      <c r="BR693" s="42" t="n">
        <v>15</v>
      </c>
      <c r="BS693" s="45" t="n">
        <v>52</v>
      </c>
      <c r="BT693" s="24" t="n">
        <v>67</v>
      </c>
      <c r="BU693" s="46" t="n">
        <v>100</v>
      </c>
      <c r="BV693" s="47" t="n">
        <v>98</v>
      </c>
      <c r="BW693" s="42" t="n">
        <v>100</v>
      </c>
      <c r="BX693" s="48" t="n">
        <v>92</v>
      </c>
      <c r="BY693" s="32" t="n">
        <v>17</v>
      </c>
      <c r="BZ693" s="32" t="n">
        <v>43</v>
      </c>
      <c r="CA693" s="48" t="n">
        <v>60</v>
      </c>
      <c r="CB693" s="32" t="n">
        <v>20</v>
      </c>
      <c r="CC693" s="32" t="n">
        <v>21</v>
      </c>
      <c r="CD693" s="69" t="n">
        <v>41</v>
      </c>
      <c r="CE693" s="32" t="n">
        <v>20</v>
      </c>
      <c r="CF693" s="32" t="n">
        <v>28</v>
      </c>
      <c r="CG693" s="69" t="n">
        <v>48</v>
      </c>
      <c r="CH693" s="32" t="n">
        <v>93</v>
      </c>
      <c r="CI693" s="25" t="n">
        <v>76</v>
      </c>
      <c r="CJ693" s="49" t="n">
        <v>20</v>
      </c>
      <c r="CK693" s="49" t="n">
        <v>30</v>
      </c>
      <c r="CL693" s="76" t="n">
        <v>50</v>
      </c>
      <c r="CM693" s="83" t="n">
        <v>9</v>
      </c>
      <c r="CN693" s="60"/>
      <c r="CO693" s="60"/>
      <c r="CP693" s="25" t="n">
        <f aca="false">BX693+BW693+BV693+BU693+BT693+BQ693+BN693</f>
        <v>593</v>
      </c>
      <c r="CQ693" s="25" t="n">
        <f aca="false">CO693+CL693+CI693+CH693+CG693+CD693+CA693</f>
        <v>368</v>
      </c>
      <c r="CR693" s="26" t="n">
        <f aca="false">CP693/7</f>
        <v>84.7142857142857</v>
      </c>
      <c r="CS693" s="26" t="n">
        <f aca="false">CQ693/7</f>
        <v>52.5714285714286</v>
      </c>
      <c r="CT693" s="24" t="n">
        <f aca="false">RANK(CR693,$CR$2:$CR$881,0)</f>
        <v>447</v>
      </c>
      <c r="CU693" s="25" t="n">
        <f aca="false">RANK(CS693,$CS$2:$CS$881,0)</f>
        <v>713</v>
      </c>
      <c r="CV693" s="26" t="n">
        <f aca="false">(CS693+CR693)/2</f>
        <v>68.6428571428571</v>
      </c>
      <c r="CW693" s="25" t="n">
        <f aca="false">RANK(CV693,$CV$2:$CV$881,0)</f>
        <v>650</v>
      </c>
      <c r="CX693" s="50" t="n">
        <f aca="false">(CV693+BB693)/2</f>
        <v>69.2214285714286</v>
      </c>
      <c r="CY693" s="50" t="n">
        <v>622</v>
      </c>
      <c r="CZ693" s="27" t="s">
        <v>132</v>
      </c>
      <c r="DA693" s="27" t="s">
        <v>272</v>
      </c>
      <c r="DB693" s="27" t="s">
        <v>272</v>
      </c>
      <c r="DC693" s="27" t="s">
        <v>134</v>
      </c>
      <c r="DD693" s="27" t="s">
        <v>604</v>
      </c>
      <c r="DE693" s="27" t="s">
        <v>415</v>
      </c>
      <c r="DF693" s="27" t="s">
        <v>136</v>
      </c>
      <c r="DG693" s="27" t="s">
        <v>134</v>
      </c>
      <c r="DH693" s="27" t="s">
        <v>386</v>
      </c>
      <c r="DI693" s="27" t="s">
        <v>160</v>
      </c>
      <c r="DJ693" s="27" t="s">
        <v>681</v>
      </c>
      <c r="DK693" s="27" t="s">
        <v>480</v>
      </c>
      <c r="DL693" s="27" t="s">
        <v>825</v>
      </c>
      <c r="DM693" s="27" t="s">
        <v>1407</v>
      </c>
      <c r="DN693" s="27" t="s">
        <v>447</v>
      </c>
      <c r="DO693" s="27" t="s">
        <v>480</v>
      </c>
      <c r="DP693" s="27"/>
      <c r="DQ693" s="27"/>
      <c r="DR693" s="27"/>
      <c r="DS693" s="27"/>
      <c r="DT693" s="27" t="s">
        <v>706</v>
      </c>
      <c r="DU693" s="27" t="s">
        <v>135</v>
      </c>
      <c r="DV693" s="27" t="s">
        <v>1407</v>
      </c>
      <c r="DW693" s="27" t="s">
        <v>386</v>
      </c>
      <c r="DX693" s="27" t="s">
        <v>203</v>
      </c>
      <c r="DY693" s="27" t="s">
        <v>219</v>
      </c>
      <c r="DZ693" s="27" t="n">
        <f aca="false">DY693+DV693+DR693+DN693+DJ693+DF693+DB693</f>
        <v>361</v>
      </c>
      <c r="EA693" s="28" t="n">
        <f aca="false">DZ693/7</f>
        <v>51.5714285714286</v>
      </c>
      <c r="EB693" s="27" t="n">
        <f aca="false">RANK(EA693,$EA$2:$EA$881,0)</f>
        <v>838</v>
      </c>
      <c r="EC693" s="29" t="n">
        <f aca="false">DZ693+CQ693+CP693+AZ693</f>
        <v>2020</v>
      </c>
      <c r="ED693" s="30" t="n">
        <f aca="false">(EA693+CV693+BB693)/3</f>
        <v>63.3380952380952</v>
      </c>
      <c r="EE693" s="51" t="n">
        <f aca="false">ROUND(BE693,3)</f>
        <v>80.443</v>
      </c>
      <c r="EF693" s="51" t="n">
        <f aca="false">ROUND(CR693,3)</f>
        <v>84.714</v>
      </c>
      <c r="EG693" s="51" t="n">
        <f aca="false">ROUND(CS693,3)</f>
        <v>52.571</v>
      </c>
      <c r="EH693" s="51" t="n">
        <f aca="false">ROUND(EA693,3)</f>
        <v>51.571</v>
      </c>
      <c r="EI693" s="51" t="n">
        <f aca="false">ROUND(ED693,3)</f>
        <v>63.338</v>
      </c>
      <c r="EJ693" s="51" t="n">
        <f aca="false">ROUND(CV693,3)</f>
        <v>68.643</v>
      </c>
      <c r="EK693" s="0" t="n">
        <f aca="false">RANK(EI693,$EI$2:$EI$881,0)</f>
        <v>692</v>
      </c>
    </row>
    <row r="694" customFormat="false" ht="15" hidden="false" customHeight="false" outlineLevel="0" collapsed="false">
      <c r="A694" s="4" t="n">
        <v>9014</v>
      </c>
      <c r="B694" s="4" t="n">
        <v>867</v>
      </c>
      <c r="C694" s="27" t="s">
        <v>1997</v>
      </c>
      <c r="D694" s="52" t="n">
        <v>887</v>
      </c>
      <c r="E694" s="109" t="n">
        <v>230314571</v>
      </c>
      <c r="F694" s="110" t="s">
        <v>1998</v>
      </c>
      <c r="G694" s="109" t="s">
        <v>1999</v>
      </c>
      <c r="H694" s="109" t="s">
        <v>129</v>
      </c>
      <c r="I694" s="19" t="n">
        <v>2005</v>
      </c>
      <c r="J694" s="111" t="n">
        <v>75</v>
      </c>
      <c r="K694" s="111" t="n">
        <v>48</v>
      </c>
      <c r="L694" s="112" t="n">
        <f aca="false">(K694*70)/100</f>
        <v>33.6</v>
      </c>
      <c r="M694" s="112" t="n">
        <f aca="false">ROUNDUP(L694,0)</f>
        <v>34</v>
      </c>
      <c r="N694" s="111" t="n">
        <v>20</v>
      </c>
      <c r="O694" s="112" t="n">
        <f aca="false">N694+L694</f>
        <v>53.6</v>
      </c>
      <c r="P694" s="112" t="n">
        <f aca="false">N694+M694</f>
        <v>54</v>
      </c>
      <c r="Q694" s="113" t="n">
        <v>56</v>
      </c>
      <c r="R694" s="111" t="n">
        <v>61</v>
      </c>
      <c r="S694" s="112" t="n">
        <f aca="false">(R694*70)/100</f>
        <v>42.7</v>
      </c>
      <c r="T694" s="112" t="n">
        <f aca="false">ROUNDUP(S694,0)</f>
        <v>43</v>
      </c>
      <c r="U694" s="111" t="n">
        <v>14</v>
      </c>
      <c r="V694" s="112" t="n">
        <f aca="false">U694+S694</f>
        <v>56.7</v>
      </c>
      <c r="W694" s="112" t="n">
        <f aca="false">U694+T694</f>
        <v>57</v>
      </c>
      <c r="X694" s="111" t="n">
        <v>49</v>
      </c>
      <c r="Y694" s="112" t="n">
        <f aca="false">(X694*70)/100</f>
        <v>34.3</v>
      </c>
      <c r="Z694" s="112" t="n">
        <f aca="false">ROUNDUP(Y694,0)</f>
        <v>35</v>
      </c>
      <c r="AA694" s="16" t="n">
        <v>21</v>
      </c>
      <c r="AB694" s="112" t="n">
        <f aca="false">AA694+Y694</f>
        <v>55.3</v>
      </c>
      <c r="AC694" s="112" t="n">
        <f aca="false">AA694+Z694</f>
        <v>56</v>
      </c>
      <c r="AD694" s="111" t="n">
        <f aca="false">X694+R694+Q694+K694+J694</f>
        <v>289</v>
      </c>
      <c r="AE694" s="114" t="n">
        <v>50</v>
      </c>
      <c r="AF694" s="19" t="n">
        <v>60</v>
      </c>
      <c r="AG694" s="19" t="n">
        <v>52</v>
      </c>
      <c r="AH694" s="19" t="n">
        <v>71</v>
      </c>
      <c r="AI694" s="19" t="n">
        <v>86</v>
      </c>
      <c r="AJ694" s="19" t="n">
        <f aca="false">(AI694*70)/100</f>
        <v>60.2</v>
      </c>
      <c r="AK694" s="115" t="n">
        <f aca="false">ROUNDUP(AJ694,0)</f>
        <v>61</v>
      </c>
      <c r="AL694" s="19" t="n">
        <v>22</v>
      </c>
      <c r="AM694" s="19" t="n">
        <f aca="false">AL694+AJ694</f>
        <v>82.2</v>
      </c>
      <c r="AN694" s="19" t="n">
        <f aca="false">AL694+AK694</f>
        <v>83</v>
      </c>
      <c r="AO694" s="19" t="n">
        <v>43</v>
      </c>
      <c r="AP694" s="116" t="n">
        <f aca="false">(AO694*70)/100</f>
        <v>30.1</v>
      </c>
      <c r="AQ694" s="117" t="n">
        <f aca="false">ROUNDUP(AP694,0)</f>
        <v>31</v>
      </c>
      <c r="AR694" s="19" t="n">
        <v>20</v>
      </c>
      <c r="AS694" s="19" t="n">
        <f aca="false">AR694+AP694</f>
        <v>50.1</v>
      </c>
      <c r="AT694" s="19" t="n">
        <f aca="false">AR694+AQ694</f>
        <v>51</v>
      </c>
      <c r="AU694" s="19" t="n">
        <f aca="false">AO694+AF694+AI694+AH694+AG694</f>
        <v>312</v>
      </c>
      <c r="AV694" s="19" t="n">
        <f aca="false">(AO694+AF694+AI694+AH694+AG694)/5</f>
        <v>62.4</v>
      </c>
      <c r="AW694" s="116" t="n">
        <f aca="false">(AO694+AF694+AI694+AH694+AG694+X694+R694+Q694+K694+J694)</f>
        <v>601</v>
      </c>
      <c r="AX694" s="16" t="n">
        <f aca="false">AW694/10</f>
        <v>60.1</v>
      </c>
      <c r="AY694" s="16" t="n">
        <f aca="false">AS694+AF694+AM694+AH694+AG694+AB694+V694+Q694+O694+J694</f>
        <v>611.9</v>
      </c>
      <c r="AZ694" s="16" t="n">
        <f aca="false">AT694+AF694+AN694+AH694+AG694+AC694+W694+Q694+P694+J694</f>
        <v>615</v>
      </c>
      <c r="BA694" s="16" t="n">
        <f aca="false">AY694/10</f>
        <v>61.19</v>
      </c>
      <c r="BB694" s="16" t="n">
        <f aca="false">AZ694/10</f>
        <v>61.5</v>
      </c>
      <c r="BC694" s="16" t="n">
        <v>1872</v>
      </c>
      <c r="BD694" s="16" t="n">
        <f aca="false">RANK(AX694,$AX$2:$AX$881,0)</f>
        <v>798</v>
      </c>
      <c r="BE694" s="20" t="n">
        <f aca="false">((BC694*100)/2400)*0.4+(AX694*0.6)</f>
        <v>67.26</v>
      </c>
      <c r="BF694" s="16" t="n">
        <f aca="false">RANK(BE694,$BE$2:$BE$881,0)</f>
        <v>794</v>
      </c>
      <c r="BG694" s="39" t="n">
        <f aca="false">RANK(BB694,$BB$2:$BB$881,0)</f>
        <v>793</v>
      </c>
      <c r="BH694" s="39" t="n">
        <f aca="false">RANK(BC694,$BC$2:$BC$881,0)</f>
        <v>778</v>
      </c>
      <c r="BI694" s="19" t="s">
        <v>130</v>
      </c>
      <c r="BJ694" s="19" t="s">
        <v>129</v>
      </c>
      <c r="BK694" s="109" t="s">
        <v>1596</v>
      </c>
      <c r="BL694" s="41" t="n">
        <v>21</v>
      </c>
      <c r="BM694" s="41" t="n">
        <v>35</v>
      </c>
      <c r="BN694" s="98" t="n">
        <v>56</v>
      </c>
      <c r="BO694" s="42" t="n">
        <v>14</v>
      </c>
      <c r="BP694" s="42" t="n">
        <v>54</v>
      </c>
      <c r="BQ694" s="42" t="n">
        <v>68</v>
      </c>
      <c r="BR694" s="42" t="n">
        <v>21</v>
      </c>
      <c r="BS694" s="45" t="n">
        <v>47</v>
      </c>
      <c r="BT694" s="45" t="n">
        <v>68</v>
      </c>
      <c r="BU694" s="46" t="n">
        <v>85</v>
      </c>
      <c r="BV694" s="47" t="n">
        <v>60</v>
      </c>
      <c r="BW694" s="42" t="n">
        <v>98</v>
      </c>
      <c r="BX694" s="48" t="n">
        <v>86</v>
      </c>
      <c r="BY694" s="32" t="n">
        <v>22</v>
      </c>
      <c r="BZ694" s="32" t="n">
        <v>38</v>
      </c>
      <c r="CA694" s="32" t="n">
        <v>60</v>
      </c>
      <c r="CB694" s="32" t="n">
        <v>19</v>
      </c>
      <c r="CC694" s="32" t="n">
        <v>34</v>
      </c>
      <c r="CD694" s="69" t="n">
        <v>53</v>
      </c>
      <c r="CE694" s="32" t="n">
        <v>22</v>
      </c>
      <c r="CF694" s="32" t="n">
        <v>28</v>
      </c>
      <c r="CG694" s="69" t="n">
        <v>50</v>
      </c>
      <c r="CH694" s="32" t="n">
        <v>89</v>
      </c>
      <c r="CI694" s="25" t="n">
        <v>78</v>
      </c>
      <c r="CJ694" s="49" t="n">
        <v>23</v>
      </c>
      <c r="CK694" s="49" t="n">
        <v>34</v>
      </c>
      <c r="CL694" s="76" t="n">
        <v>57</v>
      </c>
      <c r="CM694" s="49" t="n">
        <v>19</v>
      </c>
      <c r="CN694" s="49" t="n">
        <v>46</v>
      </c>
      <c r="CO694" s="84" t="n">
        <v>65</v>
      </c>
      <c r="CP694" s="25" t="n">
        <f aca="false">BX694+BW694+BV694+BU694+BT694+BQ694+BN694</f>
        <v>521</v>
      </c>
      <c r="CQ694" s="25" t="n">
        <f aca="false">CO694+CL694+CI694+CH694+CG694+CD694+CA694</f>
        <v>452</v>
      </c>
      <c r="CR694" s="26" t="n">
        <f aca="false">CP694/7</f>
        <v>74.4285714285714</v>
      </c>
      <c r="CS694" s="26" t="n">
        <f aca="false">CQ694/7</f>
        <v>64.5714285714286</v>
      </c>
      <c r="CT694" s="24" t="n">
        <f aca="false">RANK(CR694,$CR$2:$CR$881,0)</f>
        <v>654</v>
      </c>
      <c r="CU694" s="25" t="n">
        <f aca="false">RANK(CS694,$CS$2:$CS$881,0)</f>
        <v>631</v>
      </c>
      <c r="CV694" s="26" t="n">
        <f aca="false">(CS694+CR694)/2</f>
        <v>69.5</v>
      </c>
      <c r="CW694" s="25" t="n">
        <f aca="false">RANK(CV694,$CV$2:$CV$881,0)</f>
        <v>636</v>
      </c>
      <c r="CX694" s="50" t="n">
        <f aca="false">(CV694+BB694)/2</f>
        <v>65.5</v>
      </c>
      <c r="CY694" s="50" t="n">
        <v>632</v>
      </c>
      <c r="CZ694" s="27" t="s">
        <v>132</v>
      </c>
      <c r="DA694" s="27" t="s">
        <v>305</v>
      </c>
      <c r="DB694" s="27" t="s">
        <v>305</v>
      </c>
      <c r="DC694" s="27" t="s">
        <v>134</v>
      </c>
      <c r="DD694" s="27" t="s">
        <v>137</v>
      </c>
      <c r="DE694" s="27" t="s">
        <v>681</v>
      </c>
      <c r="DF694" s="27" t="s">
        <v>398</v>
      </c>
      <c r="DG694" s="27" t="s">
        <v>134</v>
      </c>
      <c r="DH694" s="27" t="s">
        <v>604</v>
      </c>
      <c r="DI694" s="27" t="s">
        <v>1309</v>
      </c>
      <c r="DJ694" s="27" t="s">
        <v>412</v>
      </c>
      <c r="DK694" s="27" t="s">
        <v>480</v>
      </c>
      <c r="DL694" s="27" t="s">
        <v>191</v>
      </c>
      <c r="DM694" s="27" t="s">
        <v>442</v>
      </c>
      <c r="DN694" s="27" t="s">
        <v>138</v>
      </c>
      <c r="DO694" s="27" t="s">
        <v>134</v>
      </c>
      <c r="DP694" s="27"/>
      <c r="DQ694" s="27"/>
      <c r="DR694" s="27"/>
      <c r="DS694" s="27"/>
      <c r="DT694" s="27" t="s">
        <v>485</v>
      </c>
      <c r="DU694" s="27" t="s">
        <v>1309</v>
      </c>
      <c r="DV694" s="27" t="s">
        <v>313</v>
      </c>
      <c r="DW694" s="27" t="s">
        <v>485</v>
      </c>
      <c r="DX694" s="27" t="s">
        <v>163</v>
      </c>
      <c r="DY694" s="27" t="s">
        <v>205</v>
      </c>
      <c r="DZ694" s="27" t="n">
        <f aca="false">DY694+DV694+DR694+DN694+DJ694+DF694+DB694</f>
        <v>404</v>
      </c>
      <c r="EA694" s="28" t="n">
        <f aca="false">DZ694/7</f>
        <v>57.7142857142857</v>
      </c>
      <c r="EB694" s="27" t="n">
        <f aca="false">RANK(EA694,$EA$2:$EA$881,0)</f>
        <v>809</v>
      </c>
      <c r="EC694" s="29" t="n">
        <f aca="false">DZ694+CQ694+CP694+AZ694</f>
        <v>1992</v>
      </c>
      <c r="ED694" s="30" t="n">
        <f aca="false">(EA694+CV694+BB694)/3</f>
        <v>62.9047619047619</v>
      </c>
      <c r="EE694" s="51" t="n">
        <f aca="false">ROUND(BE694,3)</f>
        <v>67.26</v>
      </c>
      <c r="EF694" s="51" t="n">
        <f aca="false">ROUND(CR694,3)</f>
        <v>74.429</v>
      </c>
      <c r="EG694" s="51" t="n">
        <f aca="false">ROUND(CS694,3)</f>
        <v>64.571</v>
      </c>
      <c r="EH694" s="51" t="n">
        <f aca="false">ROUND(EA694,3)</f>
        <v>57.714</v>
      </c>
      <c r="EI694" s="51" t="n">
        <f aca="false">ROUND(ED694,3)</f>
        <v>62.905</v>
      </c>
      <c r="EJ694" s="51" t="n">
        <f aca="false">ROUND(CV694,3)</f>
        <v>69.5</v>
      </c>
      <c r="EK694" s="0" t="n">
        <f aca="false">RANK(EI694,$EI$2:$EI$881,0)</f>
        <v>693</v>
      </c>
    </row>
    <row r="695" customFormat="false" ht="15" hidden="false" customHeight="false" outlineLevel="0" collapsed="false">
      <c r="A695" s="4" t="n">
        <v>8905</v>
      </c>
      <c r="B695" s="4" t="n">
        <v>103</v>
      </c>
      <c r="C695" s="27" t="s">
        <v>2000</v>
      </c>
      <c r="D695" s="52" t="n">
        <v>103</v>
      </c>
      <c r="E695" s="32" t="n">
        <v>230312807</v>
      </c>
      <c r="F695" s="8" t="s">
        <v>2001</v>
      </c>
      <c r="G695" s="22" t="s">
        <v>843</v>
      </c>
      <c r="H695" s="22" t="s">
        <v>129</v>
      </c>
      <c r="I695" s="33" t="n">
        <v>2006</v>
      </c>
      <c r="J695" s="32" t="n">
        <v>74</v>
      </c>
      <c r="K695" s="32" t="n">
        <v>60</v>
      </c>
      <c r="L695" s="34" t="n">
        <f aca="false">(K695*70)/100</f>
        <v>42</v>
      </c>
      <c r="M695" s="34" t="n">
        <f aca="false">ROUNDUP(L695,0)</f>
        <v>42</v>
      </c>
      <c r="N695" s="32" t="n">
        <v>23</v>
      </c>
      <c r="O695" s="34" t="n">
        <f aca="false">N695+L695</f>
        <v>65</v>
      </c>
      <c r="P695" s="34" t="n">
        <f aca="false">N695+M695</f>
        <v>65</v>
      </c>
      <c r="Q695" s="32" t="n">
        <v>63</v>
      </c>
      <c r="R695" s="32" t="n">
        <v>55</v>
      </c>
      <c r="S695" s="34" t="n">
        <f aca="false">(R695*70)/100</f>
        <v>38.5</v>
      </c>
      <c r="T695" s="34" t="n">
        <f aca="false">ROUNDUP(S695,0)</f>
        <v>39</v>
      </c>
      <c r="U695" s="32" t="n">
        <v>16</v>
      </c>
      <c r="V695" s="34" t="n">
        <f aca="false">U695+S695</f>
        <v>54.5</v>
      </c>
      <c r="W695" s="91" t="n">
        <f aca="false">U695+T695</f>
        <v>55</v>
      </c>
      <c r="X695" s="32" t="n">
        <v>46</v>
      </c>
      <c r="Y695" s="34" t="n">
        <f aca="false">(X695*70)/100</f>
        <v>32.2</v>
      </c>
      <c r="Z695" s="34" t="n">
        <f aca="false">ROUNDUP(Y695,0)</f>
        <v>33</v>
      </c>
      <c r="AA695" s="32" t="n">
        <v>21</v>
      </c>
      <c r="AB695" s="34" t="n">
        <f aca="false">AA695+Y695</f>
        <v>53.2</v>
      </c>
      <c r="AC695" s="91" t="n">
        <f aca="false">AA695+Z695</f>
        <v>54</v>
      </c>
      <c r="AD695" s="32" t="n">
        <f aca="false">X695+R695+Q695+K695+J695</f>
        <v>298</v>
      </c>
      <c r="AE695" s="16" t="n">
        <f aca="false">AD695/5</f>
        <v>59.6</v>
      </c>
      <c r="AF695" s="71" t="n">
        <v>48</v>
      </c>
      <c r="AG695" s="16" t="n">
        <v>80</v>
      </c>
      <c r="AH695" s="16" t="n">
        <v>85</v>
      </c>
      <c r="AI695" s="16" t="n">
        <v>79</v>
      </c>
      <c r="AJ695" s="16" t="n">
        <f aca="false">(AI695*70)/100</f>
        <v>55.3</v>
      </c>
      <c r="AK695" s="35" t="n">
        <f aca="false">ROUNDUP(AJ695,0)</f>
        <v>56</v>
      </c>
      <c r="AL695" s="16" t="n">
        <v>23</v>
      </c>
      <c r="AM695" s="16" t="n">
        <f aca="false">AL695+AJ695</f>
        <v>78.3</v>
      </c>
      <c r="AN695" s="16" t="n">
        <f aca="false">AL695+AK695</f>
        <v>79</v>
      </c>
      <c r="AO695" s="16" t="n">
        <v>68</v>
      </c>
      <c r="AP695" s="36" t="n">
        <f aca="false">(AO695*70)/100</f>
        <v>47.6</v>
      </c>
      <c r="AQ695" s="37" t="n">
        <f aca="false">ROUNDUP(AP695,0)</f>
        <v>48</v>
      </c>
      <c r="AR695" s="16" t="n">
        <v>25</v>
      </c>
      <c r="AS695" s="16" t="n">
        <f aca="false">AR695+AP695</f>
        <v>72.6</v>
      </c>
      <c r="AT695" s="16" t="n">
        <f aca="false">AR695+AQ695</f>
        <v>73</v>
      </c>
      <c r="AU695" s="16" t="n">
        <f aca="false">AO695+AF695+AI695+AH695+AG695</f>
        <v>360</v>
      </c>
      <c r="AV695" s="16" t="n">
        <f aca="false">(AO695+AF695+AI695+AH695+AG695)/5</f>
        <v>72</v>
      </c>
      <c r="AW695" s="36" t="n">
        <f aca="false">(AO695+AF695+AI695+AH695+AG695+X695+R695+Q695+K695+J695)</f>
        <v>658</v>
      </c>
      <c r="AX695" s="16" t="n">
        <f aca="false">AW695/10</f>
        <v>65.8</v>
      </c>
      <c r="AY695" s="16" t="n">
        <f aca="false">AS695+AF695+AM695+AH695+AG695+AB695+V695+Q695+O695+J695</f>
        <v>673.6</v>
      </c>
      <c r="AZ695" s="16" t="n">
        <f aca="false">AT695+AF695+AN695+AH695+AG695+AC695+W695+Q695+P695+J695</f>
        <v>676</v>
      </c>
      <c r="BA695" s="16" t="n">
        <f aca="false">AY695/10</f>
        <v>67.36</v>
      </c>
      <c r="BB695" s="16" t="n">
        <f aca="false">AZ695/10</f>
        <v>67.6</v>
      </c>
      <c r="BC695" s="16" t="n">
        <v>2339</v>
      </c>
      <c r="BD695" s="16" t="n">
        <f aca="false">RANK(AX695,$AX$2:$AX$881,0)</f>
        <v>760</v>
      </c>
      <c r="BE695" s="78" t="n">
        <f aca="false">((BC695*100)/2400)*0.4+(AX695*0.6)</f>
        <v>78.4633333333333</v>
      </c>
      <c r="BF695" s="16" t="n">
        <f aca="false">RANK(BE695,$BE$2:$BE$881,0)</f>
        <v>742</v>
      </c>
      <c r="BG695" s="39" t="n">
        <f aca="false">RANK(BB695,$BB$2:$BB$881,0)</f>
        <v>763</v>
      </c>
      <c r="BH695" s="39" t="n">
        <f aca="false">RANK(BC695,$BC$2:$BC$881,0)</f>
        <v>640</v>
      </c>
      <c r="BI695" s="22" t="s">
        <v>130</v>
      </c>
      <c r="BJ695" s="22" t="s">
        <v>129</v>
      </c>
      <c r="BK695" s="40" t="s">
        <v>702</v>
      </c>
      <c r="BL695" s="41" t="n">
        <v>16</v>
      </c>
      <c r="BM695" s="41" t="n">
        <v>43</v>
      </c>
      <c r="BN695" s="98" t="n">
        <v>59</v>
      </c>
      <c r="BO695" s="42" t="n">
        <v>20</v>
      </c>
      <c r="BP695" s="43" t="n">
        <v>62</v>
      </c>
      <c r="BQ695" s="44" t="n">
        <v>82</v>
      </c>
      <c r="BR695" s="44" t="n">
        <v>23</v>
      </c>
      <c r="BS695" s="45" t="n">
        <v>43</v>
      </c>
      <c r="BT695" s="45" t="n">
        <v>66</v>
      </c>
      <c r="BU695" s="46" t="n">
        <v>99</v>
      </c>
      <c r="BV695" s="47" t="n">
        <v>68</v>
      </c>
      <c r="BW695" s="42" t="n">
        <v>83</v>
      </c>
      <c r="BX695" s="48" t="n">
        <v>96</v>
      </c>
      <c r="BY695" s="32" t="n">
        <v>20</v>
      </c>
      <c r="BZ695" s="58" t="n">
        <v>49</v>
      </c>
      <c r="CA695" s="58" t="n">
        <v>69</v>
      </c>
      <c r="CB695" s="32" t="n">
        <v>25</v>
      </c>
      <c r="CC695" s="60"/>
      <c r="CD695" s="60"/>
      <c r="CE695" s="32" t="n">
        <v>22</v>
      </c>
      <c r="CF695" s="60"/>
      <c r="CG695" s="60"/>
      <c r="CH695" s="32" t="n">
        <v>95</v>
      </c>
      <c r="CI695" s="32" t="n">
        <v>99</v>
      </c>
      <c r="CJ695" s="49" t="n">
        <v>19</v>
      </c>
      <c r="CK695" s="49" t="n">
        <v>40</v>
      </c>
      <c r="CL695" s="76" t="n">
        <v>59</v>
      </c>
      <c r="CM695" s="49" t="n">
        <v>17</v>
      </c>
      <c r="CN695" s="49" t="n">
        <v>45</v>
      </c>
      <c r="CO695" s="49" t="n">
        <v>62</v>
      </c>
      <c r="CP695" s="25" t="n">
        <f aca="false">BX695+BW695+BV695+BU695+BT695+BQ695+BN695</f>
        <v>553</v>
      </c>
      <c r="CQ695" s="25" t="n">
        <f aca="false">CO695+CL695+CI695+CH695+CG695+CD695+CA695</f>
        <v>384</v>
      </c>
      <c r="CR695" s="26" t="n">
        <f aca="false">CP695/7</f>
        <v>79</v>
      </c>
      <c r="CS695" s="26" t="n">
        <f aca="false">CQ695/7</f>
        <v>54.8571428571429</v>
      </c>
      <c r="CT695" s="24" t="n">
        <f aca="false">RANK(CR695,$CR$2:$CR$881,0)</f>
        <v>604</v>
      </c>
      <c r="CU695" s="25" t="n">
        <f aca="false">RANK(CS695,$CS$2:$CS$881,0)</f>
        <v>708</v>
      </c>
      <c r="CV695" s="26" t="n">
        <f aca="false">(CS695+CR695)/2</f>
        <v>66.9285714285714</v>
      </c>
      <c r="CW695" s="25" t="n">
        <f aca="false">RANK(CV695,$CV$2:$CV$881,0)</f>
        <v>667</v>
      </c>
      <c r="CX695" s="50" t="n">
        <f aca="false">(CV695+BB695)/2</f>
        <v>67.2642857142857</v>
      </c>
      <c r="CY695" s="50" t="n">
        <v>630</v>
      </c>
      <c r="CZ695" s="27" t="s">
        <v>132</v>
      </c>
      <c r="DA695" s="27" t="s">
        <v>202</v>
      </c>
      <c r="DB695" s="27" t="s">
        <v>202</v>
      </c>
      <c r="DC695" s="27" t="s">
        <v>134</v>
      </c>
      <c r="DD695" s="27" t="s">
        <v>182</v>
      </c>
      <c r="DE695" s="27" t="s">
        <v>412</v>
      </c>
      <c r="DF695" s="27" t="s">
        <v>441</v>
      </c>
      <c r="DG695" s="27" t="s">
        <v>134</v>
      </c>
      <c r="DH695" s="27" t="s">
        <v>174</v>
      </c>
      <c r="DI695" s="27" t="s">
        <v>183</v>
      </c>
      <c r="DJ695" s="27" t="s">
        <v>219</v>
      </c>
      <c r="DK695" s="27" t="s">
        <v>134</v>
      </c>
      <c r="DL695" s="27"/>
      <c r="DM695" s="27"/>
      <c r="DN695" s="27"/>
      <c r="DO695" s="27"/>
      <c r="DP695" s="27" t="s">
        <v>386</v>
      </c>
      <c r="DQ695" s="27" t="s">
        <v>638</v>
      </c>
      <c r="DR695" s="27" t="s">
        <v>136</v>
      </c>
      <c r="DS695" s="27" t="s">
        <v>134</v>
      </c>
      <c r="DT695" s="27" t="s">
        <v>137</v>
      </c>
      <c r="DU695" s="27" t="s">
        <v>442</v>
      </c>
      <c r="DV695" s="27" t="s">
        <v>441</v>
      </c>
      <c r="DW695" s="27"/>
      <c r="DX695" s="27"/>
      <c r="DY695" s="27"/>
      <c r="DZ695" s="27" t="n">
        <f aca="false">DY695+DV695+DR695+DN695+DJ695+DF695+DB695</f>
        <v>379</v>
      </c>
      <c r="EA695" s="28" t="n">
        <f aca="false">DZ695/7</f>
        <v>54.1428571428571</v>
      </c>
      <c r="EB695" s="27" t="n">
        <f aca="false">RANK(EA695,$EA$2:$EA$881,0)</f>
        <v>830</v>
      </c>
      <c r="EC695" s="29" t="n">
        <f aca="false">DZ695+CQ695+CP695+AZ695</f>
        <v>1992</v>
      </c>
      <c r="ED695" s="30" t="n">
        <f aca="false">(EA695+CV695+BB695)/3</f>
        <v>62.8904761904762</v>
      </c>
      <c r="EE695" s="51" t="n">
        <f aca="false">ROUND(BE695,3)</f>
        <v>78.463</v>
      </c>
      <c r="EF695" s="51" t="n">
        <f aca="false">ROUND(CR695,3)</f>
        <v>79</v>
      </c>
      <c r="EG695" s="51" t="n">
        <f aca="false">ROUND(CS695,3)</f>
        <v>54.857</v>
      </c>
      <c r="EH695" s="51" t="n">
        <f aca="false">ROUND(EA695,3)</f>
        <v>54.143</v>
      </c>
      <c r="EI695" s="51" t="n">
        <f aca="false">ROUND(ED695,3)</f>
        <v>62.89</v>
      </c>
      <c r="EJ695" s="51" t="n">
        <f aca="false">ROUND(CV695,3)</f>
        <v>66.929</v>
      </c>
      <c r="EK695" s="0" t="n">
        <f aca="false">RANK(EI695,$EI$2:$EI$881,0)</f>
        <v>694</v>
      </c>
    </row>
    <row r="696" customFormat="false" ht="15" hidden="false" customHeight="false" outlineLevel="0" collapsed="false">
      <c r="A696" s="4" t="n">
        <v>2034</v>
      </c>
      <c r="B696" s="4" t="n">
        <v>815</v>
      </c>
      <c r="C696" s="27" t="s">
        <v>2002</v>
      </c>
      <c r="D696" s="31" t="n">
        <v>836</v>
      </c>
      <c r="E696" s="16" t="n">
        <v>230246908</v>
      </c>
      <c r="F696" s="56" t="s">
        <v>2003</v>
      </c>
      <c r="G696" s="22" t="s">
        <v>2004</v>
      </c>
      <c r="H696" s="22" t="s">
        <v>326</v>
      </c>
      <c r="I696" s="57"/>
      <c r="J696" s="16" t="n">
        <v>74</v>
      </c>
      <c r="K696" s="16" t="n">
        <v>66</v>
      </c>
      <c r="L696" s="34" t="n">
        <f aca="false">(K696*70)/100</f>
        <v>46.2</v>
      </c>
      <c r="M696" s="34" t="n">
        <f aca="false">ROUNDUP(L696,0)</f>
        <v>47</v>
      </c>
      <c r="N696" s="16" t="n">
        <v>26</v>
      </c>
      <c r="O696" s="34" t="n">
        <f aca="false">N696+L696</f>
        <v>72.2</v>
      </c>
      <c r="P696" s="34" t="n">
        <f aca="false">N696+M696</f>
        <v>73</v>
      </c>
      <c r="Q696" s="71" t="n">
        <v>55</v>
      </c>
      <c r="R696" s="16" t="n">
        <v>68</v>
      </c>
      <c r="S696" s="34" t="n">
        <f aca="false">(R696*70)/100</f>
        <v>47.6</v>
      </c>
      <c r="T696" s="34" t="n">
        <f aca="false">ROUNDUP(S696,0)</f>
        <v>48</v>
      </c>
      <c r="U696" s="16" t="n">
        <v>26</v>
      </c>
      <c r="V696" s="34" t="n">
        <f aca="false">U696+S696</f>
        <v>73.6</v>
      </c>
      <c r="W696" s="34" t="n">
        <f aca="false">U696+T696</f>
        <v>74</v>
      </c>
      <c r="X696" s="16" t="n">
        <v>66</v>
      </c>
      <c r="Y696" s="34" t="n">
        <f aca="false">(X696*70)/100</f>
        <v>46.2</v>
      </c>
      <c r="Z696" s="34" t="n">
        <f aca="false">ROUNDUP(Y696,0)</f>
        <v>47</v>
      </c>
      <c r="AA696" s="16" t="n">
        <v>28</v>
      </c>
      <c r="AB696" s="34" t="n">
        <f aca="false">AA696+Y696</f>
        <v>74.2</v>
      </c>
      <c r="AC696" s="34" t="n">
        <f aca="false">AA696+Z696</f>
        <v>75</v>
      </c>
      <c r="AD696" s="32" t="n">
        <f aca="false">X696+R696+Q696+K696+J696</f>
        <v>329</v>
      </c>
      <c r="AE696" s="16" t="n">
        <f aca="false">AD696/5</f>
        <v>65.8</v>
      </c>
      <c r="AF696" s="16" t="n">
        <v>68</v>
      </c>
      <c r="AG696" s="16" t="n">
        <v>77</v>
      </c>
      <c r="AH696" s="16" t="n">
        <v>94</v>
      </c>
      <c r="AI696" s="16" t="n">
        <v>97</v>
      </c>
      <c r="AJ696" s="16" t="n">
        <f aca="false">(AI696*70)/100</f>
        <v>67.9</v>
      </c>
      <c r="AK696" s="35" t="n">
        <f aca="false">ROUNDUP(AJ696,0)</f>
        <v>68</v>
      </c>
      <c r="AL696" s="16" t="n">
        <v>24</v>
      </c>
      <c r="AM696" s="16" t="n">
        <f aca="false">AL696+AJ696</f>
        <v>91.9</v>
      </c>
      <c r="AN696" s="16" t="n">
        <f aca="false">AL696+AK696</f>
        <v>92</v>
      </c>
      <c r="AO696" s="16" t="n">
        <v>86</v>
      </c>
      <c r="AP696" s="36" t="n">
        <f aca="false">(AO696*70)/100</f>
        <v>60.2</v>
      </c>
      <c r="AQ696" s="37" t="n">
        <f aca="false">ROUNDUP(AP696,0)</f>
        <v>61</v>
      </c>
      <c r="AR696" s="16" t="n">
        <v>28</v>
      </c>
      <c r="AS696" s="16" t="n">
        <f aca="false">AR696+AP696</f>
        <v>88.2</v>
      </c>
      <c r="AT696" s="16" t="n">
        <f aca="false">AR696+AQ696</f>
        <v>89</v>
      </c>
      <c r="AU696" s="16" t="n">
        <f aca="false">AO696+AF696+AI696+AH696+AG696</f>
        <v>422</v>
      </c>
      <c r="AV696" s="16" t="n">
        <f aca="false">(AO696+AF696+AI696+AH696+AG696)/5</f>
        <v>84.4</v>
      </c>
      <c r="AW696" s="36" t="n">
        <f aca="false">(AO696+AF696+AI696+AH696+AG696+X696+R696+Q696+K696+J696)</f>
        <v>751</v>
      </c>
      <c r="AX696" s="16" t="n">
        <f aca="false">AW696/10</f>
        <v>75.1</v>
      </c>
      <c r="AY696" s="16" t="n">
        <f aca="false">AS696+AF696+AM696+AH696+AG696+AB696+V696+Q696+O696+J696</f>
        <v>768.1</v>
      </c>
      <c r="AZ696" s="16" t="n">
        <f aca="false">AT696+AF696+AN696+AH696+AG696+AC696+W696+Q696+P696+J696</f>
        <v>771</v>
      </c>
      <c r="BA696" s="16" t="n">
        <f aca="false">AY696/10</f>
        <v>76.81</v>
      </c>
      <c r="BB696" s="16" t="n">
        <f aca="false">AZ696/10</f>
        <v>77.1</v>
      </c>
      <c r="BC696" s="16" t="n">
        <v>2380</v>
      </c>
      <c r="BD696" s="16" t="n">
        <f aca="false">RANK(AX696,$AX$2:$AX$881,0)</f>
        <v>682</v>
      </c>
      <c r="BE696" s="73" t="n">
        <f aca="false">((BC696*100)/2400)*0.4+(AX696*0.6)</f>
        <v>84.7266666666667</v>
      </c>
      <c r="BF696" s="16" t="n">
        <f aca="false">RANK(BE696,$BE$2:$BE$881,0)</f>
        <v>668</v>
      </c>
      <c r="BG696" s="39" t="n">
        <f aca="false">RANK(BB696,$BB$2:$BB$881,0)</f>
        <v>632</v>
      </c>
      <c r="BH696" s="39" t="n">
        <f aca="false">RANK(BC696,$BC$2:$BC$881,0)</f>
        <v>148</v>
      </c>
      <c r="BI696" s="22" t="s">
        <v>130</v>
      </c>
      <c r="BJ696" s="22" t="s">
        <v>129</v>
      </c>
      <c r="BK696" s="22" t="s">
        <v>509</v>
      </c>
      <c r="BL696" s="41" t="n">
        <v>23</v>
      </c>
      <c r="BM696" s="41" t="n">
        <v>59</v>
      </c>
      <c r="BN696" s="41" t="n">
        <v>82</v>
      </c>
      <c r="BO696" s="42" t="n">
        <v>27</v>
      </c>
      <c r="BP696" s="43" t="n">
        <v>62</v>
      </c>
      <c r="BQ696" s="44" t="n">
        <v>89</v>
      </c>
      <c r="BR696" s="42" t="n">
        <v>23</v>
      </c>
      <c r="BS696" s="77" t="n">
        <v>59</v>
      </c>
      <c r="BT696" s="77" t="n">
        <v>82</v>
      </c>
      <c r="BU696" s="46" t="n">
        <v>100</v>
      </c>
      <c r="BV696" s="47" t="n">
        <v>94</v>
      </c>
      <c r="BW696" s="42" t="n">
        <v>98</v>
      </c>
      <c r="BX696" s="48" t="n">
        <v>96</v>
      </c>
      <c r="BY696" s="32" t="n">
        <v>27</v>
      </c>
      <c r="BZ696" s="32" t="n">
        <v>36</v>
      </c>
      <c r="CA696" s="32" t="n">
        <v>63</v>
      </c>
      <c r="CB696" s="32" t="n">
        <v>22</v>
      </c>
      <c r="CC696" s="32" t="n">
        <v>29</v>
      </c>
      <c r="CD696" s="69" t="n">
        <v>51</v>
      </c>
      <c r="CE696" s="32" t="n">
        <v>28</v>
      </c>
      <c r="CF696" s="32" t="n">
        <v>37</v>
      </c>
      <c r="CG696" s="32" t="n">
        <v>65</v>
      </c>
      <c r="CH696" s="32" t="n">
        <v>96</v>
      </c>
      <c r="CI696" s="32" t="n">
        <v>85</v>
      </c>
      <c r="CJ696" s="49" t="n">
        <v>25</v>
      </c>
      <c r="CK696" s="49" t="n">
        <v>46</v>
      </c>
      <c r="CL696" s="49" t="n">
        <v>71</v>
      </c>
      <c r="CM696" s="49" t="n">
        <v>20</v>
      </c>
      <c r="CN696" s="49" t="n">
        <v>56</v>
      </c>
      <c r="CO696" s="49" t="n">
        <v>76</v>
      </c>
      <c r="CP696" s="25" t="n">
        <f aca="false">BX696+BW696+BV696+BU696+BT696+BQ696+BN696</f>
        <v>641</v>
      </c>
      <c r="CQ696" s="25" t="n">
        <f aca="false">CO696+CL696+CI696+CH696+CG696+CD696+CA696</f>
        <v>507</v>
      </c>
      <c r="CR696" s="26" t="n">
        <f aca="false">CP696/7</f>
        <v>91.5714285714286</v>
      </c>
      <c r="CS696" s="26" t="n">
        <f aca="false">CQ696/7</f>
        <v>72.4285714285714</v>
      </c>
      <c r="CT696" s="24" t="n">
        <f aca="false">RANK(CR696,$CR$2:$CR$881,0)</f>
        <v>100</v>
      </c>
      <c r="CU696" s="25" t="n">
        <f aca="false">RANK(CS696,$CS$2:$CS$881,0)</f>
        <v>499</v>
      </c>
      <c r="CV696" s="26" t="n">
        <f aca="false">(CS696+CR696)/2</f>
        <v>82</v>
      </c>
      <c r="CW696" s="25" t="n">
        <f aca="false">RANK(CV696,$CV$2:$CV$881,0)</f>
        <v>340</v>
      </c>
      <c r="CX696" s="50" t="n">
        <f aca="false">(CV696+BB696)/2</f>
        <v>79.55</v>
      </c>
      <c r="CY696" s="50" t="n">
        <v>393</v>
      </c>
      <c r="CZ696" s="27" t="s">
        <v>132</v>
      </c>
      <c r="DA696" s="27" t="s">
        <v>169</v>
      </c>
      <c r="DB696" s="27" t="s">
        <v>169</v>
      </c>
      <c r="DC696" s="27" t="s">
        <v>134</v>
      </c>
      <c r="DD696" s="27"/>
      <c r="DE696" s="27"/>
      <c r="DF696" s="27"/>
      <c r="DG696" s="27"/>
      <c r="DH696" s="27" t="s">
        <v>135</v>
      </c>
      <c r="DI696" s="27" t="s">
        <v>1151</v>
      </c>
      <c r="DJ696" s="27" t="s">
        <v>218</v>
      </c>
      <c r="DK696" s="27" t="s">
        <v>480</v>
      </c>
      <c r="DL696" s="27" t="s">
        <v>191</v>
      </c>
      <c r="DM696" s="27" t="s">
        <v>645</v>
      </c>
      <c r="DN696" s="27" t="s">
        <v>152</v>
      </c>
      <c r="DO696" s="27" t="s">
        <v>134</v>
      </c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 t="n">
        <f aca="false">DY696+DV696+DR696+DN696+DJ696+DF696+DB696</f>
        <v>204</v>
      </c>
      <c r="EA696" s="28" t="n">
        <f aca="false">DZ696/7</f>
        <v>29.1428571428571</v>
      </c>
      <c r="EB696" s="27" t="n">
        <f aca="false">RANK(EA696,$EA$2:$EA$881,0)</f>
        <v>865</v>
      </c>
      <c r="EC696" s="29" t="n">
        <f aca="false">DZ696+CQ696+CP696+AZ696</f>
        <v>2123</v>
      </c>
      <c r="ED696" s="30" t="n">
        <f aca="false">(EA696+CV696+BB696)/3</f>
        <v>62.7476190476191</v>
      </c>
      <c r="EE696" s="51" t="n">
        <f aca="false">ROUND(BE696,3)</f>
        <v>84.727</v>
      </c>
      <c r="EF696" s="51" t="n">
        <f aca="false">ROUND(CR696,3)</f>
        <v>91.571</v>
      </c>
      <c r="EG696" s="51" t="n">
        <f aca="false">ROUND(CS696,3)</f>
        <v>72.429</v>
      </c>
      <c r="EH696" s="51" t="n">
        <f aca="false">ROUND(EA696,3)</f>
        <v>29.143</v>
      </c>
      <c r="EI696" s="51" t="n">
        <f aca="false">ROUND(ED696,3)</f>
        <v>62.748</v>
      </c>
      <c r="EJ696" s="51" t="n">
        <f aca="false">ROUND(CV696,3)</f>
        <v>82</v>
      </c>
      <c r="EK696" s="0" t="n">
        <f aca="false">RANK(EI696,$EI$2:$EI$881,0)</f>
        <v>695</v>
      </c>
    </row>
    <row r="697" customFormat="false" ht="15" hidden="false" customHeight="false" outlineLevel="0" collapsed="false">
      <c r="A697" s="4" t="n">
        <v>1969</v>
      </c>
      <c r="B697" s="4" t="n">
        <v>61</v>
      </c>
      <c r="C697" s="27" t="s">
        <v>2005</v>
      </c>
      <c r="D697" s="52" t="n">
        <v>64</v>
      </c>
      <c r="E697" s="16" t="n">
        <v>230407449</v>
      </c>
      <c r="F697" s="56" t="s">
        <v>2006</v>
      </c>
      <c r="G697" s="22" t="s">
        <v>322</v>
      </c>
      <c r="H697" s="22" t="s">
        <v>271</v>
      </c>
      <c r="I697" s="57"/>
      <c r="J697" s="16" t="n">
        <v>75</v>
      </c>
      <c r="K697" s="16" t="n">
        <v>56</v>
      </c>
      <c r="L697" s="34" t="n">
        <f aca="false">(K697*70)/100</f>
        <v>39.2</v>
      </c>
      <c r="M697" s="34" t="n">
        <f aca="false">ROUNDUP(L697,0)</f>
        <v>40</v>
      </c>
      <c r="N697" s="16" t="n">
        <v>18</v>
      </c>
      <c r="O697" s="34" t="n">
        <f aca="false">N697+L697</f>
        <v>57.2</v>
      </c>
      <c r="P697" s="91" t="n">
        <f aca="false">N697+M697</f>
        <v>58</v>
      </c>
      <c r="Q697" s="16" t="n">
        <v>74</v>
      </c>
      <c r="R697" s="16" t="n">
        <v>62</v>
      </c>
      <c r="S697" s="34" t="n">
        <f aca="false">(R697*70)/100</f>
        <v>43.4</v>
      </c>
      <c r="T697" s="34" t="n">
        <f aca="false">ROUNDUP(S697,0)</f>
        <v>44</v>
      </c>
      <c r="U697" s="16" t="n">
        <v>25</v>
      </c>
      <c r="V697" s="34" t="n">
        <f aca="false">U697+S697</f>
        <v>68.4</v>
      </c>
      <c r="W697" s="34" t="n">
        <f aca="false">U697+T697</f>
        <v>69</v>
      </c>
      <c r="X697" s="16" t="n">
        <v>70</v>
      </c>
      <c r="Y697" s="34" t="n">
        <f aca="false">(X697*70)/100</f>
        <v>49</v>
      </c>
      <c r="Z697" s="34" t="n">
        <f aca="false">ROUNDUP(Y697,0)</f>
        <v>49</v>
      </c>
      <c r="AA697" s="16" t="n">
        <v>26</v>
      </c>
      <c r="AB697" s="34" t="n">
        <f aca="false">AA697+Y697</f>
        <v>75</v>
      </c>
      <c r="AC697" s="34" t="n">
        <f aca="false">AA697+Z697</f>
        <v>75</v>
      </c>
      <c r="AD697" s="32" t="n">
        <f aca="false">X697+R697+Q697+K697+J697</f>
        <v>337</v>
      </c>
      <c r="AE697" s="16" t="n">
        <f aca="false">AD697/5</f>
        <v>67.4</v>
      </c>
      <c r="AF697" s="16" t="n">
        <v>75</v>
      </c>
      <c r="AG697" s="16" t="n">
        <v>80</v>
      </c>
      <c r="AH697" s="16" t="n">
        <v>94</v>
      </c>
      <c r="AI697" s="16" t="n">
        <v>88</v>
      </c>
      <c r="AJ697" s="16" t="n">
        <f aca="false">(AI697*70)/100</f>
        <v>61.6</v>
      </c>
      <c r="AK697" s="35" t="n">
        <f aca="false">ROUNDUP(AJ697,0)</f>
        <v>62</v>
      </c>
      <c r="AL697" s="16" t="n">
        <v>18</v>
      </c>
      <c r="AM697" s="16" t="n">
        <f aca="false">AL697+AJ697</f>
        <v>79.6</v>
      </c>
      <c r="AN697" s="16" t="n">
        <f aca="false">AL697+AK697</f>
        <v>80</v>
      </c>
      <c r="AO697" s="16" t="n">
        <v>83</v>
      </c>
      <c r="AP697" s="36" t="n">
        <f aca="false">(AO697*70)/100</f>
        <v>58.1</v>
      </c>
      <c r="AQ697" s="37" t="n">
        <f aca="false">ROUNDUP(AP697,0)</f>
        <v>59</v>
      </c>
      <c r="AR697" s="16" t="n">
        <v>16</v>
      </c>
      <c r="AS697" s="16" t="n">
        <f aca="false">AR697+AP697</f>
        <v>74.1</v>
      </c>
      <c r="AT697" s="16" t="n">
        <f aca="false">AR697+AQ697</f>
        <v>75</v>
      </c>
      <c r="AU697" s="16" t="n">
        <f aca="false">AO697+AF697+AI697+AH697+AG697</f>
        <v>420</v>
      </c>
      <c r="AV697" s="16" t="n">
        <f aca="false">(AO697+AF697+AI697+AH697+AG697)/5</f>
        <v>84</v>
      </c>
      <c r="AW697" s="36" t="n">
        <f aca="false">(AO697+AF697+AI697+AH697+AG697+X697+R697+Q697+K697+J697)</f>
        <v>757</v>
      </c>
      <c r="AX697" s="16" t="n">
        <f aca="false">AW697/10</f>
        <v>75.7</v>
      </c>
      <c r="AY697" s="16" t="n">
        <f aca="false">AS697+AF697+AM697+AH697+AG697+AB697+V697+Q697+O697+J697</f>
        <v>752.3</v>
      </c>
      <c r="AZ697" s="16" t="n">
        <f aca="false">AT697+AF697+AN697+AH697+AG697+AC697+W697+Q697+P697+J697</f>
        <v>755</v>
      </c>
      <c r="BA697" s="16" t="n">
        <f aca="false">AY697/10</f>
        <v>75.23</v>
      </c>
      <c r="BB697" s="16" t="n">
        <f aca="false">AZ697/10</f>
        <v>75.5</v>
      </c>
      <c r="BC697" s="16" t="n">
        <v>2378</v>
      </c>
      <c r="BD697" s="16" t="n">
        <f aca="false">RANK(AX697,$AX$2:$AX$881,0)</f>
        <v>640</v>
      </c>
      <c r="BE697" s="54" t="n">
        <f aca="false">((BC697*100)/2400)*0.4+(AX697*0.6)</f>
        <v>85.0533333333333</v>
      </c>
      <c r="BF697" s="16" t="n">
        <f aca="false">RANK(BE697,$BE$2:$BE$881,0)</f>
        <v>604</v>
      </c>
      <c r="BG697" s="39" t="n">
        <f aca="false">RANK(BB697,$BB$2:$BB$881,0)</f>
        <v>694</v>
      </c>
      <c r="BH697" s="39" t="n">
        <f aca="false">RANK(BC697,$BC$2:$BC$881,0)</f>
        <v>173</v>
      </c>
      <c r="BI697" s="22" t="s">
        <v>130</v>
      </c>
      <c r="BJ697" s="22" t="s">
        <v>129</v>
      </c>
      <c r="BK697" s="22" t="s">
        <v>509</v>
      </c>
      <c r="BL697" s="41" t="n">
        <v>23</v>
      </c>
      <c r="BM697" s="41" t="n">
        <v>64</v>
      </c>
      <c r="BN697" s="41" t="n">
        <v>87</v>
      </c>
      <c r="BO697" s="42" t="n">
        <v>24</v>
      </c>
      <c r="BP697" s="43" t="n">
        <v>62</v>
      </c>
      <c r="BQ697" s="44" t="n">
        <v>86</v>
      </c>
      <c r="BR697" s="42" t="n">
        <v>19</v>
      </c>
      <c r="BS697" s="45" t="n">
        <v>58</v>
      </c>
      <c r="BT697" s="45" t="n">
        <v>77</v>
      </c>
      <c r="BU697" s="46" t="n">
        <v>100</v>
      </c>
      <c r="BV697" s="47" t="n">
        <v>94</v>
      </c>
      <c r="BW697" s="42" t="n">
        <v>100</v>
      </c>
      <c r="BX697" s="80"/>
      <c r="BY697" s="130"/>
      <c r="BZ697" s="60"/>
      <c r="CA697" s="60"/>
      <c r="CB697" s="61"/>
      <c r="CC697" s="60"/>
      <c r="CD697" s="60"/>
      <c r="CE697" s="60"/>
      <c r="CF697" s="60"/>
      <c r="CG697" s="60"/>
      <c r="CH697" s="60"/>
      <c r="CI697" s="60"/>
      <c r="CJ697" s="60"/>
      <c r="CK697" s="60"/>
      <c r="CL697" s="61"/>
      <c r="CM697" s="60"/>
      <c r="CN697" s="60"/>
      <c r="CO697" s="60"/>
      <c r="CP697" s="25" t="n">
        <f aca="false">BX697+BW697+BV697+BU697+BT697+BQ697+BN697</f>
        <v>544</v>
      </c>
      <c r="CQ697" s="25" t="n">
        <f aca="false">CO697+CL697+CI697+CH697+CG697+CD697+CA697</f>
        <v>0</v>
      </c>
      <c r="CR697" s="26" t="n">
        <f aca="false">CP697/7</f>
        <v>77.7142857142857</v>
      </c>
      <c r="CS697" s="26" t="n">
        <f aca="false">CQ697/7</f>
        <v>0</v>
      </c>
      <c r="CT697" s="24" t="n">
        <f aca="false">RANK(CR697,$CR$2:$CR$881,0)</f>
        <v>616</v>
      </c>
      <c r="CU697" s="25" t="n">
        <f aca="false">RANK(CS697,$CS$2:$CS$881,0)</f>
        <v>752</v>
      </c>
      <c r="CV697" s="26" t="n">
        <f aca="false">(CS697+CR697)/2</f>
        <v>38.8571428571429</v>
      </c>
      <c r="CW697" s="25" t="n">
        <f aca="false">RANK(CV697,$CV$2:$CV$881,0)</f>
        <v>724</v>
      </c>
      <c r="CX697" s="50" t="n">
        <f aca="false">(CV697+BB697)/2</f>
        <v>57.1785714285714</v>
      </c>
      <c r="CY697" s="50" t="n">
        <v>661</v>
      </c>
      <c r="CZ697" s="27" t="s">
        <v>132</v>
      </c>
      <c r="DA697" s="27" t="s">
        <v>153</v>
      </c>
      <c r="DB697" s="27" t="s">
        <v>153</v>
      </c>
      <c r="DC697" s="27" t="s">
        <v>134</v>
      </c>
      <c r="DD697" s="27" t="s">
        <v>135</v>
      </c>
      <c r="DE697" s="27" t="s">
        <v>136</v>
      </c>
      <c r="DF697" s="27" t="s">
        <v>133</v>
      </c>
      <c r="DG697" s="27" t="s">
        <v>134</v>
      </c>
      <c r="DH697" s="27" t="s">
        <v>135</v>
      </c>
      <c r="DI697" s="27" t="s">
        <v>161</v>
      </c>
      <c r="DJ697" s="27" t="s">
        <v>202</v>
      </c>
      <c r="DK697" s="27" t="s">
        <v>134</v>
      </c>
      <c r="DL697" s="27" t="s">
        <v>164</v>
      </c>
      <c r="DM697" s="27" t="s">
        <v>220</v>
      </c>
      <c r="DN697" s="27" t="s">
        <v>169</v>
      </c>
      <c r="DO697" s="27" t="s">
        <v>134</v>
      </c>
      <c r="DP697" s="27"/>
      <c r="DQ697" s="27"/>
      <c r="DR697" s="27"/>
      <c r="DS697" s="27"/>
      <c r="DT697" s="27" t="s">
        <v>182</v>
      </c>
      <c r="DU697" s="27" t="s">
        <v>897</v>
      </c>
      <c r="DV697" s="27" t="s">
        <v>141</v>
      </c>
      <c r="DW697" s="27" t="s">
        <v>160</v>
      </c>
      <c r="DX697" s="27" t="s">
        <v>155</v>
      </c>
      <c r="DY697" s="27" t="s">
        <v>145</v>
      </c>
      <c r="DZ697" s="27" t="n">
        <f aca="false">DY697+DV697+DR697+DN697+DJ697+DF697+DB697</f>
        <v>512</v>
      </c>
      <c r="EA697" s="28" t="n">
        <f aca="false">DZ697/7</f>
        <v>73.1428571428571</v>
      </c>
      <c r="EB697" s="27" t="n">
        <f aca="false">RANK(EA697,$EA$2:$EA$881,0)</f>
        <v>592</v>
      </c>
      <c r="EC697" s="29" t="n">
        <f aca="false">DZ697+CQ697+CP697+AZ697</f>
        <v>1811</v>
      </c>
      <c r="ED697" s="30" t="n">
        <f aca="false">(EA697+CV697+BB697)/3</f>
        <v>62.5</v>
      </c>
      <c r="EE697" s="51" t="n">
        <f aca="false">ROUND(BE697,3)</f>
        <v>85.053</v>
      </c>
      <c r="EF697" s="51" t="n">
        <f aca="false">ROUND(CR697,3)</f>
        <v>77.714</v>
      </c>
      <c r="EG697" s="51" t="n">
        <f aca="false">ROUND(CS697,3)</f>
        <v>0</v>
      </c>
      <c r="EH697" s="51" t="n">
        <f aca="false">ROUND(EA697,3)</f>
        <v>73.143</v>
      </c>
      <c r="EI697" s="51" t="n">
        <f aca="false">ROUND(ED697,3)</f>
        <v>62.5</v>
      </c>
      <c r="EJ697" s="51" t="n">
        <f aca="false">ROUND(CV697,3)</f>
        <v>38.857</v>
      </c>
      <c r="EK697" s="0" t="n">
        <f aca="false">RANK(EI697,$EI$2:$EI$881,0)</f>
        <v>696</v>
      </c>
    </row>
    <row r="698" customFormat="false" ht="15" hidden="false" customHeight="false" outlineLevel="0" collapsed="false">
      <c r="A698" s="4" t="n">
        <v>8724</v>
      </c>
      <c r="B698" s="4" t="n">
        <v>104</v>
      </c>
      <c r="C698" s="27" t="s">
        <v>2007</v>
      </c>
      <c r="D698" s="52" t="n">
        <v>104</v>
      </c>
      <c r="E698" s="109" t="n">
        <v>230315105</v>
      </c>
      <c r="F698" s="110" t="s">
        <v>2008</v>
      </c>
      <c r="G698" s="109" t="s">
        <v>2009</v>
      </c>
      <c r="H698" s="109" t="s">
        <v>129</v>
      </c>
      <c r="I698" s="19" t="n">
        <v>2005</v>
      </c>
      <c r="J698" s="111" t="n">
        <v>69</v>
      </c>
      <c r="K698" s="111" t="n">
        <v>55</v>
      </c>
      <c r="L698" s="112" t="n">
        <f aca="false">(K698*70)/100</f>
        <v>38.5</v>
      </c>
      <c r="M698" s="112" t="n">
        <f aca="false">ROUNDUP(L698,0)</f>
        <v>39</v>
      </c>
      <c r="N698" s="111" t="n">
        <v>23</v>
      </c>
      <c r="O698" s="112" t="n">
        <f aca="false">N698+L698</f>
        <v>61.5</v>
      </c>
      <c r="P698" s="112" t="n">
        <f aca="false">N698+M698</f>
        <v>62</v>
      </c>
      <c r="Q698" s="113" t="n">
        <v>49</v>
      </c>
      <c r="R698" s="111" t="n">
        <v>66</v>
      </c>
      <c r="S698" s="112" t="n">
        <f aca="false">(R698*70)/100</f>
        <v>46.2</v>
      </c>
      <c r="T698" s="112" t="n">
        <f aca="false">ROUNDUP(S698,0)</f>
        <v>47</v>
      </c>
      <c r="U698" s="111" t="n">
        <v>14</v>
      </c>
      <c r="V698" s="112" t="n">
        <f aca="false">U698+S698</f>
        <v>60.2</v>
      </c>
      <c r="W698" s="112" t="n">
        <f aca="false">U698+T698</f>
        <v>61</v>
      </c>
      <c r="X698" s="111" t="n">
        <v>62</v>
      </c>
      <c r="Y698" s="112" t="n">
        <f aca="false">(X698*70)/100</f>
        <v>43.4</v>
      </c>
      <c r="Z698" s="112" t="n">
        <f aca="false">ROUNDUP(Y698,0)</f>
        <v>44</v>
      </c>
      <c r="AA698" s="111" t="n">
        <v>21</v>
      </c>
      <c r="AB698" s="112" t="n">
        <f aca="false">AA698+Y698</f>
        <v>64.4</v>
      </c>
      <c r="AC698" s="112" t="n">
        <f aca="false">AA698+Z698</f>
        <v>65</v>
      </c>
      <c r="AD698" s="111" t="n">
        <f aca="false">X698+R698+Q698+K698+J698</f>
        <v>301</v>
      </c>
      <c r="AE698" s="114" t="n">
        <v>55.6</v>
      </c>
      <c r="AF698" s="19" t="n">
        <v>54</v>
      </c>
      <c r="AG698" s="19" t="n">
        <v>62</v>
      </c>
      <c r="AH698" s="19" t="n">
        <v>86</v>
      </c>
      <c r="AI698" s="19" t="n">
        <v>53</v>
      </c>
      <c r="AJ698" s="19" t="n">
        <f aca="false">(AI698*70)/100</f>
        <v>37.1</v>
      </c>
      <c r="AK698" s="115" t="n">
        <f aca="false">ROUNDUP(AJ698,0)</f>
        <v>38</v>
      </c>
      <c r="AL698" s="19" t="n">
        <v>24</v>
      </c>
      <c r="AM698" s="19" t="n">
        <f aca="false">AL698+AJ698</f>
        <v>61.1</v>
      </c>
      <c r="AN698" s="19" t="n">
        <f aca="false">AL698+AK698</f>
        <v>62</v>
      </c>
      <c r="AO698" s="19" t="n">
        <v>61</v>
      </c>
      <c r="AP698" s="116" t="n">
        <f aca="false">(AO698*70)/100</f>
        <v>42.7</v>
      </c>
      <c r="AQ698" s="117" t="n">
        <f aca="false">ROUNDUP(AP698,0)</f>
        <v>43</v>
      </c>
      <c r="AR698" s="19" t="n">
        <v>25</v>
      </c>
      <c r="AS698" s="19" t="n">
        <f aca="false">AR698+AP698</f>
        <v>67.7</v>
      </c>
      <c r="AT698" s="19" t="n">
        <f aca="false">AR698+AQ698</f>
        <v>68</v>
      </c>
      <c r="AU698" s="19" t="n">
        <f aca="false">AO698+AF698+AI698+AH698+AG698</f>
        <v>316</v>
      </c>
      <c r="AV698" s="19" t="n">
        <f aca="false">(AO698+AF698+AI698+AH698+AG698)/5</f>
        <v>63.2</v>
      </c>
      <c r="AW698" s="116" t="n">
        <f aca="false">(AO698+AF698+AI698+AH698+AG698+X698+R698+Q698+K698+J698)</f>
        <v>617</v>
      </c>
      <c r="AX698" s="16" t="n">
        <f aca="false">AW698/10</f>
        <v>61.7</v>
      </c>
      <c r="AY698" s="16" t="n">
        <f aca="false">AS698+AF698+AM698+AH698+AG698+AB698+V698+Q698+O698+J698</f>
        <v>634.9</v>
      </c>
      <c r="AZ698" s="16" t="n">
        <f aca="false">AT698+AF698+AN698+AH698+AG698+AC698+W698+Q698+P698+J698</f>
        <v>638</v>
      </c>
      <c r="BA698" s="16" t="n">
        <f aca="false">AY698/10</f>
        <v>63.49</v>
      </c>
      <c r="BB698" s="16" t="n">
        <f aca="false">AZ698/10</f>
        <v>63.8</v>
      </c>
      <c r="BC698" s="16" t="n">
        <v>2148</v>
      </c>
      <c r="BD698" s="16" t="n">
        <f aca="false">RANK(AX698,$AX$2:$AX$881,0)</f>
        <v>795</v>
      </c>
      <c r="BE698" s="123" t="n">
        <f aca="false">((BC698*100)/2400)*0.4+(AX698*0.6)</f>
        <v>72.82</v>
      </c>
      <c r="BF698" s="16" t="n">
        <f aca="false">RANK(BE698,$BE$2:$BE$881,0)</f>
        <v>779</v>
      </c>
      <c r="BG698" s="39" t="n">
        <f aca="false">RANK(BB698,$BB$2:$BB$881,0)</f>
        <v>790</v>
      </c>
      <c r="BH698" s="39" t="n">
        <f aca="false">RANK(BC698,$BC$2:$BC$881,0)</f>
        <v>773</v>
      </c>
      <c r="BI698" s="19" t="s">
        <v>130</v>
      </c>
      <c r="BJ698" s="19" t="s">
        <v>129</v>
      </c>
      <c r="BK698" s="109" t="s">
        <v>1596</v>
      </c>
      <c r="BL698" s="98" t="n">
        <v>5</v>
      </c>
      <c r="BM698" s="41" t="n">
        <v>36</v>
      </c>
      <c r="BN698" s="98" t="n">
        <v>41</v>
      </c>
      <c r="BO698" s="42" t="n">
        <v>19</v>
      </c>
      <c r="BP698" s="43" t="n">
        <v>46</v>
      </c>
      <c r="BQ698" s="44" t="n">
        <v>65</v>
      </c>
      <c r="BR698" s="42" t="n">
        <v>12</v>
      </c>
      <c r="BS698" s="45" t="n">
        <v>49</v>
      </c>
      <c r="BT698" s="45" t="n">
        <v>61</v>
      </c>
      <c r="BU698" s="46" t="n">
        <v>95</v>
      </c>
      <c r="BV698" s="47" t="n">
        <v>60</v>
      </c>
      <c r="BW698" s="42" t="n">
        <v>98</v>
      </c>
      <c r="BX698" s="48" t="n">
        <v>84</v>
      </c>
      <c r="BY698" s="32" t="n">
        <v>18</v>
      </c>
      <c r="BZ698" s="32" t="n">
        <v>42</v>
      </c>
      <c r="CA698" s="32" t="n">
        <v>60</v>
      </c>
      <c r="CB698" s="32" t="n">
        <v>18</v>
      </c>
      <c r="CC698" s="32" t="n">
        <v>29</v>
      </c>
      <c r="CD698" s="69" t="n">
        <v>47</v>
      </c>
      <c r="CE698" s="32" t="n">
        <v>17</v>
      </c>
      <c r="CF698" s="32" t="n">
        <v>27</v>
      </c>
      <c r="CG698" s="69" t="n">
        <v>44</v>
      </c>
      <c r="CH698" s="32" t="n">
        <v>82</v>
      </c>
      <c r="CI698" s="32" t="n">
        <v>68</v>
      </c>
      <c r="CJ698" s="83" t="n">
        <v>10</v>
      </c>
      <c r="CK698" s="60"/>
      <c r="CL698" s="61"/>
      <c r="CM698" s="49" t="n">
        <v>18</v>
      </c>
      <c r="CN698" s="49" t="n">
        <v>45</v>
      </c>
      <c r="CO698" s="49" t="n">
        <v>63</v>
      </c>
      <c r="CP698" s="25" t="n">
        <f aca="false">BX698+BW698+BV698+BU698+BT698+BQ698+BN698</f>
        <v>504</v>
      </c>
      <c r="CQ698" s="25" t="n">
        <f aca="false">CO698+CL698+CI698+CH698+CG698+CD698+CA698</f>
        <v>364</v>
      </c>
      <c r="CR698" s="26" t="n">
        <f aca="false">CP698/7</f>
        <v>72</v>
      </c>
      <c r="CS698" s="26" t="n">
        <f aca="false">CQ698/7</f>
        <v>52</v>
      </c>
      <c r="CT698" s="24" t="n">
        <f aca="false">RANK(CR698,$CR$2:$CR$881,0)</f>
        <v>670</v>
      </c>
      <c r="CU698" s="25" t="n">
        <f aca="false">RANK(CS698,$CS$2:$CS$881,0)</f>
        <v>715</v>
      </c>
      <c r="CV698" s="26" t="n">
        <f aca="false">(CS698+CR698)/2</f>
        <v>62</v>
      </c>
      <c r="CW698" s="25" t="n">
        <f aca="false">RANK(CV698,$CV$2:$CV$881,0)</f>
        <v>690</v>
      </c>
      <c r="CX698" s="50" t="n">
        <f aca="false">(CV698+BB698)/2</f>
        <v>62.9</v>
      </c>
      <c r="CY698" s="50" t="n">
        <v>634</v>
      </c>
      <c r="CZ698" s="27" t="s">
        <v>132</v>
      </c>
      <c r="DA698" s="27" t="s">
        <v>155</v>
      </c>
      <c r="DB698" s="27" t="s">
        <v>155</v>
      </c>
      <c r="DC698" s="27" t="s">
        <v>134</v>
      </c>
      <c r="DD698" s="27" t="s">
        <v>706</v>
      </c>
      <c r="DE698" s="27" t="s">
        <v>673</v>
      </c>
      <c r="DF698" s="27" t="s">
        <v>220</v>
      </c>
      <c r="DG698" s="27" t="s">
        <v>480</v>
      </c>
      <c r="DH698" s="27" t="s">
        <v>137</v>
      </c>
      <c r="DI698" s="27" t="s">
        <v>906</v>
      </c>
      <c r="DJ698" s="27" t="s">
        <v>152</v>
      </c>
      <c r="DK698" s="27" t="s">
        <v>134</v>
      </c>
      <c r="DL698" s="27" t="s">
        <v>191</v>
      </c>
      <c r="DM698" s="27" t="s">
        <v>479</v>
      </c>
      <c r="DN698" s="27" t="s">
        <v>204</v>
      </c>
      <c r="DO698" s="27" t="s">
        <v>480</v>
      </c>
      <c r="DP698" s="27" t="s">
        <v>485</v>
      </c>
      <c r="DQ698" s="27" t="s">
        <v>164</v>
      </c>
      <c r="DR698" s="27" t="s">
        <v>645</v>
      </c>
      <c r="DS698" s="27" t="s">
        <v>480</v>
      </c>
      <c r="DT698" s="27" t="s">
        <v>174</v>
      </c>
      <c r="DU698" s="27" t="s">
        <v>135</v>
      </c>
      <c r="DV698" s="27" t="s">
        <v>415</v>
      </c>
      <c r="DW698" s="27" t="s">
        <v>135</v>
      </c>
      <c r="DX698" s="27" t="s">
        <v>163</v>
      </c>
      <c r="DY698" s="27" t="s">
        <v>153</v>
      </c>
      <c r="DZ698" s="27" t="n">
        <f aca="false">DY698+DV698+DR698+DN698+DJ698+DF698+DB698</f>
        <v>430</v>
      </c>
      <c r="EA698" s="28" t="n">
        <f aca="false">DZ698/7</f>
        <v>61.4285714285714</v>
      </c>
      <c r="EB698" s="27" t="n">
        <f aca="false">RANK(EA698,$EA$2:$EA$881,0)</f>
        <v>768</v>
      </c>
      <c r="EC698" s="29" t="n">
        <f aca="false">DZ698+CQ698+CP698+AZ698</f>
        <v>1936</v>
      </c>
      <c r="ED698" s="30" t="n">
        <f aca="false">(EA698+CV698+BB698)/3</f>
        <v>62.4095238095238</v>
      </c>
      <c r="EE698" s="51" t="n">
        <f aca="false">ROUND(BE698,3)</f>
        <v>72.82</v>
      </c>
      <c r="EF698" s="51" t="n">
        <f aca="false">ROUND(CR698,3)</f>
        <v>72</v>
      </c>
      <c r="EG698" s="51" t="n">
        <f aca="false">ROUND(CS698,3)</f>
        <v>52</v>
      </c>
      <c r="EH698" s="51" t="n">
        <f aca="false">ROUND(EA698,3)</f>
        <v>61.429</v>
      </c>
      <c r="EI698" s="51" t="n">
        <f aca="false">ROUND(ED698,3)</f>
        <v>62.41</v>
      </c>
      <c r="EJ698" s="51" t="n">
        <f aca="false">ROUND(CV698,3)</f>
        <v>62</v>
      </c>
      <c r="EK698" s="0" t="n">
        <f aca="false">RANK(EI698,$EI$2:$EI$881,0)</f>
        <v>697</v>
      </c>
    </row>
    <row r="699" customFormat="false" ht="15" hidden="false" customHeight="false" outlineLevel="0" collapsed="false">
      <c r="A699" s="4" t="n">
        <v>1920</v>
      </c>
      <c r="B699" s="4" t="n">
        <v>852</v>
      </c>
      <c r="C699" s="27" t="s">
        <v>2010</v>
      </c>
      <c r="D699" s="31" t="n">
        <v>871</v>
      </c>
      <c r="E699" s="65" t="n">
        <v>230315375</v>
      </c>
      <c r="F699" s="56" t="s">
        <v>2011</v>
      </c>
      <c r="G699" s="63" t="s">
        <v>450</v>
      </c>
      <c r="H699" s="63" t="s">
        <v>465</v>
      </c>
      <c r="I699" s="96"/>
      <c r="J699" s="65" t="n">
        <v>73</v>
      </c>
      <c r="K699" s="65" t="n">
        <v>69</v>
      </c>
      <c r="L699" s="34" t="n">
        <f aca="false">(K699*70)/100</f>
        <v>48.3</v>
      </c>
      <c r="M699" s="34" t="n">
        <f aca="false">ROUNDUP(L699,0)</f>
        <v>49</v>
      </c>
      <c r="N699" s="65" t="n">
        <v>30</v>
      </c>
      <c r="O699" s="34" t="n">
        <f aca="false">N699+L699</f>
        <v>78.3</v>
      </c>
      <c r="P699" s="34" t="n">
        <f aca="false">N699+M699</f>
        <v>79</v>
      </c>
      <c r="Q699" s="65" t="n">
        <v>78</v>
      </c>
      <c r="R699" s="65" t="n">
        <v>74</v>
      </c>
      <c r="S699" s="34" t="n">
        <f aca="false">(R699*70)/100</f>
        <v>51.8</v>
      </c>
      <c r="T699" s="34" t="n">
        <f aca="false">ROUNDUP(S699,0)</f>
        <v>52</v>
      </c>
      <c r="U699" s="65" t="n">
        <v>28</v>
      </c>
      <c r="V699" s="34" t="n">
        <f aca="false">U699+S699</f>
        <v>79.8</v>
      </c>
      <c r="W699" s="34" t="n">
        <f aca="false">U699+T699</f>
        <v>80</v>
      </c>
      <c r="X699" s="65" t="n">
        <v>60</v>
      </c>
      <c r="Y699" s="34" t="n">
        <f aca="false">(X699*70)/100</f>
        <v>42</v>
      </c>
      <c r="Z699" s="34" t="n">
        <f aca="false">ROUNDUP(Y699,0)</f>
        <v>42</v>
      </c>
      <c r="AA699" s="65" t="n">
        <v>29</v>
      </c>
      <c r="AB699" s="34" t="n">
        <f aca="false">AA699+Y699</f>
        <v>71</v>
      </c>
      <c r="AC699" s="34" t="n">
        <f aca="false">AA699+Z699</f>
        <v>71</v>
      </c>
      <c r="AD699" s="32" t="n">
        <f aca="false">X699+R699+Q699+K699+J699</f>
        <v>354</v>
      </c>
      <c r="AE699" s="16" t="n">
        <f aca="false">AD699/5</f>
        <v>70.8</v>
      </c>
      <c r="AF699" s="65" t="n">
        <v>73</v>
      </c>
      <c r="AG699" s="65" t="n">
        <v>80</v>
      </c>
      <c r="AH699" s="65" t="n">
        <v>86</v>
      </c>
      <c r="AI699" s="65" t="n">
        <v>80</v>
      </c>
      <c r="AJ699" s="16" t="n">
        <f aca="false">(AI699*70)/100</f>
        <v>56</v>
      </c>
      <c r="AK699" s="35" t="n">
        <f aca="false">ROUNDUP(AJ699,0)</f>
        <v>56</v>
      </c>
      <c r="AL699" s="65" t="n">
        <v>28</v>
      </c>
      <c r="AM699" s="16" t="n">
        <f aca="false">AL699+AJ699</f>
        <v>84</v>
      </c>
      <c r="AN699" s="16" t="n">
        <f aca="false">AL699+AK699</f>
        <v>84</v>
      </c>
      <c r="AO699" s="65" t="n">
        <v>80</v>
      </c>
      <c r="AP699" s="36" t="n">
        <f aca="false">(AO699*70)/100</f>
        <v>56</v>
      </c>
      <c r="AQ699" s="37" t="n">
        <f aca="false">ROUNDUP(AP699,0)</f>
        <v>56</v>
      </c>
      <c r="AR699" s="65" t="n">
        <v>26</v>
      </c>
      <c r="AS699" s="16" t="n">
        <f aca="false">AR699+AP699</f>
        <v>82</v>
      </c>
      <c r="AT699" s="16" t="n">
        <f aca="false">AR699+AQ699</f>
        <v>82</v>
      </c>
      <c r="AU699" s="16" t="n">
        <f aca="false">AO699+AF699+AI699+AH699+AG699</f>
        <v>399</v>
      </c>
      <c r="AV699" s="16" t="n">
        <f aca="false">(AO699+AF699+AI699+AH699+AG699)/5</f>
        <v>79.8</v>
      </c>
      <c r="AW699" s="36" t="n">
        <f aca="false">(AO699+AF699+AI699+AH699+AG699+X699+R699+Q699+K699+J699)</f>
        <v>753</v>
      </c>
      <c r="AX699" s="16" t="n">
        <f aca="false">AW699/10</f>
        <v>75.3</v>
      </c>
      <c r="AY699" s="16" t="n">
        <f aca="false">AS699+AF699+AM699+AH699+AG699+AB699+V699+Q699+O699+J699</f>
        <v>785.1</v>
      </c>
      <c r="AZ699" s="16" t="n">
        <f aca="false">AT699+AF699+AN699+AH699+AG699+AC699+W699+Q699+P699+J699</f>
        <v>786</v>
      </c>
      <c r="BA699" s="16" t="n">
        <f aca="false">AY699/10</f>
        <v>78.51</v>
      </c>
      <c r="BB699" s="16" t="n">
        <f aca="false">AZ699/10</f>
        <v>78.6</v>
      </c>
      <c r="BC699" s="65" t="n">
        <v>2379</v>
      </c>
      <c r="BD699" s="16" t="n">
        <f aca="false">RANK(AX699,$AX$2:$AX$881,0)</f>
        <v>671</v>
      </c>
      <c r="BE699" s="73" t="n">
        <f aca="false">((BC699*100)/2400)*0.4+(AX699*0.6)</f>
        <v>84.83</v>
      </c>
      <c r="BF699" s="16" t="n">
        <f aca="false">RANK(BE699,$BE$2:$BE$881,0)</f>
        <v>649</v>
      </c>
      <c r="BG699" s="39" t="n">
        <f aca="false">RANK(BB699,$BB$2:$BB$881,0)</f>
        <v>494</v>
      </c>
      <c r="BH699" s="39" t="n">
        <f aca="false">RANK(BC699,$BC$2:$BC$881,0)</f>
        <v>160</v>
      </c>
      <c r="BI699" s="63" t="s">
        <v>130</v>
      </c>
      <c r="BJ699" s="22" t="s">
        <v>129</v>
      </c>
      <c r="BK699" s="22" t="s">
        <v>509</v>
      </c>
      <c r="BL699" s="41" t="n">
        <v>18</v>
      </c>
      <c r="BM699" s="41" t="n">
        <v>57</v>
      </c>
      <c r="BN699" s="41" t="n">
        <v>75</v>
      </c>
      <c r="BO699" s="42" t="n">
        <v>23</v>
      </c>
      <c r="BP699" s="43" t="n">
        <v>50</v>
      </c>
      <c r="BQ699" s="44" t="n">
        <v>73</v>
      </c>
      <c r="BR699" s="42" t="n">
        <v>19</v>
      </c>
      <c r="BS699" s="45" t="n">
        <v>49</v>
      </c>
      <c r="BT699" s="45" t="n">
        <v>68</v>
      </c>
      <c r="BU699" s="46" t="n">
        <v>100</v>
      </c>
      <c r="BV699" s="47" t="n">
        <v>92</v>
      </c>
      <c r="BW699" s="42" t="n">
        <v>98</v>
      </c>
      <c r="BX699" s="107"/>
      <c r="BY699" s="130"/>
      <c r="BZ699" s="60"/>
      <c r="CA699" s="60"/>
      <c r="CB699" s="61"/>
      <c r="CC699" s="60"/>
      <c r="CD699" s="60"/>
      <c r="CE699" s="60"/>
      <c r="CF699" s="60"/>
      <c r="CG699" s="60"/>
      <c r="CH699" s="60"/>
      <c r="CI699" s="60"/>
      <c r="CJ699" s="60"/>
      <c r="CK699" s="60"/>
      <c r="CL699" s="61"/>
      <c r="CM699" s="60"/>
      <c r="CN699" s="60"/>
      <c r="CO699" s="60"/>
      <c r="CP699" s="25" t="n">
        <f aca="false">BX699+BW699+BV699+BU699+BT699+BQ699+BN699</f>
        <v>506</v>
      </c>
      <c r="CQ699" s="25" t="n">
        <f aca="false">CO699+CL699+CI699+CH699+CG699+CD699+CA699</f>
        <v>0</v>
      </c>
      <c r="CR699" s="26" t="n">
        <f aca="false">CP699/7</f>
        <v>72.2857142857143</v>
      </c>
      <c r="CS699" s="26" t="n">
        <f aca="false">CQ699/7</f>
        <v>0</v>
      </c>
      <c r="CT699" s="24" t="n">
        <f aca="false">RANK(CR699,$CR$2:$CR$881,0)</f>
        <v>669</v>
      </c>
      <c r="CU699" s="25" t="n">
        <f aca="false">RANK(CS699,$CS$2:$CS$881,0)</f>
        <v>752</v>
      </c>
      <c r="CV699" s="26" t="n">
        <f aca="false">(CS699+CR699)/2</f>
        <v>36.1428571428571</v>
      </c>
      <c r="CW699" s="25" t="n">
        <f aca="false">RANK(CV699,$CV$2:$CV$881,0)</f>
        <v>733</v>
      </c>
      <c r="CX699" s="50" t="n">
        <f aca="false">(CV699+BB699)/2</f>
        <v>57.3714285714286</v>
      </c>
      <c r="CY699" s="50" t="n">
        <v>659</v>
      </c>
      <c r="CZ699" s="27" t="s">
        <v>132</v>
      </c>
      <c r="DA699" s="27" t="s">
        <v>202</v>
      </c>
      <c r="DB699" s="27" t="s">
        <v>202</v>
      </c>
      <c r="DC699" s="27" t="s">
        <v>134</v>
      </c>
      <c r="DD699" s="27" t="s">
        <v>154</v>
      </c>
      <c r="DE699" s="27" t="s">
        <v>313</v>
      </c>
      <c r="DF699" s="27" t="s">
        <v>441</v>
      </c>
      <c r="DG699" s="27" t="s">
        <v>134</v>
      </c>
      <c r="DH699" s="27" t="s">
        <v>164</v>
      </c>
      <c r="DI699" s="27" t="s">
        <v>412</v>
      </c>
      <c r="DJ699" s="27" t="s">
        <v>305</v>
      </c>
      <c r="DK699" s="27" t="s">
        <v>134</v>
      </c>
      <c r="DL699" s="27" t="s">
        <v>264</v>
      </c>
      <c r="DM699" s="27" t="s">
        <v>638</v>
      </c>
      <c r="DN699" s="27" t="s">
        <v>152</v>
      </c>
      <c r="DO699" s="27" t="s">
        <v>134</v>
      </c>
      <c r="DP699" s="27" t="s">
        <v>706</v>
      </c>
      <c r="DQ699" s="27" t="s">
        <v>638</v>
      </c>
      <c r="DR699" s="27" t="s">
        <v>177</v>
      </c>
      <c r="DS699" s="27" t="s">
        <v>134</v>
      </c>
      <c r="DT699" s="27" t="s">
        <v>154</v>
      </c>
      <c r="DU699" s="27" t="s">
        <v>1064</v>
      </c>
      <c r="DV699" s="27" t="s">
        <v>204</v>
      </c>
      <c r="DW699" s="27" t="s">
        <v>264</v>
      </c>
      <c r="DX699" s="27" t="s">
        <v>304</v>
      </c>
      <c r="DY699" s="27" t="s">
        <v>486</v>
      </c>
      <c r="DZ699" s="27" t="n">
        <f aca="false">DY699+DV699+DR699+DN699+DJ699+DF699+DB699</f>
        <v>495</v>
      </c>
      <c r="EA699" s="28" t="n">
        <f aca="false">DZ699/7</f>
        <v>70.7142857142857</v>
      </c>
      <c r="EB699" s="27" t="n">
        <f aca="false">RANK(EA699,$EA$2:$EA$881,0)</f>
        <v>638</v>
      </c>
      <c r="EC699" s="29" t="n">
        <f aca="false">DZ699+CQ699+CP699+AZ699</f>
        <v>1787</v>
      </c>
      <c r="ED699" s="30" t="n">
        <f aca="false">(EA699+CV699+BB699)/3</f>
        <v>61.8190476190476</v>
      </c>
      <c r="EE699" s="51" t="n">
        <f aca="false">ROUND(BE699,3)</f>
        <v>84.83</v>
      </c>
      <c r="EF699" s="51" t="n">
        <f aca="false">ROUND(CR699,3)</f>
        <v>72.286</v>
      </c>
      <c r="EG699" s="51" t="n">
        <f aca="false">ROUND(CS699,3)</f>
        <v>0</v>
      </c>
      <c r="EH699" s="51" t="n">
        <f aca="false">ROUND(EA699,3)</f>
        <v>70.714</v>
      </c>
      <c r="EI699" s="51" t="n">
        <f aca="false">ROUND(ED699,3)</f>
        <v>61.819</v>
      </c>
      <c r="EJ699" s="51" t="n">
        <f aca="false">ROUND(CV699,3)</f>
        <v>36.143</v>
      </c>
      <c r="EK699" s="0" t="n">
        <f aca="false">RANK(EI699,$EI$2:$EI$881,0)</f>
        <v>698</v>
      </c>
    </row>
    <row r="700" customFormat="false" ht="15" hidden="false" customHeight="false" outlineLevel="0" collapsed="false">
      <c r="A700" s="4" t="n">
        <v>8666</v>
      </c>
      <c r="B700" s="4" t="n">
        <v>790</v>
      </c>
      <c r="C700" s="27" t="s">
        <v>2012</v>
      </c>
      <c r="D700" s="31" t="n">
        <v>809</v>
      </c>
      <c r="E700" s="16" t="n">
        <v>230514070</v>
      </c>
      <c r="F700" s="56" t="s">
        <v>2013</v>
      </c>
      <c r="G700" s="22" t="s">
        <v>573</v>
      </c>
      <c r="H700" s="22" t="s">
        <v>465</v>
      </c>
      <c r="I700" s="57"/>
      <c r="J700" s="16" t="n">
        <v>78</v>
      </c>
      <c r="K700" s="16" t="n">
        <v>66</v>
      </c>
      <c r="L700" s="34" t="n">
        <f aca="false">(K700*70)/100</f>
        <v>46.2</v>
      </c>
      <c r="M700" s="34" t="n">
        <f aca="false">ROUNDUP(L700,0)</f>
        <v>47</v>
      </c>
      <c r="N700" s="16" t="n">
        <v>29</v>
      </c>
      <c r="O700" s="34" t="n">
        <f aca="false">N700+L700</f>
        <v>75.2</v>
      </c>
      <c r="P700" s="34" t="n">
        <f aca="false">N700+M700</f>
        <v>76</v>
      </c>
      <c r="Q700" s="16" t="n">
        <v>80</v>
      </c>
      <c r="R700" s="16" t="n">
        <v>79</v>
      </c>
      <c r="S700" s="34" t="n">
        <f aca="false">(R700*70)/100</f>
        <v>55.3</v>
      </c>
      <c r="T700" s="34" t="n">
        <f aca="false">ROUNDUP(S700,0)</f>
        <v>56</v>
      </c>
      <c r="U700" s="16" t="n">
        <v>29</v>
      </c>
      <c r="V700" s="34" t="n">
        <f aca="false">U700+S700</f>
        <v>84.3</v>
      </c>
      <c r="W700" s="34" t="n">
        <f aca="false">U700+T700</f>
        <v>85</v>
      </c>
      <c r="X700" s="16" t="n">
        <v>77</v>
      </c>
      <c r="Y700" s="34" t="n">
        <f aca="false">(X700*70)/100</f>
        <v>53.9</v>
      </c>
      <c r="Z700" s="34" t="n">
        <f aca="false">ROUNDUP(Y700,0)</f>
        <v>54</v>
      </c>
      <c r="AA700" s="16" t="n">
        <v>28</v>
      </c>
      <c r="AB700" s="34" t="n">
        <f aca="false">AA700+Y700</f>
        <v>81.9</v>
      </c>
      <c r="AC700" s="34" t="n">
        <f aca="false">AA700+Z700</f>
        <v>82</v>
      </c>
      <c r="AD700" s="32" t="n">
        <f aca="false">X700+R700+Q700+K700+J700</f>
        <v>380</v>
      </c>
      <c r="AE700" s="16" t="n">
        <f aca="false">AD700/5</f>
        <v>76</v>
      </c>
      <c r="AF700" s="16" t="n">
        <v>82</v>
      </c>
      <c r="AG700" s="16" t="n">
        <v>78</v>
      </c>
      <c r="AH700" s="16" t="n">
        <v>94</v>
      </c>
      <c r="AI700" s="16" t="n">
        <v>96</v>
      </c>
      <c r="AJ700" s="16" t="n">
        <f aca="false">(AI700*70)/100</f>
        <v>67.2</v>
      </c>
      <c r="AK700" s="35" t="n">
        <f aca="false">ROUNDUP(AJ700,0)</f>
        <v>68</v>
      </c>
      <c r="AL700" s="16" t="n">
        <v>28</v>
      </c>
      <c r="AM700" s="16" t="n">
        <f aca="false">AL700+AJ700</f>
        <v>95.2</v>
      </c>
      <c r="AN700" s="16" t="n">
        <f aca="false">AL700+AK700</f>
        <v>96</v>
      </c>
      <c r="AO700" s="16" t="n">
        <v>68</v>
      </c>
      <c r="AP700" s="36" t="n">
        <f aca="false">(AO700*70)/100</f>
        <v>47.6</v>
      </c>
      <c r="AQ700" s="37" t="n">
        <f aca="false">ROUNDUP(AP700,0)</f>
        <v>48</v>
      </c>
      <c r="AR700" s="16" t="n">
        <v>30</v>
      </c>
      <c r="AS700" s="16" t="n">
        <f aca="false">AR700+AP700</f>
        <v>77.6</v>
      </c>
      <c r="AT700" s="16" t="n">
        <f aca="false">AR700+AQ700</f>
        <v>78</v>
      </c>
      <c r="AU700" s="16" t="n">
        <f aca="false">AO700+AF700+AI700+AH700+AG700</f>
        <v>418</v>
      </c>
      <c r="AV700" s="16" t="n">
        <f aca="false">(AO700+AF700+AI700+AH700+AG700)/5</f>
        <v>83.6</v>
      </c>
      <c r="AW700" s="36" t="n">
        <f aca="false">(AO700+AF700+AI700+AH700+AG700+X700+R700+Q700+K700+J700)</f>
        <v>798</v>
      </c>
      <c r="AX700" s="16" t="n">
        <f aca="false">AW700/10</f>
        <v>79.8</v>
      </c>
      <c r="AY700" s="16" t="n">
        <f aca="false">AS700+AF700+AM700+AH700+AG700+AB700+V700+Q700+O700+J700</f>
        <v>826.2</v>
      </c>
      <c r="AZ700" s="16" t="n">
        <f aca="false">AT700+AF700+AN700+AH700+AG700+AC700+W700+Q700+P700+J700</f>
        <v>829</v>
      </c>
      <c r="BA700" s="16" t="n">
        <f aca="false">AY700/10</f>
        <v>82.62</v>
      </c>
      <c r="BB700" s="16" t="n">
        <f aca="false">AZ700/10</f>
        <v>82.9</v>
      </c>
      <c r="BC700" s="16" t="n">
        <v>2391</v>
      </c>
      <c r="BD700" s="16" t="n">
        <f aca="false">RANK(AX700,$AX$2:$AX$881,0)</f>
        <v>281</v>
      </c>
      <c r="BE700" s="54" t="n">
        <f aca="false">((BC700*100)/2400)*0.4+(AX700*0.6)</f>
        <v>87.73</v>
      </c>
      <c r="BF700" s="16" t="n">
        <f aca="false">RANK(BE700,$BE$2:$BE$881,0)</f>
        <v>228</v>
      </c>
      <c r="BG700" s="39" t="n">
        <f aca="false">RANK(BB700,$BB$2:$BB$881,0)</f>
        <v>166</v>
      </c>
      <c r="BH700" s="39" t="n">
        <f aca="false">RANK(BC700,$BC$2:$BC$881,0)</f>
        <v>37</v>
      </c>
      <c r="BI700" s="22" t="s">
        <v>130</v>
      </c>
      <c r="BJ700" s="22" t="s">
        <v>129</v>
      </c>
      <c r="BK700" s="40" t="s">
        <v>131</v>
      </c>
      <c r="BL700" s="41" t="n">
        <v>20</v>
      </c>
      <c r="BM700" s="41" t="n">
        <v>61</v>
      </c>
      <c r="BN700" s="41" t="n">
        <v>81</v>
      </c>
      <c r="BO700" s="42" t="n">
        <v>28</v>
      </c>
      <c r="BP700" s="43" t="n">
        <v>56</v>
      </c>
      <c r="BQ700" s="44" t="n">
        <v>84</v>
      </c>
      <c r="BR700" s="42" t="n">
        <v>24</v>
      </c>
      <c r="BS700" s="45" t="n">
        <v>56</v>
      </c>
      <c r="BT700" s="45" t="n">
        <v>80</v>
      </c>
      <c r="BU700" s="46" t="n">
        <v>100</v>
      </c>
      <c r="BV700" s="47" t="n">
        <v>86</v>
      </c>
      <c r="BW700" s="42" t="n">
        <v>96</v>
      </c>
      <c r="BX700" s="107"/>
      <c r="BY700" s="130"/>
      <c r="BZ700" s="60"/>
      <c r="CA700" s="60"/>
      <c r="CB700" s="61"/>
      <c r="CC700" s="60"/>
      <c r="CD700" s="60"/>
      <c r="CE700" s="60"/>
      <c r="CF700" s="60"/>
      <c r="CG700" s="60"/>
      <c r="CH700" s="60"/>
      <c r="CI700" s="60"/>
      <c r="CJ700" s="60"/>
      <c r="CK700" s="60"/>
      <c r="CL700" s="61"/>
      <c r="CM700" s="60"/>
      <c r="CN700" s="60"/>
      <c r="CO700" s="60"/>
      <c r="CP700" s="25" t="n">
        <f aca="false">BX700+BW700+BV700+BU700+BT700+BQ700+BN700</f>
        <v>527</v>
      </c>
      <c r="CQ700" s="25" t="n">
        <f aca="false">CO700+CL700+CI700+CH700+CG700+CD700+CA700</f>
        <v>0</v>
      </c>
      <c r="CR700" s="26" t="n">
        <f aca="false">CP700/7</f>
        <v>75.2857142857143</v>
      </c>
      <c r="CS700" s="26" t="n">
        <f aca="false">CQ700/7</f>
        <v>0</v>
      </c>
      <c r="CT700" s="24" t="n">
        <f aca="false">RANK(CR700,$CR$2:$CR$881,0)</f>
        <v>644</v>
      </c>
      <c r="CU700" s="25" t="n">
        <f aca="false">RANK(CS700,$CS$2:$CS$881,0)</f>
        <v>752</v>
      </c>
      <c r="CV700" s="26" t="n">
        <f aca="false">(CS700+CR700)/2</f>
        <v>37.6428571428571</v>
      </c>
      <c r="CW700" s="25" t="n">
        <f aca="false">RANK(CV700,$CV$2:$CV$881,0)</f>
        <v>726</v>
      </c>
      <c r="CX700" s="50" t="n">
        <f aca="false">(CV700+BB700)/2</f>
        <v>60.2714285714286</v>
      </c>
      <c r="CY700" s="50" t="n">
        <v>641</v>
      </c>
      <c r="CZ700" s="27" t="s">
        <v>132</v>
      </c>
      <c r="DA700" s="27" t="s">
        <v>176</v>
      </c>
      <c r="DB700" s="27" t="s">
        <v>176</v>
      </c>
      <c r="DC700" s="27" t="s">
        <v>134</v>
      </c>
      <c r="DD700" s="27" t="s">
        <v>164</v>
      </c>
      <c r="DE700" s="27" t="s">
        <v>442</v>
      </c>
      <c r="DF700" s="27" t="s">
        <v>443</v>
      </c>
      <c r="DG700" s="27" t="s">
        <v>134</v>
      </c>
      <c r="DH700" s="27"/>
      <c r="DI700" s="27"/>
      <c r="DJ700" s="27"/>
      <c r="DK700" s="27"/>
      <c r="DL700" s="27" t="s">
        <v>135</v>
      </c>
      <c r="DM700" s="27" t="s">
        <v>415</v>
      </c>
      <c r="DN700" s="27" t="s">
        <v>398</v>
      </c>
      <c r="DO700" s="27" t="s">
        <v>134</v>
      </c>
      <c r="DP700" s="27" t="s">
        <v>386</v>
      </c>
      <c r="DQ700" s="27" t="s">
        <v>897</v>
      </c>
      <c r="DR700" s="27" t="s">
        <v>161</v>
      </c>
      <c r="DS700" s="27" t="s">
        <v>134</v>
      </c>
      <c r="DT700" s="27" t="s">
        <v>137</v>
      </c>
      <c r="DU700" s="27" t="s">
        <v>1388</v>
      </c>
      <c r="DV700" s="27" t="s">
        <v>204</v>
      </c>
      <c r="DW700" s="27" t="s">
        <v>182</v>
      </c>
      <c r="DX700" s="27" t="s">
        <v>155</v>
      </c>
      <c r="DY700" s="27" t="s">
        <v>156</v>
      </c>
      <c r="DZ700" s="27" t="n">
        <f aca="false">DY700+DV700+DR700+DN700+DJ700+DF700+DB700</f>
        <v>454</v>
      </c>
      <c r="EA700" s="28" t="n">
        <f aca="false">DZ700/7</f>
        <v>64.8571428571429</v>
      </c>
      <c r="EB700" s="27" t="n">
        <f aca="false">RANK(EA700,$EA$2:$EA$881,0)</f>
        <v>733</v>
      </c>
      <c r="EC700" s="29" t="n">
        <f aca="false">DZ700+CQ700+CP700+AZ700</f>
        <v>1810</v>
      </c>
      <c r="ED700" s="30" t="n">
        <f aca="false">(EA700+CV700+BB700)/3</f>
        <v>61.8</v>
      </c>
      <c r="EE700" s="51" t="n">
        <f aca="false">ROUND(BE700,3)</f>
        <v>87.73</v>
      </c>
      <c r="EF700" s="51" t="n">
        <f aca="false">ROUND(CR700,3)</f>
        <v>75.286</v>
      </c>
      <c r="EG700" s="51" t="n">
        <f aca="false">ROUND(CS700,3)</f>
        <v>0</v>
      </c>
      <c r="EH700" s="51" t="n">
        <f aca="false">ROUND(EA700,3)</f>
        <v>64.857</v>
      </c>
      <c r="EI700" s="51" t="n">
        <f aca="false">ROUND(ED700,3)</f>
        <v>61.8</v>
      </c>
      <c r="EJ700" s="51" t="n">
        <f aca="false">ROUND(CV700,3)</f>
        <v>37.643</v>
      </c>
      <c r="EK700" s="0" t="n">
        <f aca="false">RANK(EI700,$EI$2:$EI$881,0)</f>
        <v>699</v>
      </c>
    </row>
    <row r="701" customFormat="false" ht="15" hidden="false" customHeight="false" outlineLevel="0" collapsed="false">
      <c r="A701" s="4" t="n">
        <v>1944</v>
      </c>
      <c r="B701" s="4" t="n">
        <v>668</v>
      </c>
      <c r="C701" s="27" t="s">
        <v>2014</v>
      </c>
      <c r="D701" s="31" t="n">
        <v>681</v>
      </c>
      <c r="E701" s="16" t="n">
        <v>230120415</v>
      </c>
      <c r="F701" s="56" t="s">
        <v>2015</v>
      </c>
      <c r="G701" s="22" t="s">
        <v>2016</v>
      </c>
      <c r="H701" s="22" t="s">
        <v>326</v>
      </c>
      <c r="I701" s="57"/>
      <c r="J701" s="16" t="n">
        <v>80</v>
      </c>
      <c r="K701" s="16" t="n">
        <v>64</v>
      </c>
      <c r="L701" s="34" t="n">
        <f aca="false">(K701*70)/100</f>
        <v>44.8</v>
      </c>
      <c r="M701" s="34" t="n">
        <f aca="false">ROUNDUP(L701,0)</f>
        <v>45</v>
      </c>
      <c r="N701" s="16" t="n">
        <v>28</v>
      </c>
      <c r="O701" s="34" t="n">
        <f aca="false">N701+L701</f>
        <v>72.8</v>
      </c>
      <c r="P701" s="34" t="n">
        <f aca="false">N701+M701</f>
        <v>73</v>
      </c>
      <c r="Q701" s="16" t="n">
        <v>67</v>
      </c>
      <c r="R701" s="16" t="n">
        <v>75</v>
      </c>
      <c r="S701" s="34" t="n">
        <f aca="false">(R701*70)/100</f>
        <v>52.5</v>
      </c>
      <c r="T701" s="34" t="n">
        <f aca="false">ROUNDUP(S701,0)</f>
        <v>53</v>
      </c>
      <c r="U701" s="16" t="n">
        <v>25</v>
      </c>
      <c r="V701" s="34" t="n">
        <f aca="false">U701+S701</f>
        <v>77.5</v>
      </c>
      <c r="W701" s="34" t="n">
        <f aca="false">U701+T701</f>
        <v>78</v>
      </c>
      <c r="X701" s="16" t="n">
        <v>72</v>
      </c>
      <c r="Y701" s="34" t="n">
        <f aca="false">(X701*70)/100</f>
        <v>50.4</v>
      </c>
      <c r="Z701" s="34" t="n">
        <f aca="false">ROUNDUP(Y701,0)</f>
        <v>51</v>
      </c>
      <c r="AA701" s="16" t="n">
        <v>24</v>
      </c>
      <c r="AB701" s="34" t="n">
        <f aca="false">AA701+Y701</f>
        <v>74.4</v>
      </c>
      <c r="AC701" s="34" t="n">
        <f aca="false">AA701+Z701</f>
        <v>75</v>
      </c>
      <c r="AD701" s="32" t="n">
        <f aca="false">X701+R701+Q701+K701+J701</f>
        <v>358</v>
      </c>
      <c r="AE701" s="16" t="n">
        <f aca="false">AD701/5</f>
        <v>71.6</v>
      </c>
      <c r="AF701" s="16" t="n">
        <v>72</v>
      </c>
      <c r="AG701" s="16" t="n">
        <v>87</v>
      </c>
      <c r="AH701" s="16" t="n">
        <v>79</v>
      </c>
      <c r="AI701" s="16" t="n">
        <v>85</v>
      </c>
      <c r="AJ701" s="16" t="n">
        <f aca="false">(AI701*70)/100</f>
        <v>59.5</v>
      </c>
      <c r="AK701" s="35" t="n">
        <f aca="false">ROUNDUP(AJ701,0)</f>
        <v>60</v>
      </c>
      <c r="AL701" s="16" t="n">
        <v>22</v>
      </c>
      <c r="AM701" s="16" t="n">
        <f aca="false">AL701+AJ701</f>
        <v>81.5</v>
      </c>
      <c r="AN701" s="16" t="n">
        <f aca="false">AL701+AK701</f>
        <v>82</v>
      </c>
      <c r="AO701" s="16" t="n">
        <v>79</v>
      </c>
      <c r="AP701" s="36" t="n">
        <f aca="false">(AO701*70)/100</f>
        <v>55.3</v>
      </c>
      <c r="AQ701" s="37" t="n">
        <f aca="false">ROUNDUP(AP701,0)</f>
        <v>56</v>
      </c>
      <c r="AR701" s="16" t="n">
        <v>26</v>
      </c>
      <c r="AS701" s="16" t="n">
        <f aca="false">AR701+AP701</f>
        <v>81.3</v>
      </c>
      <c r="AT701" s="16" t="n">
        <f aca="false">AR701+AQ701</f>
        <v>82</v>
      </c>
      <c r="AU701" s="16" t="n">
        <f aca="false">AO701+AF701+AI701+AH701+AG701</f>
        <v>402</v>
      </c>
      <c r="AV701" s="16" t="n">
        <f aca="false">(AO701+AF701+AI701+AH701+AG701)/5</f>
        <v>80.4</v>
      </c>
      <c r="AW701" s="36" t="n">
        <f aca="false">(AO701+AF701+AI701+AH701+AG701+X701+R701+Q701+K701+J701)</f>
        <v>760</v>
      </c>
      <c r="AX701" s="16" t="n">
        <f aca="false">AW701/10</f>
        <v>76</v>
      </c>
      <c r="AY701" s="16" t="n">
        <f aca="false">AS701+AF701+AM701+AH701+AG701+AB701+V701+Q701+O701+J701</f>
        <v>772.5</v>
      </c>
      <c r="AZ701" s="16" t="n">
        <f aca="false">AT701+AF701+AN701+AH701+AG701+AC701+W701+Q701+P701+J701</f>
        <v>775</v>
      </c>
      <c r="BA701" s="16" t="n">
        <f aca="false">AY701/10</f>
        <v>77.25</v>
      </c>
      <c r="BB701" s="16" t="n">
        <f aca="false">AZ701/10</f>
        <v>77.5</v>
      </c>
      <c r="BC701" s="16" t="n">
        <v>2368</v>
      </c>
      <c r="BD701" s="16" t="n">
        <f aca="false">RANK(AX701,$AX$2:$AX$881,0)</f>
        <v>616</v>
      </c>
      <c r="BE701" s="54" t="n">
        <f aca="false">((BC701*100)/2400)*0.4+(AX701*0.6)</f>
        <v>85.0666666666667</v>
      </c>
      <c r="BF701" s="16" t="n">
        <f aca="false">RANK(BE701,$BE$2:$BE$881,0)</f>
        <v>601</v>
      </c>
      <c r="BG701" s="39" t="n">
        <f aca="false">RANK(BB701,$BB$2:$BB$881,0)</f>
        <v>603</v>
      </c>
      <c r="BH701" s="39" t="n">
        <f aca="false">RANK(BC701,$BC$2:$BC$881,0)</f>
        <v>295</v>
      </c>
      <c r="BI701" s="22" t="s">
        <v>130</v>
      </c>
      <c r="BJ701" s="22" t="s">
        <v>129</v>
      </c>
      <c r="BK701" s="22" t="s">
        <v>509</v>
      </c>
      <c r="BL701" s="44" t="n">
        <v>12</v>
      </c>
      <c r="BM701" s="44" t="n">
        <v>35</v>
      </c>
      <c r="BN701" s="135" t="n">
        <v>47</v>
      </c>
      <c r="BO701" s="44" t="n">
        <v>17</v>
      </c>
      <c r="BP701" s="43" t="n">
        <v>49</v>
      </c>
      <c r="BQ701" s="44" t="n">
        <v>66</v>
      </c>
      <c r="BR701" s="44" t="n">
        <v>18</v>
      </c>
      <c r="BS701" s="45" t="n">
        <v>36</v>
      </c>
      <c r="BT701" s="85" t="n">
        <v>54</v>
      </c>
      <c r="BU701" s="46" t="n">
        <v>93</v>
      </c>
      <c r="BV701" s="47" t="n">
        <v>96</v>
      </c>
      <c r="BW701" s="44" t="n">
        <v>80</v>
      </c>
      <c r="BX701" s="48" t="n">
        <v>86</v>
      </c>
      <c r="BY701" s="32" t="n">
        <v>17</v>
      </c>
      <c r="BZ701" s="32" t="n">
        <v>43</v>
      </c>
      <c r="CA701" s="32" t="n">
        <v>60</v>
      </c>
      <c r="CB701" s="32" t="n">
        <v>19</v>
      </c>
      <c r="CC701" s="32" t="n">
        <v>28</v>
      </c>
      <c r="CD701" s="69" t="n">
        <v>47</v>
      </c>
      <c r="CE701" s="32" t="n">
        <v>21</v>
      </c>
      <c r="CF701" s="32" t="n">
        <v>34</v>
      </c>
      <c r="CG701" s="69" t="n">
        <v>55</v>
      </c>
      <c r="CH701" s="32" t="n">
        <v>95</v>
      </c>
      <c r="CI701" s="32" t="n">
        <v>75</v>
      </c>
      <c r="CJ701" s="83" t="n">
        <v>10</v>
      </c>
      <c r="CK701" s="60"/>
      <c r="CL701" s="61"/>
      <c r="CM701" s="49" t="n">
        <v>14</v>
      </c>
      <c r="CN701" s="49" t="n">
        <v>49</v>
      </c>
      <c r="CO701" s="49" t="n">
        <v>63</v>
      </c>
      <c r="CP701" s="25" t="n">
        <f aca="false">BX701+BW701+BV701+BU701+BT701+BQ701+BN701</f>
        <v>522</v>
      </c>
      <c r="CQ701" s="25" t="n">
        <f aca="false">CO701+CL701+CI701+CH701+CG701+CD701+CA701</f>
        <v>395</v>
      </c>
      <c r="CR701" s="26" t="n">
        <f aca="false">CP701/7</f>
        <v>74.5714285714286</v>
      </c>
      <c r="CS701" s="26" t="n">
        <f aca="false">CQ701/7</f>
        <v>56.4285714285714</v>
      </c>
      <c r="CT701" s="24" t="n">
        <f aca="false">RANK(CR701,$CR$2:$CR$881,0)</f>
        <v>651</v>
      </c>
      <c r="CU701" s="25" t="n">
        <f aca="false">RANK(CS701,$CS$2:$CS$881,0)</f>
        <v>705</v>
      </c>
      <c r="CV701" s="26" t="n">
        <f aca="false">(CS701+CR701)/2</f>
        <v>65.5</v>
      </c>
      <c r="CW701" s="25" t="n">
        <f aca="false">RANK(CV701,$CV$2:$CV$881,0)</f>
        <v>673</v>
      </c>
      <c r="CX701" s="50" t="n">
        <f aca="false">(CV701+BB701)/2</f>
        <v>71.5</v>
      </c>
      <c r="CY701" s="50" t="n">
        <v>600</v>
      </c>
      <c r="CZ701" s="27" t="s">
        <v>132</v>
      </c>
      <c r="DA701" s="27" t="s">
        <v>398</v>
      </c>
      <c r="DB701" s="27" t="s">
        <v>398</v>
      </c>
      <c r="DC701" s="27" t="s">
        <v>134</v>
      </c>
      <c r="DD701" s="27" t="s">
        <v>706</v>
      </c>
      <c r="DE701" s="27" t="s">
        <v>146</v>
      </c>
      <c r="DF701" s="27" t="s">
        <v>638</v>
      </c>
      <c r="DG701" s="27" t="s">
        <v>480</v>
      </c>
      <c r="DH701" s="27" t="s">
        <v>195</v>
      </c>
      <c r="DI701" s="27" t="s">
        <v>415</v>
      </c>
      <c r="DJ701" s="27" t="s">
        <v>143</v>
      </c>
      <c r="DK701" s="27" t="s">
        <v>134</v>
      </c>
      <c r="DL701" s="27" t="s">
        <v>825</v>
      </c>
      <c r="DM701" s="27" t="s">
        <v>160</v>
      </c>
      <c r="DN701" s="27" t="s">
        <v>673</v>
      </c>
      <c r="DO701" s="27" t="s">
        <v>480</v>
      </c>
      <c r="DP701" s="27"/>
      <c r="DQ701" s="27"/>
      <c r="DR701" s="27"/>
      <c r="DS701" s="27"/>
      <c r="DT701" s="27"/>
      <c r="DU701" s="27"/>
      <c r="DV701" s="27"/>
      <c r="DW701" s="27" t="s">
        <v>386</v>
      </c>
      <c r="DX701" s="27" t="s">
        <v>313</v>
      </c>
      <c r="DY701" s="27" t="s">
        <v>155</v>
      </c>
      <c r="DZ701" s="27" t="n">
        <f aca="false">DY701+DV701+DR701+DN701+DJ701+DF701+DB701</f>
        <v>296</v>
      </c>
      <c r="EA701" s="28" t="n">
        <f aca="false">DZ701/7</f>
        <v>42.2857142857143</v>
      </c>
      <c r="EB701" s="27" t="n">
        <f aca="false">RANK(EA701,$EA$2:$EA$881,0)</f>
        <v>855</v>
      </c>
      <c r="EC701" s="29" t="n">
        <f aca="false">DZ701+CQ701+CP701+AZ701</f>
        <v>1988</v>
      </c>
      <c r="ED701" s="30" t="n">
        <f aca="false">(EA701+CV701+BB701)/3</f>
        <v>61.7619047619048</v>
      </c>
      <c r="EE701" s="51" t="n">
        <f aca="false">ROUND(BE701,3)</f>
        <v>85.067</v>
      </c>
      <c r="EF701" s="51" t="n">
        <f aca="false">ROUND(CR701,3)</f>
        <v>74.571</v>
      </c>
      <c r="EG701" s="51" t="n">
        <f aca="false">ROUND(CS701,3)</f>
        <v>56.429</v>
      </c>
      <c r="EH701" s="51" t="n">
        <f aca="false">ROUND(EA701,3)</f>
        <v>42.286</v>
      </c>
      <c r="EI701" s="51" t="n">
        <f aca="false">ROUND(ED701,3)</f>
        <v>61.762</v>
      </c>
      <c r="EJ701" s="51" t="n">
        <f aca="false">ROUND(CV701,3)</f>
        <v>65.5</v>
      </c>
      <c r="EK701" s="0" t="n">
        <f aca="false">RANK(EI701,$EI$2:$EI$881,0)</f>
        <v>700</v>
      </c>
    </row>
    <row r="702" customFormat="false" ht="15" hidden="false" customHeight="false" outlineLevel="0" collapsed="false">
      <c r="A702" s="4" t="n">
        <v>8668</v>
      </c>
      <c r="B702" s="4" t="n">
        <v>599</v>
      </c>
      <c r="C702" s="27" t="s">
        <v>2017</v>
      </c>
      <c r="D702" s="31" t="n">
        <v>607</v>
      </c>
      <c r="E702" s="16" t="n">
        <v>230513817</v>
      </c>
      <c r="F702" s="56" t="s">
        <v>2018</v>
      </c>
      <c r="G702" s="22" t="s">
        <v>342</v>
      </c>
      <c r="H702" s="22" t="s">
        <v>465</v>
      </c>
      <c r="I702" s="57"/>
      <c r="J702" s="16" t="n">
        <v>75</v>
      </c>
      <c r="K702" s="16" t="n">
        <v>76</v>
      </c>
      <c r="L702" s="34" t="n">
        <f aca="false">(K702*70)/100</f>
        <v>53.2</v>
      </c>
      <c r="M702" s="34" t="n">
        <f aca="false">ROUNDUP(L702,0)</f>
        <v>54</v>
      </c>
      <c r="N702" s="16" t="n">
        <v>25</v>
      </c>
      <c r="O702" s="34" t="n">
        <f aca="false">N702+L702</f>
        <v>78.2</v>
      </c>
      <c r="P702" s="34" t="n">
        <f aca="false">N702+M702</f>
        <v>79</v>
      </c>
      <c r="Q702" s="16" t="n">
        <v>78</v>
      </c>
      <c r="R702" s="16" t="n">
        <v>69</v>
      </c>
      <c r="S702" s="34" t="n">
        <f aca="false">(R702*70)/100</f>
        <v>48.3</v>
      </c>
      <c r="T702" s="34" t="n">
        <f aca="false">ROUNDUP(S702,0)</f>
        <v>49</v>
      </c>
      <c r="U702" s="16" t="n">
        <v>23</v>
      </c>
      <c r="V702" s="34" t="n">
        <f aca="false">U702+S702</f>
        <v>71.3</v>
      </c>
      <c r="W702" s="34" t="n">
        <f aca="false">U702+T702</f>
        <v>72</v>
      </c>
      <c r="X702" s="16" t="n">
        <v>63</v>
      </c>
      <c r="Y702" s="34" t="n">
        <f aca="false">(X702*70)/100</f>
        <v>44.1</v>
      </c>
      <c r="Z702" s="34" t="n">
        <f aca="false">ROUNDUP(Y702,0)</f>
        <v>45</v>
      </c>
      <c r="AA702" s="16" t="n">
        <v>27</v>
      </c>
      <c r="AB702" s="34" t="n">
        <f aca="false">AA702+Y702</f>
        <v>71.1</v>
      </c>
      <c r="AC702" s="34" t="n">
        <f aca="false">AA702+Z702</f>
        <v>72</v>
      </c>
      <c r="AD702" s="32" t="n">
        <f aca="false">X702+R702+Q702+K702+J702</f>
        <v>361</v>
      </c>
      <c r="AE702" s="16" t="n">
        <f aca="false">AD702/5</f>
        <v>72.2</v>
      </c>
      <c r="AF702" s="16" t="n">
        <v>74</v>
      </c>
      <c r="AG702" s="16" t="n">
        <v>78</v>
      </c>
      <c r="AH702" s="16" t="n">
        <v>96</v>
      </c>
      <c r="AI702" s="16" t="n">
        <v>90</v>
      </c>
      <c r="AJ702" s="16" t="n">
        <f aca="false">(AI702*70)/100</f>
        <v>63</v>
      </c>
      <c r="AK702" s="35" t="n">
        <f aca="false">ROUNDUP(AJ702,0)</f>
        <v>63</v>
      </c>
      <c r="AL702" s="16" t="n">
        <v>27</v>
      </c>
      <c r="AM702" s="16" t="n">
        <f aca="false">AL702+AJ702</f>
        <v>90</v>
      </c>
      <c r="AN702" s="16" t="n">
        <f aca="false">AL702+AK702</f>
        <v>90</v>
      </c>
      <c r="AO702" s="16" t="n">
        <v>83</v>
      </c>
      <c r="AP702" s="36" t="n">
        <f aca="false">(AO702*70)/100</f>
        <v>58.1</v>
      </c>
      <c r="AQ702" s="37" t="n">
        <f aca="false">ROUNDUP(AP702,0)</f>
        <v>59</v>
      </c>
      <c r="AR702" s="16" t="n">
        <v>26</v>
      </c>
      <c r="AS702" s="16" t="n">
        <f aca="false">AR702+AP702</f>
        <v>84.1</v>
      </c>
      <c r="AT702" s="16" t="n">
        <f aca="false">AR702+AQ702</f>
        <v>85</v>
      </c>
      <c r="AU702" s="16" t="n">
        <f aca="false">AO702+AF702+AI702+AH702+AG702</f>
        <v>421</v>
      </c>
      <c r="AV702" s="16" t="n">
        <f aca="false">(AO702+AF702+AI702+AH702+AG702)/5</f>
        <v>84.2</v>
      </c>
      <c r="AW702" s="36" t="n">
        <f aca="false">(AO702+AF702+AI702+AH702+AG702+X702+R702+Q702+K702+J702)</f>
        <v>782</v>
      </c>
      <c r="AX702" s="16" t="n">
        <f aca="false">AW702/10</f>
        <v>78.2</v>
      </c>
      <c r="AY702" s="16" t="n">
        <f aca="false">AS702+AF702+AM702+AH702+AG702+AB702+V702+Q702+O702+J702</f>
        <v>795.7</v>
      </c>
      <c r="AZ702" s="16" t="n">
        <f aca="false">AT702+AF702+AN702+AH702+AG702+AC702+W702+Q702+P702+J702</f>
        <v>799</v>
      </c>
      <c r="BA702" s="16" t="n">
        <f aca="false">AY702/10</f>
        <v>79.57</v>
      </c>
      <c r="BB702" s="16" t="n">
        <f aca="false">AZ702/10</f>
        <v>79.9</v>
      </c>
      <c r="BC702" s="16" t="n">
        <v>2357</v>
      </c>
      <c r="BD702" s="16" t="n">
        <f aca="false">RANK(AX702,$AX$2:$AX$881,0)</f>
        <v>396</v>
      </c>
      <c r="BE702" s="54" t="n">
        <f aca="false">((BC702*100)/2400)*0.4+(AX702*0.6)</f>
        <v>86.2033333333333</v>
      </c>
      <c r="BF702" s="16" t="n">
        <f aca="false">RANK(BE702,$BE$2:$BE$881,0)</f>
        <v>400</v>
      </c>
      <c r="BG702" s="39" t="n">
        <f aca="false">RANK(BB702,$BB$2:$BB$881,0)</f>
        <v>356</v>
      </c>
      <c r="BH702" s="39" t="n">
        <f aca="false">RANK(BC702,$BC$2:$BC$881,0)</f>
        <v>444</v>
      </c>
      <c r="BI702" s="22" t="s">
        <v>130</v>
      </c>
      <c r="BJ702" s="22" t="s">
        <v>129</v>
      </c>
      <c r="BK702" s="40" t="s">
        <v>131</v>
      </c>
      <c r="BL702" s="41" t="n">
        <v>24</v>
      </c>
      <c r="BM702" s="41" t="n">
        <v>40</v>
      </c>
      <c r="BN702" s="41" t="n">
        <v>64</v>
      </c>
      <c r="BO702" s="42" t="n">
        <v>22</v>
      </c>
      <c r="BP702" s="43" t="n">
        <v>63</v>
      </c>
      <c r="BQ702" s="44" t="n">
        <v>85</v>
      </c>
      <c r="BR702" s="42" t="n">
        <v>27</v>
      </c>
      <c r="BS702" s="80"/>
      <c r="BT702" s="80"/>
      <c r="BU702" s="46" t="n">
        <v>100</v>
      </c>
      <c r="BV702" s="47" t="n">
        <v>94</v>
      </c>
      <c r="BW702" s="42" t="n">
        <v>93</v>
      </c>
      <c r="BX702" s="107"/>
      <c r="BY702" s="60"/>
      <c r="BZ702" s="60"/>
      <c r="CA702" s="60"/>
      <c r="CB702" s="61"/>
      <c r="CC702" s="60"/>
      <c r="CD702" s="60"/>
      <c r="CE702" s="60"/>
      <c r="CF702" s="60"/>
      <c r="CG702" s="60"/>
      <c r="CH702" s="60"/>
      <c r="CI702" s="60"/>
      <c r="CJ702" s="60"/>
      <c r="CK702" s="60"/>
      <c r="CL702" s="61"/>
      <c r="CM702" s="60"/>
      <c r="CN702" s="60"/>
      <c r="CO702" s="60"/>
      <c r="CP702" s="25" t="n">
        <f aca="false">BX702+BW702+BV702+BU702+BT702+BQ702+BN702</f>
        <v>436</v>
      </c>
      <c r="CQ702" s="25" t="n">
        <f aca="false">CO702+CL702+CI702+CH702+CG702+CD702+CA702</f>
        <v>0</v>
      </c>
      <c r="CR702" s="26" t="n">
        <f aca="false">CP702/7</f>
        <v>62.2857142857143</v>
      </c>
      <c r="CS702" s="26" t="n">
        <f aca="false">CQ702/7</f>
        <v>0</v>
      </c>
      <c r="CT702" s="24" t="n">
        <f aca="false">RANK(CR702,$CR$2:$CR$881,0)</f>
        <v>712</v>
      </c>
      <c r="CU702" s="25" t="n">
        <f aca="false">RANK(CS702,$CS$2:$CS$881,0)</f>
        <v>752</v>
      </c>
      <c r="CV702" s="26" t="n">
        <f aca="false">(CS702+CR702)/2</f>
        <v>31.1428571428571</v>
      </c>
      <c r="CW702" s="25" t="n">
        <f aca="false">RANK(CV702,$CV$2:$CV$881,0)</f>
        <v>742</v>
      </c>
      <c r="CX702" s="50" t="n">
        <f aca="false">(CV702+BB702)/2</f>
        <v>55.5214285714286</v>
      </c>
      <c r="CY702" s="50" t="n">
        <v>677</v>
      </c>
      <c r="CZ702" s="27" t="s">
        <v>132</v>
      </c>
      <c r="DA702" s="27" t="s">
        <v>139</v>
      </c>
      <c r="DB702" s="27" t="s">
        <v>139</v>
      </c>
      <c r="DC702" s="27" t="s">
        <v>134</v>
      </c>
      <c r="DD702" s="27" t="s">
        <v>174</v>
      </c>
      <c r="DE702" s="27" t="s">
        <v>203</v>
      </c>
      <c r="DF702" s="27" t="s">
        <v>209</v>
      </c>
      <c r="DG702" s="27" t="s">
        <v>134</v>
      </c>
      <c r="DH702" s="27" t="s">
        <v>140</v>
      </c>
      <c r="DI702" s="27" t="s">
        <v>183</v>
      </c>
      <c r="DJ702" s="27" t="s">
        <v>178</v>
      </c>
      <c r="DK702" s="27" t="s">
        <v>134</v>
      </c>
      <c r="DL702" s="27" t="s">
        <v>182</v>
      </c>
      <c r="DM702" s="27" t="s">
        <v>204</v>
      </c>
      <c r="DN702" s="27" t="s">
        <v>169</v>
      </c>
      <c r="DO702" s="27" t="s">
        <v>134</v>
      </c>
      <c r="DP702" s="27" t="s">
        <v>174</v>
      </c>
      <c r="DQ702" s="27" t="s">
        <v>204</v>
      </c>
      <c r="DR702" s="27" t="s">
        <v>196</v>
      </c>
      <c r="DS702" s="27" t="s">
        <v>134</v>
      </c>
      <c r="DT702" s="27" t="s">
        <v>135</v>
      </c>
      <c r="DU702" s="27" t="s">
        <v>161</v>
      </c>
      <c r="DV702" s="27" t="s">
        <v>202</v>
      </c>
      <c r="DW702" s="27"/>
      <c r="DX702" s="27"/>
      <c r="DY702" s="27"/>
      <c r="DZ702" s="27" t="n">
        <f aca="false">DY702+DV702+DR702+DN702+DJ702+DF702+DB702</f>
        <v>516</v>
      </c>
      <c r="EA702" s="28" t="n">
        <f aca="false">DZ702/7</f>
        <v>73.7142857142857</v>
      </c>
      <c r="EB702" s="27" t="n">
        <f aca="false">RANK(EA702,$EA$2:$EA$881,0)</f>
        <v>573</v>
      </c>
      <c r="EC702" s="29" t="n">
        <f aca="false">DZ702+CQ702+CP702+AZ702</f>
        <v>1751</v>
      </c>
      <c r="ED702" s="30" t="n">
        <f aca="false">(EA702+CV702+BB702)/3</f>
        <v>61.5857142857143</v>
      </c>
      <c r="EE702" s="51" t="n">
        <f aca="false">ROUND(BE702,3)</f>
        <v>86.203</v>
      </c>
      <c r="EF702" s="51" t="n">
        <f aca="false">ROUND(CR702,3)</f>
        <v>62.286</v>
      </c>
      <c r="EG702" s="51" t="n">
        <f aca="false">ROUND(CS702,3)</f>
        <v>0</v>
      </c>
      <c r="EH702" s="51" t="n">
        <f aca="false">ROUND(EA702,3)</f>
        <v>73.714</v>
      </c>
      <c r="EI702" s="51" t="n">
        <f aca="false">ROUND(ED702,3)</f>
        <v>61.586</v>
      </c>
      <c r="EJ702" s="51" t="n">
        <f aca="false">ROUND(CV702,3)</f>
        <v>31.143</v>
      </c>
      <c r="EK702" s="0" t="n">
        <f aca="false">RANK(EI702,$EI$2:$EI$881,0)</f>
        <v>701</v>
      </c>
    </row>
    <row r="703" customFormat="false" ht="15" hidden="false" customHeight="false" outlineLevel="0" collapsed="false">
      <c r="A703" s="4" t="n">
        <v>2072</v>
      </c>
      <c r="B703" s="4" t="n">
        <v>123</v>
      </c>
      <c r="C703" s="27" t="s">
        <v>2019</v>
      </c>
      <c r="D703" s="31" t="n">
        <v>121</v>
      </c>
      <c r="E703" s="16" t="n">
        <v>230407625</v>
      </c>
      <c r="F703" s="56" t="s">
        <v>2020</v>
      </c>
      <c r="G703" s="22" t="s">
        <v>502</v>
      </c>
      <c r="H703" s="22" t="s">
        <v>271</v>
      </c>
      <c r="I703" s="57"/>
      <c r="J703" s="16" t="n">
        <v>70</v>
      </c>
      <c r="K703" s="16" t="n">
        <v>83</v>
      </c>
      <c r="L703" s="34" t="n">
        <f aca="false">(K703*70)/100</f>
        <v>58.1</v>
      </c>
      <c r="M703" s="34" t="n">
        <f aca="false">ROUNDUP(L703,0)</f>
        <v>59</v>
      </c>
      <c r="N703" s="16" t="n">
        <v>26</v>
      </c>
      <c r="O703" s="34" t="n">
        <f aca="false">N703+L703</f>
        <v>84.1</v>
      </c>
      <c r="P703" s="34" t="n">
        <f aca="false">N703+M703</f>
        <v>85</v>
      </c>
      <c r="Q703" s="71" t="n">
        <v>53</v>
      </c>
      <c r="R703" s="16" t="n">
        <v>77</v>
      </c>
      <c r="S703" s="34" t="n">
        <f aca="false">(R703*70)/100</f>
        <v>53.9</v>
      </c>
      <c r="T703" s="34" t="n">
        <f aca="false">ROUNDUP(S703,0)</f>
        <v>54</v>
      </c>
      <c r="U703" s="16" t="n">
        <v>24</v>
      </c>
      <c r="V703" s="34" t="n">
        <f aca="false">U703+S703</f>
        <v>77.9</v>
      </c>
      <c r="W703" s="34" t="n">
        <f aca="false">U703+T703</f>
        <v>78</v>
      </c>
      <c r="X703" s="16" t="n">
        <v>68</v>
      </c>
      <c r="Y703" s="34" t="n">
        <f aca="false">(X703*70)/100</f>
        <v>47.6</v>
      </c>
      <c r="Z703" s="34" t="n">
        <f aca="false">ROUNDUP(Y703,0)</f>
        <v>48</v>
      </c>
      <c r="AA703" s="16" t="n">
        <v>28</v>
      </c>
      <c r="AB703" s="34" t="n">
        <f aca="false">AA703+Y703</f>
        <v>75.6</v>
      </c>
      <c r="AC703" s="34" t="n">
        <f aca="false">AA703+Z703</f>
        <v>76</v>
      </c>
      <c r="AD703" s="32" t="n">
        <f aca="false">X703+R703+Q703+K703+J703</f>
        <v>351</v>
      </c>
      <c r="AE703" s="16" t="n">
        <f aca="false">AD703/5</f>
        <v>70.2</v>
      </c>
      <c r="AF703" s="16" t="n">
        <v>79</v>
      </c>
      <c r="AG703" s="16" t="n">
        <v>80</v>
      </c>
      <c r="AH703" s="16" t="n">
        <v>90</v>
      </c>
      <c r="AI703" s="16" t="n">
        <v>90</v>
      </c>
      <c r="AJ703" s="16" t="n">
        <f aca="false">(AI703*70)/100</f>
        <v>63</v>
      </c>
      <c r="AK703" s="35" t="n">
        <f aca="false">ROUNDUP(AJ703,0)</f>
        <v>63</v>
      </c>
      <c r="AL703" s="16" t="n">
        <v>26</v>
      </c>
      <c r="AM703" s="16" t="n">
        <f aca="false">AL703+AJ703</f>
        <v>89</v>
      </c>
      <c r="AN703" s="16" t="n">
        <f aca="false">AL703+AK703</f>
        <v>89</v>
      </c>
      <c r="AO703" s="16" t="n">
        <v>75</v>
      </c>
      <c r="AP703" s="36" t="n">
        <f aca="false">(AO703*70)/100</f>
        <v>52.5</v>
      </c>
      <c r="AQ703" s="37" t="n">
        <f aca="false">ROUNDUP(AP703,0)</f>
        <v>53</v>
      </c>
      <c r="AR703" s="16" t="n">
        <v>23</v>
      </c>
      <c r="AS703" s="16" t="n">
        <f aca="false">AR703+AP703</f>
        <v>75.5</v>
      </c>
      <c r="AT703" s="16" t="n">
        <f aca="false">AR703+AQ703</f>
        <v>76</v>
      </c>
      <c r="AU703" s="16" t="n">
        <f aca="false">AO703+AF703+AI703+AH703+AG703</f>
        <v>414</v>
      </c>
      <c r="AV703" s="16" t="n">
        <f aca="false">(AO703+AF703+AI703+AH703+AG703)/5</f>
        <v>82.8</v>
      </c>
      <c r="AW703" s="36" t="n">
        <f aca="false">(AO703+AF703+AI703+AH703+AG703+X703+R703+Q703+K703+J703)</f>
        <v>765</v>
      </c>
      <c r="AX703" s="16" t="n">
        <f aca="false">AW703/10</f>
        <v>76.5</v>
      </c>
      <c r="AY703" s="16" t="n">
        <f aca="false">AS703+AF703+AM703+AH703+AG703+AB703+V703+Q703+O703+J703</f>
        <v>774.1</v>
      </c>
      <c r="AZ703" s="16" t="n">
        <f aca="false">AT703+AF703+AN703+AH703+AG703+AC703+W703+Q703+P703+J703</f>
        <v>776</v>
      </c>
      <c r="BA703" s="16" t="n">
        <f aca="false">AY703/10</f>
        <v>77.41</v>
      </c>
      <c r="BB703" s="16" t="n">
        <f aca="false">AZ703/10</f>
        <v>77.6</v>
      </c>
      <c r="BC703" s="16" t="n">
        <v>2334</v>
      </c>
      <c r="BD703" s="16" t="n">
        <f aca="false">RANK(AX703,$AX$2:$AX$881,0)</f>
        <v>562</v>
      </c>
      <c r="BE703" s="73" t="n">
        <f aca="false">((BC703*100)/2400)*0.4+(AX703*0.6)</f>
        <v>84.8</v>
      </c>
      <c r="BF703" s="16" t="n">
        <f aca="false">RANK(BE703,$BE$2:$BE$881,0)</f>
        <v>661</v>
      </c>
      <c r="BG703" s="39" t="n">
        <f aca="false">RANK(BB703,$BB$2:$BB$881,0)</f>
        <v>596</v>
      </c>
      <c r="BH703" s="39" t="n">
        <f aca="false">RANK(BC703,$BC$2:$BC$881,0)</f>
        <v>687</v>
      </c>
      <c r="BI703" s="22" t="s">
        <v>130</v>
      </c>
      <c r="BJ703" s="22" t="s">
        <v>129</v>
      </c>
      <c r="BK703" s="22" t="s">
        <v>509</v>
      </c>
      <c r="BL703" s="41" t="n">
        <v>21</v>
      </c>
      <c r="BM703" s="41" t="n">
        <v>51</v>
      </c>
      <c r="BN703" s="41" t="n">
        <v>72</v>
      </c>
      <c r="BO703" s="42" t="n">
        <v>24</v>
      </c>
      <c r="BP703" s="43" t="n">
        <v>55</v>
      </c>
      <c r="BQ703" s="44" t="n">
        <v>79</v>
      </c>
      <c r="BR703" s="42" t="n">
        <v>24</v>
      </c>
      <c r="BS703" s="45" t="n">
        <v>58</v>
      </c>
      <c r="BT703" s="45" t="n">
        <v>82</v>
      </c>
      <c r="BU703" s="46" t="n">
        <v>98</v>
      </c>
      <c r="BV703" s="47" t="n">
        <v>80</v>
      </c>
      <c r="BW703" s="42" t="n">
        <v>100</v>
      </c>
      <c r="BX703" s="80"/>
      <c r="BY703" s="130"/>
      <c r="BZ703" s="60"/>
      <c r="CA703" s="60"/>
      <c r="CB703" s="61"/>
      <c r="CC703" s="60"/>
      <c r="CD703" s="60"/>
      <c r="CE703" s="60"/>
      <c r="CF703" s="60"/>
      <c r="CG703" s="60"/>
      <c r="CH703" s="60"/>
      <c r="CI703" s="60"/>
      <c r="CJ703" s="60"/>
      <c r="CK703" s="60"/>
      <c r="CL703" s="61"/>
      <c r="CM703" s="60"/>
      <c r="CN703" s="60"/>
      <c r="CO703" s="60"/>
      <c r="CP703" s="25" t="n">
        <f aca="false">BX703+BW703+BV703+BU703+BT703+BQ703+BN703</f>
        <v>511</v>
      </c>
      <c r="CQ703" s="25" t="n">
        <f aca="false">CO703+CL703+CI703+CH703+CG703+CD703+CA703</f>
        <v>0</v>
      </c>
      <c r="CR703" s="26" t="n">
        <f aca="false">CP703/7</f>
        <v>73</v>
      </c>
      <c r="CS703" s="26" t="n">
        <f aca="false">CQ703/7</f>
        <v>0</v>
      </c>
      <c r="CT703" s="24" t="n">
        <f aca="false">RANK(CR703,$CR$2:$CR$881,0)</f>
        <v>663</v>
      </c>
      <c r="CU703" s="25" t="n">
        <f aca="false">RANK(CS703,$CS$2:$CS$881,0)</f>
        <v>752</v>
      </c>
      <c r="CV703" s="26" t="n">
        <f aca="false">(CS703+CR703)/2</f>
        <v>36.5</v>
      </c>
      <c r="CW703" s="25" t="n">
        <f aca="false">RANK(CV703,$CV$2:$CV$881,0)</f>
        <v>731</v>
      </c>
      <c r="CX703" s="50" t="n">
        <f aca="false">(CV703+BB703)/2</f>
        <v>57.05</v>
      </c>
      <c r="CY703" s="50" t="n">
        <v>664</v>
      </c>
      <c r="CZ703" s="27" t="s">
        <v>132</v>
      </c>
      <c r="DA703" s="27" t="s">
        <v>272</v>
      </c>
      <c r="DB703" s="27" t="s">
        <v>272</v>
      </c>
      <c r="DC703" s="27" t="s">
        <v>134</v>
      </c>
      <c r="DD703" s="27" t="s">
        <v>160</v>
      </c>
      <c r="DE703" s="27" t="s">
        <v>204</v>
      </c>
      <c r="DF703" s="27" t="s">
        <v>178</v>
      </c>
      <c r="DG703" s="27" t="s">
        <v>134</v>
      </c>
      <c r="DH703" s="27" t="s">
        <v>182</v>
      </c>
      <c r="DI703" s="27" t="s">
        <v>204</v>
      </c>
      <c r="DJ703" s="27" t="s">
        <v>169</v>
      </c>
      <c r="DK703" s="27" t="s">
        <v>134</v>
      </c>
      <c r="DL703" s="27" t="s">
        <v>137</v>
      </c>
      <c r="DM703" s="27" t="s">
        <v>220</v>
      </c>
      <c r="DN703" s="27" t="s">
        <v>205</v>
      </c>
      <c r="DO703" s="27" t="s">
        <v>134</v>
      </c>
      <c r="DP703" s="27"/>
      <c r="DQ703" s="27"/>
      <c r="DR703" s="27"/>
      <c r="DS703" s="27"/>
      <c r="DT703" s="27" t="s">
        <v>182</v>
      </c>
      <c r="DU703" s="27" t="s">
        <v>989</v>
      </c>
      <c r="DV703" s="27" t="s">
        <v>187</v>
      </c>
      <c r="DW703" s="27" t="s">
        <v>164</v>
      </c>
      <c r="DX703" s="27" t="s">
        <v>143</v>
      </c>
      <c r="DY703" s="27" t="s">
        <v>139</v>
      </c>
      <c r="DZ703" s="27" t="n">
        <f aca="false">DY703+DV703+DR703+DN703+DJ703+DF703+DB703</f>
        <v>492</v>
      </c>
      <c r="EA703" s="28" t="n">
        <f aca="false">DZ703/7</f>
        <v>70.2857142857143</v>
      </c>
      <c r="EB703" s="27" t="n">
        <f aca="false">RANK(EA703,$EA$2:$EA$881,0)</f>
        <v>650</v>
      </c>
      <c r="EC703" s="29" t="n">
        <f aca="false">DZ703+CQ703+CP703+AZ703</f>
        <v>1779</v>
      </c>
      <c r="ED703" s="30" t="n">
        <f aca="false">(EA703+CV703+BB703)/3</f>
        <v>61.4619047619048</v>
      </c>
      <c r="EE703" s="51" t="n">
        <f aca="false">ROUND(BE703,3)</f>
        <v>84.8</v>
      </c>
      <c r="EF703" s="51" t="n">
        <f aca="false">ROUND(CR703,3)</f>
        <v>73</v>
      </c>
      <c r="EG703" s="51" t="n">
        <f aca="false">ROUND(CS703,3)</f>
        <v>0</v>
      </c>
      <c r="EH703" s="51" t="n">
        <f aca="false">ROUND(EA703,3)</f>
        <v>70.286</v>
      </c>
      <c r="EI703" s="51" t="n">
        <f aca="false">ROUND(ED703,3)</f>
        <v>61.462</v>
      </c>
      <c r="EJ703" s="51" t="n">
        <f aca="false">ROUND(CV703,3)</f>
        <v>36.5</v>
      </c>
      <c r="EK703" s="0" t="n">
        <f aca="false">RANK(EI703,$EI$2:$EI$881,0)</f>
        <v>702</v>
      </c>
    </row>
    <row r="704" customFormat="false" ht="15" hidden="false" customHeight="false" outlineLevel="0" collapsed="false">
      <c r="A704" s="4" t="n">
        <v>9101</v>
      </c>
      <c r="B704" s="4" t="n">
        <v>585</v>
      </c>
      <c r="C704" s="27" t="s">
        <v>2021</v>
      </c>
      <c r="D704" s="31" t="n">
        <v>590</v>
      </c>
      <c r="E704" s="16" t="n">
        <v>230510635</v>
      </c>
      <c r="F704" s="56" t="s">
        <v>2022</v>
      </c>
      <c r="G704" s="22" t="s">
        <v>2023</v>
      </c>
      <c r="H704" s="22" t="s">
        <v>465</v>
      </c>
      <c r="I704" s="57"/>
      <c r="J704" s="16" t="n">
        <v>93</v>
      </c>
      <c r="K704" s="16" t="n">
        <v>82</v>
      </c>
      <c r="L704" s="34" t="n">
        <f aca="false">(K704*70)/100</f>
        <v>57.4</v>
      </c>
      <c r="M704" s="34" t="n">
        <f aca="false">ROUNDUP(L704,0)</f>
        <v>58</v>
      </c>
      <c r="N704" s="16" t="n">
        <v>23</v>
      </c>
      <c r="O704" s="34" t="n">
        <f aca="false">N704+L704</f>
        <v>80.4</v>
      </c>
      <c r="P704" s="34" t="n">
        <f aca="false">N704+M704</f>
        <v>81</v>
      </c>
      <c r="Q704" s="16" t="n">
        <v>64</v>
      </c>
      <c r="R704" s="16" t="n">
        <v>73</v>
      </c>
      <c r="S704" s="34" t="n">
        <f aca="false">(R704*70)/100</f>
        <v>51.1</v>
      </c>
      <c r="T704" s="34" t="n">
        <f aca="false">ROUNDUP(S704,0)</f>
        <v>52</v>
      </c>
      <c r="U704" s="16" t="n">
        <v>22</v>
      </c>
      <c r="V704" s="34" t="n">
        <f aca="false">U704+S704</f>
        <v>73.1</v>
      </c>
      <c r="W704" s="34" t="n">
        <f aca="false">U704+T704</f>
        <v>74</v>
      </c>
      <c r="X704" s="16" t="n">
        <v>63</v>
      </c>
      <c r="Y704" s="34" t="n">
        <f aca="false">(X704*70)/100</f>
        <v>44.1</v>
      </c>
      <c r="Z704" s="34" t="n">
        <f aca="false">ROUNDUP(Y704,0)</f>
        <v>45</v>
      </c>
      <c r="AA704" s="16" t="n">
        <v>27</v>
      </c>
      <c r="AB704" s="34" t="n">
        <f aca="false">AA704+Y704</f>
        <v>71.1</v>
      </c>
      <c r="AC704" s="34" t="n">
        <f aca="false">AA704+Z704</f>
        <v>72</v>
      </c>
      <c r="AD704" s="32" t="n">
        <f aca="false">X704+R704+Q704+K704+J704</f>
        <v>375</v>
      </c>
      <c r="AE704" s="16" t="n">
        <f aca="false">AD704/5</f>
        <v>75</v>
      </c>
      <c r="AF704" s="16" t="n">
        <v>70</v>
      </c>
      <c r="AG704" s="16" t="n">
        <v>95</v>
      </c>
      <c r="AH704" s="16" t="n">
        <v>88</v>
      </c>
      <c r="AI704" s="16" t="n">
        <v>80</v>
      </c>
      <c r="AJ704" s="16" t="n">
        <f aca="false">(AI704*70)/100</f>
        <v>56</v>
      </c>
      <c r="AK704" s="35" t="n">
        <f aca="false">ROUNDUP(AJ704,0)</f>
        <v>56</v>
      </c>
      <c r="AL704" s="16" t="n">
        <v>19</v>
      </c>
      <c r="AM704" s="16" t="n">
        <f aca="false">AL704+AJ704</f>
        <v>75</v>
      </c>
      <c r="AN704" s="16" t="n">
        <f aca="false">AL704+AK704</f>
        <v>75</v>
      </c>
      <c r="AO704" s="16" t="n">
        <v>73</v>
      </c>
      <c r="AP704" s="36" t="n">
        <f aca="false">(AO704*70)/100</f>
        <v>51.1</v>
      </c>
      <c r="AQ704" s="37" t="n">
        <f aca="false">ROUNDUP(AP704,0)</f>
        <v>52</v>
      </c>
      <c r="AR704" s="16" t="n">
        <v>21</v>
      </c>
      <c r="AS704" s="16" t="n">
        <f aca="false">AR704+AP704</f>
        <v>72.1</v>
      </c>
      <c r="AT704" s="16" t="n">
        <f aca="false">AR704+AQ704</f>
        <v>73</v>
      </c>
      <c r="AU704" s="16" t="n">
        <f aca="false">AO704+AF704+AI704+AH704+AG704</f>
        <v>406</v>
      </c>
      <c r="AV704" s="16" t="n">
        <f aca="false">(AO704+AF704+AI704+AH704+AG704)/5</f>
        <v>81.2</v>
      </c>
      <c r="AW704" s="36" t="n">
        <f aca="false">(AO704+AF704+AI704+AH704+AG704+X704+R704+Q704+K704+J704)</f>
        <v>781</v>
      </c>
      <c r="AX704" s="16" t="n">
        <f aca="false">AW704/10</f>
        <v>78.1</v>
      </c>
      <c r="AY704" s="16" t="n">
        <f aca="false">AS704+AF704+AM704+AH704+AG704+AB704+V704+Q704+O704+J704</f>
        <v>781.7</v>
      </c>
      <c r="AZ704" s="16" t="n">
        <f aca="false">AT704+AF704+AN704+AH704+AG704+AC704+W704+Q704+P704+J704</f>
        <v>785</v>
      </c>
      <c r="BA704" s="16" t="n">
        <f aca="false">AY704/10</f>
        <v>78.17</v>
      </c>
      <c r="BB704" s="16" t="n">
        <f aca="false">AZ704/10</f>
        <v>78.5</v>
      </c>
      <c r="BC704" s="16" t="n">
        <v>2366</v>
      </c>
      <c r="BD704" s="16" t="n">
        <f aca="false">RANK(AX704,$AX$2:$AX$881,0)</f>
        <v>402</v>
      </c>
      <c r="BE704" s="54" t="n">
        <f aca="false">((BC704*100)/2400)*0.4+(AX704*0.6)</f>
        <v>86.2933333333333</v>
      </c>
      <c r="BF704" s="16" t="n">
        <f aca="false">RANK(BE704,$BE$2:$BE$881,0)</f>
        <v>388</v>
      </c>
      <c r="BG704" s="39" t="n">
        <f aca="false">RANK(BB704,$BB$2:$BB$881,0)</f>
        <v>505</v>
      </c>
      <c r="BH704" s="39" t="n">
        <f aca="false">RANK(BC704,$BC$2:$BC$881,0)</f>
        <v>319</v>
      </c>
      <c r="BI704" s="22" t="s">
        <v>130</v>
      </c>
      <c r="BJ704" s="22" t="s">
        <v>129</v>
      </c>
      <c r="BK704" s="40" t="s">
        <v>131</v>
      </c>
      <c r="BL704" s="41" t="n">
        <v>23</v>
      </c>
      <c r="BM704" s="41" t="n">
        <v>40</v>
      </c>
      <c r="BN704" s="41" t="n">
        <v>63</v>
      </c>
      <c r="BO704" s="42" t="n">
        <v>25</v>
      </c>
      <c r="BP704" s="43" t="n">
        <v>42</v>
      </c>
      <c r="BQ704" s="44" t="n">
        <v>67</v>
      </c>
      <c r="BR704" s="42" t="n">
        <v>26</v>
      </c>
      <c r="BS704" s="45" t="n">
        <v>54</v>
      </c>
      <c r="BT704" s="45" t="n">
        <v>80</v>
      </c>
      <c r="BU704" s="46" t="n">
        <v>100</v>
      </c>
      <c r="BV704" s="47" t="n">
        <v>88</v>
      </c>
      <c r="BW704" s="42" t="n">
        <v>93</v>
      </c>
      <c r="BX704" s="107"/>
      <c r="BY704" s="130"/>
      <c r="BZ704" s="60"/>
      <c r="CA704" s="60"/>
      <c r="CB704" s="61"/>
      <c r="CC704" s="60"/>
      <c r="CD704" s="60"/>
      <c r="CE704" s="60"/>
      <c r="CF704" s="60"/>
      <c r="CG704" s="60"/>
      <c r="CH704" s="60"/>
      <c r="CI704" s="60"/>
      <c r="CJ704" s="60"/>
      <c r="CK704" s="60"/>
      <c r="CL704" s="61"/>
      <c r="CM704" s="60"/>
      <c r="CN704" s="60"/>
      <c r="CO704" s="60"/>
      <c r="CP704" s="25" t="n">
        <f aca="false">BX704+BW704+BV704+BU704+BT704+BQ704+BN704</f>
        <v>491</v>
      </c>
      <c r="CQ704" s="25" t="n">
        <f aca="false">CO704+CL704+CI704+CH704+CG704+CD704+CA704</f>
        <v>0</v>
      </c>
      <c r="CR704" s="26" t="n">
        <f aca="false">CP704/7</f>
        <v>70.1428571428571</v>
      </c>
      <c r="CS704" s="26" t="n">
        <f aca="false">CQ704/7</f>
        <v>0</v>
      </c>
      <c r="CT704" s="24" t="n">
        <f aca="false">RANK(CR704,$CR$2:$CR$881,0)</f>
        <v>686</v>
      </c>
      <c r="CU704" s="25" t="n">
        <f aca="false">RANK(CS704,$CS$2:$CS$881,0)</f>
        <v>752</v>
      </c>
      <c r="CV704" s="26" t="n">
        <f aca="false">(CS704+CR704)/2</f>
        <v>35.0714285714286</v>
      </c>
      <c r="CW704" s="25" t="n">
        <f aca="false">RANK(CV704,$CV$2:$CV$881,0)</f>
        <v>737</v>
      </c>
      <c r="CX704" s="50" t="n">
        <f aca="false">(CV704+BB704)/2</f>
        <v>56.7857142857143</v>
      </c>
      <c r="CY704" s="50" t="n">
        <v>666</v>
      </c>
      <c r="CZ704" s="27" t="s">
        <v>132</v>
      </c>
      <c r="DA704" s="27" t="s">
        <v>162</v>
      </c>
      <c r="DB704" s="27" t="s">
        <v>162</v>
      </c>
      <c r="DC704" s="27" t="s">
        <v>134</v>
      </c>
      <c r="DD704" s="27" t="s">
        <v>182</v>
      </c>
      <c r="DE704" s="27" t="s">
        <v>989</v>
      </c>
      <c r="DF704" s="27" t="s">
        <v>187</v>
      </c>
      <c r="DG704" s="27" t="s">
        <v>134</v>
      </c>
      <c r="DH704" s="27" t="s">
        <v>164</v>
      </c>
      <c r="DI704" s="27" t="s">
        <v>989</v>
      </c>
      <c r="DJ704" s="27" t="s">
        <v>138</v>
      </c>
      <c r="DK704" s="27" t="s">
        <v>134</v>
      </c>
      <c r="DL704" s="27" t="s">
        <v>154</v>
      </c>
      <c r="DM704" s="27" t="s">
        <v>897</v>
      </c>
      <c r="DN704" s="27" t="s">
        <v>187</v>
      </c>
      <c r="DO704" s="27" t="s">
        <v>134</v>
      </c>
      <c r="DP704" s="27" t="s">
        <v>1000</v>
      </c>
      <c r="DQ704" s="27" t="s">
        <v>681</v>
      </c>
      <c r="DR704" s="27" t="s">
        <v>177</v>
      </c>
      <c r="DS704" s="27" t="s">
        <v>134</v>
      </c>
      <c r="DT704" s="27" t="s">
        <v>160</v>
      </c>
      <c r="DU704" s="27" t="s">
        <v>160</v>
      </c>
      <c r="DV704" s="27" t="s">
        <v>220</v>
      </c>
      <c r="DW704" s="27" t="s">
        <v>154</v>
      </c>
      <c r="DX704" s="27" t="s">
        <v>203</v>
      </c>
      <c r="DY704" s="27" t="s">
        <v>175</v>
      </c>
      <c r="DZ704" s="27" t="n">
        <f aca="false">DY704+DV704+DR704+DN704+DJ704+DF704+DB704</f>
        <v>491</v>
      </c>
      <c r="EA704" s="28" t="n">
        <f aca="false">DZ704/7</f>
        <v>70.1428571428571</v>
      </c>
      <c r="EB704" s="27" t="n">
        <f aca="false">RANK(EA704,$EA$2:$EA$881,0)</f>
        <v>651</v>
      </c>
      <c r="EC704" s="29" t="n">
        <f aca="false">DZ704+CQ704+CP704+AZ704</f>
        <v>1767</v>
      </c>
      <c r="ED704" s="30" t="n">
        <f aca="false">(EA704+CV704+BB704)/3</f>
        <v>61.2380952380952</v>
      </c>
      <c r="EE704" s="51" t="n">
        <f aca="false">ROUND(BE704,3)</f>
        <v>86.293</v>
      </c>
      <c r="EF704" s="51" t="n">
        <f aca="false">ROUND(CR704,3)</f>
        <v>70.143</v>
      </c>
      <c r="EG704" s="51" t="n">
        <f aca="false">ROUND(CS704,3)</f>
        <v>0</v>
      </c>
      <c r="EH704" s="51" t="n">
        <f aca="false">ROUND(EA704,3)</f>
        <v>70.143</v>
      </c>
      <c r="EI704" s="51" t="n">
        <f aca="false">ROUND(ED704,3)</f>
        <v>61.238</v>
      </c>
      <c r="EJ704" s="51" t="n">
        <f aca="false">ROUND(CV704,3)</f>
        <v>35.071</v>
      </c>
      <c r="EK704" s="0" t="n">
        <f aca="false">RANK(EI704,$EI$2:$EI$881,0)</f>
        <v>703</v>
      </c>
    </row>
    <row r="705" customFormat="false" ht="15" hidden="false" customHeight="false" outlineLevel="0" collapsed="false">
      <c r="A705" s="4" t="n">
        <v>2031</v>
      </c>
      <c r="B705" s="4" t="n">
        <v>90</v>
      </c>
      <c r="C705" s="27" t="s">
        <v>2024</v>
      </c>
      <c r="D705" s="52" t="n">
        <v>91</v>
      </c>
      <c r="E705" s="16" t="n">
        <v>230224146</v>
      </c>
      <c r="F705" s="56" t="s">
        <v>2024</v>
      </c>
      <c r="G705" s="22" t="s">
        <v>2025</v>
      </c>
      <c r="H705" s="22" t="s">
        <v>326</v>
      </c>
      <c r="I705" s="57"/>
      <c r="J705" s="16" t="n">
        <v>70</v>
      </c>
      <c r="K705" s="16" t="n">
        <v>83</v>
      </c>
      <c r="L705" s="34" t="n">
        <f aca="false">(K705*70)/100</f>
        <v>58.1</v>
      </c>
      <c r="M705" s="34" t="n">
        <f aca="false">ROUNDUP(L705,0)</f>
        <v>59</v>
      </c>
      <c r="N705" s="16" t="n">
        <v>26</v>
      </c>
      <c r="O705" s="34" t="n">
        <f aca="false">N705+L705</f>
        <v>84.1</v>
      </c>
      <c r="P705" s="34" t="n">
        <f aca="false">N705+M705</f>
        <v>85</v>
      </c>
      <c r="Q705" s="16" t="n">
        <v>67</v>
      </c>
      <c r="R705" s="16" t="n">
        <v>70</v>
      </c>
      <c r="S705" s="34" t="n">
        <f aca="false">(R705*70)/100</f>
        <v>49</v>
      </c>
      <c r="T705" s="34" t="n">
        <f aca="false">ROUNDUP(S705,0)</f>
        <v>49</v>
      </c>
      <c r="U705" s="16" t="n">
        <v>26</v>
      </c>
      <c r="V705" s="34" t="n">
        <f aca="false">U705+S705</f>
        <v>75</v>
      </c>
      <c r="W705" s="34" t="n">
        <f aca="false">U705+T705</f>
        <v>75</v>
      </c>
      <c r="X705" s="16" t="n">
        <v>70</v>
      </c>
      <c r="Y705" s="34" t="n">
        <f aca="false">(X705*70)/100</f>
        <v>49</v>
      </c>
      <c r="Z705" s="34" t="n">
        <f aca="false">ROUNDUP(Y705,0)</f>
        <v>49</v>
      </c>
      <c r="AA705" s="16" t="n">
        <v>28</v>
      </c>
      <c r="AB705" s="34" t="n">
        <f aca="false">AA705+Y705</f>
        <v>77</v>
      </c>
      <c r="AC705" s="34" t="n">
        <f aca="false">AA705+Z705</f>
        <v>77</v>
      </c>
      <c r="AD705" s="32" t="n">
        <f aca="false">X705+R705+Q705+K705+J705</f>
        <v>360</v>
      </c>
      <c r="AE705" s="16" t="n">
        <f aca="false">AD705/5</f>
        <v>72</v>
      </c>
      <c r="AF705" s="16" t="n">
        <v>70</v>
      </c>
      <c r="AG705" s="16" t="n">
        <v>84</v>
      </c>
      <c r="AH705" s="16" t="n">
        <v>92</v>
      </c>
      <c r="AI705" s="16" t="n">
        <v>85</v>
      </c>
      <c r="AJ705" s="16" t="n">
        <f aca="false">(AI705*70)/100</f>
        <v>59.5</v>
      </c>
      <c r="AK705" s="35" t="n">
        <f aca="false">ROUNDUP(AJ705,0)</f>
        <v>60</v>
      </c>
      <c r="AL705" s="16" t="n">
        <v>18</v>
      </c>
      <c r="AM705" s="16" t="n">
        <f aca="false">AL705+AJ705</f>
        <v>77.5</v>
      </c>
      <c r="AN705" s="16" t="n">
        <f aca="false">AL705+AK705</f>
        <v>78</v>
      </c>
      <c r="AO705" s="16" t="n">
        <v>68</v>
      </c>
      <c r="AP705" s="36" t="n">
        <f aca="false">(AO705*70)/100</f>
        <v>47.6</v>
      </c>
      <c r="AQ705" s="37" t="n">
        <f aca="false">ROUNDUP(AP705,0)</f>
        <v>48</v>
      </c>
      <c r="AR705" s="16" t="n">
        <v>25</v>
      </c>
      <c r="AS705" s="16" t="n">
        <f aca="false">AR705+AP705</f>
        <v>72.6</v>
      </c>
      <c r="AT705" s="16" t="n">
        <f aca="false">AR705+AQ705</f>
        <v>73</v>
      </c>
      <c r="AU705" s="16" t="n">
        <f aca="false">AO705+AF705+AI705+AH705+AG705</f>
        <v>399</v>
      </c>
      <c r="AV705" s="16" t="n">
        <f aca="false">(AO705+AF705+AI705+AH705+AG705)/5</f>
        <v>79.8</v>
      </c>
      <c r="AW705" s="36" t="n">
        <f aca="false">(AO705+AF705+AI705+AH705+AG705+X705+R705+Q705+K705+J705)</f>
        <v>759</v>
      </c>
      <c r="AX705" s="16" t="n">
        <f aca="false">AW705/10</f>
        <v>75.9</v>
      </c>
      <c r="AY705" s="16" t="n">
        <f aca="false">AS705+AF705+AM705+AH705+AG705+AB705+V705+Q705+O705+J705</f>
        <v>769.2</v>
      </c>
      <c r="AZ705" s="16" t="n">
        <f aca="false">AT705+AF705+AN705+AH705+AG705+AC705+W705+Q705+P705+J705</f>
        <v>771</v>
      </c>
      <c r="BA705" s="16" t="n">
        <f aca="false">AY705/10</f>
        <v>76.92</v>
      </c>
      <c r="BB705" s="16" t="n">
        <f aca="false">AZ705/10</f>
        <v>77.1</v>
      </c>
      <c r="BC705" s="16" t="n">
        <v>2367</v>
      </c>
      <c r="BD705" s="16" t="n">
        <f aca="false">RANK(AX705,$AX$2:$AX$881,0)</f>
        <v>628</v>
      </c>
      <c r="BE705" s="73" t="n">
        <f aca="false">((BC705*100)/2400)*0.4+(AX705*0.6)</f>
        <v>84.99</v>
      </c>
      <c r="BF705" s="16" t="n">
        <f aca="false">RANK(BE705,$BE$2:$BE$881,0)</f>
        <v>616</v>
      </c>
      <c r="BG705" s="39" t="n">
        <f aca="false">RANK(BB705,$BB$2:$BB$881,0)</f>
        <v>632</v>
      </c>
      <c r="BH705" s="39" t="n">
        <f aca="false">RANK(BC705,$BC$2:$BC$881,0)</f>
        <v>308</v>
      </c>
      <c r="BI705" s="22" t="s">
        <v>130</v>
      </c>
      <c r="BJ705" s="22" t="s">
        <v>129</v>
      </c>
      <c r="BK705" s="22" t="s">
        <v>509</v>
      </c>
      <c r="BL705" s="41" t="n">
        <v>17</v>
      </c>
      <c r="BM705" s="41" t="n">
        <v>42</v>
      </c>
      <c r="BN705" s="98" t="n">
        <v>59</v>
      </c>
      <c r="BO705" s="42" t="n">
        <v>17</v>
      </c>
      <c r="BP705" s="43" t="n">
        <v>47</v>
      </c>
      <c r="BQ705" s="44" t="n">
        <v>64</v>
      </c>
      <c r="BR705" s="42" t="n">
        <v>19</v>
      </c>
      <c r="BS705" s="24" t="n">
        <v>54</v>
      </c>
      <c r="BT705" s="24" t="n">
        <v>73</v>
      </c>
      <c r="BU705" s="46" t="n">
        <v>98</v>
      </c>
      <c r="BV705" s="47" t="n">
        <v>70</v>
      </c>
      <c r="BW705" s="42" t="n">
        <v>86</v>
      </c>
      <c r="BX705" s="48" t="n">
        <v>78</v>
      </c>
      <c r="BY705" s="32" t="n">
        <v>17</v>
      </c>
      <c r="BZ705" s="32" t="n">
        <v>47</v>
      </c>
      <c r="CA705" s="48" t="n">
        <v>64</v>
      </c>
      <c r="CB705" s="32" t="n">
        <v>20</v>
      </c>
      <c r="CC705" s="32" t="n">
        <v>29</v>
      </c>
      <c r="CD705" s="69" t="n">
        <v>49</v>
      </c>
      <c r="CE705" s="32" t="n">
        <v>21</v>
      </c>
      <c r="CF705" s="32" t="n">
        <v>46</v>
      </c>
      <c r="CG705" s="32" t="n">
        <v>67</v>
      </c>
      <c r="CH705" s="32" t="n">
        <v>88</v>
      </c>
      <c r="CI705" s="32" t="n">
        <v>93</v>
      </c>
      <c r="CJ705" s="49" t="n">
        <v>12</v>
      </c>
      <c r="CK705" s="49" t="n">
        <v>42</v>
      </c>
      <c r="CL705" s="76" t="n">
        <v>54</v>
      </c>
      <c r="CM705" s="49" t="n">
        <v>17</v>
      </c>
      <c r="CN705" s="49" t="n">
        <v>42</v>
      </c>
      <c r="CO705" s="76" t="n">
        <v>59</v>
      </c>
      <c r="CP705" s="25" t="n">
        <f aca="false">BX705+BW705+BV705+BU705+BT705+BQ705+BN705</f>
        <v>528</v>
      </c>
      <c r="CQ705" s="25" t="n">
        <f aca="false">CO705+CL705+CI705+CH705+CG705+CD705+CA705</f>
        <v>474</v>
      </c>
      <c r="CR705" s="26" t="n">
        <f aca="false">CP705/7</f>
        <v>75.4285714285714</v>
      </c>
      <c r="CS705" s="26" t="n">
        <f aca="false">CQ705/7</f>
        <v>67.7142857142857</v>
      </c>
      <c r="CT705" s="24" t="n">
        <f aca="false">RANK(CR705,$CR$2:$CR$881,0)</f>
        <v>642</v>
      </c>
      <c r="CU705" s="25" t="n">
        <f aca="false">RANK(CS705,$CS$2:$CS$881,0)</f>
        <v>591</v>
      </c>
      <c r="CV705" s="26" t="n">
        <f aca="false">(CS705+CR705)/2</f>
        <v>71.5714285714286</v>
      </c>
      <c r="CW705" s="25" t="n">
        <f aca="false">RANK(CV705,$CV$2:$CV$881,0)</f>
        <v>620</v>
      </c>
      <c r="CX705" s="50" t="n">
        <f aca="false">(CV705+BB705)/2</f>
        <v>74.3357142857143</v>
      </c>
      <c r="CY705" s="50" t="n">
        <v>571</v>
      </c>
      <c r="CZ705" s="27" t="s">
        <v>132</v>
      </c>
      <c r="DA705" s="27" t="s">
        <v>442</v>
      </c>
      <c r="DB705" s="27" t="s">
        <v>442</v>
      </c>
      <c r="DC705" s="27" t="s">
        <v>480</v>
      </c>
      <c r="DD705" s="27" t="s">
        <v>191</v>
      </c>
      <c r="DE705" s="27" t="s">
        <v>897</v>
      </c>
      <c r="DF705" s="27" t="s">
        <v>136</v>
      </c>
      <c r="DG705" s="27" t="s">
        <v>134</v>
      </c>
      <c r="DH705" s="27" t="s">
        <v>174</v>
      </c>
      <c r="DI705" s="27" t="s">
        <v>906</v>
      </c>
      <c r="DJ705" s="27" t="s">
        <v>177</v>
      </c>
      <c r="DK705" s="27" t="s">
        <v>134</v>
      </c>
      <c r="DL705" s="27"/>
      <c r="DM705" s="27"/>
      <c r="DN705" s="27"/>
      <c r="DO705" s="27"/>
      <c r="DP705" s="27"/>
      <c r="DQ705" s="27"/>
      <c r="DR705" s="27"/>
      <c r="DS705" s="27"/>
      <c r="DT705" s="27" t="s">
        <v>485</v>
      </c>
      <c r="DU705" s="27" t="s">
        <v>604</v>
      </c>
      <c r="DV705" s="27" t="s">
        <v>1388</v>
      </c>
      <c r="DW705" s="27" t="s">
        <v>604</v>
      </c>
      <c r="DX705" s="27" t="s">
        <v>706</v>
      </c>
      <c r="DY705" s="27" t="s">
        <v>1423</v>
      </c>
      <c r="DZ705" s="27" t="n">
        <f aca="false">DY705+DV705+DR705+DN705+DJ705+DF705+DB705</f>
        <v>236</v>
      </c>
      <c r="EA705" s="28" t="n">
        <f aca="false">DZ705/7</f>
        <v>33.7142857142857</v>
      </c>
      <c r="EB705" s="27" t="n">
        <f aca="false">RANK(EA705,$EA$2:$EA$881,0)</f>
        <v>863</v>
      </c>
      <c r="EC705" s="29" t="n">
        <f aca="false">DZ705+CQ705+CP705+AZ705</f>
        <v>2009</v>
      </c>
      <c r="ED705" s="30" t="n">
        <f aca="false">(EA705+CV705+BB705)/3</f>
        <v>60.7952380952381</v>
      </c>
      <c r="EE705" s="51" t="n">
        <f aca="false">ROUND(BE705,3)</f>
        <v>84.99</v>
      </c>
      <c r="EF705" s="51" t="n">
        <f aca="false">ROUND(CR705,3)</f>
        <v>75.429</v>
      </c>
      <c r="EG705" s="51" t="n">
        <f aca="false">ROUND(CS705,3)</f>
        <v>67.714</v>
      </c>
      <c r="EH705" s="51" t="n">
        <f aca="false">ROUND(EA705,3)</f>
        <v>33.714</v>
      </c>
      <c r="EI705" s="51" t="n">
        <f aca="false">ROUND(ED705,3)</f>
        <v>60.795</v>
      </c>
      <c r="EJ705" s="51" t="n">
        <f aca="false">ROUND(CV705,3)</f>
        <v>71.571</v>
      </c>
      <c r="EK705" s="0" t="n">
        <f aca="false">RANK(EI705,$EI$2:$EI$881,0)</f>
        <v>704</v>
      </c>
    </row>
    <row r="706" customFormat="false" ht="15" hidden="false" customHeight="false" outlineLevel="0" collapsed="false">
      <c r="A706" s="4" t="n">
        <v>1950</v>
      </c>
      <c r="B706" s="4" t="n">
        <v>114</v>
      </c>
      <c r="C706" s="27" t="s">
        <v>2026</v>
      </c>
      <c r="D706" s="31" t="n">
        <v>114</v>
      </c>
      <c r="E706" s="16" t="n">
        <v>230515877</v>
      </c>
      <c r="F706" s="56" t="s">
        <v>2027</v>
      </c>
      <c r="G706" s="22" t="s">
        <v>997</v>
      </c>
      <c r="H706" s="22" t="s">
        <v>465</v>
      </c>
      <c r="I706" s="57"/>
      <c r="J706" s="16" t="n">
        <v>77</v>
      </c>
      <c r="K706" s="16" t="n">
        <v>84</v>
      </c>
      <c r="L706" s="34" t="n">
        <f aca="false">(K706*70)/100</f>
        <v>58.8</v>
      </c>
      <c r="M706" s="34" t="n">
        <f aca="false">ROUNDUP(L706,0)</f>
        <v>59</v>
      </c>
      <c r="N706" s="16" t="n">
        <v>28</v>
      </c>
      <c r="O706" s="34" t="n">
        <f aca="false">N706+L706</f>
        <v>86.8</v>
      </c>
      <c r="P706" s="34" t="n">
        <f aca="false">N706+M706</f>
        <v>87</v>
      </c>
      <c r="Q706" s="16" t="n">
        <v>61</v>
      </c>
      <c r="R706" s="16" t="n">
        <v>76</v>
      </c>
      <c r="S706" s="34" t="n">
        <f aca="false">(R706*70)/100</f>
        <v>53.2</v>
      </c>
      <c r="T706" s="34" t="n">
        <f aca="false">ROUNDUP(S706,0)</f>
        <v>54</v>
      </c>
      <c r="U706" s="16" t="n">
        <v>27</v>
      </c>
      <c r="V706" s="34" t="n">
        <f aca="false">U706+S706</f>
        <v>80.2</v>
      </c>
      <c r="W706" s="34" t="n">
        <f aca="false">U706+T706</f>
        <v>81</v>
      </c>
      <c r="X706" s="16" t="n">
        <v>66</v>
      </c>
      <c r="Y706" s="34" t="n">
        <f aca="false">(X706*70)/100</f>
        <v>46.2</v>
      </c>
      <c r="Z706" s="34" t="n">
        <f aca="false">ROUNDUP(Y706,0)</f>
        <v>47</v>
      </c>
      <c r="AA706" s="16" t="n">
        <v>29</v>
      </c>
      <c r="AB706" s="34" t="n">
        <f aca="false">AA706+Y706</f>
        <v>75.2</v>
      </c>
      <c r="AC706" s="34" t="n">
        <f aca="false">AA706+Z706</f>
        <v>76</v>
      </c>
      <c r="AD706" s="32" t="n">
        <f aca="false">X706+R706+Q706+K706+J706</f>
        <v>364</v>
      </c>
      <c r="AE706" s="16" t="n">
        <f aca="false">AD706/5</f>
        <v>72.8</v>
      </c>
      <c r="AF706" s="16" t="n">
        <v>76</v>
      </c>
      <c r="AG706" s="16" t="n">
        <v>84</v>
      </c>
      <c r="AH706" s="16" t="n">
        <v>89</v>
      </c>
      <c r="AI706" s="16" t="n">
        <v>91</v>
      </c>
      <c r="AJ706" s="16" t="n">
        <f aca="false">(AI706*70)/100</f>
        <v>63.7</v>
      </c>
      <c r="AK706" s="35" t="n">
        <f aca="false">ROUNDUP(AJ706,0)</f>
        <v>64</v>
      </c>
      <c r="AL706" s="16" t="n">
        <v>27</v>
      </c>
      <c r="AM706" s="16" t="n">
        <f aca="false">AL706+AJ706</f>
        <v>90.7</v>
      </c>
      <c r="AN706" s="16" t="n">
        <f aca="false">AL706+AK706</f>
        <v>91</v>
      </c>
      <c r="AO706" s="16" t="n">
        <v>74</v>
      </c>
      <c r="AP706" s="36" t="n">
        <f aca="false">(AO706*70)/100</f>
        <v>51.8</v>
      </c>
      <c r="AQ706" s="37" t="n">
        <f aca="false">ROUNDUP(AP706,0)</f>
        <v>52</v>
      </c>
      <c r="AR706" s="16" t="n">
        <v>27</v>
      </c>
      <c r="AS706" s="16" t="n">
        <f aca="false">AR706+AP706</f>
        <v>78.8</v>
      </c>
      <c r="AT706" s="16" t="n">
        <f aca="false">AR706+AQ706</f>
        <v>79</v>
      </c>
      <c r="AU706" s="16" t="n">
        <f aca="false">AO706+AF706+AI706+AH706+AG706</f>
        <v>414</v>
      </c>
      <c r="AV706" s="16" t="n">
        <f aca="false">(AO706+AF706+AI706+AH706+AG706)/5</f>
        <v>82.8</v>
      </c>
      <c r="AW706" s="36" t="n">
        <f aca="false">(AO706+AF706+AI706+AH706+AG706+X706+R706+Q706+K706+J706)</f>
        <v>778</v>
      </c>
      <c r="AX706" s="16" t="n">
        <f aca="false">AW706/10</f>
        <v>77.8</v>
      </c>
      <c r="AY706" s="16" t="n">
        <f aca="false">AS706+AF706+AM706+AH706+AG706+AB706+V706+Q706+O706+J706</f>
        <v>798.7</v>
      </c>
      <c r="AZ706" s="16" t="n">
        <f aca="false">AT706+AF706+AN706+AH706+AG706+AC706+W706+Q706+P706+J706</f>
        <v>801</v>
      </c>
      <c r="BA706" s="16" t="n">
        <f aca="false">AY706/10</f>
        <v>79.87</v>
      </c>
      <c r="BB706" s="16" t="n">
        <f aca="false">AZ706/10</f>
        <v>80.1</v>
      </c>
      <c r="BC706" s="16" t="n">
        <v>2345</v>
      </c>
      <c r="BD706" s="16" t="n">
        <f aca="false">RANK(AX706,$AX$2:$AX$881,0)</f>
        <v>424</v>
      </c>
      <c r="BE706" s="54" t="n">
        <f aca="false">((BC706*100)/2400)*0.4+(AX706*0.6)</f>
        <v>85.7633333333333</v>
      </c>
      <c r="BF706" s="16" t="n">
        <f aca="false">RANK(BE706,$BE$2:$BE$881,0)</f>
        <v>473</v>
      </c>
      <c r="BG706" s="39" t="n">
        <f aca="false">RANK(BB706,$BB$2:$BB$881,0)</f>
        <v>346</v>
      </c>
      <c r="BH706" s="39" t="n">
        <f aca="false">RANK(BC706,$BC$2:$BC$881,0)</f>
        <v>585</v>
      </c>
      <c r="BI706" s="22" t="s">
        <v>130</v>
      </c>
      <c r="BJ706" s="22" t="s">
        <v>129</v>
      </c>
      <c r="BK706" s="40" t="s">
        <v>509</v>
      </c>
      <c r="BL706" s="41" t="n">
        <v>15</v>
      </c>
      <c r="BM706" s="41" t="n">
        <v>55</v>
      </c>
      <c r="BN706" s="41" t="n">
        <v>70</v>
      </c>
      <c r="BO706" s="42" t="n">
        <v>24</v>
      </c>
      <c r="BP706" s="43" t="n">
        <v>55</v>
      </c>
      <c r="BQ706" s="44" t="n">
        <v>79</v>
      </c>
      <c r="BR706" s="42" t="n">
        <v>18</v>
      </c>
      <c r="BS706" s="45" t="n">
        <v>62</v>
      </c>
      <c r="BT706" s="45" t="n">
        <v>80</v>
      </c>
      <c r="BU706" s="46" t="n">
        <v>99</v>
      </c>
      <c r="BV706" s="47" t="n">
        <v>96</v>
      </c>
      <c r="BW706" s="42" t="n">
        <v>99</v>
      </c>
      <c r="BX706" s="107"/>
      <c r="BY706" s="130"/>
      <c r="BZ706" s="60"/>
      <c r="CA706" s="60"/>
      <c r="CB706" s="61"/>
      <c r="CC706" s="60"/>
      <c r="CD706" s="60"/>
      <c r="CE706" s="60"/>
      <c r="CF706" s="60"/>
      <c r="CG706" s="60"/>
      <c r="CH706" s="60"/>
      <c r="CI706" s="60"/>
      <c r="CJ706" s="60"/>
      <c r="CK706" s="60"/>
      <c r="CL706" s="61"/>
      <c r="CM706" s="60"/>
      <c r="CN706" s="60"/>
      <c r="CO706" s="60"/>
      <c r="CP706" s="25" t="n">
        <f aca="false">BX706+BW706+BV706+BU706+BT706+BQ706+BN706</f>
        <v>523</v>
      </c>
      <c r="CQ706" s="25" t="n">
        <f aca="false">CO706+CL706+CI706+CH706+CG706+CD706+CA706</f>
        <v>0</v>
      </c>
      <c r="CR706" s="26" t="n">
        <f aca="false">CP706/7</f>
        <v>74.7142857142857</v>
      </c>
      <c r="CS706" s="26" t="n">
        <f aca="false">CQ706/7</f>
        <v>0</v>
      </c>
      <c r="CT706" s="24" t="n">
        <f aca="false">RANK(CR706,$CR$2:$CR$881,0)</f>
        <v>649</v>
      </c>
      <c r="CU706" s="25" t="n">
        <f aca="false">RANK(CS706,$CS$2:$CS$881,0)</f>
        <v>752</v>
      </c>
      <c r="CV706" s="26" t="n">
        <f aca="false">(CS706+CR706)/2</f>
        <v>37.3571428571429</v>
      </c>
      <c r="CW706" s="25" t="n">
        <f aca="false">RANK(CV706,$CV$2:$CV$881,0)</f>
        <v>727</v>
      </c>
      <c r="CX706" s="50" t="n">
        <f aca="false">(CV706+BB706)/2</f>
        <v>58.7285714285714</v>
      </c>
      <c r="CY706" s="50" t="n">
        <v>650</v>
      </c>
      <c r="CZ706" s="27" t="s">
        <v>132</v>
      </c>
      <c r="DA706" s="27" t="s">
        <v>443</v>
      </c>
      <c r="DB706" s="27" t="s">
        <v>443</v>
      </c>
      <c r="DC706" s="27" t="s">
        <v>134</v>
      </c>
      <c r="DD706" s="27" t="s">
        <v>182</v>
      </c>
      <c r="DE706" s="27" t="s">
        <v>375</v>
      </c>
      <c r="DF706" s="27" t="s">
        <v>372</v>
      </c>
      <c r="DG706" s="27" t="s">
        <v>134</v>
      </c>
      <c r="DH706" s="27" t="s">
        <v>135</v>
      </c>
      <c r="DI706" s="27" t="s">
        <v>897</v>
      </c>
      <c r="DJ706" s="27" t="s">
        <v>143</v>
      </c>
      <c r="DK706" s="27" t="s">
        <v>134</v>
      </c>
      <c r="DL706" s="27" t="s">
        <v>195</v>
      </c>
      <c r="DM706" s="27" t="s">
        <v>220</v>
      </c>
      <c r="DN706" s="27" t="s">
        <v>382</v>
      </c>
      <c r="DO706" s="27" t="s">
        <v>134</v>
      </c>
      <c r="DP706" s="27"/>
      <c r="DQ706" s="27"/>
      <c r="DR706" s="27"/>
      <c r="DS706" s="27"/>
      <c r="DT706" s="27" t="s">
        <v>137</v>
      </c>
      <c r="DU706" s="27" t="s">
        <v>989</v>
      </c>
      <c r="DV706" s="27" t="s">
        <v>143</v>
      </c>
      <c r="DW706" s="27" t="s">
        <v>195</v>
      </c>
      <c r="DX706" s="27" t="s">
        <v>138</v>
      </c>
      <c r="DY706" s="27" t="s">
        <v>153</v>
      </c>
      <c r="DZ706" s="27" t="n">
        <f aca="false">DY706+DV706+DR706+DN706+DJ706+DF706+DB706</f>
        <v>453</v>
      </c>
      <c r="EA706" s="28" t="n">
        <f aca="false">DZ706/7</f>
        <v>64.7142857142857</v>
      </c>
      <c r="EB706" s="27" t="n">
        <f aca="false">RANK(EA706,$EA$2:$EA$881,0)</f>
        <v>736</v>
      </c>
      <c r="EC706" s="29" t="n">
        <f aca="false">DZ706+CQ706+CP706+AZ706</f>
        <v>1777</v>
      </c>
      <c r="ED706" s="30" t="n">
        <f aca="false">(EA706+CV706+BB706)/3</f>
        <v>60.7238095238095</v>
      </c>
      <c r="EE706" s="51" t="n">
        <f aca="false">ROUND(BE706,3)</f>
        <v>85.763</v>
      </c>
      <c r="EF706" s="51" t="n">
        <f aca="false">ROUND(CR706,3)</f>
        <v>74.714</v>
      </c>
      <c r="EG706" s="51" t="n">
        <f aca="false">ROUND(CS706,3)</f>
        <v>0</v>
      </c>
      <c r="EH706" s="51" t="n">
        <f aca="false">ROUND(EA706,3)</f>
        <v>64.714</v>
      </c>
      <c r="EI706" s="51" t="n">
        <f aca="false">ROUND(ED706,3)</f>
        <v>60.724</v>
      </c>
      <c r="EJ706" s="51" t="n">
        <f aca="false">ROUND(CV706,3)</f>
        <v>37.357</v>
      </c>
      <c r="EK706" s="0" t="n">
        <f aca="false">RANK(EI706,$EI$2:$EI$881,0)</f>
        <v>705</v>
      </c>
    </row>
    <row r="707" customFormat="false" ht="15" hidden="false" customHeight="false" outlineLevel="0" collapsed="false">
      <c r="A707" s="4" t="n">
        <v>8609</v>
      </c>
      <c r="B707" s="4" t="n">
        <v>311</v>
      </c>
      <c r="C707" s="27" t="s">
        <v>2028</v>
      </c>
      <c r="D707" s="52" t="n">
        <v>311</v>
      </c>
      <c r="E707" s="109" t="n">
        <v>230322857</v>
      </c>
      <c r="F707" s="110" t="s">
        <v>2029</v>
      </c>
      <c r="G707" s="109" t="s">
        <v>280</v>
      </c>
      <c r="H707" s="109" t="s">
        <v>129</v>
      </c>
      <c r="I707" s="19" t="n">
        <v>2005</v>
      </c>
      <c r="J707" s="111" t="n">
        <v>60</v>
      </c>
      <c r="K707" s="111" t="n">
        <v>36</v>
      </c>
      <c r="L707" s="112" t="n">
        <f aca="false">(K707*70)/100</f>
        <v>25.2</v>
      </c>
      <c r="M707" s="112" t="n">
        <f aca="false">ROUNDUP(L707,0)</f>
        <v>26</v>
      </c>
      <c r="N707" s="111" t="n">
        <v>24</v>
      </c>
      <c r="O707" s="112" t="n">
        <f aca="false">N707+L707</f>
        <v>49.2</v>
      </c>
      <c r="P707" s="112" t="n">
        <f aca="false">N707+M707</f>
        <v>50</v>
      </c>
      <c r="Q707" s="113" t="n">
        <v>49</v>
      </c>
      <c r="R707" s="111" t="n">
        <v>49</v>
      </c>
      <c r="S707" s="112" t="n">
        <f aca="false">(R707*70)/100</f>
        <v>34.3</v>
      </c>
      <c r="T707" s="112" t="n">
        <f aca="false">ROUNDUP(S707,0)</f>
        <v>35</v>
      </c>
      <c r="U707" s="111" t="n">
        <v>22</v>
      </c>
      <c r="V707" s="112" t="n">
        <f aca="false">U707+S707</f>
        <v>56.3</v>
      </c>
      <c r="W707" s="112" t="n">
        <f aca="false">U707+T707</f>
        <v>57</v>
      </c>
      <c r="X707" s="111" t="n">
        <v>42</v>
      </c>
      <c r="Y707" s="112" t="n">
        <f aca="false">(X707*70)/100</f>
        <v>29.4</v>
      </c>
      <c r="Z707" s="112" t="n">
        <f aca="false">ROUNDUP(Y707,0)</f>
        <v>30</v>
      </c>
      <c r="AA707" s="111" t="n">
        <v>20</v>
      </c>
      <c r="AB707" s="112" t="n">
        <f aca="false">AA707+Y707</f>
        <v>49.4</v>
      </c>
      <c r="AC707" s="112" t="n">
        <f aca="false">AA707+Z707</f>
        <v>50</v>
      </c>
      <c r="AD707" s="111" t="n">
        <f aca="false">X707+R707+Q707+K707+J707</f>
        <v>236</v>
      </c>
      <c r="AE707" s="114" t="n">
        <v>47.2</v>
      </c>
      <c r="AF707" s="19" t="n">
        <v>42</v>
      </c>
      <c r="AG707" s="19" t="n">
        <v>54</v>
      </c>
      <c r="AH707" s="19" t="n">
        <v>63</v>
      </c>
      <c r="AI707" s="19" t="n">
        <v>65</v>
      </c>
      <c r="AJ707" s="19" t="n">
        <f aca="false">(AI707*70)/100</f>
        <v>45.5</v>
      </c>
      <c r="AK707" s="115" t="n">
        <f aca="false">ROUNDUP(AJ707,0)</f>
        <v>46</v>
      </c>
      <c r="AL707" s="19" t="n">
        <v>25</v>
      </c>
      <c r="AM707" s="19" t="n">
        <f aca="false">AL707+AJ707</f>
        <v>70.5</v>
      </c>
      <c r="AN707" s="19" t="n">
        <f aca="false">AL707+AK707</f>
        <v>71</v>
      </c>
      <c r="AO707" s="19" t="n">
        <v>43</v>
      </c>
      <c r="AP707" s="116" t="n">
        <f aca="false">(AO707*70)/100</f>
        <v>30.1</v>
      </c>
      <c r="AQ707" s="117" t="n">
        <f aca="false">ROUNDUP(AP707,0)</f>
        <v>31</v>
      </c>
      <c r="AR707" s="19" t="n">
        <v>27</v>
      </c>
      <c r="AS707" s="19" t="n">
        <f aca="false">AR707+AP707</f>
        <v>57.1</v>
      </c>
      <c r="AT707" s="19" t="n">
        <f aca="false">AR707+AQ707</f>
        <v>58</v>
      </c>
      <c r="AU707" s="19" t="n">
        <f aca="false">AO707+AF707+AI707+AH707+AG707</f>
        <v>267</v>
      </c>
      <c r="AV707" s="19" t="n">
        <f aca="false">(AO707+AF707+AI707+AH707+AG707)/5</f>
        <v>53.4</v>
      </c>
      <c r="AW707" s="116" t="n">
        <f aca="false">(AO707+AF707+AI707+AH707+AG707+X707+R707+Q707+K707+J707)</f>
        <v>503</v>
      </c>
      <c r="AX707" s="16" t="n">
        <f aca="false">AW707/10</f>
        <v>50.3</v>
      </c>
      <c r="AY707" s="16" t="n">
        <f aca="false">AS707+AF707+AM707+AH707+AG707+AB707+V707+Q707+O707+J707</f>
        <v>550.5</v>
      </c>
      <c r="AZ707" s="16" t="n">
        <f aca="false">AT707+AF707+AN707+AH707+AG707+AC707+W707+Q707+P707+J707</f>
        <v>554</v>
      </c>
      <c r="BA707" s="16" t="n">
        <f aca="false">AY707/10</f>
        <v>55.05</v>
      </c>
      <c r="BB707" s="16" t="n">
        <f aca="false">AZ707/10</f>
        <v>55.4</v>
      </c>
      <c r="BC707" s="16" t="n">
        <v>1963</v>
      </c>
      <c r="BD707" s="16" t="n">
        <f aca="false">RANK(AX707,$AX$2:$AX$881,0)</f>
        <v>804</v>
      </c>
      <c r="BE707" s="20" t="n">
        <f aca="false">((BC707*100)/2400)*0.4+(AX707*0.6)</f>
        <v>62.8966666666667</v>
      </c>
      <c r="BF707" s="16" t="n">
        <f aca="false">RANK(BE707,$BE$2:$BE$881,0)</f>
        <v>803</v>
      </c>
      <c r="BG707" s="39" t="n">
        <f aca="false">RANK(BB707,$BB$2:$BB$881,0)</f>
        <v>798</v>
      </c>
      <c r="BH707" s="39" t="n">
        <f aca="false">RANK(BC707,$BC$2:$BC$881,0)</f>
        <v>777</v>
      </c>
      <c r="BI707" s="19" t="s">
        <v>130</v>
      </c>
      <c r="BJ707" s="19" t="s">
        <v>129</v>
      </c>
      <c r="BK707" s="109" t="s">
        <v>1596</v>
      </c>
      <c r="BL707" s="41" t="n">
        <v>13</v>
      </c>
      <c r="BM707" s="41" t="n">
        <v>31</v>
      </c>
      <c r="BN707" s="98" t="n">
        <v>44</v>
      </c>
      <c r="BO707" s="42" t="n">
        <v>17</v>
      </c>
      <c r="BP707" s="43" t="n">
        <v>47</v>
      </c>
      <c r="BQ707" s="44" t="n">
        <v>64</v>
      </c>
      <c r="BR707" s="42" t="n">
        <v>21</v>
      </c>
      <c r="BS707" s="45" t="n">
        <v>43</v>
      </c>
      <c r="BT707" s="45" t="n">
        <v>64</v>
      </c>
      <c r="BU707" s="46" t="n">
        <v>88</v>
      </c>
      <c r="BV707" s="47" t="n">
        <v>80</v>
      </c>
      <c r="BW707" s="42" t="n">
        <v>90</v>
      </c>
      <c r="BX707" s="48" t="n">
        <v>78</v>
      </c>
      <c r="BY707" s="32" t="n">
        <v>23</v>
      </c>
      <c r="BZ707" s="32" t="n">
        <v>42</v>
      </c>
      <c r="CA707" s="32" t="n">
        <v>65</v>
      </c>
      <c r="CB707" s="32" t="n">
        <v>22</v>
      </c>
      <c r="CC707" s="32" t="n">
        <v>19</v>
      </c>
      <c r="CD707" s="69" t="n">
        <v>41</v>
      </c>
      <c r="CE707" s="32" t="n">
        <v>29</v>
      </c>
      <c r="CF707" s="32" t="n">
        <v>24</v>
      </c>
      <c r="CG707" s="69" t="n">
        <v>53</v>
      </c>
      <c r="CH707" s="32" t="n">
        <v>90</v>
      </c>
      <c r="CI707" s="32" t="n">
        <v>69</v>
      </c>
      <c r="CJ707" s="49" t="n">
        <v>14</v>
      </c>
      <c r="CK707" s="49" t="n">
        <v>42</v>
      </c>
      <c r="CL707" s="76" t="n">
        <v>56</v>
      </c>
      <c r="CM707" s="49" t="n">
        <v>23</v>
      </c>
      <c r="CN707" s="49" t="n">
        <v>43</v>
      </c>
      <c r="CO707" s="49" t="n">
        <v>66</v>
      </c>
      <c r="CP707" s="25" t="n">
        <f aca="false">BX707+BW707+BV707+BU707+BT707+BQ707+BN707</f>
        <v>508</v>
      </c>
      <c r="CQ707" s="25" t="n">
        <f aca="false">CO707+CL707+CI707+CH707+CG707+CD707+CA707</f>
        <v>440</v>
      </c>
      <c r="CR707" s="26" t="n">
        <f aca="false">CP707/7</f>
        <v>72.5714285714286</v>
      </c>
      <c r="CS707" s="26" t="n">
        <f aca="false">CQ707/7</f>
        <v>62.8571428571429</v>
      </c>
      <c r="CT707" s="24" t="n">
        <f aca="false">RANK(CR707,$CR$2:$CR$881,0)</f>
        <v>667</v>
      </c>
      <c r="CU707" s="25" t="n">
        <f aca="false">RANK(CS707,$CS$2:$CS$881,0)</f>
        <v>654</v>
      </c>
      <c r="CV707" s="26" t="n">
        <f aca="false">(CS707+CR707)/2</f>
        <v>67.7142857142857</v>
      </c>
      <c r="CW707" s="25" t="n">
        <f aca="false">RANK(CV707,$CV$2:$CV$881,0)</f>
        <v>654</v>
      </c>
      <c r="CX707" s="50" t="n">
        <f aca="false">(CV707+BB707)/2</f>
        <v>61.5571428571429</v>
      </c>
      <c r="CY707" s="50" t="n">
        <v>639</v>
      </c>
      <c r="CZ707" s="27" t="s">
        <v>132</v>
      </c>
      <c r="DA707" s="27" t="s">
        <v>305</v>
      </c>
      <c r="DB707" s="27" t="s">
        <v>305</v>
      </c>
      <c r="DC707" s="27" t="s">
        <v>134</v>
      </c>
      <c r="DD707" s="27" t="s">
        <v>195</v>
      </c>
      <c r="DE707" s="27" t="s">
        <v>375</v>
      </c>
      <c r="DF707" s="27" t="s">
        <v>416</v>
      </c>
      <c r="DG707" s="27" t="s">
        <v>134</v>
      </c>
      <c r="DH707" s="27" t="s">
        <v>191</v>
      </c>
      <c r="DI707" s="27" t="s">
        <v>1395</v>
      </c>
      <c r="DJ707" s="27" t="s">
        <v>304</v>
      </c>
      <c r="DK707" s="27" t="s">
        <v>480</v>
      </c>
      <c r="DL707" s="27" t="s">
        <v>195</v>
      </c>
      <c r="DM707" s="27" t="s">
        <v>1309</v>
      </c>
      <c r="DN707" s="27" t="s">
        <v>220</v>
      </c>
      <c r="DO707" s="27" t="s">
        <v>480</v>
      </c>
      <c r="DP707" s="27"/>
      <c r="DQ707" s="27"/>
      <c r="DR707" s="27"/>
      <c r="DS707" s="27"/>
      <c r="DT707" s="27" t="s">
        <v>182</v>
      </c>
      <c r="DU707" s="27" t="s">
        <v>1395</v>
      </c>
      <c r="DV707" s="27" t="s">
        <v>183</v>
      </c>
      <c r="DW707" s="27" t="s">
        <v>195</v>
      </c>
      <c r="DX707" s="27" t="s">
        <v>141</v>
      </c>
      <c r="DY707" s="27" t="s">
        <v>133</v>
      </c>
      <c r="DZ707" s="27" t="n">
        <f aca="false">DY707+DV707+DR707+DN707+DJ707+DF707+DB707</f>
        <v>405</v>
      </c>
      <c r="EA707" s="28" t="n">
        <f aca="false">DZ707/7</f>
        <v>57.8571428571429</v>
      </c>
      <c r="EB707" s="27" t="n">
        <f aca="false">RANK(EA707,$EA$2:$EA$881,0)</f>
        <v>808</v>
      </c>
      <c r="EC707" s="29" t="n">
        <f aca="false">DZ707+CQ707+CP707+AZ707</f>
        <v>1907</v>
      </c>
      <c r="ED707" s="30" t="n">
        <f aca="false">(EA707+CV707+BB707)/3</f>
        <v>60.3238095238095</v>
      </c>
      <c r="EE707" s="51" t="n">
        <f aca="false">ROUND(BE707,3)</f>
        <v>62.897</v>
      </c>
      <c r="EF707" s="51" t="n">
        <f aca="false">ROUND(CR707,3)</f>
        <v>72.571</v>
      </c>
      <c r="EG707" s="51" t="n">
        <f aca="false">ROUND(CS707,3)</f>
        <v>62.857</v>
      </c>
      <c r="EH707" s="51" t="n">
        <f aca="false">ROUND(EA707,3)</f>
        <v>57.857</v>
      </c>
      <c r="EI707" s="51" t="n">
        <f aca="false">ROUND(ED707,3)</f>
        <v>60.324</v>
      </c>
      <c r="EJ707" s="51" t="n">
        <f aca="false">ROUND(CV707,3)</f>
        <v>67.714</v>
      </c>
      <c r="EK707" s="0" t="n">
        <f aca="false">RANK(EI707,$EI$2:$EI$881,0)</f>
        <v>706</v>
      </c>
    </row>
    <row r="708" customFormat="false" ht="15" hidden="false" customHeight="false" outlineLevel="0" collapsed="false">
      <c r="A708" s="4" t="n">
        <v>1948</v>
      </c>
      <c r="B708" s="4" t="n">
        <v>481</v>
      </c>
      <c r="C708" s="27" t="s">
        <v>2030</v>
      </c>
      <c r="D708" s="31" t="n">
        <v>490</v>
      </c>
      <c r="E708" s="16" t="n">
        <v>230407470</v>
      </c>
      <c r="F708" s="56" t="s">
        <v>2031</v>
      </c>
      <c r="G708" s="22" t="s">
        <v>1496</v>
      </c>
      <c r="H708" s="22" t="s">
        <v>271</v>
      </c>
      <c r="I708" s="57"/>
      <c r="J708" s="16" t="n">
        <v>65</v>
      </c>
      <c r="K708" s="16" t="n">
        <v>79</v>
      </c>
      <c r="L708" s="34" t="n">
        <f aca="false">(K708*70)/100</f>
        <v>55.3</v>
      </c>
      <c r="M708" s="34" t="n">
        <f aca="false">ROUNDUP(L708,0)</f>
        <v>56</v>
      </c>
      <c r="N708" s="16" t="n">
        <v>24</v>
      </c>
      <c r="O708" s="34" t="n">
        <f aca="false">N708+L708</f>
        <v>79.3</v>
      </c>
      <c r="P708" s="34" t="n">
        <f aca="false">N708+M708</f>
        <v>80</v>
      </c>
      <c r="Q708" s="16" t="n">
        <v>66</v>
      </c>
      <c r="R708" s="16" t="n">
        <v>69</v>
      </c>
      <c r="S708" s="34" t="n">
        <f aca="false">(R708*70)/100</f>
        <v>48.3</v>
      </c>
      <c r="T708" s="34" t="n">
        <f aca="false">ROUNDUP(S708,0)</f>
        <v>49</v>
      </c>
      <c r="U708" s="16" t="n">
        <v>22</v>
      </c>
      <c r="V708" s="34" t="n">
        <f aca="false">U708+S708</f>
        <v>70.3</v>
      </c>
      <c r="W708" s="34" t="n">
        <f aca="false">U708+T708</f>
        <v>71</v>
      </c>
      <c r="X708" s="16" t="n">
        <v>62</v>
      </c>
      <c r="Y708" s="34" t="n">
        <f aca="false">(X708*70)/100</f>
        <v>43.4</v>
      </c>
      <c r="Z708" s="34" t="n">
        <f aca="false">ROUNDUP(Y708,0)</f>
        <v>44</v>
      </c>
      <c r="AA708" s="16" t="n">
        <v>26</v>
      </c>
      <c r="AB708" s="34" t="n">
        <f aca="false">AA708+Y708</f>
        <v>69.4</v>
      </c>
      <c r="AC708" s="34" t="n">
        <f aca="false">AA708+Z708</f>
        <v>70</v>
      </c>
      <c r="AD708" s="32" t="n">
        <f aca="false">X708+R708+Q708+K708+J708</f>
        <v>341</v>
      </c>
      <c r="AE708" s="16" t="n">
        <f aca="false">AD708/5</f>
        <v>68.2</v>
      </c>
      <c r="AF708" s="16" t="n">
        <v>71</v>
      </c>
      <c r="AG708" s="16" t="n">
        <v>82</v>
      </c>
      <c r="AH708" s="16" t="n">
        <v>91</v>
      </c>
      <c r="AI708" s="16" t="n">
        <v>92</v>
      </c>
      <c r="AJ708" s="16" t="n">
        <f aca="false">(AI708*70)/100</f>
        <v>64.4</v>
      </c>
      <c r="AK708" s="35" t="n">
        <f aca="false">ROUNDUP(AJ708,0)</f>
        <v>65</v>
      </c>
      <c r="AL708" s="16" t="n">
        <v>24</v>
      </c>
      <c r="AM708" s="16" t="n">
        <f aca="false">AL708+AJ708</f>
        <v>88.4</v>
      </c>
      <c r="AN708" s="16" t="n">
        <f aca="false">AL708+AK708</f>
        <v>89</v>
      </c>
      <c r="AO708" s="16" t="n">
        <v>90</v>
      </c>
      <c r="AP708" s="36" t="n">
        <f aca="false">(AO708*70)/100</f>
        <v>63</v>
      </c>
      <c r="AQ708" s="37" t="n">
        <f aca="false">ROUNDUP(AP708,0)</f>
        <v>63</v>
      </c>
      <c r="AR708" s="16" t="n">
        <v>18</v>
      </c>
      <c r="AS708" s="16" t="n">
        <f aca="false">AR708+AP708</f>
        <v>81</v>
      </c>
      <c r="AT708" s="16" t="n">
        <f aca="false">AR708+AQ708</f>
        <v>81</v>
      </c>
      <c r="AU708" s="16" t="n">
        <f aca="false">AO708+AF708+AI708+AH708+AG708</f>
        <v>426</v>
      </c>
      <c r="AV708" s="16" t="n">
        <f aca="false">(AO708+AF708+AI708+AH708+AG708)/5</f>
        <v>85.2</v>
      </c>
      <c r="AW708" s="36" t="n">
        <f aca="false">(AO708+AF708+AI708+AH708+AG708+X708+R708+Q708+K708+J708)</f>
        <v>767</v>
      </c>
      <c r="AX708" s="16" t="n">
        <f aca="false">AW708/10</f>
        <v>76.7</v>
      </c>
      <c r="AY708" s="16" t="n">
        <f aca="false">AS708+AF708+AM708+AH708+AG708+AB708+V708+Q708+O708+J708</f>
        <v>763.4</v>
      </c>
      <c r="AZ708" s="16" t="n">
        <f aca="false">AT708+AF708+AN708+AH708+AG708+AC708+W708+Q708+P708+J708</f>
        <v>766</v>
      </c>
      <c r="BA708" s="16" t="n">
        <f aca="false">AY708/10</f>
        <v>76.34</v>
      </c>
      <c r="BB708" s="16" t="n">
        <f aca="false">AZ708/10</f>
        <v>76.6</v>
      </c>
      <c r="BC708" s="16" t="n">
        <v>2334</v>
      </c>
      <c r="BD708" s="16" t="n">
        <f aca="false">RANK(AX708,$AX$2:$AX$881,0)</f>
        <v>536</v>
      </c>
      <c r="BE708" s="73" t="n">
        <f aca="false">((BC708*100)/2400)*0.4+(AX708*0.6)</f>
        <v>84.92</v>
      </c>
      <c r="BF708" s="16" t="n">
        <f aca="false">RANK(BE708,$BE$2:$BE$881,0)</f>
        <v>632</v>
      </c>
      <c r="BG708" s="39" t="n">
        <f aca="false">RANK(BB708,$BB$2:$BB$881,0)</f>
        <v>661</v>
      </c>
      <c r="BH708" s="39" t="n">
        <f aca="false">RANK(BC708,$BC$2:$BC$881,0)</f>
        <v>687</v>
      </c>
      <c r="BI708" s="22" t="s">
        <v>130</v>
      </c>
      <c r="BJ708" s="22" t="s">
        <v>129</v>
      </c>
      <c r="BK708" s="22" t="s">
        <v>509</v>
      </c>
      <c r="BL708" s="41" t="n">
        <v>24</v>
      </c>
      <c r="BM708" s="41" t="n">
        <v>45</v>
      </c>
      <c r="BN708" s="41" t="n">
        <v>69</v>
      </c>
      <c r="BO708" s="42" t="n">
        <v>21</v>
      </c>
      <c r="BP708" s="43" t="n">
        <v>48</v>
      </c>
      <c r="BQ708" s="44" t="n">
        <v>69</v>
      </c>
      <c r="BR708" s="42" t="n">
        <v>24</v>
      </c>
      <c r="BS708" s="45" t="n">
        <v>56</v>
      </c>
      <c r="BT708" s="45" t="n">
        <v>80</v>
      </c>
      <c r="BU708" s="46" t="n">
        <v>100</v>
      </c>
      <c r="BV708" s="47" t="n">
        <v>68</v>
      </c>
      <c r="BW708" s="42" t="n">
        <v>98</v>
      </c>
      <c r="BX708" s="107"/>
      <c r="BY708" s="60"/>
      <c r="BZ708" s="60"/>
      <c r="CA708" s="60"/>
      <c r="CB708" s="60"/>
      <c r="CC708" s="60"/>
      <c r="CD708" s="60"/>
      <c r="CE708" s="32" t="n">
        <v>21</v>
      </c>
      <c r="CF708" s="60"/>
      <c r="CG708" s="60"/>
      <c r="CH708" s="60"/>
      <c r="CI708" s="60"/>
      <c r="CJ708" s="60"/>
      <c r="CK708" s="60"/>
      <c r="CL708" s="61"/>
      <c r="CM708" s="60"/>
      <c r="CN708" s="60"/>
      <c r="CO708" s="60"/>
      <c r="CP708" s="25" t="n">
        <f aca="false">BX708+BW708+BV708+BU708+BT708+BQ708+BN708</f>
        <v>484</v>
      </c>
      <c r="CQ708" s="25" t="n">
        <f aca="false">CO708+CL708+CI708+CH708+CG708+CD708+CA708</f>
        <v>0</v>
      </c>
      <c r="CR708" s="26" t="n">
        <f aca="false">CP708/7</f>
        <v>69.1428571428571</v>
      </c>
      <c r="CS708" s="26" t="n">
        <f aca="false">CQ708/7</f>
        <v>0</v>
      </c>
      <c r="CT708" s="24" t="n">
        <f aca="false">RANK(CR708,$CR$2:$CR$881,0)</f>
        <v>691</v>
      </c>
      <c r="CU708" s="25" t="n">
        <f aca="false">RANK(CS708,$CS$2:$CS$881,0)</f>
        <v>752</v>
      </c>
      <c r="CV708" s="26" t="n">
        <f aca="false">(CS708+CR708)/2</f>
        <v>34.5714285714286</v>
      </c>
      <c r="CW708" s="25" t="n">
        <f aca="false">RANK(CV708,$CV$2:$CV$881,0)</f>
        <v>740</v>
      </c>
      <c r="CX708" s="50" t="n">
        <f aca="false">(CV708+BB708)/2</f>
        <v>55.5857142857143</v>
      </c>
      <c r="CY708" s="50" t="n">
        <v>675</v>
      </c>
      <c r="CZ708" s="27" t="s">
        <v>132</v>
      </c>
      <c r="DA708" s="27" t="s">
        <v>219</v>
      </c>
      <c r="DB708" s="27" t="s">
        <v>219</v>
      </c>
      <c r="DC708" s="27" t="s">
        <v>134</v>
      </c>
      <c r="DD708" s="27" t="s">
        <v>174</v>
      </c>
      <c r="DE708" s="27" t="s">
        <v>183</v>
      </c>
      <c r="DF708" s="27" t="s">
        <v>219</v>
      </c>
      <c r="DG708" s="27" t="s">
        <v>134</v>
      </c>
      <c r="DH708" s="27" t="s">
        <v>135</v>
      </c>
      <c r="DI708" s="27" t="s">
        <v>183</v>
      </c>
      <c r="DJ708" s="27" t="s">
        <v>169</v>
      </c>
      <c r="DK708" s="27" t="s">
        <v>134</v>
      </c>
      <c r="DL708" s="27" t="s">
        <v>195</v>
      </c>
      <c r="DM708" s="27" t="s">
        <v>447</v>
      </c>
      <c r="DN708" s="27" t="s">
        <v>372</v>
      </c>
      <c r="DO708" s="27" t="s">
        <v>134</v>
      </c>
      <c r="DP708" s="27"/>
      <c r="DQ708" s="27"/>
      <c r="DR708" s="27"/>
      <c r="DS708" s="27"/>
      <c r="DT708" s="27" t="s">
        <v>135</v>
      </c>
      <c r="DU708" s="27" t="s">
        <v>442</v>
      </c>
      <c r="DV708" s="27" t="s">
        <v>372</v>
      </c>
      <c r="DW708" s="27" t="s">
        <v>146</v>
      </c>
      <c r="DX708" s="27" t="s">
        <v>187</v>
      </c>
      <c r="DY708" s="27" t="s">
        <v>142</v>
      </c>
      <c r="DZ708" s="27" t="n">
        <f aca="false">DY708+DV708+DR708+DN708+DJ708+DF708+DB708</f>
        <v>487</v>
      </c>
      <c r="EA708" s="28" t="n">
        <f aca="false">DZ708/7</f>
        <v>69.5714285714286</v>
      </c>
      <c r="EB708" s="27" t="n">
        <f aca="false">RANK(EA708,$EA$2:$EA$881,0)</f>
        <v>661</v>
      </c>
      <c r="EC708" s="29" t="n">
        <f aca="false">DZ708+CQ708+CP708+AZ708</f>
        <v>1737</v>
      </c>
      <c r="ED708" s="30" t="n">
        <f aca="false">(EA708+CV708+BB708)/3</f>
        <v>60.2476190476191</v>
      </c>
      <c r="EE708" s="51" t="n">
        <f aca="false">ROUND(BE708,3)</f>
        <v>84.92</v>
      </c>
      <c r="EF708" s="51" t="n">
        <f aca="false">ROUND(CR708,3)</f>
        <v>69.143</v>
      </c>
      <c r="EG708" s="51" t="n">
        <f aca="false">ROUND(CS708,3)</f>
        <v>0</v>
      </c>
      <c r="EH708" s="51" t="n">
        <f aca="false">ROUND(EA708,3)</f>
        <v>69.571</v>
      </c>
      <c r="EI708" s="51" t="n">
        <f aca="false">ROUND(ED708,3)</f>
        <v>60.248</v>
      </c>
      <c r="EJ708" s="51" t="n">
        <f aca="false">ROUND(CV708,3)</f>
        <v>34.571</v>
      </c>
      <c r="EK708" s="0" t="n">
        <f aca="false">RANK(EI708,$EI$2:$EI$881,0)</f>
        <v>707</v>
      </c>
    </row>
    <row r="709" customFormat="false" ht="15" hidden="false" customHeight="false" outlineLevel="0" collapsed="false">
      <c r="A709" s="4" t="n">
        <v>8719</v>
      </c>
      <c r="B709" s="4" t="n">
        <v>817</v>
      </c>
      <c r="C709" s="27" t="s">
        <v>2032</v>
      </c>
      <c r="D709" s="31" t="n">
        <v>839</v>
      </c>
      <c r="E709" s="16" t="n">
        <v>230513780</v>
      </c>
      <c r="F709" s="56" t="s">
        <v>2033</v>
      </c>
      <c r="G709" s="22" t="s">
        <v>2034</v>
      </c>
      <c r="H709" s="22" t="s">
        <v>465</v>
      </c>
      <c r="I709" s="57"/>
      <c r="J709" s="16" t="n">
        <v>65</v>
      </c>
      <c r="K709" s="16" t="n">
        <v>53</v>
      </c>
      <c r="L709" s="34" t="n">
        <f aca="false">(K709*70)/100</f>
        <v>37.1</v>
      </c>
      <c r="M709" s="34" t="n">
        <f aca="false">ROUNDUP(L709,0)</f>
        <v>38</v>
      </c>
      <c r="N709" s="16" t="n">
        <v>28</v>
      </c>
      <c r="O709" s="34" t="n">
        <f aca="false">N709+L709</f>
        <v>65.1</v>
      </c>
      <c r="P709" s="34" t="n">
        <f aca="false">N709+M709</f>
        <v>66</v>
      </c>
      <c r="Q709" s="71" t="n">
        <v>47</v>
      </c>
      <c r="R709" s="16" t="n">
        <v>66</v>
      </c>
      <c r="S709" s="34" t="n">
        <f aca="false">(R709*70)/100</f>
        <v>46.2</v>
      </c>
      <c r="T709" s="34" t="n">
        <f aca="false">ROUNDUP(S709,0)</f>
        <v>47</v>
      </c>
      <c r="U709" s="16" t="n">
        <v>26</v>
      </c>
      <c r="V709" s="34" t="n">
        <f aca="false">U709+S709</f>
        <v>72.2</v>
      </c>
      <c r="W709" s="34" t="n">
        <f aca="false">U709+T709</f>
        <v>73</v>
      </c>
      <c r="X709" s="16" t="n">
        <v>59</v>
      </c>
      <c r="Y709" s="34" t="n">
        <f aca="false">(X709*70)/100</f>
        <v>41.3</v>
      </c>
      <c r="Z709" s="34" t="n">
        <f aca="false">ROUNDUP(Y709,0)</f>
        <v>42</v>
      </c>
      <c r="AA709" s="16" t="n">
        <v>29</v>
      </c>
      <c r="AB709" s="34" t="n">
        <f aca="false">AA709+Y709</f>
        <v>70.3</v>
      </c>
      <c r="AC709" s="34" t="n">
        <f aca="false">AA709+Z709</f>
        <v>71</v>
      </c>
      <c r="AD709" s="32" t="n">
        <f aca="false">X709+R709+Q709+K709+J709</f>
        <v>290</v>
      </c>
      <c r="AE709" s="16" t="n">
        <f aca="false">AD709/5</f>
        <v>58</v>
      </c>
      <c r="AF709" s="71" t="n">
        <v>59</v>
      </c>
      <c r="AG709" s="16" t="n">
        <v>73</v>
      </c>
      <c r="AH709" s="16" t="n">
        <v>77</v>
      </c>
      <c r="AI709" s="16" t="n">
        <v>72</v>
      </c>
      <c r="AJ709" s="16" t="n">
        <f aca="false">(AI709*70)/100</f>
        <v>50.4</v>
      </c>
      <c r="AK709" s="35" t="n">
        <f aca="false">ROUNDUP(AJ709,0)</f>
        <v>51</v>
      </c>
      <c r="AL709" s="16" t="n">
        <v>21</v>
      </c>
      <c r="AM709" s="16" t="n">
        <f aca="false">AL709+AJ709</f>
        <v>71.4</v>
      </c>
      <c r="AN709" s="16" t="n">
        <f aca="false">AL709+AK709</f>
        <v>72</v>
      </c>
      <c r="AO709" s="16" t="n">
        <v>56</v>
      </c>
      <c r="AP709" s="36" t="n">
        <f aca="false">(AO709*70)/100</f>
        <v>39.2</v>
      </c>
      <c r="AQ709" s="37" t="n">
        <f aca="false">ROUNDUP(AP709,0)</f>
        <v>40</v>
      </c>
      <c r="AR709" s="16" t="n">
        <v>28</v>
      </c>
      <c r="AS709" s="16" t="n">
        <f aca="false">AR709+AP709</f>
        <v>67.2</v>
      </c>
      <c r="AT709" s="16" t="n">
        <f aca="false">AR709+AQ709</f>
        <v>68</v>
      </c>
      <c r="AU709" s="16" t="n">
        <f aca="false">AO709+AF709+AI709+AH709+AG709</f>
        <v>337</v>
      </c>
      <c r="AV709" s="16" t="n">
        <f aca="false">(AO709+AF709+AI709+AH709+AG709)/5</f>
        <v>67.4</v>
      </c>
      <c r="AW709" s="36" t="n">
        <f aca="false">(AO709+AF709+AI709+AH709+AG709+X709+R709+Q709+K709+J709)</f>
        <v>627</v>
      </c>
      <c r="AX709" s="16" t="n">
        <f aca="false">AW709/10</f>
        <v>62.7</v>
      </c>
      <c r="AY709" s="16" t="n">
        <f aca="false">AS709+AF709+AM709+AH709+AG709+AB709+V709+Q709+O709+J709</f>
        <v>667.2</v>
      </c>
      <c r="AZ709" s="16" t="n">
        <f aca="false">AT709+AF709+AN709+AH709+AG709+AC709+W709+Q709+P709+J709</f>
        <v>671</v>
      </c>
      <c r="BA709" s="16" t="n">
        <f aca="false">AY709/10</f>
        <v>66.72</v>
      </c>
      <c r="BB709" s="16" t="n">
        <f aca="false">AZ709/10</f>
        <v>67.1</v>
      </c>
      <c r="BC709" s="16" t="n">
        <v>2342</v>
      </c>
      <c r="BD709" s="16" t="n">
        <f aca="false">RANK(AX709,$AX$2:$AX$881,0)</f>
        <v>783</v>
      </c>
      <c r="BE709" s="78" t="n">
        <f aca="false">((BC709*100)/2400)*0.4+(AX709*0.6)</f>
        <v>76.6533333333333</v>
      </c>
      <c r="BF709" s="16" t="n">
        <f aca="false">RANK(BE709,$BE$2:$BE$881,0)</f>
        <v>773</v>
      </c>
      <c r="BG709" s="39" t="n">
        <f aca="false">RANK(BB709,$BB$2:$BB$881,0)</f>
        <v>768</v>
      </c>
      <c r="BH709" s="39" t="n">
        <f aca="false">RANK(BC709,$BC$2:$BC$881,0)</f>
        <v>621</v>
      </c>
      <c r="BI709" s="22" t="s">
        <v>130</v>
      </c>
      <c r="BJ709" s="22" t="s">
        <v>129</v>
      </c>
      <c r="BK709" s="40" t="s">
        <v>702</v>
      </c>
      <c r="BL709" s="41" t="n">
        <v>19</v>
      </c>
      <c r="BM709" s="41" t="n">
        <v>49</v>
      </c>
      <c r="BN709" s="41" t="n">
        <v>68</v>
      </c>
      <c r="BO709" s="42" t="n">
        <v>19</v>
      </c>
      <c r="BP709" s="43" t="n">
        <v>49</v>
      </c>
      <c r="BQ709" s="44" t="n">
        <v>68</v>
      </c>
      <c r="BR709" s="42" t="n">
        <v>21</v>
      </c>
      <c r="BS709" s="45" t="n">
        <v>59</v>
      </c>
      <c r="BT709" s="45" t="n">
        <v>80</v>
      </c>
      <c r="BU709" s="46" t="n">
        <v>98</v>
      </c>
      <c r="BV709" s="47" t="n">
        <v>82</v>
      </c>
      <c r="BW709" s="42" t="n">
        <v>98</v>
      </c>
      <c r="BX709" s="107"/>
      <c r="BY709" s="130"/>
      <c r="BZ709" s="60"/>
      <c r="CA709" s="60"/>
      <c r="CB709" s="61"/>
      <c r="CC709" s="60"/>
      <c r="CD709" s="60"/>
      <c r="CE709" s="60"/>
      <c r="CF709" s="60"/>
      <c r="CG709" s="60"/>
      <c r="CH709" s="60"/>
      <c r="CI709" s="60"/>
      <c r="CJ709" s="60"/>
      <c r="CK709" s="60"/>
      <c r="CL709" s="61"/>
      <c r="CM709" s="60"/>
      <c r="CN709" s="60"/>
      <c r="CO709" s="60"/>
      <c r="CP709" s="25" t="n">
        <f aca="false">BX709+BW709+BV709+BU709+BT709+BQ709+BN709</f>
        <v>494</v>
      </c>
      <c r="CQ709" s="25" t="n">
        <f aca="false">CO709+CL709+CI709+CH709+CG709+CD709+CA709</f>
        <v>0</v>
      </c>
      <c r="CR709" s="26" t="n">
        <f aca="false">CP709/7</f>
        <v>70.5714285714286</v>
      </c>
      <c r="CS709" s="26" t="n">
        <f aca="false">CQ709/7</f>
        <v>0</v>
      </c>
      <c r="CT709" s="24" t="n">
        <f aca="false">RANK(CR709,$CR$2:$CR$881,0)</f>
        <v>681</v>
      </c>
      <c r="CU709" s="25" t="n">
        <f aca="false">RANK(CS709,$CS$2:$CS$881,0)</f>
        <v>752</v>
      </c>
      <c r="CV709" s="26" t="n">
        <f aca="false">(CS709+CR709)/2</f>
        <v>35.2857142857143</v>
      </c>
      <c r="CW709" s="25" t="n">
        <f aca="false">RANK(CV709,$CV$2:$CV$881,0)</f>
        <v>736</v>
      </c>
      <c r="CX709" s="50" t="n">
        <f aca="false">(CV709+BB709)/2</f>
        <v>51.1928571428571</v>
      </c>
      <c r="CY709" s="50" t="n">
        <v>701</v>
      </c>
      <c r="CZ709" s="27" t="s">
        <v>132</v>
      </c>
      <c r="DA709" s="27" t="s">
        <v>205</v>
      </c>
      <c r="DB709" s="27" t="s">
        <v>205</v>
      </c>
      <c r="DC709" s="27" t="s">
        <v>134</v>
      </c>
      <c r="DD709" s="27" t="s">
        <v>154</v>
      </c>
      <c r="DE709" s="27" t="s">
        <v>218</v>
      </c>
      <c r="DF709" s="27" t="s">
        <v>219</v>
      </c>
      <c r="DG709" s="27" t="s">
        <v>134</v>
      </c>
      <c r="DH709" s="27" t="s">
        <v>135</v>
      </c>
      <c r="DI709" s="27" t="s">
        <v>220</v>
      </c>
      <c r="DJ709" s="27" t="s">
        <v>196</v>
      </c>
      <c r="DK709" s="27" t="s">
        <v>134</v>
      </c>
      <c r="DL709" s="27" t="s">
        <v>195</v>
      </c>
      <c r="DM709" s="27" t="s">
        <v>681</v>
      </c>
      <c r="DN709" s="27" t="s">
        <v>141</v>
      </c>
      <c r="DO709" s="27" t="s">
        <v>134</v>
      </c>
      <c r="DP709" s="27" t="s">
        <v>386</v>
      </c>
      <c r="DQ709" s="27" t="s">
        <v>645</v>
      </c>
      <c r="DR709" s="27" t="s">
        <v>203</v>
      </c>
      <c r="DS709" s="27" t="s">
        <v>134</v>
      </c>
      <c r="DT709" s="27" t="s">
        <v>154</v>
      </c>
      <c r="DU709" s="27" t="s">
        <v>375</v>
      </c>
      <c r="DV709" s="27" t="s">
        <v>486</v>
      </c>
      <c r="DW709" s="27" t="s">
        <v>195</v>
      </c>
      <c r="DX709" s="27" t="s">
        <v>138</v>
      </c>
      <c r="DY709" s="27" t="s">
        <v>153</v>
      </c>
      <c r="DZ709" s="27" t="n">
        <f aca="false">DY709+DV709+DR709+DN709+DJ709+DF709+DB709</f>
        <v>535</v>
      </c>
      <c r="EA709" s="28" t="n">
        <f aca="false">DZ709/7</f>
        <v>76.4285714285714</v>
      </c>
      <c r="EB709" s="27" t="n">
        <f aca="false">RANK(EA709,$EA$2:$EA$881,0)</f>
        <v>506</v>
      </c>
      <c r="EC709" s="29" t="n">
        <f aca="false">DZ709+CQ709+CP709+AZ709</f>
        <v>1700</v>
      </c>
      <c r="ED709" s="30" t="n">
        <f aca="false">(EA709+CV709+BB709)/3</f>
        <v>59.6047619047619</v>
      </c>
      <c r="EE709" s="51" t="n">
        <f aca="false">ROUND(BE709,3)</f>
        <v>76.653</v>
      </c>
      <c r="EF709" s="51" t="n">
        <f aca="false">ROUND(CR709,3)</f>
        <v>70.571</v>
      </c>
      <c r="EG709" s="51" t="n">
        <f aca="false">ROUND(CS709,3)</f>
        <v>0</v>
      </c>
      <c r="EH709" s="51" t="n">
        <f aca="false">ROUND(EA709,3)</f>
        <v>76.429</v>
      </c>
      <c r="EI709" s="51" t="n">
        <f aca="false">ROUND(ED709,3)</f>
        <v>59.605</v>
      </c>
      <c r="EJ709" s="51" t="n">
        <f aca="false">ROUND(CV709,3)</f>
        <v>35.286</v>
      </c>
      <c r="EK709" s="0" t="n">
        <f aca="false">RANK(EI709,$EI$2:$EI$881,0)</f>
        <v>708</v>
      </c>
    </row>
    <row r="710" customFormat="false" ht="15" hidden="false" customHeight="false" outlineLevel="0" collapsed="false">
      <c r="A710" s="4" t="n">
        <v>1830</v>
      </c>
      <c r="B710" s="4" t="n">
        <v>518</v>
      </c>
      <c r="C710" s="27" t="s">
        <v>2035</v>
      </c>
      <c r="D710" s="31" t="n">
        <v>523</v>
      </c>
      <c r="E710" s="16" t="n">
        <v>230506361</v>
      </c>
      <c r="F710" s="56" t="s">
        <v>2036</v>
      </c>
      <c r="G710" s="22" t="s">
        <v>280</v>
      </c>
      <c r="H710" s="22" t="s">
        <v>465</v>
      </c>
      <c r="I710" s="57"/>
      <c r="J710" s="16" t="n">
        <v>87</v>
      </c>
      <c r="K710" s="16" t="n">
        <v>75</v>
      </c>
      <c r="L710" s="34" t="n">
        <f aca="false">(K710*70)/100</f>
        <v>52.5</v>
      </c>
      <c r="M710" s="34" t="n">
        <f aca="false">ROUNDUP(L710,0)</f>
        <v>53</v>
      </c>
      <c r="N710" s="16" t="n">
        <v>29</v>
      </c>
      <c r="O710" s="34" t="n">
        <f aca="false">N710+L710</f>
        <v>81.5</v>
      </c>
      <c r="P710" s="34" t="n">
        <f aca="false">N710+M710</f>
        <v>82</v>
      </c>
      <c r="Q710" s="71" t="n">
        <v>59</v>
      </c>
      <c r="R710" s="16" t="n">
        <v>83</v>
      </c>
      <c r="S710" s="34" t="n">
        <f aca="false">(R710*70)/100</f>
        <v>58.1</v>
      </c>
      <c r="T710" s="34" t="n">
        <f aca="false">ROUNDUP(S710,0)</f>
        <v>59</v>
      </c>
      <c r="U710" s="16" t="n">
        <v>20</v>
      </c>
      <c r="V710" s="34" t="n">
        <f aca="false">U710+S710</f>
        <v>78.1</v>
      </c>
      <c r="W710" s="34" t="n">
        <f aca="false">U710+T710</f>
        <v>79</v>
      </c>
      <c r="X710" s="16" t="n">
        <v>74</v>
      </c>
      <c r="Y710" s="34" t="n">
        <f aca="false">(X710*70)/100</f>
        <v>51.8</v>
      </c>
      <c r="Z710" s="34" t="n">
        <f aca="false">ROUNDUP(Y710,0)</f>
        <v>52</v>
      </c>
      <c r="AA710" s="16" t="n">
        <v>28</v>
      </c>
      <c r="AB710" s="34" t="n">
        <f aca="false">AA710+Y710</f>
        <v>79.8</v>
      </c>
      <c r="AC710" s="34" t="n">
        <f aca="false">AA710+Z710</f>
        <v>80</v>
      </c>
      <c r="AD710" s="32" t="n">
        <f aca="false">X710+R710+Q710+K710+J710</f>
        <v>378</v>
      </c>
      <c r="AE710" s="16" t="n">
        <f aca="false">AD710/5</f>
        <v>75.6</v>
      </c>
      <c r="AF710" s="16" t="n">
        <v>68</v>
      </c>
      <c r="AG710" s="16" t="n">
        <v>93</v>
      </c>
      <c r="AH710" s="16" t="n">
        <v>88</v>
      </c>
      <c r="AI710" s="16" t="n">
        <v>78</v>
      </c>
      <c r="AJ710" s="16" t="n">
        <f aca="false">(AI710*70)/100</f>
        <v>54.6</v>
      </c>
      <c r="AK710" s="35" t="n">
        <f aca="false">ROUNDUP(AJ710,0)</f>
        <v>55</v>
      </c>
      <c r="AL710" s="16" t="n">
        <v>18</v>
      </c>
      <c r="AM710" s="16" t="n">
        <f aca="false">AL710+AJ710</f>
        <v>72.6</v>
      </c>
      <c r="AN710" s="16" t="n">
        <f aca="false">AL710+AK710</f>
        <v>73</v>
      </c>
      <c r="AO710" s="16" t="n">
        <v>69</v>
      </c>
      <c r="AP710" s="36" t="n">
        <f aca="false">(AO710*70)/100</f>
        <v>48.3</v>
      </c>
      <c r="AQ710" s="37" t="n">
        <f aca="false">ROUNDUP(AP710,0)</f>
        <v>49</v>
      </c>
      <c r="AR710" s="16" t="n">
        <v>25</v>
      </c>
      <c r="AS710" s="16" t="n">
        <f aca="false">AR710+AP710</f>
        <v>73.3</v>
      </c>
      <c r="AT710" s="16" t="n">
        <f aca="false">AR710+AQ710</f>
        <v>74</v>
      </c>
      <c r="AU710" s="16" t="n">
        <f aca="false">AO710+AF710+AI710+AH710+AG710</f>
        <v>396</v>
      </c>
      <c r="AV710" s="16" t="n">
        <f aca="false">(AO710+AF710+AI710+AH710+AG710)/5</f>
        <v>79.2</v>
      </c>
      <c r="AW710" s="36" t="n">
        <f aca="false">(AO710+AF710+AI710+AH710+AG710+X710+R710+Q710+K710+J710)</f>
        <v>774</v>
      </c>
      <c r="AX710" s="16" t="n">
        <f aca="false">AW710/10</f>
        <v>77.4</v>
      </c>
      <c r="AY710" s="16" t="n">
        <f aca="false">AS710+AF710+AM710+AH710+AG710+AB710+V710+Q710+O710+J710</f>
        <v>780.3</v>
      </c>
      <c r="AZ710" s="16" t="n">
        <f aca="false">AT710+AF710+AN710+AH710+AG710+AC710+W710+Q710+P710+J710</f>
        <v>783</v>
      </c>
      <c r="BA710" s="16" t="n">
        <f aca="false">AY710/10</f>
        <v>78.03</v>
      </c>
      <c r="BB710" s="16" t="n">
        <f aca="false">AZ710/10</f>
        <v>78.3</v>
      </c>
      <c r="BC710" s="16" t="n">
        <v>2361</v>
      </c>
      <c r="BD710" s="16" t="n">
        <f aca="false">RANK(AX710,$AX$2:$AX$881,0)</f>
        <v>461</v>
      </c>
      <c r="BE710" s="54" t="n">
        <f aca="false">((BC710*100)/2400)*0.4+(AX710*0.6)</f>
        <v>85.79</v>
      </c>
      <c r="BF710" s="16" t="n">
        <f aca="false">RANK(BE710,$BE$2:$BE$881,0)</f>
        <v>461</v>
      </c>
      <c r="BG710" s="39" t="n">
        <f aca="false">RANK(BB710,$BB$2:$BB$881,0)</f>
        <v>534</v>
      </c>
      <c r="BH710" s="39" t="n">
        <f aca="false">RANK(BC710,$BC$2:$BC$881,0)</f>
        <v>382</v>
      </c>
      <c r="BI710" s="22" t="s">
        <v>130</v>
      </c>
      <c r="BJ710" s="22" t="s">
        <v>129</v>
      </c>
      <c r="BK710" s="40" t="s">
        <v>509</v>
      </c>
      <c r="BL710" s="41" t="n">
        <v>18</v>
      </c>
      <c r="BM710" s="41" t="n">
        <v>50</v>
      </c>
      <c r="BN710" s="41" t="n">
        <v>68</v>
      </c>
      <c r="BO710" s="42" t="n">
        <v>16</v>
      </c>
      <c r="BP710" s="43" t="n">
        <v>44</v>
      </c>
      <c r="BQ710" s="44" t="n">
        <v>60</v>
      </c>
      <c r="BR710" s="42" t="n">
        <v>20</v>
      </c>
      <c r="BS710" s="45" t="n">
        <v>56</v>
      </c>
      <c r="BT710" s="45" t="n">
        <v>76</v>
      </c>
      <c r="BU710" s="46" t="n">
        <v>100</v>
      </c>
      <c r="BV710" s="47" t="n">
        <v>72</v>
      </c>
      <c r="BW710" s="42" t="n">
        <v>83</v>
      </c>
      <c r="BX710" s="107"/>
      <c r="BY710" s="130"/>
      <c r="BZ710" s="60"/>
      <c r="CA710" s="60"/>
      <c r="CB710" s="61"/>
      <c r="CC710" s="60"/>
      <c r="CD710" s="60"/>
      <c r="CE710" s="60"/>
      <c r="CF710" s="60"/>
      <c r="CG710" s="60"/>
      <c r="CH710" s="60"/>
      <c r="CI710" s="60"/>
      <c r="CJ710" s="60"/>
      <c r="CK710" s="60"/>
      <c r="CL710" s="61"/>
      <c r="CM710" s="60"/>
      <c r="CN710" s="60"/>
      <c r="CO710" s="60"/>
      <c r="CP710" s="25" t="n">
        <f aca="false">BX710+BW710+BV710+BU710+BT710+BQ710+BN710</f>
        <v>459</v>
      </c>
      <c r="CQ710" s="25" t="n">
        <f aca="false">CO710+CL710+CI710+CH710+CG710+CD710+CA710</f>
        <v>0</v>
      </c>
      <c r="CR710" s="26" t="n">
        <f aca="false">CP710/7</f>
        <v>65.5714285714286</v>
      </c>
      <c r="CS710" s="26" t="n">
        <f aca="false">CQ710/7</f>
        <v>0</v>
      </c>
      <c r="CT710" s="24" t="n">
        <f aca="false">RANK(CR710,$CR$2:$CR$881,0)</f>
        <v>704</v>
      </c>
      <c r="CU710" s="25" t="n">
        <f aca="false">RANK(CS710,$CS$2:$CS$881,0)</f>
        <v>752</v>
      </c>
      <c r="CV710" s="26" t="n">
        <f aca="false">(CS710+CR710)/2</f>
        <v>32.7857142857143</v>
      </c>
      <c r="CW710" s="25" t="n">
        <f aca="false">RANK(CV710,$CV$2:$CV$881,0)</f>
        <v>741</v>
      </c>
      <c r="CX710" s="50" t="n">
        <f aca="false">(CV710+BB710)/2</f>
        <v>55.5428571428571</v>
      </c>
      <c r="CY710" s="50" t="n">
        <v>676</v>
      </c>
      <c r="CZ710" s="27" t="s">
        <v>132</v>
      </c>
      <c r="DA710" s="27" t="s">
        <v>219</v>
      </c>
      <c r="DB710" s="27" t="s">
        <v>219</v>
      </c>
      <c r="DC710" s="27" t="s">
        <v>134</v>
      </c>
      <c r="DD710" s="27" t="s">
        <v>195</v>
      </c>
      <c r="DE710" s="27" t="s">
        <v>306</v>
      </c>
      <c r="DF710" s="27" t="s">
        <v>443</v>
      </c>
      <c r="DG710" s="27" t="s">
        <v>134</v>
      </c>
      <c r="DH710" s="27" t="s">
        <v>154</v>
      </c>
      <c r="DI710" s="27" t="s">
        <v>673</v>
      </c>
      <c r="DJ710" s="27" t="s">
        <v>152</v>
      </c>
      <c r="DK710" s="27" t="s">
        <v>134</v>
      </c>
      <c r="DL710" s="27" t="s">
        <v>137</v>
      </c>
      <c r="DM710" s="27" t="s">
        <v>304</v>
      </c>
      <c r="DN710" s="27" t="s">
        <v>219</v>
      </c>
      <c r="DO710" s="27" t="s">
        <v>134</v>
      </c>
      <c r="DP710" s="27"/>
      <c r="DQ710" s="27"/>
      <c r="DR710" s="27"/>
      <c r="DS710" s="27"/>
      <c r="DT710" s="27" t="s">
        <v>137</v>
      </c>
      <c r="DU710" s="27" t="s">
        <v>1407</v>
      </c>
      <c r="DV710" s="27" t="s">
        <v>187</v>
      </c>
      <c r="DW710" s="27" t="s">
        <v>182</v>
      </c>
      <c r="DX710" s="27" t="s">
        <v>152</v>
      </c>
      <c r="DY710" s="27" t="s">
        <v>133</v>
      </c>
      <c r="DZ710" s="27" t="n">
        <f aca="false">DY710+DV710+DR710+DN710+DJ710+DF710+DB710</f>
        <v>454</v>
      </c>
      <c r="EA710" s="28" t="n">
        <f aca="false">DZ710/7</f>
        <v>64.8571428571429</v>
      </c>
      <c r="EB710" s="27" t="n">
        <f aca="false">RANK(EA710,$EA$2:$EA$881,0)</f>
        <v>733</v>
      </c>
      <c r="EC710" s="29" t="n">
        <f aca="false">DZ710+CQ710+CP710+AZ710</f>
        <v>1696</v>
      </c>
      <c r="ED710" s="30" t="n">
        <f aca="false">(EA710+CV710+BB710)/3</f>
        <v>58.647619047619</v>
      </c>
      <c r="EE710" s="51" t="n">
        <f aca="false">ROUND(BE710,3)</f>
        <v>85.79</v>
      </c>
      <c r="EF710" s="51" t="n">
        <f aca="false">ROUND(CR710,3)</f>
        <v>65.571</v>
      </c>
      <c r="EG710" s="51" t="n">
        <f aca="false">ROUND(CS710,3)</f>
        <v>0</v>
      </c>
      <c r="EH710" s="51" t="n">
        <f aca="false">ROUND(EA710,3)</f>
        <v>64.857</v>
      </c>
      <c r="EI710" s="51" t="n">
        <f aca="false">ROUND(ED710,3)</f>
        <v>58.648</v>
      </c>
      <c r="EJ710" s="51" t="n">
        <f aca="false">ROUND(CV710,3)</f>
        <v>32.786</v>
      </c>
      <c r="EK710" s="0" t="n">
        <f aca="false">RANK(EI710,$EI$2:$EI$881,0)</f>
        <v>709</v>
      </c>
    </row>
    <row r="711" customFormat="false" ht="15" hidden="false" customHeight="false" outlineLevel="0" collapsed="false">
      <c r="A711" s="4" t="n">
        <v>1910</v>
      </c>
      <c r="B711" s="4" t="n">
        <v>684</v>
      </c>
      <c r="C711" s="27" t="s">
        <v>2037</v>
      </c>
      <c r="D711" s="31" t="n">
        <v>698</v>
      </c>
      <c r="E711" s="16" t="n">
        <v>230508845</v>
      </c>
      <c r="F711" s="56" t="s">
        <v>2038</v>
      </c>
      <c r="G711" s="22" t="s">
        <v>1060</v>
      </c>
      <c r="H711" s="22" t="s">
        <v>465</v>
      </c>
      <c r="I711" s="57"/>
      <c r="J711" s="16" t="n">
        <v>77</v>
      </c>
      <c r="K711" s="16" t="n">
        <v>86</v>
      </c>
      <c r="L711" s="34" t="n">
        <f aca="false">(K711*70)/100</f>
        <v>60.2</v>
      </c>
      <c r="M711" s="34" t="n">
        <f aca="false">ROUNDUP(L711,0)</f>
        <v>61</v>
      </c>
      <c r="N711" s="16" t="n">
        <v>22</v>
      </c>
      <c r="O711" s="34" t="n">
        <f aca="false">N711+L711</f>
        <v>82.2</v>
      </c>
      <c r="P711" s="34" t="n">
        <f aca="false">N711+M711</f>
        <v>83</v>
      </c>
      <c r="Q711" s="71" t="n">
        <v>44</v>
      </c>
      <c r="R711" s="16" t="n">
        <v>78</v>
      </c>
      <c r="S711" s="34" t="n">
        <f aca="false">(R711*70)/100</f>
        <v>54.6</v>
      </c>
      <c r="T711" s="34" t="n">
        <f aca="false">ROUNDUP(S711,0)</f>
        <v>55</v>
      </c>
      <c r="U711" s="16" t="n">
        <v>25</v>
      </c>
      <c r="V711" s="34" t="n">
        <f aca="false">U711+S711</f>
        <v>79.6</v>
      </c>
      <c r="W711" s="34" t="n">
        <f aca="false">U711+T711</f>
        <v>80</v>
      </c>
      <c r="X711" s="16" t="n">
        <v>64</v>
      </c>
      <c r="Y711" s="34" t="n">
        <f aca="false">(X711*70)/100</f>
        <v>44.8</v>
      </c>
      <c r="Z711" s="34" t="n">
        <f aca="false">ROUNDUP(Y711,0)</f>
        <v>45</v>
      </c>
      <c r="AA711" s="16" t="n">
        <v>26</v>
      </c>
      <c r="AB711" s="34" t="n">
        <f aca="false">AA711+Y711</f>
        <v>70.8</v>
      </c>
      <c r="AC711" s="34" t="n">
        <f aca="false">AA711+Z711</f>
        <v>71</v>
      </c>
      <c r="AD711" s="32" t="n">
        <f aca="false">X711+R711+Q711+K711+J711</f>
        <v>349</v>
      </c>
      <c r="AE711" s="16" t="n">
        <f aca="false">AD711/5</f>
        <v>69.8</v>
      </c>
      <c r="AF711" s="16" t="n">
        <v>81</v>
      </c>
      <c r="AG711" s="16" t="n">
        <v>83</v>
      </c>
      <c r="AH711" s="16" t="n">
        <v>83</v>
      </c>
      <c r="AI711" s="16" t="n">
        <v>93</v>
      </c>
      <c r="AJ711" s="16" t="n">
        <f aca="false">(AI711*70)/100</f>
        <v>65.1</v>
      </c>
      <c r="AK711" s="35" t="n">
        <f aca="false">ROUNDUP(AJ711,0)</f>
        <v>66</v>
      </c>
      <c r="AL711" s="16" t="n">
        <v>20</v>
      </c>
      <c r="AM711" s="16" t="n">
        <f aca="false">AL711+AJ711</f>
        <v>85.1</v>
      </c>
      <c r="AN711" s="16" t="n">
        <f aca="false">AL711+AK711</f>
        <v>86</v>
      </c>
      <c r="AO711" s="16" t="n">
        <v>69</v>
      </c>
      <c r="AP711" s="36" t="n">
        <f aca="false">(AO711*70)/100</f>
        <v>48.3</v>
      </c>
      <c r="AQ711" s="37" t="n">
        <f aca="false">ROUNDUP(AP711,0)</f>
        <v>49</v>
      </c>
      <c r="AR711" s="16" t="n">
        <v>20</v>
      </c>
      <c r="AS711" s="16" t="n">
        <f aca="false">AR711+AP711</f>
        <v>68.3</v>
      </c>
      <c r="AT711" s="16" t="n">
        <f aca="false">AR711+AQ711</f>
        <v>69</v>
      </c>
      <c r="AU711" s="16" t="n">
        <f aca="false">AO711+AF711+AI711+AH711+AG711</f>
        <v>409</v>
      </c>
      <c r="AV711" s="16" t="n">
        <f aca="false">(AO711+AF711+AI711+AH711+AG711)/5</f>
        <v>81.8</v>
      </c>
      <c r="AW711" s="36" t="n">
        <f aca="false">(AO711+AF711+AI711+AH711+AG711+X711+R711+Q711+K711+J711)</f>
        <v>758</v>
      </c>
      <c r="AX711" s="16" t="n">
        <f aca="false">AW711/10</f>
        <v>75.8</v>
      </c>
      <c r="AY711" s="16" t="n">
        <f aca="false">AS711+AF711+AM711+AH711+AG711+AB711+V711+Q711+O711+J711</f>
        <v>754</v>
      </c>
      <c r="AZ711" s="16" t="n">
        <f aca="false">AT711+AF711+AN711+AH711+AG711+AC711+W711+Q711+P711+J711</f>
        <v>757</v>
      </c>
      <c r="BA711" s="16" t="n">
        <f aca="false">AY711/10</f>
        <v>75.4</v>
      </c>
      <c r="BB711" s="16" t="n">
        <f aca="false">AZ711/10</f>
        <v>75.7</v>
      </c>
      <c r="BC711" s="16" t="n">
        <v>2360</v>
      </c>
      <c r="BD711" s="16" t="n">
        <f aca="false">RANK(AX711,$AX$2:$AX$881,0)</f>
        <v>635</v>
      </c>
      <c r="BE711" s="73" t="n">
        <f aca="false">((BC711*100)/2400)*0.4+(AX711*0.6)</f>
        <v>84.8133333333333</v>
      </c>
      <c r="BF711" s="16" t="n">
        <f aca="false">RANK(BE711,$BE$2:$BE$881,0)</f>
        <v>656</v>
      </c>
      <c r="BG711" s="39" t="n">
        <f aca="false">RANK(BB711,$BB$2:$BB$881,0)</f>
        <v>684</v>
      </c>
      <c r="BH711" s="39" t="n">
        <f aca="false">RANK(BC711,$BC$2:$BC$881,0)</f>
        <v>402</v>
      </c>
      <c r="BI711" s="22" t="s">
        <v>130</v>
      </c>
      <c r="BJ711" s="22" t="s">
        <v>129</v>
      </c>
      <c r="BK711" s="22" t="s">
        <v>509</v>
      </c>
      <c r="BL711" s="41" t="n">
        <v>17</v>
      </c>
      <c r="BM711" s="41" t="n">
        <v>51</v>
      </c>
      <c r="BN711" s="41" t="n">
        <v>68</v>
      </c>
      <c r="BO711" s="42" t="n">
        <v>22</v>
      </c>
      <c r="BP711" s="43" t="n">
        <v>51</v>
      </c>
      <c r="BQ711" s="44" t="n">
        <v>73</v>
      </c>
      <c r="BR711" s="42" t="n">
        <v>20</v>
      </c>
      <c r="BS711" s="45" t="n">
        <v>48</v>
      </c>
      <c r="BT711" s="45" t="n">
        <v>68</v>
      </c>
      <c r="BU711" s="46" t="n">
        <v>100</v>
      </c>
      <c r="BV711" s="47" t="n">
        <v>84</v>
      </c>
      <c r="BW711" s="42" t="n">
        <v>93</v>
      </c>
      <c r="BX711" s="107"/>
      <c r="BY711" s="130"/>
      <c r="BZ711" s="60"/>
      <c r="CA711" s="60"/>
      <c r="CB711" s="61"/>
      <c r="CC711" s="60"/>
      <c r="CD711" s="60"/>
      <c r="CE711" s="60"/>
      <c r="CF711" s="60"/>
      <c r="CG711" s="60"/>
      <c r="CH711" s="60"/>
      <c r="CI711" s="60"/>
      <c r="CJ711" s="60"/>
      <c r="CK711" s="60"/>
      <c r="CL711" s="61"/>
      <c r="CM711" s="60"/>
      <c r="CN711" s="60"/>
      <c r="CO711" s="60"/>
      <c r="CP711" s="25" t="n">
        <f aca="false">BX711+BW711+BV711+BU711+BT711+BQ711+BN711</f>
        <v>486</v>
      </c>
      <c r="CQ711" s="25" t="n">
        <f aca="false">CO711+CL711+CI711+CH711+CG711+CD711+CA711</f>
        <v>0</v>
      </c>
      <c r="CR711" s="26" t="n">
        <f aca="false">CP711/7</f>
        <v>69.4285714285714</v>
      </c>
      <c r="CS711" s="26" t="n">
        <f aca="false">CQ711/7</f>
        <v>0</v>
      </c>
      <c r="CT711" s="24" t="n">
        <f aca="false">RANK(CR711,$CR$2:$CR$881,0)</f>
        <v>690</v>
      </c>
      <c r="CU711" s="25" t="n">
        <f aca="false">RANK(CS711,$CS$2:$CS$881,0)</f>
        <v>752</v>
      </c>
      <c r="CV711" s="26" t="n">
        <f aca="false">(CS711+CR711)/2</f>
        <v>34.7142857142857</v>
      </c>
      <c r="CW711" s="25" t="n">
        <f aca="false">RANK(CV711,$CV$2:$CV$881,0)</f>
        <v>739</v>
      </c>
      <c r="CX711" s="50" t="n">
        <f aca="false">(CV711+BB711)/2</f>
        <v>55.2071428571429</v>
      </c>
      <c r="CY711" s="50" t="n">
        <v>679</v>
      </c>
      <c r="CZ711" s="27" t="s">
        <v>132</v>
      </c>
      <c r="DA711" s="27" t="s">
        <v>205</v>
      </c>
      <c r="DB711" s="27" t="s">
        <v>205</v>
      </c>
      <c r="DC711" s="27" t="s">
        <v>134</v>
      </c>
      <c r="DD711" s="27" t="s">
        <v>154</v>
      </c>
      <c r="DE711" s="27" t="s">
        <v>447</v>
      </c>
      <c r="DF711" s="27" t="s">
        <v>443</v>
      </c>
      <c r="DG711" s="27" t="s">
        <v>134</v>
      </c>
      <c r="DH711" s="27" t="s">
        <v>174</v>
      </c>
      <c r="DI711" s="27" t="s">
        <v>415</v>
      </c>
      <c r="DJ711" s="27" t="s">
        <v>138</v>
      </c>
      <c r="DK711" s="27" t="s">
        <v>134</v>
      </c>
      <c r="DL711" s="27" t="s">
        <v>191</v>
      </c>
      <c r="DM711" s="27" t="s">
        <v>412</v>
      </c>
      <c r="DN711" s="27" t="s">
        <v>416</v>
      </c>
      <c r="DO711" s="27" t="s">
        <v>134</v>
      </c>
      <c r="DP711" s="27"/>
      <c r="DQ711" s="27"/>
      <c r="DR711" s="27"/>
      <c r="DS711" s="27"/>
      <c r="DT711" s="27" t="s">
        <v>164</v>
      </c>
      <c r="DU711" s="27" t="s">
        <v>1388</v>
      </c>
      <c r="DV711" s="27" t="s">
        <v>177</v>
      </c>
      <c r="DW711" s="27" t="s">
        <v>135</v>
      </c>
      <c r="DX711" s="27" t="s">
        <v>187</v>
      </c>
      <c r="DY711" s="27" t="s">
        <v>170</v>
      </c>
      <c r="DZ711" s="27" t="n">
        <f aca="false">DY711+DV711+DR711+DN711+DJ711+DF711+DB711</f>
        <v>449</v>
      </c>
      <c r="EA711" s="28" t="n">
        <f aca="false">DZ711/7</f>
        <v>64.1428571428571</v>
      </c>
      <c r="EB711" s="27" t="n">
        <f aca="false">RANK(EA711,$EA$2:$EA$881,0)</f>
        <v>744</v>
      </c>
      <c r="EC711" s="29" t="n">
        <f aca="false">DZ711+CQ711+CP711+AZ711</f>
        <v>1692</v>
      </c>
      <c r="ED711" s="30" t="n">
        <f aca="false">(EA711+CV711+BB711)/3</f>
        <v>58.1857142857143</v>
      </c>
      <c r="EE711" s="51" t="n">
        <f aca="false">ROUND(BE711,3)</f>
        <v>84.813</v>
      </c>
      <c r="EF711" s="51" t="n">
        <f aca="false">ROUND(CR711,3)</f>
        <v>69.429</v>
      </c>
      <c r="EG711" s="51" t="n">
        <f aca="false">ROUND(CS711,3)</f>
        <v>0</v>
      </c>
      <c r="EH711" s="51" t="n">
        <f aca="false">ROUND(EA711,3)</f>
        <v>64.143</v>
      </c>
      <c r="EI711" s="51" t="n">
        <f aca="false">ROUND(ED711,3)</f>
        <v>58.186</v>
      </c>
      <c r="EJ711" s="51" t="n">
        <f aca="false">ROUND(CV711,3)</f>
        <v>34.714</v>
      </c>
      <c r="EK711" s="0" t="n">
        <f aca="false">RANK(EI711,$EI$2:$EI$881,0)</f>
        <v>710</v>
      </c>
    </row>
    <row r="712" customFormat="false" ht="15" hidden="false" customHeight="false" outlineLevel="0" collapsed="false">
      <c r="A712" s="4" t="n">
        <v>2094</v>
      </c>
      <c r="B712" s="4" t="n">
        <v>37</v>
      </c>
      <c r="C712" s="27" t="s">
        <v>2039</v>
      </c>
      <c r="D712" s="52" t="n">
        <v>40</v>
      </c>
      <c r="E712" s="16" t="n">
        <v>231500159</v>
      </c>
      <c r="F712" s="56" t="s">
        <v>2040</v>
      </c>
      <c r="G712" s="22" t="s">
        <v>2041</v>
      </c>
      <c r="H712" s="22" t="s">
        <v>271</v>
      </c>
      <c r="I712" s="57"/>
      <c r="J712" s="16" t="n">
        <v>97</v>
      </c>
      <c r="K712" s="16" t="n">
        <v>55</v>
      </c>
      <c r="L712" s="34" t="n">
        <f aca="false">(K712*70)/100</f>
        <v>38.5</v>
      </c>
      <c r="M712" s="34" t="n">
        <f aca="false">ROUNDUP(L712,0)</f>
        <v>39</v>
      </c>
      <c r="N712" s="16" t="n">
        <v>17</v>
      </c>
      <c r="O712" s="34" t="n">
        <f aca="false">N712+L712</f>
        <v>55.5</v>
      </c>
      <c r="P712" s="91" t="n">
        <f aca="false">N712+M712</f>
        <v>56</v>
      </c>
      <c r="Q712" s="16" t="n">
        <v>71</v>
      </c>
      <c r="R712" s="16" t="n">
        <v>55</v>
      </c>
      <c r="S712" s="34" t="n">
        <f aca="false">(R712*70)/100</f>
        <v>38.5</v>
      </c>
      <c r="T712" s="34" t="n">
        <f aca="false">ROUNDUP(S712,0)</f>
        <v>39</v>
      </c>
      <c r="U712" s="16" t="n">
        <v>22</v>
      </c>
      <c r="V712" s="34" t="n">
        <f aca="false">U712+S712</f>
        <v>60.5</v>
      </c>
      <c r="W712" s="34" t="n">
        <f aca="false">U712+T712</f>
        <v>61</v>
      </c>
      <c r="X712" s="16" t="n">
        <v>50</v>
      </c>
      <c r="Y712" s="34" t="n">
        <f aca="false">(X712*70)/100</f>
        <v>35</v>
      </c>
      <c r="Z712" s="34" t="n">
        <f aca="false">ROUNDUP(Y712,0)</f>
        <v>35</v>
      </c>
      <c r="AA712" s="16" t="n">
        <v>24</v>
      </c>
      <c r="AB712" s="34" t="n">
        <f aca="false">AA712+Y712</f>
        <v>59</v>
      </c>
      <c r="AC712" s="91" t="n">
        <f aca="false">AA712+Z712</f>
        <v>59</v>
      </c>
      <c r="AD712" s="32" t="n">
        <f aca="false">X712+R712+Q712+K712+J712</f>
        <v>328</v>
      </c>
      <c r="AE712" s="16" t="n">
        <f aca="false">AD712/5</f>
        <v>65.6</v>
      </c>
      <c r="AF712" s="16" t="n">
        <v>75</v>
      </c>
      <c r="AG712" s="16" t="n">
        <v>97</v>
      </c>
      <c r="AH712" s="16" t="n">
        <v>81</v>
      </c>
      <c r="AI712" s="16" t="n">
        <v>70</v>
      </c>
      <c r="AJ712" s="16" t="n">
        <f aca="false">(AI712*70)/100</f>
        <v>49</v>
      </c>
      <c r="AK712" s="35" t="n">
        <f aca="false">ROUNDUP(AJ712,0)</f>
        <v>49</v>
      </c>
      <c r="AL712" s="16" t="n">
        <v>17</v>
      </c>
      <c r="AM712" s="16" t="n">
        <f aca="false">AL712+AJ712</f>
        <v>66</v>
      </c>
      <c r="AN712" s="16" t="n">
        <f aca="false">AL712+AK712</f>
        <v>66</v>
      </c>
      <c r="AO712" s="16" t="n">
        <v>61</v>
      </c>
      <c r="AP712" s="36" t="n">
        <f aca="false">(AO712*70)/100</f>
        <v>42.7</v>
      </c>
      <c r="AQ712" s="37" t="n">
        <f aca="false">ROUNDUP(AP712,0)</f>
        <v>43</v>
      </c>
      <c r="AR712" s="16" t="n">
        <v>19</v>
      </c>
      <c r="AS712" s="16" t="n">
        <f aca="false">AR712+AP712</f>
        <v>61.7</v>
      </c>
      <c r="AT712" s="16" t="n">
        <f aca="false">AR712+AQ712</f>
        <v>62</v>
      </c>
      <c r="AU712" s="16" t="n">
        <f aca="false">AO712+AF712+AI712+AH712+AG712</f>
        <v>384</v>
      </c>
      <c r="AV712" s="16" t="n">
        <f aca="false">(AO712+AF712+AI712+AH712+AG712)/5</f>
        <v>76.8</v>
      </c>
      <c r="AW712" s="36" t="n">
        <f aca="false">(AO712+AF712+AI712+AH712+AG712+X712+R712+Q712+K712+J712)</f>
        <v>712</v>
      </c>
      <c r="AX712" s="16" t="n">
        <f aca="false">AW712/10</f>
        <v>71.2</v>
      </c>
      <c r="AY712" s="16" t="n">
        <f aca="false">AS712+AF712+AM712+AH712+AG712+AB712+V712+Q712+O712+J712</f>
        <v>723.7</v>
      </c>
      <c r="AZ712" s="16" t="n">
        <f aca="false">AT712+AF712+AN712+AH712+AG712+AC712+W712+Q712+P712+J712</f>
        <v>725</v>
      </c>
      <c r="BA712" s="16" t="n">
        <f aca="false">AY712/10</f>
        <v>72.37</v>
      </c>
      <c r="BB712" s="16" t="n">
        <f aca="false">AZ712/10</f>
        <v>72.5</v>
      </c>
      <c r="BC712" s="72" t="n">
        <v>0</v>
      </c>
      <c r="BD712" s="16" t="n">
        <f aca="false">RANK(AX712,$AX$2:$AX$881,0)</f>
        <v>726</v>
      </c>
      <c r="BE712" s="78" t="n">
        <f aca="false">AX712</f>
        <v>71.2</v>
      </c>
      <c r="BF712" s="16" t="n">
        <f aca="false">RANK(BE712,$BE$2:$BE$881,0)</f>
        <v>788</v>
      </c>
      <c r="BG712" s="39" t="n">
        <f aca="false">RANK(BB712,$BB$2:$BB$881,0)</f>
        <v>722</v>
      </c>
      <c r="BH712" s="39" t="n">
        <f aca="false">RANK(BC712,$BC$2:$BC$881,0)</f>
        <v>780</v>
      </c>
      <c r="BI712" s="22" t="s">
        <v>130</v>
      </c>
      <c r="BJ712" s="22" t="s">
        <v>129</v>
      </c>
      <c r="BK712" s="22" t="s">
        <v>526</v>
      </c>
      <c r="BL712" s="41" t="n">
        <v>14</v>
      </c>
      <c r="BM712" s="41" t="n">
        <v>48</v>
      </c>
      <c r="BN712" s="41" t="n">
        <v>62</v>
      </c>
      <c r="BO712" s="42" t="n">
        <v>17</v>
      </c>
      <c r="BP712" s="43" t="n">
        <v>45</v>
      </c>
      <c r="BQ712" s="44" t="n">
        <v>62</v>
      </c>
      <c r="BR712" s="42" t="n">
        <v>18</v>
      </c>
      <c r="BS712" s="45" t="n">
        <v>54</v>
      </c>
      <c r="BT712" s="45" t="n">
        <v>72</v>
      </c>
      <c r="BU712" s="46" t="n">
        <v>99</v>
      </c>
      <c r="BV712" s="79" t="n">
        <v>42</v>
      </c>
      <c r="BW712" s="42" t="n">
        <v>96</v>
      </c>
      <c r="BX712" s="80"/>
      <c r="BY712" s="65" t="n">
        <v>21</v>
      </c>
      <c r="BZ712" s="108" t="n">
        <v>52</v>
      </c>
      <c r="CA712" s="108" t="n">
        <v>73</v>
      </c>
      <c r="CB712" s="61"/>
      <c r="CC712" s="60"/>
      <c r="CD712" s="60"/>
      <c r="CE712" s="60"/>
      <c r="CF712" s="60"/>
      <c r="CG712" s="60"/>
      <c r="CH712" s="60"/>
      <c r="CI712" s="60"/>
      <c r="CJ712" s="60"/>
      <c r="CK712" s="60"/>
      <c r="CL712" s="61"/>
      <c r="CM712" s="60"/>
      <c r="CN712" s="60"/>
      <c r="CO712" s="60"/>
      <c r="CP712" s="25" t="n">
        <f aca="false">BX712+BW712+BV712+BU712+BT712+BQ712+BN712</f>
        <v>433</v>
      </c>
      <c r="CQ712" s="25" t="n">
        <f aca="false">CO712+CL712+CI712+CH712+CG712+CD712+CA712</f>
        <v>73</v>
      </c>
      <c r="CR712" s="26" t="n">
        <f aca="false">CP712/7</f>
        <v>61.8571428571429</v>
      </c>
      <c r="CS712" s="26" t="n">
        <f aca="false">CQ712/7</f>
        <v>10.4285714285714</v>
      </c>
      <c r="CT712" s="24" t="n">
        <f aca="false">RANK(CR712,$CR$2:$CR$881,0)</f>
        <v>714</v>
      </c>
      <c r="CU712" s="25" t="n">
        <f aca="false">RANK(CS712,$CS$2:$CS$881,0)</f>
        <v>741</v>
      </c>
      <c r="CV712" s="26" t="n">
        <f aca="false">(CS712+CR712)/2</f>
        <v>36.1428571428571</v>
      </c>
      <c r="CW712" s="25" t="n">
        <f aca="false">RANK(CV712,$CV$2:$CV$881,0)</f>
        <v>734</v>
      </c>
      <c r="CX712" s="50" t="n">
        <f aca="false">(CV712+BB712)/2</f>
        <v>54.3214285714286</v>
      </c>
      <c r="CY712" s="50" t="n">
        <v>699</v>
      </c>
      <c r="CZ712" s="27" t="s">
        <v>132</v>
      </c>
      <c r="DA712" s="27" t="s">
        <v>202</v>
      </c>
      <c r="DB712" s="27" t="s">
        <v>202</v>
      </c>
      <c r="DC712" s="27" t="s">
        <v>134</v>
      </c>
      <c r="DD712" s="27" t="s">
        <v>182</v>
      </c>
      <c r="DE712" s="27" t="s">
        <v>313</v>
      </c>
      <c r="DF712" s="27" t="s">
        <v>443</v>
      </c>
      <c r="DG712" s="27" t="s">
        <v>134</v>
      </c>
      <c r="DH712" s="27" t="s">
        <v>182</v>
      </c>
      <c r="DI712" s="27" t="s">
        <v>399</v>
      </c>
      <c r="DJ712" s="27" t="s">
        <v>398</v>
      </c>
      <c r="DK712" s="27" t="s">
        <v>134</v>
      </c>
      <c r="DL712" s="27" t="s">
        <v>604</v>
      </c>
      <c r="DM712" s="27" t="s">
        <v>375</v>
      </c>
      <c r="DN712" s="27" t="s">
        <v>187</v>
      </c>
      <c r="DO712" s="27" t="s">
        <v>134</v>
      </c>
      <c r="DP712" s="27"/>
      <c r="DQ712" s="27"/>
      <c r="DR712" s="27"/>
      <c r="DS712" s="27"/>
      <c r="DT712" s="27" t="s">
        <v>604</v>
      </c>
      <c r="DU712" s="27" t="s">
        <v>897</v>
      </c>
      <c r="DV712" s="27" t="s">
        <v>204</v>
      </c>
      <c r="DW712" s="27" t="s">
        <v>164</v>
      </c>
      <c r="DX712" s="27" t="s">
        <v>155</v>
      </c>
      <c r="DY712" s="27" t="s">
        <v>144</v>
      </c>
      <c r="DZ712" s="27" t="n">
        <f aca="false">DY712+DV712+DR712+DN712+DJ712+DF712+DB712</f>
        <v>456</v>
      </c>
      <c r="EA712" s="28" t="n">
        <f aca="false">DZ712/7</f>
        <v>65.1428571428571</v>
      </c>
      <c r="EB712" s="27" t="n">
        <f aca="false">RANK(EA712,$EA$2:$EA$881,0)</f>
        <v>729</v>
      </c>
      <c r="EC712" s="29" t="n">
        <f aca="false">DZ712+CQ712+CP712+AZ712</f>
        <v>1687</v>
      </c>
      <c r="ED712" s="30" t="n">
        <f aca="false">(EA712+CV712+BB712)/3</f>
        <v>57.9285714285714</v>
      </c>
      <c r="EE712" s="51" t="n">
        <f aca="false">ROUND(BE712,3)</f>
        <v>71.2</v>
      </c>
      <c r="EF712" s="51" t="n">
        <f aca="false">ROUND(CR712,3)</f>
        <v>61.857</v>
      </c>
      <c r="EG712" s="51" t="n">
        <f aca="false">ROUND(CS712,3)</f>
        <v>10.429</v>
      </c>
      <c r="EH712" s="51" t="n">
        <f aca="false">ROUND(EA712,3)</f>
        <v>65.143</v>
      </c>
      <c r="EI712" s="51" t="n">
        <f aca="false">ROUND(ED712,3)</f>
        <v>57.929</v>
      </c>
      <c r="EJ712" s="51" t="n">
        <f aca="false">ROUND(CV712,3)</f>
        <v>36.143</v>
      </c>
      <c r="EK712" s="0" t="n">
        <f aca="false">RANK(EI712,$EI$2:$EI$881,0)</f>
        <v>711</v>
      </c>
    </row>
    <row r="713" customFormat="false" ht="15" hidden="false" customHeight="false" outlineLevel="0" collapsed="false">
      <c r="A713" s="4" t="n">
        <v>1860</v>
      </c>
      <c r="B713" s="4" t="n">
        <v>793</v>
      </c>
      <c r="C713" s="27" t="s">
        <v>2042</v>
      </c>
      <c r="D713" s="31" t="n">
        <v>812</v>
      </c>
      <c r="E713" s="16" t="n">
        <v>230513570</v>
      </c>
      <c r="F713" s="56" t="s">
        <v>2043</v>
      </c>
      <c r="G713" s="22" t="s">
        <v>2044</v>
      </c>
      <c r="H713" s="22" t="s">
        <v>465</v>
      </c>
      <c r="I713" s="136"/>
      <c r="J713" s="16" t="n">
        <v>85</v>
      </c>
      <c r="K713" s="16" t="n">
        <v>52</v>
      </c>
      <c r="L713" s="34" t="n">
        <f aca="false">(K713*70)/100</f>
        <v>36.4</v>
      </c>
      <c r="M713" s="34" t="n">
        <f aca="false">ROUNDUP(L713,0)</f>
        <v>37</v>
      </c>
      <c r="N713" s="16" t="n">
        <v>27</v>
      </c>
      <c r="O713" s="34" t="n">
        <f aca="false">N713+L713</f>
        <v>63.4</v>
      </c>
      <c r="P713" s="34" t="n">
        <f aca="false">N713+M713</f>
        <v>64</v>
      </c>
      <c r="Q713" s="120" t="n">
        <v>57</v>
      </c>
      <c r="R713" s="16" t="n">
        <v>74</v>
      </c>
      <c r="S713" s="34" t="n">
        <f aca="false">(R713*70)/100</f>
        <v>51.8</v>
      </c>
      <c r="T713" s="34" t="n">
        <f aca="false">ROUNDUP(S713,0)</f>
        <v>52</v>
      </c>
      <c r="U713" s="16" t="n">
        <v>28</v>
      </c>
      <c r="V713" s="34" t="n">
        <f aca="false">U713+S713</f>
        <v>79.8</v>
      </c>
      <c r="W713" s="34" t="n">
        <f aca="false">U713+T713</f>
        <v>80</v>
      </c>
      <c r="X713" s="16" t="n">
        <v>62</v>
      </c>
      <c r="Y713" s="34" t="n">
        <f aca="false">(X713*70)/100</f>
        <v>43.4</v>
      </c>
      <c r="Z713" s="34" t="n">
        <f aca="false">ROUNDUP(Y713,0)</f>
        <v>44</v>
      </c>
      <c r="AA713" s="16" t="n">
        <v>28</v>
      </c>
      <c r="AB713" s="34" t="n">
        <f aca="false">AA713+Y713</f>
        <v>71.4</v>
      </c>
      <c r="AC713" s="34" t="n">
        <f aca="false">AA713+Z713</f>
        <v>72</v>
      </c>
      <c r="AD713" s="32" t="n">
        <f aca="false">X713+R713+Q713+K713+J713</f>
        <v>330</v>
      </c>
      <c r="AE713" s="16" t="n">
        <f aca="false">AD713/5</f>
        <v>66</v>
      </c>
      <c r="AF713" s="16" t="n">
        <v>86</v>
      </c>
      <c r="AG713" s="16" t="n">
        <v>86</v>
      </c>
      <c r="AH713" s="16" t="n">
        <v>92</v>
      </c>
      <c r="AI713" s="16" t="n">
        <v>81</v>
      </c>
      <c r="AJ713" s="16" t="n">
        <f aca="false">(AI713*70)/100</f>
        <v>56.7</v>
      </c>
      <c r="AK713" s="35" t="n">
        <f aca="false">ROUNDUP(AJ713,0)</f>
        <v>57</v>
      </c>
      <c r="AL713" s="16" t="n">
        <v>20</v>
      </c>
      <c r="AM713" s="16" t="n">
        <f aca="false">AL713+AJ713</f>
        <v>76.7</v>
      </c>
      <c r="AN713" s="16" t="n">
        <f aca="false">AL713+AK713</f>
        <v>77</v>
      </c>
      <c r="AO713" s="16" t="n">
        <v>77</v>
      </c>
      <c r="AP713" s="36" t="n">
        <f aca="false">(AO713*70)/100</f>
        <v>53.9</v>
      </c>
      <c r="AQ713" s="37" t="n">
        <f aca="false">ROUNDUP(AP713,0)</f>
        <v>54</v>
      </c>
      <c r="AR713" s="16" t="n">
        <v>28</v>
      </c>
      <c r="AS713" s="16" t="n">
        <f aca="false">AR713+AP713</f>
        <v>81.9</v>
      </c>
      <c r="AT713" s="16" t="n">
        <f aca="false">AR713+AQ713</f>
        <v>82</v>
      </c>
      <c r="AU713" s="16" t="n">
        <f aca="false">AO713+AF713+AI713+AH713+AG713</f>
        <v>422</v>
      </c>
      <c r="AV713" s="16" t="n">
        <f aca="false">(AO713+AF713+AI713+AH713+AG713)/5</f>
        <v>84.4</v>
      </c>
      <c r="AW713" s="36" t="n">
        <f aca="false">(AO713+AF713+AI713+AH713+AG713+X713+R713+Q713+K713+J713)</f>
        <v>752</v>
      </c>
      <c r="AX713" s="16" t="n">
        <f aca="false">AW713/10</f>
        <v>75.2</v>
      </c>
      <c r="AY713" s="16" t="n">
        <f aca="false">AS713+AF713+AM713+AH713+AG713+AB713+V713+Q713+O713+J713</f>
        <v>779.2</v>
      </c>
      <c r="AZ713" s="16" t="n">
        <f aca="false">AT713+AF713+AN713+AH713+AG713+AC713+W713+Q713+P713+J713</f>
        <v>781</v>
      </c>
      <c r="BA713" s="16" t="n">
        <f aca="false">AY713/10</f>
        <v>77.92</v>
      </c>
      <c r="BB713" s="16" t="n">
        <f aca="false">AZ713/10</f>
        <v>78.1</v>
      </c>
      <c r="BC713" s="16" t="n">
        <v>2389</v>
      </c>
      <c r="BD713" s="16" t="n">
        <f aca="false">RANK(AX713,$AX$2:$AX$881,0)</f>
        <v>675</v>
      </c>
      <c r="BE713" s="73" t="n">
        <f aca="false">((BC713*100)/2400)*0.4+(AX713*0.6)</f>
        <v>84.9366666666667</v>
      </c>
      <c r="BF713" s="16" t="n">
        <f aca="false">RANK(BE713,$BE$2:$BE$881,0)</f>
        <v>628</v>
      </c>
      <c r="BG713" s="39" t="n">
        <f aca="false">RANK(BB713,$BB$2:$BB$881,0)</f>
        <v>552</v>
      </c>
      <c r="BH713" s="39" t="n">
        <f aca="false">RANK(BC713,$BC$2:$BC$881,0)</f>
        <v>59</v>
      </c>
      <c r="BI713" s="22" t="s">
        <v>130</v>
      </c>
      <c r="BJ713" s="22" t="s">
        <v>129</v>
      </c>
      <c r="BK713" s="22" t="s">
        <v>509</v>
      </c>
      <c r="BL713" s="41" t="n">
        <v>12</v>
      </c>
      <c r="BM713" s="41" t="n">
        <v>41</v>
      </c>
      <c r="BN713" s="98" t="n">
        <v>53</v>
      </c>
      <c r="BO713" s="42" t="n">
        <v>20</v>
      </c>
      <c r="BP713" s="43" t="n">
        <v>40</v>
      </c>
      <c r="BQ713" s="44" t="n">
        <v>60</v>
      </c>
      <c r="BR713" s="42" t="n">
        <v>25</v>
      </c>
      <c r="BS713" s="45" t="n">
        <v>38</v>
      </c>
      <c r="BT713" s="45" t="n">
        <v>63</v>
      </c>
      <c r="BU713" s="46" t="n">
        <v>98</v>
      </c>
      <c r="BV713" s="47" t="n">
        <v>84</v>
      </c>
      <c r="BW713" s="61"/>
      <c r="BX713" s="80"/>
      <c r="BY713" s="130"/>
      <c r="BZ713" s="60"/>
      <c r="CA713" s="60"/>
      <c r="CB713" s="61"/>
      <c r="CC713" s="60"/>
      <c r="CD713" s="60"/>
      <c r="CE713" s="60"/>
      <c r="CF713" s="60"/>
      <c r="CG713" s="60"/>
      <c r="CH713" s="60"/>
      <c r="CI713" s="60"/>
      <c r="CJ713" s="60"/>
      <c r="CK713" s="60"/>
      <c r="CL713" s="61"/>
      <c r="CM713" s="60"/>
      <c r="CN713" s="60"/>
      <c r="CO713" s="60"/>
      <c r="CP713" s="25" t="n">
        <f aca="false">BX713+BW713+BV713+BU713+BT713+BQ713+BN713</f>
        <v>358</v>
      </c>
      <c r="CQ713" s="25" t="n">
        <f aca="false">CO713+CL713+CI713+CH713+CG713+CD713+CA713</f>
        <v>0</v>
      </c>
      <c r="CR713" s="26" t="n">
        <f aca="false">CP713/7</f>
        <v>51.1428571428571</v>
      </c>
      <c r="CS713" s="26" t="n">
        <f aca="false">CQ713/7</f>
        <v>0</v>
      </c>
      <c r="CT713" s="24" t="n">
        <f aca="false">RANK(CR713,$CR$2:$CR$881,0)</f>
        <v>736</v>
      </c>
      <c r="CU713" s="25" t="n">
        <f aca="false">RANK(CS713,$CS$2:$CS$881,0)</f>
        <v>752</v>
      </c>
      <c r="CV713" s="26" t="n">
        <f aca="false">(CS713+CR713)/2</f>
        <v>25.5714285714286</v>
      </c>
      <c r="CW713" s="25" t="n">
        <f aca="false">RANK(CV713,$CV$2:$CV$881,0)</f>
        <v>745</v>
      </c>
      <c r="CX713" s="50" t="n">
        <f aca="false">(CV713+BB713)/2</f>
        <v>51.8357142857143</v>
      </c>
      <c r="CY713" s="50" t="n">
        <v>697</v>
      </c>
      <c r="CZ713" s="27" t="s">
        <v>132</v>
      </c>
      <c r="DA713" s="27" t="s">
        <v>205</v>
      </c>
      <c r="DB713" s="27" t="s">
        <v>205</v>
      </c>
      <c r="DC713" s="27" t="s">
        <v>134</v>
      </c>
      <c r="DD713" s="27" t="s">
        <v>154</v>
      </c>
      <c r="DE713" s="27" t="s">
        <v>638</v>
      </c>
      <c r="DF713" s="27" t="s">
        <v>143</v>
      </c>
      <c r="DG713" s="27" t="s">
        <v>134</v>
      </c>
      <c r="DH713" s="27" t="s">
        <v>182</v>
      </c>
      <c r="DI713" s="27" t="s">
        <v>220</v>
      </c>
      <c r="DJ713" s="27" t="s">
        <v>219</v>
      </c>
      <c r="DK713" s="27" t="s">
        <v>134</v>
      </c>
      <c r="DL713" s="27" t="s">
        <v>154</v>
      </c>
      <c r="DM713" s="27" t="s">
        <v>375</v>
      </c>
      <c r="DN713" s="27" t="s">
        <v>486</v>
      </c>
      <c r="DO713" s="27" t="s">
        <v>134</v>
      </c>
      <c r="DP713" s="27" t="s">
        <v>825</v>
      </c>
      <c r="DQ713" s="27" t="s">
        <v>479</v>
      </c>
      <c r="DR713" s="27" t="s">
        <v>313</v>
      </c>
      <c r="DS713" s="27" t="s">
        <v>480</v>
      </c>
      <c r="DT713" s="27" t="s">
        <v>135</v>
      </c>
      <c r="DU713" s="27" t="s">
        <v>140</v>
      </c>
      <c r="DV713" s="27" t="s">
        <v>304</v>
      </c>
      <c r="DW713" s="27" t="s">
        <v>718</v>
      </c>
      <c r="DX713" s="27" t="s">
        <v>187</v>
      </c>
      <c r="DY713" s="27" t="s">
        <v>305</v>
      </c>
      <c r="DZ713" s="27" t="n">
        <f aca="false">DY713+DV713+DR713+DN713+DJ713+DF713+DB713</f>
        <v>487</v>
      </c>
      <c r="EA713" s="28" t="n">
        <f aca="false">DZ713/7</f>
        <v>69.5714285714286</v>
      </c>
      <c r="EB713" s="27" t="n">
        <f aca="false">RANK(EA713,$EA$2:$EA$881,0)</f>
        <v>661</v>
      </c>
      <c r="EC713" s="29" t="n">
        <f aca="false">DZ713+CQ713+CP713+AZ713</f>
        <v>1626</v>
      </c>
      <c r="ED713" s="30" t="n">
        <f aca="false">(EA713+CV713+BB713)/3</f>
        <v>57.7476190476191</v>
      </c>
      <c r="EE713" s="51" t="n">
        <f aca="false">ROUND(BE713,3)</f>
        <v>84.937</v>
      </c>
      <c r="EF713" s="51" t="n">
        <f aca="false">ROUND(CR713,3)</f>
        <v>51.143</v>
      </c>
      <c r="EG713" s="51" t="n">
        <f aca="false">ROUND(CS713,3)</f>
        <v>0</v>
      </c>
      <c r="EH713" s="51" t="n">
        <f aca="false">ROUND(EA713,3)</f>
        <v>69.571</v>
      </c>
      <c r="EI713" s="51" t="n">
        <f aca="false">ROUND(ED713,3)</f>
        <v>57.748</v>
      </c>
      <c r="EJ713" s="51" t="n">
        <f aca="false">ROUND(CV713,3)</f>
        <v>25.571</v>
      </c>
      <c r="EK713" s="0" t="n">
        <f aca="false">RANK(EI713,$EI$2:$EI$881,0)</f>
        <v>712</v>
      </c>
    </row>
    <row r="714" customFormat="false" ht="15" hidden="false" customHeight="false" outlineLevel="0" collapsed="false">
      <c r="A714" s="4" t="n">
        <v>8985</v>
      </c>
      <c r="B714" s="4" t="n">
        <v>49</v>
      </c>
      <c r="C714" s="27" t="s">
        <v>2045</v>
      </c>
      <c r="D714" s="52" t="n">
        <v>51</v>
      </c>
      <c r="E714" s="16" t="n">
        <v>230510851</v>
      </c>
      <c r="F714" s="56" t="s">
        <v>2046</v>
      </c>
      <c r="G714" s="22" t="s">
        <v>1908</v>
      </c>
      <c r="H714" s="22" t="s">
        <v>465</v>
      </c>
      <c r="I714" s="80"/>
      <c r="J714" s="16" t="n">
        <v>69</v>
      </c>
      <c r="K714" s="16" t="n">
        <v>83</v>
      </c>
      <c r="L714" s="34" t="n">
        <f aca="false">(K714*70)/100</f>
        <v>58.1</v>
      </c>
      <c r="M714" s="34" t="n">
        <f aca="false">ROUNDUP(L714,0)</f>
        <v>59</v>
      </c>
      <c r="N714" s="16" t="n">
        <v>22</v>
      </c>
      <c r="O714" s="34" t="n">
        <f aca="false">N714+L714</f>
        <v>80.1</v>
      </c>
      <c r="P714" s="34" t="n">
        <f aca="false">N714+M714</f>
        <v>81</v>
      </c>
      <c r="Q714" s="16" t="n">
        <v>78</v>
      </c>
      <c r="R714" s="16" t="n">
        <v>74</v>
      </c>
      <c r="S714" s="34" t="n">
        <f aca="false">(R714*70)/100</f>
        <v>51.8</v>
      </c>
      <c r="T714" s="34" t="n">
        <f aca="false">ROUNDUP(S714,0)</f>
        <v>52</v>
      </c>
      <c r="U714" s="16" t="n">
        <v>28</v>
      </c>
      <c r="V714" s="34" t="n">
        <f aca="false">U714+S714</f>
        <v>79.8</v>
      </c>
      <c r="W714" s="34" t="n">
        <f aca="false">U714+T714</f>
        <v>80</v>
      </c>
      <c r="X714" s="16" t="n">
        <v>71</v>
      </c>
      <c r="Y714" s="34" t="n">
        <f aca="false">(X714*70)/100</f>
        <v>49.7</v>
      </c>
      <c r="Z714" s="34" t="n">
        <f aca="false">ROUNDUP(Y714,0)</f>
        <v>50</v>
      </c>
      <c r="AA714" s="16" t="n">
        <v>30</v>
      </c>
      <c r="AB714" s="34" t="n">
        <f aca="false">AA714+Y714</f>
        <v>79.7</v>
      </c>
      <c r="AC714" s="34" t="n">
        <f aca="false">AA714+Z714</f>
        <v>80</v>
      </c>
      <c r="AD714" s="32" t="n">
        <f aca="false">X714+R714+Q714+K714+J714</f>
        <v>375</v>
      </c>
      <c r="AE714" s="16" t="n">
        <f aca="false">AD714/5</f>
        <v>75</v>
      </c>
      <c r="AF714" s="16" t="n">
        <v>85</v>
      </c>
      <c r="AG714" s="16" t="n">
        <v>83</v>
      </c>
      <c r="AH714" s="16" t="n">
        <v>91</v>
      </c>
      <c r="AI714" s="16" t="n">
        <v>95</v>
      </c>
      <c r="AJ714" s="16" t="n">
        <f aca="false">(AI714*70)/100</f>
        <v>66.5</v>
      </c>
      <c r="AK714" s="35" t="n">
        <f aca="false">ROUNDUP(AJ714,0)</f>
        <v>67</v>
      </c>
      <c r="AL714" s="16" t="n">
        <v>29</v>
      </c>
      <c r="AM714" s="16" t="n">
        <f aca="false">AL714+AJ714</f>
        <v>95.5</v>
      </c>
      <c r="AN714" s="16" t="n">
        <f aca="false">AL714+AK714</f>
        <v>96</v>
      </c>
      <c r="AO714" s="16" t="n">
        <v>75</v>
      </c>
      <c r="AP714" s="36" t="n">
        <f aca="false">(AO714*70)/100</f>
        <v>52.5</v>
      </c>
      <c r="AQ714" s="37" t="n">
        <f aca="false">ROUNDUP(AP714,0)</f>
        <v>53</v>
      </c>
      <c r="AR714" s="16" t="n">
        <v>30</v>
      </c>
      <c r="AS714" s="16" t="n">
        <f aca="false">AR714+AP714</f>
        <v>82.5</v>
      </c>
      <c r="AT714" s="16" t="n">
        <f aca="false">AR714+AQ714</f>
        <v>83</v>
      </c>
      <c r="AU714" s="16" t="n">
        <f aca="false">AO714+AF714+AI714+AH714+AG714</f>
        <v>429</v>
      </c>
      <c r="AV714" s="16" t="n">
        <f aca="false">(AO714+AF714+AI714+AH714+AG714)/5</f>
        <v>85.8</v>
      </c>
      <c r="AW714" s="36" t="n">
        <f aca="false">(AO714+AF714+AI714+AH714+AG714+X714+R714+Q714+K714+J714)</f>
        <v>804</v>
      </c>
      <c r="AX714" s="16" t="n">
        <f aca="false">AW714/10</f>
        <v>80.4</v>
      </c>
      <c r="AY714" s="16" t="n">
        <f aca="false">AS714+AF714+AM714+AH714+AG714+AB714+V714+Q714+O714+J714</f>
        <v>823.6</v>
      </c>
      <c r="AZ714" s="16" t="n">
        <f aca="false">AT714+AF714+AN714+AH714+AG714+AC714+W714+Q714+P714+J714</f>
        <v>826</v>
      </c>
      <c r="BA714" s="16" t="n">
        <f aca="false">AY714/10</f>
        <v>82.36</v>
      </c>
      <c r="BB714" s="16" t="n">
        <f aca="false">AZ714/10</f>
        <v>82.6</v>
      </c>
      <c r="BC714" s="16" t="n">
        <v>2336</v>
      </c>
      <c r="BD714" s="16" t="n">
        <f aca="false">RANK(AX714,$AX$2:$AX$881,0)</f>
        <v>238</v>
      </c>
      <c r="BE714" s="54" t="n">
        <f aca="false">((BC714*100)/2400)*0.4+(AX714*0.6)</f>
        <v>87.1733333333334</v>
      </c>
      <c r="BF714" s="16" t="n">
        <f aca="false">RANK(BE714,$BE$2:$BE$881,0)</f>
        <v>283</v>
      </c>
      <c r="BG714" s="39" t="n">
        <f aca="false">RANK(BB714,$BB$2:$BB$881,0)</f>
        <v>178</v>
      </c>
      <c r="BH714" s="39" t="n">
        <f aca="false">RANK(BC714,$BC$2:$BC$881,0)</f>
        <v>670</v>
      </c>
      <c r="BI714" s="22" t="s">
        <v>130</v>
      </c>
      <c r="BJ714" s="22" t="s">
        <v>129</v>
      </c>
      <c r="BK714" s="40" t="s">
        <v>131</v>
      </c>
      <c r="BL714" s="101" t="n">
        <v>10.5</v>
      </c>
      <c r="BM714" s="61"/>
      <c r="BN714" s="61"/>
      <c r="BO714" s="42" t="n">
        <v>28</v>
      </c>
      <c r="BP714" s="61"/>
      <c r="BQ714" s="61"/>
      <c r="BR714" s="42" t="n">
        <v>27</v>
      </c>
      <c r="BS714" s="80"/>
      <c r="BT714" s="80"/>
      <c r="BU714" s="80"/>
      <c r="BV714" s="137"/>
      <c r="BW714" s="61"/>
      <c r="BX714" s="107"/>
      <c r="BY714" s="130"/>
      <c r="BZ714" s="60"/>
      <c r="CA714" s="60"/>
      <c r="CB714" s="61"/>
      <c r="CC714" s="60"/>
      <c r="CD714" s="60"/>
      <c r="CE714" s="60"/>
      <c r="CF714" s="60"/>
      <c r="CG714" s="60"/>
      <c r="CH714" s="60"/>
      <c r="CI714" s="60"/>
      <c r="CJ714" s="60"/>
      <c r="CK714" s="60"/>
      <c r="CL714" s="61"/>
      <c r="CM714" s="60"/>
      <c r="CN714" s="60"/>
      <c r="CO714" s="60"/>
      <c r="CP714" s="25" t="n">
        <f aca="false">BX714+BW714+BV714+BU714+BT714+BQ714+BN714</f>
        <v>0</v>
      </c>
      <c r="CQ714" s="25" t="n">
        <f aca="false">CO714+CL714+CI714+CH714+CG714+CD714+CA714</f>
        <v>0</v>
      </c>
      <c r="CR714" s="26" t="n">
        <f aca="false">CP714/7</f>
        <v>0</v>
      </c>
      <c r="CS714" s="26" t="n">
        <f aca="false">CQ714/7</f>
        <v>0</v>
      </c>
      <c r="CT714" s="24" t="n">
        <f aca="false">RANK(CR714,$CR$2:$CR$881,0)</f>
        <v>768</v>
      </c>
      <c r="CU714" s="25" t="n">
        <f aca="false">RANK(CS714,$CS$2:$CS$881,0)</f>
        <v>752</v>
      </c>
      <c r="CV714" s="26" t="n">
        <f aca="false">(CS714+CR714)/2</f>
        <v>0</v>
      </c>
      <c r="CW714" s="25" t="n">
        <f aca="false">RANK(CV714,$CV$2:$CV$881,0)</f>
        <v>753</v>
      </c>
      <c r="CX714" s="50" t="n">
        <f aca="false">(CV714+BB714)/2</f>
        <v>41.3</v>
      </c>
      <c r="CY714" s="50" t="n">
        <v>728</v>
      </c>
      <c r="CZ714" s="27" t="s">
        <v>132</v>
      </c>
      <c r="DA714" s="27" t="s">
        <v>219</v>
      </c>
      <c r="DB714" s="27" t="s">
        <v>219</v>
      </c>
      <c r="DC714" s="27" t="s">
        <v>134</v>
      </c>
      <c r="DD714" s="27" t="s">
        <v>137</v>
      </c>
      <c r="DE714" s="27" t="s">
        <v>204</v>
      </c>
      <c r="DF714" s="27" t="s">
        <v>175</v>
      </c>
      <c r="DG714" s="27" t="s">
        <v>134</v>
      </c>
      <c r="DH714" s="27" t="s">
        <v>140</v>
      </c>
      <c r="DI714" s="27" t="s">
        <v>187</v>
      </c>
      <c r="DJ714" s="27" t="s">
        <v>139</v>
      </c>
      <c r="DK714" s="27" t="s">
        <v>134</v>
      </c>
      <c r="DL714" s="27" t="s">
        <v>137</v>
      </c>
      <c r="DM714" s="27" t="s">
        <v>152</v>
      </c>
      <c r="DN714" s="27" t="s">
        <v>153</v>
      </c>
      <c r="DO714" s="27" t="s">
        <v>134</v>
      </c>
      <c r="DP714" s="27" t="s">
        <v>154</v>
      </c>
      <c r="DQ714" s="27" t="s">
        <v>163</v>
      </c>
      <c r="DR714" s="27" t="s">
        <v>133</v>
      </c>
      <c r="DS714" s="27" t="s">
        <v>134</v>
      </c>
      <c r="DT714" s="27" t="s">
        <v>146</v>
      </c>
      <c r="DU714" s="27" t="s">
        <v>152</v>
      </c>
      <c r="DV714" s="27" t="s">
        <v>156</v>
      </c>
      <c r="DW714" s="27" t="s">
        <v>137</v>
      </c>
      <c r="DX714" s="27" t="s">
        <v>155</v>
      </c>
      <c r="DY714" s="27" t="s">
        <v>142</v>
      </c>
      <c r="DZ714" s="27" t="n">
        <f aca="false">DY714+DV714+DR714+DN714+DJ714+DF714+DB714</f>
        <v>628</v>
      </c>
      <c r="EA714" s="28" t="n">
        <f aca="false">DZ714/7</f>
        <v>89.7142857142857</v>
      </c>
      <c r="EB714" s="27" t="n">
        <f aca="false">RANK(EA714,$EA$2:$EA$881,0)</f>
        <v>59</v>
      </c>
      <c r="EC714" s="29" t="n">
        <f aca="false">DZ714+CQ714+CP714+AZ714</f>
        <v>1454</v>
      </c>
      <c r="ED714" s="30" t="n">
        <f aca="false">(EA714+CV714+BB714)/3</f>
        <v>57.4380952380952</v>
      </c>
      <c r="EE714" s="51" t="n">
        <f aca="false">ROUND(BE714,3)</f>
        <v>87.173</v>
      </c>
      <c r="EF714" s="51" t="n">
        <f aca="false">ROUND(CR714,3)</f>
        <v>0</v>
      </c>
      <c r="EG714" s="51" t="n">
        <f aca="false">ROUND(CS714,3)</f>
        <v>0</v>
      </c>
      <c r="EH714" s="51" t="n">
        <f aca="false">ROUND(EA714,3)</f>
        <v>89.714</v>
      </c>
      <c r="EI714" s="51" t="n">
        <f aca="false">ROUND(ED714,3)</f>
        <v>57.438</v>
      </c>
      <c r="EJ714" s="51" t="n">
        <f aca="false">ROUND(CV714,3)</f>
        <v>0</v>
      </c>
      <c r="EK714" s="0" t="n">
        <f aca="false">RANK(EI714,$EI$2:$EI$881,0)</f>
        <v>713</v>
      </c>
    </row>
    <row r="715" customFormat="false" ht="15" hidden="false" customHeight="false" outlineLevel="0" collapsed="false">
      <c r="A715" s="4" t="n">
        <v>8858</v>
      </c>
      <c r="B715" s="4" t="n">
        <v>159</v>
      </c>
      <c r="C715" s="27" t="s">
        <v>2047</v>
      </c>
      <c r="D715" s="31" t="n">
        <v>159</v>
      </c>
      <c r="E715" s="16" t="n">
        <v>230515682</v>
      </c>
      <c r="F715" s="56" t="s">
        <v>2048</v>
      </c>
      <c r="G715" s="22" t="s">
        <v>2049</v>
      </c>
      <c r="H715" s="22" t="s">
        <v>465</v>
      </c>
      <c r="I715" s="57"/>
      <c r="J715" s="16" t="n">
        <v>65</v>
      </c>
      <c r="K715" s="16" t="n">
        <v>68</v>
      </c>
      <c r="L715" s="34" t="n">
        <f aca="false">(K715*70)/100</f>
        <v>47.6</v>
      </c>
      <c r="M715" s="34" t="n">
        <f aca="false">ROUNDUP(L715,0)</f>
        <v>48</v>
      </c>
      <c r="N715" s="16" t="n">
        <v>28</v>
      </c>
      <c r="O715" s="34" t="n">
        <f aca="false">N715+L715</f>
        <v>75.6</v>
      </c>
      <c r="P715" s="34" t="n">
        <f aca="false">N715+M715</f>
        <v>76</v>
      </c>
      <c r="Q715" s="71" t="n">
        <v>55</v>
      </c>
      <c r="R715" s="16" t="n">
        <v>68</v>
      </c>
      <c r="S715" s="34" t="n">
        <f aca="false">(R715*70)/100</f>
        <v>47.6</v>
      </c>
      <c r="T715" s="34" t="n">
        <f aca="false">ROUNDUP(S715,0)</f>
        <v>48</v>
      </c>
      <c r="U715" s="16" t="n">
        <v>27</v>
      </c>
      <c r="V715" s="34" t="n">
        <f aca="false">U715+S715</f>
        <v>74.6</v>
      </c>
      <c r="W715" s="34" t="n">
        <f aca="false">U715+T715</f>
        <v>75</v>
      </c>
      <c r="X715" s="16" t="n">
        <v>56</v>
      </c>
      <c r="Y715" s="34" t="n">
        <f aca="false">(X715*70)/100</f>
        <v>39.2</v>
      </c>
      <c r="Z715" s="34" t="n">
        <f aca="false">ROUNDUP(Y715,0)</f>
        <v>40</v>
      </c>
      <c r="AA715" s="16" t="n">
        <v>27</v>
      </c>
      <c r="AB715" s="34" t="n">
        <f aca="false">AA715+Y715</f>
        <v>66.2</v>
      </c>
      <c r="AC715" s="34" t="n">
        <f aca="false">AA715+Z715</f>
        <v>67</v>
      </c>
      <c r="AD715" s="32" t="n">
        <f aca="false">X715+R715+Q715+K715+J715</f>
        <v>312</v>
      </c>
      <c r="AE715" s="16" t="n">
        <f aca="false">AD715/5</f>
        <v>62.4</v>
      </c>
      <c r="AF715" s="16" t="n">
        <v>74</v>
      </c>
      <c r="AG715" s="16" t="n">
        <v>74</v>
      </c>
      <c r="AH715" s="16" t="n">
        <v>76</v>
      </c>
      <c r="AI715" s="16" t="n">
        <v>84</v>
      </c>
      <c r="AJ715" s="16" t="n">
        <f aca="false">(AI715*70)/100</f>
        <v>58.8</v>
      </c>
      <c r="AK715" s="35" t="n">
        <f aca="false">ROUNDUP(AJ715,0)</f>
        <v>59</v>
      </c>
      <c r="AL715" s="16" t="n">
        <v>24</v>
      </c>
      <c r="AM715" s="16" t="n">
        <f aca="false">AL715+AJ715</f>
        <v>82.8</v>
      </c>
      <c r="AN715" s="16" t="n">
        <f aca="false">AL715+AK715</f>
        <v>83</v>
      </c>
      <c r="AO715" s="16" t="n">
        <v>61</v>
      </c>
      <c r="AP715" s="36" t="n">
        <f aca="false">(AO715*70)/100</f>
        <v>42.7</v>
      </c>
      <c r="AQ715" s="37" t="n">
        <f aca="false">ROUNDUP(AP715,0)</f>
        <v>43</v>
      </c>
      <c r="AR715" s="16" t="n">
        <v>23</v>
      </c>
      <c r="AS715" s="16" t="n">
        <f aca="false">AR715+AP715</f>
        <v>65.7</v>
      </c>
      <c r="AT715" s="16" t="n">
        <f aca="false">AR715+AQ715</f>
        <v>66</v>
      </c>
      <c r="AU715" s="16" t="n">
        <f aca="false">AO715+AF715+AI715+AH715+AG715</f>
        <v>369</v>
      </c>
      <c r="AV715" s="16" t="n">
        <f aca="false">(AO715+AF715+AI715+AH715+AG715)/5</f>
        <v>73.8</v>
      </c>
      <c r="AW715" s="36" t="n">
        <f aca="false">(AO715+AF715+AI715+AH715+AG715+X715+R715+Q715+K715+J715)</f>
        <v>681</v>
      </c>
      <c r="AX715" s="16" t="n">
        <f aca="false">AW715/10</f>
        <v>68.1</v>
      </c>
      <c r="AY715" s="16" t="n">
        <f aca="false">AS715+AF715+AM715+AH715+AG715+AB715+V715+Q715+O715+J715</f>
        <v>708.9</v>
      </c>
      <c r="AZ715" s="16" t="n">
        <f aca="false">AT715+AF715+AN715+AH715+AG715+AC715+W715+Q715+P715+J715</f>
        <v>711</v>
      </c>
      <c r="BA715" s="16" t="n">
        <f aca="false">AY715/10</f>
        <v>70.89</v>
      </c>
      <c r="BB715" s="16" t="n">
        <f aca="false">AZ715/10</f>
        <v>71.1</v>
      </c>
      <c r="BC715" s="16" t="n">
        <v>2345</v>
      </c>
      <c r="BD715" s="16" t="n">
        <f aca="false">RANK(AX715,$AX$2:$AX$881,0)</f>
        <v>749</v>
      </c>
      <c r="BE715" s="78" t="n">
        <f aca="false">((BC715*100)/2400)*0.4+(AX715*0.6)</f>
        <v>79.9433333333333</v>
      </c>
      <c r="BF715" s="16" t="n">
        <f aca="false">RANK(BE715,$BE$2:$BE$881,0)</f>
        <v>731</v>
      </c>
      <c r="BG715" s="39" t="n">
        <f aca="false">RANK(BB715,$BB$2:$BB$881,0)</f>
        <v>736</v>
      </c>
      <c r="BH715" s="39" t="n">
        <f aca="false">RANK(BC715,$BC$2:$BC$881,0)</f>
        <v>585</v>
      </c>
      <c r="BI715" s="22" t="s">
        <v>130</v>
      </c>
      <c r="BJ715" s="22" t="s">
        <v>129</v>
      </c>
      <c r="BK715" s="40" t="s">
        <v>702</v>
      </c>
      <c r="BL715" s="41" t="n">
        <v>18</v>
      </c>
      <c r="BM715" s="41" t="n">
        <v>52</v>
      </c>
      <c r="BN715" s="41" t="n">
        <v>70</v>
      </c>
      <c r="BO715" s="42" t="n">
        <v>20</v>
      </c>
      <c r="BP715" s="43" t="n">
        <v>51</v>
      </c>
      <c r="BQ715" s="44" t="n">
        <v>71</v>
      </c>
      <c r="BR715" s="42" t="n">
        <v>23</v>
      </c>
      <c r="BS715" s="45" t="n">
        <v>55</v>
      </c>
      <c r="BT715" s="45" t="n">
        <v>78</v>
      </c>
      <c r="BU715" s="46" t="n">
        <v>98</v>
      </c>
      <c r="BV715" s="47" t="n">
        <v>74</v>
      </c>
      <c r="BW715" s="42" t="n">
        <v>100</v>
      </c>
      <c r="BX715" s="107"/>
      <c r="BY715" s="130"/>
      <c r="BZ715" s="60"/>
      <c r="CA715" s="60"/>
      <c r="CB715" s="61"/>
      <c r="CC715" s="60"/>
      <c r="CD715" s="60"/>
      <c r="CE715" s="60"/>
      <c r="CF715" s="60"/>
      <c r="CG715" s="60"/>
      <c r="CH715" s="60"/>
      <c r="CI715" s="60"/>
      <c r="CJ715" s="60"/>
      <c r="CK715" s="60"/>
      <c r="CL715" s="61"/>
      <c r="CM715" s="60"/>
      <c r="CN715" s="60"/>
      <c r="CO715" s="60"/>
      <c r="CP715" s="25" t="n">
        <f aca="false">BX715+BW715+BV715+BU715+BT715+BQ715+BN715</f>
        <v>491</v>
      </c>
      <c r="CQ715" s="25" t="n">
        <f aca="false">CO715+CL715+CI715+CH715+CG715+CD715+CA715</f>
        <v>0</v>
      </c>
      <c r="CR715" s="26" t="n">
        <f aca="false">CP715/7</f>
        <v>70.1428571428571</v>
      </c>
      <c r="CS715" s="26" t="n">
        <f aca="false">CQ715/7</f>
        <v>0</v>
      </c>
      <c r="CT715" s="24" t="n">
        <f aca="false">RANK(CR715,$CR$2:$CR$881,0)</f>
        <v>686</v>
      </c>
      <c r="CU715" s="25" t="n">
        <f aca="false">RANK(CS715,$CS$2:$CS$881,0)</f>
        <v>752</v>
      </c>
      <c r="CV715" s="26" t="n">
        <f aca="false">(CS715+CR715)/2</f>
        <v>35.0714285714286</v>
      </c>
      <c r="CW715" s="25" t="n">
        <f aca="false">RANK(CV715,$CV$2:$CV$881,0)</f>
        <v>737</v>
      </c>
      <c r="CX715" s="50" t="n">
        <f aca="false">(CV715+BB715)/2</f>
        <v>53.0857142857143</v>
      </c>
      <c r="CY715" s="50" t="n">
        <v>691</v>
      </c>
      <c r="CZ715" s="27" t="s">
        <v>132</v>
      </c>
      <c r="DA715" s="27" t="s">
        <v>133</v>
      </c>
      <c r="DB715" s="27" t="s">
        <v>133</v>
      </c>
      <c r="DC715" s="27" t="s">
        <v>134</v>
      </c>
      <c r="DD715" s="27" t="s">
        <v>164</v>
      </c>
      <c r="DE715" s="27" t="s">
        <v>375</v>
      </c>
      <c r="DF715" s="27" t="s">
        <v>382</v>
      </c>
      <c r="DG715" s="27" t="s">
        <v>134</v>
      </c>
      <c r="DH715" s="27" t="s">
        <v>135</v>
      </c>
      <c r="DI715" s="27" t="s">
        <v>1407</v>
      </c>
      <c r="DJ715" s="27" t="s">
        <v>163</v>
      </c>
      <c r="DK715" s="27" t="s">
        <v>134</v>
      </c>
      <c r="DL715" s="27" t="s">
        <v>195</v>
      </c>
      <c r="DM715" s="27" t="s">
        <v>681</v>
      </c>
      <c r="DN715" s="27" t="s">
        <v>141</v>
      </c>
      <c r="DO715" s="27" t="s">
        <v>134</v>
      </c>
      <c r="DP715" s="27"/>
      <c r="DQ715" s="27"/>
      <c r="DR715" s="27"/>
      <c r="DS715" s="27"/>
      <c r="DT715" s="27" t="s">
        <v>137</v>
      </c>
      <c r="DU715" s="27" t="s">
        <v>1064</v>
      </c>
      <c r="DV715" s="27" t="s">
        <v>203</v>
      </c>
      <c r="DW715" s="27" t="s">
        <v>160</v>
      </c>
      <c r="DX715" s="27" t="s">
        <v>136</v>
      </c>
      <c r="DY715" s="27" t="s">
        <v>170</v>
      </c>
      <c r="DZ715" s="27" t="n">
        <f aca="false">DY715+DV715+DR715+DN715+DJ715+DF715+DB715</f>
        <v>450</v>
      </c>
      <c r="EA715" s="28" t="n">
        <f aca="false">DZ715/7</f>
        <v>64.2857142857143</v>
      </c>
      <c r="EB715" s="27" t="n">
        <f aca="false">RANK(EA715,$EA$2:$EA$881,0)</f>
        <v>743</v>
      </c>
      <c r="EC715" s="29" t="n">
        <f aca="false">DZ715+CQ715+CP715+AZ715</f>
        <v>1652</v>
      </c>
      <c r="ED715" s="30" t="n">
        <f aca="false">(EA715+CV715+BB715)/3</f>
        <v>56.8190476190476</v>
      </c>
      <c r="EE715" s="51" t="n">
        <f aca="false">ROUND(BE715,3)</f>
        <v>79.943</v>
      </c>
      <c r="EF715" s="51" t="n">
        <f aca="false">ROUND(CR715,3)</f>
        <v>70.143</v>
      </c>
      <c r="EG715" s="51" t="n">
        <f aca="false">ROUND(CS715,3)</f>
        <v>0</v>
      </c>
      <c r="EH715" s="51" t="n">
        <f aca="false">ROUND(EA715,3)</f>
        <v>64.286</v>
      </c>
      <c r="EI715" s="51" t="n">
        <f aca="false">ROUND(ED715,3)</f>
        <v>56.819</v>
      </c>
      <c r="EJ715" s="51" t="n">
        <f aca="false">ROUND(CV715,3)</f>
        <v>35.071</v>
      </c>
      <c r="EK715" s="0" t="n">
        <f aca="false">RANK(EI715,$EI$2:$EI$881,0)</f>
        <v>714</v>
      </c>
    </row>
    <row r="716" customFormat="false" ht="15" hidden="false" customHeight="false" outlineLevel="0" collapsed="false">
      <c r="A716" s="4" t="n">
        <v>8873</v>
      </c>
      <c r="B716" s="4" t="n">
        <v>586</v>
      </c>
      <c r="C716" s="27" t="s">
        <v>2050</v>
      </c>
      <c r="D716" s="31" t="n">
        <v>591</v>
      </c>
      <c r="E716" s="32" t="n">
        <v>230311700</v>
      </c>
      <c r="F716" s="8" t="s">
        <v>2051</v>
      </c>
      <c r="G716" s="22" t="s">
        <v>880</v>
      </c>
      <c r="H716" s="22" t="s">
        <v>129</v>
      </c>
      <c r="I716" s="33" t="n">
        <v>2005</v>
      </c>
      <c r="J716" s="32" t="n">
        <v>72</v>
      </c>
      <c r="K716" s="32" t="n">
        <v>61</v>
      </c>
      <c r="L716" s="34" t="n">
        <f aca="false">(K716*70)/100</f>
        <v>42.7</v>
      </c>
      <c r="M716" s="34" t="n">
        <f aca="false">ROUNDUP(L716,0)</f>
        <v>43</v>
      </c>
      <c r="N716" s="32" t="n">
        <v>23</v>
      </c>
      <c r="O716" s="34" t="n">
        <f aca="false">N716+L716</f>
        <v>65.7</v>
      </c>
      <c r="P716" s="34" t="n">
        <f aca="false">N716+M716</f>
        <v>66</v>
      </c>
      <c r="Q716" s="32" t="n">
        <v>67</v>
      </c>
      <c r="R716" s="32" t="n">
        <v>68</v>
      </c>
      <c r="S716" s="34" t="n">
        <f aca="false">(R716*70)/100</f>
        <v>47.6</v>
      </c>
      <c r="T716" s="34" t="n">
        <f aca="false">ROUNDUP(S716,0)</f>
        <v>48</v>
      </c>
      <c r="U716" s="32" t="n">
        <v>14</v>
      </c>
      <c r="V716" s="34" t="n">
        <f aca="false">U716+S716</f>
        <v>61.6</v>
      </c>
      <c r="W716" s="34" t="n">
        <f aca="false">U716+T716</f>
        <v>62</v>
      </c>
      <c r="X716" s="32" t="n">
        <v>53</v>
      </c>
      <c r="Y716" s="34" t="n">
        <f aca="false">(X716*70)/100</f>
        <v>37.1</v>
      </c>
      <c r="Z716" s="34" t="n">
        <f aca="false">ROUNDUP(Y716,0)</f>
        <v>38</v>
      </c>
      <c r="AA716" s="32" t="n">
        <v>20</v>
      </c>
      <c r="AB716" s="34" t="n">
        <f aca="false">AA716+Y716</f>
        <v>57.1</v>
      </c>
      <c r="AC716" s="91" t="n">
        <f aca="false">AA716+Z716</f>
        <v>58</v>
      </c>
      <c r="AD716" s="32" t="n">
        <f aca="false">X716+R716+Q716+K716+J716</f>
        <v>321</v>
      </c>
      <c r="AE716" s="16" t="n">
        <f aca="false">AD716/5</f>
        <v>64.2</v>
      </c>
      <c r="AF716" s="71" t="n">
        <v>47</v>
      </c>
      <c r="AG716" s="16" t="n">
        <v>88</v>
      </c>
      <c r="AH716" s="16" t="n">
        <v>95</v>
      </c>
      <c r="AI716" s="16" t="n">
        <v>79</v>
      </c>
      <c r="AJ716" s="16" t="n">
        <f aca="false">(AI716*70)/100</f>
        <v>55.3</v>
      </c>
      <c r="AK716" s="35" t="n">
        <f aca="false">ROUNDUP(AJ716,0)</f>
        <v>56</v>
      </c>
      <c r="AL716" s="16" t="n">
        <v>22</v>
      </c>
      <c r="AM716" s="16" t="n">
        <f aca="false">AL716+AJ716</f>
        <v>77.3</v>
      </c>
      <c r="AN716" s="16" t="n">
        <f aca="false">AL716+AK716</f>
        <v>78</v>
      </c>
      <c r="AO716" s="16" t="n">
        <v>68</v>
      </c>
      <c r="AP716" s="36" t="n">
        <f aca="false">(AO716*70)/100</f>
        <v>47.6</v>
      </c>
      <c r="AQ716" s="37" t="n">
        <f aca="false">ROUNDUP(AP716,0)</f>
        <v>48</v>
      </c>
      <c r="AR716" s="16" t="n">
        <v>26</v>
      </c>
      <c r="AS716" s="16" t="n">
        <f aca="false">AR716+AP716</f>
        <v>73.6</v>
      </c>
      <c r="AT716" s="16" t="n">
        <f aca="false">AR716+AQ716</f>
        <v>74</v>
      </c>
      <c r="AU716" s="16" t="n">
        <f aca="false">AO716+AF716+AI716+AH716+AG716</f>
        <v>377</v>
      </c>
      <c r="AV716" s="16" t="n">
        <f aca="false">(AO716+AF716+AI716+AH716+AG716)/5</f>
        <v>75.4</v>
      </c>
      <c r="AW716" s="36" t="n">
        <f aca="false">(AO716+AF716+AI716+AH716+AG716+X716+R716+Q716+K716+J716)</f>
        <v>698</v>
      </c>
      <c r="AX716" s="16" t="n">
        <f aca="false">AW716/10</f>
        <v>69.8</v>
      </c>
      <c r="AY716" s="16" t="n">
        <f aca="false">AS716+AF716+AM716+AH716+AG716+AB716+V716+Q716+O716+J716</f>
        <v>704.3</v>
      </c>
      <c r="AZ716" s="16" t="n">
        <f aca="false">AT716+AF716+AN716+AH716+AG716+AC716+W716+Q716+P716+J716</f>
        <v>707</v>
      </c>
      <c r="BA716" s="16" t="n">
        <f aca="false">AY716/10</f>
        <v>70.43</v>
      </c>
      <c r="BB716" s="16" t="n">
        <f aca="false">AZ716/10</f>
        <v>70.7</v>
      </c>
      <c r="BC716" s="16" t="n">
        <v>2339</v>
      </c>
      <c r="BD716" s="16" t="n">
        <f aca="false">RANK(AX716,$AX$2:$AX$881,0)</f>
        <v>737</v>
      </c>
      <c r="BE716" s="73" t="n">
        <f aca="false">((BC716*100)/2400)*0.4+(AX716*0.6)</f>
        <v>80.8633333333333</v>
      </c>
      <c r="BF716" s="16" t="n">
        <f aca="false">RANK(BE716,$BE$2:$BE$881,0)</f>
        <v>720</v>
      </c>
      <c r="BG716" s="39" t="n">
        <f aca="false">RANK(BB716,$BB$2:$BB$881,0)</f>
        <v>740</v>
      </c>
      <c r="BH716" s="39" t="n">
        <f aca="false">RANK(BC716,$BC$2:$BC$881,0)</f>
        <v>640</v>
      </c>
      <c r="BI716" s="22" t="s">
        <v>130</v>
      </c>
      <c r="BJ716" s="22" t="s">
        <v>129</v>
      </c>
      <c r="BK716" s="40" t="s">
        <v>702</v>
      </c>
      <c r="BL716" s="41" t="n">
        <v>12</v>
      </c>
      <c r="BM716" s="41" t="n">
        <v>55</v>
      </c>
      <c r="BN716" s="41" t="n">
        <v>67</v>
      </c>
      <c r="BO716" s="42" t="n">
        <v>22</v>
      </c>
      <c r="BP716" s="43" t="n">
        <v>54</v>
      </c>
      <c r="BQ716" s="44" t="n">
        <v>76</v>
      </c>
      <c r="BR716" s="42" t="n">
        <v>21</v>
      </c>
      <c r="BS716" s="45" t="n">
        <v>57</v>
      </c>
      <c r="BT716" s="45" t="n">
        <v>78</v>
      </c>
      <c r="BU716" s="46" t="n">
        <v>98</v>
      </c>
      <c r="BV716" s="47" t="n">
        <v>80</v>
      </c>
      <c r="BW716" s="42" t="n">
        <v>98</v>
      </c>
      <c r="BX716" s="48" t="n">
        <v>92</v>
      </c>
      <c r="BY716" s="32" t="n">
        <v>21</v>
      </c>
      <c r="BZ716" s="68" t="n">
        <v>44</v>
      </c>
      <c r="CA716" s="48" t="n">
        <v>65</v>
      </c>
      <c r="CB716" s="32" t="n">
        <v>17</v>
      </c>
      <c r="CC716" s="32" t="n">
        <v>19</v>
      </c>
      <c r="CD716" s="69" t="n">
        <v>36</v>
      </c>
      <c r="CE716" s="32" t="n">
        <v>23</v>
      </c>
      <c r="CF716" s="32" t="n">
        <v>44</v>
      </c>
      <c r="CG716" s="32" t="n">
        <v>67</v>
      </c>
      <c r="CH716" s="32" t="n">
        <v>92</v>
      </c>
      <c r="CI716" s="32" t="n">
        <v>92</v>
      </c>
      <c r="CJ716" s="49" t="n">
        <v>13</v>
      </c>
      <c r="CK716" s="58" t="n">
        <v>40</v>
      </c>
      <c r="CL716" s="59" t="n">
        <v>53</v>
      </c>
      <c r="CM716" s="49" t="n">
        <v>16</v>
      </c>
      <c r="CN716" s="49" t="n">
        <v>32</v>
      </c>
      <c r="CO716" s="76" t="n">
        <v>48</v>
      </c>
      <c r="CP716" s="25" t="n">
        <f aca="false">BX716+BW716+BV716+BU716+BT716+BQ716+BN716</f>
        <v>589</v>
      </c>
      <c r="CQ716" s="25" t="n">
        <f aca="false">CO716+CL716+CI716+CH716+CG716+CD716+CA716</f>
        <v>453</v>
      </c>
      <c r="CR716" s="26" t="n">
        <f aca="false">CP716/7</f>
        <v>84.1428571428571</v>
      </c>
      <c r="CS716" s="26" t="n">
        <f aca="false">CQ716/7</f>
        <v>64.7142857142857</v>
      </c>
      <c r="CT716" s="24" t="n">
        <f aca="false">RANK(CR716,$CR$2:$CR$881,0)</f>
        <v>474</v>
      </c>
      <c r="CU716" s="25" t="n">
        <f aca="false">RANK(CS716,$CS$2:$CS$881,0)</f>
        <v>629</v>
      </c>
      <c r="CV716" s="26" t="n">
        <f aca="false">(CS716+CR716)/2</f>
        <v>74.4285714285714</v>
      </c>
      <c r="CW716" s="25" t="n">
        <f aca="false">RANK(CV716,$CV$2:$CV$881,0)</f>
        <v>574</v>
      </c>
      <c r="CX716" s="50" t="n">
        <f aca="false">(CV716+BB716)/2</f>
        <v>72.5642857142857</v>
      </c>
      <c r="CY716" s="50" t="n">
        <v>619</v>
      </c>
      <c r="CZ716" s="27" t="s">
        <v>132</v>
      </c>
      <c r="DA716" s="27" t="s">
        <v>272</v>
      </c>
      <c r="DB716" s="27" t="s">
        <v>272</v>
      </c>
      <c r="DC716" s="27" t="s">
        <v>134</v>
      </c>
      <c r="DD716" s="27" t="s">
        <v>718</v>
      </c>
      <c r="DE716" s="27" t="s">
        <v>1309</v>
      </c>
      <c r="DF716" s="27" t="s">
        <v>415</v>
      </c>
      <c r="DG716" s="27" t="s">
        <v>480</v>
      </c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 t="s">
        <v>386</v>
      </c>
      <c r="DU716" s="27" t="s">
        <v>135</v>
      </c>
      <c r="DV716" s="27" t="s">
        <v>897</v>
      </c>
      <c r="DW716" s="27"/>
      <c r="DX716" s="27"/>
      <c r="DY716" s="27"/>
      <c r="DZ716" s="27" t="n">
        <f aca="false">DY716+DV716+DR716+DN716+DJ716+DF716+DB716</f>
        <v>169</v>
      </c>
      <c r="EA716" s="28" t="n">
        <f aca="false">DZ716/7</f>
        <v>24.1428571428571</v>
      </c>
      <c r="EB716" s="27" t="n">
        <f aca="false">RANK(EA716,$EA$2:$EA$881,0)</f>
        <v>867</v>
      </c>
      <c r="EC716" s="29" t="n">
        <f aca="false">DZ716+CQ716+CP716+AZ716</f>
        <v>1918</v>
      </c>
      <c r="ED716" s="30" t="n">
        <f aca="false">(EA716+CV716+BB716)/3</f>
        <v>56.4238095238095</v>
      </c>
      <c r="EE716" s="51" t="n">
        <f aca="false">ROUND(BE716,3)</f>
        <v>80.863</v>
      </c>
      <c r="EF716" s="51" t="n">
        <f aca="false">ROUND(CR716,3)</f>
        <v>84.143</v>
      </c>
      <c r="EG716" s="51" t="n">
        <f aca="false">ROUND(CS716,3)</f>
        <v>64.714</v>
      </c>
      <c r="EH716" s="51" t="n">
        <f aca="false">ROUND(EA716,3)</f>
        <v>24.143</v>
      </c>
      <c r="EI716" s="51" t="n">
        <f aca="false">ROUND(ED716,3)</f>
        <v>56.424</v>
      </c>
      <c r="EJ716" s="51" t="n">
        <f aca="false">ROUND(CV716,3)</f>
        <v>74.429</v>
      </c>
      <c r="EK716" s="0" t="n">
        <f aca="false">RANK(EI716,$EI$2:$EI$881,0)</f>
        <v>715</v>
      </c>
    </row>
    <row r="717" customFormat="false" ht="15" hidden="false" customHeight="false" outlineLevel="0" collapsed="false">
      <c r="A717" s="4" t="n">
        <v>2032</v>
      </c>
      <c r="B717" s="4" t="n">
        <v>177</v>
      </c>
      <c r="C717" s="27" t="s">
        <v>2052</v>
      </c>
      <c r="D717" s="31" t="n">
        <v>178</v>
      </c>
      <c r="E717" s="16" t="n">
        <v>230623601</v>
      </c>
      <c r="F717" s="56" t="s">
        <v>2053</v>
      </c>
      <c r="G717" s="22" t="s">
        <v>2054</v>
      </c>
      <c r="H717" s="22" t="s">
        <v>558</v>
      </c>
      <c r="I717" s="80"/>
      <c r="J717" s="16" t="n">
        <v>68</v>
      </c>
      <c r="K717" s="16" t="n">
        <v>64</v>
      </c>
      <c r="L717" s="34" t="n">
        <f aca="false">(K717*70)/100</f>
        <v>44.8</v>
      </c>
      <c r="M717" s="34" t="n">
        <f aca="false">ROUNDUP(L717,0)</f>
        <v>45</v>
      </c>
      <c r="N717" s="16" t="n">
        <v>23</v>
      </c>
      <c r="O717" s="34" t="n">
        <f aca="false">N717+L717</f>
        <v>67.8</v>
      </c>
      <c r="P717" s="34" t="n">
        <f aca="false">N717+M717</f>
        <v>68</v>
      </c>
      <c r="Q717" s="16" t="n">
        <v>66</v>
      </c>
      <c r="R717" s="16" t="n">
        <v>73</v>
      </c>
      <c r="S717" s="34" t="n">
        <f aca="false">(R717*70)/100</f>
        <v>51.1</v>
      </c>
      <c r="T717" s="34" t="n">
        <f aca="false">ROUNDUP(S717,0)</f>
        <v>52</v>
      </c>
      <c r="U717" s="16" t="n">
        <v>25</v>
      </c>
      <c r="V717" s="34" t="n">
        <f aca="false">U717+S717</f>
        <v>76.1</v>
      </c>
      <c r="W717" s="34" t="n">
        <f aca="false">U717+T717</f>
        <v>77</v>
      </c>
      <c r="X717" s="16" t="n">
        <v>66</v>
      </c>
      <c r="Y717" s="34" t="n">
        <f aca="false">(X717*70)/100</f>
        <v>46.2</v>
      </c>
      <c r="Z717" s="34" t="n">
        <f aca="false">ROUNDUP(Y717,0)</f>
        <v>47</v>
      </c>
      <c r="AA717" s="16" t="n">
        <v>24</v>
      </c>
      <c r="AB717" s="34" t="n">
        <f aca="false">AA717+Y717</f>
        <v>70.2</v>
      </c>
      <c r="AC717" s="34" t="n">
        <f aca="false">AA717+Z717</f>
        <v>71</v>
      </c>
      <c r="AD717" s="32" t="n">
        <f aca="false">X717+R717+Q717+K717+J717</f>
        <v>337</v>
      </c>
      <c r="AE717" s="16" t="n">
        <f aca="false">AD717/5</f>
        <v>67.4</v>
      </c>
      <c r="AF717" s="16" t="n">
        <v>80</v>
      </c>
      <c r="AG717" s="16" t="n">
        <v>84</v>
      </c>
      <c r="AH717" s="16" t="n">
        <v>86</v>
      </c>
      <c r="AI717" s="16" t="n">
        <v>95</v>
      </c>
      <c r="AJ717" s="16" t="n">
        <f aca="false">(AI717*70)/100</f>
        <v>66.5</v>
      </c>
      <c r="AK717" s="35" t="n">
        <f aca="false">ROUNDUP(AJ717,0)</f>
        <v>67</v>
      </c>
      <c r="AL717" s="16" t="n">
        <v>29</v>
      </c>
      <c r="AM717" s="16" t="n">
        <f aca="false">AL717+AJ717</f>
        <v>95.5</v>
      </c>
      <c r="AN717" s="16" t="n">
        <f aca="false">AL717+AK717</f>
        <v>96</v>
      </c>
      <c r="AO717" s="16" t="n">
        <v>84</v>
      </c>
      <c r="AP717" s="36" t="n">
        <f aca="false">(AO717*70)/100</f>
        <v>58.8</v>
      </c>
      <c r="AQ717" s="37" t="n">
        <f aca="false">ROUNDUP(AP717,0)</f>
        <v>59</v>
      </c>
      <c r="AR717" s="16" t="n">
        <v>30</v>
      </c>
      <c r="AS717" s="16" t="n">
        <f aca="false">AR717+AP717</f>
        <v>88.8</v>
      </c>
      <c r="AT717" s="16" t="n">
        <f aca="false">AR717+AQ717</f>
        <v>89</v>
      </c>
      <c r="AU717" s="16" t="n">
        <f aca="false">AO717+AF717+AI717+AH717+AG717</f>
        <v>429</v>
      </c>
      <c r="AV717" s="16" t="n">
        <f aca="false">(AO717+AF717+AI717+AH717+AG717)/5</f>
        <v>85.8</v>
      </c>
      <c r="AW717" s="36" t="n">
        <f aca="false">(AO717+AF717+AI717+AH717+AG717+X717+R717+Q717+K717+J717)</f>
        <v>766</v>
      </c>
      <c r="AX717" s="16" t="n">
        <f aca="false">AW717/10</f>
        <v>76.6</v>
      </c>
      <c r="AY717" s="16" t="n">
        <f aca="false">AS717+AF717+AM717+AH717+AG717+AB717+V717+Q717+O717+J717</f>
        <v>782.4</v>
      </c>
      <c r="AZ717" s="16" t="n">
        <f aca="false">AT717+AF717+AN717+AH717+AG717+AC717+W717+Q717+P717+J717</f>
        <v>785</v>
      </c>
      <c r="BA717" s="16" t="n">
        <f aca="false">AY717/10</f>
        <v>78.24</v>
      </c>
      <c r="BB717" s="16" t="n">
        <f aca="false">AZ717/10</f>
        <v>78.5</v>
      </c>
      <c r="BC717" s="16" t="n">
        <v>2370</v>
      </c>
      <c r="BD717" s="16" t="n">
        <f aca="false">RANK(AX717,$AX$2:$AX$881,0)</f>
        <v>547</v>
      </c>
      <c r="BE717" s="54" t="n">
        <f aca="false">((BC717*100)/2400)*0.4+(AX717*0.6)</f>
        <v>85.46</v>
      </c>
      <c r="BF717" s="16" t="n">
        <f aca="false">RANK(BE717,$BE$2:$BE$881,0)</f>
        <v>517</v>
      </c>
      <c r="BG717" s="39" t="n">
        <f aca="false">RANK(BB717,$BB$2:$BB$881,0)</f>
        <v>505</v>
      </c>
      <c r="BH717" s="39" t="n">
        <f aca="false">RANK(BC717,$BC$2:$BC$881,0)</f>
        <v>268</v>
      </c>
      <c r="BI717" s="22" t="s">
        <v>130</v>
      </c>
      <c r="BJ717" s="22" t="s">
        <v>129</v>
      </c>
      <c r="BK717" s="40" t="s">
        <v>509</v>
      </c>
      <c r="BL717" s="101" t="n">
        <v>8.5</v>
      </c>
      <c r="BM717" s="61"/>
      <c r="BN717" s="61"/>
      <c r="BO717" s="74" t="n">
        <v>8</v>
      </c>
      <c r="BP717" s="61"/>
      <c r="BQ717" s="61"/>
      <c r="BR717" s="74" t="n">
        <v>8</v>
      </c>
      <c r="BS717" s="80"/>
      <c r="BT717" s="80"/>
      <c r="BU717" s="80"/>
      <c r="BV717" s="60"/>
      <c r="BW717" s="106"/>
      <c r="BX717" s="107"/>
      <c r="BY717" s="130"/>
      <c r="BZ717" s="60"/>
      <c r="CA717" s="60"/>
      <c r="CB717" s="61"/>
      <c r="CC717" s="60"/>
      <c r="CD717" s="60"/>
      <c r="CE717" s="60"/>
      <c r="CF717" s="60"/>
      <c r="CG717" s="60"/>
      <c r="CH717" s="60"/>
      <c r="CI717" s="60"/>
      <c r="CJ717" s="60"/>
      <c r="CK717" s="60"/>
      <c r="CL717" s="61"/>
      <c r="CM717" s="60"/>
      <c r="CN717" s="60"/>
      <c r="CO717" s="60"/>
      <c r="CP717" s="25" t="n">
        <f aca="false">BX717+BW717+BV717+BU717+BT717+BQ717+BN717</f>
        <v>0</v>
      </c>
      <c r="CQ717" s="25" t="n">
        <f aca="false">CO717+CL717+CI717+CH717+CG717+CD717+CA717</f>
        <v>0</v>
      </c>
      <c r="CR717" s="26" t="n">
        <f aca="false">CP717/7</f>
        <v>0</v>
      </c>
      <c r="CS717" s="26" t="n">
        <f aca="false">CQ717/7</f>
        <v>0</v>
      </c>
      <c r="CT717" s="24" t="n">
        <f aca="false">RANK(CR717,$CR$2:$CR$881,0)</f>
        <v>768</v>
      </c>
      <c r="CU717" s="25" t="n">
        <f aca="false">RANK(CS717,$CS$2:$CS$881,0)</f>
        <v>752</v>
      </c>
      <c r="CV717" s="26" t="n">
        <f aca="false">(CS717+CR717)/2</f>
        <v>0</v>
      </c>
      <c r="CW717" s="25" t="n">
        <f aca="false">RANK(CV717,$CV$2:$CV$881,0)</f>
        <v>753</v>
      </c>
      <c r="CX717" s="50" t="n">
        <f aca="false">(CV717+BB717)/2</f>
        <v>39.25</v>
      </c>
      <c r="CY717" s="50" t="n">
        <v>801</v>
      </c>
      <c r="CZ717" s="27" t="s">
        <v>132</v>
      </c>
      <c r="DA717" s="27" t="s">
        <v>133</v>
      </c>
      <c r="DB717" s="27" t="s">
        <v>133</v>
      </c>
      <c r="DC717" s="27" t="s">
        <v>134</v>
      </c>
      <c r="DD717" s="27" t="s">
        <v>174</v>
      </c>
      <c r="DE717" s="27" t="s">
        <v>152</v>
      </c>
      <c r="DF717" s="27" t="s">
        <v>202</v>
      </c>
      <c r="DG717" s="27" t="s">
        <v>134</v>
      </c>
      <c r="DH717" s="27" t="s">
        <v>164</v>
      </c>
      <c r="DI717" s="27" t="s">
        <v>136</v>
      </c>
      <c r="DJ717" s="27" t="s">
        <v>153</v>
      </c>
      <c r="DK717" s="27" t="s">
        <v>134</v>
      </c>
      <c r="DL717" s="27" t="s">
        <v>164</v>
      </c>
      <c r="DM717" s="27" t="s">
        <v>218</v>
      </c>
      <c r="DN717" s="27" t="s">
        <v>209</v>
      </c>
      <c r="DO717" s="27" t="s">
        <v>134</v>
      </c>
      <c r="DP717" s="27" t="s">
        <v>154</v>
      </c>
      <c r="DQ717" s="27" t="s">
        <v>177</v>
      </c>
      <c r="DR717" s="27" t="s">
        <v>169</v>
      </c>
      <c r="DS717" s="27" t="s">
        <v>134</v>
      </c>
      <c r="DT717" s="27" t="s">
        <v>146</v>
      </c>
      <c r="DU717" s="27" t="s">
        <v>161</v>
      </c>
      <c r="DV717" s="27" t="s">
        <v>170</v>
      </c>
      <c r="DW717" s="27" t="s">
        <v>140</v>
      </c>
      <c r="DX717" s="27" t="s">
        <v>155</v>
      </c>
      <c r="DY717" s="27" t="s">
        <v>147</v>
      </c>
      <c r="DZ717" s="27" t="n">
        <f aca="false">DY717+DV717+DR717+DN717+DJ717+DF717+DB717</f>
        <v>621</v>
      </c>
      <c r="EA717" s="28" t="n">
        <f aca="false">DZ717/7</f>
        <v>88.7142857142857</v>
      </c>
      <c r="EB717" s="27" t="n">
        <f aca="false">RANK(EA717,$EA$2:$EA$881,0)</f>
        <v>89</v>
      </c>
      <c r="EC717" s="29" t="n">
        <f aca="false">DZ717+CQ717+CP717+AZ717</f>
        <v>1406</v>
      </c>
      <c r="ED717" s="30" t="n">
        <f aca="false">(EA717+CV717+BB717)/3</f>
        <v>55.7380952380952</v>
      </c>
      <c r="EE717" s="51" t="n">
        <f aca="false">ROUND(BE717,3)</f>
        <v>85.46</v>
      </c>
      <c r="EF717" s="51" t="n">
        <f aca="false">ROUND(CR717,3)</f>
        <v>0</v>
      </c>
      <c r="EG717" s="51" t="n">
        <f aca="false">ROUND(CS717,3)</f>
        <v>0</v>
      </c>
      <c r="EH717" s="51" t="n">
        <f aca="false">ROUND(EA717,3)</f>
        <v>88.714</v>
      </c>
      <c r="EI717" s="51" t="n">
        <f aca="false">ROUND(ED717,3)</f>
        <v>55.738</v>
      </c>
      <c r="EJ717" s="51" t="n">
        <f aca="false">ROUND(CV717,3)</f>
        <v>0</v>
      </c>
      <c r="EK717" s="0" t="n">
        <f aca="false">RANK(EI717,$EI$2:$EI$881,0)</f>
        <v>716</v>
      </c>
    </row>
    <row r="718" customFormat="false" ht="15" hidden="false" customHeight="false" outlineLevel="0" collapsed="false">
      <c r="A718" s="4" t="n">
        <v>1839</v>
      </c>
      <c r="B718" s="4" t="n">
        <v>162</v>
      </c>
      <c r="C718" s="27" t="s">
        <v>2055</v>
      </c>
      <c r="D718" s="31" t="n">
        <v>162</v>
      </c>
      <c r="E718" s="16" t="n">
        <v>230514772</v>
      </c>
      <c r="F718" s="56" t="s">
        <v>2056</v>
      </c>
      <c r="G718" s="22" t="s">
        <v>866</v>
      </c>
      <c r="H718" s="22" t="s">
        <v>465</v>
      </c>
      <c r="I718" s="80"/>
      <c r="J718" s="16" t="n">
        <v>75</v>
      </c>
      <c r="K718" s="16" t="n">
        <v>71</v>
      </c>
      <c r="L718" s="34" t="n">
        <f aca="false">(K718*70)/100</f>
        <v>49.7</v>
      </c>
      <c r="M718" s="34" t="n">
        <f aca="false">ROUNDUP(L718,0)</f>
        <v>50</v>
      </c>
      <c r="N718" s="16" t="n">
        <v>26</v>
      </c>
      <c r="O718" s="34" t="n">
        <f aca="false">N718+L718</f>
        <v>75.7</v>
      </c>
      <c r="P718" s="34" t="n">
        <f aca="false">N718+M718</f>
        <v>76</v>
      </c>
      <c r="Q718" s="16" t="n">
        <v>78</v>
      </c>
      <c r="R718" s="16" t="n">
        <v>69</v>
      </c>
      <c r="S718" s="34" t="n">
        <f aca="false">(R718*70)/100</f>
        <v>48.3</v>
      </c>
      <c r="T718" s="34" t="n">
        <f aca="false">ROUNDUP(S718,0)</f>
        <v>49</v>
      </c>
      <c r="U718" s="16" t="n">
        <v>28</v>
      </c>
      <c r="V718" s="34" t="n">
        <f aca="false">U718+S718</f>
        <v>76.3</v>
      </c>
      <c r="W718" s="34" t="n">
        <f aca="false">U718+T718</f>
        <v>77</v>
      </c>
      <c r="X718" s="16" t="n">
        <v>72</v>
      </c>
      <c r="Y718" s="34" t="n">
        <f aca="false">(X718*70)/100</f>
        <v>50.4</v>
      </c>
      <c r="Z718" s="34" t="n">
        <f aca="false">ROUNDUP(Y718,0)</f>
        <v>51</v>
      </c>
      <c r="AA718" s="16" t="n">
        <v>26</v>
      </c>
      <c r="AB718" s="34" t="n">
        <f aca="false">AA718+Y718</f>
        <v>76.4</v>
      </c>
      <c r="AC718" s="34" t="n">
        <f aca="false">AA718+Z718</f>
        <v>77</v>
      </c>
      <c r="AD718" s="32" t="n">
        <f aca="false">X718+R718+Q718+K718+J718</f>
        <v>365</v>
      </c>
      <c r="AE718" s="16" t="n">
        <f aca="false">AD718/5</f>
        <v>73</v>
      </c>
      <c r="AF718" s="16" t="n">
        <v>76</v>
      </c>
      <c r="AG718" s="16" t="n">
        <v>74</v>
      </c>
      <c r="AH718" s="16" t="n">
        <v>94</v>
      </c>
      <c r="AI718" s="16" t="n">
        <v>87</v>
      </c>
      <c r="AJ718" s="16" t="n">
        <f aca="false">(AI718*70)/100</f>
        <v>60.9</v>
      </c>
      <c r="AK718" s="35" t="n">
        <f aca="false">ROUNDUP(AJ718,0)</f>
        <v>61</v>
      </c>
      <c r="AL718" s="16" t="n">
        <v>26</v>
      </c>
      <c r="AM718" s="16" t="n">
        <f aca="false">AL718+AJ718</f>
        <v>86.9</v>
      </c>
      <c r="AN718" s="16" t="n">
        <f aca="false">AL718+AK718</f>
        <v>87</v>
      </c>
      <c r="AO718" s="16" t="n">
        <v>79</v>
      </c>
      <c r="AP718" s="36" t="n">
        <f aca="false">(AO718*70)/100</f>
        <v>55.3</v>
      </c>
      <c r="AQ718" s="37" t="n">
        <f aca="false">ROUNDUP(AP718,0)</f>
        <v>56</v>
      </c>
      <c r="AR718" s="16" t="n">
        <v>29</v>
      </c>
      <c r="AS718" s="16" t="n">
        <f aca="false">AR718+AP718</f>
        <v>84.3</v>
      </c>
      <c r="AT718" s="16" t="n">
        <f aca="false">AR718+AQ718</f>
        <v>85</v>
      </c>
      <c r="AU718" s="16" t="n">
        <f aca="false">AO718+AF718+AI718+AH718+AG718</f>
        <v>410</v>
      </c>
      <c r="AV718" s="16" t="n">
        <f aca="false">(AO718+AF718+AI718+AH718+AG718)/5</f>
        <v>82</v>
      </c>
      <c r="AW718" s="36" t="n">
        <f aca="false">(AO718+AF718+AI718+AH718+AG718+X718+R718+Q718+K718+J718)</f>
        <v>775</v>
      </c>
      <c r="AX718" s="16" t="n">
        <f aca="false">AW718/10</f>
        <v>77.5</v>
      </c>
      <c r="AY718" s="16" t="n">
        <f aca="false">AS718+AF718+AM718+AH718+AG718+AB718+V718+Q718+O718+J718</f>
        <v>796.6</v>
      </c>
      <c r="AZ718" s="16" t="n">
        <f aca="false">AT718+AF718+AN718+AH718+AG718+AC718+W718+Q718+P718+J718</f>
        <v>799</v>
      </c>
      <c r="BA718" s="16" t="n">
        <f aca="false">AY718/10</f>
        <v>79.66</v>
      </c>
      <c r="BB718" s="16" t="n">
        <f aca="false">AZ718/10</f>
        <v>79.9</v>
      </c>
      <c r="BC718" s="16" t="n">
        <v>2329</v>
      </c>
      <c r="BD718" s="16" t="n">
        <f aca="false">RANK(AX718,$AX$2:$AX$881,0)</f>
        <v>455</v>
      </c>
      <c r="BE718" s="54" t="n">
        <f aca="false">((BC718*100)/2400)*0.4+(AX718*0.6)</f>
        <v>85.3166666666667</v>
      </c>
      <c r="BF718" s="16" t="n">
        <f aca="false">RANK(BE718,$BE$2:$BE$881,0)</f>
        <v>538</v>
      </c>
      <c r="BG718" s="39" t="n">
        <f aca="false">RANK(BB718,$BB$2:$BB$881,0)</f>
        <v>356</v>
      </c>
      <c r="BH718" s="39" t="n">
        <f aca="false">RANK(BC718,$BC$2:$BC$881,0)</f>
        <v>737</v>
      </c>
      <c r="BI718" s="22" t="s">
        <v>130</v>
      </c>
      <c r="BJ718" s="22" t="s">
        <v>129</v>
      </c>
      <c r="BK718" s="40" t="s">
        <v>509</v>
      </c>
      <c r="BL718" s="98" t="n">
        <v>10</v>
      </c>
      <c r="BM718" s="61"/>
      <c r="BN718" s="61"/>
      <c r="BO718" s="42" t="n">
        <v>21</v>
      </c>
      <c r="BP718" s="61"/>
      <c r="BQ718" s="61"/>
      <c r="BR718" s="74" t="n">
        <v>8</v>
      </c>
      <c r="BS718" s="80"/>
      <c r="BT718" s="80"/>
      <c r="BU718" s="80"/>
      <c r="BV718" s="137"/>
      <c r="BW718" s="61"/>
      <c r="BX718" s="107"/>
      <c r="BY718" s="130"/>
      <c r="BZ718" s="60"/>
      <c r="CA718" s="60"/>
      <c r="CB718" s="61"/>
      <c r="CC718" s="60"/>
      <c r="CD718" s="60"/>
      <c r="CE718" s="60"/>
      <c r="CF718" s="60"/>
      <c r="CG718" s="60"/>
      <c r="CH718" s="60"/>
      <c r="CI718" s="60"/>
      <c r="CJ718" s="60"/>
      <c r="CK718" s="60"/>
      <c r="CL718" s="61"/>
      <c r="CM718" s="60"/>
      <c r="CN718" s="60"/>
      <c r="CO718" s="60"/>
      <c r="CP718" s="25" t="n">
        <f aca="false">BX718+BW718+BV718+BU718+BT718+BQ718+BN718</f>
        <v>0</v>
      </c>
      <c r="CQ718" s="25" t="n">
        <f aca="false">CO718+CL718+CI718+CH718+CG718+CD718+CA718</f>
        <v>0</v>
      </c>
      <c r="CR718" s="26" t="n">
        <f aca="false">CP718/7</f>
        <v>0</v>
      </c>
      <c r="CS718" s="26" t="n">
        <f aca="false">CQ718/7</f>
        <v>0</v>
      </c>
      <c r="CT718" s="24" t="n">
        <f aca="false">RANK(CR718,$CR$2:$CR$881,0)</f>
        <v>768</v>
      </c>
      <c r="CU718" s="25" t="n">
        <f aca="false">RANK(CS718,$CS$2:$CS$881,0)</f>
        <v>752</v>
      </c>
      <c r="CV718" s="26" t="n">
        <f aca="false">(CS718+CR718)/2</f>
        <v>0</v>
      </c>
      <c r="CW718" s="25" t="n">
        <f aca="false">RANK(CV718,$CV$2:$CV$881,0)</f>
        <v>753</v>
      </c>
      <c r="CX718" s="50" t="n">
        <f aca="false">(CV718+BB718)/2</f>
        <v>39.95</v>
      </c>
      <c r="CY718" s="50" t="n">
        <v>762</v>
      </c>
      <c r="CZ718" s="27" t="s">
        <v>132</v>
      </c>
      <c r="DA718" s="27" t="s">
        <v>133</v>
      </c>
      <c r="DB718" s="27" t="s">
        <v>133</v>
      </c>
      <c r="DC718" s="27" t="s">
        <v>134</v>
      </c>
      <c r="DD718" s="27" t="s">
        <v>182</v>
      </c>
      <c r="DE718" s="27" t="s">
        <v>177</v>
      </c>
      <c r="DF718" s="27" t="s">
        <v>209</v>
      </c>
      <c r="DG718" s="27" t="s">
        <v>134</v>
      </c>
      <c r="DH718" s="27" t="s">
        <v>160</v>
      </c>
      <c r="DI718" s="27" t="s">
        <v>136</v>
      </c>
      <c r="DJ718" s="27" t="s">
        <v>170</v>
      </c>
      <c r="DK718" s="27" t="s">
        <v>134</v>
      </c>
      <c r="DL718" s="27" t="s">
        <v>164</v>
      </c>
      <c r="DM718" s="27" t="s">
        <v>204</v>
      </c>
      <c r="DN718" s="27" t="s">
        <v>202</v>
      </c>
      <c r="DO718" s="27" t="s">
        <v>134</v>
      </c>
      <c r="DP718" s="27" t="s">
        <v>154</v>
      </c>
      <c r="DQ718" s="27" t="s">
        <v>304</v>
      </c>
      <c r="DR718" s="27" t="s">
        <v>382</v>
      </c>
      <c r="DS718" s="27" t="s">
        <v>134</v>
      </c>
      <c r="DT718" s="27" t="s">
        <v>164</v>
      </c>
      <c r="DU718" s="27" t="s">
        <v>204</v>
      </c>
      <c r="DV718" s="27" t="s">
        <v>202</v>
      </c>
      <c r="DW718" s="27" t="s">
        <v>164</v>
      </c>
      <c r="DX718" s="27" t="s">
        <v>155</v>
      </c>
      <c r="DY718" s="27" t="s">
        <v>144</v>
      </c>
      <c r="DZ718" s="27" t="n">
        <f aca="false">DY718+DV718+DR718+DN718+DJ718+DF718+DB718</f>
        <v>609</v>
      </c>
      <c r="EA718" s="28" t="n">
        <f aca="false">DZ718/7</f>
        <v>87</v>
      </c>
      <c r="EB718" s="27" t="n">
        <f aca="false">RANK(EA718,$EA$2:$EA$881,0)</f>
        <v>125</v>
      </c>
      <c r="EC718" s="29" t="n">
        <f aca="false">DZ718+CQ718+CP718+AZ718</f>
        <v>1408</v>
      </c>
      <c r="ED718" s="30" t="n">
        <f aca="false">(EA718+CV718+BB718)/3</f>
        <v>55.6333333333333</v>
      </c>
      <c r="EE718" s="51" t="n">
        <f aca="false">ROUND(BE718,3)</f>
        <v>85.317</v>
      </c>
      <c r="EF718" s="51" t="n">
        <f aca="false">ROUND(CR718,3)</f>
        <v>0</v>
      </c>
      <c r="EG718" s="51" t="n">
        <f aca="false">ROUND(CS718,3)</f>
        <v>0</v>
      </c>
      <c r="EH718" s="51" t="n">
        <f aca="false">ROUND(EA718,3)</f>
        <v>87</v>
      </c>
      <c r="EI718" s="51" t="n">
        <f aca="false">ROUND(ED718,3)</f>
        <v>55.633</v>
      </c>
      <c r="EJ718" s="51" t="n">
        <f aca="false">ROUND(CV718,3)</f>
        <v>0</v>
      </c>
      <c r="EK718" s="0" t="n">
        <f aca="false">RANK(EI718,$EI$2:$EI$881,0)</f>
        <v>717</v>
      </c>
    </row>
    <row r="719" customFormat="false" ht="15" hidden="false" customHeight="false" outlineLevel="0" collapsed="false">
      <c r="A719" s="4" t="n">
        <v>1906</v>
      </c>
      <c r="B719" s="4" t="n">
        <v>253</v>
      </c>
      <c r="C719" s="27" t="s">
        <v>2057</v>
      </c>
      <c r="D719" s="31" t="n">
        <v>255</v>
      </c>
      <c r="E719" s="16" t="n">
        <v>230514279</v>
      </c>
      <c r="F719" s="56" t="s">
        <v>2058</v>
      </c>
      <c r="G719" s="22" t="s">
        <v>232</v>
      </c>
      <c r="H719" s="22" t="s">
        <v>465</v>
      </c>
      <c r="I719" s="80"/>
      <c r="J719" s="16" t="n">
        <v>80</v>
      </c>
      <c r="K719" s="16" t="n">
        <v>84</v>
      </c>
      <c r="L719" s="34" t="n">
        <f aca="false">(K719*70)/100</f>
        <v>58.8</v>
      </c>
      <c r="M719" s="34" t="n">
        <f aca="false">ROUNDUP(L719,0)</f>
        <v>59</v>
      </c>
      <c r="N719" s="16" t="n">
        <v>25</v>
      </c>
      <c r="O719" s="34" t="n">
        <f aca="false">N719+L719</f>
        <v>83.8</v>
      </c>
      <c r="P719" s="34" t="n">
        <f aca="false">N719+M719</f>
        <v>84</v>
      </c>
      <c r="Q719" s="16" t="n">
        <v>71</v>
      </c>
      <c r="R719" s="16" t="n">
        <v>80</v>
      </c>
      <c r="S719" s="34" t="n">
        <f aca="false">(R719*70)/100</f>
        <v>56</v>
      </c>
      <c r="T719" s="34" t="n">
        <f aca="false">ROUNDUP(S719,0)</f>
        <v>56</v>
      </c>
      <c r="U719" s="16" t="n">
        <v>22</v>
      </c>
      <c r="V719" s="34" t="n">
        <f aca="false">U719+S719</f>
        <v>78</v>
      </c>
      <c r="W719" s="34" t="n">
        <f aca="false">U719+T719</f>
        <v>78</v>
      </c>
      <c r="X719" s="16" t="n">
        <v>62</v>
      </c>
      <c r="Y719" s="34" t="n">
        <f aca="false">(X719*70)/100</f>
        <v>43.4</v>
      </c>
      <c r="Z719" s="34" t="n">
        <f aca="false">ROUNDUP(Y719,0)</f>
        <v>44</v>
      </c>
      <c r="AA719" s="16" t="n">
        <v>25</v>
      </c>
      <c r="AB719" s="34" t="n">
        <f aca="false">AA719+Y719</f>
        <v>68.4</v>
      </c>
      <c r="AC719" s="34" t="n">
        <f aca="false">AA719+Z719</f>
        <v>69</v>
      </c>
      <c r="AD719" s="32" t="n">
        <f aca="false">X719+R719+Q719+K719+J719</f>
        <v>377</v>
      </c>
      <c r="AE719" s="16" t="n">
        <f aca="false">AD719/5</f>
        <v>75.4</v>
      </c>
      <c r="AF719" s="16" t="n">
        <v>69</v>
      </c>
      <c r="AG719" s="16" t="n">
        <v>72</v>
      </c>
      <c r="AH719" s="16" t="n">
        <v>90</v>
      </c>
      <c r="AI719" s="16" t="n">
        <v>93</v>
      </c>
      <c r="AJ719" s="16" t="n">
        <f aca="false">(AI719*70)/100</f>
        <v>65.1</v>
      </c>
      <c r="AK719" s="35" t="n">
        <f aca="false">ROUNDUP(AJ719,0)</f>
        <v>66</v>
      </c>
      <c r="AL719" s="16" t="n">
        <v>25</v>
      </c>
      <c r="AM719" s="16" t="n">
        <f aca="false">AL719+AJ719</f>
        <v>90.1</v>
      </c>
      <c r="AN719" s="16" t="n">
        <f aca="false">AL719+AK719</f>
        <v>91</v>
      </c>
      <c r="AO719" s="16" t="n">
        <v>72</v>
      </c>
      <c r="AP719" s="36" t="n">
        <f aca="false">(AO719*70)/100</f>
        <v>50.4</v>
      </c>
      <c r="AQ719" s="37" t="n">
        <f aca="false">ROUNDUP(AP719,0)</f>
        <v>51</v>
      </c>
      <c r="AR719" s="16" t="n">
        <v>25</v>
      </c>
      <c r="AS719" s="16" t="n">
        <f aca="false">AR719+AP719</f>
        <v>75.4</v>
      </c>
      <c r="AT719" s="16" t="n">
        <f aca="false">AR719+AQ719</f>
        <v>76</v>
      </c>
      <c r="AU719" s="16" t="n">
        <f aca="false">AO719+AF719+AI719+AH719+AG719</f>
        <v>396</v>
      </c>
      <c r="AV719" s="16" t="n">
        <f aca="false">(AO719+AF719+AI719+AH719+AG719)/5</f>
        <v>79.2</v>
      </c>
      <c r="AW719" s="36" t="n">
        <f aca="false">(AO719+AF719+AI719+AH719+AG719+X719+R719+Q719+K719+J719)</f>
        <v>773</v>
      </c>
      <c r="AX719" s="16" t="n">
        <f aca="false">AW719/10</f>
        <v>77.3</v>
      </c>
      <c r="AY719" s="16" t="n">
        <f aca="false">AS719+AF719+AM719+AH719+AG719+AB719+V719+Q719+O719+J719</f>
        <v>777.7</v>
      </c>
      <c r="AZ719" s="16" t="n">
        <f aca="false">AT719+AF719+AN719+AH719+AG719+AC719+W719+Q719+P719+J719</f>
        <v>780</v>
      </c>
      <c r="BA719" s="16" t="n">
        <f aca="false">AY719/10</f>
        <v>77.77</v>
      </c>
      <c r="BB719" s="16" t="n">
        <f aca="false">AZ719/10</f>
        <v>78</v>
      </c>
      <c r="BC719" s="16" t="n">
        <v>2369</v>
      </c>
      <c r="BD719" s="16" t="n">
        <f aca="false">RANK(AX719,$AX$2:$AX$881,0)</f>
        <v>472</v>
      </c>
      <c r="BE719" s="54" t="n">
        <f aca="false">((BC719*100)/2400)*0.4+(AX719*0.6)</f>
        <v>85.8633333333333</v>
      </c>
      <c r="BF719" s="16" t="n">
        <f aca="false">RANK(BE719,$BE$2:$BE$881,0)</f>
        <v>453</v>
      </c>
      <c r="BG719" s="39" t="n">
        <f aca="false">RANK(BB719,$BB$2:$BB$881,0)</f>
        <v>558</v>
      </c>
      <c r="BH719" s="39" t="n">
        <f aca="false">RANK(BC719,$BC$2:$BC$881,0)</f>
        <v>283</v>
      </c>
      <c r="BI719" s="22" t="s">
        <v>130</v>
      </c>
      <c r="BJ719" s="22" t="s">
        <v>129</v>
      </c>
      <c r="BK719" s="40" t="s">
        <v>509</v>
      </c>
      <c r="BL719" s="98" t="n">
        <v>10</v>
      </c>
      <c r="BM719" s="61"/>
      <c r="BN719" s="61"/>
      <c r="BO719" s="42" t="n">
        <v>26</v>
      </c>
      <c r="BP719" s="61"/>
      <c r="BQ719" s="61"/>
      <c r="BR719" s="42" t="n">
        <v>19</v>
      </c>
      <c r="BS719" s="80"/>
      <c r="BT719" s="80"/>
      <c r="BU719" s="80"/>
      <c r="BV719" s="137"/>
      <c r="BW719" s="61"/>
      <c r="BX719" s="107"/>
      <c r="BY719" s="130"/>
      <c r="BZ719" s="60"/>
      <c r="CA719" s="60"/>
      <c r="CB719" s="61"/>
      <c r="CC719" s="60"/>
      <c r="CD719" s="60"/>
      <c r="CE719" s="60"/>
      <c r="CF719" s="60"/>
      <c r="CG719" s="60"/>
      <c r="CH719" s="60"/>
      <c r="CI719" s="60"/>
      <c r="CJ719" s="60"/>
      <c r="CK719" s="60"/>
      <c r="CL719" s="61"/>
      <c r="CM719" s="60"/>
      <c r="CN719" s="60"/>
      <c r="CO719" s="60"/>
      <c r="CP719" s="25" t="n">
        <f aca="false">BX719+BW719+BV719+BU719+BT719+BQ719+BN719</f>
        <v>0</v>
      </c>
      <c r="CQ719" s="25" t="n">
        <f aca="false">CO719+CL719+CI719+CH719+CG719+CD719+CA719</f>
        <v>0</v>
      </c>
      <c r="CR719" s="26" t="n">
        <f aca="false">CP719/7</f>
        <v>0</v>
      </c>
      <c r="CS719" s="26" t="n">
        <f aca="false">CQ719/7</f>
        <v>0</v>
      </c>
      <c r="CT719" s="24" t="n">
        <f aca="false">RANK(CR719,$CR$2:$CR$881,0)</f>
        <v>768</v>
      </c>
      <c r="CU719" s="25" t="n">
        <f aca="false">RANK(CS719,$CS$2:$CS$881,0)</f>
        <v>752</v>
      </c>
      <c r="CV719" s="26" t="n">
        <f aca="false">(CS719+CR719)/2</f>
        <v>0</v>
      </c>
      <c r="CW719" s="25" t="n">
        <f aca="false">RANK(CV719,$CV$2:$CV$881,0)</f>
        <v>753</v>
      </c>
      <c r="CX719" s="50" t="n">
        <f aca="false">(CV719+BB719)/2</f>
        <v>39</v>
      </c>
      <c r="CY719" s="50" t="n">
        <v>819</v>
      </c>
      <c r="CZ719" s="27" t="s">
        <v>132</v>
      </c>
      <c r="DA719" s="27" t="s">
        <v>202</v>
      </c>
      <c r="DB719" s="27" t="s">
        <v>202</v>
      </c>
      <c r="DC719" s="27" t="s">
        <v>134</v>
      </c>
      <c r="DD719" s="27" t="s">
        <v>135</v>
      </c>
      <c r="DE719" s="27" t="s">
        <v>161</v>
      </c>
      <c r="DF719" s="27" t="s">
        <v>202</v>
      </c>
      <c r="DG719" s="27" t="s">
        <v>134</v>
      </c>
      <c r="DH719" s="27" t="s">
        <v>164</v>
      </c>
      <c r="DI719" s="27" t="s">
        <v>152</v>
      </c>
      <c r="DJ719" s="27" t="s">
        <v>170</v>
      </c>
      <c r="DK719" s="27" t="s">
        <v>134</v>
      </c>
      <c r="DL719" s="27" t="s">
        <v>164</v>
      </c>
      <c r="DM719" s="27" t="s">
        <v>136</v>
      </c>
      <c r="DN719" s="27" t="s">
        <v>153</v>
      </c>
      <c r="DO719" s="27" t="s">
        <v>134</v>
      </c>
      <c r="DP719" s="27" t="s">
        <v>154</v>
      </c>
      <c r="DQ719" s="27" t="s">
        <v>203</v>
      </c>
      <c r="DR719" s="27" t="s">
        <v>175</v>
      </c>
      <c r="DS719" s="27" t="s">
        <v>134</v>
      </c>
      <c r="DT719" s="27" t="s">
        <v>160</v>
      </c>
      <c r="DU719" s="27" t="s">
        <v>177</v>
      </c>
      <c r="DV719" s="27" t="s">
        <v>133</v>
      </c>
      <c r="DW719" s="27" t="s">
        <v>164</v>
      </c>
      <c r="DX719" s="27" t="s">
        <v>138</v>
      </c>
      <c r="DY719" s="27" t="s">
        <v>142</v>
      </c>
      <c r="DZ719" s="27" t="n">
        <f aca="false">DY719+DV719+DR719+DN719+DJ719+DF719+DB719</f>
        <v>622</v>
      </c>
      <c r="EA719" s="28" t="n">
        <f aca="false">DZ719/7</f>
        <v>88.8571428571429</v>
      </c>
      <c r="EB719" s="27" t="n">
        <f aca="false">RANK(EA719,$EA$2:$EA$881,0)</f>
        <v>85</v>
      </c>
      <c r="EC719" s="29" t="n">
        <f aca="false">DZ719+CQ719+CP719+AZ719</f>
        <v>1402</v>
      </c>
      <c r="ED719" s="30" t="n">
        <f aca="false">(EA719+CV719+BB719)/3</f>
        <v>55.6190476190476</v>
      </c>
      <c r="EE719" s="51" t="n">
        <f aca="false">ROUND(BE719,3)</f>
        <v>85.863</v>
      </c>
      <c r="EF719" s="51" t="n">
        <f aca="false">ROUND(CR719,3)</f>
        <v>0</v>
      </c>
      <c r="EG719" s="51" t="n">
        <f aca="false">ROUND(CS719,3)</f>
        <v>0</v>
      </c>
      <c r="EH719" s="51" t="n">
        <f aca="false">ROUND(EA719,3)</f>
        <v>88.857</v>
      </c>
      <c r="EI719" s="51" t="n">
        <f aca="false">ROUND(ED719,3)</f>
        <v>55.619</v>
      </c>
      <c r="EJ719" s="51" t="n">
        <f aca="false">ROUND(CV719,3)</f>
        <v>0</v>
      </c>
      <c r="EK719" s="0" t="n">
        <f aca="false">RANK(EI719,$EI$2:$EI$881,0)</f>
        <v>718</v>
      </c>
    </row>
    <row r="720" customFormat="false" ht="15" hidden="false" customHeight="false" outlineLevel="0" collapsed="false">
      <c r="A720" s="4" t="n">
        <v>1941</v>
      </c>
      <c r="B720" s="4" t="n">
        <v>299</v>
      </c>
      <c r="C720" s="27" t="s">
        <v>2059</v>
      </c>
      <c r="D720" s="31" t="n">
        <v>298</v>
      </c>
      <c r="E720" s="16" t="n">
        <v>230513147</v>
      </c>
      <c r="F720" s="56" t="s">
        <v>2060</v>
      </c>
      <c r="G720" s="22" t="s">
        <v>464</v>
      </c>
      <c r="H720" s="22" t="s">
        <v>558</v>
      </c>
      <c r="I720" s="80"/>
      <c r="J720" s="16" t="n">
        <v>84</v>
      </c>
      <c r="K720" s="16" t="n">
        <v>59</v>
      </c>
      <c r="L720" s="34" t="n">
        <f aca="false">(K720*70)/100</f>
        <v>41.3</v>
      </c>
      <c r="M720" s="34" t="n">
        <f aca="false">ROUNDUP(L720,0)</f>
        <v>42</v>
      </c>
      <c r="N720" s="16" t="n">
        <v>30</v>
      </c>
      <c r="O720" s="34" t="n">
        <f aca="false">N720+L720</f>
        <v>71.3</v>
      </c>
      <c r="P720" s="34" t="n">
        <f aca="false">N720+M720</f>
        <v>72</v>
      </c>
      <c r="Q720" s="16" t="n">
        <v>73</v>
      </c>
      <c r="R720" s="16" t="n">
        <v>66</v>
      </c>
      <c r="S720" s="34" t="n">
        <f aca="false">(R720*70)/100</f>
        <v>46.2</v>
      </c>
      <c r="T720" s="34" t="n">
        <f aca="false">ROUNDUP(S720,0)</f>
        <v>47</v>
      </c>
      <c r="U720" s="16" t="n">
        <v>26</v>
      </c>
      <c r="V720" s="34" t="n">
        <f aca="false">U720+S720</f>
        <v>72.2</v>
      </c>
      <c r="W720" s="34" t="n">
        <f aca="false">U720+T720</f>
        <v>73</v>
      </c>
      <c r="X720" s="16" t="n">
        <v>72</v>
      </c>
      <c r="Y720" s="34" t="n">
        <f aca="false">(X720*70)/100</f>
        <v>50.4</v>
      </c>
      <c r="Z720" s="34" t="n">
        <f aca="false">ROUNDUP(Y720,0)</f>
        <v>51</v>
      </c>
      <c r="AA720" s="16" t="n">
        <v>24</v>
      </c>
      <c r="AB720" s="34" t="n">
        <f aca="false">AA720+Y720</f>
        <v>74.4</v>
      </c>
      <c r="AC720" s="34" t="n">
        <f aca="false">AA720+Z720</f>
        <v>75</v>
      </c>
      <c r="AD720" s="32" t="n">
        <f aca="false">X720+R720+Q720+K720+J720</f>
        <v>354</v>
      </c>
      <c r="AE720" s="16" t="n">
        <f aca="false">AD720/5</f>
        <v>70.8</v>
      </c>
      <c r="AF720" s="16" t="n">
        <v>74</v>
      </c>
      <c r="AG720" s="16" t="n">
        <v>93</v>
      </c>
      <c r="AH720" s="16" t="n">
        <v>86</v>
      </c>
      <c r="AI720" s="16" t="n">
        <v>86</v>
      </c>
      <c r="AJ720" s="16" t="n">
        <f aca="false">(AI720*70)/100</f>
        <v>60.2</v>
      </c>
      <c r="AK720" s="35" t="n">
        <f aca="false">ROUNDUP(AJ720,0)</f>
        <v>61</v>
      </c>
      <c r="AL720" s="16" t="n">
        <v>25</v>
      </c>
      <c r="AM720" s="16" t="n">
        <f aca="false">AL720+AJ720</f>
        <v>85.2</v>
      </c>
      <c r="AN720" s="16" t="n">
        <f aca="false">AL720+AK720</f>
        <v>86</v>
      </c>
      <c r="AO720" s="16" t="n">
        <v>75</v>
      </c>
      <c r="AP720" s="36" t="n">
        <f aca="false">(AO720*70)/100</f>
        <v>52.5</v>
      </c>
      <c r="AQ720" s="37" t="n">
        <f aca="false">ROUNDUP(AP720,0)</f>
        <v>53</v>
      </c>
      <c r="AR720" s="16" t="n">
        <v>27</v>
      </c>
      <c r="AS720" s="16" t="n">
        <f aca="false">AR720+AP720</f>
        <v>79.5</v>
      </c>
      <c r="AT720" s="16" t="n">
        <f aca="false">AR720+AQ720</f>
        <v>80</v>
      </c>
      <c r="AU720" s="16" t="n">
        <f aca="false">AO720+AF720+AI720+AH720+AG720</f>
        <v>414</v>
      </c>
      <c r="AV720" s="16" t="n">
        <f aca="false">(AO720+AF720+AI720+AH720+AG720)/5</f>
        <v>82.8</v>
      </c>
      <c r="AW720" s="36" t="n">
        <f aca="false">(AO720+AF720+AI720+AH720+AG720+X720+R720+Q720+K720+J720)</f>
        <v>768</v>
      </c>
      <c r="AX720" s="16" t="n">
        <f aca="false">AW720/10</f>
        <v>76.8</v>
      </c>
      <c r="AY720" s="16" t="n">
        <f aca="false">AS720+AF720+AM720+AH720+AG720+AB720+V720+Q720+O720+J720</f>
        <v>792.6</v>
      </c>
      <c r="AZ720" s="16" t="n">
        <f aca="false">AT720+AF720+AN720+AH720+AG720+AC720+W720+Q720+P720+J720</f>
        <v>796</v>
      </c>
      <c r="BA720" s="16" t="n">
        <f aca="false">AY720/10</f>
        <v>79.26</v>
      </c>
      <c r="BB720" s="16" t="n">
        <f aca="false">AZ720/10</f>
        <v>79.6</v>
      </c>
      <c r="BC720" s="16" t="n">
        <v>2362</v>
      </c>
      <c r="BD720" s="16" t="n">
        <f aca="false">RANK(AX720,$AX$2:$AX$881,0)</f>
        <v>527</v>
      </c>
      <c r="BE720" s="54" t="n">
        <f aca="false">((BC720*100)/2400)*0.4+(AX720*0.6)</f>
        <v>85.4466666666667</v>
      </c>
      <c r="BF720" s="16" t="n">
        <f aca="false">RANK(BE720,$BE$2:$BE$881,0)</f>
        <v>520</v>
      </c>
      <c r="BG720" s="39" t="n">
        <f aca="false">RANK(BB720,$BB$2:$BB$881,0)</f>
        <v>392</v>
      </c>
      <c r="BH720" s="39" t="n">
        <f aca="false">RANK(BC720,$BC$2:$BC$881,0)</f>
        <v>367</v>
      </c>
      <c r="BI720" s="22" t="s">
        <v>130</v>
      </c>
      <c r="BJ720" s="22" t="s">
        <v>129</v>
      </c>
      <c r="BK720" s="40" t="s">
        <v>509</v>
      </c>
      <c r="BL720" s="101" t="n">
        <v>10.5</v>
      </c>
      <c r="BM720" s="61"/>
      <c r="BN720" s="61"/>
      <c r="BO720" s="42" t="n">
        <v>25</v>
      </c>
      <c r="BP720" s="61"/>
      <c r="BQ720" s="61"/>
      <c r="BR720" s="42" t="n">
        <v>24</v>
      </c>
      <c r="BS720" s="80"/>
      <c r="BT720" s="80"/>
      <c r="BU720" s="80"/>
      <c r="BV720" s="137"/>
      <c r="BW720" s="61"/>
      <c r="BX720" s="107"/>
      <c r="BY720" s="130"/>
      <c r="BZ720" s="60"/>
      <c r="CA720" s="60"/>
      <c r="CB720" s="61"/>
      <c r="CC720" s="60"/>
      <c r="CD720" s="60"/>
      <c r="CE720" s="60"/>
      <c r="CF720" s="60"/>
      <c r="CG720" s="60"/>
      <c r="CH720" s="60"/>
      <c r="CI720" s="60"/>
      <c r="CJ720" s="60"/>
      <c r="CK720" s="60"/>
      <c r="CL720" s="61"/>
      <c r="CM720" s="60"/>
      <c r="CN720" s="60"/>
      <c r="CO720" s="60"/>
      <c r="CP720" s="25" t="n">
        <f aca="false">BX720+BW720+BV720+BU720+BT720+BQ720+BN720</f>
        <v>0</v>
      </c>
      <c r="CQ720" s="25" t="n">
        <f aca="false">CO720+CL720+CI720+CH720+CG720+CD720+CA720</f>
        <v>0</v>
      </c>
      <c r="CR720" s="26" t="n">
        <f aca="false">CP720/7</f>
        <v>0</v>
      </c>
      <c r="CS720" s="26" t="n">
        <f aca="false">CQ720/7</f>
        <v>0</v>
      </c>
      <c r="CT720" s="24" t="n">
        <f aca="false">RANK(CR720,$CR$2:$CR$881,0)</f>
        <v>768</v>
      </c>
      <c r="CU720" s="25" t="n">
        <f aca="false">RANK(CS720,$CS$2:$CS$881,0)</f>
        <v>752</v>
      </c>
      <c r="CV720" s="26" t="n">
        <f aca="false">(CS720+CR720)/2</f>
        <v>0</v>
      </c>
      <c r="CW720" s="25" t="n">
        <f aca="false">RANK(CV720,$CV$2:$CV$881,0)</f>
        <v>753</v>
      </c>
      <c r="CX720" s="50" t="n">
        <f aca="false">(CV720+BB720)/2</f>
        <v>39.8</v>
      </c>
      <c r="CY720" s="50" t="n">
        <v>771</v>
      </c>
      <c r="CZ720" s="27" t="s">
        <v>132</v>
      </c>
      <c r="DA720" s="27" t="s">
        <v>176</v>
      </c>
      <c r="DB720" s="27" t="s">
        <v>176</v>
      </c>
      <c r="DC720" s="27" t="s">
        <v>134</v>
      </c>
      <c r="DD720" s="27" t="s">
        <v>137</v>
      </c>
      <c r="DE720" s="27" t="s">
        <v>177</v>
      </c>
      <c r="DF720" s="27" t="s">
        <v>202</v>
      </c>
      <c r="DG720" s="27" t="s">
        <v>134</v>
      </c>
      <c r="DH720" s="27" t="s">
        <v>135</v>
      </c>
      <c r="DI720" s="27" t="s">
        <v>177</v>
      </c>
      <c r="DJ720" s="27" t="s">
        <v>175</v>
      </c>
      <c r="DK720" s="27" t="s">
        <v>134</v>
      </c>
      <c r="DL720" s="27" t="s">
        <v>182</v>
      </c>
      <c r="DM720" s="27" t="s">
        <v>306</v>
      </c>
      <c r="DN720" s="27" t="s">
        <v>272</v>
      </c>
      <c r="DO720" s="27" t="s">
        <v>134</v>
      </c>
      <c r="DP720" s="27" t="s">
        <v>135</v>
      </c>
      <c r="DQ720" s="27" t="s">
        <v>204</v>
      </c>
      <c r="DR720" s="27" t="s">
        <v>209</v>
      </c>
      <c r="DS720" s="27" t="s">
        <v>134</v>
      </c>
      <c r="DT720" s="27" t="s">
        <v>160</v>
      </c>
      <c r="DU720" s="27" t="s">
        <v>204</v>
      </c>
      <c r="DV720" s="27" t="s">
        <v>178</v>
      </c>
      <c r="DW720" s="27" t="s">
        <v>135</v>
      </c>
      <c r="DX720" s="27" t="s">
        <v>138</v>
      </c>
      <c r="DY720" s="27" t="s">
        <v>156</v>
      </c>
      <c r="DZ720" s="27" t="n">
        <f aca="false">DY720+DV720+DR720+DN720+DJ720+DF720+DB720</f>
        <v>607</v>
      </c>
      <c r="EA720" s="28" t="n">
        <f aca="false">DZ720/7</f>
        <v>86.7142857142857</v>
      </c>
      <c r="EB720" s="27" t="n">
        <f aca="false">RANK(EA720,$EA$2:$EA$881,0)</f>
        <v>135</v>
      </c>
      <c r="EC720" s="29" t="n">
        <f aca="false">DZ720+CQ720+CP720+AZ720</f>
        <v>1403</v>
      </c>
      <c r="ED720" s="30" t="n">
        <f aca="false">(EA720+CV720+BB720)/3</f>
        <v>55.4380952380952</v>
      </c>
      <c r="EE720" s="51" t="n">
        <f aca="false">ROUND(BE720,3)</f>
        <v>85.447</v>
      </c>
      <c r="EF720" s="51" t="n">
        <f aca="false">ROUND(CR720,3)</f>
        <v>0</v>
      </c>
      <c r="EG720" s="51" t="n">
        <f aca="false">ROUND(CS720,3)</f>
        <v>0</v>
      </c>
      <c r="EH720" s="51" t="n">
        <f aca="false">ROUND(EA720,3)</f>
        <v>86.714</v>
      </c>
      <c r="EI720" s="51" t="n">
        <f aca="false">ROUND(ED720,3)</f>
        <v>55.438</v>
      </c>
      <c r="EJ720" s="51" t="n">
        <f aca="false">ROUND(CV720,3)</f>
        <v>0</v>
      </c>
      <c r="EK720" s="0" t="n">
        <f aca="false">RANK(EI720,$EI$2:$EI$881,0)</f>
        <v>719</v>
      </c>
    </row>
    <row r="721" customFormat="false" ht="15" hidden="false" customHeight="false" outlineLevel="0" collapsed="false">
      <c r="A721" s="4" t="n">
        <v>9023</v>
      </c>
      <c r="B721" s="4" t="n">
        <v>91</v>
      </c>
      <c r="C721" s="27" t="s">
        <v>2061</v>
      </c>
      <c r="D721" s="52" t="n">
        <v>92</v>
      </c>
      <c r="E721" s="16" t="n">
        <v>230508385</v>
      </c>
      <c r="F721" s="56" t="s">
        <v>2062</v>
      </c>
      <c r="G721" s="22" t="s">
        <v>739</v>
      </c>
      <c r="H721" s="22" t="s">
        <v>465</v>
      </c>
      <c r="I721" s="80"/>
      <c r="J721" s="16" t="n">
        <v>80</v>
      </c>
      <c r="K721" s="16" t="n">
        <v>76</v>
      </c>
      <c r="L721" s="34" t="n">
        <f aca="false">(K721*70)/100</f>
        <v>53.2</v>
      </c>
      <c r="M721" s="34" t="n">
        <f aca="false">ROUNDUP(L721,0)</f>
        <v>54</v>
      </c>
      <c r="N721" s="16" t="n">
        <v>25</v>
      </c>
      <c r="O721" s="34" t="n">
        <f aca="false">N721+L721</f>
        <v>78.2</v>
      </c>
      <c r="P721" s="34" t="n">
        <f aca="false">N721+M721</f>
        <v>79</v>
      </c>
      <c r="Q721" s="16" t="n">
        <v>70</v>
      </c>
      <c r="R721" s="16" t="n">
        <v>72</v>
      </c>
      <c r="S721" s="34" t="n">
        <f aca="false">(R721*70)/100</f>
        <v>50.4</v>
      </c>
      <c r="T721" s="34" t="n">
        <f aca="false">ROUNDUP(S721,0)</f>
        <v>51</v>
      </c>
      <c r="U721" s="16" t="n">
        <v>29</v>
      </c>
      <c r="V721" s="34" t="n">
        <f aca="false">U721+S721</f>
        <v>79.4</v>
      </c>
      <c r="W721" s="34" t="n">
        <f aca="false">U721+T721</f>
        <v>80</v>
      </c>
      <c r="X721" s="16" t="n">
        <v>77</v>
      </c>
      <c r="Y721" s="34" t="n">
        <f aca="false">(X721*70)/100</f>
        <v>53.9</v>
      </c>
      <c r="Z721" s="34" t="n">
        <f aca="false">ROUNDUP(Y721,0)</f>
        <v>54</v>
      </c>
      <c r="AA721" s="16" t="n">
        <v>27</v>
      </c>
      <c r="AB721" s="34" t="n">
        <f aca="false">AA721+Y721</f>
        <v>80.9</v>
      </c>
      <c r="AC721" s="34" t="n">
        <f aca="false">AA721+Z721</f>
        <v>81</v>
      </c>
      <c r="AD721" s="32" t="n">
        <f aca="false">X721+R721+Q721+K721+J721</f>
        <v>375</v>
      </c>
      <c r="AE721" s="16" t="n">
        <f aca="false">AD721/5</f>
        <v>75</v>
      </c>
      <c r="AF721" s="16" t="n">
        <v>79</v>
      </c>
      <c r="AG721" s="16" t="n">
        <v>77</v>
      </c>
      <c r="AH721" s="16" t="n">
        <v>95</v>
      </c>
      <c r="AI721" s="16" t="n">
        <v>90</v>
      </c>
      <c r="AJ721" s="16" t="n">
        <f aca="false">(AI721*70)/100</f>
        <v>63</v>
      </c>
      <c r="AK721" s="35" t="n">
        <f aca="false">ROUNDUP(AJ721,0)</f>
        <v>63</v>
      </c>
      <c r="AL721" s="16" t="n">
        <v>26</v>
      </c>
      <c r="AM721" s="16" t="n">
        <f aca="false">AL721+AJ721</f>
        <v>89</v>
      </c>
      <c r="AN721" s="16" t="n">
        <f aca="false">AL721+AK721</f>
        <v>89</v>
      </c>
      <c r="AO721" s="16" t="n">
        <v>83</v>
      </c>
      <c r="AP721" s="36" t="n">
        <f aca="false">(AO721*70)/100</f>
        <v>58.1</v>
      </c>
      <c r="AQ721" s="37" t="n">
        <f aca="false">ROUNDUP(AP721,0)</f>
        <v>59</v>
      </c>
      <c r="AR721" s="16" t="n">
        <v>27</v>
      </c>
      <c r="AS721" s="16" t="n">
        <f aca="false">AR721+AP721</f>
        <v>85.1</v>
      </c>
      <c r="AT721" s="16" t="n">
        <f aca="false">AR721+AQ721</f>
        <v>86</v>
      </c>
      <c r="AU721" s="16" t="n">
        <f aca="false">AO721+AF721+AI721+AH721+AG721</f>
        <v>424</v>
      </c>
      <c r="AV721" s="16" t="n">
        <f aca="false">(AO721+AF721+AI721+AH721+AG721)/5</f>
        <v>84.8</v>
      </c>
      <c r="AW721" s="36" t="n">
        <f aca="false">(AO721+AF721+AI721+AH721+AG721+X721+R721+Q721+K721+J721)</f>
        <v>799</v>
      </c>
      <c r="AX721" s="16" t="n">
        <f aca="false">AW721/10</f>
        <v>79.9</v>
      </c>
      <c r="AY721" s="16" t="n">
        <f aca="false">AS721+AF721+AM721+AH721+AG721+AB721+V721+Q721+O721+J721</f>
        <v>813.6</v>
      </c>
      <c r="AZ721" s="16" t="n">
        <f aca="false">AT721+AF721+AN721+AH721+AG721+AC721+W721+Q721+P721+J721</f>
        <v>816</v>
      </c>
      <c r="BA721" s="16" t="n">
        <f aca="false">AY721/10</f>
        <v>81.36</v>
      </c>
      <c r="BB721" s="16" t="n">
        <f aca="false">AZ721/10</f>
        <v>81.6</v>
      </c>
      <c r="BC721" s="16" t="n">
        <v>2341</v>
      </c>
      <c r="BD721" s="16" t="n">
        <f aca="false">RANK(AX721,$AX$2:$AX$881,0)</f>
        <v>272</v>
      </c>
      <c r="BE721" s="54" t="n">
        <f aca="false">((BC721*100)/2400)*0.4+(AX721*0.6)</f>
        <v>86.9566666666667</v>
      </c>
      <c r="BF721" s="16" t="n">
        <f aca="false">RANK(BE721,$BE$2:$BE$881,0)</f>
        <v>301</v>
      </c>
      <c r="BG721" s="39" t="n">
        <f aca="false">RANK(BB721,$BB$2:$BB$881,0)</f>
        <v>240</v>
      </c>
      <c r="BH721" s="39" t="n">
        <f aca="false">RANK(BC721,$BC$2:$BC$881,0)</f>
        <v>628</v>
      </c>
      <c r="BI721" s="22" t="s">
        <v>130</v>
      </c>
      <c r="BJ721" s="22" t="s">
        <v>129</v>
      </c>
      <c r="BK721" s="40" t="s">
        <v>131</v>
      </c>
      <c r="BL721" s="105" t="n">
        <v>14.5</v>
      </c>
      <c r="BM721" s="61"/>
      <c r="BN721" s="61"/>
      <c r="BO721" s="42" t="n">
        <v>21</v>
      </c>
      <c r="BP721" s="61"/>
      <c r="BQ721" s="61"/>
      <c r="BR721" s="74" t="n">
        <v>9</v>
      </c>
      <c r="BS721" s="80"/>
      <c r="BT721" s="80"/>
      <c r="BU721" s="80"/>
      <c r="BV721" s="137"/>
      <c r="BW721" s="61"/>
      <c r="BX721" s="107"/>
      <c r="BY721" s="130"/>
      <c r="BZ721" s="60"/>
      <c r="CA721" s="60"/>
      <c r="CB721" s="61"/>
      <c r="CC721" s="60"/>
      <c r="CD721" s="60"/>
      <c r="CE721" s="60"/>
      <c r="CF721" s="60"/>
      <c r="CG721" s="60"/>
      <c r="CH721" s="60"/>
      <c r="CI721" s="60"/>
      <c r="CJ721" s="60"/>
      <c r="CK721" s="60"/>
      <c r="CL721" s="61"/>
      <c r="CM721" s="60"/>
      <c r="CN721" s="60"/>
      <c r="CO721" s="60"/>
      <c r="CP721" s="25" t="n">
        <f aca="false">BX721+BW721+BV721+BU721+BT721+BQ721+BN721</f>
        <v>0</v>
      </c>
      <c r="CQ721" s="25" t="n">
        <f aca="false">CO721+CL721+CI721+CH721+CG721+CD721+CA721</f>
        <v>0</v>
      </c>
      <c r="CR721" s="26" t="n">
        <f aca="false">CP721/7</f>
        <v>0</v>
      </c>
      <c r="CS721" s="26" t="n">
        <f aca="false">CQ721/7</f>
        <v>0</v>
      </c>
      <c r="CT721" s="24" t="n">
        <f aca="false">RANK(CR721,$CR$2:$CR$881,0)</f>
        <v>768</v>
      </c>
      <c r="CU721" s="25" t="n">
        <f aca="false">RANK(CS721,$CS$2:$CS$881,0)</f>
        <v>752</v>
      </c>
      <c r="CV721" s="26" t="n">
        <f aca="false">(CS721+CR721)/2</f>
        <v>0</v>
      </c>
      <c r="CW721" s="25" t="n">
        <f aca="false">RANK(CV721,$CV$2:$CV$881,0)</f>
        <v>753</v>
      </c>
      <c r="CX721" s="50" t="n">
        <f aca="false">(CV721+BB721)/2</f>
        <v>40.8</v>
      </c>
      <c r="CY721" s="50" t="n">
        <v>736</v>
      </c>
      <c r="CZ721" s="27" t="s">
        <v>132</v>
      </c>
      <c r="DA721" s="27" t="s">
        <v>175</v>
      </c>
      <c r="DB721" s="27" t="s">
        <v>175</v>
      </c>
      <c r="DC721" s="27" t="s">
        <v>134</v>
      </c>
      <c r="DD721" s="27" t="s">
        <v>164</v>
      </c>
      <c r="DE721" s="27" t="s">
        <v>412</v>
      </c>
      <c r="DF721" s="27" t="s">
        <v>305</v>
      </c>
      <c r="DG721" s="27" t="s">
        <v>134</v>
      </c>
      <c r="DH721" s="27" t="s">
        <v>164</v>
      </c>
      <c r="DI721" s="27" t="s">
        <v>183</v>
      </c>
      <c r="DJ721" s="27" t="s">
        <v>175</v>
      </c>
      <c r="DK721" s="27" t="s">
        <v>134</v>
      </c>
      <c r="DL721" s="27" t="s">
        <v>137</v>
      </c>
      <c r="DM721" s="27" t="s">
        <v>306</v>
      </c>
      <c r="DN721" s="27" t="s">
        <v>196</v>
      </c>
      <c r="DO721" s="27" t="s">
        <v>134</v>
      </c>
      <c r="DP721" s="27" t="s">
        <v>154</v>
      </c>
      <c r="DQ721" s="27" t="s">
        <v>304</v>
      </c>
      <c r="DR721" s="27" t="s">
        <v>382</v>
      </c>
      <c r="DS721" s="27" t="s">
        <v>134</v>
      </c>
      <c r="DT721" s="27" t="s">
        <v>140</v>
      </c>
      <c r="DU721" s="27" t="s">
        <v>177</v>
      </c>
      <c r="DV721" s="27" t="s">
        <v>162</v>
      </c>
      <c r="DW721" s="27" t="s">
        <v>182</v>
      </c>
      <c r="DX721" s="27" t="s">
        <v>143</v>
      </c>
      <c r="DY721" s="27" t="s">
        <v>176</v>
      </c>
      <c r="DZ721" s="27" t="n">
        <f aca="false">DY721+DV721+DR721+DN721+DJ721+DF721+DB721</f>
        <v>587</v>
      </c>
      <c r="EA721" s="28" t="n">
        <f aca="false">DZ721/7</f>
        <v>83.8571428571429</v>
      </c>
      <c r="EB721" s="27" t="n">
        <f aca="false">RANK(EA721,$EA$2:$EA$881,0)</f>
        <v>230</v>
      </c>
      <c r="EC721" s="29" t="n">
        <f aca="false">DZ721+CQ721+CP721+AZ721</f>
        <v>1403</v>
      </c>
      <c r="ED721" s="30" t="n">
        <f aca="false">(EA721+CV721+BB721)/3</f>
        <v>55.152380952381</v>
      </c>
      <c r="EE721" s="51" t="n">
        <f aca="false">ROUND(BE721,3)</f>
        <v>86.957</v>
      </c>
      <c r="EF721" s="51" t="n">
        <f aca="false">ROUND(CR721,3)</f>
        <v>0</v>
      </c>
      <c r="EG721" s="51" t="n">
        <f aca="false">ROUND(CS721,3)</f>
        <v>0</v>
      </c>
      <c r="EH721" s="51" t="n">
        <f aca="false">ROUND(EA721,3)</f>
        <v>83.857</v>
      </c>
      <c r="EI721" s="51" t="n">
        <f aca="false">ROUND(ED721,3)</f>
        <v>55.152</v>
      </c>
      <c r="EJ721" s="51" t="n">
        <f aca="false">ROUND(CV721,3)</f>
        <v>0</v>
      </c>
      <c r="EK721" s="0" t="n">
        <f aca="false">RANK(EI721,$EI$2:$EI$881,0)</f>
        <v>720</v>
      </c>
    </row>
    <row r="722" customFormat="false" ht="15" hidden="false" customHeight="false" outlineLevel="0" collapsed="false">
      <c r="A722" s="4" t="n">
        <v>9009</v>
      </c>
      <c r="B722" s="4" t="n">
        <v>45</v>
      </c>
      <c r="C722" s="27" t="s">
        <v>2063</v>
      </c>
      <c r="D722" s="52" t="n">
        <v>47</v>
      </c>
      <c r="E722" s="16" t="n">
        <v>230514510</v>
      </c>
      <c r="F722" s="56" t="s">
        <v>2064</v>
      </c>
      <c r="G722" s="22" t="s">
        <v>1650</v>
      </c>
      <c r="H722" s="22" t="s">
        <v>465</v>
      </c>
      <c r="I722" s="80"/>
      <c r="J722" s="16" t="n">
        <v>75</v>
      </c>
      <c r="K722" s="16" t="n">
        <v>80</v>
      </c>
      <c r="L722" s="34" t="n">
        <f aca="false">(K722*70)/100</f>
        <v>56</v>
      </c>
      <c r="M722" s="34" t="n">
        <f aca="false">ROUNDUP(L722,0)</f>
        <v>56</v>
      </c>
      <c r="N722" s="16" t="n">
        <v>25</v>
      </c>
      <c r="O722" s="34" t="n">
        <f aca="false">N722+L722</f>
        <v>81</v>
      </c>
      <c r="P722" s="34" t="n">
        <f aca="false">N722+M722</f>
        <v>81</v>
      </c>
      <c r="Q722" s="16" t="n">
        <v>75</v>
      </c>
      <c r="R722" s="16" t="n">
        <v>81</v>
      </c>
      <c r="S722" s="34" t="n">
        <f aca="false">(R722*70)/100</f>
        <v>56.7</v>
      </c>
      <c r="T722" s="34" t="n">
        <f aca="false">ROUNDUP(S722,0)</f>
        <v>57</v>
      </c>
      <c r="U722" s="16" t="n">
        <v>26</v>
      </c>
      <c r="V722" s="34" t="n">
        <f aca="false">U722+S722</f>
        <v>82.7</v>
      </c>
      <c r="W722" s="34" t="n">
        <f aca="false">U722+T722</f>
        <v>83</v>
      </c>
      <c r="X722" s="16" t="n">
        <v>60</v>
      </c>
      <c r="Y722" s="34" t="n">
        <f aca="false">(X722*70)/100</f>
        <v>42</v>
      </c>
      <c r="Z722" s="34" t="n">
        <f aca="false">ROUNDUP(Y722,0)</f>
        <v>42</v>
      </c>
      <c r="AA722" s="16" t="n">
        <v>28</v>
      </c>
      <c r="AB722" s="34" t="n">
        <f aca="false">AA722+Y722</f>
        <v>70</v>
      </c>
      <c r="AC722" s="34" t="n">
        <f aca="false">AA722+Z722</f>
        <v>70</v>
      </c>
      <c r="AD722" s="32" t="n">
        <f aca="false">X722+R722+Q722+K722+J722</f>
        <v>371</v>
      </c>
      <c r="AE722" s="16" t="n">
        <f aca="false">AD722/5</f>
        <v>74.2</v>
      </c>
      <c r="AF722" s="16" t="n">
        <v>74</v>
      </c>
      <c r="AG722" s="16" t="n">
        <v>84</v>
      </c>
      <c r="AH722" s="16" t="n">
        <v>87</v>
      </c>
      <c r="AI722" s="16" t="n">
        <v>92</v>
      </c>
      <c r="AJ722" s="16" t="n">
        <f aca="false">(AI722*70)/100</f>
        <v>64.4</v>
      </c>
      <c r="AK722" s="35" t="n">
        <f aca="false">ROUNDUP(AJ722,0)</f>
        <v>65</v>
      </c>
      <c r="AL722" s="16" t="n">
        <v>30</v>
      </c>
      <c r="AM722" s="16" t="n">
        <f aca="false">AL722+AJ722</f>
        <v>94.4</v>
      </c>
      <c r="AN722" s="16" t="n">
        <f aca="false">AL722+AK722</f>
        <v>95</v>
      </c>
      <c r="AO722" s="16" t="n">
        <v>83</v>
      </c>
      <c r="AP722" s="36" t="n">
        <f aca="false">(AO722*70)/100</f>
        <v>58.1</v>
      </c>
      <c r="AQ722" s="37" t="n">
        <f aca="false">ROUNDUP(AP722,0)</f>
        <v>59</v>
      </c>
      <c r="AR722" s="16" t="n">
        <v>28</v>
      </c>
      <c r="AS722" s="16" t="n">
        <f aca="false">AR722+AP722</f>
        <v>86.1</v>
      </c>
      <c r="AT722" s="16" t="n">
        <f aca="false">AR722+AQ722</f>
        <v>87</v>
      </c>
      <c r="AU722" s="16" t="n">
        <f aca="false">AO722+AF722+AI722+AH722+AG722</f>
        <v>420</v>
      </c>
      <c r="AV722" s="16" t="n">
        <f aca="false">(AO722+AF722+AI722+AH722+AG722)/5</f>
        <v>84</v>
      </c>
      <c r="AW722" s="36" t="n">
        <f aca="false">(AO722+AF722+AI722+AH722+AG722+X722+R722+Q722+K722+J722)</f>
        <v>791</v>
      </c>
      <c r="AX722" s="16" t="n">
        <f aca="false">AW722/10</f>
        <v>79.1</v>
      </c>
      <c r="AY722" s="16" t="n">
        <f aca="false">AS722+AF722+AM722+AH722+AG722+AB722+V722+Q722+O722+J722</f>
        <v>809.2</v>
      </c>
      <c r="AZ722" s="16" t="n">
        <f aca="false">AT722+AF722+AN722+AH722+AG722+AC722+W722+Q722+P722+J722</f>
        <v>811</v>
      </c>
      <c r="BA722" s="16" t="n">
        <f aca="false">AY722/10</f>
        <v>80.92</v>
      </c>
      <c r="BB722" s="16" t="n">
        <f aca="false">AZ722/10</f>
        <v>81.1</v>
      </c>
      <c r="BC722" s="16" t="n">
        <v>2331</v>
      </c>
      <c r="BD722" s="16" t="n">
        <f aca="false">RANK(AX722,$AX$2:$AX$881,0)</f>
        <v>324</v>
      </c>
      <c r="BE722" s="54" t="n">
        <f aca="false">((BC722*100)/2400)*0.4+(AX722*0.6)</f>
        <v>86.31</v>
      </c>
      <c r="BF722" s="16" t="n">
        <f aca="false">RANK(BE722,$BE$2:$BE$881,0)</f>
        <v>379</v>
      </c>
      <c r="BG722" s="39" t="n">
        <f aca="false">RANK(BB722,$BB$2:$BB$881,0)</f>
        <v>271</v>
      </c>
      <c r="BH722" s="39" t="n">
        <f aca="false">RANK(BC722,$BC$2:$BC$881,0)</f>
        <v>716</v>
      </c>
      <c r="BI722" s="22" t="s">
        <v>130</v>
      </c>
      <c r="BJ722" s="22" t="s">
        <v>129</v>
      </c>
      <c r="BK722" s="40" t="s">
        <v>131</v>
      </c>
      <c r="BL722" s="41" t="n">
        <v>25</v>
      </c>
      <c r="BM722" s="61"/>
      <c r="BN722" s="61"/>
      <c r="BO722" s="42" t="n">
        <v>26</v>
      </c>
      <c r="BP722" s="61"/>
      <c r="BQ722" s="61"/>
      <c r="BR722" s="42" t="n">
        <v>25</v>
      </c>
      <c r="BS722" s="80"/>
      <c r="BT722" s="80"/>
      <c r="BU722" s="80"/>
      <c r="BV722" s="137"/>
      <c r="BW722" s="61"/>
      <c r="BX722" s="107"/>
      <c r="BY722" s="130"/>
      <c r="BZ722" s="60"/>
      <c r="CA722" s="60"/>
      <c r="CB722" s="61"/>
      <c r="CC722" s="60"/>
      <c r="CD722" s="60"/>
      <c r="CE722" s="60"/>
      <c r="CF722" s="60"/>
      <c r="CG722" s="60"/>
      <c r="CH722" s="60"/>
      <c r="CI722" s="60"/>
      <c r="CJ722" s="60"/>
      <c r="CK722" s="60"/>
      <c r="CL722" s="61"/>
      <c r="CM722" s="60"/>
      <c r="CN722" s="60"/>
      <c r="CO722" s="60"/>
      <c r="CP722" s="25" t="n">
        <f aca="false">BX722+BW722+BV722+BU722+BT722+BQ722+BN722</f>
        <v>0</v>
      </c>
      <c r="CQ722" s="25" t="n">
        <f aca="false">CO722+CL722+CI722+CH722+CG722+CD722+CA722</f>
        <v>0</v>
      </c>
      <c r="CR722" s="26" t="n">
        <f aca="false">CP722/7</f>
        <v>0</v>
      </c>
      <c r="CS722" s="26" t="n">
        <f aca="false">CQ722/7</f>
        <v>0</v>
      </c>
      <c r="CT722" s="24" t="n">
        <f aca="false">RANK(CR722,$CR$2:$CR$881,0)</f>
        <v>768</v>
      </c>
      <c r="CU722" s="25" t="n">
        <f aca="false">RANK(CS722,$CS$2:$CS$881,0)</f>
        <v>752</v>
      </c>
      <c r="CV722" s="26" t="n">
        <f aca="false">(CS722+CR722)/2</f>
        <v>0</v>
      </c>
      <c r="CW722" s="25" t="n">
        <f aca="false">RANK(CV722,$CV$2:$CV$881,0)</f>
        <v>753</v>
      </c>
      <c r="CX722" s="50" t="n">
        <f aca="false">(CV722+BB722)/2</f>
        <v>40.55</v>
      </c>
      <c r="CY722" s="50" t="n">
        <v>741</v>
      </c>
      <c r="CZ722" s="27" t="s">
        <v>132</v>
      </c>
      <c r="DA722" s="27" t="s">
        <v>169</v>
      </c>
      <c r="DB722" s="27" t="s">
        <v>169</v>
      </c>
      <c r="DC722" s="27" t="s">
        <v>134</v>
      </c>
      <c r="DD722" s="27" t="s">
        <v>135</v>
      </c>
      <c r="DE722" s="27" t="s">
        <v>183</v>
      </c>
      <c r="DF722" s="27" t="s">
        <v>169</v>
      </c>
      <c r="DG722" s="27" t="s">
        <v>134</v>
      </c>
      <c r="DH722" s="27" t="s">
        <v>160</v>
      </c>
      <c r="DI722" s="27" t="s">
        <v>204</v>
      </c>
      <c r="DJ722" s="27" t="s">
        <v>178</v>
      </c>
      <c r="DK722" s="27" t="s">
        <v>134</v>
      </c>
      <c r="DL722" s="27" t="s">
        <v>160</v>
      </c>
      <c r="DM722" s="27" t="s">
        <v>304</v>
      </c>
      <c r="DN722" s="27" t="s">
        <v>205</v>
      </c>
      <c r="DO722" s="27" t="s">
        <v>134</v>
      </c>
      <c r="DP722" s="27" t="s">
        <v>386</v>
      </c>
      <c r="DQ722" s="27" t="s">
        <v>412</v>
      </c>
      <c r="DR722" s="27" t="s">
        <v>138</v>
      </c>
      <c r="DS722" s="27" t="s">
        <v>134</v>
      </c>
      <c r="DT722" s="27" t="s">
        <v>182</v>
      </c>
      <c r="DU722" s="27" t="s">
        <v>203</v>
      </c>
      <c r="DV722" s="27" t="s">
        <v>202</v>
      </c>
      <c r="DW722" s="27" t="s">
        <v>182</v>
      </c>
      <c r="DX722" s="27" t="s">
        <v>155</v>
      </c>
      <c r="DY722" s="27" t="s">
        <v>156</v>
      </c>
      <c r="DZ722" s="27" t="n">
        <f aca="false">DY722+DV722+DR722+DN722+DJ722+DF722+DB722</f>
        <v>584</v>
      </c>
      <c r="EA722" s="28" t="n">
        <f aca="false">DZ722/7</f>
        <v>83.4285714285714</v>
      </c>
      <c r="EB722" s="27" t="n">
        <f aca="false">RANK(EA722,$EA$2:$EA$881,0)</f>
        <v>253</v>
      </c>
      <c r="EC722" s="29" t="n">
        <f aca="false">DZ722+CQ722+CP722+AZ722</f>
        <v>1395</v>
      </c>
      <c r="ED722" s="30" t="n">
        <f aca="false">(EA722+CV722+BB722)/3</f>
        <v>54.8428571428571</v>
      </c>
      <c r="EE722" s="51" t="n">
        <f aca="false">ROUND(BE722,3)</f>
        <v>86.31</v>
      </c>
      <c r="EF722" s="51" t="n">
        <f aca="false">ROUND(CR722,3)</f>
        <v>0</v>
      </c>
      <c r="EG722" s="51" t="n">
        <f aca="false">ROUND(CS722,3)</f>
        <v>0</v>
      </c>
      <c r="EH722" s="51" t="n">
        <f aca="false">ROUND(EA722,3)</f>
        <v>83.429</v>
      </c>
      <c r="EI722" s="51" t="n">
        <f aca="false">ROUND(ED722,3)</f>
        <v>54.843</v>
      </c>
      <c r="EJ722" s="51" t="n">
        <f aca="false">ROUND(CV722,3)</f>
        <v>0</v>
      </c>
      <c r="EK722" s="0" t="n">
        <f aca="false">RANK(EI722,$EI$2:$EI$881,0)</f>
        <v>721</v>
      </c>
    </row>
    <row r="723" customFormat="false" ht="15" hidden="false" customHeight="false" outlineLevel="0" collapsed="false">
      <c r="A723" s="4" t="n">
        <v>9148</v>
      </c>
      <c r="B723" s="4" t="n">
        <v>146</v>
      </c>
      <c r="C723" s="27" t="s">
        <v>2065</v>
      </c>
      <c r="D723" s="31" t="n">
        <v>146</v>
      </c>
      <c r="E723" s="16" t="n">
        <v>230508281</v>
      </c>
      <c r="F723" s="56" t="s">
        <v>2066</v>
      </c>
      <c r="G723" s="22" t="s">
        <v>312</v>
      </c>
      <c r="H723" s="22" t="s">
        <v>465</v>
      </c>
      <c r="I723" s="80"/>
      <c r="J723" s="16" t="n">
        <v>78</v>
      </c>
      <c r="K723" s="16" t="n">
        <v>57</v>
      </c>
      <c r="L723" s="34" t="n">
        <f aca="false">(K723*70)/100</f>
        <v>39.9</v>
      </c>
      <c r="M723" s="34" t="n">
        <f aca="false">ROUNDUP(L723,0)</f>
        <v>40</v>
      </c>
      <c r="N723" s="16" t="n">
        <v>28</v>
      </c>
      <c r="O723" s="34" t="n">
        <f aca="false">N723+L723</f>
        <v>67.9</v>
      </c>
      <c r="P723" s="34" t="n">
        <f aca="false">N723+M723</f>
        <v>68</v>
      </c>
      <c r="Q723" s="16" t="n">
        <v>69</v>
      </c>
      <c r="R723" s="16" t="n">
        <v>72</v>
      </c>
      <c r="S723" s="34" t="n">
        <f aca="false">(R723*70)/100</f>
        <v>50.4</v>
      </c>
      <c r="T723" s="34" t="n">
        <f aca="false">ROUNDUP(S723,0)</f>
        <v>51</v>
      </c>
      <c r="U723" s="16" t="n">
        <v>27</v>
      </c>
      <c r="V723" s="34" t="n">
        <f aca="false">U723+S723</f>
        <v>77.4</v>
      </c>
      <c r="W723" s="34" t="n">
        <f aca="false">U723+T723</f>
        <v>78</v>
      </c>
      <c r="X723" s="16" t="n">
        <v>70</v>
      </c>
      <c r="Y723" s="34" t="n">
        <f aca="false">(X723*70)/100</f>
        <v>49</v>
      </c>
      <c r="Z723" s="34" t="n">
        <f aca="false">ROUNDUP(Y723,0)</f>
        <v>49</v>
      </c>
      <c r="AA723" s="16" t="n">
        <v>28</v>
      </c>
      <c r="AB723" s="34" t="n">
        <f aca="false">AA723+Y723</f>
        <v>77</v>
      </c>
      <c r="AC723" s="34" t="n">
        <f aca="false">AA723+Z723</f>
        <v>77</v>
      </c>
      <c r="AD723" s="32" t="n">
        <f aca="false">X723+R723+Q723+K723+J723</f>
        <v>346</v>
      </c>
      <c r="AE723" s="16" t="n">
        <f aca="false">AD723/5</f>
        <v>69.2</v>
      </c>
      <c r="AF723" s="16" t="n">
        <v>82</v>
      </c>
      <c r="AG723" s="16" t="n">
        <v>88</v>
      </c>
      <c r="AH723" s="16" t="n">
        <v>92</v>
      </c>
      <c r="AI723" s="16" t="n">
        <v>94</v>
      </c>
      <c r="AJ723" s="16" t="n">
        <f aca="false">(AI723*70)/100</f>
        <v>65.8</v>
      </c>
      <c r="AK723" s="35" t="n">
        <f aca="false">ROUNDUP(AJ723,0)</f>
        <v>66</v>
      </c>
      <c r="AL723" s="16" t="n">
        <v>26</v>
      </c>
      <c r="AM723" s="16" t="n">
        <f aca="false">AL723+AJ723</f>
        <v>91.8</v>
      </c>
      <c r="AN723" s="16" t="n">
        <f aca="false">AL723+AK723</f>
        <v>92</v>
      </c>
      <c r="AO723" s="16" t="n">
        <v>77</v>
      </c>
      <c r="AP723" s="36" t="n">
        <f aca="false">(AO723*70)/100</f>
        <v>53.9</v>
      </c>
      <c r="AQ723" s="37" t="n">
        <f aca="false">ROUNDUP(AP723,0)</f>
        <v>54</v>
      </c>
      <c r="AR723" s="16" t="n">
        <v>26</v>
      </c>
      <c r="AS723" s="16" t="n">
        <f aca="false">AR723+AP723</f>
        <v>79.9</v>
      </c>
      <c r="AT723" s="16" t="n">
        <f aca="false">AR723+AQ723</f>
        <v>80</v>
      </c>
      <c r="AU723" s="16" t="n">
        <f aca="false">AO723+AF723+AI723+AH723+AG723</f>
        <v>433</v>
      </c>
      <c r="AV723" s="16" t="n">
        <f aca="false">(AO723+AF723+AI723+AH723+AG723)/5</f>
        <v>86.6</v>
      </c>
      <c r="AW723" s="36" t="n">
        <f aca="false">(AO723+AF723+AI723+AH723+AG723+X723+R723+Q723+K723+J723)</f>
        <v>779</v>
      </c>
      <c r="AX723" s="16" t="n">
        <f aca="false">AW723/10</f>
        <v>77.9</v>
      </c>
      <c r="AY723" s="16" t="n">
        <f aca="false">AS723+AF723+AM723+AH723+AG723+AB723+V723+Q723+O723+J723</f>
        <v>803</v>
      </c>
      <c r="AZ723" s="16" t="n">
        <f aca="false">AT723+AF723+AN723+AH723+AG723+AC723+W723+Q723+P723+J723</f>
        <v>804</v>
      </c>
      <c r="BA723" s="16" t="n">
        <f aca="false">AY723/10</f>
        <v>80.3</v>
      </c>
      <c r="BB723" s="16" t="n">
        <f aca="false">AZ723/10</f>
        <v>80.4</v>
      </c>
      <c r="BC723" s="16" t="n">
        <v>2361</v>
      </c>
      <c r="BD723" s="16" t="n">
        <f aca="false">RANK(AX723,$AX$2:$AX$881,0)</f>
        <v>414</v>
      </c>
      <c r="BE723" s="54" t="n">
        <f aca="false">((BC723*100)/2400)*0.4+(AX723*0.6)</f>
        <v>86.09</v>
      </c>
      <c r="BF723" s="16" t="n">
        <f aca="false">RANK(BE723,$BE$2:$BE$881,0)</f>
        <v>420</v>
      </c>
      <c r="BG723" s="39" t="n">
        <f aca="false">RANK(BB723,$BB$2:$BB$881,0)</f>
        <v>318</v>
      </c>
      <c r="BH723" s="39" t="n">
        <f aca="false">RANK(BC723,$BC$2:$BC$881,0)</f>
        <v>382</v>
      </c>
      <c r="BI723" s="22" t="s">
        <v>130</v>
      </c>
      <c r="BJ723" s="22" t="s">
        <v>129</v>
      </c>
      <c r="BK723" s="40" t="s">
        <v>131</v>
      </c>
      <c r="BL723" s="101" t="n">
        <v>10.5</v>
      </c>
      <c r="BM723" s="61"/>
      <c r="BN723" s="61"/>
      <c r="BO723" s="42" t="n">
        <v>29</v>
      </c>
      <c r="BP723" s="61"/>
      <c r="BQ723" s="61"/>
      <c r="BR723" s="74" t="n">
        <v>9</v>
      </c>
      <c r="BS723" s="80"/>
      <c r="BT723" s="80"/>
      <c r="BU723" s="80"/>
      <c r="BV723" s="137"/>
      <c r="BW723" s="61"/>
      <c r="BX723" s="107"/>
      <c r="BY723" s="130"/>
      <c r="BZ723" s="60"/>
      <c r="CA723" s="60"/>
      <c r="CB723" s="61"/>
      <c r="CC723" s="60"/>
      <c r="CD723" s="60"/>
      <c r="CE723" s="60"/>
      <c r="CF723" s="60"/>
      <c r="CG723" s="60"/>
      <c r="CH723" s="60"/>
      <c r="CI723" s="60"/>
      <c r="CJ723" s="60"/>
      <c r="CK723" s="60"/>
      <c r="CL723" s="61"/>
      <c r="CM723" s="60"/>
      <c r="CN723" s="60"/>
      <c r="CO723" s="60"/>
      <c r="CP723" s="25" t="n">
        <f aca="false">BX723+BW723+BV723+BU723+BT723+BQ723+BN723</f>
        <v>0</v>
      </c>
      <c r="CQ723" s="25" t="n">
        <f aca="false">CO723+CL723+CI723+CH723+CG723+CD723+CA723</f>
        <v>0</v>
      </c>
      <c r="CR723" s="26" t="n">
        <f aca="false">CP723/7</f>
        <v>0</v>
      </c>
      <c r="CS723" s="26" t="n">
        <f aca="false">CQ723/7</f>
        <v>0</v>
      </c>
      <c r="CT723" s="24" t="n">
        <f aca="false">RANK(CR723,$CR$2:$CR$881,0)</f>
        <v>768</v>
      </c>
      <c r="CU723" s="25" t="n">
        <f aca="false">RANK(CS723,$CS$2:$CS$881,0)</f>
        <v>752</v>
      </c>
      <c r="CV723" s="26" t="n">
        <f aca="false">(CS723+CR723)/2</f>
        <v>0</v>
      </c>
      <c r="CW723" s="25" t="n">
        <f aca="false">RANK(CV723,$CV$2:$CV$881,0)</f>
        <v>753</v>
      </c>
      <c r="CX723" s="50" t="n">
        <f aca="false">(CV723+BB723)/2</f>
        <v>40.2</v>
      </c>
      <c r="CY723" s="50" t="n">
        <v>751</v>
      </c>
      <c r="CZ723" s="27" t="s">
        <v>132</v>
      </c>
      <c r="DA723" s="27" t="s">
        <v>202</v>
      </c>
      <c r="DB723" s="27" t="s">
        <v>202</v>
      </c>
      <c r="DC723" s="27" t="s">
        <v>134</v>
      </c>
      <c r="DD723" s="27" t="s">
        <v>174</v>
      </c>
      <c r="DE723" s="27" t="s">
        <v>161</v>
      </c>
      <c r="DF723" s="27" t="s">
        <v>169</v>
      </c>
      <c r="DG723" s="27" t="s">
        <v>134</v>
      </c>
      <c r="DH723" s="27" t="s">
        <v>164</v>
      </c>
      <c r="DI723" s="27" t="s">
        <v>177</v>
      </c>
      <c r="DJ723" s="27" t="s">
        <v>178</v>
      </c>
      <c r="DK723" s="27" t="s">
        <v>134</v>
      </c>
      <c r="DL723" s="27" t="s">
        <v>164</v>
      </c>
      <c r="DM723" s="27" t="s">
        <v>447</v>
      </c>
      <c r="DN723" s="27" t="s">
        <v>219</v>
      </c>
      <c r="DO723" s="27" t="s">
        <v>134</v>
      </c>
      <c r="DP723" s="27" t="s">
        <v>154</v>
      </c>
      <c r="DQ723" s="27" t="s">
        <v>218</v>
      </c>
      <c r="DR723" s="27" t="s">
        <v>219</v>
      </c>
      <c r="DS723" s="27" t="s">
        <v>134</v>
      </c>
      <c r="DT723" s="27" t="s">
        <v>164</v>
      </c>
      <c r="DU723" s="27" t="s">
        <v>412</v>
      </c>
      <c r="DV723" s="27" t="s">
        <v>305</v>
      </c>
      <c r="DW723" s="27" t="s">
        <v>137</v>
      </c>
      <c r="DX723" s="27" t="s">
        <v>152</v>
      </c>
      <c r="DY723" s="27" t="s">
        <v>153</v>
      </c>
      <c r="DZ723" s="27" t="n">
        <f aca="false">DY723+DV723+DR723+DN723+DJ723+DF723+DB723</f>
        <v>584</v>
      </c>
      <c r="EA723" s="28" t="n">
        <f aca="false">DZ723/7</f>
        <v>83.4285714285714</v>
      </c>
      <c r="EB723" s="27" t="n">
        <f aca="false">RANK(EA723,$EA$2:$EA$881,0)</f>
        <v>253</v>
      </c>
      <c r="EC723" s="29" t="n">
        <f aca="false">DZ723+CQ723+CP723+AZ723</f>
        <v>1388</v>
      </c>
      <c r="ED723" s="30" t="n">
        <f aca="false">(EA723+CV723+BB723)/3</f>
        <v>54.6095238095238</v>
      </c>
      <c r="EE723" s="51" t="n">
        <f aca="false">ROUND(BE723,3)</f>
        <v>86.09</v>
      </c>
      <c r="EF723" s="51" t="n">
        <f aca="false">ROUND(CR723,3)</f>
        <v>0</v>
      </c>
      <c r="EG723" s="51" t="n">
        <f aca="false">ROUND(CS723,3)</f>
        <v>0</v>
      </c>
      <c r="EH723" s="51" t="n">
        <f aca="false">ROUND(EA723,3)</f>
        <v>83.429</v>
      </c>
      <c r="EI723" s="51" t="n">
        <f aca="false">ROUND(ED723,3)</f>
        <v>54.61</v>
      </c>
      <c r="EJ723" s="51" t="n">
        <f aca="false">ROUND(CV723,3)</f>
        <v>0</v>
      </c>
      <c r="EK723" s="0" t="n">
        <f aca="false">RANK(EI723,$EI$2:$EI$881,0)</f>
        <v>722</v>
      </c>
    </row>
    <row r="724" customFormat="false" ht="16.85" hidden="false" customHeight="false" outlineLevel="0" collapsed="false">
      <c r="A724" s="4" t="n">
        <v>1934</v>
      </c>
      <c r="B724" s="4" t="n">
        <v>209</v>
      </c>
      <c r="C724" s="27" t="s">
        <v>2067</v>
      </c>
      <c r="D724" s="31" t="n">
        <v>210</v>
      </c>
      <c r="E724" s="16" t="n">
        <v>230511981</v>
      </c>
      <c r="F724" s="56" t="s">
        <v>2068</v>
      </c>
      <c r="G724" s="22" t="s">
        <v>2069</v>
      </c>
      <c r="H724" s="22" t="s">
        <v>465</v>
      </c>
      <c r="I724" s="80"/>
      <c r="J724" s="16" t="n">
        <v>80</v>
      </c>
      <c r="K724" s="16" t="n">
        <v>76</v>
      </c>
      <c r="L724" s="34" t="n">
        <f aca="false">(K724*70)/100</f>
        <v>53.2</v>
      </c>
      <c r="M724" s="34" t="n">
        <f aca="false">ROUNDUP(L724,0)</f>
        <v>54</v>
      </c>
      <c r="N724" s="16" t="n">
        <v>29</v>
      </c>
      <c r="O724" s="34" t="n">
        <f aca="false">N724+L724</f>
        <v>82.2</v>
      </c>
      <c r="P724" s="34" t="n">
        <f aca="false">N724+M724</f>
        <v>83</v>
      </c>
      <c r="Q724" s="16" t="n">
        <v>82</v>
      </c>
      <c r="R724" s="16" t="n">
        <v>73</v>
      </c>
      <c r="S724" s="34" t="n">
        <f aca="false">(R724*70)/100</f>
        <v>51.1</v>
      </c>
      <c r="T724" s="34" t="n">
        <f aca="false">ROUNDUP(S724,0)</f>
        <v>52</v>
      </c>
      <c r="U724" s="16" t="n">
        <v>30</v>
      </c>
      <c r="V724" s="34" t="n">
        <f aca="false">U724+S724</f>
        <v>81.1</v>
      </c>
      <c r="W724" s="34" t="n">
        <f aca="false">U724+T724</f>
        <v>82</v>
      </c>
      <c r="X724" s="16" t="n">
        <v>62</v>
      </c>
      <c r="Y724" s="34" t="n">
        <f aca="false">(X724*70)/100</f>
        <v>43.4</v>
      </c>
      <c r="Z724" s="34" t="n">
        <f aca="false">ROUNDUP(Y724,0)</f>
        <v>44</v>
      </c>
      <c r="AA724" s="16" t="n">
        <v>29</v>
      </c>
      <c r="AB724" s="34" t="n">
        <f aca="false">AA724+Y724</f>
        <v>72.4</v>
      </c>
      <c r="AC724" s="34" t="n">
        <f aca="false">AA724+Z724</f>
        <v>73</v>
      </c>
      <c r="AD724" s="32" t="n">
        <f aca="false">X724+R724+Q724+K724+J724</f>
        <v>373</v>
      </c>
      <c r="AE724" s="16" t="n">
        <f aca="false">AD724/5</f>
        <v>74.6</v>
      </c>
      <c r="AF724" s="16" t="n">
        <v>66</v>
      </c>
      <c r="AG724" s="16" t="n">
        <v>78</v>
      </c>
      <c r="AH724" s="16" t="n">
        <v>92</v>
      </c>
      <c r="AI724" s="16" t="n">
        <v>78</v>
      </c>
      <c r="AJ724" s="16" t="n">
        <f aca="false">(AI724*70)/100</f>
        <v>54.6</v>
      </c>
      <c r="AK724" s="35" t="n">
        <f aca="false">ROUNDUP(AJ724,0)</f>
        <v>55</v>
      </c>
      <c r="AL724" s="16" t="n">
        <v>28</v>
      </c>
      <c r="AM724" s="16" t="n">
        <f aca="false">AL724+AJ724</f>
        <v>82.6</v>
      </c>
      <c r="AN724" s="16" t="n">
        <f aca="false">AL724+AK724</f>
        <v>83</v>
      </c>
      <c r="AO724" s="16" t="n">
        <v>75</v>
      </c>
      <c r="AP724" s="36" t="n">
        <f aca="false">(AO724*70)/100</f>
        <v>52.5</v>
      </c>
      <c r="AQ724" s="37" t="n">
        <f aca="false">ROUNDUP(AP724,0)</f>
        <v>53</v>
      </c>
      <c r="AR724" s="16" t="n">
        <v>26</v>
      </c>
      <c r="AS724" s="16" t="n">
        <f aca="false">AR724+AP724</f>
        <v>78.5</v>
      </c>
      <c r="AT724" s="16" t="n">
        <f aca="false">AR724+AQ724</f>
        <v>79</v>
      </c>
      <c r="AU724" s="16" t="n">
        <f aca="false">AO724+AF724+AI724+AH724+AG724</f>
        <v>389</v>
      </c>
      <c r="AV724" s="16" t="n">
        <f aca="false">(AO724+AF724+AI724+AH724+AG724)/5</f>
        <v>77.8</v>
      </c>
      <c r="AW724" s="36" t="n">
        <f aca="false">(AO724+AF724+AI724+AH724+AG724+X724+R724+Q724+K724+J724)</f>
        <v>762</v>
      </c>
      <c r="AX724" s="16" t="n">
        <f aca="false">AW724/10</f>
        <v>76.2</v>
      </c>
      <c r="AY724" s="16" t="n">
        <f aca="false">AS724+AF724+AM724+AH724+AG724+AB724+V724+Q724+O724+J724</f>
        <v>794.8</v>
      </c>
      <c r="AZ724" s="16" t="n">
        <f aca="false">AT724+AF724+AN724+AH724+AG724+AC724+W724+Q724+P724+J724</f>
        <v>798</v>
      </c>
      <c r="BA724" s="16" t="n">
        <f aca="false">AY724/10</f>
        <v>79.48</v>
      </c>
      <c r="BB724" s="16" t="n">
        <f aca="false">AZ724/10</f>
        <v>79.8</v>
      </c>
      <c r="BC724" s="16" t="n">
        <v>2371</v>
      </c>
      <c r="BD724" s="16" t="n">
        <f aca="false">RANK(AX724,$AX$2:$AX$881,0)</f>
        <v>600</v>
      </c>
      <c r="BE724" s="54" t="n">
        <f aca="false">((BC724*100)/2400)*0.4+(AX724*0.6)</f>
        <v>85.2366666666667</v>
      </c>
      <c r="BF724" s="16" t="n">
        <f aca="false">RANK(BE724,$BE$2:$BE$881,0)</f>
        <v>555</v>
      </c>
      <c r="BG724" s="39" t="n">
        <f aca="false">RANK(BB724,$BB$2:$BB$881,0)</f>
        <v>369</v>
      </c>
      <c r="BH724" s="39" t="n">
        <f aca="false">RANK(BC724,$BC$2:$BC$881,0)</f>
        <v>257</v>
      </c>
      <c r="BI724" s="22" t="s">
        <v>130</v>
      </c>
      <c r="BJ724" s="22" t="s">
        <v>129</v>
      </c>
      <c r="BK724" s="40" t="s">
        <v>509</v>
      </c>
      <c r="BL724" s="101" t="n">
        <v>7.5</v>
      </c>
      <c r="BM724" s="61"/>
      <c r="BN724" s="61"/>
      <c r="BO724" s="42" t="n">
        <v>25</v>
      </c>
      <c r="BP724" s="61"/>
      <c r="BQ724" s="61"/>
      <c r="BR724" s="42" t="n">
        <v>22</v>
      </c>
      <c r="BS724" s="80"/>
      <c r="BT724" s="80"/>
      <c r="BU724" s="80"/>
      <c r="BV724" s="137"/>
      <c r="BW724" s="61"/>
      <c r="BX724" s="107"/>
      <c r="BY724" s="130"/>
      <c r="BZ724" s="60"/>
      <c r="CA724" s="60"/>
      <c r="CB724" s="61"/>
      <c r="CC724" s="60"/>
      <c r="CD724" s="60"/>
      <c r="CE724" s="60"/>
      <c r="CF724" s="60"/>
      <c r="CG724" s="60"/>
      <c r="CH724" s="60"/>
      <c r="CI724" s="60"/>
      <c r="CJ724" s="60"/>
      <c r="CK724" s="60"/>
      <c r="CL724" s="61"/>
      <c r="CM724" s="60"/>
      <c r="CN724" s="60"/>
      <c r="CO724" s="60"/>
      <c r="CP724" s="25" t="n">
        <f aca="false">BX724+BW724+BV724+BU724+BT724+BQ724+BN724</f>
        <v>0</v>
      </c>
      <c r="CQ724" s="25" t="n">
        <f aca="false">CO724+CL724+CI724+CH724+CG724+CD724+CA724</f>
        <v>0</v>
      </c>
      <c r="CR724" s="26" t="n">
        <f aca="false">CP724/7</f>
        <v>0</v>
      </c>
      <c r="CS724" s="26" t="n">
        <f aca="false">CQ724/7</f>
        <v>0</v>
      </c>
      <c r="CT724" s="24" t="n">
        <f aca="false">RANK(CR724,$CR$2:$CR$881,0)</f>
        <v>768</v>
      </c>
      <c r="CU724" s="25" t="n">
        <f aca="false">RANK(CS724,$CS$2:$CS$881,0)</f>
        <v>752</v>
      </c>
      <c r="CV724" s="26" t="n">
        <f aca="false">(CS724+CR724)/2</f>
        <v>0</v>
      </c>
      <c r="CW724" s="25" t="n">
        <f aca="false">RANK(CV724,$CV$2:$CV$881,0)</f>
        <v>753</v>
      </c>
      <c r="CX724" s="50" t="n">
        <f aca="false">(CV724+BB724)/2</f>
        <v>39.9</v>
      </c>
      <c r="CY724" s="50" t="n">
        <v>765</v>
      </c>
      <c r="CZ724" s="27" t="s">
        <v>132</v>
      </c>
      <c r="DA724" s="27" t="s">
        <v>202</v>
      </c>
      <c r="DB724" s="27" t="s">
        <v>202</v>
      </c>
      <c r="DC724" s="27" t="s">
        <v>134</v>
      </c>
      <c r="DD724" s="27" t="s">
        <v>195</v>
      </c>
      <c r="DE724" s="27" t="s">
        <v>161</v>
      </c>
      <c r="DF724" s="27" t="s">
        <v>205</v>
      </c>
      <c r="DG724" s="27" t="s">
        <v>134</v>
      </c>
      <c r="DH724" s="27" t="s">
        <v>160</v>
      </c>
      <c r="DI724" s="27" t="s">
        <v>220</v>
      </c>
      <c r="DJ724" s="27" t="s">
        <v>209</v>
      </c>
      <c r="DK724" s="27" t="s">
        <v>134</v>
      </c>
      <c r="DL724" s="27" t="s">
        <v>137</v>
      </c>
      <c r="DM724" s="27" t="s">
        <v>306</v>
      </c>
      <c r="DN724" s="27" t="s">
        <v>196</v>
      </c>
      <c r="DO724" s="27" t="s">
        <v>134</v>
      </c>
      <c r="DP724" s="27" t="s">
        <v>182</v>
      </c>
      <c r="DQ724" s="27" t="s">
        <v>313</v>
      </c>
      <c r="DR724" s="27" t="s">
        <v>443</v>
      </c>
      <c r="DS724" s="27" t="s">
        <v>134</v>
      </c>
      <c r="DT724" s="27" t="s">
        <v>140</v>
      </c>
      <c r="DU724" s="27" t="s">
        <v>313</v>
      </c>
      <c r="DV724" s="27" t="s">
        <v>196</v>
      </c>
      <c r="DW724" s="27" t="s">
        <v>164</v>
      </c>
      <c r="DX724" s="27" t="s">
        <v>143</v>
      </c>
      <c r="DY724" s="27" t="s">
        <v>139</v>
      </c>
      <c r="DZ724" s="27" t="n">
        <f aca="false">DY724+DV724+DR724+DN724+DJ724+DF724+DB724</f>
        <v>585</v>
      </c>
      <c r="EA724" s="28" t="n">
        <f aca="false">DZ724/7</f>
        <v>83.5714285714286</v>
      </c>
      <c r="EB724" s="27" t="n">
        <f aca="false">RANK(EA724,$EA$2:$EA$881,0)</f>
        <v>249</v>
      </c>
      <c r="EC724" s="29" t="n">
        <f aca="false">DZ724+CQ724+CP724+AZ724</f>
        <v>1383</v>
      </c>
      <c r="ED724" s="30" t="n">
        <f aca="false">(EA724+CV724+BB724)/3</f>
        <v>54.4571428571429</v>
      </c>
      <c r="EE724" s="51" t="n">
        <f aca="false">ROUND(BE724,3)</f>
        <v>85.237</v>
      </c>
      <c r="EF724" s="51" t="n">
        <f aca="false">ROUND(CR724,3)</f>
        <v>0</v>
      </c>
      <c r="EG724" s="51" t="n">
        <f aca="false">ROUND(CS724,3)</f>
        <v>0</v>
      </c>
      <c r="EH724" s="51" t="n">
        <f aca="false">ROUND(EA724,3)</f>
        <v>83.571</v>
      </c>
      <c r="EI724" s="51" t="n">
        <f aca="false">ROUND(ED724,3)</f>
        <v>54.457</v>
      </c>
      <c r="EJ724" s="51" t="n">
        <f aca="false">ROUND(CV724,3)</f>
        <v>0</v>
      </c>
      <c r="EK724" s="0" t="n">
        <f aca="false">RANK(EI724,$EI$2:$EI$881,0)</f>
        <v>723</v>
      </c>
    </row>
    <row r="725" customFormat="false" ht="15" hidden="false" customHeight="false" outlineLevel="0" collapsed="false">
      <c r="A725" s="4" t="n">
        <v>8979</v>
      </c>
      <c r="B725" s="4" t="n">
        <v>198</v>
      </c>
      <c r="C725" s="27" t="s">
        <v>2070</v>
      </c>
      <c r="D725" s="31" t="n">
        <v>200</v>
      </c>
      <c r="E725" s="16" t="n">
        <v>230508796</v>
      </c>
      <c r="F725" s="56" t="s">
        <v>2071</v>
      </c>
      <c r="G725" s="22" t="s">
        <v>2072</v>
      </c>
      <c r="H725" s="22" t="s">
        <v>465</v>
      </c>
      <c r="I725" s="80"/>
      <c r="J725" s="16" t="n">
        <v>78</v>
      </c>
      <c r="K725" s="16" t="n">
        <v>60</v>
      </c>
      <c r="L725" s="34" t="n">
        <f aca="false">(K725*70)/100</f>
        <v>42</v>
      </c>
      <c r="M725" s="34" t="n">
        <f aca="false">ROUNDUP(L725,0)</f>
        <v>42</v>
      </c>
      <c r="N725" s="16" t="n">
        <v>27</v>
      </c>
      <c r="O725" s="34" t="n">
        <f aca="false">N725+L725</f>
        <v>69</v>
      </c>
      <c r="P725" s="34" t="n">
        <f aca="false">N725+M725</f>
        <v>69</v>
      </c>
      <c r="Q725" s="16" t="n">
        <v>77</v>
      </c>
      <c r="R725" s="16" t="n">
        <v>63</v>
      </c>
      <c r="S725" s="34" t="n">
        <f aca="false">(R725*70)/100</f>
        <v>44.1</v>
      </c>
      <c r="T725" s="34" t="n">
        <f aca="false">ROUNDUP(S725,0)</f>
        <v>45</v>
      </c>
      <c r="U725" s="16" t="n">
        <v>20</v>
      </c>
      <c r="V725" s="34" t="n">
        <f aca="false">U725+S725</f>
        <v>64.1</v>
      </c>
      <c r="W725" s="34" t="n">
        <f aca="false">U725+T725</f>
        <v>65</v>
      </c>
      <c r="X725" s="16" t="n">
        <v>78</v>
      </c>
      <c r="Y725" s="34" t="n">
        <f aca="false">(X725*70)/100</f>
        <v>54.6</v>
      </c>
      <c r="Z725" s="34" t="n">
        <f aca="false">ROUNDUP(Y725,0)</f>
        <v>55</v>
      </c>
      <c r="AA725" s="16" t="n">
        <v>28</v>
      </c>
      <c r="AB725" s="34" t="n">
        <f aca="false">AA725+Y725</f>
        <v>82.6</v>
      </c>
      <c r="AC725" s="34" t="n">
        <f aca="false">AA725+Z725</f>
        <v>83</v>
      </c>
      <c r="AD725" s="32" t="n">
        <f aca="false">X725+R725+Q725+K725+J725</f>
        <v>356</v>
      </c>
      <c r="AE725" s="16" t="n">
        <f aca="false">AD725/5</f>
        <v>71.2</v>
      </c>
      <c r="AF725" s="16" t="n">
        <v>77</v>
      </c>
      <c r="AG725" s="16" t="n">
        <v>84</v>
      </c>
      <c r="AH725" s="16" t="n">
        <v>94</v>
      </c>
      <c r="AI725" s="16" t="n">
        <v>94</v>
      </c>
      <c r="AJ725" s="16" t="n">
        <f aca="false">(AI725*70)/100</f>
        <v>65.8</v>
      </c>
      <c r="AK725" s="35" t="n">
        <f aca="false">ROUNDUP(AJ725,0)</f>
        <v>66</v>
      </c>
      <c r="AL725" s="16" t="n">
        <v>29</v>
      </c>
      <c r="AM725" s="16" t="n">
        <f aca="false">AL725+AJ725</f>
        <v>94.8</v>
      </c>
      <c r="AN725" s="16" t="n">
        <f aca="false">AL725+AK725</f>
        <v>95</v>
      </c>
      <c r="AO725" s="16" t="n">
        <v>71</v>
      </c>
      <c r="AP725" s="36" t="n">
        <f aca="false">(AO725*70)/100</f>
        <v>49.7</v>
      </c>
      <c r="AQ725" s="37" t="n">
        <f aca="false">ROUNDUP(AP725,0)</f>
        <v>50</v>
      </c>
      <c r="AR725" s="16" t="n">
        <v>30</v>
      </c>
      <c r="AS725" s="16" t="n">
        <f aca="false">AR725+AP725</f>
        <v>79.7</v>
      </c>
      <c r="AT725" s="16" t="n">
        <f aca="false">AR725+AQ725</f>
        <v>80</v>
      </c>
      <c r="AU725" s="16" t="n">
        <f aca="false">AO725+AF725+AI725+AH725+AG725</f>
        <v>420</v>
      </c>
      <c r="AV725" s="16" t="n">
        <f aca="false">(AO725+AF725+AI725+AH725+AG725)/5</f>
        <v>84</v>
      </c>
      <c r="AW725" s="36" t="n">
        <f aca="false">(AO725+AF725+AI725+AH725+AG725+X725+R725+Q725+K725+J725)</f>
        <v>776</v>
      </c>
      <c r="AX725" s="16" t="n">
        <f aca="false">AW725/10</f>
        <v>77.6</v>
      </c>
      <c r="AY725" s="16" t="n">
        <f aca="false">AS725+AF725+AM725+AH725+AG725+AB725+V725+Q725+O725+J725</f>
        <v>800.2</v>
      </c>
      <c r="AZ725" s="16" t="n">
        <f aca="false">AT725+AF725+AN725+AH725+AG725+AC725+W725+Q725+P725+J725</f>
        <v>802</v>
      </c>
      <c r="BA725" s="16" t="n">
        <f aca="false">AY725/10</f>
        <v>80.02</v>
      </c>
      <c r="BB725" s="16" t="n">
        <f aca="false">AZ725/10</f>
        <v>80.2</v>
      </c>
      <c r="BC725" s="16" t="n">
        <v>2388</v>
      </c>
      <c r="BD725" s="16" t="n">
        <f aca="false">RANK(AX725,$AX$2:$AX$881,0)</f>
        <v>444</v>
      </c>
      <c r="BE725" s="54" t="n">
        <f aca="false">((BC725*100)/2400)*0.4+(AX725*0.6)</f>
        <v>86.36</v>
      </c>
      <c r="BF725" s="16" t="n">
        <f aca="false">RANK(BE725,$BE$2:$BE$881,0)</f>
        <v>368</v>
      </c>
      <c r="BG725" s="39" t="n">
        <f aca="false">RANK(BB725,$BB$2:$BB$881,0)</f>
        <v>338</v>
      </c>
      <c r="BH725" s="39" t="n">
        <f aca="false">RANK(BC725,$BC$2:$BC$881,0)</f>
        <v>70</v>
      </c>
      <c r="BI725" s="22" t="s">
        <v>130</v>
      </c>
      <c r="BJ725" s="22" t="s">
        <v>129</v>
      </c>
      <c r="BK725" s="40" t="s">
        <v>131</v>
      </c>
      <c r="BL725" s="101" t="n">
        <v>8.5</v>
      </c>
      <c r="BM725" s="61"/>
      <c r="BN725" s="61"/>
      <c r="BO725" s="42" t="n">
        <v>22</v>
      </c>
      <c r="BP725" s="61"/>
      <c r="BQ725" s="61"/>
      <c r="BR725" s="74" t="n">
        <v>8</v>
      </c>
      <c r="BS725" s="80"/>
      <c r="BT725" s="80"/>
      <c r="BU725" s="80"/>
      <c r="BV725" s="137"/>
      <c r="BW725" s="61"/>
      <c r="BX725" s="107"/>
      <c r="BY725" s="130"/>
      <c r="BZ725" s="60"/>
      <c r="CA725" s="60"/>
      <c r="CB725" s="61"/>
      <c r="CC725" s="60"/>
      <c r="CD725" s="60"/>
      <c r="CE725" s="60"/>
      <c r="CF725" s="60"/>
      <c r="CG725" s="60"/>
      <c r="CH725" s="60"/>
      <c r="CI725" s="60"/>
      <c r="CJ725" s="60"/>
      <c r="CK725" s="60"/>
      <c r="CL725" s="61"/>
      <c r="CM725" s="60"/>
      <c r="CN725" s="60"/>
      <c r="CO725" s="60"/>
      <c r="CP725" s="25" t="n">
        <f aca="false">BX725+BW725+BV725+BU725+BT725+BQ725+BN725</f>
        <v>0</v>
      </c>
      <c r="CQ725" s="25" t="n">
        <f aca="false">CO725+CL725+CI725+CH725+CG725+CD725+CA725</f>
        <v>0</v>
      </c>
      <c r="CR725" s="26" t="n">
        <f aca="false">CP725/7</f>
        <v>0</v>
      </c>
      <c r="CS725" s="26" t="n">
        <f aca="false">CQ725/7</f>
        <v>0</v>
      </c>
      <c r="CT725" s="24" t="n">
        <f aca="false">RANK(CR725,$CR$2:$CR$881,0)</f>
        <v>768</v>
      </c>
      <c r="CU725" s="25" t="n">
        <f aca="false">RANK(CS725,$CS$2:$CS$881,0)</f>
        <v>752</v>
      </c>
      <c r="CV725" s="26" t="n">
        <f aca="false">(CS725+CR725)/2</f>
        <v>0</v>
      </c>
      <c r="CW725" s="25" t="n">
        <f aca="false">RANK(CV725,$CV$2:$CV$881,0)</f>
        <v>753</v>
      </c>
      <c r="CX725" s="50" t="n">
        <f aca="false">(CV725+BB725)/2</f>
        <v>40.1</v>
      </c>
      <c r="CY725" s="50" t="n">
        <v>757</v>
      </c>
      <c r="CZ725" s="27" t="s">
        <v>132</v>
      </c>
      <c r="DA725" s="27" t="s">
        <v>176</v>
      </c>
      <c r="DB725" s="27" t="s">
        <v>176</v>
      </c>
      <c r="DC725" s="27" t="s">
        <v>134</v>
      </c>
      <c r="DD725" s="27" t="s">
        <v>195</v>
      </c>
      <c r="DE725" s="27" t="s">
        <v>161</v>
      </c>
      <c r="DF725" s="27" t="s">
        <v>205</v>
      </c>
      <c r="DG725" s="27" t="s">
        <v>134</v>
      </c>
      <c r="DH725" s="27" t="s">
        <v>195</v>
      </c>
      <c r="DI725" s="27" t="s">
        <v>304</v>
      </c>
      <c r="DJ725" s="27" t="s">
        <v>441</v>
      </c>
      <c r="DK725" s="27" t="s">
        <v>134</v>
      </c>
      <c r="DL725" s="27" t="s">
        <v>182</v>
      </c>
      <c r="DM725" s="27" t="s">
        <v>313</v>
      </c>
      <c r="DN725" s="27" t="s">
        <v>443</v>
      </c>
      <c r="DO725" s="27" t="s">
        <v>134</v>
      </c>
      <c r="DP725" s="27" t="s">
        <v>485</v>
      </c>
      <c r="DQ725" s="27" t="s">
        <v>220</v>
      </c>
      <c r="DR725" s="27" t="s">
        <v>486</v>
      </c>
      <c r="DS725" s="27" t="s">
        <v>134</v>
      </c>
      <c r="DT725" s="27" t="s">
        <v>164</v>
      </c>
      <c r="DU725" s="27" t="s">
        <v>412</v>
      </c>
      <c r="DV725" s="27" t="s">
        <v>305</v>
      </c>
      <c r="DW725" s="27" t="s">
        <v>146</v>
      </c>
      <c r="DX725" s="27" t="s">
        <v>155</v>
      </c>
      <c r="DY725" s="27" t="s">
        <v>165</v>
      </c>
      <c r="DZ725" s="27" t="n">
        <f aca="false">DY725+DV725+DR725+DN725+DJ725+DF725+DB725</f>
        <v>576</v>
      </c>
      <c r="EA725" s="28" t="n">
        <f aca="false">DZ725/7</f>
        <v>82.2857142857143</v>
      </c>
      <c r="EB725" s="27" t="n">
        <f aca="false">RANK(EA725,$EA$2:$EA$881,0)</f>
        <v>304</v>
      </c>
      <c r="EC725" s="29" t="n">
        <f aca="false">DZ725+CQ725+CP725+AZ725</f>
        <v>1378</v>
      </c>
      <c r="ED725" s="30" t="n">
        <f aca="false">(EA725+CV725+BB725)/3</f>
        <v>54.1619047619048</v>
      </c>
      <c r="EE725" s="51" t="n">
        <f aca="false">ROUND(BE725,3)</f>
        <v>86.36</v>
      </c>
      <c r="EF725" s="51" t="n">
        <f aca="false">ROUND(CR725,3)</f>
        <v>0</v>
      </c>
      <c r="EG725" s="51" t="n">
        <f aca="false">ROUND(CS725,3)</f>
        <v>0</v>
      </c>
      <c r="EH725" s="51" t="n">
        <f aca="false">ROUND(EA725,3)</f>
        <v>82.286</v>
      </c>
      <c r="EI725" s="51" t="n">
        <f aca="false">ROUND(ED725,3)</f>
        <v>54.162</v>
      </c>
      <c r="EJ725" s="51" t="n">
        <f aca="false">ROUND(CV725,3)</f>
        <v>0</v>
      </c>
      <c r="EK725" s="0" t="n">
        <f aca="false">RANK(EI725,$EI$2:$EI$881,0)</f>
        <v>724</v>
      </c>
    </row>
    <row r="726" customFormat="false" ht="15" hidden="false" customHeight="false" outlineLevel="0" collapsed="false">
      <c r="A726" s="4" t="n">
        <v>1847</v>
      </c>
      <c r="B726" s="4" t="n">
        <v>391</v>
      </c>
      <c r="C726" s="27" t="s">
        <v>2073</v>
      </c>
      <c r="D726" s="31" t="n">
        <v>395</v>
      </c>
      <c r="E726" s="16" t="n">
        <v>230510922</v>
      </c>
      <c r="F726" s="56" t="s">
        <v>2074</v>
      </c>
      <c r="G726" s="22" t="s">
        <v>1608</v>
      </c>
      <c r="H726" s="22" t="s">
        <v>465</v>
      </c>
      <c r="I726" s="80"/>
      <c r="J726" s="16" t="n">
        <v>74</v>
      </c>
      <c r="K726" s="16" t="n">
        <v>69</v>
      </c>
      <c r="L726" s="34" t="n">
        <f aca="false">(K726*70)/100</f>
        <v>48.3</v>
      </c>
      <c r="M726" s="34" t="n">
        <f aca="false">ROUNDUP(L726,0)</f>
        <v>49</v>
      </c>
      <c r="N726" s="16" t="n">
        <v>30</v>
      </c>
      <c r="O726" s="34" t="n">
        <f aca="false">N726+L726</f>
        <v>78.3</v>
      </c>
      <c r="P726" s="34" t="n">
        <f aca="false">N726+M726</f>
        <v>79</v>
      </c>
      <c r="Q726" s="16" t="n">
        <v>81</v>
      </c>
      <c r="R726" s="16" t="n">
        <v>72</v>
      </c>
      <c r="S726" s="34" t="n">
        <f aca="false">(R726*70)/100</f>
        <v>50.4</v>
      </c>
      <c r="T726" s="34" t="n">
        <f aca="false">ROUNDUP(S726,0)</f>
        <v>51</v>
      </c>
      <c r="U726" s="16" t="n">
        <v>28</v>
      </c>
      <c r="V726" s="34" t="n">
        <f aca="false">U726+S726</f>
        <v>78.4</v>
      </c>
      <c r="W726" s="34" t="n">
        <f aca="false">U726+T726</f>
        <v>79</v>
      </c>
      <c r="X726" s="16" t="n">
        <v>73</v>
      </c>
      <c r="Y726" s="34" t="n">
        <f aca="false">(X726*70)/100</f>
        <v>51.1</v>
      </c>
      <c r="Z726" s="34" t="n">
        <f aca="false">ROUNDUP(Y726,0)</f>
        <v>52</v>
      </c>
      <c r="AA726" s="16" t="n">
        <v>27</v>
      </c>
      <c r="AB726" s="34" t="n">
        <f aca="false">AA726+Y726</f>
        <v>78.1</v>
      </c>
      <c r="AC726" s="34" t="n">
        <f aca="false">AA726+Z726</f>
        <v>79</v>
      </c>
      <c r="AD726" s="32" t="n">
        <f aca="false">X726+R726+Q726+K726+J726</f>
        <v>369</v>
      </c>
      <c r="AE726" s="16" t="n">
        <f aca="false">AD726/5</f>
        <v>73.8</v>
      </c>
      <c r="AF726" s="71" t="n">
        <v>57</v>
      </c>
      <c r="AG726" s="16" t="n">
        <v>86</v>
      </c>
      <c r="AH726" s="16" t="n">
        <v>88</v>
      </c>
      <c r="AI726" s="16" t="n">
        <v>95</v>
      </c>
      <c r="AJ726" s="16" t="n">
        <f aca="false">(AI726*70)/100</f>
        <v>66.5</v>
      </c>
      <c r="AK726" s="35" t="n">
        <f aca="false">ROUNDUP(AJ726,0)</f>
        <v>67</v>
      </c>
      <c r="AL726" s="16" t="n">
        <v>27</v>
      </c>
      <c r="AM726" s="16" t="n">
        <f aca="false">AL726+AJ726</f>
        <v>93.5</v>
      </c>
      <c r="AN726" s="16" t="n">
        <f aca="false">AL726+AK726</f>
        <v>94</v>
      </c>
      <c r="AO726" s="16" t="n">
        <v>69</v>
      </c>
      <c r="AP726" s="36" t="n">
        <f aca="false">(AO726*70)/100</f>
        <v>48.3</v>
      </c>
      <c r="AQ726" s="37" t="n">
        <f aca="false">ROUNDUP(AP726,0)</f>
        <v>49</v>
      </c>
      <c r="AR726" s="16" t="n">
        <v>22</v>
      </c>
      <c r="AS726" s="16" t="n">
        <f aca="false">AR726+AP726</f>
        <v>70.3</v>
      </c>
      <c r="AT726" s="16" t="n">
        <f aca="false">AR726+AQ726</f>
        <v>71</v>
      </c>
      <c r="AU726" s="16" t="n">
        <f aca="false">AO726+AF726+AI726+AH726+AG726</f>
        <v>395</v>
      </c>
      <c r="AV726" s="16" t="n">
        <f aca="false">(AO726+AF726+AI726+AH726+AG726)/5</f>
        <v>79</v>
      </c>
      <c r="AW726" s="36" t="n">
        <f aca="false">(AO726+AF726+AI726+AH726+AG726+X726+R726+Q726+K726+J726)</f>
        <v>764</v>
      </c>
      <c r="AX726" s="16" t="n">
        <f aca="false">AW726/10</f>
        <v>76.4</v>
      </c>
      <c r="AY726" s="16" t="n">
        <f aca="false">AS726+AF726+AM726+AH726+AG726+AB726+V726+Q726+O726+J726</f>
        <v>784.6</v>
      </c>
      <c r="AZ726" s="16" t="n">
        <f aca="false">AT726+AF726+AN726+AH726+AG726+AC726+W726+Q726+P726+J726</f>
        <v>788</v>
      </c>
      <c r="BA726" s="16" t="n">
        <f aca="false">AY726/10</f>
        <v>78.46</v>
      </c>
      <c r="BB726" s="16" t="n">
        <f aca="false">AZ726/10</f>
        <v>78.8</v>
      </c>
      <c r="BC726" s="16" t="n">
        <v>2362</v>
      </c>
      <c r="BD726" s="16" t="n">
        <f aca="false">RANK(AX726,$AX$2:$AX$881,0)</f>
        <v>577</v>
      </c>
      <c r="BE726" s="54" t="n">
        <f aca="false">((BC726*100)/2400)*0.4+(AX726*0.6)</f>
        <v>85.2066666666667</v>
      </c>
      <c r="BF726" s="16" t="n">
        <f aca="false">RANK(BE726,$BE$2:$BE$881,0)</f>
        <v>562</v>
      </c>
      <c r="BG726" s="39" t="n">
        <f aca="false">RANK(BB726,$BB$2:$BB$881,0)</f>
        <v>472</v>
      </c>
      <c r="BH726" s="39" t="n">
        <f aca="false">RANK(BC726,$BC$2:$BC$881,0)</f>
        <v>367</v>
      </c>
      <c r="BI726" s="22" t="s">
        <v>130</v>
      </c>
      <c r="BJ726" s="22" t="s">
        <v>129</v>
      </c>
      <c r="BK726" s="40" t="s">
        <v>509</v>
      </c>
      <c r="BL726" s="101" t="n">
        <v>8.5</v>
      </c>
      <c r="BM726" s="61"/>
      <c r="BN726" s="61"/>
      <c r="BO726" s="42" t="n">
        <v>28</v>
      </c>
      <c r="BP726" s="61"/>
      <c r="BQ726" s="61"/>
      <c r="BR726" s="74" t="n">
        <v>8</v>
      </c>
      <c r="BS726" s="80"/>
      <c r="BT726" s="80"/>
      <c r="BU726" s="80"/>
      <c r="BV726" s="137"/>
      <c r="BW726" s="61"/>
      <c r="BX726" s="107"/>
      <c r="BY726" s="65" t="n">
        <v>30</v>
      </c>
      <c r="BZ726" s="58" t="n">
        <v>55</v>
      </c>
      <c r="CA726" s="58" t="n">
        <v>85</v>
      </c>
      <c r="CB726" s="61"/>
      <c r="CC726" s="60"/>
      <c r="CD726" s="60"/>
      <c r="CE726" s="60"/>
      <c r="CF726" s="60"/>
      <c r="CG726" s="60"/>
      <c r="CH726" s="60"/>
      <c r="CI726" s="60"/>
      <c r="CJ726" s="60"/>
      <c r="CK726" s="60"/>
      <c r="CL726" s="61"/>
      <c r="CM726" s="60"/>
      <c r="CN726" s="60"/>
      <c r="CO726" s="60"/>
      <c r="CP726" s="25" t="n">
        <f aca="false">BX726+BW726+BV726+BU726+BT726+BQ726+BN726</f>
        <v>0</v>
      </c>
      <c r="CQ726" s="25" t="n">
        <f aca="false">CO726+CL726+CI726+CH726+CG726+CD726+CA726</f>
        <v>85</v>
      </c>
      <c r="CR726" s="26" t="n">
        <f aca="false">CP726/7</f>
        <v>0</v>
      </c>
      <c r="CS726" s="26" t="n">
        <f aca="false">CQ726/7</f>
        <v>12.1428571428571</v>
      </c>
      <c r="CT726" s="24" t="n">
        <f aca="false">RANK(CR726,$CR$2:$CR$881,0)</f>
        <v>768</v>
      </c>
      <c r="CU726" s="25" t="n">
        <f aca="false">RANK(CS726,$CS$2:$CS$881,0)</f>
        <v>737</v>
      </c>
      <c r="CV726" s="26" t="n">
        <f aca="false">(CS726+CR726)/2</f>
        <v>6.07142857142857</v>
      </c>
      <c r="CW726" s="25" t="n">
        <f aca="false">RANK(CV726,$CV$2:$CV$881,0)</f>
        <v>750</v>
      </c>
      <c r="CX726" s="50" t="n">
        <f aca="false">(CV726+BB726)/2</f>
        <v>42.4357142857143</v>
      </c>
      <c r="CY726" s="50" t="n">
        <v>794</v>
      </c>
      <c r="CZ726" s="27" t="s">
        <v>132</v>
      </c>
      <c r="DA726" s="27" t="s">
        <v>133</v>
      </c>
      <c r="DB726" s="27" t="s">
        <v>133</v>
      </c>
      <c r="DC726" s="27" t="s">
        <v>134</v>
      </c>
      <c r="DD726" s="27" t="s">
        <v>174</v>
      </c>
      <c r="DE726" s="27" t="s">
        <v>447</v>
      </c>
      <c r="DF726" s="27" t="s">
        <v>441</v>
      </c>
      <c r="DG726" s="27" t="s">
        <v>134</v>
      </c>
      <c r="DH726" s="27" t="s">
        <v>160</v>
      </c>
      <c r="DI726" s="27" t="s">
        <v>681</v>
      </c>
      <c r="DJ726" s="27" t="s">
        <v>372</v>
      </c>
      <c r="DK726" s="27" t="s">
        <v>134</v>
      </c>
      <c r="DL726" s="27" t="s">
        <v>135</v>
      </c>
      <c r="DM726" s="27" t="s">
        <v>313</v>
      </c>
      <c r="DN726" s="27" t="s">
        <v>382</v>
      </c>
      <c r="DO726" s="27" t="s">
        <v>134</v>
      </c>
      <c r="DP726" s="27" t="s">
        <v>154</v>
      </c>
      <c r="DQ726" s="27" t="s">
        <v>681</v>
      </c>
      <c r="DR726" s="27" t="s">
        <v>138</v>
      </c>
      <c r="DS726" s="27" t="s">
        <v>134</v>
      </c>
      <c r="DT726" s="27" t="s">
        <v>164</v>
      </c>
      <c r="DU726" s="27" t="s">
        <v>638</v>
      </c>
      <c r="DV726" s="27" t="s">
        <v>398</v>
      </c>
      <c r="DW726" s="27" t="s">
        <v>182</v>
      </c>
      <c r="DX726" s="27" t="s">
        <v>152</v>
      </c>
      <c r="DY726" s="27" t="s">
        <v>133</v>
      </c>
      <c r="DZ726" s="27" t="n">
        <f aca="false">DY726+DV726+DR726+DN726+DJ726+DF726+DB726</f>
        <v>543</v>
      </c>
      <c r="EA726" s="28" t="n">
        <f aca="false">DZ726/7</f>
        <v>77.5714285714286</v>
      </c>
      <c r="EB726" s="27" t="n">
        <f aca="false">RANK(EA726,$EA$2:$EA$881,0)</f>
        <v>475</v>
      </c>
      <c r="EC726" s="29" t="n">
        <f aca="false">DZ726+CQ726+CP726+AZ726</f>
        <v>1416</v>
      </c>
      <c r="ED726" s="30" t="n">
        <f aca="false">(EA726+CV726+BB726)/3</f>
        <v>54.147619047619</v>
      </c>
      <c r="EE726" s="51" t="n">
        <f aca="false">ROUND(BE726,3)</f>
        <v>85.207</v>
      </c>
      <c r="EF726" s="51" t="n">
        <f aca="false">ROUND(CR726,3)</f>
        <v>0</v>
      </c>
      <c r="EG726" s="51" t="n">
        <f aca="false">ROUND(CS726,3)</f>
        <v>12.143</v>
      </c>
      <c r="EH726" s="51" t="n">
        <f aca="false">ROUND(EA726,3)</f>
        <v>77.571</v>
      </c>
      <c r="EI726" s="51" t="n">
        <f aca="false">ROUND(ED726,3)</f>
        <v>54.148</v>
      </c>
      <c r="EJ726" s="51" t="n">
        <f aca="false">ROUND(CV726,3)</f>
        <v>6.071</v>
      </c>
      <c r="EK726" s="0" t="n">
        <f aca="false">RANK(EI726,$EI$2:$EI$881,0)</f>
        <v>725</v>
      </c>
    </row>
    <row r="727" customFormat="false" ht="15" hidden="false" customHeight="false" outlineLevel="0" collapsed="false">
      <c r="A727" s="4" t="n">
        <v>8775</v>
      </c>
      <c r="B727" s="4" t="n">
        <v>81</v>
      </c>
      <c r="C727" s="27" t="s">
        <v>2075</v>
      </c>
      <c r="D727" s="52" t="n">
        <v>82</v>
      </c>
      <c r="E727" s="16" t="n">
        <v>230510603</v>
      </c>
      <c r="F727" s="56" t="s">
        <v>2076</v>
      </c>
      <c r="G727" s="22" t="s">
        <v>2077</v>
      </c>
      <c r="H727" s="22" t="s">
        <v>465</v>
      </c>
      <c r="I727" s="80"/>
      <c r="J727" s="16" t="n">
        <v>87</v>
      </c>
      <c r="K727" s="16" t="n">
        <v>73</v>
      </c>
      <c r="L727" s="34" t="n">
        <f aca="false">(K727*70)/100</f>
        <v>51.1</v>
      </c>
      <c r="M727" s="34" t="n">
        <f aca="false">ROUNDUP(L727,0)</f>
        <v>52</v>
      </c>
      <c r="N727" s="16" t="n">
        <v>19</v>
      </c>
      <c r="O727" s="34" t="n">
        <f aca="false">N727+L727</f>
        <v>70.1</v>
      </c>
      <c r="P727" s="34" t="n">
        <f aca="false">N727+M727</f>
        <v>71</v>
      </c>
      <c r="Q727" s="16" t="n">
        <v>63</v>
      </c>
      <c r="R727" s="16" t="n">
        <v>73</v>
      </c>
      <c r="S727" s="34" t="n">
        <f aca="false">(R727*70)/100</f>
        <v>51.1</v>
      </c>
      <c r="T727" s="34" t="n">
        <f aca="false">ROUNDUP(S727,0)</f>
        <v>52</v>
      </c>
      <c r="U727" s="16" t="n">
        <v>22</v>
      </c>
      <c r="V727" s="34" t="n">
        <f aca="false">U727+S727</f>
        <v>73.1</v>
      </c>
      <c r="W727" s="34" t="n">
        <f aca="false">U727+T727</f>
        <v>74</v>
      </c>
      <c r="X727" s="16" t="n">
        <v>68</v>
      </c>
      <c r="Y727" s="34" t="n">
        <f aca="false">(X727*70)/100</f>
        <v>47.6</v>
      </c>
      <c r="Z727" s="34" t="n">
        <f aca="false">ROUNDUP(Y727,0)</f>
        <v>48</v>
      </c>
      <c r="AA727" s="16" t="n">
        <v>27</v>
      </c>
      <c r="AB727" s="34" t="n">
        <f aca="false">AA727+Y727</f>
        <v>74.6</v>
      </c>
      <c r="AC727" s="34" t="n">
        <f aca="false">AA727+Z727</f>
        <v>75</v>
      </c>
      <c r="AD727" s="32" t="n">
        <f aca="false">X727+R727+Q727+K727+J727</f>
        <v>364</v>
      </c>
      <c r="AE727" s="16" t="n">
        <f aca="false">AD727/5</f>
        <v>72.8</v>
      </c>
      <c r="AF727" s="16" t="n">
        <v>83</v>
      </c>
      <c r="AG727" s="16" t="n">
        <v>88</v>
      </c>
      <c r="AH727" s="16" t="n">
        <v>89</v>
      </c>
      <c r="AI727" s="16" t="n">
        <v>81</v>
      </c>
      <c r="AJ727" s="16" t="n">
        <f aca="false">(AI727*70)/100</f>
        <v>56.7</v>
      </c>
      <c r="AK727" s="35" t="n">
        <f aca="false">ROUNDUP(AJ727,0)</f>
        <v>57</v>
      </c>
      <c r="AL727" s="16" t="n">
        <v>18</v>
      </c>
      <c r="AM727" s="16" t="n">
        <f aca="false">AL727+AJ727</f>
        <v>74.7</v>
      </c>
      <c r="AN727" s="16" t="n">
        <f aca="false">AL727+AK727</f>
        <v>75</v>
      </c>
      <c r="AO727" s="16" t="n">
        <v>66</v>
      </c>
      <c r="AP727" s="36" t="n">
        <f aca="false">(AO727*70)/100</f>
        <v>46.2</v>
      </c>
      <c r="AQ727" s="37" t="n">
        <f aca="false">ROUNDUP(AP727,0)</f>
        <v>47</v>
      </c>
      <c r="AR727" s="16" t="n">
        <v>29</v>
      </c>
      <c r="AS727" s="16" t="n">
        <f aca="false">AR727+AP727</f>
        <v>75.2</v>
      </c>
      <c r="AT727" s="16" t="n">
        <f aca="false">AR727+AQ727</f>
        <v>76</v>
      </c>
      <c r="AU727" s="16" t="n">
        <f aca="false">AO727+AF727+AI727+AH727+AG727</f>
        <v>407</v>
      </c>
      <c r="AV727" s="16" t="n">
        <f aca="false">(AO727+AF727+AI727+AH727+AG727)/5</f>
        <v>81.4</v>
      </c>
      <c r="AW727" s="36" t="n">
        <f aca="false">(AO727+AF727+AI727+AH727+AG727+X727+R727+Q727+K727+J727)</f>
        <v>771</v>
      </c>
      <c r="AX727" s="16" t="n">
        <f aca="false">AW727/10</f>
        <v>77.1</v>
      </c>
      <c r="AY727" s="16" t="n">
        <f aca="false">AS727+AF727+AM727+AH727+AG727+AB727+V727+Q727+O727+J727</f>
        <v>777.7</v>
      </c>
      <c r="AZ727" s="16" t="n">
        <f aca="false">AT727+AF727+AN727+AH727+AG727+AC727+W727+Q727+P727+J727</f>
        <v>781</v>
      </c>
      <c r="BA727" s="16" t="n">
        <f aca="false">AY727/10</f>
        <v>77.77</v>
      </c>
      <c r="BB727" s="16" t="n">
        <f aca="false">AZ727/10</f>
        <v>78.1</v>
      </c>
      <c r="BC727" s="16" t="n">
        <v>2399</v>
      </c>
      <c r="BD727" s="16" t="n">
        <f aca="false">RANK(AX727,$AX$2:$AX$881,0)</f>
        <v>496</v>
      </c>
      <c r="BE727" s="54" t="n">
        <f aca="false">((BC727*100)/2400)*0.4+(AX727*0.6)</f>
        <v>86.2433333333333</v>
      </c>
      <c r="BF727" s="16" t="n">
        <f aca="false">RANK(BE727,$BE$2:$BE$881,0)</f>
        <v>395</v>
      </c>
      <c r="BG727" s="39" t="n">
        <f aca="false">RANK(BB727,$BB$2:$BB$881,0)</f>
        <v>552</v>
      </c>
      <c r="BH727" s="39" t="n">
        <f aca="false">RANK(BC727,$BC$2:$BC$881,0)</f>
        <v>5</v>
      </c>
      <c r="BI727" s="22" t="s">
        <v>130</v>
      </c>
      <c r="BJ727" s="22" t="s">
        <v>129</v>
      </c>
      <c r="BK727" s="40" t="s">
        <v>131</v>
      </c>
      <c r="BL727" s="101" t="n">
        <v>10.5</v>
      </c>
      <c r="BM727" s="61"/>
      <c r="BN727" s="61"/>
      <c r="BO727" s="42" t="n">
        <v>20</v>
      </c>
      <c r="BP727" s="61"/>
      <c r="BQ727" s="61"/>
      <c r="BR727" s="42" t="n">
        <v>22</v>
      </c>
      <c r="BS727" s="80"/>
      <c r="BT727" s="80"/>
      <c r="BU727" s="80"/>
      <c r="BV727" s="137"/>
      <c r="BW727" s="61"/>
      <c r="BX727" s="107"/>
      <c r="BY727" s="130"/>
      <c r="BZ727" s="60"/>
      <c r="CA727" s="60"/>
      <c r="CB727" s="61"/>
      <c r="CC727" s="60"/>
      <c r="CD727" s="60"/>
      <c r="CE727" s="60"/>
      <c r="CF727" s="60"/>
      <c r="CG727" s="60"/>
      <c r="CH727" s="60"/>
      <c r="CI727" s="60"/>
      <c r="CJ727" s="60"/>
      <c r="CK727" s="60"/>
      <c r="CL727" s="61"/>
      <c r="CM727" s="60"/>
      <c r="CN727" s="60"/>
      <c r="CO727" s="60"/>
      <c r="CP727" s="25" t="n">
        <f aca="false">BX727+BW727+BV727+BU727+BT727+BQ727+BN727</f>
        <v>0</v>
      </c>
      <c r="CQ727" s="25" t="n">
        <f aca="false">CO727+CL727+CI727+CH727+CG727+CD727+CA727</f>
        <v>0</v>
      </c>
      <c r="CR727" s="26" t="n">
        <f aca="false">CP727/7</f>
        <v>0</v>
      </c>
      <c r="CS727" s="26" t="n">
        <f aca="false">CQ727/7</f>
        <v>0</v>
      </c>
      <c r="CT727" s="24" t="n">
        <f aca="false">RANK(CR727,$CR$2:$CR$881,0)</f>
        <v>768</v>
      </c>
      <c r="CU727" s="25" t="n">
        <f aca="false">RANK(CS727,$CS$2:$CS$881,0)</f>
        <v>752</v>
      </c>
      <c r="CV727" s="26" t="n">
        <f aca="false">(CS727+CR727)/2</f>
        <v>0</v>
      </c>
      <c r="CW727" s="25" t="n">
        <f aca="false">RANK(CV727,$CV$2:$CV$881,0)</f>
        <v>753</v>
      </c>
      <c r="CX727" s="50" t="n">
        <f aca="false">(CV727+BB727)/2</f>
        <v>39.05</v>
      </c>
      <c r="CY727" s="50" t="n">
        <v>817</v>
      </c>
      <c r="CZ727" s="27" t="s">
        <v>132</v>
      </c>
      <c r="DA727" s="27" t="s">
        <v>219</v>
      </c>
      <c r="DB727" s="27" t="s">
        <v>219</v>
      </c>
      <c r="DC727" s="27" t="s">
        <v>134</v>
      </c>
      <c r="DD727" s="27" t="s">
        <v>137</v>
      </c>
      <c r="DE727" s="27" t="s">
        <v>220</v>
      </c>
      <c r="DF727" s="27" t="s">
        <v>205</v>
      </c>
      <c r="DG727" s="27" t="s">
        <v>134</v>
      </c>
      <c r="DH727" s="27" t="s">
        <v>146</v>
      </c>
      <c r="DI727" s="27" t="s">
        <v>204</v>
      </c>
      <c r="DJ727" s="27" t="s">
        <v>162</v>
      </c>
      <c r="DK727" s="27" t="s">
        <v>134</v>
      </c>
      <c r="DL727" s="27" t="s">
        <v>137</v>
      </c>
      <c r="DM727" s="27" t="s">
        <v>177</v>
      </c>
      <c r="DN727" s="27" t="s">
        <v>202</v>
      </c>
      <c r="DO727" s="27" t="s">
        <v>134</v>
      </c>
      <c r="DP727" s="27" t="s">
        <v>264</v>
      </c>
      <c r="DQ727" s="27" t="s">
        <v>375</v>
      </c>
      <c r="DR727" s="27" t="s">
        <v>138</v>
      </c>
      <c r="DS727" s="27" t="s">
        <v>134</v>
      </c>
      <c r="DT727" s="27" t="s">
        <v>164</v>
      </c>
      <c r="DU727" s="27" t="s">
        <v>306</v>
      </c>
      <c r="DV727" s="27" t="s">
        <v>205</v>
      </c>
      <c r="DW727" s="27" t="s">
        <v>160</v>
      </c>
      <c r="DX727" s="27" t="s">
        <v>155</v>
      </c>
      <c r="DY727" s="27" t="s">
        <v>145</v>
      </c>
      <c r="DZ727" s="27" t="n">
        <f aca="false">DY727+DV727+DR727+DN727+DJ727+DF727+DB727</f>
        <v>586</v>
      </c>
      <c r="EA727" s="28" t="n">
        <f aca="false">DZ727/7</f>
        <v>83.7142857142857</v>
      </c>
      <c r="EB727" s="27" t="n">
        <f aca="false">RANK(EA727,$EA$2:$EA$881,0)</f>
        <v>237</v>
      </c>
      <c r="EC727" s="29" t="n">
        <f aca="false">DZ727+CQ727+CP727+AZ727</f>
        <v>1367</v>
      </c>
      <c r="ED727" s="30" t="n">
        <f aca="false">(EA727+CV727+BB727)/3</f>
        <v>53.9380952380952</v>
      </c>
      <c r="EE727" s="51" t="n">
        <f aca="false">ROUND(BE727,3)</f>
        <v>86.243</v>
      </c>
      <c r="EF727" s="51" t="n">
        <f aca="false">ROUND(CR727,3)</f>
        <v>0</v>
      </c>
      <c r="EG727" s="51" t="n">
        <f aca="false">ROUND(CS727,3)</f>
        <v>0</v>
      </c>
      <c r="EH727" s="51" t="n">
        <f aca="false">ROUND(EA727,3)</f>
        <v>83.714</v>
      </c>
      <c r="EI727" s="51" t="n">
        <f aca="false">ROUND(ED727,3)</f>
        <v>53.938</v>
      </c>
      <c r="EJ727" s="51" t="n">
        <f aca="false">ROUND(CV727,3)</f>
        <v>0</v>
      </c>
      <c r="EK727" s="0" t="n">
        <f aca="false">RANK(EI727,$EI$2:$EI$881,0)</f>
        <v>726</v>
      </c>
    </row>
    <row r="728" customFormat="false" ht="15" hidden="false" customHeight="false" outlineLevel="0" collapsed="false">
      <c r="A728" s="4" t="n">
        <v>2012</v>
      </c>
      <c r="B728" s="4" t="n">
        <v>98</v>
      </c>
      <c r="C728" s="27" t="s">
        <v>2078</v>
      </c>
      <c r="D728" s="52" t="n">
        <v>98</v>
      </c>
      <c r="E728" s="16" t="n">
        <v>230514169</v>
      </c>
      <c r="F728" s="56" t="s">
        <v>2079</v>
      </c>
      <c r="G728" s="22" t="s">
        <v>2080</v>
      </c>
      <c r="H728" s="22" t="s">
        <v>465</v>
      </c>
      <c r="I728" s="80"/>
      <c r="J728" s="16" t="n">
        <v>75</v>
      </c>
      <c r="K728" s="16" t="n">
        <v>87</v>
      </c>
      <c r="L728" s="34" t="n">
        <f aca="false">(K728*70)/100</f>
        <v>60.9</v>
      </c>
      <c r="M728" s="34" t="n">
        <f aca="false">ROUNDUP(L728,0)</f>
        <v>61</v>
      </c>
      <c r="N728" s="16" t="n">
        <v>29</v>
      </c>
      <c r="O728" s="34" t="n">
        <f aca="false">N728+L728</f>
        <v>89.9</v>
      </c>
      <c r="P728" s="34" t="n">
        <f aca="false">N728+M728</f>
        <v>90</v>
      </c>
      <c r="Q728" s="16" t="n">
        <v>75</v>
      </c>
      <c r="R728" s="16" t="n">
        <v>74</v>
      </c>
      <c r="S728" s="34" t="n">
        <f aca="false">(R728*70)/100</f>
        <v>51.8</v>
      </c>
      <c r="T728" s="34" t="n">
        <f aca="false">ROUNDUP(S728,0)</f>
        <v>52</v>
      </c>
      <c r="U728" s="16" t="n">
        <v>24</v>
      </c>
      <c r="V728" s="34" t="n">
        <f aca="false">U728+S728</f>
        <v>75.8</v>
      </c>
      <c r="W728" s="34" t="n">
        <f aca="false">U728+T728</f>
        <v>76</v>
      </c>
      <c r="X728" s="16" t="n">
        <v>60</v>
      </c>
      <c r="Y728" s="34" t="n">
        <f aca="false">(X728*70)/100</f>
        <v>42</v>
      </c>
      <c r="Z728" s="34" t="n">
        <f aca="false">ROUNDUP(Y728,0)</f>
        <v>42</v>
      </c>
      <c r="AA728" s="16" t="n">
        <v>27</v>
      </c>
      <c r="AB728" s="34" t="n">
        <f aca="false">AA728+Y728</f>
        <v>69</v>
      </c>
      <c r="AC728" s="34" t="n">
        <f aca="false">AA728+Z728</f>
        <v>69</v>
      </c>
      <c r="AD728" s="32" t="n">
        <f aca="false">X728+R728+Q728+K728+J728</f>
        <v>371</v>
      </c>
      <c r="AE728" s="16" t="n">
        <f aca="false">AD728/5</f>
        <v>74.2</v>
      </c>
      <c r="AF728" s="16" t="n">
        <v>75</v>
      </c>
      <c r="AG728" s="16" t="n">
        <v>80</v>
      </c>
      <c r="AH728" s="16" t="n">
        <v>90</v>
      </c>
      <c r="AI728" s="16" t="n">
        <v>91</v>
      </c>
      <c r="AJ728" s="16" t="n">
        <f aca="false">(AI728*70)/100</f>
        <v>63.7</v>
      </c>
      <c r="AK728" s="35" t="n">
        <f aca="false">ROUNDUP(AJ728,0)</f>
        <v>64</v>
      </c>
      <c r="AL728" s="16" t="n">
        <v>24</v>
      </c>
      <c r="AM728" s="16" t="n">
        <f aca="false">AL728+AJ728</f>
        <v>87.7</v>
      </c>
      <c r="AN728" s="16" t="n">
        <f aca="false">AL728+AK728</f>
        <v>88</v>
      </c>
      <c r="AO728" s="16" t="n">
        <v>74</v>
      </c>
      <c r="AP728" s="36" t="n">
        <f aca="false">(AO728*70)/100</f>
        <v>51.8</v>
      </c>
      <c r="AQ728" s="37" t="n">
        <f aca="false">ROUNDUP(AP728,0)</f>
        <v>52</v>
      </c>
      <c r="AR728" s="16" t="n">
        <v>23</v>
      </c>
      <c r="AS728" s="16" t="n">
        <f aca="false">AR728+AP728</f>
        <v>74.8</v>
      </c>
      <c r="AT728" s="16" t="n">
        <f aca="false">AR728+AQ728</f>
        <v>75</v>
      </c>
      <c r="AU728" s="16" t="n">
        <f aca="false">AO728+AF728+AI728+AH728+AG728</f>
        <v>410</v>
      </c>
      <c r="AV728" s="16" t="n">
        <f aca="false">(AO728+AF728+AI728+AH728+AG728)/5</f>
        <v>82</v>
      </c>
      <c r="AW728" s="36" t="n">
        <f aca="false">(AO728+AF728+AI728+AH728+AG728+X728+R728+Q728+K728+J728)</f>
        <v>781</v>
      </c>
      <c r="AX728" s="16" t="n">
        <f aca="false">AW728/10</f>
        <v>78.1</v>
      </c>
      <c r="AY728" s="16" t="n">
        <f aca="false">AS728+AF728+AM728+AH728+AG728+AB728+V728+Q728+O728+J728</f>
        <v>792.2</v>
      </c>
      <c r="AZ728" s="16" t="n">
        <f aca="false">AT728+AF728+AN728+AH728+AG728+AC728+W728+Q728+P728+J728</f>
        <v>793</v>
      </c>
      <c r="BA728" s="16" t="n">
        <f aca="false">AY728/10</f>
        <v>79.22</v>
      </c>
      <c r="BB728" s="16" t="n">
        <f aca="false">AZ728/10</f>
        <v>79.3</v>
      </c>
      <c r="BC728" s="16" t="n">
        <v>2338</v>
      </c>
      <c r="BD728" s="16" t="n">
        <f aca="false">RANK(AX728,$AX$2:$AX$881,0)</f>
        <v>402</v>
      </c>
      <c r="BE728" s="54" t="n">
        <f aca="false">((BC728*100)/2400)*0.4+(AX728*0.6)</f>
        <v>85.8266666666667</v>
      </c>
      <c r="BF728" s="16" t="n">
        <f aca="false">RANK(BE728,$BE$2:$BE$881,0)</f>
        <v>457</v>
      </c>
      <c r="BG728" s="39" t="n">
        <f aca="false">RANK(BB728,$BB$2:$BB$881,0)</f>
        <v>424</v>
      </c>
      <c r="BH728" s="39" t="n">
        <f aca="false">RANK(BC728,$BC$2:$BC$881,0)</f>
        <v>649</v>
      </c>
      <c r="BI728" s="22" t="s">
        <v>130</v>
      </c>
      <c r="BJ728" s="22" t="s">
        <v>129</v>
      </c>
      <c r="BK728" s="40" t="s">
        <v>509</v>
      </c>
      <c r="BL728" s="105" t="n">
        <v>13.5</v>
      </c>
      <c r="BM728" s="61"/>
      <c r="BN728" s="61"/>
      <c r="BO728" s="42" t="n">
        <v>24</v>
      </c>
      <c r="BP728" s="61"/>
      <c r="BQ728" s="61"/>
      <c r="BR728" s="42" t="n">
        <v>23</v>
      </c>
      <c r="BS728" s="80"/>
      <c r="BT728" s="80"/>
      <c r="BU728" s="80"/>
      <c r="BV728" s="137"/>
      <c r="BW728" s="61"/>
      <c r="BX728" s="107"/>
      <c r="BY728" s="130"/>
      <c r="BZ728" s="60"/>
      <c r="CA728" s="60"/>
      <c r="CB728" s="61"/>
      <c r="CC728" s="60"/>
      <c r="CD728" s="60"/>
      <c r="CE728" s="60"/>
      <c r="CF728" s="60"/>
      <c r="CG728" s="60"/>
      <c r="CH728" s="60"/>
      <c r="CI728" s="60"/>
      <c r="CJ728" s="60"/>
      <c r="CK728" s="60"/>
      <c r="CL728" s="61"/>
      <c r="CM728" s="60"/>
      <c r="CN728" s="60"/>
      <c r="CO728" s="60"/>
      <c r="CP728" s="25" t="n">
        <f aca="false">BX728+BW728+BV728+BU728+BT728+BQ728+BN728</f>
        <v>0</v>
      </c>
      <c r="CQ728" s="25" t="n">
        <f aca="false">CO728+CL728+CI728+CH728+CG728+CD728+CA728</f>
        <v>0</v>
      </c>
      <c r="CR728" s="26" t="n">
        <f aca="false">CP728/7</f>
        <v>0</v>
      </c>
      <c r="CS728" s="26" t="n">
        <f aca="false">CQ728/7</f>
        <v>0</v>
      </c>
      <c r="CT728" s="24" t="n">
        <f aca="false">RANK(CR728,$CR$2:$CR$881,0)</f>
        <v>768</v>
      </c>
      <c r="CU728" s="25" t="n">
        <f aca="false">RANK(CS728,$CS$2:$CS$881,0)</f>
        <v>752</v>
      </c>
      <c r="CV728" s="26" t="n">
        <f aca="false">(CS728+CR728)/2</f>
        <v>0</v>
      </c>
      <c r="CW728" s="25" t="n">
        <f aca="false">RANK(CV728,$CV$2:$CV$881,0)</f>
        <v>753</v>
      </c>
      <c r="CX728" s="50" t="n">
        <f aca="false">(CV728+BB728)/2</f>
        <v>39.65</v>
      </c>
      <c r="CY728" s="50" t="n">
        <v>779</v>
      </c>
      <c r="CZ728" s="27" t="s">
        <v>132</v>
      </c>
      <c r="DA728" s="27" t="s">
        <v>219</v>
      </c>
      <c r="DB728" s="27" t="s">
        <v>219</v>
      </c>
      <c r="DC728" s="27" t="s">
        <v>134</v>
      </c>
      <c r="DD728" s="27" t="s">
        <v>182</v>
      </c>
      <c r="DE728" s="27" t="s">
        <v>313</v>
      </c>
      <c r="DF728" s="27" t="s">
        <v>443</v>
      </c>
      <c r="DG728" s="27" t="s">
        <v>134</v>
      </c>
      <c r="DH728" s="27" t="s">
        <v>164</v>
      </c>
      <c r="DI728" s="27" t="s">
        <v>203</v>
      </c>
      <c r="DJ728" s="27" t="s">
        <v>162</v>
      </c>
      <c r="DK728" s="27" t="s">
        <v>134</v>
      </c>
      <c r="DL728" s="27" t="s">
        <v>164</v>
      </c>
      <c r="DM728" s="27" t="s">
        <v>306</v>
      </c>
      <c r="DN728" s="27" t="s">
        <v>205</v>
      </c>
      <c r="DO728" s="27" t="s">
        <v>134</v>
      </c>
      <c r="DP728" s="27" t="s">
        <v>195</v>
      </c>
      <c r="DQ728" s="27" t="s">
        <v>220</v>
      </c>
      <c r="DR728" s="27" t="s">
        <v>382</v>
      </c>
      <c r="DS728" s="27" t="s">
        <v>134</v>
      </c>
      <c r="DT728" s="27" t="s">
        <v>135</v>
      </c>
      <c r="DU728" s="27" t="s">
        <v>220</v>
      </c>
      <c r="DV728" s="27" t="s">
        <v>196</v>
      </c>
      <c r="DW728" s="27" t="s">
        <v>182</v>
      </c>
      <c r="DX728" s="27" t="s">
        <v>143</v>
      </c>
      <c r="DY728" s="27" t="s">
        <v>176</v>
      </c>
      <c r="DZ728" s="27" t="n">
        <f aca="false">DY728+DV728+DR728+DN728+DJ728+DF728+DB728</f>
        <v>577</v>
      </c>
      <c r="EA728" s="28" t="n">
        <f aca="false">DZ728/7</f>
        <v>82.4285714285714</v>
      </c>
      <c r="EB728" s="27" t="n">
        <f aca="false">RANK(EA728,$EA$2:$EA$881,0)</f>
        <v>295</v>
      </c>
      <c r="EC728" s="29" t="n">
        <f aca="false">DZ728+CQ728+CP728+AZ728</f>
        <v>1370</v>
      </c>
      <c r="ED728" s="30" t="n">
        <f aca="false">(EA728+CV728+BB728)/3</f>
        <v>53.9095238095238</v>
      </c>
      <c r="EE728" s="51" t="n">
        <f aca="false">ROUND(BE728,3)</f>
        <v>85.827</v>
      </c>
      <c r="EF728" s="51" t="n">
        <f aca="false">ROUND(CR728,3)</f>
        <v>0</v>
      </c>
      <c r="EG728" s="51" t="n">
        <f aca="false">ROUND(CS728,3)</f>
        <v>0</v>
      </c>
      <c r="EH728" s="51" t="n">
        <f aca="false">ROUND(EA728,3)</f>
        <v>82.429</v>
      </c>
      <c r="EI728" s="51" t="n">
        <f aca="false">ROUND(ED728,3)</f>
        <v>53.91</v>
      </c>
      <c r="EJ728" s="51" t="n">
        <f aca="false">ROUND(CV728,3)</f>
        <v>0</v>
      </c>
      <c r="EK728" s="0" t="n">
        <f aca="false">RANK(EI728,$EI$2:$EI$881,0)</f>
        <v>727</v>
      </c>
    </row>
    <row r="729" customFormat="false" ht="15" hidden="false" customHeight="false" outlineLevel="0" collapsed="false">
      <c r="A729" s="4" t="n">
        <v>2087</v>
      </c>
      <c r="B729" s="4" t="n">
        <v>53</v>
      </c>
      <c r="C729" s="27" t="s">
        <v>2081</v>
      </c>
      <c r="D729" s="52" t="n">
        <v>55</v>
      </c>
      <c r="E729" s="16" t="n">
        <v>230514376</v>
      </c>
      <c r="F729" s="56" t="s">
        <v>2082</v>
      </c>
      <c r="G729" s="22" t="s">
        <v>529</v>
      </c>
      <c r="H729" s="22" t="s">
        <v>465</v>
      </c>
      <c r="I729" s="80"/>
      <c r="J729" s="16" t="n">
        <v>76</v>
      </c>
      <c r="K729" s="16" t="n">
        <v>73</v>
      </c>
      <c r="L729" s="34" t="n">
        <f aca="false">(K729*70)/100</f>
        <v>51.1</v>
      </c>
      <c r="M729" s="34" t="n">
        <f aca="false">ROUNDUP(L729,0)</f>
        <v>52</v>
      </c>
      <c r="N729" s="16" t="n">
        <v>26</v>
      </c>
      <c r="O729" s="34" t="n">
        <f aca="false">N729+L729</f>
        <v>77.1</v>
      </c>
      <c r="P729" s="34" t="n">
        <f aca="false">N729+M729</f>
        <v>78</v>
      </c>
      <c r="Q729" s="16" t="n">
        <v>68</v>
      </c>
      <c r="R729" s="16" t="n">
        <v>74</v>
      </c>
      <c r="S729" s="34" t="n">
        <f aca="false">(R729*70)/100</f>
        <v>51.8</v>
      </c>
      <c r="T729" s="34" t="n">
        <f aca="false">ROUNDUP(S729,0)</f>
        <v>52</v>
      </c>
      <c r="U729" s="16" t="n">
        <v>25</v>
      </c>
      <c r="V729" s="34" t="n">
        <f aca="false">U729+S729</f>
        <v>76.8</v>
      </c>
      <c r="W729" s="34" t="n">
        <f aca="false">U729+T729</f>
        <v>77</v>
      </c>
      <c r="X729" s="16" t="n">
        <v>68</v>
      </c>
      <c r="Y729" s="34" t="n">
        <f aca="false">(X729*70)/100</f>
        <v>47.6</v>
      </c>
      <c r="Z729" s="34" t="n">
        <f aca="false">ROUNDUP(Y729,0)</f>
        <v>48</v>
      </c>
      <c r="AA729" s="16" t="n">
        <v>28</v>
      </c>
      <c r="AB729" s="34" t="n">
        <f aca="false">AA729+Y729</f>
        <v>75.6</v>
      </c>
      <c r="AC729" s="34" t="n">
        <f aca="false">AA729+Z729</f>
        <v>76</v>
      </c>
      <c r="AD729" s="32" t="n">
        <f aca="false">X729+R729+Q729+K729+J729</f>
        <v>359</v>
      </c>
      <c r="AE729" s="16" t="n">
        <f aca="false">AD729/5</f>
        <v>71.8</v>
      </c>
      <c r="AF729" s="16" t="n">
        <v>66</v>
      </c>
      <c r="AG729" s="16" t="n">
        <v>80</v>
      </c>
      <c r="AH729" s="16" t="n">
        <v>93</v>
      </c>
      <c r="AI729" s="16" t="n">
        <v>86</v>
      </c>
      <c r="AJ729" s="16" t="n">
        <f aca="false">(AI729*70)/100</f>
        <v>60.2</v>
      </c>
      <c r="AK729" s="35" t="n">
        <f aca="false">ROUNDUP(AJ729,0)</f>
        <v>61</v>
      </c>
      <c r="AL729" s="16" t="n">
        <v>22</v>
      </c>
      <c r="AM729" s="16" t="n">
        <f aca="false">AL729+AJ729</f>
        <v>82.2</v>
      </c>
      <c r="AN729" s="16" t="n">
        <f aca="false">AL729+AK729</f>
        <v>83</v>
      </c>
      <c r="AO729" s="16" t="n">
        <v>80</v>
      </c>
      <c r="AP729" s="36" t="n">
        <f aca="false">(AO729*70)/100</f>
        <v>56</v>
      </c>
      <c r="AQ729" s="37" t="n">
        <f aca="false">ROUNDUP(AP729,0)</f>
        <v>56</v>
      </c>
      <c r="AR729" s="16" t="n">
        <v>27</v>
      </c>
      <c r="AS729" s="16" t="n">
        <f aca="false">AR729+AP729</f>
        <v>83</v>
      </c>
      <c r="AT729" s="16" t="n">
        <f aca="false">AR729+AQ729</f>
        <v>83</v>
      </c>
      <c r="AU729" s="16" t="n">
        <f aca="false">AO729+AF729+AI729+AH729+AG729</f>
        <v>405</v>
      </c>
      <c r="AV729" s="16" t="n">
        <f aca="false">(AO729+AF729+AI729+AH729+AG729)/5</f>
        <v>81</v>
      </c>
      <c r="AW729" s="36" t="n">
        <f aca="false">(AO729+AF729+AI729+AH729+AG729+X729+R729+Q729+K729+J729)</f>
        <v>764</v>
      </c>
      <c r="AX729" s="16" t="n">
        <f aca="false">AW729/10</f>
        <v>76.4</v>
      </c>
      <c r="AY729" s="16" t="n">
        <f aca="false">AS729+AF729+AM729+AH729+AG729+AB729+V729+Q729+O729+J729</f>
        <v>777.7</v>
      </c>
      <c r="AZ729" s="16" t="n">
        <f aca="false">AT729+AF729+AN729+AH729+AG729+AC729+W729+Q729+P729+J729</f>
        <v>780</v>
      </c>
      <c r="BA729" s="16" t="n">
        <f aca="false">AY729/10</f>
        <v>77.77</v>
      </c>
      <c r="BB729" s="16" t="n">
        <f aca="false">AZ729/10</f>
        <v>78</v>
      </c>
      <c r="BC729" s="16" t="n">
        <v>2378</v>
      </c>
      <c r="BD729" s="16" t="n">
        <f aca="false">RANK(AX729,$AX$2:$AX$881,0)</f>
        <v>577</v>
      </c>
      <c r="BE729" s="54" t="n">
        <f aca="false">((BC729*100)/2400)*0.4+(AX729*0.6)</f>
        <v>85.4733333333333</v>
      </c>
      <c r="BF729" s="16" t="n">
        <f aca="false">RANK(BE729,$BE$2:$BE$881,0)</f>
        <v>513</v>
      </c>
      <c r="BG729" s="39" t="n">
        <f aca="false">RANK(BB729,$BB$2:$BB$881,0)</f>
        <v>558</v>
      </c>
      <c r="BH729" s="39" t="n">
        <f aca="false">RANK(BC729,$BC$2:$BC$881,0)</f>
        <v>173</v>
      </c>
      <c r="BI729" s="22" t="s">
        <v>130</v>
      </c>
      <c r="BJ729" s="22" t="s">
        <v>129</v>
      </c>
      <c r="BK729" s="40" t="s">
        <v>509</v>
      </c>
      <c r="BL729" s="101" t="n">
        <v>8.5</v>
      </c>
      <c r="BM729" s="61"/>
      <c r="BN729" s="61"/>
      <c r="BO729" s="42" t="n">
        <v>26</v>
      </c>
      <c r="BP729" s="61"/>
      <c r="BQ729" s="61"/>
      <c r="BR729" s="42" t="n">
        <v>20</v>
      </c>
      <c r="BS729" s="80"/>
      <c r="BT729" s="80"/>
      <c r="BU729" s="80"/>
      <c r="BV729" s="137"/>
      <c r="BW729" s="61"/>
      <c r="BX729" s="107"/>
      <c r="BY729" s="130"/>
      <c r="BZ729" s="60"/>
      <c r="CA729" s="60"/>
      <c r="CB729" s="61"/>
      <c r="CC729" s="60"/>
      <c r="CD729" s="60"/>
      <c r="CE729" s="60"/>
      <c r="CF729" s="60"/>
      <c r="CG729" s="60"/>
      <c r="CH729" s="60"/>
      <c r="CI729" s="60"/>
      <c r="CJ729" s="60"/>
      <c r="CK729" s="60"/>
      <c r="CL729" s="61"/>
      <c r="CM729" s="60"/>
      <c r="CN729" s="60"/>
      <c r="CO729" s="60"/>
      <c r="CP729" s="25" t="n">
        <f aca="false">BX729+BW729+BV729+BU729+BT729+BQ729+BN729</f>
        <v>0</v>
      </c>
      <c r="CQ729" s="25" t="n">
        <f aca="false">CO729+CL729+CI729+CH729+CG729+CD729+CA729</f>
        <v>0</v>
      </c>
      <c r="CR729" s="26" t="n">
        <f aca="false">CP729/7</f>
        <v>0</v>
      </c>
      <c r="CS729" s="26" t="n">
        <f aca="false">CQ729/7</f>
        <v>0</v>
      </c>
      <c r="CT729" s="24" t="n">
        <f aca="false">RANK(CR729,$CR$2:$CR$881,0)</f>
        <v>768</v>
      </c>
      <c r="CU729" s="25" t="n">
        <f aca="false">RANK(CS729,$CS$2:$CS$881,0)</f>
        <v>752</v>
      </c>
      <c r="CV729" s="26" t="n">
        <f aca="false">(CS729+CR729)/2</f>
        <v>0</v>
      </c>
      <c r="CW729" s="25" t="n">
        <f aca="false">RANK(CV729,$CV$2:$CV$881,0)</f>
        <v>753</v>
      </c>
      <c r="CX729" s="50" t="n">
        <f aca="false">(CV729+BB729)/2</f>
        <v>39</v>
      </c>
      <c r="CY729" s="50" t="n">
        <v>818</v>
      </c>
      <c r="CZ729" s="27" t="s">
        <v>132</v>
      </c>
      <c r="DA729" s="27" t="s">
        <v>133</v>
      </c>
      <c r="DB729" s="27" t="s">
        <v>133</v>
      </c>
      <c r="DC729" s="27" t="s">
        <v>134</v>
      </c>
      <c r="DD729" s="27" t="s">
        <v>137</v>
      </c>
      <c r="DE729" s="27" t="s">
        <v>203</v>
      </c>
      <c r="DF729" s="27" t="s">
        <v>133</v>
      </c>
      <c r="DG729" s="27" t="s">
        <v>134</v>
      </c>
      <c r="DH729" s="27" t="s">
        <v>164</v>
      </c>
      <c r="DI729" s="27" t="s">
        <v>220</v>
      </c>
      <c r="DJ729" s="27" t="s">
        <v>169</v>
      </c>
      <c r="DK729" s="27" t="s">
        <v>134</v>
      </c>
      <c r="DL729" s="27" t="s">
        <v>137</v>
      </c>
      <c r="DM729" s="27" t="s">
        <v>220</v>
      </c>
      <c r="DN729" s="27" t="s">
        <v>205</v>
      </c>
      <c r="DO729" s="27" t="s">
        <v>134</v>
      </c>
      <c r="DP729" s="27" t="s">
        <v>195</v>
      </c>
      <c r="DQ729" s="27" t="s">
        <v>442</v>
      </c>
      <c r="DR729" s="27" t="s">
        <v>155</v>
      </c>
      <c r="DS729" s="27" t="s">
        <v>134</v>
      </c>
      <c r="DT729" s="27" t="s">
        <v>164</v>
      </c>
      <c r="DU729" s="27" t="s">
        <v>304</v>
      </c>
      <c r="DV729" s="27" t="s">
        <v>196</v>
      </c>
      <c r="DW729" s="27" t="s">
        <v>174</v>
      </c>
      <c r="DX729" s="27" t="s">
        <v>155</v>
      </c>
      <c r="DY729" s="27" t="s">
        <v>176</v>
      </c>
      <c r="DZ729" s="27" t="n">
        <f aca="false">DY729+DV729+DR729+DN729+DJ729+DF729+DB729</f>
        <v>584</v>
      </c>
      <c r="EA729" s="28" t="n">
        <f aca="false">DZ729/7</f>
        <v>83.4285714285714</v>
      </c>
      <c r="EB729" s="27" t="n">
        <f aca="false">RANK(EA729,$EA$2:$EA$881,0)</f>
        <v>253</v>
      </c>
      <c r="EC729" s="29" t="n">
        <f aca="false">DZ729+CQ729+CP729+AZ729</f>
        <v>1364</v>
      </c>
      <c r="ED729" s="30" t="n">
        <f aca="false">(EA729+CV729+BB729)/3</f>
        <v>53.8095238095238</v>
      </c>
      <c r="EE729" s="51" t="n">
        <f aca="false">ROUND(BE729,3)</f>
        <v>85.473</v>
      </c>
      <c r="EF729" s="51" t="n">
        <f aca="false">ROUND(CR729,3)</f>
        <v>0</v>
      </c>
      <c r="EG729" s="51" t="n">
        <f aca="false">ROUND(CS729,3)</f>
        <v>0</v>
      </c>
      <c r="EH729" s="51" t="n">
        <f aca="false">ROUND(EA729,3)</f>
        <v>83.429</v>
      </c>
      <c r="EI729" s="51" t="n">
        <f aca="false">ROUND(ED729,3)</f>
        <v>53.81</v>
      </c>
      <c r="EJ729" s="51" t="n">
        <f aca="false">ROUND(CV729,3)</f>
        <v>0</v>
      </c>
      <c r="EK729" s="0" t="n">
        <f aca="false">RANK(EI729,$EI$2:$EI$881,0)</f>
        <v>728</v>
      </c>
    </row>
    <row r="730" customFormat="false" ht="15" hidden="false" customHeight="false" outlineLevel="0" collapsed="false">
      <c r="A730" s="4" t="n">
        <v>1821</v>
      </c>
      <c r="B730" s="4" t="n">
        <v>116</v>
      </c>
      <c r="C730" s="27" t="s">
        <v>2083</v>
      </c>
      <c r="D730" s="31" t="n">
        <v>116</v>
      </c>
      <c r="E730" s="16" t="n">
        <v>230512279</v>
      </c>
      <c r="F730" s="56" t="s">
        <v>2084</v>
      </c>
      <c r="G730" s="22" t="s">
        <v>2009</v>
      </c>
      <c r="H730" s="22" t="s">
        <v>465</v>
      </c>
      <c r="I730" s="80"/>
      <c r="J730" s="16" t="n">
        <v>74</v>
      </c>
      <c r="K730" s="16" t="n">
        <v>74</v>
      </c>
      <c r="L730" s="34" t="n">
        <f aca="false">(K730*70)/100</f>
        <v>51.8</v>
      </c>
      <c r="M730" s="34" t="n">
        <f aca="false">ROUNDUP(L730,0)</f>
        <v>52</v>
      </c>
      <c r="N730" s="16" t="n">
        <v>25</v>
      </c>
      <c r="O730" s="34" t="n">
        <f aca="false">N730+L730</f>
        <v>76.8</v>
      </c>
      <c r="P730" s="34" t="n">
        <f aca="false">N730+M730</f>
        <v>77</v>
      </c>
      <c r="Q730" s="16" t="n">
        <v>69</v>
      </c>
      <c r="R730" s="16" t="n">
        <v>70</v>
      </c>
      <c r="S730" s="34" t="n">
        <f aca="false">(R730*70)/100</f>
        <v>49</v>
      </c>
      <c r="T730" s="34" t="n">
        <f aca="false">ROUNDUP(S730,0)</f>
        <v>49</v>
      </c>
      <c r="U730" s="16" t="n">
        <v>24</v>
      </c>
      <c r="V730" s="34" t="n">
        <f aca="false">U730+S730</f>
        <v>73</v>
      </c>
      <c r="W730" s="34" t="n">
        <f aca="false">U730+T730</f>
        <v>73</v>
      </c>
      <c r="X730" s="16" t="n">
        <v>65</v>
      </c>
      <c r="Y730" s="34" t="n">
        <f aca="false">(X730*70)/100</f>
        <v>45.5</v>
      </c>
      <c r="Z730" s="34" t="n">
        <f aca="false">ROUNDUP(Y730,0)</f>
        <v>46</v>
      </c>
      <c r="AA730" s="16" t="n">
        <v>29</v>
      </c>
      <c r="AB730" s="34" t="n">
        <f aca="false">AA730+Y730</f>
        <v>74.5</v>
      </c>
      <c r="AC730" s="34" t="n">
        <f aca="false">AA730+Z730</f>
        <v>75</v>
      </c>
      <c r="AD730" s="32" t="n">
        <f aca="false">X730+R730+Q730+K730+J730</f>
        <v>352</v>
      </c>
      <c r="AE730" s="16" t="n">
        <f aca="false">AD730/5</f>
        <v>70.4</v>
      </c>
      <c r="AF730" s="16" t="n">
        <v>76</v>
      </c>
      <c r="AG730" s="16" t="n">
        <v>86</v>
      </c>
      <c r="AH730" s="16" t="n">
        <v>89</v>
      </c>
      <c r="AI730" s="16" t="n">
        <v>78</v>
      </c>
      <c r="AJ730" s="16" t="n">
        <f aca="false">(AI730*70)/100</f>
        <v>54.6</v>
      </c>
      <c r="AK730" s="35" t="n">
        <f aca="false">ROUNDUP(AJ730,0)</f>
        <v>55</v>
      </c>
      <c r="AL730" s="16" t="n">
        <v>26</v>
      </c>
      <c r="AM730" s="16" t="n">
        <f aca="false">AL730+AJ730</f>
        <v>80.6</v>
      </c>
      <c r="AN730" s="16" t="n">
        <f aca="false">AL730+AK730</f>
        <v>81</v>
      </c>
      <c r="AO730" s="16" t="n">
        <v>75</v>
      </c>
      <c r="AP730" s="36" t="n">
        <f aca="false">(AO730*70)/100</f>
        <v>52.5</v>
      </c>
      <c r="AQ730" s="37" t="n">
        <f aca="false">ROUNDUP(AP730,0)</f>
        <v>53</v>
      </c>
      <c r="AR730" s="16" t="n">
        <v>26</v>
      </c>
      <c r="AS730" s="16" t="n">
        <f aca="false">AR730+AP730</f>
        <v>78.5</v>
      </c>
      <c r="AT730" s="16" t="n">
        <f aca="false">AR730+AQ730</f>
        <v>79</v>
      </c>
      <c r="AU730" s="16" t="n">
        <f aca="false">AO730+AF730+AI730+AH730+AG730</f>
        <v>404</v>
      </c>
      <c r="AV730" s="16" t="n">
        <f aca="false">(AO730+AF730+AI730+AH730+AG730)/5</f>
        <v>80.8</v>
      </c>
      <c r="AW730" s="36" t="n">
        <f aca="false">(AO730+AF730+AI730+AH730+AG730+X730+R730+Q730+K730+J730)</f>
        <v>756</v>
      </c>
      <c r="AX730" s="16" t="n">
        <f aca="false">AW730/10</f>
        <v>75.6</v>
      </c>
      <c r="AY730" s="16" t="n">
        <f aca="false">AS730+AF730+AM730+AH730+AG730+AB730+V730+Q730+O730+J730</f>
        <v>777.4</v>
      </c>
      <c r="AZ730" s="16" t="n">
        <f aca="false">AT730+AF730+AN730+AH730+AG730+AC730+W730+Q730+P730+J730</f>
        <v>779</v>
      </c>
      <c r="BA730" s="16" t="n">
        <f aca="false">AY730/10</f>
        <v>77.74</v>
      </c>
      <c r="BB730" s="16" t="n">
        <f aca="false">AZ730/10</f>
        <v>77.9</v>
      </c>
      <c r="BC730" s="16" t="n">
        <v>2383</v>
      </c>
      <c r="BD730" s="16" t="n">
        <f aca="false">RANK(AX730,$AX$2:$AX$881,0)</f>
        <v>652</v>
      </c>
      <c r="BE730" s="54" t="n">
        <f aca="false">((BC730*100)/2400)*0.4+(AX730*0.6)</f>
        <v>85.0766666666667</v>
      </c>
      <c r="BF730" s="16" t="n">
        <f aca="false">RANK(BE730,$BE$2:$BE$881,0)</f>
        <v>598</v>
      </c>
      <c r="BG730" s="39" t="n">
        <f aca="false">RANK(BB730,$BB$2:$BB$881,0)</f>
        <v>569</v>
      </c>
      <c r="BH730" s="39" t="n">
        <f aca="false">RANK(BC730,$BC$2:$BC$881,0)</f>
        <v>114</v>
      </c>
      <c r="BI730" s="22" t="s">
        <v>130</v>
      </c>
      <c r="BJ730" s="22" t="s">
        <v>129</v>
      </c>
      <c r="BK730" s="22" t="s">
        <v>509</v>
      </c>
      <c r="BL730" s="101" t="n">
        <v>7.5</v>
      </c>
      <c r="BM730" s="61"/>
      <c r="BN730" s="61"/>
      <c r="BO730" s="42" t="n">
        <v>26</v>
      </c>
      <c r="BP730" s="61"/>
      <c r="BQ730" s="61"/>
      <c r="BR730" s="42" t="n">
        <v>19</v>
      </c>
      <c r="BS730" s="80"/>
      <c r="BT730" s="80"/>
      <c r="BU730" s="80"/>
      <c r="BV730" s="137"/>
      <c r="BW730" s="61"/>
      <c r="BX730" s="107"/>
      <c r="BY730" s="130"/>
      <c r="BZ730" s="60"/>
      <c r="CA730" s="60"/>
      <c r="CB730" s="61"/>
      <c r="CC730" s="60"/>
      <c r="CD730" s="60"/>
      <c r="CE730" s="60"/>
      <c r="CF730" s="60"/>
      <c r="CG730" s="60"/>
      <c r="CH730" s="60"/>
      <c r="CI730" s="60"/>
      <c r="CJ730" s="60"/>
      <c r="CK730" s="60"/>
      <c r="CL730" s="61"/>
      <c r="CM730" s="60"/>
      <c r="CN730" s="60"/>
      <c r="CO730" s="60"/>
      <c r="CP730" s="25" t="n">
        <f aca="false">BX730+BW730+BV730+BU730+BT730+BQ730+BN730</f>
        <v>0</v>
      </c>
      <c r="CQ730" s="25" t="n">
        <f aca="false">CO730+CL730+CI730+CH730+CG730+CD730+CA730</f>
        <v>0</v>
      </c>
      <c r="CR730" s="26" t="n">
        <f aca="false">CP730/7</f>
        <v>0</v>
      </c>
      <c r="CS730" s="26" t="n">
        <f aca="false">CQ730/7</f>
        <v>0</v>
      </c>
      <c r="CT730" s="24" t="n">
        <f aca="false">RANK(CR730,$CR$2:$CR$881,0)</f>
        <v>768</v>
      </c>
      <c r="CU730" s="25" t="n">
        <f aca="false">RANK(CS730,$CS$2:$CS$881,0)</f>
        <v>752</v>
      </c>
      <c r="CV730" s="26" t="n">
        <f aca="false">(CS730+CR730)/2</f>
        <v>0</v>
      </c>
      <c r="CW730" s="25" t="n">
        <f aca="false">RANK(CV730,$CV$2:$CV$881,0)</f>
        <v>753</v>
      </c>
      <c r="CX730" s="50" t="n">
        <f aca="false">(CV730+BB730)/2</f>
        <v>38.95</v>
      </c>
      <c r="CY730" s="50" t="n">
        <v>821</v>
      </c>
      <c r="CZ730" s="27" t="s">
        <v>132</v>
      </c>
      <c r="DA730" s="27" t="s">
        <v>133</v>
      </c>
      <c r="DB730" s="27" t="s">
        <v>133</v>
      </c>
      <c r="DC730" s="27" t="s">
        <v>134</v>
      </c>
      <c r="DD730" s="27" t="s">
        <v>137</v>
      </c>
      <c r="DE730" s="27" t="s">
        <v>220</v>
      </c>
      <c r="DF730" s="27" t="s">
        <v>205</v>
      </c>
      <c r="DG730" s="27" t="s">
        <v>134</v>
      </c>
      <c r="DH730" s="27" t="s">
        <v>164</v>
      </c>
      <c r="DI730" s="27" t="s">
        <v>304</v>
      </c>
      <c r="DJ730" s="27" t="s">
        <v>196</v>
      </c>
      <c r="DK730" s="27" t="s">
        <v>134</v>
      </c>
      <c r="DL730" s="27" t="s">
        <v>182</v>
      </c>
      <c r="DM730" s="27" t="s">
        <v>447</v>
      </c>
      <c r="DN730" s="27" t="s">
        <v>382</v>
      </c>
      <c r="DO730" s="27" t="s">
        <v>134</v>
      </c>
      <c r="DP730" s="27" t="s">
        <v>264</v>
      </c>
      <c r="DQ730" s="27" t="s">
        <v>313</v>
      </c>
      <c r="DR730" s="27" t="s">
        <v>416</v>
      </c>
      <c r="DS730" s="27" t="s">
        <v>134</v>
      </c>
      <c r="DT730" s="27" t="s">
        <v>140</v>
      </c>
      <c r="DU730" s="27" t="s">
        <v>183</v>
      </c>
      <c r="DV730" s="27" t="s">
        <v>178</v>
      </c>
      <c r="DW730" s="27" t="s">
        <v>140</v>
      </c>
      <c r="DX730" s="27" t="s">
        <v>138</v>
      </c>
      <c r="DY730" s="27" t="s">
        <v>145</v>
      </c>
      <c r="DZ730" s="27" t="n">
        <f aca="false">DY730+DV730+DR730+DN730+DJ730+DF730+DB730</f>
        <v>584</v>
      </c>
      <c r="EA730" s="28" t="n">
        <f aca="false">DZ730/7</f>
        <v>83.4285714285714</v>
      </c>
      <c r="EB730" s="27" t="n">
        <f aca="false">RANK(EA730,$EA$2:$EA$881,0)</f>
        <v>253</v>
      </c>
      <c r="EC730" s="29" t="n">
        <f aca="false">DZ730+CQ730+CP730+AZ730</f>
        <v>1363</v>
      </c>
      <c r="ED730" s="30" t="n">
        <f aca="false">(EA730+CV730+BB730)/3</f>
        <v>53.7761904761905</v>
      </c>
      <c r="EE730" s="51" t="n">
        <f aca="false">ROUND(BE730,3)</f>
        <v>85.077</v>
      </c>
      <c r="EF730" s="51" t="n">
        <f aca="false">ROUND(CR730,3)</f>
        <v>0</v>
      </c>
      <c r="EG730" s="51" t="n">
        <f aca="false">ROUND(CS730,3)</f>
        <v>0</v>
      </c>
      <c r="EH730" s="51" t="n">
        <f aca="false">ROUND(EA730,3)</f>
        <v>83.429</v>
      </c>
      <c r="EI730" s="51" t="n">
        <f aca="false">ROUND(ED730,3)</f>
        <v>53.776</v>
      </c>
      <c r="EJ730" s="51" t="n">
        <f aca="false">ROUND(CV730,3)</f>
        <v>0</v>
      </c>
      <c r="EK730" s="0" t="n">
        <f aca="false">RANK(EI730,$EI$2:$EI$881,0)</f>
        <v>729</v>
      </c>
    </row>
    <row r="731" customFormat="false" ht="15" hidden="false" customHeight="false" outlineLevel="0" collapsed="false">
      <c r="A731" s="4" t="n">
        <v>9020</v>
      </c>
      <c r="B731" s="4" t="n">
        <v>119</v>
      </c>
      <c r="C731" s="27" t="s">
        <v>2085</v>
      </c>
      <c r="D731" s="31" t="n">
        <v>118</v>
      </c>
      <c r="E731" s="65" t="n">
        <v>230510659</v>
      </c>
      <c r="F731" s="56" t="s">
        <v>2086</v>
      </c>
      <c r="G731" s="63" t="s">
        <v>2087</v>
      </c>
      <c r="H731" s="63" t="s">
        <v>465</v>
      </c>
      <c r="I731" s="80"/>
      <c r="J731" s="65" t="n">
        <v>82</v>
      </c>
      <c r="K731" s="65" t="n">
        <v>69</v>
      </c>
      <c r="L731" s="34" t="n">
        <f aca="false">(K731*70)/100</f>
        <v>48.3</v>
      </c>
      <c r="M731" s="34" t="n">
        <f aca="false">ROUNDUP(L731,0)</f>
        <v>49</v>
      </c>
      <c r="N731" s="65" t="n">
        <v>28</v>
      </c>
      <c r="O731" s="34" t="n">
        <f aca="false">N731+L731</f>
        <v>76.3</v>
      </c>
      <c r="P731" s="34" t="n">
        <f aca="false">N731+M731</f>
        <v>77</v>
      </c>
      <c r="Q731" s="65" t="n">
        <v>77</v>
      </c>
      <c r="R731" s="65" t="n">
        <v>75</v>
      </c>
      <c r="S731" s="34" t="n">
        <f aca="false">(R731*70)/100</f>
        <v>52.5</v>
      </c>
      <c r="T731" s="34" t="n">
        <f aca="false">ROUNDUP(S731,0)</f>
        <v>53</v>
      </c>
      <c r="U731" s="65" t="n">
        <v>28</v>
      </c>
      <c r="V731" s="34" t="n">
        <f aca="false">U731+S731</f>
        <v>80.5</v>
      </c>
      <c r="W731" s="34" t="n">
        <f aca="false">U731+T731</f>
        <v>81</v>
      </c>
      <c r="X731" s="65" t="n">
        <v>65</v>
      </c>
      <c r="Y731" s="34" t="n">
        <f aca="false">(X731*70)/100</f>
        <v>45.5</v>
      </c>
      <c r="Z731" s="34" t="n">
        <f aca="false">ROUNDUP(Y731,0)</f>
        <v>46</v>
      </c>
      <c r="AA731" s="65" t="n">
        <v>29</v>
      </c>
      <c r="AB731" s="34" t="n">
        <f aca="false">AA731+Y731</f>
        <v>74.5</v>
      </c>
      <c r="AC731" s="34" t="n">
        <f aca="false">AA731+Z731</f>
        <v>75</v>
      </c>
      <c r="AD731" s="32" t="n">
        <f aca="false">X731+R731+Q731+K731+J731</f>
        <v>368</v>
      </c>
      <c r="AE731" s="16" t="n">
        <f aca="false">AD731/5</f>
        <v>73.6</v>
      </c>
      <c r="AF731" s="65" t="n">
        <v>71</v>
      </c>
      <c r="AG731" s="65" t="n">
        <v>86</v>
      </c>
      <c r="AH731" s="65" t="n">
        <v>91</v>
      </c>
      <c r="AI731" s="65" t="n">
        <v>88</v>
      </c>
      <c r="AJ731" s="16" t="n">
        <f aca="false">(AI731*70)/100</f>
        <v>61.6</v>
      </c>
      <c r="AK731" s="35" t="n">
        <f aca="false">ROUNDUP(AJ731,0)</f>
        <v>62</v>
      </c>
      <c r="AL731" s="65" t="n">
        <v>27</v>
      </c>
      <c r="AM731" s="16" t="n">
        <f aca="false">AL731+AJ731</f>
        <v>88.6</v>
      </c>
      <c r="AN731" s="16" t="n">
        <f aca="false">AL731+AK731</f>
        <v>89</v>
      </c>
      <c r="AO731" s="65" t="n">
        <v>75</v>
      </c>
      <c r="AP731" s="36" t="n">
        <f aca="false">(AO731*70)/100</f>
        <v>52.5</v>
      </c>
      <c r="AQ731" s="37" t="n">
        <f aca="false">ROUNDUP(AP731,0)</f>
        <v>53</v>
      </c>
      <c r="AR731" s="65" t="n">
        <v>29</v>
      </c>
      <c r="AS731" s="16" t="n">
        <f aca="false">AR731+AP731</f>
        <v>81.5</v>
      </c>
      <c r="AT731" s="16" t="n">
        <f aca="false">AR731+AQ731</f>
        <v>82</v>
      </c>
      <c r="AU731" s="16" t="n">
        <f aca="false">AO731+AF731+AI731+AH731+AG731</f>
        <v>411</v>
      </c>
      <c r="AV731" s="16" t="n">
        <f aca="false">(AO731+AF731+AI731+AH731+AG731)/5</f>
        <v>82.2</v>
      </c>
      <c r="AW731" s="36" t="n">
        <f aca="false">(AO731+AF731+AI731+AH731+AG731+X731+R731+Q731+K731+J731)</f>
        <v>779</v>
      </c>
      <c r="AX731" s="16" t="n">
        <f aca="false">AW731/10</f>
        <v>77.9</v>
      </c>
      <c r="AY731" s="16" t="n">
        <f aca="false">AS731+AF731+AM731+AH731+AG731+AB731+V731+Q731+O731+J731</f>
        <v>808.4</v>
      </c>
      <c r="AZ731" s="16" t="n">
        <f aca="false">AT731+AF731+AN731+AH731+AG731+AC731+W731+Q731+P731+J731</f>
        <v>811</v>
      </c>
      <c r="BA731" s="16" t="n">
        <f aca="false">AY731/10</f>
        <v>80.84</v>
      </c>
      <c r="BB731" s="16" t="n">
        <f aca="false">AZ731/10</f>
        <v>81.1</v>
      </c>
      <c r="BC731" s="65" t="n">
        <v>2365</v>
      </c>
      <c r="BD731" s="16" t="n">
        <f aca="false">RANK(AX731,$AX$2:$AX$881,0)</f>
        <v>414</v>
      </c>
      <c r="BE731" s="54" t="n">
        <f aca="false">((BC731*100)/2400)*0.4+(AX731*0.6)</f>
        <v>86.1566666666667</v>
      </c>
      <c r="BF731" s="16" t="n">
        <f aca="false">RANK(BE731,$BE$2:$BE$881,0)</f>
        <v>410</v>
      </c>
      <c r="BG731" s="39" t="n">
        <f aca="false">RANK(BB731,$BB$2:$BB$881,0)</f>
        <v>271</v>
      </c>
      <c r="BH731" s="39" t="n">
        <f aca="false">RANK(BC731,$BC$2:$BC$881,0)</f>
        <v>333</v>
      </c>
      <c r="BI731" s="63" t="s">
        <v>130</v>
      </c>
      <c r="BJ731" s="22" t="s">
        <v>129</v>
      </c>
      <c r="BK731" s="40" t="s">
        <v>131</v>
      </c>
      <c r="BL731" s="41" t="n">
        <v>12</v>
      </c>
      <c r="BM731" s="61"/>
      <c r="BN731" s="61"/>
      <c r="BO731" s="42" t="n">
        <v>25</v>
      </c>
      <c r="BP731" s="61"/>
      <c r="BQ731" s="61"/>
      <c r="BR731" s="74" t="n">
        <v>8</v>
      </c>
      <c r="BS731" s="80"/>
      <c r="BT731" s="80"/>
      <c r="BU731" s="80"/>
      <c r="BV731" s="137"/>
      <c r="BW731" s="61"/>
      <c r="BX731" s="107"/>
      <c r="BY731" s="130"/>
      <c r="BZ731" s="60"/>
      <c r="CA731" s="60"/>
      <c r="CB731" s="61"/>
      <c r="CC731" s="60"/>
      <c r="CD731" s="60"/>
      <c r="CE731" s="60"/>
      <c r="CF731" s="60"/>
      <c r="CG731" s="60"/>
      <c r="CH731" s="60"/>
      <c r="CI731" s="60"/>
      <c r="CJ731" s="60"/>
      <c r="CK731" s="60"/>
      <c r="CL731" s="61"/>
      <c r="CM731" s="60"/>
      <c r="CN731" s="60"/>
      <c r="CO731" s="60"/>
      <c r="CP731" s="25" t="n">
        <f aca="false">BX731+BW731+BV731+BU731+BT731+BQ731+BN731</f>
        <v>0</v>
      </c>
      <c r="CQ731" s="25" t="n">
        <f aca="false">CO731+CL731+CI731+CH731+CG731+CD731+CA731</f>
        <v>0</v>
      </c>
      <c r="CR731" s="26" t="n">
        <f aca="false">CP731/7</f>
        <v>0</v>
      </c>
      <c r="CS731" s="26" t="n">
        <f aca="false">CQ731/7</f>
        <v>0</v>
      </c>
      <c r="CT731" s="24" t="n">
        <f aca="false">RANK(CR731,$CR$2:$CR$881,0)</f>
        <v>768</v>
      </c>
      <c r="CU731" s="25" t="n">
        <f aca="false">RANK(CS731,$CS$2:$CS$881,0)</f>
        <v>752</v>
      </c>
      <c r="CV731" s="26" t="n">
        <f aca="false">(CS731+CR731)/2</f>
        <v>0</v>
      </c>
      <c r="CW731" s="25" t="n">
        <f aca="false">RANK(CV731,$CV$2:$CV$881,0)</f>
        <v>753</v>
      </c>
      <c r="CX731" s="50" t="n">
        <f aca="false">(CV731+BB731)/2</f>
        <v>40.55</v>
      </c>
      <c r="CY731" s="50" t="n">
        <v>742</v>
      </c>
      <c r="CZ731" s="27" t="s">
        <v>132</v>
      </c>
      <c r="DA731" s="27" t="s">
        <v>153</v>
      </c>
      <c r="DB731" s="27" t="s">
        <v>153</v>
      </c>
      <c r="DC731" s="27" t="s">
        <v>134</v>
      </c>
      <c r="DD731" s="27" t="s">
        <v>154</v>
      </c>
      <c r="DE731" s="27" t="s">
        <v>220</v>
      </c>
      <c r="DF731" s="27" t="s">
        <v>272</v>
      </c>
      <c r="DG731" s="27" t="s">
        <v>134</v>
      </c>
      <c r="DH731" s="27" t="s">
        <v>140</v>
      </c>
      <c r="DI731" s="27" t="s">
        <v>638</v>
      </c>
      <c r="DJ731" s="27" t="s">
        <v>372</v>
      </c>
      <c r="DK731" s="27" t="s">
        <v>134</v>
      </c>
      <c r="DL731" s="27" t="s">
        <v>182</v>
      </c>
      <c r="DM731" s="27" t="s">
        <v>681</v>
      </c>
      <c r="DN731" s="27" t="s">
        <v>155</v>
      </c>
      <c r="DO731" s="27" t="s">
        <v>134</v>
      </c>
      <c r="DP731" s="27" t="s">
        <v>182</v>
      </c>
      <c r="DQ731" s="27" t="s">
        <v>218</v>
      </c>
      <c r="DR731" s="27" t="s">
        <v>196</v>
      </c>
      <c r="DS731" s="27" t="s">
        <v>134</v>
      </c>
      <c r="DT731" s="27" t="s">
        <v>154</v>
      </c>
      <c r="DU731" s="27" t="s">
        <v>415</v>
      </c>
      <c r="DV731" s="27" t="s">
        <v>155</v>
      </c>
      <c r="DW731" s="27" t="s">
        <v>164</v>
      </c>
      <c r="DX731" s="27" t="s">
        <v>155</v>
      </c>
      <c r="DY731" s="27" t="s">
        <v>144</v>
      </c>
      <c r="DZ731" s="27" t="n">
        <f aca="false">DY731+DV731+DR731+DN731+DJ731+DF731+DB731</f>
        <v>561</v>
      </c>
      <c r="EA731" s="28" t="n">
        <f aca="false">DZ731/7</f>
        <v>80.1428571428571</v>
      </c>
      <c r="EB731" s="27" t="n">
        <f aca="false">RANK(EA731,$EA$2:$EA$881,0)</f>
        <v>386</v>
      </c>
      <c r="EC731" s="29" t="n">
        <f aca="false">DZ731+CQ731+CP731+AZ731</f>
        <v>1372</v>
      </c>
      <c r="ED731" s="30" t="n">
        <f aca="false">(EA731+CV731+BB731)/3</f>
        <v>53.7476190476191</v>
      </c>
      <c r="EE731" s="51" t="n">
        <f aca="false">ROUND(BE731,3)</f>
        <v>86.157</v>
      </c>
      <c r="EF731" s="51" t="n">
        <f aca="false">ROUND(CR731,3)</f>
        <v>0</v>
      </c>
      <c r="EG731" s="51" t="n">
        <f aca="false">ROUND(CS731,3)</f>
        <v>0</v>
      </c>
      <c r="EH731" s="51" t="n">
        <f aca="false">ROUND(EA731,3)</f>
        <v>80.143</v>
      </c>
      <c r="EI731" s="51" t="n">
        <f aca="false">ROUND(ED731,3)</f>
        <v>53.748</v>
      </c>
      <c r="EJ731" s="51" t="n">
        <f aca="false">ROUND(CV731,3)</f>
        <v>0</v>
      </c>
      <c r="EK731" s="0" t="n">
        <f aca="false">RANK(EI731,$EI$2:$EI$881,0)</f>
        <v>730</v>
      </c>
    </row>
    <row r="732" customFormat="false" ht="15" hidden="false" customHeight="false" outlineLevel="0" collapsed="false">
      <c r="A732" s="4" t="n">
        <v>1828</v>
      </c>
      <c r="B732" s="4" t="n">
        <v>84</v>
      </c>
      <c r="C732" s="27" t="s">
        <v>2088</v>
      </c>
      <c r="D732" s="52" t="n">
        <v>85</v>
      </c>
      <c r="E732" s="16" t="n">
        <v>230511956</v>
      </c>
      <c r="F732" s="56" t="s">
        <v>2089</v>
      </c>
      <c r="G732" s="22" t="s">
        <v>2090</v>
      </c>
      <c r="H732" s="22" t="s">
        <v>465</v>
      </c>
      <c r="I732" s="80"/>
      <c r="J732" s="16" t="n">
        <v>76</v>
      </c>
      <c r="K732" s="16" t="n">
        <v>79</v>
      </c>
      <c r="L732" s="34" t="n">
        <f aca="false">(K732*70)/100</f>
        <v>55.3</v>
      </c>
      <c r="M732" s="34" t="n">
        <f aca="false">ROUNDUP(L732,0)</f>
        <v>56</v>
      </c>
      <c r="N732" s="16" t="n">
        <v>25</v>
      </c>
      <c r="O732" s="34" t="n">
        <f aca="false">N732+L732</f>
        <v>80.3</v>
      </c>
      <c r="P732" s="34" t="n">
        <f aca="false">N732+M732</f>
        <v>81</v>
      </c>
      <c r="Q732" s="16" t="n">
        <v>69</v>
      </c>
      <c r="R732" s="16" t="n">
        <v>71</v>
      </c>
      <c r="S732" s="34" t="n">
        <f aca="false">(R732*70)/100</f>
        <v>49.7</v>
      </c>
      <c r="T732" s="34" t="n">
        <f aca="false">ROUNDUP(S732,0)</f>
        <v>50</v>
      </c>
      <c r="U732" s="16" t="n">
        <v>28</v>
      </c>
      <c r="V732" s="34" t="n">
        <f aca="false">U732+S732</f>
        <v>77.7</v>
      </c>
      <c r="W732" s="34" t="n">
        <f aca="false">U732+T732</f>
        <v>78</v>
      </c>
      <c r="X732" s="16" t="n">
        <v>66</v>
      </c>
      <c r="Y732" s="34" t="n">
        <f aca="false">(X732*70)/100</f>
        <v>46.2</v>
      </c>
      <c r="Z732" s="34" t="n">
        <f aca="false">ROUNDUP(Y732,0)</f>
        <v>47</v>
      </c>
      <c r="AA732" s="16" t="n">
        <v>29</v>
      </c>
      <c r="AB732" s="34" t="n">
        <f aca="false">AA732+Y732</f>
        <v>75.2</v>
      </c>
      <c r="AC732" s="34" t="n">
        <f aca="false">AA732+Z732</f>
        <v>76</v>
      </c>
      <c r="AD732" s="32" t="n">
        <f aca="false">X732+R732+Q732+K732+J732</f>
        <v>361</v>
      </c>
      <c r="AE732" s="16" t="n">
        <f aca="false">AD732/5</f>
        <v>72.2</v>
      </c>
      <c r="AF732" s="16" t="n">
        <v>60</v>
      </c>
      <c r="AG732" s="16" t="n">
        <v>85</v>
      </c>
      <c r="AH732" s="16" t="n">
        <v>93</v>
      </c>
      <c r="AI732" s="16" t="n">
        <v>92</v>
      </c>
      <c r="AJ732" s="16" t="n">
        <f aca="false">(AI732*70)/100</f>
        <v>64.4</v>
      </c>
      <c r="AK732" s="35" t="n">
        <f aca="false">ROUNDUP(AJ732,0)</f>
        <v>65</v>
      </c>
      <c r="AL732" s="16" t="n">
        <v>28</v>
      </c>
      <c r="AM732" s="16" t="n">
        <f aca="false">AL732+AJ732</f>
        <v>92.4</v>
      </c>
      <c r="AN732" s="16" t="n">
        <f aca="false">AL732+AK732</f>
        <v>93</v>
      </c>
      <c r="AO732" s="16" t="n">
        <v>73</v>
      </c>
      <c r="AP732" s="36" t="n">
        <f aca="false">(AO732*70)/100</f>
        <v>51.1</v>
      </c>
      <c r="AQ732" s="37" t="n">
        <f aca="false">ROUNDUP(AP732,0)</f>
        <v>52</v>
      </c>
      <c r="AR732" s="16" t="n">
        <v>29</v>
      </c>
      <c r="AS732" s="16" t="n">
        <f aca="false">AR732+AP732</f>
        <v>80.1</v>
      </c>
      <c r="AT732" s="16" t="n">
        <f aca="false">AR732+AQ732</f>
        <v>81</v>
      </c>
      <c r="AU732" s="16" t="n">
        <f aca="false">AO732+AF732+AI732+AH732+AG732</f>
        <v>403</v>
      </c>
      <c r="AV732" s="16" t="n">
        <f aca="false">(AO732+AF732+AI732+AH732+AG732)/5</f>
        <v>80.6</v>
      </c>
      <c r="AW732" s="36" t="n">
        <f aca="false">(AO732+AF732+AI732+AH732+AG732+X732+R732+Q732+K732+J732)</f>
        <v>764</v>
      </c>
      <c r="AX732" s="16" t="n">
        <f aca="false">AW732/10</f>
        <v>76.4</v>
      </c>
      <c r="AY732" s="16" t="n">
        <f aca="false">AS732+AF732+AM732+AH732+AG732+AB732+V732+Q732+O732+J732</f>
        <v>788.7</v>
      </c>
      <c r="AZ732" s="16" t="n">
        <f aca="false">AT732+AF732+AN732+AH732+AG732+AC732+W732+Q732+P732+J732</f>
        <v>792</v>
      </c>
      <c r="BA732" s="16" t="n">
        <f aca="false">AY732/10</f>
        <v>78.87</v>
      </c>
      <c r="BB732" s="16" t="n">
        <f aca="false">AZ732/10</f>
        <v>79.2</v>
      </c>
      <c r="BC732" s="16" t="n">
        <v>2369</v>
      </c>
      <c r="BD732" s="16" t="n">
        <f aca="false">RANK(AX732,$AX$2:$AX$881,0)</f>
        <v>577</v>
      </c>
      <c r="BE732" s="54" t="n">
        <f aca="false">((BC732*100)/2400)*0.4+(AX732*0.6)</f>
        <v>85.3233333333333</v>
      </c>
      <c r="BF732" s="16" t="n">
        <f aca="false">RANK(BE732,$BE$2:$BE$881,0)</f>
        <v>537</v>
      </c>
      <c r="BG732" s="39" t="n">
        <f aca="false">RANK(BB732,$BB$2:$BB$881,0)</f>
        <v>434</v>
      </c>
      <c r="BH732" s="39" t="n">
        <f aca="false">RANK(BC732,$BC$2:$BC$881,0)</f>
        <v>283</v>
      </c>
      <c r="BI732" s="22" t="s">
        <v>130</v>
      </c>
      <c r="BJ732" s="22" t="s">
        <v>129</v>
      </c>
      <c r="BK732" s="40" t="s">
        <v>509</v>
      </c>
      <c r="BL732" s="98" t="n">
        <v>10</v>
      </c>
      <c r="BM732" s="61"/>
      <c r="BN732" s="61"/>
      <c r="BO732" s="42" t="n">
        <v>28</v>
      </c>
      <c r="BP732" s="61"/>
      <c r="BQ732" s="61"/>
      <c r="BR732" s="42" t="n">
        <v>24</v>
      </c>
      <c r="BS732" s="80"/>
      <c r="BT732" s="80"/>
      <c r="BU732" s="80"/>
      <c r="BV732" s="137"/>
      <c r="BW732" s="61"/>
      <c r="BX732" s="107"/>
      <c r="BY732" s="130"/>
      <c r="BZ732" s="60"/>
      <c r="CA732" s="60"/>
      <c r="CB732" s="61"/>
      <c r="CC732" s="60"/>
      <c r="CD732" s="60"/>
      <c r="CE732" s="60"/>
      <c r="CF732" s="60"/>
      <c r="CG732" s="60"/>
      <c r="CH732" s="60"/>
      <c r="CI732" s="60"/>
      <c r="CJ732" s="60"/>
      <c r="CK732" s="60"/>
      <c r="CL732" s="61"/>
      <c r="CM732" s="60"/>
      <c r="CN732" s="60"/>
      <c r="CO732" s="60"/>
      <c r="CP732" s="25" t="n">
        <f aca="false">BX732+BW732+BV732+BU732+BT732+BQ732+BN732</f>
        <v>0</v>
      </c>
      <c r="CQ732" s="25" t="n">
        <f aca="false">CO732+CL732+CI732+CH732+CG732+CD732+CA732</f>
        <v>0</v>
      </c>
      <c r="CR732" s="26" t="n">
        <f aca="false">CP732/7</f>
        <v>0</v>
      </c>
      <c r="CS732" s="26" t="n">
        <f aca="false">CQ732/7</f>
        <v>0</v>
      </c>
      <c r="CT732" s="24" t="n">
        <f aca="false">RANK(CR732,$CR$2:$CR$881,0)</f>
        <v>768</v>
      </c>
      <c r="CU732" s="25" t="n">
        <f aca="false">RANK(CS732,$CS$2:$CS$881,0)</f>
        <v>752</v>
      </c>
      <c r="CV732" s="26" t="n">
        <f aca="false">(CS732+CR732)/2</f>
        <v>0</v>
      </c>
      <c r="CW732" s="25" t="n">
        <f aca="false">RANK(CV732,$CV$2:$CV$881,0)</f>
        <v>753</v>
      </c>
      <c r="CX732" s="50" t="n">
        <f aca="false">(CV732+BB732)/2</f>
        <v>39.6</v>
      </c>
      <c r="CY732" s="50" t="n">
        <v>783</v>
      </c>
      <c r="CZ732" s="27" t="s">
        <v>132</v>
      </c>
      <c r="DA732" s="27" t="s">
        <v>219</v>
      </c>
      <c r="DB732" s="27" t="s">
        <v>219</v>
      </c>
      <c r="DC732" s="27" t="s">
        <v>134</v>
      </c>
      <c r="DD732" s="27" t="s">
        <v>137</v>
      </c>
      <c r="DE732" s="27" t="s">
        <v>204</v>
      </c>
      <c r="DF732" s="27" t="s">
        <v>175</v>
      </c>
      <c r="DG732" s="27" t="s">
        <v>134</v>
      </c>
      <c r="DH732" s="27" t="s">
        <v>164</v>
      </c>
      <c r="DI732" s="27" t="s">
        <v>313</v>
      </c>
      <c r="DJ732" s="27" t="s">
        <v>272</v>
      </c>
      <c r="DK732" s="27" t="s">
        <v>134</v>
      </c>
      <c r="DL732" s="27" t="s">
        <v>135</v>
      </c>
      <c r="DM732" s="27" t="s">
        <v>313</v>
      </c>
      <c r="DN732" s="27" t="s">
        <v>382</v>
      </c>
      <c r="DO732" s="27" t="s">
        <v>134</v>
      </c>
      <c r="DP732" s="27" t="s">
        <v>191</v>
      </c>
      <c r="DQ732" s="27" t="s">
        <v>183</v>
      </c>
      <c r="DR732" s="27" t="s">
        <v>305</v>
      </c>
      <c r="DS732" s="27" t="s">
        <v>134</v>
      </c>
      <c r="DT732" s="27" t="s">
        <v>160</v>
      </c>
      <c r="DU732" s="27" t="s">
        <v>638</v>
      </c>
      <c r="DV732" s="27" t="s">
        <v>486</v>
      </c>
      <c r="DW732" s="27" t="s">
        <v>160</v>
      </c>
      <c r="DX732" s="27" t="s">
        <v>155</v>
      </c>
      <c r="DY732" s="27" t="s">
        <v>145</v>
      </c>
      <c r="DZ732" s="27" t="n">
        <f aca="false">DY732+DV732+DR732+DN732+DJ732+DF732+DB732</f>
        <v>570</v>
      </c>
      <c r="EA732" s="28" t="n">
        <f aca="false">DZ732/7</f>
        <v>81.4285714285714</v>
      </c>
      <c r="EB732" s="27" t="n">
        <f aca="false">RANK(EA732,$EA$2:$EA$881,0)</f>
        <v>327</v>
      </c>
      <c r="EC732" s="29" t="n">
        <f aca="false">DZ732+CQ732+CP732+AZ732</f>
        <v>1362</v>
      </c>
      <c r="ED732" s="30" t="n">
        <f aca="false">(EA732+CV732+BB732)/3</f>
        <v>53.5428571428571</v>
      </c>
      <c r="EE732" s="51" t="n">
        <f aca="false">ROUND(BE732,3)</f>
        <v>85.323</v>
      </c>
      <c r="EF732" s="51" t="n">
        <f aca="false">ROUND(CR732,3)</f>
        <v>0</v>
      </c>
      <c r="EG732" s="51" t="n">
        <f aca="false">ROUND(CS732,3)</f>
        <v>0</v>
      </c>
      <c r="EH732" s="51" t="n">
        <f aca="false">ROUND(EA732,3)</f>
        <v>81.429</v>
      </c>
      <c r="EI732" s="51" t="n">
        <f aca="false">ROUND(ED732,3)</f>
        <v>53.543</v>
      </c>
      <c r="EJ732" s="51" t="n">
        <f aca="false">ROUND(CV732,3)</f>
        <v>0</v>
      </c>
      <c r="EK732" s="0" t="n">
        <f aca="false">RANK(EI732,$EI$2:$EI$881,0)</f>
        <v>731</v>
      </c>
    </row>
    <row r="733" customFormat="false" ht="15" hidden="false" customHeight="false" outlineLevel="0" collapsed="false">
      <c r="A733" s="4" t="n">
        <v>8575</v>
      </c>
      <c r="B733" s="4" t="n">
        <v>846</v>
      </c>
      <c r="C733" s="27" t="s">
        <v>2091</v>
      </c>
      <c r="D733" s="31" t="n">
        <v>865</v>
      </c>
      <c r="E733" s="16" t="n">
        <v>230506314</v>
      </c>
      <c r="F733" s="56" t="s">
        <v>2092</v>
      </c>
      <c r="G733" s="22" t="s">
        <v>2093</v>
      </c>
      <c r="H733" s="22" t="s">
        <v>465</v>
      </c>
      <c r="I733" s="80"/>
      <c r="J733" s="16" t="n">
        <v>87</v>
      </c>
      <c r="K733" s="16" t="n">
        <v>89</v>
      </c>
      <c r="L733" s="34" t="n">
        <f aca="false">(K733*70)/100</f>
        <v>62.3</v>
      </c>
      <c r="M733" s="34" t="n">
        <f aca="false">ROUNDUP(L733,0)</f>
        <v>63</v>
      </c>
      <c r="N733" s="16" t="n">
        <v>27</v>
      </c>
      <c r="O733" s="34" t="n">
        <f aca="false">N733+L733</f>
        <v>89.3</v>
      </c>
      <c r="P733" s="34" t="n">
        <f aca="false">N733+M733</f>
        <v>90</v>
      </c>
      <c r="Q733" s="16" t="n">
        <v>79</v>
      </c>
      <c r="R733" s="16" t="n">
        <v>76</v>
      </c>
      <c r="S733" s="34" t="n">
        <f aca="false">(R733*70)/100</f>
        <v>53.2</v>
      </c>
      <c r="T733" s="34" t="n">
        <f aca="false">ROUNDUP(S733,0)</f>
        <v>54</v>
      </c>
      <c r="U733" s="16" t="n">
        <v>25</v>
      </c>
      <c r="V733" s="34" t="n">
        <f aca="false">U733+S733</f>
        <v>78.2</v>
      </c>
      <c r="W733" s="34" t="n">
        <f aca="false">U733+T733</f>
        <v>79</v>
      </c>
      <c r="X733" s="16" t="n">
        <v>69</v>
      </c>
      <c r="Y733" s="34" t="n">
        <f aca="false">(X733*70)/100</f>
        <v>48.3</v>
      </c>
      <c r="Z733" s="34" t="n">
        <f aca="false">ROUNDUP(Y733,0)</f>
        <v>49</v>
      </c>
      <c r="AA733" s="16" t="n">
        <v>27</v>
      </c>
      <c r="AB733" s="34" t="n">
        <f aca="false">AA733+Y733</f>
        <v>75.3</v>
      </c>
      <c r="AC733" s="34" t="n">
        <f aca="false">AA733+Z733</f>
        <v>76</v>
      </c>
      <c r="AD733" s="32" t="n">
        <f aca="false">X733+R733+Q733+K733+J733</f>
        <v>400</v>
      </c>
      <c r="AE733" s="16" t="n">
        <f aca="false">AD733/5</f>
        <v>80</v>
      </c>
      <c r="AF733" s="16" t="n">
        <v>81</v>
      </c>
      <c r="AG733" s="16" t="n">
        <v>82</v>
      </c>
      <c r="AH733" s="16" t="n">
        <v>89</v>
      </c>
      <c r="AI733" s="16" t="n">
        <v>79</v>
      </c>
      <c r="AJ733" s="16" t="n">
        <f aca="false">(AI733*70)/100</f>
        <v>55.3</v>
      </c>
      <c r="AK733" s="35" t="n">
        <f aca="false">ROUNDUP(AJ733,0)</f>
        <v>56</v>
      </c>
      <c r="AL733" s="16" t="n">
        <v>29</v>
      </c>
      <c r="AM733" s="16" t="n">
        <f aca="false">AL733+AJ733</f>
        <v>84.3</v>
      </c>
      <c r="AN733" s="16" t="n">
        <f aca="false">AL733+AK733</f>
        <v>85</v>
      </c>
      <c r="AO733" s="16" t="n">
        <v>73</v>
      </c>
      <c r="AP733" s="36" t="n">
        <f aca="false">(AO733*70)/100</f>
        <v>51.1</v>
      </c>
      <c r="AQ733" s="37" t="n">
        <f aca="false">ROUNDUP(AP733,0)</f>
        <v>52</v>
      </c>
      <c r="AR733" s="16" t="n">
        <v>24</v>
      </c>
      <c r="AS733" s="16" t="n">
        <f aca="false">AR733+AP733</f>
        <v>75.1</v>
      </c>
      <c r="AT733" s="16" t="n">
        <f aca="false">AR733+AQ733</f>
        <v>76</v>
      </c>
      <c r="AU733" s="16" t="n">
        <f aca="false">AO733+AF733+AI733+AH733+AG733</f>
        <v>404</v>
      </c>
      <c r="AV733" s="16" t="n">
        <f aca="false">(AO733+AF733+AI733+AH733+AG733)/5</f>
        <v>80.8</v>
      </c>
      <c r="AW733" s="36" t="n">
        <f aca="false">(AO733+AF733+AI733+AH733+AG733+X733+R733+Q733+K733+J733)</f>
        <v>804</v>
      </c>
      <c r="AX733" s="16" t="n">
        <f aca="false">AW733/10</f>
        <v>80.4</v>
      </c>
      <c r="AY733" s="16" t="n">
        <f aca="false">AS733+AF733+AM733+AH733+AG733+AB733+V733+Q733+O733+J733</f>
        <v>820.2</v>
      </c>
      <c r="AZ733" s="16" t="n">
        <f aca="false">AT733+AF733+AN733+AH733+AG733+AC733+W733+Q733+P733+J733</f>
        <v>824</v>
      </c>
      <c r="BA733" s="16" t="n">
        <f aca="false">AY733/10</f>
        <v>82.02</v>
      </c>
      <c r="BB733" s="16" t="n">
        <f aca="false">AZ733/10</f>
        <v>82.4</v>
      </c>
      <c r="BC733" s="16" t="n">
        <v>2359</v>
      </c>
      <c r="BD733" s="16" t="n">
        <f aca="false">RANK(AX733,$AX$2:$AX$881,0)</f>
        <v>238</v>
      </c>
      <c r="BE733" s="54" t="n">
        <f aca="false">((BC733*100)/2400)*0.4+(AX733*0.6)</f>
        <v>87.5566666666667</v>
      </c>
      <c r="BF733" s="16" t="n">
        <f aca="false">RANK(BE733,$BE$2:$BE$881,0)</f>
        <v>242</v>
      </c>
      <c r="BG733" s="39" t="n">
        <f aca="false">RANK(BB733,$BB$2:$BB$881,0)</f>
        <v>189</v>
      </c>
      <c r="BH733" s="39" t="n">
        <f aca="false">RANK(BC733,$BC$2:$BC$881,0)</f>
        <v>414</v>
      </c>
      <c r="BI733" s="22" t="s">
        <v>130</v>
      </c>
      <c r="BJ733" s="22" t="s">
        <v>129</v>
      </c>
      <c r="BK733" s="40" t="s">
        <v>131</v>
      </c>
      <c r="BL733" s="98" t="n">
        <v>8</v>
      </c>
      <c r="BM733" s="61"/>
      <c r="BN733" s="61"/>
      <c r="BO733" s="42" t="n">
        <v>23</v>
      </c>
      <c r="BP733" s="61"/>
      <c r="BQ733" s="61"/>
      <c r="BR733" s="42" t="n">
        <v>25</v>
      </c>
      <c r="BS733" s="80"/>
      <c r="BT733" s="80"/>
      <c r="BU733" s="80"/>
      <c r="BV733" s="137"/>
      <c r="BW733" s="61"/>
      <c r="BX733" s="107"/>
      <c r="BY733" s="130"/>
      <c r="BZ733" s="60"/>
      <c r="CA733" s="60"/>
      <c r="CB733" s="61"/>
      <c r="CC733" s="60"/>
      <c r="CD733" s="60"/>
      <c r="CE733" s="60"/>
      <c r="CF733" s="60"/>
      <c r="CG733" s="60"/>
      <c r="CH733" s="60"/>
      <c r="CI733" s="60"/>
      <c r="CJ733" s="60"/>
      <c r="CK733" s="60"/>
      <c r="CL733" s="61"/>
      <c r="CM733" s="60"/>
      <c r="CN733" s="60"/>
      <c r="CO733" s="60"/>
      <c r="CP733" s="25" t="n">
        <f aca="false">BX733+BW733+BV733+BU733+BT733+BQ733+BN733</f>
        <v>0</v>
      </c>
      <c r="CQ733" s="25" t="n">
        <f aca="false">CO733+CL733+CI733+CH733+CG733+CD733+CA733</f>
        <v>0</v>
      </c>
      <c r="CR733" s="26" t="n">
        <f aca="false">CP733/7</f>
        <v>0</v>
      </c>
      <c r="CS733" s="26" t="n">
        <f aca="false">CQ733/7</f>
        <v>0</v>
      </c>
      <c r="CT733" s="24" t="n">
        <f aca="false">RANK(CR733,$CR$2:$CR$881,0)</f>
        <v>768</v>
      </c>
      <c r="CU733" s="25" t="n">
        <f aca="false">RANK(CS733,$CS$2:$CS$881,0)</f>
        <v>752</v>
      </c>
      <c r="CV733" s="26" t="n">
        <f aca="false">(CS733+CR733)/2</f>
        <v>0</v>
      </c>
      <c r="CW733" s="25" t="n">
        <f aca="false">RANK(CV733,$CV$2:$CV$881,0)</f>
        <v>753</v>
      </c>
      <c r="CX733" s="50" t="n">
        <f aca="false">(CV733+BB733)/2</f>
        <v>41.2</v>
      </c>
      <c r="CY733" s="50" t="n">
        <v>730</v>
      </c>
      <c r="CZ733" s="27" t="s">
        <v>132</v>
      </c>
      <c r="DA733" s="27" t="s">
        <v>205</v>
      </c>
      <c r="DB733" s="27" t="s">
        <v>205</v>
      </c>
      <c r="DC733" s="27" t="s">
        <v>134</v>
      </c>
      <c r="DD733" s="27" t="s">
        <v>182</v>
      </c>
      <c r="DE733" s="27" t="s">
        <v>177</v>
      </c>
      <c r="DF733" s="27" t="s">
        <v>209</v>
      </c>
      <c r="DG733" s="27" t="s">
        <v>134</v>
      </c>
      <c r="DH733" s="27" t="s">
        <v>154</v>
      </c>
      <c r="DI733" s="27" t="s">
        <v>304</v>
      </c>
      <c r="DJ733" s="27" t="s">
        <v>382</v>
      </c>
      <c r="DK733" s="27" t="s">
        <v>134</v>
      </c>
      <c r="DL733" s="27" t="s">
        <v>191</v>
      </c>
      <c r="DM733" s="27" t="s">
        <v>447</v>
      </c>
      <c r="DN733" s="27" t="s">
        <v>486</v>
      </c>
      <c r="DO733" s="27" t="s">
        <v>134</v>
      </c>
      <c r="DP733" s="27" t="s">
        <v>1000</v>
      </c>
      <c r="DQ733" s="27" t="s">
        <v>989</v>
      </c>
      <c r="DR733" s="27" t="s">
        <v>220</v>
      </c>
      <c r="DS733" s="27" t="s">
        <v>480</v>
      </c>
      <c r="DT733" s="27" t="s">
        <v>182</v>
      </c>
      <c r="DU733" s="27" t="s">
        <v>304</v>
      </c>
      <c r="DV733" s="27" t="s">
        <v>305</v>
      </c>
      <c r="DW733" s="27" t="s">
        <v>140</v>
      </c>
      <c r="DX733" s="27" t="s">
        <v>141</v>
      </c>
      <c r="DY733" s="27" t="s">
        <v>142</v>
      </c>
      <c r="DZ733" s="27" t="n">
        <f aca="false">DY733+DV733+DR733+DN733+DJ733+DF733+DB733</f>
        <v>546</v>
      </c>
      <c r="EA733" s="28" t="n">
        <f aca="false">DZ733/7</f>
        <v>78</v>
      </c>
      <c r="EB733" s="27" t="n">
        <f aca="false">RANK(EA733,$EA$2:$EA$881,0)</f>
        <v>456</v>
      </c>
      <c r="EC733" s="29" t="n">
        <f aca="false">DZ733+CQ733+CP733+AZ733</f>
        <v>1370</v>
      </c>
      <c r="ED733" s="30" t="n">
        <f aca="false">(EA733+CV733+BB733)/3</f>
        <v>53.4666666666667</v>
      </c>
      <c r="EE733" s="51" t="n">
        <f aca="false">ROUND(BE733,3)</f>
        <v>87.557</v>
      </c>
      <c r="EF733" s="51" t="n">
        <f aca="false">ROUND(CR733,3)</f>
        <v>0</v>
      </c>
      <c r="EG733" s="51" t="n">
        <f aca="false">ROUND(CS733,3)</f>
        <v>0</v>
      </c>
      <c r="EH733" s="51" t="n">
        <f aca="false">ROUND(EA733,3)</f>
        <v>78</v>
      </c>
      <c r="EI733" s="51" t="n">
        <f aca="false">ROUND(ED733,3)</f>
        <v>53.467</v>
      </c>
      <c r="EJ733" s="51" t="n">
        <f aca="false">ROUND(CV733,3)</f>
        <v>0</v>
      </c>
      <c r="EK733" s="0" t="n">
        <f aca="false">RANK(EI733,$EI$2:$EI$881,0)</f>
        <v>732</v>
      </c>
    </row>
    <row r="734" customFormat="false" ht="15" hidden="false" customHeight="false" outlineLevel="0" collapsed="false">
      <c r="A734" s="4" t="n">
        <v>1936</v>
      </c>
      <c r="B734" s="4" t="n">
        <v>267</v>
      </c>
      <c r="C734" s="27" t="s">
        <v>2094</v>
      </c>
      <c r="D734" s="31" t="n">
        <v>265</v>
      </c>
      <c r="E734" s="16" t="n">
        <v>230512428</v>
      </c>
      <c r="F734" s="56" t="s">
        <v>2095</v>
      </c>
      <c r="G734" s="22" t="s">
        <v>1963</v>
      </c>
      <c r="H734" s="22" t="s">
        <v>558</v>
      </c>
      <c r="I734" s="80"/>
      <c r="J734" s="16" t="n">
        <v>80</v>
      </c>
      <c r="K734" s="16" t="n">
        <v>75</v>
      </c>
      <c r="L734" s="34" t="n">
        <f aca="false">(K734*70)/100</f>
        <v>52.5</v>
      </c>
      <c r="M734" s="34" t="n">
        <f aca="false">ROUNDUP(L734,0)</f>
        <v>53</v>
      </c>
      <c r="N734" s="16" t="n">
        <v>28</v>
      </c>
      <c r="O734" s="34" t="n">
        <f aca="false">N734+L734</f>
        <v>80.5</v>
      </c>
      <c r="P734" s="34" t="n">
        <f aca="false">N734+M734</f>
        <v>81</v>
      </c>
      <c r="Q734" s="16" t="n">
        <v>84</v>
      </c>
      <c r="R734" s="16" t="n">
        <v>79</v>
      </c>
      <c r="S734" s="34" t="n">
        <f aca="false">(R734*70)/100</f>
        <v>55.3</v>
      </c>
      <c r="T734" s="34" t="n">
        <f aca="false">ROUNDUP(S734,0)</f>
        <v>56</v>
      </c>
      <c r="U734" s="16" t="n">
        <v>29</v>
      </c>
      <c r="V734" s="34" t="n">
        <f aca="false">U734+S734</f>
        <v>84.3</v>
      </c>
      <c r="W734" s="34" t="n">
        <f aca="false">U734+T734</f>
        <v>85</v>
      </c>
      <c r="X734" s="16" t="n">
        <v>69</v>
      </c>
      <c r="Y734" s="34" t="n">
        <f aca="false">(X734*70)/100</f>
        <v>48.3</v>
      </c>
      <c r="Z734" s="34" t="n">
        <f aca="false">ROUNDUP(Y734,0)</f>
        <v>49</v>
      </c>
      <c r="AA734" s="16" t="n">
        <v>28</v>
      </c>
      <c r="AB734" s="34" t="n">
        <f aca="false">AA734+Y734</f>
        <v>76.3</v>
      </c>
      <c r="AC734" s="34" t="n">
        <f aca="false">AA734+Z734</f>
        <v>77</v>
      </c>
      <c r="AD734" s="32" t="n">
        <f aca="false">X734+R734+Q734+K734+J734</f>
        <v>387</v>
      </c>
      <c r="AE734" s="16" t="n">
        <f aca="false">AD734/5</f>
        <v>77.4</v>
      </c>
      <c r="AF734" s="16" t="n">
        <v>60</v>
      </c>
      <c r="AG734" s="16" t="n">
        <v>77</v>
      </c>
      <c r="AH734" s="16" t="n">
        <v>85</v>
      </c>
      <c r="AI734" s="16" t="n">
        <v>91</v>
      </c>
      <c r="AJ734" s="16" t="n">
        <f aca="false">(AI734*70)/100</f>
        <v>63.7</v>
      </c>
      <c r="AK734" s="35" t="n">
        <f aca="false">ROUNDUP(AJ734,0)</f>
        <v>64</v>
      </c>
      <c r="AL734" s="16" t="n">
        <v>25</v>
      </c>
      <c r="AM734" s="16" t="n">
        <f aca="false">AL734+AJ734</f>
        <v>88.7</v>
      </c>
      <c r="AN734" s="16" t="n">
        <f aca="false">AL734+AK734</f>
        <v>89</v>
      </c>
      <c r="AO734" s="16" t="n">
        <v>69</v>
      </c>
      <c r="AP734" s="36" t="n">
        <f aca="false">(AO734*70)/100</f>
        <v>48.3</v>
      </c>
      <c r="AQ734" s="37" t="n">
        <f aca="false">ROUNDUP(AP734,0)</f>
        <v>49</v>
      </c>
      <c r="AR734" s="16" t="n">
        <v>26</v>
      </c>
      <c r="AS734" s="16" t="n">
        <f aca="false">AR734+AP734</f>
        <v>74.3</v>
      </c>
      <c r="AT734" s="16" t="n">
        <f aca="false">AR734+AQ734</f>
        <v>75</v>
      </c>
      <c r="AU734" s="16" t="n">
        <f aca="false">AO734+AF734+AI734+AH734+AG734</f>
        <v>382</v>
      </c>
      <c r="AV734" s="16" t="n">
        <f aca="false">(AO734+AF734+AI734+AH734+AG734)/5</f>
        <v>76.4</v>
      </c>
      <c r="AW734" s="36" t="n">
        <f aca="false">(AO734+AF734+AI734+AH734+AG734+X734+R734+Q734+K734+J734)</f>
        <v>769</v>
      </c>
      <c r="AX734" s="16" t="n">
        <f aca="false">AW734/10</f>
        <v>76.9</v>
      </c>
      <c r="AY734" s="16" t="n">
        <f aca="false">AS734+AF734+AM734+AH734+AG734+AB734+V734+Q734+O734+J734</f>
        <v>790.1</v>
      </c>
      <c r="AZ734" s="16" t="n">
        <f aca="false">AT734+AF734+AN734+AH734+AG734+AC734+W734+Q734+P734+J734</f>
        <v>793</v>
      </c>
      <c r="BA734" s="16" t="n">
        <f aca="false">AY734/10</f>
        <v>79.01</v>
      </c>
      <c r="BB734" s="16" t="n">
        <f aca="false">AZ734/10</f>
        <v>79.3</v>
      </c>
      <c r="BC734" s="16" t="n">
        <v>2367</v>
      </c>
      <c r="BD734" s="16" t="n">
        <f aca="false">RANK(AX734,$AX$2:$AX$881,0)</f>
        <v>519</v>
      </c>
      <c r="BE734" s="54" t="n">
        <f aca="false">((BC734*100)/2400)*0.4+(AX734*0.6)</f>
        <v>85.59</v>
      </c>
      <c r="BF734" s="16" t="n">
        <f aca="false">RANK(BE734,$BE$2:$BE$881,0)</f>
        <v>489</v>
      </c>
      <c r="BG734" s="39" t="n">
        <f aca="false">RANK(BB734,$BB$2:$BB$881,0)</f>
        <v>424</v>
      </c>
      <c r="BH734" s="39" t="n">
        <f aca="false">RANK(BC734,$BC$2:$BC$881,0)</f>
        <v>308</v>
      </c>
      <c r="BI734" s="22" t="s">
        <v>130</v>
      </c>
      <c r="BJ734" s="22" t="s">
        <v>129</v>
      </c>
      <c r="BK734" s="40" t="s">
        <v>509</v>
      </c>
      <c r="BL734" s="41" t="n">
        <v>12</v>
      </c>
      <c r="BM734" s="61"/>
      <c r="BN734" s="61"/>
      <c r="BO734" s="42" t="n">
        <v>25</v>
      </c>
      <c r="BP734" s="61"/>
      <c r="BQ734" s="61"/>
      <c r="BR734" s="42" t="n">
        <v>27</v>
      </c>
      <c r="BS734" s="80"/>
      <c r="BT734" s="80"/>
      <c r="BU734" s="80"/>
      <c r="BV734" s="137"/>
      <c r="BW734" s="61"/>
      <c r="BX734" s="107"/>
      <c r="BY734" s="130"/>
      <c r="BZ734" s="60"/>
      <c r="CA734" s="60"/>
      <c r="CB734" s="61"/>
      <c r="CC734" s="60"/>
      <c r="CD734" s="60"/>
      <c r="CE734" s="60"/>
      <c r="CF734" s="60"/>
      <c r="CG734" s="60"/>
      <c r="CH734" s="60"/>
      <c r="CI734" s="60"/>
      <c r="CJ734" s="60"/>
      <c r="CK734" s="60"/>
      <c r="CL734" s="61"/>
      <c r="CM734" s="60"/>
      <c r="CN734" s="60"/>
      <c r="CO734" s="60"/>
      <c r="CP734" s="25" t="n">
        <f aca="false">BX734+BW734+BV734+BU734+BT734+BQ734+BN734</f>
        <v>0</v>
      </c>
      <c r="CQ734" s="25" t="n">
        <f aca="false">CO734+CL734+CI734+CH734+CG734+CD734+CA734</f>
        <v>0</v>
      </c>
      <c r="CR734" s="26" t="n">
        <f aca="false">CP734/7</f>
        <v>0</v>
      </c>
      <c r="CS734" s="26" t="n">
        <f aca="false">CQ734/7</f>
        <v>0</v>
      </c>
      <c r="CT734" s="24" t="n">
        <f aca="false">RANK(CR734,$CR$2:$CR$881,0)</f>
        <v>768</v>
      </c>
      <c r="CU734" s="25" t="n">
        <f aca="false">RANK(CS734,$CS$2:$CS$881,0)</f>
        <v>752</v>
      </c>
      <c r="CV734" s="26" t="n">
        <f aca="false">(CS734+CR734)/2</f>
        <v>0</v>
      </c>
      <c r="CW734" s="25" t="n">
        <f aca="false">RANK(CV734,$CV$2:$CV$881,0)</f>
        <v>753</v>
      </c>
      <c r="CX734" s="50" t="n">
        <f aca="false">(CV734+BB734)/2</f>
        <v>39.65</v>
      </c>
      <c r="CY734" s="50" t="n">
        <v>781</v>
      </c>
      <c r="CZ734" s="27" t="s">
        <v>132</v>
      </c>
      <c r="DA734" s="27" t="s">
        <v>202</v>
      </c>
      <c r="DB734" s="27" t="s">
        <v>202</v>
      </c>
      <c r="DC734" s="27" t="s">
        <v>134</v>
      </c>
      <c r="DD734" s="27" t="s">
        <v>135</v>
      </c>
      <c r="DE734" s="27" t="s">
        <v>183</v>
      </c>
      <c r="DF734" s="27" t="s">
        <v>169</v>
      </c>
      <c r="DG734" s="27" t="s">
        <v>134</v>
      </c>
      <c r="DH734" s="27" t="s">
        <v>137</v>
      </c>
      <c r="DI734" s="27" t="s">
        <v>204</v>
      </c>
      <c r="DJ734" s="27" t="s">
        <v>175</v>
      </c>
      <c r="DK734" s="27" t="s">
        <v>134</v>
      </c>
      <c r="DL734" s="27" t="s">
        <v>174</v>
      </c>
      <c r="DM734" s="27" t="s">
        <v>412</v>
      </c>
      <c r="DN734" s="27" t="s">
        <v>486</v>
      </c>
      <c r="DO734" s="27" t="s">
        <v>134</v>
      </c>
      <c r="DP734" s="27" t="s">
        <v>195</v>
      </c>
      <c r="DQ734" s="27" t="s">
        <v>415</v>
      </c>
      <c r="DR734" s="27" t="s">
        <v>143</v>
      </c>
      <c r="DS734" s="27" t="s">
        <v>134</v>
      </c>
      <c r="DT734" s="27" t="s">
        <v>146</v>
      </c>
      <c r="DU734" s="27" t="s">
        <v>375</v>
      </c>
      <c r="DV734" s="27" t="s">
        <v>219</v>
      </c>
      <c r="DW734" s="27" t="s">
        <v>182</v>
      </c>
      <c r="DX734" s="27" t="s">
        <v>141</v>
      </c>
      <c r="DY734" s="27" t="s">
        <v>170</v>
      </c>
      <c r="DZ734" s="27" t="n">
        <f aca="false">DY734+DV734+DR734+DN734+DJ734+DF734+DB734</f>
        <v>566</v>
      </c>
      <c r="EA734" s="28" t="n">
        <f aca="false">DZ734/7</f>
        <v>80.8571428571429</v>
      </c>
      <c r="EB734" s="27" t="n">
        <f aca="false">RANK(EA734,$EA$2:$EA$881,0)</f>
        <v>357</v>
      </c>
      <c r="EC734" s="29" t="n">
        <f aca="false">DZ734+CQ734+CP734+AZ734</f>
        <v>1359</v>
      </c>
      <c r="ED734" s="30" t="n">
        <f aca="false">(EA734+CV734+BB734)/3</f>
        <v>53.3857142857143</v>
      </c>
      <c r="EE734" s="51" t="n">
        <f aca="false">ROUND(BE734,3)</f>
        <v>85.59</v>
      </c>
      <c r="EF734" s="51" t="n">
        <f aca="false">ROUND(CR734,3)</f>
        <v>0</v>
      </c>
      <c r="EG734" s="51" t="n">
        <f aca="false">ROUND(CS734,3)</f>
        <v>0</v>
      </c>
      <c r="EH734" s="51" t="n">
        <f aca="false">ROUND(EA734,3)</f>
        <v>80.857</v>
      </c>
      <c r="EI734" s="51" t="n">
        <f aca="false">ROUND(ED734,3)</f>
        <v>53.386</v>
      </c>
      <c r="EJ734" s="51" t="n">
        <f aca="false">ROUND(CV734,3)</f>
        <v>0</v>
      </c>
      <c r="EK734" s="0" t="n">
        <f aca="false">RANK(EI734,$EI$2:$EI$881,0)</f>
        <v>733</v>
      </c>
    </row>
    <row r="735" customFormat="false" ht="15" hidden="false" customHeight="false" outlineLevel="0" collapsed="false">
      <c r="A735" s="4" t="n">
        <v>9151</v>
      </c>
      <c r="B735" s="4" t="n">
        <v>326</v>
      </c>
      <c r="C735" s="27" t="s">
        <v>2096</v>
      </c>
      <c r="D735" s="31" t="n">
        <v>328</v>
      </c>
      <c r="E735" s="16" t="n">
        <v>230505231</v>
      </c>
      <c r="F735" s="56" t="s">
        <v>2097</v>
      </c>
      <c r="G735" s="22" t="s">
        <v>2098</v>
      </c>
      <c r="H735" s="22" t="s">
        <v>465</v>
      </c>
      <c r="I735" s="80"/>
      <c r="J735" s="16" t="n">
        <v>83</v>
      </c>
      <c r="K735" s="16" t="n">
        <v>66</v>
      </c>
      <c r="L735" s="34" t="n">
        <f aca="false">(K735*70)/100</f>
        <v>46.2</v>
      </c>
      <c r="M735" s="34" t="n">
        <f aca="false">ROUNDUP(L735,0)</f>
        <v>47</v>
      </c>
      <c r="N735" s="16" t="n">
        <v>29</v>
      </c>
      <c r="O735" s="34" t="n">
        <f aca="false">N735+L735</f>
        <v>75.2</v>
      </c>
      <c r="P735" s="34" t="n">
        <f aca="false">N735+M735</f>
        <v>76</v>
      </c>
      <c r="Q735" s="16" t="n">
        <v>70</v>
      </c>
      <c r="R735" s="16" t="n">
        <v>72</v>
      </c>
      <c r="S735" s="34" t="n">
        <f aca="false">(R735*70)/100</f>
        <v>50.4</v>
      </c>
      <c r="T735" s="34" t="n">
        <f aca="false">ROUNDUP(S735,0)</f>
        <v>51</v>
      </c>
      <c r="U735" s="16" t="n">
        <v>29</v>
      </c>
      <c r="V735" s="34" t="n">
        <f aca="false">U735+S735</f>
        <v>79.4</v>
      </c>
      <c r="W735" s="34" t="n">
        <f aca="false">U735+T735</f>
        <v>80</v>
      </c>
      <c r="X735" s="16" t="n">
        <v>66</v>
      </c>
      <c r="Y735" s="34" t="n">
        <f aca="false">(X735*70)/100</f>
        <v>46.2</v>
      </c>
      <c r="Z735" s="34" t="n">
        <f aca="false">ROUNDUP(Y735,0)</f>
        <v>47</v>
      </c>
      <c r="AA735" s="16" t="n">
        <v>29</v>
      </c>
      <c r="AB735" s="34" t="n">
        <f aca="false">AA735+Y735</f>
        <v>75.2</v>
      </c>
      <c r="AC735" s="34" t="n">
        <f aca="false">AA735+Z735</f>
        <v>76</v>
      </c>
      <c r="AD735" s="32" t="n">
        <f aca="false">X735+R735+Q735+K735+J735</f>
        <v>357</v>
      </c>
      <c r="AE735" s="16" t="n">
        <f aca="false">AD735/5</f>
        <v>71.4</v>
      </c>
      <c r="AF735" s="16" t="n">
        <v>88</v>
      </c>
      <c r="AG735" s="16" t="n">
        <v>93</v>
      </c>
      <c r="AH735" s="16" t="n">
        <v>82</v>
      </c>
      <c r="AI735" s="16" t="n">
        <v>88</v>
      </c>
      <c r="AJ735" s="16" t="n">
        <f aca="false">(AI735*70)/100</f>
        <v>61.6</v>
      </c>
      <c r="AK735" s="35" t="n">
        <f aca="false">ROUNDUP(AJ735,0)</f>
        <v>62</v>
      </c>
      <c r="AL735" s="16" t="n">
        <v>27</v>
      </c>
      <c r="AM735" s="16" t="n">
        <f aca="false">AL735+AJ735</f>
        <v>88.6</v>
      </c>
      <c r="AN735" s="16" t="n">
        <f aca="false">AL735+AK735</f>
        <v>89</v>
      </c>
      <c r="AO735" s="16" t="n">
        <v>69</v>
      </c>
      <c r="AP735" s="36" t="n">
        <f aca="false">(AO735*70)/100</f>
        <v>48.3</v>
      </c>
      <c r="AQ735" s="37" t="n">
        <f aca="false">ROUNDUP(AP735,0)</f>
        <v>49</v>
      </c>
      <c r="AR735" s="16" t="n">
        <v>24</v>
      </c>
      <c r="AS735" s="16" t="n">
        <f aca="false">AR735+AP735</f>
        <v>72.3</v>
      </c>
      <c r="AT735" s="16" t="n">
        <f aca="false">AR735+AQ735</f>
        <v>73</v>
      </c>
      <c r="AU735" s="16" t="n">
        <f aca="false">AO735+AF735+AI735+AH735+AG735</f>
        <v>420</v>
      </c>
      <c r="AV735" s="16" t="n">
        <f aca="false">(AO735+AF735+AI735+AH735+AG735)/5</f>
        <v>84</v>
      </c>
      <c r="AW735" s="36" t="n">
        <f aca="false">(AO735+AF735+AI735+AH735+AG735+X735+R735+Q735+K735+J735)</f>
        <v>777</v>
      </c>
      <c r="AX735" s="16" t="n">
        <f aca="false">AW735/10</f>
        <v>77.7</v>
      </c>
      <c r="AY735" s="16" t="n">
        <f aca="false">AS735+AF735+AM735+AH735+AG735+AB735+V735+Q735+O735+J735</f>
        <v>806.7</v>
      </c>
      <c r="AZ735" s="16" t="n">
        <f aca="false">AT735+AF735+AN735+AH735+AG735+AC735+W735+Q735+P735+J735</f>
        <v>810</v>
      </c>
      <c r="BA735" s="16" t="n">
        <f aca="false">AY735/10</f>
        <v>80.67</v>
      </c>
      <c r="BB735" s="16" t="n">
        <f aca="false">AZ735/10</f>
        <v>81</v>
      </c>
      <c r="BC735" s="16" t="n">
        <v>2386</v>
      </c>
      <c r="BD735" s="16" t="n">
        <f aca="false">RANK(AX735,$AX$2:$AX$881,0)</f>
        <v>433</v>
      </c>
      <c r="BE735" s="54" t="n">
        <f aca="false">((BC735*100)/2400)*0.4+(AX735*0.6)</f>
        <v>86.3866666666667</v>
      </c>
      <c r="BF735" s="16" t="n">
        <f aca="false">RANK(BE735,$BE$2:$BE$881,0)</f>
        <v>364</v>
      </c>
      <c r="BG735" s="39" t="n">
        <f aca="false">RANK(BB735,$BB$2:$BB$881,0)</f>
        <v>277</v>
      </c>
      <c r="BH735" s="39" t="n">
        <f aca="false">RANK(BC735,$BC$2:$BC$881,0)</f>
        <v>86</v>
      </c>
      <c r="BI735" s="22" t="s">
        <v>130</v>
      </c>
      <c r="BJ735" s="22" t="s">
        <v>129</v>
      </c>
      <c r="BK735" s="40" t="s">
        <v>131</v>
      </c>
      <c r="BL735" s="98" t="n">
        <v>3</v>
      </c>
      <c r="BM735" s="61"/>
      <c r="BN735" s="61"/>
      <c r="BO735" s="42" t="n">
        <v>26</v>
      </c>
      <c r="BP735" s="61"/>
      <c r="BQ735" s="61"/>
      <c r="BR735" s="74" t="n">
        <v>8</v>
      </c>
      <c r="BS735" s="80"/>
      <c r="BT735" s="80"/>
      <c r="BU735" s="80"/>
      <c r="BV735" s="137"/>
      <c r="BW735" s="61"/>
      <c r="BX735" s="107"/>
      <c r="BY735" s="130"/>
      <c r="BZ735" s="60"/>
      <c r="CA735" s="60"/>
      <c r="CB735" s="61"/>
      <c r="CC735" s="60"/>
      <c r="CD735" s="60"/>
      <c r="CE735" s="60"/>
      <c r="CF735" s="60"/>
      <c r="CG735" s="60"/>
      <c r="CH735" s="60"/>
      <c r="CI735" s="60"/>
      <c r="CJ735" s="60"/>
      <c r="CK735" s="60"/>
      <c r="CL735" s="61"/>
      <c r="CM735" s="60"/>
      <c r="CN735" s="60"/>
      <c r="CO735" s="60"/>
      <c r="CP735" s="25" t="n">
        <f aca="false">BX735+BW735+BV735+BU735+BT735+BQ735+BN735</f>
        <v>0</v>
      </c>
      <c r="CQ735" s="25" t="n">
        <f aca="false">CO735+CL735+CI735+CH735+CG735+CD735+CA735</f>
        <v>0</v>
      </c>
      <c r="CR735" s="26" t="n">
        <f aca="false">CP735/7</f>
        <v>0</v>
      </c>
      <c r="CS735" s="26" t="n">
        <f aca="false">CQ735/7</f>
        <v>0</v>
      </c>
      <c r="CT735" s="24" t="n">
        <f aca="false">RANK(CR735,$CR$2:$CR$881,0)</f>
        <v>768</v>
      </c>
      <c r="CU735" s="25" t="n">
        <f aca="false">RANK(CS735,$CS$2:$CS$881,0)</f>
        <v>752</v>
      </c>
      <c r="CV735" s="26" t="n">
        <f aca="false">(CS735+CR735)/2</f>
        <v>0</v>
      </c>
      <c r="CW735" s="25" t="n">
        <f aca="false">RANK(CV735,$CV$2:$CV$881,0)</f>
        <v>753</v>
      </c>
      <c r="CX735" s="50" t="n">
        <f aca="false">(CV735+BB735)/2</f>
        <v>40.5</v>
      </c>
      <c r="CY735" s="50" t="n">
        <v>744</v>
      </c>
      <c r="CZ735" s="27" t="s">
        <v>132</v>
      </c>
      <c r="DA735" s="27" t="s">
        <v>202</v>
      </c>
      <c r="DB735" s="27" t="s">
        <v>202</v>
      </c>
      <c r="DC735" s="27" t="s">
        <v>134</v>
      </c>
      <c r="DD735" s="27" t="s">
        <v>191</v>
      </c>
      <c r="DE735" s="27" t="s">
        <v>183</v>
      </c>
      <c r="DF735" s="27" t="s">
        <v>305</v>
      </c>
      <c r="DG735" s="27" t="s">
        <v>134</v>
      </c>
      <c r="DH735" s="27" t="s">
        <v>154</v>
      </c>
      <c r="DI735" s="27" t="s">
        <v>220</v>
      </c>
      <c r="DJ735" s="27" t="s">
        <v>272</v>
      </c>
      <c r="DK735" s="27" t="s">
        <v>134</v>
      </c>
      <c r="DL735" s="27" t="s">
        <v>195</v>
      </c>
      <c r="DM735" s="27" t="s">
        <v>412</v>
      </c>
      <c r="DN735" s="27" t="s">
        <v>398</v>
      </c>
      <c r="DO735" s="27" t="s">
        <v>134</v>
      </c>
      <c r="DP735" s="27" t="s">
        <v>191</v>
      </c>
      <c r="DQ735" s="27" t="s">
        <v>220</v>
      </c>
      <c r="DR735" s="27" t="s">
        <v>443</v>
      </c>
      <c r="DS735" s="27" t="s">
        <v>134</v>
      </c>
      <c r="DT735" s="27" t="s">
        <v>386</v>
      </c>
      <c r="DU735" s="27" t="s">
        <v>681</v>
      </c>
      <c r="DV735" s="27" t="s">
        <v>152</v>
      </c>
      <c r="DW735" s="27" t="s">
        <v>160</v>
      </c>
      <c r="DX735" s="27" t="s">
        <v>155</v>
      </c>
      <c r="DY735" s="27" t="s">
        <v>145</v>
      </c>
      <c r="DZ735" s="27" t="n">
        <f aca="false">DY735+DV735+DR735+DN735+DJ735+DF735+DB735</f>
        <v>553</v>
      </c>
      <c r="EA735" s="28" t="n">
        <f aca="false">DZ735/7</f>
        <v>79</v>
      </c>
      <c r="EB735" s="27" t="n">
        <f aca="false">RANK(EA735,$EA$2:$EA$881,0)</f>
        <v>431</v>
      </c>
      <c r="EC735" s="29" t="n">
        <f aca="false">DZ735+CQ735+CP735+AZ735</f>
        <v>1363</v>
      </c>
      <c r="ED735" s="30" t="n">
        <f aca="false">(EA735+CV735+BB735)/3</f>
        <v>53.3333333333333</v>
      </c>
      <c r="EE735" s="51" t="n">
        <f aca="false">ROUND(BE735,3)</f>
        <v>86.387</v>
      </c>
      <c r="EF735" s="51" t="n">
        <f aca="false">ROUND(CR735,3)</f>
        <v>0</v>
      </c>
      <c r="EG735" s="51" t="n">
        <f aca="false">ROUND(CS735,3)</f>
        <v>0</v>
      </c>
      <c r="EH735" s="51" t="n">
        <f aca="false">ROUND(EA735,3)</f>
        <v>79</v>
      </c>
      <c r="EI735" s="51" t="n">
        <f aca="false">ROUND(ED735,3)</f>
        <v>53.333</v>
      </c>
      <c r="EJ735" s="51" t="n">
        <f aca="false">ROUND(CV735,3)</f>
        <v>0</v>
      </c>
      <c r="EK735" s="0" t="n">
        <f aca="false">RANK(EI735,$EI$2:$EI$881,0)</f>
        <v>734</v>
      </c>
    </row>
    <row r="736" customFormat="false" ht="15" hidden="false" customHeight="false" outlineLevel="0" collapsed="false">
      <c r="A736" s="4" t="n">
        <v>2027</v>
      </c>
      <c r="B736" s="4" t="n">
        <v>3</v>
      </c>
      <c r="C736" s="27" t="s">
        <v>2099</v>
      </c>
      <c r="D736" s="52" t="n">
        <v>5</v>
      </c>
      <c r="E736" s="16" t="n">
        <v>230507613</v>
      </c>
      <c r="F736" s="56" t="s">
        <v>2100</v>
      </c>
      <c r="G736" s="22" t="s">
        <v>217</v>
      </c>
      <c r="H736" s="22" t="s">
        <v>465</v>
      </c>
      <c r="I736" s="80"/>
      <c r="J736" s="16" t="n">
        <v>87</v>
      </c>
      <c r="K736" s="16" t="n">
        <v>69</v>
      </c>
      <c r="L736" s="34" t="n">
        <f aca="false">(K736*70)/100</f>
        <v>48.3</v>
      </c>
      <c r="M736" s="34" t="n">
        <f aca="false">ROUNDUP(L736,0)</f>
        <v>49</v>
      </c>
      <c r="N736" s="16" t="n">
        <v>29</v>
      </c>
      <c r="O736" s="34" t="n">
        <f aca="false">N736+L736</f>
        <v>77.3</v>
      </c>
      <c r="P736" s="34" t="n">
        <f aca="false">N736+M736</f>
        <v>78</v>
      </c>
      <c r="Q736" s="71" t="n">
        <v>53</v>
      </c>
      <c r="R736" s="16" t="n">
        <v>71</v>
      </c>
      <c r="S736" s="34" t="n">
        <f aca="false">(R736*70)/100</f>
        <v>49.7</v>
      </c>
      <c r="T736" s="34" t="n">
        <f aca="false">ROUNDUP(S736,0)</f>
        <v>50</v>
      </c>
      <c r="U736" s="16" t="n">
        <v>28</v>
      </c>
      <c r="V736" s="34" t="n">
        <f aca="false">U736+S736</f>
        <v>77.7</v>
      </c>
      <c r="W736" s="34" t="n">
        <f aca="false">U736+T736</f>
        <v>78</v>
      </c>
      <c r="X736" s="16" t="n">
        <v>65</v>
      </c>
      <c r="Y736" s="34" t="n">
        <f aca="false">(X736*70)/100</f>
        <v>45.5</v>
      </c>
      <c r="Z736" s="34" t="n">
        <f aca="false">ROUNDUP(Y736,0)</f>
        <v>46</v>
      </c>
      <c r="AA736" s="16" t="n">
        <v>27</v>
      </c>
      <c r="AB736" s="34" t="n">
        <f aca="false">AA736+Y736</f>
        <v>72.5</v>
      </c>
      <c r="AC736" s="34" t="n">
        <f aca="false">AA736+Z736</f>
        <v>73</v>
      </c>
      <c r="AD736" s="32" t="n">
        <f aca="false">X736+R736+Q736+K736+J736</f>
        <v>345</v>
      </c>
      <c r="AE736" s="16" t="n">
        <f aca="false">AD736/5</f>
        <v>69</v>
      </c>
      <c r="AF736" s="16" t="n">
        <v>78</v>
      </c>
      <c r="AG736" s="16" t="n">
        <v>83</v>
      </c>
      <c r="AH736" s="16" t="n">
        <v>92</v>
      </c>
      <c r="AI736" s="16" t="n">
        <v>87</v>
      </c>
      <c r="AJ736" s="16" t="n">
        <f aca="false">(AI736*70)/100</f>
        <v>60.9</v>
      </c>
      <c r="AK736" s="35" t="n">
        <f aca="false">ROUNDUP(AJ736,0)</f>
        <v>61</v>
      </c>
      <c r="AL736" s="16" t="n">
        <v>28</v>
      </c>
      <c r="AM736" s="16" t="n">
        <f aca="false">AL736+AJ736</f>
        <v>88.9</v>
      </c>
      <c r="AN736" s="16" t="n">
        <f aca="false">AL736+AK736</f>
        <v>89</v>
      </c>
      <c r="AO736" s="16" t="n">
        <v>80</v>
      </c>
      <c r="AP736" s="36" t="n">
        <f aca="false">(AO736*70)/100</f>
        <v>56</v>
      </c>
      <c r="AQ736" s="37" t="n">
        <f aca="false">ROUNDUP(AP736,0)</f>
        <v>56</v>
      </c>
      <c r="AR736" s="16" t="n">
        <v>28</v>
      </c>
      <c r="AS736" s="16" t="n">
        <f aca="false">AR736+AP736</f>
        <v>84</v>
      </c>
      <c r="AT736" s="16" t="n">
        <f aca="false">AR736+AQ736</f>
        <v>84</v>
      </c>
      <c r="AU736" s="16" t="n">
        <f aca="false">AO736+AF736+AI736+AH736+AG736</f>
        <v>420</v>
      </c>
      <c r="AV736" s="16" t="n">
        <f aca="false">(AO736+AF736+AI736+AH736+AG736)/5</f>
        <v>84</v>
      </c>
      <c r="AW736" s="36" t="n">
        <f aca="false">(AO736+AF736+AI736+AH736+AG736+X736+R736+Q736+K736+J736)</f>
        <v>765</v>
      </c>
      <c r="AX736" s="16" t="n">
        <f aca="false">AW736/10</f>
        <v>76.5</v>
      </c>
      <c r="AY736" s="16" t="n">
        <f aca="false">AS736+AF736+AM736+AH736+AG736+AB736+V736+Q736+O736+J736</f>
        <v>793.4</v>
      </c>
      <c r="AZ736" s="16" t="n">
        <f aca="false">AT736+AF736+AN736+AH736+AG736+AC736+W736+Q736+P736+J736</f>
        <v>795</v>
      </c>
      <c r="BA736" s="16" t="n">
        <f aca="false">AY736/10</f>
        <v>79.34</v>
      </c>
      <c r="BB736" s="16" t="n">
        <f aca="false">AZ736/10</f>
        <v>79.5</v>
      </c>
      <c r="BC736" s="16" t="n">
        <v>2384</v>
      </c>
      <c r="BD736" s="16" t="n">
        <f aca="false">RANK(AX736,$AX$2:$AX$881,0)</f>
        <v>562</v>
      </c>
      <c r="BE736" s="54" t="n">
        <f aca="false">((BC736*100)/2400)*0.4+(AX736*0.6)</f>
        <v>85.6333333333333</v>
      </c>
      <c r="BF736" s="16" t="n">
        <f aca="false">RANK(BE736,$BE$2:$BE$881,0)</f>
        <v>485</v>
      </c>
      <c r="BG736" s="39" t="n">
        <f aca="false">RANK(BB736,$BB$2:$BB$881,0)</f>
        <v>407</v>
      </c>
      <c r="BH736" s="39" t="n">
        <f aca="false">RANK(BC736,$BC$2:$BC$881,0)</f>
        <v>109</v>
      </c>
      <c r="BI736" s="22" t="s">
        <v>130</v>
      </c>
      <c r="BJ736" s="22" t="s">
        <v>129</v>
      </c>
      <c r="BK736" s="40" t="s">
        <v>509</v>
      </c>
      <c r="BL736" s="101" t="n">
        <v>10.5</v>
      </c>
      <c r="BM736" s="61"/>
      <c r="BN736" s="61"/>
      <c r="BO736" s="42" t="n">
        <v>21</v>
      </c>
      <c r="BP736" s="61"/>
      <c r="BQ736" s="61"/>
      <c r="BR736" s="74" t="n">
        <v>7</v>
      </c>
      <c r="BS736" s="80"/>
      <c r="BT736" s="80"/>
      <c r="BU736" s="80"/>
      <c r="BV736" s="137"/>
      <c r="BW736" s="61"/>
      <c r="BX736" s="107"/>
      <c r="BY736" s="130"/>
      <c r="BZ736" s="60"/>
      <c r="CA736" s="60"/>
      <c r="CB736" s="61"/>
      <c r="CC736" s="60"/>
      <c r="CD736" s="60"/>
      <c r="CE736" s="60"/>
      <c r="CF736" s="60"/>
      <c r="CG736" s="60"/>
      <c r="CH736" s="60"/>
      <c r="CI736" s="60"/>
      <c r="CJ736" s="60"/>
      <c r="CK736" s="60"/>
      <c r="CL736" s="61"/>
      <c r="CM736" s="60"/>
      <c r="CN736" s="60"/>
      <c r="CO736" s="60"/>
      <c r="CP736" s="25" t="n">
        <f aca="false">BX736+BW736+BV736+BU736+BT736+BQ736+BN736</f>
        <v>0</v>
      </c>
      <c r="CQ736" s="25" t="n">
        <f aca="false">CO736+CL736+CI736+CH736+CG736+CD736+CA736</f>
        <v>0</v>
      </c>
      <c r="CR736" s="26" t="n">
        <f aca="false">CP736/7</f>
        <v>0</v>
      </c>
      <c r="CS736" s="26" t="n">
        <f aca="false">CQ736/7</f>
        <v>0</v>
      </c>
      <c r="CT736" s="24" t="n">
        <f aca="false">RANK(CR736,$CR$2:$CR$881,0)</f>
        <v>768</v>
      </c>
      <c r="CU736" s="25" t="n">
        <f aca="false">RANK(CS736,$CS$2:$CS$881,0)</f>
        <v>752</v>
      </c>
      <c r="CV736" s="26" t="n">
        <f aca="false">(CS736+CR736)/2</f>
        <v>0</v>
      </c>
      <c r="CW736" s="25" t="n">
        <f aca="false">RANK(CV736,$CV$2:$CV$881,0)</f>
        <v>753</v>
      </c>
      <c r="CX736" s="50" t="n">
        <f aca="false">(CV736+BB736)/2</f>
        <v>39.75</v>
      </c>
      <c r="CY736" s="50" t="n">
        <v>773</v>
      </c>
      <c r="CZ736" s="27" t="s">
        <v>132</v>
      </c>
      <c r="DA736" s="27" t="s">
        <v>205</v>
      </c>
      <c r="DB736" s="27" t="s">
        <v>205</v>
      </c>
      <c r="DC736" s="27" t="s">
        <v>134</v>
      </c>
      <c r="DD736" s="27" t="s">
        <v>174</v>
      </c>
      <c r="DE736" s="27" t="s">
        <v>177</v>
      </c>
      <c r="DF736" s="27" t="s">
        <v>205</v>
      </c>
      <c r="DG736" s="27" t="s">
        <v>134</v>
      </c>
      <c r="DH736" s="27" t="s">
        <v>137</v>
      </c>
      <c r="DI736" s="27" t="s">
        <v>183</v>
      </c>
      <c r="DJ736" s="27" t="s">
        <v>209</v>
      </c>
      <c r="DK736" s="27" t="s">
        <v>134</v>
      </c>
      <c r="DL736" s="27" t="s">
        <v>135</v>
      </c>
      <c r="DM736" s="27" t="s">
        <v>220</v>
      </c>
      <c r="DN736" s="27" t="s">
        <v>196</v>
      </c>
      <c r="DO736" s="27" t="s">
        <v>134</v>
      </c>
      <c r="DP736" s="27" t="s">
        <v>264</v>
      </c>
      <c r="DQ736" s="27" t="s">
        <v>306</v>
      </c>
      <c r="DR736" s="27" t="s">
        <v>372</v>
      </c>
      <c r="DS736" s="27" t="s">
        <v>134</v>
      </c>
      <c r="DT736" s="27" t="s">
        <v>195</v>
      </c>
      <c r="DU736" s="27" t="s">
        <v>304</v>
      </c>
      <c r="DV736" s="27" t="s">
        <v>441</v>
      </c>
      <c r="DW736" s="27" t="s">
        <v>264</v>
      </c>
      <c r="DX736" s="27" t="s">
        <v>187</v>
      </c>
      <c r="DY736" s="27" t="s">
        <v>175</v>
      </c>
      <c r="DZ736" s="27" t="n">
        <f aca="false">DY736+DV736+DR736+DN736+DJ736+DF736+DB736</f>
        <v>563</v>
      </c>
      <c r="EA736" s="28" t="n">
        <f aca="false">DZ736/7</f>
        <v>80.4285714285714</v>
      </c>
      <c r="EB736" s="27" t="n">
        <f aca="false">RANK(EA736,$EA$2:$EA$881,0)</f>
        <v>373</v>
      </c>
      <c r="EC736" s="29" t="n">
        <f aca="false">DZ736+CQ736+CP736+AZ736</f>
        <v>1358</v>
      </c>
      <c r="ED736" s="30" t="n">
        <f aca="false">(EA736+CV736+BB736)/3</f>
        <v>53.3095238095238</v>
      </c>
      <c r="EE736" s="51" t="n">
        <f aca="false">ROUND(BE736,3)</f>
        <v>85.633</v>
      </c>
      <c r="EF736" s="51" t="n">
        <f aca="false">ROUND(CR736,3)</f>
        <v>0</v>
      </c>
      <c r="EG736" s="51" t="n">
        <f aca="false">ROUND(CS736,3)</f>
        <v>0</v>
      </c>
      <c r="EH736" s="51" t="n">
        <f aca="false">ROUND(EA736,3)</f>
        <v>80.429</v>
      </c>
      <c r="EI736" s="51" t="n">
        <f aca="false">ROUND(ED736,3)</f>
        <v>53.31</v>
      </c>
      <c r="EJ736" s="51" t="n">
        <f aca="false">ROUND(CV736,3)</f>
        <v>0</v>
      </c>
      <c r="EK736" s="0" t="n">
        <f aca="false">RANK(EI736,$EI$2:$EI$881,0)</f>
        <v>735</v>
      </c>
    </row>
    <row r="737" customFormat="false" ht="15" hidden="false" customHeight="false" outlineLevel="0" collapsed="false">
      <c r="A737" s="4" t="n">
        <v>1820</v>
      </c>
      <c r="B737" s="4" t="n">
        <v>430</v>
      </c>
      <c r="C737" s="27" t="s">
        <v>2101</v>
      </c>
      <c r="D737" s="31" t="n">
        <v>435</v>
      </c>
      <c r="E737" s="16" t="n">
        <v>230512336</v>
      </c>
      <c r="F737" s="56" t="s">
        <v>2102</v>
      </c>
      <c r="G737" s="22" t="s">
        <v>2103</v>
      </c>
      <c r="H737" s="22" t="s">
        <v>558</v>
      </c>
      <c r="I737" s="80"/>
      <c r="J737" s="16" t="n">
        <v>85</v>
      </c>
      <c r="K737" s="16" t="n">
        <v>72</v>
      </c>
      <c r="L737" s="34" t="n">
        <f aca="false">(K737*70)/100</f>
        <v>50.4</v>
      </c>
      <c r="M737" s="34" t="n">
        <f aca="false">ROUNDUP(L737,0)</f>
        <v>51</v>
      </c>
      <c r="N737" s="16" t="n">
        <v>24</v>
      </c>
      <c r="O737" s="34" t="n">
        <f aca="false">N737+L737</f>
        <v>74.4</v>
      </c>
      <c r="P737" s="34" t="n">
        <f aca="false">N737+M737</f>
        <v>75</v>
      </c>
      <c r="Q737" s="16" t="n">
        <v>72</v>
      </c>
      <c r="R737" s="16" t="n">
        <v>71</v>
      </c>
      <c r="S737" s="34" t="n">
        <f aca="false">(R737*70)/100</f>
        <v>49.7</v>
      </c>
      <c r="T737" s="34" t="n">
        <f aca="false">ROUNDUP(S737,0)</f>
        <v>50</v>
      </c>
      <c r="U737" s="16" t="n">
        <v>27</v>
      </c>
      <c r="V737" s="34" t="n">
        <f aca="false">U737+S737</f>
        <v>76.7</v>
      </c>
      <c r="W737" s="34" t="n">
        <f aca="false">U737+T737</f>
        <v>77</v>
      </c>
      <c r="X737" s="16" t="n">
        <v>67</v>
      </c>
      <c r="Y737" s="34" t="n">
        <f aca="false">(X737*70)/100</f>
        <v>46.9</v>
      </c>
      <c r="Z737" s="34" t="n">
        <f aca="false">ROUNDUP(Y737,0)</f>
        <v>47</v>
      </c>
      <c r="AA737" s="16" t="n">
        <v>27</v>
      </c>
      <c r="AB737" s="34" t="n">
        <f aca="false">AA737+Y737</f>
        <v>73.9</v>
      </c>
      <c r="AC737" s="34" t="n">
        <f aca="false">AA737+Z737</f>
        <v>74</v>
      </c>
      <c r="AD737" s="32" t="n">
        <f aca="false">X737+R737+Q737+K737+J737</f>
        <v>367</v>
      </c>
      <c r="AE737" s="16" t="n">
        <f aca="false">AD737/5</f>
        <v>73.4</v>
      </c>
      <c r="AF737" s="16" t="n">
        <v>64</v>
      </c>
      <c r="AG737" s="16" t="n">
        <v>93</v>
      </c>
      <c r="AH737" s="16" t="n">
        <v>81</v>
      </c>
      <c r="AI737" s="16" t="n">
        <v>81</v>
      </c>
      <c r="AJ737" s="16" t="n">
        <f aca="false">(AI737*70)/100</f>
        <v>56.7</v>
      </c>
      <c r="AK737" s="35" t="n">
        <f aca="false">ROUNDUP(AJ737,0)</f>
        <v>57</v>
      </c>
      <c r="AL737" s="16" t="n">
        <v>28</v>
      </c>
      <c r="AM737" s="16" t="n">
        <f aca="false">AL737+AJ737</f>
        <v>84.7</v>
      </c>
      <c r="AN737" s="16" t="n">
        <f aca="false">AL737+AK737</f>
        <v>85</v>
      </c>
      <c r="AO737" s="16" t="n">
        <v>73</v>
      </c>
      <c r="AP737" s="36" t="n">
        <f aca="false">(AO737*70)/100</f>
        <v>51.1</v>
      </c>
      <c r="AQ737" s="37" t="n">
        <f aca="false">ROUNDUP(AP737,0)</f>
        <v>52</v>
      </c>
      <c r="AR737" s="16" t="n">
        <v>27</v>
      </c>
      <c r="AS737" s="16" t="n">
        <f aca="false">AR737+AP737</f>
        <v>78.1</v>
      </c>
      <c r="AT737" s="16" t="n">
        <f aca="false">AR737+AQ737</f>
        <v>79</v>
      </c>
      <c r="AU737" s="16" t="n">
        <f aca="false">AO737+AF737+AI737+AH737+AG737</f>
        <v>392</v>
      </c>
      <c r="AV737" s="16" t="n">
        <f aca="false">(AO737+AF737+AI737+AH737+AG737)/5</f>
        <v>78.4</v>
      </c>
      <c r="AW737" s="36" t="n">
        <f aca="false">(AO737+AF737+AI737+AH737+AG737+X737+R737+Q737+K737+J737)</f>
        <v>759</v>
      </c>
      <c r="AX737" s="16" t="n">
        <f aca="false">AW737/10</f>
        <v>75.9</v>
      </c>
      <c r="AY737" s="16" t="n">
        <f aca="false">AS737+AF737+AM737+AH737+AG737+AB737+V737+Q737+O737+J737</f>
        <v>782.8</v>
      </c>
      <c r="AZ737" s="16" t="n">
        <f aca="false">AT737+AF737+AN737+AH737+AG737+AC737+W737+Q737+P737+J737</f>
        <v>785</v>
      </c>
      <c r="BA737" s="16" t="n">
        <f aca="false">AY737/10</f>
        <v>78.28</v>
      </c>
      <c r="BB737" s="16" t="n">
        <f aca="false">AZ737/10</f>
        <v>78.5</v>
      </c>
      <c r="BC737" s="16" t="n">
        <v>2351</v>
      </c>
      <c r="BD737" s="16" t="n">
        <f aca="false">RANK(AX737,$AX$2:$AX$881,0)</f>
        <v>628</v>
      </c>
      <c r="BE737" s="73" t="n">
        <f aca="false">((BC737*100)/2400)*0.4+(AX737*0.6)</f>
        <v>84.7233333333333</v>
      </c>
      <c r="BF737" s="16" t="n">
        <f aca="false">RANK(BE737,$BE$2:$BE$881,0)</f>
        <v>669</v>
      </c>
      <c r="BG737" s="39" t="n">
        <f aca="false">RANK(BB737,$BB$2:$BB$881,0)</f>
        <v>505</v>
      </c>
      <c r="BH737" s="39" t="n">
        <f aca="false">RANK(BC737,$BC$2:$BC$881,0)</f>
        <v>520</v>
      </c>
      <c r="BI737" s="22" t="s">
        <v>130</v>
      </c>
      <c r="BJ737" s="22" t="s">
        <v>129</v>
      </c>
      <c r="BK737" s="22" t="s">
        <v>509</v>
      </c>
      <c r="BL737" s="41" t="n">
        <v>12</v>
      </c>
      <c r="BM737" s="61"/>
      <c r="BN737" s="61"/>
      <c r="BO737" s="42" t="n">
        <v>24</v>
      </c>
      <c r="BP737" s="61"/>
      <c r="BQ737" s="61"/>
      <c r="BR737" s="42" t="n">
        <v>24</v>
      </c>
      <c r="BS737" s="80"/>
      <c r="BT737" s="80"/>
      <c r="BU737" s="80"/>
      <c r="BV737" s="137"/>
      <c r="BW737" s="61"/>
      <c r="BX737" s="107"/>
      <c r="BY737" s="130"/>
      <c r="BZ737" s="60"/>
      <c r="CA737" s="60"/>
      <c r="CB737" s="61"/>
      <c r="CC737" s="60"/>
      <c r="CD737" s="60"/>
      <c r="CE737" s="60"/>
      <c r="CF737" s="60"/>
      <c r="CG737" s="60"/>
      <c r="CH737" s="60"/>
      <c r="CI737" s="60"/>
      <c r="CJ737" s="60"/>
      <c r="CK737" s="60"/>
      <c r="CL737" s="61"/>
      <c r="CM737" s="60"/>
      <c r="CN737" s="60"/>
      <c r="CO737" s="60"/>
      <c r="CP737" s="25" t="n">
        <f aca="false">BX737+BW737+BV737+BU737+BT737+BQ737+BN737</f>
        <v>0</v>
      </c>
      <c r="CQ737" s="25" t="n">
        <f aca="false">CO737+CL737+CI737+CH737+CG737+CD737+CA737</f>
        <v>0</v>
      </c>
      <c r="CR737" s="26" t="n">
        <f aca="false">CP737/7</f>
        <v>0</v>
      </c>
      <c r="CS737" s="26" t="n">
        <f aca="false">CQ737/7</f>
        <v>0</v>
      </c>
      <c r="CT737" s="24" t="n">
        <f aca="false">RANK(CR737,$CR$2:$CR$881,0)</f>
        <v>768</v>
      </c>
      <c r="CU737" s="25" t="n">
        <f aca="false">RANK(CS737,$CS$2:$CS$881,0)</f>
        <v>752</v>
      </c>
      <c r="CV737" s="26" t="n">
        <f aca="false">(CS737+CR737)/2</f>
        <v>0</v>
      </c>
      <c r="CW737" s="25" t="n">
        <f aca="false">RANK(CV737,$CV$2:$CV$881,0)</f>
        <v>753</v>
      </c>
      <c r="CX737" s="50" t="n">
        <f aca="false">(CV737+BB737)/2</f>
        <v>39.25</v>
      </c>
      <c r="CY737" s="50" t="n">
        <v>802</v>
      </c>
      <c r="CZ737" s="27" t="s">
        <v>132</v>
      </c>
      <c r="DA737" s="27" t="s">
        <v>202</v>
      </c>
      <c r="DB737" s="27" t="s">
        <v>202</v>
      </c>
      <c r="DC737" s="27" t="s">
        <v>134</v>
      </c>
      <c r="DD737" s="27" t="s">
        <v>135</v>
      </c>
      <c r="DE737" s="27" t="s">
        <v>218</v>
      </c>
      <c r="DF737" s="27" t="s">
        <v>205</v>
      </c>
      <c r="DG737" s="27" t="s">
        <v>134</v>
      </c>
      <c r="DH737" s="27" t="s">
        <v>182</v>
      </c>
      <c r="DI737" s="27" t="s">
        <v>447</v>
      </c>
      <c r="DJ737" s="27" t="s">
        <v>382</v>
      </c>
      <c r="DK737" s="27" t="s">
        <v>134</v>
      </c>
      <c r="DL737" s="27" t="s">
        <v>164</v>
      </c>
      <c r="DM737" s="27" t="s">
        <v>218</v>
      </c>
      <c r="DN737" s="27" t="s">
        <v>209</v>
      </c>
      <c r="DO737" s="27" t="s">
        <v>134</v>
      </c>
      <c r="DP737" s="27" t="s">
        <v>182</v>
      </c>
      <c r="DQ737" s="27" t="s">
        <v>304</v>
      </c>
      <c r="DR737" s="27" t="s">
        <v>305</v>
      </c>
      <c r="DS737" s="27" t="s">
        <v>134</v>
      </c>
      <c r="DT737" s="27" t="s">
        <v>146</v>
      </c>
      <c r="DU737" s="27" t="s">
        <v>989</v>
      </c>
      <c r="DV737" s="27" t="s">
        <v>398</v>
      </c>
      <c r="DW737" s="27" t="s">
        <v>160</v>
      </c>
      <c r="DX737" s="27" t="s">
        <v>203</v>
      </c>
      <c r="DY737" s="27" t="s">
        <v>153</v>
      </c>
      <c r="DZ737" s="27" t="n">
        <f aca="false">DY737+DV737+DR737+DN737+DJ737+DF737+DB737</f>
        <v>569</v>
      </c>
      <c r="EA737" s="28" t="n">
        <f aca="false">DZ737/7</f>
        <v>81.2857142857143</v>
      </c>
      <c r="EB737" s="27" t="n">
        <f aca="false">RANK(EA737,$EA$2:$EA$881,0)</f>
        <v>335</v>
      </c>
      <c r="EC737" s="29" t="n">
        <f aca="false">DZ737+CQ737+CP737+AZ737</f>
        <v>1354</v>
      </c>
      <c r="ED737" s="30" t="n">
        <f aca="false">(EA737+CV737+BB737)/3</f>
        <v>53.2619047619048</v>
      </c>
      <c r="EE737" s="51" t="n">
        <f aca="false">ROUND(BE737,3)</f>
        <v>84.723</v>
      </c>
      <c r="EF737" s="51" t="n">
        <f aca="false">ROUND(CR737,3)</f>
        <v>0</v>
      </c>
      <c r="EG737" s="51" t="n">
        <f aca="false">ROUND(CS737,3)</f>
        <v>0</v>
      </c>
      <c r="EH737" s="51" t="n">
        <f aca="false">ROUND(EA737,3)</f>
        <v>81.286</v>
      </c>
      <c r="EI737" s="51" t="n">
        <f aca="false">ROUND(ED737,3)</f>
        <v>53.262</v>
      </c>
      <c r="EJ737" s="51" t="n">
        <f aca="false">ROUND(CV737,3)</f>
        <v>0</v>
      </c>
      <c r="EK737" s="0" t="n">
        <f aca="false">RANK(EI737,$EI$2:$EI$881,0)</f>
        <v>736</v>
      </c>
    </row>
    <row r="738" customFormat="false" ht="15" hidden="false" customHeight="false" outlineLevel="0" collapsed="false">
      <c r="A738" s="4" t="n">
        <v>9083</v>
      </c>
      <c r="B738" s="4" t="n">
        <v>422</v>
      </c>
      <c r="C738" s="27" t="s">
        <v>2104</v>
      </c>
      <c r="D738" s="31" t="n">
        <v>427</v>
      </c>
      <c r="E738" s="16" t="n">
        <v>230513592</v>
      </c>
      <c r="F738" s="56" t="s">
        <v>2105</v>
      </c>
      <c r="G738" s="22" t="s">
        <v>900</v>
      </c>
      <c r="H738" s="22" t="s">
        <v>465</v>
      </c>
      <c r="I738" s="80"/>
      <c r="J738" s="16" t="n">
        <v>66</v>
      </c>
      <c r="K738" s="16" t="n">
        <v>83</v>
      </c>
      <c r="L738" s="34" t="n">
        <f aca="false">(K738*70)/100</f>
        <v>58.1</v>
      </c>
      <c r="M738" s="34" t="n">
        <f aca="false">ROUNDUP(L738,0)</f>
        <v>59</v>
      </c>
      <c r="N738" s="16" t="n">
        <v>28</v>
      </c>
      <c r="O738" s="34" t="n">
        <f aca="false">N738+L738</f>
        <v>86.1</v>
      </c>
      <c r="P738" s="34" t="n">
        <f aca="false">N738+M738</f>
        <v>87</v>
      </c>
      <c r="Q738" s="16" t="n">
        <v>89</v>
      </c>
      <c r="R738" s="16" t="n">
        <v>69</v>
      </c>
      <c r="S738" s="34" t="n">
        <f aca="false">(R738*70)/100</f>
        <v>48.3</v>
      </c>
      <c r="T738" s="34" t="n">
        <f aca="false">ROUNDUP(S738,0)</f>
        <v>49</v>
      </c>
      <c r="U738" s="16" t="n">
        <v>25</v>
      </c>
      <c r="V738" s="34" t="n">
        <f aca="false">U738+S738</f>
        <v>73.3</v>
      </c>
      <c r="W738" s="34" t="n">
        <f aca="false">U738+T738</f>
        <v>74</v>
      </c>
      <c r="X738" s="16" t="n">
        <v>71</v>
      </c>
      <c r="Y738" s="34" t="n">
        <f aca="false">(X738*70)/100</f>
        <v>49.7</v>
      </c>
      <c r="Z738" s="34" t="n">
        <f aca="false">ROUNDUP(Y738,0)</f>
        <v>50</v>
      </c>
      <c r="AA738" s="16" t="n">
        <v>28</v>
      </c>
      <c r="AB738" s="34" t="n">
        <f aca="false">AA738+Y738</f>
        <v>77.7</v>
      </c>
      <c r="AC738" s="34" t="n">
        <f aca="false">AA738+Z738</f>
        <v>78</v>
      </c>
      <c r="AD738" s="32" t="n">
        <f aca="false">X738+R738+Q738+K738+J738</f>
        <v>378</v>
      </c>
      <c r="AE738" s="16" t="n">
        <f aca="false">AD738/5</f>
        <v>75.6</v>
      </c>
      <c r="AF738" s="16" t="n">
        <v>70</v>
      </c>
      <c r="AG738" s="16" t="n">
        <v>74</v>
      </c>
      <c r="AH738" s="16" t="n">
        <v>94</v>
      </c>
      <c r="AI738" s="16" t="n">
        <v>91</v>
      </c>
      <c r="AJ738" s="16" t="n">
        <f aca="false">(AI738*70)/100</f>
        <v>63.7</v>
      </c>
      <c r="AK738" s="35" t="n">
        <f aca="false">ROUNDUP(AJ738,0)</f>
        <v>64</v>
      </c>
      <c r="AL738" s="16" t="n">
        <v>24</v>
      </c>
      <c r="AM738" s="16" t="n">
        <f aca="false">AL738+AJ738</f>
        <v>87.7</v>
      </c>
      <c r="AN738" s="16" t="n">
        <f aca="false">AL738+AK738</f>
        <v>88</v>
      </c>
      <c r="AO738" s="16" t="n">
        <v>80</v>
      </c>
      <c r="AP738" s="36" t="n">
        <f aca="false">(AO738*70)/100</f>
        <v>56</v>
      </c>
      <c r="AQ738" s="37" t="n">
        <f aca="false">ROUNDUP(AP738,0)</f>
        <v>56</v>
      </c>
      <c r="AR738" s="16" t="n">
        <v>23</v>
      </c>
      <c r="AS738" s="16" t="n">
        <f aca="false">AR738+AP738</f>
        <v>79</v>
      </c>
      <c r="AT738" s="16" t="n">
        <f aca="false">AR738+AQ738</f>
        <v>79</v>
      </c>
      <c r="AU738" s="16" t="n">
        <f aca="false">AO738+AF738+AI738+AH738+AG738</f>
        <v>409</v>
      </c>
      <c r="AV738" s="16" t="n">
        <f aca="false">(AO738+AF738+AI738+AH738+AG738)/5</f>
        <v>81.8</v>
      </c>
      <c r="AW738" s="36" t="n">
        <f aca="false">(AO738+AF738+AI738+AH738+AG738+X738+R738+Q738+K738+J738)</f>
        <v>787</v>
      </c>
      <c r="AX738" s="16" t="n">
        <f aca="false">AW738/10</f>
        <v>78.7</v>
      </c>
      <c r="AY738" s="16" t="n">
        <f aca="false">AS738+AF738+AM738+AH738+AG738+AB738+V738+Q738+O738+J738</f>
        <v>796.8</v>
      </c>
      <c r="AZ738" s="16" t="n">
        <f aca="false">AT738+AF738+AN738+AH738+AG738+AC738+W738+Q738+P738+J738</f>
        <v>799</v>
      </c>
      <c r="BA738" s="16" t="n">
        <f aca="false">AY738/10</f>
        <v>79.68</v>
      </c>
      <c r="BB738" s="16" t="n">
        <f aca="false">AZ738/10</f>
        <v>79.9</v>
      </c>
      <c r="BC738" s="16" t="n">
        <v>2332</v>
      </c>
      <c r="BD738" s="16" t="n">
        <f aca="false">RANK(AX738,$AX$2:$AX$881,0)</f>
        <v>358</v>
      </c>
      <c r="BE738" s="54" t="n">
        <f aca="false">((BC738*100)/2400)*0.4+(AX738*0.6)</f>
        <v>86.0866666666667</v>
      </c>
      <c r="BF738" s="16" t="n">
        <f aca="false">RANK(BE738,$BE$2:$BE$881,0)</f>
        <v>422</v>
      </c>
      <c r="BG738" s="39" t="n">
        <f aca="false">RANK(BB738,$BB$2:$BB$881,0)</f>
        <v>356</v>
      </c>
      <c r="BH738" s="39" t="n">
        <f aca="false">RANK(BC738,$BC$2:$BC$881,0)</f>
        <v>709</v>
      </c>
      <c r="BI738" s="22" t="s">
        <v>130</v>
      </c>
      <c r="BJ738" s="22" t="s">
        <v>129</v>
      </c>
      <c r="BK738" s="40" t="s">
        <v>131</v>
      </c>
      <c r="BL738" s="101" t="n">
        <v>8.5</v>
      </c>
      <c r="BM738" s="61"/>
      <c r="BN738" s="61"/>
      <c r="BO738" s="42" t="n">
        <v>25</v>
      </c>
      <c r="BP738" s="61"/>
      <c r="BQ738" s="61"/>
      <c r="BR738" s="42" t="n">
        <v>26</v>
      </c>
      <c r="BS738" s="80"/>
      <c r="BT738" s="80"/>
      <c r="BU738" s="80"/>
      <c r="BV738" s="137"/>
      <c r="BW738" s="61"/>
      <c r="BX738" s="107"/>
      <c r="BY738" s="130"/>
      <c r="BZ738" s="60"/>
      <c r="CA738" s="60"/>
      <c r="CB738" s="61"/>
      <c r="CC738" s="60"/>
      <c r="CD738" s="60"/>
      <c r="CE738" s="60"/>
      <c r="CF738" s="60"/>
      <c r="CG738" s="60"/>
      <c r="CH738" s="60"/>
      <c r="CI738" s="60"/>
      <c r="CJ738" s="60"/>
      <c r="CK738" s="60"/>
      <c r="CL738" s="61"/>
      <c r="CM738" s="60"/>
      <c r="CN738" s="60"/>
      <c r="CO738" s="60"/>
      <c r="CP738" s="25" t="n">
        <f aca="false">BX738+BW738+BV738+BU738+BT738+BQ738+BN738</f>
        <v>0</v>
      </c>
      <c r="CQ738" s="25" t="n">
        <f aca="false">CO738+CL738+CI738+CH738+CG738+CD738+CA738</f>
        <v>0</v>
      </c>
      <c r="CR738" s="26" t="n">
        <f aca="false">CP738/7</f>
        <v>0</v>
      </c>
      <c r="CS738" s="26" t="n">
        <f aca="false">CQ738/7</f>
        <v>0</v>
      </c>
      <c r="CT738" s="24" t="n">
        <f aca="false">RANK(CR738,$CR$2:$CR$881,0)</f>
        <v>768</v>
      </c>
      <c r="CU738" s="25" t="n">
        <f aca="false">RANK(CS738,$CS$2:$CS$881,0)</f>
        <v>752</v>
      </c>
      <c r="CV738" s="26" t="n">
        <f aca="false">(CS738+CR738)/2</f>
        <v>0</v>
      </c>
      <c r="CW738" s="25" t="n">
        <f aca="false">RANK(CV738,$CV$2:$CV$881,0)</f>
        <v>753</v>
      </c>
      <c r="CX738" s="50" t="n">
        <f aca="false">(CV738+BB738)/2</f>
        <v>39.95</v>
      </c>
      <c r="CY738" s="50" t="n">
        <v>763</v>
      </c>
      <c r="CZ738" s="27" t="s">
        <v>132</v>
      </c>
      <c r="DA738" s="27" t="s">
        <v>205</v>
      </c>
      <c r="DB738" s="27" t="s">
        <v>205</v>
      </c>
      <c r="DC738" s="27" t="s">
        <v>134</v>
      </c>
      <c r="DD738" s="27" t="s">
        <v>135</v>
      </c>
      <c r="DE738" s="27" t="s">
        <v>177</v>
      </c>
      <c r="DF738" s="27" t="s">
        <v>175</v>
      </c>
      <c r="DG738" s="27" t="s">
        <v>134</v>
      </c>
      <c r="DH738" s="27" t="s">
        <v>160</v>
      </c>
      <c r="DI738" s="27" t="s">
        <v>442</v>
      </c>
      <c r="DJ738" s="27" t="s">
        <v>382</v>
      </c>
      <c r="DK738" s="27" t="s">
        <v>134</v>
      </c>
      <c r="DL738" s="27" t="s">
        <v>182</v>
      </c>
      <c r="DM738" s="27" t="s">
        <v>306</v>
      </c>
      <c r="DN738" s="27" t="s">
        <v>272</v>
      </c>
      <c r="DO738" s="27" t="s">
        <v>134</v>
      </c>
      <c r="DP738" s="27" t="s">
        <v>191</v>
      </c>
      <c r="DQ738" s="27" t="s">
        <v>375</v>
      </c>
      <c r="DR738" s="27" t="s">
        <v>155</v>
      </c>
      <c r="DS738" s="27" t="s">
        <v>134</v>
      </c>
      <c r="DT738" s="27" t="s">
        <v>160</v>
      </c>
      <c r="DU738" s="27" t="s">
        <v>412</v>
      </c>
      <c r="DV738" s="27" t="s">
        <v>272</v>
      </c>
      <c r="DW738" s="27" t="s">
        <v>154</v>
      </c>
      <c r="DX738" s="27" t="s">
        <v>203</v>
      </c>
      <c r="DY738" s="27" t="s">
        <v>175</v>
      </c>
      <c r="DZ738" s="27" t="n">
        <f aca="false">DY738+DV738+DR738+DN738+DJ738+DF738+DB738</f>
        <v>557</v>
      </c>
      <c r="EA738" s="28" t="n">
        <f aca="false">DZ738/7</f>
        <v>79.5714285714286</v>
      </c>
      <c r="EB738" s="27" t="n">
        <f aca="false">RANK(EA738,$EA$2:$EA$881,0)</f>
        <v>410</v>
      </c>
      <c r="EC738" s="29" t="n">
        <f aca="false">DZ738+CQ738+CP738+AZ738</f>
        <v>1356</v>
      </c>
      <c r="ED738" s="30" t="n">
        <f aca="false">(EA738+CV738+BB738)/3</f>
        <v>53.1571428571429</v>
      </c>
      <c r="EE738" s="51" t="n">
        <f aca="false">ROUND(BE738,3)</f>
        <v>86.087</v>
      </c>
      <c r="EF738" s="51" t="n">
        <f aca="false">ROUND(CR738,3)</f>
        <v>0</v>
      </c>
      <c r="EG738" s="51" t="n">
        <f aca="false">ROUND(CS738,3)</f>
        <v>0</v>
      </c>
      <c r="EH738" s="51" t="n">
        <f aca="false">ROUND(EA738,3)</f>
        <v>79.571</v>
      </c>
      <c r="EI738" s="51" t="n">
        <f aca="false">ROUND(ED738,3)</f>
        <v>53.157</v>
      </c>
      <c r="EJ738" s="51" t="n">
        <f aca="false">ROUND(CV738,3)</f>
        <v>0</v>
      </c>
      <c r="EK738" s="0" t="n">
        <f aca="false">RANK(EI738,$EI$2:$EI$881,0)</f>
        <v>737</v>
      </c>
    </row>
    <row r="739" customFormat="false" ht="15" hidden="false" customHeight="false" outlineLevel="0" collapsed="false">
      <c r="A739" s="4" t="n">
        <v>1933</v>
      </c>
      <c r="B739" s="4" t="n">
        <v>359</v>
      </c>
      <c r="C739" s="27" t="s">
        <v>2106</v>
      </c>
      <c r="D739" s="31" t="n">
        <v>364</v>
      </c>
      <c r="E739" s="16" t="n">
        <v>230511841</v>
      </c>
      <c r="F739" s="56" t="s">
        <v>2107</v>
      </c>
      <c r="G739" s="22" t="s">
        <v>1620</v>
      </c>
      <c r="H739" s="22" t="s">
        <v>465</v>
      </c>
      <c r="I739" s="80"/>
      <c r="J739" s="16" t="n">
        <v>77</v>
      </c>
      <c r="K739" s="16" t="n">
        <v>74</v>
      </c>
      <c r="L739" s="34" t="n">
        <f aca="false">(K739*70)/100</f>
        <v>51.8</v>
      </c>
      <c r="M739" s="34" t="n">
        <f aca="false">ROUNDUP(L739,0)</f>
        <v>52</v>
      </c>
      <c r="N739" s="16" t="n">
        <v>29</v>
      </c>
      <c r="O739" s="34" t="n">
        <f aca="false">N739+L739</f>
        <v>80.8</v>
      </c>
      <c r="P739" s="34" t="n">
        <f aca="false">N739+M739</f>
        <v>81</v>
      </c>
      <c r="Q739" s="16" t="n">
        <v>75</v>
      </c>
      <c r="R739" s="16" t="n">
        <v>64</v>
      </c>
      <c r="S739" s="34" t="n">
        <f aca="false">(R739*70)/100</f>
        <v>44.8</v>
      </c>
      <c r="T739" s="34" t="n">
        <f aca="false">ROUNDUP(S739,0)</f>
        <v>45</v>
      </c>
      <c r="U739" s="16" t="n">
        <v>28</v>
      </c>
      <c r="V739" s="34" t="n">
        <f aca="false">U739+S739</f>
        <v>72.8</v>
      </c>
      <c r="W739" s="34" t="n">
        <f aca="false">U739+T739</f>
        <v>73</v>
      </c>
      <c r="X739" s="16" t="n">
        <v>73</v>
      </c>
      <c r="Y739" s="34" t="n">
        <f aca="false">(X739*70)/100</f>
        <v>51.1</v>
      </c>
      <c r="Z739" s="34" t="n">
        <f aca="false">ROUNDUP(Y739,0)</f>
        <v>52</v>
      </c>
      <c r="AA739" s="16" t="n">
        <v>29</v>
      </c>
      <c r="AB739" s="34" t="n">
        <f aca="false">AA739+Y739</f>
        <v>80.1</v>
      </c>
      <c r="AC739" s="34" t="n">
        <f aca="false">AA739+Z739</f>
        <v>81</v>
      </c>
      <c r="AD739" s="32" t="n">
        <f aca="false">X739+R739+Q739+K739+J739</f>
        <v>363</v>
      </c>
      <c r="AE739" s="16" t="n">
        <f aca="false">AD739/5</f>
        <v>72.6</v>
      </c>
      <c r="AF739" s="16" t="n">
        <v>75</v>
      </c>
      <c r="AG739" s="16" t="n">
        <v>83</v>
      </c>
      <c r="AH739" s="16" t="n">
        <v>92</v>
      </c>
      <c r="AI739" s="16" t="n">
        <v>93</v>
      </c>
      <c r="AJ739" s="16" t="n">
        <f aca="false">(AI739*70)/100</f>
        <v>65.1</v>
      </c>
      <c r="AK739" s="35" t="n">
        <f aca="false">ROUNDUP(AJ739,0)</f>
        <v>66</v>
      </c>
      <c r="AL739" s="16" t="n">
        <v>29</v>
      </c>
      <c r="AM739" s="16" t="n">
        <f aca="false">AL739+AJ739</f>
        <v>94.1</v>
      </c>
      <c r="AN739" s="16" t="n">
        <f aca="false">AL739+AK739</f>
        <v>95</v>
      </c>
      <c r="AO739" s="16" t="n">
        <v>70</v>
      </c>
      <c r="AP739" s="36" t="n">
        <f aca="false">(AO739*70)/100</f>
        <v>49</v>
      </c>
      <c r="AQ739" s="37" t="n">
        <f aca="false">ROUNDUP(AP739,0)</f>
        <v>49</v>
      </c>
      <c r="AR739" s="16" t="n">
        <v>22</v>
      </c>
      <c r="AS739" s="16" t="n">
        <f aca="false">AR739+AP739</f>
        <v>71</v>
      </c>
      <c r="AT739" s="16" t="n">
        <f aca="false">AR739+AQ739</f>
        <v>71</v>
      </c>
      <c r="AU739" s="16" t="n">
        <f aca="false">AO739+AF739+AI739+AH739+AG739</f>
        <v>413</v>
      </c>
      <c r="AV739" s="16" t="n">
        <f aca="false">(AO739+AF739+AI739+AH739+AG739)/5</f>
        <v>82.6</v>
      </c>
      <c r="AW739" s="36" t="n">
        <f aca="false">(AO739+AF739+AI739+AH739+AG739+X739+R739+Q739+K739+J739)</f>
        <v>776</v>
      </c>
      <c r="AX739" s="16" t="n">
        <f aca="false">AW739/10</f>
        <v>77.6</v>
      </c>
      <c r="AY739" s="16" t="n">
        <f aca="false">AS739+AF739+AM739+AH739+AG739+AB739+V739+Q739+O739+J739</f>
        <v>800.8</v>
      </c>
      <c r="AZ739" s="16" t="n">
        <f aca="false">AT739+AF739+AN739+AH739+AG739+AC739+W739+Q739+P739+J739</f>
        <v>803</v>
      </c>
      <c r="BA739" s="16" t="n">
        <f aca="false">AY739/10</f>
        <v>80.08</v>
      </c>
      <c r="BB739" s="16" t="n">
        <f aca="false">AZ739/10</f>
        <v>80.3</v>
      </c>
      <c r="BC739" s="16" t="n">
        <v>2349</v>
      </c>
      <c r="BD739" s="16" t="n">
        <f aca="false">RANK(AX739,$AX$2:$AX$881,0)</f>
        <v>444</v>
      </c>
      <c r="BE739" s="54" t="n">
        <f aca="false">((BC739*100)/2400)*0.4+(AX739*0.6)</f>
        <v>85.71</v>
      </c>
      <c r="BF739" s="16" t="n">
        <f aca="false">RANK(BE739,$BE$2:$BE$881,0)</f>
        <v>478</v>
      </c>
      <c r="BG739" s="39" t="n">
        <f aca="false">RANK(BB739,$BB$2:$BB$881,0)</f>
        <v>327</v>
      </c>
      <c r="BH739" s="39" t="n">
        <f aca="false">RANK(BC739,$BC$2:$BC$881,0)</f>
        <v>542</v>
      </c>
      <c r="BI739" s="22" t="s">
        <v>130</v>
      </c>
      <c r="BJ739" s="22" t="s">
        <v>129</v>
      </c>
      <c r="BK739" s="40" t="s">
        <v>509</v>
      </c>
      <c r="BL739" s="101" t="n">
        <v>9.5</v>
      </c>
      <c r="BM739" s="61"/>
      <c r="BN739" s="61"/>
      <c r="BO739" s="42" t="n">
        <v>23</v>
      </c>
      <c r="BP739" s="61"/>
      <c r="BQ739" s="61"/>
      <c r="BR739" s="74" t="n">
        <v>9</v>
      </c>
      <c r="BS739" s="80"/>
      <c r="BT739" s="80"/>
      <c r="BU739" s="80"/>
      <c r="BV739" s="137"/>
      <c r="BW739" s="61"/>
      <c r="BX739" s="107"/>
      <c r="BY739" s="130"/>
      <c r="BZ739" s="60"/>
      <c r="CA739" s="60"/>
      <c r="CB739" s="61"/>
      <c r="CC739" s="60"/>
      <c r="CD739" s="60"/>
      <c r="CE739" s="60"/>
      <c r="CF739" s="60"/>
      <c r="CG739" s="60"/>
      <c r="CH739" s="60"/>
      <c r="CI739" s="60"/>
      <c r="CJ739" s="60"/>
      <c r="CK739" s="60"/>
      <c r="CL739" s="61"/>
      <c r="CM739" s="60"/>
      <c r="CN739" s="60"/>
      <c r="CO739" s="60"/>
      <c r="CP739" s="25" t="n">
        <f aca="false">BX739+BW739+BV739+BU739+BT739+BQ739+BN739</f>
        <v>0</v>
      </c>
      <c r="CQ739" s="25" t="n">
        <f aca="false">CO739+CL739+CI739+CH739+CG739+CD739+CA739</f>
        <v>0</v>
      </c>
      <c r="CR739" s="26" t="n">
        <f aca="false">CP739/7</f>
        <v>0</v>
      </c>
      <c r="CS739" s="26" t="n">
        <f aca="false">CQ739/7</f>
        <v>0</v>
      </c>
      <c r="CT739" s="24" t="n">
        <f aca="false">RANK(CR739,$CR$2:$CR$881,0)</f>
        <v>768</v>
      </c>
      <c r="CU739" s="25" t="n">
        <f aca="false">RANK(CS739,$CS$2:$CS$881,0)</f>
        <v>752</v>
      </c>
      <c r="CV739" s="26" t="n">
        <f aca="false">(CS739+CR739)/2</f>
        <v>0</v>
      </c>
      <c r="CW739" s="25" t="n">
        <f aca="false">RANK(CV739,$CV$2:$CV$881,0)</f>
        <v>753</v>
      </c>
      <c r="CX739" s="50" t="n">
        <f aca="false">(CV739+BB739)/2</f>
        <v>40.15</v>
      </c>
      <c r="CY739" s="50" t="n">
        <v>755</v>
      </c>
      <c r="CZ739" s="27" t="s">
        <v>132</v>
      </c>
      <c r="DA739" s="27" t="s">
        <v>153</v>
      </c>
      <c r="DB739" s="27" t="s">
        <v>153</v>
      </c>
      <c r="DC739" s="27" t="s">
        <v>134</v>
      </c>
      <c r="DD739" s="27" t="s">
        <v>135</v>
      </c>
      <c r="DE739" s="27" t="s">
        <v>442</v>
      </c>
      <c r="DF739" s="27" t="s">
        <v>372</v>
      </c>
      <c r="DG739" s="27" t="s">
        <v>134</v>
      </c>
      <c r="DH739" s="27" t="s">
        <v>164</v>
      </c>
      <c r="DI739" s="27" t="s">
        <v>375</v>
      </c>
      <c r="DJ739" s="27" t="s">
        <v>382</v>
      </c>
      <c r="DK739" s="27" t="s">
        <v>134</v>
      </c>
      <c r="DL739" s="27" t="s">
        <v>182</v>
      </c>
      <c r="DM739" s="27" t="s">
        <v>447</v>
      </c>
      <c r="DN739" s="27" t="s">
        <v>382</v>
      </c>
      <c r="DO739" s="27" t="s">
        <v>134</v>
      </c>
      <c r="DP739" s="27" t="s">
        <v>195</v>
      </c>
      <c r="DQ739" s="27" t="s">
        <v>447</v>
      </c>
      <c r="DR739" s="27" t="s">
        <v>372</v>
      </c>
      <c r="DS739" s="27" t="s">
        <v>134</v>
      </c>
      <c r="DT739" s="27" t="s">
        <v>160</v>
      </c>
      <c r="DU739" s="27" t="s">
        <v>673</v>
      </c>
      <c r="DV739" s="27" t="s">
        <v>138</v>
      </c>
      <c r="DW739" s="27" t="s">
        <v>137</v>
      </c>
      <c r="DX739" s="27" t="s">
        <v>141</v>
      </c>
      <c r="DY739" s="27" t="s">
        <v>151</v>
      </c>
      <c r="DZ739" s="27" t="n">
        <f aca="false">DY739+DV739+DR739+DN739+DJ739+DF739+DB739</f>
        <v>554</v>
      </c>
      <c r="EA739" s="28" t="n">
        <f aca="false">DZ739/7</f>
        <v>79.1428571428571</v>
      </c>
      <c r="EB739" s="27" t="n">
        <f aca="false">RANK(EA739,$EA$2:$EA$881,0)</f>
        <v>426</v>
      </c>
      <c r="EC739" s="29" t="n">
        <f aca="false">DZ739+CQ739+CP739+AZ739</f>
        <v>1357</v>
      </c>
      <c r="ED739" s="30" t="n">
        <f aca="false">(EA739+CV739+BB739)/3</f>
        <v>53.147619047619</v>
      </c>
      <c r="EE739" s="51" t="n">
        <f aca="false">ROUND(BE739,3)</f>
        <v>85.71</v>
      </c>
      <c r="EF739" s="51" t="n">
        <f aca="false">ROUND(CR739,3)</f>
        <v>0</v>
      </c>
      <c r="EG739" s="51" t="n">
        <f aca="false">ROUND(CS739,3)</f>
        <v>0</v>
      </c>
      <c r="EH739" s="51" t="n">
        <f aca="false">ROUND(EA739,3)</f>
        <v>79.143</v>
      </c>
      <c r="EI739" s="51" t="n">
        <f aca="false">ROUND(ED739,3)</f>
        <v>53.148</v>
      </c>
      <c r="EJ739" s="51" t="n">
        <f aca="false">ROUND(CV739,3)</f>
        <v>0</v>
      </c>
      <c r="EK739" s="0" t="n">
        <f aca="false">RANK(EI739,$EI$2:$EI$881,0)</f>
        <v>738</v>
      </c>
    </row>
    <row r="740" customFormat="false" ht="15" hidden="false" customHeight="false" outlineLevel="0" collapsed="false">
      <c r="A740" s="4" t="n">
        <v>1881</v>
      </c>
      <c r="B740" s="4" t="n">
        <v>623</v>
      </c>
      <c r="C740" s="27" t="s">
        <v>2108</v>
      </c>
      <c r="D740" s="31" t="n">
        <v>631</v>
      </c>
      <c r="E740" s="16" t="n">
        <v>230510639</v>
      </c>
      <c r="F740" s="56" t="s">
        <v>2109</v>
      </c>
      <c r="G740" s="22" t="s">
        <v>2110</v>
      </c>
      <c r="H740" s="22" t="s">
        <v>465</v>
      </c>
      <c r="I740" s="80"/>
      <c r="J740" s="16" t="n">
        <v>87</v>
      </c>
      <c r="K740" s="16" t="n">
        <v>54</v>
      </c>
      <c r="L740" s="34" t="n">
        <f aca="false">(K740*70)/100</f>
        <v>37.8</v>
      </c>
      <c r="M740" s="34" t="n">
        <f aca="false">ROUNDUP(L740,0)</f>
        <v>38</v>
      </c>
      <c r="N740" s="16" t="n">
        <v>26</v>
      </c>
      <c r="O740" s="34" t="n">
        <f aca="false">N740+L740</f>
        <v>63.8</v>
      </c>
      <c r="P740" s="34" t="n">
        <f aca="false">N740+M740</f>
        <v>64</v>
      </c>
      <c r="Q740" s="16" t="n">
        <v>71</v>
      </c>
      <c r="R740" s="16" t="n">
        <v>74</v>
      </c>
      <c r="S740" s="34" t="n">
        <f aca="false">(R740*70)/100</f>
        <v>51.8</v>
      </c>
      <c r="T740" s="34" t="n">
        <f aca="false">ROUNDUP(S740,0)</f>
        <v>52</v>
      </c>
      <c r="U740" s="16" t="n">
        <v>26</v>
      </c>
      <c r="V740" s="34" t="n">
        <f aca="false">U740+S740</f>
        <v>77.8</v>
      </c>
      <c r="W740" s="34" t="n">
        <f aca="false">U740+T740</f>
        <v>78</v>
      </c>
      <c r="X740" s="16" t="n">
        <v>71</v>
      </c>
      <c r="Y740" s="34" t="n">
        <f aca="false">(X740*70)/100</f>
        <v>49.7</v>
      </c>
      <c r="Z740" s="34" t="n">
        <f aca="false">ROUNDUP(Y740,0)</f>
        <v>50</v>
      </c>
      <c r="AA740" s="16" t="n">
        <v>29</v>
      </c>
      <c r="AB740" s="34" t="n">
        <f aca="false">AA740+Y740</f>
        <v>78.7</v>
      </c>
      <c r="AC740" s="34" t="n">
        <f aca="false">AA740+Z740</f>
        <v>79</v>
      </c>
      <c r="AD740" s="32" t="n">
        <f aca="false">X740+R740+Q740+K740+J740</f>
        <v>357</v>
      </c>
      <c r="AE740" s="16" t="n">
        <f aca="false">AD740/5</f>
        <v>71.4</v>
      </c>
      <c r="AF740" s="16" t="n">
        <v>79</v>
      </c>
      <c r="AG740" s="16" t="n">
        <v>83</v>
      </c>
      <c r="AH740" s="16" t="n">
        <v>90</v>
      </c>
      <c r="AI740" s="16" t="n">
        <v>81</v>
      </c>
      <c r="AJ740" s="16" t="n">
        <f aca="false">(AI740*70)/100</f>
        <v>56.7</v>
      </c>
      <c r="AK740" s="35" t="n">
        <f aca="false">ROUNDUP(AJ740,0)</f>
        <v>57</v>
      </c>
      <c r="AL740" s="16" t="n">
        <v>25</v>
      </c>
      <c r="AM740" s="16" t="n">
        <f aca="false">AL740+AJ740</f>
        <v>81.7</v>
      </c>
      <c r="AN740" s="16" t="n">
        <f aca="false">AL740+AK740</f>
        <v>82</v>
      </c>
      <c r="AO740" s="16" t="n">
        <v>65</v>
      </c>
      <c r="AP740" s="36" t="n">
        <f aca="false">(AO740*70)/100</f>
        <v>45.5</v>
      </c>
      <c r="AQ740" s="37" t="n">
        <f aca="false">ROUNDUP(AP740,0)</f>
        <v>46</v>
      </c>
      <c r="AR740" s="16" t="n">
        <v>29</v>
      </c>
      <c r="AS740" s="16" t="n">
        <f aca="false">AR740+AP740</f>
        <v>74.5</v>
      </c>
      <c r="AT740" s="16" t="n">
        <f aca="false">AR740+AQ740</f>
        <v>75</v>
      </c>
      <c r="AU740" s="16" t="n">
        <f aca="false">AO740+AF740+AI740+AH740+AG740</f>
        <v>398</v>
      </c>
      <c r="AV740" s="16" t="n">
        <f aca="false">(AO740+AF740+AI740+AH740+AG740)/5</f>
        <v>79.6</v>
      </c>
      <c r="AW740" s="36" t="n">
        <f aca="false">(AO740+AF740+AI740+AH740+AG740+X740+R740+Q740+K740+J740)</f>
        <v>755</v>
      </c>
      <c r="AX740" s="16" t="n">
        <f aca="false">AW740/10</f>
        <v>75.5</v>
      </c>
      <c r="AY740" s="16" t="n">
        <f aca="false">AS740+AF740+AM740+AH740+AG740+AB740+V740+Q740+O740+J740</f>
        <v>786.5</v>
      </c>
      <c r="AZ740" s="16" t="n">
        <f aca="false">AT740+AF740+AN740+AH740+AG740+AC740+W740+Q740+P740+J740</f>
        <v>788</v>
      </c>
      <c r="BA740" s="16" t="n">
        <f aca="false">AY740/10</f>
        <v>78.65</v>
      </c>
      <c r="BB740" s="16" t="n">
        <f aca="false">AZ740/10</f>
        <v>78.8</v>
      </c>
      <c r="BC740" s="16" t="n">
        <v>2380</v>
      </c>
      <c r="BD740" s="16" t="n">
        <f aca="false">RANK(AX740,$AX$2:$AX$881,0)</f>
        <v>659</v>
      </c>
      <c r="BE740" s="73" t="n">
        <f aca="false">((BC740*100)/2400)*0.4+(AX740*0.6)</f>
        <v>84.9666666666667</v>
      </c>
      <c r="BF740" s="16" t="n">
        <f aca="false">RANK(BE740,$BE$2:$BE$881,0)</f>
        <v>620</v>
      </c>
      <c r="BG740" s="39" t="n">
        <f aca="false">RANK(BB740,$BB$2:$BB$881,0)</f>
        <v>472</v>
      </c>
      <c r="BH740" s="39" t="n">
        <f aca="false">RANK(BC740,$BC$2:$BC$881,0)</f>
        <v>148</v>
      </c>
      <c r="BI740" s="22" t="s">
        <v>130</v>
      </c>
      <c r="BJ740" s="22" t="s">
        <v>129</v>
      </c>
      <c r="BK740" s="22" t="s">
        <v>509</v>
      </c>
      <c r="BL740" s="105" t="n">
        <v>11.5</v>
      </c>
      <c r="BM740" s="61"/>
      <c r="BN740" s="61"/>
      <c r="BO740" s="42" t="n">
        <v>27</v>
      </c>
      <c r="BP740" s="61"/>
      <c r="BQ740" s="61"/>
      <c r="BR740" s="42" t="n">
        <v>24</v>
      </c>
      <c r="BS740" s="80"/>
      <c r="BT740" s="80"/>
      <c r="BU740" s="80"/>
      <c r="BV740" s="137"/>
      <c r="BW740" s="61"/>
      <c r="BX740" s="107"/>
      <c r="BY740" s="130"/>
      <c r="BZ740" s="60"/>
      <c r="CA740" s="60"/>
      <c r="CB740" s="61"/>
      <c r="CC740" s="60"/>
      <c r="CD740" s="60"/>
      <c r="CE740" s="60"/>
      <c r="CF740" s="60"/>
      <c r="CG740" s="60"/>
      <c r="CH740" s="60"/>
      <c r="CI740" s="60"/>
      <c r="CJ740" s="60"/>
      <c r="CK740" s="60"/>
      <c r="CL740" s="61"/>
      <c r="CM740" s="60"/>
      <c r="CN740" s="60"/>
      <c r="CO740" s="60"/>
      <c r="CP740" s="25" t="n">
        <f aca="false">BX740+BW740+BV740+BU740+BT740+BQ740+BN740</f>
        <v>0</v>
      </c>
      <c r="CQ740" s="25" t="n">
        <f aca="false">CO740+CL740+CI740+CH740+CG740+CD740+CA740</f>
        <v>0</v>
      </c>
      <c r="CR740" s="26" t="n">
        <f aca="false">CP740/7</f>
        <v>0</v>
      </c>
      <c r="CS740" s="26" t="n">
        <f aca="false">CQ740/7</f>
        <v>0</v>
      </c>
      <c r="CT740" s="24" t="n">
        <f aca="false">RANK(CR740,$CR$2:$CR$881,0)</f>
        <v>768</v>
      </c>
      <c r="CU740" s="25" t="n">
        <f aca="false">RANK(CS740,$CS$2:$CS$881,0)</f>
        <v>752</v>
      </c>
      <c r="CV740" s="26" t="n">
        <f aca="false">(CS740+CR740)/2</f>
        <v>0</v>
      </c>
      <c r="CW740" s="25" t="n">
        <f aca="false">RANK(CV740,$CV$2:$CV$881,0)</f>
        <v>753</v>
      </c>
      <c r="CX740" s="50" t="n">
        <f aca="false">(CV740+BB740)/2</f>
        <v>39.4</v>
      </c>
      <c r="CY740" s="50" t="n">
        <v>797</v>
      </c>
      <c r="CZ740" s="27" t="s">
        <v>132</v>
      </c>
      <c r="DA740" s="27" t="s">
        <v>153</v>
      </c>
      <c r="DB740" s="27" t="s">
        <v>153</v>
      </c>
      <c r="DC740" s="27" t="s">
        <v>134</v>
      </c>
      <c r="DD740" s="27" t="s">
        <v>154</v>
      </c>
      <c r="DE740" s="27" t="s">
        <v>218</v>
      </c>
      <c r="DF740" s="27" t="s">
        <v>219</v>
      </c>
      <c r="DG740" s="27" t="s">
        <v>134</v>
      </c>
      <c r="DH740" s="27" t="s">
        <v>160</v>
      </c>
      <c r="DI740" s="27" t="s">
        <v>681</v>
      </c>
      <c r="DJ740" s="27" t="s">
        <v>372</v>
      </c>
      <c r="DK740" s="27" t="s">
        <v>134</v>
      </c>
      <c r="DL740" s="27" t="s">
        <v>154</v>
      </c>
      <c r="DM740" s="27" t="s">
        <v>218</v>
      </c>
      <c r="DN740" s="27" t="s">
        <v>219</v>
      </c>
      <c r="DO740" s="27" t="s">
        <v>134</v>
      </c>
      <c r="DP740" s="27" t="s">
        <v>191</v>
      </c>
      <c r="DQ740" s="27" t="s">
        <v>375</v>
      </c>
      <c r="DR740" s="27" t="s">
        <v>155</v>
      </c>
      <c r="DS740" s="27" t="s">
        <v>134</v>
      </c>
      <c r="DT740" s="27" t="s">
        <v>140</v>
      </c>
      <c r="DU740" s="27" t="s">
        <v>412</v>
      </c>
      <c r="DV740" s="27" t="s">
        <v>219</v>
      </c>
      <c r="DW740" s="27" t="s">
        <v>174</v>
      </c>
      <c r="DX740" s="27" t="s">
        <v>141</v>
      </c>
      <c r="DY740" s="27" t="s">
        <v>162</v>
      </c>
      <c r="DZ740" s="27" t="n">
        <f aca="false">DY740+DV740+DR740+DN740+DJ740+DF740+DB740</f>
        <v>563</v>
      </c>
      <c r="EA740" s="28" t="n">
        <f aca="false">DZ740/7</f>
        <v>80.4285714285714</v>
      </c>
      <c r="EB740" s="27" t="n">
        <f aca="false">RANK(EA740,$EA$2:$EA$881,0)</f>
        <v>373</v>
      </c>
      <c r="EC740" s="29" t="n">
        <f aca="false">DZ740+CQ740+CP740+AZ740</f>
        <v>1351</v>
      </c>
      <c r="ED740" s="30" t="n">
        <f aca="false">(EA740+CV740+BB740)/3</f>
        <v>53.0761904761905</v>
      </c>
      <c r="EE740" s="51" t="n">
        <f aca="false">ROUND(BE740,3)</f>
        <v>84.967</v>
      </c>
      <c r="EF740" s="51" t="n">
        <f aca="false">ROUND(CR740,3)</f>
        <v>0</v>
      </c>
      <c r="EG740" s="51" t="n">
        <f aca="false">ROUND(CS740,3)</f>
        <v>0</v>
      </c>
      <c r="EH740" s="51" t="n">
        <f aca="false">ROUND(EA740,3)</f>
        <v>80.429</v>
      </c>
      <c r="EI740" s="51" t="n">
        <f aca="false">ROUND(ED740,3)</f>
        <v>53.076</v>
      </c>
      <c r="EJ740" s="51" t="n">
        <f aca="false">ROUND(CV740,3)</f>
        <v>0</v>
      </c>
      <c r="EK740" s="0" t="n">
        <f aca="false">RANK(EI740,$EI$2:$EI$881,0)</f>
        <v>739</v>
      </c>
    </row>
    <row r="741" customFormat="false" ht="15" hidden="false" customHeight="false" outlineLevel="0" collapsed="false">
      <c r="A741" s="4" t="n">
        <v>2091</v>
      </c>
      <c r="B741" s="4" t="n">
        <v>820</v>
      </c>
      <c r="C741" s="27" t="s">
        <v>2111</v>
      </c>
      <c r="D741" s="31" t="n">
        <v>842</v>
      </c>
      <c r="E741" s="16" t="n">
        <v>230511039</v>
      </c>
      <c r="F741" s="56" t="s">
        <v>2112</v>
      </c>
      <c r="G741" s="22" t="s">
        <v>289</v>
      </c>
      <c r="H741" s="22" t="s">
        <v>465</v>
      </c>
      <c r="I741" s="80"/>
      <c r="J741" s="16" t="n">
        <v>74</v>
      </c>
      <c r="K741" s="16" t="n">
        <v>82</v>
      </c>
      <c r="L741" s="34" t="n">
        <f aca="false">(K741*70)/100</f>
        <v>57.4</v>
      </c>
      <c r="M741" s="34" t="n">
        <f aca="false">ROUNDUP(L741,0)</f>
        <v>58</v>
      </c>
      <c r="N741" s="16" t="n">
        <v>28</v>
      </c>
      <c r="O741" s="34" t="n">
        <f aca="false">N741+L741</f>
        <v>85.4</v>
      </c>
      <c r="P741" s="34" t="n">
        <f aca="false">N741+M741</f>
        <v>86</v>
      </c>
      <c r="Q741" s="16" t="n">
        <v>87</v>
      </c>
      <c r="R741" s="16" t="n">
        <v>82</v>
      </c>
      <c r="S741" s="34" t="n">
        <f aca="false">(R741*70)/100</f>
        <v>57.4</v>
      </c>
      <c r="T741" s="34" t="n">
        <f aca="false">ROUNDUP(S741,0)</f>
        <v>58</v>
      </c>
      <c r="U741" s="16" t="n">
        <v>29</v>
      </c>
      <c r="V741" s="34" t="n">
        <f aca="false">U741+S741</f>
        <v>86.4</v>
      </c>
      <c r="W741" s="34" t="n">
        <f aca="false">U741+T741</f>
        <v>87</v>
      </c>
      <c r="X741" s="16" t="n">
        <v>71</v>
      </c>
      <c r="Y741" s="34" t="n">
        <f aca="false">(X741*70)/100</f>
        <v>49.7</v>
      </c>
      <c r="Z741" s="34" t="n">
        <f aca="false">ROUNDUP(Y741,0)</f>
        <v>50</v>
      </c>
      <c r="AA741" s="16" t="n">
        <v>27</v>
      </c>
      <c r="AB741" s="34" t="n">
        <f aca="false">AA741+Y741</f>
        <v>76.7</v>
      </c>
      <c r="AC741" s="34" t="n">
        <f aca="false">AA741+Z741</f>
        <v>77</v>
      </c>
      <c r="AD741" s="32" t="n">
        <f aca="false">X741+R741+Q741+K741+J741</f>
        <v>396</v>
      </c>
      <c r="AE741" s="16" t="n">
        <f aca="false">AD741/5</f>
        <v>79.2</v>
      </c>
      <c r="AF741" s="16" t="n">
        <v>79</v>
      </c>
      <c r="AG741" s="16" t="n">
        <v>80</v>
      </c>
      <c r="AH741" s="16" t="n">
        <v>88</v>
      </c>
      <c r="AI741" s="16" t="n">
        <v>62</v>
      </c>
      <c r="AJ741" s="16" t="n">
        <f aca="false">(AI741*70)/100</f>
        <v>43.4</v>
      </c>
      <c r="AK741" s="35" t="n">
        <f aca="false">ROUNDUP(AJ741,0)</f>
        <v>44</v>
      </c>
      <c r="AL741" s="16" t="n">
        <v>29</v>
      </c>
      <c r="AM741" s="16" t="n">
        <f aca="false">AL741+AJ741</f>
        <v>72.4</v>
      </c>
      <c r="AN741" s="16" t="n">
        <f aca="false">AL741+AK741</f>
        <v>73</v>
      </c>
      <c r="AO741" s="16" t="n">
        <v>60</v>
      </c>
      <c r="AP741" s="36" t="n">
        <f aca="false">(AO741*70)/100</f>
        <v>42</v>
      </c>
      <c r="AQ741" s="37" t="n">
        <f aca="false">ROUNDUP(AP741,0)</f>
        <v>42</v>
      </c>
      <c r="AR741" s="16" t="n">
        <v>22</v>
      </c>
      <c r="AS741" s="16" t="n">
        <f aca="false">AR741+AP741</f>
        <v>64</v>
      </c>
      <c r="AT741" s="16" t="n">
        <f aca="false">AR741+AQ741</f>
        <v>64</v>
      </c>
      <c r="AU741" s="16" t="n">
        <f aca="false">AO741+AF741+AI741+AH741+AG741</f>
        <v>369</v>
      </c>
      <c r="AV741" s="16" t="n">
        <f aca="false">(AO741+AF741+AI741+AH741+AG741)/5</f>
        <v>73.8</v>
      </c>
      <c r="AW741" s="36" t="n">
        <f aca="false">(AO741+AF741+AI741+AH741+AG741+X741+R741+Q741+K741+J741)</f>
        <v>765</v>
      </c>
      <c r="AX741" s="16" t="n">
        <f aca="false">AW741/10</f>
        <v>76.5</v>
      </c>
      <c r="AY741" s="16" t="n">
        <f aca="false">AS741+AF741+AM741+AH741+AG741+AB741+V741+Q741+O741+J741</f>
        <v>792.9</v>
      </c>
      <c r="AZ741" s="16" t="n">
        <f aca="false">AT741+AF741+AN741+AH741+AG741+AC741+W741+Q741+P741+J741</f>
        <v>795</v>
      </c>
      <c r="BA741" s="16" t="n">
        <f aca="false">AY741/10</f>
        <v>79.29</v>
      </c>
      <c r="BB741" s="16" t="n">
        <f aca="false">AZ741/10</f>
        <v>79.5</v>
      </c>
      <c r="BC741" s="16" t="n">
        <v>2381</v>
      </c>
      <c r="BD741" s="16" t="n">
        <f aca="false">RANK(AX741,$AX$2:$AX$881,0)</f>
        <v>562</v>
      </c>
      <c r="BE741" s="54" t="n">
        <f aca="false">((BC741*100)/2400)*0.4+(AX741*0.6)</f>
        <v>85.5833333333333</v>
      </c>
      <c r="BF741" s="16" t="n">
        <f aca="false">RANK(BE741,$BE$2:$BE$881,0)</f>
        <v>492</v>
      </c>
      <c r="BG741" s="39" t="n">
        <f aca="false">RANK(BB741,$BB$2:$BB$881,0)</f>
        <v>407</v>
      </c>
      <c r="BH741" s="39" t="n">
        <f aca="false">RANK(BC741,$BC$2:$BC$881,0)</f>
        <v>136</v>
      </c>
      <c r="BI741" s="22" t="s">
        <v>130</v>
      </c>
      <c r="BJ741" s="22" t="s">
        <v>129</v>
      </c>
      <c r="BK741" s="40" t="s">
        <v>509</v>
      </c>
      <c r="BL741" s="98" t="n">
        <v>9</v>
      </c>
      <c r="BM741" s="61"/>
      <c r="BN741" s="61"/>
      <c r="BO741" s="42" t="n">
        <v>21</v>
      </c>
      <c r="BP741" s="61"/>
      <c r="BQ741" s="61"/>
      <c r="BR741" s="74" t="n">
        <v>8</v>
      </c>
      <c r="BS741" s="80"/>
      <c r="BT741" s="80"/>
      <c r="BU741" s="80"/>
      <c r="BV741" s="137"/>
      <c r="BW741" s="61"/>
      <c r="BX741" s="107"/>
      <c r="BY741" s="130"/>
      <c r="BZ741" s="60"/>
      <c r="CA741" s="60"/>
      <c r="CB741" s="61"/>
      <c r="CC741" s="60"/>
      <c r="CD741" s="60"/>
      <c r="CE741" s="60"/>
      <c r="CF741" s="60"/>
      <c r="CG741" s="60"/>
      <c r="CH741" s="60"/>
      <c r="CI741" s="60"/>
      <c r="CJ741" s="60"/>
      <c r="CK741" s="60"/>
      <c r="CL741" s="61"/>
      <c r="CM741" s="60"/>
      <c r="CN741" s="60"/>
      <c r="CO741" s="60"/>
      <c r="CP741" s="25" t="n">
        <f aca="false">BX741+BW741+BV741+BU741+BT741+BQ741+BN741</f>
        <v>0</v>
      </c>
      <c r="CQ741" s="25" t="n">
        <f aca="false">CO741+CL741+CI741+CH741+CG741+CD741+CA741</f>
        <v>0</v>
      </c>
      <c r="CR741" s="26" t="n">
        <f aca="false">CP741/7</f>
        <v>0</v>
      </c>
      <c r="CS741" s="26" t="n">
        <f aca="false">CQ741/7</f>
        <v>0</v>
      </c>
      <c r="CT741" s="24" t="n">
        <f aca="false">RANK(CR741,$CR$2:$CR$881,0)</f>
        <v>768</v>
      </c>
      <c r="CU741" s="25" t="n">
        <f aca="false">RANK(CS741,$CS$2:$CS$881,0)</f>
        <v>752</v>
      </c>
      <c r="CV741" s="26" t="n">
        <f aca="false">(CS741+CR741)/2</f>
        <v>0</v>
      </c>
      <c r="CW741" s="25" t="n">
        <f aca="false">RANK(CV741,$CV$2:$CV$881,0)</f>
        <v>753</v>
      </c>
      <c r="CX741" s="50" t="n">
        <f aca="false">(CV741+BB741)/2</f>
        <v>39.75</v>
      </c>
      <c r="CY741" s="50" t="n">
        <v>775</v>
      </c>
      <c r="CZ741" s="27" t="s">
        <v>132</v>
      </c>
      <c r="DA741" s="27" t="s">
        <v>169</v>
      </c>
      <c r="DB741" s="27" t="s">
        <v>169</v>
      </c>
      <c r="DC741" s="27" t="s">
        <v>134</v>
      </c>
      <c r="DD741" s="27" t="s">
        <v>174</v>
      </c>
      <c r="DE741" s="27" t="s">
        <v>306</v>
      </c>
      <c r="DF741" s="27" t="s">
        <v>382</v>
      </c>
      <c r="DG741" s="27" t="s">
        <v>134</v>
      </c>
      <c r="DH741" s="27" t="s">
        <v>137</v>
      </c>
      <c r="DI741" s="27" t="s">
        <v>415</v>
      </c>
      <c r="DJ741" s="27" t="s">
        <v>486</v>
      </c>
      <c r="DK741" s="27" t="s">
        <v>134</v>
      </c>
      <c r="DL741" s="27" t="s">
        <v>195</v>
      </c>
      <c r="DM741" s="27" t="s">
        <v>306</v>
      </c>
      <c r="DN741" s="27" t="s">
        <v>443</v>
      </c>
      <c r="DO741" s="27" t="s">
        <v>134</v>
      </c>
      <c r="DP741" s="27" t="s">
        <v>191</v>
      </c>
      <c r="DQ741" s="27" t="s">
        <v>183</v>
      </c>
      <c r="DR741" s="27" t="s">
        <v>305</v>
      </c>
      <c r="DS741" s="27" t="s">
        <v>134</v>
      </c>
      <c r="DT741" s="27" t="s">
        <v>154</v>
      </c>
      <c r="DU741" s="27" t="s">
        <v>447</v>
      </c>
      <c r="DV741" s="27" t="s">
        <v>443</v>
      </c>
      <c r="DW741" s="27" t="s">
        <v>135</v>
      </c>
      <c r="DX741" s="27" t="s">
        <v>155</v>
      </c>
      <c r="DY741" s="27" t="s">
        <v>139</v>
      </c>
      <c r="DZ741" s="27" t="n">
        <f aca="false">DY741+DV741+DR741+DN741+DJ741+DF741+DB741</f>
        <v>558</v>
      </c>
      <c r="EA741" s="28" t="n">
        <f aca="false">DZ741/7</f>
        <v>79.7142857142857</v>
      </c>
      <c r="EB741" s="27" t="n">
        <f aca="false">RANK(EA741,$EA$2:$EA$881,0)</f>
        <v>404</v>
      </c>
      <c r="EC741" s="29" t="n">
        <f aca="false">DZ741+CQ741+CP741+AZ741</f>
        <v>1353</v>
      </c>
      <c r="ED741" s="30" t="n">
        <f aca="false">(EA741+CV741+BB741)/3</f>
        <v>53.0714285714286</v>
      </c>
      <c r="EE741" s="51" t="n">
        <f aca="false">ROUND(BE741,3)</f>
        <v>85.583</v>
      </c>
      <c r="EF741" s="51" t="n">
        <f aca="false">ROUND(CR741,3)</f>
        <v>0</v>
      </c>
      <c r="EG741" s="51" t="n">
        <f aca="false">ROUND(CS741,3)</f>
        <v>0</v>
      </c>
      <c r="EH741" s="51" t="n">
        <f aca="false">ROUND(EA741,3)</f>
        <v>79.714</v>
      </c>
      <c r="EI741" s="51" t="n">
        <f aca="false">ROUND(ED741,3)</f>
        <v>53.071</v>
      </c>
      <c r="EJ741" s="51" t="n">
        <f aca="false">ROUND(CV741,3)</f>
        <v>0</v>
      </c>
      <c r="EK741" s="0" t="n">
        <f aca="false">RANK(EI741,$EI$2:$EI$881,0)</f>
        <v>740</v>
      </c>
    </row>
    <row r="742" customFormat="false" ht="15" hidden="false" customHeight="false" outlineLevel="0" collapsed="false">
      <c r="A742" s="4" t="n">
        <v>9120</v>
      </c>
      <c r="B742" s="4" t="n">
        <v>679</v>
      </c>
      <c r="C742" s="27" t="s">
        <v>2113</v>
      </c>
      <c r="D742" s="31" t="n">
        <v>693</v>
      </c>
      <c r="E742" s="16" t="n">
        <v>230506888</v>
      </c>
      <c r="F742" s="56" t="s">
        <v>2114</v>
      </c>
      <c r="G742" s="22" t="s">
        <v>1135</v>
      </c>
      <c r="H742" s="22" t="s">
        <v>465</v>
      </c>
      <c r="I742" s="80"/>
      <c r="J742" s="16" t="n">
        <v>74</v>
      </c>
      <c r="K742" s="16" t="n">
        <v>72</v>
      </c>
      <c r="L742" s="34" t="n">
        <f aca="false">(K742*70)/100</f>
        <v>50.4</v>
      </c>
      <c r="M742" s="34" t="n">
        <f aca="false">ROUNDUP(L742,0)</f>
        <v>51</v>
      </c>
      <c r="N742" s="16" t="n">
        <v>23</v>
      </c>
      <c r="O742" s="34" t="n">
        <f aca="false">N742+L742</f>
        <v>73.4</v>
      </c>
      <c r="P742" s="34" t="n">
        <f aca="false">N742+M742</f>
        <v>74</v>
      </c>
      <c r="Q742" s="16" t="n">
        <v>76</v>
      </c>
      <c r="R742" s="16" t="n">
        <v>77</v>
      </c>
      <c r="S742" s="34" t="n">
        <f aca="false">(R742*70)/100</f>
        <v>53.9</v>
      </c>
      <c r="T742" s="34" t="n">
        <f aca="false">ROUNDUP(S742,0)</f>
        <v>54</v>
      </c>
      <c r="U742" s="16" t="n">
        <v>27</v>
      </c>
      <c r="V742" s="34" t="n">
        <f aca="false">U742+S742</f>
        <v>80.9</v>
      </c>
      <c r="W742" s="34" t="n">
        <f aca="false">U742+T742</f>
        <v>81</v>
      </c>
      <c r="X742" s="16" t="n">
        <v>75</v>
      </c>
      <c r="Y742" s="34" t="n">
        <f aca="false">(X742*70)/100</f>
        <v>52.5</v>
      </c>
      <c r="Z742" s="34" t="n">
        <f aca="false">ROUNDUP(Y742,0)</f>
        <v>53</v>
      </c>
      <c r="AA742" s="16" t="n">
        <v>25</v>
      </c>
      <c r="AB742" s="34" t="n">
        <f aca="false">AA742+Y742</f>
        <v>77.5</v>
      </c>
      <c r="AC742" s="34" t="n">
        <f aca="false">AA742+Z742</f>
        <v>78</v>
      </c>
      <c r="AD742" s="32" t="n">
        <f aca="false">X742+R742+Q742+K742+J742</f>
        <v>374</v>
      </c>
      <c r="AE742" s="16" t="n">
        <f aca="false">AD742/5</f>
        <v>74.8</v>
      </c>
      <c r="AF742" s="16" t="n">
        <v>73</v>
      </c>
      <c r="AG742" s="16" t="n">
        <v>80</v>
      </c>
      <c r="AH742" s="16" t="n">
        <v>87</v>
      </c>
      <c r="AI742" s="16" t="n">
        <v>87</v>
      </c>
      <c r="AJ742" s="16" t="n">
        <f aca="false">(AI742*70)/100</f>
        <v>60.9</v>
      </c>
      <c r="AK742" s="35" t="n">
        <f aca="false">ROUNDUP(AJ742,0)</f>
        <v>61</v>
      </c>
      <c r="AL742" s="16" t="n">
        <v>30</v>
      </c>
      <c r="AM742" s="16" t="n">
        <f aca="false">AL742+AJ742</f>
        <v>90.9</v>
      </c>
      <c r="AN742" s="16" t="n">
        <f aca="false">AL742+AK742</f>
        <v>91</v>
      </c>
      <c r="AO742" s="16" t="n">
        <v>78</v>
      </c>
      <c r="AP742" s="36" t="n">
        <f aca="false">(AO742*70)/100</f>
        <v>54.6</v>
      </c>
      <c r="AQ742" s="37" t="n">
        <f aca="false">ROUNDUP(AP742,0)</f>
        <v>55</v>
      </c>
      <c r="AR742" s="16" t="n">
        <v>27</v>
      </c>
      <c r="AS742" s="16" t="n">
        <f aca="false">AR742+AP742</f>
        <v>81.6</v>
      </c>
      <c r="AT742" s="16" t="n">
        <f aca="false">AR742+AQ742</f>
        <v>82</v>
      </c>
      <c r="AU742" s="16" t="n">
        <f aca="false">AO742+AF742+AI742+AH742+AG742</f>
        <v>405</v>
      </c>
      <c r="AV742" s="16" t="n">
        <f aca="false">(AO742+AF742+AI742+AH742+AG742)/5</f>
        <v>81</v>
      </c>
      <c r="AW742" s="36" t="n">
        <f aca="false">(AO742+AF742+AI742+AH742+AG742+X742+R742+Q742+K742+J742)</f>
        <v>779</v>
      </c>
      <c r="AX742" s="16" t="n">
        <f aca="false">AW742/10</f>
        <v>77.9</v>
      </c>
      <c r="AY742" s="16" t="n">
        <f aca="false">AS742+AF742+AM742+AH742+AG742+AB742+V742+Q742+O742+J742</f>
        <v>794.3</v>
      </c>
      <c r="AZ742" s="16" t="n">
        <f aca="false">AT742+AF742+AN742+AH742+AG742+AC742+W742+Q742+P742+J742</f>
        <v>796</v>
      </c>
      <c r="BA742" s="16" t="n">
        <f aca="false">AY742/10</f>
        <v>79.43</v>
      </c>
      <c r="BB742" s="16" t="n">
        <f aca="false">AZ742/10</f>
        <v>79.6</v>
      </c>
      <c r="BC742" s="16" t="n">
        <v>2366</v>
      </c>
      <c r="BD742" s="16" t="n">
        <f aca="false">RANK(AX742,$AX$2:$AX$881,0)</f>
        <v>414</v>
      </c>
      <c r="BE742" s="54" t="n">
        <f aca="false">((BC742*100)/2400)*0.4+(AX742*0.6)</f>
        <v>86.1733333333334</v>
      </c>
      <c r="BF742" s="16" t="n">
        <f aca="false">RANK(BE742,$BE$2:$BE$881,0)</f>
        <v>407</v>
      </c>
      <c r="BG742" s="39" t="n">
        <f aca="false">RANK(BB742,$BB$2:$BB$881,0)</f>
        <v>392</v>
      </c>
      <c r="BH742" s="39" t="n">
        <f aca="false">RANK(BC742,$BC$2:$BC$881,0)</f>
        <v>319</v>
      </c>
      <c r="BI742" s="22" t="s">
        <v>130</v>
      </c>
      <c r="BJ742" s="22" t="s">
        <v>129</v>
      </c>
      <c r="BK742" s="40" t="s">
        <v>131</v>
      </c>
      <c r="BL742" s="101" t="n">
        <v>9.5</v>
      </c>
      <c r="BM742" s="61"/>
      <c r="BN742" s="61"/>
      <c r="BO742" s="42" t="n">
        <v>23</v>
      </c>
      <c r="BP742" s="61"/>
      <c r="BQ742" s="61"/>
      <c r="BR742" s="74" t="n">
        <v>8</v>
      </c>
      <c r="BS742" s="80"/>
      <c r="BT742" s="80"/>
      <c r="BU742" s="80"/>
      <c r="BV742" s="137"/>
      <c r="BW742" s="61"/>
      <c r="BX742" s="107"/>
      <c r="BY742" s="130"/>
      <c r="BZ742" s="60"/>
      <c r="CA742" s="60"/>
      <c r="CB742" s="61"/>
      <c r="CC742" s="60"/>
      <c r="CD742" s="60"/>
      <c r="CE742" s="60"/>
      <c r="CF742" s="60"/>
      <c r="CG742" s="60"/>
      <c r="CH742" s="60"/>
      <c r="CI742" s="60"/>
      <c r="CJ742" s="60"/>
      <c r="CK742" s="60"/>
      <c r="CL742" s="61"/>
      <c r="CM742" s="60"/>
      <c r="CN742" s="60"/>
      <c r="CO742" s="60"/>
      <c r="CP742" s="25" t="n">
        <f aca="false">BX742+BW742+BV742+BU742+BT742+BQ742+BN742</f>
        <v>0</v>
      </c>
      <c r="CQ742" s="25" t="n">
        <f aca="false">CO742+CL742+CI742+CH742+CG742+CD742+CA742</f>
        <v>0</v>
      </c>
      <c r="CR742" s="26" t="n">
        <f aca="false">CP742/7</f>
        <v>0</v>
      </c>
      <c r="CS742" s="26" t="n">
        <f aca="false">CQ742/7</f>
        <v>0</v>
      </c>
      <c r="CT742" s="24" t="n">
        <f aca="false">RANK(CR742,$CR$2:$CR$881,0)</f>
        <v>768</v>
      </c>
      <c r="CU742" s="25" t="n">
        <f aca="false">RANK(CS742,$CS$2:$CS$881,0)</f>
        <v>752</v>
      </c>
      <c r="CV742" s="26" t="n">
        <f aca="false">(CS742+CR742)/2</f>
        <v>0</v>
      </c>
      <c r="CW742" s="25" t="n">
        <f aca="false">RANK(CV742,$CV$2:$CV$881,0)</f>
        <v>753</v>
      </c>
      <c r="CX742" s="50" t="n">
        <f aca="false">(CV742+BB742)/2</f>
        <v>39.8</v>
      </c>
      <c r="CY742" s="50" t="n">
        <v>772</v>
      </c>
      <c r="CZ742" s="27" t="s">
        <v>132</v>
      </c>
      <c r="DA742" s="27" t="s">
        <v>202</v>
      </c>
      <c r="DB742" s="27" t="s">
        <v>202</v>
      </c>
      <c r="DC742" s="27" t="s">
        <v>134</v>
      </c>
      <c r="DD742" s="27" t="s">
        <v>174</v>
      </c>
      <c r="DE742" s="27" t="s">
        <v>306</v>
      </c>
      <c r="DF742" s="27" t="s">
        <v>382</v>
      </c>
      <c r="DG742" s="27" t="s">
        <v>134</v>
      </c>
      <c r="DH742" s="27" t="s">
        <v>182</v>
      </c>
      <c r="DI742" s="27" t="s">
        <v>304</v>
      </c>
      <c r="DJ742" s="27" t="s">
        <v>305</v>
      </c>
      <c r="DK742" s="27" t="s">
        <v>134</v>
      </c>
      <c r="DL742" s="27" t="s">
        <v>174</v>
      </c>
      <c r="DM742" s="27" t="s">
        <v>204</v>
      </c>
      <c r="DN742" s="27" t="s">
        <v>196</v>
      </c>
      <c r="DO742" s="27" t="s">
        <v>134</v>
      </c>
      <c r="DP742" s="27" t="s">
        <v>706</v>
      </c>
      <c r="DQ742" s="27" t="s">
        <v>313</v>
      </c>
      <c r="DR742" s="27" t="s">
        <v>141</v>
      </c>
      <c r="DS742" s="27" t="s">
        <v>134</v>
      </c>
      <c r="DT742" s="27" t="s">
        <v>137</v>
      </c>
      <c r="DU742" s="27" t="s">
        <v>304</v>
      </c>
      <c r="DV742" s="27" t="s">
        <v>219</v>
      </c>
      <c r="DW742" s="27" t="s">
        <v>386</v>
      </c>
      <c r="DX742" s="27" t="s">
        <v>155</v>
      </c>
      <c r="DY742" s="27" t="s">
        <v>133</v>
      </c>
      <c r="DZ742" s="27" t="n">
        <f aca="false">DY742+DV742+DR742+DN742+DJ742+DF742+DB742</f>
        <v>557</v>
      </c>
      <c r="EA742" s="28" t="n">
        <f aca="false">DZ742/7</f>
        <v>79.5714285714286</v>
      </c>
      <c r="EB742" s="27" t="n">
        <f aca="false">RANK(EA742,$EA$2:$EA$881,0)</f>
        <v>410</v>
      </c>
      <c r="EC742" s="29" t="n">
        <f aca="false">DZ742+CQ742+CP742+AZ742</f>
        <v>1353</v>
      </c>
      <c r="ED742" s="30" t="n">
        <f aca="false">(EA742+CV742+BB742)/3</f>
        <v>53.0571428571429</v>
      </c>
      <c r="EE742" s="51" t="n">
        <f aca="false">ROUND(BE742,3)</f>
        <v>86.173</v>
      </c>
      <c r="EF742" s="51" t="n">
        <f aca="false">ROUND(CR742,3)</f>
        <v>0</v>
      </c>
      <c r="EG742" s="51" t="n">
        <f aca="false">ROUND(CS742,3)</f>
        <v>0</v>
      </c>
      <c r="EH742" s="51" t="n">
        <f aca="false">ROUND(EA742,3)</f>
        <v>79.571</v>
      </c>
      <c r="EI742" s="51" t="n">
        <f aca="false">ROUND(ED742,3)</f>
        <v>53.057</v>
      </c>
      <c r="EJ742" s="51" t="n">
        <f aca="false">ROUND(CV742,3)</f>
        <v>0</v>
      </c>
      <c r="EK742" s="0" t="n">
        <f aca="false">RANK(EI742,$EI$2:$EI$881,0)</f>
        <v>741</v>
      </c>
    </row>
    <row r="743" customFormat="false" ht="15" hidden="false" customHeight="false" outlineLevel="0" collapsed="false">
      <c r="A743" s="4" t="n">
        <v>8871</v>
      </c>
      <c r="B743" s="4" t="n">
        <v>594</v>
      </c>
      <c r="C743" s="27" t="s">
        <v>2115</v>
      </c>
      <c r="D743" s="52" t="n">
        <v>602</v>
      </c>
      <c r="E743" s="136"/>
      <c r="F743" s="110" t="s">
        <v>2116</v>
      </c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  <c r="AX743" s="136"/>
      <c r="AY743" s="136"/>
      <c r="AZ743" s="136"/>
      <c r="BA743" s="136"/>
      <c r="BB743" s="136"/>
      <c r="BC743" s="136"/>
      <c r="BD743" s="16" t="e">
        <f aca="false">RANK(AX743,$AX$2:$AX$881,0)</f>
        <v>#N/A</v>
      </c>
      <c r="BE743" s="138"/>
      <c r="BF743" s="16" t="n">
        <f aca="false">RANK(BE743,$BE$2:$BE$881,0)</f>
        <v>806</v>
      </c>
      <c r="BG743" s="39" t="e">
        <f aca="false">RANK(BB743,$BB$2:$BB$881,0)</f>
        <v>#N/A</v>
      </c>
      <c r="BH743" s="39" t="n">
        <f aca="false">RANK(BC743,$BC$2:$BC$881,0)</f>
        <v>780</v>
      </c>
      <c r="BI743" s="19" t="s">
        <v>130</v>
      </c>
      <c r="BJ743" s="19" t="s">
        <v>129</v>
      </c>
      <c r="BK743" s="109" t="s">
        <v>1596</v>
      </c>
      <c r="BL743" s="41" t="n">
        <v>28</v>
      </c>
      <c r="BM743" s="41" t="n">
        <v>58</v>
      </c>
      <c r="BN743" s="41" t="n">
        <v>86</v>
      </c>
      <c r="BO743" s="42" t="n">
        <v>29</v>
      </c>
      <c r="BP743" s="43" t="n">
        <v>67</v>
      </c>
      <c r="BQ743" s="44" t="n">
        <v>96</v>
      </c>
      <c r="BR743" s="42" t="n">
        <v>28</v>
      </c>
      <c r="BS743" s="45" t="n">
        <v>62</v>
      </c>
      <c r="BT743" s="45" t="n">
        <v>90</v>
      </c>
      <c r="BU743" s="46" t="n">
        <v>100</v>
      </c>
      <c r="BV743" s="60"/>
      <c r="BW743" s="43" t="n">
        <v>99</v>
      </c>
      <c r="BX743" s="80"/>
      <c r="BY743" s="32" t="n">
        <v>28</v>
      </c>
      <c r="BZ743" s="32" t="n">
        <v>57</v>
      </c>
      <c r="CA743" s="32" t="n">
        <v>85</v>
      </c>
      <c r="CB743" s="32" t="n">
        <v>24</v>
      </c>
      <c r="CC743" s="32" t="n">
        <v>39</v>
      </c>
      <c r="CD743" s="32" t="n">
        <v>63</v>
      </c>
      <c r="CE743" s="32" t="n">
        <v>24</v>
      </c>
      <c r="CF743" s="32" t="n">
        <v>54</v>
      </c>
      <c r="CG743" s="32" t="n">
        <v>78</v>
      </c>
      <c r="CH743" s="32" t="n">
        <v>96</v>
      </c>
      <c r="CI743" s="32" t="n">
        <v>99</v>
      </c>
      <c r="CJ743" s="49" t="n">
        <v>27</v>
      </c>
      <c r="CK743" s="49" t="n">
        <v>48</v>
      </c>
      <c r="CL743" s="49" t="n">
        <v>75</v>
      </c>
      <c r="CM743" s="49" t="n">
        <v>26</v>
      </c>
      <c r="CN743" s="49" t="n">
        <v>57</v>
      </c>
      <c r="CO743" s="49" t="n">
        <v>83</v>
      </c>
      <c r="CP743" s="25" t="n">
        <f aca="false">BX743+BW743+BV743+BU743+BT743+BQ743+BN743</f>
        <v>471</v>
      </c>
      <c r="CQ743" s="25" t="n">
        <f aca="false">CO743+CL743+CI743+CH743+CG743+CD743+CA743</f>
        <v>579</v>
      </c>
      <c r="CR743" s="26" t="n">
        <f aca="false">CP743/7</f>
        <v>67.2857142857143</v>
      </c>
      <c r="CS743" s="26" t="n">
        <f aca="false">CQ743/7</f>
        <v>82.7142857142857</v>
      </c>
      <c r="CT743" s="24" t="n">
        <f aca="false">RANK(CR743,$CR$2:$CR$881,0)</f>
        <v>697</v>
      </c>
      <c r="CU743" s="25" t="n">
        <f aca="false">RANK(CS743,$CS$2:$CS$881,0)</f>
        <v>167</v>
      </c>
      <c r="CV743" s="26" t="n">
        <f aca="false">(CS743+CR743)/2</f>
        <v>75</v>
      </c>
      <c r="CW743" s="25" t="n">
        <f aca="false">RANK(CV743,$CV$2:$CV$881,0)</f>
        <v>557</v>
      </c>
      <c r="CX743" s="50" t="n">
        <f aca="false">(CV743+BB743)/2</f>
        <v>37.5</v>
      </c>
      <c r="CY743" s="50" t="n">
        <v>853</v>
      </c>
      <c r="CZ743" s="27" t="s">
        <v>132</v>
      </c>
      <c r="DA743" s="27" t="s">
        <v>219</v>
      </c>
      <c r="DB743" s="27" t="s">
        <v>219</v>
      </c>
      <c r="DC743" s="27" t="s">
        <v>134</v>
      </c>
      <c r="DD743" s="27" t="s">
        <v>135</v>
      </c>
      <c r="DE743" s="27" t="s">
        <v>177</v>
      </c>
      <c r="DF743" s="27" t="s">
        <v>175</v>
      </c>
      <c r="DG743" s="27" t="s">
        <v>134</v>
      </c>
      <c r="DH743" s="27" t="s">
        <v>191</v>
      </c>
      <c r="DI743" s="27" t="s">
        <v>177</v>
      </c>
      <c r="DJ743" s="27" t="s">
        <v>219</v>
      </c>
      <c r="DK743" s="27" t="s">
        <v>134</v>
      </c>
      <c r="DL743" s="27" t="s">
        <v>182</v>
      </c>
      <c r="DM743" s="27" t="s">
        <v>220</v>
      </c>
      <c r="DN743" s="27" t="s">
        <v>219</v>
      </c>
      <c r="DO743" s="27" t="s">
        <v>134</v>
      </c>
      <c r="DP743" s="27" t="s">
        <v>195</v>
      </c>
      <c r="DQ743" s="27" t="s">
        <v>375</v>
      </c>
      <c r="DR743" s="27" t="s">
        <v>416</v>
      </c>
      <c r="DS743" s="27" t="s">
        <v>134</v>
      </c>
      <c r="DT743" s="27" t="s">
        <v>140</v>
      </c>
      <c r="DU743" s="27" t="s">
        <v>187</v>
      </c>
      <c r="DV743" s="27" t="s">
        <v>139</v>
      </c>
      <c r="DW743" s="27" t="s">
        <v>137</v>
      </c>
      <c r="DX743" s="27" t="s">
        <v>138</v>
      </c>
      <c r="DY743" s="27" t="s">
        <v>139</v>
      </c>
      <c r="DZ743" s="27" t="n">
        <f aca="false">DY743+DV743+DR743+DN743+DJ743+DF743+DB743</f>
        <v>586</v>
      </c>
      <c r="EA743" s="28" t="n">
        <f aca="false">DZ743/7</f>
        <v>83.7142857142857</v>
      </c>
      <c r="EB743" s="27" t="n">
        <f aca="false">RANK(EA743,$EA$2:$EA$881,0)</f>
        <v>237</v>
      </c>
      <c r="EC743" s="29" t="n">
        <f aca="false">DZ743+CQ743+CP743+AZ743</f>
        <v>1636</v>
      </c>
      <c r="ED743" s="30" t="n">
        <f aca="false">(EA743+CV743+BB743)/3</f>
        <v>52.9047619047619</v>
      </c>
      <c r="EE743" s="51" t="n">
        <f aca="false">ROUND(BE743,3)</f>
        <v>0</v>
      </c>
      <c r="EF743" s="51" t="n">
        <f aca="false">ROUND(CR743,3)</f>
        <v>67.286</v>
      </c>
      <c r="EG743" s="51" t="n">
        <f aca="false">ROUND(CS743,3)</f>
        <v>82.714</v>
      </c>
      <c r="EH743" s="51" t="n">
        <f aca="false">ROUND(EA743,3)</f>
        <v>83.714</v>
      </c>
      <c r="EI743" s="51" t="n">
        <f aca="false">ROUND(ED743,3)</f>
        <v>52.905</v>
      </c>
      <c r="EJ743" s="51" t="n">
        <f aca="false">ROUND(CV743,3)</f>
        <v>75</v>
      </c>
      <c r="EK743" s="0" t="n">
        <f aca="false">RANK(EI743,$EI$2:$EI$881,0)</f>
        <v>742</v>
      </c>
    </row>
    <row r="744" customFormat="false" ht="15" hidden="false" customHeight="false" outlineLevel="0" collapsed="false">
      <c r="A744" s="4" t="n">
        <v>1971</v>
      </c>
      <c r="B744" s="4" t="n">
        <v>856</v>
      </c>
      <c r="C744" s="27" t="s">
        <v>2117</v>
      </c>
      <c r="D744" s="31" t="n">
        <v>876</v>
      </c>
      <c r="E744" s="16" t="n">
        <v>230407569</v>
      </c>
      <c r="F744" s="56" t="s">
        <v>2118</v>
      </c>
      <c r="G744" s="22" t="s">
        <v>407</v>
      </c>
      <c r="H744" s="22" t="s">
        <v>271</v>
      </c>
      <c r="I744" s="57"/>
      <c r="J744" s="16" t="n">
        <v>78</v>
      </c>
      <c r="K744" s="16" t="n">
        <v>74</v>
      </c>
      <c r="L744" s="34" t="n">
        <f aca="false">(K744*70)/100</f>
        <v>51.8</v>
      </c>
      <c r="M744" s="34" t="n">
        <f aca="false">ROUNDUP(L744,0)</f>
        <v>52</v>
      </c>
      <c r="N744" s="16" t="n">
        <v>16</v>
      </c>
      <c r="O744" s="34" t="n">
        <f aca="false">N744+L744</f>
        <v>67.8</v>
      </c>
      <c r="P744" s="34" t="n">
        <f aca="false">N744+M744</f>
        <v>68</v>
      </c>
      <c r="Q744" s="16" t="n">
        <v>72</v>
      </c>
      <c r="R744" s="16" t="n">
        <v>70</v>
      </c>
      <c r="S744" s="34" t="n">
        <f aca="false">(R744*70)/100</f>
        <v>49</v>
      </c>
      <c r="T744" s="34" t="n">
        <f aca="false">ROUNDUP(S744,0)</f>
        <v>49</v>
      </c>
      <c r="U744" s="16" t="n">
        <v>28</v>
      </c>
      <c r="V744" s="34" t="n">
        <f aca="false">U744+S744</f>
        <v>77</v>
      </c>
      <c r="W744" s="34" t="n">
        <f aca="false">U744+T744</f>
        <v>77</v>
      </c>
      <c r="X744" s="16" t="n">
        <v>71</v>
      </c>
      <c r="Y744" s="34" t="n">
        <f aca="false">(X744*70)/100</f>
        <v>49.7</v>
      </c>
      <c r="Z744" s="34" t="n">
        <f aca="false">ROUNDUP(Y744,0)</f>
        <v>50</v>
      </c>
      <c r="AA744" s="16" t="n">
        <v>26</v>
      </c>
      <c r="AB744" s="34" t="n">
        <f aca="false">AA744+Y744</f>
        <v>75.7</v>
      </c>
      <c r="AC744" s="34" t="n">
        <f aca="false">AA744+Z744</f>
        <v>76</v>
      </c>
      <c r="AD744" s="32" t="n">
        <f aca="false">X744+R744+Q744+K744+J744</f>
        <v>365</v>
      </c>
      <c r="AE744" s="16" t="n">
        <f aca="false">AD744/5</f>
        <v>73</v>
      </c>
      <c r="AF744" s="16" t="n">
        <v>73</v>
      </c>
      <c r="AG744" s="16" t="n">
        <v>73</v>
      </c>
      <c r="AH744" s="16" t="n">
        <v>93</v>
      </c>
      <c r="AI744" s="16" t="n">
        <v>89</v>
      </c>
      <c r="AJ744" s="16" t="n">
        <f aca="false">(AI744*70)/100</f>
        <v>62.3</v>
      </c>
      <c r="AK744" s="35" t="n">
        <f aca="false">ROUNDUP(AJ744,0)</f>
        <v>63</v>
      </c>
      <c r="AL744" s="16" t="n">
        <v>16</v>
      </c>
      <c r="AM744" s="16" t="n">
        <f aca="false">AL744+AJ744</f>
        <v>78.3</v>
      </c>
      <c r="AN744" s="16" t="n">
        <f aca="false">AL744+AK744</f>
        <v>79</v>
      </c>
      <c r="AO744" s="16" t="n">
        <v>76</v>
      </c>
      <c r="AP744" s="36" t="n">
        <f aca="false">(AO744*70)/100</f>
        <v>53.2</v>
      </c>
      <c r="AQ744" s="37" t="n">
        <f aca="false">ROUNDUP(AP744,0)</f>
        <v>54</v>
      </c>
      <c r="AR744" s="16" t="n">
        <v>19</v>
      </c>
      <c r="AS744" s="16" t="n">
        <f aca="false">AR744+AP744</f>
        <v>72.2</v>
      </c>
      <c r="AT744" s="16" t="n">
        <f aca="false">AR744+AQ744</f>
        <v>73</v>
      </c>
      <c r="AU744" s="16" t="n">
        <f aca="false">AO744+AF744+AI744+AH744+AG744</f>
        <v>404</v>
      </c>
      <c r="AV744" s="16" t="n">
        <f aca="false">(AO744+AF744+AI744+AH744+AG744)/5</f>
        <v>80.8</v>
      </c>
      <c r="AW744" s="36" t="n">
        <f aca="false">(AO744+AF744+AI744+AH744+AG744+X744+R744+Q744+K744+J744)</f>
        <v>769</v>
      </c>
      <c r="AX744" s="16" t="n">
        <f aca="false">AW744/10</f>
        <v>76.9</v>
      </c>
      <c r="AY744" s="16" t="n">
        <f aca="false">AS744+AF744+AM744+AH744+AG744+AB744+V744+Q744+O744+J744</f>
        <v>760</v>
      </c>
      <c r="AZ744" s="16" t="n">
        <f aca="false">AT744+AF744+AN744+AH744+AG744+AC744+W744+Q744+P744+J744</f>
        <v>762</v>
      </c>
      <c r="BA744" s="16" t="n">
        <f aca="false">AY744/10</f>
        <v>76</v>
      </c>
      <c r="BB744" s="16" t="n">
        <f aca="false">AZ744/10</f>
        <v>76.2</v>
      </c>
      <c r="BC744" s="16" t="n">
        <v>2338</v>
      </c>
      <c r="BD744" s="16" t="n">
        <f aca="false">RANK(AX744,$AX$2:$AX$881,0)</f>
        <v>519</v>
      </c>
      <c r="BE744" s="54" t="n">
        <f aca="false">((BC744*100)/2400)*0.4+(AX744*0.6)</f>
        <v>85.1066666666667</v>
      </c>
      <c r="BF744" s="16" t="n">
        <f aca="false">RANK(BE744,$BE$2:$BE$881,0)</f>
        <v>585</v>
      </c>
      <c r="BG744" s="39" t="n">
        <f aca="false">RANK(BB744,$BB$2:$BB$881,0)</f>
        <v>672</v>
      </c>
      <c r="BH744" s="39" t="n">
        <f aca="false">RANK(BC744,$BC$2:$BC$881,0)</f>
        <v>649</v>
      </c>
      <c r="BI744" s="22" t="s">
        <v>130</v>
      </c>
      <c r="BJ744" s="22" t="s">
        <v>129</v>
      </c>
      <c r="BK744" s="40" t="s">
        <v>509</v>
      </c>
      <c r="BL744" s="41" t="n">
        <v>22</v>
      </c>
      <c r="BM744" s="41" t="n">
        <v>40</v>
      </c>
      <c r="BN744" s="41" t="n">
        <v>62</v>
      </c>
      <c r="BO744" s="42" t="n">
        <v>24</v>
      </c>
      <c r="BP744" s="61"/>
      <c r="BQ744" s="61"/>
      <c r="BR744" s="42" t="n">
        <v>17</v>
      </c>
      <c r="BS744" s="45" t="n">
        <v>43</v>
      </c>
      <c r="BT744" s="45" t="n">
        <v>60</v>
      </c>
      <c r="BU744" s="46" t="n">
        <v>100</v>
      </c>
      <c r="BV744" s="60"/>
      <c r="BW744" s="43" t="n">
        <v>95</v>
      </c>
      <c r="BX744" s="80"/>
      <c r="BY744" s="130"/>
      <c r="BZ744" s="60"/>
      <c r="CA744" s="60"/>
      <c r="CB744" s="61"/>
      <c r="CC744" s="60"/>
      <c r="CD744" s="60"/>
      <c r="CE744" s="60"/>
      <c r="CF744" s="60"/>
      <c r="CG744" s="60"/>
      <c r="CH744" s="60"/>
      <c r="CI744" s="60"/>
      <c r="CJ744" s="60"/>
      <c r="CK744" s="60"/>
      <c r="CL744" s="61"/>
      <c r="CM744" s="60"/>
      <c r="CN744" s="60"/>
      <c r="CO744" s="60"/>
      <c r="CP744" s="25" t="n">
        <f aca="false">BX744+BW744+BV744+BU744+BT744+BQ744+BN744</f>
        <v>317</v>
      </c>
      <c r="CQ744" s="25" t="n">
        <f aca="false">CO744+CL744+CI744+CH744+CG744+CD744+CA744</f>
        <v>0</v>
      </c>
      <c r="CR744" s="26" t="n">
        <f aca="false">CP744/7</f>
        <v>45.2857142857143</v>
      </c>
      <c r="CS744" s="26" t="n">
        <f aca="false">CQ744/7</f>
        <v>0</v>
      </c>
      <c r="CT744" s="24" t="n">
        <f aca="false">RANK(CR744,$CR$2:$CR$881,0)</f>
        <v>745</v>
      </c>
      <c r="CU744" s="25" t="n">
        <f aca="false">RANK(CS744,$CS$2:$CS$881,0)</f>
        <v>752</v>
      </c>
      <c r="CV744" s="26" t="n">
        <f aca="false">(CS744+CR744)/2</f>
        <v>22.6428571428571</v>
      </c>
      <c r="CW744" s="25" t="n">
        <f aca="false">RANK(CV744,$CV$2:$CV$881,0)</f>
        <v>746</v>
      </c>
      <c r="CX744" s="50" t="n">
        <f aca="false">(CV744+BB744)/2</f>
        <v>49.4214285714286</v>
      </c>
      <c r="CY744" s="50" t="n">
        <v>710</v>
      </c>
      <c r="CZ744" s="27" t="s">
        <v>132</v>
      </c>
      <c r="DA744" s="27" t="s">
        <v>162</v>
      </c>
      <c r="DB744" s="27" t="s">
        <v>162</v>
      </c>
      <c r="DC744" s="27" t="s">
        <v>134</v>
      </c>
      <c r="DD744" s="27" t="s">
        <v>137</v>
      </c>
      <c r="DE744" s="27" t="s">
        <v>306</v>
      </c>
      <c r="DF744" s="27" t="s">
        <v>196</v>
      </c>
      <c r="DG744" s="27" t="s">
        <v>134</v>
      </c>
      <c r="DH744" s="27" t="s">
        <v>164</v>
      </c>
      <c r="DI744" s="27" t="s">
        <v>412</v>
      </c>
      <c r="DJ744" s="27" t="s">
        <v>305</v>
      </c>
      <c r="DK744" s="27" t="s">
        <v>134</v>
      </c>
      <c r="DL744" s="27" t="s">
        <v>174</v>
      </c>
      <c r="DM744" s="27" t="s">
        <v>619</v>
      </c>
      <c r="DN744" s="27" t="s">
        <v>174</v>
      </c>
      <c r="DO744" s="27" t="s">
        <v>480</v>
      </c>
      <c r="DP744" s="27"/>
      <c r="DQ744" s="27"/>
      <c r="DR744" s="27"/>
      <c r="DS744" s="27"/>
      <c r="DT744" s="27" t="s">
        <v>154</v>
      </c>
      <c r="DU744" s="27" t="s">
        <v>1395</v>
      </c>
      <c r="DV744" s="27" t="s">
        <v>218</v>
      </c>
      <c r="DW744" s="27" t="s">
        <v>182</v>
      </c>
      <c r="DX744" s="27" t="s">
        <v>143</v>
      </c>
      <c r="DY744" s="27" t="s">
        <v>176</v>
      </c>
      <c r="DZ744" s="27" t="n">
        <f aca="false">DY744+DV744+DR744+DN744+DJ744+DF744+DB744</f>
        <v>419</v>
      </c>
      <c r="EA744" s="28" t="n">
        <f aca="false">DZ744/7</f>
        <v>59.8571428571429</v>
      </c>
      <c r="EB744" s="27" t="n">
        <f aca="false">RANK(EA744,$EA$2:$EA$881,0)</f>
        <v>784</v>
      </c>
      <c r="EC744" s="29" t="n">
        <f aca="false">DZ744+CQ744+CP744+AZ744</f>
        <v>1498</v>
      </c>
      <c r="ED744" s="30" t="n">
        <f aca="false">(EA744+CV744+BB744)/3</f>
        <v>52.9</v>
      </c>
      <c r="EE744" s="51" t="n">
        <f aca="false">ROUND(BE744,3)</f>
        <v>85.107</v>
      </c>
      <c r="EF744" s="51" t="n">
        <f aca="false">ROUND(CR744,3)</f>
        <v>45.286</v>
      </c>
      <c r="EG744" s="51" t="n">
        <f aca="false">ROUND(CS744,3)</f>
        <v>0</v>
      </c>
      <c r="EH744" s="51" t="n">
        <f aca="false">ROUND(EA744,3)</f>
        <v>59.857</v>
      </c>
      <c r="EI744" s="51" t="n">
        <f aca="false">ROUND(ED744,3)</f>
        <v>52.9</v>
      </c>
      <c r="EJ744" s="51" t="n">
        <f aca="false">ROUND(CV744,3)</f>
        <v>22.643</v>
      </c>
      <c r="EK744" s="0" t="n">
        <f aca="false">RANK(EI744,$EI$2:$EI$881,0)</f>
        <v>743</v>
      </c>
    </row>
    <row r="745" customFormat="false" ht="15" hidden="false" customHeight="false" outlineLevel="0" collapsed="false">
      <c r="A745" s="4" t="n">
        <v>2013</v>
      </c>
      <c r="B745" s="4" t="n">
        <v>214</v>
      </c>
      <c r="C745" s="27" t="s">
        <v>2119</v>
      </c>
      <c r="D745" s="31" t="n">
        <v>215</v>
      </c>
      <c r="E745" s="16" t="n">
        <v>230514642</v>
      </c>
      <c r="F745" s="56" t="s">
        <v>2120</v>
      </c>
      <c r="G745" s="22" t="s">
        <v>464</v>
      </c>
      <c r="H745" s="22" t="s">
        <v>465</v>
      </c>
      <c r="I745" s="80"/>
      <c r="J745" s="16" t="n">
        <v>84</v>
      </c>
      <c r="K745" s="16" t="n">
        <v>61</v>
      </c>
      <c r="L745" s="34" t="n">
        <f aca="false">(K745*70)/100</f>
        <v>42.7</v>
      </c>
      <c r="M745" s="34" t="n">
        <f aca="false">ROUNDUP(L745,0)</f>
        <v>43</v>
      </c>
      <c r="N745" s="16" t="n">
        <v>25</v>
      </c>
      <c r="O745" s="34" t="n">
        <f aca="false">N745+L745</f>
        <v>67.7</v>
      </c>
      <c r="P745" s="34" t="n">
        <f aca="false">N745+M745</f>
        <v>68</v>
      </c>
      <c r="Q745" s="16" t="n">
        <v>69</v>
      </c>
      <c r="R745" s="16" t="n">
        <v>76</v>
      </c>
      <c r="S745" s="34" t="n">
        <f aca="false">(R745*70)/100</f>
        <v>53.2</v>
      </c>
      <c r="T745" s="34" t="n">
        <f aca="false">ROUNDUP(S745,0)</f>
        <v>54</v>
      </c>
      <c r="U745" s="16" t="n">
        <v>26</v>
      </c>
      <c r="V745" s="34" t="n">
        <f aca="false">U745+S745</f>
        <v>79.2</v>
      </c>
      <c r="W745" s="34" t="n">
        <f aca="false">U745+T745</f>
        <v>80</v>
      </c>
      <c r="X745" s="16" t="n">
        <v>65</v>
      </c>
      <c r="Y745" s="34" t="n">
        <f aca="false">(X745*70)/100</f>
        <v>45.5</v>
      </c>
      <c r="Z745" s="34" t="n">
        <f aca="false">ROUNDUP(Y745,0)</f>
        <v>46</v>
      </c>
      <c r="AA745" s="16" t="n">
        <v>29</v>
      </c>
      <c r="AB745" s="34" t="n">
        <f aca="false">AA745+Y745</f>
        <v>74.5</v>
      </c>
      <c r="AC745" s="34" t="n">
        <f aca="false">AA745+Z745</f>
        <v>75</v>
      </c>
      <c r="AD745" s="32" t="n">
        <f aca="false">X745+R745+Q745+K745+J745</f>
        <v>355</v>
      </c>
      <c r="AE745" s="16" t="n">
        <f aca="false">AD745/5</f>
        <v>71</v>
      </c>
      <c r="AF745" s="16" t="n">
        <v>72</v>
      </c>
      <c r="AG745" s="16" t="n">
        <v>85</v>
      </c>
      <c r="AH745" s="16" t="n">
        <v>93</v>
      </c>
      <c r="AI745" s="16" t="n">
        <v>90</v>
      </c>
      <c r="AJ745" s="16" t="n">
        <f aca="false">(AI745*70)/100</f>
        <v>63</v>
      </c>
      <c r="AK745" s="35" t="n">
        <f aca="false">ROUNDUP(AJ745,0)</f>
        <v>63</v>
      </c>
      <c r="AL745" s="16" t="n">
        <v>28</v>
      </c>
      <c r="AM745" s="16" t="n">
        <f aca="false">AL745+AJ745</f>
        <v>91</v>
      </c>
      <c r="AN745" s="16" t="n">
        <f aca="false">AL745+AK745</f>
        <v>91</v>
      </c>
      <c r="AO745" s="16" t="n">
        <v>77</v>
      </c>
      <c r="AP745" s="36" t="n">
        <f aca="false">(AO745*70)/100</f>
        <v>53.9</v>
      </c>
      <c r="AQ745" s="37" t="n">
        <f aca="false">ROUNDUP(AP745,0)</f>
        <v>54</v>
      </c>
      <c r="AR745" s="16" t="n">
        <v>27</v>
      </c>
      <c r="AS745" s="16" t="n">
        <f aca="false">AR745+AP745</f>
        <v>80.9</v>
      </c>
      <c r="AT745" s="16" t="n">
        <f aca="false">AR745+AQ745</f>
        <v>81</v>
      </c>
      <c r="AU745" s="16" t="n">
        <f aca="false">AO745+AF745+AI745+AH745+AG745</f>
        <v>417</v>
      </c>
      <c r="AV745" s="16" t="n">
        <f aca="false">(AO745+AF745+AI745+AH745+AG745)/5</f>
        <v>83.4</v>
      </c>
      <c r="AW745" s="36" t="n">
        <f aca="false">(AO745+AF745+AI745+AH745+AG745+X745+R745+Q745+K745+J745)</f>
        <v>772</v>
      </c>
      <c r="AX745" s="16" t="n">
        <f aca="false">AW745/10</f>
        <v>77.2</v>
      </c>
      <c r="AY745" s="16" t="n">
        <f aca="false">AS745+AF745+AM745+AH745+AG745+AB745+V745+Q745+O745+J745</f>
        <v>796.3</v>
      </c>
      <c r="AZ745" s="16" t="n">
        <f aca="false">AT745+AF745+AN745+AH745+AG745+AC745+W745+Q745+P745+J745</f>
        <v>798</v>
      </c>
      <c r="BA745" s="16" t="n">
        <f aca="false">AY745/10</f>
        <v>79.63</v>
      </c>
      <c r="BB745" s="16" t="n">
        <f aca="false">AZ745/10</f>
        <v>79.8</v>
      </c>
      <c r="BC745" s="16" t="n">
        <v>2367</v>
      </c>
      <c r="BD745" s="16" t="n">
        <f aca="false">RANK(AX745,$AX$2:$AX$881,0)</f>
        <v>482</v>
      </c>
      <c r="BE745" s="54" t="n">
        <f aca="false">((BC745*100)/2400)*0.4+(AX745*0.6)</f>
        <v>85.77</v>
      </c>
      <c r="BF745" s="16" t="n">
        <f aca="false">RANK(BE745,$BE$2:$BE$881,0)</f>
        <v>468</v>
      </c>
      <c r="BG745" s="39" t="n">
        <f aca="false">RANK(BB745,$BB$2:$BB$881,0)</f>
        <v>369</v>
      </c>
      <c r="BH745" s="39" t="n">
        <f aca="false">RANK(BC745,$BC$2:$BC$881,0)</f>
        <v>308</v>
      </c>
      <c r="BI745" s="22" t="s">
        <v>130</v>
      </c>
      <c r="BJ745" s="22" t="s">
        <v>129</v>
      </c>
      <c r="BK745" s="40" t="s">
        <v>509</v>
      </c>
      <c r="BL745" s="41" t="n">
        <v>13</v>
      </c>
      <c r="BM745" s="61"/>
      <c r="BN745" s="61"/>
      <c r="BO745" s="42" t="n">
        <v>23</v>
      </c>
      <c r="BP745" s="61"/>
      <c r="BQ745" s="61"/>
      <c r="BR745" s="42" t="n">
        <v>28</v>
      </c>
      <c r="BS745" s="80"/>
      <c r="BT745" s="80"/>
      <c r="BU745" s="80"/>
      <c r="BV745" s="137"/>
      <c r="BW745" s="61"/>
      <c r="BX745" s="107"/>
      <c r="BY745" s="130"/>
      <c r="BZ745" s="60"/>
      <c r="CA745" s="60"/>
      <c r="CB745" s="61"/>
      <c r="CC745" s="60"/>
      <c r="CD745" s="60"/>
      <c r="CE745" s="60"/>
      <c r="CF745" s="60"/>
      <c r="CG745" s="60"/>
      <c r="CH745" s="60"/>
      <c r="CI745" s="60"/>
      <c r="CJ745" s="60"/>
      <c r="CK745" s="60"/>
      <c r="CL745" s="61"/>
      <c r="CM745" s="60"/>
      <c r="CN745" s="60"/>
      <c r="CO745" s="60"/>
      <c r="CP745" s="25" t="n">
        <f aca="false">BX745+BW745+BV745+BU745+BT745+BQ745+BN745</f>
        <v>0</v>
      </c>
      <c r="CQ745" s="25" t="n">
        <f aca="false">CO745+CL745+CI745+CH745+CG745+CD745+CA745</f>
        <v>0</v>
      </c>
      <c r="CR745" s="26" t="n">
        <f aca="false">CP745/7</f>
        <v>0</v>
      </c>
      <c r="CS745" s="26" t="n">
        <f aca="false">CQ745/7</f>
        <v>0</v>
      </c>
      <c r="CT745" s="24" t="n">
        <f aca="false">RANK(CR745,$CR$2:$CR$881,0)</f>
        <v>768</v>
      </c>
      <c r="CU745" s="25" t="n">
        <f aca="false">RANK(CS745,$CS$2:$CS$881,0)</f>
        <v>752</v>
      </c>
      <c r="CV745" s="26" t="n">
        <f aca="false">(CS745+CR745)/2</f>
        <v>0</v>
      </c>
      <c r="CW745" s="25" t="n">
        <f aca="false">RANK(CV745,$CV$2:$CV$881,0)</f>
        <v>753</v>
      </c>
      <c r="CX745" s="50" t="n">
        <f aca="false">(CV745+BB745)/2</f>
        <v>39.9</v>
      </c>
      <c r="CY745" s="50" t="n">
        <v>766</v>
      </c>
      <c r="CZ745" s="27" t="s">
        <v>132</v>
      </c>
      <c r="DA745" s="27" t="s">
        <v>169</v>
      </c>
      <c r="DB745" s="27" t="s">
        <v>169</v>
      </c>
      <c r="DC745" s="27" t="s">
        <v>134</v>
      </c>
      <c r="DD745" s="27" t="s">
        <v>137</v>
      </c>
      <c r="DE745" s="27" t="s">
        <v>220</v>
      </c>
      <c r="DF745" s="27" t="s">
        <v>205</v>
      </c>
      <c r="DG745" s="27" t="s">
        <v>134</v>
      </c>
      <c r="DH745" s="27" t="s">
        <v>164</v>
      </c>
      <c r="DI745" s="27" t="s">
        <v>375</v>
      </c>
      <c r="DJ745" s="27" t="s">
        <v>382</v>
      </c>
      <c r="DK745" s="27" t="s">
        <v>134</v>
      </c>
      <c r="DL745" s="27" t="s">
        <v>182</v>
      </c>
      <c r="DM745" s="27" t="s">
        <v>442</v>
      </c>
      <c r="DN745" s="27" t="s">
        <v>486</v>
      </c>
      <c r="DO745" s="27" t="s">
        <v>134</v>
      </c>
      <c r="DP745" s="27" t="s">
        <v>154</v>
      </c>
      <c r="DQ745" s="27" t="s">
        <v>415</v>
      </c>
      <c r="DR745" s="27" t="s">
        <v>155</v>
      </c>
      <c r="DS745" s="27" t="s">
        <v>134</v>
      </c>
      <c r="DT745" s="27" t="s">
        <v>135</v>
      </c>
      <c r="DU745" s="27" t="s">
        <v>442</v>
      </c>
      <c r="DV745" s="27" t="s">
        <v>372</v>
      </c>
      <c r="DW745" s="27" t="s">
        <v>140</v>
      </c>
      <c r="DX745" s="27" t="s">
        <v>136</v>
      </c>
      <c r="DY745" s="27" t="s">
        <v>176</v>
      </c>
      <c r="DZ745" s="27" t="n">
        <f aca="false">DY745+DV745+DR745+DN745+DJ745+DF745+DB745</f>
        <v>551</v>
      </c>
      <c r="EA745" s="28" t="n">
        <f aca="false">DZ745/7</f>
        <v>78.7142857142857</v>
      </c>
      <c r="EB745" s="27" t="n">
        <f aca="false">RANK(EA745,$EA$2:$EA$881,0)</f>
        <v>434</v>
      </c>
      <c r="EC745" s="29" t="n">
        <f aca="false">DZ745+CQ745+CP745+AZ745</f>
        <v>1349</v>
      </c>
      <c r="ED745" s="30" t="n">
        <f aca="false">(EA745+CV745+BB745)/3</f>
        <v>52.8380952380952</v>
      </c>
      <c r="EE745" s="51" t="n">
        <f aca="false">ROUND(BE745,3)</f>
        <v>85.77</v>
      </c>
      <c r="EF745" s="51" t="n">
        <f aca="false">ROUND(CR745,3)</f>
        <v>0</v>
      </c>
      <c r="EG745" s="51" t="n">
        <f aca="false">ROUND(CS745,3)</f>
        <v>0</v>
      </c>
      <c r="EH745" s="51" t="n">
        <f aca="false">ROUND(EA745,3)</f>
        <v>78.714</v>
      </c>
      <c r="EI745" s="51" t="n">
        <f aca="false">ROUND(ED745,3)</f>
        <v>52.838</v>
      </c>
      <c r="EJ745" s="51" t="n">
        <f aca="false">ROUND(CV745,3)</f>
        <v>0</v>
      </c>
      <c r="EK745" s="0" t="n">
        <f aca="false">RANK(EI745,$EI$2:$EI$881,0)</f>
        <v>744</v>
      </c>
    </row>
    <row r="746" customFormat="false" ht="15" hidden="false" customHeight="false" outlineLevel="0" collapsed="false">
      <c r="A746" s="4" t="n">
        <v>8600</v>
      </c>
      <c r="B746" s="4" t="n">
        <v>161</v>
      </c>
      <c r="C746" s="27" t="s">
        <v>2121</v>
      </c>
      <c r="D746" s="31" t="n">
        <v>161</v>
      </c>
      <c r="E746" s="32" t="n">
        <v>230319730</v>
      </c>
      <c r="F746" s="8" t="s">
        <v>2122</v>
      </c>
      <c r="G746" s="22" t="s">
        <v>2123</v>
      </c>
      <c r="H746" s="22" t="s">
        <v>129</v>
      </c>
      <c r="I746" s="33" t="n">
        <v>2005</v>
      </c>
      <c r="J746" s="32" t="n">
        <v>79</v>
      </c>
      <c r="K746" s="32" t="n">
        <v>80</v>
      </c>
      <c r="L746" s="34" t="n">
        <f aca="false">(K746*70)/100</f>
        <v>56</v>
      </c>
      <c r="M746" s="34" t="n">
        <f aca="false">ROUNDUP(L746,0)</f>
        <v>56</v>
      </c>
      <c r="N746" s="32" t="n">
        <v>24</v>
      </c>
      <c r="O746" s="34" t="n">
        <f aca="false">N746+L746</f>
        <v>80</v>
      </c>
      <c r="P746" s="34" t="n">
        <f aca="false">N746+M746</f>
        <v>80</v>
      </c>
      <c r="Q746" s="32" t="n">
        <v>67</v>
      </c>
      <c r="R746" s="32" t="n">
        <v>65</v>
      </c>
      <c r="S746" s="34" t="n">
        <f aca="false">(R746*70)/100</f>
        <v>45.5</v>
      </c>
      <c r="T746" s="34" t="n">
        <f aca="false">ROUNDUP(S746,0)</f>
        <v>46</v>
      </c>
      <c r="U746" s="32" t="n">
        <v>30</v>
      </c>
      <c r="V746" s="34" t="n">
        <f aca="false">U746+S746</f>
        <v>75.5</v>
      </c>
      <c r="W746" s="34" t="n">
        <f aca="false">U746+T746</f>
        <v>76</v>
      </c>
      <c r="X746" s="32" t="n">
        <v>63</v>
      </c>
      <c r="Y746" s="34" t="n">
        <f aca="false">(X746*70)/100</f>
        <v>44.1</v>
      </c>
      <c r="Z746" s="34" t="n">
        <f aca="false">ROUNDUP(Y746,0)</f>
        <v>45</v>
      </c>
      <c r="AA746" s="32" t="n">
        <v>26</v>
      </c>
      <c r="AB746" s="34" t="n">
        <f aca="false">AA746+Y746</f>
        <v>70.1</v>
      </c>
      <c r="AC746" s="34" t="n">
        <f aca="false">AA746+Z746</f>
        <v>71</v>
      </c>
      <c r="AD746" s="32" t="n">
        <f aca="false">X746+R746+Q746+K746+J746</f>
        <v>354</v>
      </c>
      <c r="AE746" s="16" t="n">
        <f aca="false">AD746/5</f>
        <v>70.8</v>
      </c>
      <c r="AF746" s="16" t="n">
        <v>60</v>
      </c>
      <c r="AG746" s="16" t="n">
        <v>88</v>
      </c>
      <c r="AH746" s="16" t="n">
        <v>82</v>
      </c>
      <c r="AI746" s="16" t="n">
        <v>85</v>
      </c>
      <c r="AJ746" s="16" t="n">
        <f aca="false">(AI746*70)/100</f>
        <v>59.5</v>
      </c>
      <c r="AK746" s="35" t="n">
        <f aca="false">ROUNDUP(AJ746,0)</f>
        <v>60</v>
      </c>
      <c r="AL746" s="16" t="n">
        <v>25</v>
      </c>
      <c r="AM746" s="16" t="n">
        <f aca="false">AL746+AJ746</f>
        <v>84.5</v>
      </c>
      <c r="AN746" s="16" t="n">
        <f aca="false">AL746+AK746</f>
        <v>85</v>
      </c>
      <c r="AO746" s="16" t="n">
        <v>71</v>
      </c>
      <c r="AP746" s="36" t="n">
        <f aca="false">(AO746*70)/100</f>
        <v>49.7</v>
      </c>
      <c r="AQ746" s="37" t="n">
        <f aca="false">ROUNDUP(AP746,0)</f>
        <v>50</v>
      </c>
      <c r="AR746" s="16" t="n">
        <v>26</v>
      </c>
      <c r="AS746" s="16" t="n">
        <f aca="false">AR746+AP746</f>
        <v>75.7</v>
      </c>
      <c r="AT746" s="16" t="n">
        <f aca="false">AR746+AQ746</f>
        <v>76</v>
      </c>
      <c r="AU746" s="16" t="n">
        <f aca="false">AO746+AF746+AI746+AH746+AG746</f>
        <v>386</v>
      </c>
      <c r="AV746" s="16" t="n">
        <f aca="false">(AO746+AF746+AI746+AH746+AG746)/5</f>
        <v>77.2</v>
      </c>
      <c r="AW746" s="36" t="n">
        <f aca="false">(AO746+AF746+AI746+AH746+AG746+X746+R746+Q746+K746+J746)</f>
        <v>740</v>
      </c>
      <c r="AX746" s="16" t="n">
        <f aca="false">AW746/10</f>
        <v>74</v>
      </c>
      <c r="AY746" s="16" t="n">
        <f aca="false">AS746+AF746+AM746+AH746+AG746+AB746+V746+Q746+O746+J746</f>
        <v>761.8</v>
      </c>
      <c r="AZ746" s="16" t="n">
        <f aca="false">AT746+AF746+AN746+AH746+AG746+AC746+W746+Q746+P746+J746</f>
        <v>764</v>
      </c>
      <c r="BA746" s="16" t="n">
        <f aca="false">AY746/10</f>
        <v>76.18</v>
      </c>
      <c r="BB746" s="16" t="n">
        <f aca="false">AZ746/10</f>
        <v>76.4</v>
      </c>
      <c r="BC746" s="16" t="n">
        <v>2358</v>
      </c>
      <c r="BD746" s="16" t="n">
        <f aca="false">RANK(AX746,$AX$2:$AX$881,0)</f>
        <v>701</v>
      </c>
      <c r="BE746" s="73" t="n">
        <f aca="false">((BC746*100)/2400)*0.4+(AX746*0.6)</f>
        <v>83.7</v>
      </c>
      <c r="BF746" s="16" t="n">
        <f aca="false">RANK(BE746,$BE$2:$BE$881,0)</f>
        <v>689</v>
      </c>
      <c r="BG746" s="39" t="n">
        <f aca="false">RANK(BB746,$BB$2:$BB$881,0)</f>
        <v>666</v>
      </c>
      <c r="BH746" s="39" t="n">
        <f aca="false">RANK(BC746,$BC$2:$BC$881,0)</f>
        <v>429</v>
      </c>
      <c r="BI746" s="22" t="s">
        <v>130</v>
      </c>
      <c r="BJ746" s="22" t="s">
        <v>129</v>
      </c>
      <c r="BK746" s="40" t="s">
        <v>702</v>
      </c>
      <c r="BL746" s="41" t="n">
        <v>12</v>
      </c>
      <c r="BM746" s="41" t="n">
        <v>51</v>
      </c>
      <c r="BN746" s="41" t="n">
        <v>63</v>
      </c>
      <c r="BO746" s="42" t="n">
        <v>21</v>
      </c>
      <c r="BP746" s="42" t="n">
        <v>53</v>
      </c>
      <c r="BQ746" s="42" t="n">
        <v>74</v>
      </c>
      <c r="BR746" s="42" t="n">
        <v>17</v>
      </c>
      <c r="BS746" s="45" t="n">
        <v>53</v>
      </c>
      <c r="BT746" s="45" t="n">
        <v>70</v>
      </c>
      <c r="BU746" s="46" t="n">
        <v>99</v>
      </c>
      <c r="BV746" s="47" t="n">
        <v>96</v>
      </c>
      <c r="BW746" s="42" t="n">
        <v>99</v>
      </c>
      <c r="BX746" s="48" t="n">
        <v>96</v>
      </c>
      <c r="BY746" s="32" t="n">
        <v>24</v>
      </c>
      <c r="BZ746" s="32" t="n">
        <v>49</v>
      </c>
      <c r="CA746" s="32" t="n">
        <v>73</v>
      </c>
      <c r="CB746" s="32" t="n">
        <v>24</v>
      </c>
      <c r="CC746" s="32" t="n">
        <v>34</v>
      </c>
      <c r="CD746" s="69" t="n">
        <v>58</v>
      </c>
      <c r="CE746" s="32" t="n">
        <v>28</v>
      </c>
      <c r="CF746" s="32" t="n">
        <v>48</v>
      </c>
      <c r="CG746" s="32" t="n">
        <v>76</v>
      </c>
      <c r="CH746" s="32" t="n">
        <v>98</v>
      </c>
      <c r="CI746" s="32" t="n">
        <v>98</v>
      </c>
      <c r="CJ746" s="49" t="n">
        <v>17</v>
      </c>
      <c r="CK746" s="49" t="n">
        <v>48</v>
      </c>
      <c r="CL746" s="49" t="n">
        <v>65</v>
      </c>
      <c r="CM746" s="49" t="n">
        <v>21</v>
      </c>
      <c r="CN746" s="49" t="n">
        <v>50</v>
      </c>
      <c r="CO746" s="49" t="n">
        <v>71</v>
      </c>
      <c r="CP746" s="25" t="n">
        <f aca="false">BX746+BW746+BV746+BU746+BT746+BQ746+BN746</f>
        <v>597</v>
      </c>
      <c r="CQ746" s="25" t="n">
        <f aca="false">CO746+CL746+CI746+CH746+CG746+CD746+CA746</f>
        <v>539</v>
      </c>
      <c r="CR746" s="26" t="n">
        <f aca="false">CP746/7</f>
        <v>85.2857142857143</v>
      </c>
      <c r="CS746" s="26" t="n">
        <f aca="false">CQ746/7</f>
        <v>77</v>
      </c>
      <c r="CT746" s="24" t="n">
        <f aca="false">RANK(CR746,$CR$2:$CR$881,0)</f>
        <v>425</v>
      </c>
      <c r="CU746" s="25" t="n">
        <f aca="false">RANK(CS746,$CS$2:$CS$881,0)</f>
        <v>363</v>
      </c>
      <c r="CV746" s="26" t="n">
        <f aca="false">(CS746+CR746)/2</f>
        <v>81.1428571428571</v>
      </c>
      <c r="CW746" s="25" t="n">
        <f aca="false">RANK(CV746,$CV$2:$CV$881,0)</f>
        <v>375</v>
      </c>
      <c r="CX746" s="50" t="n">
        <f aca="false">(CV746+BB746)/2</f>
        <v>78.7714285714286</v>
      </c>
      <c r="CY746" s="50" t="n">
        <v>430</v>
      </c>
      <c r="CZ746" s="27"/>
      <c r="DA746" s="27"/>
      <c r="DB746" s="27"/>
      <c r="DC746" s="27"/>
      <c r="DD746" s="27" t="s">
        <v>2124</v>
      </c>
      <c r="DE746" s="27"/>
      <c r="DF746" s="27"/>
      <c r="DG746" s="27"/>
      <c r="DH746" s="27" t="s">
        <v>2125</v>
      </c>
      <c r="DI746" s="27"/>
      <c r="DJ746" s="27"/>
      <c r="DK746" s="27"/>
      <c r="DL746" s="27" t="s">
        <v>2124</v>
      </c>
      <c r="DM746" s="27"/>
      <c r="DN746" s="27"/>
      <c r="DO746" s="27"/>
      <c r="DP746" s="27"/>
      <c r="DQ746" s="27" t="s">
        <v>2124</v>
      </c>
      <c r="DR746" s="27"/>
      <c r="DS746" s="27"/>
      <c r="DT746" s="27" t="s">
        <v>2124</v>
      </c>
      <c r="DU746" s="27"/>
      <c r="DV746" s="27"/>
      <c r="DW746" s="27"/>
      <c r="DX746" s="27"/>
      <c r="DY746" s="27"/>
      <c r="DZ746" s="27" t="n">
        <f aca="false">DY746+DV746+DR746+DN746+DJ746+DF746+DB746</f>
        <v>0</v>
      </c>
      <c r="EA746" s="28" t="n">
        <f aca="false">DZ746/7</f>
        <v>0</v>
      </c>
      <c r="EB746" s="27" t="n">
        <f aca="false">RANK(EA746,$EA$2:$EA$881,0)</f>
        <v>870</v>
      </c>
      <c r="EC746" s="29" t="n">
        <f aca="false">DZ746+CQ746+CP746+AZ746</f>
        <v>1900</v>
      </c>
      <c r="ED746" s="30" t="n">
        <f aca="false">(EA746+CV746+BB746)/3</f>
        <v>52.5142857142857</v>
      </c>
      <c r="EE746" s="51" t="n">
        <f aca="false">ROUND(BE746,3)</f>
        <v>83.7</v>
      </c>
      <c r="EF746" s="51" t="n">
        <f aca="false">ROUND(CR746,3)</f>
        <v>85.286</v>
      </c>
      <c r="EG746" s="51" t="n">
        <f aca="false">ROUND(CS746,3)</f>
        <v>77</v>
      </c>
      <c r="EH746" s="51" t="n">
        <f aca="false">ROUND(EA746,3)</f>
        <v>0</v>
      </c>
      <c r="EI746" s="51" t="n">
        <f aca="false">ROUND(ED746,3)</f>
        <v>52.514</v>
      </c>
      <c r="EJ746" s="51" t="n">
        <f aca="false">ROUND(CV746,3)</f>
        <v>81.143</v>
      </c>
      <c r="EK746" s="0" t="n">
        <f aca="false">RANK(EI746,$EI$2:$EI$881,0)</f>
        <v>745</v>
      </c>
    </row>
    <row r="747" customFormat="false" ht="15" hidden="false" customHeight="false" outlineLevel="0" collapsed="false">
      <c r="A747" s="4" t="n">
        <v>1996</v>
      </c>
      <c r="B747" s="4" t="n">
        <v>215</v>
      </c>
      <c r="C747" s="27" t="s">
        <v>2126</v>
      </c>
      <c r="D747" s="31" t="n">
        <v>216</v>
      </c>
      <c r="E747" s="16" t="n">
        <v>230515543</v>
      </c>
      <c r="F747" s="56" t="s">
        <v>2127</v>
      </c>
      <c r="G747" s="22" t="s">
        <v>2128</v>
      </c>
      <c r="H747" s="22" t="s">
        <v>465</v>
      </c>
      <c r="I747" s="80"/>
      <c r="J747" s="16" t="n">
        <v>77</v>
      </c>
      <c r="K747" s="16" t="n">
        <v>78</v>
      </c>
      <c r="L747" s="34" t="n">
        <f aca="false">(K747*70)/100</f>
        <v>54.6</v>
      </c>
      <c r="M747" s="34" t="n">
        <f aca="false">ROUNDUP(L747,0)</f>
        <v>55</v>
      </c>
      <c r="N747" s="16" t="n">
        <v>24</v>
      </c>
      <c r="O747" s="34" t="n">
        <f aca="false">N747+L747</f>
        <v>78.6</v>
      </c>
      <c r="P747" s="34" t="n">
        <f aca="false">N747+M747</f>
        <v>79</v>
      </c>
      <c r="Q747" s="16" t="n">
        <v>82</v>
      </c>
      <c r="R747" s="16" t="n">
        <v>73</v>
      </c>
      <c r="S747" s="34" t="n">
        <f aca="false">(R747*70)/100</f>
        <v>51.1</v>
      </c>
      <c r="T747" s="34" t="n">
        <f aca="false">ROUNDUP(S747,0)</f>
        <v>52</v>
      </c>
      <c r="U747" s="16" t="n">
        <v>28</v>
      </c>
      <c r="V747" s="34" t="n">
        <f aca="false">U747+S747</f>
        <v>79.1</v>
      </c>
      <c r="W747" s="34" t="n">
        <f aca="false">U747+T747</f>
        <v>80</v>
      </c>
      <c r="X747" s="16" t="n">
        <v>68</v>
      </c>
      <c r="Y747" s="34" t="n">
        <f aca="false">(X747*70)/100</f>
        <v>47.6</v>
      </c>
      <c r="Z747" s="34" t="n">
        <f aca="false">ROUNDUP(Y747,0)</f>
        <v>48</v>
      </c>
      <c r="AA747" s="16" t="n">
        <v>27</v>
      </c>
      <c r="AB747" s="34" t="n">
        <f aca="false">AA747+Y747</f>
        <v>74.6</v>
      </c>
      <c r="AC747" s="34" t="n">
        <f aca="false">AA747+Z747</f>
        <v>75</v>
      </c>
      <c r="AD747" s="32" t="n">
        <f aca="false">X747+R747+Q747+K747+J747</f>
        <v>378</v>
      </c>
      <c r="AE747" s="16" t="n">
        <f aca="false">AD747/5</f>
        <v>75.6</v>
      </c>
      <c r="AF747" s="16" t="n">
        <v>78</v>
      </c>
      <c r="AG747" s="16" t="n">
        <v>82</v>
      </c>
      <c r="AH747" s="16" t="n">
        <v>85</v>
      </c>
      <c r="AI747" s="16" t="n">
        <v>76</v>
      </c>
      <c r="AJ747" s="16" t="n">
        <f aca="false">(AI747*70)/100</f>
        <v>53.2</v>
      </c>
      <c r="AK747" s="35" t="n">
        <f aca="false">ROUNDUP(AJ747,0)</f>
        <v>54</v>
      </c>
      <c r="AL747" s="16" t="n">
        <v>28</v>
      </c>
      <c r="AM747" s="16" t="n">
        <f aca="false">AL747+AJ747</f>
        <v>81.2</v>
      </c>
      <c r="AN747" s="16" t="n">
        <f aca="false">AL747+AK747</f>
        <v>82</v>
      </c>
      <c r="AO747" s="16" t="n">
        <v>56</v>
      </c>
      <c r="AP747" s="36" t="n">
        <f aca="false">(AO747*70)/100</f>
        <v>39.2</v>
      </c>
      <c r="AQ747" s="37" t="n">
        <f aca="false">ROUNDUP(AP747,0)</f>
        <v>40</v>
      </c>
      <c r="AR747" s="16" t="n">
        <v>22</v>
      </c>
      <c r="AS747" s="16" t="n">
        <f aca="false">AR747+AP747</f>
        <v>61.2</v>
      </c>
      <c r="AT747" s="16" t="n">
        <f aca="false">AR747+AQ747</f>
        <v>62</v>
      </c>
      <c r="AU747" s="16" t="n">
        <f aca="false">AO747+AF747+AI747+AH747+AG747</f>
        <v>377</v>
      </c>
      <c r="AV747" s="16" t="n">
        <f aca="false">(AO747+AF747+AI747+AH747+AG747)/5</f>
        <v>75.4</v>
      </c>
      <c r="AW747" s="36" t="n">
        <f aca="false">(AO747+AF747+AI747+AH747+AG747+X747+R747+Q747+K747+J747)</f>
        <v>755</v>
      </c>
      <c r="AX747" s="16" t="n">
        <f aca="false">AW747/10</f>
        <v>75.5</v>
      </c>
      <c r="AY747" s="16" t="n">
        <f aca="false">AS747+AF747+AM747+AH747+AG747+AB747+V747+Q747+O747+J747</f>
        <v>778.7</v>
      </c>
      <c r="AZ747" s="16" t="n">
        <f aca="false">AT747+AF747+AN747+AH747+AG747+AC747+W747+Q747+P747+J747</f>
        <v>782</v>
      </c>
      <c r="BA747" s="16" t="n">
        <f aca="false">AY747/10</f>
        <v>77.87</v>
      </c>
      <c r="BB747" s="16" t="n">
        <f aca="false">AZ747/10</f>
        <v>78.2</v>
      </c>
      <c r="BC747" s="16" t="n">
        <v>2378</v>
      </c>
      <c r="BD747" s="16" t="n">
        <f aca="false">RANK(AX747,$AX$2:$AX$881,0)</f>
        <v>659</v>
      </c>
      <c r="BE747" s="73" t="n">
        <f aca="false">((BC747*100)/2400)*0.4+(AX747*0.6)</f>
        <v>84.9333333333333</v>
      </c>
      <c r="BF747" s="16" t="n">
        <f aca="false">RANK(BE747,$BE$2:$BE$881,0)</f>
        <v>629</v>
      </c>
      <c r="BG747" s="39" t="n">
        <f aca="false">RANK(BB747,$BB$2:$BB$881,0)</f>
        <v>541</v>
      </c>
      <c r="BH747" s="39" t="n">
        <f aca="false">RANK(BC747,$BC$2:$BC$881,0)</f>
        <v>173</v>
      </c>
      <c r="BI747" s="22" t="s">
        <v>130</v>
      </c>
      <c r="BJ747" s="22" t="s">
        <v>129</v>
      </c>
      <c r="BK747" s="22" t="s">
        <v>509</v>
      </c>
      <c r="BL747" s="101" t="n">
        <v>9.5</v>
      </c>
      <c r="BM747" s="61"/>
      <c r="BN747" s="61"/>
      <c r="BO747" s="42" t="n">
        <v>20</v>
      </c>
      <c r="BP747" s="61"/>
      <c r="BQ747" s="61"/>
      <c r="BR747" s="74" t="n">
        <v>8</v>
      </c>
      <c r="BS747" s="80"/>
      <c r="BT747" s="80"/>
      <c r="BU747" s="80"/>
      <c r="BV747" s="137"/>
      <c r="BW747" s="61"/>
      <c r="BX747" s="107"/>
      <c r="BY747" s="130"/>
      <c r="BZ747" s="60"/>
      <c r="CA747" s="60"/>
      <c r="CB747" s="61"/>
      <c r="CC747" s="60"/>
      <c r="CD747" s="60"/>
      <c r="CE747" s="60"/>
      <c r="CF747" s="60"/>
      <c r="CG747" s="60"/>
      <c r="CH747" s="60"/>
      <c r="CI747" s="60"/>
      <c r="CJ747" s="60"/>
      <c r="CK747" s="60"/>
      <c r="CL747" s="61"/>
      <c r="CM747" s="60"/>
      <c r="CN747" s="60"/>
      <c r="CO747" s="60"/>
      <c r="CP747" s="25" t="n">
        <f aca="false">BX747+BW747+BV747+BU747+BT747+BQ747+BN747</f>
        <v>0</v>
      </c>
      <c r="CQ747" s="25" t="n">
        <f aca="false">CO747+CL747+CI747+CH747+CG747+CD747+CA747</f>
        <v>0</v>
      </c>
      <c r="CR747" s="26" t="n">
        <f aca="false">CP747/7</f>
        <v>0</v>
      </c>
      <c r="CS747" s="26" t="n">
        <f aca="false">CQ747/7</f>
        <v>0</v>
      </c>
      <c r="CT747" s="24" t="n">
        <f aca="false">RANK(CR747,$CR$2:$CR$881,0)</f>
        <v>768</v>
      </c>
      <c r="CU747" s="25" t="n">
        <f aca="false">RANK(CS747,$CS$2:$CS$881,0)</f>
        <v>752</v>
      </c>
      <c r="CV747" s="26" t="n">
        <f aca="false">(CS747+CR747)/2</f>
        <v>0</v>
      </c>
      <c r="CW747" s="25" t="n">
        <f aca="false">RANK(CV747,$CV$2:$CV$881,0)</f>
        <v>753</v>
      </c>
      <c r="CX747" s="50" t="n">
        <f aca="false">(CV747+BB747)/2</f>
        <v>39.1</v>
      </c>
      <c r="CY747" s="50" t="n">
        <v>816</v>
      </c>
      <c r="CZ747" s="27" t="s">
        <v>132</v>
      </c>
      <c r="DA747" s="27" t="s">
        <v>169</v>
      </c>
      <c r="DB747" s="27" t="s">
        <v>169</v>
      </c>
      <c r="DC747" s="27" t="s">
        <v>134</v>
      </c>
      <c r="DD747" s="27" t="s">
        <v>135</v>
      </c>
      <c r="DE747" s="27" t="s">
        <v>304</v>
      </c>
      <c r="DF747" s="27" t="s">
        <v>272</v>
      </c>
      <c r="DG747" s="27" t="s">
        <v>134</v>
      </c>
      <c r="DH747" s="27" t="s">
        <v>154</v>
      </c>
      <c r="DI747" s="27" t="s">
        <v>304</v>
      </c>
      <c r="DJ747" s="27" t="s">
        <v>382</v>
      </c>
      <c r="DK747" s="27" t="s">
        <v>134</v>
      </c>
      <c r="DL747" s="27" t="s">
        <v>182</v>
      </c>
      <c r="DM747" s="27" t="s">
        <v>442</v>
      </c>
      <c r="DN747" s="27" t="s">
        <v>486</v>
      </c>
      <c r="DO747" s="27" t="s">
        <v>134</v>
      </c>
      <c r="DP747" s="27" t="s">
        <v>191</v>
      </c>
      <c r="DQ747" s="27" t="s">
        <v>415</v>
      </c>
      <c r="DR747" s="27" t="s">
        <v>141</v>
      </c>
      <c r="DS747" s="27" t="s">
        <v>134</v>
      </c>
      <c r="DT747" s="27" t="s">
        <v>164</v>
      </c>
      <c r="DU747" s="27" t="s">
        <v>447</v>
      </c>
      <c r="DV747" s="27" t="s">
        <v>219</v>
      </c>
      <c r="DW747" s="27" t="s">
        <v>137</v>
      </c>
      <c r="DX747" s="27" t="s">
        <v>155</v>
      </c>
      <c r="DY747" s="27" t="s">
        <v>142</v>
      </c>
      <c r="DZ747" s="27" t="n">
        <f aca="false">DY747+DV747+DR747+DN747+DJ747+DF747+DB747</f>
        <v>555</v>
      </c>
      <c r="EA747" s="28" t="n">
        <f aca="false">DZ747/7</f>
        <v>79.2857142857143</v>
      </c>
      <c r="EB747" s="27" t="n">
        <f aca="false">RANK(EA747,$EA$2:$EA$881,0)</f>
        <v>421</v>
      </c>
      <c r="EC747" s="29" t="n">
        <f aca="false">DZ747+CQ747+CP747+AZ747</f>
        <v>1337</v>
      </c>
      <c r="ED747" s="30" t="n">
        <f aca="false">(EA747+CV747+BB747)/3</f>
        <v>52.4952380952381</v>
      </c>
      <c r="EE747" s="51" t="n">
        <f aca="false">ROUND(BE747,3)</f>
        <v>84.933</v>
      </c>
      <c r="EF747" s="51" t="n">
        <f aca="false">ROUND(CR747,3)</f>
        <v>0</v>
      </c>
      <c r="EG747" s="51" t="n">
        <f aca="false">ROUND(CS747,3)</f>
        <v>0</v>
      </c>
      <c r="EH747" s="51" t="n">
        <f aca="false">ROUND(EA747,3)</f>
        <v>79.286</v>
      </c>
      <c r="EI747" s="51" t="n">
        <f aca="false">ROUND(ED747,3)</f>
        <v>52.495</v>
      </c>
      <c r="EJ747" s="51" t="n">
        <f aca="false">ROUND(CV747,3)</f>
        <v>0</v>
      </c>
      <c r="EK747" s="0" t="n">
        <f aca="false">RANK(EI747,$EI$2:$EI$881,0)</f>
        <v>746</v>
      </c>
    </row>
    <row r="748" customFormat="false" ht="15" hidden="false" customHeight="false" outlineLevel="0" collapsed="false">
      <c r="A748" s="4" t="n">
        <v>1858</v>
      </c>
      <c r="B748" s="4" t="n">
        <v>136</v>
      </c>
      <c r="C748" s="27" t="s">
        <v>2129</v>
      </c>
      <c r="D748" s="31" t="n">
        <v>133</v>
      </c>
      <c r="E748" s="16" t="n">
        <v>230514174</v>
      </c>
      <c r="F748" s="56" t="s">
        <v>2130</v>
      </c>
      <c r="G748" s="22" t="s">
        <v>1830</v>
      </c>
      <c r="H748" s="22" t="s">
        <v>465</v>
      </c>
      <c r="I748" s="80"/>
      <c r="J748" s="16" t="n">
        <v>92</v>
      </c>
      <c r="K748" s="16" t="n">
        <v>57</v>
      </c>
      <c r="L748" s="34" t="n">
        <f aca="false">(K748*70)/100</f>
        <v>39.9</v>
      </c>
      <c r="M748" s="34" t="n">
        <f aca="false">ROUNDUP(L748,0)</f>
        <v>40</v>
      </c>
      <c r="N748" s="16" t="n">
        <v>28</v>
      </c>
      <c r="O748" s="34" t="n">
        <f aca="false">N748+L748</f>
        <v>67.9</v>
      </c>
      <c r="P748" s="34" t="n">
        <f aca="false">N748+M748</f>
        <v>68</v>
      </c>
      <c r="Q748" s="16" t="n">
        <v>70</v>
      </c>
      <c r="R748" s="16" t="n">
        <v>73</v>
      </c>
      <c r="S748" s="34" t="n">
        <f aca="false">(R748*70)/100</f>
        <v>51.1</v>
      </c>
      <c r="T748" s="34" t="n">
        <f aca="false">ROUNDUP(S748,0)</f>
        <v>52</v>
      </c>
      <c r="U748" s="16" t="n">
        <v>26</v>
      </c>
      <c r="V748" s="34" t="n">
        <f aca="false">U748+S748</f>
        <v>77.1</v>
      </c>
      <c r="W748" s="34" t="n">
        <f aca="false">U748+T748</f>
        <v>78</v>
      </c>
      <c r="X748" s="16" t="n">
        <v>61</v>
      </c>
      <c r="Y748" s="34" t="n">
        <f aca="false">(X748*70)/100</f>
        <v>42.7</v>
      </c>
      <c r="Z748" s="34" t="n">
        <f aca="false">ROUNDUP(Y748,0)</f>
        <v>43</v>
      </c>
      <c r="AA748" s="16" t="n">
        <v>29</v>
      </c>
      <c r="AB748" s="34" t="n">
        <f aca="false">AA748+Y748</f>
        <v>71.7</v>
      </c>
      <c r="AC748" s="34" t="n">
        <f aca="false">AA748+Z748</f>
        <v>72</v>
      </c>
      <c r="AD748" s="32" t="n">
        <f aca="false">X748+R748+Q748+K748+J748</f>
        <v>353</v>
      </c>
      <c r="AE748" s="16" t="n">
        <f aca="false">AD748/5</f>
        <v>70.6</v>
      </c>
      <c r="AF748" s="71" t="n">
        <v>56</v>
      </c>
      <c r="AG748" s="16" t="n">
        <v>97</v>
      </c>
      <c r="AH748" s="16" t="n">
        <v>91</v>
      </c>
      <c r="AI748" s="16" t="n">
        <v>91</v>
      </c>
      <c r="AJ748" s="16" t="n">
        <f aca="false">(AI748*70)/100</f>
        <v>63.7</v>
      </c>
      <c r="AK748" s="35" t="n">
        <f aca="false">ROUNDUP(AJ748,0)</f>
        <v>64</v>
      </c>
      <c r="AL748" s="16" t="n">
        <v>27</v>
      </c>
      <c r="AM748" s="16" t="n">
        <f aca="false">AL748+AJ748</f>
        <v>90.7</v>
      </c>
      <c r="AN748" s="16" t="n">
        <f aca="false">AL748+AK748</f>
        <v>91</v>
      </c>
      <c r="AO748" s="16" t="n">
        <v>64</v>
      </c>
      <c r="AP748" s="36" t="n">
        <f aca="false">(AO748*70)/100</f>
        <v>44.8</v>
      </c>
      <c r="AQ748" s="37" t="n">
        <f aca="false">ROUNDUP(AP748,0)</f>
        <v>45</v>
      </c>
      <c r="AR748" s="16" t="n">
        <v>24</v>
      </c>
      <c r="AS748" s="16" t="n">
        <f aca="false">AR748+AP748</f>
        <v>68.8</v>
      </c>
      <c r="AT748" s="16" t="n">
        <f aca="false">AR748+AQ748</f>
        <v>69</v>
      </c>
      <c r="AU748" s="16" t="n">
        <f aca="false">AO748+AF748+AI748+AH748+AG748</f>
        <v>399</v>
      </c>
      <c r="AV748" s="16" t="n">
        <f aca="false">(AO748+AF748+AI748+AH748+AG748)/5</f>
        <v>79.8</v>
      </c>
      <c r="AW748" s="36" t="n">
        <f aca="false">(AO748+AF748+AI748+AH748+AG748+X748+R748+Q748+K748+J748)</f>
        <v>752</v>
      </c>
      <c r="AX748" s="16" t="n">
        <f aca="false">AW748/10</f>
        <v>75.2</v>
      </c>
      <c r="AY748" s="16" t="n">
        <f aca="false">AS748+AF748+AM748+AH748+AG748+AB748+V748+Q748+O748+J748</f>
        <v>782.2</v>
      </c>
      <c r="AZ748" s="16" t="n">
        <f aca="false">AT748+AF748+AN748+AH748+AG748+AC748+W748+Q748+P748+J748</f>
        <v>784</v>
      </c>
      <c r="BA748" s="16" t="n">
        <f aca="false">AY748/10</f>
        <v>78.22</v>
      </c>
      <c r="BB748" s="16" t="n">
        <f aca="false">AZ748/10</f>
        <v>78.4</v>
      </c>
      <c r="BC748" s="16" t="n">
        <v>2386</v>
      </c>
      <c r="BD748" s="16" t="n">
        <f aca="false">RANK(AX748,$AX$2:$AX$881,0)</f>
        <v>675</v>
      </c>
      <c r="BE748" s="73" t="n">
        <f aca="false">((BC748*100)/2400)*0.4+(AX748*0.6)</f>
        <v>84.8866666666667</v>
      </c>
      <c r="BF748" s="16" t="n">
        <f aca="false">RANK(BE748,$BE$2:$BE$881,0)</f>
        <v>636</v>
      </c>
      <c r="BG748" s="39" t="n">
        <f aca="false">RANK(BB748,$BB$2:$BB$881,0)</f>
        <v>520</v>
      </c>
      <c r="BH748" s="39" t="n">
        <f aca="false">RANK(BC748,$BC$2:$BC$881,0)</f>
        <v>86</v>
      </c>
      <c r="BI748" s="22" t="s">
        <v>130</v>
      </c>
      <c r="BJ748" s="22" t="s">
        <v>129</v>
      </c>
      <c r="BK748" s="22" t="s">
        <v>509</v>
      </c>
      <c r="BL748" s="105" t="n">
        <v>12.5</v>
      </c>
      <c r="BM748" s="61"/>
      <c r="BN748" s="61"/>
      <c r="BO748" s="42" t="n">
        <v>24</v>
      </c>
      <c r="BP748" s="61"/>
      <c r="BQ748" s="61"/>
      <c r="BR748" s="74" t="n">
        <v>9</v>
      </c>
      <c r="BS748" s="80"/>
      <c r="BT748" s="80"/>
      <c r="BU748" s="80"/>
      <c r="BV748" s="137"/>
      <c r="BW748" s="61"/>
      <c r="BX748" s="107"/>
      <c r="BY748" s="130"/>
      <c r="BZ748" s="60"/>
      <c r="CA748" s="60"/>
      <c r="CB748" s="61"/>
      <c r="CC748" s="60"/>
      <c r="CD748" s="60"/>
      <c r="CE748" s="60"/>
      <c r="CF748" s="60"/>
      <c r="CG748" s="60"/>
      <c r="CH748" s="60"/>
      <c r="CI748" s="60"/>
      <c r="CJ748" s="60"/>
      <c r="CK748" s="60"/>
      <c r="CL748" s="61"/>
      <c r="CM748" s="60"/>
      <c r="CN748" s="60"/>
      <c r="CO748" s="60"/>
      <c r="CP748" s="25" t="n">
        <f aca="false">BX748+BW748+BV748+BU748+BT748+BQ748+BN748</f>
        <v>0</v>
      </c>
      <c r="CQ748" s="25" t="n">
        <f aca="false">CO748+CL748+CI748+CH748+CG748+CD748+CA748</f>
        <v>0</v>
      </c>
      <c r="CR748" s="26" t="n">
        <f aca="false">CP748/7</f>
        <v>0</v>
      </c>
      <c r="CS748" s="26" t="n">
        <f aca="false">CQ748/7</f>
        <v>0</v>
      </c>
      <c r="CT748" s="24" t="n">
        <f aca="false">RANK(CR748,$CR$2:$CR$881,0)</f>
        <v>768</v>
      </c>
      <c r="CU748" s="25" t="n">
        <f aca="false">RANK(CS748,$CS$2:$CS$881,0)</f>
        <v>752</v>
      </c>
      <c r="CV748" s="26" t="n">
        <f aca="false">(CS748+CR748)/2</f>
        <v>0</v>
      </c>
      <c r="CW748" s="25" t="n">
        <f aca="false">RANK(CV748,$CV$2:$CV$881,0)</f>
        <v>753</v>
      </c>
      <c r="CX748" s="50" t="n">
        <f aca="false">(CV748+BB748)/2</f>
        <v>39.2</v>
      </c>
      <c r="CY748" s="50" t="n">
        <v>806</v>
      </c>
      <c r="CZ748" s="27" t="s">
        <v>132</v>
      </c>
      <c r="DA748" s="27" t="s">
        <v>219</v>
      </c>
      <c r="DB748" s="27" t="s">
        <v>219</v>
      </c>
      <c r="DC748" s="27" t="s">
        <v>134</v>
      </c>
      <c r="DD748" s="27" t="s">
        <v>164</v>
      </c>
      <c r="DE748" s="27" t="s">
        <v>183</v>
      </c>
      <c r="DF748" s="27" t="s">
        <v>175</v>
      </c>
      <c r="DG748" s="27" t="s">
        <v>134</v>
      </c>
      <c r="DH748" s="27" t="s">
        <v>164</v>
      </c>
      <c r="DI748" s="27" t="s">
        <v>220</v>
      </c>
      <c r="DJ748" s="27" t="s">
        <v>169</v>
      </c>
      <c r="DK748" s="27" t="s">
        <v>134</v>
      </c>
      <c r="DL748" s="27" t="s">
        <v>182</v>
      </c>
      <c r="DM748" s="27" t="s">
        <v>415</v>
      </c>
      <c r="DN748" s="27" t="s">
        <v>416</v>
      </c>
      <c r="DO748" s="27" t="s">
        <v>134</v>
      </c>
      <c r="DP748" s="27" t="s">
        <v>386</v>
      </c>
      <c r="DQ748" s="27" t="s">
        <v>399</v>
      </c>
      <c r="DR748" s="27" t="s">
        <v>187</v>
      </c>
      <c r="DS748" s="27" t="s">
        <v>134</v>
      </c>
      <c r="DT748" s="27" t="s">
        <v>137</v>
      </c>
      <c r="DU748" s="27" t="s">
        <v>415</v>
      </c>
      <c r="DV748" s="27" t="s">
        <v>486</v>
      </c>
      <c r="DW748" s="27" t="s">
        <v>160</v>
      </c>
      <c r="DX748" s="27" t="s">
        <v>187</v>
      </c>
      <c r="DY748" s="27" t="s">
        <v>156</v>
      </c>
      <c r="DZ748" s="27" t="n">
        <f aca="false">DY748+DV748+DR748+DN748+DJ748+DF748+DB748</f>
        <v>552</v>
      </c>
      <c r="EA748" s="28" t="n">
        <f aca="false">DZ748/7</f>
        <v>78.8571428571429</v>
      </c>
      <c r="EB748" s="27" t="n">
        <f aca="false">RANK(EA748,$EA$2:$EA$881,0)</f>
        <v>433</v>
      </c>
      <c r="EC748" s="29" t="n">
        <f aca="false">DZ748+CQ748+CP748+AZ748</f>
        <v>1336</v>
      </c>
      <c r="ED748" s="30" t="n">
        <f aca="false">(EA748+CV748+BB748)/3</f>
        <v>52.4190476190476</v>
      </c>
      <c r="EE748" s="51" t="n">
        <f aca="false">ROUND(BE748,3)</f>
        <v>84.887</v>
      </c>
      <c r="EF748" s="51" t="n">
        <f aca="false">ROUND(CR748,3)</f>
        <v>0</v>
      </c>
      <c r="EG748" s="51" t="n">
        <f aca="false">ROUND(CS748,3)</f>
        <v>0</v>
      </c>
      <c r="EH748" s="51" t="n">
        <f aca="false">ROUND(EA748,3)</f>
        <v>78.857</v>
      </c>
      <c r="EI748" s="51" t="n">
        <f aca="false">ROUND(ED748,3)</f>
        <v>52.419</v>
      </c>
      <c r="EJ748" s="51" t="n">
        <f aca="false">ROUND(CV748,3)</f>
        <v>0</v>
      </c>
      <c r="EK748" s="0" t="n">
        <f aca="false">RANK(EI748,$EI$2:$EI$881,0)</f>
        <v>747</v>
      </c>
    </row>
    <row r="749" customFormat="false" ht="15" hidden="false" customHeight="false" outlineLevel="0" collapsed="false">
      <c r="A749" s="4" t="n">
        <v>2001</v>
      </c>
      <c r="B749" s="4" t="n">
        <v>402</v>
      </c>
      <c r="C749" s="27" t="s">
        <v>2131</v>
      </c>
      <c r="D749" s="31" t="n">
        <v>407</v>
      </c>
      <c r="E749" s="16" t="n">
        <v>230506107</v>
      </c>
      <c r="F749" s="56" t="s">
        <v>2132</v>
      </c>
      <c r="G749" s="22" t="s">
        <v>2133</v>
      </c>
      <c r="H749" s="22" t="s">
        <v>465</v>
      </c>
      <c r="I749" s="80"/>
      <c r="J749" s="16" t="n">
        <v>66</v>
      </c>
      <c r="K749" s="16" t="n">
        <v>77</v>
      </c>
      <c r="L749" s="34" t="n">
        <f aca="false">(K749*70)/100</f>
        <v>53.9</v>
      </c>
      <c r="M749" s="34" t="n">
        <f aca="false">ROUNDUP(L749,0)</f>
        <v>54</v>
      </c>
      <c r="N749" s="16" t="n">
        <v>28</v>
      </c>
      <c r="O749" s="34" t="n">
        <f aca="false">N749+L749</f>
        <v>81.9</v>
      </c>
      <c r="P749" s="34" t="n">
        <f aca="false">N749+M749</f>
        <v>82</v>
      </c>
      <c r="Q749" s="16" t="n">
        <v>60</v>
      </c>
      <c r="R749" s="16" t="n">
        <v>72</v>
      </c>
      <c r="S749" s="34" t="n">
        <f aca="false">(R749*70)/100</f>
        <v>50.4</v>
      </c>
      <c r="T749" s="34" t="n">
        <f aca="false">ROUNDUP(S749,0)</f>
        <v>51</v>
      </c>
      <c r="U749" s="16" t="n">
        <v>26</v>
      </c>
      <c r="V749" s="34" t="n">
        <f aca="false">U749+S749</f>
        <v>76.4</v>
      </c>
      <c r="W749" s="34" t="n">
        <f aca="false">U749+T749</f>
        <v>77</v>
      </c>
      <c r="X749" s="16" t="n">
        <v>68</v>
      </c>
      <c r="Y749" s="34" t="n">
        <f aca="false">(X749*70)/100</f>
        <v>47.6</v>
      </c>
      <c r="Z749" s="34" t="n">
        <f aca="false">ROUNDUP(Y749,0)</f>
        <v>48</v>
      </c>
      <c r="AA749" s="16" t="n">
        <v>30</v>
      </c>
      <c r="AB749" s="34" t="n">
        <f aca="false">AA749+Y749</f>
        <v>77.6</v>
      </c>
      <c r="AC749" s="34" t="n">
        <f aca="false">AA749+Z749</f>
        <v>78</v>
      </c>
      <c r="AD749" s="32" t="n">
        <f aca="false">X749+R749+Q749+K749+J749</f>
        <v>343</v>
      </c>
      <c r="AE749" s="16" t="n">
        <f aca="false">AD749/5</f>
        <v>68.6</v>
      </c>
      <c r="AF749" s="16" t="n">
        <v>79</v>
      </c>
      <c r="AG749" s="16" t="n">
        <v>88</v>
      </c>
      <c r="AH749" s="16" t="n">
        <v>88</v>
      </c>
      <c r="AI749" s="16" t="n">
        <v>91</v>
      </c>
      <c r="AJ749" s="16" t="n">
        <f aca="false">(AI749*70)/100</f>
        <v>63.7</v>
      </c>
      <c r="AK749" s="35" t="n">
        <f aca="false">ROUNDUP(AJ749,0)</f>
        <v>64</v>
      </c>
      <c r="AL749" s="16" t="n">
        <v>25</v>
      </c>
      <c r="AM749" s="16" t="n">
        <f aca="false">AL749+AJ749</f>
        <v>88.7</v>
      </c>
      <c r="AN749" s="16" t="n">
        <f aca="false">AL749+AK749</f>
        <v>89</v>
      </c>
      <c r="AO749" s="16" t="n">
        <v>78</v>
      </c>
      <c r="AP749" s="36" t="n">
        <f aca="false">(AO749*70)/100</f>
        <v>54.6</v>
      </c>
      <c r="AQ749" s="37" t="n">
        <f aca="false">ROUNDUP(AP749,0)</f>
        <v>55</v>
      </c>
      <c r="AR749" s="16" t="n">
        <v>29</v>
      </c>
      <c r="AS749" s="16" t="n">
        <f aca="false">AR749+AP749</f>
        <v>83.6</v>
      </c>
      <c r="AT749" s="16" t="n">
        <f aca="false">AR749+AQ749</f>
        <v>84</v>
      </c>
      <c r="AU749" s="16" t="n">
        <f aca="false">AO749+AF749+AI749+AH749+AG749</f>
        <v>424</v>
      </c>
      <c r="AV749" s="16" t="n">
        <f aca="false">(AO749+AF749+AI749+AH749+AG749)/5</f>
        <v>84.8</v>
      </c>
      <c r="AW749" s="36" t="n">
        <f aca="false">(AO749+AF749+AI749+AH749+AG749+X749+R749+Q749+K749+J749)</f>
        <v>767</v>
      </c>
      <c r="AX749" s="16" t="n">
        <f aca="false">AW749/10</f>
        <v>76.7</v>
      </c>
      <c r="AY749" s="16" t="n">
        <f aca="false">AS749+AF749+AM749+AH749+AG749+AB749+V749+Q749+O749+J749</f>
        <v>789.2</v>
      </c>
      <c r="AZ749" s="16" t="n">
        <f aca="false">AT749+AF749+AN749+AH749+AG749+AC749+W749+Q749+P749+J749</f>
        <v>791</v>
      </c>
      <c r="BA749" s="16" t="n">
        <f aca="false">AY749/10</f>
        <v>78.92</v>
      </c>
      <c r="BB749" s="16" t="n">
        <f aca="false">AZ749/10</f>
        <v>79.1</v>
      </c>
      <c r="BC749" s="16" t="n">
        <v>2327</v>
      </c>
      <c r="BD749" s="16" t="n">
        <f aca="false">RANK(AX749,$AX$2:$AX$881,0)</f>
        <v>536</v>
      </c>
      <c r="BE749" s="73" t="n">
        <f aca="false">((BC749*100)/2400)*0.4+(AX749*0.6)</f>
        <v>84.8033333333333</v>
      </c>
      <c r="BF749" s="16" t="n">
        <f aca="false">RANK(BE749,$BE$2:$BE$881,0)</f>
        <v>659</v>
      </c>
      <c r="BG749" s="39" t="n">
        <f aca="false">RANK(BB749,$BB$2:$BB$881,0)</f>
        <v>449</v>
      </c>
      <c r="BH749" s="39" t="n">
        <f aca="false">RANK(BC749,$BC$2:$BC$881,0)</f>
        <v>751</v>
      </c>
      <c r="BI749" s="22" t="s">
        <v>130</v>
      </c>
      <c r="BJ749" s="22" t="s">
        <v>129</v>
      </c>
      <c r="BK749" s="22" t="s">
        <v>509</v>
      </c>
      <c r="BL749" s="98" t="n">
        <v>9</v>
      </c>
      <c r="BM749" s="61"/>
      <c r="BN749" s="61"/>
      <c r="BO749" s="42" t="n">
        <v>27</v>
      </c>
      <c r="BP749" s="61"/>
      <c r="BQ749" s="61"/>
      <c r="BR749" s="74" t="n">
        <v>9</v>
      </c>
      <c r="BS749" s="80"/>
      <c r="BT749" s="80"/>
      <c r="BU749" s="80"/>
      <c r="BV749" s="137"/>
      <c r="BW749" s="61"/>
      <c r="BX749" s="107"/>
      <c r="BY749" s="130"/>
      <c r="BZ749" s="60"/>
      <c r="CA749" s="60"/>
      <c r="CB749" s="61"/>
      <c r="CC749" s="60"/>
      <c r="CD749" s="60"/>
      <c r="CE749" s="60"/>
      <c r="CF749" s="60"/>
      <c r="CG749" s="60"/>
      <c r="CH749" s="60"/>
      <c r="CI749" s="60"/>
      <c r="CJ749" s="60"/>
      <c r="CK749" s="60"/>
      <c r="CL749" s="61"/>
      <c r="CM749" s="60"/>
      <c r="CN749" s="60"/>
      <c r="CO749" s="60"/>
      <c r="CP749" s="25" t="n">
        <f aca="false">BX749+BW749+BV749+BU749+BT749+BQ749+BN749</f>
        <v>0</v>
      </c>
      <c r="CQ749" s="25" t="n">
        <f aca="false">CO749+CL749+CI749+CH749+CG749+CD749+CA749</f>
        <v>0</v>
      </c>
      <c r="CR749" s="26" t="n">
        <f aca="false">CP749/7</f>
        <v>0</v>
      </c>
      <c r="CS749" s="26" t="n">
        <f aca="false">CQ749/7</f>
        <v>0</v>
      </c>
      <c r="CT749" s="24" t="n">
        <f aca="false">RANK(CR749,$CR$2:$CR$881,0)</f>
        <v>768</v>
      </c>
      <c r="CU749" s="25" t="n">
        <f aca="false">RANK(CS749,$CS$2:$CS$881,0)</f>
        <v>752</v>
      </c>
      <c r="CV749" s="26" t="n">
        <f aca="false">(CS749+CR749)/2</f>
        <v>0</v>
      </c>
      <c r="CW749" s="25" t="n">
        <f aca="false">RANK(CV749,$CV$2:$CV$881,0)</f>
        <v>753</v>
      </c>
      <c r="CX749" s="50" t="n">
        <f aca="false">(CV749+BB749)/2</f>
        <v>39.55</v>
      </c>
      <c r="CY749" s="50" t="n">
        <v>789</v>
      </c>
      <c r="CZ749" s="27" t="s">
        <v>132</v>
      </c>
      <c r="DA749" s="27" t="s">
        <v>202</v>
      </c>
      <c r="DB749" s="27" t="s">
        <v>202</v>
      </c>
      <c r="DC749" s="27" t="s">
        <v>134</v>
      </c>
      <c r="DD749" s="27" t="s">
        <v>191</v>
      </c>
      <c r="DE749" s="27" t="s">
        <v>218</v>
      </c>
      <c r="DF749" s="27" t="s">
        <v>382</v>
      </c>
      <c r="DG749" s="27" t="s">
        <v>134</v>
      </c>
      <c r="DH749" s="27" t="s">
        <v>137</v>
      </c>
      <c r="DI749" s="27" t="s">
        <v>204</v>
      </c>
      <c r="DJ749" s="27" t="s">
        <v>175</v>
      </c>
      <c r="DK749" s="27" t="s">
        <v>134</v>
      </c>
      <c r="DL749" s="27" t="s">
        <v>195</v>
      </c>
      <c r="DM749" s="27" t="s">
        <v>375</v>
      </c>
      <c r="DN749" s="27" t="s">
        <v>416</v>
      </c>
      <c r="DO749" s="27" t="s">
        <v>134</v>
      </c>
      <c r="DP749" s="27" t="s">
        <v>604</v>
      </c>
      <c r="DQ749" s="27" t="s">
        <v>442</v>
      </c>
      <c r="DR749" s="27" t="s">
        <v>163</v>
      </c>
      <c r="DS749" s="27" t="s">
        <v>134</v>
      </c>
      <c r="DT749" s="27" t="s">
        <v>164</v>
      </c>
      <c r="DU749" s="27" t="s">
        <v>638</v>
      </c>
      <c r="DV749" s="27" t="s">
        <v>398</v>
      </c>
      <c r="DW749" s="27" t="s">
        <v>174</v>
      </c>
      <c r="DX749" s="27" t="s">
        <v>138</v>
      </c>
      <c r="DY749" s="27" t="s">
        <v>170</v>
      </c>
      <c r="DZ749" s="27" t="n">
        <f aca="false">DY749+DV749+DR749+DN749+DJ749+DF749+DB749</f>
        <v>547</v>
      </c>
      <c r="EA749" s="28" t="n">
        <f aca="false">DZ749/7</f>
        <v>78.1428571428571</v>
      </c>
      <c r="EB749" s="27" t="n">
        <f aca="false">RANK(EA749,$EA$2:$EA$881,0)</f>
        <v>453</v>
      </c>
      <c r="EC749" s="29" t="n">
        <f aca="false">DZ749+CQ749+CP749+AZ749</f>
        <v>1338</v>
      </c>
      <c r="ED749" s="30" t="n">
        <f aca="false">(EA749+CV749+BB749)/3</f>
        <v>52.4142857142857</v>
      </c>
      <c r="EE749" s="51" t="n">
        <f aca="false">ROUND(BE749,3)</f>
        <v>84.803</v>
      </c>
      <c r="EF749" s="51" t="n">
        <f aca="false">ROUND(CR749,3)</f>
        <v>0</v>
      </c>
      <c r="EG749" s="51" t="n">
        <f aca="false">ROUND(CS749,3)</f>
        <v>0</v>
      </c>
      <c r="EH749" s="51" t="n">
        <f aca="false">ROUND(EA749,3)</f>
        <v>78.143</v>
      </c>
      <c r="EI749" s="51" t="n">
        <f aca="false">ROUND(ED749,3)</f>
        <v>52.414</v>
      </c>
      <c r="EJ749" s="51" t="n">
        <f aca="false">ROUND(CV749,3)</f>
        <v>0</v>
      </c>
      <c r="EK749" s="0" t="n">
        <f aca="false">RANK(EI749,$EI$2:$EI$881,0)</f>
        <v>748</v>
      </c>
    </row>
    <row r="750" customFormat="false" ht="15" hidden="false" customHeight="false" outlineLevel="0" collapsed="false">
      <c r="A750" s="4" t="n">
        <v>8937</v>
      </c>
      <c r="B750" s="4" t="n">
        <v>181</v>
      </c>
      <c r="C750" s="27" t="s">
        <v>2134</v>
      </c>
      <c r="D750" s="31" t="n">
        <v>182</v>
      </c>
      <c r="E750" s="32" t="n">
        <v>230311441</v>
      </c>
      <c r="F750" s="8" t="s">
        <v>2135</v>
      </c>
      <c r="G750" s="22" t="s">
        <v>2136</v>
      </c>
      <c r="H750" s="22" t="s">
        <v>129</v>
      </c>
      <c r="I750" s="33" t="n">
        <v>2005</v>
      </c>
      <c r="J750" s="32" t="n">
        <v>95</v>
      </c>
      <c r="K750" s="32" t="n">
        <v>85</v>
      </c>
      <c r="L750" s="34" t="n">
        <f aca="false">(K750*70)/100</f>
        <v>59.5</v>
      </c>
      <c r="M750" s="34" t="n">
        <f aca="false">ROUNDUP(L750,0)</f>
        <v>60</v>
      </c>
      <c r="N750" s="32" t="n">
        <v>25</v>
      </c>
      <c r="O750" s="34" t="n">
        <f aca="false">N750+L750</f>
        <v>84.5</v>
      </c>
      <c r="P750" s="34" t="n">
        <f aca="false">N750+M750</f>
        <v>85</v>
      </c>
      <c r="Q750" s="32" t="n">
        <v>73</v>
      </c>
      <c r="R750" s="32" t="n">
        <v>84</v>
      </c>
      <c r="S750" s="34" t="n">
        <f aca="false">(R750*70)/100</f>
        <v>58.8</v>
      </c>
      <c r="T750" s="34" t="n">
        <f aca="false">ROUNDUP(S750,0)</f>
        <v>59</v>
      </c>
      <c r="U750" s="32" t="n">
        <v>21</v>
      </c>
      <c r="V750" s="34" t="n">
        <f aca="false">U750+S750</f>
        <v>79.8</v>
      </c>
      <c r="W750" s="34" t="n">
        <f aca="false">U750+T750</f>
        <v>80</v>
      </c>
      <c r="X750" s="32" t="n">
        <v>83</v>
      </c>
      <c r="Y750" s="34" t="n">
        <f aca="false">(X750*70)/100</f>
        <v>58.1</v>
      </c>
      <c r="Z750" s="34" t="n">
        <f aca="false">ROUNDUP(Y750,0)</f>
        <v>59</v>
      </c>
      <c r="AA750" s="32" t="n">
        <v>26</v>
      </c>
      <c r="AB750" s="34" t="n">
        <f aca="false">AA750+Y750</f>
        <v>84.1</v>
      </c>
      <c r="AC750" s="34" t="n">
        <f aca="false">AA750+Z750</f>
        <v>85</v>
      </c>
      <c r="AD750" s="32" t="n">
        <f aca="false">X750+R750+Q750+K750+J750</f>
        <v>420</v>
      </c>
      <c r="AE750" s="16" t="n">
        <f aca="false">AD750/5</f>
        <v>84</v>
      </c>
      <c r="AF750" s="16" t="n">
        <v>71</v>
      </c>
      <c r="AG750" s="16" t="n">
        <v>96</v>
      </c>
      <c r="AH750" s="16" t="n">
        <v>89</v>
      </c>
      <c r="AI750" s="16" t="n">
        <v>65</v>
      </c>
      <c r="AJ750" s="16" t="n">
        <f aca="false">(AI750*70)/100</f>
        <v>45.5</v>
      </c>
      <c r="AK750" s="35" t="n">
        <f aca="false">ROUNDUP(AJ750,0)</f>
        <v>46</v>
      </c>
      <c r="AL750" s="16" t="n">
        <v>25</v>
      </c>
      <c r="AM750" s="16" t="n">
        <f aca="false">AL750+AJ750</f>
        <v>70.5</v>
      </c>
      <c r="AN750" s="16" t="n">
        <f aca="false">AL750+AK750</f>
        <v>71</v>
      </c>
      <c r="AO750" s="16" t="n">
        <v>74</v>
      </c>
      <c r="AP750" s="36" t="n">
        <f aca="false">(AO750*70)/100</f>
        <v>51.8</v>
      </c>
      <c r="AQ750" s="37" t="n">
        <f aca="false">ROUNDUP(AP750,0)</f>
        <v>52</v>
      </c>
      <c r="AR750" s="16" t="n">
        <v>27</v>
      </c>
      <c r="AS750" s="16" t="n">
        <f aca="false">AR750+AP750</f>
        <v>78.8</v>
      </c>
      <c r="AT750" s="16" t="n">
        <f aca="false">AR750+AQ750</f>
        <v>79</v>
      </c>
      <c r="AU750" s="16" t="n">
        <f aca="false">AO750+AF750+AI750+AH750+AG750</f>
        <v>395</v>
      </c>
      <c r="AV750" s="16" t="n">
        <f aca="false">(AO750+AF750+AI750+AH750+AG750)/5</f>
        <v>79</v>
      </c>
      <c r="AW750" s="36" t="n">
        <f aca="false">(AO750+AF750+AI750+AH750+AG750+X750+R750+Q750+K750+J750)</f>
        <v>815</v>
      </c>
      <c r="AX750" s="16" t="n">
        <f aca="false">AW750/10</f>
        <v>81.5</v>
      </c>
      <c r="AY750" s="16" t="n">
        <f aca="false">AS750+AF750+AM750+AH750+AG750+AB750+V750+Q750+O750+J750</f>
        <v>821.7</v>
      </c>
      <c r="AZ750" s="16" t="n">
        <f aca="false">AT750+AF750+AN750+AH750+AG750+AC750+W750+Q750+P750+J750</f>
        <v>824</v>
      </c>
      <c r="BA750" s="16" t="n">
        <f aca="false">AY750/10</f>
        <v>82.17</v>
      </c>
      <c r="BB750" s="16" t="n">
        <f aca="false">AZ750/10</f>
        <v>82.4</v>
      </c>
      <c r="BC750" s="16" t="n">
        <v>2342</v>
      </c>
      <c r="BD750" s="16" t="n">
        <f aca="false">RANK(AX750,$AX$2:$AX$881,0)</f>
        <v>188</v>
      </c>
      <c r="BE750" s="54" t="n">
        <f aca="false">((BC750*100)/2400)*0.4+(AX750*0.6)</f>
        <v>87.9333333333333</v>
      </c>
      <c r="BF750" s="16" t="n">
        <f aca="false">RANK(BE750,$BE$2:$BE$881,0)</f>
        <v>211</v>
      </c>
      <c r="BG750" s="39" t="n">
        <f aca="false">RANK(BB750,$BB$2:$BB$881,0)</f>
        <v>189</v>
      </c>
      <c r="BH750" s="39" t="n">
        <f aca="false">RANK(BC750,$BC$2:$BC$881,0)</f>
        <v>621</v>
      </c>
      <c r="BI750" s="22" t="s">
        <v>130</v>
      </c>
      <c r="BJ750" s="22" t="s">
        <v>129</v>
      </c>
      <c r="BK750" s="40" t="s">
        <v>131</v>
      </c>
      <c r="BL750" s="41" t="n">
        <v>15</v>
      </c>
      <c r="BM750" s="41" t="n">
        <v>48</v>
      </c>
      <c r="BN750" s="41" t="n">
        <v>63</v>
      </c>
      <c r="BO750" s="42" t="n">
        <v>22</v>
      </c>
      <c r="BP750" s="43" t="n">
        <v>39</v>
      </c>
      <c r="BQ750" s="44" t="n">
        <v>61</v>
      </c>
      <c r="BR750" s="42" t="n">
        <v>20</v>
      </c>
      <c r="BS750" s="45" t="n">
        <v>47</v>
      </c>
      <c r="BT750" s="45" t="n">
        <v>67</v>
      </c>
      <c r="BU750" s="46" t="n">
        <v>100</v>
      </c>
      <c r="BV750" s="47" t="n">
        <v>86</v>
      </c>
      <c r="BW750" s="42" t="n">
        <v>86</v>
      </c>
      <c r="BX750" s="48" t="n">
        <v>88</v>
      </c>
      <c r="BY750" s="32" t="n">
        <v>20</v>
      </c>
      <c r="BZ750" s="32" t="n">
        <v>37</v>
      </c>
      <c r="CA750" s="69" t="n">
        <v>57</v>
      </c>
      <c r="CB750" s="32" t="n">
        <v>17</v>
      </c>
      <c r="CC750" s="32" t="n">
        <v>37</v>
      </c>
      <c r="CD750" s="69" t="n">
        <v>54</v>
      </c>
      <c r="CE750" s="32" t="n">
        <v>22</v>
      </c>
      <c r="CF750" s="32" t="n">
        <v>50</v>
      </c>
      <c r="CG750" s="32" t="n">
        <v>72</v>
      </c>
      <c r="CH750" s="32" t="n">
        <v>100</v>
      </c>
      <c r="CI750" s="32" t="n">
        <v>98</v>
      </c>
      <c r="CJ750" s="49" t="n">
        <v>15</v>
      </c>
      <c r="CK750" s="49" t="n">
        <v>41</v>
      </c>
      <c r="CL750" s="76" t="n">
        <v>56</v>
      </c>
      <c r="CM750" s="49" t="n">
        <v>16</v>
      </c>
      <c r="CN750" s="49" t="n">
        <v>42</v>
      </c>
      <c r="CO750" s="76" t="n">
        <v>58</v>
      </c>
      <c r="CP750" s="25" t="n">
        <f aca="false">BX750+BW750+BV750+BU750+BT750+BQ750+BN750</f>
        <v>551</v>
      </c>
      <c r="CQ750" s="25" t="n">
        <f aca="false">CO750+CL750+CI750+CH750+CG750+CD750+CA750</f>
        <v>495</v>
      </c>
      <c r="CR750" s="26" t="n">
        <f aca="false">CP750/7</f>
        <v>78.7142857142857</v>
      </c>
      <c r="CS750" s="26" t="n">
        <f aca="false">CQ750/7</f>
        <v>70.7142857142857</v>
      </c>
      <c r="CT750" s="24" t="n">
        <f aca="false">RANK(CR750,$CR$2:$CR$881,0)</f>
        <v>607</v>
      </c>
      <c r="CU750" s="25" t="n">
        <f aca="false">RANK(CS750,$CS$2:$CS$881,0)</f>
        <v>543</v>
      </c>
      <c r="CV750" s="26" t="n">
        <f aca="false">(CS750+CR750)/2</f>
        <v>74.7142857142857</v>
      </c>
      <c r="CW750" s="25" t="n">
        <f aca="false">RANK(CV750,$CV$2:$CV$881,0)</f>
        <v>566</v>
      </c>
      <c r="CX750" s="50" t="n">
        <f aca="false">(CV750+BB750)/2</f>
        <v>78.5571428571429</v>
      </c>
      <c r="CY750" s="50" t="n">
        <v>445</v>
      </c>
      <c r="CZ750" s="27"/>
      <c r="DA750" s="27"/>
      <c r="DB750" s="27"/>
      <c r="DC750" s="27"/>
      <c r="DD750" s="27" t="s">
        <v>2124</v>
      </c>
      <c r="DE750" s="27"/>
      <c r="DF750" s="27"/>
      <c r="DG750" s="27"/>
      <c r="DH750" s="27" t="s">
        <v>2125</v>
      </c>
      <c r="DI750" s="27"/>
      <c r="DJ750" s="27"/>
      <c r="DK750" s="27"/>
      <c r="DL750" s="27" t="s">
        <v>2124</v>
      </c>
      <c r="DM750" s="27"/>
      <c r="DN750" s="27"/>
      <c r="DO750" s="27"/>
      <c r="DP750" s="27"/>
      <c r="DQ750" s="27" t="s">
        <v>2124</v>
      </c>
      <c r="DR750" s="27"/>
      <c r="DS750" s="27"/>
      <c r="DT750" s="27" t="s">
        <v>2124</v>
      </c>
      <c r="DU750" s="27"/>
      <c r="DV750" s="27"/>
      <c r="DW750" s="27" t="s">
        <v>2124</v>
      </c>
      <c r="DX750" s="27"/>
      <c r="DY750" s="27"/>
      <c r="DZ750" s="27" t="n">
        <f aca="false">DY750+DV750+DR750+DN750+DJ750+DF750+DB750</f>
        <v>0</v>
      </c>
      <c r="EA750" s="28" t="n">
        <f aca="false">DZ750/7</f>
        <v>0</v>
      </c>
      <c r="EB750" s="27" t="n">
        <f aca="false">RANK(EA750,$EA$2:$EA$881,0)</f>
        <v>870</v>
      </c>
      <c r="EC750" s="29" t="n">
        <f aca="false">DZ750+CQ750+CP750+AZ750</f>
        <v>1870</v>
      </c>
      <c r="ED750" s="30" t="n">
        <f aca="false">(EA750+CV750+BB750)/3</f>
        <v>52.3714285714286</v>
      </c>
      <c r="EE750" s="51" t="n">
        <f aca="false">ROUND(BE750,3)</f>
        <v>87.933</v>
      </c>
      <c r="EF750" s="51" t="n">
        <f aca="false">ROUND(CR750,3)</f>
        <v>78.714</v>
      </c>
      <c r="EG750" s="51" t="n">
        <f aca="false">ROUND(CS750,3)</f>
        <v>70.714</v>
      </c>
      <c r="EH750" s="51" t="n">
        <f aca="false">ROUND(EA750,3)</f>
        <v>0</v>
      </c>
      <c r="EI750" s="51" t="n">
        <f aca="false">ROUND(ED750,3)</f>
        <v>52.371</v>
      </c>
      <c r="EJ750" s="51" t="n">
        <f aca="false">ROUND(CV750,3)</f>
        <v>74.714</v>
      </c>
      <c r="EK750" s="0" t="n">
        <f aca="false">RANK(EI750,$EI$2:$EI$881,0)</f>
        <v>749</v>
      </c>
    </row>
    <row r="751" customFormat="false" ht="15" hidden="false" customHeight="false" outlineLevel="0" collapsed="false">
      <c r="A751" s="4" t="n">
        <v>8655</v>
      </c>
      <c r="B751" s="4" t="n">
        <v>334</v>
      </c>
      <c r="C751" s="27" t="s">
        <v>2137</v>
      </c>
      <c r="D751" s="52" t="n">
        <v>336</v>
      </c>
      <c r="E751" s="136"/>
      <c r="F751" s="110" t="s">
        <v>2138</v>
      </c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  <c r="AW751" s="136"/>
      <c r="AX751" s="136"/>
      <c r="AY751" s="136"/>
      <c r="AZ751" s="136"/>
      <c r="BA751" s="136"/>
      <c r="BB751" s="136"/>
      <c r="BC751" s="136"/>
      <c r="BD751" s="16" t="e">
        <f aca="false">RANK(AX751,$AX$2:$AX$881,0)</f>
        <v>#N/A</v>
      </c>
      <c r="BE751" s="138"/>
      <c r="BF751" s="16" t="n">
        <f aca="false">RANK(BE751,$BE$2:$BE$881,0)</f>
        <v>806</v>
      </c>
      <c r="BG751" s="39" t="e">
        <f aca="false">RANK(BB751,$BB$2:$BB$881,0)</f>
        <v>#N/A</v>
      </c>
      <c r="BH751" s="39" t="n">
        <f aca="false">RANK(BC751,$BC$2:$BC$881,0)</f>
        <v>780</v>
      </c>
      <c r="BI751" s="19" t="s">
        <v>130</v>
      </c>
      <c r="BJ751" s="19" t="s">
        <v>129</v>
      </c>
      <c r="BK751" s="109" t="s">
        <v>1596</v>
      </c>
      <c r="BL751" s="41" t="n">
        <v>21</v>
      </c>
      <c r="BM751" s="41" t="n">
        <v>39</v>
      </c>
      <c r="BN751" s="41" t="n">
        <v>60</v>
      </c>
      <c r="BO751" s="42" t="n">
        <v>27</v>
      </c>
      <c r="BP751" s="43" t="n">
        <v>50</v>
      </c>
      <c r="BQ751" s="44" t="n">
        <v>77</v>
      </c>
      <c r="BR751" s="42" t="n">
        <v>17</v>
      </c>
      <c r="BS751" s="45" t="n">
        <v>53</v>
      </c>
      <c r="BT751" s="24" t="n">
        <v>70</v>
      </c>
      <c r="BU751" s="46" t="n">
        <v>100</v>
      </c>
      <c r="BV751" s="47" t="n">
        <v>84</v>
      </c>
      <c r="BW751" s="42" t="n">
        <v>93</v>
      </c>
      <c r="BX751" s="48" t="n">
        <v>100</v>
      </c>
      <c r="BY751" s="32" t="n">
        <v>25</v>
      </c>
      <c r="BZ751" s="32" t="n">
        <v>41</v>
      </c>
      <c r="CA751" s="32" t="n">
        <v>66</v>
      </c>
      <c r="CB751" s="32" t="n">
        <v>18</v>
      </c>
      <c r="CC751" s="32" t="n">
        <v>22</v>
      </c>
      <c r="CD751" s="69" t="n">
        <v>40</v>
      </c>
      <c r="CE751" s="32" t="n">
        <v>26</v>
      </c>
      <c r="CF751" s="32" t="n">
        <v>33</v>
      </c>
      <c r="CG751" s="69" t="n">
        <v>59</v>
      </c>
      <c r="CH751" s="32" t="n">
        <v>96</v>
      </c>
      <c r="CI751" s="32" t="n">
        <v>93</v>
      </c>
      <c r="CJ751" s="49" t="n">
        <v>23</v>
      </c>
      <c r="CK751" s="49" t="n">
        <v>38</v>
      </c>
      <c r="CL751" s="49" t="n">
        <v>61</v>
      </c>
      <c r="CM751" s="49" t="n">
        <v>23</v>
      </c>
      <c r="CN751" s="49" t="n">
        <v>42</v>
      </c>
      <c r="CO751" s="49" t="n">
        <v>65</v>
      </c>
      <c r="CP751" s="25" t="n">
        <f aca="false">BX751+BW751+BV751+BU751+BT751+BQ751+BN751</f>
        <v>584</v>
      </c>
      <c r="CQ751" s="25" t="n">
        <f aca="false">CO751+CL751+CI751+CH751+CG751+CD751+CA751</f>
        <v>480</v>
      </c>
      <c r="CR751" s="26" t="n">
        <f aca="false">CP751/7</f>
        <v>83.4285714285714</v>
      </c>
      <c r="CS751" s="26" t="n">
        <f aca="false">CQ751/7</f>
        <v>68.5714285714286</v>
      </c>
      <c r="CT751" s="24" t="n">
        <f aca="false">RANK(CR751,$CR$2:$CR$881,0)</f>
        <v>502</v>
      </c>
      <c r="CU751" s="25" t="n">
        <f aca="false">RANK(CS751,$CS$2:$CS$881,0)</f>
        <v>578</v>
      </c>
      <c r="CV751" s="26" t="n">
        <f aca="false">(CS751+CR751)/2</f>
        <v>76</v>
      </c>
      <c r="CW751" s="25" t="n">
        <f aca="false">RANK(CV751,$CV$2:$CV$881,0)</f>
        <v>540</v>
      </c>
      <c r="CX751" s="50" t="n">
        <f aca="false">(CV751+BB751)/2</f>
        <v>38</v>
      </c>
      <c r="CY751" s="50" t="n">
        <v>849</v>
      </c>
      <c r="CZ751" s="27" t="s">
        <v>132</v>
      </c>
      <c r="DA751" s="27" t="s">
        <v>162</v>
      </c>
      <c r="DB751" s="27" t="s">
        <v>162</v>
      </c>
      <c r="DC751" s="27" t="s">
        <v>134</v>
      </c>
      <c r="DD751" s="27" t="s">
        <v>135</v>
      </c>
      <c r="DE751" s="27" t="s">
        <v>304</v>
      </c>
      <c r="DF751" s="27" t="s">
        <v>272</v>
      </c>
      <c r="DG751" s="27" t="s">
        <v>134</v>
      </c>
      <c r="DH751" s="27" t="s">
        <v>182</v>
      </c>
      <c r="DI751" s="27" t="s">
        <v>204</v>
      </c>
      <c r="DJ751" s="27" t="s">
        <v>169</v>
      </c>
      <c r="DK751" s="27" t="s">
        <v>134</v>
      </c>
      <c r="DL751" s="27" t="s">
        <v>154</v>
      </c>
      <c r="DM751" s="27" t="s">
        <v>313</v>
      </c>
      <c r="DN751" s="27" t="s">
        <v>441</v>
      </c>
      <c r="DO751" s="27" t="s">
        <v>134</v>
      </c>
      <c r="DP751" s="27" t="s">
        <v>182</v>
      </c>
      <c r="DQ751" s="27" t="s">
        <v>673</v>
      </c>
      <c r="DR751" s="27" t="s">
        <v>163</v>
      </c>
      <c r="DS751" s="27" t="s">
        <v>134</v>
      </c>
      <c r="DT751" s="27" t="s">
        <v>137</v>
      </c>
      <c r="DU751" s="27" t="s">
        <v>442</v>
      </c>
      <c r="DV751" s="27" t="s">
        <v>441</v>
      </c>
      <c r="DW751" s="27" t="s">
        <v>140</v>
      </c>
      <c r="DX751" s="27" t="s">
        <v>155</v>
      </c>
      <c r="DY751" s="27" t="s">
        <v>147</v>
      </c>
      <c r="DZ751" s="27" t="n">
        <f aca="false">DY751+DV751+DR751+DN751+DJ751+DF751+DB751</f>
        <v>565</v>
      </c>
      <c r="EA751" s="28" t="n">
        <f aca="false">DZ751/7</f>
        <v>80.7142857142857</v>
      </c>
      <c r="EB751" s="27" t="n">
        <f aca="false">RANK(EA751,$EA$2:$EA$881,0)</f>
        <v>361</v>
      </c>
      <c r="EC751" s="29" t="n">
        <f aca="false">DZ751+CQ751+CP751+AZ751</f>
        <v>1629</v>
      </c>
      <c r="ED751" s="30" t="n">
        <f aca="false">(EA751+CV751+BB751)/3</f>
        <v>52.2380952380952</v>
      </c>
      <c r="EE751" s="51" t="n">
        <f aca="false">ROUND(BE751,3)</f>
        <v>0</v>
      </c>
      <c r="EF751" s="51" t="n">
        <f aca="false">ROUND(CR751,3)</f>
        <v>83.429</v>
      </c>
      <c r="EG751" s="51" t="n">
        <f aca="false">ROUND(CS751,3)</f>
        <v>68.571</v>
      </c>
      <c r="EH751" s="51" t="n">
        <f aca="false">ROUND(EA751,3)</f>
        <v>80.714</v>
      </c>
      <c r="EI751" s="51" t="n">
        <f aca="false">ROUND(ED751,3)</f>
        <v>52.238</v>
      </c>
      <c r="EJ751" s="51" t="n">
        <f aca="false">ROUND(CV751,3)</f>
        <v>76</v>
      </c>
      <c r="EK751" s="0" t="n">
        <f aca="false">RANK(EI751,$EI$2:$EI$881,0)</f>
        <v>750</v>
      </c>
    </row>
    <row r="752" customFormat="false" ht="15" hidden="false" customHeight="false" outlineLevel="0" collapsed="false">
      <c r="A752" s="4" t="n">
        <v>1857</v>
      </c>
      <c r="B752" s="4" t="n">
        <v>513</v>
      </c>
      <c r="C752" s="27" t="s">
        <v>2139</v>
      </c>
      <c r="D752" s="31" t="n">
        <v>518</v>
      </c>
      <c r="E752" s="16" t="n">
        <v>230507841</v>
      </c>
      <c r="F752" s="56" t="s">
        <v>2140</v>
      </c>
      <c r="G752" s="22" t="s">
        <v>831</v>
      </c>
      <c r="H752" s="22" t="s">
        <v>465</v>
      </c>
      <c r="I752" s="80"/>
      <c r="J752" s="16" t="n">
        <v>68</v>
      </c>
      <c r="K752" s="16" t="n">
        <v>66</v>
      </c>
      <c r="L752" s="34" t="n">
        <f aca="false">(K752*70)/100</f>
        <v>46.2</v>
      </c>
      <c r="M752" s="34" t="n">
        <f aca="false">ROUNDUP(L752,0)</f>
        <v>47</v>
      </c>
      <c r="N752" s="16" t="n">
        <v>22</v>
      </c>
      <c r="O752" s="34" t="n">
        <f aca="false">N752+L752</f>
        <v>68.2</v>
      </c>
      <c r="P752" s="34" t="n">
        <f aca="false">N752+M752</f>
        <v>69</v>
      </c>
      <c r="Q752" s="16" t="n">
        <v>77</v>
      </c>
      <c r="R752" s="16" t="n">
        <v>73</v>
      </c>
      <c r="S752" s="34" t="n">
        <f aca="false">(R752*70)/100</f>
        <v>51.1</v>
      </c>
      <c r="T752" s="34" t="n">
        <f aca="false">ROUNDUP(S752,0)</f>
        <v>52</v>
      </c>
      <c r="U752" s="16" t="n">
        <v>24</v>
      </c>
      <c r="V752" s="34" t="n">
        <f aca="false">U752+S752</f>
        <v>75.1</v>
      </c>
      <c r="W752" s="34" t="n">
        <f aca="false">U752+T752</f>
        <v>76</v>
      </c>
      <c r="X752" s="16" t="n">
        <v>74</v>
      </c>
      <c r="Y752" s="34" t="n">
        <f aca="false">(X752*70)/100</f>
        <v>51.8</v>
      </c>
      <c r="Z752" s="34" t="n">
        <f aca="false">ROUNDUP(Y752,0)</f>
        <v>52</v>
      </c>
      <c r="AA752" s="16" t="n">
        <v>27</v>
      </c>
      <c r="AB752" s="34" t="n">
        <f aca="false">AA752+Y752</f>
        <v>78.8</v>
      </c>
      <c r="AC752" s="34" t="n">
        <f aca="false">AA752+Z752</f>
        <v>79</v>
      </c>
      <c r="AD752" s="32" t="n">
        <f aca="false">X752+R752+Q752+K752+J752</f>
        <v>358</v>
      </c>
      <c r="AE752" s="16" t="n">
        <f aca="false">AD752/5</f>
        <v>71.6</v>
      </c>
      <c r="AF752" s="16" t="n">
        <v>71</v>
      </c>
      <c r="AG752" s="16" t="n">
        <v>85</v>
      </c>
      <c r="AH752" s="16" t="n">
        <v>89</v>
      </c>
      <c r="AI752" s="16" t="n">
        <v>88</v>
      </c>
      <c r="AJ752" s="16" t="n">
        <f aca="false">(AI752*70)/100</f>
        <v>61.6</v>
      </c>
      <c r="AK752" s="35" t="n">
        <f aca="false">ROUNDUP(AJ752,0)</f>
        <v>62</v>
      </c>
      <c r="AL752" s="16" t="n">
        <v>23</v>
      </c>
      <c r="AM752" s="16" t="n">
        <f aca="false">AL752+AJ752</f>
        <v>84.6</v>
      </c>
      <c r="AN752" s="16" t="n">
        <f aca="false">AL752+AK752</f>
        <v>85</v>
      </c>
      <c r="AO752" s="16" t="n">
        <v>77</v>
      </c>
      <c r="AP752" s="36" t="n">
        <f aca="false">(AO752*70)/100</f>
        <v>53.9</v>
      </c>
      <c r="AQ752" s="37" t="n">
        <f aca="false">ROUNDUP(AP752,0)</f>
        <v>54</v>
      </c>
      <c r="AR752" s="16" t="n">
        <v>16</v>
      </c>
      <c r="AS752" s="16" t="n">
        <f aca="false">AR752+AP752</f>
        <v>69.9</v>
      </c>
      <c r="AT752" s="16" t="n">
        <f aca="false">AR752+AQ752</f>
        <v>70</v>
      </c>
      <c r="AU752" s="16" t="n">
        <f aca="false">AO752+AF752+AI752+AH752+AG752</f>
        <v>410</v>
      </c>
      <c r="AV752" s="16" t="n">
        <f aca="false">(AO752+AF752+AI752+AH752+AG752)/5</f>
        <v>82</v>
      </c>
      <c r="AW752" s="36" t="n">
        <f aca="false">(AO752+AF752+AI752+AH752+AG752+X752+R752+Q752+K752+J752)</f>
        <v>768</v>
      </c>
      <c r="AX752" s="16" t="n">
        <f aca="false">AW752/10</f>
        <v>76.8</v>
      </c>
      <c r="AY752" s="16" t="n">
        <f aca="false">AS752+AF752+AM752+AH752+AG752+AB752+V752+Q752+O752+J752</f>
        <v>766.6</v>
      </c>
      <c r="AZ752" s="16" t="n">
        <f aca="false">AT752+AF752+AN752+AH752+AG752+AC752+W752+Q752+P752+J752</f>
        <v>769</v>
      </c>
      <c r="BA752" s="16" t="n">
        <f aca="false">AY752/10</f>
        <v>76.66</v>
      </c>
      <c r="BB752" s="16" t="n">
        <f aca="false">AZ752/10</f>
        <v>76.9</v>
      </c>
      <c r="BC752" s="16" t="n">
        <v>2341</v>
      </c>
      <c r="BD752" s="16" t="n">
        <f aca="false">RANK(AX752,$AX$2:$AX$881,0)</f>
        <v>527</v>
      </c>
      <c r="BE752" s="54" t="n">
        <f aca="false">((BC752*100)/2400)*0.4+(AX752*0.6)</f>
        <v>85.0966666666667</v>
      </c>
      <c r="BF752" s="16" t="n">
        <f aca="false">RANK(BE752,$BE$2:$BE$881,0)</f>
        <v>587</v>
      </c>
      <c r="BG752" s="39" t="n">
        <f aca="false">RANK(BB752,$BB$2:$BB$881,0)</f>
        <v>648</v>
      </c>
      <c r="BH752" s="39" t="n">
        <f aca="false">RANK(BC752,$BC$2:$BC$881,0)</f>
        <v>628</v>
      </c>
      <c r="BI752" s="22" t="s">
        <v>130</v>
      </c>
      <c r="BJ752" s="22" t="s">
        <v>129</v>
      </c>
      <c r="BK752" s="22" t="s">
        <v>509</v>
      </c>
      <c r="BL752" s="101" t="n">
        <v>6.5</v>
      </c>
      <c r="BM752" s="61"/>
      <c r="BN752" s="61"/>
      <c r="BO752" s="42" t="n">
        <v>23</v>
      </c>
      <c r="BP752" s="61"/>
      <c r="BQ752" s="61"/>
      <c r="BR752" s="74" t="n">
        <v>10</v>
      </c>
      <c r="BS752" s="80"/>
      <c r="BT752" s="80"/>
      <c r="BU752" s="80"/>
      <c r="BV752" s="137"/>
      <c r="BW752" s="61"/>
      <c r="BX752" s="107"/>
      <c r="BY752" s="130"/>
      <c r="BZ752" s="60"/>
      <c r="CA752" s="60"/>
      <c r="CB752" s="61"/>
      <c r="CC752" s="60"/>
      <c r="CD752" s="60"/>
      <c r="CE752" s="60"/>
      <c r="CF752" s="60"/>
      <c r="CG752" s="60"/>
      <c r="CH752" s="60"/>
      <c r="CI752" s="60"/>
      <c r="CJ752" s="60"/>
      <c r="CK752" s="60"/>
      <c r="CL752" s="61"/>
      <c r="CM752" s="60"/>
      <c r="CN752" s="60"/>
      <c r="CO752" s="60"/>
      <c r="CP752" s="25" t="n">
        <f aca="false">BX752+BW752+BV752+BU752+BT752+BQ752+BN752</f>
        <v>0</v>
      </c>
      <c r="CQ752" s="25" t="n">
        <f aca="false">CO752+CL752+CI752+CH752+CG752+CD752+CA752</f>
        <v>0</v>
      </c>
      <c r="CR752" s="26" t="n">
        <f aca="false">CP752/7</f>
        <v>0</v>
      </c>
      <c r="CS752" s="26" t="n">
        <f aca="false">CQ752/7</f>
        <v>0</v>
      </c>
      <c r="CT752" s="24" t="n">
        <f aca="false">RANK(CR752,$CR$2:$CR$881,0)</f>
        <v>768</v>
      </c>
      <c r="CU752" s="25" t="n">
        <f aca="false">RANK(CS752,$CS$2:$CS$881,0)</f>
        <v>752</v>
      </c>
      <c r="CV752" s="26" t="n">
        <f aca="false">(CS752+CR752)/2</f>
        <v>0</v>
      </c>
      <c r="CW752" s="25" t="n">
        <f aca="false">RANK(CV752,$CV$2:$CV$881,0)</f>
        <v>753</v>
      </c>
      <c r="CX752" s="50" t="n">
        <f aca="false">(CV752+BB752)/2</f>
        <v>38.45</v>
      </c>
      <c r="CY752" s="50" t="n">
        <v>844</v>
      </c>
      <c r="CZ752" s="27" t="s">
        <v>132</v>
      </c>
      <c r="DA752" s="27" t="s">
        <v>175</v>
      </c>
      <c r="DB752" s="27" t="s">
        <v>175</v>
      </c>
      <c r="DC752" s="27" t="s">
        <v>134</v>
      </c>
      <c r="DD752" s="27" t="s">
        <v>164</v>
      </c>
      <c r="DE752" s="27" t="s">
        <v>447</v>
      </c>
      <c r="DF752" s="27" t="s">
        <v>219</v>
      </c>
      <c r="DG752" s="27" t="s">
        <v>134</v>
      </c>
      <c r="DH752" s="27" t="s">
        <v>160</v>
      </c>
      <c r="DI752" s="27" t="s">
        <v>304</v>
      </c>
      <c r="DJ752" s="27" t="s">
        <v>205</v>
      </c>
      <c r="DK752" s="27" t="s">
        <v>134</v>
      </c>
      <c r="DL752" s="27" t="s">
        <v>182</v>
      </c>
      <c r="DM752" s="27" t="s">
        <v>415</v>
      </c>
      <c r="DN752" s="27" t="s">
        <v>416</v>
      </c>
      <c r="DO752" s="27" t="s">
        <v>134</v>
      </c>
      <c r="DP752" s="27" t="s">
        <v>485</v>
      </c>
      <c r="DQ752" s="27" t="s">
        <v>313</v>
      </c>
      <c r="DR752" s="27" t="s">
        <v>138</v>
      </c>
      <c r="DS752" s="27" t="s">
        <v>134</v>
      </c>
      <c r="DT752" s="27" t="s">
        <v>164</v>
      </c>
      <c r="DU752" s="27" t="s">
        <v>447</v>
      </c>
      <c r="DV752" s="27" t="s">
        <v>219</v>
      </c>
      <c r="DW752" s="27" t="s">
        <v>140</v>
      </c>
      <c r="DX752" s="27" t="s">
        <v>203</v>
      </c>
      <c r="DY752" s="27" t="s">
        <v>170</v>
      </c>
      <c r="DZ752" s="27" t="n">
        <f aca="false">DY752+DV752+DR752+DN752+DJ752+DF752+DB752</f>
        <v>558</v>
      </c>
      <c r="EA752" s="28" t="n">
        <f aca="false">DZ752/7</f>
        <v>79.7142857142857</v>
      </c>
      <c r="EB752" s="27" t="n">
        <f aca="false">RANK(EA752,$EA$2:$EA$881,0)</f>
        <v>404</v>
      </c>
      <c r="EC752" s="29" t="n">
        <f aca="false">DZ752+CQ752+CP752+AZ752</f>
        <v>1327</v>
      </c>
      <c r="ED752" s="30" t="n">
        <f aca="false">(EA752+CV752+BB752)/3</f>
        <v>52.2047619047619</v>
      </c>
      <c r="EE752" s="51" t="n">
        <f aca="false">ROUND(BE752,3)</f>
        <v>85.097</v>
      </c>
      <c r="EF752" s="51" t="n">
        <f aca="false">ROUND(CR752,3)</f>
        <v>0</v>
      </c>
      <c r="EG752" s="51" t="n">
        <f aca="false">ROUND(CS752,3)</f>
        <v>0</v>
      </c>
      <c r="EH752" s="51" t="n">
        <f aca="false">ROUND(EA752,3)</f>
        <v>79.714</v>
      </c>
      <c r="EI752" s="51" t="n">
        <f aca="false">ROUND(ED752,3)</f>
        <v>52.205</v>
      </c>
      <c r="EJ752" s="51" t="n">
        <f aca="false">ROUND(CV752,3)</f>
        <v>0</v>
      </c>
      <c r="EK752" s="0" t="n">
        <f aca="false">RANK(EI752,$EI$2:$EI$881,0)</f>
        <v>751</v>
      </c>
    </row>
    <row r="753" customFormat="false" ht="15" hidden="false" customHeight="false" outlineLevel="0" collapsed="false">
      <c r="A753" s="4" t="n">
        <v>2084</v>
      </c>
      <c r="B753" s="4" t="n">
        <v>517</v>
      </c>
      <c r="C753" s="27" t="s">
        <v>2141</v>
      </c>
      <c r="D753" s="31" t="n">
        <v>522</v>
      </c>
      <c r="E753" s="16" t="n">
        <v>230506349</v>
      </c>
      <c r="F753" s="56" t="s">
        <v>2142</v>
      </c>
      <c r="G753" s="22" t="s">
        <v>368</v>
      </c>
      <c r="H753" s="22" t="s">
        <v>465</v>
      </c>
      <c r="I753" s="80"/>
      <c r="J753" s="16" t="n">
        <v>68</v>
      </c>
      <c r="K753" s="16" t="n">
        <v>83</v>
      </c>
      <c r="L753" s="34" t="n">
        <f aca="false">(K753*70)/100</f>
        <v>58.1</v>
      </c>
      <c r="M753" s="34" t="n">
        <f aca="false">ROUNDUP(L753,0)</f>
        <v>59</v>
      </c>
      <c r="N753" s="16" t="n">
        <v>24</v>
      </c>
      <c r="O753" s="34" t="n">
        <f aca="false">N753+L753</f>
        <v>82.1</v>
      </c>
      <c r="P753" s="34" t="n">
        <f aca="false">N753+M753</f>
        <v>83</v>
      </c>
      <c r="Q753" s="16" t="n">
        <v>64</v>
      </c>
      <c r="R753" s="16" t="n">
        <v>83</v>
      </c>
      <c r="S753" s="34" t="n">
        <f aca="false">(R753*70)/100</f>
        <v>58.1</v>
      </c>
      <c r="T753" s="34" t="n">
        <f aca="false">ROUNDUP(S753,0)</f>
        <v>59</v>
      </c>
      <c r="U753" s="16" t="n">
        <v>22</v>
      </c>
      <c r="V753" s="34" t="n">
        <f aca="false">U753+S753</f>
        <v>80.1</v>
      </c>
      <c r="W753" s="34" t="n">
        <f aca="false">U753+T753</f>
        <v>81</v>
      </c>
      <c r="X753" s="16" t="n">
        <v>71</v>
      </c>
      <c r="Y753" s="34" t="n">
        <f aca="false">(X753*70)/100</f>
        <v>49.7</v>
      </c>
      <c r="Z753" s="34" t="n">
        <f aca="false">ROUNDUP(Y753,0)</f>
        <v>50</v>
      </c>
      <c r="AA753" s="16" t="n">
        <v>25</v>
      </c>
      <c r="AB753" s="34" t="n">
        <f aca="false">AA753+Y753</f>
        <v>74.7</v>
      </c>
      <c r="AC753" s="34" t="n">
        <f aca="false">AA753+Z753</f>
        <v>75</v>
      </c>
      <c r="AD753" s="32" t="n">
        <f aca="false">X753+R753+Q753+K753+J753</f>
        <v>369</v>
      </c>
      <c r="AE753" s="16" t="n">
        <f aca="false">AD753/5</f>
        <v>73.8</v>
      </c>
      <c r="AF753" s="16" t="n">
        <v>75</v>
      </c>
      <c r="AG753" s="16" t="n">
        <v>70</v>
      </c>
      <c r="AH753" s="16" t="n">
        <v>85</v>
      </c>
      <c r="AI753" s="16" t="n">
        <v>90</v>
      </c>
      <c r="AJ753" s="16" t="n">
        <f aca="false">(AI753*70)/100</f>
        <v>63</v>
      </c>
      <c r="AK753" s="35" t="n">
        <f aca="false">ROUNDUP(AJ753,0)</f>
        <v>63</v>
      </c>
      <c r="AL753" s="16" t="n">
        <v>21</v>
      </c>
      <c r="AM753" s="16" t="n">
        <f aca="false">AL753+AJ753</f>
        <v>84</v>
      </c>
      <c r="AN753" s="16" t="n">
        <f aca="false">AL753+AK753</f>
        <v>84</v>
      </c>
      <c r="AO753" s="16" t="n">
        <v>75</v>
      </c>
      <c r="AP753" s="36" t="n">
        <f aca="false">(AO753*70)/100</f>
        <v>52.5</v>
      </c>
      <c r="AQ753" s="37" t="n">
        <f aca="false">ROUNDUP(AP753,0)</f>
        <v>53</v>
      </c>
      <c r="AR753" s="16" t="n">
        <v>20</v>
      </c>
      <c r="AS753" s="16" t="n">
        <f aca="false">AR753+AP753</f>
        <v>72.5</v>
      </c>
      <c r="AT753" s="16" t="n">
        <f aca="false">AR753+AQ753</f>
        <v>73</v>
      </c>
      <c r="AU753" s="16" t="n">
        <f aca="false">AO753+AF753+AI753+AH753+AG753</f>
        <v>395</v>
      </c>
      <c r="AV753" s="16" t="n">
        <f aca="false">(AO753+AF753+AI753+AH753+AG753)/5</f>
        <v>79</v>
      </c>
      <c r="AW753" s="36" t="n">
        <f aca="false">(AO753+AF753+AI753+AH753+AG753+X753+R753+Q753+K753+J753)</f>
        <v>764</v>
      </c>
      <c r="AX753" s="16" t="n">
        <f aca="false">AW753/10</f>
        <v>76.4</v>
      </c>
      <c r="AY753" s="16" t="n">
        <f aca="false">AS753+AF753+AM753+AH753+AG753+AB753+V753+Q753+O753+J753</f>
        <v>755.4</v>
      </c>
      <c r="AZ753" s="16" t="n">
        <f aca="false">AT753+AF753+AN753+AH753+AG753+AC753+W753+Q753+P753+J753</f>
        <v>758</v>
      </c>
      <c r="BA753" s="16" t="n">
        <f aca="false">AY753/10</f>
        <v>75.54</v>
      </c>
      <c r="BB753" s="16" t="n">
        <f aca="false">AZ753/10</f>
        <v>75.8</v>
      </c>
      <c r="BC753" s="16" t="n">
        <v>2365</v>
      </c>
      <c r="BD753" s="16" t="n">
        <f aca="false">RANK(AX753,$AX$2:$AX$881,0)</f>
        <v>577</v>
      </c>
      <c r="BE753" s="54" t="n">
        <f aca="false">((BC753*100)/2400)*0.4+(AX753*0.6)</f>
        <v>85.2566666666667</v>
      </c>
      <c r="BF753" s="16" t="n">
        <f aca="false">RANK(BE753,$BE$2:$BE$881,0)</f>
        <v>551</v>
      </c>
      <c r="BG753" s="39" t="n">
        <f aca="false">RANK(BB753,$BB$2:$BB$881,0)</f>
        <v>681</v>
      </c>
      <c r="BH753" s="39" t="n">
        <f aca="false">RANK(BC753,$BC$2:$BC$881,0)</f>
        <v>333</v>
      </c>
      <c r="BI753" s="22" t="s">
        <v>130</v>
      </c>
      <c r="BJ753" s="22" t="s">
        <v>129</v>
      </c>
      <c r="BK753" s="40" t="s">
        <v>509</v>
      </c>
      <c r="BL753" s="101" t="n">
        <v>7.5</v>
      </c>
      <c r="BM753" s="61"/>
      <c r="BN753" s="61"/>
      <c r="BO753" s="42" t="n">
        <v>14</v>
      </c>
      <c r="BP753" s="61"/>
      <c r="BQ753" s="61"/>
      <c r="BR753" s="74" t="n">
        <v>9</v>
      </c>
      <c r="BS753" s="80"/>
      <c r="BT753" s="80"/>
      <c r="BU753" s="80"/>
      <c r="BV753" s="137"/>
      <c r="BW753" s="61"/>
      <c r="BX753" s="107"/>
      <c r="BY753" s="130"/>
      <c r="BZ753" s="60"/>
      <c r="CA753" s="60"/>
      <c r="CB753" s="61"/>
      <c r="CC753" s="60"/>
      <c r="CD753" s="60"/>
      <c r="CE753" s="60"/>
      <c r="CF753" s="60"/>
      <c r="CG753" s="60"/>
      <c r="CH753" s="60"/>
      <c r="CI753" s="60"/>
      <c r="CJ753" s="60"/>
      <c r="CK753" s="60"/>
      <c r="CL753" s="61"/>
      <c r="CM753" s="60"/>
      <c r="CN753" s="60"/>
      <c r="CO753" s="60"/>
      <c r="CP753" s="25" t="n">
        <f aca="false">BX753+BW753+BV753+BU753+BT753+BQ753+BN753</f>
        <v>0</v>
      </c>
      <c r="CQ753" s="25" t="n">
        <f aca="false">CO753+CL753+CI753+CH753+CG753+CD753+CA753</f>
        <v>0</v>
      </c>
      <c r="CR753" s="26" t="n">
        <f aca="false">CP753/7</f>
        <v>0</v>
      </c>
      <c r="CS753" s="26" t="n">
        <f aca="false">CQ753/7</f>
        <v>0</v>
      </c>
      <c r="CT753" s="24" t="n">
        <f aca="false">RANK(CR753,$CR$2:$CR$881,0)</f>
        <v>768</v>
      </c>
      <c r="CU753" s="25" t="n">
        <f aca="false">RANK(CS753,$CS$2:$CS$881,0)</f>
        <v>752</v>
      </c>
      <c r="CV753" s="26" t="n">
        <f aca="false">(CS753+CR753)/2</f>
        <v>0</v>
      </c>
      <c r="CW753" s="25" t="n">
        <f aca="false">RANK(CV753,$CV$2:$CV$881,0)</f>
        <v>753</v>
      </c>
      <c r="CX753" s="50" t="n">
        <f aca="false">(CV753+BB753)/2</f>
        <v>37.9</v>
      </c>
      <c r="CY753" s="50" t="n">
        <v>850</v>
      </c>
      <c r="CZ753" s="27" t="s">
        <v>132</v>
      </c>
      <c r="DA753" s="27" t="s">
        <v>272</v>
      </c>
      <c r="DB753" s="27" t="s">
        <v>272</v>
      </c>
      <c r="DC753" s="27" t="s">
        <v>134</v>
      </c>
      <c r="DD753" s="27" t="s">
        <v>174</v>
      </c>
      <c r="DE753" s="27" t="s">
        <v>161</v>
      </c>
      <c r="DF753" s="27" t="s">
        <v>169</v>
      </c>
      <c r="DG753" s="27" t="s">
        <v>134</v>
      </c>
      <c r="DH753" s="27" t="s">
        <v>182</v>
      </c>
      <c r="DI753" s="27" t="s">
        <v>177</v>
      </c>
      <c r="DJ753" s="27" t="s">
        <v>209</v>
      </c>
      <c r="DK753" s="27" t="s">
        <v>134</v>
      </c>
      <c r="DL753" s="27" t="s">
        <v>264</v>
      </c>
      <c r="DM753" s="27" t="s">
        <v>220</v>
      </c>
      <c r="DN753" s="27" t="s">
        <v>441</v>
      </c>
      <c r="DO753" s="27" t="s">
        <v>134</v>
      </c>
      <c r="DP753" s="27" t="s">
        <v>485</v>
      </c>
      <c r="DQ753" s="27" t="s">
        <v>442</v>
      </c>
      <c r="DR753" s="27" t="s">
        <v>187</v>
      </c>
      <c r="DS753" s="27" t="s">
        <v>134</v>
      </c>
      <c r="DT753" s="27" t="s">
        <v>135</v>
      </c>
      <c r="DU753" s="27" t="s">
        <v>183</v>
      </c>
      <c r="DV753" s="27" t="s">
        <v>169</v>
      </c>
      <c r="DW753" s="27" t="s">
        <v>137</v>
      </c>
      <c r="DX753" s="27" t="s">
        <v>138</v>
      </c>
      <c r="DY753" s="27" t="s">
        <v>139</v>
      </c>
      <c r="DZ753" s="27" t="n">
        <f aca="false">DY753+DV753+DR753+DN753+DJ753+DF753+DB753</f>
        <v>565</v>
      </c>
      <c r="EA753" s="28" t="n">
        <f aca="false">DZ753/7</f>
        <v>80.7142857142857</v>
      </c>
      <c r="EB753" s="27" t="n">
        <f aca="false">RANK(EA753,$EA$2:$EA$881,0)</f>
        <v>361</v>
      </c>
      <c r="EC753" s="29" t="n">
        <f aca="false">DZ753+CQ753+CP753+AZ753</f>
        <v>1323</v>
      </c>
      <c r="ED753" s="30" t="n">
        <f aca="false">(EA753+CV753+BB753)/3</f>
        <v>52.1714285714286</v>
      </c>
      <c r="EE753" s="51" t="n">
        <f aca="false">ROUND(BE753,3)</f>
        <v>85.257</v>
      </c>
      <c r="EF753" s="51" t="n">
        <f aca="false">ROUND(CR753,3)</f>
        <v>0</v>
      </c>
      <c r="EG753" s="51" t="n">
        <f aca="false">ROUND(CS753,3)</f>
        <v>0</v>
      </c>
      <c r="EH753" s="51" t="n">
        <f aca="false">ROUND(EA753,3)</f>
        <v>80.714</v>
      </c>
      <c r="EI753" s="51" t="n">
        <f aca="false">ROUND(ED753,3)</f>
        <v>52.171</v>
      </c>
      <c r="EJ753" s="51" t="n">
        <f aca="false">ROUND(CV753,3)</f>
        <v>0</v>
      </c>
      <c r="EK753" s="0" t="n">
        <f aca="false">RANK(EI753,$EI$2:$EI$881,0)</f>
        <v>752</v>
      </c>
    </row>
    <row r="754" customFormat="false" ht="16.85" hidden="false" customHeight="false" outlineLevel="0" collapsed="false">
      <c r="A754" s="4" t="n">
        <v>2069</v>
      </c>
      <c r="B754" s="4" t="n">
        <v>210</v>
      </c>
      <c r="C754" s="27" t="s">
        <v>2143</v>
      </c>
      <c r="D754" s="31" t="n">
        <v>211</v>
      </c>
      <c r="E754" s="16" t="n">
        <v>230515578</v>
      </c>
      <c r="F754" s="56" t="s">
        <v>2144</v>
      </c>
      <c r="G754" s="22" t="s">
        <v>900</v>
      </c>
      <c r="H754" s="22" t="s">
        <v>558</v>
      </c>
      <c r="I754" s="80"/>
      <c r="J754" s="16" t="n">
        <v>86</v>
      </c>
      <c r="K754" s="16" t="n">
        <v>79</v>
      </c>
      <c r="L754" s="34" t="n">
        <f aca="false">(K754*70)/100</f>
        <v>55.3</v>
      </c>
      <c r="M754" s="34" t="n">
        <f aca="false">ROUNDUP(L754,0)</f>
        <v>56</v>
      </c>
      <c r="N754" s="16" t="n">
        <v>25</v>
      </c>
      <c r="O754" s="34" t="n">
        <f aca="false">N754+L754</f>
        <v>80.3</v>
      </c>
      <c r="P754" s="34" t="n">
        <f aca="false">N754+M754</f>
        <v>81</v>
      </c>
      <c r="Q754" s="16" t="n">
        <v>68</v>
      </c>
      <c r="R754" s="16" t="n">
        <v>72</v>
      </c>
      <c r="S754" s="34" t="n">
        <f aca="false">(R754*70)/100</f>
        <v>50.4</v>
      </c>
      <c r="T754" s="34" t="n">
        <f aca="false">ROUNDUP(S754,0)</f>
        <v>51</v>
      </c>
      <c r="U754" s="16" t="n">
        <v>25</v>
      </c>
      <c r="V754" s="34" t="n">
        <f aca="false">U754+S754</f>
        <v>75.4</v>
      </c>
      <c r="W754" s="34" t="n">
        <f aca="false">U754+T754</f>
        <v>76</v>
      </c>
      <c r="X754" s="16" t="n">
        <v>56</v>
      </c>
      <c r="Y754" s="34" t="n">
        <f aca="false">(X754*70)/100</f>
        <v>39.2</v>
      </c>
      <c r="Z754" s="34" t="n">
        <f aca="false">ROUNDUP(Y754,0)</f>
        <v>40</v>
      </c>
      <c r="AA754" s="16" t="n">
        <v>28</v>
      </c>
      <c r="AB754" s="34" t="n">
        <f aca="false">AA754+Y754</f>
        <v>67.2</v>
      </c>
      <c r="AC754" s="34" t="n">
        <f aca="false">AA754+Z754</f>
        <v>68</v>
      </c>
      <c r="AD754" s="32" t="n">
        <f aca="false">X754+R754+Q754+K754+J754</f>
        <v>361</v>
      </c>
      <c r="AE754" s="16" t="n">
        <f aca="false">AD754/5</f>
        <v>72.2</v>
      </c>
      <c r="AF754" s="16" t="n">
        <v>66</v>
      </c>
      <c r="AG754" s="16" t="n">
        <v>96</v>
      </c>
      <c r="AH754" s="16" t="n">
        <v>87</v>
      </c>
      <c r="AI754" s="16" t="n">
        <v>91</v>
      </c>
      <c r="AJ754" s="16" t="n">
        <f aca="false">(AI754*70)/100</f>
        <v>63.7</v>
      </c>
      <c r="AK754" s="35" t="n">
        <f aca="false">ROUNDUP(AJ754,0)</f>
        <v>64</v>
      </c>
      <c r="AL754" s="16" t="n">
        <v>27</v>
      </c>
      <c r="AM754" s="16" t="n">
        <f aca="false">AL754+AJ754</f>
        <v>90.7</v>
      </c>
      <c r="AN754" s="16" t="n">
        <f aca="false">AL754+AK754</f>
        <v>91</v>
      </c>
      <c r="AO754" s="16" t="n">
        <v>74</v>
      </c>
      <c r="AP754" s="36" t="n">
        <f aca="false">(AO754*70)/100</f>
        <v>51.8</v>
      </c>
      <c r="AQ754" s="37" t="n">
        <f aca="false">ROUNDUP(AP754,0)</f>
        <v>52</v>
      </c>
      <c r="AR754" s="16" t="n">
        <v>25</v>
      </c>
      <c r="AS754" s="16" t="n">
        <f aca="false">AR754+AP754</f>
        <v>76.8</v>
      </c>
      <c r="AT754" s="16" t="n">
        <f aca="false">AR754+AQ754</f>
        <v>77</v>
      </c>
      <c r="AU754" s="16" t="n">
        <f aca="false">AO754+AF754+AI754+AH754+AG754</f>
        <v>414</v>
      </c>
      <c r="AV754" s="16" t="n">
        <f aca="false">(AO754+AF754+AI754+AH754+AG754)/5</f>
        <v>82.8</v>
      </c>
      <c r="AW754" s="36" t="n">
        <f aca="false">(AO754+AF754+AI754+AH754+AG754+X754+R754+Q754+K754+J754)</f>
        <v>775</v>
      </c>
      <c r="AX754" s="16" t="n">
        <f aca="false">AW754/10</f>
        <v>77.5</v>
      </c>
      <c r="AY754" s="16" t="n">
        <f aca="false">AS754+AF754+AM754+AH754+AG754+AB754+V754+Q754+O754+J754</f>
        <v>793.4</v>
      </c>
      <c r="AZ754" s="16" t="n">
        <f aca="false">AT754+AF754+AN754+AH754+AG754+AC754+W754+Q754+P754+J754</f>
        <v>796</v>
      </c>
      <c r="BA754" s="16" t="n">
        <f aca="false">AY754/10</f>
        <v>79.34</v>
      </c>
      <c r="BB754" s="16" t="n">
        <f aca="false">AZ754/10</f>
        <v>79.6</v>
      </c>
      <c r="BC754" s="16" t="n">
        <v>2375</v>
      </c>
      <c r="BD754" s="16" t="n">
        <f aca="false">RANK(AX754,$AX$2:$AX$881,0)</f>
        <v>455</v>
      </c>
      <c r="BE754" s="54" t="n">
        <f aca="false">((BC754*100)/2400)*0.4+(AX754*0.6)</f>
        <v>86.0833333333333</v>
      </c>
      <c r="BF754" s="16" t="n">
        <f aca="false">RANK(BE754,$BE$2:$BE$881,0)</f>
        <v>423</v>
      </c>
      <c r="BG754" s="39" t="n">
        <f aca="false">RANK(BB754,$BB$2:$BB$881,0)</f>
        <v>392</v>
      </c>
      <c r="BH754" s="39" t="n">
        <f aca="false">RANK(BC754,$BC$2:$BC$881,0)</f>
        <v>211</v>
      </c>
      <c r="BI754" s="22" t="s">
        <v>130</v>
      </c>
      <c r="BJ754" s="22" t="s">
        <v>129</v>
      </c>
      <c r="BK754" s="40" t="s">
        <v>509</v>
      </c>
      <c r="BL754" s="41" t="n">
        <v>12</v>
      </c>
      <c r="BM754" s="61"/>
      <c r="BN754" s="61"/>
      <c r="BO754" s="42" t="n">
        <v>24</v>
      </c>
      <c r="BP754" s="61"/>
      <c r="BQ754" s="61"/>
      <c r="BR754" s="74" t="n">
        <v>8</v>
      </c>
      <c r="BS754" s="80"/>
      <c r="BT754" s="80"/>
      <c r="BU754" s="80"/>
      <c r="BV754" s="137"/>
      <c r="BW754" s="61"/>
      <c r="BX754" s="107"/>
      <c r="BY754" s="130"/>
      <c r="BZ754" s="60"/>
      <c r="CA754" s="60"/>
      <c r="CB754" s="61"/>
      <c r="CC754" s="60"/>
      <c r="CD754" s="60"/>
      <c r="CE754" s="60"/>
      <c r="CF754" s="60"/>
      <c r="CG754" s="60"/>
      <c r="CH754" s="60"/>
      <c r="CI754" s="60"/>
      <c r="CJ754" s="60"/>
      <c r="CK754" s="60"/>
      <c r="CL754" s="61"/>
      <c r="CM754" s="60"/>
      <c r="CN754" s="60"/>
      <c r="CO754" s="60"/>
      <c r="CP754" s="25" t="n">
        <f aca="false">BX754+BW754+BV754+BU754+BT754+BQ754+BN754</f>
        <v>0</v>
      </c>
      <c r="CQ754" s="25" t="n">
        <f aca="false">CO754+CL754+CI754+CH754+CG754+CD754+CA754</f>
        <v>0</v>
      </c>
      <c r="CR754" s="26" t="n">
        <f aca="false">CP754/7</f>
        <v>0</v>
      </c>
      <c r="CS754" s="26" t="n">
        <f aca="false">CQ754/7</f>
        <v>0</v>
      </c>
      <c r="CT754" s="24" t="n">
        <f aca="false">RANK(CR754,$CR$2:$CR$881,0)</f>
        <v>768</v>
      </c>
      <c r="CU754" s="25" t="n">
        <f aca="false">RANK(CS754,$CS$2:$CS$881,0)</f>
        <v>752</v>
      </c>
      <c r="CV754" s="26" t="n">
        <f aca="false">(CS754+CR754)/2</f>
        <v>0</v>
      </c>
      <c r="CW754" s="25" t="n">
        <f aca="false">RANK(CV754,$CV$2:$CV$881,0)</f>
        <v>753</v>
      </c>
      <c r="CX754" s="50" t="n">
        <f aca="false">(CV754+BB754)/2</f>
        <v>39.8</v>
      </c>
      <c r="CY754" s="50" t="n">
        <v>770</v>
      </c>
      <c r="CZ754" s="27" t="s">
        <v>132</v>
      </c>
      <c r="DA754" s="27" t="s">
        <v>133</v>
      </c>
      <c r="DB754" s="27" t="s">
        <v>133</v>
      </c>
      <c r="DC754" s="27" t="s">
        <v>134</v>
      </c>
      <c r="DD754" s="27" t="s">
        <v>182</v>
      </c>
      <c r="DE754" s="27" t="s">
        <v>412</v>
      </c>
      <c r="DF754" s="27" t="s">
        <v>441</v>
      </c>
      <c r="DG754" s="27" t="s">
        <v>134</v>
      </c>
      <c r="DH754" s="27" t="s">
        <v>135</v>
      </c>
      <c r="DI754" s="27" t="s">
        <v>481</v>
      </c>
      <c r="DJ754" s="27" t="s">
        <v>203</v>
      </c>
      <c r="DK754" s="27" t="s">
        <v>134</v>
      </c>
      <c r="DL754" s="27" t="s">
        <v>195</v>
      </c>
      <c r="DM754" s="27" t="s">
        <v>313</v>
      </c>
      <c r="DN754" s="27" t="s">
        <v>486</v>
      </c>
      <c r="DO754" s="27" t="s">
        <v>134</v>
      </c>
      <c r="DP754" s="27" t="s">
        <v>195</v>
      </c>
      <c r="DQ754" s="27" t="s">
        <v>375</v>
      </c>
      <c r="DR754" s="27" t="s">
        <v>416</v>
      </c>
      <c r="DS754" s="27" t="s">
        <v>134</v>
      </c>
      <c r="DT754" s="27" t="s">
        <v>182</v>
      </c>
      <c r="DU754" s="27" t="s">
        <v>681</v>
      </c>
      <c r="DV754" s="27" t="s">
        <v>155</v>
      </c>
      <c r="DW754" s="27" t="s">
        <v>164</v>
      </c>
      <c r="DX754" s="27" t="s">
        <v>155</v>
      </c>
      <c r="DY754" s="27" t="s">
        <v>144</v>
      </c>
      <c r="DZ754" s="27" t="n">
        <f aca="false">DY754+DV754+DR754+DN754+DJ754+DF754+DB754</f>
        <v>536</v>
      </c>
      <c r="EA754" s="28" t="n">
        <f aca="false">DZ754/7</f>
        <v>76.5714285714286</v>
      </c>
      <c r="EB754" s="27" t="n">
        <f aca="false">RANK(EA754,$EA$2:$EA$881,0)</f>
        <v>501</v>
      </c>
      <c r="EC754" s="29" t="n">
        <f aca="false">DZ754+CQ754+CP754+AZ754</f>
        <v>1332</v>
      </c>
      <c r="ED754" s="30" t="n">
        <f aca="false">(EA754+CV754+BB754)/3</f>
        <v>52.0571428571429</v>
      </c>
      <c r="EE754" s="51" t="n">
        <f aca="false">ROUND(BE754,3)</f>
        <v>86.083</v>
      </c>
      <c r="EF754" s="51" t="n">
        <f aca="false">ROUND(CR754,3)</f>
        <v>0</v>
      </c>
      <c r="EG754" s="51" t="n">
        <f aca="false">ROUND(CS754,3)</f>
        <v>0</v>
      </c>
      <c r="EH754" s="51" t="n">
        <f aca="false">ROUND(EA754,3)</f>
        <v>76.571</v>
      </c>
      <c r="EI754" s="51" t="n">
        <f aca="false">ROUND(ED754,3)</f>
        <v>52.057</v>
      </c>
      <c r="EJ754" s="51" t="n">
        <f aca="false">ROUND(CV754,3)</f>
        <v>0</v>
      </c>
      <c r="EK754" s="0" t="n">
        <f aca="false">RANK(EI754,$EI$2:$EI$881,0)</f>
        <v>753</v>
      </c>
    </row>
    <row r="755" customFormat="false" ht="15" hidden="false" customHeight="false" outlineLevel="0" collapsed="false">
      <c r="A755" s="4" t="n">
        <v>9140</v>
      </c>
      <c r="B755" s="4" t="n">
        <v>109</v>
      </c>
      <c r="C755" s="27" t="s">
        <v>2145</v>
      </c>
      <c r="D755" s="52" t="n">
        <v>109</v>
      </c>
      <c r="E755" s="16" t="n">
        <v>230515573</v>
      </c>
      <c r="F755" s="56" t="s">
        <v>2146</v>
      </c>
      <c r="G755" s="22" t="s">
        <v>1970</v>
      </c>
      <c r="H755" s="22" t="s">
        <v>465</v>
      </c>
      <c r="I755" s="80"/>
      <c r="J755" s="16" t="n">
        <v>83</v>
      </c>
      <c r="K755" s="16" t="n">
        <v>57</v>
      </c>
      <c r="L755" s="34" t="n">
        <f aca="false">(K755*70)/100</f>
        <v>39.9</v>
      </c>
      <c r="M755" s="34" t="n">
        <f aca="false">ROUNDUP(L755,0)</f>
        <v>40</v>
      </c>
      <c r="N755" s="16" t="n">
        <v>27</v>
      </c>
      <c r="O755" s="34" t="n">
        <f aca="false">N755+L755</f>
        <v>66.9</v>
      </c>
      <c r="P755" s="34" t="n">
        <f aca="false">N755+M755</f>
        <v>67</v>
      </c>
      <c r="Q755" s="16" t="n">
        <v>77</v>
      </c>
      <c r="R755" s="16" t="n">
        <v>72</v>
      </c>
      <c r="S755" s="34" t="n">
        <f aca="false">(R755*70)/100</f>
        <v>50.4</v>
      </c>
      <c r="T755" s="34" t="n">
        <f aca="false">ROUNDUP(S755,0)</f>
        <v>51</v>
      </c>
      <c r="U755" s="16" t="n">
        <v>25</v>
      </c>
      <c r="V755" s="34" t="n">
        <f aca="false">U755+S755</f>
        <v>75.4</v>
      </c>
      <c r="W755" s="34" t="n">
        <f aca="false">U755+T755</f>
        <v>76</v>
      </c>
      <c r="X755" s="16" t="n">
        <v>61</v>
      </c>
      <c r="Y755" s="34" t="n">
        <f aca="false">(X755*70)/100</f>
        <v>42.7</v>
      </c>
      <c r="Z755" s="34" t="n">
        <f aca="false">ROUNDUP(Y755,0)</f>
        <v>43</v>
      </c>
      <c r="AA755" s="16" t="n">
        <v>27</v>
      </c>
      <c r="AB755" s="34" t="n">
        <f aca="false">AA755+Y755</f>
        <v>69.7</v>
      </c>
      <c r="AC755" s="34" t="n">
        <f aca="false">AA755+Z755</f>
        <v>70</v>
      </c>
      <c r="AD755" s="32" t="n">
        <f aca="false">X755+R755+Q755+K755+J755</f>
        <v>350</v>
      </c>
      <c r="AE755" s="16" t="n">
        <f aca="false">AD755/5</f>
        <v>70</v>
      </c>
      <c r="AF755" s="16" t="n">
        <v>77</v>
      </c>
      <c r="AG755" s="16" t="n">
        <v>90</v>
      </c>
      <c r="AH755" s="16" t="n">
        <v>93</v>
      </c>
      <c r="AI755" s="16" t="n">
        <v>92</v>
      </c>
      <c r="AJ755" s="16" t="n">
        <f aca="false">(AI755*70)/100</f>
        <v>64.4</v>
      </c>
      <c r="AK755" s="35" t="n">
        <f aca="false">ROUNDUP(AJ755,0)</f>
        <v>65</v>
      </c>
      <c r="AL755" s="16" t="n">
        <v>24</v>
      </c>
      <c r="AM755" s="16" t="n">
        <f aca="false">AL755+AJ755</f>
        <v>88.4</v>
      </c>
      <c r="AN755" s="16" t="n">
        <f aca="false">AL755+AK755</f>
        <v>89</v>
      </c>
      <c r="AO755" s="16" t="n">
        <v>80</v>
      </c>
      <c r="AP755" s="36" t="n">
        <f aca="false">(AO755*70)/100</f>
        <v>56</v>
      </c>
      <c r="AQ755" s="37" t="n">
        <f aca="false">ROUNDUP(AP755,0)</f>
        <v>56</v>
      </c>
      <c r="AR755" s="16" t="n">
        <v>25</v>
      </c>
      <c r="AS755" s="16" t="n">
        <f aca="false">AR755+AP755</f>
        <v>81</v>
      </c>
      <c r="AT755" s="16" t="n">
        <f aca="false">AR755+AQ755</f>
        <v>81</v>
      </c>
      <c r="AU755" s="16" t="n">
        <f aca="false">AO755+AF755+AI755+AH755+AG755</f>
        <v>432</v>
      </c>
      <c r="AV755" s="16" t="n">
        <f aca="false">(AO755+AF755+AI755+AH755+AG755)/5</f>
        <v>86.4</v>
      </c>
      <c r="AW755" s="36" t="n">
        <f aca="false">(AO755+AF755+AI755+AH755+AG755+X755+R755+Q755+K755+J755)</f>
        <v>782</v>
      </c>
      <c r="AX755" s="16" t="n">
        <f aca="false">AW755/10</f>
        <v>78.2</v>
      </c>
      <c r="AY755" s="16" t="n">
        <f aca="false">AS755+AF755+AM755+AH755+AG755+AB755+V755+Q755+O755+J755</f>
        <v>801.4</v>
      </c>
      <c r="AZ755" s="16" t="n">
        <f aca="false">AT755+AF755+AN755+AH755+AG755+AC755+W755+Q755+P755+J755</f>
        <v>803</v>
      </c>
      <c r="BA755" s="16" t="n">
        <f aca="false">AY755/10</f>
        <v>80.14</v>
      </c>
      <c r="BB755" s="16" t="n">
        <f aca="false">AZ755/10</f>
        <v>80.3</v>
      </c>
      <c r="BC755" s="16" t="n">
        <v>2362</v>
      </c>
      <c r="BD755" s="16" t="n">
        <f aca="false">RANK(AX755,$AX$2:$AX$881,0)</f>
        <v>396</v>
      </c>
      <c r="BE755" s="54" t="n">
        <f aca="false">((BC755*100)/2400)*0.4+(AX755*0.6)</f>
        <v>86.2866666666667</v>
      </c>
      <c r="BF755" s="16" t="n">
        <f aca="false">RANK(BE755,$BE$2:$BE$881,0)</f>
        <v>390</v>
      </c>
      <c r="BG755" s="39" t="n">
        <f aca="false">RANK(BB755,$BB$2:$BB$881,0)</f>
        <v>327</v>
      </c>
      <c r="BH755" s="39" t="n">
        <f aca="false">RANK(BC755,$BC$2:$BC$881,0)</f>
        <v>367</v>
      </c>
      <c r="BI755" s="22" t="s">
        <v>130</v>
      </c>
      <c r="BJ755" s="22" t="s">
        <v>129</v>
      </c>
      <c r="BK755" s="40" t="s">
        <v>131</v>
      </c>
      <c r="BL755" s="105" t="n">
        <v>12.5</v>
      </c>
      <c r="BM755" s="61"/>
      <c r="BN755" s="61"/>
      <c r="BO755" s="42" t="n">
        <v>26</v>
      </c>
      <c r="BP755" s="61"/>
      <c r="BQ755" s="61"/>
      <c r="BR755" s="74" t="n">
        <v>9</v>
      </c>
      <c r="BS755" s="80"/>
      <c r="BT755" s="80"/>
      <c r="BU755" s="80"/>
      <c r="BV755" s="137"/>
      <c r="BW755" s="61"/>
      <c r="BX755" s="107"/>
      <c r="BY755" s="130"/>
      <c r="BZ755" s="60"/>
      <c r="CA755" s="60"/>
      <c r="CB755" s="61"/>
      <c r="CC755" s="60"/>
      <c r="CD755" s="60"/>
      <c r="CE755" s="60"/>
      <c r="CF755" s="60"/>
      <c r="CG755" s="60"/>
      <c r="CH755" s="60"/>
      <c r="CI755" s="60"/>
      <c r="CJ755" s="60"/>
      <c r="CK755" s="60"/>
      <c r="CL755" s="61"/>
      <c r="CM755" s="60"/>
      <c r="CN755" s="60"/>
      <c r="CO755" s="60"/>
      <c r="CP755" s="25" t="n">
        <f aca="false">BX755+BW755+BV755+BU755+BT755+BQ755+BN755</f>
        <v>0</v>
      </c>
      <c r="CQ755" s="25" t="n">
        <f aca="false">CO755+CL755+CI755+CH755+CG755+CD755+CA755</f>
        <v>0</v>
      </c>
      <c r="CR755" s="26" t="n">
        <f aca="false">CP755/7</f>
        <v>0</v>
      </c>
      <c r="CS755" s="26" t="n">
        <f aca="false">CQ755/7</f>
        <v>0</v>
      </c>
      <c r="CT755" s="24" t="n">
        <f aca="false">RANK(CR755,$CR$2:$CR$881,0)</f>
        <v>768</v>
      </c>
      <c r="CU755" s="25" t="n">
        <f aca="false">RANK(CS755,$CS$2:$CS$881,0)</f>
        <v>752</v>
      </c>
      <c r="CV755" s="26" t="n">
        <f aca="false">(CS755+CR755)/2</f>
        <v>0</v>
      </c>
      <c r="CW755" s="25" t="n">
        <f aca="false">RANK(CV755,$CV$2:$CV$881,0)</f>
        <v>753</v>
      </c>
      <c r="CX755" s="50" t="n">
        <f aca="false">(CV755+BB755)/2</f>
        <v>40.15</v>
      </c>
      <c r="CY755" s="50" t="n">
        <v>754</v>
      </c>
      <c r="CZ755" s="27" t="s">
        <v>132</v>
      </c>
      <c r="DA755" s="27" t="s">
        <v>205</v>
      </c>
      <c r="DB755" s="27" t="s">
        <v>205</v>
      </c>
      <c r="DC755" s="27" t="s">
        <v>134</v>
      </c>
      <c r="DD755" s="27" t="s">
        <v>154</v>
      </c>
      <c r="DE755" s="27" t="s">
        <v>177</v>
      </c>
      <c r="DF755" s="27" t="s">
        <v>169</v>
      </c>
      <c r="DG755" s="27" t="s">
        <v>134</v>
      </c>
      <c r="DH755" s="27" t="s">
        <v>135</v>
      </c>
      <c r="DI755" s="27" t="s">
        <v>415</v>
      </c>
      <c r="DJ755" s="27" t="s">
        <v>398</v>
      </c>
      <c r="DK755" s="27" t="s">
        <v>134</v>
      </c>
      <c r="DL755" s="27" t="s">
        <v>154</v>
      </c>
      <c r="DM755" s="27" t="s">
        <v>399</v>
      </c>
      <c r="DN755" s="27" t="s">
        <v>416</v>
      </c>
      <c r="DO755" s="27" t="s">
        <v>134</v>
      </c>
      <c r="DP755" s="27" t="s">
        <v>386</v>
      </c>
      <c r="DQ755" s="27" t="s">
        <v>681</v>
      </c>
      <c r="DR755" s="27" t="s">
        <v>152</v>
      </c>
      <c r="DS755" s="27" t="s">
        <v>134</v>
      </c>
      <c r="DT755" s="27" t="s">
        <v>154</v>
      </c>
      <c r="DU755" s="27" t="s">
        <v>1407</v>
      </c>
      <c r="DV755" s="27" t="s">
        <v>136</v>
      </c>
      <c r="DW755" s="27" t="s">
        <v>137</v>
      </c>
      <c r="DX755" s="27" t="s">
        <v>138</v>
      </c>
      <c r="DY755" s="27" t="s">
        <v>139</v>
      </c>
      <c r="DZ755" s="27" t="n">
        <f aca="false">DY755+DV755+DR755+DN755+DJ755+DF755+DB755</f>
        <v>530</v>
      </c>
      <c r="EA755" s="28" t="n">
        <f aca="false">DZ755/7</f>
        <v>75.7142857142857</v>
      </c>
      <c r="EB755" s="27" t="n">
        <f aca="false">RANK(EA755,$EA$2:$EA$881,0)</f>
        <v>527</v>
      </c>
      <c r="EC755" s="29" t="n">
        <f aca="false">DZ755+CQ755+CP755+AZ755</f>
        <v>1333</v>
      </c>
      <c r="ED755" s="30" t="n">
        <f aca="false">(EA755+CV755+BB755)/3</f>
        <v>52.0047619047619</v>
      </c>
      <c r="EE755" s="51" t="n">
        <f aca="false">ROUND(BE755,3)</f>
        <v>86.287</v>
      </c>
      <c r="EF755" s="51" t="n">
        <f aca="false">ROUND(CR755,3)</f>
        <v>0</v>
      </c>
      <c r="EG755" s="51" t="n">
        <f aca="false">ROUND(CS755,3)</f>
        <v>0</v>
      </c>
      <c r="EH755" s="51" t="n">
        <f aca="false">ROUND(EA755,3)</f>
        <v>75.714</v>
      </c>
      <c r="EI755" s="51" t="n">
        <f aca="false">ROUND(ED755,3)</f>
        <v>52.005</v>
      </c>
      <c r="EJ755" s="51" t="n">
        <f aca="false">ROUND(CV755,3)</f>
        <v>0</v>
      </c>
      <c r="EK755" s="0" t="n">
        <f aca="false">RANK(EI755,$EI$2:$EI$881,0)</f>
        <v>754</v>
      </c>
    </row>
    <row r="756" customFormat="false" ht="15" hidden="false" customHeight="false" outlineLevel="0" collapsed="false">
      <c r="A756" s="4" t="n">
        <v>1831</v>
      </c>
      <c r="B756" s="4" t="n">
        <v>611</v>
      </c>
      <c r="C756" s="27" t="s">
        <v>2147</v>
      </c>
      <c r="D756" s="31" t="n">
        <v>618</v>
      </c>
      <c r="E756" s="16" t="n">
        <v>230513503</v>
      </c>
      <c r="F756" s="56" t="s">
        <v>2148</v>
      </c>
      <c r="G756" s="22" t="s">
        <v>1767</v>
      </c>
      <c r="H756" s="22" t="s">
        <v>465</v>
      </c>
      <c r="I756" s="80"/>
      <c r="J756" s="16" t="n">
        <v>88</v>
      </c>
      <c r="K756" s="16" t="n">
        <v>72</v>
      </c>
      <c r="L756" s="34" t="n">
        <f aca="false">(K756*70)/100</f>
        <v>50.4</v>
      </c>
      <c r="M756" s="34" t="n">
        <f aca="false">ROUNDUP(L756,0)</f>
        <v>51</v>
      </c>
      <c r="N756" s="16" t="n">
        <v>28</v>
      </c>
      <c r="O756" s="34" t="n">
        <f aca="false">N756+L756</f>
        <v>78.4</v>
      </c>
      <c r="P756" s="34" t="n">
        <f aca="false">N756+M756</f>
        <v>79</v>
      </c>
      <c r="Q756" s="16" t="n">
        <v>73</v>
      </c>
      <c r="R756" s="16" t="n">
        <v>71</v>
      </c>
      <c r="S756" s="34" t="n">
        <f aca="false">(R756*70)/100</f>
        <v>49.7</v>
      </c>
      <c r="T756" s="34" t="n">
        <f aca="false">ROUNDUP(S756,0)</f>
        <v>50</v>
      </c>
      <c r="U756" s="16" t="n">
        <v>27</v>
      </c>
      <c r="V756" s="34" t="n">
        <f aca="false">U756+S756</f>
        <v>76.7</v>
      </c>
      <c r="W756" s="34" t="n">
        <f aca="false">U756+T756</f>
        <v>77</v>
      </c>
      <c r="X756" s="16" t="n">
        <v>63</v>
      </c>
      <c r="Y756" s="34" t="n">
        <f aca="false">(X756*70)/100</f>
        <v>44.1</v>
      </c>
      <c r="Z756" s="34" t="n">
        <f aca="false">ROUNDUP(Y756,0)</f>
        <v>45</v>
      </c>
      <c r="AA756" s="16" t="n">
        <v>29</v>
      </c>
      <c r="AB756" s="34" t="n">
        <f aca="false">AA756+Y756</f>
        <v>73.1</v>
      </c>
      <c r="AC756" s="34" t="n">
        <f aca="false">AA756+Z756</f>
        <v>74</v>
      </c>
      <c r="AD756" s="32" t="n">
        <f aca="false">X756+R756+Q756+K756+J756</f>
        <v>367</v>
      </c>
      <c r="AE756" s="16" t="n">
        <f aca="false">AD756/5</f>
        <v>73.4</v>
      </c>
      <c r="AF756" s="16" t="n">
        <v>66</v>
      </c>
      <c r="AG756" s="16" t="n">
        <v>94</v>
      </c>
      <c r="AH756" s="16" t="n">
        <v>93</v>
      </c>
      <c r="AI756" s="16" t="n">
        <v>91</v>
      </c>
      <c r="AJ756" s="16" t="n">
        <f aca="false">(AI756*70)/100</f>
        <v>63.7</v>
      </c>
      <c r="AK756" s="35" t="n">
        <f aca="false">ROUNDUP(AJ756,0)</f>
        <v>64</v>
      </c>
      <c r="AL756" s="16" t="n">
        <v>30</v>
      </c>
      <c r="AM756" s="16" t="n">
        <f aca="false">AL756+AJ756</f>
        <v>93.7</v>
      </c>
      <c r="AN756" s="16" t="n">
        <f aca="false">AL756+AK756</f>
        <v>94</v>
      </c>
      <c r="AO756" s="16" t="n">
        <v>65</v>
      </c>
      <c r="AP756" s="36" t="n">
        <f aca="false">(AO756*70)/100</f>
        <v>45.5</v>
      </c>
      <c r="AQ756" s="37" t="n">
        <f aca="false">ROUNDUP(AP756,0)</f>
        <v>46</v>
      </c>
      <c r="AR756" s="16" t="n">
        <v>28</v>
      </c>
      <c r="AS756" s="16" t="n">
        <f aca="false">AR756+AP756</f>
        <v>73.5</v>
      </c>
      <c r="AT756" s="16" t="n">
        <f aca="false">AR756+AQ756</f>
        <v>74</v>
      </c>
      <c r="AU756" s="16" t="n">
        <f aca="false">AO756+AF756+AI756+AH756+AG756</f>
        <v>409</v>
      </c>
      <c r="AV756" s="16" t="n">
        <f aca="false">(AO756+AF756+AI756+AH756+AG756)/5</f>
        <v>81.8</v>
      </c>
      <c r="AW756" s="36" t="n">
        <f aca="false">(AO756+AF756+AI756+AH756+AG756+X756+R756+Q756+K756+J756)</f>
        <v>776</v>
      </c>
      <c r="AX756" s="16" t="n">
        <f aca="false">AW756/10</f>
        <v>77.6</v>
      </c>
      <c r="AY756" s="16" t="n">
        <f aca="false">AS756+AF756+AM756+AH756+AG756+AB756+V756+Q756+O756+J756</f>
        <v>809.4</v>
      </c>
      <c r="AZ756" s="16" t="n">
        <f aca="false">AT756+AF756+AN756+AH756+AG756+AC756+W756+Q756+P756+J756</f>
        <v>812</v>
      </c>
      <c r="BA756" s="16" t="n">
        <f aca="false">AY756/10</f>
        <v>80.94</v>
      </c>
      <c r="BB756" s="16" t="n">
        <f aca="false">AZ756/10</f>
        <v>81.2</v>
      </c>
      <c r="BC756" s="16" t="n">
        <v>2356</v>
      </c>
      <c r="BD756" s="16" t="n">
        <f aca="false">RANK(AX756,$AX$2:$AX$881,0)</f>
        <v>444</v>
      </c>
      <c r="BE756" s="54" t="n">
        <f aca="false">((BC756*100)/2400)*0.4+(AX756*0.6)</f>
        <v>85.8266666666667</v>
      </c>
      <c r="BF756" s="16" t="n">
        <f aca="false">RANK(BE756,$BE$2:$BE$881,0)</f>
        <v>455</v>
      </c>
      <c r="BG756" s="39" t="n">
        <f aca="false">RANK(BB756,$BB$2:$BB$881,0)</f>
        <v>263</v>
      </c>
      <c r="BH756" s="39" t="n">
        <f aca="false">RANK(BC756,$BC$2:$BC$881,0)</f>
        <v>462</v>
      </c>
      <c r="BI756" s="22" t="s">
        <v>130</v>
      </c>
      <c r="BJ756" s="22" t="s">
        <v>129</v>
      </c>
      <c r="BK756" s="40" t="s">
        <v>509</v>
      </c>
      <c r="BL756" s="41" t="n">
        <v>13</v>
      </c>
      <c r="BM756" s="61"/>
      <c r="BN756" s="61"/>
      <c r="BO756" s="42" t="n">
        <v>26</v>
      </c>
      <c r="BP756" s="61"/>
      <c r="BQ756" s="61"/>
      <c r="BR756" s="74" t="n">
        <v>8</v>
      </c>
      <c r="BS756" s="80"/>
      <c r="BT756" s="80"/>
      <c r="BU756" s="80"/>
      <c r="BV756" s="137"/>
      <c r="BW756" s="61"/>
      <c r="BX756" s="107"/>
      <c r="BY756" s="130"/>
      <c r="BZ756" s="60"/>
      <c r="CA756" s="60"/>
      <c r="CB756" s="61"/>
      <c r="CC756" s="60"/>
      <c r="CD756" s="60"/>
      <c r="CE756" s="60"/>
      <c r="CF756" s="60"/>
      <c r="CG756" s="60"/>
      <c r="CH756" s="60"/>
      <c r="CI756" s="60"/>
      <c r="CJ756" s="60"/>
      <c r="CK756" s="60"/>
      <c r="CL756" s="61"/>
      <c r="CM756" s="60"/>
      <c r="CN756" s="60"/>
      <c r="CO756" s="60"/>
      <c r="CP756" s="25" t="n">
        <f aca="false">BX756+BW756+BV756+BU756+BT756+BQ756+BN756</f>
        <v>0</v>
      </c>
      <c r="CQ756" s="25" t="n">
        <f aca="false">CO756+CL756+CI756+CH756+CG756+CD756+CA756</f>
        <v>0</v>
      </c>
      <c r="CR756" s="26" t="n">
        <f aca="false">CP756/7</f>
        <v>0</v>
      </c>
      <c r="CS756" s="26" t="n">
        <f aca="false">CQ756/7</f>
        <v>0</v>
      </c>
      <c r="CT756" s="24" t="n">
        <f aca="false">RANK(CR756,$CR$2:$CR$881,0)</f>
        <v>768</v>
      </c>
      <c r="CU756" s="25" t="n">
        <f aca="false">RANK(CS756,$CS$2:$CS$881,0)</f>
        <v>752</v>
      </c>
      <c r="CV756" s="26" t="n">
        <f aca="false">(CS756+CR756)/2</f>
        <v>0</v>
      </c>
      <c r="CW756" s="25" t="n">
        <f aca="false">RANK(CV756,$CV$2:$CV$881,0)</f>
        <v>753</v>
      </c>
      <c r="CX756" s="50" t="n">
        <f aca="false">(CV756+BB756)/2</f>
        <v>40.6</v>
      </c>
      <c r="CY756" s="50" t="n">
        <v>740</v>
      </c>
      <c r="CZ756" s="27" t="s">
        <v>132</v>
      </c>
      <c r="DA756" s="27" t="s">
        <v>219</v>
      </c>
      <c r="DB756" s="27" t="s">
        <v>219</v>
      </c>
      <c r="DC756" s="27" t="s">
        <v>134</v>
      </c>
      <c r="DD756" s="27" t="s">
        <v>182</v>
      </c>
      <c r="DE756" s="27" t="s">
        <v>218</v>
      </c>
      <c r="DF756" s="27" t="s">
        <v>196</v>
      </c>
      <c r="DG756" s="27" t="s">
        <v>134</v>
      </c>
      <c r="DH756" s="27" t="s">
        <v>135</v>
      </c>
      <c r="DI756" s="27" t="s">
        <v>989</v>
      </c>
      <c r="DJ756" s="27" t="s">
        <v>141</v>
      </c>
      <c r="DK756" s="27" t="s">
        <v>134</v>
      </c>
      <c r="DL756" s="27" t="s">
        <v>264</v>
      </c>
      <c r="DM756" s="27" t="s">
        <v>399</v>
      </c>
      <c r="DN756" s="27" t="s">
        <v>141</v>
      </c>
      <c r="DO756" s="27" t="s">
        <v>134</v>
      </c>
      <c r="DP756" s="27" t="s">
        <v>386</v>
      </c>
      <c r="DQ756" s="27" t="s">
        <v>479</v>
      </c>
      <c r="DR756" s="27" t="s">
        <v>218</v>
      </c>
      <c r="DS756" s="27" t="s">
        <v>480</v>
      </c>
      <c r="DT756" s="27" t="s">
        <v>164</v>
      </c>
      <c r="DU756" s="27" t="s">
        <v>897</v>
      </c>
      <c r="DV756" s="27" t="s">
        <v>155</v>
      </c>
      <c r="DW756" s="27" t="s">
        <v>182</v>
      </c>
      <c r="DX756" s="27" t="s">
        <v>138</v>
      </c>
      <c r="DY756" s="27" t="s">
        <v>151</v>
      </c>
      <c r="DZ756" s="27" t="n">
        <f aca="false">DY756+DV756+DR756+DN756+DJ756+DF756+DB756</f>
        <v>515</v>
      </c>
      <c r="EA756" s="28" t="n">
        <f aca="false">DZ756/7</f>
        <v>73.5714285714286</v>
      </c>
      <c r="EB756" s="27" t="n">
        <f aca="false">RANK(EA756,$EA$2:$EA$881,0)</f>
        <v>582</v>
      </c>
      <c r="EC756" s="29" t="n">
        <f aca="false">DZ756+CQ756+CP756+AZ756</f>
        <v>1327</v>
      </c>
      <c r="ED756" s="30" t="n">
        <f aca="false">(EA756+CV756+BB756)/3</f>
        <v>51.5904761904762</v>
      </c>
      <c r="EE756" s="51" t="n">
        <f aca="false">ROUND(BE756,3)</f>
        <v>85.827</v>
      </c>
      <c r="EF756" s="51" t="n">
        <f aca="false">ROUND(CR756,3)</f>
        <v>0</v>
      </c>
      <c r="EG756" s="51" t="n">
        <f aca="false">ROUND(CS756,3)</f>
        <v>0</v>
      </c>
      <c r="EH756" s="51" t="n">
        <f aca="false">ROUND(EA756,3)</f>
        <v>73.571</v>
      </c>
      <c r="EI756" s="51" t="n">
        <f aca="false">ROUND(ED756,3)</f>
        <v>51.59</v>
      </c>
      <c r="EJ756" s="51" t="n">
        <f aca="false">ROUND(CV756,3)</f>
        <v>0</v>
      </c>
      <c r="EK756" s="0" t="n">
        <f aca="false">RANK(EI756,$EI$2:$EI$881,0)</f>
        <v>755</v>
      </c>
    </row>
    <row r="757" customFormat="false" ht="15" hidden="false" customHeight="false" outlineLevel="0" collapsed="false">
      <c r="A757" s="4" t="n">
        <v>1812</v>
      </c>
      <c r="B757" s="4" t="n">
        <v>403</v>
      </c>
      <c r="C757" s="27" t="s">
        <v>2149</v>
      </c>
      <c r="D757" s="31" t="n">
        <v>408</v>
      </c>
      <c r="E757" s="16" t="n">
        <v>230611211</v>
      </c>
      <c r="F757" s="56" t="s">
        <v>2150</v>
      </c>
      <c r="G757" s="22" t="s">
        <v>607</v>
      </c>
      <c r="H757" s="22" t="s">
        <v>558</v>
      </c>
      <c r="I757" s="80"/>
      <c r="J757" s="16" t="n">
        <v>80</v>
      </c>
      <c r="K757" s="16" t="n">
        <v>87</v>
      </c>
      <c r="L757" s="34" t="n">
        <f aca="false">(K757*70)/100</f>
        <v>60.9</v>
      </c>
      <c r="M757" s="34" t="n">
        <f aca="false">ROUNDUP(L757,0)</f>
        <v>61</v>
      </c>
      <c r="N757" s="16" t="n">
        <v>29</v>
      </c>
      <c r="O757" s="34" t="n">
        <f aca="false">N757+L757</f>
        <v>89.9</v>
      </c>
      <c r="P757" s="34" t="n">
        <f aca="false">N757+M757</f>
        <v>90</v>
      </c>
      <c r="Q757" s="16" t="n">
        <v>76</v>
      </c>
      <c r="R757" s="16" t="n">
        <v>77</v>
      </c>
      <c r="S757" s="34" t="n">
        <f aca="false">(R757*70)/100</f>
        <v>53.9</v>
      </c>
      <c r="T757" s="34" t="n">
        <f aca="false">ROUNDUP(S757,0)</f>
        <v>54</v>
      </c>
      <c r="U757" s="16" t="n">
        <v>29</v>
      </c>
      <c r="V757" s="34" t="n">
        <f aca="false">U757+S757</f>
        <v>82.9</v>
      </c>
      <c r="W757" s="34" t="n">
        <f aca="false">U757+T757</f>
        <v>83</v>
      </c>
      <c r="X757" s="16" t="n">
        <v>63</v>
      </c>
      <c r="Y757" s="34" t="n">
        <f aca="false">(X757*70)/100</f>
        <v>44.1</v>
      </c>
      <c r="Z757" s="34" t="n">
        <f aca="false">ROUNDUP(Y757,0)</f>
        <v>45</v>
      </c>
      <c r="AA757" s="16" t="n">
        <v>28</v>
      </c>
      <c r="AB757" s="34" t="n">
        <f aca="false">AA757+Y757</f>
        <v>72.1</v>
      </c>
      <c r="AC757" s="34" t="n">
        <f aca="false">AA757+Z757</f>
        <v>73</v>
      </c>
      <c r="AD757" s="32" t="n">
        <f aca="false">X757+R757+Q757+K757+J757</f>
        <v>383</v>
      </c>
      <c r="AE757" s="16" t="n">
        <f aca="false">AD757/5</f>
        <v>76.6</v>
      </c>
      <c r="AF757" s="16" t="n">
        <v>69</v>
      </c>
      <c r="AG757" s="16" t="n">
        <v>75</v>
      </c>
      <c r="AH757" s="16" t="n">
        <v>85</v>
      </c>
      <c r="AI757" s="16" t="n">
        <v>82</v>
      </c>
      <c r="AJ757" s="16" t="n">
        <f aca="false">(AI757*70)/100</f>
        <v>57.4</v>
      </c>
      <c r="AK757" s="35" t="n">
        <f aca="false">ROUNDUP(AJ757,0)</f>
        <v>58</v>
      </c>
      <c r="AL757" s="16" t="n">
        <v>24</v>
      </c>
      <c r="AM757" s="16" t="n">
        <f aca="false">AL757+AJ757</f>
        <v>81.4</v>
      </c>
      <c r="AN757" s="16" t="n">
        <f aca="false">AL757+AK757</f>
        <v>82</v>
      </c>
      <c r="AO757" s="16" t="n">
        <v>70</v>
      </c>
      <c r="AP757" s="36" t="n">
        <f aca="false">(AO757*70)/100</f>
        <v>49</v>
      </c>
      <c r="AQ757" s="37" t="n">
        <f aca="false">ROUNDUP(AP757,0)</f>
        <v>49</v>
      </c>
      <c r="AR757" s="16" t="n">
        <v>30</v>
      </c>
      <c r="AS757" s="16" t="n">
        <f aca="false">AR757+AP757</f>
        <v>79</v>
      </c>
      <c r="AT757" s="16" t="n">
        <f aca="false">AR757+AQ757</f>
        <v>79</v>
      </c>
      <c r="AU757" s="16" t="n">
        <f aca="false">AO757+AF757+AI757+AH757+AG757</f>
        <v>381</v>
      </c>
      <c r="AV757" s="16" t="n">
        <f aca="false">(AO757+AF757+AI757+AH757+AG757)/5</f>
        <v>76.2</v>
      </c>
      <c r="AW757" s="36" t="n">
        <f aca="false">(AO757+AF757+AI757+AH757+AG757+X757+R757+Q757+K757+J757)</f>
        <v>764</v>
      </c>
      <c r="AX757" s="16" t="n">
        <f aca="false">AW757/10</f>
        <v>76.4</v>
      </c>
      <c r="AY757" s="16" t="n">
        <f aca="false">AS757+AF757+AM757+AH757+AG757+AB757+V757+Q757+O757+J757</f>
        <v>790.3</v>
      </c>
      <c r="AZ757" s="16" t="n">
        <f aca="false">AT757+AF757+AN757+AH757+AG757+AC757+W757+Q757+P757+J757</f>
        <v>792</v>
      </c>
      <c r="BA757" s="16" t="n">
        <f aca="false">AY757/10</f>
        <v>79.03</v>
      </c>
      <c r="BB757" s="16" t="n">
        <f aca="false">AZ757/10</f>
        <v>79.2</v>
      </c>
      <c r="BC757" s="16" t="n">
        <v>2354</v>
      </c>
      <c r="BD757" s="16" t="n">
        <f aca="false">RANK(AX757,$AX$2:$AX$881,0)</f>
        <v>577</v>
      </c>
      <c r="BE757" s="54" t="n">
        <f aca="false">((BC757*100)/2400)*0.4+(AX757*0.6)</f>
        <v>85.0733333333333</v>
      </c>
      <c r="BF757" s="16" t="n">
        <f aca="false">RANK(BE757,$BE$2:$BE$881,0)</f>
        <v>599</v>
      </c>
      <c r="BG757" s="39" t="n">
        <f aca="false">RANK(BB757,$BB$2:$BB$881,0)</f>
        <v>434</v>
      </c>
      <c r="BH757" s="39" t="n">
        <f aca="false">RANK(BC757,$BC$2:$BC$881,0)</f>
        <v>490</v>
      </c>
      <c r="BI757" s="22" t="s">
        <v>130</v>
      </c>
      <c r="BJ757" s="22" t="s">
        <v>129</v>
      </c>
      <c r="BK757" s="22" t="s">
        <v>509</v>
      </c>
      <c r="BL757" s="101" t="n">
        <v>10.5</v>
      </c>
      <c r="BM757" s="61"/>
      <c r="BN757" s="61"/>
      <c r="BO757" s="42" t="n">
        <v>15</v>
      </c>
      <c r="BP757" s="61"/>
      <c r="BQ757" s="61"/>
      <c r="BR757" s="74" t="n">
        <v>9</v>
      </c>
      <c r="BS757" s="80"/>
      <c r="BT757" s="80"/>
      <c r="BU757" s="80"/>
      <c r="BV757" s="137"/>
      <c r="BW757" s="61"/>
      <c r="BX757" s="130"/>
      <c r="BY757" s="130"/>
      <c r="BZ757" s="60"/>
      <c r="CA757" s="60"/>
      <c r="CB757" s="61"/>
      <c r="CC757" s="60"/>
      <c r="CD757" s="60"/>
      <c r="CE757" s="60"/>
      <c r="CF757" s="60"/>
      <c r="CG757" s="60"/>
      <c r="CH757" s="60"/>
      <c r="CI757" s="60"/>
      <c r="CJ757" s="60"/>
      <c r="CK757" s="60"/>
      <c r="CL757" s="61"/>
      <c r="CM757" s="60"/>
      <c r="CN757" s="60"/>
      <c r="CO757" s="60"/>
      <c r="CP757" s="25" t="n">
        <f aca="false">BX757+BW757+BV757+BU757+BT757+BQ757+BN757</f>
        <v>0</v>
      </c>
      <c r="CQ757" s="25" t="n">
        <f aca="false">CO757+CL757+CI757+CH757+CG757+CD757+CA757</f>
        <v>0</v>
      </c>
      <c r="CR757" s="26" t="n">
        <f aca="false">CP757/7</f>
        <v>0</v>
      </c>
      <c r="CS757" s="26" t="n">
        <f aca="false">CQ757/7</f>
        <v>0</v>
      </c>
      <c r="CT757" s="24" t="n">
        <f aca="false">RANK(CR757,$CR$2:$CR$881,0)</f>
        <v>768</v>
      </c>
      <c r="CU757" s="25" t="n">
        <f aca="false">RANK(CS757,$CS$2:$CS$881,0)</f>
        <v>752</v>
      </c>
      <c r="CV757" s="26" t="n">
        <f aca="false">(CS757+CR757)/2</f>
        <v>0</v>
      </c>
      <c r="CW757" s="25" t="n">
        <f aca="false">RANK(CV757,$CV$2:$CV$881,0)</f>
        <v>753</v>
      </c>
      <c r="CX757" s="50" t="n">
        <f aca="false">(CV757+BB757)/2</f>
        <v>39.6</v>
      </c>
      <c r="CY757" s="50" t="n">
        <v>788</v>
      </c>
      <c r="CZ757" s="27" t="s">
        <v>132</v>
      </c>
      <c r="DA757" s="27" t="s">
        <v>162</v>
      </c>
      <c r="DB757" s="27" t="s">
        <v>162</v>
      </c>
      <c r="DC757" s="27" t="s">
        <v>134</v>
      </c>
      <c r="DD757" s="27" t="s">
        <v>154</v>
      </c>
      <c r="DE757" s="27" t="s">
        <v>442</v>
      </c>
      <c r="DF757" s="27" t="s">
        <v>398</v>
      </c>
      <c r="DG757" s="27" t="s">
        <v>134</v>
      </c>
      <c r="DH757" s="27" t="s">
        <v>164</v>
      </c>
      <c r="DI757" s="27" t="s">
        <v>447</v>
      </c>
      <c r="DJ757" s="27" t="s">
        <v>219</v>
      </c>
      <c r="DK757" s="27" t="s">
        <v>134</v>
      </c>
      <c r="DL757" s="27" t="s">
        <v>191</v>
      </c>
      <c r="DM757" s="27" t="s">
        <v>220</v>
      </c>
      <c r="DN757" s="27" t="s">
        <v>443</v>
      </c>
      <c r="DO757" s="27" t="s">
        <v>134</v>
      </c>
      <c r="DP757" s="27" t="s">
        <v>191</v>
      </c>
      <c r="DQ757" s="27" t="s">
        <v>1407</v>
      </c>
      <c r="DR757" s="27" t="s">
        <v>177</v>
      </c>
      <c r="DS757" s="27" t="s">
        <v>134</v>
      </c>
      <c r="DT757" s="27" t="s">
        <v>195</v>
      </c>
      <c r="DU757" s="27" t="s">
        <v>906</v>
      </c>
      <c r="DV757" s="27" t="s">
        <v>204</v>
      </c>
      <c r="DW757" s="27" t="s">
        <v>137</v>
      </c>
      <c r="DX757" s="27" t="s">
        <v>187</v>
      </c>
      <c r="DY757" s="27" t="s">
        <v>176</v>
      </c>
      <c r="DZ757" s="27" t="n">
        <f aca="false">DY757+DV757+DR757+DN757+DJ757+DF757+DB757</f>
        <v>528</v>
      </c>
      <c r="EA757" s="28" t="n">
        <f aca="false">DZ757/7</f>
        <v>75.4285714285714</v>
      </c>
      <c r="EB757" s="27" t="n">
        <f aca="false">RANK(EA757,$EA$2:$EA$881,0)</f>
        <v>530</v>
      </c>
      <c r="EC757" s="29" t="n">
        <f aca="false">DZ757+CQ757+CP757+AZ757</f>
        <v>1320</v>
      </c>
      <c r="ED757" s="30" t="n">
        <f aca="false">(EA757+CV757+BB757)/3</f>
        <v>51.5428571428571</v>
      </c>
      <c r="EE757" s="51" t="n">
        <f aca="false">ROUND(BE757,3)</f>
        <v>85.073</v>
      </c>
      <c r="EF757" s="51" t="n">
        <f aca="false">ROUND(CR757,3)</f>
        <v>0</v>
      </c>
      <c r="EG757" s="51" t="n">
        <f aca="false">ROUND(CS757,3)</f>
        <v>0</v>
      </c>
      <c r="EH757" s="51" t="n">
        <f aca="false">ROUND(EA757,3)</f>
        <v>75.429</v>
      </c>
      <c r="EI757" s="51" t="n">
        <f aca="false">ROUND(ED757,3)</f>
        <v>51.543</v>
      </c>
      <c r="EJ757" s="51" t="n">
        <f aca="false">ROUND(CV757,3)</f>
        <v>0</v>
      </c>
      <c r="EK757" s="0" t="n">
        <f aca="false">RANK(EI757,$EI$2:$EI$881,0)</f>
        <v>756</v>
      </c>
    </row>
    <row r="758" customFormat="false" ht="15" hidden="false" customHeight="false" outlineLevel="0" collapsed="false">
      <c r="A758" s="4" t="n">
        <v>8565</v>
      </c>
      <c r="B758" s="4" t="n">
        <v>16</v>
      </c>
      <c r="C758" s="27" t="s">
        <v>2151</v>
      </c>
      <c r="D758" s="52" t="n">
        <v>18</v>
      </c>
      <c r="E758" s="136"/>
      <c r="F758" s="110" t="s">
        <v>2152</v>
      </c>
      <c r="G758" s="136"/>
      <c r="H758" s="136" t="s">
        <v>558</v>
      </c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136"/>
      <c r="AU758" s="136"/>
      <c r="AV758" s="136"/>
      <c r="AW758" s="136"/>
      <c r="AX758" s="136"/>
      <c r="AY758" s="136"/>
      <c r="AZ758" s="136"/>
      <c r="BA758" s="136"/>
      <c r="BB758" s="136"/>
      <c r="BC758" s="136"/>
      <c r="BD758" s="16" t="e">
        <f aca="false">RANK(AX758,$AX$2:$AX$881,0)</f>
        <v>#N/A</v>
      </c>
      <c r="BE758" s="138"/>
      <c r="BF758" s="16" t="n">
        <f aca="false">RANK(BE758,$BE$2:$BE$881,0)</f>
        <v>806</v>
      </c>
      <c r="BG758" s="39" t="e">
        <f aca="false">RANK(BB758,$BB$2:$BB$881,0)</f>
        <v>#N/A</v>
      </c>
      <c r="BH758" s="39" t="n">
        <f aca="false">RANK(BC758,$BC$2:$BC$881,0)</f>
        <v>780</v>
      </c>
      <c r="BI758" s="19" t="s">
        <v>130</v>
      </c>
      <c r="BJ758" s="19" t="s">
        <v>129</v>
      </c>
      <c r="BK758" s="109" t="s">
        <v>1596</v>
      </c>
      <c r="BL758" s="86" t="n">
        <v>15</v>
      </c>
      <c r="BM758" s="86" t="n">
        <v>57</v>
      </c>
      <c r="BN758" s="86" t="n">
        <v>72</v>
      </c>
      <c r="BO758" s="87" t="n">
        <v>21</v>
      </c>
      <c r="BP758" s="82" t="n">
        <v>54</v>
      </c>
      <c r="BQ758" s="46" t="n">
        <v>75</v>
      </c>
      <c r="BR758" s="87" t="n">
        <v>17</v>
      </c>
      <c r="BS758" s="45" t="n">
        <v>54</v>
      </c>
      <c r="BT758" s="45" t="n">
        <v>71</v>
      </c>
      <c r="BU758" s="46" t="n">
        <v>100</v>
      </c>
      <c r="BV758" s="45" t="n">
        <v>78</v>
      </c>
      <c r="BW758" s="87" t="n">
        <v>96</v>
      </c>
      <c r="BX758" s="62" t="n">
        <v>94</v>
      </c>
      <c r="BY758" s="62" t="n">
        <v>25</v>
      </c>
      <c r="BZ758" s="62" t="n">
        <v>57</v>
      </c>
      <c r="CA758" s="62" t="n">
        <v>82</v>
      </c>
      <c r="CB758" s="62" t="n">
        <v>22</v>
      </c>
      <c r="CC758" s="62" t="n">
        <v>34</v>
      </c>
      <c r="CD758" s="89" t="n">
        <v>56</v>
      </c>
      <c r="CE758" s="62" t="n">
        <v>20</v>
      </c>
      <c r="CF758" s="62" t="n">
        <v>57</v>
      </c>
      <c r="CG758" s="62" t="n">
        <v>77</v>
      </c>
      <c r="CH758" s="62" t="n">
        <v>96</v>
      </c>
      <c r="CI758" s="62" t="n">
        <v>98</v>
      </c>
      <c r="CJ758" s="75" t="n">
        <v>27</v>
      </c>
      <c r="CK758" s="75" t="n">
        <v>50</v>
      </c>
      <c r="CL758" s="75" t="n">
        <v>77</v>
      </c>
      <c r="CM758" s="49" t="n">
        <v>23</v>
      </c>
      <c r="CN758" s="49" t="n">
        <v>51</v>
      </c>
      <c r="CO758" s="49" t="n">
        <v>74</v>
      </c>
      <c r="CP758" s="25" t="n">
        <f aca="false">BX758+BW758+BV758+BU758+BT758+BQ758+BN758</f>
        <v>586</v>
      </c>
      <c r="CQ758" s="25" t="n">
        <f aca="false">CO758+CL758+CI758+CH758+CG758+CD758+CA758</f>
        <v>560</v>
      </c>
      <c r="CR758" s="26" t="n">
        <f aca="false">CP758/7</f>
        <v>83.7142857142857</v>
      </c>
      <c r="CS758" s="26" t="n">
        <f aca="false">CQ758/7</f>
        <v>80</v>
      </c>
      <c r="CT758" s="24" t="n">
        <f aca="false">RANK(CR758,$CR$2:$CR$881,0)</f>
        <v>495</v>
      </c>
      <c r="CU758" s="25" t="n">
        <f aca="false">RANK(CS758,$CS$2:$CS$881,0)</f>
        <v>264</v>
      </c>
      <c r="CV758" s="26" t="n">
        <f aca="false">(CS758+CR758)/2</f>
        <v>81.8571428571429</v>
      </c>
      <c r="CW758" s="25" t="n">
        <f aca="false">RANK(CV758,$CV$2:$CV$881,0)</f>
        <v>352</v>
      </c>
      <c r="CX758" s="50" t="n">
        <f aca="false">(CV758+BB758)/2</f>
        <v>40.9285714285714</v>
      </c>
      <c r="CY758" s="50" t="n">
        <v>732</v>
      </c>
      <c r="CZ758" s="27" t="s">
        <v>132</v>
      </c>
      <c r="DA758" s="27" t="s">
        <v>133</v>
      </c>
      <c r="DB758" s="27" t="s">
        <v>133</v>
      </c>
      <c r="DC758" s="27" t="s">
        <v>134</v>
      </c>
      <c r="DD758" s="27" t="s">
        <v>137</v>
      </c>
      <c r="DE758" s="27" t="s">
        <v>183</v>
      </c>
      <c r="DF758" s="27" t="s">
        <v>209</v>
      </c>
      <c r="DG758" s="27" t="s">
        <v>134</v>
      </c>
      <c r="DH758" s="27" t="s">
        <v>191</v>
      </c>
      <c r="DI758" s="27" t="s">
        <v>187</v>
      </c>
      <c r="DJ758" s="27" t="s">
        <v>202</v>
      </c>
      <c r="DK758" s="27" t="s">
        <v>134</v>
      </c>
      <c r="DL758" s="27" t="s">
        <v>174</v>
      </c>
      <c r="DM758" s="27" t="s">
        <v>161</v>
      </c>
      <c r="DN758" s="27" t="s">
        <v>169</v>
      </c>
      <c r="DO758" s="27" t="s">
        <v>134</v>
      </c>
      <c r="DP758" s="27"/>
      <c r="DQ758" s="27"/>
      <c r="DR758" s="27"/>
      <c r="DS758" s="27"/>
      <c r="DT758" s="27" t="s">
        <v>164</v>
      </c>
      <c r="DU758" s="27" t="s">
        <v>304</v>
      </c>
      <c r="DV758" s="27" t="s">
        <v>196</v>
      </c>
      <c r="DW758" s="27" t="s">
        <v>386</v>
      </c>
      <c r="DX758" s="27" t="s">
        <v>138</v>
      </c>
      <c r="DY758" s="27" t="s">
        <v>178</v>
      </c>
      <c r="DZ758" s="27" t="n">
        <f aca="false">DY758+DV758+DR758+DN758+DJ758+DF758+DB758</f>
        <v>509</v>
      </c>
      <c r="EA758" s="28" t="n">
        <f aca="false">DZ758/7</f>
        <v>72.7142857142857</v>
      </c>
      <c r="EB758" s="27" t="n">
        <f aca="false">RANK(EA758,$EA$2:$EA$881,0)</f>
        <v>598</v>
      </c>
      <c r="EC758" s="29" t="n">
        <f aca="false">DZ758+CQ758+CP758+AZ758</f>
        <v>1655</v>
      </c>
      <c r="ED758" s="30" t="n">
        <f aca="false">(EA758+CV758+BB758)/3</f>
        <v>51.5238095238095</v>
      </c>
      <c r="EE758" s="51" t="n">
        <f aca="false">ROUND(BE758,3)</f>
        <v>0</v>
      </c>
      <c r="EF758" s="51" t="n">
        <f aca="false">ROUND(CR758,3)</f>
        <v>83.714</v>
      </c>
      <c r="EG758" s="51" t="n">
        <f aca="false">ROUND(CS758,3)</f>
        <v>80</v>
      </c>
      <c r="EH758" s="51" t="n">
        <f aca="false">ROUND(EA758,3)</f>
        <v>72.714</v>
      </c>
      <c r="EI758" s="51" t="n">
        <f aca="false">ROUND(ED758,3)</f>
        <v>51.524</v>
      </c>
      <c r="EJ758" s="51" t="n">
        <f aca="false">ROUND(CV758,3)</f>
        <v>81.857</v>
      </c>
      <c r="EK758" s="0" t="n">
        <f aca="false">RANK(EI758,$EI$2:$EI$881,0)</f>
        <v>757</v>
      </c>
    </row>
    <row r="759" customFormat="false" ht="15" hidden="false" customHeight="false" outlineLevel="0" collapsed="false">
      <c r="A759" s="4" t="n">
        <v>8727</v>
      </c>
      <c r="B759" s="4" t="n">
        <v>77</v>
      </c>
      <c r="C759" s="27" t="s">
        <v>2153</v>
      </c>
      <c r="D759" s="52" t="n">
        <v>79</v>
      </c>
      <c r="E759" s="32" t="n">
        <v>230319247</v>
      </c>
      <c r="F759" s="8" t="s">
        <v>2154</v>
      </c>
      <c r="G759" s="22" t="s">
        <v>1181</v>
      </c>
      <c r="H759" s="22" t="s">
        <v>129</v>
      </c>
      <c r="I759" s="33" t="n">
        <v>2006</v>
      </c>
      <c r="J759" s="32" t="n">
        <v>83</v>
      </c>
      <c r="K759" s="32" t="n">
        <v>93</v>
      </c>
      <c r="L759" s="34" t="n">
        <f aca="false">(K759*70)/100</f>
        <v>65.1</v>
      </c>
      <c r="M759" s="34" t="n">
        <f aca="false">ROUNDUP(L759,0)</f>
        <v>66</v>
      </c>
      <c r="N759" s="32" t="n">
        <v>28</v>
      </c>
      <c r="O759" s="34" t="n">
        <f aca="false">N759+L759</f>
        <v>93.1</v>
      </c>
      <c r="P759" s="34" t="n">
        <f aca="false">N759+M759</f>
        <v>94</v>
      </c>
      <c r="Q759" s="32" t="n">
        <v>80</v>
      </c>
      <c r="R759" s="32" t="n">
        <v>85</v>
      </c>
      <c r="S759" s="34" t="n">
        <f aca="false">(R759*70)/100</f>
        <v>59.5</v>
      </c>
      <c r="T759" s="34" t="n">
        <f aca="false">ROUNDUP(S759,0)</f>
        <v>60</v>
      </c>
      <c r="U759" s="32" t="n">
        <v>21</v>
      </c>
      <c r="V759" s="34" t="n">
        <f aca="false">U759+S759</f>
        <v>80.5</v>
      </c>
      <c r="W759" s="34" t="n">
        <f aca="false">U759+T759</f>
        <v>81</v>
      </c>
      <c r="X759" s="32" t="n">
        <v>76</v>
      </c>
      <c r="Y759" s="34" t="n">
        <f aca="false">(X759*70)/100</f>
        <v>53.2</v>
      </c>
      <c r="Z759" s="34" t="n">
        <f aca="false">ROUNDUP(Y759,0)</f>
        <v>54</v>
      </c>
      <c r="AA759" s="32" t="n">
        <v>25</v>
      </c>
      <c r="AB759" s="34" t="n">
        <f aca="false">AA759+Y759</f>
        <v>78.2</v>
      </c>
      <c r="AC759" s="34" t="n">
        <f aca="false">AA759+Z759</f>
        <v>79</v>
      </c>
      <c r="AD759" s="32" t="n">
        <f aca="false">X759+R759+Q759+K759+J759</f>
        <v>417</v>
      </c>
      <c r="AE759" s="16" t="n">
        <f aca="false">AD759/5</f>
        <v>83.4</v>
      </c>
      <c r="AF759" s="16" t="n">
        <v>84</v>
      </c>
      <c r="AG759" s="16" t="n">
        <v>85</v>
      </c>
      <c r="AH759" s="16" t="n">
        <v>92</v>
      </c>
      <c r="AI759" s="16" t="n">
        <v>94</v>
      </c>
      <c r="AJ759" s="16" t="n">
        <f aca="false">(AI759*70)/100</f>
        <v>65.8</v>
      </c>
      <c r="AK759" s="35" t="n">
        <f aca="false">ROUNDUP(AJ759,0)</f>
        <v>66</v>
      </c>
      <c r="AL759" s="16" t="n">
        <v>24</v>
      </c>
      <c r="AM759" s="16" t="n">
        <f aca="false">AL759+AJ759</f>
        <v>89.8</v>
      </c>
      <c r="AN759" s="16" t="n">
        <f aca="false">AL759+AK759</f>
        <v>90</v>
      </c>
      <c r="AO759" s="16" t="n">
        <v>84</v>
      </c>
      <c r="AP759" s="36" t="n">
        <f aca="false">(AO759*70)/100</f>
        <v>58.8</v>
      </c>
      <c r="AQ759" s="37" t="n">
        <f aca="false">ROUNDUP(AP759,0)</f>
        <v>59</v>
      </c>
      <c r="AR759" s="16" t="n">
        <v>28</v>
      </c>
      <c r="AS759" s="16" t="n">
        <f aca="false">AR759+AP759</f>
        <v>86.8</v>
      </c>
      <c r="AT759" s="16" t="n">
        <f aca="false">AR759+AQ759</f>
        <v>87</v>
      </c>
      <c r="AU759" s="16" t="n">
        <f aca="false">AO759+AF759+AI759+AH759+AG759</f>
        <v>439</v>
      </c>
      <c r="AV759" s="16" t="n">
        <f aca="false">(AO759+AF759+AI759+AH759+AG759)/5</f>
        <v>87.8</v>
      </c>
      <c r="AW759" s="36" t="n">
        <f aca="false">(AO759+AF759+AI759+AH759+AG759+X759+R759+Q759+K759+J759)</f>
        <v>856</v>
      </c>
      <c r="AX759" s="16" t="n">
        <f aca="false">AW759/10</f>
        <v>85.6</v>
      </c>
      <c r="AY759" s="16" t="n">
        <f aca="false">AS759+AF759+AM759+AH759+AG759+AB759+V759+Q759+O759+J759</f>
        <v>852.4</v>
      </c>
      <c r="AZ759" s="16" t="n">
        <f aca="false">AT759+AF759+AN759+AH759+AG759+AC759+W759+Q759+P759+J759</f>
        <v>855</v>
      </c>
      <c r="BA759" s="16" t="n">
        <f aca="false">AY759/10</f>
        <v>85.24</v>
      </c>
      <c r="BB759" s="16" t="n">
        <f aca="false">AZ759/10</f>
        <v>85.5</v>
      </c>
      <c r="BC759" s="16" t="n">
        <v>2348</v>
      </c>
      <c r="BD759" s="16" t="n">
        <f aca="false">RANK(AX759,$AX$2:$AX$881,0)</f>
        <v>80</v>
      </c>
      <c r="BE759" s="38" t="n">
        <f aca="false">((BC759*100)/2400)*0.4+(AX759*0.6)</f>
        <v>90.4933333333333</v>
      </c>
      <c r="BF759" s="16" t="n">
        <f aca="false">RANK(BE759,$BE$2:$BE$881,0)</f>
        <v>87</v>
      </c>
      <c r="BG759" s="39" t="n">
        <f aca="false">RANK(BB759,$BB$2:$BB$881,0)</f>
        <v>94</v>
      </c>
      <c r="BH759" s="39" t="n">
        <f aca="false">RANK(BC759,$BC$2:$BC$881,0)</f>
        <v>551</v>
      </c>
      <c r="BI759" s="22" t="s">
        <v>130</v>
      </c>
      <c r="BJ759" s="22" t="s">
        <v>129</v>
      </c>
      <c r="BK759" s="40" t="s">
        <v>131</v>
      </c>
      <c r="BL759" s="41" t="n">
        <v>21</v>
      </c>
      <c r="BM759" s="41" t="n">
        <v>52</v>
      </c>
      <c r="BN759" s="41" t="n">
        <v>73</v>
      </c>
      <c r="BO759" s="42" t="n">
        <v>27</v>
      </c>
      <c r="BP759" s="43" t="n">
        <v>65</v>
      </c>
      <c r="BQ759" s="44" t="n">
        <v>92</v>
      </c>
      <c r="BR759" s="42" t="n">
        <v>26</v>
      </c>
      <c r="BS759" s="45" t="n">
        <v>56</v>
      </c>
      <c r="BT759" s="45" t="n">
        <v>82</v>
      </c>
      <c r="BU759" s="46" t="n">
        <v>100</v>
      </c>
      <c r="BV759" s="47" t="n">
        <v>86</v>
      </c>
      <c r="BW759" s="42" t="n">
        <v>98</v>
      </c>
      <c r="BX759" s="48" t="n">
        <v>96</v>
      </c>
      <c r="BY759" s="32" t="n">
        <v>26</v>
      </c>
      <c r="BZ759" s="32" t="n">
        <v>52</v>
      </c>
      <c r="CA759" s="32" t="n">
        <v>78</v>
      </c>
      <c r="CB759" s="32" t="n">
        <v>24</v>
      </c>
      <c r="CC759" s="32" t="n">
        <v>43</v>
      </c>
      <c r="CD759" s="32" t="n">
        <v>67</v>
      </c>
      <c r="CE759" s="32" t="n">
        <v>26</v>
      </c>
      <c r="CF759" s="60"/>
      <c r="CG759" s="60"/>
      <c r="CH759" s="32" t="n">
        <v>96</v>
      </c>
      <c r="CI759" s="32" t="n">
        <v>98</v>
      </c>
      <c r="CJ759" s="49" t="n">
        <v>23</v>
      </c>
      <c r="CK759" s="60"/>
      <c r="CL759" s="61"/>
      <c r="CM759" s="49" t="n">
        <v>22</v>
      </c>
      <c r="CN759" s="60"/>
      <c r="CO759" s="60"/>
      <c r="CP759" s="25" t="n">
        <f aca="false">BX759+BW759+BV759+BU759+BT759+BQ759+BN759</f>
        <v>627</v>
      </c>
      <c r="CQ759" s="25" t="n">
        <f aca="false">CO759+CL759+CI759+CH759+CG759+CD759+CA759</f>
        <v>339</v>
      </c>
      <c r="CR759" s="26" t="n">
        <f aca="false">CP759/7</f>
        <v>89.5714285714286</v>
      </c>
      <c r="CS759" s="26" t="n">
        <f aca="false">CQ759/7</f>
        <v>48.4285714285714</v>
      </c>
      <c r="CT759" s="24" t="n">
        <f aca="false">RANK(CR759,$CR$2:$CR$881,0)</f>
        <v>209</v>
      </c>
      <c r="CU759" s="25" t="n">
        <f aca="false">RANK(CS759,$CS$2:$CS$881,0)</f>
        <v>720</v>
      </c>
      <c r="CV759" s="26" t="n">
        <f aca="false">(CS759+CR759)/2</f>
        <v>69</v>
      </c>
      <c r="CW759" s="25" t="n">
        <f aca="false">RANK(CV759,$CV$2:$CV$881,0)</f>
        <v>645</v>
      </c>
      <c r="CX759" s="50" t="n">
        <f aca="false">(CV759+BB759)/2</f>
        <v>77.25</v>
      </c>
      <c r="CY759" s="50" t="n">
        <v>497</v>
      </c>
      <c r="CZ759" s="27"/>
      <c r="DA759" s="27"/>
      <c r="DB759" s="27"/>
      <c r="DC759" s="27"/>
      <c r="DD759" s="27" t="s">
        <v>2124</v>
      </c>
      <c r="DE759" s="27"/>
      <c r="DF759" s="27"/>
      <c r="DG759" s="27"/>
      <c r="DH759" s="27" t="s">
        <v>2125</v>
      </c>
      <c r="DI759" s="27"/>
      <c r="DJ759" s="27"/>
      <c r="DK759" s="27"/>
      <c r="DL759" s="27" t="s">
        <v>2124</v>
      </c>
      <c r="DM759" s="27"/>
      <c r="DN759" s="27"/>
      <c r="DO759" s="27"/>
      <c r="DP759" s="27"/>
      <c r="DQ759" s="27" t="s">
        <v>2124</v>
      </c>
      <c r="DR759" s="27"/>
      <c r="DS759" s="27"/>
      <c r="DT759" s="27"/>
      <c r="DU759" s="27"/>
      <c r="DV759" s="27"/>
      <c r="DW759" s="27" t="s">
        <v>2124</v>
      </c>
      <c r="DX759" s="27"/>
      <c r="DY759" s="27"/>
      <c r="DZ759" s="27" t="n">
        <f aca="false">DY759+DV759+DR759+DN759+DJ759+DF759+DB759</f>
        <v>0</v>
      </c>
      <c r="EA759" s="28" t="n">
        <f aca="false">DZ759/7</f>
        <v>0</v>
      </c>
      <c r="EB759" s="27" t="n">
        <f aca="false">RANK(EA759,$EA$2:$EA$881,0)</f>
        <v>870</v>
      </c>
      <c r="EC759" s="29" t="n">
        <f aca="false">DZ759+CQ759+CP759+AZ759</f>
        <v>1821</v>
      </c>
      <c r="ED759" s="30" t="n">
        <f aca="false">(EA759+CV759+BB759)/3</f>
        <v>51.5</v>
      </c>
      <c r="EE759" s="51" t="n">
        <f aca="false">ROUND(BE759,3)</f>
        <v>90.493</v>
      </c>
      <c r="EF759" s="51" t="n">
        <f aca="false">ROUND(CR759,3)</f>
        <v>89.571</v>
      </c>
      <c r="EG759" s="51" t="n">
        <f aca="false">ROUND(CS759,3)</f>
        <v>48.429</v>
      </c>
      <c r="EH759" s="51" t="n">
        <f aca="false">ROUND(EA759,3)</f>
        <v>0</v>
      </c>
      <c r="EI759" s="51" t="n">
        <f aca="false">ROUND(ED759,3)</f>
        <v>51.5</v>
      </c>
      <c r="EJ759" s="51" t="n">
        <f aca="false">ROUND(CV759,3)</f>
        <v>69</v>
      </c>
      <c r="EK759" s="0" t="n">
        <f aca="false">RANK(EI759,$EI$2:$EI$881,0)</f>
        <v>758</v>
      </c>
    </row>
    <row r="760" customFormat="false" ht="15" hidden="false" customHeight="false" outlineLevel="0" collapsed="false">
      <c r="A760" s="4" t="n">
        <v>1932</v>
      </c>
      <c r="B760" s="4" t="n">
        <v>658</v>
      </c>
      <c r="C760" s="27" t="s">
        <v>2155</v>
      </c>
      <c r="D760" s="31" t="n">
        <v>671</v>
      </c>
      <c r="E760" s="16" t="n">
        <v>230508037</v>
      </c>
      <c r="F760" s="56" t="s">
        <v>2156</v>
      </c>
      <c r="G760" s="22" t="s">
        <v>2157</v>
      </c>
      <c r="H760" s="22" t="s">
        <v>465</v>
      </c>
      <c r="I760" s="80"/>
      <c r="J760" s="16" t="n">
        <v>68</v>
      </c>
      <c r="K760" s="16" t="n">
        <v>71</v>
      </c>
      <c r="L760" s="34" t="n">
        <f aca="false">(K760*70)/100</f>
        <v>49.7</v>
      </c>
      <c r="M760" s="34" t="n">
        <f aca="false">ROUNDUP(L760,0)</f>
        <v>50</v>
      </c>
      <c r="N760" s="16" t="n">
        <v>27</v>
      </c>
      <c r="O760" s="34" t="n">
        <f aca="false">N760+L760</f>
        <v>76.7</v>
      </c>
      <c r="P760" s="34" t="n">
        <f aca="false">N760+M760</f>
        <v>77</v>
      </c>
      <c r="Q760" s="16" t="n">
        <v>72</v>
      </c>
      <c r="R760" s="16" t="n">
        <v>69</v>
      </c>
      <c r="S760" s="34" t="n">
        <f aca="false">(R760*70)/100</f>
        <v>48.3</v>
      </c>
      <c r="T760" s="34" t="n">
        <f aca="false">ROUNDUP(S760,0)</f>
        <v>49</v>
      </c>
      <c r="U760" s="16" t="n">
        <v>27</v>
      </c>
      <c r="V760" s="34" t="n">
        <f aca="false">U760+S760</f>
        <v>75.3</v>
      </c>
      <c r="W760" s="34" t="n">
        <f aca="false">U760+T760</f>
        <v>76</v>
      </c>
      <c r="X760" s="16" t="n">
        <v>73</v>
      </c>
      <c r="Y760" s="34" t="n">
        <f aca="false">(X760*70)/100</f>
        <v>51.1</v>
      </c>
      <c r="Z760" s="34" t="n">
        <f aca="false">ROUNDUP(Y760,0)</f>
        <v>52</v>
      </c>
      <c r="AA760" s="16" t="n">
        <v>28</v>
      </c>
      <c r="AB760" s="34" t="n">
        <f aca="false">AA760+Y760</f>
        <v>79.1</v>
      </c>
      <c r="AC760" s="34" t="n">
        <f aca="false">AA760+Z760</f>
        <v>80</v>
      </c>
      <c r="AD760" s="32" t="n">
        <f aca="false">X760+R760+Q760+K760+J760</f>
        <v>353</v>
      </c>
      <c r="AE760" s="16" t="n">
        <f aca="false">AD760/5</f>
        <v>70.6</v>
      </c>
      <c r="AF760" s="16" t="n">
        <v>87</v>
      </c>
      <c r="AG760" s="16" t="n">
        <v>78</v>
      </c>
      <c r="AH760" s="16" t="n">
        <v>87</v>
      </c>
      <c r="AI760" s="16" t="n">
        <v>90</v>
      </c>
      <c r="AJ760" s="16" t="n">
        <f aca="false">(AI760*70)/100</f>
        <v>63</v>
      </c>
      <c r="AK760" s="35" t="n">
        <f aca="false">ROUNDUP(AJ760,0)</f>
        <v>63</v>
      </c>
      <c r="AL760" s="16" t="n">
        <v>22</v>
      </c>
      <c r="AM760" s="16" t="n">
        <f aca="false">AL760+AJ760</f>
        <v>85</v>
      </c>
      <c r="AN760" s="16" t="n">
        <f aca="false">AL760+AK760</f>
        <v>85</v>
      </c>
      <c r="AO760" s="16" t="n">
        <v>66</v>
      </c>
      <c r="AP760" s="36" t="n">
        <f aca="false">(AO760*70)/100</f>
        <v>46.2</v>
      </c>
      <c r="AQ760" s="37" t="n">
        <f aca="false">ROUNDUP(AP760,0)</f>
        <v>47</v>
      </c>
      <c r="AR760" s="16" t="n">
        <v>15</v>
      </c>
      <c r="AS760" s="16" t="n">
        <f aca="false">AR760+AP760</f>
        <v>61.2</v>
      </c>
      <c r="AT760" s="16" t="n">
        <f aca="false">AR760+AQ760</f>
        <v>62</v>
      </c>
      <c r="AU760" s="16" t="n">
        <f aca="false">AO760+AF760+AI760+AH760+AG760</f>
        <v>408</v>
      </c>
      <c r="AV760" s="16" t="n">
        <f aca="false">(AO760+AF760+AI760+AH760+AG760)/5</f>
        <v>81.6</v>
      </c>
      <c r="AW760" s="36" t="n">
        <f aca="false">(AO760+AF760+AI760+AH760+AG760+X760+R760+Q760+K760+J760)</f>
        <v>761</v>
      </c>
      <c r="AX760" s="16" t="n">
        <f aca="false">AW760/10</f>
        <v>76.1</v>
      </c>
      <c r="AY760" s="16" t="n">
        <f aca="false">AS760+AF760+AM760+AH760+AG760+AB760+V760+Q760+O760+J760</f>
        <v>769.3</v>
      </c>
      <c r="AZ760" s="16" t="n">
        <f aca="false">AT760+AF760+AN760+AH760+AG760+AC760+W760+Q760+P760+J760</f>
        <v>772</v>
      </c>
      <c r="BA760" s="16" t="n">
        <f aca="false">AY760/10</f>
        <v>76.93</v>
      </c>
      <c r="BB760" s="16" t="n">
        <f aca="false">AZ760/10</f>
        <v>77.2</v>
      </c>
      <c r="BC760" s="16" t="n">
        <v>2366</v>
      </c>
      <c r="BD760" s="16" t="n">
        <f aca="false">RANK(AX760,$AX$2:$AX$881,0)</f>
        <v>609</v>
      </c>
      <c r="BE760" s="54" t="n">
        <f aca="false">((BC760*100)/2400)*0.4+(AX760*0.6)</f>
        <v>85.0933333333333</v>
      </c>
      <c r="BF760" s="16" t="n">
        <f aca="false">RANK(BE760,$BE$2:$BE$881,0)</f>
        <v>590</v>
      </c>
      <c r="BG760" s="39" t="n">
        <f aca="false">RANK(BB760,$BB$2:$BB$881,0)</f>
        <v>628</v>
      </c>
      <c r="BH760" s="39" t="n">
        <f aca="false">RANK(BC760,$BC$2:$BC$881,0)</f>
        <v>319</v>
      </c>
      <c r="BI760" s="22" t="s">
        <v>130</v>
      </c>
      <c r="BJ760" s="22" t="s">
        <v>129</v>
      </c>
      <c r="BK760" s="22" t="s">
        <v>509</v>
      </c>
      <c r="BL760" s="101" t="n">
        <v>6.5</v>
      </c>
      <c r="BM760" s="61"/>
      <c r="BN760" s="61"/>
      <c r="BO760" s="42" t="n">
        <v>24</v>
      </c>
      <c r="BP760" s="61"/>
      <c r="BQ760" s="61"/>
      <c r="BR760" s="74" t="n">
        <v>8</v>
      </c>
      <c r="BS760" s="80"/>
      <c r="BT760" s="80"/>
      <c r="BU760" s="80"/>
      <c r="BV760" s="137"/>
      <c r="BW760" s="61"/>
      <c r="BX760" s="107"/>
      <c r="BY760" s="130"/>
      <c r="BZ760" s="60"/>
      <c r="CA760" s="60"/>
      <c r="CB760" s="61"/>
      <c r="CC760" s="60"/>
      <c r="CD760" s="60"/>
      <c r="CE760" s="60"/>
      <c r="CF760" s="60"/>
      <c r="CG760" s="60"/>
      <c r="CH760" s="60"/>
      <c r="CI760" s="60"/>
      <c r="CJ760" s="60"/>
      <c r="CK760" s="60"/>
      <c r="CL760" s="61"/>
      <c r="CM760" s="60"/>
      <c r="CN760" s="60"/>
      <c r="CO760" s="60"/>
      <c r="CP760" s="25" t="n">
        <f aca="false">BX760+BW760+BV760+BU760+BT760+BQ760+BN760</f>
        <v>0</v>
      </c>
      <c r="CQ760" s="25" t="n">
        <f aca="false">CO760+CL760+CI760+CH760+CG760+CD760+CA760</f>
        <v>0</v>
      </c>
      <c r="CR760" s="26" t="n">
        <f aca="false">CP760/7</f>
        <v>0</v>
      </c>
      <c r="CS760" s="26" t="n">
        <f aca="false">CQ760/7</f>
        <v>0</v>
      </c>
      <c r="CT760" s="24" t="n">
        <f aca="false">RANK(CR760,$CR$2:$CR$881,0)</f>
        <v>768</v>
      </c>
      <c r="CU760" s="25" t="n">
        <f aca="false">RANK(CS760,$CS$2:$CS$881,0)</f>
        <v>752</v>
      </c>
      <c r="CV760" s="26" t="n">
        <f aca="false">(CS760+CR760)/2</f>
        <v>0</v>
      </c>
      <c r="CW760" s="25" t="n">
        <f aca="false">RANK(CV760,$CV$2:$CV$881,0)</f>
        <v>753</v>
      </c>
      <c r="CX760" s="50" t="n">
        <f aca="false">(CV760+BB760)/2</f>
        <v>38.6</v>
      </c>
      <c r="CY760" s="50" t="n">
        <v>838</v>
      </c>
      <c r="CZ760" s="27" t="s">
        <v>132</v>
      </c>
      <c r="DA760" s="27" t="s">
        <v>202</v>
      </c>
      <c r="DB760" s="27" t="s">
        <v>202</v>
      </c>
      <c r="DC760" s="27" t="s">
        <v>134</v>
      </c>
      <c r="DD760" s="27" t="s">
        <v>135</v>
      </c>
      <c r="DE760" s="27" t="s">
        <v>375</v>
      </c>
      <c r="DF760" s="27" t="s">
        <v>441</v>
      </c>
      <c r="DG760" s="27" t="s">
        <v>134</v>
      </c>
      <c r="DH760" s="27" t="s">
        <v>164</v>
      </c>
      <c r="DI760" s="27" t="s">
        <v>177</v>
      </c>
      <c r="DJ760" s="27" t="s">
        <v>178</v>
      </c>
      <c r="DK760" s="27" t="s">
        <v>134</v>
      </c>
      <c r="DL760" s="27" t="s">
        <v>195</v>
      </c>
      <c r="DM760" s="27" t="s">
        <v>645</v>
      </c>
      <c r="DN760" s="27" t="s">
        <v>163</v>
      </c>
      <c r="DO760" s="27" t="s">
        <v>134</v>
      </c>
      <c r="DP760" s="27" t="s">
        <v>386</v>
      </c>
      <c r="DQ760" s="27" t="s">
        <v>412</v>
      </c>
      <c r="DR760" s="27" t="s">
        <v>138</v>
      </c>
      <c r="DS760" s="27" t="s">
        <v>134</v>
      </c>
      <c r="DT760" s="27" t="s">
        <v>135</v>
      </c>
      <c r="DU760" s="27" t="s">
        <v>989</v>
      </c>
      <c r="DV760" s="27" t="s">
        <v>141</v>
      </c>
      <c r="DW760" s="27" t="s">
        <v>154</v>
      </c>
      <c r="DX760" s="27" t="s">
        <v>143</v>
      </c>
      <c r="DY760" s="27" t="s">
        <v>170</v>
      </c>
      <c r="DZ760" s="27" t="n">
        <f aca="false">DY760+DV760+DR760+DN760+DJ760+DF760+DB760</f>
        <v>540</v>
      </c>
      <c r="EA760" s="28" t="n">
        <f aca="false">DZ760/7</f>
        <v>77.1428571428571</v>
      </c>
      <c r="EB760" s="27" t="n">
        <f aca="false">RANK(EA760,$EA$2:$EA$881,0)</f>
        <v>485</v>
      </c>
      <c r="EC760" s="29" t="n">
        <f aca="false">DZ760+CQ760+CP760+AZ760</f>
        <v>1312</v>
      </c>
      <c r="ED760" s="30" t="n">
        <f aca="false">(EA760+CV760+BB760)/3</f>
        <v>51.4476190476191</v>
      </c>
      <c r="EE760" s="51" t="n">
        <f aca="false">ROUND(BE760,3)</f>
        <v>85.093</v>
      </c>
      <c r="EF760" s="51" t="n">
        <f aca="false">ROUND(CR760,3)</f>
        <v>0</v>
      </c>
      <c r="EG760" s="51" t="n">
        <f aca="false">ROUND(CS760,3)</f>
        <v>0</v>
      </c>
      <c r="EH760" s="51" t="n">
        <f aca="false">ROUND(EA760,3)</f>
        <v>77.143</v>
      </c>
      <c r="EI760" s="51" t="n">
        <f aca="false">ROUND(ED760,3)</f>
        <v>51.448</v>
      </c>
      <c r="EJ760" s="51" t="n">
        <f aca="false">ROUND(CV760,3)</f>
        <v>0</v>
      </c>
      <c r="EK760" s="0" t="n">
        <f aca="false">RANK(EI760,$EI$2:$EI$881,0)</f>
        <v>759</v>
      </c>
    </row>
    <row r="761" customFormat="false" ht="15" hidden="false" customHeight="false" outlineLevel="0" collapsed="false">
      <c r="A761" s="4" t="n">
        <v>1999</v>
      </c>
      <c r="B761" s="4" t="n">
        <v>247</v>
      </c>
      <c r="C761" s="27" t="s">
        <v>2158</v>
      </c>
      <c r="D761" s="31" t="n">
        <v>248</v>
      </c>
      <c r="E761" s="16" t="n">
        <v>230506105</v>
      </c>
      <c r="F761" s="56" t="s">
        <v>2159</v>
      </c>
      <c r="G761" s="22" t="s">
        <v>1378</v>
      </c>
      <c r="H761" s="22" t="s">
        <v>465</v>
      </c>
      <c r="I761" s="80"/>
      <c r="J761" s="16" t="n">
        <v>63</v>
      </c>
      <c r="K761" s="16" t="n">
        <v>64</v>
      </c>
      <c r="L761" s="34" t="n">
        <f aca="false">(K761*70)/100</f>
        <v>44.8</v>
      </c>
      <c r="M761" s="34" t="n">
        <f aca="false">ROUNDUP(L761,0)</f>
        <v>45</v>
      </c>
      <c r="N761" s="16" t="n">
        <v>25</v>
      </c>
      <c r="O761" s="34" t="n">
        <f aca="false">N761+L761</f>
        <v>69.8</v>
      </c>
      <c r="P761" s="34" t="n">
        <f aca="false">N761+M761</f>
        <v>70</v>
      </c>
      <c r="Q761" s="120" t="n">
        <v>58</v>
      </c>
      <c r="R761" s="16" t="n">
        <v>64</v>
      </c>
      <c r="S761" s="34" t="n">
        <f aca="false">(R761*70)/100</f>
        <v>44.8</v>
      </c>
      <c r="T761" s="34" t="n">
        <f aca="false">ROUNDUP(S761,0)</f>
        <v>45</v>
      </c>
      <c r="U761" s="16" t="n">
        <v>28</v>
      </c>
      <c r="V761" s="34" t="n">
        <f aca="false">U761+S761</f>
        <v>72.8</v>
      </c>
      <c r="W761" s="34" t="n">
        <f aca="false">U761+T761</f>
        <v>73</v>
      </c>
      <c r="X761" s="16" t="n">
        <v>73</v>
      </c>
      <c r="Y761" s="34" t="n">
        <f aca="false">(X761*70)/100</f>
        <v>51.1</v>
      </c>
      <c r="Z761" s="34" t="n">
        <f aca="false">ROUNDUP(Y761,0)</f>
        <v>52</v>
      </c>
      <c r="AA761" s="16" t="n">
        <v>28</v>
      </c>
      <c r="AB761" s="34" t="n">
        <f aca="false">AA761+Y761</f>
        <v>79.1</v>
      </c>
      <c r="AC761" s="34" t="n">
        <f aca="false">AA761+Z761</f>
        <v>80</v>
      </c>
      <c r="AD761" s="32" t="n">
        <f aca="false">X761+R761+Q761+K761+J761</f>
        <v>322</v>
      </c>
      <c r="AE761" s="16" t="n">
        <f aca="false">AD761/5</f>
        <v>64.4</v>
      </c>
      <c r="AF761" s="16" t="n">
        <v>87</v>
      </c>
      <c r="AG761" s="16" t="n">
        <v>83</v>
      </c>
      <c r="AH761" s="16" t="n">
        <v>95</v>
      </c>
      <c r="AI761" s="16" t="n">
        <v>87</v>
      </c>
      <c r="AJ761" s="16" t="n">
        <f aca="false">(AI761*70)/100</f>
        <v>60.9</v>
      </c>
      <c r="AK761" s="35" t="n">
        <f aca="false">ROUNDUP(AJ761,0)</f>
        <v>61</v>
      </c>
      <c r="AL761" s="16" t="n">
        <v>25</v>
      </c>
      <c r="AM761" s="16" t="n">
        <f aca="false">AL761+AJ761</f>
        <v>85.9</v>
      </c>
      <c r="AN761" s="16" t="n">
        <f aca="false">AL761+AK761</f>
        <v>86</v>
      </c>
      <c r="AO761" s="16" t="n">
        <v>84</v>
      </c>
      <c r="AP761" s="36" t="n">
        <f aca="false">(AO761*70)/100</f>
        <v>58.8</v>
      </c>
      <c r="AQ761" s="37" t="n">
        <f aca="false">ROUNDUP(AP761,0)</f>
        <v>59</v>
      </c>
      <c r="AR761" s="16" t="n">
        <v>23</v>
      </c>
      <c r="AS761" s="16" t="n">
        <f aca="false">AR761+AP761</f>
        <v>81.8</v>
      </c>
      <c r="AT761" s="16" t="n">
        <f aca="false">AR761+AQ761</f>
        <v>82</v>
      </c>
      <c r="AU761" s="16" t="n">
        <f aca="false">AO761+AF761+AI761+AH761+AG761</f>
        <v>436</v>
      </c>
      <c r="AV761" s="16" t="n">
        <f aca="false">(AO761+AF761+AI761+AH761+AG761)/5</f>
        <v>87.2</v>
      </c>
      <c r="AW761" s="36" t="n">
        <f aca="false">(AO761+AF761+AI761+AH761+AG761+X761+R761+Q761+K761+J761)</f>
        <v>758</v>
      </c>
      <c r="AX761" s="16" t="n">
        <f aca="false">AW761/10</f>
        <v>75.8</v>
      </c>
      <c r="AY761" s="16" t="n">
        <f aca="false">AS761+AF761+AM761+AH761+AG761+AB761+V761+Q761+O761+J761</f>
        <v>775.4</v>
      </c>
      <c r="AZ761" s="16" t="n">
        <f aca="false">AT761+AF761+AN761+AH761+AG761+AC761+W761+Q761+P761+J761</f>
        <v>777</v>
      </c>
      <c r="BA761" s="16" t="n">
        <f aca="false">AY761/10</f>
        <v>77.54</v>
      </c>
      <c r="BB761" s="16" t="n">
        <f aca="false">AZ761/10</f>
        <v>77.7</v>
      </c>
      <c r="BC761" s="16" t="n">
        <v>2361</v>
      </c>
      <c r="BD761" s="16" t="n">
        <f aca="false">RANK(AX761,$AX$2:$AX$881,0)</f>
        <v>635</v>
      </c>
      <c r="BE761" s="73" t="n">
        <f aca="false">((BC761*100)/2400)*0.4+(AX761*0.6)</f>
        <v>84.83</v>
      </c>
      <c r="BF761" s="16" t="n">
        <f aca="false">RANK(BE761,$BE$2:$BE$881,0)</f>
        <v>650</v>
      </c>
      <c r="BG761" s="39" t="n">
        <f aca="false">RANK(BB761,$BB$2:$BB$881,0)</f>
        <v>586</v>
      </c>
      <c r="BH761" s="39" t="n">
        <f aca="false">RANK(BC761,$BC$2:$BC$881,0)</f>
        <v>382</v>
      </c>
      <c r="BI761" s="22" t="s">
        <v>130</v>
      </c>
      <c r="BJ761" s="22" t="s">
        <v>129</v>
      </c>
      <c r="BK761" s="22" t="s">
        <v>509</v>
      </c>
      <c r="BL761" s="101" t="n">
        <v>10.5</v>
      </c>
      <c r="BM761" s="61"/>
      <c r="BN761" s="61"/>
      <c r="BO761" s="42" t="n">
        <v>25</v>
      </c>
      <c r="BP761" s="61"/>
      <c r="BQ761" s="61"/>
      <c r="BR761" s="74" t="n">
        <v>8</v>
      </c>
      <c r="BS761" s="80"/>
      <c r="BT761" s="80"/>
      <c r="BU761" s="80"/>
      <c r="BV761" s="137"/>
      <c r="BW761" s="61"/>
      <c r="BX761" s="107"/>
      <c r="BY761" s="130"/>
      <c r="BZ761" s="60"/>
      <c r="CA761" s="60"/>
      <c r="CB761" s="61"/>
      <c r="CC761" s="60"/>
      <c r="CD761" s="60"/>
      <c r="CE761" s="60"/>
      <c r="CF761" s="60"/>
      <c r="CG761" s="60"/>
      <c r="CH761" s="60"/>
      <c r="CI761" s="60"/>
      <c r="CJ761" s="60"/>
      <c r="CK761" s="60"/>
      <c r="CL761" s="61"/>
      <c r="CM761" s="60"/>
      <c r="CN761" s="60"/>
      <c r="CO761" s="60"/>
      <c r="CP761" s="25" t="n">
        <f aca="false">BX761+BW761+BV761+BU761+BT761+BQ761+BN761</f>
        <v>0</v>
      </c>
      <c r="CQ761" s="25" t="n">
        <f aca="false">CO761+CL761+CI761+CH761+CG761+CD761+CA761</f>
        <v>0</v>
      </c>
      <c r="CR761" s="26" t="n">
        <f aca="false">CP761/7</f>
        <v>0</v>
      </c>
      <c r="CS761" s="26" t="n">
        <f aca="false">CQ761/7</f>
        <v>0</v>
      </c>
      <c r="CT761" s="24" t="n">
        <f aca="false">RANK(CR761,$CR$2:$CR$881,0)</f>
        <v>768</v>
      </c>
      <c r="CU761" s="25" t="n">
        <f aca="false">RANK(CS761,$CS$2:$CS$881,0)</f>
        <v>752</v>
      </c>
      <c r="CV761" s="26" t="n">
        <f aca="false">(CS761+CR761)/2</f>
        <v>0</v>
      </c>
      <c r="CW761" s="25" t="n">
        <f aca="false">RANK(CV761,$CV$2:$CV$881,0)</f>
        <v>753</v>
      </c>
      <c r="CX761" s="50" t="n">
        <f aca="false">(CV761+BB761)/2</f>
        <v>38.85</v>
      </c>
      <c r="CY761" s="50" t="n">
        <v>825</v>
      </c>
      <c r="CZ761" s="27" t="s">
        <v>132</v>
      </c>
      <c r="DA761" s="27" t="s">
        <v>162</v>
      </c>
      <c r="DB761" s="27" t="s">
        <v>162</v>
      </c>
      <c r="DC761" s="27" t="s">
        <v>134</v>
      </c>
      <c r="DD761" s="27" t="s">
        <v>135</v>
      </c>
      <c r="DE761" s="27" t="s">
        <v>306</v>
      </c>
      <c r="DF761" s="27" t="s">
        <v>219</v>
      </c>
      <c r="DG761" s="27" t="s">
        <v>134</v>
      </c>
      <c r="DH761" s="27" t="s">
        <v>160</v>
      </c>
      <c r="DI761" s="27" t="s">
        <v>442</v>
      </c>
      <c r="DJ761" s="27" t="s">
        <v>382</v>
      </c>
      <c r="DK761" s="27" t="s">
        <v>134</v>
      </c>
      <c r="DL761" s="27" t="s">
        <v>174</v>
      </c>
      <c r="DM761" s="27" t="s">
        <v>375</v>
      </c>
      <c r="DN761" s="27" t="s">
        <v>398</v>
      </c>
      <c r="DO761" s="27" t="s">
        <v>134</v>
      </c>
      <c r="DP761" s="27" t="s">
        <v>264</v>
      </c>
      <c r="DQ761" s="27" t="s">
        <v>906</v>
      </c>
      <c r="DR761" s="27" t="s">
        <v>218</v>
      </c>
      <c r="DS761" s="27" t="s">
        <v>480</v>
      </c>
      <c r="DT761" s="27" t="s">
        <v>174</v>
      </c>
      <c r="DU761" s="27" t="s">
        <v>989</v>
      </c>
      <c r="DV761" s="27" t="s">
        <v>152</v>
      </c>
      <c r="DW761" s="27" t="s">
        <v>160</v>
      </c>
      <c r="DX761" s="27" t="s">
        <v>138</v>
      </c>
      <c r="DY761" s="27" t="s">
        <v>144</v>
      </c>
      <c r="DZ761" s="27" t="n">
        <f aca="false">DY761+DV761+DR761+DN761+DJ761+DF761+DB761</f>
        <v>536</v>
      </c>
      <c r="EA761" s="28" t="n">
        <f aca="false">DZ761/7</f>
        <v>76.5714285714286</v>
      </c>
      <c r="EB761" s="27" t="n">
        <f aca="false">RANK(EA761,$EA$2:$EA$881,0)</f>
        <v>501</v>
      </c>
      <c r="EC761" s="29" t="n">
        <f aca="false">DZ761+CQ761+CP761+AZ761</f>
        <v>1313</v>
      </c>
      <c r="ED761" s="30" t="n">
        <f aca="false">(EA761+CV761+BB761)/3</f>
        <v>51.4238095238095</v>
      </c>
      <c r="EE761" s="51" t="n">
        <f aca="false">ROUND(BE761,3)</f>
        <v>84.83</v>
      </c>
      <c r="EF761" s="51" t="n">
        <f aca="false">ROUND(CR761,3)</f>
        <v>0</v>
      </c>
      <c r="EG761" s="51" t="n">
        <f aca="false">ROUND(CS761,3)</f>
        <v>0</v>
      </c>
      <c r="EH761" s="51" t="n">
        <f aca="false">ROUND(EA761,3)</f>
        <v>76.571</v>
      </c>
      <c r="EI761" s="51" t="n">
        <f aca="false">ROUND(ED761,3)</f>
        <v>51.424</v>
      </c>
      <c r="EJ761" s="51" t="n">
        <f aca="false">ROUND(CV761,3)</f>
        <v>0</v>
      </c>
      <c r="EK761" s="0" t="n">
        <f aca="false">RANK(EI761,$EI$2:$EI$881,0)</f>
        <v>760</v>
      </c>
    </row>
    <row r="762" customFormat="false" ht="15" hidden="false" customHeight="false" outlineLevel="0" collapsed="false">
      <c r="A762" s="4" t="n">
        <v>1997</v>
      </c>
      <c r="B762" s="4" t="n">
        <v>557</v>
      </c>
      <c r="C762" s="27" t="s">
        <v>2160</v>
      </c>
      <c r="D762" s="31" t="n">
        <v>562</v>
      </c>
      <c r="E762" s="16" t="n">
        <v>230512241</v>
      </c>
      <c r="F762" s="56" t="s">
        <v>2161</v>
      </c>
      <c r="G762" s="22" t="s">
        <v>866</v>
      </c>
      <c r="H762" s="22" t="s">
        <v>465</v>
      </c>
      <c r="I762" s="80"/>
      <c r="J762" s="16" t="n">
        <v>94</v>
      </c>
      <c r="K762" s="16" t="n">
        <v>70</v>
      </c>
      <c r="L762" s="34" t="n">
        <f aca="false">(K762*70)/100</f>
        <v>49</v>
      </c>
      <c r="M762" s="34" t="n">
        <f aca="false">ROUNDUP(L762,0)</f>
        <v>49</v>
      </c>
      <c r="N762" s="16" t="n">
        <v>30</v>
      </c>
      <c r="O762" s="34" t="n">
        <f aca="false">N762+L762</f>
        <v>79</v>
      </c>
      <c r="P762" s="34" t="n">
        <f aca="false">N762+M762</f>
        <v>79</v>
      </c>
      <c r="Q762" s="16" t="n">
        <v>74</v>
      </c>
      <c r="R762" s="16" t="n">
        <v>65</v>
      </c>
      <c r="S762" s="34" t="n">
        <f aca="false">(R762*70)/100</f>
        <v>45.5</v>
      </c>
      <c r="T762" s="34" t="n">
        <f aca="false">ROUNDUP(S762,0)</f>
        <v>46</v>
      </c>
      <c r="U762" s="16" t="n">
        <v>28</v>
      </c>
      <c r="V762" s="34" t="n">
        <f aca="false">U762+S762</f>
        <v>73.5</v>
      </c>
      <c r="W762" s="34" t="n">
        <f aca="false">U762+T762</f>
        <v>74</v>
      </c>
      <c r="X762" s="16" t="n">
        <v>59</v>
      </c>
      <c r="Y762" s="34" t="n">
        <f aca="false">(X762*70)/100</f>
        <v>41.3</v>
      </c>
      <c r="Z762" s="34" t="n">
        <f aca="false">ROUNDUP(Y762,0)</f>
        <v>42</v>
      </c>
      <c r="AA762" s="16" t="n">
        <v>28</v>
      </c>
      <c r="AB762" s="34" t="n">
        <f aca="false">AA762+Y762</f>
        <v>69.3</v>
      </c>
      <c r="AC762" s="34" t="n">
        <f aca="false">AA762+Z762</f>
        <v>70</v>
      </c>
      <c r="AD762" s="32" t="n">
        <f aca="false">X762+R762+Q762+K762+J762</f>
        <v>362</v>
      </c>
      <c r="AE762" s="16" t="n">
        <f aca="false">AD762/5</f>
        <v>72.4</v>
      </c>
      <c r="AF762" s="16" t="n">
        <v>76</v>
      </c>
      <c r="AG762" s="16" t="n">
        <v>88</v>
      </c>
      <c r="AH762" s="16" t="n">
        <v>85</v>
      </c>
      <c r="AI762" s="16" t="n">
        <v>87</v>
      </c>
      <c r="AJ762" s="16" t="n">
        <f aca="false">(AI762*70)/100</f>
        <v>60.9</v>
      </c>
      <c r="AK762" s="35" t="n">
        <f aca="false">ROUNDUP(AJ762,0)</f>
        <v>61</v>
      </c>
      <c r="AL762" s="16" t="n">
        <v>26</v>
      </c>
      <c r="AM762" s="16" t="n">
        <f aca="false">AL762+AJ762</f>
        <v>86.9</v>
      </c>
      <c r="AN762" s="16" t="n">
        <f aca="false">AL762+AK762</f>
        <v>87</v>
      </c>
      <c r="AO762" s="16" t="n">
        <v>56</v>
      </c>
      <c r="AP762" s="36" t="n">
        <f aca="false">(AO762*70)/100</f>
        <v>39.2</v>
      </c>
      <c r="AQ762" s="37" t="n">
        <f aca="false">ROUNDUP(AP762,0)</f>
        <v>40</v>
      </c>
      <c r="AR762" s="16" t="n">
        <v>27</v>
      </c>
      <c r="AS762" s="16" t="n">
        <f aca="false">AR762+AP762</f>
        <v>66.2</v>
      </c>
      <c r="AT762" s="16" t="n">
        <f aca="false">AR762+AQ762</f>
        <v>67</v>
      </c>
      <c r="AU762" s="16" t="n">
        <f aca="false">AO762+AF762+AI762+AH762+AG762</f>
        <v>392</v>
      </c>
      <c r="AV762" s="16" t="n">
        <f aca="false">(AO762+AF762+AI762+AH762+AG762)/5</f>
        <v>78.4</v>
      </c>
      <c r="AW762" s="36" t="n">
        <f aca="false">(AO762+AF762+AI762+AH762+AG762+X762+R762+Q762+K762+J762)</f>
        <v>754</v>
      </c>
      <c r="AX762" s="16" t="n">
        <f aca="false">AW762/10</f>
        <v>75.4</v>
      </c>
      <c r="AY762" s="16" t="n">
        <f aca="false">AS762+AF762+AM762+AH762+AG762+AB762+V762+Q762+O762+J762</f>
        <v>791.9</v>
      </c>
      <c r="AZ762" s="16" t="n">
        <f aca="false">AT762+AF762+AN762+AH762+AG762+AC762+W762+Q762+P762+J762</f>
        <v>794</v>
      </c>
      <c r="BA762" s="16" t="n">
        <f aca="false">AY762/10</f>
        <v>79.19</v>
      </c>
      <c r="BB762" s="16" t="n">
        <f aca="false">AZ762/10</f>
        <v>79.4</v>
      </c>
      <c r="BC762" s="16" t="n">
        <v>2389</v>
      </c>
      <c r="BD762" s="16" t="n">
        <f aca="false">RANK(AX762,$AX$2:$AX$881,0)</f>
        <v>665</v>
      </c>
      <c r="BE762" s="54" t="n">
        <f aca="false">((BC762*100)/2400)*0.4+(AX762*0.6)</f>
        <v>85.0566666666667</v>
      </c>
      <c r="BF762" s="16" t="n">
        <f aca="false">RANK(BE762,$BE$2:$BE$881,0)</f>
        <v>603</v>
      </c>
      <c r="BG762" s="39" t="n">
        <f aca="false">RANK(BB762,$BB$2:$BB$881,0)</f>
        <v>414</v>
      </c>
      <c r="BH762" s="39" t="n">
        <f aca="false">RANK(BC762,$BC$2:$BC$881,0)</f>
        <v>59</v>
      </c>
      <c r="BI762" s="22" t="s">
        <v>130</v>
      </c>
      <c r="BJ762" s="22" t="s">
        <v>129</v>
      </c>
      <c r="BK762" s="22" t="s">
        <v>509</v>
      </c>
      <c r="BL762" s="101" t="n">
        <v>9.5</v>
      </c>
      <c r="BM762" s="61"/>
      <c r="BN762" s="61"/>
      <c r="BO762" s="42" t="n">
        <v>21</v>
      </c>
      <c r="BP762" s="61"/>
      <c r="BQ762" s="61"/>
      <c r="BR762" s="74" t="n">
        <v>8</v>
      </c>
      <c r="BS762" s="80"/>
      <c r="BT762" s="80"/>
      <c r="BU762" s="80"/>
      <c r="BV762" s="137"/>
      <c r="BW762" s="61"/>
      <c r="BX762" s="107"/>
      <c r="BY762" s="130"/>
      <c r="BZ762" s="60"/>
      <c r="CA762" s="60"/>
      <c r="CB762" s="61"/>
      <c r="CC762" s="60"/>
      <c r="CD762" s="60"/>
      <c r="CE762" s="60"/>
      <c r="CF762" s="60"/>
      <c r="CG762" s="60"/>
      <c r="CH762" s="60"/>
      <c r="CI762" s="60"/>
      <c r="CJ762" s="60"/>
      <c r="CK762" s="60"/>
      <c r="CL762" s="61"/>
      <c r="CM762" s="60"/>
      <c r="CN762" s="60"/>
      <c r="CO762" s="60"/>
      <c r="CP762" s="25" t="n">
        <f aca="false">BX762+BW762+BV762+BU762+BT762+BQ762+BN762</f>
        <v>0</v>
      </c>
      <c r="CQ762" s="25" t="n">
        <f aca="false">CO762+CL762+CI762+CH762+CG762+CD762+CA762</f>
        <v>0</v>
      </c>
      <c r="CR762" s="26" t="n">
        <f aca="false">CP762/7</f>
        <v>0</v>
      </c>
      <c r="CS762" s="26" t="n">
        <f aca="false">CQ762/7</f>
        <v>0</v>
      </c>
      <c r="CT762" s="24" t="n">
        <f aca="false">RANK(CR762,$CR$2:$CR$881,0)</f>
        <v>768</v>
      </c>
      <c r="CU762" s="25" t="n">
        <f aca="false">RANK(CS762,$CS$2:$CS$881,0)</f>
        <v>752</v>
      </c>
      <c r="CV762" s="26" t="n">
        <f aca="false">(CS762+CR762)/2</f>
        <v>0</v>
      </c>
      <c r="CW762" s="25" t="n">
        <f aca="false">RANK(CV762,$CV$2:$CV$881,0)</f>
        <v>753</v>
      </c>
      <c r="CX762" s="50" t="n">
        <f aca="false">(CV762+BB762)/2</f>
        <v>39.7</v>
      </c>
      <c r="CY762" s="50" t="n">
        <v>777</v>
      </c>
      <c r="CZ762" s="27" t="s">
        <v>132</v>
      </c>
      <c r="DA762" s="27" t="s">
        <v>151</v>
      </c>
      <c r="DB762" s="27" t="s">
        <v>151</v>
      </c>
      <c r="DC762" s="27" t="s">
        <v>134</v>
      </c>
      <c r="DD762" s="27" t="s">
        <v>182</v>
      </c>
      <c r="DE762" s="27" t="s">
        <v>163</v>
      </c>
      <c r="DF762" s="27" t="s">
        <v>162</v>
      </c>
      <c r="DG762" s="27" t="s">
        <v>134</v>
      </c>
      <c r="DH762" s="27" t="s">
        <v>164</v>
      </c>
      <c r="DI762" s="27" t="s">
        <v>203</v>
      </c>
      <c r="DJ762" s="27" t="s">
        <v>162</v>
      </c>
      <c r="DK762" s="27" t="s">
        <v>134</v>
      </c>
      <c r="DL762" s="27" t="s">
        <v>135</v>
      </c>
      <c r="DM762" s="27" t="s">
        <v>306</v>
      </c>
      <c r="DN762" s="27" t="s">
        <v>219</v>
      </c>
      <c r="DO762" s="27" t="s">
        <v>134</v>
      </c>
      <c r="DP762" s="27" t="s">
        <v>604</v>
      </c>
      <c r="DQ762" s="27" t="s">
        <v>177</v>
      </c>
      <c r="DR762" s="27" t="s">
        <v>443</v>
      </c>
      <c r="DS762" s="27" t="s">
        <v>134</v>
      </c>
      <c r="DT762" s="27" t="s">
        <v>160</v>
      </c>
      <c r="DU762" s="27" t="s">
        <v>152</v>
      </c>
      <c r="DV762" s="27" t="s">
        <v>176</v>
      </c>
      <c r="DW762" s="27"/>
      <c r="DX762" s="27"/>
      <c r="DY762" s="27"/>
      <c r="DZ762" s="27" t="n">
        <f aca="false">DY762+DV762+DR762+DN762+DJ762+DF762+DB762</f>
        <v>519</v>
      </c>
      <c r="EA762" s="28" t="n">
        <f aca="false">DZ762/7</f>
        <v>74.1428571428571</v>
      </c>
      <c r="EB762" s="27" t="n">
        <f aca="false">RANK(EA762,$EA$2:$EA$881,0)</f>
        <v>560</v>
      </c>
      <c r="EC762" s="29" t="n">
        <f aca="false">DZ762+CQ762+CP762+AZ762</f>
        <v>1313</v>
      </c>
      <c r="ED762" s="30" t="n">
        <f aca="false">(EA762+CV762+BB762)/3</f>
        <v>51.1809523809524</v>
      </c>
      <c r="EE762" s="51" t="n">
        <f aca="false">ROUND(BE762,3)</f>
        <v>85.057</v>
      </c>
      <c r="EF762" s="51" t="n">
        <f aca="false">ROUND(CR762,3)</f>
        <v>0</v>
      </c>
      <c r="EG762" s="51" t="n">
        <f aca="false">ROUND(CS762,3)</f>
        <v>0</v>
      </c>
      <c r="EH762" s="51" t="n">
        <f aca="false">ROUND(EA762,3)</f>
        <v>74.143</v>
      </c>
      <c r="EI762" s="51" t="n">
        <f aca="false">ROUND(ED762,3)</f>
        <v>51.181</v>
      </c>
      <c r="EJ762" s="51" t="n">
        <f aca="false">ROUND(CV762,3)</f>
        <v>0</v>
      </c>
      <c r="EK762" s="0" t="n">
        <f aca="false">RANK(EI762,$EI$2:$EI$881,0)</f>
        <v>761</v>
      </c>
    </row>
    <row r="763" customFormat="false" ht="15" hidden="false" customHeight="false" outlineLevel="0" collapsed="false">
      <c r="A763" s="4" t="n">
        <v>9018</v>
      </c>
      <c r="B763" s="4" t="n">
        <v>551</v>
      </c>
      <c r="C763" s="27" t="s">
        <v>2162</v>
      </c>
      <c r="D763" s="31" t="n">
        <v>556</v>
      </c>
      <c r="E763" s="16" t="n">
        <v>230513775</v>
      </c>
      <c r="F763" s="56" t="s">
        <v>2163</v>
      </c>
      <c r="G763" s="22" t="s">
        <v>232</v>
      </c>
      <c r="H763" s="22" t="s">
        <v>465</v>
      </c>
      <c r="I763" s="80"/>
      <c r="J763" s="16" t="n">
        <v>70</v>
      </c>
      <c r="K763" s="16" t="n">
        <v>79</v>
      </c>
      <c r="L763" s="34" t="n">
        <f aca="false">(K763*70)/100</f>
        <v>55.3</v>
      </c>
      <c r="M763" s="34" t="n">
        <f aca="false">ROUNDUP(L763,0)</f>
        <v>56</v>
      </c>
      <c r="N763" s="16" t="n">
        <v>27</v>
      </c>
      <c r="O763" s="34" t="n">
        <f aca="false">N763+L763</f>
        <v>82.3</v>
      </c>
      <c r="P763" s="34" t="n">
        <f aca="false">N763+M763</f>
        <v>83</v>
      </c>
      <c r="Q763" s="16" t="n">
        <v>75</v>
      </c>
      <c r="R763" s="16" t="n">
        <v>72</v>
      </c>
      <c r="S763" s="34" t="n">
        <f aca="false">(R763*70)/100</f>
        <v>50.4</v>
      </c>
      <c r="T763" s="34" t="n">
        <f aca="false">ROUNDUP(S763,0)</f>
        <v>51</v>
      </c>
      <c r="U763" s="16" t="n">
        <v>27</v>
      </c>
      <c r="V763" s="34" t="n">
        <f aca="false">U763+S763</f>
        <v>77.4</v>
      </c>
      <c r="W763" s="34" t="n">
        <f aca="false">U763+T763</f>
        <v>78</v>
      </c>
      <c r="X763" s="16" t="n">
        <v>80</v>
      </c>
      <c r="Y763" s="34" t="n">
        <f aca="false">(X763*70)/100</f>
        <v>56</v>
      </c>
      <c r="Z763" s="34" t="n">
        <f aca="false">ROUNDUP(Y763,0)</f>
        <v>56</v>
      </c>
      <c r="AA763" s="16" t="n">
        <v>29</v>
      </c>
      <c r="AB763" s="34" t="n">
        <f aca="false">AA763+Y763</f>
        <v>85</v>
      </c>
      <c r="AC763" s="34" t="n">
        <f aca="false">AA763+Z763</f>
        <v>85</v>
      </c>
      <c r="AD763" s="32" t="n">
        <f aca="false">X763+R763+Q763+K763+J763</f>
        <v>376</v>
      </c>
      <c r="AE763" s="16" t="n">
        <f aca="false">AD763/5</f>
        <v>75.2</v>
      </c>
      <c r="AF763" s="16" t="n">
        <v>74</v>
      </c>
      <c r="AG763" s="16" t="n">
        <v>75</v>
      </c>
      <c r="AH763" s="16" t="n">
        <v>87</v>
      </c>
      <c r="AI763" s="16" t="n">
        <v>91</v>
      </c>
      <c r="AJ763" s="16" t="n">
        <f aca="false">(AI763*70)/100</f>
        <v>63.7</v>
      </c>
      <c r="AK763" s="35" t="n">
        <f aca="false">ROUNDUP(AJ763,0)</f>
        <v>64</v>
      </c>
      <c r="AL763" s="16" t="n">
        <v>27</v>
      </c>
      <c r="AM763" s="16" t="n">
        <f aca="false">AL763+AJ763</f>
        <v>90.7</v>
      </c>
      <c r="AN763" s="16" t="n">
        <f aca="false">AL763+AK763</f>
        <v>91</v>
      </c>
      <c r="AO763" s="16" t="n">
        <v>76</v>
      </c>
      <c r="AP763" s="36" t="n">
        <f aca="false">(AO763*70)/100</f>
        <v>53.2</v>
      </c>
      <c r="AQ763" s="37" t="n">
        <f aca="false">ROUNDUP(AP763,0)</f>
        <v>54</v>
      </c>
      <c r="AR763" s="16" t="n">
        <v>26</v>
      </c>
      <c r="AS763" s="16" t="n">
        <f aca="false">AR763+AP763</f>
        <v>79.2</v>
      </c>
      <c r="AT763" s="16" t="n">
        <f aca="false">AR763+AQ763</f>
        <v>80</v>
      </c>
      <c r="AU763" s="16" t="n">
        <f aca="false">AO763+AF763+AI763+AH763+AG763</f>
        <v>403</v>
      </c>
      <c r="AV763" s="16" t="n">
        <f aca="false">(AO763+AF763+AI763+AH763+AG763)/5</f>
        <v>80.6</v>
      </c>
      <c r="AW763" s="36" t="n">
        <f aca="false">(AO763+AF763+AI763+AH763+AG763+X763+R763+Q763+K763+J763)</f>
        <v>779</v>
      </c>
      <c r="AX763" s="16" t="n">
        <f aca="false">AW763/10</f>
        <v>77.9</v>
      </c>
      <c r="AY763" s="16" t="n">
        <f aca="false">AS763+AF763+AM763+AH763+AG763+AB763+V763+Q763+O763+J763</f>
        <v>795.6</v>
      </c>
      <c r="AZ763" s="16" t="n">
        <f aca="false">AT763+AF763+AN763+AH763+AG763+AC763+W763+Q763+P763+J763</f>
        <v>798</v>
      </c>
      <c r="BA763" s="16" t="n">
        <f aca="false">AY763/10</f>
        <v>79.56</v>
      </c>
      <c r="BB763" s="16" t="n">
        <f aca="false">AZ763/10</f>
        <v>79.8</v>
      </c>
      <c r="BC763" s="16" t="n">
        <v>2372</v>
      </c>
      <c r="BD763" s="16" t="n">
        <f aca="false">RANK(AX763,$AX$2:$AX$881,0)</f>
        <v>414</v>
      </c>
      <c r="BE763" s="54" t="n">
        <f aca="false">((BC763*100)/2400)*0.4+(AX763*0.6)</f>
        <v>86.2733333333333</v>
      </c>
      <c r="BF763" s="16" t="n">
        <f aca="false">RANK(BE763,$BE$2:$BE$881,0)</f>
        <v>391</v>
      </c>
      <c r="BG763" s="39" t="n">
        <f aca="false">RANK(BB763,$BB$2:$BB$881,0)</f>
        <v>369</v>
      </c>
      <c r="BH763" s="39" t="n">
        <f aca="false">RANK(BC763,$BC$2:$BC$881,0)</f>
        <v>246</v>
      </c>
      <c r="BI763" s="22" t="s">
        <v>130</v>
      </c>
      <c r="BJ763" s="22" t="s">
        <v>129</v>
      </c>
      <c r="BK763" s="40" t="s">
        <v>131</v>
      </c>
      <c r="BL763" s="101" t="n">
        <v>10.5</v>
      </c>
      <c r="BM763" s="61"/>
      <c r="BN763" s="61"/>
      <c r="BO763" s="42" t="n">
        <v>26</v>
      </c>
      <c r="BP763" s="61"/>
      <c r="BQ763" s="61"/>
      <c r="BR763" s="74" t="n">
        <v>9</v>
      </c>
      <c r="BS763" s="80"/>
      <c r="BT763" s="80"/>
      <c r="BU763" s="80"/>
      <c r="BV763" s="137"/>
      <c r="BW763" s="61"/>
      <c r="BX763" s="130"/>
      <c r="BY763" s="130"/>
      <c r="BZ763" s="60"/>
      <c r="CA763" s="60"/>
      <c r="CB763" s="61"/>
      <c r="CC763" s="60"/>
      <c r="CD763" s="60"/>
      <c r="CE763" s="60"/>
      <c r="CF763" s="60"/>
      <c r="CG763" s="60"/>
      <c r="CH763" s="60"/>
      <c r="CI763" s="60"/>
      <c r="CJ763" s="60"/>
      <c r="CK763" s="60"/>
      <c r="CL763" s="61"/>
      <c r="CM763" s="60"/>
      <c r="CN763" s="60"/>
      <c r="CO763" s="60"/>
      <c r="CP763" s="25" t="n">
        <f aca="false">BX763+BW763+BV763+BU763+BT763+BQ763+BN763</f>
        <v>0</v>
      </c>
      <c r="CQ763" s="25" t="n">
        <f aca="false">CO763+CL763+CI763+CH763+CG763+CD763+CA763</f>
        <v>0</v>
      </c>
      <c r="CR763" s="26" t="n">
        <f aca="false">CP763/7</f>
        <v>0</v>
      </c>
      <c r="CS763" s="26" t="n">
        <f aca="false">CQ763/7</f>
        <v>0</v>
      </c>
      <c r="CT763" s="24" t="n">
        <f aca="false">RANK(CR763,$CR$2:$CR$881,0)</f>
        <v>768</v>
      </c>
      <c r="CU763" s="25" t="n">
        <f aca="false">RANK(CS763,$CS$2:$CS$881,0)</f>
        <v>752</v>
      </c>
      <c r="CV763" s="26" t="n">
        <f aca="false">(CS763+CR763)/2</f>
        <v>0</v>
      </c>
      <c r="CW763" s="25" t="n">
        <f aca="false">RANK(CV763,$CV$2:$CV$881,0)</f>
        <v>753</v>
      </c>
      <c r="CX763" s="50" t="n">
        <f aca="false">(CV763+BB763)/2</f>
        <v>39.9</v>
      </c>
      <c r="CY763" s="50" t="n">
        <v>767</v>
      </c>
      <c r="CZ763" s="27" t="s">
        <v>132</v>
      </c>
      <c r="DA763" s="27" t="s">
        <v>133</v>
      </c>
      <c r="DB763" s="27" t="s">
        <v>133</v>
      </c>
      <c r="DC763" s="27" t="s">
        <v>134</v>
      </c>
      <c r="DD763" s="27" t="s">
        <v>135</v>
      </c>
      <c r="DE763" s="27" t="s">
        <v>204</v>
      </c>
      <c r="DF763" s="27" t="s">
        <v>209</v>
      </c>
      <c r="DG763" s="27" t="s">
        <v>134</v>
      </c>
      <c r="DH763" s="27" t="s">
        <v>182</v>
      </c>
      <c r="DI763" s="27" t="s">
        <v>204</v>
      </c>
      <c r="DJ763" s="27" t="s">
        <v>169</v>
      </c>
      <c r="DK763" s="27" t="s">
        <v>134</v>
      </c>
      <c r="DL763" s="27" t="s">
        <v>135</v>
      </c>
      <c r="DM763" s="27" t="s">
        <v>152</v>
      </c>
      <c r="DN763" s="27" t="s">
        <v>162</v>
      </c>
      <c r="DO763" s="27" t="s">
        <v>134</v>
      </c>
      <c r="DP763" s="27" t="s">
        <v>174</v>
      </c>
      <c r="DQ763" s="27" t="s">
        <v>220</v>
      </c>
      <c r="DR763" s="27" t="s">
        <v>305</v>
      </c>
      <c r="DS763" s="27" t="s">
        <v>134</v>
      </c>
      <c r="DT763" s="27" t="s">
        <v>160</v>
      </c>
      <c r="DU763" s="27" t="s">
        <v>161</v>
      </c>
      <c r="DV763" s="27" t="s">
        <v>162</v>
      </c>
      <c r="DW763" s="27"/>
      <c r="DX763" s="27"/>
      <c r="DY763" s="27"/>
      <c r="DZ763" s="27" t="n">
        <f aca="false">DY763+DV763+DR763+DN763+DJ763+DF763+DB763</f>
        <v>511</v>
      </c>
      <c r="EA763" s="28" t="n">
        <f aca="false">DZ763/7</f>
        <v>73</v>
      </c>
      <c r="EB763" s="27" t="n">
        <f aca="false">RANK(EA763,$EA$2:$EA$881,0)</f>
        <v>595</v>
      </c>
      <c r="EC763" s="29" t="n">
        <f aca="false">DZ763+CQ763+CP763+AZ763</f>
        <v>1309</v>
      </c>
      <c r="ED763" s="30" t="n">
        <f aca="false">(EA763+CV763+BB763)/3</f>
        <v>50.9333333333333</v>
      </c>
      <c r="EE763" s="51" t="n">
        <f aca="false">ROUND(BE763,3)</f>
        <v>86.273</v>
      </c>
      <c r="EF763" s="51" t="n">
        <f aca="false">ROUND(CR763,3)</f>
        <v>0</v>
      </c>
      <c r="EG763" s="51" t="n">
        <f aca="false">ROUND(CS763,3)</f>
        <v>0</v>
      </c>
      <c r="EH763" s="51" t="n">
        <f aca="false">ROUND(EA763,3)</f>
        <v>73</v>
      </c>
      <c r="EI763" s="51" t="n">
        <f aca="false">ROUND(ED763,3)</f>
        <v>50.933</v>
      </c>
      <c r="EJ763" s="51" t="n">
        <f aca="false">ROUND(CV763,3)</f>
        <v>0</v>
      </c>
      <c r="EK763" s="0" t="n">
        <f aca="false">RANK(EI763,$EI$2:$EI$881,0)</f>
        <v>762</v>
      </c>
    </row>
    <row r="764" customFormat="false" ht="15" hidden="false" customHeight="false" outlineLevel="0" collapsed="false">
      <c r="A764" s="4" t="n">
        <v>1960</v>
      </c>
      <c r="B764" s="4" t="n">
        <v>318</v>
      </c>
      <c r="C764" s="27" t="s">
        <v>2164</v>
      </c>
      <c r="D764" s="31" t="n">
        <v>319</v>
      </c>
      <c r="E764" s="16" t="n">
        <v>230515676</v>
      </c>
      <c r="F764" s="56" t="s">
        <v>2165</v>
      </c>
      <c r="G764" s="22" t="s">
        <v>545</v>
      </c>
      <c r="H764" s="22" t="s">
        <v>465</v>
      </c>
      <c r="I764" s="80"/>
      <c r="J764" s="16" t="n">
        <v>74</v>
      </c>
      <c r="K764" s="16" t="n">
        <v>76</v>
      </c>
      <c r="L764" s="34" t="n">
        <f aca="false">(K764*70)/100</f>
        <v>53.2</v>
      </c>
      <c r="M764" s="34" t="n">
        <f aca="false">ROUNDUP(L764,0)</f>
        <v>54</v>
      </c>
      <c r="N764" s="16" t="n">
        <v>28</v>
      </c>
      <c r="O764" s="34" t="n">
        <f aca="false">N764+L764</f>
        <v>81.2</v>
      </c>
      <c r="P764" s="34" t="n">
        <f aca="false">N764+M764</f>
        <v>82</v>
      </c>
      <c r="Q764" s="16" t="n">
        <v>67</v>
      </c>
      <c r="R764" s="16" t="n">
        <v>82</v>
      </c>
      <c r="S764" s="34" t="n">
        <f aca="false">(R764*70)/100</f>
        <v>57.4</v>
      </c>
      <c r="T764" s="34" t="n">
        <f aca="false">ROUNDUP(S764,0)</f>
        <v>58</v>
      </c>
      <c r="U764" s="16" t="n">
        <v>24</v>
      </c>
      <c r="V764" s="34" t="n">
        <f aca="false">U764+S764</f>
        <v>81.4</v>
      </c>
      <c r="W764" s="34" t="n">
        <f aca="false">U764+T764</f>
        <v>82</v>
      </c>
      <c r="X764" s="16" t="n">
        <v>75</v>
      </c>
      <c r="Y764" s="34" t="n">
        <f aca="false">(X764*70)/100</f>
        <v>52.5</v>
      </c>
      <c r="Z764" s="34" t="n">
        <f aca="false">ROUNDUP(Y764,0)</f>
        <v>53</v>
      </c>
      <c r="AA764" s="16" t="n">
        <v>26</v>
      </c>
      <c r="AB764" s="34" t="n">
        <f aca="false">AA764+Y764</f>
        <v>78.5</v>
      </c>
      <c r="AC764" s="34" t="n">
        <f aca="false">AA764+Z764</f>
        <v>79</v>
      </c>
      <c r="AD764" s="32" t="n">
        <f aca="false">X764+R764+Q764+K764+J764</f>
        <v>374</v>
      </c>
      <c r="AE764" s="16" t="n">
        <f aca="false">AD764/5</f>
        <v>74.8</v>
      </c>
      <c r="AF764" s="16" t="n">
        <v>72</v>
      </c>
      <c r="AG764" s="16" t="n">
        <v>80</v>
      </c>
      <c r="AH764" s="16" t="n">
        <v>91</v>
      </c>
      <c r="AI764" s="16" t="n">
        <v>75</v>
      </c>
      <c r="AJ764" s="16" t="n">
        <f aca="false">(AI764*70)/100</f>
        <v>52.5</v>
      </c>
      <c r="AK764" s="35" t="n">
        <f aca="false">ROUNDUP(AJ764,0)</f>
        <v>53</v>
      </c>
      <c r="AL764" s="16" t="n">
        <v>23</v>
      </c>
      <c r="AM764" s="16" t="n">
        <f aca="false">AL764+AJ764</f>
        <v>75.5</v>
      </c>
      <c r="AN764" s="16" t="n">
        <f aca="false">AL764+AK764</f>
        <v>76</v>
      </c>
      <c r="AO764" s="16" t="n">
        <v>79</v>
      </c>
      <c r="AP764" s="36" t="n">
        <f aca="false">(AO764*70)/100</f>
        <v>55.3</v>
      </c>
      <c r="AQ764" s="37" t="n">
        <f aca="false">ROUNDUP(AP764,0)</f>
        <v>56</v>
      </c>
      <c r="AR764" s="16" t="n">
        <v>28</v>
      </c>
      <c r="AS764" s="16" t="n">
        <f aca="false">AR764+AP764</f>
        <v>83.3</v>
      </c>
      <c r="AT764" s="16" t="n">
        <f aca="false">AR764+AQ764</f>
        <v>84</v>
      </c>
      <c r="AU764" s="16" t="n">
        <f aca="false">AO764+AF764+AI764+AH764+AG764</f>
        <v>397</v>
      </c>
      <c r="AV764" s="16" t="n">
        <f aca="false">(AO764+AF764+AI764+AH764+AG764)/5</f>
        <v>79.4</v>
      </c>
      <c r="AW764" s="36" t="n">
        <f aca="false">(AO764+AF764+AI764+AH764+AG764+X764+R764+Q764+K764+J764)</f>
        <v>771</v>
      </c>
      <c r="AX764" s="16" t="n">
        <f aca="false">AW764/10</f>
        <v>77.1</v>
      </c>
      <c r="AY764" s="16" t="n">
        <f aca="false">AS764+AF764+AM764+AH764+AG764+AB764+V764+Q764+O764+J764</f>
        <v>783.9</v>
      </c>
      <c r="AZ764" s="16" t="n">
        <f aca="false">AT764+AF764+AN764+AH764+AG764+AC764+W764+Q764+P764+J764</f>
        <v>787</v>
      </c>
      <c r="BA764" s="16" t="n">
        <f aca="false">AY764/10</f>
        <v>78.39</v>
      </c>
      <c r="BB764" s="16" t="n">
        <f aca="false">AZ764/10</f>
        <v>78.7</v>
      </c>
      <c r="BC764" s="16" t="n">
        <v>2357</v>
      </c>
      <c r="BD764" s="16" t="n">
        <f aca="false">RANK(AX764,$AX$2:$AX$881,0)</f>
        <v>496</v>
      </c>
      <c r="BE764" s="54" t="n">
        <f aca="false">((BC764*100)/2400)*0.4+(AX764*0.6)</f>
        <v>85.5433333333333</v>
      </c>
      <c r="BF764" s="16" t="n">
        <f aca="false">RANK(BE764,$BE$2:$BE$881,0)</f>
        <v>496</v>
      </c>
      <c r="BG764" s="39" t="n">
        <f aca="false">RANK(BB764,$BB$2:$BB$881,0)</f>
        <v>482</v>
      </c>
      <c r="BH764" s="39" t="n">
        <f aca="false">RANK(BC764,$BC$2:$BC$881,0)</f>
        <v>444</v>
      </c>
      <c r="BI764" s="22" t="s">
        <v>130</v>
      </c>
      <c r="BJ764" s="22" t="s">
        <v>129</v>
      </c>
      <c r="BK764" s="40" t="s">
        <v>509</v>
      </c>
      <c r="BL764" s="98" t="n">
        <v>9</v>
      </c>
      <c r="BM764" s="61"/>
      <c r="BN764" s="61"/>
      <c r="BO764" s="42" t="n">
        <v>23</v>
      </c>
      <c r="BP764" s="61"/>
      <c r="BQ764" s="61"/>
      <c r="BR764" s="42" t="n">
        <v>17</v>
      </c>
      <c r="BS764" s="80"/>
      <c r="BT764" s="80"/>
      <c r="BU764" s="80"/>
      <c r="BV764" s="137"/>
      <c r="BW764" s="61"/>
      <c r="BX764" s="107"/>
      <c r="BY764" s="130"/>
      <c r="BZ764" s="60"/>
      <c r="CA764" s="60"/>
      <c r="CB764" s="61"/>
      <c r="CC764" s="60"/>
      <c r="CD764" s="60"/>
      <c r="CE764" s="60"/>
      <c r="CF764" s="60"/>
      <c r="CG764" s="60"/>
      <c r="CH764" s="60"/>
      <c r="CI764" s="60"/>
      <c r="CJ764" s="60"/>
      <c r="CK764" s="60"/>
      <c r="CL764" s="61"/>
      <c r="CM764" s="60"/>
      <c r="CN764" s="60"/>
      <c r="CO764" s="60"/>
      <c r="CP764" s="25" t="n">
        <f aca="false">BX764+BW764+BV764+BU764+BT764+BQ764+BN764</f>
        <v>0</v>
      </c>
      <c r="CQ764" s="25" t="n">
        <f aca="false">CO764+CL764+CI764+CH764+CG764+CD764+CA764</f>
        <v>0</v>
      </c>
      <c r="CR764" s="26" t="n">
        <f aca="false">CP764/7</f>
        <v>0</v>
      </c>
      <c r="CS764" s="26" t="n">
        <f aca="false">CQ764/7</f>
        <v>0</v>
      </c>
      <c r="CT764" s="24" t="n">
        <f aca="false">RANK(CR764,$CR$2:$CR$881,0)</f>
        <v>768</v>
      </c>
      <c r="CU764" s="25" t="n">
        <f aca="false">RANK(CS764,$CS$2:$CS$881,0)</f>
        <v>752</v>
      </c>
      <c r="CV764" s="26" t="n">
        <f aca="false">(CS764+CR764)/2</f>
        <v>0</v>
      </c>
      <c r="CW764" s="25" t="n">
        <f aca="false">RANK(CV764,$CV$2:$CV$881,0)</f>
        <v>753</v>
      </c>
      <c r="CX764" s="50" t="n">
        <f aca="false">(CV764+BB764)/2</f>
        <v>39.35</v>
      </c>
      <c r="CY764" s="50" t="n">
        <v>798</v>
      </c>
      <c r="CZ764" s="27" t="s">
        <v>132</v>
      </c>
      <c r="DA764" s="27" t="s">
        <v>305</v>
      </c>
      <c r="DB764" s="27" t="s">
        <v>305</v>
      </c>
      <c r="DC764" s="27" t="s">
        <v>134</v>
      </c>
      <c r="DD764" s="27" t="s">
        <v>174</v>
      </c>
      <c r="DE764" s="27" t="s">
        <v>442</v>
      </c>
      <c r="DF764" s="27" t="s">
        <v>416</v>
      </c>
      <c r="DG764" s="27" t="s">
        <v>134</v>
      </c>
      <c r="DH764" s="27" t="s">
        <v>174</v>
      </c>
      <c r="DI764" s="27" t="s">
        <v>415</v>
      </c>
      <c r="DJ764" s="27" t="s">
        <v>138</v>
      </c>
      <c r="DK764" s="27" t="s">
        <v>134</v>
      </c>
      <c r="DL764" s="27" t="s">
        <v>154</v>
      </c>
      <c r="DM764" s="27" t="s">
        <v>897</v>
      </c>
      <c r="DN764" s="27" t="s">
        <v>187</v>
      </c>
      <c r="DO764" s="27" t="s">
        <v>134</v>
      </c>
      <c r="DP764" s="27" t="s">
        <v>604</v>
      </c>
      <c r="DQ764" s="27" t="s">
        <v>415</v>
      </c>
      <c r="DR764" s="27" t="s">
        <v>136</v>
      </c>
      <c r="DS764" s="27" t="s">
        <v>134</v>
      </c>
      <c r="DT764" s="27" t="s">
        <v>182</v>
      </c>
      <c r="DU764" s="27" t="s">
        <v>313</v>
      </c>
      <c r="DV764" s="27" t="s">
        <v>443</v>
      </c>
      <c r="DW764" s="27" t="s">
        <v>137</v>
      </c>
      <c r="DX764" s="27" t="s">
        <v>187</v>
      </c>
      <c r="DY764" s="27" t="s">
        <v>176</v>
      </c>
      <c r="DZ764" s="27" t="n">
        <f aca="false">DY764+DV764+DR764+DN764+DJ764+DF764+DB764</f>
        <v>515</v>
      </c>
      <c r="EA764" s="28" t="n">
        <f aca="false">DZ764/7</f>
        <v>73.5714285714286</v>
      </c>
      <c r="EB764" s="27" t="n">
        <f aca="false">RANK(EA764,$EA$2:$EA$881,0)</f>
        <v>582</v>
      </c>
      <c r="EC764" s="29" t="n">
        <f aca="false">DZ764+CQ764+CP764+AZ764</f>
        <v>1302</v>
      </c>
      <c r="ED764" s="30" t="n">
        <f aca="false">(EA764+CV764+BB764)/3</f>
        <v>50.7571428571429</v>
      </c>
      <c r="EE764" s="51" t="n">
        <f aca="false">ROUND(BE764,3)</f>
        <v>85.543</v>
      </c>
      <c r="EF764" s="51" t="n">
        <f aca="false">ROUND(CR764,3)</f>
        <v>0</v>
      </c>
      <c r="EG764" s="51" t="n">
        <f aca="false">ROUND(CS764,3)</f>
        <v>0</v>
      </c>
      <c r="EH764" s="51" t="n">
        <f aca="false">ROUND(EA764,3)</f>
        <v>73.571</v>
      </c>
      <c r="EI764" s="51" t="n">
        <f aca="false">ROUND(ED764,3)</f>
        <v>50.757</v>
      </c>
      <c r="EJ764" s="51" t="n">
        <f aca="false">ROUND(CV764,3)</f>
        <v>0</v>
      </c>
      <c r="EK764" s="0" t="n">
        <f aca="false">RANK(EI764,$EI$2:$EI$881,0)</f>
        <v>763</v>
      </c>
    </row>
    <row r="765" customFormat="false" ht="15" hidden="false" customHeight="false" outlineLevel="0" collapsed="false">
      <c r="A765" s="4" t="n">
        <v>2017</v>
      </c>
      <c r="B765" s="4" t="n">
        <v>571</v>
      </c>
      <c r="C765" s="27" t="s">
        <v>2166</v>
      </c>
      <c r="D765" s="31" t="n">
        <v>576</v>
      </c>
      <c r="E765" s="16" t="n">
        <v>230510962</v>
      </c>
      <c r="F765" s="56" t="s">
        <v>2167</v>
      </c>
      <c r="G765" s="22" t="s">
        <v>985</v>
      </c>
      <c r="H765" s="22" t="s">
        <v>465</v>
      </c>
      <c r="I765" s="80"/>
      <c r="J765" s="16" t="n">
        <v>75</v>
      </c>
      <c r="K765" s="16" t="n">
        <v>70</v>
      </c>
      <c r="L765" s="34" t="n">
        <f aca="false">(K765*70)/100</f>
        <v>49</v>
      </c>
      <c r="M765" s="34" t="n">
        <f aca="false">ROUNDUP(L765,0)</f>
        <v>49</v>
      </c>
      <c r="N765" s="16" t="n">
        <v>23</v>
      </c>
      <c r="O765" s="34" t="n">
        <f aca="false">N765+L765</f>
        <v>72</v>
      </c>
      <c r="P765" s="34" t="n">
        <f aca="false">N765+M765</f>
        <v>72</v>
      </c>
      <c r="Q765" s="16" t="n">
        <v>89</v>
      </c>
      <c r="R765" s="16" t="n">
        <v>78</v>
      </c>
      <c r="S765" s="34" t="n">
        <f aca="false">(R765*70)/100</f>
        <v>54.6</v>
      </c>
      <c r="T765" s="34" t="n">
        <f aca="false">ROUNDUP(S765,0)</f>
        <v>55</v>
      </c>
      <c r="U765" s="16" t="n">
        <v>20</v>
      </c>
      <c r="V765" s="34" t="n">
        <f aca="false">U765+S765</f>
        <v>74.6</v>
      </c>
      <c r="W765" s="34" t="n">
        <f aca="false">U765+T765</f>
        <v>75</v>
      </c>
      <c r="X765" s="16" t="n">
        <v>66</v>
      </c>
      <c r="Y765" s="34" t="n">
        <f aca="false">(X765*70)/100</f>
        <v>46.2</v>
      </c>
      <c r="Z765" s="34" t="n">
        <f aca="false">ROUNDUP(Y765,0)</f>
        <v>47</v>
      </c>
      <c r="AA765" s="16" t="n">
        <v>26</v>
      </c>
      <c r="AB765" s="34" t="n">
        <f aca="false">AA765+Y765</f>
        <v>72.2</v>
      </c>
      <c r="AC765" s="34" t="n">
        <f aca="false">AA765+Z765</f>
        <v>73</v>
      </c>
      <c r="AD765" s="32" t="n">
        <f aca="false">X765+R765+Q765+K765+J765</f>
        <v>378</v>
      </c>
      <c r="AE765" s="16" t="n">
        <f aca="false">AD765/5</f>
        <v>75.6</v>
      </c>
      <c r="AF765" s="16" t="n">
        <v>73</v>
      </c>
      <c r="AG765" s="16" t="n">
        <v>76</v>
      </c>
      <c r="AH765" s="16" t="n">
        <v>93</v>
      </c>
      <c r="AI765" s="16" t="n">
        <v>90</v>
      </c>
      <c r="AJ765" s="16" t="n">
        <f aca="false">(AI765*70)/100</f>
        <v>63</v>
      </c>
      <c r="AK765" s="35" t="n">
        <f aca="false">ROUNDUP(AJ765,0)</f>
        <v>63</v>
      </c>
      <c r="AL765" s="16" t="n">
        <v>26</v>
      </c>
      <c r="AM765" s="16" t="n">
        <f aca="false">AL765+AJ765</f>
        <v>89</v>
      </c>
      <c r="AN765" s="16" t="n">
        <f aca="false">AL765+AK765</f>
        <v>89</v>
      </c>
      <c r="AO765" s="16" t="n">
        <v>62</v>
      </c>
      <c r="AP765" s="36" t="n">
        <f aca="false">(AO765*70)/100</f>
        <v>43.4</v>
      </c>
      <c r="AQ765" s="37" t="n">
        <f aca="false">ROUNDUP(AP765,0)</f>
        <v>44</v>
      </c>
      <c r="AR765" s="16" t="n">
        <v>20</v>
      </c>
      <c r="AS765" s="16" t="n">
        <f aca="false">AR765+AP765</f>
        <v>63.4</v>
      </c>
      <c r="AT765" s="16" t="n">
        <f aca="false">AR765+AQ765</f>
        <v>64</v>
      </c>
      <c r="AU765" s="16" t="n">
        <f aca="false">AO765+AF765+AI765+AH765+AG765</f>
        <v>394</v>
      </c>
      <c r="AV765" s="16" t="n">
        <f aca="false">(AO765+AF765+AI765+AH765+AG765)/5</f>
        <v>78.8</v>
      </c>
      <c r="AW765" s="36" t="n">
        <f aca="false">(AO765+AF765+AI765+AH765+AG765+X765+R765+Q765+K765+J765)</f>
        <v>772</v>
      </c>
      <c r="AX765" s="16" t="n">
        <f aca="false">AW765/10</f>
        <v>77.2</v>
      </c>
      <c r="AY765" s="16" t="n">
        <f aca="false">AS765+AF765+AM765+AH765+AG765+AB765+V765+Q765+O765+J765</f>
        <v>777.2</v>
      </c>
      <c r="AZ765" s="16" t="n">
        <f aca="false">AT765+AF765+AN765+AH765+AG765+AC765+W765+Q765+P765+J765</f>
        <v>779</v>
      </c>
      <c r="BA765" s="16" t="n">
        <f aca="false">AY765/10</f>
        <v>77.72</v>
      </c>
      <c r="BB765" s="16" t="n">
        <f aca="false">AZ765/10</f>
        <v>77.9</v>
      </c>
      <c r="BC765" s="16" t="n">
        <v>2351</v>
      </c>
      <c r="BD765" s="16" t="n">
        <f aca="false">RANK(AX765,$AX$2:$AX$881,0)</f>
        <v>482</v>
      </c>
      <c r="BE765" s="54" t="n">
        <f aca="false">((BC765*100)/2400)*0.4+(AX765*0.6)</f>
        <v>85.5033333333333</v>
      </c>
      <c r="BF765" s="16" t="n">
        <f aca="false">RANK(BE765,$BE$2:$BE$881,0)</f>
        <v>505</v>
      </c>
      <c r="BG765" s="39" t="n">
        <f aca="false">RANK(BB765,$BB$2:$BB$881,0)</f>
        <v>569</v>
      </c>
      <c r="BH765" s="39" t="n">
        <f aca="false">RANK(BC765,$BC$2:$BC$881,0)</f>
        <v>520</v>
      </c>
      <c r="BI765" s="22" t="s">
        <v>130</v>
      </c>
      <c r="BJ765" s="22" t="s">
        <v>129</v>
      </c>
      <c r="BK765" s="40" t="s">
        <v>509</v>
      </c>
      <c r="BL765" s="98" t="n">
        <v>11</v>
      </c>
      <c r="BM765" s="61"/>
      <c r="BN765" s="61"/>
      <c r="BO765" s="42" t="n">
        <v>25</v>
      </c>
      <c r="BP765" s="61"/>
      <c r="BQ765" s="61"/>
      <c r="BR765" s="74" t="n">
        <v>6</v>
      </c>
      <c r="BS765" s="80"/>
      <c r="BT765" s="80"/>
      <c r="BU765" s="80"/>
      <c r="BV765" s="137"/>
      <c r="BW765" s="61"/>
      <c r="BX765" s="107"/>
      <c r="BY765" s="130"/>
      <c r="BZ765" s="60"/>
      <c r="CA765" s="60"/>
      <c r="CB765" s="61"/>
      <c r="CC765" s="60"/>
      <c r="CD765" s="60"/>
      <c r="CE765" s="60"/>
      <c r="CF765" s="60"/>
      <c r="CG765" s="60"/>
      <c r="CH765" s="60"/>
      <c r="CI765" s="60"/>
      <c r="CJ765" s="60"/>
      <c r="CK765" s="60"/>
      <c r="CL765" s="61"/>
      <c r="CM765" s="60"/>
      <c r="CN765" s="60"/>
      <c r="CO765" s="60"/>
      <c r="CP765" s="25" t="n">
        <f aca="false">BX765+BW765+BV765+BU765+BT765+BQ765+BN765</f>
        <v>0</v>
      </c>
      <c r="CQ765" s="25" t="n">
        <f aca="false">CO765+CL765+CI765+CH765+CG765+CD765+CA765</f>
        <v>0</v>
      </c>
      <c r="CR765" s="26" t="n">
        <f aca="false">CP765/7</f>
        <v>0</v>
      </c>
      <c r="CS765" s="26" t="n">
        <f aca="false">CQ765/7</f>
        <v>0</v>
      </c>
      <c r="CT765" s="24" t="n">
        <f aca="false">RANK(CR765,$CR$2:$CR$881,0)</f>
        <v>768</v>
      </c>
      <c r="CU765" s="25" t="n">
        <f aca="false">RANK(CS765,$CS$2:$CS$881,0)</f>
        <v>752</v>
      </c>
      <c r="CV765" s="26" t="n">
        <f aca="false">(CS765+CR765)/2</f>
        <v>0</v>
      </c>
      <c r="CW765" s="25" t="n">
        <f aca="false">RANK(CV765,$CV$2:$CV$881,0)</f>
        <v>753</v>
      </c>
      <c r="CX765" s="50" t="n">
        <f aca="false">(CV765+BB765)/2</f>
        <v>38.95</v>
      </c>
      <c r="CY765" s="50" t="n">
        <v>822</v>
      </c>
      <c r="CZ765" s="27" t="s">
        <v>132</v>
      </c>
      <c r="DA765" s="27" t="s">
        <v>151</v>
      </c>
      <c r="DB765" s="27" t="s">
        <v>151</v>
      </c>
      <c r="DC765" s="27" t="s">
        <v>134</v>
      </c>
      <c r="DD765" s="27" t="s">
        <v>135</v>
      </c>
      <c r="DE765" s="27" t="s">
        <v>204</v>
      </c>
      <c r="DF765" s="27" t="s">
        <v>209</v>
      </c>
      <c r="DG765" s="27" t="s">
        <v>134</v>
      </c>
      <c r="DH765" s="27" t="s">
        <v>164</v>
      </c>
      <c r="DI765" s="27" t="s">
        <v>203</v>
      </c>
      <c r="DJ765" s="27" t="s">
        <v>162</v>
      </c>
      <c r="DK765" s="27" t="s">
        <v>134</v>
      </c>
      <c r="DL765" s="27" t="s">
        <v>164</v>
      </c>
      <c r="DM765" s="27" t="s">
        <v>136</v>
      </c>
      <c r="DN765" s="27" t="s">
        <v>153</v>
      </c>
      <c r="DO765" s="27" t="s">
        <v>134</v>
      </c>
      <c r="DP765" s="27" t="s">
        <v>485</v>
      </c>
      <c r="DQ765" s="27" t="s">
        <v>161</v>
      </c>
      <c r="DR765" s="27" t="s">
        <v>305</v>
      </c>
      <c r="DS765" s="27" t="s">
        <v>134</v>
      </c>
      <c r="DT765" s="27" t="s">
        <v>146</v>
      </c>
      <c r="DU765" s="27" t="s">
        <v>220</v>
      </c>
      <c r="DV765" s="27" t="s">
        <v>202</v>
      </c>
      <c r="DW765" s="27"/>
      <c r="DX765" s="27"/>
      <c r="DY765" s="27"/>
      <c r="DZ765" s="27" t="n">
        <f aca="false">DY765+DV765+DR765+DN765+DJ765+DF765+DB765</f>
        <v>520</v>
      </c>
      <c r="EA765" s="28" t="n">
        <f aca="false">DZ765/7</f>
        <v>74.2857142857143</v>
      </c>
      <c r="EB765" s="27" t="n">
        <f aca="false">RANK(EA765,$EA$2:$EA$881,0)</f>
        <v>557</v>
      </c>
      <c r="EC765" s="29" t="n">
        <f aca="false">DZ765+CQ765+CP765+AZ765</f>
        <v>1299</v>
      </c>
      <c r="ED765" s="30" t="n">
        <f aca="false">(EA765+CV765+BB765)/3</f>
        <v>50.7285714285714</v>
      </c>
      <c r="EE765" s="51" t="n">
        <f aca="false">ROUND(BE765,3)</f>
        <v>85.503</v>
      </c>
      <c r="EF765" s="51" t="n">
        <f aca="false">ROUND(CR765,3)</f>
        <v>0</v>
      </c>
      <c r="EG765" s="51" t="n">
        <f aca="false">ROUND(CS765,3)</f>
        <v>0</v>
      </c>
      <c r="EH765" s="51" t="n">
        <f aca="false">ROUND(EA765,3)</f>
        <v>74.286</v>
      </c>
      <c r="EI765" s="51" t="n">
        <f aca="false">ROUND(ED765,3)</f>
        <v>50.729</v>
      </c>
      <c r="EJ765" s="51" t="n">
        <f aca="false">ROUND(CV765,3)</f>
        <v>0</v>
      </c>
      <c r="EK765" s="0" t="n">
        <f aca="false">RANK(EI765,$EI$2:$EI$881,0)</f>
        <v>764</v>
      </c>
    </row>
    <row r="766" customFormat="false" ht="15" hidden="false" customHeight="false" outlineLevel="0" collapsed="false">
      <c r="A766" s="4" t="n">
        <v>8782</v>
      </c>
      <c r="B766" s="4" t="n">
        <v>154</v>
      </c>
      <c r="C766" s="27" t="s">
        <v>2168</v>
      </c>
      <c r="D766" s="31" t="n">
        <v>154</v>
      </c>
      <c r="E766" s="16" t="n">
        <v>230505505</v>
      </c>
      <c r="F766" s="56" t="s">
        <v>2169</v>
      </c>
      <c r="G766" s="22" t="s">
        <v>2170</v>
      </c>
      <c r="H766" s="22" t="s">
        <v>465</v>
      </c>
      <c r="I766" s="136"/>
      <c r="J766" s="16" t="n">
        <v>85</v>
      </c>
      <c r="K766" s="16" t="n">
        <v>78</v>
      </c>
      <c r="L766" s="34" t="n">
        <f aca="false">(K766*70)/100</f>
        <v>54.6</v>
      </c>
      <c r="M766" s="34" t="n">
        <f aca="false">ROUNDUP(L766,0)</f>
        <v>55</v>
      </c>
      <c r="N766" s="16" t="n">
        <v>29</v>
      </c>
      <c r="O766" s="34" t="n">
        <f aca="false">N766+L766</f>
        <v>83.6</v>
      </c>
      <c r="P766" s="34" t="n">
        <f aca="false">N766+M766</f>
        <v>84</v>
      </c>
      <c r="Q766" s="16" t="n">
        <v>68</v>
      </c>
      <c r="R766" s="16" t="n">
        <v>84</v>
      </c>
      <c r="S766" s="34" t="n">
        <f aca="false">(R766*70)/100</f>
        <v>58.8</v>
      </c>
      <c r="T766" s="34" t="n">
        <f aca="false">ROUNDUP(S766,0)</f>
        <v>59</v>
      </c>
      <c r="U766" s="16" t="n">
        <v>22</v>
      </c>
      <c r="V766" s="34" t="n">
        <f aca="false">U766+S766</f>
        <v>80.8</v>
      </c>
      <c r="W766" s="34" t="n">
        <f aca="false">U766+T766</f>
        <v>81</v>
      </c>
      <c r="X766" s="16" t="n">
        <v>63</v>
      </c>
      <c r="Y766" s="34" t="n">
        <f aca="false">(X766*70)/100</f>
        <v>44.1</v>
      </c>
      <c r="Z766" s="34" t="n">
        <f aca="false">ROUNDUP(Y766,0)</f>
        <v>45</v>
      </c>
      <c r="AA766" s="16" t="n">
        <v>24</v>
      </c>
      <c r="AB766" s="34" t="n">
        <f aca="false">AA766+Y766</f>
        <v>68.1</v>
      </c>
      <c r="AC766" s="34" t="n">
        <f aca="false">AA766+Z766</f>
        <v>69</v>
      </c>
      <c r="AD766" s="32" t="n">
        <f aca="false">X766+R766+Q766+K766+J766</f>
        <v>378</v>
      </c>
      <c r="AE766" s="16" t="n">
        <f aca="false">AD766/5</f>
        <v>75.6</v>
      </c>
      <c r="AF766" s="71" t="n">
        <v>59</v>
      </c>
      <c r="AG766" s="16" t="n">
        <v>88</v>
      </c>
      <c r="AH766" s="16" t="n">
        <v>89</v>
      </c>
      <c r="AI766" s="16" t="n">
        <v>89</v>
      </c>
      <c r="AJ766" s="16" t="n">
        <f aca="false">(AI766*70)/100</f>
        <v>62.3</v>
      </c>
      <c r="AK766" s="35" t="n">
        <f aca="false">ROUNDUP(AJ766,0)</f>
        <v>63</v>
      </c>
      <c r="AL766" s="16" t="n">
        <v>27</v>
      </c>
      <c r="AM766" s="16" t="n">
        <f aca="false">AL766+AJ766</f>
        <v>89.3</v>
      </c>
      <c r="AN766" s="16" t="n">
        <f aca="false">AL766+AK766</f>
        <v>90</v>
      </c>
      <c r="AO766" s="16" t="n">
        <v>75</v>
      </c>
      <c r="AP766" s="36" t="n">
        <f aca="false">(AO766*70)/100</f>
        <v>52.5</v>
      </c>
      <c r="AQ766" s="37" t="n">
        <f aca="false">ROUNDUP(AP766,0)</f>
        <v>53</v>
      </c>
      <c r="AR766" s="16" t="n">
        <v>26</v>
      </c>
      <c r="AS766" s="16" t="n">
        <f aca="false">AR766+AP766</f>
        <v>78.5</v>
      </c>
      <c r="AT766" s="16" t="n">
        <f aca="false">AR766+AQ766</f>
        <v>79</v>
      </c>
      <c r="AU766" s="16" t="n">
        <f aca="false">AO766+AF766+AI766+AH766+AG766</f>
        <v>400</v>
      </c>
      <c r="AV766" s="16" t="n">
        <f aca="false">(AO766+AF766+AI766+AH766+AG766)/5</f>
        <v>80</v>
      </c>
      <c r="AW766" s="36" t="n">
        <f aca="false">(AO766+AF766+AI766+AH766+AG766+X766+R766+Q766+K766+J766)</f>
        <v>778</v>
      </c>
      <c r="AX766" s="16" t="n">
        <f aca="false">AW766/10</f>
        <v>77.8</v>
      </c>
      <c r="AY766" s="16" t="n">
        <f aca="false">AS766+AF766+AM766+AH766+AG766+AB766+V766+Q766+O766+J766</f>
        <v>789.3</v>
      </c>
      <c r="AZ766" s="16" t="n">
        <f aca="false">AT766+AF766+AN766+AH766+AG766+AC766+W766+Q766+P766+J766</f>
        <v>792</v>
      </c>
      <c r="BA766" s="16" t="n">
        <f aca="false">AY766/10</f>
        <v>78.93</v>
      </c>
      <c r="BB766" s="16" t="n">
        <f aca="false">AZ766/10</f>
        <v>79.2</v>
      </c>
      <c r="BC766" s="16" t="n">
        <v>2371</v>
      </c>
      <c r="BD766" s="16" t="n">
        <f aca="false">RANK(AX766,$AX$2:$AX$881,0)</f>
        <v>424</v>
      </c>
      <c r="BE766" s="54" t="n">
        <f aca="false">((BC766*100)/2400)*0.4+(AX766*0.6)</f>
        <v>86.1966666666667</v>
      </c>
      <c r="BF766" s="16" t="n">
        <f aca="false">RANK(BE766,$BE$2:$BE$881,0)</f>
        <v>403</v>
      </c>
      <c r="BG766" s="39" t="n">
        <f aca="false">RANK(BB766,$BB$2:$BB$881,0)</f>
        <v>434</v>
      </c>
      <c r="BH766" s="39" t="n">
        <f aca="false">RANK(BC766,$BC$2:$BC$881,0)</f>
        <v>257</v>
      </c>
      <c r="BI766" s="22" t="s">
        <v>130</v>
      </c>
      <c r="BJ766" s="22" t="s">
        <v>129</v>
      </c>
      <c r="BK766" s="40" t="s">
        <v>131</v>
      </c>
      <c r="BL766" s="98" t="n">
        <v>3</v>
      </c>
      <c r="BM766" s="61"/>
      <c r="BN766" s="61"/>
      <c r="BO766" s="42" t="n">
        <v>13</v>
      </c>
      <c r="BP766" s="61"/>
      <c r="BQ766" s="61"/>
      <c r="BR766" s="42" t="n">
        <v>20</v>
      </c>
      <c r="BS766" s="80"/>
      <c r="BT766" s="80"/>
      <c r="BU766" s="77" t="n">
        <v>83</v>
      </c>
      <c r="BV766" s="139" t="n">
        <v>82</v>
      </c>
      <c r="BW766" s="61"/>
      <c r="BX766" s="107"/>
      <c r="BY766" s="130"/>
      <c r="BZ766" s="60"/>
      <c r="CA766" s="60"/>
      <c r="CB766" s="61"/>
      <c r="CC766" s="60"/>
      <c r="CD766" s="60"/>
      <c r="CE766" s="60"/>
      <c r="CF766" s="60"/>
      <c r="CG766" s="60"/>
      <c r="CH766" s="60"/>
      <c r="CI766" s="60"/>
      <c r="CJ766" s="60"/>
      <c r="CK766" s="60"/>
      <c r="CL766" s="61"/>
      <c r="CM766" s="60"/>
      <c r="CN766" s="60"/>
      <c r="CO766" s="60"/>
      <c r="CP766" s="25" t="n">
        <f aca="false">BX766+BW766+BV766+BU766+BT766+BQ766+BN766</f>
        <v>165</v>
      </c>
      <c r="CQ766" s="25" t="n">
        <f aca="false">CO766+CL766+CI766+CH766+CG766+CD766+CA766</f>
        <v>0</v>
      </c>
      <c r="CR766" s="26" t="n">
        <f aca="false">CP766/7</f>
        <v>23.5714285714286</v>
      </c>
      <c r="CS766" s="26" t="n">
        <f aca="false">CQ766/7</f>
        <v>0</v>
      </c>
      <c r="CT766" s="24" t="n">
        <f aca="false">RANK(CR766,$CR$2:$CR$881,0)</f>
        <v>753</v>
      </c>
      <c r="CU766" s="25" t="n">
        <f aca="false">RANK(CS766,$CS$2:$CS$881,0)</f>
        <v>752</v>
      </c>
      <c r="CV766" s="26" t="n">
        <f aca="false">(CS766+CR766)/2</f>
        <v>11.7857142857143</v>
      </c>
      <c r="CW766" s="25" t="n">
        <f aca="false">RANK(CV766,$CV$2:$CV$881,0)</f>
        <v>749</v>
      </c>
      <c r="CX766" s="50" t="n">
        <f aca="false">(CV766+BB766)/2</f>
        <v>45.4928571428572</v>
      </c>
      <c r="CY766" s="50" t="n">
        <v>785</v>
      </c>
      <c r="CZ766" s="27" t="s">
        <v>132</v>
      </c>
      <c r="DA766" s="27" t="s">
        <v>153</v>
      </c>
      <c r="DB766" s="27" t="s">
        <v>153</v>
      </c>
      <c r="DC766" s="27" t="s">
        <v>134</v>
      </c>
      <c r="DD766" s="27" t="s">
        <v>135</v>
      </c>
      <c r="DE766" s="27" t="s">
        <v>399</v>
      </c>
      <c r="DF766" s="27" t="s">
        <v>486</v>
      </c>
      <c r="DG766" s="27" t="s">
        <v>134</v>
      </c>
      <c r="DH766" s="27" t="s">
        <v>386</v>
      </c>
      <c r="DI766" s="27" t="s">
        <v>673</v>
      </c>
      <c r="DJ766" s="27" t="s">
        <v>204</v>
      </c>
      <c r="DK766" s="27" t="s">
        <v>480</v>
      </c>
      <c r="DL766" s="27" t="s">
        <v>706</v>
      </c>
      <c r="DM766" s="27" t="s">
        <v>415</v>
      </c>
      <c r="DN766" s="27" t="s">
        <v>203</v>
      </c>
      <c r="DO766" s="27" t="s">
        <v>134</v>
      </c>
      <c r="DP766" s="27"/>
      <c r="DQ766" s="27"/>
      <c r="DR766" s="27"/>
      <c r="DS766" s="27"/>
      <c r="DT766" s="27" t="s">
        <v>485</v>
      </c>
      <c r="DU766" s="27" t="s">
        <v>906</v>
      </c>
      <c r="DV766" s="27" t="s">
        <v>306</v>
      </c>
      <c r="DW766" s="27" t="s">
        <v>154</v>
      </c>
      <c r="DX766" s="27" t="s">
        <v>187</v>
      </c>
      <c r="DY766" s="27" t="s">
        <v>162</v>
      </c>
      <c r="DZ766" s="27" t="n">
        <f aca="false">DY766+DV766+DR766+DN766+DJ766+DF766+DB766</f>
        <v>428</v>
      </c>
      <c r="EA766" s="28" t="n">
        <f aca="false">DZ766/7</f>
        <v>61.1428571428571</v>
      </c>
      <c r="EB766" s="27" t="n">
        <f aca="false">RANK(EA766,$EA$2:$EA$881,0)</f>
        <v>773</v>
      </c>
      <c r="EC766" s="29" t="n">
        <f aca="false">DZ766+CQ766+CP766+AZ766</f>
        <v>1385</v>
      </c>
      <c r="ED766" s="30" t="n">
        <f aca="false">(EA766+CV766+BB766)/3</f>
        <v>50.7095238095238</v>
      </c>
      <c r="EE766" s="51" t="n">
        <f aca="false">ROUND(BE766,3)</f>
        <v>86.197</v>
      </c>
      <c r="EF766" s="51" t="n">
        <f aca="false">ROUND(CR766,3)</f>
        <v>23.571</v>
      </c>
      <c r="EG766" s="51" t="n">
        <f aca="false">ROUND(CS766,3)</f>
        <v>0</v>
      </c>
      <c r="EH766" s="51" t="n">
        <f aca="false">ROUND(EA766,3)</f>
        <v>61.143</v>
      </c>
      <c r="EI766" s="51" t="n">
        <f aca="false">ROUND(ED766,3)</f>
        <v>50.71</v>
      </c>
      <c r="EJ766" s="51" t="n">
        <f aca="false">ROUND(CV766,3)</f>
        <v>11.786</v>
      </c>
      <c r="EK766" s="0" t="n">
        <f aca="false">RANK(EI766,$EI$2:$EI$881,0)</f>
        <v>765</v>
      </c>
    </row>
    <row r="767" customFormat="false" ht="15" hidden="false" customHeight="false" outlineLevel="0" collapsed="false">
      <c r="A767" s="4" t="n">
        <v>1987</v>
      </c>
      <c r="B767" s="4" t="n">
        <v>522</v>
      </c>
      <c r="C767" s="27" t="s">
        <v>2171</v>
      </c>
      <c r="D767" s="31" t="n">
        <v>527</v>
      </c>
      <c r="E767" s="16" t="n">
        <v>230507802</v>
      </c>
      <c r="F767" s="56" t="s">
        <v>2172</v>
      </c>
      <c r="G767" s="22" t="s">
        <v>573</v>
      </c>
      <c r="H767" s="22" t="s">
        <v>465</v>
      </c>
      <c r="I767" s="80"/>
      <c r="J767" s="16" t="n">
        <v>82</v>
      </c>
      <c r="K767" s="16" t="n">
        <v>76</v>
      </c>
      <c r="L767" s="34" t="n">
        <f aca="false">(K767*70)/100</f>
        <v>53.2</v>
      </c>
      <c r="M767" s="34" t="n">
        <f aca="false">ROUNDUP(L767,0)</f>
        <v>54</v>
      </c>
      <c r="N767" s="16" t="n">
        <v>30</v>
      </c>
      <c r="O767" s="34" t="n">
        <f aca="false">N767+L767</f>
        <v>83.2</v>
      </c>
      <c r="P767" s="34" t="n">
        <f aca="false">N767+M767</f>
        <v>84</v>
      </c>
      <c r="Q767" s="16" t="n">
        <v>71</v>
      </c>
      <c r="R767" s="16" t="n">
        <v>76</v>
      </c>
      <c r="S767" s="34" t="n">
        <f aca="false">(R767*70)/100</f>
        <v>53.2</v>
      </c>
      <c r="T767" s="34" t="n">
        <f aca="false">ROUNDUP(S767,0)</f>
        <v>54</v>
      </c>
      <c r="U767" s="16" t="n">
        <v>27</v>
      </c>
      <c r="V767" s="34" t="n">
        <f aca="false">U767+S767</f>
        <v>80.2</v>
      </c>
      <c r="W767" s="34" t="n">
        <f aca="false">U767+T767</f>
        <v>81</v>
      </c>
      <c r="X767" s="16" t="n">
        <v>79</v>
      </c>
      <c r="Y767" s="34" t="n">
        <f aca="false">(X767*70)/100</f>
        <v>55.3</v>
      </c>
      <c r="Z767" s="34" t="n">
        <f aca="false">ROUNDUP(Y767,0)</f>
        <v>56</v>
      </c>
      <c r="AA767" s="16" t="n">
        <v>29</v>
      </c>
      <c r="AB767" s="34" t="n">
        <f aca="false">AA767+Y767</f>
        <v>84.3</v>
      </c>
      <c r="AC767" s="34" t="n">
        <f aca="false">AA767+Z767</f>
        <v>85</v>
      </c>
      <c r="AD767" s="32" t="n">
        <f aca="false">X767+R767+Q767+K767+J767</f>
        <v>384</v>
      </c>
      <c r="AE767" s="16" t="n">
        <f aca="false">AD767/5</f>
        <v>76.8</v>
      </c>
      <c r="AF767" s="16" t="n">
        <v>83</v>
      </c>
      <c r="AG767" s="16" t="n">
        <v>76</v>
      </c>
      <c r="AH767" s="16" t="n">
        <v>96</v>
      </c>
      <c r="AI767" s="16" t="n">
        <v>79</v>
      </c>
      <c r="AJ767" s="16" t="n">
        <f aca="false">(AI767*70)/100</f>
        <v>55.3</v>
      </c>
      <c r="AK767" s="35" t="n">
        <f aca="false">ROUNDUP(AJ767,0)</f>
        <v>56</v>
      </c>
      <c r="AL767" s="16" t="n">
        <v>29</v>
      </c>
      <c r="AM767" s="16" t="n">
        <f aca="false">AL767+AJ767</f>
        <v>84.3</v>
      </c>
      <c r="AN767" s="16" t="n">
        <f aca="false">AL767+AK767</f>
        <v>85</v>
      </c>
      <c r="AO767" s="16" t="n">
        <v>55</v>
      </c>
      <c r="AP767" s="36" t="n">
        <f aca="false">(AO767*70)/100</f>
        <v>38.5</v>
      </c>
      <c r="AQ767" s="37" t="n">
        <f aca="false">ROUNDUP(AP767,0)</f>
        <v>39</v>
      </c>
      <c r="AR767" s="16" t="n">
        <v>30</v>
      </c>
      <c r="AS767" s="16" t="n">
        <f aca="false">AR767+AP767</f>
        <v>68.5</v>
      </c>
      <c r="AT767" s="16" t="n">
        <f aca="false">AR767+AQ767</f>
        <v>69</v>
      </c>
      <c r="AU767" s="16" t="n">
        <f aca="false">AO767+AF767+AI767+AH767+AG767</f>
        <v>389</v>
      </c>
      <c r="AV767" s="16" t="n">
        <f aca="false">(AO767+AF767+AI767+AH767+AG767)/5</f>
        <v>77.8</v>
      </c>
      <c r="AW767" s="36" t="n">
        <f aca="false">(AO767+AF767+AI767+AH767+AG767+X767+R767+Q767+K767+J767)</f>
        <v>773</v>
      </c>
      <c r="AX767" s="16" t="n">
        <f aca="false">AW767/10</f>
        <v>77.3</v>
      </c>
      <c r="AY767" s="16" t="n">
        <f aca="false">AS767+AF767+AM767+AH767+AG767+AB767+V767+Q767+O767+J767</f>
        <v>808.5</v>
      </c>
      <c r="AZ767" s="16" t="n">
        <f aca="false">AT767+AF767+AN767+AH767+AG767+AC767+W767+Q767+P767+J767</f>
        <v>812</v>
      </c>
      <c r="BA767" s="16" t="n">
        <f aca="false">AY767/10</f>
        <v>80.85</v>
      </c>
      <c r="BB767" s="16" t="n">
        <f aca="false">AZ767/10</f>
        <v>81.2</v>
      </c>
      <c r="BC767" s="16" t="n">
        <v>2349</v>
      </c>
      <c r="BD767" s="16" t="n">
        <f aca="false">RANK(AX767,$AX$2:$AX$881,0)</f>
        <v>472</v>
      </c>
      <c r="BE767" s="54" t="n">
        <f aca="false">((BC767*100)/2400)*0.4+(AX767*0.6)</f>
        <v>85.53</v>
      </c>
      <c r="BF767" s="16" t="n">
        <f aca="false">RANK(BE767,$BE$2:$BE$881,0)</f>
        <v>498</v>
      </c>
      <c r="BG767" s="39" t="n">
        <f aca="false">RANK(BB767,$BB$2:$BB$881,0)</f>
        <v>263</v>
      </c>
      <c r="BH767" s="39" t="n">
        <f aca="false">RANK(BC767,$BC$2:$BC$881,0)</f>
        <v>542</v>
      </c>
      <c r="BI767" s="22" t="s">
        <v>130</v>
      </c>
      <c r="BJ767" s="22" t="s">
        <v>129</v>
      </c>
      <c r="BK767" s="40" t="s">
        <v>509</v>
      </c>
      <c r="BL767" s="101" t="n">
        <v>8.5</v>
      </c>
      <c r="BM767" s="61"/>
      <c r="BN767" s="61"/>
      <c r="BO767" s="42" t="n">
        <v>28</v>
      </c>
      <c r="BP767" s="61"/>
      <c r="BQ767" s="61"/>
      <c r="BR767" s="42" t="n">
        <v>19</v>
      </c>
      <c r="BS767" s="80"/>
      <c r="BT767" s="80"/>
      <c r="BU767" s="80"/>
      <c r="BV767" s="137"/>
      <c r="BW767" s="61"/>
      <c r="BX767" s="107"/>
      <c r="BY767" s="130"/>
      <c r="BZ767" s="60"/>
      <c r="CA767" s="60"/>
      <c r="CB767" s="61"/>
      <c r="CC767" s="60"/>
      <c r="CD767" s="60"/>
      <c r="CE767" s="60"/>
      <c r="CF767" s="60"/>
      <c r="CG767" s="60"/>
      <c r="CH767" s="60"/>
      <c r="CI767" s="60"/>
      <c r="CJ767" s="60"/>
      <c r="CK767" s="60"/>
      <c r="CL767" s="61"/>
      <c r="CM767" s="60"/>
      <c r="CN767" s="60"/>
      <c r="CO767" s="60"/>
      <c r="CP767" s="25" t="n">
        <f aca="false">BX767+BW767+BV767+BU767+BT767+BQ767+BN767</f>
        <v>0</v>
      </c>
      <c r="CQ767" s="25" t="n">
        <f aca="false">CO767+CL767+CI767+CH767+CG767+CD767+CA767</f>
        <v>0</v>
      </c>
      <c r="CR767" s="26" t="n">
        <f aca="false">CP767/7</f>
        <v>0</v>
      </c>
      <c r="CS767" s="26" t="n">
        <f aca="false">CQ767/7</f>
        <v>0</v>
      </c>
      <c r="CT767" s="24" t="n">
        <f aca="false">RANK(CR767,$CR$2:$CR$881,0)</f>
        <v>768</v>
      </c>
      <c r="CU767" s="25" t="n">
        <f aca="false">RANK(CS767,$CS$2:$CS$881,0)</f>
        <v>752</v>
      </c>
      <c r="CV767" s="26" t="n">
        <f aca="false">(CS767+CR767)/2</f>
        <v>0</v>
      </c>
      <c r="CW767" s="25" t="n">
        <f aca="false">RANK(CV767,$CV$2:$CV$881,0)</f>
        <v>753</v>
      </c>
      <c r="CX767" s="50" t="n">
        <f aca="false">(CV767+BB767)/2</f>
        <v>40.6</v>
      </c>
      <c r="CY767" s="50" t="n">
        <v>739</v>
      </c>
      <c r="CZ767" s="27" t="s">
        <v>132</v>
      </c>
      <c r="DA767" s="27" t="s">
        <v>443</v>
      </c>
      <c r="DB767" s="27" t="s">
        <v>443</v>
      </c>
      <c r="DC767" s="27" t="s">
        <v>134</v>
      </c>
      <c r="DD767" s="27" t="s">
        <v>485</v>
      </c>
      <c r="DE767" s="27" t="s">
        <v>442</v>
      </c>
      <c r="DF767" s="27" t="s">
        <v>187</v>
      </c>
      <c r="DG767" s="27" t="s">
        <v>134</v>
      </c>
      <c r="DH767" s="27" t="s">
        <v>135</v>
      </c>
      <c r="DI767" s="27" t="s">
        <v>906</v>
      </c>
      <c r="DJ767" s="27" t="s">
        <v>136</v>
      </c>
      <c r="DK767" s="27" t="s">
        <v>134</v>
      </c>
      <c r="DL767" s="27" t="s">
        <v>154</v>
      </c>
      <c r="DM767" s="27" t="s">
        <v>681</v>
      </c>
      <c r="DN767" s="27" t="s">
        <v>138</v>
      </c>
      <c r="DO767" s="27" t="s">
        <v>134</v>
      </c>
      <c r="DP767" s="27" t="s">
        <v>604</v>
      </c>
      <c r="DQ767" s="27" t="s">
        <v>1407</v>
      </c>
      <c r="DR767" s="27" t="s">
        <v>220</v>
      </c>
      <c r="DS767" s="27" t="s">
        <v>480</v>
      </c>
      <c r="DT767" s="27" t="s">
        <v>160</v>
      </c>
      <c r="DU767" s="27" t="s">
        <v>638</v>
      </c>
      <c r="DV767" s="27" t="s">
        <v>486</v>
      </c>
      <c r="DW767" s="27" t="s">
        <v>140</v>
      </c>
      <c r="DX767" s="27" t="s">
        <v>161</v>
      </c>
      <c r="DY767" s="27" t="s">
        <v>153</v>
      </c>
      <c r="DZ767" s="27" t="n">
        <f aca="false">DY767+DV767+DR767+DN767+DJ767+DF767+DB767</f>
        <v>493</v>
      </c>
      <c r="EA767" s="28" t="n">
        <f aca="false">DZ767/7</f>
        <v>70.4285714285714</v>
      </c>
      <c r="EB767" s="27" t="n">
        <f aca="false">RANK(EA767,$EA$2:$EA$881,0)</f>
        <v>647</v>
      </c>
      <c r="EC767" s="29" t="n">
        <f aca="false">DZ767+CQ767+CP767+AZ767</f>
        <v>1305</v>
      </c>
      <c r="ED767" s="30" t="n">
        <f aca="false">(EA767+CV767+BB767)/3</f>
        <v>50.5428571428571</v>
      </c>
      <c r="EE767" s="51" t="n">
        <f aca="false">ROUND(BE767,3)</f>
        <v>85.53</v>
      </c>
      <c r="EF767" s="51" t="n">
        <f aca="false">ROUND(CR767,3)</f>
        <v>0</v>
      </c>
      <c r="EG767" s="51" t="n">
        <f aca="false">ROUND(CS767,3)</f>
        <v>0</v>
      </c>
      <c r="EH767" s="51" t="n">
        <f aca="false">ROUND(EA767,3)</f>
        <v>70.429</v>
      </c>
      <c r="EI767" s="51" t="n">
        <f aca="false">ROUND(ED767,3)</f>
        <v>50.543</v>
      </c>
      <c r="EJ767" s="51" t="n">
        <f aca="false">ROUND(CV767,3)</f>
        <v>0</v>
      </c>
      <c r="EK767" s="0" t="n">
        <f aca="false">RANK(EI767,$EI$2:$EI$881,0)</f>
        <v>766</v>
      </c>
    </row>
    <row r="768" customFormat="false" ht="15" hidden="false" customHeight="false" outlineLevel="0" collapsed="false">
      <c r="A768" s="4" t="n">
        <v>1868</v>
      </c>
      <c r="B768" s="4" t="n">
        <v>339</v>
      </c>
      <c r="C768" s="27" t="s">
        <v>2173</v>
      </c>
      <c r="D768" s="31" t="n">
        <v>341</v>
      </c>
      <c r="E768" s="16" t="n">
        <v>230514290</v>
      </c>
      <c r="F768" s="56" t="s">
        <v>2174</v>
      </c>
      <c r="G768" s="22" t="s">
        <v>2175</v>
      </c>
      <c r="H768" s="22" t="s">
        <v>465</v>
      </c>
      <c r="I768" s="80"/>
      <c r="J768" s="16" t="n">
        <v>75</v>
      </c>
      <c r="K768" s="16" t="n">
        <v>76</v>
      </c>
      <c r="L768" s="34" t="n">
        <f aca="false">(K768*70)/100</f>
        <v>53.2</v>
      </c>
      <c r="M768" s="34" t="n">
        <f aca="false">ROUNDUP(L768,0)</f>
        <v>54</v>
      </c>
      <c r="N768" s="16" t="n">
        <v>30</v>
      </c>
      <c r="O768" s="34" t="n">
        <f aca="false">N768+L768</f>
        <v>83.2</v>
      </c>
      <c r="P768" s="34" t="n">
        <f aca="false">N768+M768</f>
        <v>84</v>
      </c>
      <c r="Q768" s="16" t="n">
        <v>69</v>
      </c>
      <c r="R768" s="16" t="n">
        <v>65</v>
      </c>
      <c r="S768" s="34" t="n">
        <f aca="false">(R768*70)/100</f>
        <v>45.5</v>
      </c>
      <c r="T768" s="34" t="n">
        <f aca="false">ROUNDUP(S768,0)</f>
        <v>46</v>
      </c>
      <c r="U768" s="16" t="n">
        <v>29</v>
      </c>
      <c r="V768" s="34" t="n">
        <f aca="false">U768+S768</f>
        <v>74.5</v>
      </c>
      <c r="W768" s="34" t="n">
        <f aca="false">U768+T768</f>
        <v>75</v>
      </c>
      <c r="X768" s="16" t="n">
        <v>78</v>
      </c>
      <c r="Y768" s="34" t="n">
        <f aca="false">(X768*70)/100</f>
        <v>54.6</v>
      </c>
      <c r="Z768" s="34" t="n">
        <f aca="false">ROUNDUP(Y768,0)</f>
        <v>55</v>
      </c>
      <c r="AA768" s="16" t="n">
        <v>28</v>
      </c>
      <c r="AB768" s="34" t="n">
        <f aca="false">AA768+Y768</f>
        <v>82.6</v>
      </c>
      <c r="AC768" s="34" t="n">
        <f aca="false">AA768+Z768</f>
        <v>83</v>
      </c>
      <c r="AD768" s="32" t="n">
        <f aca="false">X768+R768+Q768+K768+J768</f>
        <v>363</v>
      </c>
      <c r="AE768" s="16" t="n">
        <f aca="false">AD768/5</f>
        <v>72.6</v>
      </c>
      <c r="AF768" s="16" t="n">
        <v>78</v>
      </c>
      <c r="AG768" s="16" t="n">
        <v>83</v>
      </c>
      <c r="AH768" s="16" t="n">
        <v>92</v>
      </c>
      <c r="AI768" s="16" t="n">
        <v>77</v>
      </c>
      <c r="AJ768" s="16" t="n">
        <f aca="false">(AI768*70)/100</f>
        <v>53.9</v>
      </c>
      <c r="AK768" s="35" t="n">
        <f aca="false">ROUNDUP(AJ768,0)</f>
        <v>54</v>
      </c>
      <c r="AL768" s="16" t="n">
        <v>29</v>
      </c>
      <c r="AM768" s="16" t="n">
        <f aca="false">AL768+AJ768</f>
        <v>82.9</v>
      </c>
      <c r="AN768" s="16" t="n">
        <f aca="false">AL768+AK768</f>
        <v>83</v>
      </c>
      <c r="AO768" s="16" t="n">
        <v>77</v>
      </c>
      <c r="AP768" s="36" t="n">
        <f aca="false">(AO768*70)/100</f>
        <v>53.9</v>
      </c>
      <c r="AQ768" s="37" t="n">
        <f aca="false">ROUNDUP(AP768,0)</f>
        <v>54</v>
      </c>
      <c r="AR768" s="16" t="n">
        <v>29</v>
      </c>
      <c r="AS768" s="16" t="n">
        <f aca="false">AR768+AP768</f>
        <v>82.9</v>
      </c>
      <c r="AT768" s="16" t="n">
        <f aca="false">AR768+AQ768</f>
        <v>83</v>
      </c>
      <c r="AU768" s="16" t="n">
        <f aca="false">AO768+AF768+AI768+AH768+AG768</f>
        <v>407</v>
      </c>
      <c r="AV768" s="16" t="n">
        <f aca="false">(AO768+AF768+AI768+AH768+AG768)/5</f>
        <v>81.4</v>
      </c>
      <c r="AW768" s="36" t="n">
        <f aca="false">(AO768+AF768+AI768+AH768+AG768+X768+R768+Q768+K768+J768)</f>
        <v>770</v>
      </c>
      <c r="AX768" s="16" t="n">
        <f aca="false">AW768/10</f>
        <v>77</v>
      </c>
      <c r="AY768" s="16" t="n">
        <f aca="false">AS768+AF768+AM768+AH768+AG768+AB768+V768+Q768+O768+J768</f>
        <v>803.1</v>
      </c>
      <c r="AZ768" s="16" t="n">
        <f aca="false">AT768+AF768+AN768+AH768+AG768+AC768+W768+Q768+P768+J768</f>
        <v>805</v>
      </c>
      <c r="BA768" s="16" t="n">
        <f aca="false">AY768/10</f>
        <v>80.31</v>
      </c>
      <c r="BB768" s="16" t="n">
        <f aca="false">AZ768/10</f>
        <v>80.5</v>
      </c>
      <c r="BC768" s="16" t="n">
        <v>2381</v>
      </c>
      <c r="BD768" s="16" t="n">
        <f aca="false">RANK(AX768,$AX$2:$AX$881,0)</f>
        <v>508</v>
      </c>
      <c r="BE768" s="54" t="n">
        <f aca="false">((BC768*100)/2400)*0.4+(AX768*0.6)</f>
        <v>85.8833333333333</v>
      </c>
      <c r="BF768" s="16" t="n">
        <f aca="false">RANK(BE768,$BE$2:$BE$881,0)</f>
        <v>450</v>
      </c>
      <c r="BG768" s="39" t="n">
        <f aca="false">RANK(BB768,$BB$2:$BB$881,0)</f>
        <v>312</v>
      </c>
      <c r="BH768" s="39" t="n">
        <f aca="false">RANK(BC768,$BC$2:$BC$881,0)</f>
        <v>136</v>
      </c>
      <c r="BI768" s="22" t="s">
        <v>130</v>
      </c>
      <c r="BJ768" s="22" t="s">
        <v>129</v>
      </c>
      <c r="BK768" s="40" t="s">
        <v>509</v>
      </c>
      <c r="BL768" s="44" t="n">
        <v>12</v>
      </c>
      <c r="BM768" s="61"/>
      <c r="BN768" s="140"/>
      <c r="BO768" s="44" t="n">
        <v>22</v>
      </c>
      <c r="BP768" s="61"/>
      <c r="BQ768" s="140"/>
      <c r="BR768" s="44" t="n">
        <v>21</v>
      </c>
      <c r="BS768" s="80"/>
      <c r="BT768" s="80"/>
      <c r="BU768" s="80"/>
      <c r="BV768" s="137"/>
      <c r="BW768" s="140"/>
      <c r="BX768" s="107"/>
      <c r="BY768" s="130"/>
      <c r="BZ768" s="60"/>
      <c r="CA768" s="60"/>
      <c r="CB768" s="61"/>
      <c r="CC768" s="60"/>
      <c r="CD768" s="60"/>
      <c r="CE768" s="60"/>
      <c r="CF768" s="60"/>
      <c r="CG768" s="60"/>
      <c r="CH768" s="60"/>
      <c r="CI768" s="60"/>
      <c r="CJ768" s="60"/>
      <c r="CK768" s="60"/>
      <c r="CL768" s="61"/>
      <c r="CM768" s="60"/>
      <c r="CN768" s="60"/>
      <c r="CO768" s="60"/>
      <c r="CP768" s="25" t="n">
        <f aca="false">BX768+BW768+BV768+BU768+BT768+BQ768+BN768</f>
        <v>0</v>
      </c>
      <c r="CQ768" s="25" t="n">
        <f aca="false">CO768+CL768+CI768+CH768+CG768+CD768+CA768</f>
        <v>0</v>
      </c>
      <c r="CR768" s="26" t="n">
        <f aca="false">CP768/7</f>
        <v>0</v>
      </c>
      <c r="CS768" s="26" t="n">
        <f aca="false">CQ768/7</f>
        <v>0</v>
      </c>
      <c r="CT768" s="24" t="n">
        <f aca="false">RANK(CR768,$CR$2:$CR$881,0)</f>
        <v>768</v>
      </c>
      <c r="CU768" s="25" t="n">
        <f aca="false">RANK(CS768,$CS$2:$CS$881,0)</f>
        <v>752</v>
      </c>
      <c r="CV768" s="26" t="n">
        <f aca="false">(CS768+CR768)/2</f>
        <v>0</v>
      </c>
      <c r="CW768" s="25" t="n">
        <f aca="false">RANK(CV768,$CV$2:$CV$881,0)</f>
        <v>753</v>
      </c>
      <c r="CX768" s="50" t="n">
        <f aca="false">(CV768+BB768)/2</f>
        <v>40.25</v>
      </c>
      <c r="CY768" s="50" t="n">
        <v>749</v>
      </c>
      <c r="CZ768" s="27" t="s">
        <v>132</v>
      </c>
      <c r="DA768" s="27" t="s">
        <v>272</v>
      </c>
      <c r="DB768" s="27" t="s">
        <v>272</v>
      </c>
      <c r="DC768" s="27" t="s">
        <v>134</v>
      </c>
      <c r="DD768" s="27" t="s">
        <v>154</v>
      </c>
      <c r="DE768" s="27" t="s">
        <v>681</v>
      </c>
      <c r="DF768" s="27" t="s">
        <v>138</v>
      </c>
      <c r="DG768" s="27" t="s">
        <v>134</v>
      </c>
      <c r="DH768" s="27" t="s">
        <v>154</v>
      </c>
      <c r="DI768" s="27" t="s">
        <v>989</v>
      </c>
      <c r="DJ768" s="27" t="s">
        <v>163</v>
      </c>
      <c r="DK768" s="27" t="s">
        <v>134</v>
      </c>
      <c r="DL768" s="27" t="s">
        <v>164</v>
      </c>
      <c r="DM768" s="27" t="s">
        <v>638</v>
      </c>
      <c r="DN768" s="27" t="s">
        <v>398</v>
      </c>
      <c r="DO768" s="27" t="s">
        <v>134</v>
      </c>
      <c r="DP768" s="27" t="s">
        <v>195</v>
      </c>
      <c r="DQ768" s="27" t="s">
        <v>442</v>
      </c>
      <c r="DR768" s="27" t="s">
        <v>155</v>
      </c>
      <c r="DS768" s="27" t="s">
        <v>134</v>
      </c>
      <c r="DT768" s="27" t="s">
        <v>135</v>
      </c>
      <c r="DU768" s="27" t="s">
        <v>1407</v>
      </c>
      <c r="DV768" s="27" t="s">
        <v>163</v>
      </c>
      <c r="DW768" s="27" t="s">
        <v>154</v>
      </c>
      <c r="DX768" s="27" t="s">
        <v>304</v>
      </c>
      <c r="DY768" s="27" t="s">
        <v>382</v>
      </c>
      <c r="DZ768" s="27" t="n">
        <f aca="false">DY768+DV768+DR768+DN768+DJ768+DF768+DB768</f>
        <v>497</v>
      </c>
      <c r="EA768" s="28" t="n">
        <f aca="false">DZ768/7</f>
        <v>71</v>
      </c>
      <c r="EB768" s="27" t="n">
        <f aca="false">RANK(EA768,$EA$2:$EA$881,0)</f>
        <v>625</v>
      </c>
      <c r="EC768" s="29" t="n">
        <f aca="false">DZ768+CQ768+CP768+AZ768</f>
        <v>1302</v>
      </c>
      <c r="ED768" s="30" t="n">
        <f aca="false">(EA768+CV768+BB768)/3</f>
        <v>50.5</v>
      </c>
      <c r="EE768" s="51" t="n">
        <f aca="false">ROUND(BE768,3)</f>
        <v>85.883</v>
      </c>
      <c r="EF768" s="51" t="n">
        <f aca="false">ROUND(CR768,3)</f>
        <v>0</v>
      </c>
      <c r="EG768" s="51" t="n">
        <f aca="false">ROUND(CS768,3)</f>
        <v>0</v>
      </c>
      <c r="EH768" s="51" t="n">
        <f aca="false">ROUND(EA768,3)</f>
        <v>71</v>
      </c>
      <c r="EI768" s="51" t="n">
        <f aca="false">ROUND(ED768,3)</f>
        <v>50.5</v>
      </c>
      <c r="EJ768" s="51" t="n">
        <f aca="false">ROUND(CV768,3)</f>
        <v>0</v>
      </c>
      <c r="EK768" s="0" t="n">
        <f aca="false">RANK(EI768,$EI$2:$EI$881,0)</f>
        <v>767</v>
      </c>
    </row>
    <row r="769" customFormat="false" ht="15" hidden="false" customHeight="false" outlineLevel="0" collapsed="false">
      <c r="A769" s="4" t="n">
        <v>8768</v>
      </c>
      <c r="B769" s="4" t="n">
        <v>682</v>
      </c>
      <c r="C769" s="27" t="s">
        <v>2176</v>
      </c>
      <c r="D769" s="31" t="n">
        <v>696</v>
      </c>
      <c r="E769" s="32" t="n">
        <v>230505299</v>
      </c>
      <c r="F769" s="8" t="s">
        <v>2177</v>
      </c>
      <c r="G769" s="22" t="s">
        <v>2178</v>
      </c>
      <c r="H769" s="22" t="s">
        <v>465</v>
      </c>
      <c r="I769" s="80"/>
      <c r="J769" s="32" t="n">
        <v>72</v>
      </c>
      <c r="K769" s="32" t="n">
        <v>65</v>
      </c>
      <c r="L769" s="34" t="n">
        <f aca="false">(K769*70)/100</f>
        <v>45.5</v>
      </c>
      <c r="M769" s="34" t="n">
        <f aca="false">ROUNDUP(L769,0)</f>
        <v>46</v>
      </c>
      <c r="N769" s="32" t="n">
        <v>22</v>
      </c>
      <c r="O769" s="34" t="n">
        <f aca="false">N769+L769</f>
        <v>67.5</v>
      </c>
      <c r="P769" s="34" t="n">
        <f aca="false">N769+M769</f>
        <v>68</v>
      </c>
      <c r="Q769" s="32" t="n">
        <v>80</v>
      </c>
      <c r="R769" s="32" t="n">
        <v>74</v>
      </c>
      <c r="S769" s="34" t="n">
        <f aca="false">(R769*70)/100</f>
        <v>51.8</v>
      </c>
      <c r="T769" s="34" t="n">
        <f aca="false">ROUNDUP(S769,0)</f>
        <v>52</v>
      </c>
      <c r="U769" s="32" t="n">
        <v>27</v>
      </c>
      <c r="V769" s="34" t="n">
        <f aca="false">U769+S769</f>
        <v>78.8</v>
      </c>
      <c r="W769" s="34" t="n">
        <f aca="false">U769+T769</f>
        <v>79</v>
      </c>
      <c r="X769" s="32" t="n">
        <v>76</v>
      </c>
      <c r="Y769" s="34" t="n">
        <f aca="false">(X769*70)/100</f>
        <v>53.2</v>
      </c>
      <c r="Z769" s="34" t="n">
        <f aca="false">ROUNDUP(Y769,0)</f>
        <v>54</v>
      </c>
      <c r="AA769" s="32" t="n">
        <v>29</v>
      </c>
      <c r="AB769" s="34" t="n">
        <f aca="false">AA769+Y769</f>
        <v>82.2</v>
      </c>
      <c r="AC769" s="34" t="n">
        <f aca="false">AA769+Z769</f>
        <v>83</v>
      </c>
      <c r="AD769" s="32" t="n">
        <f aca="false">X769+R769+Q769+K769+J769</f>
        <v>367</v>
      </c>
      <c r="AE769" s="16" t="n">
        <f aca="false">AD769/5</f>
        <v>73.4</v>
      </c>
      <c r="AF769" s="16" t="n">
        <v>84</v>
      </c>
      <c r="AG769" s="16" t="n">
        <v>79</v>
      </c>
      <c r="AH769" s="16" t="n">
        <v>89</v>
      </c>
      <c r="AI769" s="16" t="n">
        <v>91</v>
      </c>
      <c r="AJ769" s="16" t="n">
        <f aca="false">(AI769*70)/100</f>
        <v>63.7</v>
      </c>
      <c r="AK769" s="35" t="n">
        <f aca="false">ROUNDUP(AJ769,0)</f>
        <v>64</v>
      </c>
      <c r="AL769" s="16" t="n">
        <v>22</v>
      </c>
      <c r="AM769" s="16" t="n">
        <f aca="false">AL769+AJ769</f>
        <v>85.7</v>
      </c>
      <c r="AN769" s="16" t="n">
        <f aca="false">AL769+AK769</f>
        <v>86</v>
      </c>
      <c r="AO769" s="16" t="n">
        <v>76</v>
      </c>
      <c r="AP769" s="36" t="n">
        <f aca="false">(AO769*70)/100</f>
        <v>53.2</v>
      </c>
      <c r="AQ769" s="37" t="n">
        <f aca="false">ROUNDUP(AP769,0)</f>
        <v>54</v>
      </c>
      <c r="AR769" s="16" t="n">
        <v>25</v>
      </c>
      <c r="AS769" s="16" t="n">
        <f aca="false">AR769+AP769</f>
        <v>78.2</v>
      </c>
      <c r="AT769" s="16" t="n">
        <f aca="false">AR769+AQ769</f>
        <v>79</v>
      </c>
      <c r="AU769" s="16" t="n">
        <f aca="false">AO769+AF769+AI769+AH769+AG769</f>
        <v>419</v>
      </c>
      <c r="AV769" s="16" t="n">
        <f aca="false">(AO769+AF769+AI769+AH769+AG769)/5</f>
        <v>83.8</v>
      </c>
      <c r="AW769" s="36" t="n">
        <f aca="false">(AO769+AF769+AI769+AH769+AG769+X769+R769+Q769+K769+J769)</f>
        <v>786</v>
      </c>
      <c r="AX769" s="16" t="n">
        <v>78.6</v>
      </c>
      <c r="AY769" s="16" t="n">
        <f aca="false">AS769+AF769+AM769+AH769+AG769+AB769+V769+Q769+O769+J769</f>
        <v>796.4</v>
      </c>
      <c r="AZ769" s="16" t="n">
        <f aca="false">AT769+AF769+AN769+AH769+AG769+AC769+W769+Q769+P769+J769</f>
        <v>799</v>
      </c>
      <c r="BA769" s="16" t="n">
        <f aca="false">AY769/10</f>
        <v>79.64</v>
      </c>
      <c r="BB769" s="16" t="n">
        <f aca="false">AZ769/10</f>
        <v>79.9</v>
      </c>
      <c r="BC769" s="16" t="n">
        <v>2344</v>
      </c>
      <c r="BD769" s="16" t="n">
        <f aca="false">RANK(AX769,$AX$2:$AX$881,0)</f>
        <v>370</v>
      </c>
      <c r="BE769" s="54" t="n">
        <f aca="false">((BC769*100)/2400)*0.4+(AX769*0.6)</f>
        <v>86.2266666666667</v>
      </c>
      <c r="BF769" s="16" t="n">
        <f aca="false">RANK(BE769,$BE$2:$BE$881,0)</f>
        <v>397</v>
      </c>
      <c r="BG769" s="39" t="n">
        <f aca="false">RANK(BB769,$BB$2:$BB$881,0)</f>
        <v>356</v>
      </c>
      <c r="BH769" s="39" t="n">
        <f aca="false">RANK(BC769,$BC$2:$BC$881,0)</f>
        <v>598</v>
      </c>
      <c r="BI769" s="22" t="s">
        <v>130</v>
      </c>
      <c r="BJ769" s="22" t="s">
        <v>129</v>
      </c>
      <c r="BK769" s="40" t="s">
        <v>131</v>
      </c>
      <c r="BL769" s="98" t="n">
        <v>10</v>
      </c>
      <c r="BM769" s="61"/>
      <c r="BN769" s="61"/>
      <c r="BO769" s="42" t="n">
        <v>26</v>
      </c>
      <c r="BP769" s="61"/>
      <c r="BQ769" s="61"/>
      <c r="BR769" s="42" t="n">
        <v>16</v>
      </c>
      <c r="BS769" s="80"/>
      <c r="BT769" s="80"/>
      <c r="BU769" s="80"/>
      <c r="BV769" s="137"/>
      <c r="BW769" s="61"/>
      <c r="BX769" s="107"/>
      <c r="BY769" s="130"/>
      <c r="BZ769" s="60"/>
      <c r="CA769" s="60"/>
      <c r="CB769" s="61"/>
      <c r="CC769" s="60"/>
      <c r="CD769" s="60"/>
      <c r="CE769" s="60"/>
      <c r="CF769" s="60"/>
      <c r="CG769" s="60"/>
      <c r="CH769" s="60"/>
      <c r="CI769" s="60"/>
      <c r="CJ769" s="60"/>
      <c r="CK769" s="60"/>
      <c r="CL769" s="61"/>
      <c r="CM769" s="60"/>
      <c r="CN769" s="60"/>
      <c r="CO769" s="60"/>
      <c r="CP769" s="25" t="n">
        <f aca="false">BX769+BW769+BV769+BU769+BT769+BQ769+BN769</f>
        <v>0</v>
      </c>
      <c r="CQ769" s="25" t="n">
        <f aca="false">CO769+CL769+CI769+CH769+CG769+CD769+CA769</f>
        <v>0</v>
      </c>
      <c r="CR769" s="26" t="n">
        <f aca="false">CP769/7</f>
        <v>0</v>
      </c>
      <c r="CS769" s="26" t="n">
        <f aca="false">CQ769/7</f>
        <v>0</v>
      </c>
      <c r="CT769" s="24" t="n">
        <f aca="false">RANK(CR769,$CR$2:$CR$881,0)</f>
        <v>768</v>
      </c>
      <c r="CU769" s="25" t="n">
        <f aca="false">RANK(CS769,$CS$2:$CS$881,0)</f>
        <v>752</v>
      </c>
      <c r="CV769" s="26" t="n">
        <f aca="false">(CS769+CR769)/2</f>
        <v>0</v>
      </c>
      <c r="CW769" s="25" t="n">
        <f aca="false">RANK(CV769,$CV$2:$CV$881,0)</f>
        <v>753</v>
      </c>
      <c r="CX769" s="50" t="n">
        <f aca="false">(CV769+BB769)/2</f>
        <v>39.95</v>
      </c>
      <c r="CY769" s="50" t="n">
        <v>764</v>
      </c>
      <c r="CZ769" s="27" t="s">
        <v>132</v>
      </c>
      <c r="DA769" s="27" t="s">
        <v>169</v>
      </c>
      <c r="DB769" s="27" t="s">
        <v>169</v>
      </c>
      <c r="DC769" s="27" t="s">
        <v>134</v>
      </c>
      <c r="DD769" s="27" t="s">
        <v>174</v>
      </c>
      <c r="DE769" s="27" t="s">
        <v>203</v>
      </c>
      <c r="DF769" s="27" t="s">
        <v>209</v>
      </c>
      <c r="DG769" s="27" t="s">
        <v>134</v>
      </c>
      <c r="DH769" s="27" t="s">
        <v>154</v>
      </c>
      <c r="DI769" s="27" t="s">
        <v>218</v>
      </c>
      <c r="DJ769" s="27" t="s">
        <v>219</v>
      </c>
      <c r="DK769" s="27" t="s">
        <v>134</v>
      </c>
      <c r="DL769" s="27" t="s">
        <v>191</v>
      </c>
      <c r="DM769" s="27" t="s">
        <v>313</v>
      </c>
      <c r="DN769" s="27" t="s">
        <v>398</v>
      </c>
      <c r="DO769" s="27" t="s">
        <v>134</v>
      </c>
      <c r="DP769" s="27"/>
      <c r="DQ769" s="27"/>
      <c r="DR769" s="27"/>
      <c r="DS769" s="27"/>
      <c r="DT769" s="27" t="s">
        <v>137</v>
      </c>
      <c r="DU769" s="27" t="s">
        <v>183</v>
      </c>
      <c r="DV769" s="27" t="s">
        <v>209</v>
      </c>
      <c r="DW769" s="27" t="s">
        <v>137</v>
      </c>
      <c r="DX769" s="27" t="s">
        <v>155</v>
      </c>
      <c r="DY769" s="27" t="s">
        <v>142</v>
      </c>
      <c r="DZ769" s="27" t="n">
        <f aca="false">DY769+DV769+DR769+DN769+DJ769+DF769+DB769</f>
        <v>499</v>
      </c>
      <c r="EA769" s="28" t="n">
        <f aca="false">DZ769/7</f>
        <v>71.2857142857143</v>
      </c>
      <c r="EB769" s="27" t="n">
        <f aca="false">RANK(EA769,$EA$2:$EA$881,0)</f>
        <v>620</v>
      </c>
      <c r="EC769" s="29" t="n">
        <f aca="false">DZ769+CQ769+CP769+AZ769</f>
        <v>1298</v>
      </c>
      <c r="ED769" s="30" t="n">
        <f aca="false">(EA769+CV769+BB769)/3</f>
        <v>50.3952380952381</v>
      </c>
      <c r="EE769" s="51" t="n">
        <f aca="false">ROUND(BE769,3)</f>
        <v>86.227</v>
      </c>
      <c r="EF769" s="51" t="n">
        <f aca="false">ROUND(CR769,3)</f>
        <v>0</v>
      </c>
      <c r="EG769" s="51" t="n">
        <f aca="false">ROUND(CS769,3)</f>
        <v>0</v>
      </c>
      <c r="EH769" s="51" t="n">
        <f aca="false">ROUND(EA769,3)</f>
        <v>71.286</v>
      </c>
      <c r="EI769" s="51" t="n">
        <f aca="false">ROUND(ED769,3)</f>
        <v>50.395</v>
      </c>
      <c r="EJ769" s="51" t="n">
        <f aca="false">ROUND(CV769,3)</f>
        <v>0</v>
      </c>
      <c r="EK769" s="0" t="n">
        <f aca="false">RANK(EI769,$EI$2:$EI$881,0)</f>
        <v>768</v>
      </c>
    </row>
    <row r="770" customFormat="false" ht="15" hidden="false" customHeight="false" outlineLevel="0" collapsed="false">
      <c r="A770" s="4" t="n">
        <v>8675</v>
      </c>
      <c r="B770" s="4" t="n">
        <v>254</v>
      </c>
      <c r="C770" s="27" t="s">
        <v>2179</v>
      </c>
      <c r="D770" s="31" t="n">
        <v>256</v>
      </c>
      <c r="E770" s="16" t="n">
        <v>230512299</v>
      </c>
      <c r="F770" s="56" t="s">
        <v>2180</v>
      </c>
      <c r="G770" s="22" t="s">
        <v>280</v>
      </c>
      <c r="H770" s="22" t="s">
        <v>558</v>
      </c>
      <c r="I770" s="80"/>
      <c r="J770" s="16" t="n">
        <v>77</v>
      </c>
      <c r="K770" s="16" t="n">
        <v>71</v>
      </c>
      <c r="L770" s="34" t="n">
        <f aca="false">(K770*70)/100</f>
        <v>49.7</v>
      </c>
      <c r="M770" s="34" t="n">
        <f aca="false">ROUNDUP(L770,0)</f>
        <v>50</v>
      </c>
      <c r="N770" s="16" t="n">
        <v>22</v>
      </c>
      <c r="O770" s="34" t="n">
        <f aca="false">N770+L770</f>
        <v>71.7</v>
      </c>
      <c r="P770" s="34" t="n">
        <f aca="false">N770+M770</f>
        <v>72</v>
      </c>
      <c r="Q770" s="71" t="n">
        <v>50</v>
      </c>
      <c r="R770" s="16" t="n">
        <v>58</v>
      </c>
      <c r="S770" s="34" t="n">
        <f aca="false">(R770*70)/100</f>
        <v>40.6</v>
      </c>
      <c r="T770" s="34" t="n">
        <f aca="false">ROUNDUP(S770,0)</f>
        <v>41</v>
      </c>
      <c r="U770" s="16" t="n">
        <v>29</v>
      </c>
      <c r="V770" s="34" t="n">
        <f aca="false">U770+S770</f>
        <v>69.6</v>
      </c>
      <c r="W770" s="34" t="n">
        <f aca="false">U770+T770</f>
        <v>70</v>
      </c>
      <c r="X770" s="16" t="n">
        <v>48</v>
      </c>
      <c r="Y770" s="34" t="n">
        <f aca="false">(X770*70)/100</f>
        <v>33.6</v>
      </c>
      <c r="Z770" s="34" t="n">
        <f aca="false">ROUNDUP(Y770,0)</f>
        <v>34</v>
      </c>
      <c r="AA770" s="16" t="n">
        <v>25</v>
      </c>
      <c r="AB770" s="34" t="n">
        <f aca="false">AA770+Y770</f>
        <v>58.6</v>
      </c>
      <c r="AC770" s="91" t="n">
        <f aca="false">AA770+Z770</f>
        <v>59</v>
      </c>
      <c r="AD770" s="32" t="n">
        <f aca="false">X770+R770+Q770+K770+J770</f>
        <v>304</v>
      </c>
      <c r="AE770" s="16" t="n">
        <f aca="false">AD770/5</f>
        <v>60.8</v>
      </c>
      <c r="AF770" s="71" t="n">
        <v>51</v>
      </c>
      <c r="AG770" s="16" t="n">
        <v>79</v>
      </c>
      <c r="AH770" s="16" t="n">
        <v>72</v>
      </c>
      <c r="AI770" s="16" t="n">
        <v>68</v>
      </c>
      <c r="AJ770" s="16" t="n">
        <f aca="false">(AI770*70)/100</f>
        <v>47.6</v>
      </c>
      <c r="AK770" s="35" t="n">
        <f aca="false">ROUNDUP(AJ770,0)</f>
        <v>48</v>
      </c>
      <c r="AL770" s="16" t="n">
        <v>24</v>
      </c>
      <c r="AM770" s="16" t="n">
        <f aca="false">AL770+AJ770</f>
        <v>71.6</v>
      </c>
      <c r="AN770" s="16" t="n">
        <f aca="false">AL770+AK770</f>
        <v>72</v>
      </c>
      <c r="AO770" s="16" t="n">
        <v>63</v>
      </c>
      <c r="AP770" s="36" t="n">
        <f aca="false">(AO770*70)/100</f>
        <v>44.1</v>
      </c>
      <c r="AQ770" s="37" t="n">
        <f aca="false">ROUNDUP(AP770,0)</f>
        <v>45</v>
      </c>
      <c r="AR770" s="16" t="n">
        <v>26</v>
      </c>
      <c r="AS770" s="16" t="n">
        <f aca="false">AR770+AP770</f>
        <v>70.1</v>
      </c>
      <c r="AT770" s="16" t="n">
        <f aca="false">AR770+AQ770</f>
        <v>71</v>
      </c>
      <c r="AU770" s="16" t="n">
        <f aca="false">AO770+AF770+AI770+AH770+AG770</f>
        <v>333</v>
      </c>
      <c r="AV770" s="16" t="n">
        <f aca="false">(AO770+AF770+AI770+AH770+AG770)/5</f>
        <v>66.6</v>
      </c>
      <c r="AW770" s="36" t="n">
        <f aca="false">(AO770+AF770+AI770+AH770+AG770+X770+R770+Q770+K770+J770)</f>
        <v>637</v>
      </c>
      <c r="AX770" s="16" t="n">
        <f aca="false">AW770/10</f>
        <v>63.7</v>
      </c>
      <c r="AY770" s="16" t="n">
        <f aca="false">AS770+AF770+AM770+AH770+AG770+AB770+V770+Q770+O770+J770</f>
        <v>670.6</v>
      </c>
      <c r="AZ770" s="16" t="n">
        <f aca="false">AT770+AF770+AN770+AH770+AG770+AC770+W770+Q770+P770+J770</f>
        <v>673</v>
      </c>
      <c r="BA770" s="16" t="n">
        <f aca="false">AY770/10</f>
        <v>67.06</v>
      </c>
      <c r="BB770" s="16" t="n">
        <f aca="false">AZ770/10</f>
        <v>67.3</v>
      </c>
      <c r="BC770" s="16" t="n">
        <v>2354</v>
      </c>
      <c r="BD770" s="16" t="n">
        <f aca="false">RANK(AX770,$AX$2:$AX$881,0)</f>
        <v>777</v>
      </c>
      <c r="BE770" s="78" t="n">
        <f aca="false">((BC770*100)/2400)*0.4+(AX770*0.6)</f>
        <v>77.4533333333333</v>
      </c>
      <c r="BF770" s="16" t="n">
        <f aca="false">RANK(BE770,$BE$2:$BE$881,0)</f>
        <v>756</v>
      </c>
      <c r="BG770" s="39" t="n">
        <f aca="false">RANK(BB770,$BB$2:$BB$881,0)</f>
        <v>765</v>
      </c>
      <c r="BH770" s="39" t="n">
        <f aca="false">RANK(BC770,$BC$2:$BC$881,0)</f>
        <v>490</v>
      </c>
      <c r="BI770" s="22" t="s">
        <v>130</v>
      </c>
      <c r="BJ770" s="22" t="s">
        <v>129</v>
      </c>
      <c r="BK770" s="40" t="s">
        <v>702</v>
      </c>
      <c r="BL770" s="98" t="n">
        <v>6</v>
      </c>
      <c r="BM770" s="61"/>
      <c r="BN770" s="61"/>
      <c r="BO770" s="42" t="n">
        <v>27</v>
      </c>
      <c r="BP770" s="61"/>
      <c r="BQ770" s="61"/>
      <c r="BR770" s="42" t="n">
        <v>20</v>
      </c>
      <c r="BS770" s="80"/>
      <c r="BT770" s="80"/>
      <c r="BU770" s="80"/>
      <c r="BV770" s="137"/>
      <c r="BW770" s="61"/>
      <c r="BX770" s="107"/>
      <c r="BY770" s="130"/>
      <c r="BZ770" s="60"/>
      <c r="CA770" s="60"/>
      <c r="CB770" s="61"/>
      <c r="CC770" s="60"/>
      <c r="CD770" s="60"/>
      <c r="CE770" s="60"/>
      <c r="CF770" s="60"/>
      <c r="CG770" s="60"/>
      <c r="CH770" s="60"/>
      <c r="CI770" s="60"/>
      <c r="CJ770" s="60"/>
      <c r="CK770" s="60"/>
      <c r="CL770" s="61"/>
      <c r="CM770" s="60"/>
      <c r="CN770" s="60"/>
      <c r="CO770" s="60"/>
      <c r="CP770" s="25" t="n">
        <f aca="false">BX770+BW770+BV770+BU770+BT770+BQ770+BN770</f>
        <v>0</v>
      </c>
      <c r="CQ770" s="25" t="n">
        <f aca="false">CO770+CL770+CI770+CH770+CG770+CD770+CA770</f>
        <v>0</v>
      </c>
      <c r="CR770" s="26" t="n">
        <f aca="false">CP770/7</f>
        <v>0</v>
      </c>
      <c r="CS770" s="26" t="n">
        <f aca="false">CQ770/7</f>
        <v>0</v>
      </c>
      <c r="CT770" s="24" t="n">
        <f aca="false">RANK(CR770,$CR$2:$CR$881,0)</f>
        <v>768</v>
      </c>
      <c r="CU770" s="25" t="n">
        <f aca="false">RANK(CS770,$CS$2:$CS$881,0)</f>
        <v>752</v>
      </c>
      <c r="CV770" s="26" t="n">
        <f aca="false">(CS770+CR770)/2</f>
        <v>0</v>
      </c>
      <c r="CW770" s="25" t="n">
        <f aca="false">RANK(CV770,$CV$2:$CV$881,0)</f>
        <v>753</v>
      </c>
      <c r="CX770" s="50" t="n">
        <f aca="false">(CV770+BB770)/2</f>
        <v>33.65</v>
      </c>
      <c r="CY770" s="50" t="n">
        <v>864</v>
      </c>
      <c r="CZ770" s="27" t="s">
        <v>132</v>
      </c>
      <c r="DA770" s="27" t="s">
        <v>205</v>
      </c>
      <c r="DB770" s="27" t="s">
        <v>205</v>
      </c>
      <c r="DC770" s="27" t="s">
        <v>134</v>
      </c>
      <c r="DD770" s="27" t="s">
        <v>174</v>
      </c>
      <c r="DE770" s="27" t="s">
        <v>304</v>
      </c>
      <c r="DF770" s="27" t="s">
        <v>443</v>
      </c>
      <c r="DG770" s="27" t="s">
        <v>134</v>
      </c>
      <c r="DH770" s="27" t="s">
        <v>164</v>
      </c>
      <c r="DI770" s="27" t="s">
        <v>447</v>
      </c>
      <c r="DJ770" s="27" t="s">
        <v>219</v>
      </c>
      <c r="DK770" s="27" t="s">
        <v>134</v>
      </c>
      <c r="DL770" s="27" t="s">
        <v>137</v>
      </c>
      <c r="DM770" s="27" t="s">
        <v>136</v>
      </c>
      <c r="DN770" s="27" t="s">
        <v>162</v>
      </c>
      <c r="DO770" s="27" t="s">
        <v>134</v>
      </c>
      <c r="DP770" s="27" t="s">
        <v>182</v>
      </c>
      <c r="DQ770" s="27" t="s">
        <v>412</v>
      </c>
      <c r="DR770" s="27" t="s">
        <v>441</v>
      </c>
      <c r="DS770" s="27" t="s">
        <v>134</v>
      </c>
      <c r="DT770" s="27" t="s">
        <v>135</v>
      </c>
      <c r="DU770" s="27" t="s">
        <v>177</v>
      </c>
      <c r="DV770" s="27" t="s">
        <v>175</v>
      </c>
      <c r="DW770" s="27" t="s">
        <v>146</v>
      </c>
      <c r="DX770" s="27" t="s">
        <v>138</v>
      </c>
      <c r="DY770" s="27" t="s">
        <v>147</v>
      </c>
      <c r="DZ770" s="27" t="n">
        <f aca="false">DY770+DV770+DR770+DN770+DJ770+DF770+DB770</f>
        <v>586</v>
      </c>
      <c r="EA770" s="28" t="n">
        <f aca="false">DZ770/7</f>
        <v>83.7142857142857</v>
      </c>
      <c r="EB770" s="27" t="n">
        <f aca="false">RANK(EA770,$EA$2:$EA$881,0)</f>
        <v>237</v>
      </c>
      <c r="EC770" s="29" t="n">
        <f aca="false">DZ770+CQ770+CP770+AZ770</f>
        <v>1259</v>
      </c>
      <c r="ED770" s="30" t="n">
        <f aca="false">(EA770+CV770+BB770)/3</f>
        <v>50.3380952380952</v>
      </c>
      <c r="EE770" s="51" t="n">
        <f aca="false">ROUND(BE770,3)</f>
        <v>77.453</v>
      </c>
      <c r="EF770" s="51" t="n">
        <f aca="false">ROUND(CR770,3)</f>
        <v>0</v>
      </c>
      <c r="EG770" s="51" t="n">
        <f aca="false">ROUND(CS770,3)</f>
        <v>0</v>
      </c>
      <c r="EH770" s="51" t="n">
        <f aca="false">ROUND(EA770,3)</f>
        <v>83.714</v>
      </c>
      <c r="EI770" s="51" t="n">
        <f aca="false">ROUND(ED770,3)</f>
        <v>50.338</v>
      </c>
      <c r="EJ770" s="51" t="n">
        <f aca="false">ROUND(CV770,3)</f>
        <v>0</v>
      </c>
      <c r="EK770" s="0" t="n">
        <f aca="false">RANK(EI770,$EI$2:$EI$881,0)</f>
        <v>769</v>
      </c>
    </row>
    <row r="771" customFormat="false" ht="16.85" hidden="false" customHeight="false" outlineLevel="0" collapsed="false">
      <c r="A771" s="4" t="n">
        <v>1814</v>
      </c>
      <c r="B771" s="4" t="n">
        <v>512</v>
      </c>
      <c r="C771" s="27" t="s">
        <v>2181</v>
      </c>
      <c r="D771" s="31" t="n">
        <v>517</v>
      </c>
      <c r="E771" s="16" t="n">
        <v>230508857</v>
      </c>
      <c r="F771" s="56" t="s">
        <v>2182</v>
      </c>
      <c r="G771" s="22" t="s">
        <v>2183</v>
      </c>
      <c r="H771" s="22" t="s">
        <v>465</v>
      </c>
      <c r="I771" s="80"/>
      <c r="J771" s="16" t="n">
        <v>68</v>
      </c>
      <c r="K771" s="16" t="n">
        <v>88</v>
      </c>
      <c r="L771" s="34" t="n">
        <f aca="false">(K771*70)/100</f>
        <v>61.6</v>
      </c>
      <c r="M771" s="34" t="n">
        <f aca="false">ROUNDUP(L771,0)</f>
        <v>62</v>
      </c>
      <c r="N771" s="16" t="n">
        <v>29</v>
      </c>
      <c r="O771" s="34" t="n">
        <f aca="false">N771+L771</f>
        <v>90.6</v>
      </c>
      <c r="P771" s="34" t="n">
        <f aca="false">N771+M771</f>
        <v>91</v>
      </c>
      <c r="Q771" s="16" t="n">
        <v>80</v>
      </c>
      <c r="R771" s="16" t="n">
        <v>76</v>
      </c>
      <c r="S771" s="34" t="n">
        <f aca="false">(R771*70)/100</f>
        <v>53.2</v>
      </c>
      <c r="T771" s="34" t="n">
        <f aca="false">ROUNDUP(S771,0)</f>
        <v>54</v>
      </c>
      <c r="U771" s="16" t="n">
        <v>21</v>
      </c>
      <c r="V771" s="34" t="n">
        <f aca="false">U771+S771</f>
        <v>74.2</v>
      </c>
      <c r="W771" s="34" t="n">
        <f aca="false">U771+T771</f>
        <v>75</v>
      </c>
      <c r="X771" s="16" t="n">
        <v>75</v>
      </c>
      <c r="Y771" s="34" t="n">
        <f aca="false">(X771*70)/100</f>
        <v>52.5</v>
      </c>
      <c r="Z771" s="34" t="n">
        <f aca="false">ROUNDUP(Y771,0)</f>
        <v>53</v>
      </c>
      <c r="AA771" s="16" t="n">
        <v>27</v>
      </c>
      <c r="AB771" s="34" t="n">
        <f aca="false">AA771+Y771</f>
        <v>79.5</v>
      </c>
      <c r="AC771" s="34" t="n">
        <f aca="false">AA771+Z771</f>
        <v>80</v>
      </c>
      <c r="AD771" s="32" t="n">
        <f aca="false">X771+R771+Q771+K771+J771</f>
        <v>387</v>
      </c>
      <c r="AE771" s="16" t="n">
        <f aca="false">AD771/5</f>
        <v>77.4</v>
      </c>
      <c r="AF771" s="16" t="n">
        <v>74</v>
      </c>
      <c r="AG771" s="16" t="n">
        <v>70</v>
      </c>
      <c r="AH771" s="16" t="n">
        <v>90</v>
      </c>
      <c r="AI771" s="16" t="n">
        <v>76</v>
      </c>
      <c r="AJ771" s="16" t="n">
        <f aca="false">(AI771*70)/100</f>
        <v>53.2</v>
      </c>
      <c r="AK771" s="35" t="n">
        <f aca="false">ROUNDUP(AJ771,0)</f>
        <v>54</v>
      </c>
      <c r="AL771" s="16" t="n">
        <v>20</v>
      </c>
      <c r="AM771" s="16" t="n">
        <f aca="false">AL771+AJ771</f>
        <v>73.2</v>
      </c>
      <c r="AN771" s="16" t="n">
        <f aca="false">AL771+AK771</f>
        <v>74</v>
      </c>
      <c r="AO771" s="16" t="n">
        <v>75</v>
      </c>
      <c r="AP771" s="36" t="n">
        <f aca="false">(AO771*70)/100</f>
        <v>52.5</v>
      </c>
      <c r="AQ771" s="37" t="n">
        <f aca="false">ROUNDUP(AP771,0)</f>
        <v>53</v>
      </c>
      <c r="AR771" s="16" t="n">
        <v>17</v>
      </c>
      <c r="AS771" s="16" t="n">
        <f aca="false">AR771+AP771</f>
        <v>69.5</v>
      </c>
      <c r="AT771" s="16" t="n">
        <f aca="false">AR771+AQ771</f>
        <v>70</v>
      </c>
      <c r="AU771" s="16" t="n">
        <f aca="false">AO771+AF771+AI771+AH771+AG771</f>
        <v>385</v>
      </c>
      <c r="AV771" s="16" t="n">
        <f aca="false">(AO771+AF771+AI771+AH771+AG771)/5</f>
        <v>77</v>
      </c>
      <c r="AW771" s="36" t="n">
        <f aca="false">(AO771+AF771+AI771+AH771+AG771+X771+R771+Q771+K771+J771)</f>
        <v>772</v>
      </c>
      <c r="AX771" s="16" t="n">
        <f aca="false">AW771/10</f>
        <v>77.2</v>
      </c>
      <c r="AY771" s="16" t="n">
        <f aca="false">AS771+AF771+AM771+AH771+AG771+AB771+V771+Q771+O771+J771</f>
        <v>769</v>
      </c>
      <c r="AZ771" s="16" t="n">
        <f aca="false">AT771+AF771+AN771+AH771+AG771+AC771+W771+Q771+P771+J771</f>
        <v>772</v>
      </c>
      <c r="BA771" s="16" t="n">
        <f aca="false">AY771/10</f>
        <v>76.9</v>
      </c>
      <c r="BB771" s="16" t="n">
        <f aca="false">AZ771/10</f>
        <v>77.2</v>
      </c>
      <c r="BC771" s="16" t="n">
        <v>2341</v>
      </c>
      <c r="BD771" s="16" t="n">
        <f aca="false">RANK(AX771,$AX$2:$AX$881,0)</f>
        <v>482</v>
      </c>
      <c r="BE771" s="54" t="n">
        <f aca="false">((BC771*100)/2400)*0.4+(AX771*0.6)</f>
        <v>85.3366666666667</v>
      </c>
      <c r="BF771" s="16" t="n">
        <f aca="false">RANK(BE771,$BE$2:$BE$881,0)</f>
        <v>535</v>
      </c>
      <c r="BG771" s="39" t="n">
        <f aca="false">RANK(BB771,$BB$2:$BB$881,0)</f>
        <v>628</v>
      </c>
      <c r="BH771" s="39" t="n">
        <f aca="false">RANK(BC771,$BC$2:$BC$881,0)</f>
        <v>628</v>
      </c>
      <c r="BI771" s="22" t="s">
        <v>130</v>
      </c>
      <c r="BJ771" s="22" t="s">
        <v>129</v>
      </c>
      <c r="BK771" s="40" t="s">
        <v>509</v>
      </c>
      <c r="BL771" s="41" t="n">
        <v>12</v>
      </c>
      <c r="BM771" s="61"/>
      <c r="BN771" s="61"/>
      <c r="BO771" s="42" t="n">
        <v>21</v>
      </c>
      <c r="BP771" s="61"/>
      <c r="BQ771" s="61"/>
      <c r="BR771" s="42" t="n">
        <v>13</v>
      </c>
      <c r="BS771" s="80"/>
      <c r="BT771" s="80"/>
      <c r="BU771" s="80"/>
      <c r="BV771" s="137"/>
      <c r="BW771" s="61"/>
      <c r="BX771" s="107"/>
      <c r="BY771" s="130"/>
      <c r="BZ771" s="60"/>
      <c r="CA771" s="60"/>
      <c r="CB771" s="61"/>
      <c r="CC771" s="60"/>
      <c r="CD771" s="60"/>
      <c r="CE771" s="60"/>
      <c r="CF771" s="60"/>
      <c r="CG771" s="60"/>
      <c r="CH771" s="60"/>
      <c r="CI771" s="60"/>
      <c r="CJ771" s="60"/>
      <c r="CK771" s="60"/>
      <c r="CL771" s="61"/>
      <c r="CM771" s="60"/>
      <c r="CN771" s="60"/>
      <c r="CO771" s="60"/>
      <c r="CP771" s="25" t="n">
        <f aca="false">BX771+BW771+BV771+BU771+BT771+BQ771+BN771</f>
        <v>0</v>
      </c>
      <c r="CQ771" s="25" t="n">
        <f aca="false">CO771+CL771+CI771+CH771+CG771+CD771+CA771</f>
        <v>0</v>
      </c>
      <c r="CR771" s="26" t="n">
        <f aca="false">CP771/7</f>
        <v>0</v>
      </c>
      <c r="CS771" s="26" t="n">
        <f aca="false">CQ771/7</f>
        <v>0</v>
      </c>
      <c r="CT771" s="24" t="n">
        <f aca="false">RANK(CR771,$CR$2:$CR$881,0)</f>
        <v>768</v>
      </c>
      <c r="CU771" s="25" t="n">
        <f aca="false">RANK(CS771,$CS$2:$CS$881,0)</f>
        <v>752</v>
      </c>
      <c r="CV771" s="26" t="n">
        <f aca="false">(CS771+CR771)/2</f>
        <v>0</v>
      </c>
      <c r="CW771" s="25" t="n">
        <f aca="false">RANK(CV771,$CV$2:$CV$881,0)</f>
        <v>753</v>
      </c>
      <c r="CX771" s="50" t="n">
        <f aca="false">(CV771+BB771)/2</f>
        <v>38.6</v>
      </c>
      <c r="CY771" s="50" t="n">
        <v>837</v>
      </c>
      <c r="CZ771" s="27" t="s">
        <v>132</v>
      </c>
      <c r="DA771" s="27" t="s">
        <v>205</v>
      </c>
      <c r="DB771" s="27" t="s">
        <v>205</v>
      </c>
      <c r="DC771" s="27" t="s">
        <v>134</v>
      </c>
      <c r="DD771" s="27" t="s">
        <v>182</v>
      </c>
      <c r="DE771" s="27" t="s">
        <v>415</v>
      </c>
      <c r="DF771" s="27" t="s">
        <v>416</v>
      </c>
      <c r="DG771" s="27" t="s">
        <v>134</v>
      </c>
      <c r="DH771" s="27" t="s">
        <v>160</v>
      </c>
      <c r="DI771" s="27" t="s">
        <v>183</v>
      </c>
      <c r="DJ771" s="27" t="s">
        <v>202</v>
      </c>
      <c r="DK771" s="27" t="s">
        <v>134</v>
      </c>
      <c r="DL771" s="27" t="s">
        <v>195</v>
      </c>
      <c r="DM771" s="27" t="s">
        <v>673</v>
      </c>
      <c r="DN771" s="27" t="s">
        <v>203</v>
      </c>
      <c r="DO771" s="27" t="s">
        <v>134</v>
      </c>
      <c r="DP771" s="27" t="s">
        <v>485</v>
      </c>
      <c r="DQ771" s="27" t="s">
        <v>673</v>
      </c>
      <c r="DR771" s="27" t="s">
        <v>183</v>
      </c>
      <c r="DS771" s="27" t="s">
        <v>480</v>
      </c>
      <c r="DT771" s="27" t="s">
        <v>140</v>
      </c>
      <c r="DU771" s="27" t="s">
        <v>1423</v>
      </c>
      <c r="DV771" s="27" t="s">
        <v>177</v>
      </c>
      <c r="DW771" s="27" t="s">
        <v>146</v>
      </c>
      <c r="DX771" s="27" t="s">
        <v>141</v>
      </c>
      <c r="DY771" s="27" t="s">
        <v>144</v>
      </c>
      <c r="DZ771" s="27" t="n">
        <f aca="false">DY771+DV771+DR771+DN771+DJ771+DF771+DB771</f>
        <v>516</v>
      </c>
      <c r="EA771" s="28" t="n">
        <f aca="false">DZ771/7</f>
        <v>73.7142857142857</v>
      </c>
      <c r="EB771" s="27" t="n">
        <f aca="false">RANK(EA771,$EA$2:$EA$881,0)</f>
        <v>573</v>
      </c>
      <c r="EC771" s="29" t="n">
        <f aca="false">DZ771+CQ771+CP771+AZ771</f>
        <v>1288</v>
      </c>
      <c r="ED771" s="30" t="n">
        <f aca="false">(EA771+CV771+BB771)/3</f>
        <v>50.3047619047619</v>
      </c>
      <c r="EE771" s="51" t="n">
        <f aca="false">ROUND(BE771,3)</f>
        <v>85.337</v>
      </c>
      <c r="EF771" s="51" t="n">
        <f aca="false">ROUND(CR771,3)</f>
        <v>0</v>
      </c>
      <c r="EG771" s="51" t="n">
        <f aca="false">ROUND(CS771,3)</f>
        <v>0</v>
      </c>
      <c r="EH771" s="51" t="n">
        <f aca="false">ROUND(EA771,3)</f>
        <v>73.714</v>
      </c>
      <c r="EI771" s="51" t="n">
        <f aca="false">ROUND(ED771,3)</f>
        <v>50.305</v>
      </c>
      <c r="EJ771" s="51" t="n">
        <f aca="false">ROUND(CV771,3)</f>
        <v>0</v>
      </c>
      <c r="EK771" s="0" t="n">
        <f aca="false">RANK(EI771,$EI$2:$EI$881,0)</f>
        <v>770</v>
      </c>
    </row>
    <row r="772" customFormat="false" ht="15" hidden="false" customHeight="false" outlineLevel="0" collapsed="false">
      <c r="A772" s="4" t="n">
        <v>2079</v>
      </c>
      <c r="B772" s="4" t="n">
        <v>224</v>
      </c>
      <c r="C772" s="27" t="s">
        <v>2184</v>
      </c>
      <c r="D772" s="31" t="n">
        <v>226</v>
      </c>
      <c r="E772" s="16" t="n">
        <v>230510530</v>
      </c>
      <c r="F772" s="56" t="s">
        <v>2185</v>
      </c>
      <c r="G772" s="22" t="s">
        <v>1632</v>
      </c>
      <c r="H772" s="22" t="s">
        <v>465</v>
      </c>
      <c r="I772" s="80"/>
      <c r="J772" s="16" t="n">
        <v>83</v>
      </c>
      <c r="K772" s="16" t="n">
        <v>74</v>
      </c>
      <c r="L772" s="34" t="n">
        <f aca="false">(K772*70)/100</f>
        <v>51.8</v>
      </c>
      <c r="M772" s="34" t="n">
        <f aca="false">ROUNDUP(L772,0)</f>
        <v>52</v>
      </c>
      <c r="N772" s="16" t="n">
        <v>29</v>
      </c>
      <c r="O772" s="34" t="n">
        <f aca="false">N772+L772</f>
        <v>80.8</v>
      </c>
      <c r="P772" s="34" t="n">
        <f aca="false">N772+M772</f>
        <v>81</v>
      </c>
      <c r="Q772" s="16" t="n">
        <v>95</v>
      </c>
      <c r="R772" s="16" t="n">
        <v>77</v>
      </c>
      <c r="S772" s="34" t="n">
        <f aca="false">(R772*70)/100</f>
        <v>53.9</v>
      </c>
      <c r="T772" s="34" t="n">
        <f aca="false">ROUNDUP(S772,0)</f>
        <v>54</v>
      </c>
      <c r="U772" s="16" t="n">
        <v>28</v>
      </c>
      <c r="V772" s="34" t="n">
        <f aca="false">U772+S772</f>
        <v>81.9</v>
      </c>
      <c r="W772" s="34" t="n">
        <f aca="false">U772+T772</f>
        <v>82</v>
      </c>
      <c r="X772" s="16" t="n">
        <v>60</v>
      </c>
      <c r="Y772" s="34" t="n">
        <f aca="false">(X772*70)/100</f>
        <v>42</v>
      </c>
      <c r="Z772" s="34" t="n">
        <f aca="false">ROUNDUP(Y772,0)</f>
        <v>42</v>
      </c>
      <c r="AA772" s="16" t="n">
        <v>27</v>
      </c>
      <c r="AB772" s="34" t="n">
        <f aca="false">AA772+Y772</f>
        <v>69</v>
      </c>
      <c r="AC772" s="34" t="n">
        <f aca="false">AA772+Z772</f>
        <v>69</v>
      </c>
      <c r="AD772" s="32" t="n">
        <f aca="false">X772+R772+Q772+K772+J772</f>
        <v>389</v>
      </c>
      <c r="AE772" s="16" t="n">
        <f aca="false">AD772/5</f>
        <v>77.8</v>
      </c>
      <c r="AF772" s="16" t="n">
        <v>61</v>
      </c>
      <c r="AG772" s="16" t="n">
        <v>84</v>
      </c>
      <c r="AH772" s="16" t="n">
        <v>86</v>
      </c>
      <c r="AI772" s="16" t="n">
        <v>87</v>
      </c>
      <c r="AJ772" s="16" t="n">
        <f aca="false">(AI772*70)/100</f>
        <v>60.9</v>
      </c>
      <c r="AK772" s="35" t="n">
        <f aca="false">ROUNDUP(AJ772,0)</f>
        <v>61</v>
      </c>
      <c r="AL772" s="16" t="n">
        <v>25</v>
      </c>
      <c r="AM772" s="16" t="n">
        <f aca="false">AL772+AJ772</f>
        <v>85.9</v>
      </c>
      <c r="AN772" s="16" t="n">
        <f aca="false">AL772+AK772</f>
        <v>86</v>
      </c>
      <c r="AO772" s="16" t="n">
        <v>55</v>
      </c>
      <c r="AP772" s="36" t="n">
        <f aca="false">(AO772*70)/100</f>
        <v>38.5</v>
      </c>
      <c r="AQ772" s="37" t="n">
        <f aca="false">ROUNDUP(AP772,0)</f>
        <v>39</v>
      </c>
      <c r="AR772" s="16" t="n">
        <v>22</v>
      </c>
      <c r="AS772" s="16" t="n">
        <f aca="false">AR772+AP772</f>
        <v>60.5</v>
      </c>
      <c r="AT772" s="16" t="n">
        <f aca="false">AR772+AQ772</f>
        <v>61</v>
      </c>
      <c r="AU772" s="16" t="n">
        <f aca="false">AO772+AF772+AI772+AH772+AG772</f>
        <v>373</v>
      </c>
      <c r="AV772" s="16" t="n">
        <f aca="false">(AO772+AF772+AI772+AH772+AG772)/5</f>
        <v>74.6</v>
      </c>
      <c r="AW772" s="36" t="n">
        <f aca="false">(AO772+AF772+AI772+AH772+AG772+X772+R772+Q772+K772+J772)</f>
        <v>762</v>
      </c>
      <c r="AX772" s="16" t="n">
        <f aca="false">AW772/10</f>
        <v>76.2</v>
      </c>
      <c r="AY772" s="16" t="n">
        <f aca="false">AS772+AF772+AM772+AH772+AG772+AB772+V772+Q772+O772+J772</f>
        <v>787.1</v>
      </c>
      <c r="AZ772" s="16" t="n">
        <f aca="false">AT772+AF772+AN772+AH772+AG772+AC772+W772+Q772+P772+J772</f>
        <v>788</v>
      </c>
      <c r="BA772" s="16" t="n">
        <f aca="false">AY772/10</f>
        <v>78.71</v>
      </c>
      <c r="BB772" s="16" t="n">
        <f aca="false">AZ772/10</f>
        <v>78.8</v>
      </c>
      <c r="BC772" s="16" t="n">
        <v>2382</v>
      </c>
      <c r="BD772" s="16" t="n">
        <f aca="false">RANK(AX772,$AX$2:$AX$881,0)</f>
        <v>600</v>
      </c>
      <c r="BE772" s="54" t="n">
        <f aca="false">((BC772*100)/2400)*0.4+(AX772*0.6)</f>
        <v>85.42</v>
      </c>
      <c r="BF772" s="16" t="n">
        <f aca="false">RANK(BE772,$BE$2:$BE$881,0)</f>
        <v>524</v>
      </c>
      <c r="BG772" s="39" t="n">
        <f aca="false">RANK(BB772,$BB$2:$BB$881,0)</f>
        <v>472</v>
      </c>
      <c r="BH772" s="39" t="n">
        <f aca="false">RANK(BC772,$BC$2:$BC$881,0)</f>
        <v>124</v>
      </c>
      <c r="BI772" s="22" t="s">
        <v>130</v>
      </c>
      <c r="BJ772" s="22" t="s">
        <v>129</v>
      </c>
      <c r="BK772" s="40" t="s">
        <v>509</v>
      </c>
      <c r="BL772" s="105" t="n">
        <v>13.5</v>
      </c>
      <c r="BM772" s="61"/>
      <c r="BN772" s="61"/>
      <c r="BO772" s="42" t="n">
        <v>19</v>
      </c>
      <c r="BP772" s="61"/>
      <c r="BQ772" s="61"/>
      <c r="BR772" s="42" t="n">
        <v>22</v>
      </c>
      <c r="BS772" s="80"/>
      <c r="BT772" s="80"/>
      <c r="BU772" s="80"/>
      <c r="BV772" s="137"/>
      <c r="BW772" s="61"/>
      <c r="BX772" s="107"/>
      <c r="BY772" s="130"/>
      <c r="BZ772" s="60"/>
      <c r="CA772" s="60"/>
      <c r="CB772" s="61"/>
      <c r="CC772" s="60"/>
      <c r="CD772" s="60"/>
      <c r="CE772" s="60"/>
      <c r="CF772" s="60"/>
      <c r="CG772" s="60"/>
      <c r="CH772" s="60"/>
      <c r="CI772" s="58" t="n">
        <v>99</v>
      </c>
      <c r="CJ772" s="58" t="n">
        <v>21</v>
      </c>
      <c r="CK772" s="58" t="n">
        <v>48</v>
      </c>
      <c r="CL772" s="59" t="n">
        <v>69</v>
      </c>
      <c r="CM772" s="60"/>
      <c r="CN772" s="60"/>
      <c r="CO772" s="60"/>
      <c r="CP772" s="25" t="n">
        <f aca="false">BX772+BW772+BV772+BU772+BT772+BQ772+BN772</f>
        <v>0</v>
      </c>
      <c r="CQ772" s="25" t="n">
        <f aca="false">CO772+CL772+CI772+CH772+CG772+CD772+CA772</f>
        <v>168</v>
      </c>
      <c r="CR772" s="26" t="n">
        <f aca="false">CP772/7</f>
        <v>0</v>
      </c>
      <c r="CS772" s="26" t="n">
        <f aca="false">CQ772/7</f>
        <v>24</v>
      </c>
      <c r="CT772" s="24" t="n">
        <f aca="false">RANK(CR772,$CR$2:$CR$881,0)</f>
        <v>768</v>
      </c>
      <c r="CU772" s="25" t="n">
        <f aca="false">RANK(CS772,$CS$2:$CS$881,0)</f>
        <v>728</v>
      </c>
      <c r="CV772" s="26" t="n">
        <f aca="false">(CS772+CR772)/2</f>
        <v>12</v>
      </c>
      <c r="CW772" s="25" t="n">
        <f aca="false">RANK(CV772,$CV$2:$CV$881,0)</f>
        <v>748</v>
      </c>
      <c r="CX772" s="50" t="n">
        <f aca="false">(CV772+BB772)/2</f>
        <v>45.4</v>
      </c>
      <c r="CY772" s="50" t="n">
        <v>792</v>
      </c>
      <c r="CZ772" s="27" t="s">
        <v>132</v>
      </c>
      <c r="DA772" s="27" t="s">
        <v>272</v>
      </c>
      <c r="DB772" s="27" t="s">
        <v>272</v>
      </c>
      <c r="DC772" s="27" t="s">
        <v>134</v>
      </c>
      <c r="DD772" s="27" t="s">
        <v>182</v>
      </c>
      <c r="DE772" s="27" t="s">
        <v>306</v>
      </c>
      <c r="DF772" s="27" t="s">
        <v>272</v>
      </c>
      <c r="DG772" s="27" t="s">
        <v>134</v>
      </c>
      <c r="DH772" s="27" t="s">
        <v>154</v>
      </c>
      <c r="DI772" s="27" t="s">
        <v>1309</v>
      </c>
      <c r="DJ772" s="27" t="s">
        <v>183</v>
      </c>
      <c r="DK772" s="27" t="s">
        <v>480</v>
      </c>
      <c r="DL772" s="27" t="s">
        <v>264</v>
      </c>
      <c r="DM772" s="27" t="s">
        <v>481</v>
      </c>
      <c r="DN772" s="27" t="s">
        <v>220</v>
      </c>
      <c r="DO772" s="27" t="s">
        <v>480</v>
      </c>
      <c r="DP772" s="27"/>
      <c r="DQ772" s="27"/>
      <c r="DR772" s="27"/>
      <c r="DS772" s="27"/>
      <c r="DT772" s="27" t="s">
        <v>154</v>
      </c>
      <c r="DU772" s="27" t="s">
        <v>140</v>
      </c>
      <c r="DV772" s="27" t="s">
        <v>313</v>
      </c>
      <c r="DW772" s="27" t="s">
        <v>154</v>
      </c>
      <c r="DX772" s="27" t="s">
        <v>141</v>
      </c>
      <c r="DY772" s="27" t="s">
        <v>153</v>
      </c>
      <c r="DZ772" s="27" t="n">
        <f aca="false">DY772+DV772+DR772+DN772+DJ772+DF772+DB772</f>
        <v>414</v>
      </c>
      <c r="EA772" s="28" t="n">
        <f aca="false">DZ772/7</f>
        <v>59.1428571428571</v>
      </c>
      <c r="EB772" s="27" t="n">
        <f aca="false">RANK(EA772,$EA$2:$EA$881,0)</f>
        <v>790</v>
      </c>
      <c r="EC772" s="29" t="n">
        <f aca="false">DZ772+CQ772+CP772+AZ772</f>
        <v>1370</v>
      </c>
      <c r="ED772" s="30" t="n">
        <f aca="false">(EA772+CV772+BB772)/3</f>
        <v>49.9809523809524</v>
      </c>
      <c r="EE772" s="51" t="n">
        <f aca="false">ROUND(BE772,3)</f>
        <v>85.42</v>
      </c>
      <c r="EF772" s="51" t="n">
        <f aca="false">ROUND(CR772,3)</f>
        <v>0</v>
      </c>
      <c r="EG772" s="51" t="n">
        <f aca="false">ROUND(CS772,3)</f>
        <v>24</v>
      </c>
      <c r="EH772" s="51" t="n">
        <f aca="false">ROUND(EA772,3)</f>
        <v>59.143</v>
      </c>
      <c r="EI772" s="51" t="n">
        <f aca="false">ROUND(ED772,3)</f>
        <v>49.981</v>
      </c>
      <c r="EJ772" s="51" t="n">
        <f aca="false">ROUND(CV772,3)</f>
        <v>12</v>
      </c>
      <c r="EK772" s="0" t="n">
        <f aca="false">RANK(EI772,$EI$2:$EI$881,0)</f>
        <v>771</v>
      </c>
    </row>
    <row r="773" customFormat="false" ht="15" hidden="false" customHeight="false" outlineLevel="0" collapsed="false">
      <c r="A773" s="4" t="n">
        <v>1882</v>
      </c>
      <c r="B773" s="4" t="n">
        <v>589</v>
      </c>
      <c r="C773" s="27" t="s">
        <v>2186</v>
      </c>
      <c r="D773" s="31" t="n">
        <v>595</v>
      </c>
      <c r="E773" s="16" t="n">
        <v>230505525</v>
      </c>
      <c r="F773" s="56" t="s">
        <v>2187</v>
      </c>
      <c r="G773" s="22" t="s">
        <v>2103</v>
      </c>
      <c r="H773" s="22" t="s">
        <v>465</v>
      </c>
      <c r="I773" s="80"/>
      <c r="J773" s="16" t="n">
        <v>76</v>
      </c>
      <c r="K773" s="16" t="n">
        <v>71</v>
      </c>
      <c r="L773" s="34" t="n">
        <f aca="false">(K773*70)/100</f>
        <v>49.7</v>
      </c>
      <c r="M773" s="34" t="n">
        <f aca="false">ROUNDUP(L773,0)</f>
        <v>50</v>
      </c>
      <c r="N773" s="16" t="n">
        <v>27</v>
      </c>
      <c r="O773" s="34" t="n">
        <f aca="false">N773+L773</f>
        <v>76.7</v>
      </c>
      <c r="P773" s="34" t="n">
        <f aca="false">N773+M773</f>
        <v>77</v>
      </c>
      <c r="Q773" s="16" t="n">
        <v>76</v>
      </c>
      <c r="R773" s="16" t="n">
        <v>66</v>
      </c>
      <c r="S773" s="34" t="n">
        <f aca="false">(R773*70)/100</f>
        <v>46.2</v>
      </c>
      <c r="T773" s="34" t="n">
        <f aca="false">ROUNDUP(S773,0)</f>
        <v>47</v>
      </c>
      <c r="U773" s="16" t="n">
        <v>27</v>
      </c>
      <c r="V773" s="34" t="n">
        <f aca="false">U773+S773</f>
        <v>73.2</v>
      </c>
      <c r="W773" s="34" t="n">
        <f aca="false">U773+T773</f>
        <v>74</v>
      </c>
      <c r="X773" s="16" t="n">
        <v>68</v>
      </c>
      <c r="Y773" s="34" t="n">
        <f aca="false">(X773*70)/100</f>
        <v>47.6</v>
      </c>
      <c r="Z773" s="34" t="n">
        <f aca="false">ROUNDUP(Y773,0)</f>
        <v>48</v>
      </c>
      <c r="AA773" s="16" t="n">
        <v>29</v>
      </c>
      <c r="AB773" s="34" t="n">
        <f aca="false">AA773+Y773</f>
        <v>76.6</v>
      </c>
      <c r="AC773" s="34" t="n">
        <f aca="false">AA773+Z773</f>
        <v>77</v>
      </c>
      <c r="AD773" s="32" t="n">
        <f aca="false">X773+R773+Q773+K773+J773</f>
        <v>357</v>
      </c>
      <c r="AE773" s="16" t="n">
        <f aca="false">AD773/5</f>
        <v>71.4</v>
      </c>
      <c r="AF773" s="16" t="n">
        <v>80</v>
      </c>
      <c r="AG773" s="16" t="n">
        <v>79</v>
      </c>
      <c r="AH773" s="16" t="n">
        <v>89</v>
      </c>
      <c r="AI773" s="16" t="n">
        <v>92</v>
      </c>
      <c r="AJ773" s="16" t="n">
        <f aca="false">(AI773*70)/100</f>
        <v>64.4</v>
      </c>
      <c r="AK773" s="35" t="n">
        <f aca="false">ROUNDUP(AJ773,0)</f>
        <v>65</v>
      </c>
      <c r="AL773" s="16" t="n">
        <v>28</v>
      </c>
      <c r="AM773" s="16" t="n">
        <f aca="false">AL773+AJ773</f>
        <v>92.4</v>
      </c>
      <c r="AN773" s="16" t="n">
        <f aca="false">AL773+AK773</f>
        <v>93</v>
      </c>
      <c r="AO773" s="16" t="n">
        <v>70</v>
      </c>
      <c r="AP773" s="36" t="n">
        <f aca="false">(AO773*70)/100</f>
        <v>49</v>
      </c>
      <c r="AQ773" s="37" t="n">
        <f aca="false">ROUNDUP(AP773,0)</f>
        <v>49</v>
      </c>
      <c r="AR773" s="16" t="n">
        <v>24</v>
      </c>
      <c r="AS773" s="16" t="n">
        <f aca="false">AR773+AP773</f>
        <v>73</v>
      </c>
      <c r="AT773" s="16" t="n">
        <f aca="false">AR773+AQ773</f>
        <v>73</v>
      </c>
      <c r="AU773" s="16" t="n">
        <f aca="false">AO773+AF773+AI773+AH773+AG773</f>
        <v>410</v>
      </c>
      <c r="AV773" s="16" t="n">
        <f aca="false">(AO773+AF773+AI773+AH773+AG773)/5</f>
        <v>82</v>
      </c>
      <c r="AW773" s="36" t="n">
        <f aca="false">(AO773+AF773+AI773+AH773+AG773+X773+R773+Q773+K773+J773)</f>
        <v>767</v>
      </c>
      <c r="AX773" s="16" t="n">
        <f aca="false">AW773/10</f>
        <v>76.7</v>
      </c>
      <c r="AY773" s="16" t="n">
        <f aca="false">AS773+AF773+AM773+AH773+AG773+AB773+V773+Q773+O773+J773</f>
        <v>791.9</v>
      </c>
      <c r="AZ773" s="16" t="n">
        <f aca="false">AT773+AF773+AN773+AH773+AG773+AC773+W773+Q773+P773+J773</f>
        <v>794</v>
      </c>
      <c r="BA773" s="16" t="n">
        <f aca="false">AY773/10</f>
        <v>79.19</v>
      </c>
      <c r="BB773" s="16" t="n">
        <f aca="false">AZ773/10</f>
        <v>79.4</v>
      </c>
      <c r="BC773" s="16" t="n">
        <v>2374</v>
      </c>
      <c r="BD773" s="16" t="n">
        <f aca="false">RANK(AX773,$AX$2:$AX$881,0)</f>
        <v>536</v>
      </c>
      <c r="BE773" s="54" t="n">
        <f aca="false">((BC773*100)/2400)*0.4+(AX773*0.6)</f>
        <v>85.5866666666667</v>
      </c>
      <c r="BF773" s="16" t="n">
        <f aca="false">RANK(BE773,$BE$2:$BE$881,0)</f>
        <v>490</v>
      </c>
      <c r="BG773" s="39" t="n">
        <f aca="false">RANK(BB773,$BB$2:$BB$881,0)</f>
        <v>414</v>
      </c>
      <c r="BH773" s="39" t="n">
        <f aca="false">RANK(BC773,$BC$2:$BC$881,0)</f>
        <v>222</v>
      </c>
      <c r="BI773" s="22" t="s">
        <v>130</v>
      </c>
      <c r="BJ773" s="22" t="s">
        <v>129</v>
      </c>
      <c r="BK773" s="40" t="s">
        <v>509</v>
      </c>
      <c r="BL773" s="101" t="n">
        <v>9.5</v>
      </c>
      <c r="BM773" s="61"/>
      <c r="BN773" s="61"/>
      <c r="BO773" s="42" t="n">
        <v>18</v>
      </c>
      <c r="BP773" s="61"/>
      <c r="BQ773" s="61"/>
      <c r="BR773" s="42" t="n">
        <v>17</v>
      </c>
      <c r="BS773" s="80"/>
      <c r="BT773" s="80"/>
      <c r="BU773" s="80"/>
      <c r="BV773" s="137"/>
      <c r="BW773" s="61"/>
      <c r="BX773" s="107"/>
      <c r="BY773" s="130"/>
      <c r="BZ773" s="60"/>
      <c r="CA773" s="60"/>
      <c r="CB773" s="61"/>
      <c r="CC773" s="60"/>
      <c r="CD773" s="60"/>
      <c r="CE773" s="60"/>
      <c r="CF773" s="60"/>
      <c r="CG773" s="60"/>
      <c r="CH773" s="60"/>
      <c r="CI773" s="60"/>
      <c r="CJ773" s="60"/>
      <c r="CK773" s="60"/>
      <c r="CL773" s="61"/>
      <c r="CM773" s="60"/>
      <c r="CN773" s="60"/>
      <c r="CO773" s="60"/>
      <c r="CP773" s="25" t="n">
        <f aca="false">BX773+BW773+BV773+BU773+BT773+BQ773+BN773</f>
        <v>0</v>
      </c>
      <c r="CQ773" s="25" t="n">
        <f aca="false">CO773+CL773+CI773+CH773+CG773+CD773+CA773</f>
        <v>0</v>
      </c>
      <c r="CR773" s="26" t="n">
        <f aca="false">CP773/7</f>
        <v>0</v>
      </c>
      <c r="CS773" s="26" t="n">
        <f aca="false">CQ773/7</f>
        <v>0</v>
      </c>
      <c r="CT773" s="24" t="n">
        <f aca="false">RANK(CR773,$CR$2:$CR$881,0)</f>
        <v>768</v>
      </c>
      <c r="CU773" s="25" t="n">
        <f aca="false">RANK(CS773,$CS$2:$CS$881,0)</f>
        <v>752</v>
      </c>
      <c r="CV773" s="26" t="n">
        <f aca="false">(CS773+CR773)/2</f>
        <v>0</v>
      </c>
      <c r="CW773" s="25" t="n">
        <f aca="false">RANK(CV773,$CV$2:$CV$881,0)</f>
        <v>753</v>
      </c>
      <c r="CX773" s="50" t="n">
        <f aca="false">(CV773+BB773)/2</f>
        <v>39.7</v>
      </c>
      <c r="CY773" s="50" t="n">
        <v>778</v>
      </c>
      <c r="CZ773" s="27" t="s">
        <v>132</v>
      </c>
      <c r="DA773" s="27" t="s">
        <v>219</v>
      </c>
      <c r="DB773" s="27" t="s">
        <v>219</v>
      </c>
      <c r="DC773" s="27" t="s">
        <v>134</v>
      </c>
      <c r="DD773" s="27" t="s">
        <v>174</v>
      </c>
      <c r="DE773" s="27" t="s">
        <v>412</v>
      </c>
      <c r="DF773" s="27" t="s">
        <v>486</v>
      </c>
      <c r="DG773" s="27" t="s">
        <v>134</v>
      </c>
      <c r="DH773" s="27" t="s">
        <v>191</v>
      </c>
      <c r="DI773" s="27" t="s">
        <v>313</v>
      </c>
      <c r="DJ773" s="27" t="s">
        <v>398</v>
      </c>
      <c r="DK773" s="27" t="s">
        <v>134</v>
      </c>
      <c r="DL773" s="27" t="s">
        <v>191</v>
      </c>
      <c r="DM773" s="27" t="s">
        <v>989</v>
      </c>
      <c r="DN773" s="27" t="s">
        <v>203</v>
      </c>
      <c r="DO773" s="27" t="s">
        <v>134</v>
      </c>
      <c r="DP773" s="27" t="s">
        <v>1000</v>
      </c>
      <c r="DQ773" s="27" t="s">
        <v>479</v>
      </c>
      <c r="DR773" s="27" t="s">
        <v>447</v>
      </c>
      <c r="DS773" s="27" t="s">
        <v>480</v>
      </c>
      <c r="DT773" s="27" t="s">
        <v>154</v>
      </c>
      <c r="DU773" s="27" t="s">
        <v>1395</v>
      </c>
      <c r="DV773" s="27" t="s">
        <v>218</v>
      </c>
      <c r="DW773" s="27" t="s">
        <v>164</v>
      </c>
      <c r="DX773" s="27" t="s">
        <v>141</v>
      </c>
      <c r="DY773" s="27" t="s">
        <v>156</v>
      </c>
      <c r="DZ773" s="27" t="n">
        <f aca="false">DY773+DV773+DR773+DN773+DJ773+DF773+DB773</f>
        <v>491</v>
      </c>
      <c r="EA773" s="28" t="n">
        <f aca="false">DZ773/7</f>
        <v>70.1428571428571</v>
      </c>
      <c r="EB773" s="27" t="n">
        <f aca="false">RANK(EA773,$EA$2:$EA$881,0)</f>
        <v>651</v>
      </c>
      <c r="EC773" s="29" t="n">
        <f aca="false">DZ773+CQ773+CP773+AZ773</f>
        <v>1285</v>
      </c>
      <c r="ED773" s="30" t="n">
        <f aca="false">(EA773+CV773+BB773)/3</f>
        <v>49.8476190476191</v>
      </c>
      <c r="EE773" s="51" t="n">
        <f aca="false">ROUND(BE773,3)</f>
        <v>85.587</v>
      </c>
      <c r="EF773" s="51" t="n">
        <f aca="false">ROUND(CR773,3)</f>
        <v>0</v>
      </c>
      <c r="EG773" s="51" t="n">
        <f aca="false">ROUND(CS773,3)</f>
        <v>0</v>
      </c>
      <c r="EH773" s="51" t="n">
        <f aca="false">ROUND(EA773,3)</f>
        <v>70.143</v>
      </c>
      <c r="EI773" s="51" t="n">
        <f aca="false">ROUND(ED773,3)</f>
        <v>49.848</v>
      </c>
      <c r="EJ773" s="51" t="n">
        <f aca="false">ROUND(CV773,3)</f>
        <v>0</v>
      </c>
      <c r="EK773" s="0" t="n">
        <f aca="false">RANK(EI773,$EI$2:$EI$881,0)</f>
        <v>772</v>
      </c>
    </row>
    <row r="774" customFormat="false" ht="15" hidden="false" customHeight="false" outlineLevel="0" collapsed="false">
      <c r="A774" s="4" t="n">
        <v>9150</v>
      </c>
      <c r="B774" s="4" t="n">
        <v>727</v>
      </c>
      <c r="C774" s="27" t="s">
        <v>2188</v>
      </c>
      <c r="D774" s="31" t="n">
        <v>742</v>
      </c>
      <c r="E774" s="16" t="n">
        <v>230508623</v>
      </c>
      <c r="F774" s="56" t="s">
        <v>2189</v>
      </c>
      <c r="G774" s="22" t="s">
        <v>664</v>
      </c>
      <c r="H774" s="22" t="s">
        <v>465</v>
      </c>
      <c r="I774" s="80"/>
      <c r="J774" s="16" t="n">
        <v>67</v>
      </c>
      <c r="K774" s="16" t="n">
        <v>85</v>
      </c>
      <c r="L774" s="34" t="n">
        <f aca="false">(K774*70)/100</f>
        <v>59.5</v>
      </c>
      <c r="M774" s="34" t="n">
        <f aca="false">ROUNDUP(L774,0)</f>
        <v>60</v>
      </c>
      <c r="N774" s="16" t="n">
        <v>26</v>
      </c>
      <c r="O774" s="34" t="n">
        <f aca="false">N774+L774</f>
        <v>85.5</v>
      </c>
      <c r="P774" s="34" t="n">
        <f aca="false">N774+M774</f>
        <v>86</v>
      </c>
      <c r="Q774" s="16" t="n">
        <v>64</v>
      </c>
      <c r="R774" s="16" t="n">
        <v>79</v>
      </c>
      <c r="S774" s="34" t="n">
        <f aca="false">(R774*70)/100</f>
        <v>55.3</v>
      </c>
      <c r="T774" s="34" t="n">
        <f aca="false">ROUNDUP(S774,0)</f>
        <v>56</v>
      </c>
      <c r="U774" s="16" t="n">
        <v>22</v>
      </c>
      <c r="V774" s="34" t="n">
        <f aca="false">U774+S774</f>
        <v>77.3</v>
      </c>
      <c r="W774" s="34" t="n">
        <f aca="false">U774+T774</f>
        <v>78</v>
      </c>
      <c r="X774" s="16" t="n">
        <v>68</v>
      </c>
      <c r="Y774" s="34" t="n">
        <f aca="false">(X774*70)/100</f>
        <v>47.6</v>
      </c>
      <c r="Z774" s="34" t="n">
        <f aca="false">ROUNDUP(Y774,0)</f>
        <v>48</v>
      </c>
      <c r="AA774" s="16" t="n">
        <v>26</v>
      </c>
      <c r="AB774" s="34" t="n">
        <f aca="false">AA774+Y774</f>
        <v>73.6</v>
      </c>
      <c r="AC774" s="34" t="n">
        <f aca="false">AA774+Z774</f>
        <v>74</v>
      </c>
      <c r="AD774" s="32" t="n">
        <f aca="false">X774+R774+Q774+K774+J774</f>
        <v>363</v>
      </c>
      <c r="AE774" s="16" t="n">
        <f aca="false">AD774/5</f>
        <v>72.6</v>
      </c>
      <c r="AF774" s="16" t="n">
        <v>80</v>
      </c>
      <c r="AG774" s="16" t="n">
        <v>84</v>
      </c>
      <c r="AH774" s="16" t="n">
        <v>95</v>
      </c>
      <c r="AI774" s="16" t="n">
        <v>91</v>
      </c>
      <c r="AJ774" s="16" t="n">
        <f aca="false">(AI774*70)/100</f>
        <v>63.7</v>
      </c>
      <c r="AK774" s="35" t="n">
        <f aca="false">ROUNDUP(AJ774,0)</f>
        <v>64</v>
      </c>
      <c r="AL774" s="16" t="n">
        <v>26</v>
      </c>
      <c r="AM774" s="16" t="n">
        <f aca="false">AL774+AJ774</f>
        <v>89.7</v>
      </c>
      <c r="AN774" s="16" t="n">
        <f aca="false">AL774+AK774</f>
        <v>90</v>
      </c>
      <c r="AO774" s="16" t="n">
        <v>86</v>
      </c>
      <c r="AP774" s="36" t="n">
        <f aca="false">(AO774*70)/100</f>
        <v>60.2</v>
      </c>
      <c r="AQ774" s="37" t="n">
        <f aca="false">ROUNDUP(AP774,0)</f>
        <v>61</v>
      </c>
      <c r="AR774" s="16" t="n">
        <v>25</v>
      </c>
      <c r="AS774" s="16" t="n">
        <f aca="false">AR774+AP774</f>
        <v>85.2</v>
      </c>
      <c r="AT774" s="16" t="n">
        <f aca="false">AR774+AQ774</f>
        <v>86</v>
      </c>
      <c r="AU774" s="16" t="n">
        <f aca="false">AO774+AF774+AI774+AH774+AG774</f>
        <v>436</v>
      </c>
      <c r="AV774" s="16" t="n">
        <f aca="false">(AO774+AF774+AI774+AH774+AG774)/5</f>
        <v>87.2</v>
      </c>
      <c r="AW774" s="36" t="n">
        <f aca="false">(AO774+AF774+AI774+AH774+AG774+X774+R774+Q774+K774+J774)</f>
        <v>799</v>
      </c>
      <c r="AX774" s="16" t="n">
        <f aca="false">AW774/10</f>
        <v>79.9</v>
      </c>
      <c r="AY774" s="16" t="n">
        <f aca="false">AS774+AF774+AM774+AH774+AG774+AB774+V774+Q774+O774+J774</f>
        <v>801.3</v>
      </c>
      <c r="AZ774" s="16" t="n">
        <f aca="false">AT774+AF774+AN774+AH774+AG774+AC774+W774+Q774+P774+J774</f>
        <v>804</v>
      </c>
      <c r="BA774" s="16" t="n">
        <f aca="false">AY774/10</f>
        <v>80.13</v>
      </c>
      <c r="BB774" s="16" t="n">
        <f aca="false">AZ774/10</f>
        <v>80.4</v>
      </c>
      <c r="BC774" s="16" t="n">
        <v>2370</v>
      </c>
      <c r="BD774" s="16" t="n">
        <f aca="false">RANK(AX774,$AX$2:$AX$881,0)</f>
        <v>272</v>
      </c>
      <c r="BE774" s="54" t="n">
        <f aca="false">((BC774*100)/2400)*0.4+(AX774*0.6)</f>
        <v>87.44</v>
      </c>
      <c r="BF774" s="16" t="n">
        <f aca="false">RANK(BE774,$BE$2:$BE$881,0)</f>
        <v>255</v>
      </c>
      <c r="BG774" s="39" t="n">
        <f aca="false">RANK(BB774,$BB$2:$BB$881,0)</f>
        <v>318</v>
      </c>
      <c r="BH774" s="39" t="n">
        <f aca="false">RANK(BC774,$BC$2:$BC$881,0)</f>
        <v>268</v>
      </c>
      <c r="BI774" s="22" t="s">
        <v>130</v>
      </c>
      <c r="BJ774" s="22" t="s">
        <v>129</v>
      </c>
      <c r="BK774" s="40" t="s">
        <v>131</v>
      </c>
      <c r="BL774" s="98" t="n">
        <v>10</v>
      </c>
      <c r="BM774" s="61"/>
      <c r="BN774" s="61"/>
      <c r="BO774" s="42" t="n">
        <v>25</v>
      </c>
      <c r="BP774" s="61"/>
      <c r="BQ774" s="61"/>
      <c r="BR774" s="74" t="n">
        <v>9</v>
      </c>
      <c r="BS774" s="80"/>
      <c r="BT774" s="80"/>
      <c r="BU774" s="80"/>
      <c r="BV774" s="137"/>
      <c r="BW774" s="61"/>
      <c r="BX774" s="107"/>
      <c r="BY774" s="130"/>
      <c r="BZ774" s="60"/>
      <c r="CA774" s="60"/>
      <c r="CB774" s="61"/>
      <c r="CC774" s="60"/>
      <c r="CD774" s="60"/>
      <c r="CE774" s="60"/>
      <c r="CF774" s="60"/>
      <c r="CG774" s="60"/>
      <c r="CH774" s="60"/>
      <c r="CI774" s="60"/>
      <c r="CJ774" s="60"/>
      <c r="CK774" s="60"/>
      <c r="CL774" s="61"/>
      <c r="CM774" s="60"/>
      <c r="CN774" s="60"/>
      <c r="CO774" s="60"/>
      <c r="CP774" s="25" t="n">
        <f aca="false">BX774+BW774+BV774+BU774+BT774+BQ774+BN774</f>
        <v>0</v>
      </c>
      <c r="CQ774" s="25" t="n">
        <f aca="false">CO774+CL774+CI774+CH774+CG774+CD774+CA774</f>
        <v>0</v>
      </c>
      <c r="CR774" s="26" t="n">
        <f aca="false">CP774/7</f>
        <v>0</v>
      </c>
      <c r="CS774" s="26" t="n">
        <f aca="false">CQ774/7</f>
        <v>0</v>
      </c>
      <c r="CT774" s="24" t="n">
        <f aca="false">RANK(CR774,$CR$2:$CR$881,0)</f>
        <v>768</v>
      </c>
      <c r="CU774" s="25" t="n">
        <f aca="false">RANK(CS774,$CS$2:$CS$881,0)</f>
        <v>752</v>
      </c>
      <c r="CV774" s="26" t="n">
        <f aca="false">(CS774+CR774)/2</f>
        <v>0</v>
      </c>
      <c r="CW774" s="25" t="n">
        <f aca="false">RANK(CV774,$CV$2:$CV$881,0)</f>
        <v>753</v>
      </c>
      <c r="CX774" s="50" t="n">
        <f aca="false">(CV774+BB774)/2</f>
        <v>40.2</v>
      </c>
      <c r="CY774" s="50" t="n">
        <v>753</v>
      </c>
      <c r="CZ774" s="27" t="s">
        <v>132</v>
      </c>
      <c r="DA774" s="27" t="s">
        <v>169</v>
      </c>
      <c r="DB774" s="27" t="s">
        <v>169</v>
      </c>
      <c r="DC774" s="27" t="s">
        <v>134</v>
      </c>
      <c r="DD774" s="27" t="s">
        <v>191</v>
      </c>
      <c r="DE774" s="27" t="s">
        <v>447</v>
      </c>
      <c r="DF774" s="27" t="s">
        <v>486</v>
      </c>
      <c r="DG774" s="27" t="s">
        <v>134</v>
      </c>
      <c r="DH774" s="27" t="s">
        <v>137</v>
      </c>
      <c r="DI774" s="27" t="s">
        <v>220</v>
      </c>
      <c r="DJ774" s="27" t="s">
        <v>205</v>
      </c>
      <c r="DK774" s="27" t="s">
        <v>134</v>
      </c>
      <c r="DL774" s="27" t="s">
        <v>135</v>
      </c>
      <c r="DM774" s="27" t="s">
        <v>313</v>
      </c>
      <c r="DN774" s="27" t="s">
        <v>382</v>
      </c>
      <c r="DO774" s="27" t="s">
        <v>134</v>
      </c>
      <c r="DP774" s="27"/>
      <c r="DQ774" s="27"/>
      <c r="DR774" s="27"/>
      <c r="DS774" s="27"/>
      <c r="DT774" s="27" t="s">
        <v>135</v>
      </c>
      <c r="DU774" s="27" t="s">
        <v>442</v>
      </c>
      <c r="DV774" s="27" t="s">
        <v>372</v>
      </c>
      <c r="DW774" s="27" t="s">
        <v>137</v>
      </c>
      <c r="DX774" s="27" t="s">
        <v>138</v>
      </c>
      <c r="DY774" s="27" t="s">
        <v>139</v>
      </c>
      <c r="DZ774" s="27" t="n">
        <f aca="false">DY774+DV774+DR774+DN774+DJ774+DF774+DB774</f>
        <v>484</v>
      </c>
      <c r="EA774" s="28" t="n">
        <f aca="false">DZ774/7</f>
        <v>69.1428571428571</v>
      </c>
      <c r="EB774" s="27" t="n">
        <f aca="false">RANK(EA774,$EA$2:$EA$881,0)</f>
        <v>669</v>
      </c>
      <c r="EC774" s="29" t="n">
        <f aca="false">DZ774+CQ774+CP774+AZ774</f>
        <v>1288</v>
      </c>
      <c r="ED774" s="30" t="n">
        <f aca="false">(EA774+CV774+BB774)/3</f>
        <v>49.8476190476191</v>
      </c>
      <c r="EE774" s="51" t="n">
        <f aca="false">ROUND(BE774,3)</f>
        <v>87.44</v>
      </c>
      <c r="EF774" s="51" t="n">
        <f aca="false">ROUND(CR774,3)</f>
        <v>0</v>
      </c>
      <c r="EG774" s="51" t="n">
        <f aca="false">ROUND(CS774,3)</f>
        <v>0</v>
      </c>
      <c r="EH774" s="51" t="n">
        <f aca="false">ROUND(EA774,3)</f>
        <v>69.143</v>
      </c>
      <c r="EI774" s="51" t="n">
        <f aca="false">ROUND(ED774,3)</f>
        <v>49.848</v>
      </c>
      <c r="EJ774" s="51" t="n">
        <f aca="false">ROUND(CV774,3)</f>
        <v>0</v>
      </c>
      <c r="EK774" s="0" t="n">
        <f aca="false">RANK(EI774,$EI$2:$EI$881,0)</f>
        <v>772</v>
      </c>
    </row>
    <row r="775" customFormat="false" ht="16.85" hidden="false" customHeight="false" outlineLevel="0" collapsed="false">
      <c r="A775" s="4" t="n">
        <v>8984</v>
      </c>
      <c r="B775" s="4" t="n">
        <v>346</v>
      </c>
      <c r="C775" s="27" t="s">
        <v>2190</v>
      </c>
      <c r="D775" s="31" t="n">
        <v>349</v>
      </c>
      <c r="E775" s="16" t="n">
        <v>230505885</v>
      </c>
      <c r="F775" s="56" t="s">
        <v>2191</v>
      </c>
      <c r="G775" s="22" t="s">
        <v>2192</v>
      </c>
      <c r="H775" s="22" t="s">
        <v>465</v>
      </c>
      <c r="I775" s="80"/>
      <c r="J775" s="16" t="n">
        <v>70</v>
      </c>
      <c r="K775" s="16" t="n">
        <v>67</v>
      </c>
      <c r="L775" s="34" t="n">
        <f aca="false">(K775*70)/100</f>
        <v>46.9</v>
      </c>
      <c r="M775" s="34" t="n">
        <f aca="false">ROUNDUP(L775,0)</f>
        <v>47</v>
      </c>
      <c r="N775" s="16" t="n">
        <v>26</v>
      </c>
      <c r="O775" s="34" t="n">
        <f aca="false">N775+L775</f>
        <v>72.9</v>
      </c>
      <c r="P775" s="34" t="n">
        <f aca="false">N775+M775</f>
        <v>73</v>
      </c>
      <c r="Q775" s="16" t="n">
        <v>62</v>
      </c>
      <c r="R775" s="16" t="n">
        <v>77</v>
      </c>
      <c r="S775" s="34" t="n">
        <f aca="false">(R775*70)/100</f>
        <v>53.9</v>
      </c>
      <c r="T775" s="34" t="n">
        <f aca="false">ROUNDUP(S775,0)</f>
        <v>54</v>
      </c>
      <c r="U775" s="16" t="n">
        <v>22</v>
      </c>
      <c r="V775" s="34" t="n">
        <f aca="false">U775+S775</f>
        <v>75.9</v>
      </c>
      <c r="W775" s="34" t="n">
        <f aca="false">U775+T775</f>
        <v>76</v>
      </c>
      <c r="X775" s="16" t="n">
        <v>64</v>
      </c>
      <c r="Y775" s="34" t="n">
        <f aca="false">(X775*70)/100</f>
        <v>44.8</v>
      </c>
      <c r="Z775" s="34" t="n">
        <f aca="false">ROUNDUP(Y775,0)</f>
        <v>45</v>
      </c>
      <c r="AA775" s="16" t="n">
        <v>26</v>
      </c>
      <c r="AB775" s="34" t="n">
        <f aca="false">AA775+Y775</f>
        <v>70.8</v>
      </c>
      <c r="AC775" s="34" t="n">
        <f aca="false">AA775+Z775</f>
        <v>71</v>
      </c>
      <c r="AD775" s="32" t="n">
        <f aca="false">X775+R775+Q775+K775+J775</f>
        <v>340</v>
      </c>
      <c r="AE775" s="16" t="n">
        <f aca="false">AD775/5</f>
        <v>68</v>
      </c>
      <c r="AF775" s="71" t="n">
        <v>47</v>
      </c>
      <c r="AG775" s="16" t="n">
        <v>62</v>
      </c>
      <c r="AH775" s="16" t="n">
        <v>66</v>
      </c>
      <c r="AI775" s="16" t="n">
        <v>63</v>
      </c>
      <c r="AJ775" s="16" t="n">
        <f aca="false">(AI775*70)/100</f>
        <v>44.1</v>
      </c>
      <c r="AK775" s="35" t="n">
        <f aca="false">ROUNDUP(AJ775,0)</f>
        <v>45</v>
      </c>
      <c r="AL775" s="16" t="n">
        <v>25</v>
      </c>
      <c r="AM775" s="16" t="n">
        <f aca="false">AL775+AJ775</f>
        <v>69.1</v>
      </c>
      <c r="AN775" s="16" t="n">
        <f aca="false">AL775+AK775</f>
        <v>70</v>
      </c>
      <c r="AO775" s="16" t="n">
        <v>52</v>
      </c>
      <c r="AP775" s="36" t="n">
        <f aca="false">(AO775*70)/100</f>
        <v>36.4</v>
      </c>
      <c r="AQ775" s="37" t="n">
        <f aca="false">ROUNDUP(AP775,0)</f>
        <v>37</v>
      </c>
      <c r="AR775" s="16" t="n">
        <v>20</v>
      </c>
      <c r="AS775" s="16" t="n">
        <f aca="false">AR775+AP775</f>
        <v>56.4</v>
      </c>
      <c r="AT775" s="71" t="n">
        <f aca="false">AR775+AQ775</f>
        <v>57</v>
      </c>
      <c r="AU775" s="16" t="n">
        <f aca="false">AO775+AF775+AI775+AH775+AG775</f>
        <v>290</v>
      </c>
      <c r="AV775" s="16" t="n">
        <f aca="false">(AO775+AF775+AI775+AH775+AG775)/5</f>
        <v>58</v>
      </c>
      <c r="AW775" s="36" t="n">
        <f aca="false">(AO775+AF775+AI775+AH775+AG775+X775+R775+Q775+K775+J775)</f>
        <v>630</v>
      </c>
      <c r="AX775" s="16" t="n">
        <f aca="false">AW775/10</f>
        <v>63</v>
      </c>
      <c r="AY775" s="16" t="n">
        <f aca="false">AS775+AF775+AM775+AH775+AG775+AB775+V775+Q775+O775+J775</f>
        <v>652.1</v>
      </c>
      <c r="AZ775" s="16" t="n">
        <f aca="false">AT775+AF775+AN775+AH775+AG775+AC775+W775+Q775+P775+J775</f>
        <v>654</v>
      </c>
      <c r="BA775" s="16" t="n">
        <f aca="false">AY775/10</f>
        <v>65.21</v>
      </c>
      <c r="BB775" s="16" t="n">
        <f aca="false">AZ775/10</f>
        <v>65.4</v>
      </c>
      <c r="BC775" s="16" t="n">
        <v>2361</v>
      </c>
      <c r="BD775" s="16" t="n">
        <f aca="false">RANK(AX775,$AX$2:$AX$881,0)</f>
        <v>781</v>
      </c>
      <c r="BE775" s="78" t="n">
        <f aca="false">((BC775*100)/2400)*0.4+(AX775*0.6)</f>
        <v>77.15</v>
      </c>
      <c r="BF775" s="16" t="n">
        <f aca="false">RANK(BE775,$BE$2:$BE$881,0)</f>
        <v>763</v>
      </c>
      <c r="BG775" s="39" t="n">
        <f aca="false">RANK(BB775,$BB$2:$BB$881,0)</f>
        <v>782</v>
      </c>
      <c r="BH775" s="39" t="n">
        <f aca="false">RANK(BC775,$BC$2:$BC$881,0)</f>
        <v>382</v>
      </c>
      <c r="BI775" s="22" t="s">
        <v>130</v>
      </c>
      <c r="BJ775" s="22" t="s">
        <v>129</v>
      </c>
      <c r="BK775" s="40" t="s">
        <v>702</v>
      </c>
      <c r="BL775" s="98" t="n">
        <v>8</v>
      </c>
      <c r="BM775" s="61"/>
      <c r="BN775" s="61"/>
      <c r="BO775" s="42" t="n">
        <v>20</v>
      </c>
      <c r="BP775" s="61"/>
      <c r="BQ775" s="61"/>
      <c r="BR775" s="74" t="n">
        <v>9</v>
      </c>
      <c r="BS775" s="80"/>
      <c r="BT775" s="80"/>
      <c r="BU775" s="80"/>
      <c r="BV775" s="137"/>
      <c r="BW775" s="61"/>
      <c r="BX775" s="107"/>
      <c r="BY775" s="65" t="n">
        <v>25</v>
      </c>
      <c r="BZ775" s="58" t="n">
        <v>53</v>
      </c>
      <c r="CA775" s="58" t="n">
        <v>78</v>
      </c>
      <c r="CB775" s="61"/>
      <c r="CC775" s="60"/>
      <c r="CD775" s="60"/>
      <c r="CE775" s="60"/>
      <c r="CF775" s="60"/>
      <c r="CG775" s="60"/>
      <c r="CH775" s="60"/>
      <c r="CI775" s="60"/>
      <c r="CJ775" s="60"/>
      <c r="CK775" s="60"/>
      <c r="CL775" s="61"/>
      <c r="CM775" s="60"/>
      <c r="CN775" s="60"/>
      <c r="CO775" s="60"/>
      <c r="CP775" s="25" t="n">
        <f aca="false">BX775+BW775+BV775+BU775+BT775+BQ775+BN775</f>
        <v>0</v>
      </c>
      <c r="CQ775" s="25" t="n">
        <f aca="false">CO775+CL775+CI775+CH775+CG775+CD775+CA775</f>
        <v>78</v>
      </c>
      <c r="CR775" s="26" t="n">
        <f aca="false">CP775/7</f>
        <v>0</v>
      </c>
      <c r="CS775" s="26" t="n">
        <f aca="false">CQ775/7</f>
        <v>11.1428571428571</v>
      </c>
      <c r="CT775" s="24" t="n">
        <f aca="false">RANK(CR775,$CR$2:$CR$881,0)</f>
        <v>768</v>
      </c>
      <c r="CU775" s="25" t="n">
        <f aca="false">RANK(CS775,$CS$2:$CS$881,0)</f>
        <v>738</v>
      </c>
      <c r="CV775" s="26" t="n">
        <f aca="false">(CS775+CR775)/2</f>
        <v>5.57142857142857</v>
      </c>
      <c r="CW775" s="25" t="n">
        <f aca="false">RANK(CV775,$CV$2:$CV$881,0)</f>
        <v>751</v>
      </c>
      <c r="CX775" s="50" t="n">
        <f aca="false">(CV775+BB775)/2</f>
        <v>35.4857142857143</v>
      </c>
      <c r="CY775" s="50" t="n">
        <v>873</v>
      </c>
      <c r="CZ775" s="27" t="s">
        <v>132</v>
      </c>
      <c r="DA775" s="27" t="s">
        <v>176</v>
      </c>
      <c r="DB775" s="27" t="s">
        <v>176</v>
      </c>
      <c r="DC775" s="27" t="s">
        <v>134</v>
      </c>
      <c r="DD775" s="27" t="s">
        <v>195</v>
      </c>
      <c r="DE775" s="27" t="s">
        <v>412</v>
      </c>
      <c r="DF775" s="27" t="s">
        <v>398</v>
      </c>
      <c r="DG775" s="27" t="s">
        <v>134</v>
      </c>
      <c r="DH775" s="27" t="s">
        <v>154</v>
      </c>
      <c r="DI775" s="27" t="s">
        <v>638</v>
      </c>
      <c r="DJ775" s="27" t="s">
        <v>143</v>
      </c>
      <c r="DK775" s="27" t="s">
        <v>134</v>
      </c>
      <c r="DL775" s="27" t="s">
        <v>191</v>
      </c>
      <c r="DM775" s="27" t="s">
        <v>447</v>
      </c>
      <c r="DN775" s="27" t="s">
        <v>486</v>
      </c>
      <c r="DO775" s="27" t="s">
        <v>134</v>
      </c>
      <c r="DP775" s="27" t="s">
        <v>191</v>
      </c>
      <c r="DQ775" s="27" t="s">
        <v>681</v>
      </c>
      <c r="DR775" s="27" t="s">
        <v>187</v>
      </c>
      <c r="DS775" s="27" t="s">
        <v>134</v>
      </c>
      <c r="DT775" s="27" t="s">
        <v>137</v>
      </c>
      <c r="DU775" s="27" t="s">
        <v>220</v>
      </c>
      <c r="DV775" s="27" t="s">
        <v>205</v>
      </c>
      <c r="DW775" s="27" t="s">
        <v>137</v>
      </c>
      <c r="DX775" s="27" t="s">
        <v>155</v>
      </c>
      <c r="DY775" s="27" t="s">
        <v>142</v>
      </c>
      <c r="DZ775" s="27" t="n">
        <f aca="false">DY775+DV775+DR775+DN775+DJ775+DF775+DB775</f>
        <v>549</v>
      </c>
      <c r="EA775" s="28" t="n">
        <f aca="false">DZ775/7</f>
        <v>78.4285714285714</v>
      </c>
      <c r="EB775" s="27" t="n">
        <f aca="false">RANK(EA775,$EA$2:$EA$881,0)</f>
        <v>444</v>
      </c>
      <c r="EC775" s="29" t="n">
        <f aca="false">DZ775+CQ775+CP775+AZ775</f>
        <v>1281</v>
      </c>
      <c r="ED775" s="30" t="n">
        <f aca="false">(EA775+CV775+BB775)/3</f>
        <v>49.8</v>
      </c>
      <c r="EE775" s="51" t="n">
        <f aca="false">ROUND(BE775,3)</f>
        <v>77.15</v>
      </c>
      <c r="EF775" s="51" t="n">
        <f aca="false">ROUND(CR775,3)</f>
        <v>0</v>
      </c>
      <c r="EG775" s="51" t="n">
        <f aca="false">ROUND(CS775,3)</f>
        <v>11.143</v>
      </c>
      <c r="EH775" s="51" t="n">
        <f aca="false">ROUND(EA775,3)</f>
        <v>78.429</v>
      </c>
      <c r="EI775" s="51" t="n">
        <f aca="false">ROUND(ED775,3)</f>
        <v>49.8</v>
      </c>
      <c r="EJ775" s="51" t="n">
        <f aca="false">ROUND(CV775,3)</f>
        <v>5.571</v>
      </c>
      <c r="EK775" s="0" t="n">
        <f aca="false">RANK(EI775,$EI$2:$EI$881,0)</f>
        <v>774</v>
      </c>
    </row>
    <row r="776" customFormat="false" ht="15" hidden="false" customHeight="false" outlineLevel="0" collapsed="false">
      <c r="A776" s="4" t="n">
        <v>7989</v>
      </c>
      <c r="B776" s="4" t="n">
        <v>643</v>
      </c>
      <c r="C776" s="27" t="s">
        <v>2193</v>
      </c>
      <c r="D776" s="52" t="n">
        <v>652</v>
      </c>
      <c r="E776" s="136"/>
      <c r="F776" s="110" t="s">
        <v>2194</v>
      </c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136"/>
      <c r="AS776" s="136"/>
      <c r="AT776" s="136"/>
      <c r="AU776" s="136"/>
      <c r="AV776" s="136"/>
      <c r="AW776" s="136"/>
      <c r="AX776" s="136"/>
      <c r="AY776" s="136"/>
      <c r="AZ776" s="136"/>
      <c r="BA776" s="136"/>
      <c r="BB776" s="136"/>
      <c r="BC776" s="136"/>
      <c r="BD776" s="16" t="e">
        <f aca="false">RANK(AX776,$AX$2:$AX$881,0)</f>
        <v>#N/A</v>
      </c>
      <c r="BE776" s="138"/>
      <c r="BF776" s="16" t="n">
        <f aca="false">RANK(BE776,$BE$2:$BE$881,0)</f>
        <v>806</v>
      </c>
      <c r="BG776" s="39" t="e">
        <f aca="false">RANK(BB776,$BB$2:$BB$881,0)</f>
        <v>#N/A</v>
      </c>
      <c r="BH776" s="39" t="n">
        <f aca="false">RANK(BC776,$BC$2:$BC$881,0)</f>
        <v>780</v>
      </c>
      <c r="BI776" s="19" t="s">
        <v>130</v>
      </c>
      <c r="BJ776" s="19" t="s">
        <v>129</v>
      </c>
      <c r="BK776" s="109" t="s">
        <v>1596</v>
      </c>
      <c r="BL776" s="41" t="n">
        <v>21</v>
      </c>
      <c r="BM776" s="41" t="n">
        <v>47</v>
      </c>
      <c r="BN776" s="41" t="n">
        <v>68</v>
      </c>
      <c r="BO776" s="42" t="n">
        <v>26</v>
      </c>
      <c r="BP776" s="43" t="n">
        <v>47</v>
      </c>
      <c r="BQ776" s="44" t="n">
        <v>73</v>
      </c>
      <c r="BR776" s="42" t="n">
        <v>21</v>
      </c>
      <c r="BS776" s="45" t="n">
        <v>48</v>
      </c>
      <c r="BT776" s="45" t="n">
        <v>69</v>
      </c>
      <c r="BU776" s="46" t="n">
        <v>99</v>
      </c>
      <c r="BV776" s="47" t="n">
        <v>88</v>
      </c>
      <c r="BW776" s="42" t="n">
        <v>85</v>
      </c>
      <c r="BX776" s="48" t="n">
        <v>98</v>
      </c>
      <c r="BY776" s="32" t="n">
        <v>27</v>
      </c>
      <c r="BZ776" s="32" t="n">
        <v>33</v>
      </c>
      <c r="CA776" s="32" t="n">
        <v>60</v>
      </c>
      <c r="CB776" s="32" t="n">
        <v>24</v>
      </c>
      <c r="CC776" s="32" t="n">
        <v>30</v>
      </c>
      <c r="CD776" s="69" t="n">
        <v>54</v>
      </c>
      <c r="CE776" s="32" t="n">
        <v>24</v>
      </c>
      <c r="CF776" s="32" t="n">
        <v>19</v>
      </c>
      <c r="CG776" s="69" t="n">
        <v>43</v>
      </c>
      <c r="CH776" s="32" t="n">
        <v>92</v>
      </c>
      <c r="CI776" s="32" t="n">
        <v>85</v>
      </c>
      <c r="CJ776" s="49" t="n">
        <v>27</v>
      </c>
      <c r="CK776" s="49" t="n">
        <v>35</v>
      </c>
      <c r="CL776" s="49" t="n">
        <v>62</v>
      </c>
      <c r="CM776" s="49" t="n">
        <v>21</v>
      </c>
      <c r="CN776" s="49" t="n">
        <v>50</v>
      </c>
      <c r="CO776" s="84" t="n">
        <v>71</v>
      </c>
      <c r="CP776" s="25" t="n">
        <f aca="false">BX776+BW776+BV776+BU776+BT776+BQ776+BN776</f>
        <v>580</v>
      </c>
      <c r="CQ776" s="25" t="n">
        <f aca="false">CO776+CL776+CI776+CH776+CG776+CD776+CA776</f>
        <v>467</v>
      </c>
      <c r="CR776" s="26" t="n">
        <f aca="false">CP776/7</f>
        <v>82.8571428571429</v>
      </c>
      <c r="CS776" s="26" t="n">
        <f aca="false">CQ776/7</f>
        <v>66.7142857142857</v>
      </c>
      <c r="CT776" s="24" t="n">
        <f aca="false">RANK(CR776,$CR$2:$CR$881,0)</f>
        <v>522</v>
      </c>
      <c r="CU776" s="25" t="n">
        <f aca="false">RANK(CS776,$CS$2:$CS$881,0)</f>
        <v>601</v>
      </c>
      <c r="CV776" s="26" t="n">
        <f aca="false">(CS776+CR776)/2</f>
        <v>74.7857142857143</v>
      </c>
      <c r="CW776" s="25" t="n">
        <f aca="false">RANK(CV776,$CV$2:$CV$881,0)</f>
        <v>562</v>
      </c>
      <c r="CX776" s="50" t="n">
        <f aca="false">(CV776+BB776)/2</f>
        <v>37.3928571428571</v>
      </c>
      <c r="CY776" s="50" t="n">
        <v>855</v>
      </c>
      <c r="CZ776" s="27" t="s">
        <v>132</v>
      </c>
      <c r="DA776" s="27" t="s">
        <v>151</v>
      </c>
      <c r="DB776" s="27" t="s">
        <v>151</v>
      </c>
      <c r="DC776" s="27" t="s">
        <v>134</v>
      </c>
      <c r="DD776" s="27" t="s">
        <v>195</v>
      </c>
      <c r="DE776" s="27" t="s">
        <v>638</v>
      </c>
      <c r="DF776" s="27" t="s">
        <v>187</v>
      </c>
      <c r="DG776" s="27" t="s">
        <v>134</v>
      </c>
      <c r="DH776" s="27" t="s">
        <v>182</v>
      </c>
      <c r="DI776" s="27" t="s">
        <v>375</v>
      </c>
      <c r="DJ776" s="27" t="s">
        <v>372</v>
      </c>
      <c r="DK776" s="27" t="s">
        <v>134</v>
      </c>
      <c r="DL776" s="27" t="s">
        <v>137</v>
      </c>
      <c r="DM776" s="27" t="s">
        <v>415</v>
      </c>
      <c r="DN776" s="27" t="s">
        <v>486</v>
      </c>
      <c r="DO776" s="27" t="s">
        <v>134</v>
      </c>
      <c r="DP776" s="27" t="s">
        <v>264</v>
      </c>
      <c r="DQ776" s="27" t="s">
        <v>906</v>
      </c>
      <c r="DR776" s="27" t="s">
        <v>218</v>
      </c>
      <c r="DS776" s="27" t="s">
        <v>480</v>
      </c>
      <c r="DT776" s="27" t="s">
        <v>182</v>
      </c>
      <c r="DU776" s="27" t="s">
        <v>897</v>
      </c>
      <c r="DV776" s="27" t="s">
        <v>141</v>
      </c>
      <c r="DW776" s="27" t="s">
        <v>174</v>
      </c>
      <c r="DX776" s="27" t="s">
        <v>155</v>
      </c>
      <c r="DY776" s="27" t="s">
        <v>176</v>
      </c>
      <c r="DZ776" s="27" t="n">
        <f aca="false">DY776+DV776+DR776+DN776+DJ776+DF776+DB776</f>
        <v>522</v>
      </c>
      <c r="EA776" s="28" t="n">
        <f aca="false">DZ776/7</f>
        <v>74.5714285714286</v>
      </c>
      <c r="EB776" s="27" t="n">
        <f aca="false">RANK(EA776,$EA$2:$EA$881,0)</f>
        <v>547</v>
      </c>
      <c r="EC776" s="29" t="n">
        <f aca="false">DZ776+CQ776+CP776+AZ776</f>
        <v>1569</v>
      </c>
      <c r="ED776" s="30" t="n">
        <f aca="false">(EA776+CV776+BB776)/3</f>
        <v>49.7857142857143</v>
      </c>
      <c r="EE776" s="51" t="n">
        <f aca="false">ROUND(BE776,3)</f>
        <v>0</v>
      </c>
      <c r="EF776" s="51" t="n">
        <f aca="false">ROUND(CR776,3)</f>
        <v>82.857</v>
      </c>
      <c r="EG776" s="51" t="n">
        <f aca="false">ROUND(CS776,3)</f>
        <v>66.714</v>
      </c>
      <c r="EH776" s="51" t="n">
        <f aca="false">ROUND(EA776,3)</f>
        <v>74.571</v>
      </c>
      <c r="EI776" s="51" t="n">
        <f aca="false">ROUND(ED776,3)</f>
        <v>49.786</v>
      </c>
      <c r="EJ776" s="51" t="n">
        <f aca="false">ROUND(CV776,3)</f>
        <v>74.786</v>
      </c>
      <c r="EK776" s="0" t="n">
        <f aca="false">RANK(EI776,$EI$2:$EI$881,0)</f>
        <v>775</v>
      </c>
    </row>
    <row r="777" customFormat="false" ht="15" hidden="false" customHeight="false" outlineLevel="0" collapsed="false">
      <c r="A777" s="4" t="n">
        <v>1815</v>
      </c>
      <c r="B777" s="4" t="n">
        <v>605</v>
      </c>
      <c r="C777" s="27" t="s">
        <v>2195</v>
      </c>
      <c r="D777" s="31" t="n">
        <v>612</v>
      </c>
      <c r="E777" s="16" t="n">
        <v>230513936</v>
      </c>
      <c r="F777" s="56" t="s">
        <v>2196</v>
      </c>
      <c r="G777" s="22" t="s">
        <v>186</v>
      </c>
      <c r="H777" s="22" t="s">
        <v>465</v>
      </c>
      <c r="I777" s="80"/>
      <c r="J777" s="16" t="n">
        <v>87</v>
      </c>
      <c r="K777" s="16" t="n">
        <v>81</v>
      </c>
      <c r="L777" s="34" t="n">
        <f aca="false">(K777*70)/100</f>
        <v>56.7</v>
      </c>
      <c r="M777" s="34" t="n">
        <f aca="false">ROUNDUP(L777,0)</f>
        <v>57</v>
      </c>
      <c r="N777" s="16" t="n">
        <v>28</v>
      </c>
      <c r="O777" s="34" t="n">
        <f aca="false">N777+L777</f>
        <v>84.7</v>
      </c>
      <c r="P777" s="34" t="n">
        <f aca="false">N777+M777</f>
        <v>85</v>
      </c>
      <c r="Q777" s="16" t="n">
        <v>61</v>
      </c>
      <c r="R777" s="16" t="n">
        <v>78</v>
      </c>
      <c r="S777" s="34" t="n">
        <f aca="false">(R777*70)/100</f>
        <v>54.6</v>
      </c>
      <c r="T777" s="34" t="n">
        <f aca="false">ROUNDUP(S777,0)</f>
        <v>55</v>
      </c>
      <c r="U777" s="16" t="n">
        <v>16</v>
      </c>
      <c r="V777" s="34" t="n">
        <f aca="false">U777+S777</f>
        <v>70.6</v>
      </c>
      <c r="W777" s="34" t="n">
        <f aca="false">U777+T777</f>
        <v>71</v>
      </c>
      <c r="X777" s="16" t="n">
        <v>62</v>
      </c>
      <c r="Y777" s="34" t="n">
        <f aca="false">(X777*70)/100</f>
        <v>43.4</v>
      </c>
      <c r="Z777" s="34" t="n">
        <f aca="false">ROUNDUP(Y777,0)</f>
        <v>44</v>
      </c>
      <c r="AA777" s="16" t="n">
        <v>27</v>
      </c>
      <c r="AB777" s="34" t="n">
        <f aca="false">AA777+Y777</f>
        <v>70.4</v>
      </c>
      <c r="AC777" s="34" t="n">
        <f aca="false">AA777+Z777</f>
        <v>71</v>
      </c>
      <c r="AD777" s="32" t="n">
        <f aca="false">X777+R777+Q777+K777+J777</f>
        <v>369</v>
      </c>
      <c r="AE777" s="16" t="n">
        <f aca="false">AD777/5</f>
        <v>73.8</v>
      </c>
      <c r="AF777" s="16" t="n">
        <v>74</v>
      </c>
      <c r="AG777" s="16" t="n">
        <v>87</v>
      </c>
      <c r="AH777" s="16" t="n">
        <v>84</v>
      </c>
      <c r="AI777" s="16" t="n">
        <v>70</v>
      </c>
      <c r="AJ777" s="16" t="n">
        <f aca="false">(AI777*70)/100</f>
        <v>49</v>
      </c>
      <c r="AK777" s="35" t="n">
        <f aca="false">ROUNDUP(AJ777,0)</f>
        <v>49</v>
      </c>
      <c r="AL777" s="16" t="n">
        <v>25</v>
      </c>
      <c r="AM777" s="16" t="n">
        <f aca="false">AL777+AJ777</f>
        <v>74</v>
      </c>
      <c r="AN777" s="16" t="n">
        <f aca="false">AL777+AK777</f>
        <v>74</v>
      </c>
      <c r="AO777" s="16" t="n">
        <v>73</v>
      </c>
      <c r="AP777" s="36" t="n">
        <f aca="false">(AO777*70)/100</f>
        <v>51.1</v>
      </c>
      <c r="AQ777" s="37" t="n">
        <f aca="false">ROUNDUP(AP777,0)</f>
        <v>52</v>
      </c>
      <c r="AR777" s="16" t="n">
        <v>27</v>
      </c>
      <c r="AS777" s="16" t="n">
        <f aca="false">AR777+AP777</f>
        <v>78.1</v>
      </c>
      <c r="AT777" s="16" t="n">
        <f aca="false">AR777+AQ777</f>
        <v>79</v>
      </c>
      <c r="AU777" s="16" t="n">
        <f aca="false">AO777+AF777+AI777+AH777+AG777</f>
        <v>388</v>
      </c>
      <c r="AV777" s="16" t="n">
        <f aca="false">(AO777+AF777+AI777+AH777+AG777)/5</f>
        <v>77.6</v>
      </c>
      <c r="AW777" s="36" t="n">
        <f aca="false">(AO777+AF777+AI777+AH777+AG777+X777+R777+Q777+K777+J777)</f>
        <v>757</v>
      </c>
      <c r="AX777" s="16" t="n">
        <f aca="false">AW777/10</f>
        <v>75.7</v>
      </c>
      <c r="AY777" s="16" t="n">
        <f aca="false">AS777+AF777+AM777+AH777+AG777+AB777+V777+Q777+O777+J777</f>
        <v>770.8</v>
      </c>
      <c r="AZ777" s="16" t="n">
        <f aca="false">AT777+AF777+AN777+AH777+AG777+AC777+W777+Q777+P777+J777</f>
        <v>773</v>
      </c>
      <c r="BA777" s="16" t="n">
        <f aca="false">AY777/10</f>
        <v>77.08</v>
      </c>
      <c r="BB777" s="16" t="n">
        <f aca="false">AZ777/10</f>
        <v>77.3</v>
      </c>
      <c r="BC777" s="16" t="n">
        <v>2392</v>
      </c>
      <c r="BD777" s="16" t="n">
        <f aca="false">RANK(AX777,$AX$2:$AX$881,0)</f>
        <v>640</v>
      </c>
      <c r="BE777" s="54" t="n">
        <f aca="false">((BC777*100)/2400)*0.4+(AX777*0.6)</f>
        <v>85.2866666666667</v>
      </c>
      <c r="BF777" s="16" t="n">
        <f aca="false">RANK(BE777,$BE$2:$BE$881,0)</f>
        <v>544</v>
      </c>
      <c r="BG777" s="39" t="n">
        <f aca="false">RANK(BB777,$BB$2:$BB$881,0)</f>
        <v>620</v>
      </c>
      <c r="BH777" s="39" t="n">
        <f aca="false">RANK(BC777,$BC$2:$BC$881,0)</f>
        <v>28</v>
      </c>
      <c r="BI777" s="22" t="s">
        <v>130</v>
      </c>
      <c r="BJ777" s="22" t="s">
        <v>129</v>
      </c>
      <c r="BK777" s="40" t="s">
        <v>509</v>
      </c>
      <c r="BL777" s="101" t="n">
        <v>10.5</v>
      </c>
      <c r="BM777" s="61"/>
      <c r="BN777" s="61"/>
      <c r="BO777" s="42" t="n">
        <v>29</v>
      </c>
      <c r="BP777" s="61"/>
      <c r="BQ777" s="61"/>
      <c r="BR777" s="74" t="n">
        <v>7</v>
      </c>
      <c r="BS777" s="80"/>
      <c r="BT777" s="80"/>
      <c r="BU777" s="80"/>
      <c r="BV777" s="137"/>
      <c r="BW777" s="61"/>
      <c r="BX777" s="107"/>
      <c r="BY777" s="130"/>
      <c r="BZ777" s="60"/>
      <c r="CA777" s="60"/>
      <c r="CB777" s="61"/>
      <c r="CC777" s="60"/>
      <c r="CD777" s="60"/>
      <c r="CE777" s="60"/>
      <c r="CF777" s="60"/>
      <c r="CG777" s="60"/>
      <c r="CH777" s="60"/>
      <c r="CI777" s="60"/>
      <c r="CJ777" s="60"/>
      <c r="CK777" s="60"/>
      <c r="CL777" s="61"/>
      <c r="CM777" s="60"/>
      <c r="CN777" s="60"/>
      <c r="CO777" s="60"/>
      <c r="CP777" s="25" t="n">
        <f aca="false">BX777+BW777+BV777+BU777+BT777+BQ777+BN777</f>
        <v>0</v>
      </c>
      <c r="CQ777" s="25" t="n">
        <f aca="false">CO777+CL777+CI777+CH777+CG777+CD777+CA777</f>
        <v>0</v>
      </c>
      <c r="CR777" s="26" t="n">
        <f aca="false">CP777/7</f>
        <v>0</v>
      </c>
      <c r="CS777" s="26" t="n">
        <f aca="false">CQ777/7</f>
        <v>0</v>
      </c>
      <c r="CT777" s="24" t="n">
        <f aca="false">RANK(CR777,$CR$2:$CR$881,0)</f>
        <v>768</v>
      </c>
      <c r="CU777" s="25" t="n">
        <f aca="false">RANK(CS777,$CS$2:$CS$881,0)</f>
        <v>752</v>
      </c>
      <c r="CV777" s="26" t="n">
        <f aca="false">(CS777+CR777)/2</f>
        <v>0</v>
      </c>
      <c r="CW777" s="25" t="n">
        <f aca="false">RANK(CV777,$CV$2:$CV$881,0)</f>
        <v>753</v>
      </c>
      <c r="CX777" s="50" t="n">
        <f aca="false">(CV777+BB777)/2</f>
        <v>38.65</v>
      </c>
      <c r="CY777" s="50" t="n">
        <v>834</v>
      </c>
      <c r="CZ777" s="27" t="s">
        <v>132</v>
      </c>
      <c r="DA777" s="27" t="s">
        <v>205</v>
      </c>
      <c r="DB777" s="27" t="s">
        <v>205</v>
      </c>
      <c r="DC777" s="27" t="s">
        <v>134</v>
      </c>
      <c r="DD777" s="27" t="s">
        <v>137</v>
      </c>
      <c r="DE777" s="27" t="s">
        <v>136</v>
      </c>
      <c r="DF777" s="27" t="s">
        <v>162</v>
      </c>
      <c r="DG777" s="27" t="s">
        <v>134</v>
      </c>
      <c r="DH777" s="27" t="s">
        <v>160</v>
      </c>
      <c r="DI777" s="27" t="s">
        <v>183</v>
      </c>
      <c r="DJ777" s="27" t="s">
        <v>202</v>
      </c>
      <c r="DK777" s="27" t="s">
        <v>134</v>
      </c>
      <c r="DL777" s="27" t="s">
        <v>137</v>
      </c>
      <c r="DM777" s="27" t="s">
        <v>313</v>
      </c>
      <c r="DN777" s="27" t="s">
        <v>305</v>
      </c>
      <c r="DO777" s="27" t="s">
        <v>134</v>
      </c>
      <c r="DP777" s="27"/>
      <c r="DQ777" s="27"/>
      <c r="DR777" s="27"/>
      <c r="DS777" s="27"/>
      <c r="DT777" s="27" t="s">
        <v>164</v>
      </c>
      <c r="DU777" s="27" t="s">
        <v>218</v>
      </c>
      <c r="DV777" s="27" t="s">
        <v>209</v>
      </c>
      <c r="DW777" s="27" t="s">
        <v>386</v>
      </c>
      <c r="DX777" s="27" t="s">
        <v>141</v>
      </c>
      <c r="DY777" s="27" t="s">
        <v>175</v>
      </c>
      <c r="DZ777" s="27" t="n">
        <f aca="false">DY777+DV777+DR777+DN777+DJ777+DF777+DB777</f>
        <v>504</v>
      </c>
      <c r="EA777" s="28" t="n">
        <f aca="false">DZ777/7</f>
        <v>72</v>
      </c>
      <c r="EB777" s="27" t="n">
        <f aca="false">RANK(EA777,$EA$2:$EA$881,0)</f>
        <v>609</v>
      </c>
      <c r="EC777" s="29" t="n">
        <f aca="false">DZ777+CQ777+CP777+AZ777</f>
        <v>1277</v>
      </c>
      <c r="ED777" s="30" t="n">
        <f aca="false">(EA777+CV777+BB777)/3</f>
        <v>49.7666666666667</v>
      </c>
      <c r="EE777" s="51" t="n">
        <f aca="false">ROUND(BE777,3)</f>
        <v>85.287</v>
      </c>
      <c r="EF777" s="51" t="n">
        <f aca="false">ROUND(CR777,3)</f>
        <v>0</v>
      </c>
      <c r="EG777" s="51" t="n">
        <f aca="false">ROUND(CS777,3)</f>
        <v>0</v>
      </c>
      <c r="EH777" s="51" t="n">
        <f aca="false">ROUND(EA777,3)</f>
        <v>72</v>
      </c>
      <c r="EI777" s="51" t="n">
        <f aca="false">ROUND(ED777,3)</f>
        <v>49.767</v>
      </c>
      <c r="EJ777" s="51" t="n">
        <f aca="false">ROUND(CV777,3)</f>
        <v>0</v>
      </c>
      <c r="EK777" s="0" t="n">
        <f aca="false">RANK(EI777,$EI$2:$EI$881,0)</f>
        <v>776</v>
      </c>
    </row>
    <row r="778" customFormat="false" ht="15" hidden="false" customHeight="false" outlineLevel="0" collapsed="false">
      <c r="A778" s="4" t="n">
        <v>8656</v>
      </c>
      <c r="B778" s="4" t="n">
        <v>723</v>
      </c>
      <c r="C778" s="27" t="s">
        <v>2197</v>
      </c>
      <c r="D778" s="31" t="n">
        <v>738</v>
      </c>
      <c r="E778" s="16" t="n">
        <v>230507790</v>
      </c>
      <c r="F778" s="56" t="s">
        <v>2198</v>
      </c>
      <c r="G778" s="22" t="s">
        <v>573</v>
      </c>
      <c r="H778" s="22" t="s">
        <v>465</v>
      </c>
      <c r="I778" s="80"/>
      <c r="J778" s="16" t="n">
        <v>63</v>
      </c>
      <c r="K778" s="16" t="n">
        <v>83</v>
      </c>
      <c r="L778" s="34" t="n">
        <f aca="false">(K778*70)/100</f>
        <v>58.1</v>
      </c>
      <c r="M778" s="34" t="n">
        <f aca="false">ROUNDUP(L778,0)</f>
        <v>59</v>
      </c>
      <c r="N778" s="16" t="n">
        <v>30</v>
      </c>
      <c r="O778" s="34" t="n">
        <f aca="false">N778+L778</f>
        <v>88.1</v>
      </c>
      <c r="P778" s="34" t="n">
        <f aca="false">N778+M778</f>
        <v>89</v>
      </c>
      <c r="Q778" s="16" t="n">
        <v>77</v>
      </c>
      <c r="R778" s="16" t="n">
        <v>79</v>
      </c>
      <c r="S778" s="34" t="n">
        <f aca="false">(R778*70)/100</f>
        <v>55.3</v>
      </c>
      <c r="T778" s="34" t="n">
        <f aca="false">ROUNDUP(S778,0)</f>
        <v>56</v>
      </c>
      <c r="U778" s="16" t="n">
        <v>22</v>
      </c>
      <c r="V778" s="34" t="n">
        <f aca="false">U778+S778</f>
        <v>77.3</v>
      </c>
      <c r="W778" s="34" t="n">
        <f aca="false">U778+T778</f>
        <v>78</v>
      </c>
      <c r="X778" s="16" t="n">
        <v>79</v>
      </c>
      <c r="Y778" s="34" t="n">
        <f aca="false">(X778*70)/100</f>
        <v>55.3</v>
      </c>
      <c r="Z778" s="34" t="n">
        <f aca="false">ROUNDUP(Y778,0)</f>
        <v>56</v>
      </c>
      <c r="AA778" s="16" t="n">
        <v>23</v>
      </c>
      <c r="AB778" s="34" t="n">
        <f aca="false">AA778+Y778</f>
        <v>78.3</v>
      </c>
      <c r="AC778" s="34" t="n">
        <f aca="false">AA778+Z778</f>
        <v>79</v>
      </c>
      <c r="AD778" s="32" t="n">
        <f aca="false">X778+R778+Q778+K778+J778</f>
        <v>381</v>
      </c>
      <c r="AE778" s="16" t="n">
        <f aca="false">AD778/5</f>
        <v>76.2</v>
      </c>
      <c r="AF778" s="16" t="n">
        <v>74</v>
      </c>
      <c r="AG778" s="16" t="n">
        <v>84</v>
      </c>
      <c r="AH778" s="16" t="n">
        <v>86</v>
      </c>
      <c r="AI778" s="16" t="n">
        <v>81</v>
      </c>
      <c r="AJ778" s="16" t="n">
        <f aca="false">(AI778*70)/100</f>
        <v>56.7</v>
      </c>
      <c r="AK778" s="35" t="n">
        <f aca="false">ROUNDUP(AJ778,0)</f>
        <v>57</v>
      </c>
      <c r="AL778" s="16" t="n">
        <v>22</v>
      </c>
      <c r="AM778" s="16" t="n">
        <f aca="false">AL778+AJ778</f>
        <v>78.7</v>
      </c>
      <c r="AN778" s="16" t="n">
        <f aca="false">AL778+AK778</f>
        <v>79</v>
      </c>
      <c r="AO778" s="16" t="n">
        <v>74</v>
      </c>
      <c r="AP778" s="36" t="n">
        <f aca="false">(AO778*70)/100</f>
        <v>51.8</v>
      </c>
      <c r="AQ778" s="37" t="n">
        <f aca="false">ROUNDUP(AP778,0)</f>
        <v>52</v>
      </c>
      <c r="AR778" s="16" t="n">
        <v>22</v>
      </c>
      <c r="AS778" s="16" t="n">
        <f aca="false">AR778+AP778</f>
        <v>73.8</v>
      </c>
      <c r="AT778" s="16" t="n">
        <f aca="false">AR778+AQ778</f>
        <v>74</v>
      </c>
      <c r="AU778" s="16" t="n">
        <f aca="false">AO778+AF778+AI778+AH778+AG778</f>
        <v>399</v>
      </c>
      <c r="AV778" s="16" t="n">
        <f aca="false">(AO778+AF778+AI778+AH778+AG778)/5</f>
        <v>79.8</v>
      </c>
      <c r="AW778" s="36" t="n">
        <f aca="false">(AO778+AF778+AI778+AH778+AG778+X778+R778+Q778+K778+J778)</f>
        <v>780</v>
      </c>
      <c r="AX778" s="16" t="n">
        <f aca="false">AW778/10</f>
        <v>78</v>
      </c>
      <c r="AY778" s="16" t="n">
        <f aca="false">AS778+AF778+AM778+AH778+AG778+AB778+V778+Q778+O778+J778</f>
        <v>780.2</v>
      </c>
      <c r="AZ778" s="16" t="n">
        <f aca="false">AT778+AF778+AN778+AH778+AG778+AC778+W778+Q778+P778+J778</f>
        <v>783</v>
      </c>
      <c r="BA778" s="16" t="n">
        <f aca="false">AY778/10</f>
        <v>78.02</v>
      </c>
      <c r="BB778" s="16" t="n">
        <f aca="false">AZ778/10</f>
        <v>78.3</v>
      </c>
      <c r="BC778" s="16" t="n">
        <v>2364</v>
      </c>
      <c r="BD778" s="16" t="n">
        <f aca="false">RANK(AX778,$AX$2:$AX$881,0)</f>
        <v>408</v>
      </c>
      <c r="BE778" s="54" t="n">
        <f aca="false">((BC778*100)/2400)*0.4+(AX778*0.6)</f>
        <v>86.2</v>
      </c>
      <c r="BF778" s="16" t="n">
        <f aca="false">RANK(BE778,$BE$2:$BE$881,0)</f>
        <v>402</v>
      </c>
      <c r="BG778" s="39" t="n">
        <f aca="false">RANK(BB778,$BB$2:$BB$881,0)</f>
        <v>534</v>
      </c>
      <c r="BH778" s="39" t="n">
        <f aca="false">RANK(BC778,$BC$2:$BC$881,0)</f>
        <v>347</v>
      </c>
      <c r="BI778" s="22" t="s">
        <v>130</v>
      </c>
      <c r="BJ778" s="22" t="s">
        <v>129</v>
      </c>
      <c r="BK778" s="40" t="s">
        <v>131</v>
      </c>
      <c r="BL778" s="101" t="n">
        <v>4.5</v>
      </c>
      <c r="BM778" s="61"/>
      <c r="BN778" s="61"/>
      <c r="BO778" s="42" t="n">
        <v>23</v>
      </c>
      <c r="BP778" s="61"/>
      <c r="BQ778" s="61"/>
      <c r="BR778" s="42" t="n">
        <v>23</v>
      </c>
      <c r="BS778" s="80"/>
      <c r="BT778" s="80"/>
      <c r="BU778" s="80"/>
      <c r="BV778" s="137"/>
      <c r="BW778" s="61"/>
      <c r="BX778" s="107"/>
      <c r="BY778" s="130"/>
      <c r="BZ778" s="60"/>
      <c r="CA778" s="60"/>
      <c r="CB778" s="61"/>
      <c r="CC778" s="60"/>
      <c r="CD778" s="60"/>
      <c r="CE778" s="60"/>
      <c r="CF778" s="60"/>
      <c r="CG778" s="60"/>
      <c r="CH778" s="60"/>
      <c r="CI778" s="60"/>
      <c r="CJ778" s="60"/>
      <c r="CK778" s="60"/>
      <c r="CL778" s="61"/>
      <c r="CM778" s="60"/>
      <c r="CN778" s="60"/>
      <c r="CO778" s="60"/>
      <c r="CP778" s="25" t="n">
        <f aca="false">BX778+BW778+BV778+BU778+BT778+BQ778+BN778</f>
        <v>0</v>
      </c>
      <c r="CQ778" s="25" t="n">
        <f aca="false">CO778+CL778+CI778+CH778+CG778+CD778+CA778</f>
        <v>0</v>
      </c>
      <c r="CR778" s="26" t="n">
        <f aca="false">CP778/7</f>
        <v>0</v>
      </c>
      <c r="CS778" s="26" t="n">
        <f aca="false">CQ778/7</f>
        <v>0</v>
      </c>
      <c r="CT778" s="24" t="n">
        <f aca="false">RANK(CR778,$CR$2:$CR$881,0)</f>
        <v>768</v>
      </c>
      <c r="CU778" s="25" t="n">
        <f aca="false">RANK(CS778,$CS$2:$CS$881,0)</f>
        <v>752</v>
      </c>
      <c r="CV778" s="26" t="n">
        <f aca="false">(CS778+CR778)/2</f>
        <v>0</v>
      </c>
      <c r="CW778" s="25" t="n">
        <f aca="false">RANK(CV778,$CV$2:$CV$881,0)</f>
        <v>753</v>
      </c>
      <c r="CX778" s="50" t="n">
        <f aca="false">(CV778+BB778)/2</f>
        <v>39.15</v>
      </c>
      <c r="CY778" s="50" t="n">
        <v>814</v>
      </c>
      <c r="CZ778" s="27" t="s">
        <v>132</v>
      </c>
      <c r="DA778" s="27" t="s">
        <v>219</v>
      </c>
      <c r="DB778" s="27" t="s">
        <v>219</v>
      </c>
      <c r="DC778" s="27" t="s">
        <v>134</v>
      </c>
      <c r="DD778" s="27" t="s">
        <v>264</v>
      </c>
      <c r="DE778" s="27" t="s">
        <v>220</v>
      </c>
      <c r="DF778" s="27" t="s">
        <v>441</v>
      </c>
      <c r="DG778" s="27" t="s">
        <v>134</v>
      </c>
      <c r="DH778" s="27" t="s">
        <v>195</v>
      </c>
      <c r="DI778" s="27" t="s">
        <v>313</v>
      </c>
      <c r="DJ778" s="27" t="s">
        <v>486</v>
      </c>
      <c r="DK778" s="27" t="s">
        <v>134</v>
      </c>
      <c r="DL778" s="27" t="s">
        <v>195</v>
      </c>
      <c r="DM778" s="27" t="s">
        <v>681</v>
      </c>
      <c r="DN778" s="27" t="s">
        <v>141</v>
      </c>
      <c r="DO778" s="27" t="s">
        <v>134</v>
      </c>
      <c r="DP778" s="27" t="s">
        <v>718</v>
      </c>
      <c r="DQ778" s="27" t="s">
        <v>897</v>
      </c>
      <c r="DR778" s="27" t="s">
        <v>306</v>
      </c>
      <c r="DS778" s="27" t="s">
        <v>480</v>
      </c>
      <c r="DT778" s="27" t="s">
        <v>174</v>
      </c>
      <c r="DU778" s="27" t="s">
        <v>1407</v>
      </c>
      <c r="DV778" s="27" t="s">
        <v>203</v>
      </c>
      <c r="DW778" s="27" t="s">
        <v>174</v>
      </c>
      <c r="DX778" s="27" t="s">
        <v>203</v>
      </c>
      <c r="DY778" s="27" t="s">
        <v>209</v>
      </c>
      <c r="DZ778" s="27" t="n">
        <f aca="false">DY778+DV778+DR778+DN778+DJ778+DF778+DB778</f>
        <v>496</v>
      </c>
      <c r="EA778" s="28" t="n">
        <f aca="false">DZ778/7</f>
        <v>70.8571428571429</v>
      </c>
      <c r="EB778" s="27" t="n">
        <f aca="false">RANK(EA778,$EA$2:$EA$881,0)</f>
        <v>632</v>
      </c>
      <c r="EC778" s="29" t="n">
        <f aca="false">DZ778+CQ778+CP778+AZ778</f>
        <v>1279</v>
      </c>
      <c r="ED778" s="30" t="n">
        <f aca="false">(EA778+CV778+BB778)/3</f>
        <v>49.7190476190476</v>
      </c>
      <c r="EE778" s="51" t="n">
        <f aca="false">ROUND(BE778,3)</f>
        <v>86.2</v>
      </c>
      <c r="EF778" s="51" t="n">
        <f aca="false">ROUND(CR778,3)</f>
        <v>0</v>
      </c>
      <c r="EG778" s="51" t="n">
        <f aca="false">ROUND(CS778,3)</f>
        <v>0</v>
      </c>
      <c r="EH778" s="51" t="n">
        <f aca="false">ROUND(EA778,3)</f>
        <v>70.857</v>
      </c>
      <c r="EI778" s="51" t="n">
        <f aca="false">ROUND(ED778,3)</f>
        <v>49.719</v>
      </c>
      <c r="EJ778" s="51" t="n">
        <f aca="false">ROUND(CV778,3)</f>
        <v>0</v>
      </c>
      <c r="EK778" s="0" t="n">
        <f aca="false">RANK(EI778,$EI$2:$EI$881,0)</f>
        <v>777</v>
      </c>
    </row>
    <row r="779" customFormat="false" ht="15" hidden="false" customHeight="false" outlineLevel="0" collapsed="false">
      <c r="A779" s="4" t="n">
        <v>1978</v>
      </c>
      <c r="B779" s="4" t="n">
        <v>395</v>
      </c>
      <c r="C779" s="27" t="s">
        <v>2199</v>
      </c>
      <c r="D779" s="31" t="n">
        <v>400</v>
      </c>
      <c r="E779" s="65" t="n">
        <v>230119095</v>
      </c>
      <c r="F779" s="56" t="s">
        <v>2200</v>
      </c>
      <c r="G779" s="63" t="s">
        <v>2201</v>
      </c>
      <c r="H779" s="22" t="s">
        <v>326</v>
      </c>
      <c r="I779" s="96"/>
      <c r="J779" s="65" t="n">
        <v>83</v>
      </c>
      <c r="K779" s="65" t="n">
        <v>81</v>
      </c>
      <c r="L779" s="34" t="n">
        <f aca="false">(K779*70)/100</f>
        <v>56.7</v>
      </c>
      <c r="M779" s="34" t="n">
        <f aca="false">ROUNDUP(L779,0)</f>
        <v>57</v>
      </c>
      <c r="N779" s="65" t="n">
        <v>25</v>
      </c>
      <c r="O779" s="34" t="n">
        <f aca="false">N779+L779</f>
        <v>81.7</v>
      </c>
      <c r="P779" s="34" t="n">
        <f aca="false">N779+M779</f>
        <v>82</v>
      </c>
      <c r="Q779" s="65" t="n">
        <v>76</v>
      </c>
      <c r="R779" s="65" t="n">
        <v>65</v>
      </c>
      <c r="S779" s="34" t="n">
        <f aca="false">(R779*70)/100</f>
        <v>45.5</v>
      </c>
      <c r="T779" s="34" t="n">
        <f aca="false">ROUNDUP(S779,0)</f>
        <v>46</v>
      </c>
      <c r="U779" s="65" t="n">
        <v>26</v>
      </c>
      <c r="V779" s="34" t="n">
        <f aca="false">U779+S779</f>
        <v>71.5</v>
      </c>
      <c r="W779" s="34" t="n">
        <f aca="false">U779+T779</f>
        <v>72</v>
      </c>
      <c r="X779" s="65" t="n">
        <v>71</v>
      </c>
      <c r="Y779" s="34" t="n">
        <f aca="false">(X779*70)/100</f>
        <v>49.7</v>
      </c>
      <c r="Z779" s="34" t="n">
        <f aca="false">ROUNDUP(Y779,0)</f>
        <v>50</v>
      </c>
      <c r="AA779" s="65" t="n">
        <v>26</v>
      </c>
      <c r="AB779" s="34" t="n">
        <f aca="false">AA779+Y779</f>
        <v>75.7</v>
      </c>
      <c r="AC779" s="34" t="n">
        <f aca="false">AA779+Z779</f>
        <v>76</v>
      </c>
      <c r="AD779" s="32" t="n">
        <f aca="false">X779+R779+Q779+K779+J779</f>
        <v>376</v>
      </c>
      <c r="AE779" s="16" t="n">
        <f aca="false">AD779/5</f>
        <v>75.2</v>
      </c>
      <c r="AF779" s="65" t="n">
        <v>93</v>
      </c>
      <c r="AG779" s="65" t="n">
        <v>63</v>
      </c>
      <c r="AH779" s="65" t="n">
        <v>86</v>
      </c>
      <c r="AI779" s="65" t="n">
        <v>73</v>
      </c>
      <c r="AJ779" s="16" t="n">
        <f aca="false">(AI779*70)/100</f>
        <v>51.1</v>
      </c>
      <c r="AK779" s="35" t="n">
        <f aca="false">ROUNDUP(AJ779,0)</f>
        <v>52</v>
      </c>
      <c r="AL779" s="65" t="n">
        <v>18</v>
      </c>
      <c r="AM779" s="16" t="n">
        <f aca="false">AL779+AJ779</f>
        <v>69.1</v>
      </c>
      <c r="AN779" s="16" t="n">
        <f aca="false">AL779+AK779</f>
        <v>70</v>
      </c>
      <c r="AO779" s="65" t="n">
        <v>83</v>
      </c>
      <c r="AP779" s="36" t="n">
        <f aca="false">(AO779*70)/100</f>
        <v>58.1</v>
      </c>
      <c r="AQ779" s="37" t="n">
        <f aca="false">ROUNDUP(AP779,0)</f>
        <v>59</v>
      </c>
      <c r="AR779" s="65" t="n">
        <v>22</v>
      </c>
      <c r="AS779" s="16" t="n">
        <f aca="false">AR779+AP779</f>
        <v>80.1</v>
      </c>
      <c r="AT779" s="16" t="n">
        <f aca="false">AR779+AQ779</f>
        <v>81</v>
      </c>
      <c r="AU779" s="16" t="n">
        <f aca="false">AO779+AF779+AI779+AH779+AG779</f>
        <v>398</v>
      </c>
      <c r="AV779" s="16" t="n">
        <f aca="false">(AO779+AF779+AI779+AH779+AG779)/5</f>
        <v>79.6</v>
      </c>
      <c r="AW779" s="36" t="n">
        <f aca="false">(AO779+AF779+AI779+AH779+AG779+X779+R779+Q779+K779+J779)</f>
        <v>774</v>
      </c>
      <c r="AX779" s="16" t="n">
        <f aca="false">AW779/10</f>
        <v>77.4</v>
      </c>
      <c r="AY779" s="16" t="n">
        <f aca="false">AS779+AF779+AM779+AH779+AG779+AB779+V779+Q779+O779+J779</f>
        <v>779.1</v>
      </c>
      <c r="AZ779" s="16" t="n">
        <f aca="false">AT779+AF779+AN779+AH779+AG779+AC779+W779+Q779+P779+J779</f>
        <v>782</v>
      </c>
      <c r="BA779" s="16" t="n">
        <f aca="false">AY779/10</f>
        <v>77.91</v>
      </c>
      <c r="BB779" s="16" t="n">
        <f aca="false">AZ779/10</f>
        <v>78.2</v>
      </c>
      <c r="BC779" s="65" t="n">
        <v>2361</v>
      </c>
      <c r="BD779" s="16" t="n">
        <f aca="false">RANK(AX779,$AX$2:$AX$881,0)</f>
        <v>461</v>
      </c>
      <c r="BE779" s="54" t="n">
        <f aca="false">((BC779*100)/2400)*0.4+(AX779*0.6)</f>
        <v>85.79</v>
      </c>
      <c r="BF779" s="16" t="n">
        <f aca="false">RANK(BE779,$BE$2:$BE$881,0)</f>
        <v>461</v>
      </c>
      <c r="BG779" s="39" t="n">
        <f aca="false">RANK(BB779,$BB$2:$BB$881,0)</f>
        <v>541</v>
      </c>
      <c r="BH779" s="39" t="n">
        <f aca="false">RANK(BC779,$BC$2:$BC$881,0)</f>
        <v>382</v>
      </c>
      <c r="BI779" s="22" t="s">
        <v>130</v>
      </c>
      <c r="BJ779" s="22" t="s">
        <v>129</v>
      </c>
      <c r="BK779" s="40" t="s">
        <v>509</v>
      </c>
      <c r="BL779" s="41" t="n">
        <v>15</v>
      </c>
      <c r="BM779" s="41" t="n">
        <v>56</v>
      </c>
      <c r="BN779" s="41" t="n">
        <v>71</v>
      </c>
      <c r="BO779" s="42" t="n">
        <v>17</v>
      </c>
      <c r="BP779" s="43" t="n">
        <v>29</v>
      </c>
      <c r="BQ779" s="119" t="n">
        <v>46</v>
      </c>
      <c r="BR779" s="42" t="n">
        <v>17</v>
      </c>
      <c r="BS779" s="45" t="n">
        <v>56</v>
      </c>
      <c r="BT779" s="45" t="n">
        <v>73</v>
      </c>
      <c r="BU779" s="46" t="n">
        <v>98</v>
      </c>
      <c r="BV779" s="47" t="n">
        <v>80</v>
      </c>
      <c r="BW779" s="42" t="n">
        <v>98</v>
      </c>
      <c r="BX779" s="48" t="n">
        <v>86</v>
      </c>
      <c r="BY779" s="32" t="n">
        <v>23</v>
      </c>
      <c r="BZ779" s="32" t="n">
        <v>35</v>
      </c>
      <c r="CA779" s="69" t="n">
        <v>58</v>
      </c>
      <c r="CB779" s="32" t="n">
        <v>16</v>
      </c>
      <c r="CC779" s="32" t="n">
        <v>35</v>
      </c>
      <c r="CD779" s="69" t="n">
        <v>51</v>
      </c>
      <c r="CE779" s="32" t="n">
        <v>27</v>
      </c>
      <c r="CF779" s="32" t="n">
        <v>51</v>
      </c>
      <c r="CG779" s="32" t="n">
        <v>78</v>
      </c>
      <c r="CH779" s="32" t="n">
        <v>93</v>
      </c>
      <c r="CI779" s="32" t="n">
        <v>88</v>
      </c>
      <c r="CJ779" s="83" t="n">
        <v>10</v>
      </c>
      <c r="CK779" s="60"/>
      <c r="CL779" s="61"/>
      <c r="CM779" s="49" t="n">
        <v>19</v>
      </c>
      <c r="CN779" s="49" t="n">
        <v>52</v>
      </c>
      <c r="CO779" s="49" t="n">
        <v>71</v>
      </c>
      <c r="CP779" s="25" t="n">
        <f aca="false">BX779+BW779+BV779+BU779+BT779+BQ779+BN779</f>
        <v>552</v>
      </c>
      <c r="CQ779" s="25" t="n">
        <f aca="false">CO779+CL779+CI779+CH779+CG779+CD779+CA779</f>
        <v>439</v>
      </c>
      <c r="CR779" s="26" t="n">
        <f aca="false">CP779/7</f>
        <v>78.8571428571429</v>
      </c>
      <c r="CS779" s="26" t="n">
        <f aca="false">CQ779/7</f>
        <v>62.7142857142857</v>
      </c>
      <c r="CT779" s="24" t="n">
        <f aca="false">RANK(CR779,$CR$2:$CR$881,0)</f>
        <v>606</v>
      </c>
      <c r="CU779" s="25" t="n">
        <f aca="false">RANK(CS779,$CS$2:$CS$881,0)</f>
        <v>657</v>
      </c>
      <c r="CV779" s="26" t="n">
        <f aca="false">(CS779+CR779)/2</f>
        <v>70.7857142857143</v>
      </c>
      <c r="CW779" s="25" t="n">
        <f aca="false">RANK(CV779,$CV$2:$CV$881,0)</f>
        <v>628</v>
      </c>
      <c r="CX779" s="50" t="n">
        <f aca="false">(CV779+BB779)/2</f>
        <v>74.4928571428572</v>
      </c>
      <c r="CY779" s="50" t="n">
        <v>564</v>
      </c>
      <c r="CZ779" s="27"/>
      <c r="DA779" s="27"/>
      <c r="DB779" s="27"/>
      <c r="DC779" s="27"/>
      <c r="DD779" s="27" t="s">
        <v>619</v>
      </c>
      <c r="DE779" s="27" t="s">
        <v>2202</v>
      </c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 t="n">
        <f aca="false">DY779+DV779+DR779+DN779+DJ779+DF779+DB779</f>
        <v>0</v>
      </c>
      <c r="EA779" s="28" t="n">
        <f aca="false">DZ779/7</f>
        <v>0</v>
      </c>
      <c r="EB779" s="27" t="n">
        <f aca="false">RANK(EA779,$EA$2:$EA$881,0)</f>
        <v>870</v>
      </c>
      <c r="EC779" s="29" t="n">
        <f aca="false">DZ779+CQ779+CP779+AZ779</f>
        <v>1773</v>
      </c>
      <c r="ED779" s="30" t="n">
        <f aca="false">(EA779+CV779+BB779)/3</f>
        <v>49.6619047619048</v>
      </c>
      <c r="EE779" s="51" t="n">
        <f aca="false">ROUND(BE779,3)</f>
        <v>85.79</v>
      </c>
      <c r="EF779" s="51" t="n">
        <f aca="false">ROUND(CR779,3)</f>
        <v>78.857</v>
      </c>
      <c r="EG779" s="51" t="n">
        <f aca="false">ROUND(CS779,3)</f>
        <v>62.714</v>
      </c>
      <c r="EH779" s="51" t="n">
        <f aca="false">ROUND(EA779,3)</f>
        <v>0</v>
      </c>
      <c r="EI779" s="51" t="n">
        <f aca="false">ROUND(ED779,3)</f>
        <v>49.662</v>
      </c>
      <c r="EJ779" s="51" t="n">
        <f aca="false">ROUND(CV779,3)</f>
        <v>70.786</v>
      </c>
      <c r="EK779" s="0" t="n">
        <f aca="false">RANK(EI779,$EI$2:$EI$881,0)</f>
        <v>778</v>
      </c>
    </row>
    <row r="780" customFormat="false" ht="15" hidden="false" customHeight="false" outlineLevel="0" collapsed="false">
      <c r="A780" s="4" t="n">
        <v>8673</v>
      </c>
      <c r="B780" s="4" t="n">
        <v>141</v>
      </c>
      <c r="C780" s="27" t="s">
        <v>2203</v>
      </c>
      <c r="D780" s="31" t="n">
        <v>141</v>
      </c>
      <c r="E780" s="16" t="n">
        <v>230512981</v>
      </c>
      <c r="F780" s="56" t="s">
        <v>2204</v>
      </c>
      <c r="G780" s="22" t="s">
        <v>831</v>
      </c>
      <c r="H780" s="22" t="s">
        <v>558</v>
      </c>
      <c r="I780" s="80"/>
      <c r="J780" s="16" t="n">
        <v>74</v>
      </c>
      <c r="K780" s="16" t="n">
        <v>40</v>
      </c>
      <c r="L780" s="34" t="n">
        <f aca="false">(K780*70)/100</f>
        <v>28</v>
      </c>
      <c r="M780" s="34" t="n">
        <f aca="false">ROUNDUP(L780,0)</f>
        <v>28</v>
      </c>
      <c r="N780" s="16" t="n">
        <v>26</v>
      </c>
      <c r="O780" s="34" t="n">
        <f aca="false">N780+L780</f>
        <v>54</v>
      </c>
      <c r="P780" s="91" t="n">
        <f aca="false">N780+M780</f>
        <v>54</v>
      </c>
      <c r="Q780" s="16" t="n">
        <v>61</v>
      </c>
      <c r="R780" s="16" t="n">
        <v>67</v>
      </c>
      <c r="S780" s="34" t="n">
        <f aca="false">(R780*70)/100</f>
        <v>46.9</v>
      </c>
      <c r="T780" s="34" t="n">
        <f aca="false">ROUNDUP(S780,0)</f>
        <v>47</v>
      </c>
      <c r="U780" s="16" t="n">
        <v>25</v>
      </c>
      <c r="V780" s="34" t="n">
        <f aca="false">U780+S780</f>
        <v>71.9</v>
      </c>
      <c r="W780" s="34" t="n">
        <f aca="false">U780+T780</f>
        <v>72</v>
      </c>
      <c r="X780" s="16" t="n">
        <v>44</v>
      </c>
      <c r="Y780" s="34" t="n">
        <f aca="false">(X780*70)/100</f>
        <v>30.8</v>
      </c>
      <c r="Z780" s="34" t="n">
        <f aca="false">ROUNDUP(Y780,0)</f>
        <v>31</v>
      </c>
      <c r="AA780" s="16" t="n">
        <v>28</v>
      </c>
      <c r="AB780" s="34" t="n">
        <f aca="false">AA780+Y780</f>
        <v>58.8</v>
      </c>
      <c r="AC780" s="91" t="n">
        <f aca="false">AA780+Z780</f>
        <v>59</v>
      </c>
      <c r="AD780" s="32" t="n">
        <f aca="false">X780+R780+Q780+K780+J780</f>
        <v>286</v>
      </c>
      <c r="AE780" s="16" t="n">
        <f aca="false">AD780/5</f>
        <v>57.2</v>
      </c>
      <c r="AF780" s="16" t="n">
        <v>60</v>
      </c>
      <c r="AG780" s="16" t="n">
        <v>74</v>
      </c>
      <c r="AH780" s="16" t="n">
        <v>84</v>
      </c>
      <c r="AI780" s="16" t="n">
        <v>79</v>
      </c>
      <c r="AJ780" s="16" t="n">
        <f aca="false">(AI780*70)/100</f>
        <v>55.3</v>
      </c>
      <c r="AK780" s="35" t="n">
        <f aca="false">ROUNDUP(AJ780,0)</f>
        <v>56</v>
      </c>
      <c r="AL780" s="16" t="n">
        <v>26</v>
      </c>
      <c r="AM780" s="16" t="n">
        <f aca="false">AL780+AJ780</f>
        <v>81.3</v>
      </c>
      <c r="AN780" s="16" t="n">
        <f aca="false">AL780+AK780</f>
        <v>82</v>
      </c>
      <c r="AO780" s="16" t="n">
        <v>52</v>
      </c>
      <c r="AP780" s="36" t="n">
        <f aca="false">(AO780*70)/100</f>
        <v>36.4</v>
      </c>
      <c r="AQ780" s="37" t="n">
        <f aca="false">ROUNDUP(AP780,0)</f>
        <v>37</v>
      </c>
      <c r="AR780" s="16" t="n">
        <v>29</v>
      </c>
      <c r="AS780" s="16" t="n">
        <f aca="false">AR780+AP780</f>
        <v>65.4</v>
      </c>
      <c r="AT780" s="16" t="n">
        <f aca="false">AR780+AQ780</f>
        <v>66</v>
      </c>
      <c r="AU780" s="16" t="n">
        <f aca="false">AO780+AF780+AI780+AH780+AG780</f>
        <v>349</v>
      </c>
      <c r="AV780" s="16" t="n">
        <f aca="false">(AO780+AF780+AI780+AH780+AG780)/5</f>
        <v>69.8</v>
      </c>
      <c r="AW780" s="36" t="n">
        <f aca="false">(AO780+AF780+AI780+AH780+AG780+X780+R780+Q780+K780+J780)</f>
        <v>635</v>
      </c>
      <c r="AX780" s="16" t="n">
        <f aca="false">AW780/10</f>
        <v>63.5</v>
      </c>
      <c r="AY780" s="16" t="n">
        <f aca="false">AS780+AF780+AM780+AH780+AG780+AB780+V780+Q780+O780+J780</f>
        <v>684.4</v>
      </c>
      <c r="AZ780" s="16" t="n">
        <f aca="false">AT780+AF780+AN780+AH780+AG780+AC780+W780+Q780+P780+J780</f>
        <v>686</v>
      </c>
      <c r="BA780" s="16" t="n">
        <f aca="false">AY780/10</f>
        <v>68.44</v>
      </c>
      <c r="BB780" s="16" t="n">
        <f aca="false">AZ780/10</f>
        <v>68.6</v>
      </c>
      <c r="BC780" s="16" t="n">
        <v>2362</v>
      </c>
      <c r="BD780" s="16" t="n">
        <f aca="false">RANK(AX780,$AX$2:$AX$881,0)</f>
        <v>779</v>
      </c>
      <c r="BE780" s="78" t="n">
        <f aca="false">((BC780*100)/2400)*0.4+(AX780*0.6)</f>
        <v>77.4666666666667</v>
      </c>
      <c r="BF780" s="16" t="n">
        <f aca="false">RANK(BE780,$BE$2:$BE$881,0)</f>
        <v>755</v>
      </c>
      <c r="BG780" s="39" t="n">
        <f aca="false">RANK(BB780,$BB$2:$BB$881,0)</f>
        <v>755</v>
      </c>
      <c r="BH780" s="39" t="n">
        <f aca="false">RANK(BC780,$BC$2:$BC$881,0)</f>
        <v>367</v>
      </c>
      <c r="BI780" s="22" t="s">
        <v>130</v>
      </c>
      <c r="BJ780" s="22" t="s">
        <v>129</v>
      </c>
      <c r="BK780" s="40" t="s">
        <v>702</v>
      </c>
      <c r="BL780" s="98" t="n">
        <v>5</v>
      </c>
      <c r="BM780" s="61"/>
      <c r="BN780" s="61"/>
      <c r="BO780" s="42" t="n">
        <v>23</v>
      </c>
      <c r="BP780" s="61"/>
      <c r="BQ780" s="61"/>
      <c r="BR780" s="42" t="n">
        <v>24</v>
      </c>
      <c r="BS780" s="80"/>
      <c r="BT780" s="80"/>
      <c r="BU780" s="80"/>
      <c r="BV780" s="60"/>
      <c r="BW780" s="106"/>
      <c r="BX780" s="107"/>
      <c r="BY780" s="130"/>
      <c r="BZ780" s="60"/>
      <c r="CA780" s="60"/>
      <c r="CB780" s="61"/>
      <c r="CC780" s="60"/>
      <c r="CD780" s="60"/>
      <c r="CE780" s="60"/>
      <c r="CF780" s="60"/>
      <c r="CG780" s="60"/>
      <c r="CH780" s="60"/>
      <c r="CI780" s="60"/>
      <c r="CJ780" s="60"/>
      <c r="CK780" s="60"/>
      <c r="CL780" s="61"/>
      <c r="CM780" s="60"/>
      <c r="CN780" s="60"/>
      <c r="CO780" s="60"/>
      <c r="CP780" s="25" t="n">
        <f aca="false">BX780+BW780+BV780+BU780+BT780+BQ780+BN780</f>
        <v>0</v>
      </c>
      <c r="CQ780" s="25" t="n">
        <f aca="false">CO780+CL780+CI780+CH780+CG780+CD780+CA780</f>
        <v>0</v>
      </c>
      <c r="CR780" s="26" t="n">
        <f aca="false">CP780/7</f>
        <v>0</v>
      </c>
      <c r="CS780" s="26" t="n">
        <f aca="false">CQ780/7</f>
        <v>0</v>
      </c>
      <c r="CT780" s="24" t="n">
        <f aca="false">RANK(CR780,$CR$2:$CR$881,0)</f>
        <v>768</v>
      </c>
      <c r="CU780" s="25" t="n">
        <f aca="false">RANK(CS780,$CS$2:$CS$881,0)</f>
        <v>752</v>
      </c>
      <c r="CV780" s="26" t="n">
        <f aca="false">(CS780+CR780)/2</f>
        <v>0</v>
      </c>
      <c r="CW780" s="25" t="n">
        <f aca="false">RANK(CV780,$CV$2:$CV$881,0)</f>
        <v>753</v>
      </c>
      <c r="CX780" s="50" t="n">
        <f aca="false">(CV780+BB780)/2</f>
        <v>34.3</v>
      </c>
      <c r="CY780" s="50" t="n">
        <v>861</v>
      </c>
      <c r="CZ780" s="27" t="s">
        <v>132</v>
      </c>
      <c r="DA780" s="27" t="s">
        <v>205</v>
      </c>
      <c r="DB780" s="27" t="s">
        <v>205</v>
      </c>
      <c r="DC780" s="27" t="s">
        <v>134</v>
      </c>
      <c r="DD780" s="27" t="s">
        <v>154</v>
      </c>
      <c r="DE780" s="27" t="s">
        <v>177</v>
      </c>
      <c r="DF780" s="27" t="s">
        <v>169</v>
      </c>
      <c r="DG780" s="27" t="s">
        <v>134</v>
      </c>
      <c r="DH780" s="27" t="s">
        <v>137</v>
      </c>
      <c r="DI780" s="27" t="s">
        <v>415</v>
      </c>
      <c r="DJ780" s="27" t="s">
        <v>486</v>
      </c>
      <c r="DK780" s="27" t="s">
        <v>134</v>
      </c>
      <c r="DL780" s="27" t="s">
        <v>135</v>
      </c>
      <c r="DM780" s="27" t="s">
        <v>306</v>
      </c>
      <c r="DN780" s="27" t="s">
        <v>219</v>
      </c>
      <c r="DO780" s="27" t="s">
        <v>134</v>
      </c>
      <c r="DP780" s="27" t="s">
        <v>195</v>
      </c>
      <c r="DQ780" s="27" t="s">
        <v>412</v>
      </c>
      <c r="DR780" s="27" t="s">
        <v>398</v>
      </c>
      <c r="DS780" s="27" t="s">
        <v>134</v>
      </c>
      <c r="DT780" s="27" t="s">
        <v>160</v>
      </c>
      <c r="DU780" s="27" t="s">
        <v>375</v>
      </c>
      <c r="DV780" s="27" t="s">
        <v>305</v>
      </c>
      <c r="DW780" s="27" t="s">
        <v>137</v>
      </c>
      <c r="DX780" s="27" t="s">
        <v>143</v>
      </c>
      <c r="DY780" s="27" t="s">
        <v>156</v>
      </c>
      <c r="DZ780" s="27" t="n">
        <f aca="false">DY780+DV780+DR780+DN780+DJ780+DF780+DB780</f>
        <v>562</v>
      </c>
      <c r="EA780" s="28" t="n">
        <f aca="false">DZ780/7</f>
        <v>80.2857142857143</v>
      </c>
      <c r="EB780" s="27" t="n">
        <f aca="false">RANK(EA780,$EA$2:$EA$881,0)</f>
        <v>380</v>
      </c>
      <c r="EC780" s="29" t="n">
        <f aca="false">DZ780+CQ780+CP780+AZ780</f>
        <v>1248</v>
      </c>
      <c r="ED780" s="30" t="n">
        <f aca="false">(EA780+CV780+BB780)/3</f>
        <v>49.6285714285714</v>
      </c>
      <c r="EE780" s="51" t="n">
        <f aca="false">ROUND(BE780,3)</f>
        <v>77.467</v>
      </c>
      <c r="EF780" s="51" t="n">
        <f aca="false">ROUND(CR780,3)</f>
        <v>0</v>
      </c>
      <c r="EG780" s="51" t="n">
        <f aca="false">ROUND(CS780,3)</f>
        <v>0</v>
      </c>
      <c r="EH780" s="51" t="n">
        <f aca="false">ROUND(EA780,3)</f>
        <v>80.286</v>
      </c>
      <c r="EI780" s="51" t="n">
        <f aca="false">ROUND(ED780,3)</f>
        <v>49.629</v>
      </c>
      <c r="EJ780" s="51" t="n">
        <f aca="false">ROUND(CV780,3)</f>
        <v>0</v>
      </c>
      <c r="EK780" s="0" t="n">
        <f aca="false">RANK(EI780,$EI$2:$EI$881,0)</f>
        <v>779</v>
      </c>
    </row>
    <row r="781" customFormat="false" ht="15" hidden="false" customHeight="false" outlineLevel="0" collapsed="false">
      <c r="A781" s="4" t="n">
        <v>2002</v>
      </c>
      <c r="B781" s="4" t="n">
        <v>31</v>
      </c>
      <c r="C781" s="27" t="s">
        <v>2205</v>
      </c>
      <c r="D781" s="52" t="n">
        <v>31</v>
      </c>
      <c r="E781" s="16" t="n">
        <v>230505904</v>
      </c>
      <c r="F781" s="56" t="s">
        <v>2206</v>
      </c>
      <c r="G781" s="22" t="s">
        <v>1970</v>
      </c>
      <c r="H781" s="22" t="s">
        <v>465</v>
      </c>
      <c r="I781" s="80"/>
      <c r="J781" s="16" t="n">
        <v>86</v>
      </c>
      <c r="K781" s="16" t="n">
        <v>67</v>
      </c>
      <c r="L781" s="34" t="n">
        <f aca="false">(K781*70)/100</f>
        <v>46.9</v>
      </c>
      <c r="M781" s="34" t="n">
        <f aca="false">ROUNDUP(L781,0)</f>
        <v>47</v>
      </c>
      <c r="N781" s="16" t="n">
        <v>20</v>
      </c>
      <c r="O781" s="34" t="n">
        <f aca="false">N781+L781</f>
        <v>66.9</v>
      </c>
      <c r="P781" s="34" t="n">
        <f aca="false">N781+M781</f>
        <v>67</v>
      </c>
      <c r="Q781" s="16" t="n">
        <v>65</v>
      </c>
      <c r="R781" s="16" t="n">
        <v>70</v>
      </c>
      <c r="S781" s="34" t="n">
        <f aca="false">(R781*70)/100</f>
        <v>49</v>
      </c>
      <c r="T781" s="34" t="n">
        <f aca="false">ROUNDUP(S781,0)</f>
        <v>49</v>
      </c>
      <c r="U781" s="16" t="n">
        <v>18</v>
      </c>
      <c r="V781" s="34" t="n">
        <f aca="false">U781+S781</f>
        <v>67</v>
      </c>
      <c r="W781" s="34" t="n">
        <f aca="false">U781+T781</f>
        <v>67</v>
      </c>
      <c r="X781" s="16" t="n">
        <v>76</v>
      </c>
      <c r="Y781" s="34" t="n">
        <f aca="false">(X781*70)/100</f>
        <v>53.2</v>
      </c>
      <c r="Z781" s="34" t="n">
        <f aca="false">ROUNDUP(Y781,0)</f>
        <v>54</v>
      </c>
      <c r="AA781" s="16" t="n">
        <v>28</v>
      </c>
      <c r="AB781" s="34" t="n">
        <f aca="false">AA781+Y781</f>
        <v>81.2</v>
      </c>
      <c r="AC781" s="34" t="n">
        <f aca="false">AA781+Z781</f>
        <v>82</v>
      </c>
      <c r="AD781" s="32" t="n">
        <f aca="false">X781+R781+Q781+K781+J781</f>
        <v>364</v>
      </c>
      <c r="AE781" s="16" t="n">
        <f aca="false">AD781/5</f>
        <v>72.8</v>
      </c>
      <c r="AF781" s="16" t="n">
        <v>73</v>
      </c>
      <c r="AG781" s="16" t="n">
        <v>94</v>
      </c>
      <c r="AH781" s="16" t="n">
        <v>82</v>
      </c>
      <c r="AI781" s="16" t="n">
        <v>78</v>
      </c>
      <c r="AJ781" s="16" t="n">
        <f aca="false">(AI781*70)/100</f>
        <v>54.6</v>
      </c>
      <c r="AK781" s="35" t="n">
        <f aca="false">ROUNDUP(AJ781,0)</f>
        <v>55</v>
      </c>
      <c r="AL781" s="16" t="n">
        <v>20</v>
      </c>
      <c r="AM781" s="16" t="n">
        <f aca="false">AL781+AJ781</f>
        <v>74.6</v>
      </c>
      <c r="AN781" s="16" t="n">
        <f aca="false">AL781+AK781</f>
        <v>75</v>
      </c>
      <c r="AO781" s="16" t="n">
        <v>73</v>
      </c>
      <c r="AP781" s="36" t="n">
        <f aca="false">(AO781*70)/100</f>
        <v>51.1</v>
      </c>
      <c r="AQ781" s="37" t="n">
        <f aca="false">ROUNDUP(AP781,0)</f>
        <v>52</v>
      </c>
      <c r="AR781" s="16" t="n">
        <v>21</v>
      </c>
      <c r="AS781" s="16" t="n">
        <f aca="false">AR781+AP781</f>
        <v>72.1</v>
      </c>
      <c r="AT781" s="16" t="n">
        <f aca="false">AR781+AQ781</f>
        <v>73</v>
      </c>
      <c r="AU781" s="16" t="n">
        <f aca="false">AO781+AF781+AI781+AH781+AG781</f>
        <v>400</v>
      </c>
      <c r="AV781" s="16" t="n">
        <f aca="false">(AO781+AF781+AI781+AH781+AG781)/5</f>
        <v>80</v>
      </c>
      <c r="AW781" s="36" t="n">
        <f aca="false">(AO781+AF781+AI781+AH781+AG781+X781+R781+Q781+K781+J781)</f>
        <v>764</v>
      </c>
      <c r="AX781" s="16" t="n">
        <f aca="false">AW781/10</f>
        <v>76.4</v>
      </c>
      <c r="AY781" s="16" t="n">
        <f aca="false">AS781+AF781+AM781+AH781+AG781+AB781+V781+Q781+O781+J781</f>
        <v>761.8</v>
      </c>
      <c r="AZ781" s="16" t="n">
        <f aca="false">AT781+AF781+AN781+AH781+AG781+AC781+W781+Q781+P781+J781</f>
        <v>764</v>
      </c>
      <c r="BA781" s="16" t="n">
        <f aca="false">AY781/10</f>
        <v>76.18</v>
      </c>
      <c r="BB781" s="16" t="n">
        <f aca="false">AZ781/10</f>
        <v>76.4</v>
      </c>
      <c r="BC781" s="16" t="n">
        <v>2359</v>
      </c>
      <c r="BD781" s="16" t="n">
        <f aca="false">RANK(AX781,$AX$2:$AX$881,0)</f>
        <v>577</v>
      </c>
      <c r="BE781" s="54" t="n">
        <f aca="false">((BC781*100)/2400)*0.4+(AX781*0.6)</f>
        <v>85.1566666666667</v>
      </c>
      <c r="BF781" s="16" t="n">
        <f aca="false">RANK(BE781,$BE$2:$BE$881,0)</f>
        <v>574</v>
      </c>
      <c r="BG781" s="39" t="n">
        <f aca="false">RANK(BB781,$BB$2:$BB$881,0)</f>
        <v>666</v>
      </c>
      <c r="BH781" s="39" t="n">
        <f aca="false">RANK(BC781,$BC$2:$BC$881,0)</f>
        <v>414</v>
      </c>
      <c r="BI781" s="22" t="s">
        <v>130</v>
      </c>
      <c r="BJ781" s="22" t="s">
        <v>129</v>
      </c>
      <c r="BK781" s="40" t="s">
        <v>509</v>
      </c>
      <c r="BL781" s="98" t="n">
        <v>6</v>
      </c>
      <c r="BM781" s="61"/>
      <c r="BN781" s="61"/>
      <c r="BO781" s="42" t="n">
        <v>21</v>
      </c>
      <c r="BP781" s="61"/>
      <c r="BQ781" s="61"/>
      <c r="BR781" s="74" t="n">
        <v>9</v>
      </c>
      <c r="BS781" s="80"/>
      <c r="BT781" s="80"/>
      <c r="BU781" s="80"/>
      <c r="BV781" s="137"/>
      <c r="BW781" s="61"/>
      <c r="BX781" s="107"/>
      <c r="BY781" s="130"/>
      <c r="BZ781" s="60"/>
      <c r="CA781" s="60"/>
      <c r="CB781" s="61"/>
      <c r="CC781" s="60"/>
      <c r="CD781" s="60"/>
      <c r="CE781" s="60"/>
      <c r="CF781" s="60"/>
      <c r="CG781" s="60"/>
      <c r="CH781" s="60"/>
      <c r="CI781" s="60"/>
      <c r="CJ781" s="60"/>
      <c r="CK781" s="60"/>
      <c r="CL781" s="61"/>
      <c r="CM781" s="60"/>
      <c r="CN781" s="60"/>
      <c r="CO781" s="60"/>
      <c r="CP781" s="25" t="n">
        <f aca="false">BX781+BW781+BV781+BU781+BT781+BQ781+BN781</f>
        <v>0</v>
      </c>
      <c r="CQ781" s="25" t="n">
        <f aca="false">CO781+CL781+CI781+CH781+CG781+CD781+CA781</f>
        <v>0</v>
      </c>
      <c r="CR781" s="26" t="n">
        <f aca="false">CP781/7</f>
        <v>0</v>
      </c>
      <c r="CS781" s="26" t="n">
        <f aca="false">CQ781/7</f>
        <v>0</v>
      </c>
      <c r="CT781" s="24" t="n">
        <f aca="false">RANK(CR781,$CR$2:$CR$881,0)</f>
        <v>768</v>
      </c>
      <c r="CU781" s="25" t="n">
        <f aca="false">RANK(CS781,$CS$2:$CS$881,0)</f>
        <v>752</v>
      </c>
      <c r="CV781" s="26" t="n">
        <f aca="false">(CS781+CR781)/2</f>
        <v>0</v>
      </c>
      <c r="CW781" s="25" t="n">
        <f aca="false">RANK(CV781,$CV$2:$CV$881,0)</f>
        <v>753</v>
      </c>
      <c r="CX781" s="50" t="n">
        <f aca="false">(CV781+BB781)/2</f>
        <v>38.2</v>
      </c>
      <c r="CY781" s="50" t="n">
        <v>847</v>
      </c>
      <c r="CZ781" s="27" t="s">
        <v>132</v>
      </c>
      <c r="DA781" s="27" t="s">
        <v>205</v>
      </c>
      <c r="DB781" s="27" t="s">
        <v>205</v>
      </c>
      <c r="DC781" s="27" t="s">
        <v>134</v>
      </c>
      <c r="DD781" s="27" t="s">
        <v>137</v>
      </c>
      <c r="DE781" s="27" t="s">
        <v>375</v>
      </c>
      <c r="DF781" s="27" t="s">
        <v>443</v>
      </c>
      <c r="DG781" s="27" t="s">
        <v>134</v>
      </c>
      <c r="DH781" s="27" t="s">
        <v>154</v>
      </c>
      <c r="DI781" s="27" t="s">
        <v>989</v>
      </c>
      <c r="DJ781" s="27" t="s">
        <v>163</v>
      </c>
      <c r="DK781" s="27" t="s">
        <v>134</v>
      </c>
      <c r="DL781" s="27" t="s">
        <v>264</v>
      </c>
      <c r="DM781" s="27" t="s">
        <v>375</v>
      </c>
      <c r="DN781" s="27" t="s">
        <v>138</v>
      </c>
      <c r="DO781" s="27" t="s">
        <v>134</v>
      </c>
      <c r="DP781" s="27" t="s">
        <v>485</v>
      </c>
      <c r="DQ781" s="27" t="s">
        <v>673</v>
      </c>
      <c r="DR781" s="27" t="s">
        <v>183</v>
      </c>
      <c r="DS781" s="27" t="s">
        <v>480</v>
      </c>
      <c r="DT781" s="27" t="s">
        <v>154</v>
      </c>
      <c r="DU781" s="27" t="s">
        <v>681</v>
      </c>
      <c r="DV781" s="27" t="s">
        <v>138</v>
      </c>
      <c r="DW781" s="27" t="s">
        <v>191</v>
      </c>
      <c r="DX781" s="27" t="s">
        <v>152</v>
      </c>
      <c r="DY781" s="27" t="s">
        <v>209</v>
      </c>
      <c r="DZ781" s="27" t="n">
        <f aca="false">DY781+DV781+DR781+DN781+DJ781+DF781+DB781</f>
        <v>503</v>
      </c>
      <c r="EA781" s="28" t="n">
        <f aca="false">DZ781/7</f>
        <v>71.8571428571429</v>
      </c>
      <c r="EB781" s="27" t="n">
        <f aca="false">RANK(EA781,$EA$2:$EA$881,0)</f>
        <v>614</v>
      </c>
      <c r="EC781" s="29" t="n">
        <f aca="false">DZ781+CQ781+CP781+AZ781</f>
        <v>1267</v>
      </c>
      <c r="ED781" s="30" t="n">
        <f aca="false">(EA781+CV781+BB781)/3</f>
        <v>49.4190476190476</v>
      </c>
      <c r="EE781" s="51" t="n">
        <f aca="false">ROUND(BE781,3)</f>
        <v>85.157</v>
      </c>
      <c r="EF781" s="51" t="n">
        <f aca="false">ROUND(CR781,3)</f>
        <v>0</v>
      </c>
      <c r="EG781" s="51" t="n">
        <f aca="false">ROUND(CS781,3)</f>
        <v>0</v>
      </c>
      <c r="EH781" s="51" t="n">
        <f aca="false">ROUND(EA781,3)</f>
        <v>71.857</v>
      </c>
      <c r="EI781" s="51" t="n">
        <f aca="false">ROUND(ED781,3)</f>
        <v>49.419</v>
      </c>
      <c r="EJ781" s="51" t="n">
        <f aca="false">ROUND(CV781,3)</f>
        <v>0</v>
      </c>
      <c r="EK781" s="0" t="n">
        <f aca="false">RANK(EI781,$EI$2:$EI$881,0)</f>
        <v>780</v>
      </c>
    </row>
    <row r="782" customFormat="false" ht="15" hidden="false" customHeight="false" outlineLevel="0" collapsed="false">
      <c r="A782" s="4" t="n">
        <v>8942</v>
      </c>
      <c r="B782" s="4" t="n">
        <v>712</v>
      </c>
      <c r="C782" s="27" t="s">
        <v>2207</v>
      </c>
      <c r="D782" s="31" t="n">
        <v>727</v>
      </c>
      <c r="E782" s="16" t="n">
        <v>230506303</v>
      </c>
      <c r="F782" s="56" t="s">
        <v>2208</v>
      </c>
      <c r="G782" s="22" t="s">
        <v>2209</v>
      </c>
      <c r="H782" s="22" t="s">
        <v>465</v>
      </c>
      <c r="I782" s="80"/>
      <c r="J782" s="16" t="n">
        <v>70</v>
      </c>
      <c r="K782" s="16" t="n">
        <v>75</v>
      </c>
      <c r="L782" s="34" t="n">
        <f aca="false">(K782*70)/100</f>
        <v>52.5</v>
      </c>
      <c r="M782" s="34" t="n">
        <f aca="false">ROUNDUP(L782,0)</f>
        <v>53</v>
      </c>
      <c r="N782" s="16" t="n">
        <v>22</v>
      </c>
      <c r="O782" s="34" t="n">
        <f aca="false">N782+L782</f>
        <v>74.5</v>
      </c>
      <c r="P782" s="34" t="n">
        <f aca="false">N782+M782</f>
        <v>75</v>
      </c>
      <c r="Q782" s="16" t="n">
        <v>68</v>
      </c>
      <c r="R782" s="16" t="n">
        <v>73</v>
      </c>
      <c r="S782" s="34" t="n">
        <f aca="false">(R782*70)/100</f>
        <v>51.1</v>
      </c>
      <c r="T782" s="34" t="n">
        <f aca="false">ROUNDUP(S782,0)</f>
        <v>52</v>
      </c>
      <c r="U782" s="16" t="n">
        <v>23</v>
      </c>
      <c r="V782" s="34" t="n">
        <f aca="false">U782+S782</f>
        <v>74.1</v>
      </c>
      <c r="W782" s="34" t="n">
        <f aca="false">U782+T782</f>
        <v>75</v>
      </c>
      <c r="X782" s="16" t="n">
        <v>63</v>
      </c>
      <c r="Y782" s="34" t="n">
        <f aca="false">(X782*70)/100</f>
        <v>44.1</v>
      </c>
      <c r="Z782" s="34" t="n">
        <f aca="false">ROUNDUP(Y782,0)</f>
        <v>45</v>
      </c>
      <c r="AA782" s="16" t="n">
        <v>26</v>
      </c>
      <c r="AB782" s="34" t="n">
        <f aca="false">AA782+Y782</f>
        <v>70.1</v>
      </c>
      <c r="AC782" s="34" t="n">
        <f aca="false">AA782+Z782</f>
        <v>71</v>
      </c>
      <c r="AD782" s="32" t="n">
        <f aca="false">X782+R782+Q782+K782+J782</f>
        <v>349</v>
      </c>
      <c r="AE782" s="16" t="n">
        <f aca="false">AD782/5</f>
        <v>69.8</v>
      </c>
      <c r="AF782" s="16" t="n">
        <v>77</v>
      </c>
      <c r="AG782" s="16" t="n">
        <v>82</v>
      </c>
      <c r="AH782" s="16" t="n">
        <v>87</v>
      </c>
      <c r="AI782" s="16" t="n">
        <v>86</v>
      </c>
      <c r="AJ782" s="16" t="n">
        <f aca="false">(AI782*70)/100</f>
        <v>60.2</v>
      </c>
      <c r="AK782" s="35" t="n">
        <f aca="false">ROUNDUP(AJ782,0)</f>
        <v>61</v>
      </c>
      <c r="AL782" s="16" t="n">
        <v>24</v>
      </c>
      <c r="AM782" s="16" t="n">
        <f aca="false">AL782+AJ782</f>
        <v>84.2</v>
      </c>
      <c r="AN782" s="16" t="n">
        <f aca="false">AL782+AK782</f>
        <v>85</v>
      </c>
      <c r="AO782" s="16" t="n">
        <v>76</v>
      </c>
      <c r="AP782" s="36" t="n">
        <f aca="false">(AO782*70)/100</f>
        <v>53.2</v>
      </c>
      <c r="AQ782" s="37" t="n">
        <f aca="false">ROUNDUP(AP782,0)</f>
        <v>54</v>
      </c>
      <c r="AR782" s="16" t="n">
        <v>27</v>
      </c>
      <c r="AS782" s="16" t="n">
        <f aca="false">AR782+AP782</f>
        <v>80.2</v>
      </c>
      <c r="AT782" s="16" t="n">
        <f aca="false">AR782+AQ782</f>
        <v>81</v>
      </c>
      <c r="AU782" s="16" t="n">
        <f aca="false">AO782+AF782+AI782+AH782+AG782</f>
        <v>408</v>
      </c>
      <c r="AV782" s="16" t="n">
        <f aca="false">(AO782+AF782+AI782+AH782+AG782)/5</f>
        <v>81.6</v>
      </c>
      <c r="AW782" s="36" t="n">
        <f aca="false">(AO782+AF782+AI782+AH782+AG782+X782+R782+Q782+K782+J782)</f>
        <v>757</v>
      </c>
      <c r="AX782" s="16" t="n">
        <f aca="false">AW782/10</f>
        <v>75.7</v>
      </c>
      <c r="AY782" s="16" t="n">
        <f aca="false">AS782+AF782+AM782+AH782+AG782+AB782+V782+Q782+O782+J782</f>
        <v>767.1</v>
      </c>
      <c r="AZ782" s="16" t="n">
        <f aca="false">AT782+AF782+AN782+AH782+AG782+AC782+W782+Q782+P782+J782</f>
        <v>771</v>
      </c>
      <c r="BA782" s="16" t="n">
        <f aca="false">AY782/10</f>
        <v>76.71</v>
      </c>
      <c r="BB782" s="16" t="n">
        <f aca="false">AZ782/10</f>
        <v>77.1</v>
      </c>
      <c r="BC782" s="16" t="n">
        <v>2321</v>
      </c>
      <c r="BD782" s="16" t="n">
        <f aca="false">RANK(AX782,$AX$2:$AX$881,0)</f>
        <v>640</v>
      </c>
      <c r="BE782" s="73" t="n">
        <f aca="false">((BC782*100)/2400)*0.4+(AX782*0.6)</f>
        <v>84.1033333333333</v>
      </c>
      <c r="BF782" s="16" t="n">
        <f aca="false">RANK(BE782,$BE$2:$BE$881,0)</f>
        <v>681</v>
      </c>
      <c r="BG782" s="39" t="n">
        <f aca="false">RANK(BB782,$BB$2:$BB$881,0)</f>
        <v>632</v>
      </c>
      <c r="BH782" s="39" t="n">
        <f aca="false">RANK(BC782,$BC$2:$BC$881,0)</f>
        <v>757</v>
      </c>
      <c r="BI782" s="22" t="s">
        <v>130</v>
      </c>
      <c r="BJ782" s="22" t="s">
        <v>129</v>
      </c>
      <c r="BK782" s="22" t="s">
        <v>1220</v>
      </c>
      <c r="BL782" s="101" t="n">
        <v>3.5</v>
      </c>
      <c r="BM782" s="61"/>
      <c r="BN782" s="61"/>
      <c r="BO782" s="42" t="n">
        <v>23</v>
      </c>
      <c r="BP782" s="61"/>
      <c r="BQ782" s="61"/>
      <c r="BR782" s="42" t="n">
        <v>20</v>
      </c>
      <c r="BS782" s="80"/>
      <c r="BT782" s="80"/>
      <c r="BU782" s="80"/>
      <c r="BV782" s="137"/>
      <c r="BW782" s="61"/>
      <c r="BX782" s="107"/>
      <c r="BY782" s="130"/>
      <c r="BZ782" s="60"/>
      <c r="CA782" s="60"/>
      <c r="CB782" s="61"/>
      <c r="CC782" s="60"/>
      <c r="CD782" s="60"/>
      <c r="CE782" s="60"/>
      <c r="CF782" s="60"/>
      <c r="CG782" s="60"/>
      <c r="CH782" s="60"/>
      <c r="CI782" s="60"/>
      <c r="CJ782" s="60"/>
      <c r="CK782" s="60"/>
      <c r="CL782" s="61"/>
      <c r="CM782" s="60"/>
      <c r="CN782" s="60"/>
      <c r="CO782" s="60"/>
      <c r="CP782" s="25" t="n">
        <f aca="false">BX782+BW782+BV782+BU782+BT782+BQ782+BN782</f>
        <v>0</v>
      </c>
      <c r="CQ782" s="25" t="n">
        <f aca="false">CO782+CL782+CI782+CH782+CG782+CD782+CA782</f>
        <v>0</v>
      </c>
      <c r="CR782" s="26" t="n">
        <f aca="false">CP782/7</f>
        <v>0</v>
      </c>
      <c r="CS782" s="26" t="n">
        <f aca="false">CQ782/7</f>
        <v>0</v>
      </c>
      <c r="CT782" s="24" t="n">
        <f aca="false">RANK(CR782,$CR$2:$CR$881,0)</f>
        <v>768</v>
      </c>
      <c r="CU782" s="25" t="n">
        <f aca="false">RANK(CS782,$CS$2:$CS$881,0)</f>
        <v>752</v>
      </c>
      <c r="CV782" s="26" t="n">
        <f aca="false">(CS782+CR782)/2</f>
        <v>0</v>
      </c>
      <c r="CW782" s="25" t="n">
        <f aca="false">RANK(CV782,$CV$2:$CV$881,0)</f>
        <v>753</v>
      </c>
      <c r="CX782" s="50" t="n">
        <f aca="false">(CV782+BB782)/2</f>
        <v>38.55</v>
      </c>
      <c r="CY782" s="50" t="n">
        <v>840</v>
      </c>
      <c r="CZ782" s="27" t="s">
        <v>132</v>
      </c>
      <c r="DA782" s="27" t="s">
        <v>175</v>
      </c>
      <c r="DB782" s="27" t="s">
        <v>175</v>
      </c>
      <c r="DC782" s="27" t="s">
        <v>134</v>
      </c>
      <c r="DD782" s="27" t="s">
        <v>386</v>
      </c>
      <c r="DE782" s="27" t="s">
        <v>412</v>
      </c>
      <c r="DF782" s="27" t="s">
        <v>138</v>
      </c>
      <c r="DG782" s="27" t="s">
        <v>134</v>
      </c>
      <c r="DH782" s="27" t="s">
        <v>137</v>
      </c>
      <c r="DI782" s="27" t="s">
        <v>218</v>
      </c>
      <c r="DJ782" s="27" t="s">
        <v>169</v>
      </c>
      <c r="DK782" s="27" t="s">
        <v>134</v>
      </c>
      <c r="DL782" s="27" t="s">
        <v>137</v>
      </c>
      <c r="DM782" s="27" t="s">
        <v>183</v>
      </c>
      <c r="DN782" s="27" t="s">
        <v>209</v>
      </c>
      <c r="DO782" s="27" t="s">
        <v>134</v>
      </c>
      <c r="DP782" s="27"/>
      <c r="DQ782" s="27"/>
      <c r="DR782" s="27"/>
      <c r="DS782" s="27"/>
      <c r="DT782" s="27" t="s">
        <v>146</v>
      </c>
      <c r="DU782" s="27" t="s">
        <v>306</v>
      </c>
      <c r="DV782" s="27" t="s">
        <v>175</v>
      </c>
      <c r="DW782" s="27" t="s">
        <v>137</v>
      </c>
      <c r="DX782" s="27" t="s">
        <v>152</v>
      </c>
      <c r="DY782" s="27" t="s">
        <v>153</v>
      </c>
      <c r="DZ782" s="27" t="n">
        <f aca="false">DY782+DV782+DR782+DN782+DJ782+DF782+DB782</f>
        <v>496</v>
      </c>
      <c r="EA782" s="28" t="n">
        <f aca="false">DZ782/7</f>
        <v>70.8571428571429</v>
      </c>
      <c r="EB782" s="27" t="n">
        <f aca="false">RANK(EA782,$EA$2:$EA$881,0)</f>
        <v>632</v>
      </c>
      <c r="EC782" s="29" t="n">
        <f aca="false">DZ782+CQ782+CP782+AZ782</f>
        <v>1267</v>
      </c>
      <c r="ED782" s="30" t="n">
        <f aca="false">(EA782+CV782+BB782)/3</f>
        <v>49.3190476190476</v>
      </c>
      <c r="EE782" s="51" t="n">
        <f aca="false">ROUND(BE782,3)</f>
        <v>84.103</v>
      </c>
      <c r="EF782" s="51" t="n">
        <f aca="false">ROUND(CR782,3)</f>
        <v>0</v>
      </c>
      <c r="EG782" s="51" t="n">
        <f aca="false">ROUND(CS782,3)</f>
        <v>0</v>
      </c>
      <c r="EH782" s="51" t="n">
        <f aca="false">ROUND(EA782,3)</f>
        <v>70.857</v>
      </c>
      <c r="EI782" s="51" t="n">
        <f aca="false">ROUND(ED782,3)</f>
        <v>49.319</v>
      </c>
      <c r="EJ782" s="51" t="n">
        <f aca="false">ROUND(CV782,3)</f>
        <v>0</v>
      </c>
      <c r="EK782" s="0" t="n">
        <f aca="false">RANK(EI782,$EI$2:$EI$881,0)</f>
        <v>781</v>
      </c>
    </row>
    <row r="783" customFormat="false" ht="15" hidden="false" customHeight="false" outlineLevel="0" collapsed="false">
      <c r="A783" s="4" t="n">
        <v>1843</v>
      </c>
      <c r="B783" s="4" t="n">
        <v>429</v>
      </c>
      <c r="C783" s="27" t="s">
        <v>2210</v>
      </c>
      <c r="D783" s="31" t="n">
        <v>434</v>
      </c>
      <c r="E783" s="16" t="n">
        <v>230514422</v>
      </c>
      <c r="F783" s="56" t="s">
        <v>2211</v>
      </c>
      <c r="G783" s="22" t="s">
        <v>280</v>
      </c>
      <c r="H783" s="22" t="s">
        <v>465</v>
      </c>
      <c r="I783" s="80"/>
      <c r="J783" s="16" t="n">
        <v>89</v>
      </c>
      <c r="K783" s="16" t="n">
        <v>73</v>
      </c>
      <c r="L783" s="34" t="n">
        <f aca="false">(K783*70)/100</f>
        <v>51.1</v>
      </c>
      <c r="M783" s="34" t="n">
        <f aca="false">ROUNDUP(L783,0)</f>
        <v>52</v>
      </c>
      <c r="N783" s="16" t="n">
        <v>25</v>
      </c>
      <c r="O783" s="34" t="n">
        <f aca="false">N783+L783</f>
        <v>76.1</v>
      </c>
      <c r="P783" s="34" t="n">
        <f aca="false">N783+M783</f>
        <v>77</v>
      </c>
      <c r="Q783" s="16" t="n">
        <v>70</v>
      </c>
      <c r="R783" s="16" t="n">
        <v>75</v>
      </c>
      <c r="S783" s="34" t="n">
        <f aca="false">(R783*70)/100</f>
        <v>52.5</v>
      </c>
      <c r="T783" s="34" t="n">
        <f aca="false">ROUNDUP(S783,0)</f>
        <v>53</v>
      </c>
      <c r="U783" s="16" t="n">
        <v>25</v>
      </c>
      <c r="V783" s="34" t="n">
        <f aca="false">U783+S783</f>
        <v>77.5</v>
      </c>
      <c r="W783" s="34" t="n">
        <f aca="false">U783+T783</f>
        <v>78</v>
      </c>
      <c r="X783" s="16" t="n">
        <v>68</v>
      </c>
      <c r="Y783" s="34" t="n">
        <f aca="false">(X783*70)/100</f>
        <v>47.6</v>
      </c>
      <c r="Z783" s="34" t="n">
        <f aca="false">ROUNDUP(Y783,0)</f>
        <v>48</v>
      </c>
      <c r="AA783" s="16" t="n">
        <v>27</v>
      </c>
      <c r="AB783" s="34" t="n">
        <f aca="false">AA783+Y783</f>
        <v>74.6</v>
      </c>
      <c r="AC783" s="34" t="n">
        <f aca="false">AA783+Z783</f>
        <v>75</v>
      </c>
      <c r="AD783" s="32" t="n">
        <f aca="false">X783+R783+Q783+K783+J783</f>
        <v>375</v>
      </c>
      <c r="AE783" s="16" t="n">
        <f aca="false">AD783/5</f>
        <v>75</v>
      </c>
      <c r="AF783" s="16" t="n">
        <v>76</v>
      </c>
      <c r="AG783" s="16" t="n">
        <v>93</v>
      </c>
      <c r="AH783" s="16" t="n">
        <v>86</v>
      </c>
      <c r="AI783" s="16" t="n">
        <v>70</v>
      </c>
      <c r="AJ783" s="16" t="n">
        <f aca="false">(AI783*70)/100</f>
        <v>49</v>
      </c>
      <c r="AK783" s="35" t="n">
        <f aca="false">ROUNDUP(AJ783,0)</f>
        <v>49</v>
      </c>
      <c r="AL783" s="16" t="n">
        <v>24</v>
      </c>
      <c r="AM783" s="16" t="n">
        <f aca="false">AL783+AJ783</f>
        <v>73</v>
      </c>
      <c r="AN783" s="16" t="n">
        <f aca="false">AL783+AK783</f>
        <v>73</v>
      </c>
      <c r="AO783" s="16" t="n">
        <v>68</v>
      </c>
      <c r="AP783" s="36" t="n">
        <f aca="false">(AO783*70)/100</f>
        <v>47.6</v>
      </c>
      <c r="AQ783" s="37" t="n">
        <f aca="false">ROUNDUP(AP783,0)</f>
        <v>48</v>
      </c>
      <c r="AR783" s="16" t="n">
        <v>23</v>
      </c>
      <c r="AS783" s="16" t="n">
        <f aca="false">AR783+AP783</f>
        <v>70.6</v>
      </c>
      <c r="AT783" s="16" t="n">
        <f aca="false">AR783+AQ783</f>
        <v>71</v>
      </c>
      <c r="AU783" s="16" t="n">
        <f aca="false">AO783+AF783+AI783+AH783+AG783</f>
        <v>393</v>
      </c>
      <c r="AV783" s="16" t="n">
        <f aca="false">(AO783+AF783+AI783+AH783+AG783)/5</f>
        <v>78.6</v>
      </c>
      <c r="AW783" s="36" t="n">
        <f aca="false">(AO783+AF783+AI783+AH783+AG783+X783+R783+Q783+K783+J783)</f>
        <v>768</v>
      </c>
      <c r="AX783" s="16" t="n">
        <f aca="false">AW783/10</f>
        <v>76.8</v>
      </c>
      <c r="AY783" s="16" t="n">
        <f aca="false">AS783+AF783+AM783+AH783+AG783+AB783+V783+Q783+O783+J783</f>
        <v>785.8</v>
      </c>
      <c r="AZ783" s="16" t="n">
        <f aca="false">AT783+AF783+AN783+AH783+AG783+AC783+W783+Q783+P783+J783</f>
        <v>788</v>
      </c>
      <c r="BA783" s="16" t="n">
        <f aca="false">AY783/10</f>
        <v>78.58</v>
      </c>
      <c r="BB783" s="16" t="n">
        <f aca="false">AZ783/10</f>
        <v>78.8</v>
      </c>
      <c r="BC783" s="16" t="n">
        <v>2347</v>
      </c>
      <c r="BD783" s="16" t="n">
        <f aca="false">RANK(AX783,$AX$2:$AX$881,0)</f>
        <v>527</v>
      </c>
      <c r="BE783" s="54" t="n">
        <f aca="false">((BC783*100)/2400)*0.4+(AX783*0.6)</f>
        <v>85.1966666666667</v>
      </c>
      <c r="BF783" s="16" t="n">
        <f aca="false">RANK(BE783,$BE$2:$BE$881,0)</f>
        <v>567</v>
      </c>
      <c r="BG783" s="39" t="n">
        <f aca="false">RANK(BB783,$BB$2:$BB$881,0)</f>
        <v>472</v>
      </c>
      <c r="BH783" s="39" t="n">
        <f aca="false">RANK(BC783,$BC$2:$BC$881,0)</f>
        <v>562</v>
      </c>
      <c r="BI783" s="22" t="s">
        <v>130</v>
      </c>
      <c r="BJ783" s="22" t="s">
        <v>129</v>
      </c>
      <c r="BK783" s="40" t="s">
        <v>509</v>
      </c>
      <c r="BL783" s="98" t="n">
        <v>9</v>
      </c>
      <c r="BM783" s="61"/>
      <c r="BN783" s="61"/>
      <c r="BO783" s="42" t="n">
        <v>22</v>
      </c>
      <c r="BP783" s="61"/>
      <c r="BQ783" s="61"/>
      <c r="BR783" s="42" t="n">
        <v>17</v>
      </c>
      <c r="BS783" s="80"/>
      <c r="BT783" s="80"/>
      <c r="BU783" s="80"/>
      <c r="BV783" s="137"/>
      <c r="BW783" s="61"/>
      <c r="BX783" s="107"/>
      <c r="BY783" s="130"/>
      <c r="BZ783" s="60"/>
      <c r="CA783" s="60"/>
      <c r="CB783" s="61"/>
      <c r="CC783" s="60"/>
      <c r="CD783" s="60"/>
      <c r="CE783" s="60"/>
      <c r="CF783" s="60"/>
      <c r="CG783" s="60"/>
      <c r="CH783" s="60"/>
      <c r="CI783" s="60"/>
      <c r="CJ783" s="60"/>
      <c r="CK783" s="60"/>
      <c r="CL783" s="61"/>
      <c r="CM783" s="60"/>
      <c r="CN783" s="60"/>
      <c r="CO783" s="60"/>
      <c r="CP783" s="25" t="n">
        <f aca="false">BX783+BW783+BV783+BU783+BT783+BQ783+BN783</f>
        <v>0</v>
      </c>
      <c r="CQ783" s="25" t="n">
        <f aca="false">CO783+CL783+CI783+CH783+CG783+CD783+CA783</f>
        <v>0</v>
      </c>
      <c r="CR783" s="26" t="n">
        <f aca="false">CP783/7</f>
        <v>0</v>
      </c>
      <c r="CS783" s="26" t="n">
        <f aca="false">CQ783/7</f>
        <v>0</v>
      </c>
      <c r="CT783" s="24" t="n">
        <f aca="false">RANK(CR783,$CR$2:$CR$881,0)</f>
        <v>768</v>
      </c>
      <c r="CU783" s="25" t="n">
        <f aca="false">RANK(CS783,$CS$2:$CS$881,0)</f>
        <v>752</v>
      </c>
      <c r="CV783" s="26" t="n">
        <f aca="false">(CS783+CR783)/2</f>
        <v>0</v>
      </c>
      <c r="CW783" s="25" t="n">
        <f aca="false">RANK(CV783,$CV$2:$CV$881,0)</f>
        <v>753</v>
      </c>
      <c r="CX783" s="50" t="n">
        <f aca="false">(CV783+BB783)/2</f>
        <v>39.4</v>
      </c>
      <c r="CY783" s="50" t="n">
        <v>795</v>
      </c>
      <c r="CZ783" s="27" t="s">
        <v>132</v>
      </c>
      <c r="DA783" s="27" t="s">
        <v>139</v>
      </c>
      <c r="DB783" s="27" t="s">
        <v>139</v>
      </c>
      <c r="DC783" s="27" t="s">
        <v>134</v>
      </c>
      <c r="DD783" s="27" t="s">
        <v>182</v>
      </c>
      <c r="DE783" s="27" t="s">
        <v>220</v>
      </c>
      <c r="DF783" s="27" t="s">
        <v>219</v>
      </c>
      <c r="DG783" s="27" t="s">
        <v>134</v>
      </c>
      <c r="DH783" s="27" t="s">
        <v>164</v>
      </c>
      <c r="DI783" s="27" t="s">
        <v>313</v>
      </c>
      <c r="DJ783" s="27" t="s">
        <v>272</v>
      </c>
      <c r="DK783" s="27" t="s">
        <v>134</v>
      </c>
      <c r="DL783" s="27" t="s">
        <v>160</v>
      </c>
      <c r="DM783" s="27" t="s">
        <v>306</v>
      </c>
      <c r="DN783" s="27" t="s">
        <v>169</v>
      </c>
      <c r="DO783" s="27" t="s">
        <v>134</v>
      </c>
      <c r="DP783" s="27" t="s">
        <v>485</v>
      </c>
      <c r="DQ783" s="27" t="s">
        <v>447</v>
      </c>
      <c r="DR783" s="27" t="s">
        <v>155</v>
      </c>
      <c r="DS783" s="27" t="s">
        <v>134</v>
      </c>
      <c r="DT783" s="27" t="s">
        <v>195</v>
      </c>
      <c r="DU783" s="27" t="s">
        <v>306</v>
      </c>
      <c r="DV783" s="27" t="s">
        <v>443</v>
      </c>
      <c r="DW783" s="27"/>
      <c r="DX783" s="27"/>
      <c r="DY783" s="27"/>
      <c r="DZ783" s="27" t="n">
        <f aca="false">DY783+DV783+DR783+DN783+DJ783+DF783+DB783</f>
        <v>483</v>
      </c>
      <c r="EA783" s="28" t="n">
        <f aca="false">DZ783/7</f>
        <v>69</v>
      </c>
      <c r="EB783" s="27" t="n">
        <f aca="false">RANK(EA783,$EA$2:$EA$881,0)</f>
        <v>673</v>
      </c>
      <c r="EC783" s="29" t="n">
        <f aca="false">DZ783+CQ783+CP783+AZ783</f>
        <v>1271</v>
      </c>
      <c r="ED783" s="30" t="n">
        <f aca="false">(EA783+CV783+BB783)/3</f>
        <v>49.2666666666667</v>
      </c>
      <c r="EE783" s="51" t="n">
        <f aca="false">ROUND(BE783,3)</f>
        <v>85.197</v>
      </c>
      <c r="EF783" s="51" t="n">
        <f aca="false">ROUND(CR783,3)</f>
        <v>0</v>
      </c>
      <c r="EG783" s="51" t="n">
        <f aca="false">ROUND(CS783,3)</f>
        <v>0</v>
      </c>
      <c r="EH783" s="51" t="n">
        <f aca="false">ROUND(EA783,3)</f>
        <v>69</v>
      </c>
      <c r="EI783" s="51" t="n">
        <f aca="false">ROUND(ED783,3)</f>
        <v>49.267</v>
      </c>
      <c r="EJ783" s="51" t="n">
        <f aca="false">ROUND(CV783,3)</f>
        <v>0</v>
      </c>
      <c r="EK783" s="0" t="n">
        <f aca="false">RANK(EI783,$EI$2:$EI$881,0)</f>
        <v>782</v>
      </c>
    </row>
    <row r="784" customFormat="false" ht="15" hidden="false" customHeight="false" outlineLevel="0" collapsed="false">
      <c r="A784" s="4" t="n">
        <v>8915</v>
      </c>
      <c r="B784" s="4" t="n">
        <v>763</v>
      </c>
      <c r="C784" s="27" t="s">
        <v>2212</v>
      </c>
      <c r="D784" s="31" t="n">
        <v>781</v>
      </c>
      <c r="E784" s="62" t="n">
        <v>230515531</v>
      </c>
      <c r="F784" s="8" t="s">
        <v>2213</v>
      </c>
      <c r="G784" s="63" t="s">
        <v>2214</v>
      </c>
      <c r="H784" s="22" t="s">
        <v>465</v>
      </c>
      <c r="I784" s="80"/>
      <c r="J784" s="62" t="n">
        <v>87</v>
      </c>
      <c r="K784" s="62" t="n">
        <v>68</v>
      </c>
      <c r="L784" s="34" t="n">
        <f aca="false">(K784*70)/100</f>
        <v>47.6</v>
      </c>
      <c r="M784" s="34" t="n">
        <f aca="false">ROUNDUP(L784,0)</f>
        <v>48</v>
      </c>
      <c r="N784" s="62" t="n">
        <v>23</v>
      </c>
      <c r="O784" s="34" t="n">
        <f aca="false">N784+L784</f>
        <v>70.6</v>
      </c>
      <c r="P784" s="34" t="n">
        <f aca="false">N784+M784</f>
        <v>71</v>
      </c>
      <c r="Q784" s="62" t="n">
        <v>86</v>
      </c>
      <c r="R784" s="62" t="n">
        <v>79</v>
      </c>
      <c r="S784" s="34" t="n">
        <f aca="false">(R784*70)/100</f>
        <v>55.3</v>
      </c>
      <c r="T784" s="34" t="n">
        <f aca="false">ROUNDUP(S784,0)</f>
        <v>56</v>
      </c>
      <c r="U784" s="62" t="n">
        <v>25</v>
      </c>
      <c r="V784" s="34" t="n">
        <f aca="false">U784+S784</f>
        <v>80.3</v>
      </c>
      <c r="W784" s="34" t="n">
        <f aca="false">U784+T784</f>
        <v>81</v>
      </c>
      <c r="X784" s="62" t="n">
        <v>79</v>
      </c>
      <c r="Y784" s="34" t="n">
        <f aca="false">(X784*70)/100</f>
        <v>55.3</v>
      </c>
      <c r="Z784" s="34" t="n">
        <f aca="false">ROUNDUP(Y784,0)</f>
        <v>56</v>
      </c>
      <c r="AA784" s="62" t="n">
        <v>28</v>
      </c>
      <c r="AB784" s="34" t="n">
        <f aca="false">AA784+Y784</f>
        <v>83.3</v>
      </c>
      <c r="AC784" s="34" t="n">
        <f aca="false">AA784+Z784</f>
        <v>84</v>
      </c>
      <c r="AD784" s="32" t="n">
        <f aca="false">X784+R784+Q784+K784+J784</f>
        <v>399</v>
      </c>
      <c r="AE784" s="16" t="n">
        <f aca="false">AD784/5</f>
        <v>79.8</v>
      </c>
      <c r="AF784" s="65" t="n">
        <v>82</v>
      </c>
      <c r="AG784" s="65" t="n">
        <v>87</v>
      </c>
      <c r="AH784" s="65" t="n">
        <v>90</v>
      </c>
      <c r="AI784" s="65" t="n">
        <v>78</v>
      </c>
      <c r="AJ784" s="16" t="n">
        <f aca="false">(AI784*70)/100</f>
        <v>54.6</v>
      </c>
      <c r="AK784" s="35" t="n">
        <f aca="false">ROUNDUP(AJ784,0)</f>
        <v>55</v>
      </c>
      <c r="AL784" s="65" t="n">
        <v>20</v>
      </c>
      <c r="AM784" s="16" t="n">
        <f aca="false">AL784+AJ784</f>
        <v>74.6</v>
      </c>
      <c r="AN784" s="16" t="n">
        <f aca="false">AL784+AK784</f>
        <v>75</v>
      </c>
      <c r="AO784" s="65" t="n">
        <v>77</v>
      </c>
      <c r="AP784" s="36" t="n">
        <f aca="false">(AO784*70)/100</f>
        <v>53.9</v>
      </c>
      <c r="AQ784" s="37" t="n">
        <f aca="false">ROUNDUP(AP784,0)</f>
        <v>54</v>
      </c>
      <c r="AR784" s="65" t="n">
        <v>20</v>
      </c>
      <c r="AS784" s="16" t="n">
        <f aca="false">AR784+AP784</f>
        <v>73.9</v>
      </c>
      <c r="AT784" s="16" t="n">
        <f aca="false">AR784+AQ784</f>
        <v>74</v>
      </c>
      <c r="AU784" s="16" t="n">
        <f aca="false">AO784+AF784+AI784+AH784+AG784</f>
        <v>414</v>
      </c>
      <c r="AV784" s="16" t="n">
        <f aca="false">(AO784+AF784+AI784+AH784+AG784)/5</f>
        <v>82.8</v>
      </c>
      <c r="AW784" s="36" t="n">
        <f aca="false">(AO784+AF784+AI784+AH784+AG784+X784+R784+Q784+K784+J784)</f>
        <v>813</v>
      </c>
      <c r="AX784" s="16" t="n">
        <f aca="false">AW784/10</f>
        <v>81.3</v>
      </c>
      <c r="AY784" s="16" t="n">
        <f aca="false">AS784+AF784+AM784+AH784+AG784+AB784+V784+Q784+O784+J784</f>
        <v>814.7</v>
      </c>
      <c r="AZ784" s="16" t="n">
        <f aca="false">AT784+AF784+AN784+AH784+AG784+AC784+W784+Q784+P784+J784</f>
        <v>817</v>
      </c>
      <c r="BA784" s="16" t="n">
        <f aca="false">AY784/10</f>
        <v>81.47</v>
      </c>
      <c r="BB784" s="16" t="n">
        <f aca="false">AZ784/10</f>
        <v>81.7</v>
      </c>
      <c r="BC784" s="65" t="n">
        <v>2327</v>
      </c>
      <c r="BD784" s="16" t="n">
        <f aca="false">RANK(AX784,$AX$2:$AX$881,0)</f>
        <v>198</v>
      </c>
      <c r="BE784" s="54" t="n">
        <f aca="false">((BC784*100)/2400)*0.4+(AX784*0.6)</f>
        <v>87.5633333333333</v>
      </c>
      <c r="BF784" s="16" t="n">
        <f aca="false">RANK(BE784,$BE$2:$BE$881,0)</f>
        <v>241</v>
      </c>
      <c r="BG784" s="39" t="n">
        <f aca="false">RANK(BB784,$BB$2:$BB$881,0)</f>
        <v>229</v>
      </c>
      <c r="BH784" s="39" t="n">
        <f aca="false">RANK(BC784,$BC$2:$BC$881,0)</f>
        <v>751</v>
      </c>
      <c r="BI784" s="22" t="s">
        <v>130</v>
      </c>
      <c r="BJ784" s="22" t="s">
        <v>129</v>
      </c>
      <c r="BK784" s="40" t="s">
        <v>131</v>
      </c>
      <c r="BL784" s="105" t="n">
        <v>11.5</v>
      </c>
      <c r="BM784" s="61"/>
      <c r="BN784" s="61"/>
      <c r="BO784" s="42" t="n">
        <v>23</v>
      </c>
      <c r="BP784" s="61"/>
      <c r="BQ784" s="61"/>
      <c r="BR784" s="74" t="n">
        <v>8</v>
      </c>
      <c r="BS784" s="80"/>
      <c r="BT784" s="80"/>
      <c r="BU784" s="80"/>
      <c r="BV784" s="137"/>
      <c r="BW784" s="61"/>
      <c r="BX784" s="107"/>
      <c r="BY784" s="65" t="n">
        <v>17</v>
      </c>
      <c r="BZ784" s="58" t="n">
        <v>51</v>
      </c>
      <c r="CA784" s="58" t="n">
        <v>68</v>
      </c>
      <c r="CB784" s="61"/>
      <c r="CC784" s="60"/>
      <c r="CD784" s="60"/>
      <c r="CE784" s="60"/>
      <c r="CF784" s="60"/>
      <c r="CG784" s="60"/>
      <c r="CH784" s="60"/>
      <c r="CI784" s="60"/>
      <c r="CJ784" s="58" t="n">
        <v>18</v>
      </c>
      <c r="CK784" s="58" t="n">
        <v>40</v>
      </c>
      <c r="CL784" s="59" t="n">
        <v>58</v>
      </c>
      <c r="CM784" s="58" t="n">
        <v>24</v>
      </c>
      <c r="CN784" s="58" t="n">
        <v>49</v>
      </c>
      <c r="CO784" s="58" t="n">
        <v>73</v>
      </c>
      <c r="CP784" s="25" t="n">
        <f aca="false">BX784+BW784+BV784+BU784+BT784+BQ784+BN784</f>
        <v>0</v>
      </c>
      <c r="CQ784" s="25" t="n">
        <f aca="false">CO784+CL784+CI784+CH784+CG784+CD784+CA784</f>
        <v>199</v>
      </c>
      <c r="CR784" s="26" t="n">
        <f aca="false">CP784/7</f>
        <v>0</v>
      </c>
      <c r="CS784" s="26" t="n">
        <f aca="false">CQ784/7</f>
        <v>28.4285714285714</v>
      </c>
      <c r="CT784" s="24" t="n">
        <f aca="false">RANK(CR784,$CR$2:$CR$881,0)</f>
        <v>768</v>
      </c>
      <c r="CU784" s="25" t="n">
        <f aca="false">RANK(CS784,$CS$2:$CS$881,0)</f>
        <v>725</v>
      </c>
      <c r="CV784" s="26" t="n">
        <f aca="false">(CS784+CR784)/2</f>
        <v>14.2142857142857</v>
      </c>
      <c r="CW784" s="25" t="n">
        <f aca="false">RANK(CV784,$CV$2:$CV$881,0)</f>
        <v>747</v>
      </c>
      <c r="CX784" s="50" t="n">
        <f aca="false">(CV784+BB784)/2</f>
        <v>47.9571428571429</v>
      </c>
      <c r="CY784" s="50" t="n">
        <v>734</v>
      </c>
      <c r="CZ784" s="27" t="s">
        <v>132</v>
      </c>
      <c r="DA784" s="27" t="s">
        <v>441</v>
      </c>
      <c r="DB784" s="27" t="s">
        <v>441</v>
      </c>
      <c r="DC784" s="27" t="s">
        <v>134</v>
      </c>
      <c r="DD784" s="27" t="s">
        <v>718</v>
      </c>
      <c r="DE784" s="27" t="s">
        <v>673</v>
      </c>
      <c r="DF784" s="27" t="s">
        <v>447</v>
      </c>
      <c r="DG784" s="27" t="s">
        <v>480</v>
      </c>
      <c r="DH784" s="27" t="s">
        <v>264</v>
      </c>
      <c r="DI784" s="27" t="s">
        <v>673</v>
      </c>
      <c r="DJ784" s="27" t="s">
        <v>177</v>
      </c>
      <c r="DK784" s="27" t="s">
        <v>134</v>
      </c>
      <c r="DL784" s="27" t="s">
        <v>386</v>
      </c>
      <c r="DM784" s="27" t="s">
        <v>906</v>
      </c>
      <c r="DN784" s="27" t="s">
        <v>220</v>
      </c>
      <c r="DO784" s="27" t="s">
        <v>480</v>
      </c>
      <c r="DP784" s="27"/>
      <c r="DQ784" s="27"/>
      <c r="DR784" s="27"/>
      <c r="DS784" s="27"/>
      <c r="DT784" s="27" t="s">
        <v>485</v>
      </c>
      <c r="DU784" s="27" t="s">
        <v>137</v>
      </c>
      <c r="DV784" s="27" t="s">
        <v>897</v>
      </c>
      <c r="DW784" s="27" t="s">
        <v>718</v>
      </c>
      <c r="DX784" s="27" t="s">
        <v>204</v>
      </c>
      <c r="DY784" s="27" t="s">
        <v>416</v>
      </c>
      <c r="DZ784" s="27" t="n">
        <f aca="false">DY784+DV784+DR784+DN784+DJ784+DF784+DB784</f>
        <v>358</v>
      </c>
      <c r="EA784" s="28" t="n">
        <f aca="false">DZ784/7</f>
        <v>51.1428571428571</v>
      </c>
      <c r="EB784" s="27" t="n">
        <f aca="false">RANK(EA784,$EA$2:$EA$881,0)</f>
        <v>840</v>
      </c>
      <c r="EC784" s="29" t="n">
        <f aca="false">DZ784+CQ784+CP784+AZ784</f>
        <v>1374</v>
      </c>
      <c r="ED784" s="30" t="n">
        <f aca="false">(EA784+CV784+BB784)/3</f>
        <v>49.0190476190476</v>
      </c>
      <c r="EE784" s="51" t="n">
        <f aca="false">ROUND(BE784,3)</f>
        <v>87.563</v>
      </c>
      <c r="EF784" s="51" t="n">
        <f aca="false">ROUND(CR784,3)</f>
        <v>0</v>
      </c>
      <c r="EG784" s="51" t="n">
        <f aca="false">ROUND(CS784,3)</f>
        <v>28.429</v>
      </c>
      <c r="EH784" s="51" t="n">
        <f aca="false">ROUND(EA784,3)</f>
        <v>51.143</v>
      </c>
      <c r="EI784" s="51" t="n">
        <f aca="false">ROUND(ED784,3)</f>
        <v>49.019</v>
      </c>
      <c r="EJ784" s="51" t="n">
        <f aca="false">ROUND(CV784,3)</f>
        <v>14.214</v>
      </c>
      <c r="EK784" s="0" t="n">
        <f aca="false">RANK(EI784,$EI$2:$EI$881,0)</f>
        <v>783</v>
      </c>
    </row>
    <row r="785" customFormat="false" ht="15" hidden="false" customHeight="false" outlineLevel="0" collapsed="false">
      <c r="A785" s="4" t="n">
        <v>1937</v>
      </c>
      <c r="B785" s="4" t="n">
        <v>280</v>
      </c>
      <c r="C785" s="27" t="s">
        <v>2215</v>
      </c>
      <c r="D785" s="31" t="n">
        <v>280</v>
      </c>
      <c r="E785" s="16" t="n">
        <v>230505728</v>
      </c>
      <c r="F785" s="56" t="s">
        <v>2216</v>
      </c>
      <c r="G785" s="22" t="s">
        <v>2217</v>
      </c>
      <c r="H785" s="22" t="s">
        <v>465</v>
      </c>
      <c r="I785" s="80"/>
      <c r="J785" s="16" t="n">
        <v>67</v>
      </c>
      <c r="K785" s="16" t="n">
        <v>67</v>
      </c>
      <c r="L785" s="34" t="n">
        <f aca="false">(K785*70)/100</f>
        <v>46.9</v>
      </c>
      <c r="M785" s="34" t="n">
        <f aca="false">ROUNDUP(L785,0)</f>
        <v>47</v>
      </c>
      <c r="N785" s="16" t="n">
        <v>18</v>
      </c>
      <c r="O785" s="34" t="n">
        <f aca="false">N785+L785</f>
        <v>64.9</v>
      </c>
      <c r="P785" s="34" t="n">
        <f aca="false">N785+M785</f>
        <v>65</v>
      </c>
      <c r="Q785" s="16" t="n">
        <v>63</v>
      </c>
      <c r="R785" s="16" t="n">
        <v>73</v>
      </c>
      <c r="S785" s="34" t="n">
        <f aca="false">(R785*70)/100</f>
        <v>51.1</v>
      </c>
      <c r="T785" s="34" t="n">
        <f aca="false">ROUNDUP(S785,0)</f>
        <v>52</v>
      </c>
      <c r="U785" s="16" t="n">
        <v>21</v>
      </c>
      <c r="V785" s="34" t="n">
        <f aca="false">U785+S785</f>
        <v>72.1</v>
      </c>
      <c r="W785" s="34" t="n">
        <f aca="false">U785+T785</f>
        <v>73</v>
      </c>
      <c r="X785" s="16" t="n">
        <v>77</v>
      </c>
      <c r="Y785" s="34" t="n">
        <f aca="false">(X785*70)/100</f>
        <v>53.9</v>
      </c>
      <c r="Z785" s="34" t="n">
        <f aca="false">ROUNDUP(Y785,0)</f>
        <v>54</v>
      </c>
      <c r="AA785" s="16" t="n">
        <v>28</v>
      </c>
      <c r="AB785" s="34" t="n">
        <f aca="false">AA785+Y785</f>
        <v>81.9</v>
      </c>
      <c r="AC785" s="34" t="n">
        <f aca="false">AA785+Z785</f>
        <v>82</v>
      </c>
      <c r="AD785" s="32" t="n">
        <f aca="false">X785+R785+Q785+K785+J785</f>
        <v>347</v>
      </c>
      <c r="AE785" s="16" t="n">
        <f aca="false">AD785/5</f>
        <v>69.4</v>
      </c>
      <c r="AF785" s="16" t="n">
        <v>74</v>
      </c>
      <c r="AG785" s="16" t="n">
        <v>85</v>
      </c>
      <c r="AH785" s="16" t="n">
        <v>89</v>
      </c>
      <c r="AI785" s="16" t="n">
        <v>90</v>
      </c>
      <c r="AJ785" s="16" t="n">
        <f aca="false">(AI785*70)/100</f>
        <v>63</v>
      </c>
      <c r="AK785" s="35" t="n">
        <f aca="false">ROUNDUP(AJ785,0)</f>
        <v>63</v>
      </c>
      <c r="AL785" s="16" t="n">
        <v>21</v>
      </c>
      <c r="AM785" s="16" t="n">
        <f aca="false">AL785+AJ785</f>
        <v>84</v>
      </c>
      <c r="AN785" s="16" t="n">
        <f aca="false">AL785+AK785</f>
        <v>84</v>
      </c>
      <c r="AO785" s="16" t="n">
        <v>77</v>
      </c>
      <c r="AP785" s="36" t="n">
        <f aca="false">(AO785*70)/100</f>
        <v>53.9</v>
      </c>
      <c r="AQ785" s="37" t="n">
        <f aca="false">ROUNDUP(AP785,0)</f>
        <v>54</v>
      </c>
      <c r="AR785" s="16" t="n">
        <v>27</v>
      </c>
      <c r="AS785" s="16" t="n">
        <f aca="false">AR785+AP785</f>
        <v>80.9</v>
      </c>
      <c r="AT785" s="16" t="n">
        <f aca="false">AR785+AQ785</f>
        <v>81</v>
      </c>
      <c r="AU785" s="16" t="n">
        <f aca="false">AO785+AF785+AI785+AH785+AG785</f>
        <v>415</v>
      </c>
      <c r="AV785" s="16" t="n">
        <f aca="false">(AO785+AF785+AI785+AH785+AG785)/5</f>
        <v>83</v>
      </c>
      <c r="AW785" s="36" t="n">
        <f aca="false">(AO785+AF785+AI785+AH785+AG785+X785+R785+Q785+K785+J785)</f>
        <v>762</v>
      </c>
      <c r="AX785" s="16" t="n">
        <f aca="false">AW785/10</f>
        <v>76.2</v>
      </c>
      <c r="AY785" s="16" t="n">
        <f aca="false">AS785+AF785+AM785+AH785+AG785+AB785+V785+Q785+O785+J785</f>
        <v>761.8</v>
      </c>
      <c r="AZ785" s="16" t="n">
        <f aca="false">AT785+AF785+AN785+AH785+AG785+AC785+W785+Q785+P785+J785</f>
        <v>763</v>
      </c>
      <c r="BA785" s="16" t="n">
        <f aca="false">AY785/10</f>
        <v>76.18</v>
      </c>
      <c r="BB785" s="16" t="n">
        <f aca="false">AZ785/10</f>
        <v>76.3</v>
      </c>
      <c r="BC785" s="16" t="n">
        <v>2343</v>
      </c>
      <c r="BD785" s="16" t="n">
        <f aca="false">RANK(AX785,$AX$2:$AX$881,0)</f>
        <v>600</v>
      </c>
      <c r="BE785" s="73" t="n">
        <f aca="false">((BC785*100)/2400)*0.4+(AX785*0.6)</f>
        <v>84.77</v>
      </c>
      <c r="BF785" s="16" t="n">
        <f aca="false">RANK(BE785,$BE$2:$BE$881,0)</f>
        <v>665</v>
      </c>
      <c r="BG785" s="39" t="n">
        <f aca="false">RANK(BB785,$BB$2:$BB$881,0)</f>
        <v>670</v>
      </c>
      <c r="BH785" s="39" t="n">
        <f aca="false">RANK(BC785,$BC$2:$BC$881,0)</f>
        <v>613</v>
      </c>
      <c r="BI785" s="22" t="s">
        <v>130</v>
      </c>
      <c r="BJ785" s="22" t="s">
        <v>129</v>
      </c>
      <c r="BK785" s="22" t="s">
        <v>509</v>
      </c>
      <c r="BL785" s="101" t="n">
        <v>10.5</v>
      </c>
      <c r="BM785" s="61"/>
      <c r="BN785" s="61"/>
      <c r="BO785" s="42" t="n">
        <v>25</v>
      </c>
      <c r="BP785" s="61"/>
      <c r="BQ785" s="61"/>
      <c r="BR785" s="74" t="n">
        <v>9</v>
      </c>
      <c r="BS785" s="80"/>
      <c r="BT785" s="80"/>
      <c r="BU785" s="80"/>
      <c r="BV785" s="137"/>
      <c r="BW785" s="61"/>
      <c r="BX785" s="107"/>
      <c r="BY785" s="130"/>
      <c r="BZ785" s="60"/>
      <c r="CA785" s="60"/>
      <c r="CB785" s="61"/>
      <c r="CC785" s="60"/>
      <c r="CD785" s="60"/>
      <c r="CE785" s="60"/>
      <c r="CF785" s="60"/>
      <c r="CG785" s="60"/>
      <c r="CH785" s="60"/>
      <c r="CI785" s="60"/>
      <c r="CJ785" s="60"/>
      <c r="CK785" s="60"/>
      <c r="CL785" s="61"/>
      <c r="CM785" s="60"/>
      <c r="CN785" s="60"/>
      <c r="CO785" s="60"/>
      <c r="CP785" s="25" t="n">
        <f aca="false">BX785+BW785+BV785+BU785+BT785+BQ785+BN785</f>
        <v>0</v>
      </c>
      <c r="CQ785" s="25" t="n">
        <f aca="false">CO785+CL785+CI785+CH785+CG785+CD785+CA785</f>
        <v>0</v>
      </c>
      <c r="CR785" s="26" t="n">
        <f aca="false">CP785/7</f>
        <v>0</v>
      </c>
      <c r="CS785" s="26" t="n">
        <f aca="false">CQ785/7</f>
        <v>0</v>
      </c>
      <c r="CT785" s="24" t="n">
        <f aca="false">RANK(CR785,$CR$2:$CR$881,0)</f>
        <v>768</v>
      </c>
      <c r="CU785" s="25" t="n">
        <f aca="false">RANK(CS785,$CS$2:$CS$881,0)</f>
        <v>752</v>
      </c>
      <c r="CV785" s="26" t="n">
        <f aca="false">(CS785+CR785)/2</f>
        <v>0</v>
      </c>
      <c r="CW785" s="25" t="n">
        <f aca="false">RANK(CV785,$CV$2:$CV$881,0)</f>
        <v>753</v>
      </c>
      <c r="CX785" s="50" t="n">
        <f aca="false">(CV785+BB785)/2</f>
        <v>38.15</v>
      </c>
      <c r="CY785" s="50" t="n">
        <v>848</v>
      </c>
      <c r="CZ785" s="27" t="s">
        <v>132</v>
      </c>
      <c r="DA785" s="27" t="s">
        <v>175</v>
      </c>
      <c r="DB785" s="27" t="s">
        <v>175</v>
      </c>
      <c r="DC785" s="27" t="s">
        <v>134</v>
      </c>
      <c r="DD785" s="27" t="s">
        <v>182</v>
      </c>
      <c r="DE785" s="27" t="s">
        <v>304</v>
      </c>
      <c r="DF785" s="27" t="s">
        <v>305</v>
      </c>
      <c r="DG785" s="27" t="s">
        <v>134</v>
      </c>
      <c r="DH785" s="27" t="s">
        <v>182</v>
      </c>
      <c r="DI785" s="27" t="s">
        <v>442</v>
      </c>
      <c r="DJ785" s="27" t="s">
        <v>486</v>
      </c>
      <c r="DK785" s="27" t="s">
        <v>134</v>
      </c>
      <c r="DL785" s="27" t="s">
        <v>195</v>
      </c>
      <c r="DM785" s="27" t="s">
        <v>204</v>
      </c>
      <c r="DN785" s="27" t="s">
        <v>219</v>
      </c>
      <c r="DO785" s="27" t="s">
        <v>134</v>
      </c>
      <c r="DP785" s="27"/>
      <c r="DQ785" s="27"/>
      <c r="DR785" s="27"/>
      <c r="DS785" s="27"/>
      <c r="DT785" s="27" t="s">
        <v>160</v>
      </c>
      <c r="DU785" s="27" t="s">
        <v>306</v>
      </c>
      <c r="DV785" s="27" t="s">
        <v>169</v>
      </c>
      <c r="DW785" s="27" t="s">
        <v>164</v>
      </c>
      <c r="DX785" s="27" t="s">
        <v>138</v>
      </c>
      <c r="DY785" s="27" t="s">
        <v>142</v>
      </c>
      <c r="DZ785" s="27" t="n">
        <f aca="false">DY785+DV785+DR785+DN785+DJ785+DF785+DB785</f>
        <v>495</v>
      </c>
      <c r="EA785" s="28" t="n">
        <f aca="false">DZ785/7</f>
        <v>70.7142857142857</v>
      </c>
      <c r="EB785" s="27" t="n">
        <f aca="false">RANK(EA785,$EA$2:$EA$881,0)</f>
        <v>638</v>
      </c>
      <c r="EC785" s="29" t="n">
        <f aca="false">DZ785+CQ785+CP785+AZ785</f>
        <v>1258</v>
      </c>
      <c r="ED785" s="30" t="n">
        <f aca="false">(EA785+CV785+BB785)/3</f>
        <v>49.0047619047619</v>
      </c>
      <c r="EE785" s="51" t="n">
        <f aca="false">ROUND(BE785,3)</f>
        <v>84.77</v>
      </c>
      <c r="EF785" s="51" t="n">
        <f aca="false">ROUND(CR785,3)</f>
        <v>0</v>
      </c>
      <c r="EG785" s="51" t="n">
        <f aca="false">ROUND(CS785,3)</f>
        <v>0</v>
      </c>
      <c r="EH785" s="51" t="n">
        <f aca="false">ROUND(EA785,3)</f>
        <v>70.714</v>
      </c>
      <c r="EI785" s="51" t="n">
        <f aca="false">ROUND(ED785,3)</f>
        <v>49.005</v>
      </c>
      <c r="EJ785" s="51" t="n">
        <f aca="false">ROUND(CV785,3)</f>
        <v>0</v>
      </c>
      <c r="EK785" s="0" t="n">
        <f aca="false">RANK(EI785,$EI$2:$EI$881,0)</f>
        <v>784</v>
      </c>
    </row>
    <row r="786" customFormat="false" ht="15" hidden="false" customHeight="false" outlineLevel="0" collapsed="false">
      <c r="A786" s="4" t="n">
        <v>8667</v>
      </c>
      <c r="B786" s="4" t="n">
        <v>196</v>
      </c>
      <c r="C786" s="27" t="s">
        <v>2218</v>
      </c>
      <c r="D786" s="31" t="n">
        <v>198</v>
      </c>
      <c r="E786" s="16" t="n">
        <v>230507500</v>
      </c>
      <c r="F786" s="56" t="s">
        <v>2219</v>
      </c>
      <c r="G786" s="22" t="s">
        <v>422</v>
      </c>
      <c r="H786" s="22" t="s">
        <v>465</v>
      </c>
      <c r="I786" s="80"/>
      <c r="J786" s="16" t="n">
        <v>66</v>
      </c>
      <c r="K786" s="16" t="n">
        <v>56</v>
      </c>
      <c r="L786" s="34" t="n">
        <f aca="false">(K786*70)/100</f>
        <v>39.2</v>
      </c>
      <c r="M786" s="34" t="n">
        <f aca="false">ROUNDUP(L786,0)</f>
        <v>40</v>
      </c>
      <c r="N786" s="16" t="n">
        <v>25</v>
      </c>
      <c r="O786" s="34" t="n">
        <f aca="false">N786+L786</f>
        <v>64.2</v>
      </c>
      <c r="P786" s="34" t="n">
        <f aca="false">N786+M786</f>
        <v>65</v>
      </c>
      <c r="Q786" s="120" t="n">
        <v>58</v>
      </c>
      <c r="R786" s="16" t="n">
        <v>66</v>
      </c>
      <c r="S786" s="34" t="n">
        <f aca="false">(R786*70)/100</f>
        <v>46.2</v>
      </c>
      <c r="T786" s="34" t="n">
        <f aca="false">ROUNDUP(S786,0)</f>
        <v>47</v>
      </c>
      <c r="U786" s="16" t="n">
        <v>25</v>
      </c>
      <c r="V786" s="34" t="n">
        <f aca="false">U786+S786</f>
        <v>71.2</v>
      </c>
      <c r="W786" s="34" t="n">
        <f aca="false">U786+T786</f>
        <v>72</v>
      </c>
      <c r="X786" s="16" t="n">
        <v>55</v>
      </c>
      <c r="Y786" s="34" t="n">
        <f aca="false">(X786*70)/100</f>
        <v>38.5</v>
      </c>
      <c r="Z786" s="34" t="n">
        <f aca="false">ROUNDUP(Y786,0)</f>
        <v>39</v>
      </c>
      <c r="AA786" s="16" t="n">
        <v>26</v>
      </c>
      <c r="AB786" s="34" t="n">
        <f aca="false">AA786+Y786</f>
        <v>64.5</v>
      </c>
      <c r="AC786" s="34" t="n">
        <f aca="false">AA786+Z786</f>
        <v>65</v>
      </c>
      <c r="AD786" s="32" t="n">
        <f aca="false">X786+R786+Q786+K786+J786</f>
        <v>301</v>
      </c>
      <c r="AE786" s="16" t="n">
        <f aca="false">AD786/5</f>
        <v>60.2</v>
      </c>
      <c r="AF786" s="16" t="n">
        <v>63</v>
      </c>
      <c r="AG786" s="16" t="n">
        <v>65</v>
      </c>
      <c r="AH786" s="16" t="n">
        <v>79</v>
      </c>
      <c r="AI786" s="16" t="n">
        <v>60</v>
      </c>
      <c r="AJ786" s="16" t="n">
        <f aca="false">(AI786*70)/100</f>
        <v>42</v>
      </c>
      <c r="AK786" s="35" t="n">
        <f aca="false">ROUNDUP(AJ786,0)</f>
        <v>42</v>
      </c>
      <c r="AL786" s="16" t="n">
        <v>26</v>
      </c>
      <c r="AM786" s="16" t="n">
        <f aca="false">AL786+AJ786</f>
        <v>68</v>
      </c>
      <c r="AN786" s="16" t="n">
        <f aca="false">AL786+AK786</f>
        <v>68</v>
      </c>
      <c r="AO786" s="16" t="n">
        <v>56</v>
      </c>
      <c r="AP786" s="36" t="n">
        <f aca="false">(AO786*70)/100</f>
        <v>39.2</v>
      </c>
      <c r="AQ786" s="37" t="n">
        <f aca="false">ROUNDUP(AP786,0)</f>
        <v>40</v>
      </c>
      <c r="AR786" s="16" t="n">
        <v>24</v>
      </c>
      <c r="AS786" s="16" t="n">
        <f aca="false">AR786+AP786</f>
        <v>63.2</v>
      </c>
      <c r="AT786" s="16" t="n">
        <f aca="false">AR786+AQ786</f>
        <v>64</v>
      </c>
      <c r="AU786" s="16" t="n">
        <f aca="false">AO786+AF786+AI786+AH786+AG786</f>
        <v>323</v>
      </c>
      <c r="AV786" s="16" t="n">
        <f aca="false">(AO786+AF786+AI786+AH786+AG786)/5</f>
        <v>64.6</v>
      </c>
      <c r="AW786" s="36" t="n">
        <f aca="false">(AO786+AF786+AI786+AH786+AG786+X786+R786+Q786+K786+J786)</f>
        <v>624</v>
      </c>
      <c r="AX786" s="16" t="n">
        <f aca="false">AW786/10</f>
        <v>62.4</v>
      </c>
      <c r="AY786" s="16" t="n">
        <f aca="false">AS786+AF786+AM786+AH786+AG786+AB786+V786+Q786+O786+J786</f>
        <v>662.1</v>
      </c>
      <c r="AZ786" s="16" t="n">
        <f aca="false">AT786+AF786+AN786+AH786+AG786+AC786+W786+Q786+P786+J786</f>
        <v>665</v>
      </c>
      <c r="BA786" s="16" t="n">
        <f aca="false">AY786/10</f>
        <v>66.21</v>
      </c>
      <c r="BB786" s="16" t="n">
        <f aca="false">AZ786/10</f>
        <v>66.5</v>
      </c>
      <c r="BC786" s="16" t="n">
        <v>2377</v>
      </c>
      <c r="BD786" s="16" t="n">
        <f aca="false">RANK(AX786,$AX$2:$AX$881,0)</f>
        <v>789</v>
      </c>
      <c r="BE786" s="78" t="n">
        <f aca="false">((BC786*100)/2400)*0.4+(AX786*0.6)</f>
        <v>77.0566666666667</v>
      </c>
      <c r="BF786" s="16" t="n">
        <f aca="false">RANK(BE786,$BE$2:$BE$881,0)</f>
        <v>767</v>
      </c>
      <c r="BG786" s="39" t="n">
        <f aca="false">RANK(BB786,$BB$2:$BB$881,0)</f>
        <v>774</v>
      </c>
      <c r="BH786" s="39" t="n">
        <f aca="false">RANK(BC786,$BC$2:$BC$881,0)</f>
        <v>189</v>
      </c>
      <c r="BI786" s="22" t="s">
        <v>130</v>
      </c>
      <c r="BJ786" s="22" t="s">
        <v>129</v>
      </c>
      <c r="BK786" s="40" t="s">
        <v>702</v>
      </c>
      <c r="BL786" s="41" t="n">
        <v>12</v>
      </c>
      <c r="BM786" s="61"/>
      <c r="BN786" s="61"/>
      <c r="BO786" s="42" t="n">
        <v>23</v>
      </c>
      <c r="BP786" s="61"/>
      <c r="BQ786" s="61"/>
      <c r="BR786" s="74" t="n">
        <v>9</v>
      </c>
      <c r="BS786" s="80"/>
      <c r="BT786" s="80"/>
      <c r="BU786" s="80"/>
      <c r="BV786" s="137"/>
      <c r="BW786" s="61"/>
      <c r="BX786" s="107"/>
      <c r="BY786" s="130"/>
      <c r="BZ786" s="60"/>
      <c r="CA786" s="60"/>
      <c r="CB786" s="61"/>
      <c r="CC786" s="60"/>
      <c r="CD786" s="60"/>
      <c r="CE786" s="60"/>
      <c r="CF786" s="60"/>
      <c r="CG786" s="60"/>
      <c r="CH786" s="60"/>
      <c r="CI786" s="60"/>
      <c r="CJ786" s="60"/>
      <c r="CK786" s="60"/>
      <c r="CL786" s="61"/>
      <c r="CM786" s="60"/>
      <c r="CN786" s="60"/>
      <c r="CO786" s="60"/>
      <c r="CP786" s="25" t="n">
        <f aca="false">BX786+BW786+BV786+BU786+BT786+BQ786+BN786</f>
        <v>0</v>
      </c>
      <c r="CQ786" s="25" t="n">
        <f aca="false">CO786+CL786+CI786+CH786+CG786+CD786+CA786</f>
        <v>0</v>
      </c>
      <c r="CR786" s="26" t="n">
        <f aca="false">CP786/7</f>
        <v>0</v>
      </c>
      <c r="CS786" s="26" t="n">
        <f aca="false">CQ786/7</f>
        <v>0</v>
      </c>
      <c r="CT786" s="24" t="n">
        <f aca="false">RANK(CR786,$CR$2:$CR$881,0)</f>
        <v>768</v>
      </c>
      <c r="CU786" s="25" t="n">
        <f aca="false">RANK(CS786,$CS$2:$CS$881,0)</f>
        <v>752</v>
      </c>
      <c r="CV786" s="26" t="n">
        <f aca="false">(CS786+CR786)/2</f>
        <v>0</v>
      </c>
      <c r="CW786" s="25" t="n">
        <f aca="false">RANK(CV786,$CV$2:$CV$881,0)</f>
        <v>753</v>
      </c>
      <c r="CX786" s="50" t="n">
        <f aca="false">(CV786+BB786)/2</f>
        <v>33.25</v>
      </c>
      <c r="CY786" s="50" t="n">
        <v>870</v>
      </c>
      <c r="CZ786" s="27" t="s">
        <v>132</v>
      </c>
      <c r="DA786" s="27" t="s">
        <v>219</v>
      </c>
      <c r="DB786" s="27" t="s">
        <v>219</v>
      </c>
      <c r="DC786" s="27" t="s">
        <v>134</v>
      </c>
      <c r="DD786" s="27" t="s">
        <v>164</v>
      </c>
      <c r="DE786" s="27" t="s">
        <v>304</v>
      </c>
      <c r="DF786" s="27" t="s">
        <v>196</v>
      </c>
      <c r="DG786" s="27" t="s">
        <v>134</v>
      </c>
      <c r="DH786" s="27" t="s">
        <v>164</v>
      </c>
      <c r="DI786" s="27" t="s">
        <v>447</v>
      </c>
      <c r="DJ786" s="27" t="s">
        <v>219</v>
      </c>
      <c r="DK786" s="27" t="s">
        <v>134</v>
      </c>
      <c r="DL786" s="27" t="s">
        <v>182</v>
      </c>
      <c r="DM786" s="27" t="s">
        <v>304</v>
      </c>
      <c r="DN786" s="27" t="s">
        <v>305</v>
      </c>
      <c r="DO786" s="27" t="s">
        <v>134</v>
      </c>
      <c r="DP786" s="27" t="s">
        <v>174</v>
      </c>
      <c r="DQ786" s="27" t="s">
        <v>681</v>
      </c>
      <c r="DR786" s="27" t="s">
        <v>143</v>
      </c>
      <c r="DS786" s="27" t="s">
        <v>134</v>
      </c>
      <c r="DT786" s="27" t="s">
        <v>140</v>
      </c>
      <c r="DU786" s="27" t="s">
        <v>412</v>
      </c>
      <c r="DV786" s="27" t="s">
        <v>219</v>
      </c>
      <c r="DW786" s="27" t="s">
        <v>182</v>
      </c>
      <c r="DX786" s="27" t="s">
        <v>155</v>
      </c>
      <c r="DY786" s="27" t="s">
        <v>156</v>
      </c>
      <c r="DZ786" s="27" t="n">
        <f aca="false">DY786+DV786+DR786+DN786+DJ786+DF786+DB786</f>
        <v>561</v>
      </c>
      <c r="EA786" s="28" t="n">
        <f aca="false">DZ786/7</f>
        <v>80.1428571428571</v>
      </c>
      <c r="EB786" s="27" t="n">
        <f aca="false">RANK(EA786,$EA$2:$EA$881,0)</f>
        <v>386</v>
      </c>
      <c r="EC786" s="29" t="n">
        <f aca="false">DZ786+CQ786+CP786+AZ786</f>
        <v>1226</v>
      </c>
      <c r="ED786" s="30" t="n">
        <f aca="false">(EA786+CV786+BB786)/3</f>
        <v>48.8809523809524</v>
      </c>
      <c r="EE786" s="51" t="n">
        <f aca="false">ROUND(BE786,3)</f>
        <v>77.057</v>
      </c>
      <c r="EF786" s="51" t="n">
        <f aca="false">ROUND(CR786,3)</f>
        <v>0</v>
      </c>
      <c r="EG786" s="51" t="n">
        <f aca="false">ROUND(CS786,3)</f>
        <v>0</v>
      </c>
      <c r="EH786" s="51" t="n">
        <f aca="false">ROUND(EA786,3)</f>
        <v>80.143</v>
      </c>
      <c r="EI786" s="51" t="n">
        <f aca="false">ROUND(ED786,3)</f>
        <v>48.881</v>
      </c>
      <c r="EJ786" s="51" t="n">
        <f aca="false">ROUND(CV786,3)</f>
        <v>0</v>
      </c>
      <c r="EK786" s="0" t="n">
        <f aca="false">RANK(EI786,$EI$2:$EI$881,0)</f>
        <v>785</v>
      </c>
    </row>
    <row r="787" customFormat="false" ht="15" hidden="false" customHeight="false" outlineLevel="0" collapsed="false">
      <c r="A787" s="4" t="n">
        <v>2081</v>
      </c>
      <c r="B787" s="4" t="n">
        <v>456</v>
      </c>
      <c r="C787" s="27" t="s">
        <v>2220</v>
      </c>
      <c r="D787" s="31" t="n">
        <v>461</v>
      </c>
      <c r="E787" s="16" t="n">
        <v>230514249</v>
      </c>
      <c r="F787" s="56" t="s">
        <v>2221</v>
      </c>
      <c r="G787" s="22" t="s">
        <v>1338</v>
      </c>
      <c r="H787" s="22" t="s">
        <v>465</v>
      </c>
      <c r="I787" s="80"/>
      <c r="J787" s="16" t="n">
        <v>77</v>
      </c>
      <c r="K787" s="16" t="n">
        <v>83</v>
      </c>
      <c r="L787" s="34" t="n">
        <f aca="false">(K787*70)/100</f>
        <v>58.1</v>
      </c>
      <c r="M787" s="34" t="n">
        <f aca="false">ROUNDUP(L787,0)</f>
        <v>59</v>
      </c>
      <c r="N787" s="16" t="n">
        <v>26</v>
      </c>
      <c r="O787" s="34" t="n">
        <f aca="false">N787+L787</f>
        <v>84.1</v>
      </c>
      <c r="P787" s="34" t="n">
        <f aca="false">N787+M787</f>
        <v>85</v>
      </c>
      <c r="Q787" s="16" t="n">
        <v>70</v>
      </c>
      <c r="R787" s="16" t="n">
        <v>80</v>
      </c>
      <c r="S787" s="34" t="n">
        <f aca="false">(R787*70)/100</f>
        <v>56</v>
      </c>
      <c r="T787" s="34" t="n">
        <f aca="false">ROUNDUP(S787,0)</f>
        <v>56</v>
      </c>
      <c r="U787" s="16" t="n">
        <v>23</v>
      </c>
      <c r="V787" s="34" t="n">
        <f aca="false">U787+S787</f>
        <v>79</v>
      </c>
      <c r="W787" s="34" t="n">
        <f aca="false">U787+T787</f>
        <v>79</v>
      </c>
      <c r="X787" s="16" t="n">
        <v>70</v>
      </c>
      <c r="Y787" s="34" t="n">
        <f aca="false">(X787*70)/100</f>
        <v>49</v>
      </c>
      <c r="Z787" s="34" t="n">
        <f aca="false">ROUNDUP(Y787,0)</f>
        <v>49</v>
      </c>
      <c r="AA787" s="16" t="n">
        <v>26</v>
      </c>
      <c r="AB787" s="34" t="n">
        <f aca="false">AA787+Y787</f>
        <v>75</v>
      </c>
      <c r="AC787" s="34" t="n">
        <f aca="false">AA787+Z787</f>
        <v>75</v>
      </c>
      <c r="AD787" s="32" t="n">
        <f aca="false">X787+R787+Q787+K787+J787</f>
        <v>380</v>
      </c>
      <c r="AE787" s="16" t="n">
        <f aca="false">AD787/5</f>
        <v>76</v>
      </c>
      <c r="AF787" s="16" t="n">
        <v>61</v>
      </c>
      <c r="AG787" s="16" t="n">
        <v>87</v>
      </c>
      <c r="AH787" s="16" t="n">
        <v>87</v>
      </c>
      <c r="AI787" s="16" t="n">
        <v>77</v>
      </c>
      <c r="AJ787" s="16" t="n">
        <f aca="false">(AI787*70)/100</f>
        <v>53.9</v>
      </c>
      <c r="AK787" s="35" t="n">
        <f aca="false">ROUNDUP(AJ787,0)</f>
        <v>54</v>
      </c>
      <c r="AL787" s="16" t="n">
        <v>21</v>
      </c>
      <c r="AM787" s="16" t="n">
        <f aca="false">AL787+AJ787</f>
        <v>74.9</v>
      </c>
      <c r="AN787" s="16" t="n">
        <f aca="false">AL787+AK787</f>
        <v>75</v>
      </c>
      <c r="AO787" s="16" t="n">
        <v>73</v>
      </c>
      <c r="AP787" s="36" t="n">
        <f aca="false">(AO787*70)/100</f>
        <v>51.1</v>
      </c>
      <c r="AQ787" s="37" t="n">
        <f aca="false">ROUNDUP(AP787,0)</f>
        <v>52</v>
      </c>
      <c r="AR787" s="16" t="n">
        <v>22</v>
      </c>
      <c r="AS787" s="16" t="n">
        <f aca="false">AR787+AP787</f>
        <v>73.1</v>
      </c>
      <c r="AT787" s="16" t="n">
        <f aca="false">AR787+AQ787</f>
        <v>74</v>
      </c>
      <c r="AU787" s="16" t="n">
        <f aca="false">AO787+AF787+AI787+AH787+AG787</f>
        <v>385</v>
      </c>
      <c r="AV787" s="16" t="n">
        <f aca="false">(AO787+AF787+AI787+AH787+AG787)/5</f>
        <v>77</v>
      </c>
      <c r="AW787" s="36" t="n">
        <f aca="false">(AO787+AF787+AI787+AH787+AG787+X787+R787+Q787+K787+J787)</f>
        <v>765</v>
      </c>
      <c r="AX787" s="16" t="n">
        <f aca="false">AW787/10</f>
        <v>76.5</v>
      </c>
      <c r="AY787" s="16" t="n">
        <f aca="false">AS787+AF787+AM787+AH787+AG787+AB787+V787+Q787+O787+J787</f>
        <v>768.1</v>
      </c>
      <c r="AZ787" s="16" t="n">
        <f aca="false">AT787+AF787+AN787+AH787+AG787+AC787+W787+Q787+P787+J787</f>
        <v>770</v>
      </c>
      <c r="BA787" s="16" t="n">
        <f aca="false">AY787/10</f>
        <v>76.81</v>
      </c>
      <c r="BB787" s="16" t="n">
        <f aca="false">AZ787/10</f>
        <v>77</v>
      </c>
      <c r="BC787" s="16" t="n">
        <v>2358</v>
      </c>
      <c r="BD787" s="16" t="n">
        <f aca="false">RANK(AX787,$AX$2:$AX$881,0)</f>
        <v>562</v>
      </c>
      <c r="BE787" s="54" t="n">
        <f aca="false">((BC787*100)/2400)*0.4+(AX787*0.6)</f>
        <v>85.2</v>
      </c>
      <c r="BF787" s="16" t="n">
        <f aca="false">RANK(BE787,$BE$2:$BE$881,0)</f>
        <v>566</v>
      </c>
      <c r="BG787" s="39" t="n">
        <f aca="false">RANK(BB787,$BB$2:$BB$881,0)</f>
        <v>644</v>
      </c>
      <c r="BH787" s="39" t="n">
        <f aca="false">RANK(BC787,$BC$2:$BC$881,0)</f>
        <v>429</v>
      </c>
      <c r="BI787" s="22" t="s">
        <v>130</v>
      </c>
      <c r="BJ787" s="22" t="s">
        <v>129</v>
      </c>
      <c r="BK787" s="40" t="s">
        <v>509</v>
      </c>
      <c r="BL787" s="98" t="n">
        <v>8</v>
      </c>
      <c r="BM787" s="61"/>
      <c r="BN787" s="61"/>
      <c r="BO787" s="42" t="n">
        <v>20</v>
      </c>
      <c r="BP787" s="61"/>
      <c r="BQ787" s="61"/>
      <c r="BR787" s="74" t="n">
        <v>9</v>
      </c>
      <c r="BS787" s="80"/>
      <c r="BT787" s="80"/>
      <c r="BU787" s="80"/>
      <c r="BV787" s="137"/>
      <c r="BW787" s="61"/>
      <c r="BX787" s="107"/>
      <c r="BY787" s="130"/>
      <c r="BZ787" s="60"/>
      <c r="CA787" s="60"/>
      <c r="CB787" s="61"/>
      <c r="CC787" s="60"/>
      <c r="CD787" s="60"/>
      <c r="CE787" s="60"/>
      <c r="CF787" s="60"/>
      <c r="CG787" s="60"/>
      <c r="CH787" s="60"/>
      <c r="CI787" s="60"/>
      <c r="CJ787" s="60"/>
      <c r="CK787" s="60"/>
      <c r="CL787" s="61"/>
      <c r="CM787" s="60"/>
      <c r="CN787" s="60"/>
      <c r="CO787" s="60"/>
      <c r="CP787" s="25" t="n">
        <f aca="false">BX787+BW787+BV787+BU787+BT787+BQ787+BN787</f>
        <v>0</v>
      </c>
      <c r="CQ787" s="25" t="n">
        <f aca="false">CO787+CL787+CI787+CH787+CG787+CD787+CA787</f>
        <v>0</v>
      </c>
      <c r="CR787" s="26" t="n">
        <f aca="false">CP787/7</f>
        <v>0</v>
      </c>
      <c r="CS787" s="26" t="n">
        <f aca="false">CQ787/7</f>
        <v>0</v>
      </c>
      <c r="CT787" s="24" t="n">
        <f aca="false">RANK(CR787,$CR$2:$CR$881,0)</f>
        <v>768</v>
      </c>
      <c r="CU787" s="25" t="n">
        <f aca="false">RANK(CS787,$CS$2:$CS$881,0)</f>
        <v>752</v>
      </c>
      <c r="CV787" s="26" t="n">
        <f aca="false">(CS787+CR787)/2</f>
        <v>0</v>
      </c>
      <c r="CW787" s="25" t="n">
        <f aca="false">RANK(CV787,$CV$2:$CV$881,0)</f>
        <v>753</v>
      </c>
      <c r="CX787" s="50" t="n">
        <f aca="false">(CV787+BB787)/2</f>
        <v>38.5</v>
      </c>
      <c r="CY787" s="50" t="n">
        <v>842</v>
      </c>
      <c r="CZ787" s="27" t="s">
        <v>132</v>
      </c>
      <c r="DA787" s="27" t="s">
        <v>305</v>
      </c>
      <c r="DB787" s="27" t="s">
        <v>305</v>
      </c>
      <c r="DC787" s="27" t="s">
        <v>134</v>
      </c>
      <c r="DD787" s="27" t="s">
        <v>264</v>
      </c>
      <c r="DE787" s="27" t="s">
        <v>306</v>
      </c>
      <c r="DF787" s="27" t="s">
        <v>372</v>
      </c>
      <c r="DG787" s="27" t="s">
        <v>134</v>
      </c>
      <c r="DH787" s="27" t="s">
        <v>154</v>
      </c>
      <c r="DI787" s="27" t="s">
        <v>304</v>
      </c>
      <c r="DJ787" s="27" t="s">
        <v>382</v>
      </c>
      <c r="DK787" s="27" t="s">
        <v>134</v>
      </c>
      <c r="DL787" s="27" t="s">
        <v>195</v>
      </c>
      <c r="DM787" s="27" t="s">
        <v>442</v>
      </c>
      <c r="DN787" s="27" t="s">
        <v>155</v>
      </c>
      <c r="DO787" s="27" t="s">
        <v>134</v>
      </c>
      <c r="DP787" s="27"/>
      <c r="DQ787" s="27"/>
      <c r="DR787" s="27"/>
      <c r="DS787" s="27"/>
      <c r="DT787" s="27" t="s">
        <v>137</v>
      </c>
      <c r="DU787" s="27" t="s">
        <v>304</v>
      </c>
      <c r="DV787" s="27" t="s">
        <v>219</v>
      </c>
      <c r="DW787" s="27" t="s">
        <v>137</v>
      </c>
      <c r="DX787" s="27" t="s">
        <v>138</v>
      </c>
      <c r="DY787" s="27" t="s">
        <v>139</v>
      </c>
      <c r="DZ787" s="27" t="n">
        <f aca="false">DY787+DV787+DR787+DN787+DJ787+DF787+DB787</f>
        <v>474</v>
      </c>
      <c r="EA787" s="28" t="n">
        <f aca="false">DZ787/7</f>
        <v>67.7142857142857</v>
      </c>
      <c r="EB787" s="27" t="n">
        <f aca="false">RANK(EA787,$EA$2:$EA$881,0)</f>
        <v>697</v>
      </c>
      <c r="EC787" s="29" t="n">
        <f aca="false">DZ787+CQ787+CP787+AZ787</f>
        <v>1244</v>
      </c>
      <c r="ED787" s="30" t="n">
        <f aca="false">(EA787+CV787+BB787)/3</f>
        <v>48.2380952380952</v>
      </c>
      <c r="EE787" s="51" t="n">
        <f aca="false">ROUND(BE787,3)</f>
        <v>85.2</v>
      </c>
      <c r="EF787" s="51" t="n">
        <f aca="false">ROUND(CR787,3)</f>
        <v>0</v>
      </c>
      <c r="EG787" s="51" t="n">
        <f aca="false">ROUND(CS787,3)</f>
        <v>0</v>
      </c>
      <c r="EH787" s="51" t="n">
        <f aca="false">ROUND(EA787,3)</f>
        <v>67.714</v>
      </c>
      <c r="EI787" s="51" t="n">
        <f aca="false">ROUND(ED787,3)</f>
        <v>48.238</v>
      </c>
      <c r="EJ787" s="51" t="n">
        <f aca="false">ROUND(CV787,3)</f>
        <v>0</v>
      </c>
      <c r="EK787" s="0" t="n">
        <f aca="false">RANK(EI787,$EI$2:$EI$881,0)</f>
        <v>786</v>
      </c>
    </row>
    <row r="788" customFormat="false" ht="15" hidden="false" customHeight="false" outlineLevel="0" collapsed="false">
      <c r="A788" s="4" t="n">
        <v>8859</v>
      </c>
      <c r="B788" s="4" t="n">
        <v>19</v>
      </c>
      <c r="C788" s="27" t="s">
        <v>2222</v>
      </c>
      <c r="D788" s="52" t="n">
        <v>21</v>
      </c>
      <c r="E788" s="16" t="n">
        <v>230316925</v>
      </c>
      <c r="F788" s="56" t="s">
        <v>2223</v>
      </c>
      <c r="G788" s="22" t="s">
        <v>672</v>
      </c>
      <c r="H788" s="22" t="s">
        <v>129</v>
      </c>
      <c r="I788" s="57"/>
      <c r="J788" s="16" t="n">
        <v>74</v>
      </c>
      <c r="K788" s="16" t="n">
        <v>44</v>
      </c>
      <c r="L788" s="34" t="n">
        <f aca="false">(K788*70)/100</f>
        <v>30.8</v>
      </c>
      <c r="M788" s="34" t="n">
        <f aca="false">ROUNDUP(L788,0)</f>
        <v>31</v>
      </c>
      <c r="N788" s="16" t="n">
        <v>21</v>
      </c>
      <c r="O788" s="34" t="n">
        <f aca="false">N788+L788</f>
        <v>51.8</v>
      </c>
      <c r="P788" s="91" t="n">
        <f aca="false">N788+M788</f>
        <v>52</v>
      </c>
      <c r="Q788" s="16" t="n">
        <v>67</v>
      </c>
      <c r="R788" s="16" t="n">
        <v>43</v>
      </c>
      <c r="S788" s="34" t="n">
        <f aca="false">(R788*70)/100</f>
        <v>30.1</v>
      </c>
      <c r="T788" s="34" t="n">
        <f aca="false">ROUNDUP(S788,0)</f>
        <v>31</v>
      </c>
      <c r="U788" s="16" t="n">
        <v>23</v>
      </c>
      <c r="V788" s="34" t="n">
        <f aca="false">U788+S788</f>
        <v>53.1</v>
      </c>
      <c r="W788" s="91" t="n">
        <f aca="false">U788+T788</f>
        <v>54</v>
      </c>
      <c r="X788" s="16" t="n">
        <v>64</v>
      </c>
      <c r="Y788" s="34" t="n">
        <f aca="false">(X788*70)/100</f>
        <v>44.8</v>
      </c>
      <c r="Z788" s="34" t="n">
        <f aca="false">ROUNDUP(Y788,0)</f>
        <v>45</v>
      </c>
      <c r="AA788" s="16" t="n">
        <v>23</v>
      </c>
      <c r="AB788" s="34" t="n">
        <f aca="false">AA788+Y788</f>
        <v>67.8</v>
      </c>
      <c r="AC788" s="34" t="n">
        <f aca="false">AA788+Z788</f>
        <v>68</v>
      </c>
      <c r="AD788" s="32" t="n">
        <f aca="false">X788+R788+Q788+K788+J788</f>
        <v>292</v>
      </c>
      <c r="AE788" s="16" t="n">
        <f aca="false">AD788/5</f>
        <v>58.4</v>
      </c>
      <c r="AF788" s="16" t="n">
        <v>80</v>
      </c>
      <c r="AG788" s="16" t="n">
        <v>85</v>
      </c>
      <c r="AH788" s="16" t="n">
        <v>77</v>
      </c>
      <c r="AI788" s="16" t="n">
        <v>89</v>
      </c>
      <c r="AJ788" s="16" t="n">
        <f aca="false">(AI788*70)/100</f>
        <v>62.3</v>
      </c>
      <c r="AK788" s="35" t="n">
        <f aca="false">ROUNDUP(AJ788,0)</f>
        <v>63</v>
      </c>
      <c r="AL788" s="16" t="n">
        <v>24</v>
      </c>
      <c r="AM788" s="16" t="n">
        <f aca="false">AL788+AJ788</f>
        <v>86.3</v>
      </c>
      <c r="AN788" s="16" t="n">
        <f aca="false">AL788+AK788</f>
        <v>87</v>
      </c>
      <c r="AO788" s="16" t="n">
        <v>70</v>
      </c>
      <c r="AP788" s="36" t="n">
        <f aca="false">(AO788*70)/100</f>
        <v>49</v>
      </c>
      <c r="AQ788" s="37" t="n">
        <f aca="false">ROUNDUP(AP788,0)</f>
        <v>49</v>
      </c>
      <c r="AR788" s="16" t="n">
        <v>26</v>
      </c>
      <c r="AS788" s="16" t="n">
        <f aca="false">AR788+AP788</f>
        <v>75</v>
      </c>
      <c r="AT788" s="16" t="n">
        <f aca="false">AR788+AQ788</f>
        <v>75</v>
      </c>
      <c r="AU788" s="16" t="n">
        <f aca="false">AO788+AF788+AI788+AH788+AG788</f>
        <v>401</v>
      </c>
      <c r="AV788" s="16" t="n">
        <f aca="false">(AO788+AF788+AI788+AH788+AG788)/5</f>
        <v>80.2</v>
      </c>
      <c r="AW788" s="36" t="n">
        <f aca="false">(AO788+AF788+AI788+AH788+AG788+X788+R788+Q788+K788+J788)</f>
        <v>693</v>
      </c>
      <c r="AX788" s="16" t="n">
        <f aca="false">AW788/10</f>
        <v>69.3</v>
      </c>
      <c r="AY788" s="16" t="n">
        <f aca="false">AS788+AF788+AM788+AH788+AG788+AB788+V788+Q788+O788+J788</f>
        <v>717</v>
      </c>
      <c r="AZ788" s="16" t="n">
        <f aca="false">AT788+AF788+AN788+AH788+AG788+AC788+W788+Q788+P788+J788</f>
        <v>719</v>
      </c>
      <c r="BA788" s="16" t="n">
        <f aca="false">AY788/10</f>
        <v>71.7</v>
      </c>
      <c r="BB788" s="16" t="n">
        <f aca="false">AZ788/10</f>
        <v>71.9</v>
      </c>
      <c r="BC788" s="65" t="n">
        <v>2352</v>
      </c>
      <c r="BD788" s="16" t="n">
        <f aca="false">RANK(AX788,$AX$2:$AX$881,0)</f>
        <v>741</v>
      </c>
      <c r="BE788" s="73" t="n">
        <f aca="false">((BC788*100)/2400)*0.4+(AX788*0.6)</f>
        <v>80.78</v>
      </c>
      <c r="BF788" s="16" t="n">
        <f aca="false">RANK(BE788,$BE$2:$BE$881,0)</f>
        <v>723</v>
      </c>
      <c r="BG788" s="39" t="n">
        <f aca="false">RANK(BB788,$BB$2:$BB$881,0)</f>
        <v>729</v>
      </c>
      <c r="BH788" s="39" t="n">
        <f aca="false">RANK(BC788,$BC$2:$BC$881,0)</f>
        <v>515</v>
      </c>
      <c r="BI788" s="22" t="s">
        <v>130</v>
      </c>
      <c r="BJ788" s="22" t="s">
        <v>129</v>
      </c>
      <c r="BK788" s="40" t="s">
        <v>702</v>
      </c>
      <c r="BL788" s="41" t="n">
        <v>20</v>
      </c>
      <c r="BM788" s="41" t="n">
        <v>61</v>
      </c>
      <c r="BN788" s="41" t="n">
        <v>81</v>
      </c>
      <c r="BO788" s="42" t="n">
        <v>22</v>
      </c>
      <c r="BP788" s="43" t="n">
        <v>44</v>
      </c>
      <c r="BQ788" s="44" t="n">
        <v>66</v>
      </c>
      <c r="BR788" s="42" t="n">
        <v>19</v>
      </c>
      <c r="BS788" s="45" t="n">
        <v>55</v>
      </c>
      <c r="BT788" s="24" t="n">
        <v>74</v>
      </c>
      <c r="BU788" s="46" t="n">
        <v>100</v>
      </c>
      <c r="BV788" s="47" t="n">
        <v>92</v>
      </c>
      <c r="BW788" s="42" t="n">
        <v>96</v>
      </c>
      <c r="BX788" s="48" t="n">
        <v>92</v>
      </c>
      <c r="BY788" s="32" t="n">
        <v>24</v>
      </c>
      <c r="BZ788" s="32" t="n">
        <v>10</v>
      </c>
      <c r="CA788" s="69" t="n">
        <v>34</v>
      </c>
      <c r="CB788" s="32" t="n">
        <v>22</v>
      </c>
      <c r="CC788" s="68" t="n">
        <v>0</v>
      </c>
      <c r="CD788" s="69" t="n">
        <v>22</v>
      </c>
      <c r="CE788" s="32" t="n">
        <v>25</v>
      </c>
      <c r="CF788" s="32" t="n">
        <v>35</v>
      </c>
      <c r="CG788" s="32" t="n">
        <v>60</v>
      </c>
      <c r="CH788" s="32" t="n">
        <v>96</v>
      </c>
      <c r="CI788" s="60"/>
      <c r="CJ788" s="49" t="n">
        <v>14</v>
      </c>
      <c r="CK788" s="49" t="n">
        <v>50</v>
      </c>
      <c r="CL788" s="49" t="n">
        <v>64</v>
      </c>
      <c r="CM788" s="49" t="n">
        <v>20</v>
      </c>
      <c r="CN788" s="58" t="n">
        <v>45</v>
      </c>
      <c r="CO788" s="58" t="n">
        <v>65</v>
      </c>
      <c r="CP788" s="25" t="n">
        <f aca="false">BX788+BW788+BV788+BU788+BT788+BQ788+BN788</f>
        <v>601</v>
      </c>
      <c r="CQ788" s="25" t="n">
        <f aca="false">CO788+CL788+CI788+CH788+CG788+CD788+CA788</f>
        <v>341</v>
      </c>
      <c r="CR788" s="26" t="n">
        <f aca="false">CP788/7</f>
        <v>85.8571428571429</v>
      </c>
      <c r="CS788" s="26" t="n">
        <f aca="false">CQ788/7</f>
        <v>48.7142857142857</v>
      </c>
      <c r="CT788" s="24" t="n">
        <f aca="false">RANK(CR788,$CR$2:$CR$881,0)</f>
        <v>408</v>
      </c>
      <c r="CU788" s="25" t="n">
        <f aca="false">RANK(CS788,$CS$2:$CS$881,0)</f>
        <v>719</v>
      </c>
      <c r="CV788" s="26" t="n">
        <f aca="false">(CS788+CR788)/2</f>
        <v>67.2857142857143</v>
      </c>
      <c r="CW788" s="25" t="n">
        <f aca="false">RANK(CV788,$CV$2:$CV$881,0)</f>
        <v>662</v>
      </c>
      <c r="CX788" s="50" t="n">
        <f aca="false">(CV788+BB788)/2</f>
        <v>69.5928571428572</v>
      </c>
      <c r="CY788" s="50" t="n">
        <v>626</v>
      </c>
      <c r="CZ788" s="27" t="s">
        <v>132</v>
      </c>
      <c r="DA788" s="27" t="s">
        <v>604</v>
      </c>
      <c r="DB788" s="27" t="s">
        <v>604</v>
      </c>
      <c r="DC788" s="27" t="s">
        <v>480</v>
      </c>
      <c r="DD788" s="27" t="s">
        <v>619</v>
      </c>
      <c r="DE788" s="27" t="s">
        <v>2202</v>
      </c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 t="n">
        <f aca="false">DY788+DV788+DR788+DN788+DJ788+DF788+DB788</f>
        <v>16</v>
      </c>
      <c r="EA788" s="28" t="n">
        <f aca="false">DZ788/7</f>
        <v>2.28571428571429</v>
      </c>
      <c r="EB788" s="27" t="n">
        <f aca="false">RANK(EA788,$EA$2:$EA$881,0)</f>
        <v>869</v>
      </c>
      <c r="EC788" s="29" t="n">
        <f aca="false">DZ788+CQ788+CP788+AZ788</f>
        <v>1677</v>
      </c>
      <c r="ED788" s="30" t="n">
        <f aca="false">(EA788+CV788+BB788)/3</f>
        <v>47.1571428571429</v>
      </c>
      <c r="EE788" s="51" t="n">
        <f aca="false">ROUND(BE788,3)</f>
        <v>80.78</v>
      </c>
      <c r="EF788" s="51" t="n">
        <f aca="false">ROUND(CR788,3)</f>
        <v>85.857</v>
      </c>
      <c r="EG788" s="51" t="n">
        <f aca="false">ROUND(CS788,3)</f>
        <v>48.714</v>
      </c>
      <c r="EH788" s="51" t="n">
        <f aca="false">ROUND(EA788,3)</f>
        <v>2.286</v>
      </c>
      <c r="EI788" s="51" t="n">
        <f aca="false">ROUND(ED788,3)</f>
        <v>47.157</v>
      </c>
      <c r="EJ788" s="51" t="n">
        <f aca="false">ROUND(CV788,3)</f>
        <v>67.286</v>
      </c>
      <c r="EK788" s="0" t="n">
        <f aca="false">RANK(EI788,$EI$2:$EI$881,0)</f>
        <v>787</v>
      </c>
    </row>
    <row r="789" customFormat="false" ht="15" hidden="false" customHeight="false" outlineLevel="0" collapsed="false">
      <c r="A789" s="4" t="n">
        <v>2064</v>
      </c>
      <c r="B789" s="4" t="n">
        <v>773</v>
      </c>
      <c r="C789" s="27" t="s">
        <v>2224</v>
      </c>
      <c r="D789" s="31" t="n">
        <v>791</v>
      </c>
      <c r="E789" s="16" t="n">
        <v>230513866</v>
      </c>
      <c r="F789" s="56" t="s">
        <v>2225</v>
      </c>
      <c r="G789" s="22" t="s">
        <v>831</v>
      </c>
      <c r="H789" s="22" t="s">
        <v>465</v>
      </c>
      <c r="I789" s="80"/>
      <c r="J789" s="16" t="n">
        <v>72</v>
      </c>
      <c r="K789" s="16" t="n">
        <v>74</v>
      </c>
      <c r="L789" s="34" t="n">
        <f aca="false">(K789*70)/100</f>
        <v>51.8</v>
      </c>
      <c r="M789" s="34" t="n">
        <f aca="false">ROUNDUP(L789,0)</f>
        <v>52</v>
      </c>
      <c r="N789" s="16" t="n">
        <v>27</v>
      </c>
      <c r="O789" s="34" t="n">
        <f aca="false">N789+L789</f>
        <v>78.8</v>
      </c>
      <c r="P789" s="34" t="n">
        <f aca="false">N789+M789</f>
        <v>79</v>
      </c>
      <c r="Q789" s="16" t="n">
        <v>75</v>
      </c>
      <c r="R789" s="16" t="n">
        <v>79</v>
      </c>
      <c r="S789" s="34" t="n">
        <f aca="false">(R789*70)/100</f>
        <v>55.3</v>
      </c>
      <c r="T789" s="34" t="n">
        <f aca="false">ROUNDUP(S789,0)</f>
        <v>56</v>
      </c>
      <c r="U789" s="16" t="n">
        <v>25</v>
      </c>
      <c r="V789" s="34" t="n">
        <f aca="false">U789+S789</f>
        <v>80.3</v>
      </c>
      <c r="W789" s="34" t="n">
        <f aca="false">U789+T789</f>
        <v>81</v>
      </c>
      <c r="X789" s="16" t="n">
        <v>68</v>
      </c>
      <c r="Y789" s="34" t="n">
        <f aca="false">(X789*70)/100</f>
        <v>47.6</v>
      </c>
      <c r="Z789" s="34" t="n">
        <f aca="false">ROUNDUP(Y789,0)</f>
        <v>48</v>
      </c>
      <c r="AA789" s="16" t="n">
        <v>25</v>
      </c>
      <c r="AB789" s="34" t="n">
        <f aca="false">AA789+Y789</f>
        <v>72.6</v>
      </c>
      <c r="AC789" s="34" t="n">
        <f aca="false">AA789+Z789</f>
        <v>73</v>
      </c>
      <c r="AD789" s="32" t="n">
        <f aca="false">X789+R789+Q789+K789+J789</f>
        <v>368</v>
      </c>
      <c r="AE789" s="16" t="n">
        <f aca="false">AD789/5</f>
        <v>73.6</v>
      </c>
      <c r="AF789" s="16" t="n">
        <v>71</v>
      </c>
      <c r="AG789" s="16" t="n">
        <v>75</v>
      </c>
      <c r="AH789" s="16" t="n">
        <v>85</v>
      </c>
      <c r="AI789" s="16" t="n">
        <v>85</v>
      </c>
      <c r="AJ789" s="16" t="n">
        <f aca="false">(AI789*70)/100</f>
        <v>59.5</v>
      </c>
      <c r="AK789" s="35" t="n">
        <f aca="false">ROUNDUP(AJ789,0)</f>
        <v>60</v>
      </c>
      <c r="AL789" s="16" t="n">
        <v>26</v>
      </c>
      <c r="AM789" s="16" t="n">
        <f aca="false">AL789+AJ789</f>
        <v>85.5</v>
      </c>
      <c r="AN789" s="16" t="n">
        <f aca="false">AL789+AK789</f>
        <v>86</v>
      </c>
      <c r="AO789" s="16" t="n">
        <v>77</v>
      </c>
      <c r="AP789" s="36" t="n">
        <f aca="false">(AO789*70)/100</f>
        <v>53.9</v>
      </c>
      <c r="AQ789" s="37" t="n">
        <f aca="false">ROUNDUP(AP789,0)</f>
        <v>54</v>
      </c>
      <c r="AR789" s="16" t="n">
        <v>20</v>
      </c>
      <c r="AS789" s="16" t="n">
        <f aca="false">AR789+AP789</f>
        <v>73.9</v>
      </c>
      <c r="AT789" s="16" t="n">
        <f aca="false">AR789+AQ789</f>
        <v>74</v>
      </c>
      <c r="AU789" s="16" t="n">
        <f aca="false">AO789+AF789+AI789+AH789+AG789</f>
        <v>393</v>
      </c>
      <c r="AV789" s="16" t="n">
        <f aca="false">(AO789+AF789+AI789+AH789+AG789)/5</f>
        <v>78.6</v>
      </c>
      <c r="AW789" s="36" t="n">
        <f aca="false">(AO789+AF789+AI789+AH789+AG789+X789+R789+Q789+K789+J789)</f>
        <v>761</v>
      </c>
      <c r="AX789" s="16" t="n">
        <f aca="false">AW789/10</f>
        <v>76.1</v>
      </c>
      <c r="AY789" s="16" t="n">
        <f aca="false">AS789+AF789+AM789+AH789+AG789+AB789+V789+Q789+O789+J789</f>
        <v>769.1</v>
      </c>
      <c r="AZ789" s="16" t="n">
        <f aca="false">AT789+AF789+AN789+AH789+AG789+AC789+W789+Q789+P789+J789</f>
        <v>771</v>
      </c>
      <c r="BA789" s="16" t="n">
        <f aca="false">AY789/10</f>
        <v>76.91</v>
      </c>
      <c r="BB789" s="16" t="n">
        <f aca="false">AZ789/10</f>
        <v>77.1</v>
      </c>
      <c r="BC789" s="16" t="n">
        <v>2373</v>
      </c>
      <c r="BD789" s="16" t="n">
        <f aca="false">RANK(AX789,$AX$2:$AX$881,0)</f>
        <v>609</v>
      </c>
      <c r="BE789" s="54" t="n">
        <f aca="false">((BC789*100)/2400)*0.4+(AX789*0.6)</f>
        <v>85.21</v>
      </c>
      <c r="BF789" s="16" t="n">
        <f aca="false">RANK(BE789,$BE$2:$BE$881,0)</f>
        <v>561</v>
      </c>
      <c r="BG789" s="39" t="n">
        <f aca="false">RANK(BB789,$BB$2:$BB$881,0)</f>
        <v>632</v>
      </c>
      <c r="BH789" s="39" t="n">
        <f aca="false">RANK(BC789,$BC$2:$BC$881,0)</f>
        <v>233</v>
      </c>
      <c r="BI789" s="22" t="s">
        <v>130</v>
      </c>
      <c r="BJ789" s="22" t="s">
        <v>129</v>
      </c>
      <c r="BK789" s="40" t="s">
        <v>509</v>
      </c>
      <c r="BL789" s="101" t="n">
        <v>10.5</v>
      </c>
      <c r="BM789" s="61"/>
      <c r="BN789" s="61"/>
      <c r="BO789" s="42" t="n">
        <v>23</v>
      </c>
      <c r="BP789" s="61"/>
      <c r="BQ789" s="61"/>
      <c r="BR789" s="74" t="n">
        <v>9</v>
      </c>
      <c r="BS789" s="80"/>
      <c r="BT789" s="80"/>
      <c r="BU789" s="80"/>
      <c r="BV789" s="137"/>
      <c r="BW789" s="61"/>
      <c r="BX789" s="107"/>
      <c r="BY789" s="60"/>
      <c r="BZ789" s="60"/>
      <c r="CA789" s="60"/>
      <c r="CB789" s="60"/>
      <c r="CC789" s="60"/>
      <c r="CD789" s="60"/>
      <c r="CE789" s="68" t="n">
        <v>0</v>
      </c>
      <c r="CF789" s="60"/>
      <c r="CG789" s="60"/>
      <c r="CH789" s="60"/>
      <c r="CI789" s="60"/>
      <c r="CJ789" s="60"/>
      <c r="CK789" s="60"/>
      <c r="CL789" s="61"/>
      <c r="CM789" s="60"/>
      <c r="CN789" s="60"/>
      <c r="CO789" s="60"/>
      <c r="CP789" s="25" t="n">
        <f aca="false">BX789+BW789+BV789+BU789+BT789+BQ789+BN789</f>
        <v>0</v>
      </c>
      <c r="CQ789" s="25" t="n">
        <f aca="false">CO789+CL789+CI789+CH789+CG789+CD789+CA789</f>
        <v>0</v>
      </c>
      <c r="CR789" s="26" t="n">
        <f aca="false">CP789/7</f>
        <v>0</v>
      </c>
      <c r="CS789" s="26" t="n">
        <f aca="false">CQ789/7</f>
        <v>0</v>
      </c>
      <c r="CT789" s="24" t="n">
        <f aca="false">RANK(CR789,$CR$2:$CR$881,0)</f>
        <v>768</v>
      </c>
      <c r="CU789" s="25" t="n">
        <f aca="false">RANK(CS789,$CS$2:$CS$881,0)</f>
        <v>752</v>
      </c>
      <c r="CV789" s="26" t="n">
        <f aca="false">(CS789+CR789)/2</f>
        <v>0</v>
      </c>
      <c r="CW789" s="25" t="n">
        <f aca="false">RANK(CV789,$CV$2:$CV$881,0)</f>
        <v>753</v>
      </c>
      <c r="CX789" s="50" t="n">
        <f aca="false">(CV789+BB789)/2</f>
        <v>38.55</v>
      </c>
      <c r="CY789" s="50" t="n">
        <v>841</v>
      </c>
      <c r="CZ789" s="27" t="s">
        <v>132</v>
      </c>
      <c r="DA789" s="27" t="s">
        <v>441</v>
      </c>
      <c r="DB789" s="27" t="s">
        <v>441</v>
      </c>
      <c r="DC789" s="27" t="s">
        <v>134</v>
      </c>
      <c r="DD789" s="27" t="s">
        <v>485</v>
      </c>
      <c r="DE789" s="27" t="s">
        <v>203</v>
      </c>
      <c r="DF789" s="27" t="s">
        <v>272</v>
      </c>
      <c r="DG789" s="27" t="s">
        <v>134</v>
      </c>
      <c r="DH789" s="27" t="s">
        <v>264</v>
      </c>
      <c r="DI789" s="27" t="s">
        <v>220</v>
      </c>
      <c r="DJ789" s="27" t="s">
        <v>441</v>
      </c>
      <c r="DK789" s="27" t="s">
        <v>134</v>
      </c>
      <c r="DL789" s="27" t="s">
        <v>604</v>
      </c>
      <c r="DM789" s="27" t="s">
        <v>375</v>
      </c>
      <c r="DN789" s="27" t="s">
        <v>187</v>
      </c>
      <c r="DO789" s="27" t="s">
        <v>134</v>
      </c>
      <c r="DP789" s="27"/>
      <c r="DQ789" s="27"/>
      <c r="DR789" s="27"/>
      <c r="DS789" s="27"/>
      <c r="DT789" s="27" t="s">
        <v>264</v>
      </c>
      <c r="DU789" s="27" t="s">
        <v>447</v>
      </c>
      <c r="DV789" s="27" t="s">
        <v>398</v>
      </c>
      <c r="DW789" s="27" t="s">
        <v>137</v>
      </c>
      <c r="DX789" s="27" t="s">
        <v>306</v>
      </c>
      <c r="DY789" s="27" t="s">
        <v>196</v>
      </c>
      <c r="DZ789" s="27" t="n">
        <f aca="false">DY789+DV789+DR789+DN789+DJ789+DF789+DB789</f>
        <v>448</v>
      </c>
      <c r="EA789" s="28" t="n">
        <f aca="false">DZ789/7</f>
        <v>64</v>
      </c>
      <c r="EB789" s="27" t="n">
        <f aca="false">RANK(EA789,$EA$2:$EA$881,0)</f>
        <v>745</v>
      </c>
      <c r="EC789" s="29" t="n">
        <f aca="false">DZ789+CQ789+CP789+AZ789</f>
        <v>1219</v>
      </c>
      <c r="ED789" s="30" t="n">
        <f aca="false">(EA789+CV789+BB789)/3</f>
        <v>47.0333333333333</v>
      </c>
      <c r="EE789" s="51" t="n">
        <f aca="false">ROUND(BE789,3)</f>
        <v>85.21</v>
      </c>
      <c r="EF789" s="51" t="n">
        <f aca="false">ROUND(CR789,3)</f>
        <v>0</v>
      </c>
      <c r="EG789" s="51" t="n">
        <f aca="false">ROUND(CS789,3)</f>
        <v>0</v>
      </c>
      <c r="EH789" s="51" t="n">
        <f aca="false">ROUND(EA789,3)</f>
        <v>64</v>
      </c>
      <c r="EI789" s="51" t="n">
        <f aca="false">ROUND(ED789,3)</f>
        <v>47.033</v>
      </c>
      <c r="EJ789" s="51" t="n">
        <f aca="false">ROUND(CV789,3)</f>
        <v>0</v>
      </c>
      <c r="EK789" s="0" t="n">
        <f aca="false">RANK(EI789,$EI$2:$EI$881,0)</f>
        <v>788</v>
      </c>
    </row>
    <row r="790" customFormat="false" ht="15" hidden="false" customHeight="false" outlineLevel="0" collapsed="false">
      <c r="A790" s="4" t="n">
        <v>2089</v>
      </c>
      <c r="B790" s="4" t="n">
        <v>143</v>
      </c>
      <c r="C790" s="27" t="s">
        <v>2226</v>
      </c>
      <c r="D790" s="31" t="n">
        <v>143</v>
      </c>
      <c r="E790" s="16" t="n">
        <v>230612006</v>
      </c>
      <c r="F790" s="56" t="s">
        <v>2227</v>
      </c>
      <c r="G790" s="22" t="s">
        <v>866</v>
      </c>
      <c r="H790" s="22" t="s">
        <v>558</v>
      </c>
      <c r="I790" s="57"/>
      <c r="J790" s="16" t="n">
        <v>89</v>
      </c>
      <c r="K790" s="16" t="n">
        <v>59</v>
      </c>
      <c r="L790" s="34" t="n">
        <f aca="false">(K790*70)/100</f>
        <v>41.3</v>
      </c>
      <c r="M790" s="34" t="n">
        <f aca="false">ROUNDUP(L790,0)</f>
        <v>42</v>
      </c>
      <c r="N790" s="16" t="n">
        <v>30</v>
      </c>
      <c r="O790" s="34" t="n">
        <f aca="false">N790+L790</f>
        <v>71.3</v>
      </c>
      <c r="P790" s="34" t="n">
        <f aca="false">N790+M790</f>
        <v>72</v>
      </c>
      <c r="Q790" s="16" t="n">
        <v>80</v>
      </c>
      <c r="R790" s="16" t="n">
        <v>80</v>
      </c>
      <c r="S790" s="34" t="n">
        <f aca="false">(R790*70)/100</f>
        <v>56</v>
      </c>
      <c r="T790" s="34" t="n">
        <f aca="false">ROUNDUP(S790,0)</f>
        <v>56</v>
      </c>
      <c r="U790" s="16" t="n">
        <v>23</v>
      </c>
      <c r="V790" s="34" t="n">
        <f aca="false">U790+S790</f>
        <v>79</v>
      </c>
      <c r="W790" s="34" t="n">
        <f aca="false">U790+T790</f>
        <v>79</v>
      </c>
      <c r="X790" s="16" t="n">
        <v>59</v>
      </c>
      <c r="Y790" s="34" t="n">
        <f aca="false">(X790*70)/100</f>
        <v>41.3</v>
      </c>
      <c r="Z790" s="34" t="n">
        <f aca="false">ROUNDUP(Y790,0)</f>
        <v>42</v>
      </c>
      <c r="AA790" s="16" t="n">
        <v>22</v>
      </c>
      <c r="AB790" s="34" t="n">
        <f aca="false">AA790+Y790</f>
        <v>63.3</v>
      </c>
      <c r="AC790" s="34" t="n">
        <f aca="false">AA790+Z790</f>
        <v>64</v>
      </c>
      <c r="AD790" s="32" t="n">
        <f aca="false">X790+R790+Q790+K790+J790</f>
        <v>367</v>
      </c>
      <c r="AE790" s="16" t="n">
        <f aca="false">AD790/5</f>
        <v>73.4</v>
      </c>
      <c r="AF790" s="16" t="n">
        <v>76</v>
      </c>
      <c r="AG790" s="16" t="n">
        <v>86</v>
      </c>
      <c r="AH790" s="16" t="n">
        <v>76</v>
      </c>
      <c r="AI790" s="16" t="n">
        <v>83</v>
      </c>
      <c r="AJ790" s="16" t="n">
        <f aca="false">(AI790*70)/100</f>
        <v>58.1</v>
      </c>
      <c r="AK790" s="35" t="n">
        <f aca="false">ROUNDUP(AJ790,0)</f>
        <v>59</v>
      </c>
      <c r="AL790" s="16" t="n">
        <v>29</v>
      </c>
      <c r="AM790" s="16" t="n">
        <f aca="false">AL790+AJ790</f>
        <v>87.1</v>
      </c>
      <c r="AN790" s="16" t="n">
        <f aca="false">AL790+AK790</f>
        <v>88</v>
      </c>
      <c r="AO790" s="16" t="n">
        <v>76</v>
      </c>
      <c r="AP790" s="36" t="n">
        <f aca="false">(AO790*70)/100</f>
        <v>53.2</v>
      </c>
      <c r="AQ790" s="37" t="n">
        <f aca="false">ROUNDUP(AP790,0)</f>
        <v>54</v>
      </c>
      <c r="AR790" s="16" t="n">
        <v>28</v>
      </c>
      <c r="AS790" s="16" t="n">
        <f aca="false">AR790+AP790</f>
        <v>81.2</v>
      </c>
      <c r="AT790" s="16" t="n">
        <f aca="false">AR790+AQ790</f>
        <v>82</v>
      </c>
      <c r="AU790" s="16" t="n">
        <f aca="false">AO790+AF790+AI790+AH790+AG790</f>
        <v>397</v>
      </c>
      <c r="AV790" s="16" t="n">
        <f aca="false">(AO790+AF790+AI790+AH790+AG790)/5</f>
        <v>79.4</v>
      </c>
      <c r="AW790" s="36" t="n">
        <f aca="false">(AO790+AF790+AI790+AH790+AG790+X790+R790+Q790+K790+J790)</f>
        <v>764</v>
      </c>
      <c r="AX790" s="16" t="n">
        <f aca="false">AW790/10</f>
        <v>76.4</v>
      </c>
      <c r="AY790" s="16" t="n">
        <f aca="false">AS790+AF790+AM790+AH790+AG790+AB790+V790+Q790+O790+J790</f>
        <v>788.9</v>
      </c>
      <c r="AZ790" s="16" t="n">
        <f aca="false">AT790+AF790+AN790+AH790+AG790+AC790+W790+Q790+P790+J790</f>
        <v>792</v>
      </c>
      <c r="BA790" s="16" t="n">
        <f aca="false">AY790/10</f>
        <v>78.89</v>
      </c>
      <c r="BB790" s="16" t="n">
        <f aca="false">AZ790/10</f>
        <v>79.2</v>
      </c>
      <c r="BC790" s="16" t="n">
        <v>2362</v>
      </c>
      <c r="BD790" s="16" t="n">
        <f aca="false">RANK(AX790,$AX$2:$AX$881,0)</f>
        <v>577</v>
      </c>
      <c r="BE790" s="54" t="n">
        <f aca="false">((BC790*100)/2400)*0.4+(AX790*0.6)</f>
        <v>85.2066666666667</v>
      </c>
      <c r="BF790" s="16" t="n">
        <f aca="false">RANK(BE790,$BE$2:$BE$881,0)</f>
        <v>562</v>
      </c>
      <c r="BG790" s="39" t="n">
        <f aca="false">RANK(BB790,$BB$2:$BB$881,0)</f>
        <v>434</v>
      </c>
      <c r="BH790" s="39" t="n">
        <f aca="false">RANK(BC790,$BC$2:$BC$881,0)</f>
        <v>367</v>
      </c>
      <c r="BI790" s="22" t="s">
        <v>130</v>
      </c>
      <c r="BJ790" s="22" t="s">
        <v>129</v>
      </c>
      <c r="BK790" s="40" t="s">
        <v>509</v>
      </c>
      <c r="BL790" s="141" t="n">
        <v>16</v>
      </c>
      <c r="BM790" s="59" t="n">
        <v>33</v>
      </c>
      <c r="BN790" s="142" t="n">
        <v>49</v>
      </c>
      <c r="BO790" s="42" t="n">
        <v>24</v>
      </c>
      <c r="BP790" s="59" t="n">
        <v>46</v>
      </c>
      <c r="BQ790" s="59" t="n">
        <v>70</v>
      </c>
      <c r="BR790" s="74" t="n">
        <v>8</v>
      </c>
      <c r="BS790" s="80"/>
      <c r="BT790" s="80"/>
      <c r="BU790" s="88" t="n">
        <v>72</v>
      </c>
      <c r="BV790" s="58" t="n">
        <v>73</v>
      </c>
      <c r="BW790" s="102" t="n">
        <v>86</v>
      </c>
      <c r="BX790" s="88" t="n">
        <v>90</v>
      </c>
      <c r="BY790" s="65" t="n">
        <v>25</v>
      </c>
      <c r="BZ790" s="58" t="n">
        <v>53</v>
      </c>
      <c r="CA790" s="58" t="n">
        <v>78</v>
      </c>
      <c r="CB790" s="59" t="n">
        <v>8</v>
      </c>
      <c r="CC790" s="58" t="n">
        <v>34</v>
      </c>
      <c r="CD790" s="58" t="n">
        <v>42</v>
      </c>
      <c r="CE790" s="58" t="n">
        <v>20</v>
      </c>
      <c r="CF790" s="58" t="n">
        <v>35</v>
      </c>
      <c r="CG790" s="90" t="n">
        <v>55</v>
      </c>
      <c r="CH790" s="58" t="n">
        <v>89</v>
      </c>
      <c r="CI790" s="58" t="n">
        <v>71</v>
      </c>
      <c r="CJ790" s="58" t="n">
        <v>22</v>
      </c>
      <c r="CK790" s="58" t="n">
        <v>52</v>
      </c>
      <c r="CL790" s="59" t="n">
        <v>74</v>
      </c>
      <c r="CM790" s="60"/>
      <c r="CN790" s="60"/>
      <c r="CO790" s="60"/>
      <c r="CP790" s="25" t="n">
        <f aca="false">BX790+BW790+BV790+BU790+BT790+BQ790+BN790</f>
        <v>440</v>
      </c>
      <c r="CQ790" s="25" t="n">
        <f aca="false">CO790+CL790+CI790+CH790+CG790+CD790+CA790</f>
        <v>409</v>
      </c>
      <c r="CR790" s="26" t="n">
        <f aca="false">CP790/7</f>
        <v>62.8571428571429</v>
      </c>
      <c r="CS790" s="26" t="n">
        <f aca="false">CQ790/7</f>
        <v>58.4285714285714</v>
      </c>
      <c r="CT790" s="24" t="n">
        <f aca="false">RANK(CR790,$CR$2:$CR$881,0)</f>
        <v>711</v>
      </c>
      <c r="CU790" s="25" t="n">
        <f aca="false">RANK(CS790,$CS$2:$CS$881,0)</f>
        <v>696</v>
      </c>
      <c r="CV790" s="26" t="n">
        <f aca="false">(CS790+CR790)/2</f>
        <v>60.6428571428571</v>
      </c>
      <c r="CW790" s="25" t="n">
        <f aca="false">RANK(CV790,$CV$2:$CV$881,0)</f>
        <v>697</v>
      </c>
      <c r="CX790" s="50" t="n">
        <f aca="false">(CV790+BB790)/2</f>
        <v>69.9214285714286</v>
      </c>
      <c r="CY790" s="50" t="n">
        <v>784</v>
      </c>
      <c r="CZ790" s="27"/>
      <c r="DA790" s="27"/>
      <c r="DB790" s="27"/>
      <c r="DC790" s="27"/>
      <c r="DD790" s="27" t="s">
        <v>619</v>
      </c>
      <c r="DE790" s="27" t="s">
        <v>2202</v>
      </c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 t="n">
        <f aca="false">DY790+DV790+DR790+DN790+DJ790+DF790+DB790</f>
        <v>0</v>
      </c>
      <c r="EA790" s="28" t="n">
        <f aca="false">DZ790/7</f>
        <v>0</v>
      </c>
      <c r="EB790" s="27" t="n">
        <f aca="false">RANK(EA790,$EA$2:$EA$881,0)</f>
        <v>870</v>
      </c>
      <c r="EC790" s="29" t="n">
        <f aca="false">DZ790+CQ790+CP790+AZ790</f>
        <v>1641</v>
      </c>
      <c r="ED790" s="30" t="n">
        <f aca="false">(EA790+CV790+BB790)/3</f>
        <v>46.6142857142857</v>
      </c>
      <c r="EE790" s="51" t="n">
        <f aca="false">ROUND(BE790,3)</f>
        <v>85.207</v>
      </c>
      <c r="EF790" s="51" t="n">
        <f aca="false">ROUND(CR790,3)</f>
        <v>62.857</v>
      </c>
      <c r="EG790" s="51" t="n">
        <f aca="false">ROUND(CS790,3)</f>
        <v>58.429</v>
      </c>
      <c r="EH790" s="51" t="n">
        <f aca="false">ROUND(EA790,3)</f>
        <v>0</v>
      </c>
      <c r="EI790" s="51" t="n">
        <f aca="false">ROUND(ED790,3)</f>
        <v>46.614</v>
      </c>
      <c r="EJ790" s="51" t="n">
        <f aca="false">ROUND(CV790,3)</f>
        <v>60.643</v>
      </c>
      <c r="EK790" s="0" t="n">
        <f aca="false">RANK(EI790,$EI$2:$EI$881,0)</f>
        <v>789</v>
      </c>
    </row>
    <row r="791" customFormat="false" ht="15" hidden="false" customHeight="false" outlineLevel="0" collapsed="false">
      <c r="A791" s="4" t="n">
        <v>9012</v>
      </c>
      <c r="B791" s="4" t="n">
        <v>304</v>
      </c>
      <c r="C791" s="27" t="s">
        <v>2228</v>
      </c>
      <c r="D791" s="52" t="n">
        <v>303</v>
      </c>
      <c r="E791" s="136"/>
      <c r="F791" s="110" t="s">
        <v>2229</v>
      </c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  <c r="AU791" s="136"/>
      <c r="AV791" s="136"/>
      <c r="AW791" s="136"/>
      <c r="AX791" s="136"/>
      <c r="AY791" s="136"/>
      <c r="AZ791" s="136"/>
      <c r="BA791" s="136"/>
      <c r="BB791" s="136"/>
      <c r="BC791" s="136"/>
      <c r="BD791" s="16" t="e">
        <f aca="false">RANK(AX791,$AX$2:$AX$881,0)</f>
        <v>#N/A</v>
      </c>
      <c r="BE791" s="138"/>
      <c r="BF791" s="16" t="n">
        <f aca="false">RANK(BE791,$BE$2:$BE$881,0)</f>
        <v>806</v>
      </c>
      <c r="BG791" s="39" t="e">
        <f aca="false">RANK(BB791,$BB$2:$BB$881,0)</f>
        <v>#N/A</v>
      </c>
      <c r="BH791" s="39" t="n">
        <f aca="false">RANK(BC791,$BC$2:$BC$881,0)</f>
        <v>780</v>
      </c>
      <c r="BI791" s="19" t="s">
        <v>130</v>
      </c>
      <c r="BJ791" s="19" t="s">
        <v>129</v>
      </c>
      <c r="BK791" s="109" t="s">
        <v>1596</v>
      </c>
      <c r="BL791" s="41" t="n">
        <v>16</v>
      </c>
      <c r="BM791" s="41" t="n">
        <v>55</v>
      </c>
      <c r="BN791" s="41" t="n">
        <v>71</v>
      </c>
      <c r="BO791" s="42" t="n">
        <v>25</v>
      </c>
      <c r="BP791" s="43" t="n">
        <v>50</v>
      </c>
      <c r="BQ791" s="44" t="n">
        <v>75</v>
      </c>
      <c r="BR791" s="42" t="n">
        <v>22</v>
      </c>
      <c r="BS791" s="45" t="n">
        <v>50</v>
      </c>
      <c r="BT791" s="45" t="n">
        <v>72</v>
      </c>
      <c r="BU791" s="46" t="n">
        <v>99</v>
      </c>
      <c r="BV791" s="60"/>
      <c r="BW791" s="43" t="n">
        <v>93</v>
      </c>
      <c r="BX791" s="80"/>
      <c r="BY791" s="32" t="n">
        <v>24</v>
      </c>
      <c r="BZ791" s="32" t="n">
        <v>43</v>
      </c>
      <c r="CA791" s="32" t="n">
        <v>67</v>
      </c>
      <c r="CB791" s="32" t="n">
        <v>25</v>
      </c>
      <c r="CC791" s="32" t="n">
        <v>35</v>
      </c>
      <c r="CD791" s="32" t="n">
        <v>60</v>
      </c>
      <c r="CE791" s="32" t="n">
        <v>24</v>
      </c>
      <c r="CF791" s="32" t="n">
        <v>39</v>
      </c>
      <c r="CG791" s="32" t="n">
        <v>63</v>
      </c>
      <c r="CH791" s="32" t="n">
        <v>92</v>
      </c>
      <c r="CI791" s="32" t="n">
        <v>79</v>
      </c>
      <c r="CJ791" s="49" t="n">
        <v>27</v>
      </c>
      <c r="CK791" s="49" t="n">
        <v>48</v>
      </c>
      <c r="CL791" s="49" t="n">
        <v>75</v>
      </c>
      <c r="CM791" s="49" t="n">
        <v>24</v>
      </c>
      <c r="CN791" s="49" t="n">
        <v>50</v>
      </c>
      <c r="CO791" s="49" t="n">
        <v>74</v>
      </c>
      <c r="CP791" s="25" t="n">
        <f aca="false">BX791+BW791+BV791+BU791+BT791+BQ791+BN791</f>
        <v>410</v>
      </c>
      <c r="CQ791" s="25" t="n">
        <f aca="false">CO791+CL791+CI791+CH791+CG791+CD791+CA791</f>
        <v>510</v>
      </c>
      <c r="CR791" s="26" t="n">
        <f aca="false">CP791/7</f>
        <v>58.5714285714286</v>
      </c>
      <c r="CS791" s="26" t="n">
        <f aca="false">CQ791/7</f>
        <v>72.8571428571429</v>
      </c>
      <c r="CT791" s="24" t="n">
        <f aca="false">RANK(CR791,$CR$2:$CR$881,0)</f>
        <v>725</v>
      </c>
      <c r="CU791" s="25" t="n">
        <f aca="false">RANK(CS791,$CS$2:$CS$881,0)</f>
        <v>486</v>
      </c>
      <c r="CV791" s="26" t="n">
        <f aca="false">(CS791+CR791)/2</f>
        <v>65.7142857142857</v>
      </c>
      <c r="CW791" s="25" t="n">
        <f aca="false">RANK(CV791,$CV$2:$CV$881,0)</f>
        <v>672</v>
      </c>
      <c r="CX791" s="50" t="n">
        <f aca="false">(CV791+BB791)/2</f>
        <v>32.8571428571429</v>
      </c>
      <c r="CY791" s="50" t="n">
        <v>871</v>
      </c>
      <c r="CZ791" s="27" t="s">
        <v>132</v>
      </c>
      <c r="DA791" s="27" t="s">
        <v>202</v>
      </c>
      <c r="DB791" s="27" t="s">
        <v>202</v>
      </c>
      <c r="DC791" s="27" t="s">
        <v>134</v>
      </c>
      <c r="DD791" s="27" t="s">
        <v>137</v>
      </c>
      <c r="DE791" s="27" t="s">
        <v>399</v>
      </c>
      <c r="DF791" s="27" t="s">
        <v>372</v>
      </c>
      <c r="DG791" s="27" t="s">
        <v>134</v>
      </c>
      <c r="DH791" s="27" t="s">
        <v>182</v>
      </c>
      <c r="DI791" s="27" t="s">
        <v>989</v>
      </c>
      <c r="DJ791" s="27" t="s">
        <v>187</v>
      </c>
      <c r="DK791" s="27" t="s">
        <v>134</v>
      </c>
      <c r="DL791" s="27" t="s">
        <v>164</v>
      </c>
      <c r="DM791" s="27" t="s">
        <v>645</v>
      </c>
      <c r="DN791" s="27" t="s">
        <v>416</v>
      </c>
      <c r="DO791" s="27" t="s">
        <v>134</v>
      </c>
      <c r="DP791" s="27" t="s">
        <v>264</v>
      </c>
      <c r="DQ791" s="27" t="s">
        <v>638</v>
      </c>
      <c r="DR791" s="27" t="s">
        <v>152</v>
      </c>
      <c r="DS791" s="27" t="s">
        <v>134</v>
      </c>
      <c r="DT791" s="27" t="s">
        <v>164</v>
      </c>
      <c r="DU791" s="27" t="s">
        <v>897</v>
      </c>
      <c r="DV791" s="27" t="s">
        <v>155</v>
      </c>
      <c r="DW791" s="27" t="s">
        <v>191</v>
      </c>
      <c r="DX791" s="27" t="s">
        <v>187</v>
      </c>
      <c r="DY791" s="27" t="s">
        <v>202</v>
      </c>
      <c r="DZ791" s="27" t="n">
        <f aca="false">DY791+DV791+DR791+DN791+DJ791+DF791+DB791</f>
        <v>517</v>
      </c>
      <c r="EA791" s="28" t="n">
        <f aca="false">DZ791/7</f>
        <v>73.8571428571429</v>
      </c>
      <c r="EB791" s="27" t="n">
        <f aca="false">RANK(EA791,$EA$2:$EA$881,0)</f>
        <v>567</v>
      </c>
      <c r="EC791" s="29" t="n">
        <f aca="false">DZ791+CQ791+CP791+AZ791</f>
        <v>1437</v>
      </c>
      <c r="ED791" s="30" t="n">
        <f aca="false">(EA791+CV791+BB791)/3</f>
        <v>46.5238095238095</v>
      </c>
      <c r="EE791" s="51" t="n">
        <f aca="false">ROUND(BE791,3)</f>
        <v>0</v>
      </c>
      <c r="EF791" s="51" t="n">
        <f aca="false">ROUND(CR791,3)</f>
        <v>58.571</v>
      </c>
      <c r="EG791" s="51" t="n">
        <f aca="false">ROUND(CS791,3)</f>
        <v>72.857</v>
      </c>
      <c r="EH791" s="51" t="n">
        <f aca="false">ROUND(EA791,3)</f>
        <v>73.857</v>
      </c>
      <c r="EI791" s="51" t="n">
        <f aca="false">ROUND(ED791,3)</f>
        <v>46.524</v>
      </c>
      <c r="EJ791" s="51" t="n">
        <f aca="false">ROUND(CV791,3)</f>
        <v>65.714</v>
      </c>
      <c r="EK791" s="0" t="n">
        <f aca="false">RANK(EI791,$EI$2:$EI$881,0)</f>
        <v>790</v>
      </c>
    </row>
    <row r="792" customFormat="false" ht="15" hidden="false" customHeight="false" outlineLevel="0" collapsed="false">
      <c r="A792" s="4" t="n">
        <v>8568</v>
      </c>
      <c r="B792" s="4" t="n">
        <v>700</v>
      </c>
      <c r="C792" s="27" t="s">
        <v>2230</v>
      </c>
      <c r="D792" s="52" t="n">
        <v>714</v>
      </c>
      <c r="E792" s="136"/>
      <c r="F792" s="110" t="s">
        <v>2231</v>
      </c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136"/>
      <c r="AS792" s="136"/>
      <c r="AT792" s="136"/>
      <c r="AU792" s="136"/>
      <c r="AV792" s="136"/>
      <c r="AW792" s="136"/>
      <c r="AX792" s="136"/>
      <c r="AY792" s="136"/>
      <c r="AZ792" s="136"/>
      <c r="BA792" s="136"/>
      <c r="BB792" s="136"/>
      <c r="BC792" s="136"/>
      <c r="BD792" s="16" t="e">
        <f aca="false">RANK(AX792,$AX$2:$AX$881,0)</f>
        <v>#N/A</v>
      </c>
      <c r="BE792" s="138"/>
      <c r="BF792" s="16" t="n">
        <f aca="false">RANK(BE792,$BE$2:$BE$881,0)</f>
        <v>806</v>
      </c>
      <c r="BG792" s="39" t="e">
        <f aca="false">RANK(BB792,$BB$2:$BB$881,0)</f>
        <v>#N/A</v>
      </c>
      <c r="BH792" s="39" t="n">
        <f aca="false">RANK(BC792,$BC$2:$BC$881,0)</f>
        <v>780</v>
      </c>
      <c r="BI792" s="19" t="s">
        <v>130</v>
      </c>
      <c r="BJ792" s="19" t="s">
        <v>129</v>
      </c>
      <c r="BK792" s="109" t="s">
        <v>1596</v>
      </c>
      <c r="BL792" s="41" t="n">
        <v>17</v>
      </c>
      <c r="BM792" s="41" t="n">
        <v>49</v>
      </c>
      <c r="BN792" s="41" t="n">
        <v>66</v>
      </c>
      <c r="BO792" s="42" t="n">
        <v>21</v>
      </c>
      <c r="BP792" s="43" t="n">
        <v>56</v>
      </c>
      <c r="BQ792" s="44" t="n">
        <v>77</v>
      </c>
      <c r="BR792" s="42" t="n">
        <v>21</v>
      </c>
      <c r="BS792" s="45" t="n">
        <v>51</v>
      </c>
      <c r="BT792" s="45" t="n">
        <v>72</v>
      </c>
      <c r="BU792" s="46" t="n">
        <v>99</v>
      </c>
      <c r="BV792" s="60"/>
      <c r="BW792" s="43" t="n">
        <v>89</v>
      </c>
      <c r="BX792" s="80"/>
      <c r="BY792" s="32" t="n">
        <v>25</v>
      </c>
      <c r="BZ792" s="32" t="n">
        <v>41</v>
      </c>
      <c r="CA792" s="32" t="n">
        <v>66</v>
      </c>
      <c r="CB792" s="32" t="n">
        <v>22</v>
      </c>
      <c r="CC792" s="32" t="n">
        <v>33</v>
      </c>
      <c r="CD792" s="69" t="n">
        <v>55</v>
      </c>
      <c r="CE792" s="32" t="n">
        <v>26</v>
      </c>
      <c r="CF792" s="32" t="n">
        <v>45</v>
      </c>
      <c r="CG792" s="32" t="n">
        <v>71</v>
      </c>
      <c r="CH792" s="32" t="n">
        <v>92</v>
      </c>
      <c r="CI792" s="32" t="n">
        <v>95</v>
      </c>
      <c r="CJ792" s="49" t="n">
        <v>19</v>
      </c>
      <c r="CK792" s="49" t="n">
        <v>46</v>
      </c>
      <c r="CL792" s="49" t="n">
        <v>65</v>
      </c>
      <c r="CM792" s="49" t="n">
        <v>18</v>
      </c>
      <c r="CN792" s="49" t="n">
        <v>42</v>
      </c>
      <c r="CO792" s="49" t="n">
        <v>60</v>
      </c>
      <c r="CP792" s="25" t="n">
        <f aca="false">BX792+BW792+BV792+BU792+BT792+BQ792+BN792</f>
        <v>403</v>
      </c>
      <c r="CQ792" s="25" t="n">
        <f aca="false">CO792+CL792+CI792+CH792+CG792+CD792+CA792</f>
        <v>504</v>
      </c>
      <c r="CR792" s="26" t="n">
        <f aca="false">CP792/7</f>
        <v>57.5714285714286</v>
      </c>
      <c r="CS792" s="26" t="n">
        <f aca="false">CQ792/7</f>
        <v>72</v>
      </c>
      <c r="CT792" s="24" t="n">
        <f aca="false">RANK(CR792,$CR$2:$CR$881,0)</f>
        <v>727</v>
      </c>
      <c r="CU792" s="25" t="n">
        <f aca="false">RANK(CS792,$CS$2:$CS$881,0)</f>
        <v>509</v>
      </c>
      <c r="CV792" s="26" t="n">
        <f aca="false">(CS792+CR792)/2</f>
        <v>64.7857142857143</v>
      </c>
      <c r="CW792" s="25" t="n">
        <f aca="false">RANK(CV792,$CV$2:$CV$881,0)</f>
        <v>678</v>
      </c>
      <c r="CX792" s="50" t="n">
        <f aca="false">(CV792+BB792)/2</f>
        <v>32.3928571428571</v>
      </c>
      <c r="CY792" s="50" t="n">
        <v>875</v>
      </c>
      <c r="CZ792" s="27" t="s">
        <v>132</v>
      </c>
      <c r="DA792" s="27" t="s">
        <v>202</v>
      </c>
      <c r="DB792" s="27" t="s">
        <v>202</v>
      </c>
      <c r="DC792" s="27" t="s">
        <v>134</v>
      </c>
      <c r="DD792" s="27" t="s">
        <v>182</v>
      </c>
      <c r="DE792" s="27" t="s">
        <v>415</v>
      </c>
      <c r="DF792" s="27" t="s">
        <v>416</v>
      </c>
      <c r="DG792" s="27" t="s">
        <v>134</v>
      </c>
      <c r="DH792" s="27" t="s">
        <v>182</v>
      </c>
      <c r="DI792" s="27" t="s">
        <v>375</v>
      </c>
      <c r="DJ792" s="27" t="s">
        <v>372</v>
      </c>
      <c r="DK792" s="27" t="s">
        <v>134</v>
      </c>
      <c r="DL792" s="27" t="s">
        <v>154</v>
      </c>
      <c r="DM792" s="27" t="s">
        <v>313</v>
      </c>
      <c r="DN792" s="27" t="s">
        <v>441</v>
      </c>
      <c r="DO792" s="27" t="s">
        <v>134</v>
      </c>
      <c r="DP792" s="27" t="s">
        <v>485</v>
      </c>
      <c r="DQ792" s="27" t="s">
        <v>989</v>
      </c>
      <c r="DR792" s="27" t="s">
        <v>204</v>
      </c>
      <c r="DS792" s="27" t="s">
        <v>480</v>
      </c>
      <c r="DT792" s="27" t="s">
        <v>182</v>
      </c>
      <c r="DU792" s="27" t="s">
        <v>673</v>
      </c>
      <c r="DV792" s="27" t="s">
        <v>163</v>
      </c>
      <c r="DW792" s="27" t="s">
        <v>191</v>
      </c>
      <c r="DX792" s="27" t="s">
        <v>141</v>
      </c>
      <c r="DY792" s="27" t="s">
        <v>178</v>
      </c>
      <c r="DZ792" s="27" t="n">
        <f aca="false">DY792+DV792+DR792+DN792+DJ792+DF792+DB792</f>
        <v>517</v>
      </c>
      <c r="EA792" s="28" t="n">
        <f aca="false">DZ792/7</f>
        <v>73.8571428571429</v>
      </c>
      <c r="EB792" s="27" t="n">
        <f aca="false">RANK(EA792,$EA$2:$EA$881,0)</f>
        <v>567</v>
      </c>
      <c r="EC792" s="29" t="n">
        <f aca="false">DZ792+CQ792+CP792+AZ792</f>
        <v>1424</v>
      </c>
      <c r="ED792" s="30" t="n">
        <f aca="false">(EA792+CV792+BB792)/3</f>
        <v>46.2142857142857</v>
      </c>
      <c r="EE792" s="51" t="n">
        <f aca="false">ROUND(BE792,3)</f>
        <v>0</v>
      </c>
      <c r="EF792" s="51" t="n">
        <f aca="false">ROUND(CR792,3)</f>
        <v>57.571</v>
      </c>
      <c r="EG792" s="51" t="n">
        <f aca="false">ROUND(CS792,3)</f>
        <v>72</v>
      </c>
      <c r="EH792" s="51" t="n">
        <f aca="false">ROUND(EA792,3)</f>
        <v>73.857</v>
      </c>
      <c r="EI792" s="51" t="n">
        <f aca="false">ROUND(ED792,3)</f>
        <v>46.214</v>
      </c>
      <c r="EJ792" s="51" t="n">
        <f aca="false">ROUND(CV792,3)</f>
        <v>64.786</v>
      </c>
      <c r="EK792" s="0" t="n">
        <f aca="false">RANK(EI792,$EI$2:$EI$881,0)</f>
        <v>791</v>
      </c>
    </row>
    <row r="793" customFormat="false" ht="15" hidden="false" customHeight="false" outlineLevel="0" collapsed="false">
      <c r="A793" s="4" t="n">
        <v>8982</v>
      </c>
      <c r="B793" s="4" t="n">
        <v>199</v>
      </c>
      <c r="C793" s="27" t="s">
        <v>2232</v>
      </c>
      <c r="D793" s="31" t="n">
        <v>201</v>
      </c>
      <c r="E793" s="16" t="n">
        <v>230505277</v>
      </c>
      <c r="F793" s="56" t="s">
        <v>2233</v>
      </c>
      <c r="G793" s="22" t="s">
        <v>831</v>
      </c>
      <c r="H793" s="22" t="s">
        <v>465</v>
      </c>
      <c r="I793" s="80"/>
      <c r="J793" s="16" t="n">
        <v>79</v>
      </c>
      <c r="K793" s="16" t="n">
        <v>82</v>
      </c>
      <c r="L793" s="34" t="n">
        <f aca="false">(K793*70)/100</f>
        <v>57.4</v>
      </c>
      <c r="M793" s="34" t="n">
        <f aca="false">ROUNDUP(L793,0)</f>
        <v>58</v>
      </c>
      <c r="N793" s="16" t="n">
        <v>29</v>
      </c>
      <c r="O793" s="34" t="n">
        <f aca="false">N793+L793</f>
        <v>86.4</v>
      </c>
      <c r="P793" s="34" t="n">
        <f aca="false">N793+M793</f>
        <v>87</v>
      </c>
      <c r="Q793" s="16" t="n">
        <v>72</v>
      </c>
      <c r="R793" s="16" t="n">
        <v>76</v>
      </c>
      <c r="S793" s="34" t="n">
        <f aca="false">(R793*70)/100</f>
        <v>53.2</v>
      </c>
      <c r="T793" s="34" t="n">
        <f aca="false">ROUNDUP(S793,0)</f>
        <v>54</v>
      </c>
      <c r="U793" s="16" t="n">
        <v>25</v>
      </c>
      <c r="V793" s="34" t="n">
        <f aca="false">U793+S793</f>
        <v>78.2</v>
      </c>
      <c r="W793" s="34" t="n">
        <f aca="false">U793+T793</f>
        <v>79</v>
      </c>
      <c r="X793" s="16" t="n">
        <v>71</v>
      </c>
      <c r="Y793" s="34" t="n">
        <f aca="false">(X793*70)/100</f>
        <v>49.7</v>
      </c>
      <c r="Z793" s="34" t="n">
        <f aca="false">ROUNDUP(Y793,0)</f>
        <v>50</v>
      </c>
      <c r="AA793" s="16" t="n">
        <v>28</v>
      </c>
      <c r="AB793" s="34" t="n">
        <f aca="false">AA793+Y793</f>
        <v>77.7</v>
      </c>
      <c r="AC793" s="34" t="n">
        <f aca="false">AA793+Z793</f>
        <v>78</v>
      </c>
      <c r="AD793" s="32" t="n">
        <f aca="false">X793+R793+Q793+K793+J793</f>
        <v>380</v>
      </c>
      <c r="AE793" s="16" t="n">
        <f aca="false">AD793/5</f>
        <v>76</v>
      </c>
      <c r="AF793" s="16" t="n">
        <v>68</v>
      </c>
      <c r="AG793" s="16" t="n">
        <v>80</v>
      </c>
      <c r="AH793" s="16" t="n">
        <v>88</v>
      </c>
      <c r="AI793" s="16" t="n">
        <v>93</v>
      </c>
      <c r="AJ793" s="16" t="n">
        <f aca="false">(AI793*70)/100</f>
        <v>65.1</v>
      </c>
      <c r="AK793" s="35" t="n">
        <f aca="false">ROUNDUP(AJ793,0)</f>
        <v>66</v>
      </c>
      <c r="AL793" s="16" t="n">
        <v>28</v>
      </c>
      <c r="AM793" s="16" t="n">
        <f aca="false">AL793+AJ793</f>
        <v>93.1</v>
      </c>
      <c r="AN793" s="16" t="n">
        <f aca="false">AL793+AK793</f>
        <v>94</v>
      </c>
      <c r="AO793" s="16" t="n">
        <v>81</v>
      </c>
      <c r="AP793" s="36" t="n">
        <f aca="false">(AO793*70)/100</f>
        <v>56.7</v>
      </c>
      <c r="AQ793" s="37" t="n">
        <f aca="false">ROUNDUP(AP793,0)</f>
        <v>57</v>
      </c>
      <c r="AR793" s="16" t="n">
        <v>27</v>
      </c>
      <c r="AS793" s="16" t="n">
        <f aca="false">AR793+AP793</f>
        <v>83.7</v>
      </c>
      <c r="AT793" s="16" t="n">
        <f aca="false">AR793+AQ793</f>
        <v>84</v>
      </c>
      <c r="AU793" s="16" t="n">
        <f aca="false">AO793+AF793+AI793+AH793+AG793</f>
        <v>410</v>
      </c>
      <c r="AV793" s="16" t="n">
        <f aca="false">(AO793+AF793+AI793+AH793+AG793)/5</f>
        <v>82</v>
      </c>
      <c r="AW793" s="36" t="n">
        <f aca="false">(AO793+AF793+AI793+AH793+AG793+X793+R793+Q793+K793+J793)</f>
        <v>790</v>
      </c>
      <c r="AX793" s="16" t="n">
        <f aca="false">AW793/10</f>
        <v>79</v>
      </c>
      <c r="AY793" s="16" t="n">
        <f aca="false">AS793+AF793+AM793+AH793+AG793+AB793+V793+Q793+O793+J793</f>
        <v>806.1</v>
      </c>
      <c r="AZ793" s="16" t="n">
        <f aca="false">AT793+AF793+AN793+AH793+AG793+AC793+W793+Q793+P793+J793</f>
        <v>809</v>
      </c>
      <c r="BA793" s="16" t="n">
        <f aca="false">AY793/10</f>
        <v>80.61</v>
      </c>
      <c r="BB793" s="16" t="n">
        <f aca="false">AZ793/10</f>
        <v>80.9</v>
      </c>
      <c r="BC793" s="16" t="n">
        <v>2370</v>
      </c>
      <c r="BD793" s="16" t="n">
        <f aca="false">RANK(AX793,$AX$2:$AX$881,0)</f>
        <v>330</v>
      </c>
      <c r="BE793" s="54" t="n">
        <f aca="false">((BC793*100)/2400)*0.4+(AX793*0.6)</f>
        <v>86.9</v>
      </c>
      <c r="BF793" s="16" t="n">
        <f aca="false">RANK(BE793,$BE$2:$BE$881,0)</f>
        <v>309</v>
      </c>
      <c r="BG793" s="39" t="n">
        <f aca="false">RANK(BB793,$BB$2:$BB$881,0)</f>
        <v>282</v>
      </c>
      <c r="BH793" s="39" t="n">
        <f aca="false">RANK(BC793,$BC$2:$BC$881,0)</f>
        <v>268</v>
      </c>
      <c r="BI793" s="22" t="s">
        <v>130</v>
      </c>
      <c r="BJ793" s="22" t="s">
        <v>129</v>
      </c>
      <c r="BK793" s="40" t="s">
        <v>131</v>
      </c>
      <c r="BL793" s="98" t="n">
        <v>11</v>
      </c>
      <c r="BM793" s="61"/>
      <c r="BN793" s="61"/>
      <c r="BO793" s="42" t="n">
        <v>22</v>
      </c>
      <c r="BP793" s="61"/>
      <c r="BQ793" s="61"/>
      <c r="BR793" s="74" t="n">
        <v>9</v>
      </c>
      <c r="BS793" s="80"/>
      <c r="BT793" s="80"/>
      <c r="BU793" s="80"/>
      <c r="BV793" s="137"/>
      <c r="BW793" s="61"/>
      <c r="BX793" s="107"/>
      <c r="BY793" s="130"/>
      <c r="BZ793" s="60"/>
      <c r="CA793" s="60"/>
      <c r="CB793" s="61"/>
      <c r="CC793" s="60"/>
      <c r="CD793" s="60"/>
      <c r="CE793" s="60"/>
      <c r="CF793" s="60"/>
      <c r="CG793" s="60"/>
      <c r="CH793" s="60"/>
      <c r="CI793" s="60"/>
      <c r="CJ793" s="60"/>
      <c r="CK793" s="60"/>
      <c r="CL793" s="61"/>
      <c r="CM793" s="60"/>
      <c r="CN793" s="60"/>
      <c r="CO793" s="60"/>
      <c r="CP793" s="25" t="n">
        <f aca="false">BX793+BW793+BV793+BU793+BT793+BQ793+BN793</f>
        <v>0</v>
      </c>
      <c r="CQ793" s="25" t="n">
        <f aca="false">CO793+CL793+CI793+CH793+CG793+CD793+CA793</f>
        <v>0</v>
      </c>
      <c r="CR793" s="26" t="n">
        <f aca="false">CP793/7</f>
        <v>0</v>
      </c>
      <c r="CS793" s="26" t="n">
        <f aca="false">CQ793/7</f>
        <v>0</v>
      </c>
      <c r="CT793" s="24" t="n">
        <f aca="false">RANK(CR793,$CR$2:$CR$881,0)</f>
        <v>768</v>
      </c>
      <c r="CU793" s="25" t="n">
        <f aca="false">RANK(CS793,$CS$2:$CS$881,0)</f>
        <v>752</v>
      </c>
      <c r="CV793" s="26" t="n">
        <f aca="false">(CS793+CR793)/2</f>
        <v>0</v>
      </c>
      <c r="CW793" s="25" t="n">
        <f aca="false">RANK(CV793,$CV$2:$CV$881,0)</f>
        <v>753</v>
      </c>
      <c r="CX793" s="50" t="n">
        <f aca="false">(CV793+BB793)/2</f>
        <v>40.45</v>
      </c>
      <c r="CY793" s="50" t="n">
        <v>746</v>
      </c>
      <c r="CZ793" s="27" t="s">
        <v>132</v>
      </c>
      <c r="DA793" s="27" t="s">
        <v>162</v>
      </c>
      <c r="DB793" s="27" t="s">
        <v>162</v>
      </c>
      <c r="DC793" s="27" t="s">
        <v>134</v>
      </c>
      <c r="DD793" s="27" t="s">
        <v>135</v>
      </c>
      <c r="DE793" s="27" t="s">
        <v>183</v>
      </c>
      <c r="DF793" s="27" t="s">
        <v>169</v>
      </c>
      <c r="DG793" s="27" t="s">
        <v>134</v>
      </c>
      <c r="DH793" s="27" t="s">
        <v>154</v>
      </c>
      <c r="DI793" s="27" t="s">
        <v>306</v>
      </c>
      <c r="DJ793" s="27" t="s">
        <v>305</v>
      </c>
      <c r="DK793" s="27" t="s">
        <v>134</v>
      </c>
      <c r="DL793" s="27" t="s">
        <v>195</v>
      </c>
      <c r="DM793" s="27" t="s">
        <v>152</v>
      </c>
      <c r="DN793" s="27" t="s">
        <v>175</v>
      </c>
      <c r="DO793" s="27" t="s">
        <v>134</v>
      </c>
      <c r="DP793" s="27"/>
      <c r="DQ793" s="27"/>
      <c r="DR793" s="27"/>
      <c r="DS793" s="27"/>
      <c r="DT793" s="27" t="s">
        <v>195</v>
      </c>
      <c r="DU793" s="27" t="s">
        <v>681</v>
      </c>
      <c r="DV793" s="27" t="s">
        <v>141</v>
      </c>
      <c r="DW793" s="27"/>
      <c r="DX793" s="27"/>
      <c r="DY793" s="27"/>
      <c r="DZ793" s="27" t="n">
        <f aca="false">DY793+DV793+DR793+DN793+DJ793+DF793+DB793</f>
        <v>402</v>
      </c>
      <c r="EA793" s="28" t="n">
        <f aca="false">DZ793/7</f>
        <v>57.4285714285714</v>
      </c>
      <c r="EB793" s="27" t="n">
        <f aca="false">RANK(EA793,$EA$2:$EA$881,0)</f>
        <v>814</v>
      </c>
      <c r="EC793" s="29" t="n">
        <f aca="false">DZ793+CQ793+CP793+AZ793</f>
        <v>1211</v>
      </c>
      <c r="ED793" s="30" t="n">
        <f aca="false">(EA793+CV793+BB793)/3</f>
        <v>46.1095238095238</v>
      </c>
      <c r="EE793" s="51" t="n">
        <f aca="false">ROUND(BE793,3)</f>
        <v>86.9</v>
      </c>
      <c r="EF793" s="51" t="n">
        <f aca="false">ROUND(CR793,3)</f>
        <v>0</v>
      </c>
      <c r="EG793" s="51" t="n">
        <f aca="false">ROUND(CS793,3)</f>
        <v>0</v>
      </c>
      <c r="EH793" s="51" t="n">
        <f aca="false">ROUND(EA793,3)</f>
        <v>57.429</v>
      </c>
      <c r="EI793" s="51" t="n">
        <f aca="false">ROUND(ED793,3)</f>
        <v>46.11</v>
      </c>
      <c r="EJ793" s="51" t="n">
        <f aca="false">ROUND(CV793,3)</f>
        <v>0</v>
      </c>
      <c r="EK793" s="0" t="n">
        <f aca="false">RANK(EI793,$EI$2:$EI$881,0)</f>
        <v>792</v>
      </c>
    </row>
    <row r="794" customFormat="false" ht="15" hidden="false" customHeight="false" outlineLevel="0" collapsed="false">
      <c r="A794" s="4" t="n">
        <v>8723</v>
      </c>
      <c r="B794" s="4" t="n">
        <v>804</v>
      </c>
      <c r="C794" s="27" t="s">
        <v>2234</v>
      </c>
      <c r="D794" s="31" t="n">
        <v>823</v>
      </c>
      <c r="E794" s="16" t="n">
        <v>230514194</v>
      </c>
      <c r="F794" s="56" t="s">
        <v>2235</v>
      </c>
      <c r="G794" s="22" t="s">
        <v>469</v>
      </c>
      <c r="H794" s="22" t="s">
        <v>465</v>
      </c>
      <c r="I794" s="80"/>
      <c r="J794" s="16" t="n">
        <v>76</v>
      </c>
      <c r="K794" s="16" t="n">
        <v>68</v>
      </c>
      <c r="L794" s="34" t="n">
        <f aca="false">(K794*70)/100</f>
        <v>47.6</v>
      </c>
      <c r="M794" s="34" t="n">
        <f aca="false">ROUNDUP(L794,0)</f>
        <v>48</v>
      </c>
      <c r="N794" s="16" t="n">
        <v>26</v>
      </c>
      <c r="O794" s="34" t="n">
        <f aca="false">N794+L794</f>
        <v>73.6</v>
      </c>
      <c r="P794" s="34" t="n">
        <f aca="false">N794+M794</f>
        <v>74</v>
      </c>
      <c r="Q794" s="71" t="n">
        <v>50</v>
      </c>
      <c r="R794" s="16" t="n">
        <v>74</v>
      </c>
      <c r="S794" s="34" t="n">
        <f aca="false">(R794*70)/100</f>
        <v>51.8</v>
      </c>
      <c r="T794" s="34" t="n">
        <f aca="false">ROUNDUP(S794,0)</f>
        <v>52</v>
      </c>
      <c r="U794" s="16" t="n">
        <v>28</v>
      </c>
      <c r="V794" s="34" t="n">
        <f aca="false">U794+S794</f>
        <v>79.8</v>
      </c>
      <c r="W794" s="34" t="n">
        <f aca="false">U794+T794</f>
        <v>80</v>
      </c>
      <c r="X794" s="16" t="n">
        <v>48</v>
      </c>
      <c r="Y794" s="34" t="n">
        <f aca="false">(X794*70)/100</f>
        <v>33.6</v>
      </c>
      <c r="Z794" s="34" t="n">
        <f aca="false">ROUNDUP(Y794,0)</f>
        <v>34</v>
      </c>
      <c r="AA794" s="16" t="n">
        <v>28</v>
      </c>
      <c r="AB794" s="34" t="n">
        <f aca="false">AA794+Y794</f>
        <v>61.6</v>
      </c>
      <c r="AC794" s="34" t="n">
        <f aca="false">AA794+Z794</f>
        <v>62</v>
      </c>
      <c r="AD794" s="32" t="n">
        <f aca="false">X794+R794+Q794+K794+J794</f>
        <v>316</v>
      </c>
      <c r="AE794" s="16" t="n">
        <f aca="false">AD794/5</f>
        <v>63.2</v>
      </c>
      <c r="AF794" s="71" t="n">
        <v>50</v>
      </c>
      <c r="AG794" s="16" t="n">
        <v>75</v>
      </c>
      <c r="AH794" s="16" t="n">
        <v>84</v>
      </c>
      <c r="AI794" s="16" t="n">
        <v>65</v>
      </c>
      <c r="AJ794" s="16" t="n">
        <f aca="false">(AI794*70)/100</f>
        <v>45.5</v>
      </c>
      <c r="AK794" s="35" t="n">
        <f aca="false">ROUNDUP(AJ794,0)</f>
        <v>46</v>
      </c>
      <c r="AL794" s="16" t="n">
        <v>27</v>
      </c>
      <c r="AM794" s="16" t="n">
        <f aca="false">AL794+AJ794</f>
        <v>72.5</v>
      </c>
      <c r="AN794" s="16" t="n">
        <f aca="false">AL794+AK794</f>
        <v>73</v>
      </c>
      <c r="AO794" s="16" t="n">
        <v>66</v>
      </c>
      <c r="AP794" s="36" t="n">
        <f aca="false">(AO794*70)/100</f>
        <v>46.2</v>
      </c>
      <c r="AQ794" s="37" t="n">
        <f aca="false">ROUNDUP(AP794,0)</f>
        <v>47</v>
      </c>
      <c r="AR794" s="16" t="n">
        <v>23</v>
      </c>
      <c r="AS794" s="16" t="n">
        <f aca="false">AR794+AP794</f>
        <v>69.2</v>
      </c>
      <c r="AT794" s="16" t="n">
        <f aca="false">AR794+AQ794</f>
        <v>70</v>
      </c>
      <c r="AU794" s="16" t="n">
        <f aca="false">AO794+AF794+AI794+AH794+AG794</f>
        <v>340</v>
      </c>
      <c r="AV794" s="16" t="n">
        <f aca="false">(AO794+AF794+AI794+AH794+AG794)/5</f>
        <v>68</v>
      </c>
      <c r="AW794" s="36" t="n">
        <f aca="false">(AO794+AF794+AI794+AH794+AG794+X794+R794+Q794+K794+J794)</f>
        <v>656</v>
      </c>
      <c r="AX794" s="16" t="n">
        <f aca="false">AW794/10</f>
        <v>65.6</v>
      </c>
      <c r="AY794" s="16" t="n">
        <f aca="false">AS794+AF794+AM794+AH794+AG794+AB794+V794+Q794+O794+J794</f>
        <v>691.7</v>
      </c>
      <c r="AZ794" s="16" t="n">
        <f aca="false">AT794+AF794+AN794+AH794+AG794+AC794+W794+Q794+P794+J794</f>
        <v>694</v>
      </c>
      <c r="BA794" s="16" t="n">
        <f aca="false">AY794/10</f>
        <v>69.17</v>
      </c>
      <c r="BB794" s="16" t="n">
        <f aca="false">AZ794/10</f>
        <v>69.4</v>
      </c>
      <c r="BC794" s="16" t="n">
        <v>2341</v>
      </c>
      <c r="BD794" s="16" t="n">
        <f aca="false">RANK(AX794,$AX$2:$AX$881,0)</f>
        <v>763</v>
      </c>
      <c r="BE794" s="78" t="n">
        <f aca="false">((BC794*100)/2400)*0.4+(AX794*0.6)</f>
        <v>78.3766666666667</v>
      </c>
      <c r="BF794" s="16" t="n">
        <f aca="false">RANK(BE794,$BE$2:$BE$881,0)</f>
        <v>743</v>
      </c>
      <c r="BG794" s="39" t="n">
        <f aca="false">RANK(BB794,$BB$2:$BB$881,0)</f>
        <v>746</v>
      </c>
      <c r="BH794" s="39" t="n">
        <f aca="false">RANK(BC794,$BC$2:$BC$881,0)</f>
        <v>628</v>
      </c>
      <c r="BI794" s="22" t="s">
        <v>130</v>
      </c>
      <c r="BJ794" s="22" t="s">
        <v>129</v>
      </c>
      <c r="BK794" s="40" t="s">
        <v>702</v>
      </c>
      <c r="BL794" s="98" t="n">
        <v>7</v>
      </c>
      <c r="BM794" s="61"/>
      <c r="BN794" s="61"/>
      <c r="BO794" s="42" t="n">
        <v>17</v>
      </c>
      <c r="BP794" s="61"/>
      <c r="BQ794" s="61"/>
      <c r="BR794" s="74" t="n">
        <v>9</v>
      </c>
      <c r="BS794" s="80"/>
      <c r="BT794" s="80"/>
      <c r="BU794" s="80"/>
      <c r="BV794" s="137"/>
      <c r="BW794" s="61"/>
      <c r="BX794" s="107"/>
      <c r="BY794" s="130"/>
      <c r="BZ794" s="60"/>
      <c r="CA794" s="60"/>
      <c r="CB794" s="61"/>
      <c r="CC794" s="60"/>
      <c r="CD794" s="60"/>
      <c r="CE794" s="60"/>
      <c r="CF794" s="60"/>
      <c r="CG794" s="60"/>
      <c r="CH794" s="60"/>
      <c r="CI794" s="60"/>
      <c r="CJ794" s="60"/>
      <c r="CK794" s="60"/>
      <c r="CL794" s="61"/>
      <c r="CM794" s="60"/>
      <c r="CN794" s="60"/>
      <c r="CO794" s="60"/>
      <c r="CP794" s="25" t="n">
        <f aca="false">BX794+BW794+BV794+BU794+BT794+BQ794+BN794</f>
        <v>0</v>
      </c>
      <c r="CQ794" s="25" t="n">
        <f aca="false">CO794+CL794+CI794+CH794+CG794+CD794+CA794</f>
        <v>0</v>
      </c>
      <c r="CR794" s="26" t="n">
        <f aca="false">CP794/7</f>
        <v>0</v>
      </c>
      <c r="CS794" s="26" t="n">
        <f aca="false">CQ794/7</f>
        <v>0</v>
      </c>
      <c r="CT794" s="24" t="n">
        <f aca="false">RANK(CR794,$CR$2:$CR$881,0)</f>
        <v>768</v>
      </c>
      <c r="CU794" s="25" t="n">
        <f aca="false">RANK(CS794,$CS$2:$CS$881,0)</f>
        <v>752</v>
      </c>
      <c r="CV794" s="26" t="n">
        <f aca="false">(CS794+CR794)/2</f>
        <v>0</v>
      </c>
      <c r="CW794" s="25" t="n">
        <f aca="false">RANK(CV794,$CV$2:$CV$881,0)</f>
        <v>753</v>
      </c>
      <c r="CX794" s="50" t="n">
        <f aca="false">(CV794+BB794)/2</f>
        <v>34.7</v>
      </c>
      <c r="CY794" s="50" t="n">
        <v>859</v>
      </c>
      <c r="CZ794" s="27" t="s">
        <v>132</v>
      </c>
      <c r="DA794" s="27" t="s">
        <v>175</v>
      </c>
      <c r="DB794" s="27" t="s">
        <v>175</v>
      </c>
      <c r="DC794" s="27" t="s">
        <v>134</v>
      </c>
      <c r="DD794" s="27" t="s">
        <v>137</v>
      </c>
      <c r="DE794" s="27" t="s">
        <v>220</v>
      </c>
      <c r="DF794" s="27" t="s">
        <v>205</v>
      </c>
      <c r="DG794" s="27" t="s">
        <v>134</v>
      </c>
      <c r="DH794" s="27" t="s">
        <v>164</v>
      </c>
      <c r="DI794" s="27" t="s">
        <v>989</v>
      </c>
      <c r="DJ794" s="27" t="s">
        <v>138</v>
      </c>
      <c r="DK794" s="27" t="s">
        <v>134</v>
      </c>
      <c r="DL794" s="27" t="s">
        <v>182</v>
      </c>
      <c r="DM794" s="27" t="s">
        <v>304</v>
      </c>
      <c r="DN794" s="27" t="s">
        <v>305</v>
      </c>
      <c r="DO794" s="27" t="s">
        <v>134</v>
      </c>
      <c r="DP794" s="27"/>
      <c r="DQ794" s="27"/>
      <c r="DR794" s="27"/>
      <c r="DS794" s="27"/>
      <c r="DT794" s="27" t="s">
        <v>182</v>
      </c>
      <c r="DU794" s="27" t="s">
        <v>1407</v>
      </c>
      <c r="DV794" s="27" t="s">
        <v>152</v>
      </c>
      <c r="DW794" s="27" t="s">
        <v>164</v>
      </c>
      <c r="DX794" s="27" t="s">
        <v>155</v>
      </c>
      <c r="DY794" s="27" t="s">
        <v>144</v>
      </c>
      <c r="DZ794" s="27" t="n">
        <f aca="false">DY794+DV794+DR794+DN794+DJ794+DF794+DB794</f>
        <v>475</v>
      </c>
      <c r="EA794" s="28" t="n">
        <f aca="false">DZ794/7</f>
        <v>67.8571428571429</v>
      </c>
      <c r="EB794" s="27" t="n">
        <f aca="false">RANK(EA794,$EA$2:$EA$881,0)</f>
        <v>693</v>
      </c>
      <c r="EC794" s="29" t="n">
        <f aca="false">DZ794+CQ794+CP794+AZ794</f>
        <v>1169</v>
      </c>
      <c r="ED794" s="30" t="n">
        <f aca="false">(EA794+CV794+BB794)/3</f>
        <v>45.752380952381</v>
      </c>
      <c r="EE794" s="51" t="n">
        <f aca="false">ROUND(BE794,3)</f>
        <v>78.377</v>
      </c>
      <c r="EF794" s="51" t="n">
        <f aca="false">ROUND(CR794,3)</f>
        <v>0</v>
      </c>
      <c r="EG794" s="51" t="n">
        <f aca="false">ROUND(CS794,3)</f>
        <v>0</v>
      </c>
      <c r="EH794" s="51" t="n">
        <f aca="false">ROUND(EA794,3)</f>
        <v>67.857</v>
      </c>
      <c r="EI794" s="51" t="n">
        <f aca="false">ROUND(ED794,3)</f>
        <v>45.752</v>
      </c>
      <c r="EJ794" s="51" t="n">
        <f aca="false">ROUND(CV794,3)</f>
        <v>0</v>
      </c>
      <c r="EK794" s="0" t="n">
        <f aca="false">RANK(EI794,$EI$2:$EI$881,0)</f>
        <v>793</v>
      </c>
    </row>
    <row r="795" customFormat="false" ht="15" hidden="false" customHeight="false" outlineLevel="0" collapsed="false">
      <c r="A795" s="4" t="n">
        <v>2046</v>
      </c>
      <c r="B795" s="4" t="n">
        <v>20</v>
      </c>
      <c r="C795" s="27" t="s">
        <v>2236</v>
      </c>
      <c r="D795" s="31" t="n">
        <v>897</v>
      </c>
      <c r="E795" s="136"/>
      <c r="F795" s="110" t="s">
        <v>2237</v>
      </c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  <c r="AT795" s="136"/>
      <c r="AU795" s="136"/>
      <c r="AV795" s="136"/>
      <c r="AW795" s="136"/>
      <c r="AX795" s="136"/>
      <c r="AY795" s="136"/>
      <c r="AZ795" s="136"/>
      <c r="BA795" s="136"/>
      <c r="BB795" s="136"/>
      <c r="BC795" s="136"/>
      <c r="BD795" s="16" t="e">
        <f aca="false">RANK(AX795,$AX$2:$AX$881,0)</f>
        <v>#N/A</v>
      </c>
      <c r="BE795" s="138"/>
      <c r="BF795" s="16" t="n">
        <f aca="false">RANK(BE795,$BE$2:$BE$881,0)</f>
        <v>806</v>
      </c>
      <c r="BG795" s="39" t="e">
        <f aca="false">RANK(BB795,$BB$2:$BB$881,0)</f>
        <v>#N/A</v>
      </c>
      <c r="BH795" s="39" t="n">
        <f aca="false">RANK(BC795,$BC$2:$BC$881,0)</f>
        <v>780</v>
      </c>
      <c r="BI795" s="19" t="s">
        <v>130</v>
      </c>
      <c r="BJ795" s="19" t="s">
        <v>129</v>
      </c>
      <c r="BK795" s="109" t="s">
        <v>1596</v>
      </c>
      <c r="BL795" s="41" t="n">
        <v>22</v>
      </c>
      <c r="BM795" s="41" t="n">
        <v>52</v>
      </c>
      <c r="BN795" s="41" t="n">
        <v>74</v>
      </c>
      <c r="BO795" s="42" t="n">
        <v>12</v>
      </c>
      <c r="BP795" s="43" t="n">
        <v>57</v>
      </c>
      <c r="BQ795" s="44" t="n">
        <v>69</v>
      </c>
      <c r="BR795" s="42" t="n">
        <v>12</v>
      </c>
      <c r="BS795" s="45" t="n">
        <v>54</v>
      </c>
      <c r="BT795" s="45" t="n">
        <v>66</v>
      </c>
      <c r="BU795" s="46" t="n">
        <v>100</v>
      </c>
      <c r="BV795" s="47" t="n">
        <v>94</v>
      </c>
      <c r="BW795" s="42" t="n">
        <v>99</v>
      </c>
      <c r="BX795" s="80"/>
      <c r="BY795" s="32" t="n">
        <v>24</v>
      </c>
      <c r="BZ795" s="32" t="n">
        <v>51</v>
      </c>
      <c r="CA795" s="48" t="n">
        <v>75</v>
      </c>
      <c r="CB795" s="32" t="n">
        <v>22</v>
      </c>
      <c r="CC795" s="32" t="n">
        <v>40</v>
      </c>
      <c r="CD795" s="32" t="n">
        <v>62</v>
      </c>
      <c r="CE795" s="32" t="n">
        <v>26</v>
      </c>
      <c r="CF795" s="32" t="n">
        <v>41</v>
      </c>
      <c r="CG795" s="32" t="n">
        <v>67</v>
      </c>
      <c r="CH795" s="32" t="n">
        <v>98</v>
      </c>
      <c r="CI795" s="25" t="n">
        <v>99</v>
      </c>
      <c r="CJ795" s="49" t="n">
        <v>21</v>
      </c>
      <c r="CK795" s="49" t="n">
        <v>37</v>
      </c>
      <c r="CL795" s="76" t="n">
        <v>58</v>
      </c>
      <c r="CM795" s="49" t="n">
        <v>21</v>
      </c>
      <c r="CN795" s="49" t="n">
        <v>50</v>
      </c>
      <c r="CO795" s="49" t="n">
        <v>71</v>
      </c>
      <c r="CP795" s="25" t="n">
        <f aca="false">BX795+BW795+BV795+BU795+BT795+BQ795+BN795</f>
        <v>502</v>
      </c>
      <c r="CQ795" s="25" t="n">
        <f aca="false">CO795+CL795+CI795+CH795+CG795+CD795+CA795</f>
        <v>530</v>
      </c>
      <c r="CR795" s="26" t="n">
        <f aca="false">CP795/7</f>
        <v>71.7142857142857</v>
      </c>
      <c r="CS795" s="26" t="n">
        <f aca="false">CQ795/7</f>
        <v>75.7142857142857</v>
      </c>
      <c r="CT795" s="24" t="n">
        <f aca="false">RANK(CR795,$CR$2:$CR$881,0)</f>
        <v>675</v>
      </c>
      <c r="CU795" s="25" t="n">
        <f aca="false">RANK(CS795,$CS$2:$CS$881,0)</f>
        <v>404</v>
      </c>
      <c r="CV795" s="26" t="n">
        <f aca="false">(CS795+CR795)/2</f>
        <v>73.7142857142857</v>
      </c>
      <c r="CW795" s="25" t="n">
        <f aca="false">RANK(CV795,$CV$2:$CV$881,0)</f>
        <v>590</v>
      </c>
      <c r="CX795" s="50" t="n">
        <f aca="false">(CV795+BB795)/2</f>
        <v>36.8571428571429</v>
      </c>
      <c r="CY795" s="50" t="n">
        <v>857</v>
      </c>
      <c r="CZ795" s="27" t="s">
        <v>132</v>
      </c>
      <c r="DA795" s="27" t="s">
        <v>153</v>
      </c>
      <c r="DB795" s="27" t="s">
        <v>153</v>
      </c>
      <c r="DC795" s="27" t="s">
        <v>134</v>
      </c>
      <c r="DD795" s="27" t="s">
        <v>182</v>
      </c>
      <c r="DE795" s="27" t="s">
        <v>375</v>
      </c>
      <c r="DF795" s="27" t="s">
        <v>372</v>
      </c>
      <c r="DG795" s="27" t="s">
        <v>134</v>
      </c>
      <c r="DH795" s="27" t="s">
        <v>485</v>
      </c>
      <c r="DI795" s="27" t="s">
        <v>304</v>
      </c>
      <c r="DJ795" s="27" t="s">
        <v>416</v>
      </c>
      <c r="DK795" s="27" t="s">
        <v>134</v>
      </c>
      <c r="DL795" s="27" t="s">
        <v>386</v>
      </c>
      <c r="DM795" s="27" t="s">
        <v>681</v>
      </c>
      <c r="DN795" s="27" t="s">
        <v>152</v>
      </c>
      <c r="DO795" s="27" t="s">
        <v>134</v>
      </c>
      <c r="DP795" s="27"/>
      <c r="DQ795" s="27"/>
      <c r="DR795" s="27"/>
      <c r="DS795" s="27"/>
      <c r="DT795" s="27" t="s">
        <v>154</v>
      </c>
      <c r="DU795" s="27" t="s">
        <v>1395</v>
      </c>
      <c r="DV795" s="27" t="s">
        <v>218</v>
      </c>
      <c r="DW795" s="27" t="s">
        <v>386</v>
      </c>
      <c r="DX795" s="27" t="s">
        <v>155</v>
      </c>
      <c r="DY795" s="27" t="s">
        <v>133</v>
      </c>
      <c r="DZ795" s="27" t="n">
        <f aca="false">DY795+DV795+DR795+DN795+DJ795+DF795+DB795</f>
        <v>444</v>
      </c>
      <c r="EA795" s="28" t="n">
        <f aca="false">DZ795/7</f>
        <v>63.4285714285714</v>
      </c>
      <c r="EB795" s="27" t="n">
        <f aca="false">RANK(EA795,$EA$2:$EA$881,0)</f>
        <v>756</v>
      </c>
      <c r="EC795" s="29" t="n">
        <f aca="false">DZ795+CQ795+CP795+AZ795</f>
        <v>1476</v>
      </c>
      <c r="ED795" s="30" t="n">
        <f aca="false">(EA795+CV795+BB795)/3</f>
        <v>45.7142857142857</v>
      </c>
      <c r="EE795" s="51" t="n">
        <f aca="false">ROUND(BE795,3)</f>
        <v>0</v>
      </c>
      <c r="EF795" s="51" t="n">
        <f aca="false">ROUND(CR795,3)</f>
        <v>71.714</v>
      </c>
      <c r="EG795" s="51" t="n">
        <f aca="false">ROUND(CS795,3)</f>
        <v>75.714</v>
      </c>
      <c r="EH795" s="51" t="n">
        <f aca="false">ROUND(EA795,3)</f>
        <v>63.429</v>
      </c>
      <c r="EI795" s="51" t="n">
        <f aca="false">ROUND(ED795,3)</f>
        <v>45.714</v>
      </c>
      <c r="EJ795" s="51" t="n">
        <f aca="false">ROUND(CV795,3)</f>
        <v>73.714</v>
      </c>
      <c r="EK795" s="0" t="n">
        <f aca="false">RANK(EI795,$EI$2:$EI$881,0)</f>
        <v>794</v>
      </c>
    </row>
    <row r="796" customFormat="false" ht="15" hidden="false" customHeight="false" outlineLevel="0" collapsed="false">
      <c r="A796" s="4" t="n">
        <v>1917</v>
      </c>
      <c r="B796" s="4" t="n">
        <v>115</v>
      </c>
      <c r="C796" s="27" t="s">
        <v>2238</v>
      </c>
      <c r="D796" s="31" t="n">
        <v>115</v>
      </c>
      <c r="E796" s="16" t="n">
        <v>230511504</v>
      </c>
      <c r="F796" s="56" t="s">
        <v>2239</v>
      </c>
      <c r="G796" s="22" t="s">
        <v>435</v>
      </c>
      <c r="H796" s="22" t="s">
        <v>465</v>
      </c>
      <c r="I796" s="80"/>
      <c r="J796" s="16" t="n">
        <v>70</v>
      </c>
      <c r="K796" s="16" t="n">
        <v>80</v>
      </c>
      <c r="L796" s="34" t="n">
        <f aca="false">(K796*70)/100</f>
        <v>56</v>
      </c>
      <c r="M796" s="34" t="n">
        <f aca="false">ROUNDUP(L796,0)</f>
        <v>56</v>
      </c>
      <c r="N796" s="16" t="n">
        <v>24</v>
      </c>
      <c r="O796" s="34" t="n">
        <f aca="false">N796+L796</f>
        <v>80</v>
      </c>
      <c r="P796" s="34" t="n">
        <f aca="false">N796+M796</f>
        <v>80</v>
      </c>
      <c r="Q796" s="16" t="n">
        <v>90</v>
      </c>
      <c r="R796" s="16" t="n">
        <v>80</v>
      </c>
      <c r="S796" s="34" t="n">
        <f aca="false">(R796*70)/100</f>
        <v>56</v>
      </c>
      <c r="T796" s="34" t="n">
        <f aca="false">ROUNDUP(S796,0)</f>
        <v>56</v>
      </c>
      <c r="U796" s="16" t="n">
        <v>25</v>
      </c>
      <c r="V796" s="34" t="n">
        <f aca="false">U796+S796</f>
        <v>81</v>
      </c>
      <c r="W796" s="34" t="n">
        <f aca="false">U796+T796</f>
        <v>81</v>
      </c>
      <c r="X796" s="16" t="n">
        <v>63</v>
      </c>
      <c r="Y796" s="34" t="n">
        <f aca="false">(X796*70)/100</f>
        <v>44.1</v>
      </c>
      <c r="Z796" s="34" t="n">
        <f aca="false">ROUNDUP(Y796,0)</f>
        <v>45</v>
      </c>
      <c r="AA796" s="16" t="n">
        <v>24</v>
      </c>
      <c r="AB796" s="34" t="n">
        <f aca="false">AA796+Y796</f>
        <v>68.1</v>
      </c>
      <c r="AC796" s="34" t="n">
        <f aca="false">AA796+Z796</f>
        <v>69</v>
      </c>
      <c r="AD796" s="32" t="n">
        <f aca="false">X796+R796+Q796+K796+J796</f>
        <v>383</v>
      </c>
      <c r="AE796" s="16" t="n">
        <f aca="false">AD796/5</f>
        <v>76.6</v>
      </c>
      <c r="AF796" s="16" t="n">
        <v>76</v>
      </c>
      <c r="AG796" s="16" t="n">
        <v>80</v>
      </c>
      <c r="AH796" s="16" t="n">
        <v>93</v>
      </c>
      <c r="AI796" s="16" t="n">
        <v>74</v>
      </c>
      <c r="AJ796" s="16" t="n">
        <f aca="false">(AI796*70)/100</f>
        <v>51.8</v>
      </c>
      <c r="AK796" s="35" t="n">
        <f aca="false">ROUNDUP(AJ796,0)</f>
        <v>52</v>
      </c>
      <c r="AL796" s="16" t="n">
        <v>21</v>
      </c>
      <c r="AM796" s="16" t="n">
        <f aca="false">AL796+AJ796</f>
        <v>72.8</v>
      </c>
      <c r="AN796" s="16" t="n">
        <f aca="false">AL796+AK796</f>
        <v>73</v>
      </c>
      <c r="AO796" s="16" t="n">
        <v>58</v>
      </c>
      <c r="AP796" s="36" t="n">
        <f aca="false">(AO796*70)/100</f>
        <v>40.6</v>
      </c>
      <c r="AQ796" s="37" t="n">
        <f aca="false">ROUNDUP(AP796,0)</f>
        <v>41</v>
      </c>
      <c r="AR796" s="16" t="n">
        <v>20</v>
      </c>
      <c r="AS796" s="16" t="n">
        <f aca="false">AR796+AP796</f>
        <v>60.6</v>
      </c>
      <c r="AT796" s="16" t="n">
        <f aca="false">AR796+AQ796</f>
        <v>61</v>
      </c>
      <c r="AU796" s="16" t="n">
        <f aca="false">AO796+AF796+AI796+AH796+AG796</f>
        <v>381</v>
      </c>
      <c r="AV796" s="16" t="n">
        <f aca="false">(AO796+AF796+AI796+AH796+AG796)/5</f>
        <v>76.2</v>
      </c>
      <c r="AW796" s="36" t="n">
        <f aca="false">(AO796+AF796+AI796+AH796+AG796+X796+R796+Q796+K796+J796)</f>
        <v>764</v>
      </c>
      <c r="AX796" s="16" t="n">
        <f aca="false">AW796/10</f>
        <v>76.4</v>
      </c>
      <c r="AY796" s="16" t="n">
        <f aca="false">AS796+AF796+AM796+AH796+AG796+AB796+V796+Q796+O796+J796</f>
        <v>771.5</v>
      </c>
      <c r="AZ796" s="16" t="n">
        <f aca="false">AT796+AF796+AN796+AH796+AG796+AC796+W796+Q796+P796+J796</f>
        <v>773</v>
      </c>
      <c r="BA796" s="16" t="n">
        <f aca="false">AY796/10</f>
        <v>77.15</v>
      </c>
      <c r="BB796" s="16" t="n">
        <f aca="false">AZ796/10</f>
        <v>77.3</v>
      </c>
      <c r="BC796" s="16" t="n">
        <v>2355</v>
      </c>
      <c r="BD796" s="16" t="n">
        <f aca="false">RANK(AX796,$AX$2:$AX$881,0)</f>
        <v>577</v>
      </c>
      <c r="BE796" s="54" t="n">
        <f aca="false">((BC796*100)/2400)*0.4+(AX796*0.6)</f>
        <v>85.09</v>
      </c>
      <c r="BF796" s="16" t="n">
        <f aca="false">RANK(BE796,$BE$2:$BE$881,0)</f>
        <v>591</v>
      </c>
      <c r="BG796" s="39" t="n">
        <f aca="false">RANK(BB796,$BB$2:$BB$881,0)</f>
        <v>620</v>
      </c>
      <c r="BH796" s="39" t="n">
        <f aca="false">RANK(BC796,$BC$2:$BC$881,0)</f>
        <v>476</v>
      </c>
      <c r="BI796" s="22" t="s">
        <v>130</v>
      </c>
      <c r="BJ796" s="22" t="s">
        <v>129</v>
      </c>
      <c r="BK796" s="22" t="s">
        <v>509</v>
      </c>
      <c r="BL796" s="98" t="n">
        <v>6</v>
      </c>
      <c r="BM796" s="61"/>
      <c r="BN796" s="61"/>
      <c r="BO796" s="42" t="n">
        <v>22</v>
      </c>
      <c r="BP796" s="61"/>
      <c r="BQ796" s="61"/>
      <c r="BR796" s="74" t="n">
        <v>8</v>
      </c>
      <c r="BS796" s="80"/>
      <c r="BT796" s="80"/>
      <c r="BU796" s="80"/>
      <c r="BV796" s="137"/>
      <c r="BW796" s="61"/>
      <c r="BX796" s="107"/>
      <c r="BY796" s="130"/>
      <c r="BZ796" s="60"/>
      <c r="CA796" s="60"/>
      <c r="CB796" s="61"/>
      <c r="CC796" s="60"/>
      <c r="CD796" s="60"/>
      <c r="CE796" s="60"/>
      <c r="CF796" s="60"/>
      <c r="CG796" s="60"/>
      <c r="CH796" s="60"/>
      <c r="CI796" s="60"/>
      <c r="CJ796" s="60"/>
      <c r="CK796" s="60"/>
      <c r="CL796" s="61"/>
      <c r="CM796" s="60"/>
      <c r="CN796" s="60"/>
      <c r="CO796" s="60"/>
      <c r="CP796" s="25" t="n">
        <f aca="false">BX796+BW796+BV796+BU796+BT796+BQ796+BN796</f>
        <v>0</v>
      </c>
      <c r="CQ796" s="25" t="n">
        <f aca="false">CO796+CL796+CI796+CH796+CG796+CD796+CA796</f>
        <v>0</v>
      </c>
      <c r="CR796" s="26" t="n">
        <f aca="false">CP796/7</f>
        <v>0</v>
      </c>
      <c r="CS796" s="26" t="n">
        <f aca="false">CQ796/7</f>
        <v>0</v>
      </c>
      <c r="CT796" s="24" t="n">
        <f aca="false">RANK(CR796,$CR$2:$CR$881,0)</f>
        <v>768</v>
      </c>
      <c r="CU796" s="25" t="n">
        <f aca="false">RANK(CS796,$CS$2:$CS$881,0)</f>
        <v>752</v>
      </c>
      <c r="CV796" s="26" t="n">
        <f aca="false">(CS796+CR796)/2</f>
        <v>0</v>
      </c>
      <c r="CW796" s="25" t="n">
        <f aca="false">RANK(CV796,$CV$2:$CV$881,0)</f>
        <v>753</v>
      </c>
      <c r="CX796" s="50" t="n">
        <f aca="false">(CV796+BB796)/2</f>
        <v>38.65</v>
      </c>
      <c r="CY796" s="50" t="n">
        <v>832</v>
      </c>
      <c r="CZ796" s="27" t="s">
        <v>132</v>
      </c>
      <c r="DA796" s="27" t="s">
        <v>162</v>
      </c>
      <c r="DB796" s="27" t="s">
        <v>162</v>
      </c>
      <c r="DC796" s="27" t="s">
        <v>134</v>
      </c>
      <c r="DD796" s="27" t="s">
        <v>264</v>
      </c>
      <c r="DE796" s="27" t="s">
        <v>220</v>
      </c>
      <c r="DF796" s="27" t="s">
        <v>441</v>
      </c>
      <c r="DG796" s="27" t="s">
        <v>134</v>
      </c>
      <c r="DH796" s="27" t="s">
        <v>137</v>
      </c>
      <c r="DI796" s="27" t="s">
        <v>375</v>
      </c>
      <c r="DJ796" s="27" t="s">
        <v>443</v>
      </c>
      <c r="DK796" s="27" t="s">
        <v>134</v>
      </c>
      <c r="DL796" s="27"/>
      <c r="DM796" s="27"/>
      <c r="DN796" s="27"/>
      <c r="DO796" s="27"/>
      <c r="DP796" s="27"/>
      <c r="DQ796" s="27"/>
      <c r="DR796" s="27"/>
      <c r="DS796" s="27"/>
      <c r="DT796" s="27" t="s">
        <v>135</v>
      </c>
      <c r="DU796" s="27" t="s">
        <v>447</v>
      </c>
      <c r="DV796" s="27" t="s">
        <v>305</v>
      </c>
      <c r="DW796" s="27" t="s">
        <v>140</v>
      </c>
      <c r="DX796" s="27" t="s">
        <v>155</v>
      </c>
      <c r="DY796" s="27" t="s">
        <v>147</v>
      </c>
      <c r="DZ796" s="27" t="n">
        <f aca="false">DY796+DV796+DR796+DN796+DJ796+DF796+DB796</f>
        <v>417</v>
      </c>
      <c r="EA796" s="28" t="n">
        <f aca="false">DZ796/7</f>
        <v>59.5714285714286</v>
      </c>
      <c r="EB796" s="27" t="n">
        <f aca="false">RANK(EA796,$EA$2:$EA$881,0)</f>
        <v>787</v>
      </c>
      <c r="EC796" s="29" t="n">
        <f aca="false">DZ796+CQ796+CP796+AZ796</f>
        <v>1190</v>
      </c>
      <c r="ED796" s="30" t="n">
        <f aca="false">(EA796+CV796+BB796)/3</f>
        <v>45.6238095238095</v>
      </c>
      <c r="EE796" s="51" t="n">
        <f aca="false">ROUND(BE796,3)</f>
        <v>85.09</v>
      </c>
      <c r="EF796" s="51" t="n">
        <f aca="false">ROUND(CR796,3)</f>
        <v>0</v>
      </c>
      <c r="EG796" s="51" t="n">
        <f aca="false">ROUND(CS796,3)</f>
        <v>0</v>
      </c>
      <c r="EH796" s="51" t="n">
        <f aca="false">ROUND(EA796,3)</f>
        <v>59.571</v>
      </c>
      <c r="EI796" s="51" t="n">
        <f aca="false">ROUND(ED796,3)</f>
        <v>45.624</v>
      </c>
      <c r="EJ796" s="51" t="n">
        <f aca="false">ROUND(CV796,3)</f>
        <v>0</v>
      </c>
      <c r="EK796" s="0" t="n">
        <f aca="false">RANK(EI796,$EI$2:$EI$881,0)</f>
        <v>795</v>
      </c>
    </row>
    <row r="797" customFormat="false" ht="15" hidden="false" customHeight="false" outlineLevel="0" collapsed="false">
      <c r="A797" s="4" t="n">
        <v>8589</v>
      </c>
      <c r="B797" s="4" t="n">
        <v>811</v>
      </c>
      <c r="C797" s="27" t="s">
        <v>2240</v>
      </c>
      <c r="D797" s="31" t="n">
        <v>831</v>
      </c>
      <c r="E797" s="16" t="n">
        <v>230505535</v>
      </c>
      <c r="F797" s="56" t="s">
        <v>2241</v>
      </c>
      <c r="G797" s="22" t="s">
        <v>217</v>
      </c>
      <c r="H797" s="22" t="s">
        <v>465</v>
      </c>
      <c r="I797" s="80"/>
      <c r="J797" s="16" t="n">
        <v>72</v>
      </c>
      <c r="K797" s="16" t="n">
        <v>78</v>
      </c>
      <c r="L797" s="34" t="n">
        <f aca="false">(K797*70)/100</f>
        <v>54.6</v>
      </c>
      <c r="M797" s="34" t="n">
        <f aca="false">ROUNDUP(L797,0)</f>
        <v>55</v>
      </c>
      <c r="N797" s="16" t="n">
        <v>27</v>
      </c>
      <c r="O797" s="34" t="n">
        <f aca="false">N797+L797</f>
        <v>81.6</v>
      </c>
      <c r="P797" s="34" t="n">
        <f aca="false">N797+M797</f>
        <v>82</v>
      </c>
      <c r="Q797" s="16" t="n">
        <v>79</v>
      </c>
      <c r="R797" s="16" t="n">
        <v>66</v>
      </c>
      <c r="S797" s="34" t="n">
        <f aca="false">(R797*70)/100</f>
        <v>46.2</v>
      </c>
      <c r="T797" s="34" t="n">
        <f aca="false">ROUNDUP(S797,0)</f>
        <v>47</v>
      </c>
      <c r="U797" s="16" t="n">
        <v>27</v>
      </c>
      <c r="V797" s="34" t="n">
        <f aca="false">U797+S797</f>
        <v>73.2</v>
      </c>
      <c r="W797" s="34" t="n">
        <f aca="false">U797+T797</f>
        <v>74</v>
      </c>
      <c r="X797" s="16" t="n">
        <v>74</v>
      </c>
      <c r="Y797" s="34" t="n">
        <f aca="false">(X797*70)/100</f>
        <v>51.8</v>
      </c>
      <c r="Z797" s="34" t="n">
        <f aca="false">ROUNDUP(Y797,0)</f>
        <v>52</v>
      </c>
      <c r="AA797" s="16" t="n">
        <v>27</v>
      </c>
      <c r="AB797" s="34" t="n">
        <f aca="false">AA797+Y797</f>
        <v>78.8</v>
      </c>
      <c r="AC797" s="34" t="n">
        <f aca="false">AA797+Z797</f>
        <v>79</v>
      </c>
      <c r="AD797" s="32" t="n">
        <f aca="false">X797+R797+Q797+K797+J797</f>
        <v>369</v>
      </c>
      <c r="AE797" s="16" t="n">
        <f aca="false">AD797/5</f>
        <v>73.8</v>
      </c>
      <c r="AF797" s="16" t="n">
        <v>83</v>
      </c>
      <c r="AG797" s="16" t="n">
        <v>83</v>
      </c>
      <c r="AH797" s="16" t="n">
        <v>94</v>
      </c>
      <c r="AI797" s="16" t="n">
        <v>84</v>
      </c>
      <c r="AJ797" s="16" t="n">
        <f aca="false">(AI797*70)/100</f>
        <v>58.8</v>
      </c>
      <c r="AK797" s="35" t="n">
        <f aca="false">ROUNDUP(AJ797,0)</f>
        <v>59</v>
      </c>
      <c r="AL797" s="16" t="n">
        <v>26</v>
      </c>
      <c r="AM797" s="16" t="n">
        <f aca="false">AL797+AJ797</f>
        <v>84.8</v>
      </c>
      <c r="AN797" s="16" t="n">
        <f aca="false">AL797+AK797</f>
        <v>85</v>
      </c>
      <c r="AO797" s="16" t="n">
        <v>65</v>
      </c>
      <c r="AP797" s="36" t="n">
        <f aca="false">(AO797*70)/100</f>
        <v>45.5</v>
      </c>
      <c r="AQ797" s="37" t="n">
        <f aca="false">ROUNDUP(AP797,0)</f>
        <v>46</v>
      </c>
      <c r="AR797" s="16" t="n">
        <v>21</v>
      </c>
      <c r="AS797" s="16" t="n">
        <f aca="false">AR797+AP797</f>
        <v>66.5</v>
      </c>
      <c r="AT797" s="16" t="n">
        <f aca="false">AR797+AQ797</f>
        <v>67</v>
      </c>
      <c r="AU797" s="16" t="n">
        <f aca="false">AO797+AF797+AI797+AH797+AG797</f>
        <v>409</v>
      </c>
      <c r="AV797" s="16" t="n">
        <f aca="false">(AO797+AF797+AI797+AH797+AG797)/5</f>
        <v>81.8</v>
      </c>
      <c r="AW797" s="36" t="n">
        <f aca="false">(AO797+AF797+AI797+AH797+AG797+X797+R797+Q797+K797+J797)</f>
        <v>778</v>
      </c>
      <c r="AX797" s="16" t="n">
        <f aca="false">AW797/10</f>
        <v>77.8</v>
      </c>
      <c r="AY797" s="16" t="n">
        <f aca="false">AS797+AF797+AM797+AH797+AG797+AB797+V797+Q797+O797+J797</f>
        <v>795.9</v>
      </c>
      <c r="AZ797" s="16" t="n">
        <f aca="false">AT797+AF797+AN797+AH797+AG797+AC797+W797+Q797+P797+J797</f>
        <v>798</v>
      </c>
      <c r="BA797" s="16" t="n">
        <f aca="false">AY797/10</f>
        <v>79.59</v>
      </c>
      <c r="BB797" s="16" t="n">
        <f aca="false">AZ797/10</f>
        <v>79.8</v>
      </c>
      <c r="BC797" s="16" t="n">
        <v>2377</v>
      </c>
      <c r="BD797" s="16" t="n">
        <f aca="false">RANK(AX797,$AX$2:$AX$881,0)</f>
        <v>424</v>
      </c>
      <c r="BE797" s="54" t="n">
        <f aca="false">((BC797*100)/2400)*0.4+(AX797*0.6)</f>
        <v>86.2966666666667</v>
      </c>
      <c r="BF797" s="16" t="n">
        <f aca="false">RANK(BE797,$BE$2:$BE$881,0)</f>
        <v>385</v>
      </c>
      <c r="BG797" s="39" t="n">
        <f aca="false">RANK(BB797,$BB$2:$BB$881,0)</f>
        <v>369</v>
      </c>
      <c r="BH797" s="39" t="n">
        <f aca="false">RANK(BC797,$BC$2:$BC$881,0)</f>
        <v>189</v>
      </c>
      <c r="BI797" s="22" t="s">
        <v>130</v>
      </c>
      <c r="BJ797" s="22" t="s">
        <v>129</v>
      </c>
      <c r="BK797" s="40" t="s">
        <v>131</v>
      </c>
      <c r="BL797" s="98" t="n">
        <v>8</v>
      </c>
      <c r="BM797" s="61"/>
      <c r="BN797" s="61"/>
      <c r="BO797" s="42" t="n">
        <v>25</v>
      </c>
      <c r="BP797" s="61"/>
      <c r="BQ797" s="61"/>
      <c r="BR797" s="74" t="n">
        <v>7</v>
      </c>
      <c r="BS797" s="80"/>
      <c r="BT797" s="80"/>
      <c r="BU797" s="80"/>
      <c r="BV797" s="137"/>
      <c r="BW797" s="61"/>
      <c r="BX797" s="107"/>
      <c r="BY797" s="130"/>
      <c r="BZ797" s="60"/>
      <c r="CA797" s="60"/>
      <c r="CB797" s="61"/>
      <c r="CC797" s="60"/>
      <c r="CD797" s="60"/>
      <c r="CE797" s="60"/>
      <c r="CF797" s="60"/>
      <c r="CG797" s="60"/>
      <c r="CH797" s="60"/>
      <c r="CI797" s="60"/>
      <c r="CJ797" s="60"/>
      <c r="CK797" s="60"/>
      <c r="CL797" s="61"/>
      <c r="CM797" s="60"/>
      <c r="CN797" s="60"/>
      <c r="CO797" s="60"/>
      <c r="CP797" s="25" t="n">
        <f aca="false">BX797+BW797+BV797+BU797+BT797+BQ797+BN797</f>
        <v>0</v>
      </c>
      <c r="CQ797" s="25" t="n">
        <f aca="false">CO797+CL797+CI797+CH797+CG797+CD797+CA797</f>
        <v>0</v>
      </c>
      <c r="CR797" s="26" t="n">
        <f aca="false">CP797/7</f>
        <v>0</v>
      </c>
      <c r="CS797" s="26" t="n">
        <f aca="false">CQ797/7</f>
        <v>0</v>
      </c>
      <c r="CT797" s="24" t="n">
        <f aca="false">RANK(CR797,$CR$2:$CR$881,0)</f>
        <v>768</v>
      </c>
      <c r="CU797" s="25" t="n">
        <f aca="false">RANK(CS797,$CS$2:$CS$881,0)</f>
        <v>752</v>
      </c>
      <c r="CV797" s="26" t="n">
        <f aca="false">(CS797+CR797)/2</f>
        <v>0</v>
      </c>
      <c r="CW797" s="25" t="n">
        <f aca="false">RANK(CV797,$CV$2:$CV$881,0)</f>
        <v>753</v>
      </c>
      <c r="CX797" s="50" t="n">
        <f aca="false">(CV797+BB797)/2</f>
        <v>39.9</v>
      </c>
      <c r="CY797" s="50" t="n">
        <v>768</v>
      </c>
      <c r="CZ797" s="27" t="s">
        <v>132</v>
      </c>
      <c r="DA797" s="27" t="s">
        <v>153</v>
      </c>
      <c r="DB797" s="27" t="s">
        <v>153</v>
      </c>
      <c r="DC797" s="27" t="s">
        <v>134</v>
      </c>
      <c r="DD797" s="27" t="s">
        <v>154</v>
      </c>
      <c r="DE797" s="27" t="s">
        <v>218</v>
      </c>
      <c r="DF797" s="27" t="s">
        <v>219</v>
      </c>
      <c r="DG797" s="27" t="s">
        <v>134</v>
      </c>
      <c r="DH797" s="27" t="s">
        <v>164</v>
      </c>
      <c r="DI797" s="27" t="s">
        <v>447</v>
      </c>
      <c r="DJ797" s="27" t="s">
        <v>219</v>
      </c>
      <c r="DK797" s="27" t="s">
        <v>134</v>
      </c>
      <c r="DL797" s="27" t="s">
        <v>182</v>
      </c>
      <c r="DM797" s="27" t="s">
        <v>412</v>
      </c>
      <c r="DN797" s="27" t="s">
        <v>441</v>
      </c>
      <c r="DO797" s="27" t="s">
        <v>134</v>
      </c>
      <c r="DP797" s="27"/>
      <c r="DQ797" s="27"/>
      <c r="DR797" s="27"/>
      <c r="DS797" s="27"/>
      <c r="DT797" s="27" t="s">
        <v>154</v>
      </c>
      <c r="DU797" s="27" t="s">
        <v>681</v>
      </c>
      <c r="DV797" s="27" t="s">
        <v>138</v>
      </c>
      <c r="DW797" s="27"/>
      <c r="DX797" s="27"/>
      <c r="DY797" s="27"/>
      <c r="DZ797" s="27" t="n">
        <f aca="false">DY797+DV797+DR797+DN797+DJ797+DF797+DB797</f>
        <v>394</v>
      </c>
      <c r="EA797" s="28" t="n">
        <f aca="false">DZ797/7</f>
        <v>56.2857142857143</v>
      </c>
      <c r="EB797" s="27" t="n">
        <f aca="false">RANK(EA797,$EA$2:$EA$881,0)</f>
        <v>818</v>
      </c>
      <c r="EC797" s="29" t="n">
        <f aca="false">DZ797+CQ797+CP797+AZ797</f>
        <v>1192</v>
      </c>
      <c r="ED797" s="30" t="n">
        <f aca="false">(EA797+CV797+BB797)/3</f>
        <v>45.3619047619048</v>
      </c>
      <c r="EE797" s="51" t="n">
        <f aca="false">ROUND(BE797,3)</f>
        <v>86.297</v>
      </c>
      <c r="EF797" s="51" t="n">
        <f aca="false">ROUND(CR797,3)</f>
        <v>0</v>
      </c>
      <c r="EG797" s="51" t="n">
        <f aca="false">ROUND(CS797,3)</f>
        <v>0</v>
      </c>
      <c r="EH797" s="51" t="n">
        <f aca="false">ROUND(EA797,3)</f>
        <v>56.286</v>
      </c>
      <c r="EI797" s="51" t="n">
        <f aca="false">ROUND(ED797,3)</f>
        <v>45.362</v>
      </c>
      <c r="EJ797" s="51" t="n">
        <f aca="false">ROUND(CV797,3)</f>
        <v>0</v>
      </c>
      <c r="EK797" s="0" t="n">
        <f aca="false">RANK(EI797,$EI$2:$EI$881,0)</f>
        <v>796</v>
      </c>
    </row>
    <row r="798" customFormat="false" ht="15" hidden="false" customHeight="false" outlineLevel="0" collapsed="false">
      <c r="A798" s="4" t="n">
        <v>2040</v>
      </c>
      <c r="B798" s="4" t="n">
        <v>246</v>
      </c>
      <c r="C798" s="27" t="s">
        <v>2242</v>
      </c>
      <c r="D798" s="31" t="n">
        <v>247</v>
      </c>
      <c r="E798" s="16" t="n">
        <v>230505922</v>
      </c>
      <c r="F798" s="56" t="s">
        <v>2243</v>
      </c>
      <c r="G798" s="22" t="s">
        <v>345</v>
      </c>
      <c r="H798" s="22" t="s">
        <v>465</v>
      </c>
      <c r="I798" s="80"/>
      <c r="J798" s="16" t="n">
        <v>89</v>
      </c>
      <c r="K798" s="16" t="n">
        <v>73</v>
      </c>
      <c r="L798" s="34" t="n">
        <f aca="false">(K798*70)/100</f>
        <v>51.1</v>
      </c>
      <c r="M798" s="34" t="n">
        <f aca="false">ROUNDUP(L798,0)</f>
        <v>52</v>
      </c>
      <c r="N798" s="16" t="n">
        <v>24</v>
      </c>
      <c r="O798" s="34" t="n">
        <f aca="false">N798+L798</f>
        <v>75.1</v>
      </c>
      <c r="P798" s="34" t="n">
        <f aca="false">N798+M798</f>
        <v>76</v>
      </c>
      <c r="Q798" s="16" t="n">
        <v>64</v>
      </c>
      <c r="R798" s="16" t="n">
        <v>79</v>
      </c>
      <c r="S798" s="34" t="n">
        <f aca="false">(R798*70)/100</f>
        <v>55.3</v>
      </c>
      <c r="T798" s="34" t="n">
        <f aca="false">ROUNDUP(S798,0)</f>
        <v>56</v>
      </c>
      <c r="U798" s="16" t="n">
        <v>20</v>
      </c>
      <c r="V798" s="34" t="n">
        <f aca="false">U798+S798</f>
        <v>75.3</v>
      </c>
      <c r="W798" s="34" t="n">
        <f aca="false">U798+T798</f>
        <v>76</v>
      </c>
      <c r="X798" s="16" t="n">
        <v>62</v>
      </c>
      <c r="Y798" s="34" t="n">
        <f aca="false">(X798*70)/100</f>
        <v>43.4</v>
      </c>
      <c r="Z798" s="34" t="n">
        <f aca="false">ROUNDUP(Y798,0)</f>
        <v>44</v>
      </c>
      <c r="AA798" s="16" t="n">
        <v>29</v>
      </c>
      <c r="AB798" s="34" t="n">
        <f aca="false">AA798+Y798</f>
        <v>72.4</v>
      </c>
      <c r="AC798" s="34" t="n">
        <f aca="false">AA798+Z798</f>
        <v>73</v>
      </c>
      <c r="AD798" s="32" t="n">
        <f aca="false">X798+R798+Q798+K798+J798</f>
        <v>367</v>
      </c>
      <c r="AE798" s="16" t="n">
        <f aca="false">AD798/5</f>
        <v>73.4</v>
      </c>
      <c r="AF798" s="16" t="n">
        <v>66</v>
      </c>
      <c r="AG798" s="16" t="n">
        <v>89</v>
      </c>
      <c r="AH798" s="16" t="n">
        <v>86</v>
      </c>
      <c r="AI798" s="16" t="n">
        <v>94</v>
      </c>
      <c r="AJ798" s="16" t="n">
        <f aca="false">(AI798*70)/100</f>
        <v>65.8</v>
      </c>
      <c r="AK798" s="35" t="n">
        <f aca="false">ROUNDUP(AJ798,0)</f>
        <v>66</v>
      </c>
      <c r="AL798" s="16" t="n">
        <v>29</v>
      </c>
      <c r="AM798" s="16" t="n">
        <f aca="false">AL798+AJ798</f>
        <v>94.8</v>
      </c>
      <c r="AN798" s="16" t="n">
        <f aca="false">AL798+AK798</f>
        <v>95</v>
      </c>
      <c r="AO798" s="16" t="n">
        <v>74</v>
      </c>
      <c r="AP798" s="36" t="n">
        <f aca="false">(AO798*70)/100</f>
        <v>51.8</v>
      </c>
      <c r="AQ798" s="37" t="n">
        <f aca="false">ROUNDUP(AP798,0)</f>
        <v>52</v>
      </c>
      <c r="AR798" s="16" t="n">
        <v>26</v>
      </c>
      <c r="AS798" s="16" t="n">
        <f aca="false">AR798+AP798</f>
        <v>77.8</v>
      </c>
      <c r="AT798" s="16" t="n">
        <f aca="false">AR798+AQ798</f>
        <v>78</v>
      </c>
      <c r="AU798" s="16" t="n">
        <f aca="false">AO798+AF798+AI798+AH798+AG798</f>
        <v>409</v>
      </c>
      <c r="AV798" s="16" t="n">
        <f aca="false">(AO798+AF798+AI798+AH798+AG798)/5</f>
        <v>81.8</v>
      </c>
      <c r="AW798" s="36" t="n">
        <f aca="false">(AO798+AF798+AI798+AH798+AG798+X798+R798+Q798+K798+J798)</f>
        <v>776</v>
      </c>
      <c r="AX798" s="16" t="n">
        <f aca="false">AW798/10</f>
        <v>77.6</v>
      </c>
      <c r="AY798" s="16" t="n">
        <f aca="false">AS798+AF798+AM798+AH798+AG798+AB798+V798+Q798+O798+J798</f>
        <v>789.4</v>
      </c>
      <c r="AZ798" s="16" t="n">
        <f aca="false">AT798+AF798+AN798+AH798+AG798+AC798+W798+Q798+P798+J798</f>
        <v>792</v>
      </c>
      <c r="BA798" s="16" t="n">
        <f aca="false">AY798/10</f>
        <v>78.94</v>
      </c>
      <c r="BB798" s="16" t="n">
        <f aca="false">AZ798/10</f>
        <v>79.2</v>
      </c>
      <c r="BC798" s="16" t="n">
        <v>2356</v>
      </c>
      <c r="BD798" s="16" t="n">
        <f aca="false">RANK(AX798,$AX$2:$AX$881,0)</f>
        <v>444</v>
      </c>
      <c r="BE798" s="54" t="n">
        <f aca="false">((BC798*100)/2400)*0.4+(AX798*0.6)</f>
        <v>85.8266666666667</v>
      </c>
      <c r="BF798" s="16" t="n">
        <f aca="false">RANK(BE798,$BE$2:$BE$881,0)</f>
        <v>455</v>
      </c>
      <c r="BG798" s="39" t="n">
        <f aca="false">RANK(BB798,$BB$2:$BB$881,0)</f>
        <v>434</v>
      </c>
      <c r="BH798" s="39" t="n">
        <f aca="false">RANK(BC798,$BC$2:$BC$881,0)</f>
        <v>462</v>
      </c>
      <c r="BI798" s="22" t="s">
        <v>130</v>
      </c>
      <c r="BJ798" s="22" t="s">
        <v>129</v>
      </c>
      <c r="BK798" s="40" t="s">
        <v>509</v>
      </c>
      <c r="BL798" s="98" t="n">
        <v>9</v>
      </c>
      <c r="BM798" s="61"/>
      <c r="BN798" s="61"/>
      <c r="BO798" s="42" t="n">
        <v>21</v>
      </c>
      <c r="BP798" s="61"/>
      <c r="BQ798" s="61"/>
      <c r="BR798" s="74" t="n">
        <v>9</v>
      </c>
      <c r="BS798" s="80"/>
      <c r="BT798" s="80"/>
      <c r="BU798" s="80"/>
      <c r="BV798" s="137"/>
      <c r="BW798" s="61"/>
      <c r="BX798" s="107"/>
      <c r="BY798" s="130"/>
      <c r="BZ798" s="60"/>
      <c r="CA798" s="60"/>
      <c r="CB798" s="61"/>
      <c r="CC798" s="60"/>
      <c r="CD798" s="60"/>
      <c r="CE798" s="60"/>
      <c r="CF798" s="60"/>
      <c r="CG798" s="60"/>
      <c r="CH798" s="60"/>
      <c r="CI798" s="60"/>
      <c r="CJ798" s="60"/>
      <c r="CK798" s="60"/>
      <c r="CL798" s="61"/>
      <c r="CM798" s="60"/>
      <c r="CN798" s="60"/>
      <c r="CO798" s="60"/>
      <c r="CP798" s="25" t="n">
        <f aca="false">BX798+BW798+BV798+BU798+BT798+BQ798+BN798</f>
        <v>0</v>
      </c>
      <c r="CQ798" s="25" t="n">
        <f aca="false">CO798+CL798+CI798+CH798+CG798+CD798+CA798</f>
        <v>0</v>
      </c>
      <c r="CR798" s="26" t="n">
        <f aca="false">CP798/7</f>
        <v>0</v>
      </c>
      <c r="CS798" s="26" t="n">
        <f aca="false">CQ798/7</f>
        <v>0</v>
      </c>
      <c r="CT798" s="24" t="n">
        <f aca="false">RANK(CR798,$CR$2:$CR$881,0)</f>
        <v>768</v>
      </c>
      <c r="CU798" s="25" t="n">
        <f aca="false">RANK(CS798,$CS$2:$CS$881,0)</f>
        <v>752</v>
      </c>
      <c r="CV798" s="26" t="n">
        <f aca="false">(CS798+CR798)/2</f>
        <v>0</v>
      </c>
      <c r="CW798" s="25" t="n">
        <f aca="false">RANK(CV798,$CV$2:$CV$881,0)</f>
        <v>753</v>
      </c>
      <c r="CX798" s="50" t="n">
        <f aca="false">(CV798+BB798)/2</f>
        <v>39.6</v>
      </c>
      <c r="CY798" s="50" t="n">
        <v>787</v>
      </c>
      <c r="CZ798" s="27" t="s">
        <v>132</v>
      </c>
      <c r="DA798" s="27" t="s">
        <v>219</v>
      </c>
      <c r="DB798" s="27" t="s">
        <v>219</v>
      </c>
      <c r="DC798" s="27" t="s">
        <v>134</v>
      </c>
      <c r="DD798" s="27" t="s">
        <v>174</v>
      </c>
      <c r="DE798" s="27" t="s">
        <v>306</v>
      </c>
      <c r="DF798" s="27" t="s">
        <v>382</v>
      </c>
      <c r="DG798" s="27" t="s">
        <v>134</v>
      </c>
      <c r="DH798" s="27" t="s">
        <v>604</v>
      </c>
      <c r="DI798" s="27" t="s">
        <v>415</v>
      </c>
      <c r="DJ798" s="27" t="s">
        <v>136</v>
      </c>
      <c r="DK798" s="27" t="s">
        <v>134</v>
      </c>
      <c r="DL798" s="27" t="s">
        <v>706</v>
      </c>
      <c r="DM798" s="27" t="s">
        <v>481</v>
      </c>
      <c r="DN798" s="27" t="s">
        <v>313</v>
      </c>
      <c r="DO798" s="27" t="s">
        <v>480</v>
      </c>
      <c r="DP798" s="27"/>
      <c r="DQ798" s="27"/>
      <c r="DR798" s="27"/>
      <c r="DS798" s="27"/>
      <c r="DT798" s="27" t="s">
        <v>174</v>
      </c>
      <c r="DU798" s="27" t="s">
        <v>1395</v>
      </c>
      <c r="DV798" s="27" t="s">
        <v>220</v>
      </c>
      <c r="DW798" s="27" t="s">
        <v>386</v>
      </c>
      <c r="DX798" s="27" t="s">
        <v>442</v>
      </c>
      <c r="DY798" s="27" t="s">
        <v>141</v>
      </c>
      <c r="DZ798" s="27" t="n">
        <f aca="false">DY798+DV798+DR798+DN798+DJ798+DF798+DB798</f>
        <v>395</v>
      </c>
      <c r="EA798" s="28" t="n">
        <f aca="false">DZ798/7</f>
        <v>56.4285714285714</v>
      </c>
      <c r="EB798" s="27" t="n">
        <f aca="false">RANK(EA798,$EA$2:$EA$881,0)</f>
        <v>817</v>
      </c>
      <c r="EC798" s="29" t="n">
        <f aca="false">DZ798+CQ798+CP798+AZ798</f>
        <v>1187</v>
      </c>
      <c r="ED798" s="30" t="n">
        <f aca="false">(EA798+CV798+BB798)/3</f>
        <v>45.2095238095238</v>
      </c>
      <c r="EE798" s="51" t="n">
        <f aca="false">ROUND(BE798,3)</f>
        <v>85.827</v>
      </c>
      <c r="EF798" s="51" t="n">
        <f aca="false">ROUND(CR798,3)</f>
        <v>0</v>
      </c>
      <c r="EG798" s="51" t="n">
        <f aca="false">ROUND(CS798,3)</f>
        <v>0</v>
      </c>
      <c r="EH798" s="51" t="n">
        <f aca="false">ROUND(EA798,3)</f>
        <v>56.429</v>
      </c>
      <c r="EI798" s="51" t="n">
        <f aca="false">ROUND(ED798,3)</f>
        <v>45.21</v>
      </c>
      <c r="EJ798" s="51" t="n">
        <f aca="false">ROUND(CV798,3)</f>
        <v>0</v>
      </c>
      <c r="EK798" s="0" t="n">
        <f aca="false">RANK(EI798,$EI$2:$EI$881,0)</f>
        <v>797</v>
      </c>
    </row>
    <row r="799" customFormat="false" ht="15" hidden="false" customHeight="false" outlineLevel="0" collapsed="false">
      <c r="A799" s="4" t="n">
        <v>2088</v>
      </c>
      <c r="B799" s="4" t="n">
        <v>245</v>
      </c>
      <c r="C799" s="27" t="s">
        <v>2244</v>
      </c>
      <c r="D799" s="31" t="n">
        <v>246</v>
      </c>
      <c r="E799" s="16" t="n">
        <v>230506900</v>
      </c>
      <c r="F799" s="56" t="s">
        <v>2245</v>
      </c>
      <c r="G799" s="22" t="s">
        <v>2246</v>
      </c>
      <c r="H799" s="22" t="s">
        <v>465</v>
      </c>
      <c r="I799" s="80"/>
      <c r="J799" s="16" t="n">
        <v>78</v>
      </c>
      <c r="K799" s="16" t="n">
        <v>83</v>
      </c>
      <c r="L799" s="34" t="n">
        <f aca="false">(K799*70)/100</f>
        <v>58.1</v>
      </c>
      <c r="M799" s="34" t="n">
        <f aca="false">ROUNDUP(L799,0)</f>
        <v>59</v>
      </c>
      <c r="N799" s="16" t="n">
        <v>26</v>
      </c>
      <c r="O799" s="34" t="n">
        <f aca="false">N799+L799</f>
        <v>84.1</v>
      </c>
      <c r="P799" s="34" t="n">
        <f aca="false">N799+M799</f>
        <v>85</v>
      </c>
      <c r="Q799" s="16" t="n">
        <v>73</v>
      </c>
      <c r="R799" s="16" t="n">
        <v>78</v>
      </c>
      <c r="S799" s="34" t="n">
        <f aca="false">(R799*70)/100</f>
        <v>54.6</v>
      </c>
      <c r="T799" s="34" t="n">
        <f aca="false">ROUNDUP(S799,0)</f>
        <v>55</v>
      </c>
      <c r="U799" s="16" t="n">
        <v>25</v>
      </c>
      <c r="V799" s="34" t="n">
        <f aca="false">U799+S799</f>
        <v>79.6</v>
      </c>
      <c r="W799" s="34" t="n">
        <f aca="false">U799+T799</f>
        <v>80</v>
      </c>
      <c r="X799" s="16" t="n">
        <v>68</v>
      </c>
      <c r="Y799" s="34" t="n">
        <f aca="false">(X799*70)/100</f>
        <v>47.6</v>
      </c>
      <c r="Z799" s="34" t="n">
        <f aca="false">ROUNDUP(Y799,0)</f>
        <v>48</v>
      </c>
      <c r="AA799" s="16" t="n">
        <v>27</v>
      </c>
      <c r="AB799" s="34" t="n">
        <f aca="false">AA799+Y799</f>
        <v>74.6</v>
      </c>
      <c r="AC799" s="34" t="n">
        <f aca="false">AA799+Z799</f>
        <v>75</v>
      </c>
      <c r="AD799" s="32" t="n">
        <f aca="false">X799+R799+Q799+K799+J799</f>
        <v>380</v>
      </c>
      <c r="AE799" s="16" t="n">
        <f aca="false">AD799/5</f>
        <v>76</v>
      </c>
      <c r="AF799" s="16" t="n">
        <v>69</v>
      </c>
      <c r="AG799" s="16" t="n">
        <v>76</v>
      </c>
      <c r="AH799" s="16" t="n">
        <v>79</v>
      </c>
      <c r="AI799" s="16" t="n">
        <v>82</v>
      </c>
      <c r="AJ799" s="16" t="n">
        <f aca="false">(AI799*70)/100</f>
        <v>57.4</v>
      </c>
      <c r="AK799" s="35" t="n">
        <f aca="false">ROUNDUP(AJ799,0)</f>
        <v>58</v>
      </c>
      <c r="AL799" s="16" t="n">
        <v>28</v>
      </c>
      <c r="AM799" s="16" t="n">
        <f aca="false">AL799+AJ799</f>
        <v>85.4</v>
      </c>
      <c r="AN799" s="16" t="n">
        <f aca="false">AL799+AK799</f>
        <v>86</v>
      </c>
      <c r="AO799" s="16" t="n">
        <v>79</v>
      </c>
      <c r="AP799" s="36" t="n">
        <f aca="false">(AO799*70)/100</f>
        <v>55.3</v>
      </c>
      <c r="AQ799" s="37" t="n">
        <f aca="false">ROUNDUP(AP799,0)</f>
        <v>56</v>
      </c>
      <c r="AR799" s="16" t="n">
        <v>27</v>
      </c>
      <c r="AS799" s="16" t="n">
        <f aca="false">AR799+AP799</f>
        <v>82.3</v>
      </c>
      <c r="AT799" s="16" t="n">
        <f aca="false">AR799+AQ799</f>
        <v>83</v>
      </c>
      <c r="AU799" s="16" t="n">
        <f aca="false">AO799+AF799+AI799+AH799+AG799</f>
        <v>385</v>
      </c>
      <c r="AV799" s="16" t="n">
        <f aca="false">(AO799+AF799+AI799+AH799+AG799)/5</f>
        <v>77</v>
      </c>
      <c r="AW799" s="36" t="n">
        <f aca="false">(AO799+AF799+AI799+AH799+AG799+X799+R799+Q799+K799+J799)</f>
        <v>765</v>
      </c>
      <c r="AX799" s="16" t="n">
        <f aca="false">AW799/10</f>
        <v>76.5</v>
      </c>
      <c r="AY799" s="16" t="n">
        <f aca="false">AS799+AF799+AM799+AH799+AG799+AB799+V799+Q799+O799+J799</f>
        <v>781</v>
      </c>
      <c r="AZ799" s="16" t="n">
        <f aca="false">AT799+AF799+AN799+AH799+AG799+AC799+W799+Q799+P799+J799</f>
        <v>784</v>
      </c>
      <c r="BA799" s="16" t="n">
        <f aca="false">AY799/10</f>
        <v>78.1</v>
      </c>
      <c r="BB799" s="16" t="n">
        <f aca="false">AZ799/10</f>
        <v>78.4</v>
      </c>
      <c r="BC799" s="16" t="n">
        <v>2361</v>
      </c>
      <c r="BD799" s="16" t="n">
        <f aca="false">RANK(AX799,$AX$2:$AX$881,0)</f>
        <v>562</v>
      </c>
      <c r="BE799" s="54" t="n">
        <f aca="false">((BC799*100)/2400)*0.4+(AX799*0.6)</f>
        <v>85.25</v>
      </c>
      <c r="BF799" s="16" t="n">
        <f aca="false">RANK(BE799,$BE$2:$BE$881,0)</f>
        <v>553</v>
      </c>
      <c r="BG799" s="39" t="n">
        <f aca="false">RANK(BB799,$BB$2:$BB$881,0)</f>
        <v>520</v>
      </c>
      <c r="BH799" s="39" t="n">
        <f aca="false">RANK(BC799,$BC$2:$BC$881,0)</f>
        <v>382</v>
      </c>
      <c r="BI799" s="22" t="s">
        <v>130</v>
      </c>
      <c r="BJ799" s="22" t="s">
        <v>129</v>
      </c>
      <c r="BK799" s="40" t="s">
        <v>509</v>
      </c>
      <c r="BL799" s="101" t="n">
        <v>9.5</v>
      </c>
      <c r="BM799" s="61"/>
      <c r="BN799" s="61"/>
      <c r="BO799" s="74" t="n">
        <v>8</v>
      </c>
      <c r="BP799" s="61"/>
      <c r="BQ799" s="61"/>
      <c r="BR799" s="74" t="n">
        <v>9</v>
      </c>
      <c r="BS799" s="80"/>
      <c r="BT799" s="80"/>
      <c r="BU799" s="80"/>
      <c r="BV799" s="137"/>
      <c r="BW799" s="61"/>
      <c r="BX799" s="107"/>
      <c r="BY799" s="130"/>
      <c r="BZ799" s="60"/>
      <c r="CA799" s="60"/>
      <c r="CB799" s="61"/>
      <c r="CC799" s="60"/>
      <c r="CD799" s="60"/>
      <c r="CE799" s="60"/>
      <c r="CF799" s="60"/>
      <c r="CG799" s="60"/>
      <c r="CH799" s="60"/>
      <c r="CI799" s="60"/>
      <c r="CJ799" s="60"/>
      <c r="CK799" s="60"/>
      <c r="CL799" s="61"/>
      <c r="CM799" s="60"/>
      <c r="CN799" s="60"/>
      <c r="CO799" s="60"/>
      <c r="CP799" s="25" t="n">
        <f aca="false">BX799+BW799+BV799+BU799+BT799+BQ799+BN799</f>
        <v>0</v>
      </c>
      <c r="CQ799" s="25" t="n">
        <f aca="false">CO799+CL799+CI799+CH799+CG799+CD799+CA799</f>
        <v>0</v>
      </c>
      <c r="CR799" s="26" t="n">
        <f aca="false">CP799/7</f>
        <v>0</v>
      </c>
      <c r="CS799" s="26" t="n">
        <f aca="false">CQ799/7</f>
        <v>0</v>
      </c>
      <c r="CT799" s="24" t="n">
        <f aca="false">RANK(CR799,$CR$2:$CR$881,0)</f>
        <v>768</v>
      </c>
      <c r="CU799" s="25" t="n">
        <f aca="false">RANK(CS799,$CS$2:$CS$881,0)</f>
        <v>752</v>
      </c>
      <c r="CV799" s="26" t="n">
        <f aca="false">(CS799+CR799)/2</f>
        <v>0</v>
      </c>
      <c r="CW799" s="25" t="n">
        <f aca="false">RANK(CV799,$CV$2:$CV$881,0)</f>
        <v>753</v>
      </c>
      <c r="CX799" s="50" t="n">
        <f aca="false">(CV799+BB799)/2</f>
        <v>39.2</v>
      </c>
      <c r="CY799" s="50" t="n">
        <v>807</v>
      </c>
      <c r="CZ799" s="27" t="s">
        <v>132</v>
      </c>
      <c r="DA799" s="27" t="s">
        <v>205</v>
      </c>
      <c r="DB799" s="27" t="s">
        <v>205</v>
      </c>
      <c r="DC799" s="27" t="s">
        <v>134</v>
      </c>
      <c r="DD799" s="27" t="s">
        <v>154</v>
      </c>
      <c r="DE799" s="27" t="s">
        <v>204</v>
      </c>
      <c r="DF799" s="27" t="s">
        <v>205</v>
      </c>
      <c r="DG799" s="27" t="s">
        <v>134</v>
      </c>
      <c r="DH799" s="27" t="s">
        <v>182</v>
      </c>
      <c r="DI799" s="27" t="s">
        <v>204</v>
      </c>
      <c r="DJ799" s="27" t="s">
        <v>169</v>
      </c>
      <c r="DK799" s="27" t="s">
        <v>134</v>
      </c>
      <c r="DL799" s="27" t="s">
        <v>135</v>
      </c>
      <c r="DM799" s="27" t="s">
        <v>183</v>
      </c>
      <c r="DN799" s="27" t="s">
        <v>169</v>
      </c>
      <c r="DO799" s="27" t="s">
        <v>134</v>
      </c>
      <c r="DP799" s="27"/>
      <c r="DQ799" s="27"/>
      <c r="DR799" s="27"/>
      <c r="DS799" s="27"/>
      <c r="DT799" s="27" t="s">
        <v>191</v>
      </c>
      <c r="DU799" s="27" t="s">
        <v>375</v>
      </c>
      <c r="DV799" s="27" t="s">
        <v>155</v>
      </c>
      <c r="DW799" s="27"/>
      <c r="DX799" s="27"/>
      <c r="DY799" s="27"/>
      <c r="DZ799" s="27" t="n">
        <f aca="false">DY799+DV799+DR799+DN799+DJ799+DF799+DB799</f>
        <v>400</v>
      </c>
      <c r="EA799" s="28" t="n">
        <f aca="false">DZ799/7</f>
        <v>57.1428571428571</v>
      </c>
      <c r="EB799" s="27" t="n">
        <f aca="false">RANK(EA799,$EA$2:$EA$881,0)</f>
        <v>815</v>
      </c>
      <c r="EC799" s="29" t="n">
        <f aca="false">DZ799+CQ799+CP799+AZ799</f>
        <v>1184</v>
      </c>
      <c r="ED799" s="30" t="n">
        <f aca="false">(EA799+CV799+BB799)/3</f>
        <v>45.1809523809524</v>
      </c>
      <c r="EE799" s="51" t="n">
        <f aca="false">ROUND(BE799,3)</f>
        <v>85.25</v>
      </c>
      <c r="EF799" s="51" t="n">
        <f aca="false">ROUND(CR799,3)</f>
        <v>0</v>
      </c>
      <c r="EG799" s="51" t="n">
        <f aca="false">ROUND(CS799,3)</f>
        <v>0</v>
      </c>
      <c r="EH799" s="51" t="n">
        <f aca="false">ROUND(EA799,3)</f>
        <v>57.143</v>
      </c>
      <c r="EI799" s="51" t="n">
        <f aca="false">ROUND(ED799,3)</f>
        <v>45.181</v>
      </c>
      <c r="EJ799" s="51" t="n">
        <f aca="false">ROUND(CV799,3)</f>
        <v>0</v>
      </c>
      <c r="EK799" s="0" t="n">
        <f aca="false">RANK(EI799,$EI$2:$EI$881,0)</f>
        <v>798</v>
      </c>
    </row>
    <row r="800" customFormat="false" ht="15" hidden="false" customHeight="false" outlineLevel="0" collapsed="false">
      <c r="A800" s="4" t="n">
        <v>9073</v>
      </c>
      <c r="B800" s="4" t="n">
        <v>541</v>
      </c>
      <c r="C800" s="27" t="s">
        <v>2247</v>
      </c>
      <c r="D800" s="52" t="n">
        <v>546</v>
      </c>
      <c r="E800" s="136"/>
      <c r="F800" s="110" t="s">
        <v>2248</v>
      </c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136"/>
      <c r="AS800" s="136"/>
      <c r="AT800" s="136"/>
      <c r="AU800" s="136"/>
      <c r="AV800" s="136"/>
      <c r="AW800" s="136"/>
      <c r="AX800" s="136"/>
      <c r="AY800" s="136"/>
      <c r="AZ800" s="136"/>
      <c r="BA800" s="136"/>
      <c r="BB800" s="136"/>
      <c r="BC800" s="136"/>
      <c r="BD800" s="16" t="e">
        <f aca="false">RANK(AX800,$AX$2:$AX$881,0)</f>
        <v>#N/A</v>
      </c>
      <c r="BE800" s="138"/>
      <c r="BF800" s="16" t="n">
        <f aca="false">RANK(BE800,$BE$2:$BE$881,0)</f>
        <v>806</v>
      </c>
      <c r="BG800" s="39" t="e">
        <f aca="false">RANK(BB800,$BB$2:$BB$881,0)</f>
        <v>#N/A</v>
      </c>
      <c r="BH800" s="39" t="n">
        <f aca="false">RANK(BC800,$BC$2:$BC$881,0)</f>
        <v>780</v>
      </c>
      <c r="BI800" s="19" t="s">
        <v>130</v>
      </c>
      <c r="BJ800" s="19" t="s">
        <v>129</v>
      </c>
      <c r="BK800" s="109" t="s">
        <v>1596</v>
      </c>
      <c r="BL800" s="41" t="n">
        <v>25</v>
      </c>
      <c r="BM800" s="41" t="n">
        <v>44</v>
      </c>
      <c r="BN800" s="41" t="n">
        <v>69</v>
      </c>
      <c r="BO800" s="42" t="n">
        <v>24</v>
      </c>
      <c r="BP800" s="42" t="n">
        <v>52</v>
      </c>
      <c r="BQ800" s="42" t="n">
        <v>76</v>
      </c>
      <c r="BR800" s="42" t="n">
        <v>23</v>
      </c>
      <c r="BS800" s="45" t="n">
        <v>48</v>
      </c>
      <c r="BT800" s="45" t="n">
        <v>71</v>
      </c>
      <c r="BU800" s="46" t="n">
        <v>99</v>
      </c>
      <c r="BV800" s="60"/>
      <c r="BW800" s="43" t="n">
        <v>82</v>
      </c>
      <c r="BX800" s="80"/>
      <c r="BY800" s="32" t="n">
        <v>26</v>
      </c>
      <c r="BZ800" s="32" t="n">
        <v>34</v>
      </c>
      <c r="CA800" s="32" t="n">
        <v>60</v>
      </c>
      <c r="CB800" s="32" t="n">
        <v>25</v>
      </c>
      <c r="CC800" s="32" t="n">
        <v>29</v>
      </c>
      <c r="CD800" s="69" t="n">
        <v>54</v>
      </c>
      <c r="CE800" s="32" t="n">
        <v>27</v>
      </c>
      <c r="CF800" s="32" t="n">
        <v>21</v>
      </c>
      <c r="CG800" s="69" t="n">
        <v>48</v>
      </c>
      <c r="CH800" s="32" t="n">
        <v>88</v>
      </c>
      <c r="CI800" s="32" t="n">
        <v>85</v>
      </c>
      <c r="CJ800" s="49" t="n">
        <v>24</v>
      </c>
      <c r="CK800" s="49" t="n">
        <v>42</v>
      </c>
      <c r="CL800" s="49" t="n">
        <v>66</v>
      </c>
      <c r="CM800" s="49" t="n">
        <v>24</v>
      </c>
      <c r="CN800" s="49" t="n">
        <v>37</v>
      </c>
      <c r="CO800" s="49" t="n">
        <v>61</v>
      </c>
      <c r="CP800" s="25" t="n">
        <f aca="false">BX800+BW800+BV800+BU800+BT800+BQ800+BN800</f>
        <v>397</v>
      </c>
      <c r="CQ800" s="25" t="n">
        <f aca="false">CO800+CL800+CI800+CH800+CG800+CD800+CA800</f>
        <v>462</v>
      </c>
      <c r="CR800" s="26" t="n">
        <f aca="false">CP800/7</f>
        <v>56.7142857142857</v>
      </c>
      <c r="CS800" s="26" t="n">
        <f aca="false">CQ800/7</f>
        <v>66</v>
      </c>
      <c r="CT800" s="24" t="n">
        <f aca="false">RANK(CR800,$CR$2:$CR$881,0)</f>
        <v>729</v>
      </c>
      <c r="CU800" s="25" t="n">
        <f aca="false">RANK(CS800,$CS$2:$CS$881,0)</f>
        <v>613</v>
      </c>
      <c r="CV800" s="26" t="n">
        <f aca="false">(CS800+CR800)/2</f>
        <v>61.3571428571429</v>
      </c>
      <c r="CW800" s="25" t="n">
        <f aca="false">RANK(CV800,$CV$2:$CV$881,0)</f>
        <v>695</v>
      </c>
      <c r="CX800" s="50" t="n">
        <f aca="false">(CV800+BB800)/2</f>
        <v>30.6785714285714</v>
      </c>
      <c r="CY800" s="50" t="n">
        <v>877</v>
      </c>
      <c r="CZ800" s="27" t="s">
        <v>132</v>
      </c>
      <c r="DA800" s="27" t="s">
        <v>175</v>
      </c>
      <c r="DB800" s="27" t="s">
        <v>175</v>
      </c>
      <c r="DC800" s="27" t="s">
        <v>134</v>
      </c>
      <c r="DD800" s="27" t="s">
        <v>174</v>
      </c>
      <c r="DE800" s="27" t="s">
        <v>645</v>
      </c>
      <c r="DF800" s="27" t="s">
        <v>187</v>
      </c>
      <c r="DG800" s="27" t="s">
        <v>134</v>
      </c>
      <c r="DH800" s="27" t="s">
        <v>182</v>
      </c>
      <c r="DI800" s="27" t="s">
        <v>415</v>
      </c>
      <c r="DJ800" s="27" t="s">
        <v>416</v>
      </c>
      <c r="DK800" s="27" t="s">
        <v>134</v>
      </c>
      <c r="DL800" s="27" t="s">
        <v>154</v>
      </c>
      <c r="DM800" s="27" t="s">
        <v>415</v>
      </c>
      <c r="DN800" s="27" t="s">
        <v>155</v>
      </c>
      <c r="DO800" s="27" t="s">
        <v>134</v>
      </c>
      <c r="DP800" s="27" t="s">
        <v>264</v>
      </c>
      <c r="DQ800" s="27" t="s">
        <v>1151</v>
      </c>
      <c r="DR800" s="27" t="s">
        <v>412</v>
      </c>
      <c r="DS800" s="27" t="s">
        <v>480</v>
      </c>
      <c r="DT800" s="27" t="s">
        <v>140</v>
      </c>
      <c r="DU800" s="27" t="s">
        <v>645</v>
      </c>
      <c r="DV800" s="27" t="s">
        <v>486</v>
      </c>
      <c r="DW800" s="27" t="s">
        <v>825</v>
      </c>
      <c r="DX800" s="27" t="s">
        <v>143</v>
      </c>
      <c r="DY800" s="27" t="s">
        <v>196</v>
      </c>
      <c r="DZ800" s="27" t="n">
        <f aca="false">DY800+DV800+DR800+DN800+DJ800+DF800+DB800</f>
        <v>497</v>
      </c>
      <c r="EA800" s="28" t="n">
        <f aca="false">DZ800/7</f>
        <v>71</v>
      </c>
      <c r="EB800" s="27" t="n">
        <f aca="false">RANK(EA800,$EA$2:$EA$881,0)</f>
        <v>625</v>
      </c>
      <c r="EC800" s="29" t="n">
        <f aca="false">DZ800+CQ800+CP800+AZ800</f>
        <v>1356</v>
      </c>
      <c r="ED800" s="30" t="n">
        <f aca="false">(EA800+CV800+BB800)/3</f>
        <v>44.1190476190476</v>
      </c>
      <c r="EE800" s="51" t="n">
        <f aca="false">ROUND(BE800,3)</f>
        <v>0</v>
      </c>
      <c r="EF800" s="51" t="n">
        <f aca="false">ROUND(CR800,3)</f>
        <v>56.714</v>
      </c>
      <c r="EG800" s="51" t="n">
        <f aca="false">ROUND(CS800,3)</f>
        <v>66</v>
      </c>
      <c r="EH800" s="51" t="n">
        <f aca="false">ROUND(EA800,3)</f>
        <v>71</v>
      </c>
      <c r="EI800" s="51" t="n">
        <f aca="false">ROUND(ED800,3)</f>
        <v>44.119</v>
      </c>
      <c r="EJ800" s="51" t="n">
        <f aca="false">ROUND(CV800,3)</f>
        <v>61.357</v>
      </c>
      <c r="EK800" s="0" t="n">
        <f aca="false">RANK(EI800,$EI$2:$EI$881,0)</f>
        <v>799</v>
      </c>
    </row>
    <row r="801" customFormat="false" ht="15" hidden="false" customHeight="false" outlineLevel="0" collapsed="false">
      <c r="A801" s="4" t="n">
        <v>9074</v>
      </c>
      <c r="B801" s="4" t="n">
        <v>392</v>
      </c>
      <c r="C801" s="27" t="s">
        <v>2249</v>
      </c>
      <c r="D801" s="52" t="n">
        <v>397</v>
      </c>
      <c r="E801" s="136"/>
      <c r="F801" s="110" t="s">
        <v>2250</v>
      </c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136"/>
      <c r="AQ801" s="136"/>
      <c r="AR801" s="136"/>
      <c r="AS801" s="136"/>
      <c r="AT801" s="136"/>
      <c r="AU801" s="136"/>
      <c r="AV801" s="136"/>
      <c r="AW801" s="136"/>
      <c r="AX801" s="136"/>
      <c r="AY801" s="136"/>
      <c r="AZ801" s="136"/>
      <c r="BA801" s="136"/>
      <c r="BB801" s="136"/>
      <c r="BC801" s="136"/>
      <c r="BD801" s="16" t="e">
        <f aca="false">RANK(AX801,$AX$2:$AX$881,0)</f>
        <v>#N/A</v>
      </c>
      <c r="BE801" s="138"/>
      <c r="BF801" s="16" t="n">
        <f aca="false">RANK(BE801,$BE$2:$BE$881,0)</f>
        <v>806</v>
      </c>
      <c r="BG801" s="39" t="e">
        <f aca="false">RANK(BB801,$BB$2:$BB$881,0)</f>
        <v>#N/A</v>
      </c>
      <c r="BH801" s="39" t="n">
        <f aca="false">RANK(BC801,$BC$2:$BC$881,0)</f>
        <v>780</v>
      </c>
      <c r="BI801" s="19" t="s">
        <v>130</v>
      </c>
      <c r="BJ801" s="19" t="s">
        <v>129</v>
      </c>
      <c r="BK801" s="109" t="s">
        <v>1596</v>
      </c>
      <c r="BL801" s="41" t="n">
        <v>22</v>
      </c>
      <c r="BM801" s="41" t="n">
        <v>52</v>
      </c>
      <c r="BN801" s="41" t="n">
        <v>74</v>
      </c>
      <c r="BO801" s="42" t="n">
        <v>25</v>
      </c>
      <c r="BP801" s="43" t="n">
        <v>54</v>
      </c>
      <c r="BQ801" s="44" t="n">
        <v>79</v>
      </c>
      <c r="BR801" s="74" t="n">
        <v>11</v>
      </c>
      <c r="BS801" s="80"/>
      <c r="BT801" s="80"/>
      <c r="BU801" s="46" t="n">
        <v>93</v>
      </c>
      <c r="BV801" s="60"/>
      <c r="BW801" s="43" t="n">
        <v>92</v>
      </c>
      <c r="BX801" s="107"/>
      <c r="BY801" s="32" t="n">
        <v>19</v>
      </c>
      <c r="BZ801" s="32" t="n">
        <v>42</v>
      </c>
      <c r="CA801" s="32" t="n">
        <v>61</v>
      </c>
      <c r="CB801" s="32" t="n">
        <v>26</v>
      </c>
      <c r="CC801" s="32" t="n">
        <v>28</v>
      </c>
      <c r="CD801" s="69" t="n">
        <v>54</v>
      </c>
      <c r="CE801" s="25" t="n">
        <v>20</v>
      </c>
      <c r="CF801" s="25" t="n">
        <v>26</v>
      </c>
      <c r="CG801" s="85" t="n">
        <v>46</v>
      </c>
      <c r="CH801" s="32" t="n">
        <v>93</v>
      </c>
      <c r="CI801" s="32" t="n">
        <v>85</v>
      </c>
      <c r="CJ801" s="49" t="n">
        <v>29</v>
      </c>
      <c r="CK801" s="49" t="n">
        <v>44</v>
      </c>
      <c r="CL801" s="49" t="n">
        <v>73</v>
      </c>
      <c r="CM801" s="25" t="n">
        <v>24</v>
      </c>
      <c r="CN801" s="25" t="n">
        <v>45</v>
      </c>
      <c r="CO801" s="25" t="n">
        <v>69</v>
      </c>
      <c r="CP801" s="25" t="n">
        <f aca="false">BX801+BW801+BV801+BU801+BT801+BQ801+BN801</f>
        <v>338</v>
      </c>
      <c r="CQ801" s="25" t="n">
        <f aca="false">CO801+CL801+CI801+CH801+CG801+CD801+CA801</f>
        <v>481</v>
      </c>
      <c r="CR801" s="26" t="n">
        <f aca="false">CP801/7</f>
        <v>48.2857142857143</v>
      </c>
      <c r="CS801" s="26" t="n">
        <f aca="false">CQ801/7</f>
        <v>68.7142857142857</v>
      </c>
      <c r="CT801" s="24" t="n">
        <f aca="false">RANK(CR801,$CR$2:$CR$881,0)</f>
        <v>739</v>
      </c>
      <c r="CU801" s="25" t="n">
        <f aca="false">RANK(CS801,$CS$2:$CS$881,0)</f>
        <v>576</v>
      </c>
      <c r="CV801" s="26" t="n">
        <f aca="false">(CS801+CR801)/2</f>
        <v>58.5</v>
      </c>
      <c r="CW801" s="25" t="n">
        <f aca="false">RANK(CV801,$CV$2:$CV$881,0)</f>
        <v>703</v>
      </c>
      <c r="CX801" s="50" t="n">
        <f aca="false">(CV801+BB801)/2</f>
        <v>29.25</v>
      </c>
      <c r="CY801" s="50" t="n">
        <v>880</v>
      </c>
      <c r="CZ801" s="27" t="s">
        <v>132</v>
      </c>
      <c r="DA801" s="27" t="s">
        <v>205</v>
      </c>
      <c r="DB801" s="27" t="s">
        <v>205</v>
      </c>
      <c r="DC801" s="27" t="s">
        <v>134</v>
      </c>
      <c r="DD801" s="27" t="s">
        <v>386</v>
      </c>
      <c r="DE801" s="27" t="s">
        <v>313</v>
      </c>
      <c r="DF801" s="27" t="s">
        <v>155</v>
      </c>
      <c r="DG801" s="27" t="s">
        <v>134</v>
      </c>
      <c r="DH801" s="27" t="s">
        <v>182</v>
      </c>
      <c r="DI801" s="27" t="s">
        <v>399</v>
      </c>
      <c r="DJ801" s="27" t="s">
        <v>398</v>
      </c>
      <c r="DK801" s="27" t="s">
        <v>134</v>
      </c>
      <c r="DL801" s="27" t="s">
        <v>160</v>
      </c>
      <c r="DM801" s="27" t="s">
        <v>415</v>
      </c>
      <c r="DN801" s="27" t="s">
        <v>441</v>
      </c>
      <c r="DO801" s="27" t="s">
        <v>134</v>
      </c>
      <c r="DP801" s="27" t="s">
        <v>604</v>
      </c>
      <c r="DQ801" s="27" t="s">
        <v>1064</v>
      </c>
      <c r="DR801" s="27" t="s">
        <v>313</v>
      </c>
      <c r="DS801" s="27" t="s">
        <v>480</v>
      </c>
      <c r="DT801" s="27" t="s">
        <v>160</v>
      </c>
      <c r="DU801" s="27" t="s">
        <v>989</v>
      </c>
      <c r="DV801" s="27" t="s">
        <v>155</v>
      </c>
      <c r="DW801" s="27" t="s">
        <v>135</v>
      </c>
      <c r="DX801" s="27" t="s">
        <v>155</v>
      </c>
      <c r="DY801" s="27" t="s">
        <v>139</v>
      </c>
      <c r="DZ801" s="27" t="n">
        <f aca="false">DY801+DV801+DR801+DN801+DJ801+DF801+DB801</f>
        <v>516</v>
      </c>
      <c r="EA801" s="28" t="n">
        <f aca="false">DZ801/7</f>
        <v>73.7142857142857</v>
      </c>
      <c r="EB801" s="27" t="n">
        <f aca="false">RANK(EA801,$EA$2:$EA$881,0)</f>
        <v>573</v>
      </c>
      <c r="EC801" s="29" t="n">
        <f aca="false">DZ801+CQ801+CP801+AZ801</f>
        <v>1335</v>
      </c>
      <c r="ED801" s="30" t="n">
        <f aca="false">(EA801+CV801+BB801)/3</f>
        <v>44.0714285714286</v>
      </c>
      <c r="EE801" s="51" t="n">
        <f aca="false">ROUND(BE801,3)</f>
        <v>0</v>
      </c>
      <c r="EF801" s="51" t="n">
        <f aca="false">ROUND(CR801,3)</f>
        <v>48.286</v>
      </c>
      <c r="EG801" s="51" t="n">
        <f aca="false">ROUND(CS801,3)</f>
        <v>68.714</v>
      </c>
      <c r="EH801" s="51" t="n">
        <f aca="false">ROUND(EA801,3)</f>
        <v>73.714</v>
      </c>
      <c r="EI801" s="51" t="n">
        <f aca="false">ROUND(ED801,3)</f>
        <v>44.071</v>
      </c>
      <c r="EJ801" s="51" t="n">
        <f aca="false">ROUND(CV801,3)</f>
        <v>58.5</v>
      </c>
      <c r="EK801" s="0" t="n">
        <f aca="false">RANK(EI801,$EI$2:$EI$881,0)</f>
        <v>800</v>
      </c>
    </row>
    <row r="802" customFormat="false" ht="15" hidden="false" customHeight="false" outlineLevel="0" collapsed="false">
      <c r="A802" s="4" t="n">
        <v>9109</v>
      </c>
      <c r="B802" s="4" t="n">
        <v>424</v>
      </c>
      <c r="C802" s="27" t="s">
        <v>2251</v>
      </c>
      <c r="D802" s="52" t="n">
        <v>429</v>
      </c>
      <c r="E802" s="136"/>
      <c r="F802" s="110" t="s">
        <v>2252</v>
      </c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136"/>
      <c r="AS802" s="136"/>
      <c r="AT802" s="136"/>
      <c r="AU802" s="136"/>
      <c r="AV802" s="136"/>
      <c r="AW802" s="136"/>
      <c r="AX802" s="136"/>
      <c r="AY802" s="136"/>
      <c r="AZ802" s="136"/>
      <c r="BA802" s="136"/>
      <c r="BB802" s="136"/>
      <c r="BC802" s="136"/>
      <c r="BD802" s="16" t="e">
        <f aca="false">RANK(AX802,$AX$2:$AX$881,0)</f>
        <v>#N/A</v>
      </c>
      <c r="BE802" s="138"/>
      <c r="BF802" s="16" t="n">
        <f aca="false">RANK(BE802,$BE$2:$BE$881,0)</f>
        <v>806</v>
      </c>
      <c r="BG802" s="39" t="e">
        <f aca="false">RANK(BB802,$BB$2:$BB$881,0)</f>
        <v>#N/A</v>
      </c>
      <c r="BH802" s="39" t="n">
        <f aca="false">RANK(BC802,$BC$2:$BC$881,0)</f>
        <v>780</v>
      </c>
      <c r="BI802" s="19" t="s">
        <v>130</v>
      </c>
      <c r="BJ802" s="19" t="s">
        <v>129</v>
      </c>
      <c r="BK802" s="109" t="s">
        <v>1596</v>
      </c>
      <c r="BL802" s="41" t="n">
        <v>15</v>
      </c>
      <c r="BM802" s="41" t="n">
        <v>43</v>
      </c>
      <c r="BN802" s="98" t="n">
        <v>58</v>
      </c>
      <c r="BO802" s="42" t="n">
        <v>15</v>
      </c>
      <c r="BP802" s="43" t="n">
        <v>61</v>
      </c>
      <c r="BQ802" s="44" t="n">
        <v>76</v>
      </c>
      <c r="BR802" s="42" t="n">
        <v>20</v>
      </c>
      <c r="BS802" s="45" t="n">
        <v>53</v>
      </c>
      <c r="BT802" s="45" t="n">
        <v>73</v>
      </c>
      <c r="BU802" s="77" t="n">
        <v>93</v>
      </c>
      <c r="BV802" s="60"/>
      <c r="BW802" s="43" t="n">
        <v>92</v>
      </c>
      <c r="BX802" s="80"/>
      <c r="BY802" s="32" t="n">
        <v>23</v>
      </c>
      <c r="BZ802" s="32" t="n">
        <v>43</v>
      </c>
      <c r="CA802" s="32" t="n">
        <v>66</v>
      </c>
      <c r="CB802" s="32" t="n">
        <v>22</v>
      </c>
      <c r="CC802" s="32" t="n">
        <v>36</v>
      </c>
      <c r="CD802" s="69" t="n">
        <v>58</v>
      </c>
      <c r="CE802" s="32" t="n">
        <v>24</v>
      </c>
      <c r="CF802" s="32" t="n">
        <v>49</v>
      </c>
      <c r="CG802" s="32" t="n">
        <v>73</v>
      </c>
      <c r="CH802" s="32" t="n">
        <v>93</v>
      </c>
      <c r="CI802" s="32" t="n">
        <v>89</v>
      </c>
      <c r="CJ802" s="83" t="n">
        <v>6</v>
      </c>
      <c r="CK802" s="60"/>
      <c r="CL802" s="61"/>
      <c r="CM802" s="49" t="n">
        <v>18</v>
      </c>
      <c r="CN802" s="49" t="n">
        <v>46</v>
      </c>
      <c r="CO802" s="49" t="n">
        <v>64</v>
      </c>
      <c r="CP802" s="25" t="n">
        <f aca="false">BX802+BW802+BV802+BU802+BT802+BQ802+BN802</f>
        <v>392</v>
      </c>
      <c r="CQ802" s="25" t="n">
        <f aca="false">CO802+CL802+CI802+CH802+CG802+CD802+CA802</f>
        <v>443</v>
      </c>
      <c r="CR802" s="26" t="n">
        <f aca="false">CP802/7</f>
        <v>56</v>
      </c>
      <c r="CS802" s="26" t="n">
        <f aca="false">CQ802/7</f>
        <v>63.2857142857143</v>
      </c>
      <c r="CT802" s="24" t="n">
        <f aca="false">RANK(CR802,$CR$2:$CR$881,0)</f>
        <v>731</v>
      </c>
      <c r="CU802" s="25" t="n">
        <f aca="false">RANK(CS802,$CS$2:$CS$881,0)</f>
        <v>647</v>
      </c>
      <c r="CV802" s="26" t="n">
        <f aca="false">(CS802+CR802)/2</f>
        <v>59.6428571428571</v>
      </c>
      <c r="CW802" s="25" t="n">
        <f aca="false">RANK(CV802,$CV$2:$CV$881,0)</f>
        <v>699</v>
      </c>
      <c r="CX802" s="50" t="n">
        <f aca="false">(CV802+BB802)/2</f>
        <v>29.8214285714286</v>
      </c>
      <c r="CY802" s="50" t="n">
        <v>879</v>
      </c>
      <c r="CZ802" s="27" t="s">
        <v>132</v>
      </c>
      <c r="DA802" s="27" t="s">
        <v>155</v>
      </c>
      <c r="DB802" s="27" t="s">
        <v>155</v>
      </c>
      <c r="DC802" s="27" t="s">
        <v>134</v>
      </c>
      <c r="DD802" s="27" t="s">
        <v>195</v>
      </c>
      <c r="DE802" s="27" t="s">
        <v>645</v>
      </c>
      <c r="DF802" s="27" t="s">
        <v>163</v>
      </c>
      <c r="DG802" s="27" t="s">
        <v>134</v>
      </c>
      <c r="DH802" s="27" t="s">
        <v>135</v>
      </c>
      <c r="DI802" s="27" t="s">
        <v>218</v>
      </c>
      <c r="DJ802" s="27" t="s">
        <v>205</v>
      </c>
      <c r="DK802" s="27" t="s">
        <v>134</v>
      </c>
      <c r="DL802" s="27" t="s">
        <v>182</v>
      </c>
      <c r="DM802" s="27" t="s">
        <v>415</v>
      </c>
      <c r="DN802" s="27" t="s">
        <v>416</v>
      </c>
      <c r="DO802" s="27" t="s">
        <v>134</v>
      </c>
      <c r="DP802" s="27" t="s">
        <v>706</v>
      </c>
      <c r="DQ802" s="27" t="s">
        <v>415</v>
      </c>
      <c r="DR802" s="27" t="s">
        <v>203</v>
      </c>
      <c r="DS802" s="27" t="s">
        <v>134</v>
      </c>
      <c r="DT802" s="27" t="s">
        <v>154</v>
      </c>
      <c r="DU802" s="27" t="s">
        <v>1407</v>
      </c>
      <c r="DV802" s="27" t="s">
        <v>136</v>
      </c>
      <c r="DW802" s="27" t="s">
        <v>135</v>
      </c>
      <c r="DX802" s="27" t="s">
        <v>187</v>
      </c>
      <c r="DY802" s="27" t="s">
        <v>170</v>
      </c>
      <c r="DZ802" s="27" t="n">
        <f aca="false">DY802+DV802+DR802+DN802+DJ802+DF802+DB802</f>
        <v>504</v>
      </c>
      <c r="EA802" s="28" t="n">
        <f aca="false">DZ802/7</f>
        <v>72</v>
      </c>
      <c r="EB802" s="27" t="n">
        <f aca="false">RANK(EA802,$EA$2:$EA$881,0)</f>
        <v>609</v>
      </c>
      <c r="EC802" s="29" t="n">
        <f aca="false">DZ802+CQ802+CP802+AZ802</f>
        <v>1339</v>
      </c>
      <c r="ED802" s="30" t="n">
        <f aca="false">(EA802+CV802+BB802)/3</f>
        <v>43.8809523809524</v>
      </c>
      <c r="EE802" s="51" t="n">
        <f aca="false">ROUND(BE802,3)</f>
        <v>0</v>
      </c>
      <c r="EF802" s="51" t="n">
        <f aca="false">ROUND(CR802,3)</f>
        <v>56</v>
      </c>
      <c r="EG802" s="51" t="n">
        <f aca="false">ROUND(CS802,3)</f>
        <v>63.286</v>
      </c>
      <c r="EH802" s="51" t="n">
        <f aca="false">ROUND(EA802,3)</f>
        <v>72</v>
      </c>
      <c r="EI802" s="51" t="n">
        <f aca="false">ROUND(ED802,3)</f>
        <v>43.881</v>
      </c>
      <c r="EJ802" s="51" t="n">
        <f aca="false">ROUND(CV802,3)</f>
        <v>59.643</v>
      </c>
      <c r="EK802" s="0" t="n">
        <f aca="false">RANK(EI802,$EI$2:$EI$881,0)</f>
        <v>801</v>
      </c>
    </row>
    <row r="803" customFormat="false" ht="15" hidden="false" customHeight="false" outlineLevel="0" collapsed="false">
      <c r="A803" s="4" t="n">
        <v>2077</v>
      </c>
      <c r="B803" s="4" t="n">
        <v>745</v>
      </c>
      <c r="C803" s="27" t="s">
        <v>2253</v>
      </c>
      <c r="D803" s="31" t="n">
        <v>760</v>
      </c>
      <c r="E803" s="16" t="n">
        <v>230513751</v>
      </c>
      <c r="F803" s="56" t="s">
        <v>2254</v>
      </c>
      <c r="G803" s="22" t="s">
        <v>573</v>
      </c>
      <c r="H803" s="22" t="s">
        <v>465</v>
      </c>
      <c r="I803" s="80"/>
      <c r="J803" s="16" t="n">
        <v>68</v>
      </c>
      <c r="K803" s="16" t="n">
        <v>74</v>
      </c>
      <c r="L803" s="34" t="n">
        <f aca="false">(K803*70)/100</f>
        <v>51.8</v>
      </c>
      <c r="M803" s="34" t="n">
        <f aca="false">ROUNDUP(L803,0)</f>
        <v>52</v>
      </c>
      <c r="N803" s="16" t="n">
        <v>27</v>
      </c>
      <c r="O803" s="34" t="n">
        <f aca="false">N803+L803</f>
        <v>78.8</v>
      </c>
      <c r="P803" s="34" t="n">
        <f aca="false">N803+M803</f>
        <v>79</v>
      </c>
      <c r="Q803" s="16" t="n">
        <v>72</v>
      </c>
      <c r="R803" s="16" t="n">
        <v>82</v>
      </c>
      <c r="S803" s="34" t="n">
        <f aca="false">(R803*70)/100</f>
        <v>57.4</v>
      </c>
      <c r="T803" s="34" t="n">
        <f aca="false">ROUNDUP(S803,0)</f>
        <v>58</v>
      </c>
      <c r="U803" s="16" t="n">
        <v>29</v>
      </c>
      <c r="V803" s="34" t="n">
        <f aca="false">U803+S803</f>
        <v>86.4</v>
      </c>
      <c r="W803" s="34" t="n">
        <f aca="false">U803+T803</f>
        <v>87</v>
      </c>
      <c r="X803" s="16" t="n">
        <v>61</v>
      </c>
      <c r="Y803" s="34" t="n">
        <f aca="false">(X803*70)/100</f>
        <v>42.7</v>
      </c>
      <c r="Z803" s="34" t="n">
        <f aca="false">ROUNDUP(Y803,0)</f>
        <v>43</v>
      </c>
      <c r="AA803" s="16" t="n">
        <v>25</v>
      </c>
      <c r="AB803" s="34" t="n">
        <f aca="false">AA803+Y803</f>
        <v>67.7</v>
      </c>
      <c r="AC803" s="34" t="n">
        <f aca="false">AA803+Z803</f>
        <v>68</v>
      </c>
      <c r="AD803" s="32" t="n">
        <f aca="false">X803+R803+Q803+K803+J803</f>
        <v>357</v>
      </c>
      <c r="AE803" s="16" t="n">
        <f aca="false">AD803/5</f>
        <v>71.4</v>
      </c>
      <c r="AF803" s="16" t="n">
        <v>75</v>
      </c>
      <c r="AG803" s="16" t="n">
        <v>79</v>
      </c>
      <c r="AH803" s="16" t="n">
        <v>93</v>
      </c>
      <c r="AI803" s="16" t="n">
        <v>90</v>
      </c>
      <c r="AJ803" s="16" t="n">
        <f aca="false">(AI803*70)/100</f>
        <v>63</v>
      </c>
      <c r="AK803" s="35" t="n">
        <f aca="false">ROUNDUP(AJ803,0)</f>
        <v>63</v>
      </c>
      <c r="AL803" s="16" t="n">
        <v>22</v>
      </c>
      <c r="AM803" s="16" t="n">
        <f aca="false">AL803+AJ803</f>
        <v>85</v>
      </c>
      <c r="AN803" s="16" t="n">
        <f aca="false">AL803+AK803</f>
        <v>85</v>
      </c>
      <c r="AO803" s="16" t="n">
        <v>72</v>
      </c>
      <c r="AP803" s="36" t="n">
        <f aca="false">(AO803*70)/100</f>
        <v>50.4</v>
      </c>
      <c r="AQ803" s="37" t="n">
        <f aca="false">ROUNDUP(AP803,0)</f>
        <v>51</v>
      </c>
      <c r="AR803" s="16" t="n">
        <v>18</v>
      </c>
      <c r="AS803" s="16" t="n">
        <f aca="false">AR803+AP803</f>
        <v>68.4</v>
      </c>
      <c r="AT803" s="16" t="n">
        <f aca="false">AR803+AQ803</f>
        <v>69</v>
      </c>
      <c r="AU803" s="16" t="n">
        <f aca="false">AO803+AF803+AI803+AH803+AG803</f>
        <v>409</v>
      </c>
      <c r="AV803" s="16" t="n">
        <f aca="false">(AO803+AF803+AI803+AH803+AG803)/5</f>
        <v>81.8</v>
      </c>
      <c r="AW803" s="36" t="n">
        <f aca="false">(AO803+AF803+AI803+AH803+AG803+X803+R803+Q803+K803+J803)</f>
        <v>766</v>
      </c>
      <c r="AX803" s="16" t="n">
        <f aca="false">AW803/10</f>
        <v>76.6</v>
      </c>
      <c r="AY803" s="16" t="n">
        <f aca="false">AS803+AF803+AM803+AH803+AG803+AB803+V803+Q803+O803+J803</f>
        <v>773.3</v>
      </c>
      <c r="AZ803" s="16" t="n">
        <f aca="false">AT803+AF803+AN803+AH803+AG803+AC803+W803+Q803+P803+J803</f>
        <v>775</v>
      </c>
      <c r="BA803" s="16" t="n">
        <f aca="false">AY803/10</f>
        <v>77.33</v>
      </c>
      <c r="BB803" s="16" t="n">
        <f aca="false">AZ803/10</f>
        <v>77.5</v>
      </c>
      <c r="BC803" s="16" t="n">
        <v>2361</v>
      </c>
      <c r="BD803" s="16" t="n">
        <f aca="false">RANK(AX803,$AX$2:$AX$881,0)</f>
        <v>547</v>
      </c>
      <c r="BE803" s="54" t="n">
        <f aca="false">((BC803*100)/2400)*0.4+(AX803*0.6)</f>
        <v>85.31</v>
      </c>
      <c r="BF803" s="16" t="n">
        <f aca="false">RANK(BE803,$BE$2:$BE$881,0)</f>
        <v>540</v>
      </c>
      <c r="BG803" s="39" t="n">
        <f aca="false">RANK(BB803,$BB$2:$BB$881,0)</f>
        <v>603</v>
      </c>
      <c r="BH803" s="39" t="n">
        <f aca="false">RANK(BC803,$BC$2:$BC$881,0)</f>
        <v>382</v>
      </c>
      <c r="BI803" s="22" t="s">
        <v>130</v>
      </c>
      <c r="BJ803" s="22" t="s">
        <v>129</v>
      </c>
      <c r="BK803" s="40" t="s">
        <v>509</v>
      </c>
      <c r="BL803" s="98" t="n">
        <v>9</v>
      </c>
      <c r="BM803" s="61"/>
      <c r="BN803" s="61"/>
      <c r="BO803" s="74" t="n">
        <v>7</v>
      </c>
      <c r="BP803" s="61"/>
      <c r="BQ803" s="61"/>
      <c r="BR803" s="74" t="n">
        <v>8</v>
      </c>
      <c r="BS803" s="80"/>
      <c r="BT803" s="80"/>
      <c r="BU803" s="80"/>
      <c r="BV803" s="137"/>
      <c r="BW803" s="61"/>
      <c r="BX803" s="107"/>
      <c r="BY803" s="130"/>
      <c r="BZ803" s="60"/>
      <c r="CA803" s="60"/>
      <c r="CB803" s="61"/>
      <c r="CC803" s="60"/>
      <c r="CD803" s="60"/>
      <c r="CE803" s="60"/>
      <c r="CF803" s="60"/>
      <c r="CG803" s="60"/>
      <c r="CH803" s="60"/>
      <c r="CI803" s="60"/>
      <c r="CJ803" s="60"/>
      <c r="CK803" s="60"/>
      <c r="CL803" s="61"/>
      <c r="CM803" s="60"/>
      <c r="CN803" s="60"/>
      <c r="CO803" s="60"/>
      <c r="CP803" s="25" t="n">
        <f aca="false">BX803+BW803+BV803+BU803+BT803+BQ803+BN803</f>
        <v>0</v>
      </c>
      <c r="CQ803" s="25" t="n">
        <f aca="false">CO803+CL803+CI803+CH803+CG803+CD803+CA803</f>
        <v>0</v>
      </c>
      <c r="CR803" s="26" t="n">
        <f aca="false">CP803/7</f>
        <v>0</v>
      </c>
      <c r="CS803" s="26" t="n">
        <f aca="false">CQ803/7</f>
        <v>0</v>
      </c>
      <c r="CT803" s="24" t="n">
        <f aca="false">RANK(CR803,$CR$2:$CR$881,0)</f>
        <v>768</v>
      </c>
      <c r="CU803" s="25" t="n">
        <f aca="false">RANK(CS803,$CS$2:$CS$881,0)</f>
        <v>752</v>
      </c>
      <c r="CV803" s="26" t="n">
        <f aca="false">(CS803+CR803)/2</f>
        <v>0</v>
      </c>
      <c r="CW803" s="25" t="n">
        <f aca="false">RANK(CV803,$CV$2:$CV$881,0)</f>
        <v>753</v>
      </c>
      <c r="CX803" s="50" t="n">
        <f aca="false">(CV803+BB803)/2</f>
        <v>38.75</v>
      </c>
      <c r="CY803" s="50" t="n">
        <v>830</v>
      </c>
      <c r="CZ803" s="27" t="s">
        <v>132</v>
      </c>
      <c r="DA803" s="27" t="s">
        <v>162</v>
      </c>
      <c r="DB803" s="27" t="s">
        <v>162</v>
      </c>
      <c r="DC803" s="27" t="s">
        <v>134</v>
      </c>
      <c r="DD803" s="27" t="s">
        <v>182</v>
      </c>
      <c r="DE803" s="27" t="s">
        <v>183</v>
      </c>
      <c r="DF803" s="27" t="s">
        <v>205</v>
      </c>
      <c r="DG803" s="27" t="s">
        <v>134</v>
      </c>
      <c r="DH803" s="27"/>
      <c r="DI803" s="27"/>
      <c r="DJ803" s="27"/>
      <c r="DK803" s="27"/>
      <c r="DL803" s="27" t="s">
        <v>154</v>
      </c>
      <c r="DM803" s="27" t="s">
        <v>681</v>
      </c>
      <c r="DN803" s="27" t="s">
        <v>138</v>
      </c>
      <c r="DO803" s="27" t="s">
        <v>134</v>
      </c>
      <c r="DP803" s="27" t="s">
        <v>604</v>
      </c>
      <c r="DQ803" s="27" t="s">
        <v>399</v>
      </c>
      <c r="DR803" s="27" t="s">
        <v>152</v>
      </c>
      <c r="DS803" s="27" t="s">
        <v>134</v>
      </c>
      <c r="DT803" s="27" t="s">
        <v>182</v>
      </c>
      <c r="DU803" s="27" t="s">
        <v>415</v>
      </c>
      <c r="DV803" s="27" t="s">
        <v>416</v>
      </c>
      <c r="DW803" s="27"/>
      <c r="DX803" s="27"/>
      <c r="DY803" s="27"/>
      <c r="DZ803" s="27" t="n">
        <f aca="false">DY803+DV803+DR803+DN803+DJ803+DF803+DB803</f>
        <v>375</v>
      </c>
      <c r="EA803" s="28" t="n">
        <f aca="false">DZ803/7</f>
        <v>53.5714285714286</v>
      </c>
      <c r="EB803" s="27" t="n">
        <f aca="false">RANK(EA803,$EA$2:$EA$881,0)</f>
        <v>831</v>
      </c>
      <c r="EC803" s="29" t="n">
        <f aca="false">DZ803+CQ803+CP803+AZ803</f>
        <v>1150</v>
      </c>
      <c r="ED803" s="30" t="n">
        <f aca="false">(EA803+CV803+BB803)/3</f>
        <v>43.6904761904762</v>
      </c>
      <c r="EE803" s="51" t="n">
        <f aca="false">ROUND(BE803,3)</f>
        <v>85.31</v>
      </c>
      <c r="EF803" s="51" t="n">
        <f aca="false">ROUND(CR803,3)</f>
        <v>0</v>
      </c>
      <c r="EG803" s="51" t="n">
        <f aca="false">ROUND(CS803,3)</f>
        <v>0</v>
      </c>
      <c r="EH803" s="51" t="n">
        <f aca="false">ROUND(EA803,3)</f>
        <v>53.571</v>
      </c>
      <c r="EI803" s="51" t="n">
        <f aca="false">ROUND(ED803,3)</f>
        <v>43.69</v>
      </c>
      <c r="EJ803" s="51" t="n">
        <f aca="false">ROUND(CV803,3)</f>
        <v>0</v>
      </c>
      <c r="EK803" s="0" t="n">
        <f aca="false">RANK(EI803,$EI$2:$EI$881,0)</f>
        <v>802</v>
      </c>
    </row>
    <row r="804" customFormat="false" ht="15" hidden="false" customHeight="false" outlineLevel="0" collapsed="false">
      <c r="A804" s="4" t="n">
        <v>8866</v>
      </c>
      <c r="B804" s="4" t="n">
        <v>310</v>
      </c>
      <c r="C804" s="27" t="s">
        <v>2255</v>
      </c>
      <c r="D804" s="52" t="n">
        <v>309</v>
      </c>
      <c r="E804" s="136"/>
      <c r="F804" s="110" t="s">
        <v>2256</v>
      </c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136"/>
      <c r="AS804" s="136"/>
      <c r="AT804" s="136"/>
      <c r="AU804" s="136"/>
      <c r="AV804" s="136"/>
      <c r="AW804" s="136"/>
      <c r="AX804" s="136"/>
      <c r="AY804" s="136"/>
      <c r="AZ804" s="136"/>
      <c r="BA804" s="136"/>
      <c r="BB804" s="136"/>
      <c r="BC804" s="136"/>
      <c r="BD804" s="16" t="e">
        <f aca="false">RANK(AX804,$AX$2:$AX$881,0)</f>
        <v>#N/A</v>
      </c>
      <c r="BE804" s="138"/>
      <c r="BF804" s="16" t="n">
        <f aca="false">RANK(BE804,$BE$2:$BE$881,0)</f>
        <v>806</v>
      </c>
      <c r="BG804" s="39" t="e">
        <f aca="false">RANK(BB804,$BB$2:$BB$881,0)</f>
        <v>#N/A</v>
      </c>
      <c r="BH804" s="39" t="n">
        <f aca="false">RANK(BC804,$BC$2:$BC$881,0)</f>
        <v>780</v>
      </c>
      <c r="BI804" s="19" t="s">
        <v>130</v>
      </c>
      <c r="BJ804" s="19" t="s">
        <v>129</v>
      </c>
      <c r="BK804" s="109" t="s">
        <v>1596</v>
      </c>
      <c r="BL804" s="41" t="n">
        <v>24</v>
      </c>
      <c r="BM804" s="41" t="n">
        <v>48</v>
      </c>
      <c r="BN804" s="41" t="n">
        <v>72</v>
      </c>
      <c r="BO804" s="42" t="n">
        <v>28</v>
      </c>
      <c r="BP804" s="43" t="n">
        <v>63</v>
      </c>
      <c r="BQ804" s="44" t="n">
        <v>91</v>
      </c>
      <c r="BR804" s="42" t="n">
        <v>24</v>
      </c>
      <c r="BS804" s="45" t="n">
        <v>58</v>
      </c>
      <c r="BT804" s="45" t="n">
        <v>82</v>
      </c>
      <c r="BU804" s="46" t="n">
        <v>100</v>
      </c>
      <c r="BV804" s="60"/>
      <c r="BW804" s="43" t="n">
        <v>99</v>
      </c>
      <c r="BX804" s="80"/>
      <c r="BY804" s="32" t="n">
        <v>27</v>
      </c>
      <c r="BZ804" s="60"/>
      <c r="CA804" s="60"/>
      <c r="CB804" s="32" t="n">
        <v>19</v>
      </c>
      <c r="CC804" s="32" t="n">
        <v>31</v>
      </c>
      <c r="CD804" s="69" t="n">
        <v>50</v>
      </c>
      <c r="CE804" s="32" t="n">
        <v>26</v>
      </c>
      <c r="CF804" s="32" t="n">
        <v>45</v>
      </c>
      <c r="CG804" s="32" t="n">
        <v>71</v>
      </c>
      <c r="CH804" s="32" t="n">
        <v>98</v>
      </c>
      <c r="CI804" s="60"/>
      <c r="CJ804" s="49" t="n">
        <v>29</v>
      </c>
      <c r="CK804" s="49" t="n">
        <v>46</v>
      </c>
      <c r="CL804" s="49" t="n">
        <v>75</v>
      </c>
      <c r="CM804" s="49" t="n">
        <v>22</v>
      </c>
      <c r="CN804" s="49" t="n">
        <v>53</v>
      </c>
      <c r="CO804" s="49" t="n">
        <v>75</v>
      </c>
      <c r="CP804" s="25" t="n">
        <f aca="false">BX804+BW804+BV804+BU804+BT804+BQ804+BN804</f>
        <v>444</v>
      </c>
      <c r="CQ804" s="25" t="n">
        <f aca="false">CO804+CL804+CI804+CH804+CG804+CD804+CA804</f>
        <v>369</v>
      </c>
      <c r="CR804" s="26" t="n">
        <f aca="false">CP804/7</f>
        <v>63.4285714285714</v>
      </c>
      <c r="CS804" s="26" t="n">
        <f aca="false">CQ804/7</f>
        <v>52.7142857142857</v>
      </c>
      <c r="CT804" s="24" t="n">
        <f aca="false">RANK(CR804,$CR$2:$CR$881,0)</f>
        <v>709</v>
      </c>
      <c r="CU804" s="25" t="n">
        <f aca="false">RANK(CS804,$CS$2:$CS$881,0)</f>
        <v>712</v>
      </c>
      <c r="CV804" s="26" t="n">
        <f aca="false">(CS804+CR804)/2</f>
        <v>58.0714285714286</v>
      </c>
      <c r="CW804" s="25" t="n">
        <f aca="false">RANK(CV804,$CV$2:$CV$881,0)</f>
        <v>704</v>
      </c>
      <c r="CX804" s="50" t="n">
        <f aca="false">(CV804+BB804)/2</f>
        <v>29.0357142857143</v>
      </c>
      <c r="CY804" s="50" t="n">
        <v>881</v>
      </c>
      <c r="CZ804" s="27" t="s">
        <v>132</v>
      </c>
      <c r="DA804" s="27" t="s">
        <v>162</v>
      </c>
      <c r="DB804" s="27" t="s">
        <v>162</v>
      </c>
      <c r="DC804" s="27" t="s">
        <v>134</v>
      </c>
      <c r="DD804" s="27" t="s">
        <v>135</v>
      </c>
      <c r="DE804" s="27" t="s">
        <v>183</v>
      </c>
      <c r="DF804" s="27" t="s">
        <v>169</v>
      </c>
      <c r="DG804" s="27" t="s">
        <v>134</v>
      </c>
      <c r="DH804" s="27" t="s">
        <v>191</v>
      </c>
      <c r="DI804" s="27" t="s">
        <v>313</v>
      </c>
      <c r="DJ804" s="27" t="s">
        <v>398</v>
      </c>
      <c r="DK804" s="27" t="s">
        <v>134</v>
      </c>
      <c r="DL804" s="27" t="s">
        <v>140</v>
      </c>
      <c r="DM804" s="27" t="s">
        <v>313</v>
      </c>
      <c r="DN804" s="27" t="s">
        <v>196</v>
      </c>
      <c r="DO804" s="27" t="s">
        <v>134</v>
      </c>
      <c r="DP804" s="27"/>
      <c r="DQ804" s="27"/>
      <c r="DR804" s="27"/>
      <c r="DS804" s="27"/>
      <c r="DT804" s="27" t="s">
        <v>146</v>
      </c>
      <c r="DU804" s="27" t="s">
        <v>442</v>
      </c>
      <c r="DV804" s="27" t="s">
        <v>272</v>
      </c>
      <c r="DW804" s="27" t="s">
        <v>160</v>
      </c>
      <c r="DX804" s="27" t="s">
        <v>155</v>
      </c>
      <c r="DY804" s="27" t="s">
        <v>145</v>
      </c>
      <c r="DZ804" s="27" t="n">
        <f aca="false">DY804+DV804+DR804+DN804+DJ804+DF804+DB804</f>
        <v>502</v>
      </c>
      <c r="EA804" s="28" t="n">
        <f aca="false">DZ804/7</f>
        <v>71.7142857142857</v>
      </c>
      <c r="EB804" s="27" t="n">
        <f aca="false">RANK(EA804,$EA$2:$EA$881,0)</f>
        <v>617</v>
      </c>
      <c r="EC804" s="29" t="n">
        <f aca="false">DZ804+CQ804+CP804+AZ804</f>
        <v>1315</v>
      </c>
      <c r="ED804" s="30" t="n">
        <f aca="false">(EA804+CV804+BB804)/3</f>
        <v>43.2619047619048</v>
      </c>
      <c r="EE804" s="51" t="n">
        <f aca="false">ROUND(BE804,3)</f>
        <v>0</v>
      </c>
      <c r="EF804" s="51" t="n">
        <f aca="false">ROUND(CR804,3)</f>
        <v>63.429</v>
      </c>
      <c r="EG804" s="51" t="n">
        <f aca="false">ROUND(CS804,3)</f>
        <v>52.714</v>
      </c>
      <c r="EH804" s="51" t="n">
        <f aca="false">ROUND(EA804,3)</f>
        <v>71.714</v>
      </c>
      <c r="EI804" s="51" t="n">
        <f aca="false">ROUND(ED804,3)</f>
        <v>43.262</v>
      </c>
      <c r="EJ804" s="51" t="n">
        <f aca="false">ROUND(CV804,3)</f>
        <v>58.071</v>
      </c>
      <c r="EK804" s="0" t="n">
        <f aca="false">RANK(EI804,$EI$2:$EI$881,0)</f>
        <v>803</v>
      </c>
    </row>
    <row r="805" customFormat="false" ht="15" hidden="false" customHeight="false" outlineLevel="0" collapsed="false">
      <c r="A805" s="4" t="n">
        <v>9046</v>
      </c>
      <c r="B805" s="4" t="n">
        <v>316</v>
      </c>
      <c r="C805" s="27" t="s">
        <v>2257</v>
      </c>
      <c r="D805" s="52" t="n">
        <v>317</v>
      </c>
      <c r="E805" s="136"/>
      <c r="F805" s="110" t="s">
        <v>2258</v>
      </c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  <c r="AU805" s="136"/>
      <c r="AV805" s="136"/>
      <c r="AW805" s="136"/>
      <c r="AX805" s="136"/>
      <c r="AY805" s="136"/>
      <c r="AZ805" s="136"/>
      <c r="BA805" s="136"/>
      <c r="BB805" s="136"/>
      <c r="BC805" s="136"/>
      <c r="BD805" s="16" t="e">
        <f aca="false">RANK(AX805,$AX$2:$AX$881,0)</f>
        <v>#N/A</v>
      </c>
      <c r="BE805" s="138"/>
      <c r="BF805" s="16" t="n">
        <f aca="false">RANK(BE805,$BE$2:$BE$881,0)</f>
        <v>806</v>
      </c>
      <c r="BG805" s="39" t="e">
        <f aca="false">RANK(BB805,$BB$2:$BB$881,0)</f>
        <v>#N/A</v>
      </c>
      <c r="BH805" s="39" t="n">
        <f aca="false">RANK(BC805,$BC$2:$BC$881,0)</f>
        <v>780</v>
      </c>
      <c r="BI805" s="19" t="s">
        <v>130</v>
      </c>
      <c r="BJ805" s="19" t="s">
        <v>129</v>
      </c>
      <c r="BK805" s="109" t="s">
        <v>1596</v>
      </c>
      <c r="BL805" s="41" t="n">
        <v>25</v>
      </c>
      <c r="BM805" s="41" t="n">
        <v>48</v>
      </c>
      <c r="BN805" s="41" t="n">
        <v>73</v>
      </c>
      <c r="BO805" s="42" t="n">
        <v>28</v>
      </c>
      <c r="BP805" s="43" t="n">
        <v>58</v>
      </c>
      <c r="BQ805" s="44" t="n">
        <v>86</v>
      </c>
      <c r="BR805" s="42" t="n">
        <v>26</v>
      </c>
      <c r="BS805" s="45" t="n">
        <v>46</v>
      </c>
      <c r="BT805" s="45" t="n">
        <v>72</v>
      </c>
      <c r="BU805" s="46" t="n">
        <v>99</v>
      </c>
      <c r="BV805" s="60"/>
      <c r="BW805" s="43" t="n">
        <v>93</v>
      </c>
      <c r="BX805" s="80"/>
      <c r="BY805" s="32" t="n">
        <v>21</v>
      </c>
      <c r="BZ805" s="32" t="n">
        <v>51</v>
      </c>
      <c r="CA805" s="48" t="n">
        <v>72</v>
      </c>
      <c r="CB805" s="32" t="n">
        <v>13</v>
      </c>
      <c r="CC805" s="32" t="n">
        <v>28</v>
      </c>
      <c r="CD805" s="69" t="n">
        <v>41</v>
      </c>
      <c r="CE805" s="32" t="n">
        <v>23</v>
      </c>
      <c r="CF805" s="32" t="n">
        <v>30</v>
      </c>
      <c r="CG805" s="69" t="n">
        <v>53</v>
      </c>
      <c r="CH805" s="32" t="n">
        <v>93</v>
      </c>
      <c r="CI805" s="32" t="n">
        <v>62</v>
      </c>
      <c r="CJ805" s="49" t="n">
        <v>20</v>
      </c>
      <c r="CK805" s="49" t="n">
        <v>40</v>
      </c>
      <c r="CL805" s="49" t="n">
        <v>60</v>
      </c>
      <c r="CM805" s="49" t="n">
        <v>19</v>
      </c>
      <c r="CN805" s="49" t="n">
        <v>42</v>
      </c>
      <c r="CO805" s="49" t="n">
        <v>61</v>
      </c>
      <c r="CP805" s="25" t="n">
        <f aca="false">BX805+BW805+BV805+BU805+BT805+BQ805+BN805</f>
        <v>423</v>
      </c>
      <c r="CQ805" s="25" t="n">
        <f aca="false">CO805+CL805+CI805+CH805+CG805+CD805+CA805</f>
        <v>442</v>
      </c>
      <c r="CR805" s="26" t="n">
        <f aca="false">CP805/7</f>
        <v>60.4285714285714</v>
      </c>
      <c r="CS805" s="26" t="n">
        <f aca="false">CQ805/7</f>
        <v>63.1428571428571</v>
      </c>
      <c r="CT805" s="24" t="n">
        <f aca="false">RANK(CR805,$CR$2:$CR$881,0)</f>
        <v>718</v>
      </c>
      <c r="CU805" s="25" t="n">
        <f aca="false">RANK(CS805,$CS$2:$CS$881,0)</f>
        <v>649</v>
      </c>
      <c r="CV805" s="26" t="n">
        <f aca="false">(CS805+CR805)/2</f>
        <v>61.7857142857143</v>
      </c>
      <c r="CW805" s="25" t="n">
        <f aca="false">RANK(CV805,$CV$2:$CV$881,0)</f>
        <v>693</v>
      </c>
      <c r="CX805" s="50" t="n">
        <f aca="false">(CV805+BB805)/2</f>
        <v>30.8928571428571</v>
      </c>
      <c r="CY805" s="50" t="n">
        <v>878</v>
      </c>
      <c r="CZ805" s="27" t="s">
        <v>132</v>
      </c>
      <c r="DA805" s="27" t="s">
        <v>169</v>
      </c>
      <c r="DB805" s="27" t="s">
        <v>169</v>
      </c>
      <c r="DC805" s="27" t="s">
        <v>134</v>
      </c>
      <c r="DD805" s="27" t="s">
        <v>154</v>
      </c>
      <c r="DE805" s="27" t="s">
        <v>681</v>
      </c>
      <c r="DF805" s="27" t="s">
        <v>138</v>
      </c>
      <c r="DG805" s="27" t="s">
        <v>134</v>
      </c>
      <c r="DH805" s="27" t="s">
        <v>264</v>
      </c>
      <c r="DI805" s="27" t="s">
        <v>479</v>
      </c>
      <c r="DJ805" s="27" t="s">
        <v>183</v>
      </c>
      <c r="DK805" s="27" t="s">
        <v>480</v>
      </c>
      <c r="DL805" s="27" t="s">
        <v>174</v>
      </c>
      <c r="DM805" s="27" t="s">
        <v>638</v>
      </c>
      <c r="DN805" s="27" t="s">
        <v>141</v>
      </c>
      <c r="DO805" s="27" t="s">
        <v>134</v>
      </c>
      <c r="DP805" s="27" t="s">
        <v>825</v>
      </c>
      <c r="DQ805" s="27" t="s">
        <v>1395</v>
      </c>
      <c r="DR805" s="27" t="s">
        <v>415</v>
      </c>
      <c r="DS805" s="27" t="s">
        <v>480</v>
      </c>
      <c r="DT805" s="27" t="s">
        <v>182</v>
      </c>
      <c r="DU805" s="27" t="s">
        <v>479</v>
      </c>
      <c r="DV805" s="27" t="s">
        <v>136</v>
      </c>
      <c r="DW805" s="27" t="s">
        <v>135</v>
      </c>
      <c r="DX805" s="27" t="s">
        <v>136</v>
      </c>
      <c r="DY805" s="27" t="s">
        <v>133</v>
      </c>
      <c r="DZ805" s="27" t="n">
        <f aca="false">DY805+DV805+DR805+DN805+DJ805+DF805+DB805</f>
        <v>475</v>
      </c>
      <c r="EA805" s="28" t="n">
        <f aca="false">DZ805/7</f>
        <v>67.8571428571429</v>
      </c>
      <c r="EB805" s="27" t="n">
        <f aca="false">RANK(EA805,$EA$2:$EA$881,0)</f>
        <v>693</v>
      </c>
      <c r="EC805" s="29" t="n">
        <f aca="false">DZ805+CQ805+CP805+AZ805</f>
        <v>1340</v>
      </c>
      <c r="ED805" s="30" t="n">
        <f aca="false">(EA805+CV805+BB805)/3</f>
        <v>43.2142857142857</v>
      </c>
      <c r="EE805" s="51" t="n">
        <f aca="false">ROUND(BE805,3)</f>
        <v>0</v>
      </c>
      <c r="EF805" s="51" t="n">
        <f aca="false">ROUND(CR805,3)</f>
        <v>60.429</v>
      </c>
      <c r="EG805" s="51" t="n">
        <f aca="false">ROUND(CS805,3)</f>
        <v>63.143</v>
      </c>
      <c r="EH805" s="51" t="n">
        <f aca="false">ROUND(EA805,3)</f>
        <v>67.857</v>
      </c>
      <c r="EI805" s="51" t="n">
        <f aca="false">ROUND(ED805,3)</f>
        <v>43.214</v>
      </c>
      <c r="EJ805" s="51" t="n">
        <f aca="false">ROUND(CV805,3)</f>
        <v>61.786</v>
      </c>
      <c r="EK805" s="0" t="n">
        <f aca="false">RANK(EI805,$EI$2:$EI$881,0)</f>
        <v>804</v>
      </c>
    </row>
    <row r="806" customFormat="false" ht="15" hidden="false" customHeight="false" outlineLevel="0" collapsed="false">
      <c r="A806" s="4" t="n">
        <v>2086</v>
      </c>
      <c r="B806" s="4" t="n">
        <v>510</v>
      </c>
      <c r="C806" s="27" t="s">
        <v>2259</v>
      </c>
      <c r="D806" s="31" t="n">
        <v>515</v>
      </c>
      <c r="E806" s="16" t="n">
        <v>230506283</v>
      </c>
      <c r="F806" s="56" t="s">
        <v>2260</v>
      </c>
      <c r="G806" s="22" t="s">
        <v>2261</v>
      </c>
      <c r="H806" s="22" t="s">
        <v>465</v>
      </c>
      <c r="I806" s="80"/>
      <c r="J806" s="16" t="n">
        <v>78</v>
      </c>
      <c r="K806" s="16" t="n">
        <v>78</v>
      </c>
      <c r="L806" s="34" t="n">
        <f aca="false">(K806*70)/100</f>
        <v>54.6</v>
      </c>
      <c r="M806" s="34" t="n">
        <f aca="false">ROUNDUP(L806,0)</f>
        <v>55</v>
      </c>
      <c r="N806" s="16" t="n">
        <v>20</v>
      </c>
      <c r="O806" s="34" t="n">
        <f aca="false">N806+L806</f>
        <v>74.6</v>
      </c>
      <c r="P806" s="34" t="n">
        <f aca="false">N806+M806</f>
        <v>75</v>
      </c>
      <c r="Q806" s="16" t="n">
        <v>79</v>
      </c>
      <c r="R806" s="16" t="n">
        <v>78</v>
      </c>
      <c r="S806" s="34" t="n">
        <f aca="false">(R806*70)/100</f>
        <v>54.6</v>
      </c>
      <c r="T806" s="34" t="n">
        <f aca="false">ROUNDUP(S806,0)</f>
        <v>55</v>
      </c>
      <c r="U806" s="16" t="n">
        <v>24</v>
      </c>
      <c r="V806" s="34" t="n">
        <f aca="false">U806+S806</f>
        <v>78.6</v>
      </c>
      <c r="W806" s="34" t="n">
        <f aca="false">U806+T806</f>
        <v>79</v>
      </c>
      <c r="X806" s="16" t="n">
        <v>66</v>
      </c>
      <c r="Y806" s="34" t="n">
        <f aca="false">(X806*70)/100</f>
        <v>46.2</v>
      </c>
      <c r="Z806" s="34" t="n">
        <f aca="false">ROUNDUP(Y806,0)</f>
        <v>47</v>
      </c>
      <c r="AA806" s="16" t="n">
        <v>26</v>
      </c>
      <c r="AB806" s="34" t="n">
        <f aca="false">AA806+Y806</f>
        <v>72.2</v>
      </c>
      <c r="AC806" s="34" t="n">
        <f aca="false">AA806+Z806</f>
        <v>73</v>
      </c>
      <c r="AD806" s="32" t="n">
        <f aca="false">X806+R806+Q806+K806+J806</f>
        <v>379</v>
      </c>
      <c r="AE806" s="16" t="n">
        <f aca="false">AD806/5</f>
        <v>75.8</v>
      </c>
      <c r="AF806" s="16" t="n">
        <v>69</v>
      </c>
      <c r="AG806" s="16" t="n">
        <v>80</v>
      </c>
      <c r="AH806" s="16" t="n">
        <v>77</v>
      </c>
      <c r="AI806" s="16" t="n">
        <v>84</v>
      </c>
      <c r="AJ806" s="16" t="n">
        <f aca="false">(AI806*70)/100</f>
        <v>58.8</v>
      </c>
      <c r="AK806" s="35" t="n">
        <f aca="false">ROUNDUP(AJ806,0)</f>
        <v>59</v>
      </c>
      <c r="AL806" s="16" t="n">
        <v>27</v>
      </c>
      <c r="AM806" s="16" t="n">
        <f aca="false">AL806+AJ806</f>
        <v>85.8</v>
      </c>
      <c r="AN806" s="16" t="n">
        <f aca="false">AL806+AK806</f>
        <v>86</v>
      </c>
      <c r="AO806" s="16" t="n">
        <v>62</v>
      </c>
      <c r="AP806" s="36" t="n">
        <f aca="false">(AO806*70)/100</f>
        <v>43.4</v>
      </c>
      <c r="AQ806" s="37" t="n">
        <f aca="false">ROUNDUP(AP806,0)</f>
        <v>44</v>
      </c>
      <c r="AR806" s="16" t="n">
        <v>27</v>
      </c>
      <c r="AS806" s="16" t="n">
        <f aca="false">AR806+AP806</f>
        <v>70.4</v>
      </c>
      <c r="AT806" s="16" t="n">
        <f aca="false">AR806+AQ806</f>
        <v>71</v>
      </c>
      <c r="AU806" s="16" t="n">
        <f aca="false">AO806+AF806+AI806+AH806+AG806</f>
        <v>372</v>
      </c>
      <c r="AV806" s="16" t="n">
        <f aca="false">(AO806+AF806+AI806+AH806+AG806)/5</f>
        <v>74.4</v>
      </c>
      <c r="AW806" s="36" t="n">
        <f aca="false">(AO806+AF806+AI806+AH806+AG806+X806+R806+Q806+K806+J806)</f>
        <v>751</v>
      </c>
      <c r="AX806" s="16" t="n">
        <f aca="false">AW806/10</f>
        <v>75.1</v>
      </c>
      <c r="AY806" s="16" t="n">
        <f aca="false">AS806+AF806+AM806+AH806+AG806+AB806+V806+Q806+O806+J806</f>
        <v>764.6</v>
      </c>
      <c r="AZ806" s="16" t="n">
        <f aca="false">AT806+AF806+AN806+AH806+AG806+AC806+W806+Q806+P806+J806</f>
        <v>767</v>
      </c>
      <c r="BA806" s="16" t="n">
        <f aca="false">AY806/10</f>
        <v>76.46</v>
      </c>
      <c r="BB806" s="16" t="n">
        <f aca="false">AZ806/10</f>
        <v>76.7</v>
      </c>
      <c r="BC806" s="16" t="n">
        <v>2389</v>
      </c>
      <c r="BD806" s="16" t="n">
        <f aca="false">RANK(AX806,$AX$2:$AX$881,0)</f>
        <v>682</v>
      </c>
      <c r="BE806" s="73" t="n">
        <f aca="false">((BC806*100)/2400)*0.4+(AX806*0.6)</f>
        <v>84.8766666666667</v>
      </c>
      <c r="BF806" s="16" t="n">
        <f aca="false">RANK(BE806,$BE$2:$BE$881,0)</f>
        <v>640</v>
      </c>
      <c r="BG806" s="39" t="n">
        <f aca="false">RANK(BB806,$BB$2:$BB$881,0)</f>
        <v>658</v>
      </c>
      <c r="BH806" s="39" t="n">
        <f aca="false">RANK(BC806,$BC$2:$BC$881,0)</f>
        <v>59</v>
      </c>
      <c r="BI806" s="22" t="s">
        <v>130</v>
      </c>
      <c r="BJ806" s="22" t="s">
        <v>129</v>
      </c>
      <c r="BK806" s="22" t="s">
        <v>509</v>
      </c>
      <c r="BL806" s="98" t="n">
        <v>6</v>
      </c>
      <c r="BM806" s="61"/>
      <c r="BN806" s="61"/>
      <c r="BO806" s="42" t="n">
        <v>21</v>
      </c>
      <c r="BP806" s="61"/>
      <c r="BQ806" s="61"/>
      <c r="BR806" s="74" t="n">
        <v>9</v>
      </c>
      <c r="BS806" s="80"/>
      <c r="BT806" s="80"/>
      <c r="BU806" s="80"/>
      <c r="BV806" s="137"/>
      <c r="BW806" s="61"/>
      <c r="BX806" s="107"/>
      <c r="BY806" s="130"/>
      <c r="BZ806" s="58" t="n">
        <v>18</v>
      </c>
      <c r="CA806" s="58" t="n">
        <v>61</v>
      </c>
      <c r="CB806" s="59" t="n">
        <v>79</v>
      </c>
      <c r="CC806" s="60"/>
      <c r="CD806" s="60"/>
      <c r="CE806" s="60"/>
      <c r="CF806" s="60"/>
      <c r="CG806" s="60"/>
      <c r="CH806" s="60"/>
      <c r="CI806" s="60"/>
      <c r="CJ806" s="60"/>
      <c r="CK806" s="60"/>
      <c r="CL806" s="61"/>
      <c r="CM806" s="60"/>
      <c r="CN806" s="60"/>
      <c r="CO806" s="60"/>
      <c r="CP806" s="25" t="n">
        <f aca="false">BX806+BW806+BV806+BU806+BT806+BQ806+BN806</f>
        <v>0</v>
      </c>
      <c r="CQ806" s="25" t="n">
        <f aca="false">CO806+CL806+CI806+CH806+CG806+CD806+CA806</f>
        <v>61</v>
      </c>
      <c r="CR806" s="26" t="n">
        <f aca="false">CP806/7</f>
        <v>0</v>
      </c>
      <c r="CS806" s="26" t="n">
        <f aca="false">CQ806/7</f>
        <v>8.71428571428571</v>
      </c>
      <c r="CT806" s="24" t="n">
        <f aca="false">RANK(CR806,$CR$2:$CR$881,0)</f>
        <v>768</v>
      </c>
      <c r="CU806" s="25" t="n">
        <f aca="false">RANK(CS806,$CS$2:$CS$881,0)</f>
        <v>749</v>
      </c>
      <c r="CV806" s="26" t="n">
        <f aca="false">(CS806+CR806)/2</f>
        <v>4.35714285714286</v>
      </c>
      <c r="CW806" s="25" t="n">
        <f aca="false">RANK(CV806,$CV$2:$CV$881,0)</f>
        <v>752</v>
      </c>
      <c r="CX806" s="50" t="n">
        <f aca="false">(CV806+BB806)/2</f>
        <v>40.5285714285714</v>
      </c>
      <c r="CY806" s="50" t="n">
        <v>846</v>
      </c>
      <c r="CZ806" s="27" t="s">
        <v>132</v>
      </c>
      <c r="DA806" s="27" t="s">
        <v>202</v>
      </c>
      <c r="DB806" s="27" t="s">
        <v>202</v>
      </c>
      <c r="DC806" s="27" t="s">
        <v>134</v>
      </c>
      <c r="DD806" s="27" t="s">
        <v>182</v>
      </c>
      <c r="DE806" s="27" t="s">
        <v>218</v>
      </c>
      <c r="DF806" s="27" t="s">
        <v>196</v>
      </c>
      <c r="DG806" s="27" t="s">
        <v>134</v>
      </c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 t="s">
        <v>137</v>
      </c>
      <c r="DU806" s="27" t="s">
        <v>399</v>
      </c>
      <c r="DV806" s="27" t="s">
        <v>372</v>
      </c>
      <c r="DW806" s="27" t="s">
        <v>140</v>
      </c>
      <c r="DX806" s="27" t="s">
        <v>138</v>
      </c>
      <c r="DY806" s="27" t="s">
        <v>145</v>
      </c>
      <c r="DZ806" s="27" t="n">
        <f aca="false">DY806+DV806+DR806+DN806+DJ806+DF806+DB806</f>
        <v>339</v>
      </c>
      <c r="EA806" s="28" t="n">
        <f aca="false">DZ806/7</f>
        <v>48.4285714285714</v>
      </c>
      <c r="EB806" s="27" t="n">
        <f aca="false">RANK(EA806,$EA$2:$EA$881,0)</f>
        <v>842</v>
      </c>
      <c r="EC806" s="29" t="n">
        <f aca="false">DZ806+CQ806+CP806+AZ806</f>
        <v>1167</v>
      </c>
      <c r="ED806" s="30" t="n">
        <f aca="false">(EA806+CV806+BB806)/3</f>
        <v>43.1619047619048</v>
      </c>
      <c r="EE806" s="51" t="n">
        <f aca="false">ROUND(BE806,3)</f>
        <v>84.877</v>
      </c>
      <c r="EF806" s="51" t="n">
        <f aca="false">ROUND(CR806,3)</f>
        <v>0</v>
      </c>
      <c r="EG806" s="51" t="n">
        <f aca="false">ROUND(CS806,3)</f>
        <v>8.714</v>
      </c>
      <c r="EH806" s="51" t="n">
        <f aca="false">ROUND(EA806,3)</f>
        <v>48.429</v>
      </c>
      <c r="EI806" s="51" t="n">
        <f aca="false">ROUND(ED806,3)</f>
        <v>43.162</v>
      </c>
      <c r="EJ806" s="51" t="n">
        <f aca="false">ROUND(CV806,3)</f>
        <v>4.357</v>
      </c>
      <c r="EK806" s="0" t="n">
        <f aca="false">RANK(EI806,$EI$2:$EI$881,0)</f>
        <v>805</v>
      </c>
    </row>
    <row r="807" customFormat="false" ht="15" hidden="false" customHeight="false" outlineLevel="0" collapsed="false">
      <c r="A807" s="4" t="n">
        <v>8635</v>
      </c>
      <c r="B807" s="4" t="n">
        <v>500</v>
      </c>
      <c r="C807" s="27" t="s">
        <v>2262</v>
      </c>
      <c r="D807" s="31" t="n">
        <v>507</v>
      </c>
      <c r="E807" s="16" t="n">
        <v>230515396</v>
      </c>
      <c r="F807" s="56" t="s">
        <v>2263</v>
      </c>
      <c r="G807" s="22" t="s">
        <v>484</v>
      </c>
      <c r="H807" s="22" t="s">
        <v>465</v>
      </c>
      <c r="I807" s="80"/>
      <c r="J807" s="71" t="n">
        <v>57</v>
      </c>
      <c r="K807" s="16" t="n">
        <v>70</v>
      </c>
      <c r="L807" s="34" t="n">
        <f aca="false">(K807*70)/100</f>
        <v>49</v>
      </c>
      <c r="M807" s="34" t="n">
        <f aca="false">ROUNDUP(L807,0)</f>
        <v>49</v>
      </c>
      <c r="N807" s="16" t="n">
        <v>23</v>
      </c>
      <c r="O807" s="34" t="n">
        <f aca="false">N807+L807</f>
        <v>72</v>
      </c>
      <c r="P807" s="34" t="n">
        <f aca="false">N807+M807</f>
        <v>72</v>
      </c>
      <c r="Q807" s="71" t="n">
        <v>55</v>
      </c>
      <c r="R807" s="16" t="n">
        <v>60</v>
      </c>
      <c r="S807" s="34" t="n">
        <f aca="false">(R807*70)/100</f>
        <v>42</v>
      </c>
      <c r="T807" s="34" t="n">
        <f aca="false">ROUNDUP(S807,0)</f>
        <v>42</v>
      </c>
      <c r="U807" s="16" t="n">
        <v>25</v>
      </c>
      <c r="V807" s="34" t="n">
        <f aca="false">U807+S807</f>
        <v>67</v>
      </c>
      <c r="W807" s="34" t="n">
        <f aca="false">U807+T807</f>
        <v>67</v>
      </c>
      <c r="X807" s="16" t="n">
        <v>56</v>
      </c>
      <c r="Y807" s="34" t="n">
        <f aca="false">(X807*70)/100</f>
        <v>39.2</v>
      </c>
      <c r="Z807" s="34" t="n">
        <f aca="false">ROUNDUP(Y807,0)</f>
        <v>40</v>
      </c>
      <c r="AA807" s="16" t="n">
        <v>25</v>
      </c>
      <c r="AB807" s="34" t="n">
        <f aca="false">AA807+Y807</f>
        <v>64.2</v>
      </c>
      <c r="AC807" s="34" t="n">
        <f aca="false">AA807+Z807</f>
        <v>65</v>
      </c>
      <c r="AD807" s="32" t="n">
        <f aca="false">X807+R807+Q807+K807+J807</f>
        <v>298</v>
      </c>
      <c r="AE807" s="16" t="n">
        <f aca="false">AD807/5</f>
        <v>59.6</v>
      </c>
      <c r="AF807" s="16" t="n">
        <v>75</v>
      </c>
      <c r="AG807" s="16" t="n">
        <v>72</v>
      </c>
      <c r="AH807" s="16" t="n">
        <v>63</v>
      </c>
      <c r="AI807" s="16" t="n">
        <v>65</v>
      </c>
      <c r="AJ807" s="16" t="n">
        <f aca="false">(AI807*70)/100</f>
        <v>45.5</v>
      </c>
      <c r="AK807" s="35" t="n">
        <f aca="false">ROUNDUP(AJ807,0)</f>
        <v>46</v>
      </c>
      <c r="AL807" s="16" t="n">
        <v>21</v>
      </c>
      <c r="AM807" s="16" t="n">
        <f aca="false">AL807+AJ807</f>
        <v>66.5</v>
      </c>
      <c r="AN807" s="16" t="n">
        <f aca="false">AL807+AK807</f>
        <v>67</v>
      </c>
      <c r="AO807" s="16" t="n">
        <v>50</v>
      </c>
      <c r="AP807" s="36" t="n">
        <f aca="false">(AO807*70)/100</f>
        <v>35</v>
      </c>
      <c r="AQ807" s="37" t="n">
        <f aca="false">ROUNDUP(AP807,0)</f>
        <v>35</v>
      </c>
      <c r="AR807" s="16" t="n">
        <v>22</v>
      </c>
      <c r="AS807" s="16" t="n">
        <f aca="false">AR807+AP807</f>
        <v>57</v>
      </c>
      <c r="AT807" s="71" t="n">
        <f aca="false">AR807+AQ807</f>
        <v>57</v>
      </c>
      <c r="AU807" s="16" t="n">
        <f aca="false">AO807+AF807+AI807+AH807+AG807</f>
        <v>325</v>
      </c>
      <c r="AV807" s="16" t="n">
        <f aca="false">(AO807+AF807+AI807+AH807+AG807)/5</f>
        <v>65</v>
      </c>
      <c r="AW807" s="36" t="n">
        <f aca="false">(AO807+AF807+AI807+AH807+AG807+X807+R807+Q807+K807+J807)</f>
        <v>623</v>
      </c>
      <c r="AX807" s="16" t="n">
        <f aca="false">AW807/10</f>
        <v>62.3</v>
      </c>
      <c r="AY807" s="16" t="n">
        <f aca="false">AS807+AF807+AM807+AH807+AG807+AB807+V807+Q807+O807+J807</f>
        <v>648.7</v>
      </c>
      <c r="AZ807" s="16" t="n">
        <f aca="false">AT807+AF807+AN807+AH807+AG807+AC807+W807+Q807+P807+J807</f>
        <v>650</v>
      </c>
      <c r="BA807" s="16" t="n">
        <f aca="false">AY807/10</f>
        <v>64.87</v>
      </c>
      <c r="BB807" s="16" t="n">
        <f aca="false">AZ807/10</f>
        <v>65</v>
      </c>
      <c r="BC807" s="16" t="n">
        <v>2361</v>
      </c>
      <c r="BD807" s="16" t="n">
        <f aca="false">RANK(AX807,$AX$2:$AX$881,0)</f>
        <v>791</v>
      </c>
      <c r="BE807" s="78" t="n">
        <f aca="false">((BC807*100)/2400)*0.4+(AX807*0.6)</f>
        <v>76.73</v>
      </c>
      <c r="BF807" s="16" t="n">
        <f aca="false">RANK(BE807,$BE$2:$BE$881,0)</f>
        <v>771</v>
      </c>
      <c r="BG807" s="39" t="n">
        <f aca="false">RANK(BB807,$BB$2:$BB$881,0)</f>
        <v>785</v>
      </c>
      <c r="BH807" s="39" t="n">
        <f aca="false">RANK(BC807,$BC$2:$BC$881,0)</f>
        <v>382</v>
      </c>
      <c r="BI807" s="22" t="s">
        <v>130</v>
      </c>
      <c r="BJ807" s="22" t="s">
        <v>129</v>
      </c>
      <c r="BK807" s="40" t="s">
        <v>702</v>
      </c>
      <c r="BL807" s="101" t="n">
        <v>8.5</v>
      </c>
      <c r="BM807" s="61"/>
      <c r="BN807" s="61"/>
      <c r="BO807" s="74" t="n">
        <v>6</v>
      </c>
      <c r="BP807" s="61"/>
      <c r="BQ807" s="61"/>
      <c r="BR807" s="74" t="n">
        <v>7</v>
      </c>
      <c r="BS807" s="80"/>
      <c r="BT807" s="80"/>
      <c r="BU807" s="80"/>
      <c r="BV807" s="137"/>
      <c r="BW807" s="61"/>
      <c r="BX807" s="107"/>
      <c r="BY807" s="130"/>
      <c r="BZ807" s="60"/>
      <c r="CA807" s="60"/>
      <c r="CB807" s="61"/>
      <c r="CC807" s="60"/>
      <c r="CD807" s="60"/>
      <c r="CE807" s="60"/>
      <c r="CF807" s="60"/>
      <c r="CG807" s="60"/>
      <c r="CH807" s="60"/>
      <c r="CI807" s="60"/>
      <c r="CJ807" s="60"/>
      <c r="CK807" s="60"/>
      <c r="CL807" s="61"/>
      <c r="CM807" s="60"/>
      <c r="CN807" s="60"/>
      <c r="CO807" s="60"/>
      <c r="CP807" s="25" t="n">
        <f aca="false">BX807+BW807+BV807+BU807+BT807+BQ807+BN807</f>
        <v>0</v>
      </c>
      <c r="CQ807" s="25" t="n">
        <f aca="false">CO807+CL807+CI807+CH807+CG807+CD807+CA807</f>
        <v>0</v>
      </c>
      <c r="CR807" s="26" t="n">
        <f aca="false">CP807/7</f>
        <v>0</v>
      </c>
      <c r="CS807" s="26" t="n">
        <f aca="false">CQ807/7</f>
        <v>0</v>
      </c>
      <c r="CT807" s="24" t="n">
        <f aca="false">RANK(CR807,$CR$2:$CR$881,0)</f>
        <v>768</v>
      </c>
      <c r="CU807" s="25" t="n">
        <f aca="false">RANK(CS807,$CS$2:$CS$881,0)</f>
        <v>752</v>
      </c>
      <c r="CV807" s="26" t="n">
        <f aca="false">(CS807+CR807)/2</f>
        <v>0</v>
      </c>
      <c r="CW807" s="25" t="n">
        <f aca="false">RANK(CV807,$CV$2:$CV$881,0)</f>
        <v>753</v>
      </c>
      <c r="CX807" s="50" t="n">
        <f aca="false">(CV807+BB807)/2</f>
        <v>32.5</v>
      </c>
      <c r="CY807" s="50" t="n">
        <v>874</v>
      </c>
      <c r="CZ807" s="27" t="s">
        <v>132</v>
      </c>
      <c r="DA807" s="27" t="s">
        <v>176</v>
      </c>
      <c r="DB807" s="27" t="s">
        <v>176</v>
      </c>
      <c r="DC807" s="27" t="s">
        <v>134</v>
      </c>
      <c r="DD807" s="27" t="s">
        <v>264</v>
      </c>
      <c r="DE807" s="27" t="s">
        <v>442</v>
      </c>
      <c r="DF807" s="27" t="s">
        <v>143</v>
      </c>
      <c r="DG807" s="27" t="s">
        <v>134</v>
      </c>
      <c r="DH807" s="27" t="s">
        <v>174</v>
      </c>
      <c r="DI807" s="27" t="s">
        <v>415</v>
      </c>
      <c r="DJ807" s="27" t="s">
        <v>138</v>
      </c>
      <c r="DK807" s="27" t="s">
        <v>134</v>
      </c>
      <c r="DL807" s="27" t="s">
        <v>174</v>
      </c>
      <c r="DM807" s="27" t="s">
        <v>1407</v>
      </c>
      <c r="DN807" s="27" t="s">
        <v>203</v>
      </c>
      <c r="DO807" s="27" t="s">
        <v>134</v>
      </c>
      <c r="DP807" s="27"/>
      <c r="DQ807" s="27"/>
      <c r="DR807" s="27"/>
      <c r="DS807" s="27"/>
      <c r="DT807" s="27" t="s">
        <v>135</v>
      </c>
      <c r="DU807" s="27" t="s">
        <v>906</v>
      </c>
      <c r="DV807" s="27" t="s">
        <v>136</v>
      </c>
      <c r="DW807" s="27" t="s">
        <v>164</v>
      </c>
      <c r="DX807" s="27" t="s">
        <v>141</v>
      </c>
      <c r="DY807" s="27" t="s">
        <v>156</v>
      </c>
      <c r="DZ807" s="27" t="n">
        <f aca="false">DY807+DV807+DR807+DN807+DJ807+DF807+DB807</f>
        <v>448</v>
      </c>
      <c r="EA807" s="28" t="n">
        <f aca="false">DZ807/7</f>
        <v>64</v>
      </c>
      <c r="EB807" s="27" t="n">
        <f aca="false">RANK(EA807,$EA$2:$EA$881,0)</f>
        <v>745</v>
      </c>
      <c r="EC807" s="29" t="n">
        <f aca="false">DZ807+CQ807+CP807+AZ807</f>
        <v>1098</v>
      </c>
      <c r="ED807" s="30" t="n">
        <f aca="false">(EA807+CV807+BB807)/3</f>
        <v>43</v>
      </c>
      <c r="EE807" s="51" t="n">
        <f aca="false">ROUND(BE807,3)</f>
        <v>76.73</v>
      </c>
      <c r="EF807" s="51" t="n">
        <f aca="false">ROUND(CR807,3)</f>
        <v>0</v>
      </c>
      <c r="EG807" s="51" t="n">
        <f aca="false">ROUND(CS807,3)</f>
        <v>0</v>
      </c>
      <c r="EH807" s="51" t="n">
        <f aca="false">ROUND(EA807,3)</f>
        <v>64</v>
      </c>
      <c r="EI807" s="51" t="n">
        <f aca="false">ROUND(ED807,3)</f>
        <v>43</v>
      </c>
      <c r="EJ807" s="51" t="n">
        <f aca="false">ROUND(CV807,3)</f>
        <v>0</v>
      </c>
      <c r="EK807" s="0" t="n">
        <f aca="false">RANK(EI807,$EI$2:$EI$881,0)</f>
        <v>806</v>
      </c>
    </row>
    <row r="808" customFormat="false" ht="15" hidden="false" customHeight="false" outlineLevel="0" collapsed="false">
      <c r="A808" s="4" t="n">
        <v>8109</v>
      </c>
      <c r="B808" s="4" t="n">
        <v>364</v>
      </c>
      <c r="C808" s="27" t="s">
        <v>2264</v>
      </c>
      <c r="D808" s="52" t="n">
        <v>369</v>
      </c>
      <c r="E808" s="136"/>
      <c r="F808" s="110" t="s">
        <v>2265</v>
      </c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136"/>
      <c r="AS808" s="136"/>
      <c r="AT808" s="136"/>
      <c r="AU808" s="136"/>
      <c r="AV808" s="136"/>
      <c r="AW808" s="136"/>
      <c r="AX808" s="136"/>
      <c r="AY808" s="136"/>
      <c r="AZ808" s="136"/>
      <c r="BA808" s="136"/>
      <c r="BB808" s="136"/>
      <c r="BC808" s="136"/>
      <c r="BD808" s="16" t="e">
        <f aca="false">RANK(AX808,$AX$2:$AX$881,0)</f>
        <v>#N/A</v>
      </c>
      <c r="BE808" s="138"/>
      <c r="BF808" s="16" t="n">
        <f aca="false">RANK(BE808,$BE$2:$BE$881,0)</f>
        <v>806</v>
      </c>
      <c r="BG808" s="39" t="e">
        <f aca="false">RANK(BB808,$BB$2:$BB$881,0)</f>
        <v>#N/A</v>
      </c>
      <c r="BH808" s="39" t="n">
        <f aca="false">RANK(BC808,$BC$2:$BC$881,0)</f>
        <v>780</v>
      </c>
      <c r="BI808" s="19" t="s">
        <v>130</v>
      </c>
      <c r="BJ808" s="19" t="s">
        <v>129</v>
      </c>
      <c r="BK808" s="109" t="s">
        <v>1596</v>
      </c>
      <c r="BL808" s="41" t="n">
        <v>19</v>
      </c>
      <c r="BM808" s="41" t="n">
        <v>47</v>
      </c>
      <c r="BN808" s="41" t="n">
        <v>66</v>
      </c>
      <c r="BO808" s="42" t="n">
        <v>26</v>
      </c>
      <c r="BP808" s="43" t="n">
        <v>60</v>
      </c>
      <c r="BQ808" s="44" t="n">
        <v>86</v>
      </c>
      <c r="BR808" s="42" t="n">
        <v>24</v>
      </c>
      <c r="BS808" s="45" t="n">
        <v>55</v>
      </c>
      <c r="BT808" s="45" t="n">
        <v>79</v>
      </c>
      <c r="BU808" s="46" t="n">
        <v>99</v>
      </c>
      <c r="BV808" s="81" t="n">
        <v>62</v>
      </c>
      <c r="BW808" s="42" t="n">
        <v>90</v>
      </c>
      <c r="BX808" s="48" t="n">
        <v>96</v>
      </c>
      <c r="BY808" s="130"/>
      <c r="BZ808" s="60"/>
      <c r="CA808" s="60"/>
      <c r="CB808" s="32" t="n">
        <v>25</v>
      </c>
      <c r="CC808" s="32" t="n">
        <v>34</v>
      </c>
      <c r="CD808" s="69" t="n">
        <v>59</v>
      </c>
      <c r="CE808" s="32" t="n">
        <v>29</v>
      </c>
      <c r="CF808" s="32" t="n">
        <v>45</v>
      </c>
      <c r="CG808" s="32" t="n">
        <v>74</v>
      </c>
      <c r="CH808" s="32" t="n">
        <v>90</v>
      </c>
      <c r="CI808" s="32" t="n">
        <v>98</v>
      </c>
      <c r="CJ808" s="49" t="n">
        <v>24</v>
      </c>
      <c r="CK808" s="49" t="n">
        <v>42</v>
      </c>
      <c r="CL808" s="49" t="n">
        <v>66</v>
      </c>
      <c r="CM808" s="60"/>
      <c r="CN808" s="60"/>
      <c r="CO808" s="60"/>
      <c r="CP808" s="25" t="n">
        <f aca="false">BX808+BW808+BV808+BU808+BT808+BQ808+BN808</f>
        <v>578</v>
      </c>
      <c r="CQ808" s="25" t="n">
        <f aca="false">CO808+CL808+CI808+CH808+CG808+CD808+CA808</f>
        <v>387</v>
      </c>
      <c r="CR808" s="26" t="n">
        <f aca="false">CP808/7</f>
        <v>82.5714285714286</v>
      </c>
      <c r="CS808" s="26" t="n">
        <f aca="false">CQ808/7</f>
        <v>55.2857142857143</v>
      </c>
      <c r="CT808" s="24" t="n">
        <f aca="false">RANK(CR808,$CR$2:$CR$881,0)</f>
        <v>528</v>
      </c>
      <c r="CU808" s="25" t="n">
        <f aca="false">RANK(CS808,$CS$2:$CS$881,0)</f>
        <v>707</v>
      </c>
      <c r="CV808" s="26" t="n">
        <f aca="false">(CS808+CR808)/2</f>
        <v>68.9285714285714</v>
      </c>
      <c r="CW808" s="25" t="n">
        <f aca="false">RANK(CV808,$CV$2:$CV$881,0)</f>
        <v>646</v>
      </c>
      <c r="CX808" s="50" t="n">
        <f aca="false">(CV808+BB808)/2</f>
        <v>34.4642857142857</v>
      </c>
      <c r="CY808" s="50" t="n">
        <v>860</v>
      </c>
      <c r="CZ808" s="27" t="s">
        <v>132</v>
      </c>
      <c r="DA808" s="27" t="s">
        <v>219</v>
      </c>
      <c r="DB808" s="27" t="s">
        <v>219</v>
      </c>
      <c r="DC808" s="27" t="s">
        <v>134</v>
      </c>
      <c r="DD808" s="27" t="s">
        <v>154</v>
      </c>
      <c r="DE808" s="27" t="s">
        <v>645</v>
      </c>
      <c r="DF808" s="27" t="s">
        <v>141</v>
      </c>
      <c r="DG808" s="27" t="s">
        <v>134</v>
      </c>
      <c r="DH808" s="27" t="s">
        <v>174</v>
      </c>
      <c r="DI808" s="27" t="s">
        <v>1064</v>
      </c>
      <c r="DJ808" s="27" t="s">
        <v>183</v>
      </c>
      <c r="DK808" s="27" t="s">
        <v>480</v>
      </c>
      <c r="DL808" s="27" t="s">
        <v>154</v>
      </c>
      <c r="DM808" s="27" t="s">
        <v>479</v>
      </c>
      <c r="DN808" s="27" t="s">
        <v>203</v>
      </c>
      <c r="DO808" s="27" t="s">
        <v>134</v>
      </c>
      <c r="DP808" s="27" t="s">
        <v>264</v>
      </c>
      <c r="DQ808" s="27" t="s">
        <v>645</v>
      </c>
      <c r="DR808" s="27" t="s">
        <v>136</v>
      </c>
      <c r="DS808" s="27" t="s">
        <v>134</v>
      </c>
      <c r="DT808" s="27"/>
      <c r="DU808" s="27"/>
      <c r="DV808" s="27"/>
      <c r="DW808" s="27" t="s">
        <v>485</v>
      </c>
      <c r="DX808" s="27" t="s">
        <v>163</v>
      </c>
      <c r="DY808" s="27" t="s">
        <v>205</v>
      </c>
      <c r="DZ808" s="27" t="n">
        <f aca="false">DY808+DV808+DR808+DN808+DJ808+DF808+DB808</f>
        <v>412</v>
      </c>
      <c r="EA808" s="28" t="n">
        <f aca="false">DZ808/7</f>
        <v>58.8571428571429</v>
      </c>
      <c r="EB808" s="27" t="n">
        <f aca="false">RANK(EA808,$EA$2:$EA$881,0)</f>
        <v>791</v>
      </c>
      <c r="EC808" s="29" t="n">
        <f aca="false">DZ808+CQ808+CP808+AZ808</f>
        <v>1377</v>
      </c>
      <c r="ED808" s="30" t="n">
        <f aca="false">(EA808+CV808+BB808)/3</f>
        <v>42.5952380952381</v>
      </c>
      <c r="EE808" s="51" t="n">
        <f aca="false">ROUND(BE808,3)</f>
        <v>0</v>
      </c>
      <c r="EF808" s="51" t="n">
        <f aca="false">ROUND(CR808,3)</f>
        <v>82.571</v>
      </c>
      <c r="EG808" s="51" t="n">
        <f aca="false">ROUND(CS808,3)</f>
        <v>55.286</v>
      </c>
      <c r="EH808" s="51" t="n">
        <f aca="false">ROUND(EA808,3)</f>
        <v>58.857</v>
      </c>
      <c r="EI808" s="51" t="n">
        <f aca="false">ROUND(ED808,3)</f>
        <v>42.595</v>
      </c>
      <c r="EJ808" s="51" t="n">
        <f aca="false">ROUND(CV808,3)</f>
        <v>68.929</v>
      </c>
      <c r="EK808" s="0" t="n">
        <f aca="false">RANK(EI808,$EI$2:$EI$881,0)</f>
        <v>807</v>
      </c>
    </row>
    <row r="809" customFormat="false" ht="15" hidden="false" customHeight="false" outlineLevel="0" collapsed="false">
      <c r="A809" s="4" t="n">
        <v>1909</v>
      </c>
      <c r="B809" s="4" t="n">
        <v>587</v>
      </c>
      <c r="C809" s="27" t="s">
        <v>2266</v>
      </c>
      <c r="D809" s="31" t="n">
        <v>592</v>
      </c>
      <c r="E809" s="16" t="n">
        <v>230611242</v>
      </c>
      <c r="F809" s="56" t="s">
        <v>2267</v>
      </c>
      <c r="G809" s="22" t="s">
        <v>2268</v>
      </c>
      <c r="H809" s="22" t="s">
        <v>558</v>
      </c>
      <c r="I809" s="143"/>
      <c r="J809" s="16" t="n">
        <v>68</v>
      </c>
      <c r="K809" s="16" t="n">
        <v>85</v>
      </c>
      <c r="L809" s="34" t="n">
        <f aca="false">(K809*70)/100</f>
        <v>59.5</v>
      </c>
      <c r="M809" s="34" t="n">
        <f aca="false">ROUNDUP(L809,0)</f>
        <v>60</v>
      </c>
      <c r="N809" s="16" t="n">
        <v>21</v>
      </c>
      <c r="O809" s="34" t="n">
        <f aca="false">N809+L809</f>
        <v>80.5</v>
      </c>
      <c r="P809" s="34" t="n">
        <f aca="false">N809+M809</f>
        <v>81</v>
      </c>
      <c r="Q809" s="16" t="n">
        <v>77</v>
      </c>
      <c r="R809" s="16" t="n">
        <v>70</v>
      </c>
      <c r="S809" s="34" t="n">
        <f aca="false">(R809*70)/100</f>
        <v>49</v>
      </c>
      <c r="T809" s="34" t="n">
        <f aca="false">ROUNDUP(S809,0)</f>
        <v>49</v>
      </c>
      <c r="U809" s="16" t="n">
        <v>26</v>
      </c>
      <c r="V809" s="34" t="n">
        <f aca="false">U809+S809</f>
        <v>75</v>
      </c>
      <c r="W809" s="34" t="n">
        <f aca="false">U809+T809</f>
        <v>75</v>
      </c>
      <c r="X809" s="16" t="n">
        <v>67</v>
      </c>
      <c r="Y809" s="34" t="n">
        <f aca="false">(X809*70)/100</f>
        <v>46.9</v>
      </c>
      <c r="Z809" s="34" t="n">
        <f aca="false">ROUNDUP(Y809,0)</f>
        <v>47</v>
      </c>
      <c r="AA809" s="16" t="n">
        <v>23</v>
      </c>
      <c r="AB809" s="34" t="n">
        <f aca="false">AA809+Y809</f>
        <v>69.9</v>
      </c>
      <c r="AC809" s="34" t="n">
        <f aca="false">AA809+Z809</f>
        <v>70</v>
      </c>
      <c r="AD809" s="32" t="n">
        <f aca="false">X809+R809+Q809+K809+J809</f>
        <v>367</v>
      </c>
      <c r="AE809" s="16" t="n">
        <f aca="false">AD809/5</f>
        <v>73.4</v>
      </c>
      <c r="AF809" s="16" t="n">
        <v>75</v>
      </c>
      <c r="AG809" s="16" t="n">
        <v>77</v>
      </c>
      <c r="AH809" s="16" t="n">
        <v>90</v>
      </c>
      <c r="AI809" s="16" t="n">
        <v>94</v>
      </c>
      <c r="AJ809" s="16" t="n">
        <f aca="false">(AI809*70)/100</f>
        <v>65.8</v>
      </c>
      <c r="AK809" s="35" t="n">
        <f aca="false">ROUNDUP(AJ809,0)</f>
        <v>66</v>
      </c>
      <c r="AL809" s="16" t="n">
        <v>24</v>
      </c>
      <c r="AM809" s="16" t="n">
        <f aca="false">AL809+AJ809</f>
        <v>89.8</v>
      </c>
      <c r="AN809" s="16" t="n">
        <f aca="false">AL809+AK809</f>
        <v>90</v>
      </c>
      <c r="AO809" s="16" t="n">
        <v>77</v>
      </c>
      <c r="AP809" s="36" t="n">
        <f aca="false">(AO809*70)/100</f>
        <v>53.9</v>
      </c>
      <c r="AQ809" s="37" t="n">
        <f aca="false">ROUNDUP(AP809,0)</f>
        <v>54</v>
      </c>
      <c r="AR809" s="16" t="n">
        <v>27</v>
      </c>
      <c r="AS809" s="16" t="n">
        <f aca="false">AR809+AP809</f>
        <v>80.9</v>
      </c>
      <c r="AT809" s="16" t="n">
        <f aca="false">AR809+AQ809</f>
        <v>81</v>
      </c>
      <c r="AU809" s="16" t="n">
        <f aca="false">AO809+AF809+AI809+AH809+AG809</f>
        <v>413</v>
      </c>
      <c r="AV809" s="16" t="n">
        <f aca="false">(AO809+AF809+AI809+AH809+AG809)/5</f>
        <v>82.6</v>
      </c>
      <c r="AW809" s="36" t="n">
        <f aca="false">(AO809+AF809+AI809+AH809+AG809+X809+R809+Q809+K809+J809)</f>
        <v>780</v>
      </c>
      <c r="AX809" s="16" t="n">
        <f aca="false">AW809/10</f>
        <v>78</v>
      </c>
      <c r="AY809" s="16" t="n">
        <f aca="false">AS809+AF809+AM809+AH809+AG809+AB809+V809+Q809+O809+J809</f>
        <v>783.1</v>
      </c>
      <c r="AZ809" s="16" t="n">
        <f aca="false">AT809+AF809+AN809+AH809+AG809+AC809+W809+Q809+P809+J809</f>
        <v>784</v>
      </c>
      <c r="BA809" s="16" t="n">
        <f aca="false">AY809/10</f>
        <v>78.31</v>
      </c>
      <c r="BB809" s="16" t="n">
        <f aca="false">AZ809/10</f>
        <v>78.4</v>
      </c>
      <c r="BC809" s="16" t="n">
        <v>2344</v>
      </c>
      <c r="BD809" s="16" t="n">
        <f aca="false">RANK(AX809,$AX$2:$AX$881,0)</f>
        <v>408</v>
      </c>
      <c r="BE809" s="54" t="n">
        <f aca="false">((BC809*100)/2400)*0.4+(AX809*0.6)</f>
        <v>85.8666666666667</v>
      </c>
      <c r="BF809" s="16" t="n">
        <f aca="false">RANK(BE809,$BE$2:$BE$881,0)</f>
        <v>452</v>
      </c>
      <c r="BG809" s="39" t="n">
        <f aca="false">RANK(BB809,$BB$2:$BB$881,0)</f>
        <v>520</v>
      </c>
      <c r="BH809" s="39" t="n">
        <f aca="false">RANK(BC809,$BC$2:$BC$881,0)</f>
        <v>598</v>
      </c>
      <c r="BI809" s="22" t="s">
        <v>130</v>
      </c>
      <c r="BJ809" s="22" t="s">
        <v>129</v>
      </c>
      <c r="BK809" s="40" t="s">
        <v>509</v>
      </c>
      <c r="BL809" s="41" t="n">
        <v>13</v>
      </c>
      <c r="BM809" s="41" t="n">
        <v>48</v>
      </c>
      <c r="BN809" s="41" t="n">
        <v>61</v>
      </c>
      <c r="BO809" s="42" t="n">
        <v>12</v>
      </c>
      <c r="BP809" s="43" t="n">
        <v>55</v>
      </c>
      <c r="BQ809" s="44" t="n">
        <v>67</v>
      </c>
      <c r="BR809" s="42" t="n">
        <v>18</v>
      </c>
      <c r="BS809" s="45" t="n">
        <v>53</v>
      </c>
      <c r="BT809" s="45" t="n">
        <v>71</v>
      </c>
      <c r="BU809" s="46" t="n">
        <v>100</v>
      </c>
      <c r="BV809" s="47" t="n">
        <v>78</v>
      </c>
      <c r="BW809" s="42" t="n">
        <v>93</v>
      </c>
      <c r="BX809" s="88" t="n">
        <v>86</v>
      </c>
      <c r="BY809" s="65" t="n">
        <v>25</v>
      </c>
      <c r="BZ809" s="58" t="n">
        <v>16</v>
      </c>
      <c r="CA809" s="58" t="n">
        <v>41</v>
      </c>
      <c r="CB809" s="59" t="n">
        <v>14</v>
      </c>
      <c r="CC809" s="58" t="n">
        <v>23</v>
      </c>
      <c r="CD809" s="58" t="n">
        <v>37</v>
      </c>
      <c r="CE809" s="60"/>
      <c r="CF809" s="60"/>
      <c r="CG809" s="60"/>
      <c r="CH809" s="58" t="n">
        <v>27</v>
      </c>
      <c r="CI809" s="60"/>
      <c r="CJ809" s="60"/>
      <c r="CK809" s="60"/>
      <c r="CL809" s="61"/>
      <c r="CM809" s="60"/>
      <c r="CN809" s="60"/>
      <c r="CO809" s="60"/>
      <c r="CP809" s="25" t="n">
        <f aca="false">BX809+BW809+BV809+BU809+BT809+BQ809+BN809</f>
        <v>556</v>
      </c>
      <c r="CQ809" s="25" t="n">
        <f aca="false">CO809+CL809+CI809+CH809+CG809+CD809+CA809</f>
        <v>105</v>
      </c>
      <c r="CR809" s="26" t="n">
        <f aca="false">CP809/7</f>
        <v>79.4285714285714</v>
      </c>
      <c r="CS809" s="26" t="n">
        <f aca="false">CQ809/7</f>
        <v>15</v>
      </c>
      <c r="CT809" s="24" t="n">
        <f aca="false">RANK(CR809,$CR$2:$CR$881,0)</f>
        <v>596</v>
      </c>
      <c r="CU809" s="25" t="n">
        <f aca="false">RANK(CS809,$CS$2:$CS$881,0)</f>
        <v>735</v>
      </c>
      <c r="CV809" s="26" t="n">
        <f aca="false">(CS809+CR809)/2</f>
        <v>47.2142857142857</v>
      </c>
      <c r="CW809" s="25" t="n">
        <f aca="false">RANK(CV809,$CV$2:$CV$881,0)</f>
        <v>718</v>
      </c>
      <c r="CX809" s="50" t="n">
        <f aca="false">(CV809+BB809)/2</f>
        <v>62.8071428571429</v>
      </c>
      <c r="CY809" s="50" t="n">
        <v>671</v>
      </c>
      <c r="CZ809" s="27"/>
      <c r="DA809" s="27"/>
      <c r="DB809" s="27"/>
      <c r="DC809" s="27"/>
      <c r="DD809" s="27" t="s">
        <v>2124</v>
      </c>
      <c r="DE809" s="27"/>
      <c r="DF809" s="27"/>
      <c r="DG809" s="27"/>
      <c r="DH809" s="27" t="s">
        <v>2125</v>
      </c>
      <c r="DI809" s="27"/>
      <c r="DJ809" s="27"/>
      <c r="DK809" s="27"/>
      <c r="DL809" s="27" t="s">
        <v>2124</v>
      </c>
      <c r="DM809" s="27"/>
      <c r="DN809" s="27"/>
      <c r="DO809" s="27"/>
      <c r="DP809" s="27"/>
      <c r="DQ809" s="27" t="s">
        <v>2124</v>
      </c>
      <c r="DR809" s="27"/>
      <c r="DS809" s="27"/>
      <c r="DT809" s="27" t="s">
        <v>2124</v>
      </c>
      <c r="DU809" s="27"/>
      <c r="DV809" s="27"/>
      <c r="DW809" s="27" t="s">
        <v>2124</v>
      </c>
      <c r="DX809" s="27"/>
      <c r="DY809" s="27"/>
      <c r="DZ809" s="27" t="n">
        <f aca="false">DY809+DV809+DR809+DN809+DJ809+DF809+DB809</f>
        <v>0</v>
      </c>
      <c r="EA809" s="28" t="n">
        <f aca="false">DZ809/7</f>
        <v>0</v>
      </c>
      <c r="EB809" s="27" t="n">
        <f aca="false">RANK(EA809,$EA$2:$EA$881,0)</f>
        <v>870</v>
      </c>
      <c r="EC809" s="29" t="n">
        <f aca="false">DZ809+CQ809+CP809+AZ809</f>
        <v>1445</v>
      </c>
      <c r="ED809" s="30" t="n">
        <f aca="false">(EA809+CV809+BB809)/3</f>
        <v>41.8714285714286</v>
      </c>
      <c r="EE809" s="51" t="n">
        <f aca="false">ROUND(BE809,3)</f>
        <v>85.867</v>
      </c>
      <c r="EF809" s="51" t="n">
        <f aca="false">ROUND(CR809,3)</f>
        <v>79.429</v>
      </c>
      <c r="EG809" s="51" t="n">
        <f aca="false">ROUND(CS809,3)</f>
        <v>15</v>
      </c>
      <c r="EH809" s="51" t="n">
        <f aca="false">ROUND(EA809,3)</f>
        <v>0</v>
      </c>
      <c r="EI809" s="51" t="n">
        <f aca="false">ROUND(ED809,3)</f>
        <v>41.871</v>
      </c>
      <c r="EJ809" s="51" t="n">
        <f aca="false">ROUND(CV809,3)</f>
        <v>47.214</v>
      </c>
      <c r="EK809" s="0" t="n">
        <f aca="false">RANK(EI809,$EI$2:$EI$881,0)</f>
        <v>808</v>
      </c>
    </row>
    <row r="810" customFormat="false" ht="15" hidden="false" customHeight="false" outlineLevel="0" collapsed="false">
      <c r="A810" s="4" t="n">
        <v>9141</v>
      </c>
      <c r="B810" s="4" t="n">
        <v>285</v>
      </c>
      <c r="C810" s="27" t="s">
        <v>2269</v>
      </c>
      <c r="D810" s="31" t="n">
        <v>894</v>
      </c>
      <c r="E810" s="136"/>
      <c r="F810" s="110" t="s">
        <v>2270</v>
      </c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136"/>
      <c r="AQ810" s="136"/>
      <c r="AR810" s="136"/>
      <c r="AS810" s="136"/>
      <c r="AT810" s="136"/>
      <c r="AU810" s="136"/>
      <c r="AV810" s="136"/>
      <c r="AW810" s="136"/>
      <c r="AX810" s="136"/>
      <c r="AY810" s="136"/>
      <c r="AZ810" s="136"/>
      <c r="BA810" s="136"/>
      <c r="BB810" s="136"/>
      <c r="BC810" s="136"/>
      <c r="BD810" s="16" t="e">
        <f aca="false">RANK(AX810,$AX$2:$AX$881,0)</f>
        <v>#N/A</v>
      </c>
      <c r="BE810" s="138"/>
      <c r="BF810" s="16" t="n">
        <f aca="false">RANK(BE810,$BE$2:$BE$881,0)</f>
        <v>806</v>
      </c>
      <c r="BG810" s="39" t="e">
        <f aca="false">RANK(BB810,$BB$2:$BB$881,0)</f>
        <v>#N/A</v>
      </c>
      <c r="BH810" s="39" t="n">
        <f aca="false">RANK(BC810,$BC$2:$BC$881,0)</f>
        <v>780</v>
      </c>
      <c r="BI810" s="19" t="s">
        <v>130</v>
      </c>
      <c r="BJ810" s="19" t="s">
        <v>129</v>
      </c>
      <c r="BK810" s="109" t="s">
        <v>1596</v>
      </c>
      <c r="BL810" s="41" t="n">
        <v>27</v>
      </c>
      <c r="BM810" s="41" t="n">
        <v>47</v>
      </c>
      <c r="BN810" s="41" t="n">
        <v>74</v>
      </c>
      <c r="BO810" s="42" t="n">
        <v>23</v>
      </c>
      <c r="BP810" s="42" t="n">
        <v>56</v>
      </c>
      <c r="BQ810" s="42" t="n">
        <v>79</v>
      </c>
      <c r="BR810" s="42" t="n">
        <v>25</v>
      </c>
      <c r="BS810" s="45" t="n">
        <v>52</v>
      </c>
      <c r="BT810" s="45" t="n">
        <v>77</v>
      </c>
      <c r="BU810" s="46" t="n">
        <v>99</v>
      </c>
      <c r="BV810" s="60"/>
      <c r="BW810" s="43" t="n">
        <v>82</v>
      </c>
      <c r="BX810" s="80"/>
      <c r="BY810" s="32" t="n">
        <v>19</v>
      </c>
      <c r="BZ810" s="58" t="n">
        <v>56</v>
      </c>
      <c r="CA810" s="58" t="n">
        <v>75</v>
      </c>
      <c r="CB810" s="32" t="n">
        <v>20</v>
      </c>
      <c r="CC810" s="32" t="n">
        <v>36</v>
      </c>
      <c r="CD810" s="69" t="n">
        <v>56</v>
      </c>
      <c r="CE810" s="32" t="n">
        <v>20</v>
      </c>
      <c r="CF810" s="32" t="n">
        <v>32</v>
      </c>
      <c r="CG810" s="69" t="n">
        <v>52</v>
      </c>
      <c r="CH810" s="32" t="n">
        <v>95</v>
      </c>
      <c r="CI810" s="25" t="n">
        <v>62</v>
      </c>
      <c r="CJ810" s="49" t="n">
        <v>20</v>
      </c>
      <c r="CK810" s="49" t="n">
        <v>50</v>
      </c>
      <c r="CL810" s="75" t="n">
        <v>70</v>
      </c>
      <c r="CM810" s="49" t="n">
        <v>17</v>
      </c>
      <c r="CN810" s="49" t="n">
        <v>53</v>
      </c>
      <c r="CO810" s="49" t="n">
        <v>70</v>
      </c>
      <c r="CP810" s="25" t="n">
        <f aca="false">BX810+BW810+BV810+BU810+BT810+BQ810+BN810</f>
        <v>411</v>
      </c>
      <c r="CQ810" s="25" t="n">
        <f aca="false">CO810+CL810+CI810+CH810+CG810+CD810+CA810</f>
        <v>480</v>
      </c>
      <c r="CR810" s="26" t="n">
        <f aca="false">CP810/7</f>
        <v>58.7142857142857</v>
      </c>
      <c r="CS810" s="26" t="n">
        <f aca="false">CQ810/7</f>
        <v>68.5714285714286</v>
      </c>
      <c r="CT810" s="24" t="n">
        <f aca="false">RANK(CR810,$CR$2:$CR$881,0)</f>
        <v>724</v>
      </c>
      <c r="CU810" s="25" t="n">
        <f aca="false">RANK(CS810,$CS$2:$CS$881,0)</f>
        <v>578</v>
      </c>
      <c r="CV810" s="26" t="n">
        <f aca="false">(CS810+CR810)/2</f>
        <v>63.6428571428571</v>
      </c>
      <c r="CW810" s="25" t="n">
        <f aca="false">RANK(CV810,$CV$2:$CV$881,0)</f>
        <v>684</v>
      </c>
      <c r="CX810" s="50" t="n">
        <f aca="false">(CV810+BB810)/2</f>
        <v>31.8214285714286</v>
      </c>
      <c r="CY810" s="50" t="n">
        <v>882</v>
      </c>
      <c r="CZ810" s="27" t="s">
        <v>132</v>
      </c>
      <c r="DA810" s="27" t="s">
        <v>443</v>
      </c>
      <c r="DB810" s="27" t="s">
        <v>443</v>
      </c>
      <c r="DC810" s="27" t="s">
        <v>134</v>
      </c>
      <c r="DD810" s="27" t="s">
        <v>386</v>
      </c>
      <c r="DE810" s="27" t="s">
        <v>897</v>
      </c>
      <c r="DF810" s="27" t="s">
        <v>161</v>
      </c>
      <c r="DG810" s="27" t="s">
        <v>134</v>
      </c>
      <c r="DH810" s="27" t="s">
        <v>137</v>
      </c>
      <c r="DI810" s="27" t="s">
        <v>681</v>
      </c>
      <c r="DJ810" s="27" t="s">
        <v>398</v>
      </c>
      <c r="DK810" s="27" t="s">
        <v>134</v>
      </c>
      <c r="DL810" s="27"/>
      <c r="DM810" s="27"/>
      <c r="DN810" s="27"/>
      <c r="DO810" s="27"/>
      <c r="DP810" s="27" t="s">
        <v>706</v>
      </c>
      <c r="DQ810" s="27" t="s">
        <v>645</v>
      </c>
      <c r="DR810" s="27" t="s">
        <v>204</v>
      </c>
      <c r="DS810" s="27" t="s">
        <v>480</v>
      </c>
      <c r="DT810" s="27" t="s">
        <v>485</v>
      </c>
      <c r="DU810" s="27" t="s">
        <v>1423</v>
      </c>
      <c r="DV810" s="27" t="s">
        <v>399</v>
      </c>
      <c r="DW810" s="27" t="s">
        <v>154</v>
      </c>
      <c r="DX810" s="27" t="s">
        <v>143</v>
      </c>
      <c r="DY810" s="27" t="s">
        <v>170</v>
      </c>
      <c r="DZ810" s="27" t="n">
        <f aca="false">DY810+DV810+DR810+DN810+DJ810+DF810+DB810</f>
        <v>407</v>
      </c>
      <c r="EA810" s="28" t="n">
        <f aca="false">DZ810/7</f>
        <v>58.1428571428571</v>
      </c>
      <c r="EB810" s="27" t="n">
        <f aca="false">RANK(EA810,$EA$2:$EA$881,0)</f>
        <v>806</v>
      </c>
      <c r="EC810" s="29" t="n">
        <f aca="false">DZ810+CQ810+CP810+AZ810</f>
        <v>1298</v>
      </c>
      <c r="ED810" s="30" t="n">
        <f aca="false">(EA810+CV810+BB810)/3</f>
        <v>40.5952380952381</v>
      </c>
      <c r="EE810" s="51" t="n">
        <f aca="false">ROUND(BE810,3)</f>
        <v>0</v>
      </c>
      <c r="EF810" s="51" t="n">
        <f aca="false">ROUND(CR810,3)</f>
        <v>58.714</v>
      </c>
      <c r="EG810" s="51" t="n">
        <f aca="false">ROUND(CS810,3)</f>
        <v>68.571</v>
      </c>
      <c r="EH810" s="51" t="n">
        <f aca="false">ROUND(EA810,3)</f>
        <v>58.143</v>
      </c>
      <c r="EI810" s="51" t="n">
        <f aca="false">ROUND(ED810,3)</f>
        <v>40.595</v>
      </c>
      <c r="EJ810" s="51" t="n">
        <f aca="false">ROUND(CV810,3)</f>
        <v>63.643</v>
      </c>
      <c r="EK810" s="0" t="n">
        <f aca="false">RANK(EI810,$EI$2:$EI$881,0)</f>
        <v>809</v>
      </c>
    </row>
    <row r="811" customFormat="false" ht="15" hidden="false" customHeight="false" outlineLevel="0" collapsed="false">
      <c r="A811" s="4" t="n">
        <v>9156</v>
      </c>
      <c r="B811" s="4" t="n">
        <v>47</v>
      </c>
      <c r="C811" s="27" t="s">
        <v>2271</v>
      </c>
      <c r="D811" s="52" t="n">
        <v>49</v>
      </c>
      <c r="E811" s="136"/>
      <c r="F811" s="110" t="s">
        <v>2272</v>
      </c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136"/>
      <c r="AS811" s="136"/>
      <c r="AT811" s="136"/>
      <c r="AU811" s="136"/>
      <c r="AV811" s="136"/>
      <c r="AW811" s="136"/>
      <c r="AX811" s="136"/>
      <c r="AY811" s="136"/>
      <c r="AZ811" s="136"/>
      <c r="BA811" s="136"/>
      <c r="BB811" s="136"/>
      <c r="BC811" s="136"/>
      <c r="BD811" s="16" t="e">
        <f aca="false">RANK(AX811,$AX$2:$AX$881,0)</f>
        <v>#N/A</v>
      </c>
      <c r="BE811" s="138"/>
      <c r="BF811" s="16" t="n">
        <f aca="false">RANK(BE811,$BE$2:$BE$881,0)</f>
        <v>806</v>
      </c>
      <c r="BG811" s="39" t="e">
        <f aca="false">RANK(BB811,$BB$2:$BB$881,0)</f>
        <v>#N/A</v>
      </c>
      <c r="BH811" s="39" t="n">
        <f aca="false">RANK(BC811,$BC$2:$BC$881,0)</f>
        <v>780</v>
      </c>
      <c r="BI811" s="19" t="s">
        <v>130</v>
      </c>
      <c r="BJ811" s="19" t="s">
        <v>129</v>
      </c>
      <c r="BK811" s="109" t="s">
        <v>1596</v>
      </c>
      <c r="BL811" s="59" t="n">
        <v>24</v>
      </c>
      <c r="BM811" s="59" t="n">
        <v>35</v>
      </c>
      <c r="BN811" s="142" t="n">
        <v>59</v>
      </c>
      <c r="BO811" s="42" t="n">
        <v>21</v>
      </c>
      <c r="BP811" s="42" t="n">
        <v>28</v>
      </c>
      <c r="BQ811" s="129" t="n">
        <v>49</v>
      </c>
      <c r="BR811" s="74" t="n">
        <v>4</v>
      </c>
      <c r="BS811" s="80"/>
      <c r="BT811" s="80"/>
      <c r="BU811" s="77" t="n">
        <v>100</v>
      </c>
      <c r="BV811" s="60"/>
      <c r="BW811" s="43" t="n">
        <v>85</v>
      </c>
      <c r="BX811" s="80"/>
      <c r="BY811" s="32" t="n">
        <v>22</v>
      </c>
      <c r="BZ811" s="32" t="n">
        <v>57</v>
      </c>
      <c r="CA811" s="48" t="n">
        <v>79</v>
      </c>
      <c r="CB811" s="32" t="n">
        <v>26</v>
      </c>
      <c r="CC811" s="32" t="n">
        <v>21</v>
      </c>
      <c r="CD811" s="69" t="n">
        <v>47</v>
      </c>
      <c r="CE811" s="32" t="n">
        <v>23</v>
      </c>
      <c r="CF811" s="32" t="n">
        <v>28</v>
      </c>
      <c r="CG811" s="69" t="n">
        <v>51</v>
      </c>
      <c r="CH811" s="32" t="n">
        <v>79</v>
      </c>
      <c r="CI811" s="32" t="n">
        <v>76</v>
      </c>
      <c r="CJ811" s="49" t="n">
        <v>24</v>
      </c>
      <c r="CK811" s="49" t="n">
        <v>48</v>
      </c>
      <c r="CL811" s="84" t="n">
        <v>72</v>
      </c>
      <c r="CM811" s="49" t="n">
        <v>22</v>
      </c>
      <c r="CN811" s="49" t="n">
        <v>45</v>
      </c>
      <c r="CO811" s="49" t="n">
        <v>67</v>
      </c>
      <c r="CP811" s="25" t="n">
        <f aca="false">BX811+BW811+BV811+BU811+BT811+BQ811+BN811</f>
        <v>293</v>
      </c>
      <c r="CQ811" s="25" t="n">
        <f aca="false">CO811+CL811+CI811+CH811+CG811+CD811+CA811</f>
        <v>471</v>
      </c>
      <c r="CR811" s="26" t="n">
        <f aca="false">CP811/7</f>
        <v>41.8571428571429</v>
      </c>
      <c r="CS811" s="26" t="n">
        <f aca="false">CQ811/7</f>
        <v>67.2857142857143</v>
      </c>
      <c r="CT811" s="24" t="n">
        <f aca="false">RANK(CR811,$CR$2:$CR$881,0)</f>
        <v>746</v>
      </c>
      <c r="CU811" s="25" t="n">
        <f aca="false">RANK(CS811,$CS$2:$CS$881,0)</f>
        <v>596</v>
      </c>
      <c r="CV811" s="26" t="n">
        <f aca="false">(CS811+CR811)/2</f>
        <v>54.5714285714286</v>
      </c>
      <c r="CW811" s="25" t="n">
        <f aca="false">RANK(CV811,$CV$2:$CV$881,0)</f>
        <v>710</v>
      </c>
      <c r="CX811" s="50" t="n">
        <f aca="false">(CV811+BB811)/2</f>
        <v>27.2857142857143</v>
      </c>
      <c r="CY811" s="50" t="n">
        <v>890</v>
      </c>
      <c r="CZ811" s="27" t="s">
        <v>132</v>
      </c>
      <c r="DA811" s="27" t="s">
        <v>441</v>
      </c>
      <c r="DB811" s="27" t="s">
        <v>441</v>
      </c>
      <c r="DC811" s="27" t="s">
        <v>134</v>
      </c>
      <c r="DD811" s="27" t="s">
        <v>182</v>
      </c>
      <c r="DE811" s="27" t="s">
        <v>447</v>
      </c>
      <c r="DF811" s="27" t="s">
        <v>382</v>
      </c>
      <c r="DG811" s="27" t="s">
        <v>134</v>
      </c>
      <c r="DH811" s="27" t="s">
        <v>174</v>
      </c>
      <c r="DI811" s="27" t="s">
        <v>1388</v>
      </c>
      <c r="DJ811" s="27" t="s">
        <v>306</v>
      </c>
      <c r="DK811" s="27" t="s">
        <v>480</v>
      </c>
      <c r="DL811" s="27" t="s">
        <v>485</v>
      </c>
      <c r="DM811" s="27" t="s">
        <v>897</v>
      </c>
      <c r="DN811" s="27" t="s">
        <v>177</v>
      </c>
      <c r="DO811" s="27" t="s">
        <v>134</v>
      </c>
      <c r="DP811" s="27" t="s">
        <v>604</v>
      </c>
      <c r="DQ811" s="27" t="s">
        <v>1309</v>
      </c>
      <c r="DR811" s="27" t="s">
        <v>412</v>
      </c>
      <c r="DS811" s="27" t="s">
        <v>480</v>
      </c>
      <c r="DT811" s="27" t="s">
        <v>137</v>
      </c>
      <c r="DU811" s="27" t="s">
        <v>160</v>
      </c>
      <c r="DV811" s="27" t="s">
        <v>304</v>
      </c>
      <c r="DW811" s="27" t="s">
        <v>137</v>
      </c>
      <c r="DX811" s="27" t="s">
        <v>141</v>
      </c>
      <c r="DY811" s="27" t="s">
        <v>151</v>
      </c>
      <c r="DZ811" s="27" t="n">
        <f aca="false">DY811+DV811+DR811+DN811+DJ811+DF811+DB811</f>
        <v>465</v>
      </c>
      <c r="EA811" s="28" t="n">
        <f aca="false">DZ811/7</f>
        <v>66.4285714285714</v>
      </c>
      <c r="EB811" s="27" t="n">
        <f aca="false">RANK(EA811,$EA$2:$EA$881,0)</f>
        <v>714</v>
      </c>
      <c r="EC811" s="29" t="n">
        <f aca="false">DZ811+CQ811+CP811+AZ811</f>
        <v>1229</v>
      </c>
      <c r="ED811" s="30" t="n">
        <f aca="false">(EA811+CV811+BB811)/3</f>
        <v>40.3333333333333</v>
      </c>
      <c r="EE811" s="51" t="n">
        <f aca="false">ROUND(BE811,3)</f>
        <v>0</v>
      </c>
      <c r="EF811" s="51" t="n">
        <f aca="false">ROUND(CR811,3)</f>
        <v>41.857</v>
      </c>
      <c r="EG811" s="51" t="n">
        <f aca="false">ROUND(CS811,3)</f>
        <v>67.286</v>
      </c>
      <c r="EH811" s="51" t="n">
        <f aca="false">ROUND(EA811,3)</f>
        <v>66.429</v>
      </c>
      <c r="EI811" s="51" t="n">
        <f aca="false">ROUND(ED811,3)</f>
        <v>40.333</v>
      </c>
      <c r="EJ811" s="51" t="n">
        <f aca="false">ROUND(CV811,3)</f>
        <v>54.571</v>
      </c>
      <c r="EK811" s="0" t="n">
        <f aca="false">RANK(EI811,$EI$2:$EI$881,0)</f>
        <v>810</v>
      </c>
    </row>
    <row r="812" customFormat="false" ht="15" hidden="false" customHeight="false" outlineLevel="0" collapsed="false">
      <c r="A812" s="4" t="n">
        <v>8924</v>
      </c>
      <c r="B812" s="4" t="n">
        <v>60</v>
      </c>
      <c r="C812" s="27" t="s">
        <v>2273</v>
      </c>
      <c r="D812" s="31" t="n">
        <v>890</v>
      </c>
      <c r="E812" s="136"/>
      <c r="F812" s="110" t="s">
        <v>2274</v>
      </c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  <c r="AW812" s="136"/>
      <c r="AX812" s="136"/>
      <c r="AY812" s="136"/>
      <c r="AZ812" s="136"/>
      <c r="BA812" s="136"/>
      <c r="BB812" s="136"/>
      <c r="BC812" s="136"/>
      <c r="BD812" s="16" t="e">
        <f aca="false">RANK(AX812,$AX$2:$AX$881,0)</f>
        <v>#N/A</v>
      </c>
      <c r="BE812" s="138"/>
      <c r="BF812" s="16" t="n">
        <f aca="false">RANK(BE812,$BE$2:$BE$881,0)</f>
        <v>806</v>
      </c>
      <c r="BG812" s="39" t="e">
        <f aca="false">RANK(BB812,$BB$2:$BB$881,0)</f>
        <v>#N/A</v>
      </c>
      <c r="BH812" s="39" t="n">
        <f aca="false">RANK(BC812,$BC$2:$BC$881,0)</f>
        <v>780</v>
      </c>
      <c r="BI812" s="19" t="s">
        <v>130</v>
      </c>
      <c r="BJ812" s="19" t="s">
        <v>129</v>
      </c>
      <c r="BK812" s="109" t="s">
        <v>1596</v>
      </c>
      <c r="BL812" s="41" t="n">
        <v>21</v>
      </c>
      <c r="BM812" s="41" t="n">
        <v>41</v>
      </c>
      <c r="BN812" s="41" t="n">
        <v>62</v>
      </c>
      <c r="BO812" s="42" t="n">
        <v>22</v>
      </c>
      <c r="BP812" s="43" t="n">
        <v>42</v>
      </c>
      <c r="BQ812" s="44" t="n">
        <v>64</v>
      </c>
      <c r="BR812" s="42" t="n">
        <v>21</v>
      </c>
      <c r="BS812" s="45" t="n">
        <v>45</v>
      </c>
      <c r="BT812" s="45" t="n">
        <v>66</v>
      </c>
      <c r="BU812" s="77" t="n">
        <v>99</v>
      </c>
      <c r="BV812" s="60"/>
      <c r="BW812" s="43" t="n">
        <v>89</v>
      </c>
      <c r="BX812" s="80"/>
      <c r="BY812" s="32" t="n">
        <v>24</v>
      </c>
      <c r="BZ812" s="32" t="n">
        <v>52</v>
      </c>
      <c r="CA812" s="48" t="n">
        <v>76</v>
      </c>
      <c r="CB812" s="32" t="n">
        <v>21</v>
      </c>
      <c r="CC812" s="32" t="n">
        <v>27</v>
      </c>
      <c r="CD812" s="69" t="n">
        <v>48</v>
      </c>
      <c r="CE812" s="32" t="n">
        <v>27</v>
      </c>
      <c r="CF812" s="32" t="n">
        <v>31</v>
      </c>
      <c r="CG812" s="69" t="n">
        <v>58</v>
      </c>
      <c r="CH812" s="32" t="n">
        <v>88</v>
      </c>
      <c r="CI812" s="60"/>
      <c r="CJ812" s="49" t="n">
        <v>20</v>
      </c>
      <c r="CK812" s="49" t="n">
        <v>49</v>
      </c>
      <c r="CL812" s="84" t="n">
        <v>69</v>
      </c>
      <c r="CM812" s="49" t="n">
        <v>24</v>
      </c>
      <c r="CN812" s="49" t="n">
        <v>45</v>
      </c>
      <c r="CO812" s="49" t="n">
        <v>69</v>
      </c>
      <c r="CP812" s="25" t="n">
        <f aca="false">BX812+BW812+BV812+BU812+BT812+BQ812+BN812</f>
        <v>380</v>
      </c>
      <c r="CQ812" s="25" t="n">
        <f aca="false">CO812+CL812+CI812+CH812+CG812+CD812+CA812</f>
        <v>408</v>
      </c>
      <c r="CR812" s="26" t="n">
        <f aca="false">CP812/7</f>
        <v>54.2857142857143</v>
      </c>
      <c r="CS812" s="26" t="n">
        <f aca="false">CQ812/7</f>
        <v>58.2857142857143</v>
      </c>
      <c r="CT812" s="24" t="n">
        <f aca="false">RANK(CR812,$CR$2:$CR$881,0)</f>
        <v>733</v>
      </c>
      <c r="CU812" s="25" t="n">
        <f aca="false">RANK(CS812,$CS$2:$CS$881,0)</f>
        <v>697</v>
      </c>
      <c r="CV812" s="26" t="n">
        <f aca="false">(CS812+CR812)/2</f>
        <v>56.2857142857143</v>
      </c>
      <c r="CW812" s="25" t="n">
        <f aca="false">RANK(CV812,$CV$2:$CV$881,0)</f>
        <v>706</v>
      </c>
      <c r="CX812" s="50" t="n">
        <f aca="false">(CV812+BB812)/2</f>
        <v>28.1428571428571</v>
      </c>
      <c r="CY812" s="50" t="n">
        <v>885</v>
      </c>
      <c r="CZ812" s="27" t="s">
        <v>132</v>
      </c>
      <c r="DA812" s="27" t="s">
        <v>219</v>
      </c>
      <c r="DB812" s="27" t="s">
        <v>219</v>
      </c>
      <c r="DC812" s="27" t="s">
        <v>134</v>
      </c>
      <c r="DD812" s="27" t="s">
        <v>135</v>
      </c>
      <c r="DE812" s="27" t="s">
        <v>313</v>
      </c>
      <c r="DF812" s="27" t="s">
        <v>382</v>
      </c>
      <c r="DG812" s="27" t="s">
        <v>134</v>
      </c>
      <c r="DH812" s="27" t="s">
        <v>182</v>
      </c>
      <c r="DI812" s="27" t="s">
        <v>195</v>
      </c>
      <c r="DJ812" s="27" t="s">
        <v>638</v>
      </c>
      <c r="DK812" s="27" t="s">
        <v>480</v>
      </c>
      <c r="DL812" s="27" t="s">
        <v>191</v>
      </c>
      <c r="DM812" s="27" t="s">
        <v>906</v>
      </c>
      <c r="DN812" s="27" t="s">
        <v>183</v>
      </c>
      <c r="DO812" s="27" t="s">
        <v>480</v>
      </c>
      <c r="DP812" s="27" t="s">
        <v>195</v>
      </c>
      <c r="DQ812" s="27" t="s">
        <v>1407</v>
      </c>
      <c r="DR812" s="27" t="s">
        <v>161</v>
      </c>
      <c r="DS812" s="27" t="s">
        <v>134</v>
      </c>
      <c r="DT812" s="27"/>
      <c r="DU812" s="27"/>
      <c r="DV812" s="27"/>
      <c r="DW812" s="27" t="s">
        <v>195</v>
      </c>
      <c r="DX812" s="27" t="s">
        <v>143</v>
      </c>
      <c r="DY812" s="27" t="s">
        <v>162</v>
      </c>
      <c r="DZ812" s="27" t="n">
        <f aca="false">DY812+DV812+DR812+DN812+DJ812+DF812+DB812</f>
        <v>410</v>
      </c>
      <c r="EA812" s="28" t="n">
        <f aca="false">DZ812/7</f>
        <v>58.5714285714286</v>
      </c>
      <c r="EB812" s="27" t="n">
        <f aca="false">RANK(EA812,$EA$2:$EA$881,0)</f>
        <v>796</v>
      </c>
      <c r="EC812" s="29" t="n">
        <f aca="false">DZ812+CQ812+CP812+AZ812</f>
        <v>1198</v>
      </c>
      <c r="ED812" s="30" t="n">
        <f aca="false">(EA812+CV812+BB812)/3</f>
        <v>38.2857142857143</v>
      </c>
      <c r="EE812" s="51" t="n">
        <f aca="false">ROUND(BE812,3)</f>
        <v>0</v>
      </c>
      <c r="EF812" s="51" t="n">
        <f aca="false">ROUND(CR812,3)</f>
        <v>54.286</v>
      </c>
      <c r="EG812" s="51" t="n">
        <f aca="false">ROUND(CS812,3)</f>
        <v>58.286</v>
      </c>
      <c r="EH812" s="51" t="n">
        <f aca="false">ROUND(EA812,3)</f>
        <v>58.571</v>
      </c>
      <c r="EI812" s="51" t="n">
        <f aca="false">ROUND(ED812,3)</f>
        <v>38.286</v>
      </c>
      <c r="EJ812" s="51" t="n">
        <f aca="false">ROUND(CV812,3)</f>
        <v>56.286</v>
      </c>
      <c r="EK812" s="0" t="n">
        <f aca="false">RANK(EI812,$EI$2:$EI$881,0)</f>
        <v>811</v>
      </c>
    </row>
    <row r="813" customFormat="false" ht="15" hidden="false" customHeight="false" outlineLevel="0" collapsed="false">
      <c r="A813" s="4" t="n">
        <v>9146</v>
      </c>
      <c r="B813" s="4" t="n">
        <v>303</v>
      </c>
      <c r="C813" s="27" t="s">
        <v>2275</v>
      </c>
      <c r="D813" s="31" t="n">
        <v>895</v>
      </c>
      <c r="E813" s="136"/>
      <c r="F813" s="110" t="s">
        <v>2276</v>
      </c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136"/>
      <c r="AQ813" s="136"/>
      <c r="AR813" s="136"/>
      <c r="AS813" s="136"/>
      <c r="AT813" s="136"/>
      <c r="AU813" s="136"/>
      <c r="AV813" s="136"/>
      <c r="AW813" s="136"/>
      <c r="AX813" s="136"/>
      <c r="AY813" s="136"/>
      <c r="AZ813" s="136"/>
      <c r="BA813" s="136"/>
      <c r="BB813" s="136"/>
      <c r="BC813" s="136"/>
      <c r="BD813" s="16" t="e">
        <f aca="false">RANK(AX813,$AX$2:$AX$881,0)</f>
        <v>#N/A</v>
      </c>
      <c r="BE813" s="138"/>
      <c r="BF813" s="16" t="n">
        <f aca="false">RANK(BE813,$BE$2:$BE$881,0)</f>
        <v>806</v>
      </c>
      <c r="BG813" s="39" t="e">
        <f aca="false">RANK(BB813,$BB$2:$BB$881,0)</f>
        <v>#N/A</v>
      </c>
      <c r="BH813" s="39" t="n">
        <f aca="false">RANK(BC813,$BC$2:$BC$881,0)</f>
        <v>780</v>
      </c>
      <c r="BI813" s="19" t="s">
        <v>130</v>
      </c>
      <c r="BJ813" s="19" t="s">
        <v>129</v>
      </c>
      <c r="BK813" s="109" t="s">
        <v>1596</v>
      </c>
      <c r="BL813" s="61"/>
      <c r="BM813" s="61"/>
      <c r="BN813" s="61"/>
      <c r="BO813" s="61"/>
      <c r="BP813" s="61"/>
      <c r="BQ813" s="61"/>
      <c r="BR813" s="74" t="n">
        <v>4</v>
      </c>
      <c r="BS813" s="80"/>
      <c r="BT813" s="80"/>
      <c r="BU813" s="77" t="n">
        <v>96</v>
      </c>
      <c r="BV813" s="60"/>
      <c r="BW813" s="43" t="n">
        <v>86</v>
      </c>
      <c r="BX813" s="80"/>
      <c r="BY813" s="32" t="n">
        <v>25</v>
      </c>
      <c r="BZ813" s="32" t="n">
        <v>35</v>
      </c>
      <c r="CA813" s="32" t="n">
        <v>60</v>
      </c>
      <c r="CB813" s="32" t="n">
        <v>18</v>
      </c>
      <c r="CC813" s="32" t="n">
        <v>29</v>
      </c>
      <c r="CD813" s="69" t="n">
        <v>47</v>
      </c>
      <c r="CE813" s="32" t="n">
        <v>26</v>
      </c>
      <c r="CF813" s="32" t="n">
        <v>31</v>
      </c>
      <c r="CG813" s="69" t="n">
        <v>57</v>
      </c>
      <c r="CH813" s="32" t="n">
        <v>80</v>
      </c>
      <c r="CI813" s="25" t="n">
        <v>83</v>
      </c>
      <c r="CJ813" s="49" t="n">
        <v>16</v>
      </c>
      <c r="CK813" s="49" t="n">
        <v>42</v>
      </c>
      <c r="CL813" s="76" t="n">
        <v>58</v>
      </c>
      <c r="CM813" s="49" t="n">
        <v>21</v>
      </c>
      <c r="CN813" s="49" t="n">
        <v>49</v>
      </c>
      <c r="CO813" s="49" t="n">
        <v>70</v>
      </c>
      <c r="CP813" s="25" t="n">
        <f aca="false">BX813+BW813+BV813+BU813+BT813+BQ813+BN813</f>
        <v>182</v>
      </c>
      <c r="CQ813" s="25" t="n">
        <f aca="false">CO813+CL813+CI813+CH813+CG813+CD813+CA813</f>
        <v>455</v>
      </c>
      <c r="CR813" s="26" t="n">
        <f aca="false">CP813/7</f>
        <v>26</v>
      </c>
      <c r="CS813" s="26" t="n">
        <f aca="false">CQ813/7</f>
        <v>65</v>
      </c>
      <c r="CT813" s="24" t="n">
        <f aca="false">RANK(CR813,$CR$2:$CR$881,0)</f>
        <v>752</v>
      </c>
      <c r="CU813" s="25" t="n">
        <f aca="false">RANK(CS813,$CS$2:$CS$881,0)</f>
        <v>625</v>
      </c>
      <c r="CV813" s="26" t="n">
        <f aca="false">(CS813+CR813)/2</f>
        <v>45.5</v>
      </c>
      <c r="CW813" s="25" t="n">
        <f aca="false">RANK(CV813,$CV$2:$CV$881,0)</f>
        <v>719</v>
      </c>
      <c r="CX813" s="50" t="n">
        <f aca="false">(CV813+BB813)/2</f>
        <v>22.75</v>
      </c>
      <c r="CY813" s="50" t="n">
        <v>888</v>
      </c>
      <c r="CZ813" s="27" t="s">
        <v>132</v>
      </c>
      <c r="DA813" s="27" t="s">
        <v>305</v>
      </c>
      <c r="DB813" s="27" t="s">
        <v>305</v>
      </c>
      <c r="DC813" s="27" t="s">
        <v>134</v>
      </c>
      <c r="DD813" s="27" t="s">
        <v>154</v>
      </c>
      <c r="DE813" s="27" t="s">
        <v>1407</v>
      </c>
      <c r="DF813" s="27" t="s">
        <v>136</v>
      </c>
      <c r="DG813" s="27" t="s">
        <v>134</v>
      </c>
      <c r="DH813" s="27" t="s">
        <v>135</v>
      </c>
      <c r="DI813" s="27" t="s">
        <v>906</v>
      </c>
      <c r="DJ813" s="27" t="s">
        <v>136</v>
      </c>
      <c r="DK813" s="27" t="s">
        <v>134</v>
      </c>
      <c r="DL813" s="27" t="s">
        <v>191</v>
      </c>
      <c r="DM813" s="27" t="s">
        <v>645</v>
      </c>
      <c r="DN813" s="27" t="s">
        <v>152</v>
      </c>
      <c r="DO813" s="27" t="s">
        <v>134</v>
      </c>
      <c r="DP813" s="27" t="s">
        <v>604</v>
      </c>
      <c r="DQ813" s="27" t="s">
        <v>1064</v>
      </c>
      <c r="DR813" s="27" t="s">
        <v>313</v>
      </c>
      <c r="DS813" s="27" t="s">
        <v>480</v>
      </c>
      <c r="DT813" s="27" t="s">
        <v>154</v>
      </c>
      <c r="DU813" s="27" t="s">
        <v>645</v>
      </c>
      <c r="DV813" s="27" t="s">
        <v>141</v>
      </c>
      <c r="DW813" s="27" t="s">
        <v>174</v>
      </c>
      <c r="DX813" s="27" t="s">
        <v>138</v>
      </c>
      <c r="DY813" s="27" t="s">
        <v>170</v>
      </c>
      <c r="DZ813" s="27" t="n">
        <f aca="false">DY813+DV813+DR813+DN813+DJ813+DF813+DB813</f>
        <v>478</v>
      </c>
      <c r="EA813" s="28" t="n">
        <f aca="false">DZ813/7</f>
        <v>68.2857142857143</v>
      </c>
      <c r="EB813" s="27" t="n">
        <f aca="false">RANK(EA813,$EA$2:$EA$881,0)</f>
        <v>687</v>
      </c>
      <c r="EC813" s="29" t="n">
        <f aca="false">DZ813+CQ813+CP813+AZ813</f>
        <v>1115</v>
      </c>
      <c r="ED813" s="30" t="n">
        <f aca="false">(EA813+CV813+BB813)/3</f>
        <v>37.9285714285714</v>
      </c>
      <c r="EE813" s="51" t="n">
        <f aca="false">ROUND(BE813,3)</f>
        <v>0</v>
      </c>
      <c r="EF813" s="51" t="n">
        <f aca="false">ROUND(CR813,3)</f>
        <v>26</v>
      </c>
      <c r="EG813" s="51" t="n">
        <f aca="false">ROUND(CS813,3)</f>
        <v>65</v>
      </c>
      <c r="EH813" s="51" t="n">
        <f aca="false">ROUND(EA813,3)</f>
        <v>68.286</v>
      </c>
      <c r="EI813" s="51" t="n">
        <f aca="false">ROUND(ED813,3)</f>
        <v>37.929</v>
      </c>
      <c r="EJ813" s="51" t="n">
        <f aca="false">ROUND(CV813,3)</f>
        <v>45.5</v>
      </c>
      <c r="EK813" s="0" t="n">
        <f aca="false">RANK(EI813,$EI$2:$EI$881,0)</f>
        <v>812</v>
      </c>
    </row>
    <row r="814" customFormat="false" ht="15" hidden="false" customHeight="false" outlineLevel="0" collapsed="false">
      <c r="A814" s="4" t="n">
        <v>9149</v>
      </c>
      <c r="B814" s="4" t="n">
        <v>147</v>
      </c>
      <c r="C814" s="27" t="s">
        <v>2277</v>
      </c>
      <c r="D814" s="31" t="n">
        <v>147</v>
      </c>
      <c r="E814" s="16" t="n">
        <v>230508282</v>
      </c>
      <c r="F814" s="56" t="s">
        <v>2278</v>
      </c>
      <c r="G814" s="22" t="s">
        <v>532</v>
      </c>
      <c r="H814" s="22" t="s">
        <v>465</v>
      </c>
      <c r="I814" s="80"/>
      <c r="J814" s="16" t="n">
        <v>77</v>
      </c>
      <c r="K814" s="16" t="n">
        <v>50</v>
      </c>
      <c r="L814" s="34" t="n">
        <f aca="false">(K814*70)/100</f>
        <v>35</v>
      </c>
      <c r="M814" s="34" t="n">
        <f aca="false">ROUNDUP(L814,0)</f>
        <v>35</v>
      </c>
      <c r="N814" s="16" t="n">
        <v>29</v>
      </c>
      <c r="O814" s="34" t="n">
        <f aca="false">N814+L814</f>
        <v>64</v>
      </c>
      <c r="P814" s="34" t="n">
        <f aca="false">N814+M814</f>
        <v>64</v>
      </c>
      <c r="Q814" s="16" t="n">
        <v>63</v>
      </c>
      <c r="R814" s="16" t="n">
        <v>66</v>
      </c>
      <c r="S814" s="34" t="n">
        <f aca="false">(R814*70)/100</f>
        <v>46.2</v>
      </c>
      <c r="T814" s="34" t="n">
        <f aca="false">ROUNDUP(S814,0)</f>
        <v>47</v>
      </c>
      <c r="U814" s="16" t="n">
        <v>26</v>
      </c>
      <c r="V814" s="34" t="n">
        <f aca="false">U814+S814</f>
        <v>72.2</v>
      </c>
      <c r="W814" s="34" t="n">
        <f aca="false">U814+T814</f>
        <v>73</v>
      </c>
      <c r="X814" s="16" t="n">
        <v>49</v>
      </c>
      <c r="Y814" s="34" t="n">
        <f aca="false">(X814*70)/100</f>
        <v>34.3</v>
      </c>
      <c r="Z814" s="34" t="n">
        <f aca="false">ROUNDUP(Y814,0)</f>
        <v>35</v>
      </c>
      <c r="AA814" s="16" t="n">
        <v>27</v>
      </c>
      <c r="AB814" s="34" t="n">
        <f aca="false">AA814+Y814</f>
        <v>61.3</v>
      </c>
      <c r="AC814" s="34" t="n">
        <f aca="false">AA814+Z814</f>
        <v>62</v>
      </c>
      <c r="AD814" s="32" t="n">
        <f aca="false">X814+R814+Q814+K814+J814</f>
        <v>305</v>
      </c>
      <c r="AE814" s="16" t="n">
        <f aca="false">AD814/5</f>
        <v>61</v>
      </c>
      <c r="AF814" s="71" t="n">
        <v>44</v>
      </c>
      <c r="AG814" s="16" t="n">
        <v>75</v>
      </c>
      <c r="AH814" s="16" t="n">
        <v>74</v>
      </c>
      <c r="AI814" s="16" t="n">
        <v>61</v>
      </c>
      <c r="AJ814" s="16" t="n">
        <f aca="false">(AI814*70)/100</f>
        <v>42.7</v>
      </c>
      <c r="AK814" s="35" t="n">
        <f aca="false">ROUNDUP(AJ814,0)</f>
        <v>43</v>
      </c>
      <c r="AL814" s="16" t="n">
        <v>23</v>
      </c>
      <c r="AM814" s="16" t="n">
        <f aca="false">AL814+AJ814</f>
        <v>65.7</v>
      </c>
      <c r="AN814" s="16" t="n">
        <f aca="false">AL814+AK814</f>
        <v>66</v>
      </c>
      <c r="AO814" s="16" t="n">
        <v>67</v>
      </c>
      <c r="AP814" s="36" t="n">
        <f aca="false">(AO814*70)/100</f>
        <v>46.9</v>
      </c>
      <c r="AQ814" s="37" t="n">
        <f aca="false">ROUNDUP(AP814,0)</f>
        <v>47</v>
      </c>
      <c r="AR814" s="16" t="n">
        <v>25</v>
      </c>
      <c r="AS814" s="16" t="n">
        <f aca="false">AR814+AP814</f>
        <v>71.9</v>
      </c>
      <c r="AT814" s="16" t="n">
        <f aca="false">AR814+AQ814</f>
        <v>72</v>
      </c>
      <c r="AU814" s="16" t="n">
        <f aca="false">AO814+AF814+AI814+AH814+AG814</f>
        <v>321</v>
      </c>
      <c r="AV814" s="16" t="n">
        <f aca="false">(AO814+AF814+AI814+AH814+AG814)/5</f>
        <v>64.2</v>
      </c>
      <c r="AW814" s="36" t="n">
        <f aca="false">(AO814+AF814+AI814+AH814+AG814+X814+R814+Q814+K814+J814)</f>
        <v>626</v>
      </c>
      <c r="AX814" s="16" t="n">
        <f aca="false">AW814/10</f>
        <v>62.6</v>
      </c>
      <c r="AY814" s="16" t="n">
        <f aca="false">AS814+AF814+AM814+AH814+AG814+AB814+V814+Q814+O814+J814</f>
        <v>668.1</v>
      </c>
      <c r="AZ814" s="16" t="n">
        <f aca="false">AT814+AF814+AN814+AH814+AG814+AC814+W814+Q814+P814+J814</f>
        <v>670</v>
      </c>
      <c r="BA814" s="16" t="n">
        <f aca="false">AY814/10</f>
        <v>66.81</v>
      </c>
      <c r="BB814" s="16" t="n">
        <f aca="false">AZ814/10</f>
        <v>67</v>
      </c>
      <c r="BC814" s="16" t="n">
        <v>2355</v>
      </c>
      <c r="BD814" s="16" t="n">
        <f aca="false">RANK(AX814,$AX$2:$AX$881,0)</f>
        <v>786</v>
      </c>
      <c r="BE814" s="78" t="n">
        <f aca="false">((BC814*100)/2400)*0.4+(AX814*0.6)</f>
        <v>76.81</v>
      </c>
      <c r="BF814" s="16" t="n">
        <f aca="false">RANK(BE814,$BE$2:$BE$881,0)</f>
        <v>770</v>
      </c>
      <c r="BG814" s="39" t="n">
        <f aca="false">RANK(BB814,$BB$2:$BB$881,0)</f>
        <v>769</v>
      </c>
      <c r="BH814" s="39" t="n">
        <f aca="false">RANK(BC814,$BC$2:$BC$881,0)</f>
        <v>476</v>
      </c>
      <c r="BI814" s="22" t="s">
        <v>130</v>
      </c>
      <c r="BJ814" s="22" t="s">
        <v>129</v>
      </c>
      <c r="BK814" s="40" t="s">
        <v>702</v>
      </c>
      <c r="BL814" s="101" t="n">
        <v>4.5</v>
      </c>
      <c r="BM814" s="61"/>
      <c r="BN814" s="61"/>
      <c r="BO814" s="42" t="n">
        <v>21</v>
      </c>
      <c r="BP814" s="61"/>
      <c r="BQ814" s="61"/>
      <c r="BR814" s="74" t="n">
        <v>9</v>
      </c>
      <c r="BS814" s="80"/>
      <c r="BT814" s="80"/>
      <c r="BU814" s="80"/>
      <c r="BV814" s="137"/>
      <c r="BW814" s="61"/>
      <c r="BX814" s="107"/>
      <c r="BY814" s="130"/>
      <c r="BZ814" s="60"/>
      <c r="CA814" s="60"/>
      <c r="CB814" s="61"/>
      <c r="CC814" s="60"/>
      <c r="CD814" s="60"/>
      <c r="CE814" s="60"/>
      <c r="CF814" s="60"/>
      <c r="CG814" s="60"/>
      <c r="CH814" s="60"/>
      <c r="CI814" s="60"/>
      <c r="CJ814" s="60"/>
      <c r="CK814" s="60"/>
      <c r="CL814" s="61"/>
      <c r="CM814" s="60"/>
      <c r="CN814" s="60"/>
      <c r="CO814" s="60"/>
      <c r="CP814" s="25" t="n">
        <f aca="false">BX814+BW814+BV814+BU814+BT814+BQ814+BN814</f>
        <v>0</v>
      </c>
      <c r="CQ814" s="25" t="n">
        <f aca="false">CO814+CL814+CI814+CH814+CG814+CD814+CA814</f>
        <v>0</v>
      </c>
      <c r="CR814" s="26" t="n">
        <f aca="false">CP814/7</f>
        <v>0</v>
      </c>
      <c r="CS814" s="26" t="n">
        <f aca="false">CQ814/7</f>
        <v>0</v>
      </c>
      <c r="CT814" s="24" t="n">
        <f aca="false">RANK(CR814,$CR$2:$CR$881,0)</f>
        <v>768</v>
      </c>
      <c r="CU814" s="25" t="n">
        <f aca="false">RANK(CS814,$CS$2:$CS$881,0)</f>
        <v>752</v>
      </c>
      <c r="CV814" s="26" t="n">
        <f aca="false">(CS814+CR814)/2</f>
        <v>0</v>
      </c>
      <c r="CW814" s="25" t="n">
        <f aca="false">RANK(CV814,$CV$2:$CV$881,0)</f>
        <v>753</v>
      </c>
      <c r="CX814" s="50" t="n">
        <f aca="false">(CV814+BB814)/2</f>
        <v>33.5</v>
      </c>
      <c r="CY814" s="50" t="n">
        <v>865</v>
      </c>
      <c r="CZ814" s="27" t="s">
        <v>132</v>
      </c>
      <c r="DA814" s="27" t="s">
        <v>441</v>
      </c>
      <c r="DB814" s="27" t="s">
        <v>441</v>
      </c>
      <c r="DC814" s="27" t="s">
        <v>134</v>
      </c>
      <c r="DD814" s="27" t="s">
        <v>195</v>
      </c>
      <c r="DE814" s="27" t="s">
        <v>304</v>
      </c>
      <c r="DF814" s="27" t="s">
        <v>441</v>
      </c>
      <c r="DG814" s="27" t="s">
        <v>134</v>
      </c>
      <c r="DH814" s="27"/>
      <c r="DI814" s="27"/>
      <c r="DJ814" s="27"/>
      <c r="DK814" s="27"/>
      <c r="DL814" s="27" t="s">
        <v>195</v>
      </c>
      <c r="DM814" s="27" t="s">
        <v>619</v>
      </c>
      <c r="DN814" s="27" t="s">
        <v>195</v>
      </c>
      <c r="DO814" s="27" t="s">
        <v>480</v>
      </c>
      <c r="DP814" s="27"/>
      <c r="DQ814" s="27"/>
      <c r="DR814" s="27"/>
      <c r="DS814" s="27"/>
      <c r="DT814" s="27" t="s">
        <v>174</v>
      </c>
      <c r="DU814" s="27" t="s">
        <v>481</v>
      </c>
      <c r="DV814" s="27" t="s">
        <v>204</v>
      </c>
      <c r="DW814" s="27" t="s">
        <v>135</v>
      </c>
      <c r="DX814" s="27" t="s">
        <v>183</v>
      </c>
      <c r="DY814" s="27" t="s">
        <v>169</v>
      </c>
      <c r="DZ814" s="27" t="n">
        <f aca="false">DY814+DV814+DR814+DN814+DJ814+DF814+DB814</f>
        <v>313</v>
      </c>
      <c r="EA814" s="28" t="n">
        <f aca="false">DZ814/7</f>
        <v>44.7142857142857</v>
      </c>
      <c r="EB814" s="27" t="n">
        <f aca="false">RANK(EA814,$EA$2:$EA$881,0)</f>
        <v>853</v>
      </c>
      <c r="EC814" s="29" t="n">
        <f aca="false">DZ814+CQ814+CP814+AZ814</f>
        <v>983</v>
      </c>
      <c r="ED814" s="30" t="n">
        <f aca="false">(EA814+CV814+BB814)/3</f>
        <v>37.2380952380952</v>
      </c>
      <c r="EE814" s="51" t="n">
        <f aca="false">ROUND(BE814,3)</f>
        <v>76.81</v>
      </c>
      <c r="EF814" s="51" t="n">
        <f aca="false">ROUND(CR814,3)</f>
        <v>0</v>
      </c>
      <c r="EG814" s="51" t="n">
        <f aca="false">ROUND(CS814,3)</f>
        <v>0</v>
      </c>
      <c r="EH814" s="51" t="n">
        <f aca="false">ROUND(EA814,3)</f>
        <v>44.714</v>
      </c>
      <c r="EI814" s="51" t="n">
        <f aca="false">ROUND(ED814,3)</f>
        <v>37.238</v>
      </c>
      <c r="EJ814" s="51" t="n">
        <f aca="false">ROUND(CV814,3)</f>
        <v>0</v>
      </c>
      <c r="EK814" s="0" t="n">
        <f aca="false">RANK(EI814,$EI$2:$EI$881,0)</f>
        <v>813</v>
      </c>
    </row>
    <row r="815" customFormat="false" ht="15" hidden="false" customHeight="false" outlineLevel="0" collapsed="false">
      <c r="A815" s="4" t="n">
        <v>8839</v>
      </c>
      <c r="B815" s="4" t="n">
        <v>79</v>
      </c>
      <c r="C815" s="27" t="s">
        <v>2279</v>
      </c>
      <c r="D815" s="31" t="n">
        <v>891</v>
      </c>
      <c r="E815" s="136"/>
      <c r="F815" s="110" t="s">
        <v>2280</v>
      </c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136"/>
      <c r="AS815" s="136"/>
      <c r="AT815" s="136"/>
      <c r="AU815" s="136"/>
      <c r="AV815" s="136"/>
      <c r="AW815" s="136"/>
      <c r="AX815" s="136"/>
      <c r="AY815" s="136"/>
      <c r="AZ815" s="136"/>
      <c r="BA815" s="136"/>
      <c r="BB815" s="136"/>
      <c r="BC815" s="136"/>
      <c r="BD815" s="16" t="e">
        <f aca="false">RANK(AX815,$AX$2:$AX$881,0)</f>
        <v>#N/A</v>
      </c>
      <c r="BE815" s="138"/>
      <c r="BF815" s="16" t="n">
        <f aca="false">RANK(BE815,$BE$2:$BE$881,0)</f>
        <v>806</v>
      </c>
      <c r="BG815" s="136"/>
      <c r="BH815" s="39" t="n">
        <f aca="false">RANK(BC815,$BC$2:$BC$881,0)</f>
        <v>780</v>
      </c>
      <c r="BI815" s="19" t="s">
        <v>130</v>
      </c>
      <c r="BJ815" s="19" t="s">
        <v>129</v>
      </c>
      <c r="BK815" s="109" t="s">
        <v>1596</v>
      </c>
      <c r="BL815" s="41" t="n">
        <v>19</v>
      </c>
      <c r="BM815" s="41" t="n">
        <v>39</v>
      </c>
      <c r="BN815" s="98" t="n">
        <v>58</v>
      </c>
      <c r="BO815" s="42" t="n">
        <v>22</v>
      </c>
      <c r="BP815" s="43" t="n">
        <v>38</v>
      </c>
      <c r="BQ815" s="44" t="n">
        <v>60</v>
      </c>
      <c r="BR815" s="42" t="n">
        <v>14</v>
      </c>
      <c r="BS815" s="45" t="n">
        <v>17</v>
      </c>
      <c r="BT815" s="85" t="n">
        <v>31</v>
      </c>
      <c r="BU815" s="46" t="n">
        <v>98</v>
      </c>
      <c r="BV815" s="60"/>
      <c r="BW815" s="43" t="n">
        <v>96</v>
      </c>
      <c r="BX815" s="80"/>
      <c r="BY815" s="32" t="n">
        <v>25</v>
      </c>
      <c r="BZ815" s="32" t="n">
        <v>32</v>
      </c>
      <c r="CA815" s="69" t="n">
        <v>57</v>
      </c>
      <c r="CB815" s="32" t="n">
        <v>12</v>
      </c>
      <c r="CC815" s="32" t="n">
        <v>15</v>
      </c>
      <c r="CD815" s="69" t="n">
        <v>27</v>
      </c>
      <c r="CE815" s="32" t="n">
        <v>24</v>
      </c>
      <c r="CF815" s="32" t="n">
        <v>34</v>
      </c>
      <c r="CG815" s="69" t="n">
        <v>58</v>
      </c>
      <c r="CH815" s="32" t="n">
        <v>90</v>
      </c>
      <c r="CI815" s="25" t="n">
        <v>92</v>
      </c>
      <c r="CJ815" s="49" t="n">
        <v>26</v>
      </c>
      <c r="CK815" s="49" t="n">
        <v>38</v>
      </c>
      <c r="CL815" s="49" t="n">
        <v>64</v>
      </c>
      <c r="CM815" s="49" t="n">
        <v>19</v>
      </c>
      <c r="CN815" s="49" t="n">
        <v>26</v>
      </c>
      <c r="CO815" s="76" t="n">
        <v>45</v>
      </c>
      <c r="CP815" s="25" t="n">
        <f aca="false">BX815+BW815+BV815+BU815+BT815+BQ815+BN815</f>
        <v>343</v>
      </c>
      <c r="CQ815" s="25" t="n">
        <f aca="false">CO815+CL815+CI815+CH815+CG815+CD815+CA815</f>
        <v>433</v>
      </c>
      <c r="CR815" s="26" t="n">
        <f aca="false">CP815/7</f>
        <v>49</v>
      </c>
      <c r="CS815" s="26" t="n">
        <f aca="false">CQ815/7</f>
        <v>61.8571428571429</v>
      </c>
      <c r="CT815" s="24" t="n">
        <f aca="false">RANK(CR815,$CR$2:$CR$881,0)</f>
        <v>738</v>
      </c>
      <c r="CU815" s="25" t="n">
        <f aca="false">RANK(CS815,$CS$2:$CS$881,0)</f>
        <v>665</v>
      </c>
      <c r="CV815" s="26" t="n">
        <f aca="false">(CS815+CR815)/2</f>
        <v>55.4285714285714</v>
      </c>
      <c r="CW815" s="25" t="n">
        <f aca="false">RANK(CV815,$CV$2:$CV$881,0)</f>
        <v>707</v>
      </c>
      <c r="CX815" s="50" t="n">
        <f aca="false">(CV815+BB815)/2</f>
        <v>27.7142857142857</v>
      </c>
      <c r="CY815" s="50" t="n">
        <v>884</v>
      </c>
      <c r="CZ815" s="27" t="s">
        <v>132</v>
      </c>
      <c r="DA815" s="27" t="s">
        <v>169</v>
      </c>
      <c r="DB815" s="27" t="s">
        <v>169</v>
      </c>
      <c r="DC815" s="27" t="s">
        <v>134</v>
      </c>
      <c r="DD815" s="27" t="s">
        <v>195</v>
      </c>
      <c r="DE815" s="27" t="s">
        <v>645</v>
      </c>
      <c r="DF815" s="27" t="s">
        <v>163</v>
      </c>
      <c r="DG815" s="27" t="s">
        <v>134</v>
      </c>
      <c r="DH815" s="27" t="s">
        <v>174</v>
      </c>
      <c r="DI815" s="27" t="s">
        <v>182</v>
      </c>
      <c r="DJ815" s="27" t="s">
        <v>681</v>
      </c>
      <c r="DK815" s="27" t="s">
        <v>480</v>
      </c>
      <c r="DL815" s="27" t="s">
        <v>135</v>
      </c>
      <c r="DM815" s="27" t="s">
        <v>146</v>
      </c>
      <c r="DN815" s="27" t="s">
        <v>306</v>
      </c>
      <c r="DO815" s="27" t="s">
        <v>480</v>
      </c>
      <c r="DP815" s="27"/>
      <c r="DQ815" s="27"/>
      <c r="DR815" s="27"/>
      <c r="DS815" s="27"/>
      <c r="DT815" s="27" t="s">
        <v>191</v>
      </c>
      <c r="DU815" s="27" t="s">
        <v>160</v>
      </c>
      <c r="DV815" s="27" t="s">
        <v>399</v>
      </c>
      <c r="DW815" s="27" t="s">
        <v>485</v>
      </c>
      <c r="DX815" s="27" t="s">
        <v>220</v>
      </c>
      <c r="DY815" s="27" t="s">
        <v>486</v>
      </c>
      <c r="DZ815" s="27" t="n">
        <f aca="false">DY815+DV815+DR815+DN815+DJ815+DF815+DB815</f>
        <v>370</v>
      </c>
      <c r="EA815" s="28" t="n">
        <f aca="false">DZ815/7</f>
        <v>52.8571428571429</v>
      </c>
      <c r="EB815" s="27" t="n">
        <f aca="false">RANK(EA815,$EA$2:$EA$881,0)</f>
        <v>834</v>
      </c>
      <c r="EC815" s="29" t="n">
        <f aca="false">DZ815+CQ815+CP815+AZ815</f>
        <v>1146</v>
      </c>
      <c r="ED815" s="30" t="n">
        <f aca="false">(EA815+CV815+BB815)/3</f>
        <v>36.0952380952381</v>
      </c>
      <c r="EE815" s="51" t="n">
        <f aca="false">ROUND(BE815,3)</f>
        <v>0</v>
      </c>
      <c r="EF815" s="51" t="n">
        <f aca="false">ROUND(CR815,3)</f>
        <v>49</v>
      </c>
      <c r="EG815" s="51" t="n">
        <f aca="false">ROUND(CS815,3)</f>
        <v>61.857</v>
      </c>
      <c r="EH815" s="51" t="n">
        <f aca="false">ROUND(EA815,3)</f>
        <v>52.857</v>
      </c>
      <c r="EI815" s="51" t="n">
        <f aca="false">ROUND(ED815,3)</f>
        <v>36.095</v>
      </c>
      <c r="EJ815" s="51" t="n">
        <f aca="false">ROUND(CV815,3)</f>
        <v>55.429</v>
      </c>
      <c r="EK815" s="0" t="n">
        <f aca="false">RANK(EI815,$EI$2:$EI$881,0)</f>
        <v>814</v>
      </c>
    </row>
    <row r="816" customFormat="false" ht="15" hidden="false" customHeight="false" outlineLevel="0" collapsed="false">
      <c r="A816" s="4" t="n">
        <v>8810</v>
      </c>
      <c r="B816" s="4" t="n">
        <v>707</v>
      </c>
      <c r="C816" s="27" t="s">
        <v>2281</v>
      </c>
      <c r="D816" s="52" t="n">
        <v>721</v>
      </c>
      <c r="E816" s="136"/>
      <c r="F816" s="110" t="s">
        <v>2282</v>
      </c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136"/>
      <c r="AQ816" s="136"/>
      <c r="AR816" s="136"/>
      <c r="AS816" s="136"/>
      <c r="AT816" s="136"/>
      <c r="AU816" s="136"/>
      <c r="AV816" s="136"/>
      <c r="AW816" s="136"/>
      <c r="AX816" s="136"/>
      <c r="AY816" s="136"/>
      <c r="AZ816" s="136"/>
      <c r="BA816" s="136"/>
      <c r="BB816" s="136"/>
      <c r="BC816" s="136"/>
      <c r="BD816" s="16" t="e">
        <f aca="false">RANK(AX816,$AX$2:$AX$881,0)</f>
        <v>#N/A</v>
      </c>
      <c r="BE816" s="138"/>
      <c r="BF816" s="16" t="n">
        <f aca="false">RANK(BE816,$BE$2:$BE$881,0)</f>
        <v>806</v>
      </c>
      <c r="BG816" s="136"/>
      <c r="BH816" s="39" t="n">
        <f aca="false">RANK(BC816,$BC$2:$BC$881,0)</f>
        <v>780</v>
      </c>
      <c r="BI816" s="19" t="s">
        <v>130</v>
      </c>
      <c r="BJ816" s="19" t="s">
        <v>129</v>
      </c>
      <c r="BK816" s="109" t="s">
        <v>1596</v>
      </c>
      <c r="BL816" s="41" t="n">
        <v>12</v>
      </c>
      <c r="BM816" s="41" t="n">
        <v>33</v>
      </c>
      <c r="BN816" s="98" t="n">
        <v>45</v>
      </c>
      <c r="BO816" s="42" t="n">
        <v>12</v>
      </c>
      <c r="BP816" s="43" t="n">
        <v>57</v>
      </c>
      <c r="BQ816" s="44" t="n">
        <v>69</v>
      </c>
      <c r="BR816" s="74" t="n">
        <v>11</v>
      </c>
      <c r="BS816" s="80"/>
      <c r="BT816" s="80"/>
      <c r="BU816" s="46" t="n">
        <v>73</v>
      </c>
      <c r="BV816" s="79" t="n">
        <v>56</v>
      </c>
      <c r="BW816" s="42" t="n">
        <v>82</v>
      </c>
      <c r="BX816" s="80"/>
      <c r="BY816" s="32" t="n">
        <v>17</v>
      </c>
      <c r="BZ816" s="32" t="n">
        <v>42</v>
      </c>
      <c r="CA816" s="69" t="n">
        <v>59</v>
      </c>
      <c r="CB816" s="32" t="n">
        <v>17</v>
      </c>
      <c r="CC816" s="32" t="n">
        <v>29</v>
      </c>
      <c r="CD816" s="69" t="n">
        <v>46</v>
      </c>
      <c r="CE816" s="25" t="n">
        <v>22</v>
      </c>
      <c r="CF816" s="25" t="n">
        <v>44</v>
      </c>
      <c r="CG816" s="25" t="n">
        <v>66</v>
      </c>
      <c r="CH816" s="32" t="n">
        <v>83</v>
      </c>
      <c r="CI816" s="32" t="n">
        <v>63</v>
      </c>
      <c r="CJ816" s="49" t="n">
        <v>15</v>
      </c>
      <c r="CK816" s="49" t="n">
        <v>45</v>
      </c>
      <c r="CL816" s="84" t="n">
        <v>60</v>
      </c>
      <c r="CM816" s="25" t="n">
        <v>16</v>
      </c>
      <c r="CN816" s="25" t="n">
        <v>49</v>
      </c>
      <c r="CO816" s="24" t="n">
        <v>65</v>
      </c>
      <c r="CP816" s="25" t="n">
        <f aca="false">BX816+BW816+BV816+BU816+BT816+BQ816+BN816</f>
        <v>325</v>
      </c>
      <c r="CQ816" s="25" t="n">
        <f aca="false">CO816+CL816+CI816+CH816+CG816+CD816+CA816</f>
        <v>442</v>
      </c>
      <c r="CR816" s="26" t="n">
        <f aca="false">CP816/7</f>
        <v>46.4285714285714</v>
      </c>
      <c r="CS816" s="26" t="n">
        <f aca="false">CQ816/7</f>
        <v>63.1428571428571</v>
      </c>
      <c r="CT816" s="24" t="n">
        <f aca="false">RANK(CR816,$CR$2:$CR$881,0)</f>
        <v>744</v>
      </c>
      <c r="CU816" s="25" t="n">
        <f aca="false">RANK(CS816,$CS$2:$CS$881,0)</f>
        <v>649</v>
      </c>
      <c r="CV816" s="26" t="n">
        <f aca="false">(CS816+CR816)/2</f>
        <v>54.7857142857143</v>
      </c>
      <c r="CW816" s="25" t="n">
        <f aca="false">RANK(CV816,$CV$2:$CV$881,0)</f>
        <v>708</v>
      </c>
      <c r="CX816" s="50" t="n">
        <f aca="false">(CV816+BB816)/2</f>
        <v>27.3928571428571</v>
      </c>
      <c r="CY816" s="50" t="n">
        <v>886</v>
      </c>
      <c r="CZ816" s="27" t="s">
        <v>132</v>
      </c>
      <c r="DA816" s="27" t="s">
        <v>447</v>
      </c>
      <c r="DB816" s="27" t="s">
        <v>447</v>
      </c>
      <c r="DC816" s="27" t="s">
        <v>480</v>
      </c>
      <c r="DD816" s="27" t="s">
        <v>264</v>
      </c>
      <c r="DE816" s="27" t="s">
        <v>673</v>
      </c>
      <c r="DF816" s="27" t="s">
        <v>177</v>
      </c>
      <c r="DG816" s="27" t="s">
        <v>134</v>
      </c>
      <c r="DH816" s="27" t="s">
        <v>135</v>
      </c>
      <c r="DI816" s="27" t="s">
        <v>164</v>
      </c>
      <c r="DJ816" s="27" t="s">
        <v>313</v>
      </c>
      <c r="DK816" s="27" t="s">
        <v>480</v>
      </c>
      <c r="DL816" s="27" t="s">
        <v>174</v>
      </c>
      <c r="DM816" s="27" t="s">
        <v>897</v>
      </c>
      <c r="DN816" s="27" t="s">
        <v>163</v>
      </c>
      <c r="DO816" s="27" t="s">
        <v>134</v>
      </c>
      <c r="DP816" s="27"/>
      <c r="DQ816" s="27"/>
      <c r="DR816" s="27"/>
      <c r="DS816" s="27"/>
      <c r="DT816" s="27" t="s">
        <v>386</v>
      </c>
      <c r="DU816" s="27" t="s">
        <v>182</v>
      </c>
      <c r="DV816" s="27" t="s">
        <v>989</v>
      </c>
      <c r="DW816" s="27" t="s">
        <v>195</v>
      </c>
      <c r="DX816" s="27" t="s">
        <v>138</v>
      </c>
      <c r="DY816" s="27" t="s">
        <v>153</v>
      </c>
      <c r="DZ816" s="27" t="n">
        <f aca="false">DY816+DV816+DR816+DN816+DJ816+DF816+DB816</f>
        <v>362</v>
      </c>
      <c r="EA816" s="28" t="n">
        <f aca="false">DZ816/7</f>
        <v>51.7142857142857</v>
      </c>
      <c r="EB816" s="27" t="n">
        <f aca="false">RANK(EA816,$EA$2:$EA$881,0)</f>
        <v>837</v>
      </c>
      <c r="EC816" s="29" t="n">
        <f aca="false">DZ816+CQ816+CP816+AZ816</f>
        <v>1129</v>
      </c>
      <c r="ED816" s="30" t="n">
        <f aca="false">(EA816+CV816+BB816)/3</f>
        <v>35.5</v>
      </c>
      <c r="EE816" s="51" t="n">
        <f aca="false">ROUND(BE816,3)</f>
        <v>0</v>
      </c>
      <c r="EF816" s="51" t="n">
        <f aca="false">ROUND(CR816,3)</f>
        <v>46.429</v>
      </c>
      <c r="EG816" s="51" t="n">
        <f aca="false">ROUND(CS816,3)</f>
        <v>63.143</v>
      </c>
      <c r="EH816" s="51" t="n">
        <f aca="false">ROUND(EA816,3)</f>
        <v>51.714</v>
      </c>
      <c r="EI816" s="51" t="n">
        <f aca="false">ROUND(ED816,3)</f>
        <v>35.5</v>
      </c>
      <c r="EJ816" s="51" t="n">
        <f aca="false">ROUND(CV816,3)</f>
        <v>54.786</v>
      </c>
      <c r="EK816" s="0" t="n">
        <f aca="false">RANK(EI816,$EI$2:$EI$881,0)</f>
        <v>815</v>
      </c>
    </row>
    <row r="817" customFormat="false" ht="15" hidden="false" customHeight="false" outlineLevel="0" collapsed="false">
      <c r="A817" s="4" t="n">
        <v>9119</v>
      </c>
      <c r="B817" s="4" t="n">
        <v>399</v>
      </c>
      <c r="C817" s="27" t="s">
        <v>2283</v>
      </c>
      <c r="D817" s="52" t="n">
        <v>404</v>
      </c>
      <c r="E817" s="136"/>
      <c r="F817" s="110" t="s">
        <v>2284</v>
      </c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136"/>
      <c r="AS817" s="136"/>
      <c r="AT817" s="136"/>
      <c r="AU817" s="136"/>
      <c r="AV817" s="136"/>
      <c r="AW817" s="136"/>
      <c r="AX817" s="136"/>
      <c r="AY817" s="136"/>
      <c r="AZ817" s="136"/>
      <c r="BA817" s="136"/>
      <c r="BB817" s="136"/>
      <c r="BC817" s="136"/>
      <c r="BD817" s="16" t="e">
        <f aca="false">RANK(AX817,$AX$2:$AX$881,0)</f>
        <v>#N/A</v>
      </c>
      <c r="BE817" s="138"/>
      <c r="BF817" s="16" t="n">
        <f aca="false">RANK(BE817,$BE$2:$BE$881,0)</f>
        <v>806</v>
      </c>
      <c r="BG817" s="136"/>
      <c r="BH817" s="39" t="n">
        <f aca="false">RANK(BC817,$BC$2:$BC$881,0)</f>
        <v>780</v>
      </c>
      <c r="BI817" s="19" t="s">
        <v>130</v>
      </c>
      <c r="BJ817" s="19" t="s">
        <v>129</v>
      </c>
      <c r="BK817" s="109" t="s">
        <v>1596</v>
      </c>
      <c r="BL817" s="98" t="n">
        <v>7</v>
      </c>
      <c r="BM817" s="61"/>
      <c r="BN817" s="61"/>
      <c r="BO817" s="42" t="n">
        <v>13</v>
      </c>
      <c r="BP817" s="43" t="n">
        <v>40</v>
      </c>
      <c r="BQ817" s="119" t="n">
        <v>53</v>
      </c>
      <c r="BR817" s="42" t="n">
        <v>17</v>
      </c>
      <c r="BS817" s="45" t="n">
        <v>38</v>
      </c>
      <c r="BT817" s="85" t="n">
        <v>55</v>
      </c>
      <c r="BU817" s="144" t="n">
        <v>56</v>
      </c>
      <c r="BV817" s="60"/>
      <c r="BW817" s="42" t="n">
        <v>75</v>
      </c>
      <c r="BX817" s="80"/>
      <c r="BY817" s="32" t="n">
        <v>19</v>
      </c>
      <c r="BZ817" s="32" t="n">
        <v>47</v>
      </c>
      <c r="CA817" s="48" t="n">
        <v>66</v>
      </c>
      <c r="CB817" s="32" t="n">
        <v>16</v>
      </c>
      <c r="CC817" s="32" t="n">
        <v>23</v>
      </c>
      <c r="CD817" s="69" t="n">
        <v>39</v>
      </c>
      <c r="CE817" s="32" t="n">
        <v>23</v>
      </c>
      <c r="CF817" s="32" t="n">
        <v>32</v>
      </c>
      <c r="CG817" s="69" t="n">
        <v>55</v>
      </c>
      <c r="CH817" s="32" t="n">
        <v>83</v>
      </c>
      <c r="CI817" s="32" t="n">
        <v>65</v>
      </c>
      <c r="CJ817" s="49" t="n">
        <v>16</v>
      </c>
      <c r="CK817" s="49" t="n">
        <v>38</v>
      </c>
      <c r="CL817" s="76" t="n">
        <v>54</v>
      </c>
      <c r="CM817" s="49" t="n">
        <v>18</v>
      </c>
      <c r="CN817" s="49" t="n">
        <v>44</v>
      </c>
      <c r="CO817" s="49" t="n">
        <v>62</v>
      </c>
      <c r="CP817" s="25" t="n">
        <f aca="false">BX817+BW817+BV817+BU817+BT817+BQ817+BN817</f>
        <v>239</v>
      </c>
      <c r="CQ817" s="25" t="n">
        <f aca="false">CO817+CL817+CI817+CH817+CG817+CD817+CA817</f>
        <v>424</v>
      </c>
      <c r="CR817" s="26" t="n">
        <f aca="false">CP817/7</f>
        <v>34.1428571428571</v>
      </c>
      <c r="CS817" s="26" t="n">
        <f aca="false">CQ817/7</f>
        <v>60.5714285714286</v>
      </c>
      <c r="CT817" s="24" t="n">
        <f aca="false">RANK(CR817,$CR$2:$CR$881,0)</f>
        <v>749</v>
      </c>
      <c r="CU817" s="25" t="n">
        <f aca="false">RANK(CS817,$CS$2:$CS$881,0)</f>
        <v>676</v>
      </c>
      <c r="CV817" s="26" t="n">
        <f aca="false">(CS817+CR817)/2</f>
        <v>47.3571428571429</v>
      </c>
      <c r="CW817" s="25" t="n">
        <f aca="false">RANK(CV817,$CV$2:$CV$881,0)</f>
        <v>717</v>
      </c>
      <c r="CX817" s="50" t="n">
        <f aca="false">(CV817+BB817)/2</f>
        <v>23.6785714285714</v>
      </c>
      <c r="CY817" s="50" t="n">
        <v>887</v>
      </c>
      <c r="CZ817" s="27" t="s">
        <v>132</v>
      </c>
      <c r="DA817" s="27" t="s">
        <v>681</v>
      </c>
      <c r="DB817" s="27" t="s">
        <v>681</v>
      </c>
      <c r="DC817" s="27" t="s">
        <v>480</v>
      </c>
      <c r="DD817" s="27" t="s">
        <v>264</v>
      </c>
      <c r="DE817" s="27" t="s">
        <v>399</v>
      </c>
      <c r="DF817" s="27" t="s">
        <v>141</v>
      </c>
      <c r="DG817" s="27" t="s">
        <v>134</v>
      </c>
      <c r="DH817" s="27" t="s">
        <v>195</v>
      </c>
      <c r="DI817" s="27" t="s">
        <v>174</v>
      </c>
      <c r="DJ817" s="27" t="s">
        <v>897</v>
      </c>
      <c r="DK817" s="27" t="s">
        <v>480</v>
      </c>
      <c r="DL817" s="27" t="s">
        <v>706</v>
      </c>
      <c r="DM817" s="27" t="s">
        <v>204</v>
      </c>
      <c r="DN817" s="27" t="s">
        <v>372</v>
      </c>
      <c r="DO817" s="27" t="s">
        <v>134</v>
      </c>
      <c r="DP817" s="27" t="s">
        <v>1000</v>
      </c>
      <c r="DQ817" s="27" t="s">
        <v>1309</v>
      </c>
      <c r="DR817" s="27" t="s">
        <v>442</v>
      </c>
      <c r="DS817" s="27" t="s">
        <v>480</v>
      </c>
      <c r="DT817" s="27" t="s">
        <v>135</v>
      </c>
      <c r="DU817" s="27" t="s">
        <v>164</v>
      </c>
      <c r="DV817" s="27" t="s">
        <v>313</v>
      </c>
      <c r="DW817" s="27" t="s">
        <v>718</v>
      </c>
      <c r="DX817" s="27" t="s">
        <v>141</v>
      </c>
      <c r="DY817" s="27" t="s">
        <v>272</v>
      </c>
      <c r="DZ817" s="27" t="n">
        <f aca="false">DY817+DV817+DR817+DN817+DJ817+DF817+DB817</f>
        <v>410</v>
      </c>
      <c r="EA817" s="28" t="n">
        <f aca="false">DZ817/7</f>
        <v>58.5714285714286</v>
      </c>
      <c r="EB817" s="27" t="n">
        <f aca="false">RANK(EA817,$EA$2:$EA$881,0)</f>
        <v>796</v>
      </c>
      <c r="EC817" s="29" t="n">
        <f aca="false">DZ817+CQ817+CP817+AZ817</f>
        <v>1073</v>
      </c>
      <c r="ED817" s="30" t="n">
        <f aca="false">(EA817+CV817+BB817)/3</f>
        <v>35.3095238095238</v>
      </c>
      <c r="EE817" s="51" t="n">
        <f aca="false">ROUND(BE817,3)</f>
        <v>0</v>
      </c>
      <c r="EF817" s="51" t="n">
        <f aca="false">ROUND(CR817,3)</f>
        <v>34.143</v>
      </c>
      <c r="EG817" s="51" t="n">
        <f aca="false">ROUND(CS817,3)</f>
        <v>60.571</v>
      </c>
      <c r="EH817" s="51" t="n">
        <f aca="false">ROUND(EA817,3)</f>
        <v>58.571</v>
      </c>
      <c r="EI817" s="51" t="n">
        <f aca="false">ROUND(ED817,3)</f>
        <v>35.31</v>
      </c>
      <c r="EJ817" s="51" t="n">
        <f aca="false">ROUND(CV817,3)</f>
        <v>47.357</v>
      </c>
      <c r="EK817" s="0" t="n">
        <f aca="false">RANK(EI817,$EI$2:$EI$881,0)</f>
        <v>816</v>
      </c>
    </row>
    <row r="818" customFormat="false" ht="15" hidden="false" customHeight="false" outlineLevel="0" collapsed="false">
      <c r="A818" s="4" t="n">
        <v>8601</v>
      </c>
      <c r="B818" s="4" t="n">
        <v>33</v>
      </c>
      <c r="C818" s="27" t="s">
        <v>2285</v>
      </c>
      <c r="D818" s="52" t="n">
        <v>35</v>
      </c>
      <c r="E818" s="136"/>
      <c r="F818" s="110" t="s">
        <v>2286</v>
      </c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136"/>
      <c r="AS818" s="136"/>
      <c r="AT818" s="136"/>
      <c r="AU818" s="136"/>
      <c r="AV818" s="136"/>
      <c r="AW818" s="136"/>
      <c r="AX818" s="136"/>
      <c r="AY818" s="136"/>
      <c r="AZ818" s="136"/>
      <c r="BA818" s="136"/>
      <c r="BB818" s="136"/>
      <c r="BC818" s="136"/>
      <c r="BD818" s="16" t="e">
        <f aca="false">RANK(AX818,$AX$2:$AX$881,0)</f>
        <v>#N/A</v>
      </c>
      <c r="BE818" s="138"/>
      <c r="BF818" s="16" t="n">
        <f aca="false">RANK(BE818,$BE$2:$BE$881,0)</f>
        <v>806</v>
      </c>
      <c r="BG818" s="136"/>
      <c r="BH818" s="39" t="n">
        <f aca="false">RANK(BC818,$BC$2:$BC$881,0)</f>
        <v>780</v>
      </c>
      <c r="BI818" s="19" t="s">
        <v>130</v>
      </c>
      <c r="BJ818" s="19" t="s">
        <v>129</v>
      </c>
      <c r="BK818" s="109" t="s">
        <v>1596</v>
      </c>
      <c r="BL818" s="41" t="n">
        <v>14</v>
      </c>
      <c r="BM818" s="41" t="n">
        <v>28</v>
      </c>
      <c r="BN818" s="98" t="n">
        <v>42</v>
      </c>
      <c r="BO818" s="42" t="n">
        <v>13</v>
      </c>
      <c r="BP818" s="43" t="n">
        <v>23</v>
      </c>
      <c r="BQ818" s="119" t="n">
        <v>36</v>
      </c>
      <c r="BR818" s="44" t="n">
        <v>15</v>
      </c>
      <c r="BS818" s="45" t="n">
        <v>46</v>
      </c>
      <c r="BT818" s="24" t="n">
        <v>61</v>
      </c>
      <c r="BU818" s="144" t="n">
        <v>28</v>
      </c>
      <c r="BV818" s="60"/>
      <c r="BW818" s="44" t="n">
        <v>66</v>
      </c>
      <c r="BX818" s="80"/>
      <c r="BY818" s="32" t="n">
        <v>20</v>
      </c>
      <c r="BZ818" s="32" t="n">
        <v>35</v>
      </c>
      <c r="CA818" s="69" t="n">
        <v>55</v>
      </c>
      <c r="CB818" s="32" t="n">
        <v>17</v>
      </c>
      <c r="CC818" s="32" t="n">
        <v>22</v>
      </c>
      <c r="CD818" s="69" t="n">
        <v>39</v>
      </c>
      <c r="CE818" s="32" t="n">
        <v>26</v>
      </c>
      <c r="CF818" s="32" t="n">
        <v>38</v>
      </c>
      <c r="CG818" s="32" t="n">
        <v>64</v>
      </c>
      <c r="CH818" s="32" t="n">
        <v>79</v>
      </c>
      <c r="CI818" s="48" t="n">
        <v>73</v>
      </c>
      <c r="CJ818" s="49" t="n">
        <v>17</v>
      </c>
      <c r="CK818" s="49" t="n">
        <v>46</v>
      </c>
      <c r="CL818" s="84" t="n">
        <v>63</v>
      </c>
      <c r="CM818" s="49" t="n">
        <v>23</v>
      </c>
      <c r="CN818" s="49" t="n">
        <v>54</v>
      </c>
      <c r="CO818" s="84" t="n">
        <v>77</v>
      </c>
      <c r="CP818" s="25" t="n">
        <f aca="false">BX818+BW818+BV818+BU818+BT818+BQ818+BN818</f>
        <v>233</v>
      </c>
      <c r="CQ818" s="25" t="n">
        <f aca="false">CO818+CL818+CI818+CH818+CG818+CD818+CA818</f>
        <v>450</v>
      </c>
      <c r="CR818" s="26" t="n">
        <f aca="false">CP818/7</f>
        <v>33.2857142857143</v>
      </c>
      <c r="CS818" s="26" t="n">
        <f aca="false">CQ818/7</f>
        <v>64.2857142857143</v>
      </c>
      <c r="CT818" s="24" t="n">
        <f aca="false">RANK(CR818,$CR$2:$CR$881,0)</f>
        <v>750</v>
      </c>
      <c r="CU818" s="25" t="n">
        <f aca="false">RANK(CS818,$CS$2:$CS$881,0)</f>
        <v>637</v>
      </c>
      <c r="CV818" s="26" t="n">
        <f aca="false">(CS818+CR818)/2</f>
        <v>48.7857142857143</v>
      </c>
      <c r="CW818" s="25" t="n">
        <f aca="false">RANK(CV818,$CV$2:$CV$881,0)</f>
        <v>715</v>
      </c>
      <c r="CX818" s="50" t="n">
        <f aca="false">(CV818+BB818)/2</f>
        <v>24.3928571428571</v>
      </c>
      <c r="CY818" s="50" t="n">
        <v>891</v>
      </c>
      <c r="CZ818" s="27" t="s">
        <v>132</v>
      </c>
      <c r="DA818" s="27" t="s">
        <v>398</v>
      </c>
      <c r="DB818" s="27" t="s">
        <v>398</v>
      </c>
      <c r="DC818" s="27" t="s">
        <v>134</v>
      </c>
      <c r="DD818" s="27" t="s">
        <v>182</v>
      </c>
      <c r="DE818" s="27" t="s">
        <v>164</v>
      </c>
      <c r="DF818" s="27" t="s">
        <v>412</v>
      </c>
      <c r="DG818" s="27" t="s">
        <v>480</v>
      </c>
      <c r="DH818" s="27" t="s">
        <v>140</v>
      </c>
      <c r="DI818" s="27" t="s">
        <v>137</v>
      </c>
      <c r="DJ818" s="27" t="s">
        <v>306</v>
      </c>
      <c r="DK818" s="27" t="s">
        <v>480</v>
      </c>
      <c r="DL818" s="27" t="s">
        <v>191</v>
      </c>
      <c r="DM818" s="27" t="s">
        <v>481</v>
      </c>
      <c r="DN818" s="27" t="s">
        <v>218</v>
      </c>
      <c r="DO818" s="27" t="s">
        <v>480</v>
      </c>
      <c r="DP818" s="27" t="s">
        <v>386</v>
      </c>
      <c r="DQ818" s="27" t="s">
        <v>160</v>
      </c>
      <c r="DR818" s="27" t="s">
        <v>681</v>
      </c>
      <c r="DS818" s="27" t="s">
        <v>480</v>
      </c>
      <c r="DT818" s="27" t="s">
        <v>1000</v>
      </c>
      <c r="DU818" s="27" t="s">
        <v>140</v>
      </c>
      <c r="DV818" s="27" t="s">
        <v>897</v>
      </c>
      <c r="DW818" s="27" t="s">
        <v>154</v>
      </c>
      <c r="DX818" s="27" t="s">
        <v>681</v>
      </c>
      <c r="DY818" s="27" t="s">
        <v>138</v>
      </c>
      <c r="DZ818" s="27" t="n">
        <f aca="false">DY818+DV818+DR818+DN818+DJ818+DF818+DB818</f>
        <v>393</v>
      </c>
      <c r="EA818" s="28" t="n">
        <f aca="false">DZ818/7</f>
        <v>56.1428571428571</v>
      </c>
      <c r="EB818" s="27" t="n">
        <f aca="false">RANK(EA818,$EA$2:$EA$881,0)</f>
        <v>820</v>
      </c>
      <c r="EC818" s="29" t="n">
        <f aca="false">DZ818+CQ818+CP818+AZ818</f>
        <v>1076</v>
      </c>
      <c r="ED818" s="30" t="n">
        <f aca="false">(EA818+CV818+BB818)/3</f>
        <v>34.9761904761905</v>
      </c>
      <c r="EE818" s="51" t="n">
        <f aca="false">ROUND(BE818,3)</f>
        <v>0</v>
      </c>
      <c r="EF818" s="51" t="n">
        <f aca="false">ROUND(CR818,3)</f>
        <v>33.286</v>
      </c>
      <c r="EG818" s="51" t="n">
        <f aca="false">ROUND(CS818,3)</f>
        <v>64.286</v>
      </c>
      <c r="EH818" s="51" t="n">
        <f aca="false">ROUND(EA818,3)</f>
        <v>56.143</v>
      </c>
      <c r="EI818" s="51" t="n">
        <f aca="false">ROUND(ED818,3)</f>
        <v>34.976</v>
      </c>
      <c r="EJ818" s="51" t="n">
        <f aca="false">ROUND(CV818,3)</f>
        <v>48.786</v>
      </c>
      <c r="EK818" s="0" t="n">
        <f aca="false">RANK(EI818,$EI$2:$EI$881,0)</f>
        <v>817</v>
      </c>
    </row>
    <row r="819" customFormat="false" ht="15" hidden="false" customHeight="false" outlineLevel="0" collapsed="false">
      <c r="A819" s="4" t="n">
        <v>1914</v>
      </c>
      <c r="B819" s="4" t="n">
        <v>231</v>
      </c>
      <c r="C819" s="27" t="s">
        <v>2287</v>
      </c>
      <c r="D819" s="52" t="n">
        <v>232</v>
      </c>
      <c r="E819" s="136"/>
      <c r="F819" s="110" t="s">
        <v>2288</v>
      </c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136"/>
      <c r="AQ819" s="136"/>
      <c r="AR819" s="136"/>
      <c r="AS819" s="136"/>
      <c r="AT819" s="136"/>
      <c r="AU819" s="136"/>
      <c r="AV819" s="136"/>
      <c r="AW819" s="136"/>
      <c r="AX819" s="136"/>
      <c r="AY819" s="136"/>
      <c r="AZ819" s="136"/>
      <c r="BA819" s="136"/>
      <c r="BB819" s="136"/>
      <c r="BC819" s="136"/>
      <c r="BD819" s="16" t="e">
        <f aca="false">RANK(AX819,$AX$2:$AX$881,0)</f>
        <v>#N/A</v>
      </c>
      <c r="BE819" s="138"/>
      <c r="BF819" s="16" t="n">
        <f aca="false">RANK(BE819,$BE$2:$BE$881,0)</f>
        <v>806</v>
      </c>
      <c r="BG819" s="136"/>
      <c r="BH819" s="39" t="n">
        <f aca="false">RANK(BC819,$BC$2:$BC$881,0)</f>
        <v>780</v>
      </c>
      <c r="BI819" s="19" t="s">
        <v>130</v>
      </c>
      <c r="BJ819" s="19" t="s">
        <v>129</v>
      </c>
      <c r="BK819" s="109" t="s">
        <v>1596</v>
      </c>
      <c r="BL819" s="41" t="n">
        <v>16</v>
      </c>
      <c r="BM819" s="41" t="n">
        <v>37</v>
      </c>
      <c r="BN819" s="98" t="n">
        <v>53</v>
      </c>
      <c r="BO819" s="42" t="n">
        <v>14</v>
      </c>
      <c r="BP819" s="43" t="n">
        <v>47</v>
      </c>
      <c r="BQ819" s="44" t="n">
        <v>61</v>
      </c>
      <c r="BR819" s="42" t="n">
        <v>17</v>
      </c>
      <c r="BS819" s="45" t="n">
        <v>53</v>
      </c>
      <c r="BT819" s="45" t="n">
        <v>70</v>
      </c>
      <c r="BU819" s="46" t="n">
        <v>100</v>
      </c>
      <c r="BV819" s="79" t="n">
        <v>50</v>
      </c>
      <c r="BW819" s="42" t="n">
        <v>99</v>
      </c>
      <c r="BX819" s="107"/>
      <c r="BY819" s="60" t="n">
        <v>27</v>
      </c>
      <c r="BZ819" s="60" t="n">
        <v>44</v>
      </c>
      <c r="CA819" s="60" t="n">
        <v>71</v>
      </c>
      <c r="CB819" s="60"/>
      <c r="CC819" s="60"/>
      <c r="CD819" s="60"/>
      <c r="CE819" s="68" t="n">
        <v>0</v>
      </c>
      <c r="CF819" s="60"/>
      <c r="CG819" s="60"/>
      <c r="CH819" s="60"/>
      <c r="CI819" s="60"/>
      <c r="CJ819" s="60"/>
      <c r="CK819" s="60"/>
      <c r="CL819" s="61"/>
      <c r="CM819" s="60"/>
      <c r="CN819" s="60"/>
      <c r="CO819" s="60"/>
      <c r="CP819" s="25" t="n">
        <f aca="false">BX819+BW819+BV819+BU819+BT819+BQ819+BN819</f>
        <v>433</v>
      </c>
      <c r="CQ819" s="25" t="n">
        <f aca="false">CO819+CL819+CI819+CH819+CG819+CD819+CA819</f>
        <v>71</v>
      </c>
      <c r="CR819" s="26" t="n">
        <f aca="false">CP819/7</f>
        <v>61.8571428571429</v>
      </c>
      <c r="CS819" s="26" t="n">
        <f aca="false">CQ819/7</f>
        <v>10.1428571428571</v>
      </c>
      <c r="CT819" s="24" t="n">
        <f aca="false">RANK(CR819,$CR$2:$CR$881,0)</f>
        <v>714</v>
      </c>
      <c r="CU819" s="25" t="n">
        <f aca="false">RANK(CS819,$CS$2:$CS$881,0)</f>
        <v>743</v>
      </c>
      <c r="CV819" s="26" t="n">
        <f aca="false">(CS819+CR819)/2</f>
        <v>36</v>
      </c>
      <c r="CW819" s="25" t="n">
        <f aca="false">RANK(CV819,$CV$2:$CV$881,0)</f>
        <v>735</v>
      </c>
      <c r="CX819" s="50" t="n">
        <f aca="false">(CV819+BB819)/2</f>
        <v>18</v>
      </c>
      <c r="CY819" s="50" t="n">
        <v>892</v>
      </c>
      <c r="CZ819" s="27" t="s">
        <v>132</v>
      </c>
      <c r="DA819" s="27" t="s">
        <v>272</v>
      </c>
      <c r="DB819" s="27" t="s">
        <v>272</v>
      </c>
      <c r="DC819" s="27" t="s">
        <v>134</v>
      </c>
      <c r="DD819" s="27" t="s">
        <v>182</v>
      </c>
      <c r="DE819" s="27" t="s">
        <v>681</v>
      </c>
      <c r="DF819" s="27" t="s">
        <v>155</v>
      </c>
      <c r="DG819" s="27" t="s">
        <v>134</v>
      </c>
      <c r="DH819" s="27" t="s">
        <v>135</v>
      </c>
      <c r="DI819" s="27" t="s">
        <v>479</v>
      </c>
      <c r="DJ819" s="27" t="s">
        <v>152</v>
      </c>
      <c r="DK819" s="27" t="s">
        <v>134</v>
      </c>
      <c r="DL819" s="27" t="s">
        <v>174</v>
      </c>
      <c r="DM819" s="27" t="s">
        <v>681</v>
      </c>
      <c r="DN819" s="27" t="s">
        <v>143</v>
      </c>
      <c r="DO819" s="27" t="s">
        <v>134</v>
      </c>
      <c r="DP819" s="27" t="s">
        <v>718</v>
      </c>
      <c r="DQ819" s="27" t="s">
        <v>1407</v>
      </c>
      <c r="DR819" s="27" t="s">
        <v>313</v>
      </c>
      <c r="DS819" s="27" t="s">
        <v>480</v>
      </c>
      <c r="DT819" s="27" t="s">
        <v>174</v>
      </c>
      <c r="DU819" s="27" t="s">
        <v>140</v>
      </c>
      <c r="DV819" s="27" t="s">
        <v>412</v>
      </c>
      <c r="DW819" s="27" t="s">
        <v>140</v>
      </c>
      <c r="DX819" s="27" t="s">
        <v>138</v>
      </c>
      <c r="DY819" s="27" t="s">
        <v>145</v>
      </c>
      <c r="DZ819" s="27" t="n">
        <f aca="false">DY819+DV819+DR819+DN819+DJ819+DF819+DB819</f>
        <v>482</v>
      </c>
      <c r="EA819" s="28" t="n">
        <f aca="false">DZ819/7</f>
        <v>68.8571428571429</v>
      </c>
      <c r="EB819" s="27" t="n">
        <f aca="false">RANK(EA819,$EA$2:$EA$881,0)</f>
        <v>677</v>
      </c>
      <c r="EC819" s="29" t="n">
        <f aca="false">DZ819+CQ819+CP819+AZ819</f>
        <v>986</v>
      </c>
      <c r="ED819" s="30" t="n">
        <f aca="false">(EA819+CV819+BB819)/3</f>
        <v>34.952380952381</v>
      </c>
      <c r="EE819" s="51" t="n">
        <f aca="false">ROUND(BE819,3)</f>
        <v>0</v>
      </c>
      <c r="EF819" s="51" t="n">
        <f aca="false">ROUND(CR819,3)</f>
        <v>61.857</v>
      </c>
      <c r="EG819" s="51" t="n">
        <f aca="false">ROUND(CS819,3)</f>
        <v>10.143</v>
      </c>
      <c r="EH819" s="51" t="n">
        <f aca="false">ROUND(EA819,3)</f>
        <v>68.857</v>
      </c>
      <c r="EI819" s="51" t="n">
        <f aca="false">ROUND(ED819,3)</f>
        <v>34.952</v>
      </c>
      <c r="EJ819" s="51" t="n">
        <f aca="false">ROUND(CV819,3)</f>
        <v>36</v>
      </c>
      <c r="EK819" s="0" t="n">
        <f aca="false">RANK(EI819,$EI$2:$EI$881,0)</f>
        <v>818</v>
      </c>
    </row>
    <row r="820" customFormat="false" ht="15" hidden="false" customHeight="false" outlineLevel="0" collapsed="false">
      <c r="A820" s="4" t="n">
        <v>8983</v>
      </c>
      <c r="B820" s="4" t="n">
        <v>43</v>
      </c>
      <c r="C820" s="27" t="s">
        <v>2289</v>
      </c>
      <c r="D820" s="52" t="n">
        <v>45</v>
      </c>
      <c r="E820" s="136"/>
      <c r="F820" s="110" t="s">
        <v>2290</v>
      </c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  <c r="AW820" s="136"/>
      <c r="AX820" s="136"/>
      <c r="AY820" s="136"/>
      <c r="AZ820" s="136"/>
      <c r="BA820" s="136"/>
      <c r="BB820" s="136"/>
      <c r="BC820" s="136"/>
      <c r="BD820" s="16" t="e">
        <f aca="false">RANK(AX820,$AX$2:$AX$881,0)</f>
        <v>#N/A</v>
      </c>
      <c r="BE820" s="138"/>
      <c r="BF820" s="16" t="n">
        <f aca="false">RANK(BE820,$BE$2:$BE$881,0)</f>
        <v>806</v>
      </c>
      <c r="BG820" s="136"/>
      <c r="BH820" s="39" t="n">
        <f aca="false">RANK(BC820,$BC$2:$BC$881,0)</f>
        <v>780</v>
      </c>
      <c r="BI820" s="19" t="s">
        <v>130</v>
      </c>
      <c r="BJ820" s="19" t="s">
        <v>129</v>
      </c>
      <c r="BK820" s="109" t="s">
        <v>1596</v>
      </c>
      <c r="BL820" s="41" t="n">
        <v>26</v>
      </c>
      <c r="BM820" s="41" t="n">
        <v>43</v>
      </c>
      <c r="BN820" s="41" t="n">
        <v>69</v>
      </c>
      <c r="BO820" s="42" t="n">
        <v>20</v>
      </c>
      <c r="BP820" s="42" t="n">
        <v>52</v>
      </c>
      <c r="BQ820" s="42" t="n">
        <v>72</v>
      </c>
      <c r="BR820" s="42" t="n">
        <v>22</v>
      </c>
      <c r="BS820" s="45" t="n">
        <v>58</v>
      </c>
      <c r="BT820" s="45" t="n">
        <v>80</v>
      </c>
      <c r="BU820" s="46" t="n">
        <v>86</v>
      </c>
      <c r="BV820" s="60"/>
      <c r="BW820" s="43" t="n">
        <v>89</v>
      </c>
      <c r="BX820" s="107"/>
      <c r="BY820" s="32" t="n">
        <v>25</v>
      </c>
      <c r="BZ820" s="58" t="n">
        <v>50</v>
      </c>
      <c r="CA820" s="58" t="n">
        <v>75</v>
      </c>
      <c r="CB820" s="32" t="n">
        <v>24</v>
      </c>
      <c r="CC820" s="32" t="n">
        <v>21</v>
      </c>
      <c r="CD820" s="69" t="n">
        <v>45</v>
      </c>
      <c r="CE820" s="32" t="n">
        <v>23</v>
      </c>
      <c r="CF820" s="32" t="n">
        <v>34</v>
      </c>
      <c r="CG820" s="69" t="n">
        <v>57</v>
      </c>
      <c r="CH820" s="32" t="n">
        <v>86</v>
      </c>
      <c r="CI820" s="48" t="n">
        <v>83</v>
      </c>
      <c r="CJ820" s="49" t="n">
        <v>22</v>
      </c>
      <c r="CK820" s="49" t="n">
        <v>46</v>
      </c>
      <c r="CL820" s="49" t="n">
        <v>68</v>
      </c>
      <c r="CM820" s="49" t="n">
        <v>23</v>
      </c>
      <c r="CN820" s="49" t="n">
        <v>41</v>
      </c>
      <c r="CO820" s="49" t="n">
        <v>64</v>
      </c>
      <c r="CP820" s="25" t="n">
        <f aca="false">BX820+BW820+BV820+BU820+BT820+BQ820+BN820</f>
        <v>396</v>
      </c>
      <c r="CQ820" s="25" t="n">
        <f aca="false">CO820+CL820+CI820+CH820+CG820+CD820+CA820</f>
        <v>478</v>
      </c>
      <c r="CR820" s="26" t="n">
        <f aca="false">CP820/7</f>
        <v>56.5714285714286</v>
      </c>
      <c r="CS820" s="26" t="n">
        <f aca="false">CQ820/7</f>
        <v>68.2857142857143</v>
      </c>
      <c r="CT820" s="24" t="n">
        <f aca="false">RANK(CR820,$CR$2:$CR$881,0)</f>
        <v>730</v>
      </c>
      <c r="CU820" s="25" t="n">
        <f aca="false">RANK(CS820,$CS$2:$CS$881,0)</f>
        <v>585</v>
      </c>
      <c r="CV820" s="26" t="n">
        <f aca="false">(CS820+CR820)/2</f>
        <v>62.4285714285714</v>
      </c>
      <c r="CW820" s="25" t="n">
        <f aca="false">RANK(CV820,$CV$2:$CV$881,0)</f>
        <v>689</v>
      </c>
      <c r="CX820" s="50" t="n">
        <f aca="false">(CV820+BB820)/2</f>
        <v>31.2142857142857</v>
      </c>
      <c r="CY820" s="50" t="n">
        <v>883</v>
      </c>
      <c r="CZ820" s="27" t="s">
        <v>132</v>
      </c>
      <c r="DA820" s="27" t="s">
        <v>175</v>
      </c>
      <c r="DB820" s="27" t="s">
        <v>175</v>
      </c>
      <c r="DC820" s="27" t="s">
        <v>134</v>
      </c>
      <c r="DD820" s="27" t="s">
        <v>154</v>
      </c>
      <c r="DE820" s="27" t="s">
        <v>204</v>
      </c>
      <c r="DF820" s="27" t="s">
        <v>205</v>
      </c>
      <c r="DG820" s="27" t="s">
        <v>134</v>
      </c>
      <c r="DH820" s="27"/>
      <c r="DI820" s="27"/>
      <c r="DJ820" s="27"/>
      <c r="DK820" s="27"/>
      <c r="DL820" s="27" t="s">
        <v>191</v>
      </c>
      <c r="DM820" s="27" t="s">
        <v>191</v>
      </c>
      <c r="DN820" s="27" t="s">
        <v>1407</v>
      </c>
      <c r="DO820" s="27" t="s">
        <v>480</v>
      </c>
      <c r="DP820" s="27"/>
      <c r="DQ820" s="27"/>
      <c r="DR820" s="27"/>
      <c r="DS820" s="27"/>
      <c r="DT820" s="27"/>
      <c r="DU820" s="27"/>
      <c r="DV820" s="27"/>
      <c r="DW820" s="27" t="s">
        <v>191</v>
      </c>
      <c r="DX820" s="27" t="s">
        <v>138</v>
      </c>
      <c r="DY820" s="27" t="s">
        <v>162</v>
      </c>
      <c r="DZ820" s="27" t="n">
        <f aca="false">DY820+DV820+DR820+DN820+DJ820+DF820+DB820</f>
        <v>296</v>
      </c>
      <c r="EA820" s="28" t="n">
        <f aca="false">DZ820/7</f>
        <v>42.2857142857143</v>
      </c>
      <c r="EB820" s="27" t="n">
        <f aca="false">RANK(EA820,$EA$2:$EA$881,0)</f>
        <v>855</v>
      </c>
      <c r="EC820" s="29" t="n">
        <f aca="false">DZ820+CQ820+CP820+AZ820</f>
        <v>1170</v>
      </c>
      <c r="ED820" s="30" t="n">
        <f aca="false">(EA820+CV820+BB820)/3</f>
        <v>34.9047619047619</v>
      </c>
      <c r="EE820" s="51" t="n">
        <f aca="false">ROUND(BE820,3)</f>
        <v>0</v>
      </c>
      <c r="EF820" s="51" t="n">
        <f aca="false">ROUND(CR820,3)</f>
        <v>56.571</v>
      </c>
      <c r="EG820" s="51" t="n">
        <f aca="false">ROUND(CS820,3)</f>
        <v>68.286</v>
      </c>
      <c r="EH820" s="51" t="n">
        <f aca="false">ROUND(EA820,3)</f>
        <v>42.286</v>
      </c>
      <c r="EI820" s="51" t="n">
        <f aca="false">ROUND(ED820,3)</f>
        <v>34.905</v>
      </c>
      <c r="EJ820" s="51" t="n">
        <f aca="false">ROUND(CV820,3)</f>
        <v>62.429</v>
      </c>
      <c r="EK820" s="0" t="n">
        <f aca="false">RANK(EI820,$EI$2:$EI$881,0)</f>
        <v>819</v>
      </c>
    </row>
    <row r="821" customFormat="false" ht="15" hidden="false" customHeight="false" outlineLevel="0" collapsed="false">
      <c r="A821" s="4" t="n">
        <v>9118</v>
      </c>
      <c r="B821" s="4" t="n">
        <v>233</v>
      </c>
      <c r="C821" s="27" t="s">
        <v>2291</v>
      </c>
      <c r="D821" s="52" t="n">
        <v>234</v>
      </c>
      <c r="E821" s="136"/>
      <c r="F821" s="110" t="s">
        <v>2292</v>
      </c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136"/>
      <c r="AS821" s="136"/>
      <c r="AT821" s="136"/>
      <c r="AU821" s="136"/>
      <c r="AV821" s="136"/>
      <c r="AW821" s="136"/>
      <c r="AX821" s="136"/>
      <c r="AY821" s="136"/>
      <c r="AZ821" s="136"/>
      <c r="BA821" s="136"/>
      <c r="BB821" s="136"/>
      <c r="BC821" s="136"/>
      <c r="BD821" s="16" t="e">
        <f aca="false">RANK(AX821,$AX$2:$AX$881,0)</f>
        <v>#N/A</v>
      </c>
      <c r="BE821" s="138"/>
      <c r="BF821" s="16" t="n">
        <f aca="false">RANK(BE821,$BE$2:$BE$881,0)</f>
        <v>806</v>
      </c>
      <c r="BG821" s="136"/>
      <c r="BH821" s="39" t="n">
        <f aca="false">RANK(BC821,$BC$2:$BC$881,0)</f>
        <v>780</v>
      </c>
      <c r="BI821" s="19" t="s">
        <v>130</v>
      </c>
      <c r="BJ821" s="19" t="s">
        <v>129</v>
      </c>
      <c r="BK821" s="109" t="s">
        <v>1596</v>
      </c>
      <c r="BL821" s="41" t="n">
        <v>20</v>
      </c>
      <c r="BM821" s="41" t="n">
        <v>30</v>
      </c>
      <c r="BN821" s="98" t="n">
        <v>50</v>
      </c>
      <c r="BO821" s="42" t="n">
        <v>16</v>
      </c>
      <c r="BP821" s="43" t="n">
        <v>22</v>
      </c>
      <c r="BQ821" s="119" t="n">
        <v>38</v>
      </c>
      <c r="BR821" s="74" t="n">
        <v>8</v>
      </c>
      <c r="BS821" s="80"/>
      <c r="BT821" s="80"/>
      <c r="BU821" s="77" t="n">
        <v>99</v>
      </c>
      <c r="BV821" s="60"/>
      <c r="BW821" s="43" t="n">
        <v>80</v>
      </c>
      <c r="BX821" s="80"/>
      <c r="BY821" s="32" t="n">
        <v>20</v>
      </c>
      <c r="BZ821" s="58" t="n">
        <v>41</v>
      </c>
      <c r="CA821" s="58" t="n">
        <v>61</v>
      </c>
      <c r="CB821" s="32" t="n">
        <v>15</v>
      </c>
      <c r="CC821" s="32" t="n">
        <v>29</v>
      </c>
      <c r="CD821" s="69" t="n">
        <v>44</v>
      </c>
      <c r="CE821" s="32" t="n">
        <v>22</v>
      </c>
      <c r="CF821" s="32" t="n">
        <v>29</v>
      </c>
      <c r="CG821" s="69" t="n">
        <v>51</v>
      </c>
      <c r="CH821" s="32" t="n">
        <v>92</v>
      </c>
      <c r="CI821" s="32" t="n">
        <v>65</v>
      </c>
      <c r="CJ821" s="49" t="n">
        <v>23</v>
      </c>
      <c r="CK821" s="49" t="n">
        <v>48</v>
      </c>
      <c r="CL821" s="84" t="n">
        <v>71</v>
      </c>
      <c r="CM821" s="49" t="n">
        <v>24</v>
      </c>
      <c r="CN821" s="49" t="n">
        <v>37</v>
      </c>
      <c r="CO821" s="49" t="n">
        <v>61</v>
      </c>
      <c r="CP821" s="25" t="n">
        <f aca="false">BX821+BW821+BV821+BU821+BT821+BQ821+BN821</f>
        <v>267</v>
      </c>
      <c r="CQ821" s="25" t="n">
        <f aca="false">CO821+CL821+CI821+CH821+CG821+CD821+CA821</f>
        <v>445</v>
      </c>
      <c r="CR821" s="26" t="n">
        <f aca="false">CP821/7</f>
        <v>38.1428571428571</v>
      </c>
      <c r="CS821" s="26" t="n">
        <f aca="false">CQ821/7</f>
        <v>63.5714285714286</v>
      </c>
      <c r="CT821" s="24" t="n">
        <f aca="false">RANK(CR821,$CR$2:$CR$881,0)</f>
        <v>748</v>
      </c>
      <c r="CU821" s="25" t="n">
        <f aca="false">RANK(CS821,$CS$2:$CS$881,0)</f>
        <v>644</v>
      </c>
      <c r="CV821" s="26" t="n">
        <f aca="false">(CS821+CR821)/2</f>
        <v>50.8571428571429</v>
      </c>
      <c r="CW821" s="25" t="n">
        <f aca="false">RANK(CV821,$CV$2:$CV$881,0)</f>
        <v>713</v>
      </c>
      <c r="CX821" s="50" t="n">
        <f aca="false">(CV821+BB821)/2</f>
        <v>25.4285714285714</v>
      </c>
      <c r="CY821" s="50" t="n">
        <v>889</v>
      </c>
      <c r="CZ821" s="27" t="s">
        <v>132</v>
      </c>
      <c r="DA821" s="27" t="s">
        <v>219</v>
      </c>
      <c r="DB821" s="27" t="s">
        <v>219</v>
      </c>
      <c r="DC821" s="27" t="s">
        <v>134</v>
      </c>
      <c r="DD821" s="27" t="s">
        <v>264</v>
      </c>
      <c r="DE821" s="27" t="s">
        <v>415</v>
      </c>
      <c r="DF821" s="27" t="s">
        <v>187</v>
      </c>
      <c r="DG821" s="27" t="s">
        <v>134</v>
      </c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 t="s">
        <v>386</v>
      </c>
      <c r="DU821" s="27" t="s">
        <v>160</v>
      </c>
      <c r="DV821" s="27" t="s">
        <v>681</v>
      </c>
      <c r="DW821" s="27" t="s">
        <v>264</v>
      </c>
      <c r="DX821" s="27" t="s">
        <v>152</v>
      </c>
      <c r="DY821" s="27" t="s">
        <v>169</v>
      </c>
      <c r="DZ821" s="27" t="n">
        <f aca="false">DY821+DV821+DR821+DN821+DJ821+DF821+DB821</f>
        <v>275</v>
      </c>
      <c r="EA821" s="28" t="n">
        <f aca="false">DZ821/7</f>
        <v>39.2857142857143</v>
      </c>
      <c r="EB821" s="27" t="n">
        <f aca="false">RANK(EA821,$EA$2:$EA$881,0)</f>
        <v>858</v>
      </c>
      <c r="EC821" s="29" t="n">
        <f aca="false">DZ821+CQ821+CP821+AZ821</f>
        <v>987</v>
      </c>
      <c r="ED821" s="30" t="n">
        <f aca="false">(EA821+CV821+BB821)/3</f>
        <v>30.047619047619</v>
      </c>
      <c r="EE821" s="51" t="n">
        <f aca="false">ROUND(BE821,3)</f>
        <v>0</v>
      </c>
      <c r="EF821" s="51" t="n">
        <f aca="false">ROUND(CR821,3)</f>
        <v>38.143</v>
      </c>
      <c r="EG821" s="51" t="n">
        <f aca="false">ROUND(CS821,3)</f>
        <v>63.571</v>
      </c>
      <c r="EH821" s="51" t="n">
        <f aca="false">ROUND(EA821,3)</f>
        <v>39.286</v>
      </c>
      <c r="EI821" s="51" t="n">
        <f aca="false">ROUND(ED821,3)</f>
        <v>30.048</v>
      </c>
      <c r="EJ821" s="51" t="n">
        <f aca="false">ROUND(CV821,3)</f>
        <v>50.857</v>
      </c>
      <c r="EK821" s="0" t="n">
        <f aca="false">RANK(EI821,$EI$2:$EI$881,0)</f>
        <v>820</v>
      </c>
    </row>
    <row r="822" customFormat="false" ht="15" hidden="false" customHeight="false" outlineLevel="0" collapsed="false">
      <c r="A822" s="4" t="n">
        <v>9166</v>
      </c>
      <c r="B822" s="4" t="n">
        <v>872</v>
      </c>
      <c r="C822" s="27" t="s">
        <v>2293</v>
      </c>
      <c r="D822" s="145"/>
      <c r="E822" s="57"/>
      <c r="F822" s="146" t="s">
        <v>2294</v>
      </c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  <c r="AZ822" s="80"/>
      <c r="BA822" s="80"/>
      <c r="BB822" s="80"/>
      <c r="BC822" s="57" t="n">
        <f aca="false">(BG822*2400)/100</f>
        <v>0</v>
      </c>
      <c r="BD822" s="16" t="e">
        <f aca="false">RANK(AX822,$AX$2:$AX$881,0)</f>
        <v>#N/A</v>
      </c>
      <c r="BE822" s="92" t="n">
        <f aca="false">((BC822*100)/2400)*0.4+(AX822*0.6)</f>
        <v>0</v>
      </c>
      <c r="BF822" s="16" t="n">
        <f aca="false">RANK(BE822,$BE$2:$BE$881,0)</f>
        <v>806</v>
      </c>
      <c r="BG822" s="80"/>
      <c r="BH822" s="39" t="n">
        <f aca="false">RANK(BC822,$BC$2:$BC$881,0)</f>
        <v>780</v>
      </c>
      <c r="BI822" s="80"/>
      <c r="BJ822" s="80"/>
      <c r="BK822" s="80"/>
      <c r="BL822" s="80"/>
      <c r="BM822" s="80"/>
      <c r="BN822" s="80"/>
      <c r="BO822" s="80"/>
      <c r="BP822" s="80"/>
      <c r="BQ822" s="80"/>
      <c r="BR822" s="80"/>
      <c r="BS822" s="80"/>
      <c r="BT822" s="80"/>
      <c r="BU822" s="80"/>
      <c r="BV822" s="80"/>
      <c r="BW822" s="80"/>
      <c r="BX822" s="80"/>
      <c r="BY822" s="80"/>
      <c r="BZ822" s="80"/>
      <c r="CA822" s="80"/>
      <c r="CB822" s="80"/>
      <c r="CC822" s="80"/>
      <c r="CD822" s="80"/>
      <c r="CE822" s="80"/>
      <c r="CF822" s="80"/>
      <c r="CG822" s="80"/>
      <c r="CH822" s="80"/>
      <c r="CI822" s="80"/>
      <c r="CJ822" s="80"/>
      <c r="CK822" s="80"/>
      <c r="CL822" s="80"/>
      <c r="CM822" s="80"/>
      <c r="CN822" s="80"/>
      <c r="CO822" s="80"/>
      <c r="CP822" s="25" t="n">
        <f aca="false">BX822+BW822+BV822+BU822+BT822+BQ822+BN822</f>
        <v>0</v>
      </c>
      <c r="CQ822" s="25" t="n">
        <f aca="false">CO822+CL822+CI822+CH822+CG822+CD822+CA822</f>
        <v>0</v>
      </c>
      <c r="CR822" s="26" t="n">
        <f aca="false">CP822/7</f>
        <v>0</v>
      </c>
      <c r="CS822" s="26" t="n">
        <f aca="false">CQ822/7</f>
        <v>0</v>
      </c>
      <c r="CT822" s="24" t="n">
        <f aca="false">RANK(CR822,$CR$2:$CR$881,0)</f>
        <v>768</v>
      </c>
      <c r="CU822" s="25" t="n">
        <f aca="false">RANK(CS822,$CS$2:$CS$881,0)</f>
        <v>752</v>
      </c>
      <c r="CV822" s="80"/>
      <c r="CW822" s="25" t="n">
        <f aca="false">RANK(CV822,$CV$2:$CV$881,0)</f>
        <v>753</v>
      </c>
      <c r="CX822" s="80"/>
      <c r="CY822" s="80"/>
      <c r="CZ822" s="27" t="s">
        <v>132</v>
      </c>
      <c r="DA822" s="27" t="s">
        <v>176</v>
      </c>
      <c r="DB822" s="27" t="s">
        <v>176</v>
      </c>
      <c r="DC822" s="27" t="s">
        <v>134</v>
      </c>
      <c r="DD822" s="27" t="s">
        <v>137</v>
      </c>
      <c r="DE822" s="27" t="s">
        <v>304</v>
      </c>
      <c r="DF822" s="27" t="s">
        <v>219</v>
      </c>
      <c r="DG822" s="27" t="s">
        <v>134</v>
      </c>
      <c r="DH822" s="27" t="s">
        <v>182</v>
      </c>
      <c r="DI822" s="27" t="s">
        <v>136</v>
      </c>
      <c r="DJ822" s="27" t="s">
        <v>178</v>
      </c>
      <c r="DK822" s="27" t="s">
        <v>134</v>
      </c>
      <c r="DL822" s="27" t="s">
        <v>160</v>
      </c>
      <c r="DM822" s="27" t="s">
        <v>218</v>
      </c>
      <c r="DN822" s="27" t="s">
        <v>175</v>
      </c>
      <c r="DO822" s="27" t="s">
        <v>134</v>
      </c>
      <c r="DP822" s="27" t="s">
        <v>191</v>
      </c>
      <c r="DQ822" s="27" t="s">
        <v>152</v>
      </c>
      <c r="DR822" s="27" t="s">
        <v>209</v>
      </c>
      <c r="DS822" s="27" t="s">
        <v>134</v>
      </c>
      <c r="DT822" s="27" t="s">
        <v>140</v>
      </c>
      <c r="DU822" s="27" t="s">
        <v>306</v>
      </c>
      <c r="DV822" s="27" t="s">
        <v>209</v>
      </c>
      <c r="DW822" s="27" t="s">
        <v>135</v>
      </c>
      <c r="DX822" s="27" t="s">
        <v>155</v>
      </c>
      <c r="DY822" s="27" t="s">
        <v>139</v>
      </c>
      <c r="DZ822" s="27" t="n">
        <f aca="false">DY822+DV822+DR822+DN822+DJ822+DF822+DB822</f>
        <v>607</v>
      </c>
      <c r="EA822" s="28" t="n">
        <f aca="false">DZ822/7</f>
        <v>86.7142857142857</v>
      </c>
      <c r="EB822" s="27" t="n">
        <f aca="false">RANK(EA822,$EA$2:$EA$881,0)</f>
        <v>135</v>
      </c>
      <c r="EC822" s="29" t="n">
        <f aca="false">DZ822+CQ822+CP822+AZ822</f>
        <v>607</v>
      </c>
      <c r="ED822" s="30" t="n">
        <f aca="false">(EA822+CV822+BB822)/3</f>
        <v>28.9047619047619</v>
      </c>
      <c r="EE822" s="51" t="n">
        <f aca="false">ROUND(BE822,3)</f>
        <v>0</v>
      </c>
      <c r="EF822" s="51" t="n">
        <f aca="false">ROUND(CR822,3)</f>
        <v>0</v>
      </c>
      <c r="EG822" s="51" t="n">
        <f aca="false">ROUND(CS822,3)</f>
        <v>0</v>
      </c>
      <c r="EH822" s="51" t="n">
        <f aca="false">ROUND(EA822,3)</f>
        <v>86.714</v>
      </c>
      <c r="EI822" s="51" t="n">
        <f aca="false">ROUND(ED822,3)</f>
        <v>28.905</v>
      </c>
      <c r="EJ822" s="51" t="n">
        <f aca="false">ROUND(CV822,3)</f>
        <v>0</v>
      </c>
      <c r="EK822" s="0" t="n">
        <f aca="false">RANK(EI822,$EI$2:$EI$881,0)</f>
        <v>821</v>
      </c>
    </row>
    <row r="823" customFormat="false" ht="15" hidden="false" customHeight="false" outlineLevel="0" collapsed="false">
      <c r="A823" s="4" t="n">
        <v>9177</v>
      </c>
      <c r="B823" s="4" t="n">
        <v>873</v>
      </c>
      <c r="C823" s="27" t="s">
        <v>2295</v>
      </c>
      <c r="D823" s="145"/>
      <c r="E823" s="57"/>
      <c r="F823" s="146" t="s">
        <v>2296</v>
      </c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  <c r="AZ823" s="80"/>
      <c r="BA823" s="80"/>
      <c r="BB823" s="80"/>
      <c r="BC823" s="57" t="n">
        <f aca="false">(BG823*2400)/100</f>
        <v>0</v>
      </c>
      <c r="BD823" s="16" t="e">
        <f aca="false">RANK(AX823,$AX$2:$AX$881,0)</f>
        <v>#N/A</v>
      </c>
      <c r="BE823" s="92" t="n">
        <f aca="false">((BC823*100)/2400)*0.4+(AX823*0.6)</f>
        <v>0</v>
      </c>
      <c r="BF823" s="16" t="n">
        <f aca="false">RANK(BE823,$BE$2:$BE$881,0)</f>
        <v>806</v>
      </c>
      <c r="BG823" s="80"/>
      <c r="BH823" s="39" t="n">
        <f aca="false">RANK(BC823,$BC$2:$BC$881,0)</f>
        <v>780</v>
      </c>
      <c r="BI823" s="80"/>
      <c r="BJ823" s="80"/>
      <c r="BK823" s="80"/>
      <c r="BL823" s="80"/>
      <c r="BM823" s="80"/>
      <c r="BN823" s="80"/>
      <c r="BO823" s="80"/>
      <c r="BP823" s="80"/>
      <c r="BQ823" s="80"/>
      <c r="BR823" s="80"/>
      <c r="BS823" s="80"/>
      <c r="BT823" s="80"/>
      <c r="BU823" s="80"/>
      <c r="BV823" s="80"/>
      <c r="BW823" s="80"/>
      <c r="BX823" s="80"/>
      <c r="BY823" s="80"/>
      <c r="BZ823" s="80"/>
      <c r="CA823" s="80"/>
      <c r="CB823" s="80"/>
      <c r="CC823" s="80"/>
      <c r="CD823" s="80"/>
      <c r="CE823" s="80"/>
      <c r="CF823" s="80"/>
      <c r="CG823" s="80"/>
      <c r="CH823" s="80"/>
      <c r="CI823" s="80"/>
      <c r="CJ823" s="80"/>
      <c r="CK823" s="80"/>
      <c r="CL823" s="80"/>
      <c r="CM823" s="80"/>
      <c r="CN823" s="80"/>
      <c r="CO823" s="80"/>
      <c r="CP823" s="25" t="n">
        <f aca="false">BX823+BW823+BV823+BU823+BT823+BQ823+BN823</f>
        <v>0</v>
      </c>
      <c r="CQ823" s="25" t="n">
        <f aca="false">CO823+CL823+CI823+CH823+CG823+CD823+CA823</f>
        <v>0</v>
      </c>
      <c r="CR823" s="26" t="n">
        <f aca="false">CP823/7</f>
        <v>0</v>
      </c>
      <c r="CS823" s="26" t="n">
        <f aca="false">CQ823/7</f>
        <v>0</v>
      </c>
      <c r="CT823" s="24" t="n">
        <f aca="false">RANK(CR823,$CR$2:$CR$881,0)</f>
        <v>768</v>
      </c>
      <c r="CU823" s="25" t="n">
        <f aca="false">RANK(CS823,$CS$2:$CS$881,0)</f>
        <v>752</v>
      </c>
      <c r="CV823" s="80"/>
      <c r="CW823" s="25" t="n">
        <f aca="false">RANK(CV823,$CV$2:$CV$881,0)</f>
        <v>753</v>
      </c>
      <c r="CX823" s="80"/>
      <c r="CY823" s="80"/>
      <c r="CZ823" s="27" t="s">
        <v>132</v>
      </c>
      <c r="DA823" s="27" t="s">
        <v>175</v>
      </c>
      <c r="DB823" s="27" t="s">
        <v>175</v>
      </c>
      <c r="DC823" s="27" t="s">
        <v>134</v>
      </c>
      <c r="DD823" s="27" t="s">
        <v>195</v>
      </c>
      <c r="DE823" s="27" t="s">
        <v>136</v>
      </c>
      <c r="DF823" s="27" t="s">
        <v>209</v>
      </c>
      <c r="DG823" s="27" t="s">
        <v>134</v>
      </c>
      <c r="DH823" s="27" t="s">
        <v>182</v>
      </c>
      <c r="DI823" s="27" t="s">
        <v>136</v>
      </c>
      <c r="DJ823" s="27" t="s">
        <v>178</v>
      </c>
      <c r="DK823" s="27" t="s">
        <v>134</v>
      </c>
      <c r="DL823" s="27" t="s">
        <v>174</v>
      </c>
      <c r="DM823" s="27" t="s">
        <v>220</v>
      </c>
      <c r="DN823" s="27" t="s">
        <v>305</v>
      </c>
      <c r="DO823" s="27" t="s">
        <v>134</v>
      </c>
      <c r="DP823" s="27" t="s">
        <v>604</v>
      </c>
      <c r="DQ823" s="27" t="s">
        <v>161</v>
      </c>
      <c r="DR823" s="27" t="s">
        <v>382</v>
      </c>
      <c r="DS823" s="27" t="s">
        <v>134</v>
      </c>
      <c r="DT823" s="27" t="s">
        <v>140</v>
      </c>
      <c r="DU823" s="27" t="s">
        <v>177</v>
      </c>
      <c r="DV823" s="27" t="s">
        <v>162</v>
      </c>
      <c r="DW823" s="27" t="s">
        <v>137</v>
      </c>
      <c r="DX823" s="27" t="s">
        <v>155</v>
      </c>
      <c r="DY823" s="27" t="s">
        <v>142</v>
      </c>
      <c r="DZ823" s="27" t="n">
        <f aca="false">DY823+DV823+DR823+DN823+DJ823+DF823+DB823</f>
        <v>596</v>
      </c>
      <c r="EA823" s="28" t="n">
        <f aca="false">DZ823/7</f>
        <v>85.1428571428571</v>
      </c>
      <c r="EB823" s="27" t="n">
        <f aca="false">RANK(EA823,$EA$2:$EA$881,0)</f>
        <v>182</v>
      </c>
      <c r="EC823" s="29" t="n">
        <f aca="false">DZ823+CQ823+CP823+AZ823</f>
        <v>596</v>
      </c>
      <c r="ED823" s="30" t="n">
        <f aca="false">(EA823+CV823+BB823)/3</f>
        <v>28.3809523809524</v>
      </c>
      <c r="EE823" s="51" t="n">
        <f aca="false">ROUND(BE823,3)</f>
        <v>0</v>
      </c>
      <c r="EF823" s="51" t="n">
        <f aca="false">ROUND(CR823,3)</f>
        <v>0</v>
      </c>
      <c r="EG823" s="51" t="n">
        <f aca="false">ROUND(CS823,3)</f>
        <v>0</v>
      </c>
      <c r="EH823" s="51" t="n">
        <f aca="false">ROUND(EA823,3)</f>
        <v>85.143</v>
      </c>
      <c r="EI823" s="51" t="n">
        <f aca="false">ROUND(ED823,3)</f>
        <v>28.381</v>
      </c>
      <c r="EJ823" s="51" t="n">
        <f aca="false">ROUND(CV823,3)</f>
        <v>0</v>
      </c>
      <c r="EK823" s="0" t="n">
        <f aca="false">RANK(EI823,$EI$2:$EI$881,0)</f>
        <v>822</v>
      </c>
    </row>
    <row r="824" customFormat="false" ht="15" hidden="false" customHeight="false" outlineLevel="0" collapsed="false">
      <c r="A824" s="4" t="n">
        <v>1595</v>
      </c>
      <c r="B824" s="4" t="n">
        <v>378</v>
      </c>
      <c r="C824" s="27" t="s">
        <v>2297</v>
      </c>
      <c r="D824" s="145"/>
      <c r="E824" s="57" t="n">
        <v>220618570</v>
      </c>
      <c r="F824" s="146" t="s">
        <v>2298</v>
      </c>
      <c r="G824" s="57"/>
      <c r="H824" s="22" t="s">
        <v>558</v>
      </c>
      <c r="I824" s="80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 t="n">
        <v>74.5</v>
      </c>
      <c r="AY824" s="57"/>
      <c r="AZ824" s="57"/>
      <c r="BA824" s="57"/>
      <c r="BB824" s="57"/>
      <c r="BC824" s="57" t="n">
        <v>2366</v>
      </c>
      <c r="BD824" s="16" t="n">
        <f aca="false">RANK(AX824,$AX$2:$AX$881,0)</f>
        <v>695</v>
      </c>
      <c r="BE824" s="92" t="n">
        <f aca="false">((BC824*100)/2400)*0.4+(AX824*0.6)</f>
        <v>84.1333333333333</v>
      </c>
      <c r="BF824" s="16" t="n">
        <f aca="false">RANK(BE824,$BE$2:$BE$881,0)</f>
        <v>679</v>
      </c>
      <c r="BG824" s="39" t="e">
        <f aca="false">RANK(BB824,$BB$2:$BB$881,0)</f>
        <v>#N/A</v>
      </c>
      <c r="BH824" s="39" t="n">
        <f aca="false">RANK(BC824,$BC$2:$BC$881,0)</f>
        <v>319</v>
      </c>
      <c r="BI824" s="57"/>
      <c r="BJ824" s="57"/>
      <c r="BK824" s="57"/>
      <c r="BL824" s="147"/>
      <c r="BM824" s="147"/>
      <c r="BN824" s="147"/>
      <c r="BO824" s="147"/>
      <c r="BP824" s="147"/>
      <c r="BQ824" s="147"/>
      <c r="BR824" s="147"/>
      <c r="BS824" s="147"/>
      <c r="BT824" s="147"/>
      <c r="BU824" s="147"/>
      <c r="BV824" s="147"/>
      <c r="BW824" s="147"/>
      <c r="BX824" s="124"/>
      <c r="BY824" s="148"/>
      <c r="BZ824" s="148"/>
      <c r="CA824" s="148"/>
      <c r="CB824" s="149" t="n">
        <v>14</v>
      </c>
      <c r="CC824" s="149" t="n">
        <v>19</v>
      </c>
      <c r="CD824" s="149" t="n">
        <v>33</v>
      </c>
      <c r="CE824" s="148"/>
      <c r="CF824" s="148"/>
      <c r="CG824" s="148"/>
      <c r="CH824" s="148"/>
      <c r="CI824" s="148"/>
      <c r="CJ824" s="149" t="n">
        <v>26</v>
      </c>
      <c r="CK824" s="149" t="n">
        <v>69</v>
      </c>
      <c r="CL824" s="149" t="n">
        <v>95</v>
      </c>
      <c r="CM824" s="147"/>
      <c r="CN824" s="57" t="n">
        <v>58</v>
      </c>
      <c r="CO824" s="57" t="n">
        <v>58</v>
      </c>
      <c r="CP824" s="25" t="n">
        <f aca="false">BX824+BW824+BV824+BU824+BT824+BQ824+BN824</f>
        <v>0</v>
      </c>
      <c r="CQ824" s="25" t="n">
        <f aca="false">CO824+CL824+CI824+CH824+CG824+CD824+CA824</f>
        <v>186</v>
      </c>
      <c r="CR824" s="26" t="n">
        <f aca="false">CP824/7</f>
        <v>0</v>
      </c>
      <c r="CS824" s="26" t="n">
        <f aca="false">CQ824/7</f>
        <v>26.5714285714286</v>
      </c>
      <c r="CT824" s="24" t="n">
        <f aca="false">RANK(CR824,$CR$2:$CR$881,0)</f>
        <v>768</v>
      </c>
      <c r="CU824" s="25" t="n">
        <f aca="false">RANK(CS824,$CS$2:$CS$881,0)</f>
        <v>726</v>
      </c>
      <c r="CV824" s="150"/>
      <c r="CW824" s="25" t="n">
        <f aca="false">RANK(CV824,$CV$2:$CV$881,0)</f>
        <v>753</v>
      </c>
      <c r="CX824" s="57"/>
      <c r="CY824" s="57"/>
      <c r="CZ824" s="27" t="s">
        <v>132</v>
      </c>
      <c r="DA824" s="27" t="s">
        <v>162</v>
      </c>
      <c r="DB824" s="27" t="s">
        <v>162</v>
      </c>
      <c r="DC824" s="27" t="s">
        <v>134</v>
      </c>
      <c r="DD824" s="27" t="s">
        <v>174</v>
      </c>
      <c r="DE824" s="27" t="s">
        <v>161</v>
      </c>
      <c r="DF824" s="27" t="s">
        <v>169</v>
      </c>
      <c r="DG824" s="27" t="s">
        <v>134</v>
      </c>
      <c r="DH824" s="27" t="s">
        <v>137</v>
      </c>
      <c r="DI824" s="27" t="s">
        <v>306</v>
      </c>
      <c r="DJ824" s="27" t="s">
        <v>196</v>
      </c>
      <c r="DK824" s="27" t="s">
        <v>134</v>
      </c>
      <c r="DL824" s="27" t="s">
        <v>140</v>
      </c>
      <c r="DM824" s="27" t="s">
        <v>161</v>
      </c>
      <c r="DN824" s="27" t="s">
        <v>153</v>
      </c>
      <c r="DO824" s="27" t="s">
        <v>134</v>
      </c>
      <c r="DP824" s="27" t="s">
        <v>706</v>
      </c>
      <c r="DQ824" s="27" t="s">
        <v>306</v>
      </c>
      <c r="DR824" s="27" t="s">
        <v>155</v>
      </c>
      <c r="DS824" s="27" t="s">
        <v>134</v>
      </c>
      <c r="DT824" s="27" t="s">
        <v>146</v>
      </c>
      <c r="DU824" s="27" t="s">
        <v>304</v>
      </c>
      <c r="DV824" s="27" t="s">
        <v>209</v>
      </c>
      <c r="DW824" s="27" t="s">
        <v>137</v>
      </c>
      <c r="DX824" s="27" t="s">
        <v>155</v>
      </c>
      <c r="DY824" s="27" t="s">
        <v>142</v>
      </c>
      <c r="DZ824" s="27" t="n">
        <f aca="false">DY824+DV824+DR824+DN824+DJ824+DF824+DB824</f>
        <v>593</v>
      </c>
      <c r="EA824" s="28" t="n">
        <f aca="false">DZ824/7</f>
        <v>84.7142857142857</v>
      </c>
      <c r="EB824" s="27" t="n">
        <f aca="false">RANK(EA824,$EA$2:$EA$881,0)</f>
        <v>195</v>
      </c>
      <c r="EC824" s="29" t="n">
        <f aca="false">DZ824+CQ824+CP824+AZ824</f>
        <v>779</v>
      </c>
      <c r="ED824" s="30" t="n">
        <f aca="false">(EA824+CV824+BB824)/3</f>
        <v>28.2380952380952</v>
      </c>
      <c r="EE824" s="51" t="n">
        <f aca="false">ROUND(BE824,3)</f>
        <v>84.133</v>
      </c>
      <c r="EF824" s="51" t="n">
        <f aca="false">ROUND(CR824,3)</f>
        <v>0</v>
      </c>
      <c r="EG824" s="51" t="n">
        <f aca="false">ROUND(CS824,3)</f>
        <v>26.571</v>
      </c>
      <c r="EH824" s="51" t="n">
        <f aca="false">ROUND(EA824,3)</f>
        <v>84.714</v>
      </c>
      <c r="EI824" s="51" t="n">
        <f aca="false">ROUND(ED824,3)</f>
        <v>28.238</v>
      </c>
      <c r="EJ824" s="51" t="n">
        <f aca="false">ROUND(CV824,3)</f>
        <v>0</v>
      </c>
      <c r="EK824" s="0" t="n">
        <f aca="false">RANK(EI824,$EI$2:$EI$881,0)</f>
        <v>823</v>
      </c>
    </row>
    <row r="825" customFormat="false" ht="15" hidden="false" customHeight="false" outlineLevel="0" collapsed="false">
      <c r="A825" s="4" t="n">
        <v>9175</v>
      </c>
      <c r="B825" s="4" t="n">
        <v>878</v>
      </c>
      <c r="C825" s="27" t="s">
        <v>2299</v>
      </c>
      <c r="D825" s="145"/>
      <c r="E825" s="57"/>
      <c r="F825" s="146" t="s">
        <v>2300</v>
      </c>
      <c r="G825" s="57"/>
      <c r="H825" s="57" t="s">
        <v>2301</v>
      </c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 t="n">
        <f aca="false">(BG825*2400)/100</f>
        <v>0</v>
      </c>
      <c r="BD825" s="16" t="e">
        <f aca="false">RANK(AX825,$AX$2:$AX$881,0)</f>
        <v>#N/A</v>
      </c>
      <c r="BE825" s="92" t="n">
        <f aca="false">((BC825*100)/2400)*0.4+(AX825*0.6)</f>
        <v>0</v>
      </c>
      <c r="BF825" s="16" t="n">
        <f aca="false">RANK(BE825,$BE$2:$BE$881,0)</f>
        <v>806</v>
      </c>
      <c r="BG825" s="57"/>
      <c r="BH825" s="39" t="n">
        <f aca="false">RANK(BC825,$BC$2:$BC$881,0)</f>
        <v>780</v>
      </c>
      <c r="BI825" s="57"/>
      <c r="BJ825" s="57"/>
      <c r="BK825" s="57"/>
      <c r="BL825" s="25" t="n">
        <v>24</v>
      </c>
      <c r="BM825" s="25" t="n">
        <v>61</v>
      </c>
      <c r="BN825" s="25" t="n">
        <v>85</v>
      </c>
      <c r="BO825" s="25" t="n">
        <v>27</v>
      </c>
      <c r="BP825" s="25" t="n">
        <v>52</v>
      </c>
      <c r="BQ825" s="25" t="n">
        <v>79</v>
      </c>
      <c r="BR825" s="25" t="n">
        <v>23</v>
      </c>
      <c r="BS825" s="25" t="n">
        <v>59</v>
      </c>
      <c r="BT825" s="25" t="n">
        <v>82</v>
      </c>
      <c r="BU825" s="25" t="n">
        <v>78</v>
      </c>
      <c r="BV825" s="124"/>
      <c r="BW825" s="25" t="n">
        <v>84</v>
      </c>
      <c r="BX825" s="151" t="n">
        <v>88</v>
      </c>
      <c r="BY825" s="149" t="n">
        <v>28</v>
      </c>
      <c r="BZ825" s="149" t="n">
        <v>60</v>
      </c>
      <c r="CA825" s="149" t="n">
        <v>88</v>
      </c>
      <c r="CB825" s="149" t="n">
        <v>23</v>
      </c>
      <c r="CC825" s="149" t="n">
        <v>62</v>
      </c>
      <c r="CD825" s="149" t="n">
        <v>85</v>
      </c>
      <c r="CE825" s="149" t="n">
        <v>25</v>
      </c>
      <c r="CF825" s="149" t="n">
        <v>46</v>
      </c>
      <c r="CG825" s="149" t="n">
        <v>71</v>
      </c>
      <c r="CH825" s="149" t="n">
        <v>90</v>
      </c>
      <c r="CI825" s="149" t="n">
        <v>81</v>
      </c>
      <c r="CJ825" s="149" t="n">
        <v>25</v>
      </c>
      <c r="CK825" s="149" t="n">
        <v>60</v>
      </c>
      <c r="CL825" s="149" t="n">
        <v>85</v>
      </c>
      <c r="CM825" s="25" t="n">
        <v>24</v>
      </c>
      <c r="CN825" s="25" t="n">
        <v>49</v>
      </c>
      <c r="CO825" s="25" t="n">
        <v>73</v>
      </c>
      <c r="CP825" s="25" t="n">
        <f aca="false">BX825+BW825+BV825+BU825+BT825+BQ825+BN825</f>
        <v>496</v>
      </c>
      <c r="CQ825" s="25" t="n">
        <f aca="false">CO825+CL825+CI825+CH825+CG825+CD825+CA825</f>
        <v>573</v>
      </c>
      <c r="CR825" s="26" t="n">
        <f aca="false">CP825/7</f>
        <v>70.8571428571429</v>
      </c>
      <c r="CS825" s="26" t="n">
        <f aca="false">CQ825/7</f>
        <v>81.8571428571429</v>
      </c>
      <c r="CT825" s="24" t="n">
        <f aca="false">RANK(CR825,$CR$2:$CR$881,0)</f>
        <v>679</v>
      </c>
      <c r="CU825" s="25" t="n">
        <f aca="false">RANK(CS825,$CS$2:$CS$881,0)</f>
        <v>197</v>
      </c>
      <c r="CV825" s="150"/>
      <c r="CW825" s="25" t="n">
        <f aca="false">RANK(CV825,$CV$2:$CV$881,0)</f>
        <v>753</v>
      </c>
      <c r="CX825" s="57"/>
      <c r="CY825" s="57"/>
      <c r="CZ825" s="27" t="s">
        <v>132</v>
      </c>
      <c r="DA825" s="27" t="s">
        <v>153</v>
      </c>
      <c r="DB825" s="27" t="s">
        <v>153</v>
      </c>
      <c r="DC825" s="27" t="s">
        <v>134</v>
      </c>
      <c r="DD825" s="27" t="s">
        <v>154</v>
      </c>
      <c r="DE825" s="27" t="s">
        <v>161</v>
      </c>
      <c r="DF825" s="27" t="s">
        <v>209</v>
      </c>
      <c r="DG825" s="27" t="s">
        <v>134</v>
      </c>
      <c r="DH825" s="27" t="s">
        <v>195</v>
      </c>
      <c r="DI825" s="27" t="s">
        <v>183</v>
      </c>
      <c r="DJ825" s="27" t="s">
        <v>272</v>
      </c>
      <c r="DK825" s="27" t="s">
        <v>134</v>
      </c>
      <c r="DL825" s="27" t="s">
        <v>135</v>
      </c>
      <c r="DM825" s="27" t="s">
        <v>218</v>
      </c>
      <c r="DN825" s="27" t="s">
        <v>205</v>
      </c>
      <c r="DO825" s="27" t="s">
        <v>134</v>
      </c>
      <c r="DP825" s="27" t="s">
        <v>264</v>
      </c>
      <c r="DQ825" s="27" t="s">
        <v>204</v>
      </c>
      <c r="DR825" s="27" t="s">
        <v>305</v>
      </c>
      <c r="DS825" s="27" t="s">
        <v>134</v>
      </c>
      <c r="DT825" s="27" t="s">
        <v>182</v>
      </c>
      <c r="DU825" s="27" t="s">
        <v>183</v>
      </c>
      <c r="DV825" s="27" t="s">
        <v>205</v>
      </c>
      <c r="DW825" s="27" t="s">
        <v>182</v>
      </c>
      <c r="DX825" s="27" t="s">
        <v>141</v>
      </c>
      <c r="DY825" s="27" t="s">
        <v>170</v>
      </c>
      <c r="DZ825" s="27" t="n">
        <f aca="false">DY825+DV825+DR825+DN825+DJ825+DF825+DB825</f>
        <v>586</v>
      </c>
      <c r="EA825" s="28" t="n">
        <f aca="false">DZ825/7</f>
        <v>83.7142857142857</v>
      </c>
      <c r="EB825" s="27" t="n">
        <f aca="false">RANK(EA825,$EA$2:$EA$881,0)</f>
        <v>237</v>
      </c>
      <c r="EC825" s="29" t="n">
        <f aca="false">DZ825+CQ825+CP825+AZ825</f>
        <v>1655</v>
      </c>
      <c r="ED825" s="30" t="n">
        <f aca="false">(EA825+CV825+BB825)/3</f>
        <v>27.9047619047619</v>
      </c>
      <c r="EE825" s="51" t="n">
        <f aca="false">ROUND(BE825,3)</f>
        <v>0</v>
      </c>
      <c r="EF825" s="51" t="n">
        <f aca="false">ROUND(CR825,3)</f>
        <v>70.857</v>
      </c>
      <c r="EG825" s="51" t="n">
        <f aca="false">ROUND(CS825,3)</f>
        <v>81.857</v>
      </c>
      <c r="EH825" s="51" t="n">
        <f aca="false">ROUND(EA825,3)</f>
        <v>83.714</v>
      </c>
      <c r="EI825" s="51" t="n">
        <f aca="false">ROUND(ED825,3)</f>
        <v>27.905</v>
      </c>
      <c r="EJ825" s="51" t="n">
        <f aca="false">ROUND(CV825,3)</f>
        <v>0</v>
      </c>
      <c r="EK825" s="0" t="n">
        <f aca="false">RANK(EI825,$EI$2:$EI$881,0)</f>
        <v>824</v>
      </c>
    </row>
    <row r="826" customFormat="false" ht="15" hidden="false" customHeight="false" outlineLevel="0" collapsed="false">
      <c r="A826" s="4" t="n">
        <v>9174</v>
      </c>
      <c r="B826" s="4" t="n">
        <v>877</v>
      </c>
      <c r="C826" s="27" t="s">
        <v>2302</v>
      </c>
      <c r="D826" s="145"/>
      <c r="E826" s="57"/>
      <c r="F826" s="146" t="s">
        <v>2303</v>
      </c>
      <c r="G826" s="57"/>
      <c r="H826" s="57" t="s">
        <v>2301</v>
      </c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 t="n">
        <f aca="false">(BG826*2400)/100</f>
        <v>0</v>
      </c>
      <c r="BD826" s="16" t="e">
        <f aca="false">RANK(AX826,$AX$2:$AX$881,0)</f>
        <v>#N/A</v>
      </c>
      <c r="BE826" s="92" t="n">
        <f aca="false">((BC826*100)/2400)*0.4+(AX826*0.6)</f>
        <v>0</v>
      </c>
      <c r="BF826" s="16" t="n">
        <f aca="false">RANK(BE826,$BE$2:$BE$881,0)</f>
        <v>806</v>
      </c>
      <c r="BG826" s="57"/>
      <c r="BH826" s="39" t="n">
        <f aca="false">RANK(BC826,$BC$2:$BC$881,0)</f>
        <v>780</v>
      </c>
      <c r="BI826" s="57"/>
      <c r="BJ826" s="57"/>
      <c r="BK826" s="57"/>
      <c r="BL826" s="25" t="n">
        <v>23</v>
      </c>
      <c r="BM826" s="25" t="n">
        <v>54</v>
      </c>
      <c r="BN826" s="25" t="n">
        <v>77</v>
      </c>
      <c r="BO826" s="25" t="n">
        <v>29</v>
      </c>
      <c r="BP826" s="25" t="n">
        <v>48</v>
      </c>
      <c r="BQ826" s="25" t="n">
        <v>77</v>
      </c>
      <c r="BR826" s="25" t="n">
        <v>22</v>
      </c>
      <c r="BS826" s="25" t="n">
        <v>47</v>
      </c>
      <c r="BT826" s="25" t="n">
        <v>69</v>
      </c>
      <c r="BU826" s="25" t="n">
        <v>75</v>
      </c>
      <c r="BV826" s="25" t="n">
        <v>86</v>
      </c>
      <c r="BW826" s="25" t="n">
        <v>100</v>
      </c>
      <c r="BX826" s="151" t="n">
        <v>92</v>
      </c>
      <c r="BY826" s="149" t="n">
        <v>21</v>
      </c>
      <c r="BZ826" s="149" t="n">
        <v>54</v>
      </c>
      <c r="CA826" s="149" t="n">
        <v>75</v>
      </c>
      <c r="CB826" s="149" t="n">
        <v>11</v>
      </c>
      <c r="CC826" s="149" t="n">
        <v>48</v>
      </c>
      <c r="CD826" s="149" t="n">
        <v>59</v>
      </c>
      <c r="CE826" s="149" t="n">
        <v>18</v>
      </c>
      <c r="CF826" s="149" t="n">
        <v>39</v>
      </c>
      <c r="CG826" s="152" t="n">
        <v>57</v>
      </c>
      <c r="CH826" s="149" t="n">
        <v>89</v>
      </c>
      <c r="CI826" s="149" t="n">
        <v>76</v>
      </c>
      <c r="CJ826" s="149" t="n">
        <v>22</v>
      </c>
      <c r="CK826" s="149" t="n">
        <v>59</v>
      </c>
      <c r="CL826" s="149" t="n">
        <v>81</v>
      </c>
      <c r="CM826" s="25" t="n">
        <v>24</v>
      </c>
      <c r="CN826" s="25" t="n">
        <v>49</v>
      </c>
      <c r="CO826" s="25" t="n">
        <v>73</v>
      </c>
      <c r="CP826" s="25" t="n">
        <f aca="false">BX826+BW826+BV826+BU826+BT826+BQ826+BN826</f>
        <v>576</v>
      </c>
      <c r="CQ826" s="25" t="n">
        <f aca="false">CO826+CL826+CI826+CH826+CG826+CD826+CA826</f>
        <v>510</v>
      </c>
      <c r="CR826" s="26" t="n">
        <f aca="false">CP826/7</f>
        <v>82.2857142857143</v>
      </c>
      <c r="CS826" s="26" t="n">
        <f aca="false">CQ826/7</f>
        <v>72.8571428571429</v>
      </c>
      <c r="CT826" s="24" t="n">
        <f aca="false">RANK(CR826,$CR$2:$CR$881,0)</f>
        <v>532</v>
      </c>
      <c r="CU826" s="25" t="n">
        <f aca="false">RANK(CS826,$CS$2:$CS$881,0)</f>
        <v>486</v>
      </c>
      <c r="CV826" s="150"/>
      <c r="CW826" s="25" t="n">
        <f aca="false">RANK(CV826,$CV$2:$CV$881,0)</f>
        <v>753</v>
      </c>
      <c r="CX826" s="57"/>
      <c r="CY826" s="57"/>
      <c r="CZ826" s="27" t="s">
        <v>132</v>
      </c>
      <c r="DA826" s="27" t="s">
        <v>272</v>
      </c>
      <c r="DB826" s="27" t="s">
        <v>272</v>
      </c>
      <c r="DC826" s="27" t="s">
        <v>134</v>
      </c>
      <c r="DD826" s="27" t="s">
        <v>135</v>
      </c>
      <c r="DE826" s="27" t="s">
        <v>183</v>
      </c>
      <c r="DF826" s="27" t="s">
        <v>169</v>
      </c>
      <c r="DG826" s="27" t="s">
        <v>134</v>
      </c>
      <c r="DH826" s="27" t="s">
        <v>191</v>
      </c>
      <c r="DI826" s="27" t="s">
        <v>161</v>
      </c>
      <c r="DJ826" s="27" t="s">
        <v>196</v>
      </c>
      <c r="DK826" s="27" t="s">
        <v>134</v>
      </c>
      <c r="DL826" s="27" t="s">
        <v>160</v>
      </c>
      <c r="DM826" s="27" t="s">
        <v>204</v>
      </c>
      <c r="DN826" s="27" t="s">
        <v>178</v>
      </c>
      <c r="DO826" s="27" t="s">
        <v>134</v>
      </c>
      <c r="DP826" s="27" t="s">
        <v>182</v>
      </c>
      <c r="DQ826" s="27" t="s">
        <v>375</v>
      </c>
      <c r="DR826" s="27" t="s">
        <v>372</v>
      </c>
      <c r="DS826" s="27" t="s">
        <v>134</v>
      </c>
      <c r="DT826" s="27" t="s">
        <v>137</v>
      </c>
      <c r="DU826" s="27" t="s">
        <v>218</v>
      </c>
      <c r="DV826" s="27" t="s">
        <v>169</v>
      </c>
      <c r="DW826" s="27" t="s">
        <v>160</v>
      </c>
      <c r="DX826" s="27" t="s">
        <v>187</v>
      </c>
      <c r="DY826" s="27" t="s">
        <v>156</v>
      </c>
      <c r="DZ826" s="27" t="n">
        <f aca="false">DY826+DV826+DR826+DN826+DJ826+DF826+DB826</f>
        <v>581</v>
      </c>
      <c r="EA826" s="28" t="n">
        <f aca="false">DZ826/7</f>
        <v>83</v>
      </c>
      <c r="EB826" s="27" t="n">
        <f aca="false">RANK(EA826,$EA$2:$EA$881,0)</f>
        <v>271</v>
      </c>
      <c r="EC826" s="29" t="n">
        <f aca="false">DZ826+CQ826+CP826+AZ826</f>
        <v>1667</v>
      </c>
      <c r="ED826" s="30" t="n">
        <f aca="false">(EA826+CV826+BB826)/3</f>
        <v>27.6666666666667</v>
      </c>
      <c r="EE826" s="51" t="n">
        <f aca="false">ROUND(BE826,3)</f>
        <v>0</v>
      </c>
      <c r="EF826" s="51" t="n">
        <f aca="false">ROUND(CR826,3)</f>
        <v>82.286</v>
      </c>
      <c r="EG826" s="51" t="n">
        <f aca="false">ROUND(CS826,3)</f>
        <v>72.857</v>
      </c>
      <c r="EH826" s="51" t="n">
        <f aca="false">ROUND(EA826,3)</f>
        <v>83</v>
      </c>
      <c r="EI826" s="51" t="n">
        <f aca="false">ROUND(ED826,3)</f>
        <v>27.667</v>
      </c>
      <c r="EJ826" s="51" t="n">
        <f aca="false">ROUND(CV826,3)</f>
        <v>0</v>
      </c>
      <c r="EK826" s="0" t="n">
        <f aca="false">RANK(EI826,$EI$2:$EI$881,0)</f>
        <v>825</v>
      </c>
    </row>
    <row r="827" customFormat="false" ht="15" hidden="false" customHeight="false" outlineLevel="0" collapsed="false">
      <c r="A827" s="4" t="n">
        <v>9176</v>
      </c>
      <c r="B827" s="4" t="n">
        <v>875</v>
      </c>
      <c r="C827" s="27" t="s">
        <v>2304</v>
      </c>
      <c r="D827" s="145"/>
      <c r="E827" s="57"/>
      <c r="F827" s="146" t="s">
        <v>2305</v>
      </c>
      <c r="G827" s="57"/>
      <c r="H827" s="57" t="s">
        <v>2301</v>
      </c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 t="n">
        <f aca="false">(BG827*2400)/100</f>
        <v>0</v>
      </c>
      <c r="BD827" s="16" t="e">
        <f aca="false">RANK(AX827,$AX$2:$AX$881,0)</f>
        <v>#N/A</v>
      </c>
      <c r="BE827" s="92" t="n">
        <f aca="false">((BC827*100)/2400)*0.4+(AX827*0.6)</f>
        <v>0</v>
      </c>
      <c r="BF827" s="16" t="n">
        <f aca="false">RANK(BE827,$BE$2:$BE$881,0)</f>
        <v>806</v>
      </c>
      <c r="BG827" s="57"/>
      <c r="BH827" s="39" t="n">
        <f aca="false">RANK(BC827,$BC$2:$BC$881,0)</f>
        <v>780</v>
      </c>
      <c r="BI827" s="57"/>
      <c r="BJ827" s="57"/>
      <c r="BK827" s="57"/>
      <c r="BL827" s="25" t="n">
        <v>26</v>
      </c>
      <c r="BM827" s="25" t="n">
        <v>55</v>
      </c>
      <c r="BN827" s="25" t="n">
        <v>81</v>
      </c>
      <c r="BO827" s="25" t="n">
        <v>30</v>
      </c>
      <c r="BP827" s="25" t="n">
        <v>55</v>
      </c>
      <c r="BQ827" s="25" t="n">
        <v>85</v>
      </c>
      <c r="BR827" s="25" t="n">
        <v>25</v>
      </c>
      <c r="BS827" s="25" t="n">
        <v>44</v>
      </c>
      <c r="BT827" s="25" t="n">
        <v>69</v>
      </c>
      <c r="BU827" s="80"/>
      <c r="BV827" s="25" t="n">
        <v>80</v>
      </c>
      <c r="BW827" s="25" t="n">
        <v>90</v>
      </c>
      <c r="BX827" s="151" t="n">
        <v>90</v>
      </c>
      <c r="BY827" s="149" t="n">
        <v>29</v>
      </c>
      <c r="BZ827" s="149" t="n">
        <v>49</v>
      </c>
      <c r="CA827" s="149" t="n">
        <v>78</v>
      </c>
      <c r="CB827" s="149" t="n">
        <v>20</v>
      </c>
      <c r="CC827" s="149" t="n">
        <v>54</v>
      </c>
      <c r="CD827" s="149" t="n">
        <v>74</v>
      </c>
      <c r="CE827" s="149" t="n">
        <v>18</v>
      </c>
      <c r="CF827" s="149" t="n">
        <v>37</v>
      </c>
      <c r="CG827" s="152" t="n">
        <v>55</v>
      </c>
      <c r="CH827" s="149" t="n">
        <v>93</v>
      </c>
      <c r="CI827" s="149" t="n">
        <v>85</v>
      </c>
      <c r="CJ827" s="149" t="n">
        <v>26</v>
      </c>
      <c r="CK827" s="149" t="n">
        <v>60</v>
      </c>
      <c r="CL827" s="149" t="n">
        <v>86</v>
      </c>
      <c r="CM827" s="25" t="n">
        <v>25</v>
      </c>
      <c r="CN827" s="25" t="n">
        <v>45</v>
      </c>
      <c r="CO827" s="25" t="n">
        <v>70</v>
      </c>
      <c r="CP827" s="25" t="n">
        <f aca="false">BX827+BW827+BV827+BU827+BT827+BQ827+BN827</f>
        <v>495</v>
      </c>
      <c r="CQ827" s="25" t="n">
        <f aca="false">CO827+CL827+CI827+CH827+CG827+CD827+CA827</f>
        <v>541</v>
      </c>
      <c r="CR827" s="26" t="n">
        <f aca="false">CP827/7</f>
        <v>70.7142857142857</v>
      </c>
      <c r="CS827" s="26" t="n">
        <f aca="false">CQ827/7</f>
        <v>77.2857142857143</v>
      </c>
      <c r="CT827" s="24" t="n">
        <f aca="false">RANK(CR827,$CR$2:$CR$881,0)</f>
        <v>680</v>
      </c>
      <c r="CU827" s="25" t="n">
        <f aca="false">RANK(CS827,$CS$2:$CS$881,0)</f>
        <v>356</v>
      </c>
      <c r="CV827" s="150"/>
      <c r="CW827" s="25" t="n">
        <f aca="false">RANK(CV827,$CV$2:$CV$881,0)</f>
        <v>753</v>
      </c>
      <c r="CX827" s="57"/>
      <c r="CY827" s="57"/>
      <c r="CZ827" s="27" t="s">
        <v>132</v>
      </c>
      <c r="DA827" s="27" t="s">
        <v>169</v>
      </c>
      <c r="DB827" s="27" t="s">
        <v>169</v>
      </c>
      <c r="DC827" s="27" t="s">
        <v>134</v>
      </c>
      <c r="DD827" s="27" t="s">
        <v>154</v>
      </c>
      <c r="DE827" s="27" t="s">
        <v>203</v>
      </c>
      <c r="DF827" s="27" t="s">
        <v>175</v>
      </c>
      <c r="DG827" s="27" t="s">
        <v>134</v>
      </c>
      <c r="DH827" s="27" t="s">
        <v>195</v>
      </c>
      <c r="DI827" s="27" t="s">
        <v>218</v>
      </c>
      <c r="DJ827" s="27" t="s">
        <v>305</v>
      </c>
      <c r="DK827" s="27" t="s">
        <v>134</v>
      </c>
      <c r="DL827" s="27" t="s">
        <v>174</v>
      </c>
      <c r="DM827" s="27" t="s">
        <v>161</v>
      </c>
      <c r="DN827" s="27" t="s">
        <v>169</v>
      </c>
      <c r="DO827" s="27" t="s">
        <v>134</v>
      </c>
      <c r="DP827" s="27" t="s">
        <v>706</v>
      </c>
      <c r="DQ827" s="27" t="s">
        <v>183</v>
      </c>
      <c r="DR827" s="27" t="s">
        <v>486</v>
      </c>
      <c r="DS827" s="27" t="s">
        <v>134</v>
      </c>
      <c r="DT827" s="27" t="s">
        <v>164</v>
      </c>
      <c r="DU827" s="27" t="s">
        <v>218</v>
      </c>
      <c r="DV827" s="27" t="s">
        <v>209</v>
      </c>
      <c r="DW827" s="27" t="s">
        <v>154</v>
      </c>
      <c r="DX827" s="27" t="s">
        <v>155</v>
      </c>
      <c r="DY827" s="27" t="s">
        <v>151</v>
      </c>
      <c r="DZ827" s="27" t="n">
        <f aca="false">DY827+DV827+DR827+DN827+DJ827+DF827+DB827</f>
        <v>579</v>
      </c>
      <c r="EA827" s="28" t="n">
        <f aca="false">DZ827/7</f>
        <v>82.7142857142857</v>
      </c>
      <c r="EB827" s="27" t="n">
        <f aca="false">RANK(EA827,$EA$2:$EA$881,0)</f>
        <v>282</v>
      </c>
      <c r="EC827" s="29" t="n">
        <f aca="false">DZ827+CQ827+CP827+AZ827</f>
        <v>1615</v>
      </c>
      <c r="ED827" s="30" t="n">
        <f aca="false">(EA827+CV827+BB827)/3</f>
        <v>27.5714285714286</v>
      </c>
      <c r="EE827" s="51" t="n">
        <f aca="false">ROUND(BE827,3)</f>
        <v>0</v>
      </c>
      <c r="EF827" s="51" t="n">
        <f aca="false">ROUND(CR827,3)</f>
        <v>70.714</v>
      </c>
      <c r="EG827" s="51" t="n">
        <f aca="false">ROUND(CS827,3)</f>
        <v>77.286</v>
      </c>
      <c r="EH827" s="51" t="n">
        <f aca="false">ROUND(EA827,3)</f>
        <v>82.714</v>
      </c>
      <c r="EI827" s="51" t="n">
        <f aca="false">ROUND(ED827,3)</f>
        <v>27.571</v>
      </c>
      <c r="EJ827" s="51" t="n">
        <f aca="false">ROUND(CV827,3)</f>
        <v>0</v>
      </c>
      <c r="EK827" s="0" t="n">
        <f aca="false">RANK(EI827,$EI$2:$EI$881,0)</f>
        <v>826</v>
      </c>
    </row>
    <row r="828" customFormat="false" ht="15" hidden="false" customHeight="false" outlineLevel="0" collapsed="false">
      <c r="A828" s="4" t="n">
        <v>8812</v>
      </c>
      <c r="B828" s="4" t="n">
        <v>693</v>
      </c>
      <c r="C828" s="27" t="s">
        <v>2306</v>
      </c>
      <c r="D828" s="31" t="n">
        <v>707</v>
      </c>
      <c r="E828" s="32" t="n">
        <v>230505134</v>
      </c>
      <c r="F828" s="8" t="s">
        <v>2307</v>
      </c>
      <c r="G828" s="66" t="s">
        <v>2308</v>
      </c>
      <c r="H828" s="66" t="s">
        <v>129</v>
      </c>
      <c r="I828" s="67" t="s">
        <v>466</v>
      </c>
      <c r="J828" s="32" t="n">
        <v>94</v>
      </c>
      <c r="K828" s="32" t="n">
        <v>75</v>
      </c>
      <c r="L828" s="34" t="n">
        <f aca="false">(K828*70)/100</f>
        <v>52.5</v>
      </c>
      <c r="M828" s="34" t="n">
        <f aca="false">ROUNDUP(L828,0)</f>
        <v>53</v>
      </c>
      <c r="N828" s="32" t="n">
        <v>25</v>
      </c>
      <c r="O828" s="34" t="n">
        <f aca="false">N828+L828</f>
        <v>77.5</v>
      </c>
      <c r="P828" s="34" t="n">
        <f aca="false">N828+M828</f>
        <v>78</v>
      </c>
      <c r="Q828" s="32" t="n">
        <v>71</v>
      </c>
      <c r="R828" s="32" t="n">
        <v>76</v>
      </c>
      <c r="S828" s="34" t="n">
        <f aca="false">(R828*70)/100</f>
        <v>53.2</v>
      </c>
      <c r="T828" s="34" t="n">
        <f aca="false">ROUNDUP(S828,0)</f>
        <v>54</v>
      </c>
      <c r="U828" s="32" t="n">
        <v>19</v>
      </c>
      <c r="V828" s="34" t="n">
        <f aca="false">U828+S828</f>
        <v>72.2</v>
      </c>
      <c r="W828" s="34" t="n">
        <f aca="false">U828+T828</f>
        <v>73</v>
      </c>
      <c r="X828" s="32" t="n">
        <v>66</v>
      </c>
      <c r="Y828" s="34" t="n">
        <f aca="false">(X828*70)/100</f>
        <v>46.2</v>
      </c>
      <c r="Z828" s="34" t="n">
        <f aca="false">ROUNDUP(Y828,0)</f>
        <v>47</v>
      </c>
      <c r="AA828" s="32" t="n">
        <v>25</v>
      </c>
      <c r="AB828" s="34" t="n">
        <f aca="false">AA828+Y828</f>
        <v>71.2</v>
      </c>
      <c r="AC828" s="34" t="n">
        <f aca="false">AA828+Z828</f>
        <v>72</v>
      </c>
      <c r="AD828" s="32" t="n">
        <f aca="false">X828+R828+Q828+K828+J828</f>
        <v>382</v>
      </c>
      <c r="AE828" s="16" t="n">
        <f aca="false">AD828/5</f>
        <v>76.4</v>
      </c>
      <c r="AF828" s="16" t="n">
        <v>75</v>
      </c>
      <c r="AG828" s="16" t="n">
        <v>95</v>
      </c>
      <c r="AH828" s="16" t="n">
        <v>89</v>
      </c>
      <c r="AI828" s="16" t="n">
        <v>94</v>
      </c>
      <c r="AJ828" s="16" t="n">
        <f aca="false">(AI828*70)/100</f>
        <v>65.8</v>
      </c>
      <c r="AK828" s="35" t="n">
        <f aca="false">ROUNDUP(AJ828,0)</f>
        <v>66</v>
      </c>
      <c r="AL828" s="16" t="n">
        <v>26</v>
      </c>
      <c r="AM828" s="16" t="n">
        <f aca="false">AL828+AJ828</f>
        <v>91.8</v>
      </c>
      <c r="AN828" s="16" t="n">
        <f aca="false">AL828+AK828</f>
        <v>92</v>
      </c>
      <c r="AO828" s="16" t="n">
        <v>64</v>
      </c>
      <c r="AP828" s="36" t="n">
        <f aca="false">(AO828*70)/100</f>
        <v>44.8</v>
      </c>
      <c r="AQ828" s="37" t="n">
        <f aca="false">ROUNDUP(AP828,0)</f>
        <v>45</v>
      </c>
      <c r="AR828" s="16" t="n">
        <v>26</v>
      </c>
      <c r="AS828" s="16" t="n">
        <f aca="false">AR828+AP828</f>
        <v>70.8</v>
      </c>
      <c r="AT828" s="16" t="n">
        <f aca="false">AR828+AQ828</f>
        <v>71</v>
      </c>
      <c r="AU828" s="16" t="n">
        <f aca="false">AO828+AF828+AI828+AH828+AG828</f>
        <v>417</v>
      </c>
      <c r="AV828" s="16" t="n">
        <f aca="false">(AO828+AF828+AI828+AH828+AG828)/5</f>
        <v>83.4</v>
      </c>
      <c r="AW828" s="36" t="n">
        <f aca="false">(AO828+AF828+AI828+AH828+AG828+X828+R828+Q828+K828+J828)</f>
        <v>799</v>
      </c>
      <c r="AX828" s="16" t="n">
        <f aca="false">AW828/10</f>
        <v>79.9</v>
      </c>
      <c r="AY828" s="16" t="n">
        <f aca="false">AS828+AF828+AM828+AH828+AG828+AB828+V828+Q828+O828+J828</f>
        <v>807.5</v>
      </c>
      <c r="AZ828" s="16" t="n">
        <f aca="false">AT828+AF828+AN828+AH828+AG828+AC828+W828+Q828+P828+J828</f>
        <v>810</v>
      </c>
      <c r="BA828" s="16" t="n">
        <f aca="false">AY828/10</f>
        <v>80.75</v>
      </c>
      <c r="BB828" s="16" t="n">
        <f aca="false">AZ828/10</f>
        <v>81</v>
      </c>
      <c r="BC828" s="24" t="n">
        <v>2328</v>
      </c>
      <c r="BD828" s="16" t="n">
        <f aca="false">RANK(AX828,$AX$2:$AX$881,0)</f>
        <v>272</v>
      </c>
      <c r="BE828" s="54" t="n">
        <f aca="false">((BC828*100)/2400)*0.4+(AX828*0.6)</f>
        <v>86.74</v>
      </c>
      <c r="BF828" s="16" t="n">
        <f aca="false">RANK(BE828,$BE$2:$BE$881,0)</f>
        <v>327</v>
      </c>
      <c r="BG828" s="39" t="n">
        <v>303</v>
      </c>
      <c r="BH828" s="39" t="n">
        <f aca="false">RANK(BC828,$BC$2:$BC$881,0)</f>
        <v>745</v>
      </c>
      <c r="BI828" s="22" t="s">
        <v>130</v>
      </c>
      <c r="BJ828" s="22" t="s">
        <v>129</v>
      </c>
      <c r="BK828" s="40" t="s">
        <v>131</v>
      </c>
      <c r="BL828" s="41" t="n">
        <v>12</v>
      </c>
      <c r="BM828" s="61"/>
      <c r="BN828" s="61"/>
      <c r="BO828" s="42" t="n">
        <v>16</v>
      </c>
      <c r="BP828" s="61"/>
      <c r="BQ828" s="61"/>
      <c r="BR828" s="42" t="n">
        <v>22</v>
      </c>
      <c r="BS828" s="80"/>
      <c r="BT828" s="80"/>
      <c r="BU828" s="80"/>
      <c r="BV828" s="137"/>
      <c r="BW828" s="61"/>
      <c r="BX828" s="107"/>
      <c r="BY828" s="130"/>
      <c r="BZ828" s="60"/>
      <c r="CA828" s="60"/>
      <c r="CB828" s="61"/>
      <c r="CC828" s="60"/>
      <c r="CD828" s="60"/>
      <c r="CE828" s="60"/>
      <c r="CF828" s="60"/>
      <c r="CG828" s="60"/>
      <c r="CH828" s="60"/>
      <c r="CI828" s="60"/>
      <c r="CJ828" s="60"/>
      <c r="CK828" s="60"/>
      <c r="CL828" s="61"/>
      <c r="CM828" s="60"/>
      <c r="CN828" s="60"/>
      <c r="CO828" s="60"/>
      <c r="CP828" s="25" t="n">
        <f aca="false">BX828+BW828+BV828+BU828+BT828+BQ828+BN828</f>
        <v>0</v>
      </c>
      <c r="CQ828" s="25" t="n">
        <f aca="false">CO828+CL828+CI828+CH828+CG828+CD828+CA828</f>
        <v>0</v>
      </c>
      <c r="CR828" s="26" t="n">
        <f aca="false">CP828/7</f>
        <v>0</v>
      </c>
      <c r="CS828" s="26" t="n">
        <f aca="false">CQ828/7</f>
        <v>0</v>
      </c>
      <c r="CT828" s="24" t="n">
        <f aca="false">RANK(CR828,$CR$2:$CR$881,0)</f>
        <v>768</v>
      </c>
      <c r="CU828" s="25" t="n">
        <f aca="false">RANK(CS828,$CS$2:$CS$881,0)</f>
        <v>752</v>
      </c>
      <c r="CV828" s="26" t="n">
        <f aca="false">(CS828+CR828)/2</f>
        <v>0</v>
      </c>
      <c r="CW828" s="25" t="n">
        <f aca="false">RANK(CV828,$CV$2:$CV$881,0)</f>
        <v>753</v>
      </c>
      <c r="CX828" s="50" t="n">
        <f aca="false">(CV828+BB828)/2</f>
        <v>40.5</v>
      </c>
      <c r="CY828" s="50" t="n">
        <v>745</v>
      </c>
      <c r="CZ828" s="27"/>
      <c r="DA828" s="27"/>
      <c r="DB828" s="27"/>
      <c r="DC828" s="27"/>
      <c r="DD828" s="27" t="s">
        <v>619</v>
      </c>
      <c r="DE828" s="27" t="s">
        <v>2202</v>
      </c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 t="n">
        <f aca="false">DY828+DV828+DR828+DN828+DJ828+DF828+DB828</f>
        <v>0</v>
      </c>
      <c r="EA828" s="28" t="n">
        <f aca="false">DZ828/7</f>
        <v>0</v>
      </c>
      <c r="EB828" s="27" t="n">
        <f aca="false">RANK(EA828,$EA$2:$EA$881,0)</f>
        <v>870</v>
      </c>
      <c r="EC828" s="29" t="n">
        <f aca="false">DZ828+CQ828+CP828+AZ828</f>
        <v>810</v>
      </c>
      <c r="ED828" s="30" t="n">
        <f aca="false">(EA828+CV828+BB828)/3</f>
        <v>27</v>
      </c>
      <c r="EE828" s="51" t="n">
        <f aca="false">ROUND(BE828,3)</f>
        <v>86.74</v>
      </c>
      <c r="EF828" s="51" t="n">
        <f aca="false">ROUND(CR828,3)</f>
        <v>0</v>
      </c>
      <c r="EG828" s="51" t="n">
        <f aca="false">ROUND(CS828,3)</f>
        <v>0</v>
      </c>
      <c r="EH828" s="51" t="n">
        <f aca="false">ROUND(EA828,3)</f>
        <v>0</v>
      </c>
      <c r="EI828" s="51" t="n">
        <f aca="false">ROUND(ED828,3)</f>
        <v>27</v>
      </c>
      <c r="EJ828" s="51" t="n">
        <f aca="false">ROUND(CV828,3)</f>
        <v>0</v>
      </c>
      <c r="EK828" s="0" t="n">
        <f aca="false">RANK(EI828,$EI$2:$EI$881,0)</f>
        <v>827</v>
      </c>
    </row>
    <row r="829" customFormat="false" ht="15" hidden="false" customHeight="false" outlineLevel="0" collapsed="false">
      <c r="A829" s="4" t="n">
        <v>8358</v>
      </c>
      <c r="B829" s="4" t="n">
        <v>832</v>
      </c>
      <c r="C829" s="27" t="s">
        <v>2309</v>
      </c>
      <c r="D829" s="145"/>
      <c r="E829" s="57"/>
      <c r="F829" s="146" t="s">
        <v>2310</v>
      </c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  <c r="AV829" s="80"/>
      <c r="AW829" s="80"/>
      <c r="AX829" s="57"/>
      <c r="AY829" s="80"/>
      <c r="AZ829" s="80"/>
      <c r="BA829" s="80"/>
      <c r="BB829" s="80"/>
      <c r="BC829" s="57" t="n">
        <f aca="false">(BG829*2400)/100</f>
        <v>0</v>
      </c>
      <c r="BD829" s="16" t="e">
        <f aca="false">RANK(AX829,$AX$2:$AX$881,0)</f>
        <v>#N/A</v>
      </c>
      <c r="BE829" s="92" t="n">
        <f aca="false">((BC829*100)/2400)*0.4+(AX829*0.6)</f>
        <v>0</v>
      </c>
      <c r="BF829" s="16" t="n">
        <f aca="false">RANK(BE829,$BE$2:$BE$881,0)</f>
        <v>806</v>
      </c>
      <c r="BG829" s="57"/>
      <c r="BH829" s="39" t="n">
        <f aca="false">RANK(BC829,$BC$2:$BC$881,0)</f>
        <v>780</v>
      </c>
      <c r="BI829" s="57"/>
      <c r="BJ829" s="57"/>
      <c r="BK829" s="57"/>
      <c r="BL829" s="57"/>
      <c r="BM829" s="57"/>
      <c r="BN829" s="57"/>
      <c r="BO829" s="57"/>
      <c r="BP829" s="57"/>
      <c r="BQ829" s="57"/>
      <c r="BR829" s="57" t="n">
        <v>18</v>
      </c>
      <c r="BS829" s="57" t="n">
        <v>56</v>
      </c>
      <c r="BT829" s="57" t="n">
        <v>74</v>
      </c>
      <c r="BU829" s="80"/>
      <c r="BV829" s="60"/>
      <c r="BW829" s="106"/>
      <c r="BX829" s="124"/>
      <c r="BY829" s="57"/>
      <c r="BZ829" s="57"/>
      <c r="CA829" s="57"/>
      <c r="CB829" s="57"/>
      <c r="CC829" s="57"/>
      <c r="CD829" s="57"/>
      <c r="CE829" s="57"/>
      <c r="CF829" s="57"/>
      <c r="CG829" s="57"/>
      <c r="CH829" s="57"/>
      <c r="CI829" s="57"/>
      <c r="CJ829" s="57"/>
      <c r="CK829" s="57"/>
      <c r="CL829" s="57"/>
      <c r="CM829" s="57"/>
      <c r="CN829" s="57"/>
      <c r="CO829" s="57"/>
      <c r="CP829" s="25" t="n">
        <f aca="false">BX829+BW829+BV829+BU829+BT829+BQ829+BN829</f>
        <v>74</v>
      </c>
      <c r="CQ829" s="25" t="n">
        <f aca="false">CO829+CL829+CI829+CH829+CG829+CD829+CA829</f>
        <v>0</v>
      </c>
      <c r="CR829" s="26" t="n">
        <f aca="false">CP829/7</f>
        <v>10.5714285714286</v>
      </c>
      <c r="CS829" s="26" t="n">
        <f aca="false">CQ829/7</f>
        <v>0</v>
      </c>
      <c r="CT829" s="24" t="n">
        <f aca="false">RANK(CR829,$CR$2:$CR$881,0)</f>
        <v>758</v>
      </c>
      <c r="CU829" s="25" t="n">
        <f aca="false">RANK(CS829,$CS$2:$CS$881,0)</f>
        <v>752</v>
      </c>
      <c r="CV829" s="150"/>
      <c r="CW829" s="25" t="n">
        <f aca="false">RANK(CV829,$CV$2:$CV$881,0)</f>
        <v>753</v>
      </c>
      <c r="CX829" s="57"/>
      <c r="CY829" s="57"/>
      <c r="CZ829" s="27" t="s">
        <v>132</v>
      </c>
      <c r="DA829" s="27" t="s">
        <v>202</v>
      </c>
      <c r="DB829" s="27" t="s">
        <v>202</v>
      </c>
      <c r="DC829" s="27" t="s">
        <v>134</v>
      </c>
      <c r="DD829" s="27" t="s">
        <v>485</v>
      </c>
      <c r="DE829" s="27" t="s">
        <v>161</v>
      </c>
      <c r="DF829" s="27" t="s">
        <v>305</v>
      </c>
      <c r="DG829" s="27" t="s">
        <v>134</v>
      </c>
      <c r="DH829" s="27" t="s">
        <v>135</v>
      </c>
      <c r="DI829" s="27" t="s">
        <v>183</v>
      </c>
      <c r="DJ829" s="27" t="s">
        <v>169</v>
      </c>
      <c r="DK829" s="27" t="s">
        <v>134</v>
      </c>
      <c r="DL829" s="27" t="s">
        <v>191</v>
      </c>
      <c r="DM829" s="27" t="s">
        <v>306</v>
      </c>
      <c r="DN829" s="27" t="s">
        <v>441</v>
      </c>
      <c r="DO829" s="27" t="s">
        <v>134</v>
      </c>
      <c r="DP829" s="27" t="s">
        <v>706</v>
      </c>
      <c r="DQ829" s="27" t="s">
        <v>220</v>
      </c>
      <c r="DR829" s="27" t="s">
        <v>416</v>
      </c>
      <c r="DS829" s="27" t="s">
        <v>134</v>
      </c>
      <c r="DT829" s="27" t="s">
        <v>195</v>
      </c>
      <c r="DU829" s="27" t="s">
        <v>218</v>
      </c>
      <c r="DV829" s="27" t="s">
        <v>305</v>
      </c>
      <c r="DW829" s="27" t="s">
        <v>386</v>
      </c>
      <c r="DX829" s="27" t="s">
        <v>155</v>
      </c>
      <c r="DY829" s="27" t="s">
        <v>133</v>
      </c>
      <c r="DZ829" s="27" t="n">
        <f aca="false">DY829+DV829+DR829+DN829+DJ829+DF829+DB829</f>
        <v>559</v>
      </c>
      <c r="EA829" s="28" t="n">
        <f aca="false">DZ829/7</f>
        <v>79.8571428571429</v>
      </c>
      <c r="EB829" s="27" t="n">
        <f aca="false">RANK(EA829,$EA$2:$EA$881,0)</f>
        <v>399</v>
      </c>
      <c r="EC829" s="29" t="n">
        <f aca="false">DZ829+CQ829+CP829+AZ829</f>
        <v>633</v>
      </c>
      <c r="ED829" s="30" t="n">
        <f aca="false">(EA829+CV829+BB829)/3</f>
        <v>26.6190476190476</v>
      </c>
      <c r="EE829" s="51" t="n">
        <f aca="false">ROUND(BE829,3)</f>
        <v>0</v>
      </c>
      <c r="EF829" s="51" t="n">
        <f aca="false">ROUND(CR829,3)</f>
        <v>10.571</v>
      </c>
      <c r="EG829" s="51" t="n">
        <f aca="false">ROUND(CS829,3)</f>
        <v>0</v>
      </c>
      <c r="EH829" s="51" t="n">
        <f aca="false">ROUND(EA829,3)</f>
        <v>79.857</v>
      </c>
      <c r="EI829" s="51" t="n">
        <f aca="false">ROUND(ED829,3)</f>
        <v>26.619</v>
      </c>
      <c r="EJ829" s="51" t="n">
        <f aca="false">ROUND(CV829,3)</f>
        <v>0</v>
      </c>
      <c r="EK829" s="0" t="n">
        <f aca="false">RANK(EI829,$EI$2:$EI$881,0)</f>
        <v>828</v>
      </c>
    </row>
    <row r="830" customFormat="false" ht="15" hidden="false" customHeight="false" outlineLevel="0" collapsed="false">
      <c r="A830" s="4" t="n">
        <v>9161</v>
      </c>
      <c r="B830" s="4" t="n">
        <v>870</v>
      </c>
      <c r="C830" s="27" t="s">
        <v>2311</v>
      </c>
      <c r="D830" s="145"/>
      <c r="E830" s="57"/>
      <c r="F830" s="146" t="s">
        <v>2312</v>
      </c>
      <c r="G830" s="57"/>
      <c r="H830" s="57" t="s">
        <v>2301</v>
      </c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 t="n">
        <f aca="false">(BG830*2400)/100</f>
        <v>0</v>
      </c>
      <c r="BD830" s="16" t="e">
        <f aca="false">RANK(AX830,$AX$2:$AX$881,0)</f>
        <v>#N/A</v>
      </c>
      <c r="BE830" s="92" t="n">
        <f aca="false">((BC830*100)/2400)*0.4+(AX830*0.6)</f>
        <v>0</v>
      </c>
      <c r="BF830" s="16" t="n">
        <f aca="false">RANK(BE830,$BE$2:$BE$881,0)</f>
        <v>806</v>
      </c>
      <c r="BG830" s="57"/>
      <c r="BH830" s="39" t="n">
        <f aca="false">RANK(BC830,$BC$2:$BC$881,0)</f>
        <v>780</v>
      </c>
      <c r="BI830" s="57"/>
      <c r="BJ830" s="57"/>
      <c r="BK830" s="57"/>
      <c r="BL830" s="25" t="n">
        <v>21</v>
      </c>
      <c r="BM830" s="25" t="n">
        <v>58</v>
      </c>
      <c r="BN830" s="25" t="n">
        <v>79</v>
      </c>
      <c r="BO830" s="25" t="n">
        <v>30</v>
      </c>
      <c r="BP830" s="25" t="n">
        <v>53</v>
      </c>
      <c r="BQ830" s="25" t="n">
        <v>83</v>
      </c>
      <c r="BR830" s="25" t="n">
        <v>23</v>
      </c>
      <c r="BS830" s="25" t="n">
        <v>39</v>
      </c>
      <c r="BT830" s="25" t="n">
        <v>62</v>
      </c>
      <c r="BU830" s="25" t="n">
        <v>79</v>
      </c>
      <c r="BV830" s="124"/>
      <c r="BW830" s="25" t="n">
        <v>94</v>
      </c>
      <c r="BX830" s="151" t="n">
        <v>90</v>
      </c>
      <c r="BY830" s="149" t="n">
        <v>29</v>
      </c>
      <c r="BZ830" s="149" t="n">
        <v>50</v>
      </c>
      <c r="CA830" s="149" t="n">
        <v>79</v>
      </c>
      <c r="CB830" s="149" t="n">
        <v>19</v>
      </c>
      <c r="CC830" s="149" t="n">
        <v>49</v>
      </c>
      <c r="CD830" s="149" t="n">
        <v>68</v>
      </c>
      <c r="CE830" s="149" t="n">
        <v>20</v>
      </c>
      <c r="CF830" s="149" t="n">
        <v>35</v>
      </c>
      <c r="CG830" s="152" t="n">
        <v>55</v>
      </c>
      <c r="CH830" s="149" t="n">
        <v>85</v>
      </c>
      <c r="CI830" s="149" t="n">
        <v>88</v>
      </c>
      <c r="CJ830" s="149" t="n">
        <v>18</v>
      </c>
      <c r="CK830" s="149" t="n">
        <v>64</v>
      </c>
      <c r="CL830" s="149" t="n">
        <v>82</v>
      </c>
      <c r="CM830" s="25" t="n">
        <v>22</v>
      </c>
      <c r="CN830" s="25" t="n">
        <v>49</v>
      </c>
      <c r="CO830" s="25" t="n">
        <v>71</v>
      </c>
      <c r="CP830" s="25" t="n">
        <f aca="false">BX830+BW830+BV830+BU830+BT830+BQ830+BN830</f>
        <v>487</v>
      </c>
      <c r="CQ830" s="25" t="n">
        <f aca="false">CO830+CL830+CI830+CH830+CG830+CD830+CA830</f>
        <v>528</v>
      </c>
      <c r="CR830" s="26" t="n">
        <f aca="false">CP830/7</f>
        <v>69.5714285714286</v>
      </c>
      <c r="CS830" s="26" t="n">
        <f aca="false">CQ830/7</f>
        <v>75.4285714285714</v>
      </c>
      <c r="CT830" s="24" t="n">
        <f aca="false">RANK(CR830,$CR$2:$CR$881,0)</f>
        <v>689</v>
      </c>
      <c r="CU830" s="25" t="n">
        <f aca="false">RANK(CS830,$CS$2:$CS$881,0)</f>
        <v>417</v>
      </c>
      <c r="CV830" s="150"/>
      <c r="CW830" s="25" t="n">
        <f aca="false">RANK(CV830,$CV$2:$CV$881,0)</f>
        <v>753</v>
      </c>
      <c r="CX830" s="57"/>
      <c r="CY830" s="57"/>
      <c r="CZ830" s="27" t="s">
        <v>132</v>
      </c>
      <c r="DA830" s="27" t="s">
        <v>151</v>
      </c>
      <c r="DB830" s="27" t="s">
        <v>151</v>
      </c>
      <c r="DC830" s="27" t="s">
        <v>134</v>
      </c>
      <c r="DD830" s="27" t="s">
        <v>174</v>
      </c>
      <c r="DE830" s="27" t="s">
        <v>183</v>
      </c>
      <c r="DF830" s="27" t="s">
        <v>219</v>
      </c>
      <c r="DG830" s="27" t="s">
        <v>134</v>
      </c>
      <c r="DH830" s="27" t="s">
        <v>154</v>
      </c>
      <c r="DI830" s="27" t="s">
        <v>306</v>
      </c>
      <c r="DJ830" s="27" t="s">
        <v>305</v>
      </c>
      <c r="DK830" s="27" t="s">
        <v>134</v>
      </c>
      <c r="DL830" s="27" t="s">
        <v>485</v>
      </c>
      <c r="DM830" s="27" t="s">
        <v>136</v>
      </c>
      <c r="DN830" s="27" t="s">
        <v>219</v>
      </c>
      <c r="DO830" s="27" t="s">
        <v>134</v>
      </c>
      <c r="DP830" s="27" t="s">
        <v>825</v>
      </c>
      <c r="DQ830" s="27" t="s">
        <v>989</v>
      </c>
      <c r="DR830" s="27" t="s">
        <v>306</v>
      </c>
      <c r="DS830" s="27" t="s">
        <v>480</v>
      </c>
      <c r="DT830" s="27" t="s">
        <v>164</v>
      </c>
      <c r="DU830" s="27" t="s">
        <v>399</v>
      </c>
      <c r="DV830" s="27" t="s">
        <v>441</v>
      </c>
      <c r="DW830" s="27" t="s">
        <v>164</v>
      </c>
      <c r="DX830" s="27" t="s">
        <v>138</v>
      </c>
      <c r="DY830" s="27" t="s">
        <v>142</v>
      </c>
      <c r="DZ830" s="27" t="n">
        <f aca="false">DY830+DV830+DR830+DN830+DJ830+DF830+DB830</f>
        <v>557</v>
      </c>
      <c r="EA830" s="28" t="n">
        <f aca="false">DZ830/7</f>
        <v>79.5714285714286</v>
      </c>
      <c r="EB830" s="27" t="n">
        <f aca="false">RANK(EA830,$EA$2:$EA$881,0)</f>
        <v>410</v>
      </c>
      <c r="EC830" s="29" t="n">
        <f aca="false">DZ830+CQ830+CP830+AZ830</f>
        <v>1572</v>
      </c>
      <c r="ED830" s="30" t="n">
        <f aca="false">(EA830+CV830+BB830)/3</f>
        <v>26.5238095238095</v>
      </c>
      <c r="EE830" s="51" t="n">
        <f aca="false">ROUND(BE830,3)</f>
        <v>0</v>
      </c>
      <c r="EF830" s="51" t="n">
        <f aca="false">ROUND(CR830,3)</f>
        <v>69.571</v>
      </c>
      <c r="EG830" s="51" t="n">
        <f aca="false">ROUND(CS830,3)</f>
        <v>75.429</v>
      </c>
      <c r="EH830" s="51" t="n">
        <f aca="false">ROUND(EA830,3)</f>
        <v>79.571</v>
      </c>
      <c r="EI830" s="51" t="n">
        <f aca="false">ROUND(ED830,3)</f>
        <v>26.524</v>
      </c>
      <c r="EJ830" s="51" t="n">
        <f aca="false">ROUND(CV830,3)</f>
        <v>0</v>
      </c>
      <c r="EK830" s="0" t="n">
        <f aca="false">RANK(EI830,$EI$2:$EI$881,0)</f>
        <v>829</v>
      </c>
    </row>
    <row r="831" customFormat="false" ht="15" hidden="false" customHeight="false" outlineLevel="0" collapsed="false">
      <c r="A831" s="4" t="n">
        <v>1893</v>
      </c>
      <c r="B831" s="4" t="n">
        <v>191</v>
      </c>
      <c r="C831" s="27" t="s">
        <v>2313</v>
      </c>
      <c r="D831" s="31" t="n">
        <v>192</v>
      </c>
      <c r="E831" s="16" t="n">
        <v>230506260</v>
      </c>
      <c r="F831" s="56" t="s">
        <v>2314</v>
      </c>
      <c r="G831" s="22" t="s">
        <v>2315</v>
      </c>
      <c r="H831" s="22" t="s">
        <v>465</v>
      </c>
      <c r="I831" s="80"/>
      <c r="J831" s="16" t="n">
        <v>94</v>
      </c>
      <c r="K831" s="16" t="n">
        <v>77</v>
      </c>
      <c r="L831" s="34" t="n">
        <f aca="false">(K831*70)/100</f>
        <v>53.9</v>
      </c>
      <c r="M831" s="34" t="n">
        <f aca="false">ROUNDUP(L831,0)</f>
        <v>54</v>
      </c>
      <c r="N831" s="16" t="n">
        <v>25</v>
      </c>
      <c r="O831" s="34" t="n">
        <f aca="false">N831+L831</f>
        <v>78.9</v>
      </c>
      <c r="P831" s="34" t="n">
        <f aca="false">N831+M831</f>
        <v>79</v>
      </c>
      <c r="Q831" s="71" t="n">
        <v>59</v>
      </c>
      <c r="R831" s="16" t="n">
        <v>50</v>
      </c>
      <c r="S831" s="34" t="n">
        <f aca="false">(R831*70)/100</f>
        <v>35</v>
      </c>
      <c r="T831" s="34" t="n">
        <f aca="false">ROUNDUP(S831,0)</f>
        <v>35</v>
      </c>
      <c r="U831" s="16" t="n">
        <v>26</v>
      </c>
      <c r="V831" s="34" t="n">
        <f aca="false">U831+S831</f>
        <v>61</v>
      </c>
      <c r="W831" s="34" t="n">
        <f aca="false">U831+T831</f>
        <v>61</v>
      </c>
      <c r="X831" s="16" t="n">
        <v>60</v>
      </c>
      <c r="Y831" s="34" t="n">
        <f aca="false">(X831*70)/100</f>
        <v>42</v>
      </c>
      <c r="Z831" s="34" t="n">
        <f aca="false">ROUNDUP(Y831,0)</f>
        <v>42</v>
      </c>
      <c r="AA831" s="16" t="n">
        <v>26</v>
      </c>
      <c r="AB831" s="34" t="n">
        <f aca="false">AA831+Y831</f>
        <v>68</v>
      </c>
      <c r="AC831" s="34" t="n">
        <f aca="false">AA831+Z831</f>
        <v>68</v>
      </c>
      <c r="AD831" s="32" t="n">
        <f aca="false">X831+R831+Q831+K831+J831</f>
        <v>340</v>
      </c>
      <c r="AE831" s="16" t="n">
        <f aca="false">AD831/5</f>
        <v>68</v>
      </c>
      <c r="AF831" s="16" t="n">
        <v>74</v>
      </c>
      <c r="AG831" s="16" t="n">
        <v>95</v>
      </c>
      <c r="AH831" s="16" t="n">
        <v>91</v>
      </c>
      <c r="AI831" s="16" t="n">
        <v>94</v>
      </c>
      <c r="AJ831" s="16" t="n">
        <f aca="false">(AI831*70)/100</f>
        <v>65.8</v>
      </c>
      <c r="AK831" s="35" t="n">
        <f aca="false">ROUNDUP(AJ831,0)</f>
        <v>66</v>
      </c>
      <c r="AL831" s="16" t="n">
        <v>29</v>
      </c>
      <c r="AM831" s="16" t="n">
        <f aca="false">AL831+AJ831</f>
        <v>94.8</v>
      </c>
      <c r="AN831" s="16" t="n">
        <f aca="false">AL831+AK831</f>
        <v>95</v>
      </c>
      <c r="AO831" s="16" t="n">
        <v>76</v>
      </c>
      <c r="AP831" s="36" t="n">
        <f aca="false">(AO831*70)/100</f>
        <v>53.2</v>
      </c>
      <c r="AQ831" s="37" t="n">
        <f aca="false">ROUNDUP(AP831,0)</f>
        <v>54</v>
      </c>
      <c r="AR831" s="16" t="n">
        <v>22</v>
      </c>
      <c r="AS831" s="16" t="n">
        <f aca="false">AR831+AP831</f>
        <v>75.2</v>
      </c>
      <c r="AT831" s="16" t="n">
        <f aca="false">AR831+AQ831</f>
        <v>76</v>
      </c>
      <c r="AU831" s="16" t="n">
        <f aca="false">AO831+AF831+AI831+AH831+AG831</f>
        <v>430</v>
      </c>
      <c r="AV831" s="16" t="n">
        <f aca="false">(AO831+AF831+AI831+AH831+AG831)/5</f>
        <v>86</v>
      </c>
      <c r="AW831" s="36" t="n">
        <f aca="false">(AO831+AF831+AI831+AH831+AG831+X831+R831+Q831+K831+J831)</f>
        <v>770</v>
      </c>
      <c r="AX831" s="16" t="n">
        <f aca="false">AW831/10</f>
        <v>77</v>
      </c>
      <c r="AY831" s="16" t="n">
        <f aca="false">AS831+AF831+AM831+AH831+AG831+AB831+V831+Q831+O831+J831</f>
        <v>790.9</v>
      </c>
      <c r="AZ831" s="16" t="n">
        <f aca="false">AT831+AF831+AN831+AH831+AG831+AC831+W831+Q831+P831+J831</f>
        <v>792</v>
      </c>
      <c r="BA831" s="16" t="n">
        <f aca="false">AY831/10</f>
        <v>79.09</v>
      </c>
      <c r="BB831" s="16" t="n">
        <f aca="false">AZ831/10</f>
        <v>79.2</v>
      </c>
      <c r="BC831" s="16" t="n">
        <v>2347</v>
      </c>
      <c r="BD831" s="16" t="n">
        <f aca="false">RANK(AX831,$AX$2:$AX$881,0)</f>
        <v>508</v>
      </c>
      <c r="BE831" s="54" t="n">
        <f aca="false">((BC831*100)/2400)*0.4+(AX831*0.6)</f>
        <v>85.3166666666667</v>
      </c>
      <c r="BF831" s="16" t="n">
        <f aca="false">RANK(BE831,$BE$2:$BE$881,0)</f>
        <v>538</v>
      </c>
      <c r="BG831" s="39" t="n">
        <v>479</v>
      </c>
      <c r="BH831" s="39" t="n">
        <f aca="false">RANK(BC831,$BC$2:$BC$881,0)</f>
        <v>562</v>
      </c>
      <c r="BI831" s="22" t="s">
        <v>130</v>
      </c>
      <c r="BJ831" s="22" t="s">
        <v>129</v>
      </c>
      <c r="BK831" s="40" t="s">
        <v>509</v>
      </c>
      <c r="BL831" s="101" t="n">
        <v>8.5</v>
      </c>
      <c r="BM831" s="61"/>
      <c r="BN831" s="61"/>
      <c r="BO831" s="42" t="n">
        <v>14</v>
      </c>
      <c r="BP831" s="61"/>
      <c r="BQ831" s="61"/>
      <c r="BR831" s="42" t="n">
        <v>22</v>
      </c>
      <c r="BS831" s="80"/>
      <c r="BT831" s="80"/>
      <c r="BU831" s="80"/>
      <c r="BV831" s="137"/>
      <c r="BW831" s="61"/>
      <c r="BX831" s="107"/>
      <c r="BY831" s="130"/>
      <c r="BZ831" s="60"/>
      <c r="CA831" s="60"/>
      <c r="CB831" s="61"/>
      <c r="CC831" s="60"/>
      <c r="CD831" s="60"/>
      <c r="CE831" s="60"/>
      <c r="CF831" s="60"/>
      <c r="CG831" s="60"/>
      <c r="CH831" s="60"/>
      <c r="CI831" s="60"/>
      <c r="CJ831" s="60"/>
      <c r="CK831" s="60"/>
      <c r="CL831" s="61"/>
      <c r="CM831" s="60"/>
      <c r="CN831" s="60"/>
      <c r="CO831" s="60"/>
      <c r="CP831" s="25" t="n">
        <f aca="false">BX831+BW831+BV831+BU831+BT831+BQ831+BN831</f>
        <v>0</v>
      </c>
      <c r="CQ831" s="25" t="n">
        <f aca="false">CO831+CL831+CI831+CH831+CG831+CD831+CA831</f>
        <v>0</v>
      </c>
      <c r="CR831" s="26" t="n">
        <f aca="false">CP831/7</f>
        <v>0</v>
      </c>
      <c r="CS831" s="26" t="n">
        <f aca="false">CQ831/7</f>
        <v>0</v>
      </c>
      <c r="CT831" s="24" t="n">
        <f aca="false">RANK(CR831,$CR$2:$CR$881,0)</f>
        <v>768</v>
      </c>
      <c r="CU831" s="25" t="n">
        <f aca="false">RANK(CS831,$CS$2:$CS$881,0)</f>
        <v>752</v>
      </c>
      <c r="CV831" s="26" t="n">
        <f aca="false">(CS831+CR831)/2</f>
        <v>0</v>
      </c>
      <c r="CW831" s="25" t="n">
        <f aca="false">RANK(CV831,$CV$2:$CV$881,0)</f>
        <v>753</v>
      </c>
      <c r="CX831" s="50" t="n">
        <f aca="false">(CV831+BB831)/2</f>
        <v>39.6</v>
      </c>
      <c r="CY831" s="50" t="n">
        <v>786</v>
      </c>
      <c r="CZ831" s="27"/>
      <c r="DA831" s="27"/>
      <c r="DB831" s="27"/>
      <c r="DC831" s="27"/>
      <c r="DD831" s="27" t="s">
        <v>619</v>
      </c>
      <c r="DE831" s="27" t="s">
        <v>2202</v>
      </c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 t="n">
        <f aca="false">DY831+DV831+DR831+DN831+DJ831+DF831+DB831</f>
        <v>0</v>
      </c>
      <c r="EA831" s="28" t="n">
        <f aca="false">DZ831/7</f>
        <v>0</v>
      </c>
      <c r="EB831" s="27" t="n">
        <f aca="false">RANK(EA831,$EA$2:$EA$881,0)</f>
        <v>870</v>
      </c>
      <c r="EC831" s="29" t="n">
        <f aca="false">DZ831+CQ831+CP831+AZ831</f>
        <v>792</v>
      </c>
      <c r="ED831" s="30" t="n">
        <f aca="false">(EA831+CV831+BB831)/3</f>
        <v>26.4</v>
      </c>
      <c r="EE831" s="51" t="n">
        <f aca="false">ROUND(BE831,3)</f>
        <v>85.317</v>
      </c>
      <c r="EF831" s="51" t="n">
        <f aca="false">ROUND(CR831,3)</f>
        <v>0</v>
      </c>
      <c r="EG831" s="51" t="n">
        <f aca="false">ROUND(CS831,3)</f>
        <v>0</v>
      </c>
      <c r="EH831" s="51" t="n">
        <f aca="false">ROUND(EA831,3)</f>
        <v>0</v>
      </c>
      <c r="EI831" s="51" t="n">
        <f aca="false">ROUND(ED831,3)</f>
        <v>26.4</v>
      </c>
      <c r="EJ831" s="51" t="n">
        <f aca="false">ROUND(CV831,3)</f>
        <v>0</v>
      </c>
      <c r="EK831" s="0" t="n">
        <f aca="false">RANK(EI831,$EI$2:$EI$881,0)</f>
        <v>830</v>
      </c>
    </row>
    <row r="832" customFormat="false" ht="15" hidden="false" customHeight="false" outlineLevel="0" collapsed="false">
      <c r="A832" s="4" t="n">
        <v>8081</v>
      </c>
      <c r="B832" s="4" t="n">
        <v>296</v>
      </c>
      <c r="C832" s="27" t="s">
        <v>2316</v>
      </c>
      <c r="D832" s="145"/>
      <c r="E832" s="57"/>
      <c r="F832" s="146" t="s">
        <v>2317</v>
      </c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  <c r="AZ832" s="80"/>
      <c r="BA832" s="80"/>
      <c r="BB832" s="80"/>
      <c r="BC832" s="57" t="n">
        <f aca="false">(BG832*2400)/100</f>
        <v>0</v>
      </c>
      <c r="BD832" s="16" t="e">
        <f aca="false">RANK(AX832,$AX$2:$AX$881,0)</f>
        <v>#N/A</v>
      </c>
      <c r="BE832" s="92" t="n">
        <f aca="false">((BC832*100)/2400)*0.4+(AX832*0.6)</f>
        <v>0</v>
      </c>
      <c r="BF832" s="16" t="n">
        <f aca="false">RANK(BE832,$BE$2:$BE$881,0)</f>
        <v>806</v>
      </c>
      <c r="BG832" s="80"/>
      <c r="BH832" s="39" t="n">
        <f aca="false">RANK(BC832,$BC$2:$BC$881,0)</f>
        <v>780</v>
      </c>
      <c r="BI832" s="80"/>
      <c r="BJ832" s="80"/>
      <c r="BK832" s="80"/>
      <c r="BL832" s="80"/>
      <c r="BM832" s="80"/>
      <c r="BN832" s="80"/>
      <c r="BO832" s="80"/>
      <c r="BP832" s="80"/>
      <c r="BQ832" s="80"/>
      <c r="BR832" s="80"/>
      <c r="BS832" s="80"/>
      <c r="BT832" s="80"/>
      <c r="BU832" s="80"/>
      <c r="BV832" s="80"/>
      <c r="BW832" s="80"/>
      <c r="BX832" s="80"/>
      <c r="BY832" s="80"/>
      <c r="BZ832" s="80"/>
      <c r="CA832" s="80"/>
      <c r="CB832" s="80"/>
      <c r="CC832" s="80"/>
      <c r="CD832" s="80"/>
      <c r="CE832" s="80"/>
      <c r="CF832" s="80"/>
      <c r="CG832" s="80"/>
      <c r="CH832" s="80"/>
      <c r="CI832" s="80"/>
      <c r="CJ832" s="80"/>
      <c r="CK832" s="80"/>
      <c r="CL832" s="80"/>
      <c r="CM832" s="80"/>
      <c r="CN832" s="80"/>
      <c r="CO832" s="80"/>
      <c r="CP832" s="25" t="n">
        <f aca="false">BX832+BW832+BV832+BU832+BT832+BQ832+BN832</f>
        <v>0</v>
      </c>
      <c r="CQ832" s="25" t="n">
        <f aca="false">CO832+CL832+CI832+CH832+CG832+CD832+CA832</f>
        <v>0</v>
      </c>
      <c r="CR832" s="26" t="n">
        <f aca="false">CP832/7</f>
        <v>0</v>
      </c>
      <c r="CS832" s="26" t="n">
        <f aca="false">CQ832/7</f>
        <v>0</v>
      </c>
      <c r="CT832" s="24" t="n">
        <f aca="false">RANK(CR832,$CR$2:$CR$881,0)</f>
        <v>768</v>
      </c>
      <c r="CU832" s="25" t="n">
        <f aca="false">RANK(CS832,$CS$2:$CS$881,0)</f>
        <v>752</v>
      </c>
      <c r="CV832" s="80"/>
      <c r="CW832" s="25" t="n">
        <f aca="false">RANK(CV832,$CV$2:$CV$881,0)</f>
        <v>753</v>
      </c>
      <c r="CX832" s="80"/>
      <c r="CY832" s="80"/>
      <c r="CZ832" s="27" t="s">
        <v>132</v>
      </c>
      <c r="DA832" s="27" t="s">
        <v>219</v>
      </c>
      <c r="DB832" s="27" t="s">
        <v>219</v>
      </c>
      <c r="DC832" s="27" t="s">
        <v>134</v>
      </c>
      <c r="DD832" s="27" t="s">
        <v>182</v>
      </c>
      <c r="DE832" s="27" t="s">
        <v>177</v>
      </c>
      <c r="DF832" s="27" t="s">
        <v>209</v>
      </c>
      <c r="DG832" s="27" t="s">
        <v>134</v>
      </c>
      <c r="DH832" s="27" t="s">
        <v>174</v>
      </c>
      <c r="DI832" s="27" t="s">
        <v>313</v>
      </c>
      <c r="DJ832" s="27" t="s">
        <v>372</v>
      </c>
      <c r="DK832" s="27" t="s">
        <v>134</v>
      </c>
      <c r="DL832" s="27" t="s">
        <v>135</v>
      </c>
      <c r="DM832" s="27" t="s">
        <v>313</v>
      </c>
      <c r="DN832" s="27" t="s">
        <v>382</v>
      </c>
      <c r="DO832" s="27" t="s">
        <v>134</v>
      </c>
      <c r="DP832" s="27" t="s">
        <v>195</v>
      </c>
      <c r="DQ832" s="27" t="s">
        <v>638</v>
      </c>
      <c r="DR832" s="27" t="s">
        <v>187</v>
      </c>
      <c r="DS832" s="27" t="s">
        <v>134</v>
      </c>
      <c r="DT832" s="27" t="s">
        <v>182</v>
      </c>
      <c r="DU832" s="27" t="s">
        <v>442</v>
      </c>
      <c r="DV832" s="27" t="s">
        <v>486</v>
      </c>
      <c r="DW832" s="27" t="s">
        <v>164</v>
      </c>
      <c r="DX832" s="27" t="s">
        <v>138</v>
      </c>
      <c r="DY832" s="27" t="s">
        <v>142</v>
      </c>
      <c r="DZ832" s="27" t="n">
        <f aca="false">DY832+DV832+DR832+DN832+DJ832+DF832+DB832</f>
        <v>550</v>
      </c>
      <c r="EA832" s="28" t="n">
        <f aca="false">DZ832/7</f>
        <v>78.5714285714286</v>
      </c>
      <c r="EB832" s="27" t="n">
        <f aca="false">RANK(EA832,$EA$2:$EA$881,0)</f>
        <v>436</v>
      </c>
      <c r="EC832" s="29" t="n">
        <f aca="false">DZ832+CQ832+CP832+AZ832</f>
        <v>550</v>
      </c>
      <c r="ED832" s="30" t="n">
        <f aca="false">(EA832+CV832+BB832)/3</f>
        <v>26.1904761904762</v>
      </c>
      <c r="EE832" s="51" t="n">
        <f aca="false">ROUND(BE832,3)</f>
        <v>0</v>
      </c>
      <c r="EF832" s="51" t="n">
        <f aca="false">ROUND(CR832,3)</f>
        <v>0</v>
      </c>
      <c r="EG832" s="51" t="n">
        <f aca="false">ROUND(CS832,3)</f>
        <v>0</v>
      </c>
      <c r="EH832" s="51" t="n">
        <f aca="false">ROUND(EA832,3)</f>
        <v>78.571</v>
      </c>
      <c r="EI832" s="51" t="n">
        <f aca="false">ROUND(ED832,3)</f>
        <v>26.19</v>
      </c>
      <c r="EJ832" s="51" t="n">
        <f aca="false">ROUND(CV832,3)</f>
        <v>0</v>
      </c>
      <c r="EK832" s="0" t="n">
        <f aca="false">RANK(EI832,$EI$2:$EI$881,0)</f>
        <v>831</v>
      </c>
    </row>
    <row r="833" customFormat="false" ht="15" hidden="false" customHeight="false" outlineLevel="0" collapsed="false">
      <c r="A833" s="4" t="n">
        <v>8435</v>
      </c>
      <c r="B833" s="4" t="n">
        <v>797</v>
      </c>
      <c r="C833" s="27" t="s">
        <v>2318</v>
      </c>
      <c r="D833" s="145"/>
      <c r="E833" s="57"/>
      <c r="F833" s="146" t="s">
        <v>2319</v>
      </c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  <c r="AZ833" s="80"/>
      <c r="BA833" s="80"/>
      <c r="BB833" s="80"/>
      <c r="BC833" s="57" t="n">
        <f aca="false">(BG833*2400)/100</f>
        <v>0</v>
      </c>
      <c r="BD833" s="16" t="e">
        <f aca="false">RANK(AX833,$AX$2:$AX$881,0)</f>
        <v>#N/A</v>
      </c>
      <c r="BE833" s="92" t="n">
        <f aca="false">((BC833*100)/2400)*0.4+(AX833*0.6)</f>
        <v>0</v>
      </c>
      <c r="BF833" s="16" t="n">
        <f aca="false">RANK(BE833,$BE$2:$BE$881,0)</f>
        <v>806</v>
      </c>
      <c r="BG833" s="80"/>
      <c r="BH833" s="39" t="n">
        <f aca="false">RANK(BC833,$BC$2:$BC$881,0)</f>
        <v>780</v>
      </c>
      <c r="BI833" s="80"/>
      <c r="BJ833" s="80"/>
      <c r="BK833" s="80"/>
      <c r="BL833" s="80"/>
      <c r="BM833" s="80"/>
      <c r="BN833" s="80"/>
      <c r="BO833" s="80"/>
      <c r="BP833" s="80"/>
      <c r="BQ833" s="80"/>
      <c r="BR833" s="80"/>
      <c r="BS833" s="80"/>
      <c r="BT833" s="80"/>
      <c r="BU833" s="80"/>
      <c r="BV833" s="80"/>
      <c r="BW833" s="80"/>
      <c r="BX833" s="80"/>
      <c r="BY833" s="80"/>
      <c r="BZ833" s="80"/>
      <c r="CA833" s="80"/>
      <c r="CB833" s="80"/>
      <c r="CC833" s="80"/>
      <c r="CD833" s="80"/>
      <c r="CE833" s="80"/>
      <c r="CF833" s="80"/>
      <c r="CG833" s="80"/>
      <c r="CH833" s="80"/>
      <c r="CI833" s="80"/>
      <c r="CJ833" s="80"/>
      <c r="CK833" s="80"/>
      <c r="CL833" s="80"/>
      <c r="CM833" s="80"/>
      <c r="CN833" s="80"/>
      <c r="CO833" s="80"/>
      <c r="CP833" s="25" t="n">
        <f aca="false">BX833+BW833+BV833+BU833+BT833+BQ833+BN833</f>
        <v>0</v>
      </c>
      <c r="CQ833" s="25" t="n">
        <f aca="false">CO833+CL833+CI833+CH833+CG833+CD833+CA833</f>
        <v>0</v>
      </c>
      <c r="CR833" s="26" t="n">
        <f aca="false">CP833/7</f>
        <v>0</v>
      </c>
      <c r="CS833" s="26" t="n">
        <f aca="false">CQ833/7</f>
        <v>0</v>
      </c>
      <c r="CT833" s="24" t="n">
        <f aca="false">RANK(CR833,$CR$2:$CR$881,0)</f>
        <v>768</v>
      </c>
      <c r="CU833" s="25" t="n">
        <f aca="false">RANK(CS833,$CS$2:$CS$881,0)</f>
        <v>752</v>
      </c>
      <c r="CV833" s="80"/>
      <c r="CW833" s="25" t="n">
        <f aca="false">RANK(CV833,$CV$2:$CV$881,0)</f>
        <v>753</v>
      </c>
      <c r="CX833" s="80"/>
      <c r="CY833" s="80"/>
      <c r="CZ833" s="27" t="s">
        <v>132</v>
      </c>
      <c r="DA833" s="27" t="s">
        <v>272</v>
      </c>
      <c r="DB833" s="27" t="s">
        <v>272</v>
      </c>
      <c r="DC833" s="27" t="s">
        <v>134</v>
      </c>
      <c r="DD833" s="27" t="s">
        <v>182</v>
      </c>
      <c r="DE833" s="27" t="s">
        <v>218</v>
      </c>
      <c r="DF833" s="27" t="s">
        <v>196</v>
      </c>
      <c r="DG833" s="27" t="s">
        <v>134</v>
      </c>
      <c r="DH833" s="27" t="s">
        <v>164</v>
      </c>
      <c r="DI833" s="27" t="s">
        <v>415</v>
      </c>
      <c r="DJ833" s="27" t="s">
        <v>372</v>
      </c>
      <c r="DK833" s="27" t="s">
        <v>134</v>
      </c>
      <c r="DL833" s="27" t="s">
        <v>174</v>
      </c>
      <c r="DM833" s="27" t="s">
        <v>306</v>
      </c>
      <c r="DN833" s="27" t="s">
        <v>382</v>
      </c>
      <c r="DO833" s="27" t="s">
        <v>134</v>
      </c>
      <c r="DP833" s="27" t="s">
        <v>604</v>
      </c>
      <c r="DQ833" s="27" t="s">
        <v>442</v>
      </c>
      <c r="DR833" s="27" t="s">
        <v>163</v>
      </c>
      <c r="DS833" s="27" t="s">
        <v>134</v>
      </c>
      <c r="DT833" s="27" t="s">
        <v>191</v>
      </c>
      <c r="DU833" s="27" t="s">
        <v>183</v>
      </c>
      <c r="DV833" s="27" t="s">
        <v>305</v>
      </c>
      <c r="DW833" s="27" t="s">
        <v>160</v>
      </c>
      <c r="DX833" s="27" t="s">
        <v>141</v>
      </c>
      <c r="DY833" s="27" t="s">
        <v>139</v>
      </c>
      <c r="DZ833" s="27" t="n">
        <f aca="false">DY833+DV833+DR833+DN833+DJ833+DF833+DB833</f>
        <v>549</v>
      </c>
      <c r="EA833" s="28" t="n">
        <f aca="false">DZ833/7</f>
        <v>78.4285714285714</v>
      </c>
      <c r="EB833" s="27" t="n">
        <f aca="false">RANK(EA833,$EA$2:$EA$881,0)</f>
        <v>444</v>
      </c>
      <c r="EC833" s="29" t="n">
        <f aca="false">DZ833+CQ833+CP833+AZ833</f>
        <v>549</v>
      </c>
      <c r="ED833" s="30" t="n">
        <f aca="false">(EA833+CV833+BB833)/3</f>
        <v>26.1428571428571</v>
      </c>
      <c r="EE833" s="51" t="n">
        <f aca="false">ROUND(BE833,3)</f>
        <v>0</v>
      </c>
      <c r="EF833" s="51" t="n">
        <f aca="false">ROUND(CR833,3)</f>
        <v>0</v>
      </c>
      <c r="EG833" s="51" t="n">
        <f aca="false">ROUND(CS833,3)</f>
        <v>0</v>
      </c>
      <c r="EH833" s="51" t="n">
        <f aca="false">ROUND(EA833,3)</f>
        <v>78.429</v>
      </c>
      <c r="EI833" s="51" t="n">
        <f aca="false">ROUND(ED833,3)</f>
        <v>26.143</v>
      </c>
      <c r="EJ833" s="51" t="n">
        <f aca="false">ROUND(CV833,3)</f>
        <v>0</v>
      </c>
      <c r="EK833" s="0" t="n">
        <f aca="false">RANK(EI833,$EI$2:$EI$881,0)</f>
        <v>832</v>
      </c>
    </row>
    <row r="834" customFormat="false" ht="15" hidden="false" customHeight="false" outlineLevel="0" collapsed="false">
      <c r="A834" s="4" t="n">
        <v>8223</v>
      </c>
      <c r="B834" s="4" t="n">
        <v>507</v>
      </c>
      <c r="C834" s="27" t="s">
        <v>2320</v>
      </c>
      <c r="D834" s="145"/>
      <c r="E834" s="57"/>
      <c r="F834" s="146" t="s">
        <v>2321</v>
      </c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  <c r="AZ834" s="80"/>
      <c r="BA834" s="80"/>
      <c r="BB834" s="80"/>
      <c r="BC834" s="57" t="n">
        <f aca="false">(BG834*2400)/100</f>
        <v>0</v>
      </c>
      <c r="BD834" s="16" t="e">
        <f aca="false">RANK(AX834,$AX$2:$AX$881,0)</f>
        <v>#N/A</v>
      </c>
      <c r="BE834" s="92" t="n">
        <f aca="false">((BC834*100)/2400)*0.4+(AX834*0.6)</f>
        <v>0</v>
      </c>
      <c r="BF834" s="16" t="n">
        <f aca="false">RANK(BE834,$BE$2:$BE$881,0)</f>
        <v>806</v>
      </c>
      <c r="BG834" s="80"/>
      <c r="BH834" s="39" t="n">
        <f aca="false">RANK(BC834,$BC$2:$BC$881,0)</f>
        <v>780</v>
      </c>
      <c r="BI834" s="80"/>
      <c r="BJ834" s="80"/>
      <c r="BK834" s="80"/>
      <c r="BL834" s="80"/>
      <c r="BM834" s="80"/>
      <c r="BN834" s="80"/>
      <c r="BO834" s="80"/>
      <c r="BP834" s="80"/>
      <c r="BQ834" s="80"/>
      <c r="BR834" s="80"/>
      <c r="BS834" s="80"/>
      <c r="BT834" s="80"/>
      <c r="BU834" s="80"/>
      <c r="BV834" s="80"/>
      <c r="BW834" s="80"/>
      <c r="BX834" s="80"/>
      <c r="BY834" s="80"/>
      <c r="BZ834" s="80"/>
      <c r="CA834" s="80"/>
      <c r="CB834" s="80"/>
      <c r="CC834" s="80"/>
      <c r="CD834" s="80"/>
      <c r="CE834" s="80"/>
      <c r="CF834" s="80"/>
      <c r="CG834" s="80"/>
      <c r="CH834" s="80"/>
      <c r="CI834" s="80"/>
      <c r="CJ834" s="80"/>
      <c r="CK834" s="80"/>
      <c r="CL834" s="80"/>
      <c r="CM834" s="80"/>
      <c r="CN834" s="80"/>
      <c r="CO834" s="80"/>
      <c r="CP834" s="25" t="n">
        <f aca="false">BX834+BW834+BV834+BU834+BT834+BQ834+BN834</f>
        <v>0</v>
      </c>
      <c r="CQ834" s="25" t="n">
        <f aca="false">CO834+CL834+CI834+CH834+CG834+CD834+CA834</f>
        <v>0</v>
      </c>
      <c r="CR834" s="26" t="n">
        <f aca="false">CP834/7</f>
        <v>0</v>
      </c>
      <c r="CS834" s="26" t="n">
        <f aca="false">CQ834/7</f>
        <v>0</v>
      </c>
      <c r="CT834" s="24" t="n">
        <f aca="false">RANK(CR834,$CR$2:$CR$881,0)</f>
        <v>768</v>
      </c>
      <c r="CU834" s="25" t="n">
        <f aca="false">RANK(CS834,$CS$2:$CS$881,0)</f>
        <v>752</v>
      </c>
      <c r="CV834" s="80"/>
      <c r="CW834" s="25" t="n">
        <f aca="false">RANK(CV834,$CV$2:$CV$881,0)</f>
        <v>753</v>
      </c>
      <c r="CX834" s="80"/>
      <c r="CY834" s="80"/>
      <c r="CZ834" s="27" t="s">
        <v>132</v>
      </c>
      <c r="DA834" s="27" t="s">
        <v>133</v>
      </c>
      <c r="DB834" s="27" t="s">
        <v>133</v>
      </c>
      <c r="DC834" s="27" t="s">
        <v>134</v>
      </c>
      <c r="DD834" s="27" t="s">
        <v>264</v>
      </c>
      <c r="DE834" s="27" t="s">
        <v>306</v>
      </c>
      <c r="DF834" s="27" t="s">
        <v>372</v>
      </c>
      <c r="DG834" s="27" t="s">
        <v>134</v>
      </c>
      <c r="DH834" s="27" t="s">
        <v>182</v>
      </c>
      <c r="DI834" s="27" t="s">
        <v>304</v>
      </c>
      <c r="DJ834" s="27" t="s">
        <v>305</v>
      </c>
      <c r="DK834" s="27" t="s">
        <v>134</v>
      </c>
      <c r="DL834" s="27" t="s">
        <v>137</v>
      </c>
      <c r="DM834" s="27" t="s">
        <v>375</v>
      </c>
      <c r="DN834" s="27" t="s">
        <v>443</v>
      </c>
      <c r="DO834" s="27" t="s">
        <v>134</v>
      </c>
      <c r="DP834" s="27" t="s">
        <v>1000</v>
      </c>
      <c r="DQ834" s="27" t="s">
        <v>415</v>
      </c>
      <c r="DR834" s="27" t="s">
        <v>161</v>
      </c>
      <c r="DS834" s="27" t="s">
        <v>134</v>
      </c>
      <c r="DT834" s="27" t="s">
        <v>182</v>
      </c>
      <c r="DU834" s="27" t="s">
        <v>412</v>
      </c>
      <c r="DV834" s="27" t="s">
        <v>441</v>
      </c>
      <c r="DW834" s="27" t="s">
        <v>160</v>
      </c>
      <c r="DX834" s="27" t="s">
        <v>187</v>
      </c>
      <c r="DY834" s="27" t="s">
        <v>156</v>
      </c>
      <c r="DZ834" s="27" t="n">
        <f aca="false">DY834+DV834+DR834+DN834+DJ834+DF834+DB834</f>
        <v>546</v>
      </c>
      <c r="EA834" s="28" t="n">
        <f aca="false">DZ834/7</f>
        <v>78</v>
      </c>
      <c r="EB834" s="27" t="n">
        <f aca="false">RANK(EA834,$EA$2:$EA$881,0)</f>
        <v>456</v>
      </c>
      <c r="EC834" s="29" t="n">
        <f aca="false">DZ834+CQ834+CP834+AZ834</f>
        <v>546</v>
      </c>
      <c r="ED834" s="30" t="n">
        <f aca="false">(EA834+CV834+BB834)/3</f>
        <v>26</v>
      </c>
      <c r="EE834" s="51" t="n">
        <f aca="false">ROUND(BE834,3)</f>
        <v>0</v>
      </c>
      <c r="EF834" s="51" t="n">
        <f aca="false">ROUND(CR834,3)</f>
        <v>0</v>
      </c>
      <c r="EG834" s="51" t="n">
        <f aca="false">ROUND(CS834,3)</f>
        <v>0</v>
      </c>
      <c r="EH834" s="51" t="n">
        <f aca="false">ROUND(EA834,3)</f>
        <v>78</v>
      </c>
      <c r="EI834" s="51" t="n">
        <f aca="false">ROUND(ED834,3)</f>
        <v>26</v>
      </c>
      <c r="EJ834" s="51" t="n">
        <f aca="false">ROUND(CV834,3)</f>
        <v>0</v>
      </c>
      <c r="EK834" s="0" t="n">
        <f aca="false">RANK(EI834,$EI$2:$EI$881,0)</f>
        <v>833</v>
      </c>
    </row>
    <row r="835" customFormat="false" ht="15" hidden="false" customHeight="false" outlineLevel="0" collapsed="false">
      <c r="A835" s="4" t="n">
        <v>5307</v>
      </c>
      <c r="B835" s="4" t="n">
        <v>495</v>
      </c>
      <c r="C835" s="27" t="s">
        <v>2322</v>
      </c>
      <c r="D835" s="145"/>
      <c r="E835" s="57"/>
      <c r="F835" s="146" t="s">
        <v>2323</v>
      </c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  <c r="AZ835" s="80"/>
      <c r="BA835" s="80"/>
      <c r="BB835" s="80"/>
      <c r="BC835" s="57" t="n">
        <f aca="false">(BG835*2400)/100</f>
        <v>0</v>
      </c>
      <c r="BD835" s="16" t="e">
        <f aca="false">RANK(AX835,$AX$2:$AX$881,0)</f>
        <v>#N/A</v>
      </c>
      <c r="BE835" s="92" t="n">
        <f aca="false">((BC835*100)/2400)*0.4+(AX835*0.6)</f>
        <v>0</v>
      </c>
      <c r="BF835" s="16" t="n">
        <f aca="false">RANK(BE835,$BE$2:$BE$881,0)</f>
        <v>806</v>
      </c>
      <c r="BG835" s="80"/>
      <c r="BH835" s="39" t="n">
        <f aca="false">RANK(BC835,$BC$2:$BC$881,0)</f>
        <v>780</v>
      </c>
      <c r="BI835" s="80"/>
      <c r="BJ835" s="80"/>
      <c r="BK835" s="80"/>
      <c r="BL835" s="80"/>
      <c r="BM835" s="80"/>
      <c r="BN835" s="80"/>
      <c r="BO835" s="80"/>
      <c r="BP835" s="80"/>
      <c r="BQ835" s="80"/>
      <c r="BR835" s="80"/>
      <c r="BS835" s="80"/>
      <c r="BT835" s="80"/>
      <c r="BU835" s="80"/>
      <c r="BV835" s="80"/>
      <c r="BW835" s="80"/>
      <c r="BX835" s="80"/>
      <c r="BY835" s="80"/>
      <c r="BZ835" s="80"/>
      <c r="CA835" s="80"/>
      <c r="CB835" s="80"/>
      <c r="CC835" s="80"/>
      <c r="CD835" s="80"/>
      <c r="CE835" s="80"/>
      <c r="CF835" s="80"/>
      <c r="CG835" s="80"/>
      <c r="CH835" s="80"/>
      <c r="CI835" s="80"/>
      <c r="CJ835" s="80"/>
      <c r="CK835" s="80"/>
      <c r="CL835" s="80"/>
      <c r="CM835" s="80"/>
      <c r="CN835" s="80"/>
      <c r="CO835" s="80"/>
      <c r="CP835" s="25" t="n">
        <f aca="false">BX835+BW835+BV835+BU835+BT835+BQ835+BN835</f>
        <v>0</v>
      </c>
      <c r="CQ835" s="25" t="n">
        <f aca="false">CO835+CL835+CI835+CH835+CG835+CD835+CA835</f>
        <v>0</v>
      </c>
      <c r="CR835" s="26" t="n">
        <f aca="false">CP835/7</f>
        <v>0</v>
      </c>
      <c r="CS835" s="26" t="n">
        <f aca="false">CQ835/7</f>
        <v>0</v>
      </c>
      <c r="CT835" s="24" t="n">
        <f aca="false">RANK(CR835,$CR$2:$CR$881,0)</f>
        <v>768</v>
      </c>
      <c r="CU835" s="25" t="n">
        <f aca="false">RANK(CS835,$CS$2:$CS$881,0)</f>
        <v>752</v>
      </c>
      <c r="CV835" s="80"/>
      <c r="CW835" s="25" t="n">
        <f aca="false">RANK(CV835,$CV$2:$CV$881,0)</f>
        <v>753</v>
      </c>
      <c r="CX835" s="80"/>
      <c r="CY835" s="80"/>
      <c r="CZ835" s="27" t="s">
        <v>132</v>
      </c>
      <c r="DA835" s="27" t="s">
        <v>169</v>
      </c>
      <c r="DB835" s="27" t="s">
        <v>169</v>
      </c>
      <c r="DC835" s="27" t="s">
        <v>134</v>
      </c>
      <c r="DD835" s="27" t="s">
        <v>264</v>
      </c>
      <c r="DE835" s="27" t="s">
        <v>161</v>
      </c>
      <c r="DF835" s="27" t="s">
        <v>219</v>
      </c>
      <c r="DG835" s="27" t="s">
        <v>134</v>
      </c>
      <c r="DH835" s="27" t="s">
        <v>164</v>
      </c>
      <c r="DI835" s="27" t="s">
        <v>399</v>
      </c>
      <c r="DJ835" s="27" t="s">
        <v>441</v>
      </c>
      <c r="DK835" s="27" t="s">
        <v>134</v>
      </c>
      <c r="DL835" s="27" t="s">
        <v>135</v>
      </c>
      <c r="DM835" s="27" t="s">
        <v>645</v>
      </c>
      <c r="DN835" s="27" t="s">
        <v>138</v>
      </c>
      <c r="DO835" s="27" t="s">
        <v>134</v>
      </c>
      <c r="DP835" s="27" t="s">
        <v>604</v>
      </c>
      <c r="DQ835" s="27" t="s">
        <v>442</v>
      </c>
      <c r="DR835" s="27" t="s">
        <v>163</v>
      </c>
      <c r="DS835" s="27" t="s">
        <v>134</v>
      </c>
      <c r="DT835" s="27" t="s">
        <v>164</v>
      </c>
      <c r="DU835" s="27" t="s">
        <v>415</v>
      </c>
      <c r="DV835" s="27" t="s">
        <v>372</v>
      </c>
      <c r="DW835" s="27" t="s">
        <v>164</v>
      </c>
      <c r="DX835" s="27" t="s">
        <v>155</v>
      </c>
      <c r="DY835" s="27" t="s">
        <v>144</v>
      </c>
      <c r="DZ835" s="27" t="n">
        <f aca="false">DY835+DV835+DR835+DN835+DJ835+DF835+DB835</f>
        <v>543</v>
      </c>
      <c r="EA835" s="28" t="n">
        <f aca="false">DZ835/7</f>
        <v>77.5714285714286</v>
      </c>
      <c r="EB835" s="27" t="n">
        <f aca="false">RANK(EA835,$EA$2:$EA$881,0)</f>
        <v>475</v>
      </c>
      <c r="EC835" s="29" t="n">
        <f aca="false">DZ835+CQ835+CP835+AZ835</f>
        <v>543</v>
      </c>
      <c r="ED835" s="30" t="n">
        <f aca="false">(EA835+CV835+BB835)/3</f>
        <v>25.8571428571429</v>
      </c>
      <c r="EE835" s="51" t="n">
        <f aca="false">ROUND(BE835,3)</f>
        <v>0</v>
      </c>
      <c r="EF835" s="51" t="n">
        <f aca="false">ROUND(CR835,3)</f>
        <v>0</v>
      </c>
      <c r="EG835" s="51" t="n">
        <f aca="false">ROUND(CS835,3)</f>
        <v>0</v>
      </c>
      <c r="EH835" s="51" t="n">
        <f aca="false">ROUND(EA835,3)</f>
        <v>77.571</v>
      </c>
      <c r="EI835" s="51" t="n">
        <f aca="false">ROUND(ED835,3)</f>
        <v>25.857</v>
      </c>
      <c r="EJ835" s="51" t="n">
        <f aca="false">ROUND(CV835,3)</f>
        <v>0</v>
      </c>
      <c r="EK835" s="0" t="n">
        <f aca="false">RANK(EI835,$EI$2:$EI$881,0)</f>
        <v>834</v>
      </c>
    </row>
    <row r="836" customFormat="false" ht="15" hidden="false" customHeight="false" outlineLevel="0" collapsed="false">
      <c r="A836" s="4" t="n">
        <v>1912</v>
      </c>
      <c r="B836" s="4" t="n">
        <v>252</v>
      </c>
      <c r="C836" s="27" t="s">
        <v>2324</v>
      </c>
      <c r="D836" s="31" t="n">
        <v>254</v>
      </c>
      <c r="E836" s="16" t="n">
        <v>230505510</v>
      </c>
      <c r="F836" s="56" t="s">
        <v>2325</v>
      </c>
      <c r="G836" s="22" t="s">
        <v>1455</v>
      </c>
      <c r="H836" s="22" t="s">
        <v>465</v>
      </c>
      <c r="I836" s="80"/>
      <c r="J836" s="16" t="n">
        <v>84</v>
      </c>
      <c r="K836" s="16" t="n">
        <v>87</v>
      </c>
      <c r="L836" s="34" t="n">
        <f aca="false">(K836*70)/100</f>
        <v>60.9</v>
      </c>
      <c r="M836" s="34" t="n">
        <f aca="false">ROUNDUP(L836,0)</f>
        <v>61</v>
      </c>
      <c r="N836" s="16" t="n">
        <v>20</v>
      </c>
      <c r="O836" s="34" t="n">
        <f aca="false">N836+L836</f>
        <v>80.9</v>
      </c>
      <c r="P836" s="34" t="n">
        <f aca="false">N836+M836</f>
        <v>81</v>
      </c>
      <c r="Q836" s="16" t="n">
        <v>82</v>
      </c>
      <c r="R836" s="16" t="n">
        <v>65</v>
      </c>
      <c r="S836" s="34" t="n">
        <f aca="false">(R836*70)/100</f>
        <v>45.5</v>
      </c>
      <c r="T836" s="34" t="n">
        <f aca="false">ROUNDUP(S836,0)</f>
        <v>46</v>
      </c>
      <c r="U836" s="16" t="n">
        <v>22</v>
      </c>
      <c r="V836" s="34" t="n">
        <f aca="false">U836+S836</f>
        <v>67.5</v>
      </c>
      <c r="W836" s="34" t="n">
        <f aca="false">U836+T836</f>
        <v>68</v>
      </c>
      <c r="X836" s="16" t="n">
        <v>68</v>
      </c>
      <c r="Y836" s="34" t="n">
        <f aca="false">(X836*70)/100</f>
        <v>47.6</v>
      </c>
      <c r="Z836" s="34" t="n">
        <f aca="false">ROUNDUP(Y836,0)</f>
        <v>48</v>
      </c>
      <c r="AA836" s="16" t="n">
        <v>28</v>
      </c>
      <c r="AB836" s="34" t="n">
        <f aca="false">AA836+Y836</f>
        <v>75.6</v>
      </c>
      <c r="AC836" s="34" t="n">
        <f aca="false">AA836+Z836</f>
        <v>76</v>
      </c>
      <c r="AD836" s="32" t="n">
        <f aca="false">X836+R836+Q836+K836+J836</f>
        <v>386</v>
      </c>
      <c r="AE836" s="16" t="n">
        <f aca="false">AD836/5</f>
        <v>77.2</v>
      </c>
      <c r="AF836" s="16" t="n">
        <v>65</v>
      </c>
      <c r="AG836" s="16" t="n">
        <v>86</v>
      </c>
      <c r="AH836" s="16" t="n">
        <v>86</v>
      </c>
      <c r="AI836" s="16" t="n">
        <v>75</v>
      </c>
      <c r="AJ836" s="16" t="n">
        <f aca="false">(AI836*70)/100</f>
        <v>52.5</v>
      </c>
      <c r="AK836" s="35" t="n">
        <f aca="false">ROUNDUP(AJ836,0)</f>
        <v>53</v>
      </c>
      <c r="AL836" s="16" t="n">
        <v>24</v>
      </c>
      <c r="AM836" s="16" t="n">
        <f aca="false">AL836+AJ836</f>
        <v>76.5</v>
      </c>
      <c r="AN836" s="16" t="n">
        <f aca="false">AL836+AK836</f>
        <v>77</v>
      </c>
      <c r="AO836" s="16" t="n">
        <v>66</v>
      </c>
      <c r="AP836" s="36" t="n">
        <f aca="false">(AO836*70)/100</f>
        <v>46.2</v>
      </c>
      <c r="AQ836" s="37" t="n">
        <f aca="false">ROUNDUP(AP836,0)</f>
        <v>47</v>
      </c>
      <c r="AR836" s="16" t="n">
        <v>21</v>
      </c>
      <c r="AS836" s="16" t="n">
        <f aca="false">AR836+AP836</f>
        <v>67.2</v>
      </c>
      <c r="AT836" s="16" t="n">
        <f aca="false">AR836+AQ836</f>
        <v>68</v>
      </c>
      <c r="AU836" s="16" t="n">
        <f aca="false">AO836+AF836+AI836+AH836+AG836</f>
        <v>378</v>
      </c>
      <c r="AV836" s="16" t="n">
        <f aca="false">(AO836+AF836+AI836+AH836+AG836)/5</f>
        <v>75.6</v>
      </c>
      <c r="AW836" s="36" t="n">
        <f aca="false">(AO836+AF836+AI836+AH836+AG836+X836+R836+Q836+K836+J836)</f>
        <v>764</v>
      </c>
      <c r="AX836" s="16" t="n">
        <f aca="false">AW836/10</f>
        <v>76.4</v>
      </c>
      <c r="AY836" s="16" t="n">
        <f aca="false">AS836+AF836+AM836+AH836+AG836+AB836+V836+Q836+O836+J836</f>
        <v>770.7</v>
      </c>
      <c r="AZ836" s="16" t="n">
        <f aca="false">AT836+AF836+AN836+AH836+AG836+AC836+W836+Q836+P836+J836</f>
        <v>773</v>
      </c>
      <c r="BA836" s="16" t="n">
        <f aca="false">AY836/10</f>
        <v>77.07</v>
      </c>
      <c r="BB836" s="16" t="n">
        <f aca="false">AZ836/10</f>
        <v>77.3</v>
      </c>
      <c r="BC836" s="16" t="n">
        <v>2355</v>
      </c>
      <c r="BD836" s="16" t="n">
        <f aca="false">RANK(AX836,$AX$2:$AX$881,0)</f>
        <v>577</v>
      </c>
      <c r="BE836" s="54" t="n">
        <f aca="false">((BC836*100)/2400)*0.4+(AX836*0.6)</f>
        <v>85.09</v>
      </c>
      <c r="BF836" s="16" t="n">
        <f aca="false">RANK(BE836,$BE$2:$BE$881,0)</f>
        <v>591</v>
      </c>
      <c r="BG836" s="39" t="n">
        <v>674</v>
      </c>
      <c r="BH836" s="39" t="n">
        <f aca="false">RANK(BC836,$BC$2:$BC$881,0)</f>
        <v>476</v>
      </c>
      <c r="BI836" s="22" t="s">
        <v>130</v>
      </c>
      <c r="BJ836" s="22" t="s">
        <v>129</v>
      </c>
      <c r="BK836" s="22" t="s">
        <v>509</v>
      </c>
      <c r="BL836" s="98" t="n">
        <v>3</v>
      </c>
      <c r="BM836" s="61"/>
      <c r="BN836" s="61"/>
      <c r="BO836" s="42" t="n">
        <v>23</v>
      </c>
      <c r="BP836" s="61"/>
      <c r="BQ836" s="61"/>
      <c r="BR836" s="74" t="n">
        <v>8</v>
      </c>
      <c r="BS836" s="80"/>
      <c r="BT836" s="80"/>
      <c r="BU836" s="80"/>
      <c r="BV836" s="137"/>
      <c r="BW836" s="61"/>
      <c r="BX836" s="107"/>
      <c r="BY836" s="130"/>
      <c r="BZ836" s="60"/>
      <c r="CA836" s="60"/>
      <c r="CB836" s="61"/>
      <c r="CC836" s="60"/>
      <c r="CD836" s="60"/>
      <c r="CE836" s="60"/>
      <c r="CF836" s="60"/>
      <c r="CG836" s="60"/>
      <c r="CH836" s="60"/>
      <c r="CI836" s="60"/>
      <c r="CJ836" s="60"/>
      <c r="CK836" s="60"/>
      <c r="CL836" s="61"/>
      <c r="CM836" s="60"/>
      <c r="CN836" s="60"/>
      <c r="CO836" s="60"/>
      <c r="CP836" s="25" t="n">
        <f aca="false">BX836+BW836+BV836+BU836+BT836+BQ836+BN836</f>
        <v>0</v>
      </c>
      <c r="CQ836" s="25" t="n">
        <f aca="false">CO836+CL836+CI836+CH836+CG836+CD836+CA836</f>
        <v>0</v>
      </c>
      <c r="CR836" s="26" t="n">
        <f aca="false">CP836/7</f>
        <v>0</v>
      </c>
      <c r="CS836" s="26" t="n">
        <f aca="false">CQ836/7</f>
        <v>0</v>
      </c>
      <c r="CT836" s="24" t="n">
        <f aca="false">RANK(CR836,$CR$2:$CR$881,0)</f>
        <v>768</v>
      </c>
      <c r="CU836" s="25" t="n">
        <f aca="false">RANK(CS836,$CS$2:$CS$881,0)</f>
        <v>752</v>
      </c>
      <c r="CV836" s="26" t="n">
        <f aca="false">(CS836+CR836)/2</f>
        <v>0</v>
      </c>
      <c r="CW836" s="25" t="n">
        <f aca="false">RANK(CV836,$CV$2:$CV$881,0)</f>
        <v>753</v>
      </c>
      <c r="CX836" s="50" t="n">
        <f aca="false">(CV836+BB836)/2</f>
        <v>38.65</v>
      </c>
      <c r="CY836" s="50" t="n">
        <v>833</v>
      </c>
      <c r="CZ836" s="27"/>
      <c r="DA836" s="27"/>
      <c r="DB836" s="27"/>
      <c r="DC836" s="27"/>
      <c r="DD836" s="27" t="s">
        <v>619</v>
      </c>
      <c r="DE836" s="27" t="s">
        <v>2202</v>
      </c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 t="n">
        <f aca="false">DY836+DV836+DR836+DN836+DJ836+DF836+DB836</f>
        <v>0</v>
      </c>
      <c r="EA836" s="28" t="n">
        <f aca="false">DZ836/7</f>
        <v>0</v>
      </c>
      <c r="EB836" s="27" t="n">
        <f aca="false">RANK(EA836,$EA$2:$EA$881,0)</f>
        <v>870</v>
      </c>
      <c r="EC836" s="29" t="n">
        <f aca="false">DZ836+CQ836+CP836+AZ836</f>
        <v>773</v>
      </c>
      <c r="ED836" s="30" t="n">
        <f aca="false">(EA836+CV836+BB836)/3</f>
        <v>25.7666666666667</v>
      </c>
      <c r="EE836" s="51" t="n">
        <f aca="false">ROUND(BE836,3)</f>
        <v>85.09</v>
      </c>
      <c r="EF836" s="51" t="n">
        <f aca="false">ROUND(CR836,3)</f>
        <v>0</v>
      </c>
      <c r="EG836" s="51" t="n">
        <f aca="false">ROUND(CS836,3)</f>
        <v>0</v>
      </c>
      <c r="EH836" s="51" t="n">
        <f aca="false">ROUND(EA836,3)</f>
        <v>0</v>
      </c>
      <c r="EI836" s="51" t="n">
        <f aca="false">ROUND(ED836,3)</f>
        <v>25.767</v>
      </c>
      <c r="EJ836" s="51" t="n">
        <f aca="false">ROUND(CV836,3)</f>
        <v>0</v>
      </c>
      <c r="EK836" s="0" t="n">
        <f aca="false">RANK(EI836,$EI$2:$EI$881,0)</f>
        <v>835</v>
      </c>
    </row>
    <row r="837" customFormat="false" ht="15" hidden="false" customHeight="false" outlineLevel="0" collapsed="false">
      <c r="A837" s="4" t="n">
        <v>8001</v>
      </c>
      <c r="B837" s="4" t="n">
        <v>67</v>
      </c>
      <c r="C837" s="27" t="s">
        <v>2326</v>
      </c>
      <c r="D837" s="145"/>
      <c r="E837" s="57"/>
      <c r="F837" s="146" t="s">
        <v>2327</v>
      </c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  <c r="BA837" s="80"/>
      <c r="BB837" s="80"/>
      <c r="BC837" s="57" t="n">
        <f aca="false">(BG837*2400)/100</f>
        <v>0</v>
      </c>
      <c r="BD837" s="16" t="e">
        <f aca="false">RANK(AX837,$AX$2:$AX$881,0)</f>
        <v>#N/A</v>
      </c>
      <c r="BE837" s="92" t="n">
        <f aca="false">((BC837*100)/2400)*0.4+(AX837*0.6)</f>
        <v>0</v>
      </c>
      <c r="BF837" s="16" t="n">
        <f aca="false">RANK(BE837,$BE$2:$BE$881,0)</f>
        <v>806</v>
      </c>
      <c r="BG837" s="80"/>
      <c r="BH837" s="39" t="n">
        <f aca="false">RANK(BC837,$BC$2:$BC$881,0)</f>
        <v>780</v>
      </c>
      <c r="BI837" s="80"/>
      <c r="BJ837" s="80"/>
      <c r="BK837" s="80"/>
      <c r="BL837" s="80"/>
      <c r="BM837" s="80"/>
      <c r="BN837" s="80"/>
      <c r="BO837" s="80"/>
      <c r="BP837" s="80"/>
      <c r="BQ837" s="80"/>
      <c r="BR837" s="80"/>
      <c r="BS837" s="80"/>
      <c r="BT837" s="80"/>
      <c r="BU837" s="80"/>
      <c r="BV837" s="80"/>
      <c r="BW837" s="80"/>
      <c r="BX837" s="80"/>
      <c r="BY837" s="80"/>
      <c r="BZ837" s="80"/>
      <c r="CA837" s="80"/>
      <c r="CB837" s="80"/>
      <c r="CC837" s="80"/>
      <c r="CD837" s="80"/>
      <c r="CE837" s="80"/>
      <c r="CF837" s="80"/>
      <c r="CG837" s="80"/>
      <c r="CH837" s="80"/>
      <c r="CI837" s="80"/>
      <c r="CJ837" s="80"/>
      <c r="CK837" s="80"/>
      <c r="CL837" s="80"/>
      <c r="CM837" s="80"/>
      <c r="CN837" s="80"/>
      <c r="CO837" s="80"/>
      <c r="CP837" s="25" t="n">
        <f aca="false">BX837+BW837+BV837+BU837+BT837+BQ837+BN837</f>
        <v>0</v>
      </c>
      <c r="CQ837" s="25" t="n">
        <f aca="false">CO837+CL837+CI837+CH837+CG837+CD837+CA837</f>
        <v>0</v>
      </c>
      <c r="CR837" s="26" t="n">
        <f aca="false">CP837/7</f>
        <v>0</v>
      </c>
      <c r="CS837" s="26" t="n">
        <f aca="false">CQ837/7</f>
        <v>0</v>
      </c>
      <c r="CT837" s="24" t="n">
        <f aca="false">RANK(CR837,$CR$2:$CR$881,0)</f>
        <v>768</v>
      </c>
      <c r="CU837" s="25" t="n">
        <f aca="false">RANK(CS837,$CS$2:$CS$881,0)</f>
        <v>752</v>
      </c>
      <c r="CV837" s="80"/>
      <c r="CW837" s="25" t="n">
        <f aca="false">RANK(CV837,$CV$2:$CV$881,0)</f>
        <v>753</v>
      </c>
      <c r="CX837" s="80"/>
      <c r="CY837" s="80"/>
      <c r="CZ837" s="27" t="s">
        <v>132</v>
      </c>
      <c r="DA837" s="27" t="s">
        <v>153</v>
      </c>
      <c r="DB837" s="27" t="s">
        <v>153</v>
      </c>
      <c r="DC837" s="27" t="s">
        <v>134</v>
      </c>
      <c r="DD837" s="27" t="s">
        <v>386</v>
      </c>
      <c r="DE837" s="27" t="s">
        <v>673</v>
      </c>
      <c r="DF837" s="27" t="s">
        <v>204</v>
      </c>
      <c r="DG837" s="27" t="s">
        <v>480</v>
      </c>
      <c r="DH837" s="27" t="s">
        <v>135</v>
      </c>
      <c r="DI837" s="27" t="s">
        <v>447</v>
      </c>
      <c r="DJ837" s="27" t="s">
        <v>305</v>
      </c>
      <c r="DK837" s="27" t="s">
        <v>134</v>
      </c>
      <c r="DL837" s="27" t="s">
        <v>164</v>
      </c>
      <c r="DM837" s="27" t="s">
        <v>220</v>
      </c>
      <c r="DN837" s="27" t="s">
        <v>169</v>
      </c>
      <c r="DO837" s="27" t="s">
        <v>134</v>
      </c>
      <c r="DP837" s="27" t="s">
        <v>174</v>
      </c>
      <c r="DQ837" s="27" t="s">
        <v>1407</v>
      </c>
      <c r="DR837" s="27" t="s">
        <v>203</v>
      </c>
      <c r="DS837" s="27" t="s">
        <v>134</v>
      </c>
      <c r="DT837" s="27" t="s">
        <v>174</v>
      </c>
      <c r="DU837" s="27" t="s">
        <v>681</v>
      </c>
      <c r="DV837" s="27" t="s">
        <v>143</v>
      </c>
      <c r="DW837" s="27" t="s">
        <v>164</v>
      </c>
      <c r="DX837" s="27" t="s">
        <v>143</v>
      </c>
      <c r="DY837" s="27" t="s">
        <v>139</v>
      </c>
      <c r="DZ837" s="27" t="n">
        <f aca="false">DY837+DV837+DR837+DN837+DJ837+DF837+DB837</f>
        <v>535</v>
      </c>
      <c r="EA837" s="28" t="n">
        <f aca="false">DZ837/7</f>
        <v>76.4285714285714</v>
      </c>
      <c r="EB837" s="27" t="n">
        <f aca="false">RANK(EA837,$EA$2:$EA$881,0)</f>
        <v>506</v>
      </c>
      <c r="EC837" s="29" t="n">
        <f aca="false">DZ837+CQ837+CP837+AZ837</f>
        <v>535</v>
      </c>
      <c r="ED837" s="30" t="n">
        <f aca="false">(EA837+CV837+BB837)/3</f>
        <v>25.4761904761905</v>
      </c>
      <c r="EE837" s="51" t="n">
        <f aca="false">ROUND(BE837,3)</f>
        <v>0</v>
      </c>
      <c r="EF837" s="51" t="n">
        <f aca="false">ROUND(CR837,3)</f>
        <v>0</v>
      </c>
      <c r="EG837" s="51" t="n">
        <f aca="false">ROUND(CS837,3)</f>
        <v>0</v>
      </c>
      <c r="EH837" s="51" t="n">
        <f aca="false">ROUND(EA837,3)</f>
        <v>76.429</v>
      </c>
      <c r="EI837" s="51" t="n">
        <f aca="false">ROUND(ED837,3)</f>
        <v>25.476</v>
      </c>
      <c r="EJ837" s="51" t="n">
        <f aca="false">ROUND(CV837,3)</f>
        <v>0</v>
      </c>
      <c r="EK837" s="0" t="n">
        <f aca="false">RANK(EI837,$EI$2:$EI$881,0)</f>
        <v>836</v>
      </c>
    </row>
    <row r="838" customFormat="false" ht="15" hidden="false" customHeight="false" outlineLevel="0" collapsed="false">
      <c r="A838" s="4" t="n">
        <v>7987</v>
      </c>
      <c r="B838" s="4" t="n">
        <v>410</v>
      </c>
      <c r="C838" s="27" t="s">
        <v>2328</v>
      </c>
      <c r="D838" s="145"/>
      <c r="E838" s="57"/>
      <c r="F838" s="146" t="s">
        <v>2329</v>
      </c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  <c r="AZ838" s="80"/>
      <c r="BA838" s="80"/>
      <c r="BB838" s="80"/>
      <c r="BC838" s="57" t="n">
        <f aca="false">(BG838*2400)/100</f>
        <v>0</v>
      </c>
      <c r="BD838" s="16" t="e">
        <f aca="false">RANK(AX838,$AX$2:$AX$881,0)</f>
        <v>#N/A</v>
      </c>
      <c r="BE838" s="92" t="n">
        <f aca="false">((BC838*100)/2400)*0.4+(AX838*0.6)</f>
        <v>0</v>
      </c>
      <c r="BF838" s="16" t="n">
        <f aca="false">RANK(BE838,$BE$2:$BE$881,0)</f>
        <v>806</v>
      </c>
      <c r="BG838" s="80"/>
      <c r="BH838" s="39" t="n">
        <f aca="false">RANK(BC838,$BC$2:$BC$881,0)</f>
        <v>780</v>
      </c>
      <c r="BI838" s="80"/>
      <c r="BJ838" s="80"/>
      <c r="BK838" s="80"/>
      <c r="BL838" s="80"/>
      <c r="BM838" s="80"/>
      <c r="BN838" s="80"/>
      <c r="BO838" s="80"/>
      <c r="BP838" s="80"/>
      <c r="BQ838" s="80"/>
      <c r="BR838" s="80"/>
      <c r="BS838" s="80"/>
      <c r="BT838" s="80"/>
      <c r="BU838" s="80"/>
      <c r="BV838" s="80"/>
      <c r="BW838" s="80"/>
      <c r="BX838" s="80"/>
      <c r="BY838" s="80"/>
      <c r="BZ838" s="80"/>
      <c r="CA838" s="80"/>
      <c r="CB838" s="80"/>
      <c r="CC838" s="80"/>
      <c r="CD838" s="80"/>
      <c r="CE838" s="80"/>
      <c r="CF838" s="80"/>
      <c r="CG838" s="80"/>
      <c r="CH838" s="80"/>
      <c r="CI838" s="80"/>
      <c r="CJ838" s="80"/>
      <c r="CK838" s="80"/>
      <c r="CL838" s="80"/>
      <c r="CM838" s="80"/>
      <c r="CN838" s="80"/>
      <c r="CO838" s="80"/>
      <c r="CP838" s="25" t="n">
        <f aca="false">BX838+BW838+BV838+BU838+BT838+BQ838+BN838</f>
        <v>0</v>
      </c>
      <c r="CQ838" s="25" t="n">
        <f aca="false">CO838+CL838+CI838+CH838+CG838+CD838+CA838</f>
        <v>0</v>
      </c>
      <c r="CR838" s="26" t="n">
        <f aca="false">CP838/7</f>
        <v>0</v>
      </c>
      <c r="CS838" s="26" t="n">
        <f aca="false">CQ838/7</f>
        <v>0</v>
      </c>
      <c r="CT838" s="24" t="n">
        <f aca="false">RANK(CR838,$CR$2:$CR$881,0)</f>
        <v>768</v>
      </c>
      <c r="CU838" s="25" t="n">
        <f aca="false">RANK(CS838,$CS$2:$CS$881,0)</f>
        <v>752</v>
      </c>
      <c r="CV838" s="80"/>
      <c r="CW838" s="25" t="n">
        <f aca="false">RANK(CV838,$CV$2:$CV$881,0)</f>
        <v>753</v>
      </c>
      <c r="CX838" s="80"/>
      <c r="CY838" s="80"/>
      <c r="CZ838" s="27" t="s">
        <v>132</v>
      </c>
      <c r="DA838" s="27" t="s">
        <v>219</v>
      </c>
      <c r="DB838" s="27" t="s">
        <v>219</v>
      </c>
      <c r="DC838" s="27" t="s">
        <v>134</v>
      </c>
      <c r="DD838" s="27" t="s">
        <v>135</v>
      </c>
      <c r="DE838" s="27" t="s">
        <v>304</v>
      </c>
      <c r="DF838" s="27" t="s">
        <v>272</v>
      </c>
      <c r="DG838" s="27" t="s">
        <v>134</v>
      </c>
      <c r="DH838" s="27" t="s">
        <v>135</v>
      </c>
      <c r="DI838" s="27" t="s">
        <v>399</v>
      </c>
      <c r="DJ838" s="27" t="s">
        <v>486</v>
      </c>
      <c r="DK838" s="27" t="s">
        <v>134</v>
      </c>
      <c r="DL838" s="27" t="s">
        <v>154</v>
      </c>
      <c r="DM838" s="27" t="s">
        <v>375</v>
      </c>
      <c r="DN838" s="27" t="s">
        <v>486</v>
      </c>
      <c r="DO838" s="27" t="s">
        <v>134</v>
      </c>
      <c r="DP838" s="27" t="s">
        <v>264</v>
      </c>
      <c r="DQ838" s="27" t="s">
        <v>638</v>
      </c>
      <c r="DR838" s="27" t="s">
        <v>152</v>
      </c>
      <c r="DS838" s="27" t="s">
        <v>134</v>
      </c>
      <c r="DT838" s="27" t="s">
        <v>154</v>
      </c>
      <c r="DU838" s="27" t="s">
        <v>399</v>
      </c>
      <c r="DV838" s="27" t="s">
        <v>416</v>
      </c>
      <c r="DW838" s="27" t="s">
        <v>135</v>
      </c>
      <c r="DX838" s="27" t="s">
        <v>155</v>
      </c>
      <c r="DY838" s="27" t="s">
        <v>139</v>
      </c>
      <c r="DZ838" s="27" t="n">
        <f aca="false">DY838+DV838+DR838+DN838+DJ838+DF838+DB838</f>
        <v>535</v>
      </c>
      <c r="EA838" s="28" t="n">
        <f aca="false">DZ838/7</f>
        <v>76.4285714285714</v>
      </c>
      <c r="EB838" s="27" t="n">
        <f aca="false">RANK(EA838,$EA$2:$EA$881,0)</f>
        <v>506</v>
      </c>
      <c r="EC838" s="29" t="n">
        <f aca="false">DZ838+CQ838+CP838+AZ838</f>
        <v>535</v>
      </c>
      <c r="ED838" s="30" t="n">
        <f aca="false">(EA838+CV838+BB838)/3</f>
        <v>25.4761904761905</v>
      </c>
      <c r="EE838" s="51" t="n">
        <f aca="false">ROUND(BE838,3)</f>
        <v>0</v>
      </c>
      <c r="EF838" s="51" t="n">
        <f aca="false">ROUND(CR838,3)</f>
        <v>0</v>
      </c>
      <c r="EG838" s="51" t="n">
        <f aca="false">ROUND(CS838,3)</f>
        <v>0</v>
      </c>
      <c r="EH838" s="51" t="n">
        <f aca="false">ROUND(EA838,3)</f>
        <v>76.429</v>
      </c>
      <c r="EI838" s="51" t="n">
        <f aca="false">ROUND(ED838,3)</f>
        <v>25.476</v>
      </c>
      <c r="EJ838" s="51" t="n">
        <f aca="false">ROUND(CV838,3)</f>
        <v>0</v>
      </c>
      <c r="EK838" s="0" t="n">
        <f aca="false">RANK(EI838,$EI$2:$EI$881,0)</f>
        <v>836</v>
      </c>
    </row>
    <row r="839" customFormat="false" ht="15" hidden="false" customHeight="false" outlineLevel="0" collapsed="false">
      <c r="A839" s="4" t="n">
        <v>8542</v>
      </c>
      <c r="B839" s="4" t="n">
        <v>620</v>
      </c>
      <c r="C839" s="27" t="s">
        <v>2330</v>
      </c>
      <c r="D839" s="145"/>
      <c r="E839" s="57"/>
      <c r="F839" s="146" t="s">
        <v>2331</v>
      </c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  <c r="AV839" s="80"/>
      <c r="AW839" s="80"/>
      <c r="AX839" s="57"/>
      <c r="AY839" s="80"/>
      <c r="AZ839" s="80"/>
      <c r="BA839" s="80"/>
      <c r="BB839" s="80"/>
      <c r="BC839" s="57" t="n">
        <f aca="false">(BG839*2400)/100</f>
        <v>0</v>
      </c>
      <c r="BD839" s="16" t="e">
        <f aca="false">RANK(AX839,$AX$2:$AX$881,0)</f>
        <v>#N/A</v>
      </c>
      <c r="BE839" s="92" t="n">
        <f aca="false">((BC839*100)/2400)*0.4+(AX839*0.6)</f>
        <v>0</v>
      </c>
      <c r="BF839" s="16" t="n">
        <f aca="false">RANK(BE839,$BE$2:$BE$881,0)</f>
        <v>806</v>
      </c>
      <c r="BG839" s="57"/>
      <c r="BH839" s="39" t="n">
        <f aca="false">RANK(BC839,$BC$2:$BC$881,0)</f>
        <v>780</v>
      </c>
      <c r="BI839" s="57"/>
      <c r="BJ839" s="57"/>
      <c r="BK839" s="57"/>
      <c r="BL839" s="57"/>
      <c r="BM839" s="57"/>
      <c r="BN839" s="57"/>
      <c r="BO839" s="57"/>
      <c r="BP839" s="57"/>
      <c r="BQ839" s="57"/>
      <c r="BR839" s="57" t="n">
        <v>25</v>
      </c>
      <c r="BS839" s="57" t="n">
        <v>63</v>
      </c>
      <c r="BT839" s="57" t="n">
        <v>88</v>
      </c>
      <c r="BU839" s="80"/>
      <c r="BV839" s="60"/>
      <c r="BW839" s="106"/>
      <c r="BX839" s="124"/>
      <c r="BY839" s="57"/>
      <c r="BZ839" s="57"/>
      <c r="CA839" s="57"/>
      <c r="CB839" s="57"/>
      <c r="CC839" s="57"/>
      <c r="CD839" s="57"/>
      <c r="CE839" s="57"/>
      <c r="CF839" s="57"/>
      <c r="CG839" s="57"/>
      <c r="CH839" s="57"/>
      <c r="CI839" s="57"/>
      <c r="CJ839" s="57"/>
      <c r="CK839" s="57"/>
      <c r="CL839" s="57"/>
      <c r="CM839" s="57"/>
      <c r="CN839" s="57"/>
      <c r="CO839" s="57"/>
      <c r="CP839" s="25" t="n">
        <f aca="false">BX839+BW839+BV839+BU839+BT839+BQ839+BN839</f>
        <v>88</v>
      </c>
      <c r="CQ839" s="25" t="n">
        <f aca="false">CO839+CL839+CI839+CH839+CG839+CD839+CA839</f>
        <v>0</v>
      </c>
      <c r="CR839" s="26" t="n">
        <f aca="false">CP839/7</f>
        <v>12.5714285714286</v>
      </c>
      <c r="CS839" s="26" t="n">
        <f aca="false">CQ839/7</f>
        <v>0</v>
      </c>
      <c r="CT839" s="24" t="n">
        <f aca="false">RANK(CR839,$CR$2:$CR$881,0)</f>
        <v>756</v>
      </c>
      <c r="CU839" s="25" t="n">
        <f aca="false">RANK(CS839,$CS$2:$CS$881,0)</f>
        <v>752</v>
      </c>
      <c r="CV839" s="150"/>
      <c r="CW839" s="25" t="n">
        <f aca="false">RANK(CV839,$CV$2:$CV$881,0)</f>
        <v>753</v>
      </c>
      <c r="CX839" s="57"/>
      <c r="CY839" s="57"/>
      <c r="CZ839" s="27" t="s">
        <v>132</v>
      </c>
      <c r="DA839" s="27" t="s">
        <v>441</v>
      </c>
      <c r="DB839" s="27" t="s">
        <v>441</v>
      </c>
      <c r="DC839" s="27" t="s">
        <v>134</v>
      </c>
      <c r="DD839" s="27" t="s">
        <v>140</v>
      </c>
      <c r="DE839" s="27" t="s">
        <v>412</v>
      </c>
      <c r="DF839" s="27" t="s">
        <v>219</v>
      </c>
      <c r="DG839" s="27" t="s">
        <v>134</v>
      </c>
      <c r="DH839" s="27" t="s">
        <v>140</v>
      </c>
      <c r="DI839" s="27" t="s">
        <v>447</v>
      </c>
      <c r="DJ839" s="27" t="s">
        <v>205</v>
      </c>
      <c r="DK839" s="27" t="s">
        <v>134</v>
      </c>
      <c r="DL839" s="27" t="s">
        <v>137</v>
      </c>
      <c r="DM839" s="27" t="s">
        <v>313</v>
      </c>
      <c r="DN839" s="27" t="s">
        <v>305</v>
      </c>
      <c r="DO839" s="27" t="s">
        <v>134</v>
      </c>
      <c r="DP839" s="27" t="s">
        <v>386</v>
      </c>
      <c r="DQ839" s="27" t="s">
        <v>304</v>
      </c>
      <c r="DR839" s="27" t="s">
        <v>398</v>
      </c>
      <c r="DS839" s="27" t="s">
        <v>134</v>
      </c>
      <c r="DT839" s="27" t="s">
        <v>160</v>
      </c>
      <c r="DU839" s="27" t="s">
        <v>415</v>
      </c>
      <c r="DV839" s="27" t="s">
        <v>441</v>
      </c>
      <c r="DW839" s="27" t="s">
        <v>825</v>
      </c>
      <c r="DX839" s="27" t="s">
        <v>177</v>
      </c>
      <c r="DY839" s="27" t="s">
        <v>486</v>
      </c>
      <c r="DZ839" s="27" t="n">
        <f aca="false">DY839+DV839+DR839+DN839+DJ839+DF839+DB839</f>
        <v>535</v>
      </c>
      <c r="EA839" s="28" t="n">
        <f aca="false">DZ839/7</f>
        <v>76.4285714285714</v>
      </c>
      <c r="EB839" s="27" t="n">
        <f aca="false">RANK(EA839,$EA$2:$EA$881,0)</f>
        <v>506</v>
      </c>
      <c r="EC839" s="29" t="n">
        <f aca="false">DZ839+CQ839+CP839+AZ839</f>
        <v>623</v>
      </c>
      <c r="ED839" s="30" t="n">
        <f aca="false">(EA839+CV839+BB839)/3</f>
        <v>25.4761904761905</v>
      </c>
      <c r="EE839" s="51" t="n">
        <f aca="false">ROUND(BE839,3)</f>
        <v>0</v>
      </c>
      <c r="EF839" s="51" t="n">
        <f aca="false">ROUND(CR839,3)</f>
        <v>12.571</v>
      </c>
      <c r="EG839" s="51" t="n">
        <f aca="false">ROUND(CS839,3)</f>
        <v>0</v>
      </c>
      <c r="EH839" s="51" t="n">
        <f aca="false">ROUND(EA839,3)</f>
        <v>76.429</v>
      </c>
      <c r="EI839" s="51" t="n">
        <f aca="false">ROUND(ED839,3)</f>
        <v>25.476</v>
      </c>
      <c r="EJ839" s="51" t="n">
        <f aca="false">ROUND(CV839,3)</f>
        <v>0</v>
      </c>
      <c r="EK839" s="0" t="n">
        <f aca="false">RANK(EI839,$EI$2:$EI$881,0)</f>
        <v>836</v>
      </c>
    </row>
    <row r="840" customFormat="false" ht="15" hidden="false" customHeight="false" outlineLevel="0" collapsed="false">
      <c r="A840" s="4" t="n">
        <v>9178</v>
      </c>
      <c r="B840" s="4" t="n">
        <v>871</v>
      </c>
      <c r="C840" s="27" t="s">
        <v>2332</v>
      </c>
      <c r="D840" s="145"/>
      <c r="E840" s="57"/>
      <c r="F840" s="146" t="s">
        <v>2333</v>
      </c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  <c r="AZ840" s="80"/>
      <c r="BA840" s="80"/>
      <c r="BB840" s="80"/>
      <c r="BC840" s="57" t="n">
        <f aca="false">(BG840*2400)/100</f>
        <v>0</v>
      </c>
      <c r="BD840" s="16" t="e">
        <f aca="false">RANK(AX840,$AX$2:$AX$881,0)</f>
        <v>#N/A</v>
      </c>
      <c r="BE840" s="92" t="n">
        <f aca="false">((BC840*100)/2400)*0.4+(AX840*0.6)</f>
        <v>0</v>
      </c>
      <c r="BF840" s="16" t="n">
        <f aca="false">RANK(BE840,$BE$2:$BE$881,0)</f>
        <v>806</v>
      </c>
      <c r="BG840" s="80"/>
      <c r="BH840" s="39" t="n">
        <f aca="false">RANK(BC840,$BC$2:$BC$881,0)</f>
        <v>780</v>
      </c>
      <c r="BI840" s="80"/>
      <c r="BJ840" s="80"/>
      <c r="BK840" s="80"/>
      <c r="BL840" s="80"/>
      <c r="BM840" s="80"/>
      <c r="BN840" s="80"/>
      <c r="BO840" s="80"/>
      <c r="BP840" s="80"/>
      <c r="BQ840" s="80"/>
      <c r="BR840" s="80"/>
      <c r="BS840" s="80"/>
      <c r="BT840" s="80"/>
      <c r="BU840" s="80"/>
      <c r="BV840" s="80"/>
      <c r="BW840" s="80"/>
      <c r="BX840" s="80"/>
      <c r="BY840" s="80"/>
      <c r="BZ840" s="80"/>
      <c r="CA840" s="80"/>
      <c r="CB840" s="80"/>
      <c r="CC840" s="80"/>
      <c r="CD840" s="80"/>
      <c r="CE840" s="80"/>
      <c r="CF840" s="80"/>
      <c r="CG840" s="80"/>
      <c r="CH840" s="80"/>
      <c r="CI840" s="80"/>
      <c r="CJ840" s="80"/>
      <c r="CK840" s="80"/>
      <c r="CL840" s="80"/>
      <c r="CM840" s="80"/>
      <c r="CN840" s="80"/>
      <c r="CO840" s="80"/>
      <c r="CP840" s="25" t="n">
        <f aca="false">BX840+BW840+BV840+BU840+BT840+BQ840+BN840</f>
        <v>0</v>
      </c>
      <c r="CQ840" s="25" t="n">
        <f aca="false">CO840+CL840+CI840+CH840+CG840+CD840+CA840</f>
        <v>0</v>
      </c>
      <c r="CR840" s="26" t="n">
        <f aca="false">CP840/7</f>
        <v>0</v>
      </c>
      <c r="CS840" s="26" t="n">
        <f aca="false">CQ840/7</f>
        <v>0</v>
      </c>
      <c r="CT840" s="24" t="n">
        <f aca="false">RANK(CR840,$CR$2:$CR$881,0)</f>
        <v>768</v>
      </c>
      <c r="CU840" s="25" t="n">
        <f aca="false">RANK(CS840,$CS$2:$CS$881,0)</f>
        <v>752</v>
      </c>
      <c r="CV840" s="80"/>
      <c r="CW840" s="25" t="n">
        <f aca="false">RANK(CV840,$CV$2:$CV$881,0)</f>
        <v>753</v>
      </c>
      <c r="CX840" s="80"/>
      <c r="CY840" s="80"/>
      <c r="CZ840" s="27" t="s">
        <v>132</v>
      </c>
      <c r="DA840" s="27" t="s">
        <v>151</v>
      </c>
      <c r="DB840" s="27" t="s">
        <v>151</v>
      </c>
      <c r="DC840" s="27" t="s">
        <v>134</v>
      </c>
      <c r="DD840" s="27" t="s">
        <v>154</v>
      </c>
      <c r="DE840" s="27" t="s">
        <v>218</v>
      </c>
      <c r="DF840" s="27" t="s">
        <v>219</v>
      </c>
      <c r="DG840" s="27" t="s">
        <v>134</v>
      </c>
      <c r="DH840" s="27" t="s">
        <v>174</v>
      </c>
      <c r="DI840" s="27" t="s">
        <v>638</v>
      </c>
      <c r="DJ840" s="27" t="s">
        <v>141</v>
      </c>
      <c r="DK840" s="27" t="s">
        <v>134</v>
      </c>
      <c r="DL840" s="27" t="s">
        <v>195</v>
      </c>
      <c r="DM840" s="27" t="s">
        <v>183</v>
      </c>
      <c r="DN840" s="27" t="s">
        <v>272</v>
      </c>
      <c r="DO840" s="27" t="s">
        <v>134</v>
      </c>
      <c r="DP840" s="27" t="s">
        <v>706</v>
      </c>
      <c r="DQ840" s="27" t="s">
        <v>645</v>
      </c>
      <c r="DR840" s="27" t="s">
        <v>204</v>
      </c>
      <c r="DS840" s="27" t="s">
        <v>480</v>
      </c>
      <c r="DT840" s="27" t="s">
        <v>182</v>
      </c>
      <c r="DU840" s="27" t="s">
        <v>1407</v>
      </c>
      <c r="DV840" s="27" t="s">
        <v>152</v>
      </c>
      <c r="DW840" s="27" t="s">
        <v>135</v>
      </c>
      <c r="DX840" s="27" t="s">
        <v>141</v>
      </c>
      <c r="DY840" s="27" t="s">
        <v>176</v>
      </c>
      <c r="DZ840" s="27" t="n">
        <f aca="false">DY840+DV840+DR840+DN840+DJ840+DF840+DB840</f>
        <v>534</v>
      </c>
      <c r="EA840" s="28" t="n">
        <f aca="false">DZ840/7</f>
        <v>76.2857142857143</v>
      </c>
      <c r="EB840" s="27" t="n">
        <f aca="false">RANK(EA840,$EA$2:$EA$881,0)</f>
        <v>513</v>
      </c>
      <c r="EC840" s="29" t="n">
        <f aca="false">DZ840+CQ840+CP840+AZ840</f>
        <v>534</v>
      </c>
      <c r="ED840" s="30" t="n">
        <f aca="false">(EA840+CV840+BB840)/3</f>
        <v>25.4285714285714</v>
      </c>
      <c r="EE840" s="51" t="n">
        <f aca="false">ROUND(BE840,3)</f>
        <v>0</v>
      </c>
      <c r="EF840" s="51" t="n">
        <f aca="false">ROUND(CR840,3)</f>
        <v>0</v>
      </c>
      <c r="EG840" s="51" t="n">
        <f aca="false">ROUND(CS840,3)</f>
        <v>0</v>
      </c>
      <c r="EH840" s="51" t="n">
        <f aca="false">ROUND(EA840,3)</f>
        <v>76.286</v>
      </c>
      <c r="EI840" s="51" t="n">
        <f aca="false">ROUND(ED840,3)</f>
        <v>25.429</v>
      </c>
      <c r="EJ840" s="51" t="n">
        <f aca="false">ROUND(CV840,3)</f>
        <v>0</v>
      </c>
      <c r="EK840" s="0" t="n">
        <f aca="false">RANK(EI840,$EI$2:$EI$881,0)</f>
        <v>839</v>
      </c>
    </row>
    <row r="841" customFormat="false" ht="16.85" hidden="false" customHeight="false" outlineLevel="0" collapsed="false">
      <c r="A841" s="4" t="n">
        <v>8367</v>
      </c>
      <c r="B841" s="4" t="n">
        <v>407</v>
      </c>
      <c r="C841" s="27" t="s">
        <v>2334</v>
      </c>
      <c r="D841" s="145"/>
      <c r="E841" s="57"/>
      <c r="F841" s="146" t="s">
        <v>2335</v>
      </c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  <c r="AZ841" s="80"/>
      <c r="BA841" s="80"/>
      <c r="BB841" s="80"/>
      <c r="BC841" s="57" t="n">
        <f aca="false">(BG841*2400)/100</f>
        <v>0</v>
      </c>
      <c r="BD841" s="16" t="e">
        <f aca="false">RANK(AX841,$AX$2:$AX$881,0)</f>
        <v>#N/A</v>
      </c>
      <c r="BE841" s="92" t="n">
        <f aca="false">((BC841*100)/2400)*0.4+(AX841*0.6)</f>
        <v>0</v>
      </c>
      <c r="BF841" s="16" t="n">
        <f aca="false">RANK(BE841,$BE$2:$BE$881,0)</f>
        <v>806</v>
      </c>
      <c r="BG841" s="80"/>
      <c r="BH841" s="39" t="n">
        <f aca="false">RANK(BC841,$BC$2:$BC$881,0)</f>
        <v>780</v>
      </c>
      <c r="BI841" s="80"/>
      <c r="BJ841" s="80"/>
      <c r="BK841" s="80"/>
      <c r="BL841" s="80"/>
      <c r="BM841" s="80"/>
      <c r="BN841" s="80"/>
      <c r="BO841" s="80"/>
      <c r="BP841" s="80"/>
      <c r="BQ841" s="80"/>
      <c r="BR841" s="80"/>
      <c r="BS841" s="80"/>
      <c r="BT841" s="80"/>
      <c r="BU841" s="80"/>
      <c r="BV841" s="80"/>
      <c r="BW841" s="80"/>
      <c r="BX841" s="80"/>
      <c r="BY841" s="80"/>
      <c r="BZ841" s="80"/>
      <c r="CA841" s="80"/>
      <c r="CB841" s="80"/>
      <c r="CC841" s="80"/>
      <c r="CD841" s="80"/>
      <c r="CE841" s="80"/>
      <c r="CF841" s="80"/>
      <c r="CG841" s="80"/>
      <c r="CH841" s="80"/>
      <c r="CI841" s="80"/>
      <c r="CJ841" s="80"/>
      <c r="CK841" s="80"/>
      <c r="CL841" s="80"/>
      <c r="CM841" s="80"/>
      <c r="CN841" s="80"/>
      <c r="CO841" s="80"/>
      <c r="CP841" s="25" t="n">
        <f aca="false">BX841+BW841+BV841+BU841+BT841+BQ841+BN841</f>
        <v>0</v>
      </c>
      <c r="CQ841" s="25" t="n">
        <f aca="false">CO841+CL841+CI841+CH841+CG841+CD841+CA841</f>
        <v>0</v>
      </c>
      <c r="CR841" s="26" t="n">
        <f aca="false">CP841/7</f>
        <v>0</v>
      </c>
      <c r="CS841" s="26" t="n">
        <f aca="false">CQ841/7</f>
        <v>0</v>
      </c>
      <c r="CT841" s="24" t="n">
        <f aca="false">RANK(CR841,$CR$2:$CR$881,0)</f>
        <v>768</v>
      </c>
      <c r="CU841" s="25" t="n">
        <f aca="false">RANK(CS841,$CS$2:$CS$881,0)</f>
        <v>752</v>
      </c>
      <c r="CV841" s="80"/>
      <c r="CW841" s="25" t="n">
        <f aca="false">RANK(CV841,$CV$2:$CV$881,0)</f>
        <v>753</v>
      </c>
      <c r="CX841" s="80"/>
      <c r="CY841" s="80"/>
      <c r="CZ841" s="27" t="s">
        <v>132</v>
      </c>
      <c r="DA841" s="27" t="s">
        <v>133</v>
      </c>
      <c r="DB841" s="27" t="s">
        <v>133</v>
      </c>
      <c r="DC841" s="27" t="s">
        <v>134</v>
      </c>
      <c r="DD841" s="27" t="s">
        <v>154</v>
      </c>
      <c r="DE841" s="27" t="s">
        <v>412</v>
      </c>
      <c r="DF841" s="27" t="s">
        <v>372</v>
      </c>
      <c r="DG841" s="27" t="s">
        <v>134</v>
      </c>
      <c r="DH841" s="27" t="s">
        <v>182</v>
      </c>
      <c r="DI841" s="27" t="s">
        <v>399</v>
      </c>
      <c r="DJ841" s="27" t="s">
        <v>398</v>
      </c>
      <c r="DK841" s="27" t="s">
        <v>134</v>
      </c>
      <c r="DL841" s="27" t="s">
        <v>137</v>
      </c>
      <c r="DM841" s="27" t="s">
        <v>897</v>
      </c>
      <c r="DN841" s="27" t="s">
        <v>138</v>
      </c>
      <c r="DO841" s="27" t="s">
        <v>134</v>
      </c>
      <c r="DP841" s="27" t="s">
        <v>191</v>
      </c>
      <c r="DQ841" s="27" t="s">
        <v>681</v>
      </c>
      <c r="DR841" s="27" t="s">
        <v>187</v>
      </c>
      <c r="DS841" s="27" t="s">
        <v>134</v>
      </c>
      <c r="DT841" s="27" t="s">
        <v>146</v>
      </c>
      <c r="DU841" s="27" t="s">
        <v>481</v>
      </c>
      <c r="DV841" s="27" t="s">
        <v>141</v>
      </c>
      <c r="DW841" s="27" t="s">
        <v>160</v>
      </c>
      <c r="DX841" s="27" t="s">
        <v>155</v>
      </c>
      <c r="DY841" s="27" t="s">
        <v>145</v>
      </c>
      <c r="DZ841" s="27" t="n">
        <f aca="false">DY841+DV841+DR841+DN841+DJ841+DF841+DB841</f>
        <v>534</v>
      </c>
      <c r="EA841" s="28" t="n">
        <f aca="false">DZ841/7</f>
        <v>76.2857142857143</v>
      </c>
      <c r="EB841" s="27" t="n">
        <f aca="false">RANK(EA841,$EA$2:$EA$881,0)</f>
        <v>513</v>
      </c>
      <c r="EC841" s="29" t="n">
        <f aca="false">DZ841+CQ841+CP841+AZ841</f>
        <v>534</v>
      </c>
      <c r="ED841" s="30" t="n">
        <f aca="false">(EA841+CV841+BB841)/3</f>
        <v>25.4285714285714</v>
      </c>
      <c r="EE841" s="51" t="n">
        <f aca="false">ROUND(BE841,3)</f>
        <v>0</v>
      </c>
      <c r="EF841" s="51" t="n">
        <f aca="false">ROUND(CR841,3)</f>
        <v>0</v>
      </c>
      <c r="EG841" s="51" t="n">
        <f aca="false">ROUND(CS841,3)</f>
        <v>0</v>
      </c>
      <c r="EH841" s="51" t="n">
        <f aca="false">ROUND(EA841,3)</f>
        <v>76.286</v>
      </c>
      <c r="EI841" s="51" t="n">
        <f aca="false">ROUND(ED841,3)</f>
        <v>25.429</v>
      </c>
      <c r="EJ841" s="51" t="n">
        <f aca="false">ROUND(CV841,3)</f>
        <v>0</v>
      </c>
      <c r="EK841" s="0" t="n">
        <f aca="false">RANK(EI841,$EI$2:$EI$881,0)</f>
        <v>839</v>
      </c>
    </row>
    <row r="842" customFormat="false" ht="15" hidden="false" customHeight="false" outlineLevel="0" collapsed="false">
      <c r="A842" s="4" t="n">
        <v>8022</v>
      </c>
      <c r="B842" s="4" t="n">
        <v>414</v>
      </c>
      <c r="C842" s="27" t="s">
        <v>2336</v>
      </c>
      <c r="D842" s="145"/>
      <c r="E842" s="57"/>
      <c r="F842" s="146" t="s">
        <v>2337</v>
      </c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  <c r="AZ842" s="80"/>
      <c r="BA842" s="80"/>
      <c r="BB842" s="80"/>
      <c r="BC842" s="57" t="n">
        <f aca="false">(BG842*2400)/100</f>
        <v>0</v>
      </c>
      <c r="BD842" s="16" t="e">
        <f aca="false">RANK(AX842,$AX$2:$AX$881,0)</f>
        <v>#N/A</v>
      </c>
      <c r="BE842" s="92" t="n">
        <f aca="false">((BC842*100)/2400)*0.4+(AX842*0.6)</f>
        <v>0</v>
      </c>
      <c r="BF842" s="16" t="n">
        <f aca="false">RANK(BE842,$BE$2:$BE$881,0)</f>
        <v>806</v>
      </c>
      <c r="BG842" s="80"/>
      <c r="BH842" s="39" t="n">
        <f aca="false">RANK(BC842,$BC$2:$BC$881,0)</f>
        <v>780</v>
      </c>
      <c r="BI842" s="80"/>
      <c r="BJ842" s="80"/>
      <c r="BK842" s="80"/>
      <c r="BL842" s="80"/>
      <c r="BM842" s="80"/>
      <c r="BN842" s="80"/>
      <c r="BO842" s="80"/>
      <c r="BP842" s="80"/>
      <c r="BQ842" s="80"/>
      <c r="BR842" s="80"/>
      <c r="BS842" s="80"/>
      <c r="BT842" s="80"/>
      <c r="BU842" s="80"/>
      <c r="BV842" s="80"/>
      <c r="BW842" s="80"/>
      <c r="BX842" s="80"/>
      <c r="BY842" s="80"/>
      <c r="BZ842" s="80"/>
      <c r="CA842" s="80"/>
      <c r="CB842" s="80"/>
      <c r="CC842" s="80"/>
      <c r="CD842" s="80"/>
      <c r="CE842" s="80"/>
      <c r="CF842" s="80"/>
      <c r="CG842" s="80"/>
      <c r="CH842" s="80"/>
      <c r="CI842" s="80"/>
      <c r="CJ842" s="80"/>
      <c r="CK842" s="80"/>
      <c r="CL842" s="80"/>
      <c r="CM842" s="80"/>
      <c r="CN842" s="80"/>
      <c r="CO842" s="80"/>
      <c r="CP842" s="25" t="n">
        <f aca="false">BX842+BW842+BV842+BU842+BT842+BQ842+BN842</f>
        <v>0</v>
      </c>
      <c r="CQ842" s="25" t="n">
        <f aca="false">CO842+CL842+CI842+CH842+CG842+CD842+CA842</f>
        <v>0</v>
      </c>
      <c r="CR842" s="26" t="n">
        <f aca="false">CP842/7</f>
        <v>0</v>
      </c>
      <c r="CS842" s="26" t="n">
        <f aca="false">CQ842/7</f>
        <v>0</v>
      </c>
      <c r="CT842" s="24" t="n">
        <f aca="false">RANK(CR842,$CR$2:$CR$881,0)</f>
        <v>768</v>
      </c>
      <c r="CU842" s="25" t="n">
        <f aca="false">RANK(CS842,$CS$2:$CS$881,0)</f>
        <v>752</v>
      </c>
      <c r="CV842" s="80"/>
      <c r="CW842" s="25" t="n">
        <f aca="false">RANK(CV842,$CV$2:$CV$881,0)</f>
        <v>753</v>
      </c>
      <c r="CX842" s="80"/>
      <c r="CY842" s="80"/>
      <c r="CZ842" s="27" t="s">
        <v>132</v>
      </c>
      <c r="DA842" s="27" t="s">
        <v>133</v>
      </c>
      <c r="DB842" s="27" t="s">
        <v>133</v>
      </c>
      <c r="DC842" s="27" t="s">
        <v>134</v>
      </c>
      <c r="DD842" s="27" t="s">
        <v>135</v>
      </c>
      <c r="DE842" s="27" t="s">
        <v>306</v>
      </c>
      <c r="DF842" s="27" t="s">
        <v>219</v>
      </c>
      <c r="DG842" s="27" t="s">
        <v>134</v>
      </c>
      <c r="DH842" s="27" t="s">
        <v>135</v>
      </c>
      <c r="DI842" s="27" t="s">
        <v>442</v>
      </c>
      <c r="DJ842" s="27" t="s">
        <v>372</v>
      </c>
      <c r="DK842" s="27" t="s">
        <v>134</v>
      </c>
      <c r="DL842" s="27" t="s">
        <v>135</v>
      </c>
      <c r="DM842" s="27" t="s">
        <v>1407</v>
      </c>
      <c r="DN842" s="27" t="s">
        <v>163</v>
      </c>
      <c r="DO842" s="27" t="s">
        <v>134</v>
      </c>
      <c r="DP842" s="27" t="s">
        <v>195</v>
      </c>
      <c r="DQ842" s="27" t="s">
        <v>442</v>
      </c>
      <c r="DR842" s="27" t="s">
        <v>155</v>
      </c>
      <c r="DS842" s="27" t="s">
        <v>134</v>
      </c>
      <c r="DT842" s="27" t="s">
        <v>182</v>
      </c>
      <c r="DU842" s="27" t="s">
        <v>1395</v>
      </c>
      <c r="DV842" s="27" t="s">
        <v>183</v>
      </c>
      <c r="DW842" s="27" t="s">
        <v>137</v>
      </c>
      <c r="DX842" s="27" t="s">
        <v>187</v>
      </c>
      <c r="DY842" s="27" t="s">
        <v>176</v>
      </c>
      <c r="DZ842" s="27" t="n">
        <f aca="false">DY842+DV842+DR842+DN842+DJ842+DF842+DB842</f>
        <v>527</v>
      </c>
      <c r="EA842" s="28" t="n">
        <f aca="false">DZ842/7</f>
        <v>75.2857142857143</v>
      </c>
      <c r="EB842" s="27" t="n">
        <f aca="false">RANK(EA842,$EA$2:$EA$881,0)</f>
        <v>533</v>
      </c>
      <c r="EC842" s="29" t="n">
        <f aca="false">DZ842+CQ842+CP842+AZ842</f>
        <v>527</v>
      </c>
      <c r="ED842" s="30" t="n">
        <f aca="false">(EA842+CV842+BB842)/3</f>
        <v>25.0952380952381</v>
      </c>
      <c r="EE842" s="51" t="n">
        <f aca="false">ROUND(BE842,3)</f>
        <v>0</v>
      </c>
      <c r="EF842" s="51" t="n">
        <f aca="false">ROUND(CR842,3)</f>
        <v>0</v>
      </c>
      <c r="EG842" s="51" t="n">
        <f aca="false">ROUND(CS842,3)</f>
        <v>0</v>
      </c>
      <c r="EH842" s="51" t="n">
        <f aca="false">ROUND(EA842,3)</f>
        <v>75.286</v>
      </c>
      <c r="EI842" s="51" t="n">
        <f aca="false">ROUND(ED842,3)</f>
        <v>25.095</v>
      </c>
      <c r="EJ842" s="51" t="n">
        <f aca="false">ROUND(CV842,3)</f>
        <v>0</v>
      </c>
      <c r="EK842" s="0" t="n">
        <f aca="false">RANK(EI842,$EI$2:$EI$881,0)</f>
        <v>841</v>
      </c>
    </row>
    <row r="843" customFormat="false" ht="15" hidden="false" customHeight="false" outlineLevel="0" collapsed="false">
      <c r="A843" s="4" t="n">
        <v>2355</v>
      </c>
      <c r="B843" s="4" t="n">
        <v>2000</v>
      </c>
      <c r="C843" s="27" t="s">
        <v>2338</v>
      </c>
      <c r="D843" s="145"/>
      <c r="E843" s="57"/>
      <c r="F843" s="146" t="s">
        <v>2339</v>
      </c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57" t="n">
        <f aca="false">(BG843*2400)/100</f>
        <v>0</v>
      </c>
      <c r="BD843" s="16" t="e">
        <f aca="false">RANK(AX843,$AX$2:$AX$881,0)</f>
        <v>#N/A</v>
      </c>
      <c r="BE843" s="92" t="n">
        <f aca="false">((BC843*100)/2400)*0.4+(AX843*0.6)</f>
        <v>0</v>
      </c>
      <c r="BF843" s="16" t="n">
        <f aca="false">RANK(BE843,$BE$2:$BE$881,0)</f>
        <v>806</v>
      </c>
      <c r="BG843" s="80"/>
      <c r="BH843" s="39" t="n">
        <f aca="false">RANK(BC843,$BC$2:$BC$881,0)</f>
        <v>780</v>
      </c>
      <c r="BI843" s="80"/>
      <c r="BJ843" s="80"/>
      <c r="BK843" s="80"/>
      <c r="BL843" s="80"/>
      <c r="BM843" s="80"/>
      <c r="BN843" s="80"/>
      <c r="BO843" s="80"/>
      <c r="BP843" s="80"/>
      <c r="BQ843" s="80"/>
      <c r="BR843" s="80"/>
      <c r="BS843" s="80"/>
      <c r="BT843" s="80"/>
      <c r="BU843" s="80"/>
      <c r="BV843" s="80"/>
      <c r="BW843" s="80"/>
      <c r="BX843" s="80"/>
      <c r="BY843" s="80"/>
      <c r="BZ843" s="80"/>
      <c r="CA843" s="80"/>
      <c r="CB843" s="80"/>
      <c r="CC843" s="80"/>
      <c r="CD843" s="80"/>
      <c r="CE843" s="80"/>
      <c r="CF843" s="80"/>
      <c r="CG843" s="80"/>
      <c r="CH843" s="80"/>
      <c r="CI843" s="80"/>
      <c r="CJ843" s="80"/>
      <c r="CK843" s="80"/>
      <c r="CL843" s="80"/>
      <c r="CM843" s="80"/>
      <c r="CN843" s="80"/>
      <c r="CO843" s="80"/>
      <c r="CP843" s="25" t="n">
        <f aca="false">BX843+BW843+BV843+BU843+BT843+BQ843+BN843</f>
        <v>0</v>
      </c>
      <c r="CQ843" s="25" t="n">
        <f aca="false">CO843+CL843+CI843+CH843+CG843+CD843+CA843</f>
        <v>0</v>
      </c>
      <c r="CR843" s="26" t="n">
        <f aca="false">CP843/7</f>
        <v>0</v>
      </c>
      <c r="CS843" s="26" t="n">
        <f aca="false">CQ843/7</f>
        <v>0</v>
      </c>
      <c r="CT843" s="24" t="n">
        <f aca="false">RANK(CR843,$CR$2:$CR$881,0)</f>
        <v>768</v>
      </c>
      <c r="CU843" s="25" t="n">
        <f aca="false">RANK(CS843,$CS$2:$CS$881,0)</f>
        <v>752</v>
      </c>
      <c r="CV843" s="80"/>
      <c r="CW843" s="25" t="n">
        <f aca="false">RANK(CV843,$CV$2:$CV$881,0)</f>
        <v>753</v>
      </c>
      <c r="CX843" s="80"/>
      <c r="CY843" s="80"/>
      <c r="CZ843" s="27" t="s">
        <v>132</v>
      </c>
      <c r="DA843" s="27" t="s">
        <v>272</v>
      </c>
      <c r="DB843" s="27" t="s">
        <v>272</v>
      </c>
      <c r="DC843" s="27" t="s">
        <v>134</v>
      </c>
      <c r="DD843" s="27" t="s">
        <v>174</v>
      </c>
      <c r="DE843" s="27" t="s">
        <v>220</v>
      </c>
      <c r="DF843" s="27" t="s">
        <v>305</v>
      </c>
      <c r="DG843" s="27" t="s">
        <v>134</v>
      </c>
      <c r="DH843" s="27" t="s">
        <v>135</v>
      </c>
      <c r="DI843" s="27" t="s">
        <v>375</v>
      </c>
      <c r="DJ843" s="27" t="s">
        <v>441</v>
      </c>
      <c r="DK843" s="27" t="s">
        <v>134</v>
      </c>
      <c r="DL843" s="27" t="s">
        <v>386</v>
      </c>
      <c r="DM843" s="27" t="s">
        <v>442</v>
      </c>
      <c r="DN843" s="27" t="s">
        <v>141</v>
      </c>
      <c r="DO843" s="27" t="s">
        <v>134</v>
      </c>
      <c r="DP843" s="27" t="s">
        <v>706</v>
      </c>
      <c r="DQ843" s="27" t="s">
        <v>989</v>
      </c>
      <c r="DR843" s="27" t="s">
        <v>218</v>
      </c>
      <c r="DS843" s="27" t="s">
        <v>480</v>
      </c>
      <c r="DT843" s="27" t="s">
        <v>137</v>
      </c>
      <c r="DU843" s="27" t="s">
        <v>673</v>
      </c>
      <c r="DV843" s="27" t="s">
        <v>141</v>
      </c>
      <c r="DW843" s="27" t="s">
        <v>135</v>
      </c>
      <c r="DX843" s="27" t="s">
        <v>138</v>
      </c>
      <c r="DY843" s="27" t="s">
        <v>156</v>
      </c>
      <c r="DZ843" s="27" t="n">
        <f aca="false">DY843+DV843+DR843+DN843+DJ843+DF843+DB843</f>
        <v>517</v>
      </c>
      <c r="EA843" s="28" t="n">
        <f aca="false">DZ843/7</f>
        <v>73.8571428571429</v>
      </c>
      <c r="EB843" s="27" t="n">
        <f aca="false">RANK(EA843,$EA$2:$EA$881,0)</f>
        <v>567</v>
      </c>
      <c r="EC843" s="29" t="n">
        <f aca="false">DZ843+CQ843+CP843+AZ843</f>
        <v>517</v>
      </c>
      <c r="ED843" s="30" t="n">
        <f aca="false">(EA843+CV843+BB843)/3</f>
        <v>24.6190476190476</v>
      </c>
      <c r="EE843" s="51" t="n">
        <f aca="false">ROUND(BE843,3)</f>
        <v>0</v>
      </c>
      <c r="EF843" s="51" t="n">
        <f aca="false">ROUND(CR843,3)</f>
        <v>0</v>
      </c>
      <c r="EG843" s="51" t="n">
        <f aca="false">ROUND(CS843,3)</f>
        <v>0</v>
      </c>
      <c r="EH843" s="51" t="n">
        <f aca="false">ROUND(EA843,3)</f>
        <v>73.857</v>
      </c>
      <c r="EI843" s="51" t="n">
        <f aca="false">ROUND(ED843,3)</f>
        <v>24.619</v>
      </c>
      <c r="EJ843" s="51" t="n">
        <f aca="false">ROUND(CV843,3)</f>
        <v>0</v>
      </c>
      <c r="EK843" s="0" t="n">
        <f aca="false">RANK(EI843,$EI$2:$EI$881,0)</f>
        <v>842</v>
      </c>
    </row>
    <row r="844" customFormat="false" ht="15" hidden="false" customHeight="false" outlineLevel="0" collapsed="false">
      <c r="A844" s="4" t="n">
        <v>7950</v>
      </c>
      <c r="B844" s="4" t="n">
        <v>117</v>
      </c>
      <c r="C844" s="27" t="s">
        <v>2340</v>
      </c>
      <c r="D844" s="145"/>
      <c r="E844" s="57"/>
      <c r="F844" s="146" t="s">
        <v>2341</v>
      </c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  <c r="AT844" s="80"/>
      <c r="AU844" s="80"/>
      <c r="AV844" s="80"/>
      <c r="AW844" s="80"/>
      <c r="AX844" s="57"/>
      <c r="AY844" s="80"/>
      <c r="AZ844" s="80"/>
      <c r="BA844" s="80"/>
      <c r="BB844" s="80"/>
      <c r="BC844" s="57" t="n">
        <f aca="false">(BG844*2400)/100</f>
        <v>0</v>
      </c>
      <c r="BD844" s="16" t="e">
        <f aca="false">RANK(AX844,$AX$2:$AX$881,0)</f>
        <v>#N/A</v>
      </c>
      <c r="BE844" s="92" t="n">
        <f aca="false">((BC844*100)/2400)*0.4+(AX844*0.6)</f>
        <v>0</v>
      </c>
      <c r="BF844" s="16" t="n">
        <f aca="false">RANK(BE844,$BE$2:$BE$881,0)</f>
        <v>806</v>
      </c>
      <c r="BG844" s="57"/>
      <c r="BH844" s="39" t="n">
        <f aca="false">RANK(BC844,$BC$2:$BC$881,0)</f>
        <v>780</v>
      </c>
      <c r="BI844" s="57"/>
      <c r="BJ844" s="57"/>
      <c r="BK844" s="57"/>
      <c r="BL844" s="57" t="n">
        <v>24</v>
      </c>
      <c r="BM844" s="57" t="n">
        <v>36</v>
      </c>
      <c r="BN844" s="57" t="n">
        <v>60</v>
      </c>
      <c r="BO844" s="57"/>
      <c r="BP844" s="57"/>
      <c r="BQ844" s="57"/>
      <c r="BR844" s="57"/>
      <c r="BS844" s="57"/>
      <c r="BT844" s="57"/>
      <c r="BU844" s="80"/>
      <c r="BV844" s="60"/>
      <c r="BW844" s="106"/>
      <c r="BX844" s="124"/>
      <c r="BY844" s="57"/>
      <c r="BZ844" s="57"/>
      <c r="CA844" s="57"/>
      <c r="CB844" s="57"/>
      <c r="CC844" s="57"/>
      <c r="CD844" s="57"/>
      <c r="CE844" s="57"/>
      <c r="CF844" s="57"/>
      <c r="CG844" s="57"/>
      <c r="CH844" s="57"/>
      <c r="CI844" s="57"/>
      <c r="CJ844" s="57"/>
      <c r="CK844" s="57"/>
      <c r="CL844" s="57"/>
      <c r="CM844" s="57"/>
      <c r="CN844" s="57"/>
      <c r="CO844" s="57"/>
      <c r="CP844" s="25" t="n">
        <f aca="false">BX844+BW844+BV844+BU844+BT844+BQ844+BN844</f>
        <v>60</v>
      </c>
      <c r="CQ844" s="25" t="n">
        <f aca="false">CO844+CL844+CI844+CH844+CG844+CD844+CA844</f>
        <v>0</v>
      </c>
      <c r="CR844" s="26" t="n">
        <f aca="false">CP844/7</f>
        <v>8.57142857142857</v>
      </c>
      <c r="CS844" s="26" t="n">
        <f aca="false">CQ844/7</f>
        <v>0</v>
      </c>
      <c r="CT844" s="24" t="n">
        <f aca="false">RANK(CR844,$CR$2:$CR$881,0)</f>
        <v>761</v>
      </c>
      <c r="CU844" s="25" t="n">
        <f aca="false">RANK(CS844,$CS$2:$CS$881,0)</f>
        <v>752</v>
      </c>
      <c r="CV844" s="150"/>
      <c r="CW844" s="25" t="n">
        <f aca="false">RANK(CV844,$CV$2:$CV$881,0)</f>
        <v>753</v>
      </c>
      <c r="CX844" s="57"/>
      <c r="CY844" s="57"/>
      <c r="CZ844" s="27" t="s">
        <v>132</v>
      </c>
      <c r="DA844" s="27" t="s">
        <v>219</v>
      </c>
      <c r="DB844" s="27" t="s">
        <v>219</v>
      </c>
      <c r="DC844" s="27" t="s">
        <v>134</v>
      </c>
      <c r="DD844" s="27" t="s">
        <v>191</v>
      </c>
      <c r="DE844" s="27" t="s">
        <v>399</v>
      </c>
      <c r="DF844" s="27" t="s">
        <v>143</v>
      </c>
      <c r="DG844" s="27" t="s">
        <v>134</v>
      </c>
      <c r="DH844" s="27" t="s">
        <v>160</v>
      </c>
      <c r="DI844" s="27" t="s">
        <v>906</v>
      </c>
      <c r="DJ844" s="27" t="s">
        <v>187</v>
      </c>
      <c r="DK844" s="27" t="s">
        <v>134</v>
      </c>
      <c r="DL844" s="27" t="s">
        <v>182</v>
      </c>
      <c r="DM844" s="27" t="s">
        <v>989</v>
      </c>
      <c r="DN844" s="27" t="s">
        <v>187</v>
      </c>
      <c r="DO844" s="27" t="s">
        <v>134</v>
      </c>
      <c r="DP844" s="27" t="s">
        <v>264</v>
      </c>
      <c r="DQ844" s="27" t="s">
        <v>442</v>
      </c>
      <c r="DR844" s="27" t="s">
        <v>143</v>
      </c>
      <c r="DS844" s="27" t="s">
        <v>134</v>
      </c>
      <c r="DT844" s="27" t="s">
        <v>160</v>
      </c>
      <c r="DU844" s="27" t="s">
        <v>415</v>
      </c>
      <c r="DV844" s="27" t="s">
        <v>441</v>
      </c>
      <c r="DW844" s="27" t="s">
        <v>195</v>
      </c>
      <c r="DX844" s="27" t="s">
        <v>155</v>
      </c>
      <c r="DY844" s="27" t="s">
        <v>170</v>
      </c>
      <c r="DZ844" s="27" t="n">
        <f aca="false">DY844+DV844+DR844+DN844+DJ844+DF844+DB844</f>
        <v>514</v>
      </c>
      <c r="EA844" s="28" t="n">
        <f aca="false">DZ844/7</f>
        <v>73.4285714285714</v>
      </c>
      <c r="EB844" s="27" t="n">
        <f aca="false">RANK(EA844,$EA$2:$EA$881,0)</f>
        <v>586</v>
      </c>
      <c r="EC844" s="29" t="n">
        <f aca="false">DZ844+CQ844+CP844+AZ844</f>
        <v>574</v>
      </c>
      <c r="ED844" s="30" t="n">
        <f aca="false">(EA844+CV844+BB844)/3</f>
        <v>24.4761904761905</v>
      </c>
      <c r="EE844" s="51" t="n">
        <f aca="false">ROUND(BE844,3)</f>
        <v>0</v>
      </c>
      <c r="EF844" s="51" t="n">
        <f aca="false">ROUND(CR844,3)</f>
        <v>8.571</v>
      </c>
      <c r="EG844" s="51" t="n">
        <f aca="false">ROUND(CS844,3)</f>
        <v>0</v>
      </c>
      <c r="EH844" s="51" t="n">
        <f aca="false">ROUND(EA844,3)</f>
        <v>73.429</v>
      </c>
      <c r="EI844" s="51" t="n">
        <f aca="false">ROUND(ED844,3)</f>
        <v>24.476</v>
      </c>
      <c r="EJ844" s="51" t="n">
        <f aca="false">ROUND(CV844,3)</f>
        <v>0</v>
      </c>
      <c r="EK844" s="0" t="n">
        <f aca="false">RANK(EI844,$EI$2:$EI$881,0)</f>
        <v>843</v>
      </c>
    </row>
    <row r="845" customFormat="false" ht="15" hidden="false" customHeight="false" outlineLevel="0" collapsed="false">
      <c r="A845" s="4" t="n">
        <v>1671</v>
      </c>
      <c r="B845" s="4" t="n">
        <v>488</v>
      </c>
      <c r="C845" s="27" t="s">
        <v>2342</v>
      </c>
      <c r="D845" s="145"/>
      <c r="E845" s="57" t="n">
        <v>220311501</v>
      </c>
      <c r="F845" s="146" t="s">
        <v>2343</v>
      </c>
      <c r="G845" s="57"/>
      <c r="H845" s="153" t="s">
        <v>129</v>
      </c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  <c r="AV845" s="80"/>
      <c r="AW845" s="80"/>
      <c r="AX845" s="57" t="n">
        <v>74.6</v>
      </c>
      <c r="AY845" s="80"/>
      <c r="AZ845" s="80"/>
      <c r="BA845" s="80"/>
      <c r="BB845" s="80"/>
      <c r="BC845" s="57" t="n">
        <v>2362</v>
      </c>
      <c r="BD845" s="16" t="n">
        <f aca="false">RANK(AX845,$AX$2:$AX$881,0)</f>
        <v>693</v>
      </c>
      <c r="BE845" s="92" t="n">
        <f aca="false">((BC845*100)/2400)*0.4+(AX845*0.6)</f>
        <v>84.1266666666667</v>
      </c>
      <c r="BF845" s="16" t="n">
        <f aca="false">RANK(BE845,$BE$2:$BE$881,0)</f>
        <v>680</v>
      </c>
      <c r="BH845" s="39" t="n">
        <f aca="false">RANK(BC845,$BC$2:$BC$881,0)</f>
        <v>367</v>
      </c>
      <c r="BI845" s="57"/>
      <c r="BJ845" s="57"/>
      <c r="BK845" s="57"/>
      <c r="BL845" s="57" t="n">
        <v>19</v>
      </c>
      <c r="BM845" s="147"/>
      <c r="BN845" s="147"/>
      <c r="BO845" s="147"/>
      <c r="BP845" s="147"/>
      <c r="BQ845" s="147"/>
      <c r="BR845" s="147"/>
      <c r="BS845" s="147"/>
      <c r="BT845" s="147"/>
      <c r="BU845" s="147"/>
      <c r="BV845" s="147"/>
      <c r="BW845" s="147"/>
      <c r="BX845" s="80"/>
      <c r="BY845" s="80"/>
      <c r="BZ845" s="80"/>
      <c r="CA845" s="80"/>
      <c r="CB845" s="80"/>
      <c r="CC845" s="80"/>
      <c r="CD845" s="80"/>
      <c r="CE845" s="80"/>
      <c r="CF845" s="80"/>
      <c r="CG845" s="80"/>
      <c r="CH845" s="80"/>
      <c r="CI845" s="80"/>
      <c r="CJ845" s="80"/>
      <c r="CK845" s="80"/>
      <c r="CL845" s="80"/>
      <c r="CM845" s="80"/>
      <c r="CN845" s="80"/>
      <c r="CO845" s="80"/>
      <c r="CP845" s="25" t="n">
        <f aca="false">BX845+BW845+BV845+BU845+BT845+BQ845+BN845</f>
        <v>0</v>
      </c>
      <c r="CQ845" s="25" t="n">
        <f aca="false">CO845+CL845+CI845+CH845+CG845+CD845+CA845</f>
        <v>0</v>
      </c>
      <c r="CR845" s="26" t="n">
        <f aca="false">CP845/7</f>
        <v>0</v>
      </c>
      <c r="CS845" s="26" t="n">
        <f aca="false">CQ845/7</f>
        <v>0</v>
      </c>
      <c r="CT845" s="24" t="n">
        <f aca="false">RANK(CR845,$CR$2:$CR$881,0)</f>
        <v>768</v>
      </c>
      <c r="CU845" s="25" t="n">
        <f aca="false">RANK(CS845,$CS$2:$CS$881,0)</f>
        <v>752</v>
      </c>
      <c r="CV845" s="150"/>
      <c r="CW845" s="25" t="n">
        <f aca="false">RANK(CV845,$CV$2:$CV$881,0)</f>
        <v>753</v>
      </c>
      <c r="CX845" s="57"/>
      <c r="CY845" s="57"/>
      <c r="CZ845" s="27" t="s">
        <v>132</v>
      </c>
      <c r="DA845" s="27" t="s">
        <v>153</v>
      </c>
      <c r="DB845" s="27" t="s">
        <v>153</v>
      </c>
      <c r="DC845" s="27" t="s">
        <v>134</v>
      </c>
      <c r="DD845" s="27" t="s">
        <v>174</v>
      </c>
      <c r="DE845" s="27" t="s">
        <v>375</v>
      </c>
      <c r="DF845" s="27" t="s">
        <v>398</v>
      </c>
      <c r="DG845" s="27" t="s">
        <v>134</v>
      </c>
      <c r="DH845" s="27" t="s">
        <v>135</v>
      </c>
      <c r="DI845" s="27" t="s">
        <v>177</v>
      </c>
      <c r="DJ845" s="27" t="s">
        <v>175</v>
      </c>
      <c r="DK845" s="27" t="s">
        <v>134</v>
      </c>
      <c r="DL845" s="27" t="s">
        <v>182</v>
      </c>
      <c r="DM845" s="27" t="s">
        <v>220</v>
      </c>
      <c r="DN845" s="27" t="s">
        <v>219</v>
      </c>
      <c r="DO845" s="27" t="s">
        <v>134</v>
      </c>
      <c r="DP845" s="27"/>
      <c r="DQ845" s="27"/>
      <c r="DR845" s="27"/>
      <c r="DS845" s="27"/>
      <c r="DT845" s="27" t="s">
        <v>164</v>
      </c>
      <c r="DU845" s="27" t="s">
        <v>204</v>
      </c>
      <c r="DV845" s="27" t="s">
        <v>202</v>
      </c>
      <c r="DW845" s="27" t="s">
        <v>146</v>
      </c>
      <c r="DX845" s="27" t="s">
        <v>141</v>
      </c>
      <c r="DY845" s="27" t="s">
        <v>144</v>
      </c>
      <c r="DZ845" s="27" t="n">
        <f aca="false">DY845+DV845+DR845+DN845+DJ845+DF845+DB845</f>
        <v>510</v>
      </c>
      <c r="EA845" s="28" t="n">
        <f aca="false">DZ845/7</f>
        <v>72.8571428571429</v>
      </c>
      <c r="EB845" s="27" t="n">
        <f aca="false">RANK(EA845,$EA$2:$EA$881,0)</f>
        <v>596</v>
      </c>
      <c r="EC845" s="29" t="n">
        <f aca="false">DZ845+CQ845+CP845+AZ845</f>
        <v>510</v>
      </c>
      <c r="ED845" s="30" t="n">
        <f aca="false">(EA845+CV845+BB845)/3</f>
        <v>24.2857142857143</v>
      </c>
      <c r="EE845" s="51" t="n">
        <f aca="false">ROUND(BE845,3)</f>
        <v>84.127</v>
      </c>
      <c r="EF845" s="51" t="n">
        <f aca="false">ROUND(CR845,3)</f>
        <v>0</v>
      </c>
      <c r="EG845" s="51" t="n">
        <f aca="false">ROUND(CS845,3)</f>
        <v>0</v>
      </c>
      <c r="EH845" s="51" t="n">
        <f aca="false">ROUND(EA845,3)</f>
        <v>72.857</v>
      </c>
      <c r="EI845" s="51" t="n">
        <f aca="false">ROUND(ED845,3)</f>
        <v>24.286</v>
      </c>
      <c r="EJ845" s="51" t="n">
        <f aca="false">ROUND(CV845,3)</f>
        <v>0</v>
      </c>
      <c r="EK845" s="0" t="n">
        <f aca="false">RANK(EI845,$EI$2:$EI$881,0)</f>
        <v>844</v>
      </c>
    </row>
    <row r="846" customFormat="false" ht="15" hidden="false" customHeight="false" outlineLevel="0" collapsed="false">
      <c r="A846" s="4" t="n">
        <v>8318</v>
      </c>
      <c r="B846" s="4" t="n">
        <v>848</v>
      </c>
      <c r="C846" s="27" t="s">
        <v>2344</v>
      </c>
      <c r="D846" s="145"/>
      <c r="E846" s="57"/>
      <c r="F846" s="146" t="s">
        <v>2345</v>
      </c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  <c r="AZ846" s="80"/>
      <c r="BA846" s="80"/>
      <c r="BB846" s="80"/>
      <c r="BC846" s="57" t="n">
        <f aca="false">(BG846*2400)/100</f>
        <v>0</v>
      </c>
      <c r="BD846" s="16" t="e">
        <f aca="false">RANK(AX846,$AX$2:$AX$881,0)</f>
        <v>#N/A</v>
      </c>
      <c r="BE846" s="92" t="n">
        <f aca="false">((BC846*100)/2400)*0.4+(AX846*0.6)</f>
        <v>0</v>
      </c>
      <c r="BF846" s="16" t="n">
        <f aca="false">RANK(BE846,$BE$2:$BE$881,0)</f>
        <v>806</v>
      </c>
      <c r="BG846" s="80"/>
      <c r="BH846" s="39" t="n">
        <f aca="false">RANK(BC846,$BC$2:$BC$881,0)</f>
        <v>780</v>
      </c>
      <c r="BI846" s="80"/>
      <c r="BJ846" s="80"/>
      <c r="BK846" s="80"/>
      <c r="BL846" s="80"/>
      <c r="BM846" s="80"/>
      <c r="BN846" s="80"/>
      <c r="BO846" s="80"/>
      <c r="BP846" s="80"/>
      <c r="BQ846" s="80"/>
      <c r="BR846" s="80"/>
      <c r="BS846" s="80"/>
      <c r="BT846" s="80"/>
      <c r="BU846" s="80"/>
      <c r="BV846" s="80"/>
      <c r="BW846" s="80"/>
      <c r="BX846" s="80"/>
      <c r="BY846" s="80"/>
      <c r="BZ846" s="80"/>
      <c r="CA846" s="80"/>
      <c r="CB846" s="80"/>
      <c r="CC846" s="80"/>
      <c r="CD846" s="80"/>
      <c r="CE846" s="80"/>
      <c r="CF846" s="80"/>
      <c r="CG846" s="80"/>
      <c r="CH846" s="80"/>
      <c r="CI846" s="80"/>
      <c r="CJ846" s="80"/>
      <c r="CK846" s="80"/>
      <c r="CL846" s="80"/>
      <c r="CM846" s="80"/>
      <c r="CN846" s="80"/>
      <c r="CO846" s="80"/>
      <c r="CP846" s="25" t="n">
        <f aca="false">BX846+BW846+BV846+BU846+BT846+BQ846+BN846</f>
        <v>0</v>
      </c>
      <c r="CQ846" s="25" t="n">
        <f aca="false">CO846+CL846+CI846+CH846+CG846+CD846+CA846</f>
        <v>0</v>
      </c>
      <c r="CR846" s="26" t="n">
        <f aca="false">CP846/7</f>
        <v>0</v>
      </c>
      <c r="CS846" s="26" t="n">
        <f aca="false">CQ846/7</f>
        <v>0</v>
      </c>
      <c r="CT846" s="24" t="n">
        <f aca="false">RANK(CR846,$CR$2:$CR$881,0)</f>
        <v>768</v>
      </c>
      <c r="CU846" s="25" t="n">
        <f aca="false">RANK(CS846,$CS$2:$CS$881,0)</f>
        <v>752</v>
      </c>
      <c r="CV846" s="80"/>
      <c r="CW846" s="25" t="n">
        <f aca="false">RANK(CV846,$CV$2:$CV$881,0)</f>
        <v>753</v>
      </c>
      <c r="CX846" s="80"/>
      <c r="CY846" s="80"/>
      <c r="CZ846" s="27" t="s">
        <v>132</v>
      </c>
      <c r="DA846" s="27" t="s">
        <v>305</v>
      </c>
      <c r="DB846" s="27" t="s">
        <v>305</v>
      </c>
      <c r="DC846" s="27" t="s">
        <v>134</v>
      </c>
      <c r="DD846" s="27" t="s">
        <v>182</v>
      </c>
      <c r="DE846" s="27" t="s">
        <v>1309</v>
      </c>
      <c r="DF846" s="27" t="s">
        <v>204</v>
      </c>
      <c r="DG846" s="27" t="s">
        <v>480</v>
      </c>
      <c r="DH846" s="27" t="s">
        <v>154</v>
      </c>
      <c r="DI846" s="27" t="s">
        <v>375</v>
      </c>
      <c r="DJ846" s="27" t="s">
        <v>486</v>
      </c>
      <c r="DK846" s="27" t="s">
        <v>134</v>
      </c>
      <c r="DL846" s="27" t="s">
        <v>182</v>
      </c>
      <c r="DM846" s="27" t="s">
        <v>415</v>
      </c>
      <c r="DN846" s="27" t="s">
        <v>416</v>
      </c>
      <c r="DO846" s="27" t="s">
        <v>134</v>
      </c>
      <c r="DP846" s="27" t="s">
        <v>706</v>
      </c>
      <c r="DQ846" s="27" t="s">
        <v>412</v>
      </c>
      <c r="DR846" s="27" t="s">
        <v>187</v>
      </c>
      <c r="DS846" s="27" t="s">
        <v>134</v>
      </c>
      <c r="DT846" s="27" t="s">
        <v>160</v>
      </c>
      <c r="DU846" s="27" t="s">
        <v>442</v>
      </c>
      <c r="DV846" s="27" t="s">
        <v>382</v>
      </c>
      <c r="DW846" s="27" t="s">
        <v>154</v>
      </c>
      <c r="DX846" s="27" t="s">
        <v>203</v>
      </c>
      <c r="DY846" s="27" t="s">
        <v>175</v>
      </c>
      <c r="DZ846" s="27" t="n">
        <f aca="false">DY846+DV846+DR846+DN846+DJ846+DF846+DB846</f>
        <v>509</v>
      </c>
      <c r="EA846" s="28" t="n">
        <f aca="false">DZ846/7</f>
        <v>72.7142857142857</v>
      </c>
      <c r="EB846" s="27" t="n">
        <f aca="false">RANK(EA846,$EA$2:$EA$881,0)</f>
        <v>598</v>
      </c>
      <c r="EC846" s="29" t="n">
        <f aca="false">DZ846+CQ846+CP846+AZ846</f>
        <v>509</v>
      </c>
      <c r="ED846" s="30" t="n">
        <f aca="false">(EA846+CV846+BB846)/3</f>
        <v>24.2380952380952</v>
      </c>
      <c r="EE846" s="51" t="n">
        <f aca="false">ROUND(BE846,3)</f>
        <v>0</v>
      </c>
      <c r="EF846" s="51" t="n">
        <f aca="false">ROUND(CR846,3)</f>
        <v>0</v>
      </c>
      <c r="EG846" s="51" t="n">
        <f aca="false">ROUND(CS846,3)</f>
        <v>0</v>
      </c>
      <c r="EH846" s="51" t="n">
        <f aca="false">ROUND(EA846,3)</f>
        <v>72.714</v>
      </c>
      <c r="EI846" s="51" t="n">
        <f aca="false">ROUND(ED846,3)</f>
        <v>24.238</v>
      </c>
      <c r="EJ846" s="51" t="n">
        <f aca="false">ROUND(CV846,3)</f>
        <v>0</v>
      </c>
      <c r="EK846" s="0" t="n">
        <f aca="false">RANK(EI846,$EI$2:$EI$881,0)</f>
        <v>845</v>
      </c>
    </row>
    <row r="847" customFormat="false" ht="15" hidden="false" customHeight="false" outlineLevel="0" collapsed="false">
      <c r="A847" s="4" t="n">
        <v>8187</v>
      </c>
      <c r="B847" s="4" t="n">
        <v>120</v>
      </c>
      <c r="C847" s="27" t="s">
        <v>2346</v>
      </c>
      <c r="D847" s="145"/>
      <c r="E847" s="57"/>
      <c r="F847" s="146" t="s">
        <v>2347</v>
      </c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  <c r="AZ847" s="80"/>
      <c r="BA847" s="80"/>
      <c r="BB847" s="80"/>
      <c r="BC847" s="57" t="n">
        <f aca="false">(BG847*2400)/100</f>
        <v>0</v>
      </c>
      <c r="BD847" s="16" t="e">
        <f aca="false">RANK(AX847,$AX$2:$AX$881,0)</f>
        <v>#N/A</v>
      </c>
      <c r="BE847" s="92" t="n">
        <f aca="false">((BC847*100)/2400)*0.4+(AX847*0.6)</f>
        <v>0</v>
      </c>
      <c r="BF847" s="16" t="n">
        <f aca="false">RANK(BE847,$BE$2:$BE$881,0)</f>
        <v>806</v>
      </c>
      <c r="BG847" s="80"/>
      <c r="BH847" s="39" t="n">
        <f aca="false">RANK(BC847,$BC$2:$BC$881,0)</f>
        <v>780</v>
      </c>
      <c r="BI847" s="80"/>
      <c r="BJ847" s="80"/>
      <c r="BK847" s="80"/>
      <c r="BL847" s="80"/>
      <c r="BM847" s="80"/>
      <c r="BN847" s="80"/>
      <c r="BO847" s="80"/>
      <c r="BP847" s="80"/>
      <c r="BQ847" s="80"/>
      <c r="BR847" s="80"/>
      <c r="BS847" s="80"/>
      <c r="BT847" s="80"/>
      <c r="BU847" s="80"/>
      <c r="BV847" s="80"/>
      <c r="BW847" s="80"/>
      <c r="BX847" s="80"/>
      <c r="BY847" s="80"/>
      <c r="BZ847" s="80"/>
      <c r="CA847" s="80"/>
      <c r="CB847" s="80"/>
      <c r="CC847" s="80"/>
      <c r="CD847" s="80"/>
      <c r="CE847" s="80"/>
      <c r="CF847" s="80"/>
      <c r="CG847" s="80"/>
      <c r="CH847" s="80"/>
      <c r="CI847" s="80"/>
      <c r="CJ847" s="80"/>
      <c r="CK847" s="80"/>
      <c r="CL847" s="80"/>
      <c r="CM847" s="80"/>
      <c r="CN847" s="80"/>
      <c r="CO847" s="80"/>
      <c r="CP847" s="25" t="n">
        <f aca="false">BX847+BW847+BV847+BU847+BT847+BQ847+BN847</f>
        <v>0</v>
      </c>
      <c r="CQ847" s="25" t="n">
        <f aca="false">CO847+CL847+CI847+CH847+CG847+CD847+CA847</f>
        <v>0</v>
      </c>
      <c r="CR847" s="26" t="n">
        <f aca="false">CP847/7</f>
        <v>0</v>
      </c>
      <c r="CS847" s="26" t="n">
        <f aca="false">CQ847/7</f>
        <v>0</v>
      </c>
      <c r="CT847" s="24" t="n">
        <f aca="false">RANK(CR847,$CR$2:$CR$881,0)</f>
        <v>768</v>
      </c>
      <c r="CU847" s="25" t="n">
        <f aca="false">RANK(CS847,$CS$2:$CS$881,0)</f>
        <v>752</v>
      </c>
      <c r="CV847" s="80"/>
      <c r="CW847" s="25" t="n">
        <f aca="false">RANK(CV847,$CV$2:$CV$881,0)</f>
        <v>753</v>
      </c>
      <c r="CX847" s="80"/>
      <c r="CY847" s="80"/>
      <c r="CZ847" s="27" t="s">
        <v>132</v>
      </c>
      <c r="DA847" s="27" t="s">
        <v>151</v>
      </c>
      <c r="DB847" s="27" t="s">
        <v>151</v>
      </c>
      <c r="DC847" s="27" t="s">
        <v>134</v>
      </c>
      <c r="DD847" s="27" t="s">
        <v>182</v>
      </c>
      <c r="DE847" s="27" t="s">
        <v>412</v>
      </c>
      <c r="DF847" s="27" t="s">
        <v>441</v>
      </c>
      <c r="DG847" s="27" t="s">
        <v>134</v>
      </c>
      <c r="DH847" s="27" t="s">
        <v>182</v>
      </c>
      <c r="DI847" s="27" t="s">
        <v>412</v>
      </c>
      <c r="DJ847" s="27" t="s">
        <v>441</v>
      </c>
      <c r="DK847" s="27" t="s">
        <v>134</v>
      </c>
      <c r="DL847" s="27" t="s">
        <v>154</v>
      </c>
      <c r="DM847" s="27" t="s">
        <v>399</v>
      </c>
      <c r="DN847" s="27" t="s">
        <v>416</v>
      </c>
      <c r="DO847" s="27" t="s">
        <v>134</v>
      </c>
      <c r="DP847" s="27"/>
      <c r="DQ847" s="27"/>
      <c r="DR847" s="27"/>
      <c r="DS847" s="27"/>
      <c r="DT847" s="27" t="s">
        <v>137</v>
      </c>
      <c r="DU847" s="27" t="s">
        <v>204</v>
      </c>
      <c r="DV847" s="27" t="s">
        <v>175</v>
      </c>
      <c r="DW847" s="27" t="s">
        <v>182</v>
      </c>
      <c r="DX847" s="27" t="s">
        <v>155</v>
      </c>
      <c r="DY847" s="27" t="s">
        <v>156</v>
      </c>
      <c r="DZ847" s="27" t="n">
        <f aca="false">DY847+DV847+DR847+DN847+DJ847+DF847+DB847</f>
        <v>493</v>
      </c>
      <c r="EA847" s="28" t="n">
        <f aca="false">DZ847/7</f>
        <v>70.4285714285714</v>
      </c>
      <c r="EB847" s="27" t="n">
        <f aca="false">RANK(EA847,$EA$2:$EA$881,0)</f>
        <v>647</v>
      </c>
      <c r="EC847" s="29" t="n">
        <f aca="false">DZ847+CQ847+CP847+AZ847</f>
        <v>493</v>
      </c>
      <c r="ED847" s="30" t="n">
        <f aca="false">(EA847+CV847+BB847)/3</f>
        <v>23.4761904761905</v>
      </c>
      <c r="EE847" s="51" t="n">
        <f aca="false">ROUND(BE847,3)</f>
        <v>0</v>
      </c>
      <c r="EF847" s="51" t="n">
        <f aca="false">ROUND(CR847,3)</f>
        <v>0</v>
      </c>
      <c r="EG847" s="51" t="n">
        <f aca="false">ROUND(CS847,3)</f>
        <v>0</v>
      </c>
      <c r="EH847" s="51" t="n">
        <f aca="false">ROUND(EA847,3)</f>
        <v>70.429</v>
      </c>
      <c r="EI847" s="51" t="n">
        <f aca="false">ROUND(ED847,3)</f>
        <v>23.476</v>
      </c>
      <c r="EJ847" s="51" t="n">
        <f aca="false">ROUND(CV847,3)</f>
        <v>0</v>
      </c>
      <c r="EK847" s="0" t="n">
        <f aca="false">RANK(EI847,$EI$2:$EI$881,0)</f>
        <v>846</v>
      </c>
    </row>
    <row r="848" customFormat="false" ht="15" hidden="false" customHeight="false" outlineLevel="0" collapsed="false">
      <c r="A848" s="4" t="n">
        <v>8528</v>
      </c>
      <c r="B848" s="4" t="n">
        <v>810</v>
      </c>
      <c r="C848" s="27" t="s">
        <v>2348</v>
      </c>
      <c r="D848" s="145"/>
      <c r="E848" s="57"/>
      <c r="F848" s="146" t="s">
        <v>2349</v>
      </c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  <c r="AZ848" s="80"/>
      <c r="BA848" s="80"/>
      <c r="BB848" s="80"/>
      <c r="BC848" s="57" t="n">
        <f aca="false">(BG848*2400)/100</f>
        <v>0</v>
      </c>
      <c r="BD848" s="16" t="e">
        <f aca="false">RANK(AX848,$AX$2:$AX$881,0)</f>
        <v>#N/A</v>
      </c>
      <c r="BE848" s="92" t="n">
        <f aca="false">((BC848*100)/2400)*0.4+(AX848*0.6)</f>
        <v>0</v>
      </c>
      <c r="BF848" s="16" t="n">
        <f aca="false">RANK(BE848,$BE$2:$BE$881,0)</f>
        <v>806</v>
      </c>
      <c r="BG848" s="80"/>
      <c r="BH848" s="39" t="n">
        <f aca="false">RANK(BC848,$BC$2:$BC$881,0)</f>
        <v>780</v>
      </c>
      <c r="BI848" s="80"/>
      <c r="BJ848" s="80"/>
      <c r="BK848" s="80"/>
      <c r="BL848" s="80"/>
      <c r="BM848" s="80"/>
      <c r="BN848" s="80"/>
      <c r="BO848" s="80"/>
      <c r="BP848" s="80"/>
      <c r="BQ848" s="80"/>
      <c r="BR848" s="80"/>
      <c r="BS848" s="80"/>
      <c r="BT848" s="80"/>
      <c r="BU848" s="80"/>
      <c r="BV848" s="80"/>
      <c r="BW848" s="80"/>
      <c r="BX848" s="80"/>
      <c r="BY848" s="80"/>
      <c r="BZ848" s="80"/>
      <c r="CA848" s="80"/>
      <c r="CB848" s="80"/>
      <c r="CC848" s="80"/>
      <c r="CD848" s="80"/>
      <c r="CE848" s="80"/>
      <c r="CF848" s="80"/>
      <c r="CG848" s="80"/>
      <c r="CH848" s="80"/>
      <c r="CI848" s="80"/>
      <c r="CJ848" s="88" t="n">
        <v>17</v>
      </c>
      <c r="CK848" s="88" t="n">
        <v>51</v>
      </c>
      <c r="CL848" s="88" t="n">
        <v>68</v>
      </c>
      <c r="CM848" s="80"/>
      <c r="CN848" s="80"/>
      <c r="CO848" s="80"/>
      <c r="CP848" s="25" t="n">
        <f aca="false">BX848+BW848+BV848+BU848+BT848+BQ848+BN848</f>
        <v>0</v>
      </c>
      <c r="CQ848" s="25" t="n">
        <f aca="false">CO848+CL848+CI848+CH848+CG848+CD848+CA848</f>
        <v>68</v>
      </c>
      <c r="CR848" s="26" t="n">
        <f aca="false">CP848/7</f>
        <v>0</v>
      </c>
      <c r="CS848" s="26" t="n">
        <f aca="false">CQ848/7</f>
        <v>9.71428571428571</v>
      </c>
      <c r="CT848" s="24" t="n">
        <f aca="false">RANK(CR848,$CR$2:$CR$881,0)</f>
        <v>768</v>
      </c>
      <c r="CU848" s="25" t="n">
        <f aca="false">RANK(CS848,$CS$2:$CS$881,0)</f>
        <v>744</v>
      </c>
      <c r="CV848" s="80"/>
      <c r="CW848" s="25" t="n">
        <f aca="false">RANK(CV848,$CV$2:$CV$881,0)</f>
        <v>753</v>
      </c>
      <c r="CX848" s="80"/>
      <c r="CY848" s="80"/>
      <c r="CZ848" s="27" t="s">
        <v>132</v>
      </c>
      <c r="DA848" s="27" t="s">
        <v>272</v>
      </c>
      <c r="DB848" s="27" t="s">
        <v>272</v>
      </c>
      <c r="DC848" s="27" t="s">
        <v>134</v>
      </c>
      <c r="DD848" s="27" t="s">
        <v>706</v>
      </c>
      <c r="DE848" s="27" t="s">
        <v>681</v>
      </c>
      <c r="DF848" s="27" t="s">
        <v>161</v>
      </c>
      <c r="DG848" s="27" t="s">
        <v>134</v>
      </c>
      <c r="DH848" s="27" t="s">
        <v>182</v>
      </c>
      <c r="DI848" s="27" t="s">
        <v>479</v>
      </c>
      <c r="DJ848" s="27" t="s">
        <v>136</v>
      </c>
      <c r="DK848" s="27" t="s">
        <v>134</v>
      </c>
      <c r="DL848" s="27" t="s">
        <v>191</v>
      </c>
      <c r="DM848" s="27" t="s">
        <v>442</v>
      </c>
      <c r="DN848" s="27" t="s">
        <v>138</v>
      </c>
      <c r="DO848" s="27" t="s">
        <v>134</v>
      </c>
      <c r="DP848" s="27" t="s">
        <v>1000</v>
      </c>
      <c r="DQ848" s="27" t="s">
        <v>645</v>
      </c>
      <c r="DR848" s="27" t="s">
        <v>183</v>
      </c>
      <c r="DS848" s="27" t="s">
        <v>480</v>
      </c>
      <c r="DT848" s="27" t="s">
        <v>191</v>
      </c>
      <c r="DU848" s="27" t="s">
        <v>681</v>
      </c>
      <c r="DV848" s="27" t="s">
        <v>187</v>
      </c>
      <c r="DW848" s="27" t="s">
        <v>485</v>
      </c>
      <c r="DX848" s="27" t="s">
        <v>187</v>
      </c>
      <c r="DY848" s="27" t="s">
        <v>169</v>
      </c>
      <c r="DZ848" s="27" t="n">
        <f aca="false">DY848+DV848+DR848+DN848+DJ848+DF848+DB848</f>
        <v>479</v>
      </c>
      <c r="EA848" s="28" t="n">
        <f aca="false">DZ848/7</f>
        <v>68.4285714285714</v>
      </c>
      <c r="EB848" s="27" t="n">
        <f aca="false">RANK(EA848,$EA$2:$EA$881,0)</f>
        <v>684</v>
      </c>
      <c r="EC848" s="29" t="n">
        <f aca="false">DZ848+CQ848+CP848+AZ848</f>
        <v>547</v>
      </c>
      <c r="ED848" s="30" t="n">
        <f aca="false">(EA848+CV848+BB848)/3</f>
        <v>22.8095238095238</v>
      </c>
      <c r="EE848" s="51" t="n">
        <f aca="false">ROUND(BE848,3)</f>
        <v>0</v>
      </c>
      <c r="EF848" s="51" t="n">
        <f aca="false">ROUND(CR848,3)</f>
        <v>0</v>
      </c>
      <c r="EG848" s="51" t="n">
        <f aca="false">ROUND(CS848,3)</f>
        <v>9.714</v>
      </c>
      <c r="EH848" s="51" t="n">
        <f aca="false">ROUND(EA848,3)</f>
        <v>68.429</v>
      </c>
      <c r="EI848" s="51" t="n">
        <f aca="false">ROUND(ED848,3)</f>
        <v>22.81</v>
      </c>
      <c r="EJ848" s="51" t="n">
        <f aca="false">ROUND(CV848,3)</f>
        <v>0</v>
      </c>
      <c r="EK848" s="0" t="n">
        <f aca="false">RANK(EI848,$EI$2:$EI$881,0)</f>
        <v>847</v>
      </c>
    </row>
    <row r="849" customFormat="false" ht="15" hidden="false" customHeight="false" outlineLevel="0" collapsed="false">
      <c r="A849" s="4" t="n">
        <v>1541</v>
      </c>
      <c r="B849" s="4" t="n">
        <v>46</v>
      </c>
      <c r="C849" s="27" t="s">
        <v>2350</v>
      </c>
      <c r="D849" s="145"/>
      <c r="E849" s="57" t="n">
        <v>220612496</v>
      </c>
      <c r="F849" s="146" t="s">
        <v>2351</v>
      </c>
      <c r="G849" s="80"/>
      <c r="H849" s="22" t="s">
        <v>558</v>
      </c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  <c r="AT849" s="80"/>
      <c r="AU849" s="80"/>
      <c r="AV849" s="80"/>
      <c r="AW849" s="80"/>
      <c r="AX849" s="57" t="n">
        <v>76.5</v>
      </c>
      <c r="AY849" s="80"/>
      <c r="AZ849" s="80"/>
      <c r="BA849" s="80"/>
      <c r="BB849" s="80"/>
      <c r="BC849" s="57" t="n">
        <v>2322</v>
      </c>
      <c r="BD849" s="16" t="n">
        <f aca="false">RANK(AX849,$AX$2:$AX$881,0)</f>
        <v>562</v>
      </c>
      <c r="BE849" s="92" t="n">
        <f aca="false">((BC849*100)/2400)*0.4+(AX849*0.6)</f>
        <v>84.6</v>
      </c>
      <c r="BF849" s="16" t="n">
        <f aca="false">RANK(BE849,$BE$2:$BE$881,0)</f>
        <v>673</v>
      </c>
      <c r="BH849" s="39" t="n">
        <f aca="false">RANK(BC849,$BC$2:$BC$881,0)</f>
        <v>756</v>
      </c>
      <c r="BI849" s="57"/>
      <c r="BJ849" s="57"/>
      <c r="BK849" s="57"/>
      <c r="BL849" s="25" t="n">
        <v>24</v>
      </c>
      <c r="BM849" s="25" t="n">
        <v>60</v>
      </c>
      <c r="BN849" s="25" t="n">
        <v>84</v>
      </c>
      <c r="BO849" s="147"/>
      <c r="BP849" s="147"/>
      <c r="BQ849" s="147"/>
      <c r="BR849" s="154" t="n">
        <v>21</v>
      </c>
      <c r="BS849" s="147"/>
      <c r="BT849" s="147"/>
      <c r="BU849" s="80"/>
      <c r="BV849" s="60"/>
      <c r="BW849" s="106"/>
      <c r="BX849" s="124"/>
      <c r="BY849" s="148"/>
      <c r="BZ849" s="148"/>
      <c r="CA849" s="148"/>
      <c r="CB849" s="148"/>
      <c r="CC849" s="148"/>
      <c r="CD849" s="148"/>
      <c r="CE849" s="149" t="n">
        <v>22</v>
      </c>
      <c r="CF849" s="149" t="n">
        <v>42</v>
      </c>
      <c r="CG849" s="149" t="n">
        <v>64</v>
      </c>
      <c r="CH849" s="148"/>
      <c r="CI849" s="148"/>
      <c r="CJ849" s="149" t="n">
        <v>25</v>
      </c>
      <c r="CK849" s="149" t="n">
        <v>54</v>
      </c>
      <c r="CL849" s="149" t="n">
        <v>79</v>
      </c>
      <c r="CM849" s="147"/>
      <c r="CN849" s="147"/>
      <c r="CO849" s="147"/>
      <c r="CP849" s="25" t="n">
        <f aca="false">BX849+BW849+BV849+BU849+BT849+BQ849+BN849</f>
        <v>84</v>
      </c>
      <c r="CQ849" s="25" t="n">
        <f aca="false">CO849+CL849+CI849+CH849+CG849+CD849+CA849</f>
        <v>143</v>
      </c>
      <c r="CR849" s="26" t="n">
        <f aca="false">CP849/7</f>
        <v>12</v>
      </c>
      <c r="CS849" s="26" t="n">
        <f aca="false">CQ849/7</f>
        <v>20.4285714285714</v>
      </c>
      <c r="CT849" s="24" t="n">
        <f aca="false">RANK(CR849,$CR$2:$CR$881,0)</f>
        <v>757</v>
      </c>
      <c r="CU849" s="25" t="n">
        <f aca="false">RANK(CS849,$CS$2:$CS$881,0)</f>
        <v>730</v>
      </c>
      <c r="CV849" s="150"/>
      <c r="CW849" s="25" t="n">
        <f aca="false">RANK(CV849,$CV$2:$CV$881,0)</f>
        <v>753</v>
      </c>
      <c r="CX849" s="57"/>
      <c r="CY849" s="57"/>
      <c r="CZ849" s="27" t="s">
        <v>132</v>
      </c>
      <c r="DA849" s="27" t="s">
        <v>176</v>
      </c>
      <c r="DB849" s="27" t="s">
        <v>176</v>
      </c>
      <c r="DC849" s="27" t="s">
        <v>134</v>
      </c>
      <c r="DD849" s="27" t="s">
        <v>154</v>
      </c>
      <c r="DE849" s="27" t="s">
        <v>220</v>
      </c>
      <c r="DF849" s="27" t="s">
        <v>272</v>
      </c>
      <c r="DG849" s="27" t="s">
        <v>134</v>
      </c>
      <c r="DH849" s="27" t="s">
        <v>135</v>
      </c>
      <c r="DI849" s="27" t="s">
        <v>183</v>
      </c>
      <c r="DJ849" s="27" t="s">
        <v>169</v>
      </c>
      <c r="DK849" s="27" t="s">
        <v>134</v>
      </c>
      <c r="DL849" s="27" t="s">
        <v>264</v>
      </c>
      <c r="DM849" s="27" t="s">
        <v>1407</v>
      </c>
      <c r="DN849" s="27" t="s">
        <v>204</v>
      </c>
      <c r="DO849" s="27" t="s">
        <v>480</v>
      </c>
      <c r="DP849" s="27"/>
      <c r="DQ849" s="27"/>
      <c r="DR849" s="27"/>
      <c r="DS849" s="27"/>
      <c r="DT849" s="27" t="s">
        <v>182</v>
      </c>
      <c r="DU849" s="27" t="s">
        <v>673</v>
      </c>
      <c r="DV849" s="27" t="s">
        <v>163</v>
      </c>
      <c r="DW849" s="27" t="s">
        <v>160</v>
      </c>
      <c r="DX849" s="27" t="s">
        <v>187</v>
      </c>
      <c r="DY849" s="27" t="s">
        <v>156</v>
      </c>
      <c r="DZ849" s="27" t="n">
        <f aca="false">DY849+DV849+DR849+DN849+DJ849+DF849+DB849</f>
        <v>472</v>
      </c>
      <c r="EA849" s="28" t="n">
        <f aca="false">DZ849/7</f>
        <v>67.4285714285714</v>
      </c>
      <c r="EB849" s="27" t="n">
        <f aca="false">RANK(EA849,$EA$2:$EA$881,0)</f>
        <v>701</v>
      </c>
      <c r="EC849" s="29" t="n">
        <f aca="false">DZ849+CQ849+CP849+AZ849</f>
        <v>699</v>
      </c>
      <c r="ED849" s="30" t="n">
        <f aca="false">(EA849+CV849+BB849)/3</f>
        <v>22.4761904761905</v>
      </c>
      <c r="EE849" s="51" t="n">
        <f aca="false">ROUND(BE849,3)</f>
        <v>84.6</v>
      </c>
      <c r="EF849" s="51" t="n">
        <f aca="false">ROUND(CR849,3)</f>
        <v>12</v>
      </c>
      <c r="EG849" s="51" t="n">
        <f aca="false">ROUND(CS849,3)</f>
        <v>20.429</v>
      </c>
      <c r="EH849" s="51" t="n">
        <f aca="false">ROUND(EA849,3)</f>
        <v>67.429</v>
      </c>
      <c r="EI849" s="51" t="n">
        <f aca="false">ROUND(ED849,3)</f>
        <v>22.476</v>
      </c>
      <c r="EJ849" s="51" t="n">
        <f aca="false">ROUND(CV849,3)</f>
        <v>0</v>
      </c>
      <c r="EK849" s="0" t="n">
        <f aca="false">RANK(EI849,$EI$2:$EI$881,0)</f>
        <v>848</v>
      </c>
    </row>
    <row r="850" customFormat="false" ht="15" hidden="false" customHeight="false" outlineLevel="0" collapsed="false">
      <c r="A850" s="4" t="n">
        <v>7764</v>
      </c>
      <c r="B850" s="4" t="n">
        <v>454</v>
      </c>
      <c r="C850" s="27" t="s">
        <v>2352</v>
      </c>
      <c r="D850" s="145"/>
      <c r="E850" s="57"/>
      <c r="F850" s="146" t="s">
        <v>2353</v>
      </c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  <c r="AZ850" s="80"/>
      <c r="BA850" s="80"/>
      <c r="BB850" s="80"/>
      <c r="BC850" s="57" t="n">
        <f aca="false">(BG850*2400)/100</f>
        <v>0</v>
      </c>
      <c r="BD850" s="16" t="e">
        <f aca="false">RANK(AX850,$AX$2:$AX$881,0)</f>
        <v>#N/A</v>
      </c>
      <c r="BE850" s="92" t="n">
        <f aca="false">((BC850*100)/2400)*0.4+(AX850*0.6)</f>
        <v>0</v>
      </c>
      <c r="BF850" s="16" t="n">
        <f aca="false">RANK(BE850,$BE$2:$BE$881,0)</f>
        <v>806</v>
      </c>
      <c r="BG850" s="80"/>
      <c r="BH850" s="39" t="n">
        <f aca="false">RANK(BC850,$BC$2:$BC$881,0)</f>
        <v>780</v>
      </c>
      <c r="BI850" s="80"/>
      <c r="BJ850" s="80"/>
      <c r="BK850" s="80"/>
      <c r="BL850" s="80"/>
      <c r="BM850" s="80"/>
      <c r="BN850" s="80"/>
      <c r="BO850" s="80"/>
      <c r="BP850" s="80"/>
      <c r="BQ850" s="80"/>
      <c r="BR850" s="80"/>
      <c r="BS850" s="80"/>
      <c r="BT850" s="80"/>
      <c r="BU850" s="80"/>
      <c r="BV850" s="80"/>
      <c r="BW850" s="80"/>
      <c r="BX850" s="80"/>
      <c r="BY850" s="80"/>
      <c r="BZ850" s="80"/>
      <c r="CA850" s="80"/>
      <c r="CB850" s="80"/>
      <c r="CC850" s="80"/>
      <c r="CD850" s="80"/>
      <c r="CE850" s="80"/>
      <c r="CF850" s="80"/>
      <c r="CG850" s="80"/>
      <c r="CH850" s="80"/>
      <c r="CI850" s="80"/>
      <c r="CJ850" s="80"/>
      <c r="CK850" s="80"/>
      <c r="CL850" s="80"/>
      <c r="CM850" s="80"/>
      <c r="CN850" s="80"/>
      <c r="CO850" s="80"/>
      <c r="CP850" s="25" t="n">
        <f aca="false">BX850+BW850+BV850+BU850+BT850+BQ850+BN850</f>
        <v>0</v>
      </c>
      <c r="CQ850" s="25" t="n">
        <f aca="false">CO850+CL850+CI850+CH850+CG850+CD850+CA850</f>
        <v>0</v>
      </c>
      <c r="CR850" s="26" t="n">
        <f aca="false">CP850/7</f>
        <v>0</v>
      </c>
      <c r="CS850" s="26" t="n">
        <f aca="false">CQ850/7</f>
        <v>0</v>
      </c>
      <c r="CT850" s="24" t="n">
        <f aca="false">RANK(CR850,$CR$2:$CR$881,0)</f>
        <v>768</v>
      </c>
      <c r="CU850" s="25" t="n">
        <f aca="false">RANK(CS850,$CS$2:$CS$881,0)</f>
        <v>752</v>
      </c>
      <c r="CV850" s="80"/>
      <c r="CW850" s="25" t="n">
        <f aca="false">RANK(CV850,$CV$2:$CV$881,0)</f>
        <v>753</v>
      </c>
      <c r="CX850" s="80"/>
      <c r="CY850" s="80"/>
      <c r="CZ850" s="27" t="s">
        <v>132</v>
      </c>
      <c r="DA850" s="27" t="s">
        <v>441</v>
      </c>
      <c r="DB850" s="27" t="s">
        <v>441</v>
      </c>
      <c r="DC850" s="27" t="s">
        <v>134</v>
      </c>
      <c r="DD850" s="27" t="s">
        <v>604</v>
      </c>
      <c r="DE850" s="27" t="s">
        <v>681</v>
      </c>
      <c r="DF850" s="27" t="s">
        <v>203</v>
      </c>
      <c r="DG850" s="27" t="s">
        <v>134</v>
      </c>
      <c r="DH850" s="27" t="s">
        <v>154</v>
      </c>
      <c r="DI850" s="27" t="s">
        <v>1309</v>
      </c>
      <c r="DJ850" s="27" t="s">
        <v>183</v>
      </c>
      <c r="DK850" s="27" t="s">
        <v>480</v>
      </c>
      <c r="DL850" s="27" t="s">
        <v>485</v>
      </c>
      <c r="DM850" s="27" t="s">
        <v>638</v>
      </c>
      <c r="DN850" s="27" t="s">
        <v>203</v>
      </c>
      <c r="DO850" s="27" t="s">
        <v>134</v>
      </c>
      <c r="DP850" s="27" t="s">
        <v>386</v>
      </c>
      <c r="DQ850" s="27" t="s">
        <v>1151</v>
      </c>
      <c r="DR850" s="27" t="s">
        <v>375</v>
      </c>
      <c r="DS850" s="27" t="s">
        <v>480</v>
      </c>
      <c r="DT850" s="27" t="s">
        <v>135</v>
      </c>
      <c r="DU850" s="27" t="s">
        <v>989</v>
      </c>
      <c r="DV850" s="27" t="s">
        <v>141</v>
      </c>
      <c r="DW850" s="27" t="s">
        <v>174</v>
      </c>
      <c r="DX850" s="27" t="s">
        <v>155</v>
      </c>
      <c r="DY850" s="27" t="s">
        <v>176</v>
      </c>
      <c r="DZ850" s="27" t="n">
        <f aca="false">DY850+DV850+DR850+DN850+DJ850+DF850+DB850</f>
        <v>466</v>
      </c>
      <c r="EA850" s="28" t="n">
        <f aca="false">DZ850/7</f>
        <v>66.5714285714286</v>
      </c>
      <c r="EB850" s="27" t="n">
        <f aca="false">RANK(EA850,$EA$2:$EA$881,0)</f>
        <v>710</v>
      </c>
      <c r="EC850" s="29" t="n">
        <f aca="false">DZ850+CQ850+CP850+AZ850</f>
        <v>466</v>
      </c>
      <c r="ED850" s="30" t="n">
        <f aca="false">(EA850+CV850+BB850)/3</f>
        <v>22.1904761904762</v>
      </c>
      <c r="EE850" s="51" t="n">
        <f aca="false">ROUND(BE850,3)</f>
        <v>0</v>
      </c>
      <c r="EF850" s="51" t="n">
        <f aca="false">ROUND(CR850,3)</f>
        <v>0</v>
      </c>
      <c r="EG850" s="51" t="n">
        <f aca="false">ROUND(CS850,3)</f>
        <v>0</v>
      </c>
      <c r="EH850" s="51" t="n">
        <f aca="false">ROUND(EA850,3)</f>
        <v>66.571</v>
      </c>
      <c r="EI850" s="51" t="n">
        <f aca="false">ROUND(ED850,3)</f>
        <v>22.19</v>
      </c>
      <c r="EJ850" s="51" t="n">
        <f aca="false">ROUND(CV850,3)</f>
        <v>0</v>
      </c>
      <c r="EK850" s="0" t="n">
        <f aca="false">RANK(EI850,$EI$2:$EI$881,0)</f>
        <v>849</v>
      </c>
    </row>
    <row r="851" customFormat="false" ht="15" hidden="false" customHeight="false" outlineLevel="0" collapsed="false">
      <c r="A851" s="4" t="n">
        <v>8500</v>
      </c>
      <c r="B851" s="4" t="n">
        <v>208</v>
      </c>
      <c r="C851" s="27" t="s">
        <v>2354</v>
      </c>
      <c r="D851" s="145"/>
      <c r="E851" s="57"/>
      <c r="F851" s="146" t="s">
        <v>2355</v>
      </c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  <c r="AZ851" s="80"/>
      <c r="BA851" s="80"/>
      <c r="BB851" s="80"/>
      <c r="BC851" s="57" t="n">
        <f aca="false">(BG851*2400)/100</f>
        <v>0</v>
      </c>
      <c r="BD851" s="16" t="e">
        <f aca="false">RANK(AX851,$AX$2:$AX$881,0)</f>
        <v>#N/A</v>
      </c>
      <c r="BE851" s="92" t="n">
        <f aca="false">((BC851*100)/2400)*0.4+(AX851*0.6)</f>
        <v>0</v>
      </c>
      <c r="BF851" s="16" t="n">
        <f aca="false">RANK(BE851,$BE$2:$BE$881,0)</f>
        <v>806</v>
      </c>
      <c r="BG851" s="80"/>
      <c r="BH851" s="39" t="n">
        <f aca="false">RANK(BC851,$BC$2:$BC$881,0)</f>
        <v>780</v>
      </c>
      <c r="BI851" s="80"/>
      <c r="BJ851" s="80"/>
      <c r="BK851" s="80"/>
      <c r="BL851" s="80"/>
      <c r="BM851" s="80"/>
      <c r="BN851" s="80"/>
      <c r="BO851" s="80"/>
      <c r="BP851" s="80"/>
      <c r="BQ851" s="80"/>
      <c r="BR851" s="80"/>
      <c r="BS851" s="80"/>
      <c r="BT851" s="80"/>
      <c r="BU851" s="80"/>
      <c r="BV851" s="80"/>
      <c r="BW851" s="80"/>
      <c r="BX851" s="80"/>
      <c r="BY851" s="80"/>
      <c r="BZ851" s="80"/>
      <c r="CA851" s="80"/>
      <c r="CB851" s="80"/>
      <c r="CC851" s="80"/>
      <c r="CD851" s="80"/>
      <c r="CE851" s="80"/>
      <c r="CF851" s="80"/>
      <c r="CG851" s="80"/>
      <c r="CH851" s="80"/>
      <c r="CI851" s="80"/>
      <c r="CJ851" s="80"/>
      <c r="CK851" s="80"/>
      <c r="CL851" s="80"/>
      <c r="CM851" s="80"/>
      <c r="CN851" s="80"/>
      <c r="CO851" s="80"/>
      <c r="CP851" s="25" t="n">
        <f aca="false">BX851+BW851+BV851+BU851+BT851+BQ851+BN851</f>
        <v>0</v>
      </c>
      <c r="CQ851" s="25" t="n">
        <f aca="false">CO851+CL851+CI851+CH851+CG851+CD851+CA851</f>
        <v>0</v>
      </c>
      <c r="CR851" s="26" t="n">
        <f aca="false">CP851/7</f>
        <v>0</v>
      </c>
      <c r="CS851" s="26" t="n">
        <f aca="false">CQ851/7</f>
        <v>0</v>
      </c>
      <c r="CT851" s="24" t="n">
        <f aca="false">RANK(CR851,$CR$2:$CR$881,0)</f>
        <v>768</v>
      </c>
      <c r="CU851" s="25" t="n">
        <f aca="false">RANK(CS851,$CS$2:$CS$881,0)</f>
        <v>752</v>
      </c>
      <c r="CV851" s="80"/>
      <c r="CW851" s="25" t="n">
        <f aca="false">RANK(CV851,$CV$2:$CV$881,0)</f>
        <v>753</v>
      </c>
      <c r="CX851" s="80"/>
      <c r="CY851" s="80"/>
      <c r="CZ851" s="27" t="s">
        <v>132</v>
      </c>
      <c r="DA851" s="27" t="s">
        <v>219</v>
      </c>
      <c r="DB851" s="27" t="s">
        <v>219</v>
      </c>
      <c r="DC851" s="27" t="s">
        <v>134</v>
      </c>
      <c r="DD851" s="27" t="s">
        <v>386</v>
      </c>
      <c r="DE851" s="27" t="s">
        <v>2356</v>
      </c>
      <c r="DF851" s="27" t="s">
        <v>191</v>
      </c>
      <c r="DG851" s="27" t="s">
        <v>480</v>
      </c>
      <c r="DH851" s="27" t="s">
        <v>137</v>
      </c>
      <c r="DI851" s="27" t="s">
        <v>638</v>
      </c>
      <c r="DJ851" s="27" t="s">
        <v>416</v>
      </c>
      <c r="DK851" s="27" t="s">
        <v>134</v>
      </c>
      <c r="DL851" s="27" t="s">
        <v>174</v>
      </c>
      <c r="DM851" s="27" t="s">
        <v>897</v>
      </c>
      <c r="DN851" s="27" t="s">
        <v>163</v>
      </c>
      <c r="DO851" s="27" t="s">
        <v>134</v>
      </c>
      <c r="DP851" s="27" t="s">
        <v>706</v>
      </c>
      <c r="DQ851" s="27" t="s">
        <v>1395</v>
      </c>
      <c r="DR851" s="27" t="s">
        <v>442</v>
      </c>
      <c r="DS851" s="27" t="s">
        <v>480</v>
      </c>
      <c r="DT851" s="27" t="s">
        <v>135</v>
      </c>
      <c r="DU851" s="27" t="s">
        <v>313</v>
      </c>
      <c r="DV851" s="27" t="s">
        <v>382</v>
      </c>
      <c r="DW851" s="27" t="s">
        <v>160</v>
      </c>
      <c r="DX851" s="27" t="s">
        <v>143</v>
      </c>
      <c r="DY851" s="27" t="s">
        <v>142</v>
      </c>
      <c r="DZ851" s="27" t="n">
        <f aca="false">DY851+DV851+DR851+DN851+DJ851+DF851+DB851</f>
        <v>458</v>
      </c>
      <c r="EA851" s="28" t="n">
        <f aca="false">DZ851/7</f>
        <v>65.4285714285714</v>
      </c>
      <c r="EB851" s="27" t="n">
        <f aca="false">RANK(EA851,$EA$2:$EA$881,0)</f>
        <v>725</v>
      </c>
      <c r="EC851" s="29" t="n">
        <f aca="false">DZ851+CQ851+CP851+AZ851</f>
        <v>458</v>
      </c>
      <c r="ED851" s="30" t="n">
        <f aca="false">(EA851+CV851+BB851)/3</f>
        <v>21.8095238095238</v>
      </c>
      <c r="EE851" s="51" t="n">
        <f aca="false">ROUND(BE851,3)</f>
        <v>0</v>
      </c>
      <c r="EF851" s="51" t="n">
        <f aca="false">ROUND(CR851,3)</f>
        <v>0</v>
      </c>
      <c r="EG851" s="51" t="n">
        <f aca="false">ROUND(CS851,3)</f>
        <v>0</v>
      </c>
      <c r="EH851" s="51" t="n">
        <f aca="false">ROUND(EA851,3)</f>
        <v>65.429</v>
      </c>
      <c r="EI851" s="51" t="n">
        <f aca="false">ROUND(ED851,3)</f>
        <v>21.81</v>
      </c>
      <c r="EJ851" s="51" t="n">
        <f aca="false">ROUND(CV851,3)</f>
        <v>0</v>
      </c>
      <c r="EK851" s="0" t="n">
        <f aca="false">RANK(EI851,$EI$2:$EI$881,0)</f>
        <v>850</v>
      </c>
    </row>
    <row r="852" customFormat="false" ht="15" hidden="false" customHeight="false" outlineLevel="0" collapsed="false">
      <c r="A852" s="4" t="n">
        <v>7974</v>
      </c>
      <c r="B852" s="4" t="n">
        <v>824</v>
      </c>
      <c r="C852" s="27" t="s">
        <v>2357</v>
      </c>
      <c r="D852" s="145"/>
      <c r="E852" s="57"/>
      <c r="F852" s="146" t="s">
        <v>2358</v>
      </c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  <c r="AV852" s="80"/>
      <c r="AW852" s="80"/>
      <c r="AX852" s="57"/>
      <c r="AY852" s="80"/>
      <c r="AZ852" s="80"/>
      <c r="BA852" s="80"/>
      <c r="BB852" s="80"/>
      <c r="BC852" s="57" t="n">
        <f aca="false">(BG852*2400)/100</f>
        <v>0</v>
      </c>
      <c r="BD852" s="16" t="e">
        <f aca="false">RANK(AX852,$AX$2:$AX$881,0)</f>
        <v>#N/A</v>
      </c>
      <c r="BE852" s="92" t="n">
        <f aca="false">((BC852*100)/2400)*0.4+(AX852*0.6)</f>
        <v>0</v>
      </c>
      <c r="BF852" s="16" t="n">
        <f aca="false">RANK(BE852,$BE$2:$BE$881,0)</f>
        <v>806</v>
      </c>
      <c r="BG852" s="57"/>
      <c r="BH852" s="39" t="n">
        <f aca="false">RANK(BC852,$BC$2:$BC$881,0)</f>
        <v>780</v>
      </c>
      <c r="BI852" s="57"/>
      <c r="BJ852" s="57"/>
      <c r="BK852" s="57"/>
      <c r="BL852" s="57"/>
      <c r="BM852" s="57"/>
      <c r="BN852" s="57"/>
      <c r="BO852" s="57"/>
      <c r="BP852" s="57"/>
      <c r="BQ852" s="57"/>
      <c r="BR852" s="57" t="n">
        <v>12</v>
      </c>
      <c r="BS852" s="57" t="n">
        <v>54</v>
      </c>
      <c r="BT852" s="57" t="n">
        <v>66</v>
      </c>
      <c r="BU852" s="80"/>
      <c r="BV852" s="60"/>
      <c r="BW852" s="106"/>
      <c r="BX852" s="124"/>
      <c r="BY852" s="57"/>
      <c r="BZ852" s="57"/>
      <c r="CA852" s="57"/>
      <c r="CB852" s="57"/>
      <c r="CC852" s="57"/>
      <c r="CD852" s="57"/>
      <c r="CE852" s="57"/>
      <c r="CF852" s="57"/>
      <c r="CG852" s="57"/>
      <c r="CH852" s="57"/>
      <c r="CI852" s="57"/>
      <c r="CJ852" s="57" t="n">
        <v>21</v>
      </c>
      <c r="CK852" s="57" t="n">
        <v>51</v>
      </c>
      <c r="CL852" s="57" t="n">
        <v>72</v>
      </c>
      <c r="CM852" s="57"/>
      <c r="CN852" s="57"/>
      <c r="CO852" s="57"/>
      <c r="CP852" s="25" t="n">
        <f aca="false">BX852+BW852+BV852+BU852+BT852+BQ852+BN852</f>
        <v>66</v>
      </c>
      <c r="CQ852" s="25" t="n">
        <f aca="false">CO852+CL852+CI852+CH852+CG852+CD852+CA852</f>
        <v>72</v>
      </c>
      <c r="CR852" s="26" t="n">
        <f aca="false">CP852/7</f>
        <v>9.42857142857143</v>
      </c>
      <c r="CS852" s="26" t="n">
        <f aca="false">CQ852/7</f>
        <v>10.2857142857143</v>
      </c>
      <c r="CT852" s="24" t="n">
        <f aca="false">RANK(CR852,$CR$2:$CR$881,0)</f>
        <v>759</v>
      </c>
      <c r="CU852" s="25" t="n">
        <f aca="false">RANK(CS852,$CS$2:$CS$881,0)</f>
        <v>742</v>
      </c>
      <c r="CV852" s="150"/>
      <c r="CW852" s="25" t="n">
        <f aca="false">RANK(CV852,$CV$2:$CV$881,0)</f>
        <v>753</v>
      </c>
      <c r="CX852" s="57"/>
      <c r="CY852" s="57"/>
      <c r="CZ852" s="27" t="s">
        <v>132</v>
      </c>
      <c r="DA852" s="27" t="s">
        <v>138</v>
      </c>
      <c r="DB852" s="27" t="s">
        <v>138</v>
      </c>
      <c r="DC852" s="27" t="s">
        <v>134</v>
      </c>
      <c r="DD852" s="27" t="s">
        <v>195</v>
      </c>
      <c r="DE852" s="27" t="s">
        <v>313</v>
      </c>
      <c r="DF852" s="27" t="s">
        <v>486</v>
      </c>
      <c r="DG852" s="27" t="s">
        <v>134</v>
      </c>
      <c r="DH852" s="27" t="s">
        <v>135</v>
      </c>
      <c r="DI852" s="27" t="s">
        <v>1151</v>
      </c>
      <c r="DJ852" s="27" t="s">
        <v>218</v>
      </c>
      <c r="DK852" s="27" t="s">
        <v>480</v>
      </c>
      <c r="DL852" s="27" t="s">
        <v>191</v>
      </c>
      <c r="DM852" s="27" t="s">
        <v>673</v>
      </c>
      <c r="DN852" s="27" t="s">
        <v>161</v>
      </c>
      <c r="DO852" s="27" t="s">
        <v>134</v>
      </c>
      <c r="DP852" s="27" t="s">
        <v>718</v>
      </c>
      <c r="DQ852" s="27" t="s">
        <v>1407</v>
      </c>
      <c r="DR852" s="27" t="s">
        <v>313</v>
      </c>
      <c r="DS852" s="27" t="s">
        <v>480</v>
      </c>
      <c r="DT852" s="27" t="s">
        <v>182</v>
      </c>
      <c r="DU852" s="27" t="s">
        <v>1064</v>
      </c>
      <c r="DV852" s="27" t="s">
        <v>177</v>
      </c>
      <c r="DW852" s="27" t="s">
        <v>182</v>
      </c>
      <c r="DX852" s="27" t="s">
        <v>203</v>
      </c>
      <c r="DY852" s="27" t="s">
        <v>202</v>
      </c>
      <c r="DZ852" s="27" t="n">
        <f aca="false">DY852+DV852+DR852+DN852+DJ852+DF852+DB852</f>
        <v>458</v>
      </c>
      <c r="EA852" s="28" t="n">
        <f aca="false">DZ852/7</f>
        <v>65.4285714285714</v>
      </c>
      <c r="EB852" s="27" t="n">
        <f aca="false">RANK(EA852,$EA$2:$EA$881,0)</f>
        <v>725</v>
      </c>
      <c r="EC852" s="29" t="n">
        <f aca="false">DZ852+CQ852+CP852+AZ852</f>
        <v>596</v>
      </c>
      <c r="ED852" s="30" t="n">
        <f aca="false">(EA852+CV852+BB852)/3</f>
        <v>21.8095238095238</v>
      </c>
      <c r="EE852" s="51" t="n">
        <f aca="false">ROUND(BE852,3)</f>
        <v>0</v>
      </c>
      <c r="EF852" s="51" t="n">
        <f aca="false">ROUND(CR852,3)</f>
        <v>9.429</v>
      </c>
      <c r="EG852" s="51" t="n">
        <f aca="false">ROUND(CS852,3)</f>
        <v>10.286</v>
      </c>
      <c r="EH852" s="51" t="n">
        <f aca="false">ROUND(EA852,3)</f>
        <v>65.429</v>
      </c>
      <c r="EI852" s="51" t="n">
        <f aca="false">ROUND(ED852,3)</f>
        <v>21.81</v>
      </c>
      <c r="EJ852" s="51" t="n">
        <f aca="false">ROUND(CV852,3)</f>
        <v>0</v>
      </c>
      <c r="EK852" s="0" t="n">
        <f aca="false">RANK(EI852,$EI$2:$EI$881,0)</f>
        <v>850</v>
      </c>
    </row>
    <row r="853" customFormat="false" ht="15" hidden="false" customHeight="false" outlineLevel="0" collapsed="false">
      <c r="A853" s="4" t="n">
        <v>7891</v>
      </c>
      <c r="B853" s="4" t="n">
        <v>559</v>
      </c>
      <c r="C853" s="27" t="s">
        <v>2359</v>
      </c>
      <c r="D853" s="145"/>
      <c r="E853" s="57"/>
      <c r="F853" s="146" t="s">
        <v>2360</v>
      </c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  <c r="AT853" s="80"/>
      <c r="AU853" s="80"/>
      <c r="AV853" s="80"/>
      <c r="AW853" s="80"/>
      <c r="AX853" s="57"/>
      <c r="AY853" s="80"/>
      <c r="AZ853" s="80"/>
      <c r="BA853" s="80"/>
      <c r="BB853" s="80"/>
      <c r="BC853" s="57" t="n">
        <f aca="false">(BG853*2400)/100</f>
        <v>0</v>
      </c>
      <c r="BD853" s="16" t="e">
        <f aca="false">RANK(AX853,$AX$2:$AX$881,0)</f>
        <v>#N/A</v>
      </c>
      <c r="BE853" s="92" t="n">
        <f aca="false">((BC853*100)/2400)*0.4+(AX853*0.6)</f>
        <v>0</v>
      </c>
      <c r="BF853" s="16" t="n">
        <f aca="false">RANK(BE853,$BE$2:$BE$881,0)</f>
        <v>806</v>
      </c>
      <c r="BG853" s="57"/>
      <c r="BH853" s="39" t="n">
        <f aca="false">RANK(BC853,$BC$2:$BC$881,0)</f>
        <v>780</v>
      </c>
      <c r="BI853" s="57"/>
      <c r="BJ853" s="57"/>
      <c r="BK853" s="57"/>
      <c r="BL853" s="57" t="n">
        <v>16</v>
      </c>
      <c r="BM853" s="57" t="n">
        <v>37</v>
      </c>
      <c r="BN853" s="155" t="n">
        <v>53</v>
      </c>
      <c r="BO853" s="57"/>
      <c r="BP853" s="57"/>
      <c r="BQ853" s="57"/>
      <c r="BR853" s="57"/>
      <c r="BS853" s="57"/>
      <c r="BT853" s="57"/>
      <c r="BU853" s="80"/>
      <c r="BV853" s="60"/>
      <c r="BW853" s="106"/>
      <c r="BX853" s="124"/>
      <c r="BY853" s="57"/>
      <c r="BZ853" s="57"/>
      <c r="CA853" s="57"/>
      <c r="CB853" s="57"/>
      <c r="CC853" s="57"/>
      <c r="CD853" s="57"/>
      <c r="CE853" s="57"/>
      <c r="CF853" s="57"/>
      <c r="CG853" s="57"/>
      <c r="CH853" s="57"/>
      <c r="CI853" s="57"/>
      <c r="CJ853" s="57"/>
      <c r="CK853" s="57"/>
      <c r="CL853" s="57"/>
      <c r="CM853" s="57"/>
      <c r="CN853" s="57"/>
      <c r="CO853" s="57"/>
      <c r="CP853" s="25" t="n">
        <f aca="false">BX853+BW853+BV853+BU853+BT853+BQ853+BN853</f>
        <v>53</v>
      </c>
      <c r="CQ853" s="25" t="n">
        <f aca="false">CO853+CL853+CI853+CH853+CG853+CD853+CA853</f>
        <v>0</v>
      </c>
      <c r="CR853" s="26" t="n">
        <f aca="false">CP853/7</f>
        <v>7.57142857142857</v>
      </c>
      <c r="CS853" s="26" t="n">
        <f aca="false">CQ853/7</f>
        <v>0</v>
      </c>
      <c r="CT853" s="24" t="n">
        <f aca="false">RANK(CR853,$CR$2:$CR$881,0)</f>
        <v>766</v>
      </c>
      <c r="CU853" s="25" t="n">
        <f aca="false">RANK(CS853,$CS$2:$CS$881,0)</f>
        <v>752</v>
      </c>
      <c r="CV853" s="150"/>
      <c r="CW853" s="25" t="n">
        <f aca="false">RANK(CV853,$CV$2:$CV$881,0)</f>
        <v>753</v>
      </c>
      <c r="CX853" s="57"/>
      <c r="CY853" s="57"/>
      <c r="CZ853" s="27" t="s">
        <v>132</v>
      </c>
      <c r="DA853" s="27" t="s">
        <v>162</v>
      </c>
      <c r="DB853" s="27" t="s">
        <v>162</v>
      </c>
      <c r="DC853" s="27" t="s">
        <v>134</v>
      </c>
      <c r="DD853" s="27" t="s">
        <v>191</v>
      </c>
      <c r="DE853" s="27" t="s">
        <v>313</v>
      </c>
      <c r="DF853" s="27" t="s">
        <v>398</v>
      </c>
      <c r="DG853" s="27" t="s">
        <v>134</v>
      </c>
      <c r="DH853" s="27"/>
      <c r="DI853" s="27"/>
      <c r="DJ853" s="27"/>
      <c r="DK853" s="27"/>
      <c r="DL853" s="27" t="s">
        <v>604</v>
      </c>
      <c r="DM853" s="27" t="s">
        <v>313</v>
      </c>
      <c r="DN853" s="27" t="s">
        <v>143</v>
      </c>
      <c r="DO853" s="27" t="s">
        <v>134</v>
      </c>
      <c r="DP853" s="27" t="s">
        <v>386</v>
      </c>
      <c r="DQ853" s="27" t="s">
        <v>1064</v>
      </c>
      <c r="DR853" s="27" t="s">
        <v>304</v>
      </c>
      <c r="DS853" s="27" t="s">
        <v>480</v>
      </c>
      <c r="DT853" s="27" t="s">
        <v>135</v>
      </c>
      <c r="DU853" s="27" t="s">
        <v>412</v>
      </c>
      <c r="DV853" s="27" t="s">
        <v>443</v>
      </c>
      <c r="DW853" s="27" t="s">
        <v>135</v>
      </c>
      <c r="DX853" s="27" t="s">
        <v>155</v>
      </c>
      <c r="DY853" s="27" t="s">
        <v>139</v>
      </c>
      <c r="DZ853" s="27" t="n">
        <f aca="false">DY853+DV853+DR853+DN853+DJ853+DF853+DB853</f>
        <v>454</v>
      </c>
      <c r="EA853" s="28" t="n">
        <f aca="false">DZ853/7</f>
        <v>64.8571428571429</v>
      </c>
      <c r="EB853" s="27" t="n">
        <f aca="false">RANK(EA853,$EA$2:$EA$881,0)</f>
        <v>733</v>
      </c>
      <c r="EC853" s="29" t="n">
        <f aca="false">DZ853+CQ853+CP853+AZ853</f>
        <v>507</v>
      </c>
      <c r="ED853" s="30" t="n">
        <f aca="false">(EA853+CV853+BB853)/3</f>
        <v>21.6190476190476</v>
      </c>
      <c r="EE853" s="51" t="n">
        <f aca="false">ROUND(BE853,3)</f>
        <v>0</v>
      </c>
      <c r="EF853" s="51" t="n">
        <f aca="false">ROUND(CR853,3)</f>
        <v>7.571</v>
      </c>
      <c r="EG853" s="51" t="n">
        <f aca="false">ROUND(CS853,3)</f>
        <v>0</v>
      </c>
      <c r="EH853" s="51" t="n">
        <f aca="false">ROUND(EA853,3)</f>
        <v>64.857</v>
      </c>
      <c r="EI853" s="51" t="n">
        <f aca="false">ROUND(ED853,3)</f>
        <v>21.619</v>
      </c>
      <c r="EJ853" s="51" t="n">
        <f aca="false">ROUND(CV853,3)</f>
        <v>0</v>
      </c>
      <c r="EK853" s="0" t="n">
        <f aca="false">RANK(EI853,$EI$2:$EI$881,0)</f>
        <v>852</v>
      </c>
    </row>
    <row r="854" customFormat="false" ht="15" hidden="false" customHeight="false" outlineLevel="0" collapsed="false">
      <c r="A854" s="4" t="n">
        <v>1787</v>
      </c>
      <c r="B854" s="4" t="n">
        <v>446</v>
      </c>
      <c r="C854" s="27" t="s">
        <v>2361</v>
      </c>
      <c r="D854" s="145"/>
      <c r="E854" s="57"/>
      <c r="F854" s="146" t="s">
        <v>2362</v>
      </c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  <c r="AZ854" s="80"/>
      <c r="BA854" s="80"/>
      <c r="BB854" s="80"/>
      <c r="BC854" s="57" t="n">
        <f aca="false">(BG854*2400)/100</f>
        <v>0</v>
      </c>
      <c r="BD854" s="16" t="e">
        <f aca="false">RANK(AX854,$AX$2:$AX$881,0)</f>
        <v>#N/A</v>
      </c>
      <c r="BE854" s="92" t="n">
        <f aca="false">((BC854*100)/2400)*0.4+(AX854*0.6)</f>
        <v>0</v>
      </c>
      <c r="BF854" s="16" t="n">
        <f aca="false">RANK(BE854,$BE$2:$BE$881,0)</f>
        <v>806</v>
      </c>
      <c r="BG854" s="80"/>
      <c r="BH854" s="39" t="n">
        <f aca="false">RANK(BC854,$BC$2:$BC$881,0)</f>
        <v>780</v>
      </c>
      <c r="BI854" s="80"/>
      <c r="BJ854" s="80"/>
      <c r="BK854" s="80"/>
      <c r="BL854" s="80"/>
      <c r="BM854" s="80"/>
      <c r="BN854" s="80"/>
      <c r="BO854" s="80"/>
      <c r="BP854" s="80"/>
      <c r="BQ854" s="80"/>
      <c r="BR854" s="80"/>
      <c r="BS854" s="80"/>
      <c r="BT854" s="80"/>
      <c r="BU854" s="80"/>
      <c r="BV854" s="80"/>
      <c r="BW854" s="80"/>
      <c r="BX854" s="80"/>
      <c r="BY854" s="88" t="n">
        <v>23</v>
      </c>
      <c r="BZ854" s="88" t="n">
        <v>58</v>
      </c>
      <c r="CA854" s="88" t="n">
        <v>81</v>
      </c>
      <c r="CB854" s="80"/>
      <c r="CC854" s="80"/>
      <c r="CD854" s="80"/>
      <c r="CE854" s="80"/>
      <c r="CF854" s="80"/>
      <c r="CG854" s="80"/>
      <c r="CH854" s="80"/>
      <c r="CI854" s="80"/>
      <c r="CJ854" s="80"/>
      <c r="CK854" s="80"/>
      <c r="CL854" s="80"/>
      <c r="CM854" s="88" t="n">
        <v>18</v>
      </c>
      <c r="CN854" s="88" t="n">
        <v>53</v>
      </c>
      <c r="CO854" s="88" t="n">
        <v>71</v>
      </c>
      <c r="CP854" s="25" t="n">
        <f aca="false">BX854+BW854+BV854+BU854+BT854+BQ854+BN854</f>
        <v>0</v>
      </c>
      <c r="CQ854" s="25" t="n">
        <f aca="false">CO854+CL854+CI854+CH854+CG854+CD854+CA854</f>
        <v>152</v>
      </c>
      <c r="CR854" s="26" t="n">
        <f aca="false">CP854/7</f>
        <v>0</v>
      </c>
      <c r="CS854" s="26" t="n">
        <f aca="false">CQ854/7</f>
        <v>21.7142857142857</v>
      </c>
      <c r="CT854" s="24" t="n">
        <f aca="false">RANK(CR854,$CR$2:$CR$881,0)</f>
        <v>768</v>
      </c>
      <c r="CU854" s="25" t="n">
        <f aca="false">RANK(CS854,$CS$2:$CS$881,0)</f>
        <v>729</v>
      </c>
      <c r="CV854" s="80"/>
      <c r="CW854" s="25" t="n">
        <f aca="false">RANK(CV854,$CV$2:$CV$881,0)</f>
        <v>753</v>
      </c>
      <c r="CX854" s="80"/>
      <c r="CY854" s="80"/>
      <c r="CZ854" s="27" t="s">
        <v>132</v>
      </c>
      <c r="DA854" s="27" t="s">
        <v>175</v>
      </c>
      <c r="DB854" s="27" t="s">
        <v>175</v>
      </c>
      <c r="DC854" s="27" t="s">
        <v>134</v>
      </c>
      <c r="DD854" s="27" t="s">
        <v>191</v>
      </c>
      <c r="DE854" s="27" t="s">
        <v>160</v>
      </c>
      <c r="DF854" s="27" t="s">
        <v>399</v>
      </c>
      <c r="DG854" s="27" t="s">
        <v>480</v>
      </c>
      <c r="DH854" s="27" t="s">
        <v>140</v>
      </c>
      <c r="DI854" s="27" t="s">
        <v>906</v>
      </c>
      <c r="DJ854" s="27" t="s">
        <v>141</v>
      </c>
      <c r="DK854" s="27" t="s">
        <v>134</v>
      </c>
      <c r="DL854" s="27" t="s">
        <v>137</v>
      </c>
      <c r="DM854" s="27" t="s">
        <v>645</v>
      </c>
      <c r="DN854" s="27" t="s">
        <v>155</v>
      </c>
      <c r="DO854" s="27" t="s">
        <v>134</v>
      </c>
      <c r="DP854" s="27" t="s">
        <v>386</v>
      </c>
      <c r="DQ854" s="27" t="s">
        <v>1151</v>
      </c>
      <c r="DR854" s="27" t="s">
        <v>375</v>
      </c>
      <c r="DS854" s="27" t="s">
        <v>480</v>
      </c>
      <c r="DT854" s="27" t="s">
        <v>182</v>
      </c>
      <c r="DU854" s="27" t="s">
        <v>135</v>
      </c>
      <c r="DV854" s="27" t="s">
        <v>442</v>
      </c>
      <c r="DW854" s="27" t="s">
        <v>195</v>
      </c>
      <c r="DX854" s="27" t="s">
        <v>161</v>
      </c>
      <c r="DY854" s="27" t="s">
        <v>205</v>
      </c>
      <c r="DZ854" s="27" t="n">
        <f aca="false">DY854+DV854+DR854+DN854+DJ854+DF854+DB854</f>
        <v>451</v>
      </c>
      <c r="EA854" s="28" t="n">
        <f aca="false">DZ854/7</f>
        <v>64.4285714285714</v>
      </c>
      <c r="EB854" s="27" t="n">
        <f aca="false">RANK(EA854,$EA$2:$EA$881,0)</f>
        <v>741</v>
      </c>
      <c r="EC854" s="29" t="n">
        <f aca="false">DZ854+CQ854+CP854+AZ854</f>
        <v>603</v>
      </c>
      <c r="ED854" s="30" t="n">
        <f aca="false">(EA854+CV854+BB854)/3</f>
        <v>21.4761904761905</v>
      </c>
      <c r="EE854" s="51" t="n">
        <f aca="false">ROUND(BE854,3)</f>
        <v>0</v>
      </c>
      <c r="EF854" s="51" t="n">
        <f aca="false">ROUND(CR854,3)</f>
        <v>0</v>
      </c>
      <c r="EG854" s="51" t="n">
        <f aca="false">ROUND(CS854,3)</f>
        <v>21.714</v>
      </c>
      <c r="EH854" s="51" t="n">
        <f aca="false">ROUND(EA854,3)</f>
        <v>64.429</v>
      </c>
      <c r="EI854" s="51" t="n">
        <f aca="false">ROUND(ED854,3)</f>
        <v>21.476</v>
      </c>
      <c r="EJ854" s="51" t="n">
        <f aca="false">ROUND(CV854,3)</f>
        <v>0</v>
      </c>
      <c r="EK854" s="0" t="n">
        <f aca="false">RANK(EI854,$EI$2:$EI$881,0)</f>
        <v>853</v>
      </c>
    </row>
    <row r="855" customFormat="false" ht="15" hidden="false" customHeight="false" outlineLevel="0" collapsed="false">
      <c r="A855" s="4" t="n">
        <v>8547</v>
      </c>
      <c r="B855" s="4" t="n">
        <v>260</v>
      </c>
      <c r="C855" s="27" t="s">
        <v>2363</v>
      </c>
      <c r="D855" s="145"/>
      <c r="E855" s="57"/>
      <c r="F855" s="146" t="s">
        <v>2364</v>
      </c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  <c r="AV855" s="80"/>
      <c r="AW855" s="80"/>
      <c r="AX855" s="57"/>
      <c r="AY855" s="80"/>
      <c r="AZ855" s="80"/>
      <c r="BA855" s="80"/>
      <c r="BB855" s="80"/>
      <c r="BC855" s="57" t="n">
        <f aca="false">(BG855*2400)/100</f>
        <v>0</v>
      </c>
      <c r="BD855" s="16" t="e">
        <f aca="false">RANK(AX855,$AX$2:$AX$881,0)</f>
        <v>#N/A</v>
      </c>
      <c r="BE855" s="92" t="n">
        <f aca="false">((BC855*100)/2400)*0.4+(AX855*0.6)</f>
        <v>0</v>
      </c>
      <c r="BF855" s="16" t="n">
        <f aca="false">RANK(BE855,$BE$2:$BE$881,0)</f>
        <v>806</v>
      </c>
      <c r="BG855" s="57"/>
      <c r="BH855" s="39" t="n">
        <f aca="false">RANK(BC855,$BC$2:$BC$881,0)</f>
        <v>780</v>
      </c>
      <c r="BI855" s="57"/>
      <c r="BJ855" s="57"/>
      <c r="BK855" s="57"/>
      <c r="BL855" s="57" t="n">
        <v>19</v>
      </c>
      <c r="BM855" s="57" t="n">
        <v>38</v>
      </c>
      <c r="BN855" s="155" t="n">
        <v>57</v>
      </c>
      <c r="BO855" s="57"/>
      <c r="BP855" s="57"/>
      <c r="BQ855" s="57"/>
      <c r="BR855" s="57"/>
      <c r="BS855" s="57"/>
      <c r="BT855" s="57"/>
      <c r="BU855" s="80"/>
      <c r="BV855" s="60"/>
      <c r="BW855" s="106"/>
      <c r="BX855" s="124"/>
      <c r="BY855" s="57"/>
      <c r="BZ855" s="57"/>
      <c r="CA855" s="57"/>
      <c r="CB855" s="57"/>
      <c r="CC855" s="57"/>
      <c r="CD855" s="57"/>
      <c r="CE855" s="57"/>
      <c r="CF855" s="57"/>
      <c r="CG855" s="57"/>
      <c r="CH855" s="57"/>
      <c r="CI855" s="57"/>
      <c r="CJ855" s="57" t="n">
        <v>24</v>
      </c>
      <c r="CK855" s="57" t="n">
        <v>39</v>
      </c>
      <c r="CL855" s="57" t="n">
        <v>63</v>
      </c>
      <c r="CM855" s="57"/>
      <c r="CN855" s="57"/>
      <c r="CO855" s="57"/>
      <c r="CP855" s="25" t="n">
        <f aca="false">BX855+BW855+BV855+BU855+BT855+BQ855+BN855</f>
        <v>57</v>
      </c>
      <c r="CQ855" s="25" t="n">
        <f aca="false">CO855+CL855+CI855+CH855+CG855+CD855+CA855</f>
        <v>63</v>
      </c>
      <c r="CR855" s="26" t="n">
        <f aca="false">CP855/7</f>
        <v>8.14285714285714</v>
      </c>
      <c r="CS855" s="26" t="n">
        <f aca="false">CQ855/7</f>
        <v>9</v>
      </c>
      <c r="CT855" s="24" t="n">
        <f aca="false">RANK(CR855,$CR$2:$CR$881,0)</f>
        <v>763</v>
      </c>
      <c r="CU855" s="25" t="n">
        <f aca="false">RANK(CS855,$CS$2:$CS$881,0)</f>
        <v>748</v>
      </c>
      <c r="CV855" s="150"/>
      <c r="CW855" s="25" t="n">
        <f aca="false">RANK(CV855,$CV$2:$CV$881,0)</f>
        <v>753</v>
      </c>
      <c r="CX855" s="57"/>
      <c r="CY855" s="57"/>
      <c r="CZ855" s="27" t="s">
        <v>132</v>
      </c>
      <c r="DA855" s="27" t="s">
        <v>143</v>
      </c>
      <c r="DB855" s="27" t="s">
        <v>143</v>
      </c>
      <c r="DC855" s="27" t="s">
        <v>134</v>
      </c>
      <c r="DD855" s="27" t="s">
        <v>154</v>
      </c>
      <c r="DE855" s="27" t="s">
        <v>638</v>
      </c>
      <c r="DF855" s="27" t="s">
        <v>143</v>
      </c>
      <c r="DG855" s="27" t="s">
        <v>134</v>
      </c>
      <c r="DH855" s="27" t="s">
        <v>191</v>
      </c>
      <c r="DI855" s="27" t="s">
        <v>1423</v>
      </c>
      <c r="DJ855" s="27" t="s">
        <v>412</v>
      </c>
      <c r="DK855" s="27" t="s">
        <v>480</v>
      </c>
      <c r="DL855" s="27" t="s">
        <v>154</v>
      </c>
      <c r="DM855" s="27" t="s">
        <v>1407</v>
      </c>
      <c r="DN855" s="27" t="s">
        <v>136</v>
      </c>
      <c r="DO855" s="27" t="s">
        <v>134</v>
      </c>
      <c r="DP855" s="27" t="s">
        <v>191</v>
      </c>
      <c r="DQ855" s="27" t="s">
        <v>164</v>
      </c>
      <c r="DR855" s="27" t="s">
        <v>415</v>
      </c>
      <c r="DS855" s="27" t="s">
        <v>480</v>
      </c>
      <c r="DT855" s="27" t="s">
        <v>191</v>
      </c>
      <c r="DU855" s="27" t="s">
        <v>1309</v>
      </c>
      <c r="DV855" s="27" t="s">
        <v>306</v>
      </c>
      <c r="DW855" s="27" t="s">
        <v>137</v>
      </c>
      <c r="DX855" s="27" t="s">
        <v>136</v>
      </c>
      <c r="DY855" s="27" t="s">
        <v>162</v>
      </c>
      <c r="DZ855" s="27" t="n">
        <f aca="false">DY855+DV855+DR855+DN855+DJ855+DF855+DB855</f>
        <v>441</v>
      </c>
      <c r="EA855" s="28" t="n">
        <f aca="false">DZ855/7</f>
        <v>63</v>
      </c>
      <c r="EB855" s="27" t="n">
        <f aca="false">RANK(EA855,$EA$2:$EA$881,0)</f>
        <v>757</v>
      </c>
      <c r="EC855" s="29" t="n">
        <f aca="false">DZ855+CQ855+CP855+AZ855</f>
        <v>561</v>
      </c>
      <c r="ED855" s="30" t="n">
        <f aca="false">(EA855+CV855+BB855)/3</f>
        <v>21</v>
      </c>
      <c r="EE855" s="51" t="n">
        <f aca="false">ROUND(BE855,3)</f>
        <v>0</v>
      </c>
      <c r="EF855" s="51" t="n">
        <f aca="false">ROUND(CR855,3)</f>
        <v>8.143</v>
      </c>
      <c r="EG855" s="51" t="n">
        <f aca="false">ROUND(CS855,3)</f>
        <v>9</v>
      </c>
      <c r="EH855" s="51" t="n">
        <f aca="false">ROUND(EA855,3)</f>
        <v>63</v>
      </c>
      <c r="EI855" s="51" t="n">
        <f aca="false">ROUND(ED855,3)</f>
        <v>21</v>
      </c>
      <c r="EJ855" s="51" t="n">
        <f aca="false">ROUND(CV855,3)</f>
        <v>0</v>
      </c>
      <c r="EK855" s="0" t="n">
        <f aca="false">RANK(EI855,$EI$2:$EI$881,0)</f>
        <v>854</v>
      </c>
    </row>
    <row r="856" customFormat="false" ht="15" hidden="false" customHeight="false" outlineLevel="0" collapsed="false">
      <c r="A856" s="4" t="n">
        <v>7971</v>
      </c>
      <c r="B856" s="4" t="n">
        <v>264</v>
      </c>
      <c r="C856" s="27" t="s">
        <v>2365</v>
      </c>
      <c r="D856" s="145"/>
      <c r="E856" s="57"/>
      <c r="F856" s="146" t="s">
        <v>2366</v>
      </c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  <c r="AT856" s="80"/>
      <c r="AU856" s="80"/>
      <c r="AV856" s="80"/>
      <c r="AW856" s="80"/>
      <c r="AX856" s="57"/>
      <c r="AY856" s="80"/>
      <c r="AZ856" s="80"/>
      <c r="BA856" s="80"/>
      <c r="BB856" s="80"/>
      <c r="BC856" s="57" t="n">
        <f aca="false">(BG856*2400)/100</f>
        <v>0</v>
      </c>
      <c r="BD856" s="16" t="e">
        <f aca="false">RANK(AX856,$AX$2:$AX$881,0)</f>
        <v>#N/A</v>
      </c>
      <c r="BE856" s="92" t="n">
        <f aca="false">((BC856*100)/2400)*0.4+(AX856*0.6)</f>
        <v>0</v>
      </c>
      <c r="BF856" s="16" t="n">
        <f aca="false">RANK(BE856,$BE$2:$BE$881,0)</f>
        <v>806</v>
      </c>
      <c r="BG856" s="57"/>
      <c r="BH856" s="39" t="n">
        <f aca="false">RANK(BC856,$BC$2:$BC$881,0)</f>
        <v>780</v>
      </c>
      <c r="BI856" s="57"/>
      <c r="BJ856" s="57"/>
      <c r="BK856" s="57"/>
      <c r="BL856" s="57" t="n">
        <v>25</v>
      </c>
      <c r="BM856" s="57" t="n">
        <v>30</v>
      </c>
      <c r="BN856" s="155" t="n">
        <v>55</v>
      </c>
      <c r="BO856" s="57"/>
      <c r="BP856" s="57"/>
      <c r="BQ856" s="57"/>
      <c r="BR856" s="57"/>
      <c r="BS856" s="57"/>
      <c r="BT856" s="57"/>
      <c r="BU856" s="80"/>
      <c r="BV856" s="60"/>
      <c r="BW856" s="106"/>
      <c r="BX856" s="124"/>
      <c r="BY856" s="57"/>
      <c r="BZ856" s="57"/>
      <c r="CA856" s="57"/>
      <c r="CB856" s="57"/>
      <c r="CC856" s="57"/>
      <c r="CD856" s="57"/>
      <c r="CE856" s="57"/>
      <c r="CF856" s="57"/>
      <c r="CG856" s="57"/>
      <c r="CH856" s="57"/>
      <c r="CI856" s="57"/>
      <c r="CJ856" s="57"/>
      <c r="CK856" s="57"/>
      <c r="CL856" s="57"/>
      <c r="CM856" s="57"/>
      <c r="CN856" s="57"/>
      <c r="CO856" s="57"/>
      <c r="CP856" s="25" t="n">
        <f aca="false">BX856+BW856+BV856+BU856+BT856+BQ856+BN856</f>
        <v>55</v>
      </c>
      <c r="CQ856" s="25" t="n">
        <f aca="false">CO856+CL856+CI856+CH856+CG856+CD856+CA856</f>
        <v>0</v>
      </c>
      <c r="CR856" s="26" t="n">
        <f aca="false">CP856/7</f>
        <v>7.85714285714286</v>
      </c>
      <c r="CS856" s="26" t="n">
        <f aca="false">CQ856/7</f>
        <v>0</v>
      </c>
      <c r="CT856" s="24" t="n">
        <f aca="false">RANK(CR856,$CR$2:$CR$881,0)</f>
        <v>764</v>
      </c>
      <c r="CU856" s="25" t="n">
        <f aca="false">RANK(CS856,$CS$2:$CS$881,0)</f>
        <v>752</v>
      </c>
      <c r="CV856" s="150"/>
      <c r="CW856" s="25" t="n">
        <f aca="false">RANK(CV856,$CV$2:$CV$881,0)</f>
        <v>753</v>
      </c>
      <c r="CX856" s="57"/>
      <c r="CY856" s="57"/>
      <c r="CZ856" s="27" t="s">
        <v>132</v>
      </c>
      <c r="DA856" s="27" t="s">
        <v>155</v>
      </c>
      <c r="DB856" s="27" t="s">
        <v>155</v>
      </c>
      <c r="DC856" s="27" t="s">
        <v>134</v>
      </c>
      <c r="DD856" s="27" t="s">
        <v>154</v>
      </c>
      <c r="DE856" s="27" t="s">
        <v>897</v>
      </c>
      <c r="DF856" s="27" t="s">
        <v>187</v>
      </c>
      <c r="DG856" s="27" t="s">
        <v>134</v>
      </c>
      <c r="DH856" s="27" t="s">
        <v>154</v>
      </c>
      <c r="DI856" s="27" t="s">
        <v>481</v>
      </c>
      <c r="DJ856" s="27" t="s">
        <v>177</v>
      </c>
      <c r="DK856" s="27" t="s">
        <v>134</v>
      </c>
      <c r="DL856" s="27" t="s">
        <v>264</v>
      </c>
      <c r="DM856" s="27" t="s">
        <v>1388</v>
      </c>
      <c r="DN856" s="27" t="s">
        <v>313</v>
      </c>
      <c r="DO856" s="27" t="s">
        <v>480</v>
      </c>
      <c r="DP856" s="27" t="s">
        <v>1000</v>
      </c>
      <c r="DQ856" s="27" t="s">
        <v>1309</v>
      </c>
      <c r="DR856" s="27" t="s">
        <v>442</v>
      </c>
      <c r="DS856" s="27" t="s">
        <v>480</v>
      </c>
      <c r="DT856" s="27" t="s">
        <v>182</v>
      </c>
      <c r="DU856" s="27" t="s">
        <v>1423</v>
      </c>
      <c r="DV856" s="27" t="s">
        <v>306</v>
      </c>
      <c r="DW856" s="27" t="s">
        <v>191</v>
      </c>
      <c r="DX856" s="27" t="s">
        <v>187</v>
      </c>
      <c r="DY856" s="27" t="s">
        <v>202</v>
      </c>
      <c r="DZ856" s="27" t="n">
        <f aca="false">DY856+DV856+DR856+DN856+DJ856+DF856+DB856</f>
        <v>438</v>
      </c>
      <c r="EA856" s="28" t="n">
        <f aca="false">DZ856/7</f>
        <v>62.5714285714286</v>
      </c>
      <c r="EB856" s="27" t="n">
        <f aca="false">RANK(EA856,$EA$2:$EA$881,0)</f>
        <v>759</v>
      </c>
      <c r="EC856" s="29" t="n">
        <f aca="false">DZ856+CQ856+CP856+AZ856</f>
        <v>493</v>
      </c>
      <c r="ED856" s="30" t="n">
        <f aca="false">(EA856+CV856+BB856)/3</f>
        <v>20.8571428571429</v>
      </c>
      <c r="EE856" s="51" t="n">
        <f aca="false">ROUND(BE856,3)</f>
        <v>0</v>
      </c>
      <c r="EF856" s="51" t="n">
        <f aca="false">ROUND(CR856,3)</f>
        <v>7.857</v>
      </c>
      <c r="EG856" s="51" t="n">
        <f aca="false">ROUND(CS856,3)</f>
        <v>0</v>
      </c>
      <c r="EH856" s="51" t="n">
        <f aca="false">ROUND(EA856,3)</f>
        <v>62.571</v>
      </c>
      <c r="EI856" s="51" t="n">
        <f aca="false">ROUND(ED856,3)</f>
        <v>20.857</v>
      </c>
      <c r="EJ856" s="51" t="n">
        <f aca="false">ROUND(CV856,3)</f>
        <v>0</v>
      </c>
      <c r="EK856" s="0" t="n">
        <f aca="false">RANK(EI856,$EI$2:$EI$881,0)</f>
        <v>855</v>
      </c>
    </row>
    <row r="857" customFormat="false" ht="15" hidden="false" customHeight="false" outlineLevel="0" collapsed="false">
      <c r="A857" s="4" t="n">
        <v>9165</v>
      </c>
      <c r="B857" s="4" t="n">
        <v>876</v>
      </c>
      <c r="C857" s="27" t="s">
        <v>2367</v>
      </c>
      <c r="D857" s="145"/>
      <c r="E857" s="57"/>
      <c r="F857" s="146" t="s">
        <v>2368</v>
      </c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  <c r="AZ857" s="80"/>
      <c r="BA857" s="80"/>
      <c r="BB857" s="80"/>
      <c r="BC857" s="57" t="n">
        <f aca="false">(BG857*2400)/100</f>
        <v>0</v>
      </c>
      <c r="BD857" s="16" t="e">
        <f aca="false">RANK(AX857,$AX$2:$AX$881,0)</f>
        <v>#N/A</v>
      </c>
      <c r="BE857" s="92" t="n">
        <f aca="false">((BC857*100)/2400)*0.4+(AX857*0.6)</f>
        <v>0</v>
      </c>
      <c r="BF857" s="16" t="n">
        <f aca="false">RANK(BE857,$BE$2:$BE$881,0)</f>
        <v>806</v>
      </c>
      <c r="BG857" s="80"/>
      <c r="BH857" s="39" t="n">
        <f aca="false">RANK(BC857,$BC$2:$BC$881,0)</f>
        <v>780</v>
      </c>
      <c r="BI857" s="80"/>
      <c r="BJ857" s="80"/>
      <c r="BK857" s="80"/>
      <c r="BL857" s="80"/>
      <c r="BM857" s="80"/>
      <c r="BN857" s="80"/>
      <c r="BO857" s="80"/>
      <c r="BP857" s="80"/>
      <c r="BQ857" s="80"/>
      <c r="BR857" s="80"/>
      <c r="BS857" s="80"/>
      <c r="BT857" s="80"/>
      <c r="BU857" s="80"/>
      <c r="BV857" s="80"/>
      <c r="BW857" s="80"/>
      <c r="BX857" s="80"/>
      <c r="BY857" s="80"/>
      <c r="BZ857" s="80"/>
      <c r="CA857" s="80"/>
      <c r="CB857" s="80"/>
      <c r="CC857" s="80"/>
      <c r="CD857" s="80"/>
      <c r="CE857" s="80"/>
      <c r="CF857" s="80"/>
      <c r="CG857" s="80"/>
      <c r="CH857" s="80"/>
      <c r="CI857" s="80"/>
      <c r="CJ857" s="80"/>
      <c r="CK857" s="80"/>
      <c r="CL857" s="80"/>
      <c r="CM857" s="80"/>
      <c r="CN857" s="80"/>
      <c r="CO857" s="80"/>
      <c r="CP857" s="25" t="n">
        <f aca="false">BX857+BW857+BV857+BU857+BT857+BQ857+BN857</f>
        <v>0</v>
      </c>
      <c r="CQ857" s="25" t="n">
        <f aca="false">CO857+CL857+CI857+CH857+CG857+CD857+CA857</f>
        <v>0</v>
      </c>
      <c r="CR857" s="26" t="n">
        <f aca="false">CP857/7</f>
        <v>0</v>
      </c>
      <c r="CS857" s="26" t="n">
        <f aca="false">CQ857/7</f>
        <v>0</v>
      </c>
      <c r="CT857" s="24" t="n">
        <f aca="false">RANK(CR857,$CR$2:$CR$881,0)</f>
        <v>768</v>
      </c>
      <c r="CU857" s="25" t="n">
        <f aca="false">RANK(CS857,$CS$2:$CS$881,0)</f>
        <v>752</v>
      </c>
      <c r="CV857" s="80"/>
      <c r="CW857" s="25" t="n">
        <f aca="false">RANK(CV857,$CV$2:$CV$881,0)</f>
        <v>753</v>
      </c>
      <c r="CX857" s="80"/>
      <c r="CY857" s="80"/>
      <c r="CZ857" s="27" t="s">
        <v>132</v>
      </c>
      <c r="DA857" s="27" t="s">
        <v>162</v>
      </c>
      <c r="DB857" s="27" t="s">
        <v>162</v>
      </c>
      <c r="DC857" s="27" t="s">
        <v>134</v>
      </c>
      <c r="DD857" s="27" t="s">
        <v>386</v>
      </c>
      <c r="DE857" s="27" t="s">
        <v>645</v>
      </c>
      <c r="DF857" s="27" t="s">
        <v>203</v>
      </c>
      <c r="DG857" s="27" t="s">
        <v>134</v>
      </c>
      <c r="DH857" s="27" t="s">
        <v>264</v>
      </c>
      <c r="DI857" s="27" t="s">
        <v>447</v>
      </c>
      <c r="DJ857" s="27" t="s">
        <v>398</v>
      </c>
      <c r="DK857" s="27" t="s">
        <v>134</v>
      </c>
      <c r="DL857" s="27" t="s">
        <v>195</v>
      </c>
      <c r="DM857" s="27" t="s">
        <v>673</v>
      </c>
      <c r="DN857" s="27" t="s">
        <v>203</v>
      </c>
      <c r="DO857" s="27" t="s">
        <v>134</v>
      </c>
      <c r="DP857" s="27"/>
      <c r="DQ857" s="27"/>
      <c r="DR857" s="27"/>
      <c r="DS857" s="27"/>
      <c r="DT857" s="27" t="s">
        <v>140</v>
      </c>
      <c r="DU857" s="27" t="s">
        <v>906</v>
      </c>
      <c r="DV857" s="27" t="s">
        <v>141</v>
      </c>
      <c r="DW857" s="27" t="s">
        <v>706</v>
      </c>
      <c r="DX857" s="27" t="s">
        <v>143</v>
      </c>
      <c r="DY857" s="27" t="s">
        <v>169</v>
      </c>
      <c r="DZ857" s="27" t="n">
        <f aca="false">DY857+DV857+DR857+DN857+DJ857+DF857+DB857</f>
        <v>435</v>
      </c>
      <c r="EA857" s="28" t="n">
        <f aca="false">DZ857/7</f>
        <v>62.1428571428571</v>
      </c>
      <c r="EB857" s="27" t="n">
        <f aca="false">RANK(EA857,$EA$2:$EA$881,0)</f>
        <v>763</v>
      </c>
      <c r="EC857" s="29" t="n">
        <f aca="false">DZ857+CQ857+CP857+AZ857</f>
        <v>435</v>
      </c>
      <c r="ED857" s="30" t="n">
        <f aca="false">(EA857+CV857+BB857)/3</f>
        <v>20.7142857142857</v>
      </c>
      <c r="EE857" s="51" t="n">
        <f aca="false">ROUND(BE857,3)</f>
        <v>0</v>
      </c>
      <c r="EF857" s="51" t="n">
        <f aca="false">ROUND(CR857,3)</f>
        <v>0</v>
      </c>
      <c r="EG857" s="51" t="n">
        <f aca="false">ROUND(CS857,3)</f>
        <v>0</v>
      </c>
      <c r="EH857" s="51" t="n">
        <f aca="false">ROUND(EA857,3)</f>
        <v>62.143</v>
      </c>
      <c r="EI857" s="51" t="n">
        <f aca="false">ROUND(ED857,3)</f>
        <v>20.714</v>
      </c>
      <c r="EJ857" s="51" t="n">
        <f aca="false">ROUND(CV857,3)</f>
        <v>0</v>
      </c>
      <c r="EK857" s="0" t="n">
        <f aca="false">RANK(EI857,$EI$2:$EI$881,0)</f>
        <v>856</v>
      </c>
    </row>
    <row r="858" customFormat="false" ht="15" hidden="false" customHeight="false" outlineLevel="0" collapsed="false">
      <c r="A858" s="4" t="n">
        <v>9158</v>
      </c>
      <c r="B858" s="4" t="n">
        <v>96</v>
      </c>
      <c r="C858" s="27" t="s">
        <v>2369</v>
      </c>
      <c r="D858" s="52" t="n">
        <v>898</v>
      </c>
      <c r="E858" s="136"/>
      <c r="F858" s="110" t="s">
        <v>2370</v>
      </c>
      <c r="G858" s="136"/>
      <c r="H858" s="136"/>
      <c r="I858" s="80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136"/>
      <c r="AQ858" s="136"/>
      <c r="AR858" s="136"/>
      <c r="AS858" s="136"/>
      <c r="AT858" s="136"/>
      <c r="AU858" s="136"/>
      <c r="AV858" s="136"/>
      <c r="AW858" s="136"/>
      <c r="AX858" s="136"/>
      <c r="AY858" s="136"/>
      <c r="AZ858" s="136"/>
      <c r="BA858" s="136"/>
      <c r="BB858" s="136"/>
      <c r="BC858" s="136"/>
      <c r="BD858" s="16" t="e">
        <f aca="false">RANK(AX858,$AX$2:$AX$881,0)</f>
        <v>#N/A</v>
      </c>
      <c r="BE858" s="138"/>
      <c r="BF858" s="16" t="n">
        <f aca="false">RANK(BE858,$BE$2:$BE$881,0)</f>
        <v>806</v>
      </c>
      <c r="BG858" s="136"/>
      <c r="BH858" s="39" t="n">
        <f aca="false">RANK(BC858,$BC$2:$BC$881,0)</f>
        <v>780</v>
      </c>
      <c r="BI858" s="19" t="s">
        <v>130</v>
      </c>
      <c r="BJ858" s="19" t="s">
        <v>129</v>
      </c>
      <c r="BK858" s="109" t="s">
        <v>1596</v>
      </c>
      <c r="BL858" s="80"/>
      <c r="BM858" s="80"/>
      <c r="BN858" s="80"/>
      <c r="BO858" s="80"/>
      <c r="BP858" s="80"/>
      <c r="BQ858" s="80"/>
      <c r="BR858" s="80"/>
      <c r="BS858" s="80"/>
      <c r="BT858" s="80"/>
      <c r="BU858" s="80"/>
      <c r="BV858" s="80"/>
      <c r="BW858" s="80"/>
      <c r="BX858" s="80"/>
      <c r="BY858" s="88" t="n">
        <v>23</v>
      </c>
      <c r="BZ858" s="88" t="n">
        <v>42</v>
      </c>
      <c r="CA858" s="88" t="n">
        <v>65</v>
      </c>
      <c r="CB858" s="80"/>
      <c r="CC858" s="80"/>
      <c r="CD858" s="80"/>
      <c r="CE858" s="80"/>
      <c r="CF858" s="80"/>
      <c r="CG858" s="80"/>
      <c r="CH858" s="80"/>
      <c r="CI858" s="80"/>
      <c r="CJ858" s="80"/>
      <c r="CK858" s="80"/>
      <c r="CL858" s="80"/>
      <c r="CM858" s="80"/>
      <c r="CN858" s="80"/>
      <c r="CO858" s="80"/>
      <c r="CP858" s="25" t="n">
        <f aca="false">BX858+BW858+BV858+BU858+BT858+BQ858+BN858</f>
        <v>0</v>
      </c>
      <c r="CQ858" s="25" t="n">
        <f aca="false">CO858+CL858+CI858+CH858+CG858+CD858+CA858</f>
        <v>65</v>
      </c>
      <c r="CR858" s="26" t="n">
        <f aca="false">CP858/7</f>
        <v>0</v>
      </c>
      <c r="CS858" s="26" t="n">
        <f aca="false">CQ858/7</f>
        <v>9.28571428571429</v>
      </c>
      <c r="CT858" s="24" t="n">
        <f aca="false">RANK(CR858,$CR$2:$CR$881,0)</f>
        <v>768</v>
      </c>
      <c r="CU858" s="25" t="n">
        <f aca="false">RANK(CS858,$CS$2:$CS$881,0)</f>
        <v>747</v>
      </c>
      <c r="CV858" s="80"/>
      <c r="CW858" s="25" t="n">
        <f aca="false">RANK(CV858,$CV$2:$CV$881,0)</f>
        <v>753</v>
      </c>
      <c r="CX858" s="80"/>
      <c r="CY858" s="80"/>
      <c r="CZ858" s="27" t="s">
        <v>132</v>
      </c>
      <c r="DA858" s="27" t="s">
        <v>169</v>
      </c>
      <c r="DB858" s="27" t="s">
        <v>169</v>
      </c>
      <c r="DC858" s="27" t="s">
        <v>134</v>
      </c>
      <c r="DD858" s="27" t="s">
        <v>1000</v>
      </c>
      <c r="DE858" s="27" t="s">
        <v>645</v>
      </c>
      <c r="DF858" s="27" t="s">
        <v>183</v>
      </c>
      <c r="DG858" s="27" t="s">
        <v>480</v>
      </c>
      <c r="DH858" s="27" t="s">
        <v>195</v>
      </c>
      <c r="DI858" s="27" t="s">
        <v>1064</v>
      </c>
      <c r="DJ858" s="27" t="s">
        <v>218</v>
      </c>
      <c r="DK858" s="27" t="s">
        <v>480</v>
      </c>
      <c r="DL858" s="27" t="s">
        <v>154</v>
      </c>
      <c r="DM858" s="27" t="s">
        <v>140</v>
      </c>
      <c r="DN858" s="27" t="s">
        <v>313</v>
      </c>
      <c r="DO858" s="27" t="s">
        <v>480</v>
      </c>
      <c r="DP858" s="27" t="s">
        <v>706</v>
      </c>
      <c r="DQ858" s="27" t="s">
        <v>1395</v>
      </c>
      <c r="DR858" s="27" t="s">
        <v>442</v>
      </c>
      <c r="DS858" s="27" t="s">
        <v>480</v>
      </c>
      <c r="DT858" s="27" t="s">
        <v>182</v>
      </c>
      <c r="DU858" s="27" t="s">
        <v>140</v>
      </c>
      <c r="DV858" s="27" t="s">
        <v>447</v>
      </c>
      <c r="DW858" s="27" t="s">
        <v>706</v>
      </c>
      <c r="DX858" s="27" t="s">
        <v>136</v>
      </c>
      <c r="DY858" s="27" t="s">
        <v>305</v>
      </c>
      <c r="DZ858" s="27" t="n">
        <f aca="false">DY858+DV858+DR858+DN858+DJ858+DF858+DB858</f>
        <v>430</v>
      </c>
      <c r="EA858" s="28" t="n">
        <f aca="false">DZ858/7</f>
        <v>61.4285714285714</v>
      </c>
      <c r="EB858" s="27" t="n">
        <f aca="false">RANK(EA858,$EA$2:$EA$881,0)</f>
        <v>768</v>
      </c>
      <c r="EC858" s="29" t="n">
        <f aca="false">DZ858+CQ858+CP858+AZ858</f>
        <v>495</v>
      </c>
      <c r="ED858" s="30" t="n">
        <f aca="false">(EA858+CV858+BB858)/3</f>
        <v>20.4761904761905</v>
      </c>
      <c r="EE858" s="51" t="n">
        <f aca="false">ROUND(BE858,3)</f>
        <v>0</v>
      </c>
      <c r="EF858" s="51" t="n">
        <f aca="false">ROUND(CR858,3)</f>
        <v>0</v>
      </c>
      <c r="EG858" s="51" t="n">
        <f aca="false">ROUND(CS858,3)</f>
        <v>9.286</v>
      </c>
      <c r="EH858" s="51" t="n">
        <f aca="false">ROUND(EA858,3)</f>
        <v>61.429</v>
      </c>
      <c r="EI858" s="51" t="n">
        <f aca="false">ROUND(ED858,3)</f>
        <v>20.476</v>
      </c>
      <c r="EJ858" s="51" t="n">
        <f aca="false">ROUND(CV858,3)</f>
        <v>0</v>
      </c>
      <c r="EK858" s="0" t="n">
        <f aca="false">RANK(EI858,$EI$2:$EI$881,0)</f>
        <v>857</v>
      </c>
    </row>
    <row r="859" customFormat="false" ht="16.85" hidden="false" customHeight="false" outlineLevel="0" collapsed="false">
      <c r="A859" s="4" t="n">
        <v>8041</v>
      </c>
      <c r="B859" s="4" t="n">
        <v>506</v>
      </c>
      <c r="C859" s="27" t="s">
        <v>2371</v>
      </c>
      <c r="D859" s="145"/>
      <c r="E859" s="57"/>
      <c r="F859" s="146" t="s">
        <v>2372</v>
      </c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  <c r="AZ859" s="80"/>
      <c r="BA859" s="80"/>
      <c r="BB859" s="80"/>
      <c r="BC859" s="57" t="n">
        <f aca="false">(BG859*2400)/100</f>
        <v>0</v>
      </c>
      <c r="BD859" s="16" t="e">
        <f aca="false">RANK(AX859,$AX$2:$AX$881,0)</f>
        <v>#N/A</v>
      </c>
      <c r="BE859" s="92" t="n">
        <f aca="false">((BC859*100)/2400)*0.4+(AX859*0.6)</f>
        <v>0</v>
      </c>
      <c r="BF859" s="16" t="n">
        <f aca="false">RANK(BE859,$BE$2:$BE$881,0)</f>
        <v>806</v>
      </c>
      <c r="BG859" s="80"/>
      <c r="BH859" s="39" t="n">
        <f aca="false">RANK(BC859,$BC$2:$BC$881,0)</f>
        <v>780</v>
      </c>
      <c r="BI859" s="80"/>
      <c r="BJ859" s="80"/>
      <c r="BK859" s="80"/>
      <c r="BL859" s="80"/>
      <c r="BM859" s="80"/>
      <c r="BN859" s="80"/>
      <c r="BO859" s="80"/>
      <c r="BP859" s="80"/>
      <c r="BQ859" s="80"/>
      <c r="BR859" s="80"/>
      <c r="BS859" s="80"/>
      <c r="BT859" s="80"/>
      <c r="BU859" s="80"/>
      <c r="BV859" s="80"/>
      <c r="BW859" s="80"/>
      <c r="BX859" s="80"/>
      <c r="BY859" s="80"/>
      <c r="BZ859" s="80"/>
      <c r="CA859" s="80"/>
      <c r="CB859" s="80"/>
      <c r="CC859" s="80"/>
      <c r="CD859" s="80"/>
      <c r="CE859" s="80"/>
      <c r="CF859" s="80"/>
      <c r="CG859" s="80"/>
      <c r="CH859" s="80"/>
      <c r="CI859" s="80"/>
      <c r="CJ859" s="88" t="n">
        <v>15</v>
      </c>
      <c r="CK859" s="88" t="n">
        <v>40</v>
      </c>
      <c r="CL859" s="88" t="n">
        <v>55</v>
      </c>
      <c r="CM859" s="80"/>
      <c r="CN859" s="80"/>
      <c r="CO859" s="80"/>
      <c r="CP859" s="25" t="n">
        <f aca="false">BX859+BW859+BV859+BU859+BT859+BQ859+BN859</f>
        <v>0</v>
      </c>
      <c r="CQ859" s="25" t="n">
        <f aca="false">CO859+CL859+CI859+CH859+CG859+CD859+CA859</f>
        <v>55</v>
      </c>
      <c r="CR859" s="26" t="n">
        <f aca="false">CP859/7</f>
        <v>0</v>
      </c>
      <c r="CS859" s="26" t="n">
        <f aca="false">CQ859/7</f>
        <v>7.85714285714286</v>
      </c>
      <c r="CT859" s="24" t="n">
        <f aca="false">RANK(CR859,$CR$2:$CR$881,0)</f>
        <v>768</v>
      </c>
      <c r="CU859" s="25" t="n">
        <f aca="false">RANK(CS859,$CS$2:$CS$881,0)</f>
        <v>751</v>
      </c>
      <c r="CV859" s="80"/>
      <c r="CW859" s="25" t="n">
        <f aca="false">RANK(CV859,$CV$2:$CV$881,0)</f>
        <v>753</v>
      </c>
      <c r="CX859" s="80"/>
      <c r="CY859" s="80"/>
      <c r="CZ859" s="27" t="s">
        <v>132</v>
      </c>
      <c r="DA859" s="27" t="s">
        <v>272</v>
      </c>
      <c r="DB859" s="27" t="s">
        <v>272</v>
      </c>
      <c r="DC859" s="27" t="s">
        <v>134</v>
      </c>
      <c r="DD859" s="27" t="s">
        <v>264</v>
      </c>
      <c r="DE859" s="27" t="s">
        <v>412</v>
      </c>
      <c r="DF859" s="27" t="s">
        <v>155</v>
      </c>
      <c r="DG859" s="27" t="s">
        <v>134</v>
      </c>
      <c r="DH859" s="27" t="s">
        <v>135</v>
      </c>
      <c r="DI859" s="27" t="s">
        <v>399</v>
      </c>
      <c r="DJ859" s="27" t="s">
        <v>486</v>
      </c>
      <c r="DK859" s="27" t="s">
        <v>134</v>
      </c>
      <c r="DL859" s="27" t="s">
        <v>386</v>
      </c>
      <c r="DM859" s="27" t="s">
        <v>681</v>
      </c>
      <c r="DN859" s="27" t="s">
        <v>152</v>
      </c>
      <c r="DO859" s="27" t="s">
        <v>134</v>
      </c>
      <c r="DP859" s="27"/>
      <c r="DQ859" s="27"/>
      <c r="DR859" s="27"/>
      <c r="DS859" s="27"/>
      <c r="DT859" s="27" t="s">
        <v>195</v>
      </c>
      <c r="DU859" s="27" t="s">
        <v>1423</v>
      </c>
      <c r="DV859" s="27" t="s">
        <v>313</v>
      </c>
      <c r="DW859" s="27" t="s">
        <v>604</v>
      </c>
      <c r="DX859" s="27" t="s">
        <v>138</v>
      </c>
      <c r="DY859" s="27" t="s">
        <v>175</v>
      </c>
      <c r="DZ859" s="27" t="n">
        <f aca="false">DY859+DV859+DR859+DN859+DJ859+DF859+DB859</f>
        <v>423</v>
      </c>
      <c r="EA859" s="28" t="n">
        <f aca="false">DZ859/7</f>
        <v>60.4285714285714</v>
      </c>
      <c r="EB859" s="27" t="n">
        <f aca="false">RANK(EA859,$EA$2:$EA$881,0)</f>
        <v>779</v>
      </c>
      <c r="EC859" s="29" t="n">
        <f aca="false">DZ859+CQ859+CP859+AZ859</f>
        <v>478</v>
      </c>
      <c r="ED859" s="30" t="n">
        <f aca="false">(EA859+CV859+BB859)/3</f>
        <v>20.1428571428571</v>
      </c>
      <c r="EE859" s="51" t="n">
        <f aca="false">ROUND(BE859,3)</f>
        <v>0</v>
      </c>
      <c r="EF859" s="51" t="n">
        <f aca="false">ROUND(CR859,3)</f>
        <v>0</v>
      </c>
      <c r="EG859" s="51" t="n">
        <f aca="false">ROUND(CS859,3)</f>
        <v>7.857</v>
      </c>
      <c r="EH859" s="51" t="n">
        <f aca="false">ROUND(EA859,3)</f>
        <v>60.429</v>
      </c>
      <c r="EI859" s="51" t="n">
        <f aca="false">ROUND(ED859,3)</f>
        <v>20.143</v>
      </c>
      <c r="EJ859" s="51" t="n">
        <f aca="false">ROUND(CV859,3)</f>
        <v>0</v>
      </c>
      <c r="EK859" s="0" t="n">
        <f aca="false">RANK(EI859,$EI$2:$EI$881,0)</f>
        <v>858</v>
      </c>
    </row>
    <row r="860" customFormat="false" ht="15" hidden="false" customHeight="false" outlineLevel="0" collapsed="false">
      <c r="A860" s="4" t="n">
        <v>8138</v>
      </c>
      <c r="B860" s="4" t="n">
        <v>842</v>
      </c>
      <c r="C860" s="27" t="s">
        <v>2373</v>
      </c>
      <c r="D860" s="145"/>
      <c r="E860" s="57"/>
      <c r="F860" s="146" t="s">
        <v>2374</v>
      </c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  <c r="AT860" s="80"/>
      <c r="AU860" s="80"/>
      <c r="AV860" s="80"/>
      <c r="AW860" s="80"/>
      <c r="AX860" s="57"/>
      <c r="AY860" s="80"/>
      <c r="AZ860" s="80"/>
      <c r="BA860" s="80"/>
      <c r="BB860" s="80"/>
      <c r="BC860" s="57" t="n">
        <f aca="false">(BG860*2400)/100</f>
        <v>0</v>
      </c>
      <c r="BD860" s="16" t="e">
        <f aca="false">RANK(AX860,$AX$2:$AX$881,0)</f>
        <v>#N/A</v>
      </c>
      <c r="BE860" s="92" t="n">
        <f aca="false">((BC860*100)/2400)*0.4+(AX860*0.6)</f>
        <v>0</v>
      </c>
      <c r="BF860" s="16" t="n">
        <f aca="false">RANK(BE860,$BE$2:$BE$881,0)</f>
        <v>806</v>
      </c>
      <c r="BG860" s="57"/>
      <c r="BH860" s="39" t="n">
        <f aca="false">RANK(BC860,$BC$2:$BC$881,0)</f>
        <v>780</v>
      </c>
      <c r="BI860" s="57"/>
      <c r="BJ860" s="57"/>
      <c r="BK860" s="57"/>
      <c r="BL860" s="57" t="n">
        <v>18</v>
      </c>
      <c r="BM860" s="57" t="n">
        <v>46</v>
      </c>
      <c r="BN860" s="57" t="n">
        <v>64</v>
      </c>
      <c r="BO860" s="57"/>
      <c r="BP860" s="57"/>
      <c r="BQ860" s="57"/>
      <c r="BR860" s="57" t="n">
        <v>14</v>
      </c>
      <c r="BS860" s="57" t="n">
        <v>41</v>
      </c>
      <c r="BT860" s="156" t="n">
        <v>55</v>
      </c>
      <c r="BU860" s="80"/>
      <c r="BV860" s="60"/>
      <c r="BW860" s="106"/>
      <c r="BX860" s="124"/>
      <c r="BY860" s="57" t="n">
        <v>19</v>
      </c>
      <c r="BZ860" s="57" t="n">
        <v>53</v>
      </c>
      <c r="CA860" s="57" t="n">
        <v>72</v>
      </c>
      <c r="CB860" s="57"/>
      <c r="CC860" s="57"/>
      <c r="CD860" s="57"/>
      <c r="CE860" s="57"/>
      <c r="CF860" s="57"/>
      <c r="CG860" s="57"/>
      <c r="CH860" s="57"/>
      <c r="CI860" s="57"/>
      <c r="CJ860" s="57"/>
      <c r="CK860" s="57"/>
      <c r="CL860" s="57"/>
      <c r="CM860" s="57" t="n">
        <v>16</v>
      </c>
      <c r="CN860" s="57" t="n">
        <v>48</v>
      </c>
      <c r="CO860" s="57" t="n">
        <v>64</v>
      </c>
      <c r="CP860" s="25" t="n">
        <f aca="false">BX860+BW860+BV860+BU860+BT860+BQ860+BN860</f>
        <v>119</v>
      </c>
      <c r="CQ860" s="25" t="n">
        <f aca="false">CO860+CL860+CI860+CH860+CG860+CD860+CA860</f>
        <v>136</v>
      </c>
      <c r="CR860" s="26" t="n">
        <f aca="false">CP860/7</f>
        <v>17</v>
      </c>
      <c r="CS860" s="26" t="n">
        <f aca="false">CQ860/7</f>
        <v>19.4285714285714</v>
      </c>
      <c r="CT860" s="24" t="n">
        <f aca="false">RANK(CR860,$CR$2:$CR$881,0)</f>
        <v>755</v>
      </c>
      <c r="CU860" s="25" t="n">
        <f aca="false">RANK(CS860,$CS$2:$CS$881,0)</f>
        <v>732</v>
      </c>
      <c r="CV860" s="150"/>
      <c r="CW860" s="25" t="n">
        <f aca="false">RANK(CV860,$CV$2:$CV$881,0)</f>
        <v>753</v>
      </c>
      <c r="CX860" s="57"/>
      <c r="CY860" s="57"/>
      <c r="CZ860" s="27" t="s">
        <v>132</v>
      </c>
      <c r="DA860" s="27" t="s">
        <v>272</v>
      </c>
      <c r="DB860" s="27" t="s">
        <v>272</v>
      </c>
      <c r="DC860" s="27" t="s">
        <v>134</v>
      </c>
      <c r="DD860" s="27" t="s">
        <v>182</v>
      </c>
      <c r="DE860" s="27" t="s">
        <v>1309</v>
      </c>
      <c r="DF860" s="27" t="s">
        <v>204</v>
      </c>
      <c r="DG860" s="27" t="s">
        <v>480</v>
      </c>
      <c r="DH860" s="27" t="s">
        <v>264</v>
      </c>
      <c r="DI860" s="27" t="s">
        <v>673</v>
      </c>
      <c r="DJ860" s="27" t="s">
        <v>177</v>
      </c>
      <c r="DK860" s="27" t="s">
        <v>134</v>
      </c>
      <c r="DL860" s="27" t="s">
        <v>264</v>
      </c>
      <c r="DM860" s="27" t="s">
        <v>375</v>
      </c>
      <c r="DN860" s="27" t="s">
        <v>138</v>
      </c>
      <c r="DO860" s="27" t="s">
        <v>134</v>
      </c>
      <c r="DP860" s="27" t="s">
        <v>825</v>
      </c>
      <c r="DQ860" s="27" t="s">
        <v>1388</v>
      </c>
      <c r="DR860" s="27" t="s">
        <v>681</v>
      </c>
      <c r="DS860" s="27" t="s">
        <v>480</v>
      </c>
      <c r="DT860" s="27" t="s">
        <v>706</v>
      </c>
      <c r="DU860" s="27" t="s">
        <v>135</v>
      </c>
      <c r="DV860" s="27" t="s">
        <v>1407</v>
      </c>
      <c r="DW860" s="27" t="s">
        <v>154</v>
      </c>
      <c r="DX860" s="27" t="s">
        <v>897</v>
      </c>
      <c r="DY860" s="27" t="s">
        <v>187</v>
      </c>
      <c r="DZ860" s="27" t="n">
        <f aca="false">DY860+DV860+DR860+DN860+DJ860+DF860+DB860</f>
        <v>419</v>
      </c>
      <c r="EA860" s="28" t="n">
        <f aca="false">DZ860/7</f>
        <v>59.8571428571429</v>
      </c>
      <c r="EB860" s="27" t="n">
        <f aca="false">RANK(EA860,$EA$2:$EA$881,0)</f>
        <v>784</v>
      </c>
      <c r="EC860" s="29" t="n">
        <f aca="false">DZ860+CQ860+CP860+AZ860</f>
        <v>674</v>
      </c>
      <c r="ED860" s="30" t="n">
        <f aca="false">(EA860+CV860+BB860)/3</f>
        <v>19.952380952381</v>
      </c>
      <c r="EE860" s="51" t="n">
        <f aca="false">ROUND(BE860,3)</f>
        <v>0</v>
      </c>
      <c r="EF860" s="51" t="n">
        <f aca="false">ROUND(CR860,3)</f>
        <v>17</v>
      </c>
      <c r="EG860" s="51" t="n">
        <f aca="false">ROUND(CS860,3)</f>
        <v>19.429</v>
      </c>
      <c r="EH860" s="51" t="n">
        <f aca="false">ROUND(EA860,3)</f>
        <v>59.857</v>
      </c>
      <c r="EI860" s="51" t="n">
        <f aca="false">ROUND(ED860,3)</f>
        <v>19.952</v>
      </c>
      <c r="EJ860" s="51" t="n">
        <f aca="false">ROUND(CV860,3)</f>
        <v>0</v>
      </c>
      <c r="EK860" s="0" t="n">
        <f aca="false">RANK(EI860,$EI$2:$EI$881,0)</f>
        <v>859</v>
      </c>
    </row>
    <row r="861" customFormat="false" ht="15" hidden="false" customHeight="false" outlineLevel="0" collapsed="false">
      <c r="A861" s="4" t="n">
        <v>7550</v>
      </c>
      <c r="B861" s="4" t="n">
        <v>493</v>
      </c>
      <c r="C861" s="27" t="s">
        <v>2375</v>
      </c>
      <c r="D861" s="145"/>
      <c r="E861" s="57"/>
      <c r="F861" s="146" t="s">
        <v>2376</v>
      </c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  <c r="AZ861" s="80"/>
      <c r="BA861" s="80"/>
      <c r="BB861" s="80"/>
      <c r="BC861" s="57" t="n">
        <f aca="false">(BG861*2400)/100</f>
        <v>0</v>
      </c>
      <c r="BD861" s="16" t="e">
        <f aca="false">RANK(AX861,$AX$2:$AX$881,0)</f>
        <v>#N/A</v>
      </c>
      <c r="BE861" s="92" t="n">
        <f aca="false">((BC861*100)/2400)*0.4+(AX861*0.6)</f>
        <v>0</v>
      </c>
      <c r="BF861" s="16" t="n">
        <f aca="false">RANK(BE861,$BE$2:$BE$881,0)</f>
        <v>806</v>
      </c>
      <c r="BG861" s="80"/>
      <c r="BH861" s="39" t="n">
        <f aca="false">RANK(BC861,$BC$2:$BC$881,0)</f>
        <v>780</v>
      </c>
      <c r="BI861" s="80"/>
      <c r="BJ861" s="80"/>
      <c r="BK861" s="80"/>
      <c r="BL861" s="80"/>
      <c r="BM861" s="80"/>
      <c r="BN861" s="80"/>
      <c r="BO861" s="80"/>
      <c r="BP861" s="80"/>
      <c r="BQ861" s="80"/>
      <c r="BR861" s="80"/>
      <c r="BS861" s="80"/>
      <c r="BT861" s="80"/>
      <c r="BU861" s="80"/>
      <c r="BV861" s="80"/>
      <c r="BW861" s="80"/>
      <c r="BX861" s="80"/>
      <c r="BY861" s="88" t="n">
        <v>21</v>
      </c>
      <c r="BZ861" s="88" t="n">
        <v>47</v>
      </c>
      <c r="CA861" s="88" t="n">
        <v>68</v>
      </c>
      <c r="CB861" s="80"/>
      <c r="CC861" s="80"/>
      <c r="CD861" s="80"/>
      <c r="CE861" s="80"/>
      <c r="CF861" s="80"/>
      <c r="CG861" s="80"/>
      <c r="CH861" s="80"/>
      <c r="CI861" s="80"/>
      <c r="CJ861" s="80"/>
      <c r="CK861" s="80"/>
      <c r="CL861" s="80"/>
      <c r="CM861" s="80"/>
      <c r="CN861" s="80"/>
      <c r="CO861" s="80"/>
      <c r="CP861" s="25" t="n">
        <f aca="false">BX861+BW861+BV861+BU861+BT861+BQ861+BN861</f>
        <v>0</v>
      </c>
      <c r="CQ861" s="25" t="n">
        <f aca="false">CO861+CL861+CI861+CH861+CG861+CD861+CA861</f>
        <v>68</v>
      </c>
      <c r="CR861" s="26" t="n">
        <f aca="false">CP861/7</f>
        <v>0</v>
      </c>
      <c r="CS861" s="26" t="n">
        <f aca="false">CQ861/7</f>
        <v>9.71428571428571</v>
      </c>
      <c r="CT861" s="24" t="n">
        <f aca="false">RANK(CR861,$CR$2:$CR$881,0)</f>
        <v>768</v>
      </c>
      <c r="CU861" s="25" t="n">
        <f aca="false">RANK(CS861,$CS$2:$CS$881,0)</f>
        <v>744</v>
      </c>
      <c r="CV861" s="80"/>
      <c r="CW861" s="25" t="n">
        <f aca="false">RANK(CV861,$CV$2:$CV$881,0)</f>
        <v>753</v>
      </c>
      <c r="CX861" s="80"/>
      <c r="CY861" s="80"/>
      <c r="CZ861" s="27" t="s">
        <v>132</v>
      </c>
      <c r="DA861" s="27" t="s">
        <v>219</v>
      </c>
      <c r="DB861" s="27" t="s">
        <v>219</v>
      </c>
      <c r="DC861" s="27" t="s">
        <v>134</v>
      </c>
      <c r="DD861" s="27" t="s">
        <v>174</v>
      </c>
      <c r="DE861" s="27" t="s">
        <v>313</v>
      </c>
      <c r="DF861" s="27" t="s">
        <v>372</v>
      </c>
      <c r="DG861" s="27" t="s">
        <v>134</v>
      </c>
      <c r="DH861" s="27" t="s">
        <v>135</v>
      </c>
      <c r="DI861" s="27" t="s">
        <v>399</v>
      </c>
      <c r="DJ861" s="27" t="s">
        <v>486</v>
      </c>
      <c r="DK861" s="27" t="s">
        <v>134</v>
      </c>
      <c r="DL861" s="27" t="s">
        <v>264</v>
      </c>
      <c r="DM861" s="27" t="s">
        <v>479</v>
      </c>
      <c r="DN861" s="27" t="s">
        <v>183</v>
      </c>
      <c r="DO861" s="27" t="s">
        <v>480</v>
      </c>
      <c r="DP861" s="27"/>
      <c r="DQ861" s="27"/>
      <c r="DR861" s="27"/>
      <c r="DS861" s="27"/>
      <c r="DT861" s="27" t="s">
        <v>137</v>
      </c>
      <c r="DU861" s="27" t="s">
        <v>182</v>
      </c>
      <c r="DV861" s="27" t="s">
        <v>375</v>
      </c>
      <c r="DW861" s="27" t="s">
        <v>706</v>
      </c>
      <c r="DX861" s="27" t="s">
        <v>163</v>
      </c>
      <c r="DY861" s="27" t="s">
        <v>219</v>
      </c>
      <c r="DZ861" s="27" t="n">
        <f aca="false">DY861+DV861+DR861+DN861+DJ861+DF861+DB861</f>
        <v>415</v>
      </c>
      <c r="EA861" s="28" t="n">
        <f aca="false">DZ861/7</f>
        <v>59.2857142857143</v>
      </c>
      <c r="EB861" s="27" t="n">
        <f aca="false">RANK(EA861,$EA$2:$EA$881,0)</f>
        <v>788</v>
      </c>
      <c r="EC861" s="29" t="n">
        <f aca="false">DZ861+CQ861+CP861+AZ861</f>
        <v>483</v>
      </c>
      <c r="ED861" s="30" t="n">
        <f aca="false">(EA861+CV861+BB861)/3</f>
        <v>19.7619047619048</v>
      </c>
      <c r="EE861" s="51" t="n">
        <f aca="false">ROUND(BE861,3)</f>
        <v>0</v>
      </c>
      <c r="EF861" s="51" t="n">
        <f aca="false">ROUND(CR861,3)</f>
        <v>0</v>
      </c>
      <c r="EG861" s="51" t="n">
        <f aca="false">ROUND(CS861,3)</f>
        <v>9.714</v>
      </c>
      <c r="EH861" s="51" t="n">
        <f aca="false">ROUND(EA861,3)</f>
        <v>59.286</v>
      </c>
      <c r="EI861" s="51" t="n">
        <f aca="false">ROUND(ED861,3)</f>
        <v>19.762</v>
      </c>
      <c r="EJ861" s="51" t="n">
        <f aca="false">ROUND(CV861,3)</f>
        <v>0</v>
      </c>
      <c r="EK861" s="0" t="n">
        <f aca="false">RANK(EI861,$EI$2:$EI$881,0)</f>
        <v>860</v>
      </c>
    </row>
    <row r="862" customFormat="false" ht="15" hidden="false" customHeight="false" outlineLevel="0" collapsed="false">
      <c r="A862" s="4" t="n">
        <v>8056</v>
      </c>
      <c r="B862" s="4" t="n">
        <v>263</v>
      </c>
      <c r="C862" s="27" t="s">
        <v>2377</v>
      </c>
      <c r="D862" s="145"/>
      <c r="E862" s="57"/>
      <c r="F862" s="146" t="s">
        <v>2378</v>
      </c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  <c r="AT862" s="80"/>
      <c r="AU862" s="80"/>
      <c r="AV862" s="80"/>
      <c r="AW862" s="80"/>
      <c r="AX862" s="57"/>
      <c r="AY862" s="80"/>
      <c r="AZ862" s="80"/>
      <c r="BA862" s="80"/>
      <c r="BB862" s="80"/>
      <c r="BC862" s="57" t="n">
        <f aca="false">(BG862*2400)/100</f>
        <v>0</v>
      </c>
      <c r="BD862" s="16" t="e">
        <f aca="false">RANK(AX862,$AX$2:$AX$881,0)</f>
        <v>#N/A</v>
      </c>
      <c r="BE862" s="92" t="n">
        <f aca="false">((BC862*100)/2400)*0.4+(AX862*0.6)</f>
        <v>0</v>
      </c>
      <c r="BF862" s="16" t="n">
        <f aca="false">RANK(BE862,$BE$2:$BE$881,0)</f>
        <v>806</v>
      </c>
      <c r="BG862" s="57"/>
      <c r="BH862" s="39" t="n">
        <f aca="false">RANK(BC862,$BC$2:$BC$881,0)</f>
        <v>780</v>
      </c>
      <c r="BI862" s="57"/>
      <c r="BJ862" s="57"/>
      <c r="BK862" s="57"/>
      <c r="BL862" s="57"/>
      <c r="BM862" s="57"/>
      <c r="BN862" s="57"/>
      <c r="BO862" s="57" t="n">
        <v>17</v>
      </c>
      <c r="BP862" s="57" t="n">
        <v>44</v>
      </c>
      <c r="BQ862" s="57" t="n">
        <v>61</v>
      </c>
      <c r="BR862" s="57"/>
      <c r="BS862" s="57"/>
      <c r="BT862" s="57"/>
      <c r="BU862" s="80"/>
      <c r="BV862" s="60"/>
      <c r="BW862" s="106"/>
      <c r="BX862" s="124"/>
      <c r="BY862" s="57"/>
      <c r="BZ862" s="57"/>
      <c r="CA862" s="57"/>
      <c r="CB862" s="57"/>
      <c r="CC862" s="57"/>
      <c r="CD862" s="57"/>
      <c r="CE862" s="57"/>
      <c r="CF862" s="57"/>
      <c r="CG862" s="57"/>
      <c r="CH862" s="57"/>
      <c r="CI862" s="57"/>
      <c r="CJ862" s="57"/>
      <c r="CK862" s="57"/>
      <c r="CL862" s="57"/>
      <c r="CM862" s="57"/>
      <c r="CN862" s="57"/>
      <c r="CO862" s="57"/>
      <c r="CP862" s="25" t="n">
        <f aca="false">BX862+BW862+BV862+BU862+BT862+BQ862+BN862</f>
        <v>61</v>
      </c>
      <c r="CQ862" s="25" t="n">
        <f aca="false">CO862+CL862+CI862+CH862+CG862+CD862+CA862</f>
        <v>0</v>
      </c>
      <c r="CR862" s="26" t="n">
        <f aca="false">CP862/7</f>
        <v>8.71428571428571</v>
      </c>
      <c r="CS862" s="26" t="n">
        <f aca="false">CQ862/7</f>
        <v>0</v>
      </c>
      <c r="CT862" s="24" t="n">
        <f aca="false">RANK(CR862,$CR$2:$CR$881,0)</f>
        <v>760</v>
      </c>
      <c r="CU862" s="25" t="n">
        <f aca="false">RANK(CS862,$CS$2:$CS$881,0)</f>
        <v>752</v>
      </c>
      <c r="CV862" s="150"/>
      <c r="CW862" s="25" t="n">
        <f aca="false">RANK(CV862,$CV$2:$CV$881,0)</f>
        <v>753</v>
      </c>
      <c r="CX862" s="57"/>
      <c r="CY862" s="57"/>
      <c r="CZ862" s="27" t="s">
        <v>132</v>
      </c>
      <c r="DA862" s="27" t="s">
        <v>441</v>
      </c>
      <c r="DB862" s="27" t="s">
        <v>441</v>
      </c>
      <c r="DC862" s="27" t="s">
        <v>134</v>
      </c>
      <c r="DD862" s="27" t="s">
        <v>485</v>
      </c>
      <c r="DE862" s="27" t="s">
        <v>415</v>
      </c>
      <c r="DF862" s="27" t="s">
        <v>152</v>
      </c>
      <c r="DG862" s="27" t="s">
        <v>134</v>
      </c>
      <c r="DH862" s="27" t="s">
        <v>154</v>
      </c>
      <c r="DI862" s="27" t="s">
        <v>447</v>
      </c>
      <c r="DJ862" s="27" t="s">
        <v>443</v>
      </c>
      <c r="DK862" s="27" t="s">
        <v>134</v>
      </c>
      <c r="DL862" s="27" t="s">
        <v>386</v>
      </c>
      <c r="DM862" s="27" t="s">
        <v>681</v>
      </c>
      <c r="DN862" s="27" t="s">
        <v>152</v>
      </c>
      <c r="DO862" s="27" t="s">
        <v>134</v>
      </c>
      <c r="DP862" s="27"/>
      <c r="DQ862" s="27"/>
      <c r="DR862" s="27"/>
      <c r="DS862" s="27"/>
      <c r="DT862" s="27" t="s">
        <v>1000</v>
      </c>
      <c r="DU862" s="27" t="s">
        <v>1423</v>
      </c>
      <c r="DV862" s="27" t="s">
        <v>638</v>
      </c>
      <c r="DW862" s="27" t="s">
        <v>174</v>
      </c>
      <c r="DX862" s="27" t="s">
        <v>152</v>
      </c>
      <c r="DY862" s="27" t="s">
        <v>202</v>
      </c>
      <c r="DZ862" s="27" t="n">
        <f aca="false">DY862+DV862+DR862+DN862+DJ862+DF862+DB862</f>
        <v>410</v>
      </c>
      <c r="EA862" s="28" t="n">
        <f aca="false">DZ862/7</f>
        <v>58.5714285714286</v>
      </c>
      <c r="EB862" s="27" t="n">
        <f aca="false">RANK(EA862,$EA$2:$EA$881,0)</f>
        <v>796</v>
      </c>
      <c r="EC862" s="29" t="n">
        <f aca="false">DZ862+CQ862+CP862+AZ862</f>
        <v>471</v>
      </c>
      <c r="ED862" s="30" t="n">
        <f aca="false">(EA862+CV862+BB862)/3</f>
        <v>19.5238095238095</v>
      </c>
      <c r="EE862" s="51" t="n">
        <f aca="false">ROUND(BE862,3)</f>
        <v>0</v>
      </c>
      <c r="EF862" s="51" t="n">
        <f aca="false">ROUND(CR862,3)</f>
        <v>8.714</v>
      </c>
      <c r="EG862" s="51" t="n">
        <f aca="false">ROUND(CS862,3)</f>
        <v>0</v>
      </c>
      <c r="EH862" s="51" t="n">
        <f aca="false">ROUND(EA862,3)</f>
        <v>58.571</v>
      </c>
      <c r="EI862" s="51" t="n">
        <f aca="false">ROUND(ED862,3)</f>
        <v>19.524</v>
      </c>
      <c r="EJ862" s="51" t="n">
        <f aca="false">ROUND(CV862,3)</f>
        <v>0</v>
      </c>
      <c r="EK862" s="0" t="n">
        <f aca="false">RANK(EI862,$EI$2:$EI$881,0)</f>
        <v>861</v>
      </c>
    </row>
    <row r="863" customFormat="false" ht="15" hidden="false" customHeight="false" outlineLevel="0" collapsed="false">
      <c r="A863" s="4" t="n">
        <v>8237</v>
      </c>
      <c r="B863" s="4" t="n">
        <v>600</v>
      </c>
      <c r="C863" s="27" t="s">
        <v>2379</v>
      </c>
      <c r="D863" s="145"/>
      <c r="E863" s="57"/>
      <c r="F863" s="146" t="s">
        <v>2380</v>
      </c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  <c r="AV863" s="80"/>
      <c r="AW863" s="80"/>
      <c r="AX863" s="57"/>
      <c r="AY863" s="80"/>
      <c r="AZ863" s="80"/>
      <c r="BA863" s="80"/>
      <c r="BB863" s="80"/>
      <c r="BC863" s="57" t="n">
        <f aca="false">(BG863*2400)/100</f>
        <v>0</v>
      </c>
      <c r="BD863" s="16" t="e">
        <f aca="false">RANK(AX863,$AX$2:$AX$881,0)</f>
        <v>#N/A</v>
      </c>
      <c r="BE863" s="92" t="n">
        <f aca="false">((BC863*100)/2400)*0.4+(AX863*0.6)</f>
        <v>0</v>
      </c>
      <c r="BF863" s="16" t="n">
        <f aca="false">RANK(BE863,$BE$2:$BE$881,0)</f>
        <v>806</v>
      </c>
      <c r="BG863" s="57"/>
      <c r="BH863" s="39" t="n">
        <f aca="false">RANK(BC863,$BC$2:$BC$881,0)</f>
        <v>780</v>
      </c>
      <c r="BI863" s="57"/>
      <c r="BJ863" s="57"/>
      <c r="BK863" s="57"/>
      <c r="BL863" s="57" t="n">
        <v>20</v>
      </c>
      <c r="BM863" s="57" t="n">
        <v>39</v>
      </c>
      <c r="BN863" s="155" t="n">
        <v>59</v>
      </c>
      <c r="BO863" s="57"/>
      <c r="BP863" s="57"/>
      <c r="BQ863" s="57"/>
      <c r="BR863" s="57"/>
      <c r="BS863" s="57"/>
      <c r="BT863" s="57"/>
      <c r="BU863" s="80"/>
      <c r="BV863" s="60"/>
      <c r="BW863" s="106"/>
      <c r="BX863" s="124"/>
      <c r="BY863" s="57"/>
      <c r="BZ863" s="57"/>
      <c r="CA863" s="57"/>
      <c r="CB863" s="57"/>
      <c r="CC863" s="57"/>
      <c r="CD863" s="57"/>
      <c r="CE863" s="57"/>
      <c r="CF863" s="57"/>
      <c r="CG863" s="57"/>
      <c r="CH863" s="57"/>
      <c r="CI863" s="57"/>
      <c r="CJ863" s="57"/>
      <c r="CK863" s="57"/>
      <c r="CL863" s="57"/>
      <c r="CM863" s="57" t="n">
        <v>16</v>
      </c>
      <c r="CN863" s="57" t="n">
        <v>44</v>
      </c>
      <c r="CO863" s="57" t="n">
        <v>60</v>
      </c>
      <c r="CP863" s="25" t="n">
        <f aca="false">BX863+BW863+BV863+BU863+BT863+BQ863+BN863</f>
        <v>59</v>
      </c>
      <c r="CQ863" s="25" t="n">
        <f aca="false">CO863+CL863+CI863+CH863+CG863+CD863+CA863</f>
        <v>60</v>
      </c>
      <c r="CR863" s="26" t="n">
        <f aca="false">CP863/7</f>
        <v>8.42857142857143</v>
      </c>
      <c r="CS863" s="26" t="n">
        <f aca="false">CQ863/7</f>
        <v>8.57142857142857</v>
      </c>
      <c r="CT863" s="24" t="n">
        <f aca="false">RANK(CR863,$CR$2:$CR$881,0)</f>
        <v>762</v>
      </c>
      <c r="CU863" s="25" t="n">
        <f aca="false">RANK(CS863,$CS$2:$CS$881,0)</f>
        <v>750</v>
      </c>
      <c r="CV863" s="150"/>
      <c r="CW863" s="25" t="n">
        <f aca="false">RANK(CV863,$CV$2:$CV$881,0)</f>
        <v>753</v>
      </c>
      <c r="CX863" s="57"/>
      <c r="CY863" s="57"/>
      <c r="CZ863" s="27" t="s">
        <v>132</v>
      </c>
      <c r="DA863" s="27" t="s">
        <v>443</v>
      </c>
      <c r="DB863" s="27" t="s">
        <v>443</v>
      </c>
      <c r="DC863" s="27" t="s">
        <v>134</v>
      </c>
      <c r="DD863" s="27" t="s">
        <v>264</v>
      </c>
      <c r="DE863" s="27" t="s">
        <v>1407</v>
      </c>
      <c r="DF863" s="27" t="s">
        <v>204</v>
      </c>
      <c r="DG863" s="27" t="s">
        <v>480</v>
      </c>
      <c r="DH863" s="27" t="s">
        <v>264</v>
      </c>
      <c r="DI863" s="27" t="s">
        <v>1388</v>
      </c>
      <c r="DJ863" s="27" t="s">
        <v>313</v>
      </c>
      <c r="DK863" s="27" t="s">
        <v>480</v>
      </c>
      <c r="DL863" s="27" t="s">
        <v>604</v>
      </c>
      <c r="DM863" s="27" t="s">
        <v>399</v>
      </c>
      <c r="DN863" s="27" t="s">
        <v>152</v>
      </c>
      <c r="DO863" s="27" t="s">
        <v>134</v>
      </c>
      <c r="DP863" s="27"/>
      <c r="DQ863" s="27"/>
      <c r="DR863" s="27"/>
      <c r="DS863" s="27"/>
      <c r="DT863" s="27" t="s">
        <v>154</v>
      </c>
      <c r="DU863" s="27" t="s">
        <v>399</v>
      </c>
      <c r="DV863" s="27" t="s">
        <v>416</v>
      </c>
      <c r="DW863" s="27" t="s">
        <v>485</v>
      </c>
      <c r="DX863" s="27" t="s">
        <v>155</v>
      </c>
      <c r="DY863" s="27" t="s">
        <v>178</v>
      </c>
      <c r="DZ863" s="27" t="n">
        <f aca="false">DY863+DV863+DR863+DN863+DJ863+DF863+DB863</f>
        <v>409</v>
      </c>
      <c r="EA863" s="28" t="n">
        <f aca="false">DZ863/7</f>
        <v>58.4285714285714</v>
      </c>
      <c r="EB863" s="27" t="n">
        <f aca="false">RANK(EA863,$EA$2:$EA$881,0)</f>
        <v>801</v>
      </c>
      <c r="EC863" s="29" t="n">
        <f aca="false">DZ863+CQ863+CP863+AZ863</f>
        <v>528</v>
      </c>
      <c r="ED863" s="30" t="n">
        <f aca="false">(EA863+CV863+BB863)/3</f>
        <v>19.4761904761905</v>
      </c>
      <c r="EE863" s="51" t="n">
        <f aca="false">ROUND(BE863,3)</f>
        <v>0</v>
      </c>
      <c r="EF863" s="51" t="n">
        <f aca="false">ROUND(CR863,3)</f>
        <v>8.429</v>
      </c>
      <c r="EG863" s="51" t="n">
        <f aca="false">ROUND(CS863,3)</f>
        <v>8.571</v>
      </c>
      <c r="EH863" s="51" t="n">
        <f aca="false">ROUND(EA863,3)</f>
        <v>58.429</v>
      </c>
      <c r="EI863" s="51" t="n">
        <f aca="false">ROUND(ED863,3)</f>
        <v>19.476</v>
      </c>
      <c r="EJ863" s="51" t="n">
        <f aca="false">ROUND(CV863,3)</f>
        <v>0</v>
      </c>
      <c r="EK863" s="0" t="n">
        <f aca="false">RANK(EI863,$EI$2:$EI$881,0)</f>
        <v>862</v>
      </c>
    </row>
    <row r="864" customFormat="false" ht="15" hidden="false" customHeight="false" outlineLevel="0" collapsed="false">
      <c r="A864" s="4" t="n">
        <v>7970</v>
      </c>
      <c r="B864" s="4" t="n">
        <v>156</v>
      </c>
      <c r="C864" s="27" t="s">
        <v>2381</v>
      </c>
      <c r="D864" s="145"/>
      <c r="E864" s="57"/>
      <c r="F864" s="146" t="s">
        <v>2382</v>
      </c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  <c r="AZ864" s="80"/>
      <c r="BA864" s="80"/>
      <c r="BB864" s="80"/>
      <c r="BC864" s="57" t="n">
        <f aca="false">(BG864*2400)/100</f>
        <v>0</v>
      </c>
      <c r="BD864" s="16" t="e">
        <f aca="false">RANK(AX864,$AX$2:$AX$881,0)</f>
        <v>#N/A</v>
      </c>
      <c r="BE864" s="92" t="n">
        <f aca="false">((BC864*100)/2400)*0.4+(AX864*0.6)</f>
        <v>0</v>
      </c>
      <c r="BF864" s="16" t="n">
        <f aca="false">RANK(BE864,$BE$2:$BE$881,0)</f>
        <v>806</v>
      </c>
      <c r="BG864" s="80"/>
      <c r="BH864" s="39" t="n">
        <f aca="false">RANK(BC864,$BC$2:$BC$881,0)</f>
        <v>780</v>
      </c>
      <c r="BI864" s="80"/>
      <c r="BJ864" s="80"/>
      <c r="BK864" s="80"/>
      <c r="BL864" s="80"/>
      <c r="BM864" s="80"/>
      <c r="BN864" s="80"/>
      <c r="BO864" s="80"/>
      <c r="BP864" s="80"/>
      <c r="BQ864" s="80"/>
      <c r="BR864" s="80"/>
      <c r="BS864" s="80"/>
      <c r="BT864" s="80"/>
      <c r="BU864" s="80"/>
      <c r="BV864" s="80"/>
      <c r="BW864" s="80"/>
      <c r="BX864" s="80"/>
      <c r="BY864" s="88" t="n">
        <v>23</v>
      </c>
      <c r="BZ864" s="88" t="n">
        <v>43</v>
      </c>
      <c r="CA864" s="88" t="n">
        <v>66</v>
      </c>
      <c r="CB864" s="80"/>
      <c r="CC864" s="80"/>
      <c r="CD864" s="80"/>
      <c r="CE864" s="80"/>
      <c r="CF864" s="80"/>
      <c r="CG864" s="80"/>
      <c r="CH864" s="80"/>
      <c r="CI864" s="80"/>
      <c r="CJ864" s="80"/>
      <c r="CK864" s="80"/>
      <c r="CL864" s="80"/>
      <c r="CM864" s="88" t="n">
        <v>18</v>
      </c>
      <c r="CN864" s="88" t="n">
        <v>58</v>
      </c>
      <c r="CO864" s="88" t="n">
        <v>76</v>
      </c>
      <c r="CP864" s="25" t="n">
        <f aca="false">BX864+BW864+BV864+BU864+BT864+BQ864+BN864</f>
        <v>0</v>
      </c>
      <c r="CQ864" s="25" t="n">
        <f aca="false">CO864+CL864+CI864+CH864+CG864+CD864+CA864</f>
        <v>142</v>
      </c>
      <c r="CR864" s="26" t="n">
        <f aca="false">CP864/7</f>
        <v>0</v>
      </c>
      <c r="CS864" s="26" t="n">
        <f aca="false">CQ864/7</f>
        <v>20.2857142857143</v>
      </c>
      <c r="CT864" s="24" t="n">
        <f aca="false">RANK(CR864,$CR$2:$CR$881,0)</f>
        <v>768</v>
      </c>
      <c r="CU864" s="25" t="n">
        <f aca="false">RANK(CS864,$CS$2:$CS$881,0)</f>
        <v>731</v>
      </c>
      <c r="CV864" s="80"/>
      <c r="CW864" s="25" t="n">
        <f aca="false">RANK(CV864,$CV$2:$CV$881,0)</f>
        <v>753</v>
      </c>
      <c r="CX864" s="80"/>
      <c r="CY864" s="80"/>
      <c r="CZ864" s="27" t="s">
        <v>132</v>
      </c>
      <c r="DA864" s="27" t="s">
        <v>175</v>
      </c>
      <c r="DB864" s="27" t="s">
        <v>175</v>
      </c>
      <c r="DC864" s="27" t="s">
        <v>134</v>
      </c>
      <c r="DD864" s="27" t="s">
        <v>154</v>
      </c>
      <c r="DE864" s="27" t="s">
        <v>204</v>
      </c>
      <c r="DF864" s="27" t="s">
        <v>205</v>
      </c>
      <c r="DG864" s="27" t="s">
        <v>134</v>
      </c>
      <c r="DH864" s="27" t="s">
        <v>174</v>
      </c>
      <c r="DI864" s="27" t="s">
        <v>479</v>
      </c>
      <c r="DJ864" s="27" t="s">
        <v>161</v>
      </c>
      <c r="DK864" s="27" t="s">
        <v>134</v>
      </c>
      <c r="DL864" s="27"/>
      <c r="DM864" s="27"/>
      <c r="DN864" s="27"/>
      <c r="DO864" s="27"/>
      <c r="DP864" s="27"/>
      <c r="DQ864" s="27"/>
      <c r="DR864" s="27"/>
      <c r="DS864" s="27"/>
      <c r="DT864" s="27" t="s">
        <v>182</v>
      </c>
      <c r="DU864" s="27" t="s">
        <v>306</v>
      </c>
      <c r="DV864" s="27" t="s">
        <v>272</v>
      </c>
      <c r="DW864" s="27" t="s">
        <v>160</v>
      </c>
      <c r="DX864" s="27" t="s">
        <v>143</v>
      </c>
      <c r="DY864" s="27" t="s">
        <v>142</v>
      </c>
      <c r="DZ864" s="27" t="n">
        <f aca="false">DY864+DV864+DR864+DN864+DJ864+DF864+DB864</f>
        <v>403</v>
      </c>
      <c r="EA864" s="28" t="n">
        <f aca="false">DZ864/7</f>
        <v>57.5714285714286</v>
      </c>
      <c r="EB864" s="27" t="n">
        <f aca="false">RANK(EA864,$EA$2:$EA$881,0)</f>
        <v>812</v>
      </c>
      <c r="EC864" s="29" t="n">
        <f aca="false">DZ864+CQ864+CP864+AZ864</f>
        <v>545</v>
      </c>
      <c r="ED864" s="30" t="n">
        <f aca="false">(EA864+CV864+BB864)/3</f>
        <v>19.1904761904762</v>
      </c>
      <c r="EE864" s="51" t="n">
        <f aca="false">ROUND(BE864,3)</f>
        <v>0</v>
      </c>
      <c r="EF864" s="51" t="n">
        <f aca="false">ROUND(CR864,3)</f>
        <v>0</v>
      </c>
      <c r="EG864" s="51" t="n">
        <f aca="false">ROUND(CS864,3)</f>
        <v>20.286</v>
      </c>
      <c r="EH864" s="51" t="n">
        <f aca="false">ROUND(EA864,3)</f>
        <v>57.571</v>
      </c>
      <c r="EI864" s="51" t="n">
        <f aca="false">ROUND(ED864,3)</f>
        <v>19.19</v>
      </c>
      <c r="EJ864" s="51" t="n">
        <f aca="false">ROUND(CV864,3)</f>
        <v>0</v>
      </c>
      <c r="EK864" s="0" t="n">
        <f aca="false">RANK(EI864,$EI$2:$EI$881,0)</f>
        <v>863</v>
      </c>
    </row>
    <row r="865" customFormat="false" ht="15" hidden="false" customHeight="false" outlineLevel="0" collapsed="false">
      <c r="A865" s="4" t="n">
        <v>9184</v>
      </c>
      <c r="B865" s="4" t="n">
        <v>874</v>
      </c>
      <c r="C865" s="27" t="s">
        <v>2383</v>
      </c>
      <c r="D865" s="145"/>
      <c r="E865" s="57"/>
      <c r="F865" s="146" t="s">
        <v>2384</v>
      </c>
      <c r="G865" s="57"/>
      <c r="H865" s="57" t="s">
        <v>2301</v>
      </c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  <c r="BC865" s="57" t="n">
        <f aca="false">(BG865*2400)/100</f>
        <v>0</v>
      </c>
      <c r="BD865" s="16" t="e">
        <f aca="false">RANK(AX865,$AX$2:$AX$881,0)</f>
        <v>#N/A</v>
      </c>
      <c r="BE865" s="92" t="n">
        <f aca="false">((BC865*100)/2400)*0.4+(AX865*0.6)</f>
        <v>0</v>
      </c>
      <c r="BF865" s="16" t="n">
        <f aca="false">RANK(BE865,$BE$2:$BE$881,0)</f>
        <v>806</v>
      </c>
      <c r="BG865" s="57"/>
      <c r="BH865" s="39" t="n">
        <f aca="false">RANK(BC865,$BC$2:$BC$881,0)</f>
        <v>780</v>
      </c>
      <c r="BI865" s="57"/>
      <c r="BJ865" s="57"/>
      <c r="BK865" s="57"/>
      <c r="BL865" s="25" t="n">
        <v>20</v>
      </c>
      <c r="BM865" s="25" t="n">
        <v>59</v>
      </c>
      <c r="BN865" s="25" t="n">
        <v>79</v>
      </c>
      <c r="BO865" s="25" t="n">
        <v>27</v>
      </c>
      <c r="BP865" s="25" t="n">
        <v>58</v>
      </c>
      <c r="BQ865" s="25" t="n">
        <v>85</v>
      </c>
      <c r="BR865" s="25" t="n">
        <v>28</v>
      </c>
      <c r="BS865" s="25" t="n">
        <v>47</v>
      </c>
      <c r="BT865" s="25" t="n">
        <v>75</v>
      </c>
      <c r="BU865" s="25" t="n">
        <v>69</v>
      </c>
      <c r="BV865" s="25" t="n">
        <v>86</v>
      </c>
      <c r="BW865" s="25" t="n">
        <v>88</v>
      </c>
      <c r="BX865" s="151" t="n">
        <v>94</v>
      </c>
      <c r="BY865" s="149" t="n">
        <v>24</v>
      </c>
      <c r="BZ865" s="149" t="n">
        <v>39</v>
      </c>
      <c r="CA865" s="149" t="n">
        <v>63</v>
      </c>
      <c r="CB865" s="149" t="n">
        <v>18</v>
      </c>
      <c r="CC865" s="149" t="n">
        <v>48</v>
      </c>
      <c r="CD865" s="149" t="n">
        <v>66</v>
      </c>
      <c r="CE865" s="148"/>
      <c r="CF865" s="148"/>
      <c r="CG865" s="148"/>
      <c r="CH865" s="149" t="n">
        <v>91</v>
      </c>
      <c r="CI865" s="149" t="n">
        <v>77</v>
      </c>
      <c r="CJ865" s="149" t="n">
        <v>24</v>
      </c>
      <c r="CK865" s="149" t="n">
        <v>62</v>
      </c>
      <c r="CL865" s="149" t="n">
        <v>86</v>
      </c>
      <c r="CM865" s="25" t="n">
        <v>20</v>
      </c>
      <c r="CN865" s="25" t="n">
        <v>53</v>
      </c>
      <c r="CO865" s="25" t="n">
        <v>73</v>
      </c>
      <c r="CP865" s="25" t="n">
        <f aca="false">BX865+BW865+BV865+BU865+BT865+BQ865+BN865</f>
        <v>576</v>
      </c>
      <c r="CQ865" s="25" t="n">
        <f aca="false">CO865+CL865+CI865+CH865+CG865+CD865+CA865</f>
        <v>456</v>
      </c>
      <c r="CR865" s="26" t="n">
        <f aca="false">CP865/7</f>
        <v>82.2857142857143</v>
      </c>
      <c r="CS865" s="26" t="n">
        <f aca="false">CQ865/7</f>
        <v>65.1428571428571</v>
      </c>
      <c r="CT865" s="24" t="n">
        <f aca="false">RANK(CR865,$CR$2:$CR$881,0)</f>
        <v>532</v>
      </c>
      <c r="CU865" s="25" t="n">
        <f aca="false">RANK(CS865,$CS$2:$CS$881,0)</f>
        <v>624</v>
      </c>
      <c r="CV865" s="150"/>
      <c r="CW865" s="25" t="n">
        <f aca="false">RANK(CV865,$CV$2:$CV$881,0)</f>
        <v>753</v>
      </c>
      <c r="CX865" s="57"/>
      <c r="CY865" s="57"/>
      <c r="CZ865" s="27" t="s">
        <v>132</v>
      </c>
      <c r="DA865" s="27" t="s">
        <v>169</v>
      </c>
      <c r="DB865" s="27" t="s">
        <v>169</v>
      </c>
      <c r="DC865" s="27" t="s">
        <v>134</v>
      </c>
      <c r="DD865" s="27" t="s">
        <v>135</v>
      </c>
      <c r="DE865" s="27" t="s">
        <v>220</v>
      </c>
      <c r="DF865" s="27" t="s">
        <v>196</v>
      </c>
      <c r="DG865" s="27" t="s">
        <v>134</v>
      </c>
      <c r="DH865" s="27"/>
      <c r="DI865" s="27"/>
      <c r="DJ865" s="27"/>
      <c r="DK865" s="27"/>
      <c r="DL865" s="27" t="s">
        <v>182</v>
      </c>
      <c r="DM865" s="27" t="s">
        <v>220</v>
      </c>
      <c r="DN865" s="27" t="s">
        <v>219</v>
      </c>
      <c r="DO865" s="27" t="s">
        <v>134</v>
      </c>
      <c r="DP865" s="27"/>
      <c r="DQ865" s="27"/>
      <c r="DR865" s="27"/>
      <c r="DS865" s="27"/>
      <c r="DT865" s="27" t="s">
        <v>137</v>
      </c>
      <c r="DU865" s="27" t="s">
        <v>906</v>
      </c>
      <c r="DV865" s="27" t="s">
        <v>152</v>
      </c>
      <c r="DW865" s="27" t="s">
        <v>174</v>
      </c>
      <c r="DX865" s="27" t="s">
        <v>155</v>
      </c>
      <c r="DY865" s="27" t="s">
        <v>176</v>
      </c>
      <c r="DZ865" s="27" t="n">
        <f aca="false">DY865+DV865+DR865+DN865+DJ865+DF865+DB865</f>
        <v>400</v>
      </c>
      <c r="EA865" s="28" t="n">
        <f aca="false">DZ865/7</f>
        <v>57.1428571428571</v>
      </c>
      <c r="EB865" s="27" t="n">
        <f aca="false">RANK(EA865,$EA$2:$EA$881,0)</f>
        <v>815</v>
      </c>
      <c r="EC865" s="29" t="n">
        <f aca="false">DZ865+CQ865+CP865+AZ865</f>
        <v>1432</v>
      </c>
      <c r="ED865" s="30" t="n">
        <f aca="false">(EA865+CV865+BB865)/3</f>
        <v>19.047619047619</v>
      </c>
      <c r="EE865" s="51" t="n">
        <f aca="false">ROUND(BE865,3)</f>
        <v>0</v>
      </c>
      <c r="EF865" s="51" t="n">
        <f aca="false">ROUND(CR865,3)</f>
        <v>82.286</v>
      </c>
      <c r="EG865" s="51" t="n">
        <f aca="false">ROUND(CS865,3)</f>
        <v>65.143</v>
      </c>
      <c r="EH865" s="51" t="n">
        <f aca="false">ROUND(EA865,3)</f>
        <v>57.143</v>
      </c>
      <c r="EI865" s="51" t="n">
        <f aca="false">ROUND(ED865,3)</f>
        <v>19.048</v>
      </c>
      <c r="EJ865" s="51" t="n">
        <f aca="false">ROUND(CV865,3)</f>
        <v>0</v>
      </c>
      <c r="EK865" s="0" t="n">
        <f aca="false">RANK(EI865,$EI$2:$EI$881,0)</f>
        <v>864</v>
      </c>
    </row>
    <row r="866" customFormat="false" ht="15" hidden="false" customHeight="false" outlineLevel="0" collapsed="false">
      <c r="A866" s="4" t="n">
        <v>8050</v>
      </c>
      <c r="B866" s="4" t="n">
        <v>228</v>
      </c>
      <c r="C866" s="27" t="s">
        <v>2385</v>
      </c>
      <c r="D866" s="145"/>
      <c r="E866" s="57"/>
      <c r="F866" s="146" t="s">
        <v>2386</v>
      </c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  <c r="AZ866" s="80"/>
      <c r="BA866" s="80"/>
      <c r="BB866" s="80"/>
      <c r="BC866" s="57" t="n">
        <f aca="false">(BG866*2400)/100</f>
        <v>0</v>
      </c>
      <c r="BD866" s="16" t="e">
        <f aca="false">RANK(AX866,$AX$2:$AX$881,0)</f>
        <v>#N/A</v>
      </c>
      <c r="BE866" s="92" t="n">
        <f aca="false">((BC866*100)/2400)*0.4+(AX866*0.6)</f>
        <v>0</v>
      </c>
      <c r="BF866" s="16" t="n">
        <f aca="false">RANK(BE866,$BE$2:$BE$881,0)</f>
        <v>806</v>
      </c>
      <c r="BG866" s="80"/>
      <c r="BH866" s="39" t="n">
        <f aca="false">RANK(BC866,$BC$2:$BC$881,0)</f>
        <v>780</v>
      </c>
      <c r="BI866" s="80"/>
      <c r="BJ866" s="80"/>
      <c r="BK866" s="80"/>
      <c r="BL866" s="80"/>
      <c r="BM866" s="80"/>
      <c r="BN866" s="80"/>
      <c r="BO866" s="80"/>
      <c r="BP866" s="80"/>
      <c r="BQ866" s="80"/>
      <c r="BR866" s="80"/>
      <c r="BS866" s="80"/>
      <c r="BT866" s="80"/>
      <c r="BU866" s="80"/>
      <c r="BV866" s="80"/>
      <c r="BW866" s="80"/>
      <c r="BX866" s="80"/>
      <c r="BY866" s="80"/>
      <c r="BZ866" s="80"/>
      <c r="CA866" s="80"/>
      <c r="CB866" s="80"/>
      <c r="CC866" s="80"/>
      <c r="CD866" s="80"/>
      <c r="CE866" s="80"/>
      <c r="CF866" s="80"/>
      <c r="CG866" s="80"/>
      <c r="CH866" s="80"/>
      <c r="CI866" s="80"/>
      <c r="CJ866" s="80"/>
      <c r="CK866" s="80"/>
      <c r="CL866" s="80"/>
      <c r="CM866" s="80"/>
      <c r="CN866" s="80"/>
      <c r="CO866" s="80"/>
      <c r="CP866" s="25" t="n">
        <f aca="false">BX866+BW866+BV866+BU866+BT866+BQ866+BN866</f>
        <v>0</v>
      </c>
      <c r="CQ866" s="25" t="n">
        <f aca="false">CO866+CL866+CI866+CH866+CG866+CD866+CA866</f>
        <v>0</v>
      </c>
      <c r="CR866" s="26" t="n">
        <f aca="false">CP866/7</f>
        <v>0</v>
      </c>
      <c r="CS866" s="26" t="n">
        <f aca="false">CQ866/7</f>
        <v>0</v>
      </c>
      <c r="CT866" s="24" t="n">
        <f aca="false">RANK(CR866,$CR$2:$CR$881,0)</f>
        <v>768</v>
      </c>
      <c r="CU866" s="25" t="n">
        <f aca="false">RANK(CS866,$CS$2:$CS$881,0)</f>
        <v>752</v>
      </c>
      <c r="CV866" s="80"/>
      <c r="CW866" s="25" t="n">
        <f aca="false">RANK(CV866,$CV$2:$CV$881,0)</f>
        <v>753</v>
      </c>
      <c r="CX866" s="80"/>
      <c r="CY866" s="80"/>
      <c r="CZ866" s="27" t="s">
        <v>132</v>
      </c>
      <c r="DA866" s="27" t="s">
        <v>272</v>
      </c>
      <c r="DB866" s="27" t="s">
        <v>272</v>
      </c>
      <c r="DC866" s="27" t="s">
        <v>134</v>
      </c>
      <c r="DD866" s="27" t="s">
        <v>191</v>
      </c>
      <c r="DE866" s="27" t="s">
        <v>906</v>
      </c>
      <c r="DF866" s="27" t="s">
        <v>183</v>
      </c>
      <c r="DG866" s="27" t="s">
        <v>480</v>
      </c>
      <c r="DH866" s="27" t="s">
        <v>195</v>
      </c>
      <c r="DI866" s="27" t="s">
        <v>146</v>
      </c>
      <c r="DJ866" s="27" t="s">
        <v>412</v>
      </c>
      <c r="DK866" s="27" t="s">
        <v>480</v>
      </c>
      <c r="DL866" s="27" t="s">
        <v>264</v>
      </c>
      <c r="DM866" s="27" t="s">
        <v>906</v>
      </c>
      <c r="DN866" s="27" t="s">
        <v>218</v>
      </c>
      <c r="DO866" s="27" t="s">
        <v>480</v>
      </c>
      <c r="DP866" s="27"/>
      <c r="DQ866" s="27"/>
      <c r="DR866" s="27"/>
      <c r="DS866" s="27"/>
      <c r="DT866" s="27" t="s">
        <v>195</v>
      </c>
      <c r="DU866" s="27" t="s">
        <v>1423</v>
      </c>
      <c r="DV866" s="27" t="s">
        <v>313</v>
      </c>
      <c r="DW866" s="27" t="s">
        <v>154</v>
      </c>
      <c r="DX866" s="27" t="s">
        <v>143</v>
      </c>
      <c r="DY866" s="27" t="s">
        <v>170</v>
      </c>
      <c r="DZ866" s="27" t="n">
        <f aca="false">DY866+DV866+DR866+DN866+DJ866+DF866+DB866</f>
        <v>388</v>
      </c>
      <c r="EA866" s="28" t="n">
        <f aca="false">DZ866/7</f>
        <v>55.4285714285714</v>
      </c>
      <c r="EB866" s="27" t="n">
        <f aca="false">RANK(EA866,$EA$2:$EA$881,0)</f>
        <v>823</v>
      </c>
      <c r="EC866" s="29" t="n">
        <f aca="false">DZ866+CQ866+CP866+AZ866</f>
        <v>388</v>
      </c>
      <c r="ED866" s="30" t="n">
        <f aca="false">(EA866+CV866+BB866)/3</f>
        <v>18.4761904761905</v>
      </c>
      <c r="EE866" s="51" t="n">
        <f aca="false">ROUND(BE866,3)</f>
        <v>0</v>
      </c>
      <c r="EF866" s="51" t="n">
        <f aca="false">ROUND(CR866,3)</f>
        <v>0</v>
      </c>
      <c r="EG866" s="51" t="n">
        <f aca="false">ROUND(CS866,3)</f>
        <v>0</v>
      </c>
      <c r="EH866" s="51" t="n">
        <f aca="false">ROUND(EA866,3)</f>
        <v>55.429</v>
      </c>
      <c r="EI866" s="51" t="n">
        <f aca="false">ROUND(ED866,3)</f>
        <v>18.476</v>
      </c>
      <c r="EJ866" s="51" t="n">
        <f aca="false">ROUND(CV866,3)</f>
        <v>0</v>
      </c>
      <c r="EK866" s="0" t="n">
        <f aca="false">RANK(EI866,$EI$2:$EI$881,0)</f>
        <v>865</v>
      </c>
    </row>
    <row r="867" customFormat="false" ht="15" hidden="false" customHeight="false" outlineLevel="0" collapsed="false">
      <c r="A867" s="4" t="n">
        <v>7820</v>
      </c>
      <c r="B867" s="4" t="n">
        <v>775</v>
      </c>
      <c r="C867" s="27" t="s">
        <v>2387</v>
      </c>
      <c r="D867" s="145"/>
      <c r="E867" s="57"/>
      <c r="F867" s="146" t="s">
        <v>2388</v>
      </c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  <c r="AT867" s="80"/>
      <c r="AU867" s="80"/>
      <c r="AV867" s="80"/>
      <c r="AW867" s="80"/>
      <c r="AX867" s="57"/>
      <c r="AY867" s="80"/>
      <c r="AZ867" s="80"/>
      <c r="BA867" s="80"/>
      <c r="BB867" s="80"/>
      <c r="BC867" s="57" t="n">
        <f aca="false">(BG867*2400)/100</f>
        <v>0</v>
      </c>
      <c r="BD867" s="16" t="e">
        <f aca="false">RANK(AX867,$AX$2:$AX$881,0)</f>
        <v>#N/A</v>
      </c>
      <c r="BE867" s="92" t="n">
        <f aca="false">((BC867*100)/2400)*0.4+(AX867*0.6)</f>
        <v>0</v>
      </c>
      <c r="BF867" s="16" t="n">
        <f aca="false">RANK(BE867,$BE$2:$BE$881,0)</f>
        <v>806</v>
      </c>
      <c r="BG867" s="57"/>
      <c r="BH867" s="39" t="n">
        <f aca="false">RANK(BC867,$BC$2:$BC$881,0)</f>
        <v>780</v>
      </c>
      <c r="BI867" s="57"/>
      <c r="BJ867" s="57"/>
      <c r="BK867" s="57"/>
      <c r="BL867" s="57"/>
      <c r="BM867" s="57"/>
      <c r="BN867" s="57"/>
      <c r="BO867" s="57"/>
      <c r="BP867" s="57"/>
      <c r="BQ867" s="57"/>
      <c r="BR867" s="57" t="n">
        <v>16</v>
      </c>
      <c r="BS867" s="57" t="n">
        <v>39</v>
      </c>
      <c r="BT867" s="156" t="n">
        <v>55</v>
      </c>
      <c r="BU867" s="80"/>
      <c r="BV867" s="60"/>
      <c r="BW867" s="106"/>
      <c r="BX867" s="124"/>
      <c r="BY867" s="57"/>
      <c r="BZ867" s="57"/>
      <c r="CA867" s="57"/>
      <c r="CB867" s="57"/>
      <c r="CC867" s="57"/>
      <c r="CD867" s="57"/>
      <c r="CE867" s="57"/>
      <c r="CF867" s="57"/>
      <c r="CG867" s="57"/>
      <c r="CH867" s="57"/>
      <c r="CI867" s="57"/>
      <c r="CJ867" s="57"/>
      <c r="CK867" s="57"/>
      <c r="CL867" s="57"/>
      <c r="CM867" s="57"/>
      <c r="CN867" s="57"/>
      <c r="CO867" s="57"/>
      <c r="CP867" s="25" t="n">
        <f aca="false">BX867+BW867+BV867+BU867+BT867+BQ867+BN867</f>
        <v>55</v>
      </c>
      <c r="CQ867" s="25" t="n">
        <f aca="false">CO867+CL867+CI867+CH867+CG867+CD867+CA867</f>
        <v>0</v>
      </c>
      <c r="CR867" s="26" t="n">
        <f aca="false">CP867/7</f>
        <v>7.85714285714286</v>
      </c>
      <c r="CS867" s="26" t="n">
        <f aca="false">CQ867/7</f>
        <v>0</v>
      </c>
      <c r="CT867" s="24" t="n">
        <f aca="false">RANK(CR867,$CR$2:$CR$881,0)</f>
        <v>764</v>
      </c>
      <c r="CU867" s="25" t="n">
        <f aca="false">RANK(CS867,$CS$2:$CS$881,0)</f>
        <v>752</v>
      </c>
      <c r="CV867" s="150"/>
      <c r="CW867" s="25" t="n">
        <f aca="false">RANK(CV867,$CV$2:$CV$881,0)</f>
        <v>753</v>
      </c>
      <c r="CX867" s="57"/>
      <c r="CY867" s="57"/>
      <c r="CZ867" s="27" t="s">
        <v>132</v>
      </c>
      <c r="DA867" s="27" t="s">
        <v>155</v>
      </c>
      <c r="DB867" s="27" t="s">
        <v>155</v>
      </c>
      <c r="DC867" s="27" t="s">
        <v>134</v>
      </c>
      <c r="DD867" s="27" t="s">
        <v>195</v>
      </c>
      <c r="DE867" s="27" t="s">
        <v>906</v>
      </c>
      <c r="DF867" s="27" t="s">
        <v>204</v>
      </c>
      <c r="DG867" s="27" t="s">
        <v>480</v>
      </c>
      <c r="DH867" s="27" t="s">
        <v>195</v>
      </c>
      <c r="DI867" s="27" t="s">
        <v>481</v>
      </c>
      <c r="DJ867" s="27" t="s">
        <v>183</v>
      </c>
      <c r="DK867" s="27" t="s">
        <v>480</v>
      </c>
      <c r="DL867" s="27"/>
      <c r="DM867" s="27"/>
      <c r="DN867" s="27"/>
      <c r="DO867" s="27"/>
      <c r="DP867" s="27" t="s">
        <v>485</v>
      </c>
      <c r="DQ867" s="27" t="s">
        <v>906</v>
      </c>
      <c r="DR867" s="27" t="s">
        <v>306</v>
      </c>
      <c r="DS867" s="27" t="s">
        <v>480</v>
      </c>
      <c r="DT867" s="27" t="s">
        <v>154</v>
      </c>
      <c r="DU867" s="27" t="s">
        <v>160</v>
      </c>
      <c r="DV867" s="27" t="s">
        <v>412</v>
      </c>
      <c r="DW867" s="27" t="s">
        <v>174</v>
      </c>
      <c r="DX867" s="27" t="s">
        <v>155</v>
      </c>
      <c r="DY867" s="27" t="s">
        <v>176</v>
      </c>
      <c r="DZ867" s="27" t="n">
        <f aca="false">DY867+DV867+DR867+DN867+DJ867+DF867+DB867</f>
        <v>385</v>
      </c>
      <c r="EA867" s="28" t="n">
        <f aca="false">DZ867/7</f>
        <v>55</v>
      </c>
      <c r="EB867" s="27" t="n">
        <f aca="false">RANK(EA867,$EA$2:$EA$881,0)</f>
        <v>826</v>
      </c>
      <c r="EC867" s="29" t="n">
        <f aca="false">DZ867+CQ867+CP867+AZ867</f>
        <v>440</v>
      </c>
      <c r="ED867" s="30" t="n">
        <f aca="false">(EA867+CV867+BB867)/3</f>
        <v>18.3333333333333</v>
      </c>
      <c r="EE867" s="51" t="n">
        <f aca="false">ROUND(BE867,3)</f>
        <v>0</v>
      </c>
      <c r="EF867" s="51" t="n">
        <f aca="false">ROUND(CR867,3)</f>
        <v>7.857</v>
      </c>
      <c r="EG867" s="51" t="n">
        <f aca="false">ROUND(CS867,3)</f>
        <v>0</v>
      </c>
      <c r="EH867" s="51" t="n">
        <f aca="false">ROUND(EA867,3)</f>
        <v>55</v>
      </c>
      <c r="EI867" s="51" t="n">
        <f aca="false">ROUND(ED867,3)</f>
        <v>18.333</v>
      </c>
      <c r="EJ867" s="51" t="n">
        <f aca="false">ROUND(CV867,3)</f>
        <v>0</v>
      </c>
      <c r="EK867" s="0" t="n">
        <f aca="false">RANK(EI867,$EI$2:$EI$881,0)</f>
        <v>866</v>
      </c>
    </row>
    <row r="868" customFormat="false" ht="15" hidden="false" customHeight="false" outlineLevel="0" collapsed="false">
      <c r="A868" s="4" t="n">
        <v>8337</v>
      </c>
      <c r="B868" s="4" t="n">
        <v>435</v>
      </c>
      <c r="C868" s="27" t="s">
        <v>2389</v>
      </c>
      <c r="D868" s="145"/>
      <c r="E868" s="57"/>
      <c r="F868" s="146" t="s">
        <v>2390</v>
      </c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  <c r="AZ868" s="80"/>
      <c r="BA868" s="80"/>
      <c r="BB868" s="80"/>
      <c r="BC868" s="57" t="n">
        <f aca="false">(BG868*2400)/100</f>
        <v>0</v>
      </c>
      <c r="BD868" s="16" t="e">
        <f aca="false">RANK(AX868,$AX$2:$AX$881,0)</f>
        <v>#N/A</v>
      </c>
      <c r="BE868" s="92" t="n">
        <f aca="false">((BC868*100)/2400)*0.4+(AX868*0.6)</f>
        <v>0</v>
      </c>
      <c r="BF868" s="16" t="n">
        <f aca="false">RANK(BE868,$BE$2:$BE$881,0)</f>
        <v>806</v>
      </c>
      <c r="BG868" s="80"/>
      <c r="BH868" s="39" t="n">
        <f aca="false">RANK(BC868,$BC$2:$BC$881,0)</f>
        <v>780</v>
      </c>
      <c r="BI868" s="80"/>
      <c r="BJ868" s="80"/>
      <c r="BK868" s="80"/>
      <c r="BL868" s="80"/>
      <c r="BM868" s="80"/>
      <c r="BN868" s="80"/>
      <c r="BO868" s="80"/>
      <c r="BP868" s="80"/>
      <c r="BQ868" s="80"/>
      <c r="BR868" s="80"/>
      <c r="BS868" s="80"/>
      <c r="BT868" s="80"/>
      <c r="BU868" s="80"/>
      <c r="BV868" s="80"/>
      <c r="BW868" s="80"/>
      <c r="BX868" s="80"/>
      <c r="BY868" s="80"/>
      <c r="BZ868" s="80"/>
      <c r="CA868" s="80"/>
      <c r="CB868" s="80"/>
      <c r="CC868" s="80"/>
      <c r="CD868" s="80"/>
      <c r="CE868" s="80"/>
      <c r="CF868" s="80"/>
      <c r="CG868" s="80"/>
      <c r="CH868" s="80"/>
      <c r="CI868" s="88" t="n">
        <v>100</v>
      </c>
      <c r="CJ868" s="88" t="n">
        <v>27</v>
      </c>
      <c r="CK868" s="88" t="n">
        <v>45</v>
      </c>
      <c r="CL868" s="88" t="n">
        <v>72</v>
      </c>
      <c r="CM868" s="80"/>
      <c r="CN868" s="80"/>
      <c r="CO868" s="80"/>
      <c r="CP868" s="25" t="n">
        <f aca="false">BX868+BW868+BV868+BU868+BT868+BQ868+BN868</f>
        <v>0</v>
      </c>
      <c r="CQ868" s="25" t="n">
        <f aca="false">CO868+CL868+CI868+CH868+CG868+CD868+CA868</f>
        <v>172</v>
      </c>
      <c r="CR868" s="26" t="n">
        <f aca="false">CP868/7</f>
        <v>0</v>
      </c>
      <c r="CS868" s="26" t="n">
        <f aca="false">CQ868/7</f>
        <v>24.5714285714286</v>
      </c>
      <c r="CT868" s="24" t="n">
        <f aca="false">RANK(CR868,$CR$2:$CR$881,0)</f>
        <v>768</v>
      </c>
      <c r="CU868" s="25" t="n">
        <f aca="false">RANK(CS868,$CS$2:$CS$881,0)</f>
        <v>727</v>
      </c>
      <c r="CV868" s="80"/>
      <c r="CW868" s="25" t="n">
        <f aca="false">RANK(CV868,$CV$2:$CV$881,0)</f>
        <v>753</v>
      </c>
      <c r="CX868" s="80"/>
      <c r="CY868" s="80"/>
      <c r="CZ868" s="27" t="s">
        <v>132</v>
      </c>
      <c r="DA868" s="27" t="s">
        <v>202</v>
      </c>
      <c r="DB868" s="27" t="s">
        <v>202</v>
      </c>
      <c r="DC868" s="27" t="s">
        <v>134</v>
      </c>
      <c r="DD868" s="27" t="s">
        <v>182</v>
      </c>
      <c r="DE868" s="27" t="s">
        <v>447</v>
      </c>
      <c r="DF868" s="27" t="s">
        <v>382</v>
      </c>
      <c r="DG868" s="27" t="s">
        <v>134</v>
      </c>
      <c r="DH868" s="27"/>
      <c r="DI868" s="27"/>
      <c r="DJ868" s="27"/>
      <c r="DK868" s="27"/>
      <c r="DL868" s="27"/>
      <c r="DM868" s="27"/>
      <c r="DN868" s="27"/>
      <c r="DO868" s="27"/>
      <c r="DP868" s="27" t="s">
        <v>264</v>
      </c>
      <c r="DQ868" s="27" t="s">
        <v>1407</v>
      </c>
      <c r="DR868" s="27" t="s">
        <v>204</v>
      </c>
      <c r="DS868" s="27" t="s">
        <v>480</v>
      </c>
      <c r="DT868" s="27" t="s">
        <v>191</v>
      </c>
      <c r="DU868" s="27" t="s">
        <v>638</v>
      </c>
      <c r="DV868" s="27" t="s">
        <v>163</v>
      </c>
      <c r="DW868" s="27" t="s">
        <v>135</v>
      </c>
      <c r="DX868" s="27" t="s">
        <v>138</v>
      </c>
      <c r="DY868" s="27" t="s">
        <v>156</v>
      </c>
      <c r="DZ868" s="27" t="n">
        <f aca="false">DY868+DV868+DR868+DN868+DJ868+DF868+DB868</f>
        <v>381</v>
      </c>
      <c r="EA868" s="28" t="n">
        <f aca="false">DZ868/7</f>
        <v>54.4285714285714</v>
      </c>
      <c r="EB868" s="27" t="n">
        <f aca="false">RANK(EA868,$EA$2:$EA$881,0)</f>
        <v>828</v>
      </c>
      <c r="EC868" s="29" t="n">
        <f aca="false">DZ868+CQ868+CP868+AZ868</f>
        <v>553</v>
      </c>
      <c r="ED868" s="30" t="n">
        <f aca="false">(EA868+CV868+BB868)/3</f>
        <v>18.1428571428571</v>
      </c>
      <c r="EE868" s="51" t="n">
        <f aca="false">ROUND(BE868,3)</f>
        <v>0</v>
      </c>
      <c r="EF868" s="51" t="n">
        <f aca="false">ROUND(CR868,3)</f>
        <v>0</v>
      </c>
      <c r="EG868" s="51" t="n">
        <f aca="false">ROUND(CS868,3)</f>
        <v>24.571</v>
      </c>
      <c r="EH868" s="51" t="n">
        <f aca="false">ROUND(EA868,3)</f>
        <v>54.429</v>
      </c>
      <c r="EI868" s="51" t="n">
        <f aca="false">ROUND(ED868,3)</f>
        <v>18.143</v>
      </c>
      <c r="EJ868" s="51" t="n">
        <f aca="false">ROUND(CV868,3)</f>
        <v>0</v>
      </c>
      <c r="EK868" s="0" t="n">
        <f aca="false">RANK(EI868,$EI$2:$EI$881,0)</f>
        <v>867</v>
      </c>
    </row>
    <row r="869" customFormat="false" ht="15" hidden="false" customHeight="false" outlineLevel="0" collapsed="false">
      <c r="A869" s="4" t="n">
        <v>8404</v>
      </c>
      <c r="B869" s="4" t="n">
        <v>259</v>
      </c>
      <c r="C869" s="27" t="s">
        <v>2391</v>
      </c>
      <c r="D869" s="145"/>
      <c r="E869" s="57"/>
      <c r="F869" s="146" t="s">
        <v>2392</v>
      </c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  <c r="AZ869" s="80"/>
      <c r="BA869" s="80"/>
      <c r="BB869" s="80"/>
      <c r="BC869" s="57" t="n">
        <f aca="false">(BG869*2400)/100</f>
        <v>0</v>
      </c>
      <c r="BD869" s="16" t="e">
        <f aca="false">RANK(AX869,$AX$2:$AX$881,0)</f>
        <v>#N/A</v>
      </c>
      <c r="BE869" s="92" t="n">
        <f aca="false">((BC869*100)/2400)*0.4+(AX869*0.6)</f>
        <v>0</v>
      </c>
      <c r="BF869" s="16" t="n">
        <f aca="false">RANK(BE869,$BE$2:$BE$881,0)</f>
        <v>806</v>
      </c>
      <c r="BG869" s="80"/>
      <c r="BH869" s="39" t="n">
        <f aca="false">RANK(BC869,$BC$2:$BC$881,0)</f>
        <v>780</v>
      </c>
      <c r="BI869" s="80"/>
      <c r="BJ869" s="80"/>
      <c r="BK869" s="80"/>
      <c r="BL869" s="80"/>
      <c r="BM869" s="80"/>
      <c r="BN869" s="80"/>
      <c r="BO869" s="80"/>
      <c r="BP869" s="80"/>
      <c r="BQ869" s="80"/>
      <c r="BR869" s="80"/>
      <c r="BS869" s="80"/>
      <c r="BT869" s="80"/>
      <c r="BU869" s="80"/>
      <c r="BV869" s="80"/>
      <c r="BW869" s="80"/>
      <c r="BX869" s="80"/>
      <c r="BY869" s="80"/>
      <c r="BZ869" s="80"/>
      <c r="CA869" s="80"/>
      <c r="CB869" s="80"/>
      <c r="CC869" s="80"/>
      <c r="CD869" s="80"/>
      <c r="CE869" s="80"/>
      <c r="CF869" s="80"/>
      <c r="CG869" s="80"/>
      <c r="CH869" s="80"/>
      <c r="CI869" s="80"/>
      <c r="CJ869" s="80"/>
      <c r="CK869" s="80"/>
      <c r="CL869" s="80"/>
      <c r="CM869" s="80"/>
      <c r="CN869" s="80"/>
      <c r="CO869" s="80"/>
      <c r="CP869" s="25" t="n">
        <f aca="false">BX869+BW869+BV869+BU869+BT869+BQ869+BN869</f>
        <v>0</v>
      </c>
      <c r="CQ869" s="25" t="n">
        <f aca="false">CO869+CL869+CI869+CH869+CG869+CD869+CA869</f>
        <v>0</v>
      </c>
      <c r="CR869" s="26" t="n">
        <f aca="false">CP869/7</f>
        <v>0</v>
      </c>
      <c r="CS869" s="26" t="n">
        <f aca="false">CQ869/7</f>
        <v>0</v>
      </c>
      <c r="CT869" s="24" t="n">
        <f aca="false">RANK(CR869,$CR$2:$CR$881,0)</f>
        <v>768</v>
      </c>
      <c r="CU869" s="25" t="n">
        <f aca="false">RANK(CS869,$CS$2:$CS$881,0)</f>
        <v>752</v>
      </c>
      <c r="CV869" s="80"/>
      <c r="CW869" s="25" t="n">
        <f aca="false">RANK(CV869,$CV$2:$CV$881,0)</f>
        <v>753</v>
      </c>
      <c r="CX869" s="80"/>
      <c r="CY869" s="80"/>
      <c r="CZ869" s="27" t="s">
        <v>132</v>
      </c>
      <c r="DA869" s="27" t="s">
        <v>486</v>
      </c>
      <c r="DB869" s="27" t="s">
        <v>486</v>
      </c>
      <c r="DC869" s="27" t="s">
        <v>134</v>
      </c>
      <c r="DD869" s="27" t="s">
        <v>164</v>
      </c>
      <c r="DE869" s="27" t="s">
        <v>638</v>
      </c>
      <c r="DF869" s="27" t="s">
        <v>398</v>
      </c>
      <c r="DG869" s="27" t="s">
        <v>134</v>
      </c>
      <c r="DH869" s="27" t="s">
        <v>264</v>
      </c>
      <c r="DI869" s="27" t="s">
        <v>681</v>
      </c>
      <c r="DJ869" s="27" t="s">
        <v>163</v>
      </c>
      <c r="DK869" s="27" t="s">
        <v>134</v>
      </c>
      <c r="DL869" s="27" t="s">
        <v>154</v>
      </c>
      <c r="DM869" s="27" t="s">
        <v>412</v>
      </c>
      <c r="DN869" s="27" t="s">
        <v>372</v>
      </c>
      <c r="DO869" s="27" t="s">
        <v>134</v>
      </c>
      <c r="DP869" s="27"/>
      <c r="DQ869" s="27"/>
      <c r="DR869" s="27"/>
      <c r="DS869" s="27"/>
      <c r="DT869" s="27"/>
      <c r="DU869" s="27"/>
      <c r="DV869" s="27"/>
      <c r="DW869" s="27" t="s">
        <v>146</v>
      </c>
      <c r="DX869" s="27" t="s">
        <v>204</v>
      </c>
      <c r="DY869" s="27" t="s">
        <v>162</v>
      </c>
      <c r="DZ869" s="27" t="n">
        <f aca="false">DY869+DV869+DR869+DN869+DJ869+DF869+DB869</f>
        <v>373</v>
      </c>
      <c r="EA869" s="28" t="n">
        <f aca="false">DZ869/7</f>
        <v>53.2857142857143</v>
      </c>
      <c r="EB869" s="27" t="n">
        <f aca="false">RANK(EA869,$EA$2:$EA$881,0)</f>
        <v>832</v>
      </c>
      <c r="EC869" s="29" t="n">
        <f aca="false">DZ869+CQ869+CP869+AZ869</f>
        <v>373</v>
      </c>
      <c r="ED869" s="30" t="n">
        <f aca="false">(EA869+CV869+BB869)/3</f>
        <v>17.7619047619048</v>
      </c>
      <c r="EE869" s="51" t="n">
        <f aca="false">ROUND(BE869,3)</f>
        <v>0</v>
      </c>
      <c r="EF869" s="51" t="n">
        <f aca="false">ROUND(CR869,3)</f>
        <v>0</v>
      </c>
      <c r="EG869" s="51" t="n">
        <f aca="false">ROUND(CS869,3)</f>
        <v>0</v>
      </c>
      <c r="EH869" s="51" t="n">
        <f aca="false">ROUND(EA869,3)</f>
        <v>53.286</v>
      </c>
      <c r="EI869" s="51" t="n">
        <f aca="false">ROUND(ED869,3)</f>
        <v>17.762</v>
      </c>
      <c r="EJ869" s="51" t="n">
        <f aca="false">ROUND(CV869,3)</f>
        <v>0</v>
      </c>
      <c r="EK869" s="0" t="n">
        <f aca="false">RANK(EI869,$EI$2:$EI$881,0)</f>
        <v>868</v>
      </c>
    </row>
    <row r="870" customFormat="false" ht="15" hidden="false" customHeight="false" outlineLevel="0" collapsed="false">
      <c r="A870" s="4" t="n">
        <v>1602</v>
      </c>
      <c r="B870" s="4" t="n">
        <v>642</v>
      </c>
      <c r="C870" s="27" t="s">
        <v>2393</v>
      </c>
      <c r="D870" s="145"/>
      <c r="E870" s="57" t="n">
        <v>220611696</v>
      </c>
      <c r="F870" s="146" t="s">
        <v>2394</v>
      </c>
      <c r="G870" s="57"/>
      <c r="H870" s="22" t="s">
        <v>558</v>
      </c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  <c r="AV870" s="80"/>
      <c r="AW870" s="80"/>
      <c r="AX870" s="57" t="n">
        <v>75.7</v>
      </c>
      <c r="AY870" s="80"/>
      <c r="AZ870" s="80"/>
      <c r="BA870" s="80"/>
      <c r="BB870" s="80"/>
      <c r="BC870" s="57" t="n">
        <v>2332</v>
      </c>
      <c r="BD870" s="16" t="n">
        <f aca="false">RANK(AX870,$AX$2:$AX$881,0)</f>
        <v>640</v>
      </c>
      <c r="BE870" s="92" t="n">
        <f aca="false">((BC870*100)/2400)*0.4+(AX870*0.6)</f>
        <v>84.2866666666667</v>
      </c>
      <c r="BF870" s="16" t="n">
        <f aca="false">RANK(BE870,$BE$2:$BE$881,0)</f>
        <v>676</v>
      </c>
      <c r="BH870" s="39" t="n">
        <f aca="false">RANK(BC870,$BC$2:$BC$881,0)</f>
        <v>709</v>
      </c>
      <c r="BI870" s="57"/>
      <c r="BJ870" s="57"/>
      <c r="BK870" s="57"/>
      <c r="BL870" s="147"/>
      <c r="BM870" s="147"/>
      <c r="BN870" s="147"/>
      <c r="BO870" s="147"/>
      <c r="BP870" s="147"/>
      <c r="BQ870" s="147"/>
      <c r="BR870" s="147"/>
      <c r="BS870" s="147"/>
      <c r="BT870" s="147"/>
      <c r="BU870" s="147"/>
      <c r="BV870" s="147"/>
      <c r="BW870" s="147"/>
      <c r="BX870" s="157"/>
      <c r="BY870" s="147"/>
      <c r="BZ870" s="147"/>
      <c r="CA870" s="147"/>
      <c r="CB870" s="147"/>
      <c r="CC870" s="147"/>
      <c r="CD870" s="147"/>
      <c r="CE870" s="147"/>
      <c r="CF870" s="147"/>
      <c r="CG870" s="147"/>
      <c r="CH870" s="147"/>
      <c r="CI870" s="147"/>
      <c r="CJ870" s="147"/>
      <c r="CK870" s="147"/>
      <c r="CL870" s="147"/>
      <c r="CM870" s="147"/>
      <c r="CN870" s="147"/>
      <c r="CO870" s="147"/>
      <c r="CP870" s="25" t="n">
        <f aca="false">BX870+BW870+BV870+BU870+BT870+BQ870+BN870</f>
        <v>0</v>
      </c>
      <c r="CQ870" s="25" t="n">
        <f aca="false">CO870+CL870+CI870+CH870+CG870+CD870+CA870</f>
        <v>0</v>
      </c>
      <c r="CR870" s="26" t="n">
        <f aca="false">CP870/7</f>
        <v>0</v>
      </c>
      <c r="CS870" s="26" t="n">
        <f aca="false">CQ870/7</f>
        <v>0</v>
      </c>
      <c r="CT870" s="24" t="n">
        <f aca="false">RANK(CR870,$CR$2:$CR$881,0)</f>
        <v>768</v>
      </c>
      <c r="CU870" s="25" t="n">
        <f aca="false">RANK(CS870,$CS$2:$CS$881,0)</f>
        <v>752</v>
      </c>
      <c r="CV870" s="150"/>
      <c r="CW870" s="25" t="n">
        <f aca="false">RANK(CV870,$CV$2:$CV$881,0)</f>
        <v>753</v>
      </c>
      <c r="CX870" s="57"/>
      <c r="CY870" s="57"/>
      <c r="CZ870" s="27" t="s">
        <v>132</v>
      </c>
      <c r="DA870" s="27" t="s">
        <v>169</v>
      </c>
      <c r="DB870" s="27" t="s">
        <v>169</v>
      </c>
      <c r="DC870" s="27" t="s">
        <v>134</v>
      </c>
      <c r="DD870" s="27" t="s">
        <v>195</v>
      </c>
      <c r="DE870" s="27" t="s">
        <v>681</v>
      </c>
      <c r="DF870" s="27" t="s">
        <v>141</v>
      </c>
      <c r="DG870" s="27" t="s">
        <v>134</v>
      </c>
      <c r="DH870" s="27" t="s">
        <v>182</v>
      </c>
      <c r="DI870" s="27" t="s">
        <v>447</v>
      </c>
      <c r="DJ870" s="27" t="s">
        <v>382</v>
      </c>
      <c r="DK870" s="27" t="s">
        <v>134</v>
      </c>
      <c r="DL870" s="27"/>
      <c r="DM870" s="27"/>
      <c r="DN870" s="27"/>
      <c r="DO870" s="27"/>
      <c r="DP870" s="27" t="s">
        <v>191</v>
      </c>
      <c r="DQ870" s="27" t="s">
        <v>203</v>
      </c>
      <c r="DR870" s="27" t="s">
        <v>205</v>
      </c>
      <c r="DS870" s="27" t="s">
        <v>134</v>
      </c>
      <c r="DT870" s="27" t="s">
        <v>137</v>
      </c>
      <c r="DU870" s="27" t="s">
        <v>1395</v>
      </c>
      <c r="DV870" s="27" t="s">
        <v>177</v>
      </c>
      <c r="DW870" s="27"/>
      <c r="DX870" s="27"/>
      <c r="DY870" s="27"/>
      <c r="DZ870" s="27" t="n">
        <f aca="false">DY870+DV870+DR870+DN870+DJ870+DF870+DB870</f>
        <v>369</v>
      </c>
      <c r="EA870" s="28" t="n">
        <f aca="false">DZ870/7</f>
        <v>52.7142857142857</v>
      </c>
      <c r="EB870" s="27" t="n">
        <f aca="false">RANK(EA870,$EA$2:$EA$881,0)</f>
        <v>835</v>
      </c>
      <c r="EC870" s="29" t="n">
        <f aca="false">DZ870+CQ870+CP870+AZ870</f>
        <v>369</v>
      </c>
      <c r="ED870" s="30" t="n">
        <f aca="false">(EA870+CV870+BB870)/3</f>
        <v>17.5714285714286</v>
      </c>
      <c r="EE870" s="51" t="n">
        <f aca="false">ROUND(BE870,3)</f>
        <v>84.287</v>
      </c>
      <c r="EF870" s="51" t="n">
        <f aca="false">ROUND(CR870,3)</f>
        <v>0</v>
      </c>
      <c r="EG870" s="51" t="n">
        <f aca="false">ROUND(CS870,3)</f>
        <v>0</v>
      </c>
      <c r="EH870" s="51" t="n">
        <f aca="false">ROUND(EA870,3)</f>
        <v>52.714</v>
      </c>
      <c r="EI870" s="51" t="n">
        <f aca="false">ROUND(ED870,3)</f>
        <v>17.571</v>
      </c>
      <c r="EJ870" s="51" t="n">
        <f aca="false">ROUND(CV870,3)</f>
        <v>0</v>
      </c>
      <c r="EK870" s="0" t="n">
        <f aca="false">RANK(EI870,$EI$2:$EI$881,0)</f>
        <v>869</v>
      </c>
    </row>
    <row r="871" customFormat="false" ht="15" hidden="false" customHeight="false" outlineLevel="0" collapsed="false">
      <c r="A871" s="4" t="n">
        <v>8029</v>
      </c>
      <c r="B871" s="4" t="n">
        <v>530</v>
      </c>
      <c r="C871" s="27" t="s">
        <v>2395</v>
      </c>
      <c r="D871" s="145"/>
      <c r="E871" s="57"/>
      <c r="F871" s="146" t="s">
        <v>2396</v>
      </c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  <c r="AZ871" s="80"/>
      <c r="BA871" s="80"/>
      <c r="BB871" s="80"/>
      <c r="BC871" s="57" t="n">
        <f aca="false">(BG871*2400)/100</f>
        <v>0</v>
      </c>
      <c r="BD871" s="16" t="e">
        <f aca="false">RANK(AX871,$AX$2:$AX$881,0)</f>
        <v>#N/A</v>
      </c>
      <c r="BE871" s="92" t="n">
        <f aca="false">((BC871*100)/2400)*0.4+(AX871*0.6)</f>
        <v>0</v>
      </c>
      <c r="BF871" s="16" t="n">
        <f aca="false">RANK(BE871,$BE$2:$BE$881,0)</f>
        <v>806</v>
      </c>
      <c r="BG871" s="80"/>
      <c r="BH871" s="39" t="n">
        <f aca="false">RANK(BC871,$BC$2:$BC$881,0)</f>
        <v>780</v>
      </c>
      <c r="BI871" s="80"/>
      <c r="BJ871" s="80"/>
      <c r="BK871" s="80"/>
      <c r="BL871" s="57" t="n">
        <v>23</v>
      </c>
      <c r="BM871" s="80"/>
      <c r="BN871" s="80"/>
      <c r="BO871" s="80"/>
      <c r="BP871" s="80"/>
      <c r="BQ871" s="80"/>
      <c r="BR871" s="80"/>
      <c r="BS871" s="80"/>
      <c r="BT871" s="80"/>
      <c r="BU871" s="80"/>
      <c r="BV871" s="80"/>
      <c r="BW871" s="80"/>
      <c r="BX871" s="80"/>
      <c r="BY871" s="80"/>
      <c r="BZ871" s="80"/>
      <c r="CA871" s="80"/>
      <c r="CB871" s="80"/>
      <c r="CC871" s="80"/>
      <c r="CD871" s="80"/>
      <c r="CE871" s="80"/>
      <c r="CF871" s="80"/>
      <c r="CG871" s="80"/>
      <c r="CH871" s="80"/>
      <c r="CI871" s="80"/>
      <c r="CJ871" s="80"/>
      <c r="CK871" s="80"/>
      <c r="CL871" s="80"/>
      <c r="CM871" s="80"/>
      <c r="CN871" s="80"/>
      <c r="CO871" s="80"/>
      <c r="CP871" s="25" t="n">
        <f aca="false">BX871+BW871+BV871+BU871+BT871+BQ871+BN871</f>
        <v>0</v>
      </c>
      <c r="CQ871" s="25" t="n">
        <f aca="false">CO871+CL871+CI871+CH871+CG871+CD871+CA871</f>
        <v>0</v>
      </c>
      <c r="CR871" s="26" t="n">
        <f aca="false">CP871/7</f>
        <v>0</v>
      </c>
      <c r="CS871" s="26" t="n">
        <f aca="false">CQ871/7</f>
        <v>0</v>
      </c>
      <c r="CT871" s="24" t="n">
        <f aca="false">RANK(CR871,$CR$2:$CR$881,0)</f>
        <v>768</v>
      </c>
      <c r="CU871" s="25" t="n">
        <f aca="false">RANK(CS871,$CS$2:$CS$881,0)</f>
        <v>752</v>
      </c>
      <c r="CV871" s="80"/>
      <c r="CW871" s="25" t="n">
        <f aca="false">RANK(CV871,$CV$2:$CV$881,0)</f>
        <v>753</v>
      </c>
      <c r="CX871" s="80"/>
      <c r="CY871" s="80"/>
      <c r="CZ871" s="27" t="s">
        <v>132</v>
      </c>
      <c r="DA871" s="27" t="s">
        <v>219</v>
      </c>
      <c r="DB871" s="27" t="s">
        <v>219</v>
      </c>
      <c r="DC871" s="27" t="s">
        <v>134</v>
      </c>
      <c r="DD871" s="27" t="s">
        <v>164</v>
      </c>
      <c r="DE871" s="27" t="s">
        <v>673</v>
      </c>
      <c r="DF871" s="27" t="s">
        <v>143</v>
      </c>
      <c r="DG871" s="27" t="s">
        <v>134</v>
      </c>
      <c r="DH871" s="27" t="s">
        <v>191</v>
      </c>
      <c r="DI871" s="27" t="s">
        <v>706</v>
      </c>
      <c r="DJ871" s="27" t="s">
        <v>1309</v>
      </c>
      <c r="DK871" s="27" t="s">
        <v>480</v>
      </c>
      <c r="DL871" s="27" t="s">
        <v>485</v>
      </c>
      <c r="DM871" s="27" t="s">
        <v>673</v>
      </c>
      <c r="DN871" s="27" t="s">
        <v>183</v>
      </c>
      <c r="DO871" s="27" t="s">
        <v>480</v>
      </c>
      <c r="DP871" s="27"/>
      <c r="DQ871" s="27"/>
      <c r="DR871" s="27"/>
      <c r="DS871" s="27"/>
      <c r="DT871" s="27"/>
      <c r="DU871" s="27"/>
      <c r="DV871" s="27"/>
      <c r="DW871" s="27" t="s">
        <v>195</v>
      </c>
      <c r="DX871" s="27" t="s">
        <v>203</v>
      </c>
      <c r="DY871" s="27" t="s">
        <v>169</v>
      </c>
      <c r="DZ871" s="27" t="n">
        <f aca="false">DY871+DV871+DR871+DN871+DJ871+DF871+DB871</f>
        <v>324</v>
      </c>
      <c r="EA871" s="28" t="n">
        <f aca="false">DZ871/7</f>
        <v>46.2857142857143</v>
      </c>
      <c r="EB871" s="27" t="n">
        <f aca="false">RANK(EA871,$EA$2:$EA$881,0)</f>
        <v>848</v>
      </c>
      <c r="EC871" s="29" t="n">
        <f aca="false">DZ871+CQ871+CP871+AZ871</f>
        <v>324</v>
      </c>
      <c r="ED871" s="30" t="n">
        <f aca="false">(EA871+CV871+BB871)/3</f>
        <v>15.4285714285714</v>
      </c>
      <c r="EE871" s="51" t="n">
        <f aca="false">ROUND(BE871,3)</f>
        <v>0</v>
      </c>
      <c r="EF871" s="51" t="n">
        <f aca="false">ROUND(CR871,3)</f>
        <v>0</v>
      </c>
      <c r="EG871" s="51" t="n">
        <f aca="false">ROUND(CS871,3)</f>
        <v>0</v>
      </c>
      <c r="EH871" s="51" t="n">
        <f aca="false">ROUND(EA871,3)</f>
        <v>46.286</v>
      </c>
      <c r="EI871" s="51" t="n">
        <f aca="false">ROUND(ED871,3)</f>
        <v>15.429</v>
      </c>
      <c r="EJ871" s="51" t="n">
        <f aca="false">ROUND(CV871,3)</f>
        <v>0</v>
      </c>
      <c r="EK871" s="0" t="n">
        <f aca="false">RANK(EI871,$EI$2:$EI$881,0)</f>
        <v>870</v>
      </c>
    </row>
    <row r="872" customFormat="false" ht="15" hidden="false" customHeight="false" outlineLevel="0" collapsed="false">
      <c r="A872" s="4" t="n">
        <v>1791</v>
      </c>
      <c r="B872" s="4" t="n">
        <v>286</v>
      </c>
      <c r="C872" s="27" t="s">
        <v>2397</v>
      </c>
      <c r="D872" s="145"/>
      <c r="E872" s="57"/>
      <c r="F872" s="146" t="s">
        <v>2398</v>
      </c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  <c r="AZ872" s="80"/>
      <c r="BA872" s="80"/>
      <c r="BB872" s="80"/>
      <c r="BC872" s="57" t="n">
        <f aca="false">(BG872*2400)/100</f>
        <v>0</v>
      </c>
      <c r="BD872" s="16" t="e">
        <f aca="false">RANK(AX872,$AX$2:$AX$881,0)</f>
        <v>#N/A</v>
      </c>
      <c r="BE872" s="92" t="n">
        <f aca="false">((BC872*100)/2400)*0.4+(AX872*0.6)</f>
        <v>0</v>
      </c>
      <c r="BF872" s="16" t="n">
        <f aca="false">RANK(BE872,$BE$2:$BE$881,0)</f>
        <v>806</v>
      </c>
      <c r="BG872" s="80"/>
      <c r="BH872" s="39" t="n">
        <f aca="false">RANK(BC872,$BC$2:$BC$881,0)</f>
        <v>780</v>
      </c>
      <c r="BI872" s="80"/>
      <c r="BJ872" s="80"/>
      <c r="BK872" s="80"/>
      <c r="BL872" s="80"/>
      <c r="BM872" s="80"/>
      <c r="BN872" s="80"/>
      <c r="BO872" s="80"/>
      <c r="BP872" s="80"/>
      <c r="BQ872" s="80"/>
      <c r="BR872" s="80"/>
      <c r="BS872" s="80"/>
      <c r="BT872" s="80"/>
      <c r="BU872" s="80"/>
      <c r="BV872" s="80"/>
      <c r="BW872" s="80"/>
      <c r="BX872" s="80"/>
      <c r="BY872" s="80"/>
      <c r="BZ872" s="80"/>
      <c r="CA872" s="80"/>
      <c r="CB872" s="80"/>
      <c r="CC872" s="80"/>
      <c r="CD872" s="80"/>
      <c r="CE872" s="80"/>
      <c r="CF872" s="80"/>
      <c r="CG872" s="80"/>
      <c r="CH872" s="80"/>
      <c r="CI872" s="80"/>
      <c r="CJ872" s="80"/>
      <c r="CK872" s="80"/>
      <c r="CL872" s="80"/>
      <c r="CM872" s="80"/>
      <c r="CN872" s="80"/>
      <c r="CO872" s="80"/>
      <c r="CP872" s="25" t="n">
        <f aca="false">BX872+BW872+BV872+BU872+BT872+BQ872+BN872</f>
        <v>0</v>
      </c>
      <c r="CQ872" s="25" t="n">
        <f aca="false">CO872+CL872+CI872+CH872+CG872+CD872+CA872</f>
        <v>0</v>
      </c>
      <c r="CR872" s="26" t="n">
        <f aca="false">CP872/7</f>
        <v>0</v>
      </c>
      <c r="CS872" s="26" t="n">
        <f aca="false">CQ872/7</f>
        <v>0</v>
      </c>
      <c r="CT872" s="24" t="n">
        <f aca="false">RANK(CR872,$CR$2:$CR$881,0)</f>
        <v>768</v>
      </c>
      <c r="CU872" s="25" t="n">
        <f aca="false">RANK(CS872,$CS$2:$CS$881,0)</f>
        <v>752</v>
      </c>
      <c r="CV872" s="80"/>
      <c r="CW872" s="25" t="n">
        <f aca="false">RANK(CV872,$CV$2:$CV$881,0)</f>
        <v>753</v>
      </c>
      <c r="CX872" s="80"/>
      <c r="CY872" s="80"/>
      <c r="CZ872" s="27" t="s">
        <v>132</v>
      </c>
      <c r="DA872" s="27" t="s">
        <v>272</v>
      </c>
      <c r="DB872" s="27" t="s">
        <v>272</v>
      </c>
      <c r="DC872" s="27" t="s">
        <v>134</v>
      </c>
      <c r="DD872" s="27" t="s">
        <v>174</v>
      </c>
      <c r="DE872" s="27" t="s">
        <v>645</v>
      </c>
      <c r="DF872" s="27" t="s">
        <v>187</v>
      </c>
      <c r="DG872" s="27" t="s">
        <v>134</v>
      </c>
      <c r="DH872" s="27"/>
      <c r="DI872" s="27"/>
      <c r="DJ872" s="27"/>
      <c r="DK872" s="27"/>
      <c r="DL872" s="27" t="s">
        <v>154</v>
      </c>
      <c r="DM872" s="27" t="s">
        <v>479</v>
      </c>
      <c r="DN872" s="27" t="s">
        <v>203</v>
      </c>
      <c r="DO872" s="27" t="s">
        <v>134</v>
      </c>
      <c r="DP872" s="27"/>
      <c r="DQ872" s="27"/>
      <c r="DR872" s="27"/>
      <c r="DS872" s="27"/>
      <c r="DT872" s="27"/>
      <c r="DU872" s="27"/>
      <c r="DV872" s="27"/>
      <c r="DW872" s="27" t="s">
        <v>195</v>
      </c>
      <c r="DX872" s="27" t="s">
        <v>412</v>
      </c>
      <c r="DY872" s="27" t="s">
        <v>398</v>
      </c>
      <c r="DZ872" s="27" t="n">
        <f aca="false">DY872+DV872+DR872+DN872+DJ872+DF872+DB872</f>
        <v>279</v>
      </c>
      <c r="EA872" s="28" t="n">
        <f aca="false">DZ872/7</f>
        <v>39.8571428571429</v>
      </c>
      <c r="EB872" s="27" t="n">
        <f aca="false">RANK(EA872,$EA$2:$EA$881,0)</f>
        <v>857</v>
      </c>
      <c r="EC872" s="29" t="n">
        <f aca="false">DZ872+CQ872+CP872+AZ872</f>
        <v>279</v>
      </c>
      <c r="ED872" s="30" t="n">
        <f aca="false">(EA872+CV872+BB872)/3</f>
        <v>13.2857142857143</v>
      </c>
      <c r="EE872" s="51" t="n">
        <f aca="false">ROUND(BE872,3)</f>
        <v>0</v>
      </c>
      <c r="EF872" s="51" t="n">
        <f aca="false">ROUND(CR872,3)</f>
        <v>0</v>
      </c>
      <c r="EG872" s="51" t="n">
        <f aca="false">ROUND(CS872,3)</f>
        <v>0</v>
      </c>
      <c r="EH872" s="51" t="n">
        <f aca="false">ROUND(EA872,3)</f>
        <v>39.857</v>
      </c>
      <c r="EI872" s="51" t="n">
        <f aca="false">ROUND(ED872,3)</f>
        <v>13.286</v>
      </c>
      <c r="EJ872" s="51" t="n">
        <f aca="false">ROUND(CV872,3)</f>
        <v>0</v>
      </c>
      <c r="EK872" s="0" t="n">
        <f aca="false">RANK(EI872,$EI$2:$EI$881,0)</f>
        <v>871</v>
      </c>
    </row>
    <row r="873" customFormat="false" ht="15" hidden="false" customHeight="false" outlineLevel="0" collapsed="false">
      <c r="A873" s="4" t="n">
        <v>1764</v>
      </c>
      <c r="B873" s="4" t="n">
        <v>827</v>
      </c>
      <c r="C873" s="27" t="s">
        <v>2399</v>
      </c>
      <c r="D873" s="145"/>
      <c r="E873" s="57"/>
      <c r="F873" s="146" t="s">
        <v>2400</v>
      </c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  <c r="AV873" s="80"/>
      <c r="AW873" s="80"/>
      <c r="AX873" s="57" t="n">
        <v>73.9</v>
      </c>
      <c r="AY873" s="80"/>
      <c r="AZ873" s="80"/>
      <c r="BA873" s="80"/>
      <c r="BB873" s="80"/>
      <c r="BC873" s="57" t="n">
        <v>2381</v>
      </c>
      <c r="BD873" s="16" t="n">
        <f aca="false">RANK(AX873,$AX$2:$AX$881,0)</f>
        <v>705</v>
      </c>
      <c r="BE873" s="92" t="n">
        <f aca="false">((BC873*100)/2400)*0.4+(AX873*0.6)</f>
        <v>84.0233333333333</v>
      </c>
      <c r="BF873" s="16" t="n">
        <f aca="false">RANK(BE873,$BE$2:$BE$881,0)</f>
        <v>684</v>
      </c>
      <c r="BH873" s="39" t="n">
        <f aca="false">RANK(BC873,$BC$2:$BC$881,0)</f>
        <v>136</v>
      </c>
      <c r="BI873" s="57"/>
      <c r="BJ873" s="57"/>
      <c r="BK873" s="57"/>
      <c r="BL873" s="57" t="n">
        <v>22</v>
      </c>
      <c r="BM873" s="57" t="n">
        <v>42</v>
      </c>
      <c r="BN873" s="57" t="n">
        <v>64</v>
      </c>
      <c r="BO873" s="57"/>
      <c r="BP873" s="57"/>
      <c r="BQ873" s="57"/>
      <c r="BR873" s="57" t="n">
        <v>14</v>
      </c>
      <c r="BS873" s="57" t="n">
        <v>61</v>
      </c>
      <c r="BT873" s="57" t="n">
        <v>75</v>
      </c>
      <c r="BU873" s="80"/>
      <c r="BV873" s="60"/>
      <c r="BW873" s="106"/>
      <c r="BX873" s="124"/>
      <c r="BY873" s="57"/>
      <c r="BZ873" s="57"/>
      <c r="CA873" s="57"/>
      <c r="CB873" s="57"/>
      <c r="CC873" s="57"/>
      <c r="CD873" s="57"/>
      <c r="CE873" s="57"/>
      <c r="CF873" s="57"/>
      <c r="CG873" s="57"/>
      <c r="CH873" s="57"/>
      <c r="CI873" s="57"/>
      <c r="CJ873" s="57"/>
      <c r="CK873" s="57"/>
      <c r="CL873" s="57"/>
      <c r="CM873" s="57"/>
      <c r="CN873" s="57"/>
      <c r="CO873" s="57"/>
      <c r="CP873" s="25" t="n">
        <f aca="false">BX873+BW873+BV873+BU873+BT873+BQ873+BN873</f>
        <v>139</v>
      </c>
      <c r="CQ873" s="25" t="n">
        <f aca="false">CO873+CL873+CI873+CH873+CG873+CD873+CA873</f>
        <v>0</v>
      </c>
      <c r="CR873" s="26" t="n">
        <f aca="false">CP873/7</f>
        <v>19.8571428571429</v>
      </c>
      <c r="CS873" s="26" t="n">
        <f aca="false">CQ873/7</f>
        <v>0</v>
      </c>
      <c r="CT873" s="24" t="n">
        <f aca="false">RANK(CR873,$CR$2:$CR$881,0)</f>
        <v>754</v>
      </c>
      <c r="CU873" s="25" t="n">
        <f aca="false">RANK(CS873,$CS$2:$CS$881,0)</f>
        <v>752</v>
      </c>
      <c r="CV873" s="150"/>
      <c r="CW873" s="25" t="n">
        <f aca="false">RANK(CV873,$CV$2:$CV$881,0)</f>
        <v>753</v>
      </c>
      <c r="CX873" s="57"/>
      <c r="CY873" s="57"/>
      <c r="CZ873" s="27" t="s">
        <v>132</v>
      </c>
      <c r="DA873" s="27" t="s">
        <v>169</v>
      </c>
      <c r="DB873" s="27" t="s">
        <v>169</v>
      </c>
      <c r="DC873" s="27" t="s">
        <v>134</v>
      </c>
      <c r="DD873" s="27" t="s">
        <v>135</v>
      </c>
      <c r="DE873" s="27" t="s">
        <v>218</v>
      </c>
      <c r="DF873" s="27" t="s">
        <v>205</v>
      </c>
      <c r="DG873" s="27" t="s">
        <v>134</v>
      </c>
      <c r="DH873" s="27"/>
      <c r="DI873" s="27"/>
      <c r="DJ873" s="27"/>
      <c r="DK873" s="27"/>
      <c r="DL873" s="27" t="s">
        <v>191</v>
      </c>
      <c r="DM873" s="27" t="s">
        <v>989</v>
      </c>
      <c r="DN873" s="27" t="s">
        <v>203</v>
      </c>
      <c r="DO873" s="27" t="s">
        <v>134</v>
      </c>
      <c r="DP873" s="27"/>
      <c r="DQ873" s="27"/>
      <c r="DR873" s="27"/>
      <c r="DS873" s="27"/>
      <c r="DT873" s="27" t="s">
        <v>174</v>
      </c>
      <c r="DU873" s="27" t="s">
        <v>135</v>
      </c>
      <c r="DV873" s="27" t="s">
        <v>415</v>
      </c>
      <c r="DW873" s="27"/>
      <c r="DX873" s="27"/>
      <c r="DY873" s="27"/>
      <c r="DZ873" s="27" t="n">
        <f aca="false">DY873+DV873+DR873+DN873+DJ873+DF873+DB873</f>
        <v>274</v>
      </c>
      <c r="EA873" s="28" t="n">
        <f aca="false">DZ873/7</f>
        <v>39.1428571428571</v>
      </c>
      <c r="EB873" s="27" t="n">
        <f aca="false">RANK(EA873,$EA$2:$EA$881,0)</f>
        <v>859</v>
      </c>
      <c r="EC873" s="29" t="n">
        <f aca="false">DZ873+CQ873+CP873+AZ873</f>
        <v>413</v>
      </c>
      <c r="ED873" s="30" t="n">
        <f aca="false">(EA873+CV873+BB873)/3</f>
        <v>13.0476190476191</v>
      </c>
      <c r="EE873" s="51" t="n">
        <f aca="false">ROUND(BE873,3)</f>
        <v>84.023</v>
      </c>
      <c r="EF873" s="51" t="n">
        <f aca="false">ROUND(CR873,3)</f>
        <v>19.857</v>
      </c>
      <c r="EG873" s="51" t="n">
        <f aca="false">ROUND(CS873,3)</f>
        <v>0</v>
      </c>
      <c r="EH873" s="51" t="n">
        <f aca="false">ROUND(EA873,3)</f>
        <v>39.143</v>
      </c>
      <c r="EI873" s="51" t="n">
        <f aca="false">ROUND(ED873,3)</f>
        <v>13.048</v>
      </c>
      <c r="EJ873" s="51" t="n">
        <f aca="false">ROUND(CV873,3)</f>
        <v>0</v>
      </c>
      <c r="EK873" s="0" t="n">
        <f aca="false">RANK(EI873,$EI$2:$EI$881,0)</f>
        <v>872</v>
      </c>
    </row>
    <row r="874" customFormat="false" ht="15" hidden="false" customHeight="false" outlineLevel="0" collapsed="false">
      <c r="A874" s="4" t="n">
        <v>8003</v>
      </c>
      <c r="B874" s="4" t="n">
        <v>42</v>
      </c>
      <c r="C874" s="27" t="s">
        <v>2401</v>
      </c>
      <c r="D874" s="145"/>
      <c r="E874" s="57"/>
      <c r="F874" s="146" t="s">
        <v>2402</v>
      </c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  <c r="AV874" s="80"/>
      <c r="AW874" s="80"/>
      <c r="AX874" s="57"/>
      <c r="AY874" s="80"/>
      <c r="AZ874" s="80"/>
      <c r="BA874" s="80"/>
      <c r="BB874" s="80"/>
      <c r="BC874" s="57" t="n">
        <f aca="false">(BG874*2400)/100</f>
        <v>0</v>
      </c>
      <c r="BD874" s="16" t="e">
        <f aca="false">RANK(AX874,$AX$2:$AX$881,0)</f>
        <v>#N/A</v>
      </c>
      <c r="BE874" s="92" t="n">
        <f aca="false">((BC874*100)/2400)*0.4+(AX874*0.6)</f>
        <v>0</v>
      </c>
      <c r="BF874" s="16" t="n">
        <f aca="false">RANK(BE874,$BE$2:$BE$881,0)</f>
        <v>806</v>
      </c>
      <c r="BG874" s="57"/>
      <c r="BH874" s="39" t="n">
        <f aca="false">RANK(BC874,$BC$2:$BC$881,0)</f>
        <v>780</v>
      </c>
      <c r="BI874" s="57"/>
      <c r="BJ874" s="57"/>
      <c r="BK874" s="57"/>
      <c r="BL874" s="57"/>
      <c r="BM874" s="57"/>
      <c r="BN874" s="57"/>
      <c r="BO874" s="57" t="n">
        <v>17</v>
      </c>
      <c r="BP874" s="57" t="n">
        <v>25</v>
      </c>
      <c r="BQ874" s="156" t="n">
        <v>42</v>
      </c>
      <c r="BR874" s="57"/>
      <c r="BS874" s="57"/>
      <c r="BT874" s="57"/>
      <c r="BU874" s="80"/>
      <c r="BV874" s="60"/>
      <c r="BW874" s="106"/>
      <c r="BX874" s="124"/>
      <c r="BY874" s="57" t="n">
        <v>18</v>
      </c>
      <c r="BZ874" s="57" t="n">
        <v>42</v>
      </c>
      <c r="CA874" s="57" t="n">
        <v>60</v>
      </c>
      <c r="CB874" s="57"/>
      <c r="CC874" s="57"/>
      <c r="CD874" s="57"/>
      <c r="CE874" s="57"/>
      <c r="CF874" s="57"/>
      <c r="CG874" s="57"/>
      <c r="CH874" s="57"/>
      <c r="CI874" s="57"/>
      <c r="CJ874" s="57"/>
      <c r="CK874" s="57"/>
      <c r="CL874" s="57"/>
      <c r="CM874" s="57" t="n">
        <v>15</v>
      </c>
      <c r="CN874" s="57" t="n">
        <v>44</v>
      </c>
      <c r="CO874" s="57" t="n">
        <v>59</v>
      </c>
      <c r="CP874" s="25" t="n">
        <f aca="false">BX874+BW874+BV874+BU874+BT874+BQ874+BN874</f>
        <v>42</v>
      </c>
      <c r="CQ874" s="25" t="n">
        <f aca="false">CO874+CL874+CI874+CH874+CG874+CD874+CA874</f>
        <v>119</v>
      </c>
      <c r="CR874" s="26" t="n">
        <f aca="false">CP874/7</f>
        <v>6</v>
      </c>
      <c r="CS874" s="26" t="n">
        <f aca="false">CQ874/7</f>
        <v>17</v>
      </c>
      <c r="CT874" s="24" t="n">
        <f aca="false">RANK(CR874,$CR$2:$CR$881,0)</f>
        <v>767</v>
      </c>
      <c r="CU874" s="25" t="n">
        <f aca="false">RANK(CS874,$CS$2:$CS$881,0)</f>
        <v>734</v>
      </c>
      <c r="CV874" s="150"/>
      <c r="CW874" s="25" t="n">
        <f aca="false">RANK(CV874,$CV$2:$CV$881,0)</f>
        <v>753</v>
      </c>
      <c r="CX874" s="57"/>
      <c r="CY874" s="57"/>
      <c r="CZ874" s="27" t="s">
        <v>132</v>
      </c>
      <c r="DA874" s="27" t="s">
        <v>272</v>
      </c>
      <c r="DB874" s="27" t="s">
        <v>272</v>
      </c>
      <c r="DC874" s="27" t="s">
        <v>134</v>
      </c>
      <c r="DD874" s="27"/>
      <c r="DE874" s="27"/>
      <c r="DF874" s="27"/>
      <c r="DG874" s="27"/>
      <c r="DH874" s="27" t="s">
        <v>264</v>
      </c>
      <c r="DI874" s="27" t="s">
        <v>479</v>
      </c>
      <c r="DJ874" s="27" t="s">
        <v>183</v>
      </c>
      <c r="DK874" s="27" t="s">
        <v>480</v>
      </c>
      <c r="DL874" s="27"/>
      <c r="DM874" s="27"/>
      <c r="DN874" s="27"/>
      <c r="DO874" s="27"/>
      <c r="DP874" s="27"/>
      <c r="DQ874" s="27"/>
      <c r="DR874" s="27"/>
      <c r="DS874" s="27"/>
      <c r="DT874" s="27" t="s">
        <v>706</v>
      </c>
      <c r="DU874" s="27" t="s">
        <v>160</v>
      </c>
      <c r="DV874" s="27" t="s">
        <v>897</v>
      </c>
      <c r="DW874" s="27" t="s">
        <v>191</v>
      </c>
      <c r="DX874" s="27" t="s">
        <v>155</v>
      </c>
      <c r="DY874" s="27" t="s">
        <v>153</v>
      </c>
      <c r="DZ874" s="27" t="n">
        <f aca="false">DY874+DV874+DR874+DN874+DJ874+DF874+DB874</f>
        <v>270</v>
      </c>
      <c r="EA874" s="28" t="n">
        <f aca="false">DZ874/7</f>
        <v>38.5714285714286</v>
      </c>
      <c r="EB874" s="27" t="n">
        <f aca="false">RANK(EA874,$EA$2:$EA$881,0)</f>
        <v>860</v>
      </c>
      <c r="EC874" s="29" t="n">
        <f aca="false">DZ874+CQ874+CP874+AZ874</f>
        <v>431</v>
      </c>
      <c r="ED874" s="30" t="n">
        <f aca="false">(EA874+CV874+BB874)/3</f>
        <v>12.8571428571429</v>
      </c>
      <c r="EE874" s="51" t="n">
        <f aca="false">ROUND(BE874,3)</f>
        <v>0</v>
      </c>
      <c r="EF874" s="51" t="n">
        <f aca="false">ROUND(CR874,3)</f>
        <v>6</v>
      </c>
      <c r="EG874" s="51" t="n">
        <f aca="false">ROUND(CS874,3)</f>
        <v>17</v>
      </c>
      <c r="EH874" s="51" t="n">
        <f aca="false">ROUND(EA874,3)</f>
        <v>38.571</v>
      </c>
      <c r="EI874" s="51" t="n">
        <f aca="false">ROUND(ED874,3)</f>
        <v>12.857</v>
      </c>
      <c r="EJ874" s="51" t="n">
        <f aca="false">ROUND(CV874,3)</f>
        <v>0</v>
      </c>
      <c r="EK874" s="0" t="n">
        <f aca="false">RANK(EI874,$EI$2:$EI$881,0)</f>
        <v>873</v>
      </c>
    </row>
    <row r="875" customFormat="false" ht="15" hidden="false" customHeight="false" outlineLevel="0" collapsed="false">
      <c r="A875" s="4" t="n">
        <v>7998</v>
      </c>
      <c r="B875" s="4" t="n">
        <v>133</v>
      </c>
      <c r="C875" s="27" t="s">
        <v>2403</v>
      </c>
      <c r="D875" s="145"/>
      <c r="E875" s="57"/>
      <c r="F875" s="146" t="s">
        <v>2404</v>
      </c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  <c r="AZ875" s="80"/>
      <c r="BA875" s="80"/>
      <c r="BB875" s="80"/>
      <c r="BC875" s="57" t="n">
        <f aca="false">(BG875*2400)/100</f>
        <v>0</v>
      </c>
      <c r="BD875" s="16" t="e">
        <f aca="false">RANK(AX875,$AX$2:$AX$881,0)</f>
        <v>#N/A</v>
      </c>
      <c r="BE875" s="92" t="n">
        <f aca="false">((BC875*100)/2400)*0.4+(AX875*0.6)</f>
        <v>0</v>
      </c>
      <c r="BF875" s="16" t="n">
        <f aca="false">RANK(BE875,$BE$2:$BE$881,0)</f>
        <v>806</v>
      </c>
      <c r="BG875" s="80"/>
      <c r="BH875" s="39" t="n">
        <f aca="false">RANK(BC875,$BC$2:$BC$881,0)</f>
        <v>780</v>
      </c>
      <c r="BI875" s="80"/>
      <c r="BJ875" s="80"/>
      <c r="BK875" s="80"/>
      <c r="BL875" s="80"/>
      <c r="BM875" s="80"/>
      <c r="BN875" s="80"/>
      <c r="BO875" s="80"/>
      <c r="BP875" s="80"/>
      <c r="BQ875" s="80"/>
      <c r="BR875" s="80"/>
      <c r="BS875" s="80"/>
      <c r="BT875" s="80"/>
      <c r="BU875" s="80"/>
      <c r="BV875" s="80"/>
      <c r="BW875" s="80"/>
      <c r="BX875" s="80"/>
      <c r="BY875" s="88" t="n">
        <v>18</v>
      </c>
      <c r="BZ875" s="88" t="n">
        <v>48</v>
      </c>
      <c r="CA875" s="88" t="n">
        <v>66</v>
      </c>
      <c r="CB875" s="80"/>
      <c r="CC875" s="80"/>
      <c r="CD875" s="80"/>
      <c r="CE875" s="80"/>
      <c r="CF875" s="80"/>
      <c r="CG875" s="80"/>
      <c r="CH875" s="80"/>
      <c r="CI875" s="80"/>
      <c r="CJ875" s="88" t="n">
        <v>12</v>
      </c>
      <c r="CK875" s="88" t="n">
        <v>44</v>
      </c>
      <c r="CL875" s="88" t="n">
        <v>56</v>
      </c>
      <c r="CM875" s="80"/>
      <c r="CN875" s="80"/>
      <c r="CO875" s="80"/>
      <c r="CP875" s="25" t="n">
        <f aca="false">BX875+BW875+BV875+BU875+BT875+BQ875+BN875</f>
        <v>0</v>
      </c>
      <c r="CQ875" s="25" t="n">
        <f aca="false">CO875+CL875+CI875+CH875+CG875+CD875+CA875</f>
        <v>122</v>
      </c>
      <c r="CR875" s="26" t="n">
        <f aca="false">CP875/7</f>
        <v>0</v>
      </c>
      <c r="CS875" s="26" t="n">
        <f aca="false">CQ875/7</f>
        <v>17.4285714285714</v>
      </c>
      <c r="CT875" s="24" t="n">
        <f aca="false">RANK(CR875,$CR$2:$CR$881,0)</f>
        <v>768</v>
      </c>
      <c r="CU875" s="25" t="n">
        <f aca="false">RANK(CS875,$CS$2:$CS$881,0)</f>
        <v>733</v>
      </c>
      <c r="CV875" s="80"/>
      <c r="CW875" s="25" t="n">
        <f aca="false">RANK(CV875,$CV$2:$CV$881,0)</f>
        <v>753</v>
      </c>
      <c r="CX875" s="80"/>
      <c r="CY875" s="80"/>
      <c r="CZ875" s="27" t="s">
        <v>132</v>
      </c>
      <c r="DA875" s="27" t="s">
        <v>443</v>
      </c>
      <c r="DB875" s="27" t="s">
        <v>443</v>
      </c>
      <c r="DC875" s="27" t="s">
        <v>134</v>
      </c>
      <c r="DD875" s="27" t="s">
        <v>386</v>
      </c>
      <c r="DE875" s="27" t="s">
        <v>481</v>
      </c>
      <c r="DF875" s="27" t="s">
        <v>306</v>
      </c>
      <c r="DG875" s="27" t="s">
        <v>480</v>
      </c>
      <c r="DH875" s="27"/>
      <c r="DI875" s="27"/>
      <c r="DJ875" s="27"/>
      <c r="DK875" s="27"/>
      <c r="DL875" s="27" t="s">
        <v>604</v>
      </c>
      <c r="DM875" s="27" t="s">
        <v>1151</v>
      </c>
      <c r="DN875" s="27" t="s">
        <v>399</v>
      </c>
      <c r="DO875" s="27" t="s">
        <v>480</v>
      </c>
      <c r="DP875" s="27"/>
      <c r="DQ875" s="27"/>
      <c r="DR875" s="27"/>
      <c r="DS875" s="27"/>
      <c r="DT875" s="27"/>
      <c r="DU875" s="27"/>
      <c r="DV875" s="27"/>
      <c r="DW875" s="27" t="s">
        <v>164</v>
      </c>
      <c r="DX875" s="27" t="s">
        <v>204</v>
      </c>
      <c r="DY875" s="27" t="s">
        <v>202</v>
      </c>
      <c r="DZ875" s="27" t="n">
        <f aca="false">DY875+DV875+DR875+DN875+DJ875+DF875+DB875</f>
        <v>265</v>
      </c>
      <c r="EA875" s="28" t="n">
        <f aca="false">DZ875/7</f>
        <v>37.8571428571429</v>
      </c>
      <c r="EB875" s="27" t="n">
        <f aca="false">RANK(EA875,$EA$2:$EA$881,0)</f>
        <v>861</v>
      </c>
      <c r="EC875" s="29" t="n">
        <f aca="false">DZ875+CQ875+CP875+AZ875</f>
        <v>387</v>
      </c>
      <c r="ED875" s="30" t="n">
        <f aca="false">(EA875+CV875+BB875)/3</f>
        <v>12.6190476190476</v>
      </c>
      <c r="EE875" s="51" t="n">
        <f aca="false">ROUND(BE875,3)</f>
        <v>0</v>
      </c>
      <c r="EF875" s="51" t="n">
        <f aca="false">ROUND(CR875,3)</f>
        <v>0</v>
      </c>
      <c r="EG875" s="51" t="n">
        <f aca="false">ROUND(CS875,3)</f>
        <v>17.429</v>
      </c>
      <c r="EH875" s="51" t="n">
        <f aca="false">ROUND(EA875,3)</f>
        <v>37.857</v>
      </c>
      <c r="EI875" s="51" t="n">
        <f aca="false">ROUND(ED875,3)</f>
        <v>12.619</v>
      </c>
      <c r="EJ875" s="51" t="n">
        <f aca="false">ROUND(CV875,3)</f>
        <v>0</v>
      </c>
      <c r="EK875" s="0" t="n">
        <f aca="false">RANK(EI875,$EI$2:$EI$881,0)</f>
        <v>874</v>
      </c>
    </row>
    <row r="876" customFormat="false" ht="15" hidden="false" customHeight="false" outlineLevel="0" collapsed="false">
      <c r="A876" s="4" t="n">
        <v>8252</v>
      </c>
      <c r="B876" s="4" t="n">
        <v>240</v>
      </c>
      <c r="C876" s="27" t="s">
        <v>2405</v>
      </c>
      <c r="D876" s="145"/>
      <c r="E876" s="57"/>
      <c r="F876" s="146" t="s">
        <v>2406</v>
      </c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  <c r="AZ876" s="80"/>
      <c r="BA876" s="80"/>
      <c r="BB876" s="80"/>
      <c r="BC876" s="57" t="n">
        <f aca="false">(BG876*2400)/100</f>
        <v>0</v>
      </c>
      <c r="BD876" s="16" t="e">
        <f aca="false">RANK(AX876,$AX$2:$AX$881,0)</f>
        <v>#N/A</v>
      </c>
      <c r="BE876" s="92" t="n">
        <f aca="false">((BC876*100)/2400)*0.4+(AX876*0.6)</f>
        <v>0</v>
      </c>
      <c r="BF876" s="16" t="n">
        <f aca="false">RANK(BE876,$BE$2:$BE$881,0)</f>
        <v>806</v>
      </c>
      <c r="BG876" s="80"/>
      <c r="BH876" s="39" t="n">
        <f aca="false">RANK(BC876,$BC$2:$BC$881,0)</f>
        <v>780</v>
      </c>
      <c r="BI876" s="80"/>
      <c r="BJ876" s="80"/>
      <c r="BK876" s="80"/>
      <c r="BL876" s="80"/>
      <c r="BM876" s="80"/>
      <c r="BN876" s="80"/>
      <c r="BO876" s="80"/>
      <c r="BP876" s="80"/>
      <c r="BQ876" s="80"/>
      <c r="BR876" s="80"/>
      <c r="BS876" s="80"/>
      <c r="BT876" s="80"/>
      <c r="BU876" s="80"/>
      <c r="BV876" s="80"/>
      <c r="BW876" s="80"/>
      <c r="BX876" s="80"/>
      <c r="BY876" s="80"/>
      <c r="BZ876" s="80"/>
      <c r="CA876" s="80"/>
      <c r="CB876" s="80"/>
      <c r="CC876" s="80"/>
      <c r="CD876" s="80"/>
      <c r="CE876" s="80"/>
      <c r="CF876" s="80"/>
      <c r="CG876" s="80"/>
      <c r="CH876" s="80"/>
      <c r="CI876" s="80"/>
      <c r="CJ876" s="80"/>
      <c r="CK876" s="80"/>
      <c r="CL876" s="80"/>
      <c r="CM876" s="88" t="n">
        <v>18</v>
      </c>
      <c r="CN876" s="88" t="n">
        <v>49</v>
      </c>
      <c r="CO876" s="88" t="n">
        <v>67</v>
      </c>
      <c r="CP876" s="25" t="n">
        <f aca="false">BX876+BW876+BV876+BU876+BT876+BQ876+BN876</f>
        <v>0</v>
      </c>
      <c r="CQ876" s="25" t="n">
        <f aca="false">CO876+CL876+CI876+CH876+CG876+CD876+CA876</f>
        <v>67</v>
      </c>
      <c r="CR876" s="26" t="n">
        <f aca="false">CP876/7</f>
        <v>0</v>
      </c>
      <c r="CS876" s="26" t="n">
        <f aca="false">CQ876/7</f>
        <v>9.57142857142857</v>
      </c>
      <c r="CT876" s="24" t="n">
        <f aca="false">RANK(CR876,$CR$2:$CR$881,0)</f>
        <v>768</v>
      </c>
      <c r="CU876" s="25" t="n">
        <f aca="false">RANK(CS876,$CS$2:$CS$881,0)</f>
        <v>746</v>
      </c>
      <c r="CV876" s="80"/>
      <c r="CW876" s="25" t="n">
        <f aca="false">RANK(CV876,$CV$2:$CV$881,0)</f>
        <v>753</v>
      </c>
      <c r="CX876" s="80"/>
      <c r="CY876" s="80"/>
      <c r="CZ876" s="27" t="s">
        <v>132</v>
      </c>
      <c r="DA876" s="27" t="s">
        <v>219</v>
      </c>
      <c r="DB876" s="27" t="s">
        <v>219</v>
      </c>
      <c r="DC876" s="27" t="s">
        <v>134</v>
      </c>
      <c r="DD876" s="27" t="s">
        <v>195</v>
      </c>
      <c r="DE876" s="27" t="s">
        <v>1388</v>
      </c>
      <c r="DF876" s="27" t="s">
        <v>304</v>
      </c>
      <c r="DG876" s="27" t="s">
        <v>480</v>
      </c>
      <c r="DH876" s="27" t="s">
        <v>604</v>
      </c>
      <c r="DI876" s="27" t="s">
        <v>604</v>
      </c>
      <c r="DJ876" s="27" t="s">
        <v>1151</v>
      </c>
      <c r="DK876" s="27" t="s">
        <v>480</v>
      </c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 t="s">
        <v>137</v>
      </c>
      <c r="DX876" s="27" t="s">
        <v>138</v>
      </c>
      <c r="DY876" s="27" t="s">
        <v>139</v>
      </c>
      <c r="DZ876" s="27" t="n">
        <f aca="false">DY876+DV876+DR876+DN876+DJ876+DF876+DB876</f>
        <v>261</v>
      </c>
      <c r="EA876" s="28" t="n">
        <f aca="false">DZ876/7</f>
        <v>37.2857142857143</v>
      </c>
      <c r="EB876" s="27" t="n">
        <f aca="false">RANK(EA876,$EA$2:$EA$881,0)</f>
        <v>862</v>
      </c>
      <c r="EC876" s="29" t="n">
        <f aca="false">DZ876+CQ876+CP876+AZ876</f>
        <v>328</v>
      </c>
      <c r="ED876" s="30" t="n">
        <f aca="false">(EA876+CV876+BB876)/3</f>
        <v>12.4285714285714</v>
      </c>
      <c r="EE876" s="51" t="n">
        <f aca="false">ROUND(BE876,3)</f>
        <v>0</v>
      </c>
      <c r="EF876" s="51" t="n">
        <f aca="false">ROUND(CR876,3)</f>
        <v>0</v>
      </c>
      <c r="EG876" s="51" t="n">
        <f aca="false">ROUND(CS876,3)</f>
        <v>9.571</v>
      </c>
      <c r="EH876" s="51" t="n">
        <f aca="false">ROUND(EA876,3)</f>
        <v>37.286</v>
      </c>
      <c r="EI876" s="51" t="n">
        <f aca="false">ROUND(ED876,3)</f>
        <v>12.429</v>
      </c>
      <c r="EJ876" s="51" t="n">
        <f aca="false">ROUND(CV876,3)</f>
        <v>0</v>
      </c>
      <c r="EK876" s="0" t="n">
        <f aca="false">RANK(EI876,$EI$2:$EI$881,0)</f>
        <v>875</v>
      </c>
    </row>
    <row r="877" customFormat="false" ht="15" hidden="false" customHeight="false" outlineLevel="0" collapsed="false">
      <c r="A877" s="4" t="n">
        <v>9162</v>
      </c>
      <c r="B877" s="4" t="n">
        <v>879</v>
      </c>
      <c r="C877" s="27" t="s">
        <v>2407</v>
      </c>
      <c r="D877" s="145"/>
      <c r="E877" s="57"/>
      <c r="F877" s="146" t="s">
        <v>2408</v>
      </c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  <c r="AZ877" s="80"/>
      <c r="BA877" s="80"/>
      <c r="BB877" s="80"/>
      <c r="BC877" s="57" t="n">
        <f aca="false">(BG877*2400)/100</f>
        <v>0</v>
      </c>
      <c r="BD877" s="16" t="e">
        <f aca="false">RANK(AX877,$AX$2:$AX$881,0)</f>
        <v>#N/A</v>
      </c>
      <c r="BE877" s="92" t="n">
        <f aca="false">((BC877*100)/2400)*0.4+(AX877*0.6)</f>
        <v>0</v>
      </c>
      <c r="BF877" s="16" t="n">
        <f aca="false">RANK(BE877,$BE$2:$BE$881,0)</f>
        <v>806</v>
      </c>
      <c r="BG877" s="80"/>
      <c r="BH877" s="39" t="n">
        <f aca="false">RANK(BC877,$BC$2:$BC$881,0)</f>
        <v>780</v>
      </c>
      <c r="BI877" s="80"/>
      <c r="BJ877" s="80"/>
      <c r="BK877" s="80"/>
      <c r="BL877" s="80"/>
      <c r="BM877" s="80"/>
      <c r="BN877" s="80"/>
      <c r="BO877" s="80"/>
      <c r="BP877" s="80"/>
      <c r="BQ877" s="80"/>
      <c r="BR877" s="80"/>
      <c r="BS877" s="80"/>
      <c r="BT877" s="80"/>
      <c r="BU877" s="80"/>
      <c r="BV877" s="80"/>
      <c r="BW877" s="80"/>
      <c r="BX877" s="80"/>
      <c r="BY877" s="80"/>
      <c r="BZ877" s="80"/>
      <c r="CA877" s="80"/>
      <c r="CB877" s="80"/>
      <c r="CC877" s="80"/>
      <c r="CD877" s="80"/>
      <c r="CE877" s="80"/>
      <c r="CF877" s="80"/>
      <c r="CG877" s="80"/>
      <c r="CH877" s="80"/>
      <c r="CI877" s="80"/>
      <c r="CJ877" s="80"/>
      <c r="CK877" s="80"/>
      <c r="CL877" s="80"/>
      <c r="CM877" s="80"/>
      <c r="CN877" s="80"/>
      <c r="CO877" s="80"/>
      <c r="CP877" s="25" t="n">
        <f aca="false">BX877+BW877+BV877+BU877+BT877+BQ877+BN877</f>
        <v>0</v>
      </c>
      <c r="CQ877" s="25" t="n">
        <f aca="false">CO877+CL877+CI877+CH877+CG877+CD877+CA877</f>
        <v>0</v>
      </c>
      <c r="CR877" s="26" t="n">
        <f aca="false">CP877/7</f>
        <v>0</v>
      </c>
      <c r="CS877" s="26" t="n">
        <f aca="false">CQ877/7</f>
        <v>0</v>
      </c>
      <c r="CT877" s="24" t="n">
        <f aca="false">RANK(CR877,$CR$2:$CR$881,0)</f>
        <v>768</v>
      </c>
      <c r="CU877" s="25" t="n">
        <f aca="false">RANK(CS877,$CS$2:$CS$881,0)</f>
        <v>752</v>
      </c>
      <c r="CV877" s="80"/>
      <c r="CW877" s="25" t="n">
        <f aca="false">RANK(CV877,$CV$2:$CV$881,0)</f>
        <v>753</v>
      </c>
      <c r="CX877" s="80"/>
      <c r="CY877" s="80"/>
      <c r="CZ877" s="27" t="s">
        <v>132</v>
      </c>
      <c r="DA877" s="27" t="s">
        <v>2356</v>
      </c>
      <c r="DB877" s="27" t="s">
        <v>2356</v>
      </c>
      <c r="DC877" s="27" t="s">
        <v>480</v>
      </c>
      <c r="DD877" s="27" t="s">
        <v>191</v>
      </c>
      <c r="DE877" s="27" t="s">
        <v>481</v>
      </c>
      <c r="DF877" s="27" t="s">
        <v>218</v>
      </c>
      <c r="DG877" s="27" t="s">
        <v>480</v>
      </c>
      <c r="DH877" s="27" t="s">
        <v>154</v>
      </c>
      <c r="DI877" s="27" t="s">
        <v>2409</v>
      </c>
      <c r="DJ877" s="27" t="s">
        <v>1423</v>
      </c>
      <c r="DK877" s="27" t="s">
        <v>480</v>
      </c>
      <c r="DL877" s="27" t="s">
        <v>706</v>
      </c>
      <c r="DM877" s="27" t="s">
        <v>825</v>
      </c>
      <c r="DN877" s="27" t="s">
        <v>160</v>
      </c>
      <c r="DO877" s="27" t="s">
        <v>480</v>
      </c>
      <c r="DP877" s="27"/>
      <c r="DQ877" s="27"/>
      <c r="DR877" s="27"/>
      <c r="DS877" s="27"/>
      <c r="DT877" s="27"/>
      <c r="DU877" s="27"/>
      <c r="DV877" s="27"/>
      <c r="DW877" s="27" t="s">
        <v>154</v>
      </c>
      <c r="DX877" s="27" t="s">
        <v>187</v>
      </c>
      <c r="DY877" s="27" t="s">
        <v>162</v>
      </c>
      <c r="DZ877" s="27" t="n">
        <f aca="false">DY877+DV877+DR877+DN877+DJ877+DF877+DB877</f>
        <v>207</v>
      </c>
      <c r="EA877" s="28" t="n">
        <f aca="false">DZ877/7</f>
        <v>29.5714285714286</v>
      </c>
      <c r="EB877" s="27" t="n">
        <f aca="false">RANK(EA877,$EA$2:$EA$881,0)</f>
        <v>864</v>
      </c>
      <c r="EC877" s="29" t="n">
        <f aca="false">DZ877+CQ877+CP877+AZ877</f>
        <v>207</v>
      </c>
      <c r="ED877" s="30" t="n">
        <f aca="false">(EA877+CV877+BB877)/3</f>
        <v>9.85714285714286</v>
      </c>
      <c r="EE877" s="51" t="n">
        <f aca="false">ROUND(BE877,3)</f>
        <v>0</v>
      </c>
      <c r="EF877" s="51" t="n">
        <f aca="false">ROUND(CR877,3)</f>
        <v>0</v>
      </c>
      <c r="EG877" s="51" t="n">
        <f aca="false">ROUND(CS877,3)</f>
        <v>0</v>
      </c>
      <c r="EH877" s="51" t="n">
        <f aca="false">ROUND(EA877,3)</f>
        <v>29.571</v>
      </c>
      <c r="EI877" s="51" t="n">
        <f aca="false">ROUND(ED877,3)</f>
        <v>9.857</v>
      </c>
      <c r="EJ877" s="51" t="n">
        <f aca="false">ROUND(CV877,3)</f>
        <v>0</v>
      </c>
      <c r="EK877" s="0" t="n">
        <f aca="false">RANK(EI877,$EI$2:$EI$881,0)</f>
        <v>876</v>
      </c>
    </row>
    <row r="878" customFormat="false" ht="15" hidden="false" customHeight="false" outlineLevel="0" collapsed="false">
      <c r="A878" s="4" t="n">
        <v>1674</v>
      </c>
      <c r="B878" s="4" t="n">
        <v>25</v>
      </c>
      <c r="C878" s="27" t="s">
        <v>2410</v>
      </c>
      <c r="D878" s="145"/>
      <c r="E878" s="57" t="n">
        <v>220610361</v>
      </c>
      <c r="F878" s="146" t="s">
        <v>2411</v>
      </c>
      <c r="G878" s="80"/>
      <c r="H878" s="57" t="s">
        <v>558</v>
      </c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  <c r="AV878" s="80"/>
      <c r="AW878" s="80"/>
      <c r="AX878" s="57" t="n">
        <v>75.7</v>
      </c>
      <c r="AY878" s="80"/>
      <c r="AZ878" s="80"/>
      <c r="BA878" s="80"/>
      <c r="BB878" s="80"/>
      <c r="BC878" s="57" t="n">
        <v>2332</v>
      </c>
      <c r="BD878" s="16" t="n">
        <f aca="false">RANK(AX878,$AX$2:$AX$881,0)</f>
        <v>640</v>
      </c>
      <c r="BE878" s="92" t="n">
        <f aca="false">((BC878*100)/2400)*0.4+(AX878*0.6)</f>
        <v>84.2866666666667</v>
      </c>
      <c r="BF878" s="16" t="n">
        <f aca="false">RANK(BE878,$BE$2:$BE$881,0)</f>
        <v>676</v>
      </c>
      <c r="BH878" s="39" t="n">
        <f aca="false">RANK(BC878,$BC$2:$BC$881,0)</f>
        <v>709</v>
      </c>
      <c r="BI878" s="57"/>
      <c r="BJ878" s="57"/>
      <c r="BK878" s="57"/>
      <c r="BL878" s="25" t="n">
        <v>15</v>
      </c>
      <c r="BM878" s="25" t="n">
        <v>23</v>
      </c>
      <c r="BN878" s="71" t="n">
        <v>38</v>
      </c>
      <c r="BO878" s="25" t="n">
        <v>0</v>
      </c>
      <c r="BP878" s="25" t="n">
        <v>23</v>
      </c>
      <c r="BQ878" s="71" t="n">
        <v>23</v>
      </c>
      <c r="BR878" s="25" t="n">
        <v>14</v>
      </c>
      <c r="BS878" s="25" t="n">
        <v>26</v>
      </c>
      <c r="BT878" s="71" t="n">
        <v>40</v>
      </c>
      <c r="BU878" s="99" t="n">
        <v>45</v>
      </c>
      <c r="BV878" s="25" t="n">
        <v>72</v>
      </c>
      <c r="BW878" s="124"/>
      <c r="BX878" s="124"/>
      <c r="BY878" s="149" t="n">
        <v>21</v>
      </c>
      <c r="BZ878" s="149" t="n">
        <v>41</v>
      </c>
      <c r="CA878" s="149" t="n">
        <v>62</v>
      </c>
      <c r="CB878" s="149" t="n">
        <v>11</v>
      </c>
      <c r="CC878" s="149" t="n">
        <v>23</v>
      </c>
      <c r="CD878" s="149" t="n">
        <v>34</v>
      </c>
      <c r="CE878" s="149" t="n">
        <v>18</v>
      </c>
      <c r="CF878" s="149" t="n">
        <v>47</v>
      </c>
      <c r="CG878" s="149" t="n">
        <v>65</v>
      </c>
      <c r="CH878" s="149"/>
      <c r="CI878" s="149" t="n">
        <v>58</v>
      </c>
      <c r="CJ878" s="149" t="n">
        <v>12</v>
      </c>
      <c r="CK878" s="149" t="n">
        <v>51</v>
      </c>
      <c r="CL878" s="149" t="n">
        <v>63</v>
      </c>
      <c r="CM878" s="57"/>
      <c r="CN878" s="57"/>
      <c r="CO878" s="57"/>
      <c r="CP878" s="25" t="n">
        <f aca="false">BX878+BW878+BV878+BU878+BT878+BQ878+BN878</f>
        <v>218</v>
      </c>
      <c r="CQ878" s="25" t="n">
        <f aca="false">CO878+CL878+CI878+CH878+CG878+CD878+CA878</f>
        <v>282</v>
      </c>
      <c r="CR878" s="26" t="n">
        <f aca="false">CP878/7</f>
        <v>31.1428571428571</v>
      </c>
      <c r="CS878" s="26" t="n">
        <f aca="false">CQ878/7</f>
        <v>40.2857142857143</v>
      </c>
      <c r="CT878" s="24" t="n">
        <f aca="false">RANK(CR878,$CR$2:$CR$881,0)</f>
        <v>751</v>
      </c>
      <c r="CU878" s="25" t="n">
        <f aca="false">RANK(CS878,$CS$2:$CS$881,0)</f>
        <v>723</v>
      </c>
      <c r="CV878" s="150"/>
      <c r="CW878" s="25" t="n">
        <f aca="false">RANK(CV878,$CV$2:$CV$881,0)</f>
        <v>753</v>
      </c>
      <c r="CX878" s="57"/>
      <c r="CY878" s="57"/>
      <c r="CZ878" s="27" t="s">
        <v>132</v>
      </c>
      <c r="DA878" s="27" t="s">
        <v>177</v>
      </c>
      <c r="DB878" s="27" t="s">
        <v>177</v>
      </c>
      <c r="DC878" s="27" t="s">
        <v>134</v>
      </c>
      <c r="DD878" s="27"/>
      <c r="DE878" s="27"/>
      <c r="DF878" s="27"/>
      <c r="DG878" s="27"/>
      <c r="DH878" s="27" t="s">
        <v>604</v>
      </c>
      <c r="DI878" s="27" t="s">
        <v>2412</v>
      </c>
      <c r="DJ878" s="27" t="s">
        <v>135</v>
      </c>
      <c r="DK878" s="27" t="s">
        <v>480</v>
      </c>
      <c r="DL878" s="27" t="s">
        <v>718</v>
      </c>
      <c r="DM878" s="27" t="s">
        <v>673</v>
      </c>
      <c r="DN878" s="27" t="s">
        <v>447</v>
      </c>
      <c r="DO878" s="27" t="s">
        <v>480</v>
      </c>
      <c r="DP878" s="27"/>
      <c r="DQ878" s="27"/>
      <c r="DR878" s="27"/>
      <c r="DS878" s="27"/>
      <c r="DT878" s="27" t="s">
        <v>1000</v>
      </c>
      <c r="DU878" s="27" t="s">
        <v>386</v>
      </c>
      <c r="DV878" s="27" t="s">
        <v>1151</v>
      </c>
      <c r="DW878" s="27" t="s">
        <v>264</v>
      </c>
      <c r="DX878" s="27" t="s">
        <v>619</v>
      </c>
      <c r="DY878" s="27" t="s">
        <v>264</v>
      </c>
      <c r="DZ878" s="27" t="n">
        <f aca="false">DY878+DV878+DR878+DN878+DJ878+DF878+DB878</f>
        <v>189</v>
      </c>
      <c r="EA878" s="28" t="n">
        <f aca="false">DZ878/7</f>
        <v>27</v>
      </c>
      <c r="EB878" s="27" t="n">
        <f aca="false">RANK(EA878,$EA$2:$EA$881,0)</f>
        <v>866</v>
      </c>
      <c r="EC878" s="29" t="n">
        <f aca="false">DZ878+CQ878+CP878+AZ878</f>
        <v>689</v>
      </c>
      <c r="ED878" s="30" t="n">
        <f aca="false">(EA878+CV878+BB878)/3</f>
        <v>9</v>
      </c>
      <c r="EE878" s="51" t="n">
        <f aca="false">ROUND(BE878,3)</f>
        <v>84.287</v>
      </c>
      <c r="EF878" s="51" t="n">
        <f aca="false">ROUND(CR878,3)</f>
        <v>31.143</v>
      </c>
      <c r="EG878" s="51" t="n">
        <f aca="false">ROUND(CS878,3)</f>
        <v>40.286</v>
      </c>
      <c r="EH878" s="51" t="n">
        <f aca="false">ROUND(EA878,3)</f>
        <v>27</v>
      </c>
      <c r="EI878" s="51" t="n">
        <f aca="false">ROUND(ED878,3)</f>
        <v>9</v>
      </c>
      <c r="EJ878" s="51" t="n">
        <f aca="false">ROUND(CV878,3)</f>
        <v>0</v>
      </c>
      <c r="EK878" s="0" t="n">
        <f aca="false">RANK(EI878,$EI$2:$EI$881,0)</f>
        <v>877</v>
      </c>
    </row>
    <row r="879" customFormat="false" ht="15" hidden="false" customHeight="false" outlineLevel="0" collapsed="false">
      <c r="A879" s="4" t="n">
        <v>8230</v>
      </c>
      <c r="B879" s="4" t="n">
        <v>834</v>
      </c>
      <c r="C879" s="27" t="s">
        <v>2413</v>
      </c>
      <c r="D879" s="145"/>
      <c r="E879" s="57"/>
      <c r="F879" s="146" t="s">
        <v>2414</v>
      </c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  <c r="AZ879" s="80"/>
      <c r="BA879" s="80"/>
      <c r="BB879" s="80"/>
      <c r="BC879" s="57" t="n">
        <f aca="false">(BG879*2400)/100</f>
        <v>0</v>
      </c>
      <c r="BD879" s="16" t="e">
        <f aca="false">RANK(AX879,$AX$2:$AX$881,0)</f>
        <v>#N/A</v>
      </c>
      <c r="BE879" s="92" t="n">
        <f aca="false">((BC879*100)/2400)*0.4+(AX879*0.6)</f>
        <v>0</v>
      </c>
      <c r="BF879" s="16" t="n">
        <f aca="false">RANK(BE879,$BE$2:$BE$881,0)</f>
        <v>806</v>
      </c>
      <c r="BG879" s="80"/>
      <c r="BH879" s="39" t="n">
        <f aca="false">RANK(BC879,$BC$2:$BC$881,0)</f>
        <v>780</v>
      </c>
      <c r="BI879" s="80"/>
      <c r="BJ879" s="80"/>
      <c r="BK879" s="80"/>
      <c r="BL879" s="57" t="n">
        <v>17</v>
      </c>
      <c r="BM879" s="80"/>
      <c r="BN879" s="80"/>
      <c r="BO879" s="80"/>
      <c r="BP879" s="80"/>
      <c r="BQ879" s="80"/>
      <c r="BR879" s="80"/>
      <c r="BS879" s="80"/>
      <c r="BT879" s="80"/>
      <c r="BU879" s="80"/>
      <c r="BV879" s="80"/>
      <c r="BW879" s="80"/>
      <c r="BX879" s="80"/>
      <c r="BY879" s="80"/>
      <c r="BZ879" s="80"/>
      <c r="CA879" s="80"/>
      <c r="CB879" s="80"/>
      <c r="CC879" s="80"/>
      <c r="CD879" s="80"/>
      <c r="CE879" s="80"/>
      <c r="CF879" s="80"/>
      <c r="CG879" s="80"/>
      <c r="CH879" s="80"/>
      <c r="CI879" s="80"/>
      <c r="CJ879" s="80"/>
      <c r="CK879" s="80"/>
      <c r="CL879" s="80"/>
      <c r="CM879" s="80"/>
      <c r="CN879" s="80"/>
      <c r="CO879" s="80"/>
      <c r="CP879" s="25" t="n">
        <f aca="false">BX879+BW879+BV879+BU879+BT879+BQ879+BN879</f>
        <v>0</v>
      </c>
      <c r="CQ879" s="25" t="n">
        <f aca="false">CO879+CL879+CI879+CH879+CG879+CD879+CA879</f>
        <v>0</v>
      </c>
      <c r="CR879" s="26" t="n">
        <f aca="false">CP879/7</f>
        <v>0</v>
      </c>
      <c r="CS879" s="26" t="n">
        <f aca="false">CQ879/7</f>
        <v>0</v>
      </c>
      <c r="CT879" s="24" t="n">
        <f aca="false">RANK(CR879,$CR$2:$CR$881,0)</f>
        <v>768</v>
      </c>
      <c r="CU879" s="25" t="n">
        <f aca="false">RANK(CS879,$CS$2:$CS$881,0)</f>
        <v>752</v>
      </c>
      <c r="CV879" s="80"/>
      <c r="CW879" s="25" t="n">
        <f aca="false">RANK(CV879,$CV$2:$CV$881,0)</f>
        <v>753</v>
      </c>
      <c r="CX879" s="80"/>
      <c r="CY879" s="80"/>
      <c r="CZ879" s="27" t="s">
        <v>132</v>
      </c>
      <c r="DA879" s="27" t="s">
        <v>313</v>
      </c>
      <c r="DB879" s="27" t="s">
        <v>313</v>
      </c>
      <c r="DC879" s="27" t="s">
        <v>480</v>
      </c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 t="n">
        <f aca="false">DY879+DV879+DR879+DN879+DJ879+DF879+DB879</f>
        <v>52</v>
      </c>
      <c r="EA879" s="28" t="n">
        <f aca="false">DZ879/7</f>
        <v>7.42857142857143</v>
      </c>
      <c r="EB879" s="27" t="n">
        <f aca="false">RANK(EA879,$EA$2:$EA$881,0)</f>
        <v>868</v>
      </c>
      <c r="EC879" s="29" t="n">
        <f aca="false">DZ879+CQ879+CP879+AZ879</f>
        <v>52</v>
      </c>
      <c r="ED879" s="30" t="n">
        <f aca="false">(EA879+CV879+BB879)/3</f>
        <v>2.47619047619048</v>
      </c>
      <c r="EE879" s="51" t="n">
        <f aca="false">ROUND(BE879,3)</f>
        <v>0</v>
      </c>
      <c r="EF879" s="51" t="n">
        <f aca="false">ROUND(CR879,3)</f>
        <v>0</v>
      </c>
      <c r="EG879" s="51" t="n">
        <f aca="false">ROUND(CS879,3)</f>
        <v>0</v>
      </c>
      <c r="EH879" s="51" t="n">
        <f aca="false">ROUND(EA879,3)</f>
        <v>7.429</v>
      </c>
      <c r="EI879" s="51" t="n">
        <f aca="false">ROUND(ED879,3)</f>
        <v>2.476</v>
      </c>
      <c r="EJ879" s="51" t="n">
        <f aca="false">ROUND(CV879,3)</f>
        <v>0</v>
      </c>
      <c r="EK879" s="0" t="n">
        <f aca="false">RANK(EI879,$EI$2:$EI$881,0)</f>
        <v>878</v>
      </c>
    </row>
    <row r="880" customFormat="false" ht="15" hidden="false" customHeight="false" outlineLevel="0" collapsed="false">
      <c r="A880" s="4" t="n">
        <v>8555</v>
      </c>
      <c r="B880" s="4" t="n">
        <v>540</v>
      </c>
      <c r="C880" s="27" t="s">
        <v>2415</v>
      </c>
      <c r="D880" s="145"/>
      <c r="E880" s="57"/>
      <c r="F880" s="146" t="s">
        <v>2416</v>
      </c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  <c r="AZ880" s="80"/>
      <c r="BA880" s="80"/>
      <c r="BB880" s="80"/>
      <c r="BC880" s="57" t="n">
        <f aca="false">(BG880*2400)/100</f>
        <v>0</v>
      </c>
      <c r="BD880" s="16" t="e">
        <f aca="false">RANK(AX880,$AX$2:$AX$881,0)</f>
        <v>#N/A</v>
      </c>
      <c r="BE880" s="92" t="n">
        <f aca="false">((BC880*100)/2400)*0.4+(AX880*0.6)</f>
        <v>0</v>
      </c>
      <c r="BF880" s="16" t="n">
        <f aca="false">RANK(BE880,$BE$2:$BE$881,0)</f>
        <v>806</v>
      </c>
      <c r="BG880" s="80"/>
      <c r="BH880" s="39" t="n">
        <f aca="false">RANK(BC880,$BC$2:$BC$881,0)</f>
        <v>780</v>
      </c>
      <c r="BI880" s="80"/>
      <c r="BJ880" s="80"/>
      <c r="BK880" s="80"/>
      <c r="BL880" s="80"/>
      <c r="BM880" s="80"/>
      <c r="BN880" s="80"/>
      <c r="BO880" s="80"/>
      <c r="BP880" s="80"/>
      <c r="BQ880" s="80"/>
      <c r="BR880" s="80"/>
      <c r="BS880" s="80"/>
      <c r="BT880" s="80"/>
      <c r="BU880" s="80"/>
      <c r="BV880" s="80"/>
      <c r="BW880" s="80"/>
      <c r="BX880" s="80"/>
      <c r="BY880" s="80"/>
      <c r="BZ880" s="80"/>
      <c r="CA880" s="80"/>
      <c r="CB880" s="80"/>
      <c r="CC880" s="80"/>
      <c r="CD880" s="80"/>
      <c r="CE880" s="80"/>
      <c r="CF880" s="80"/>
      <c r="CG880" s="80"/>
      <c r="CH880" s="80"/>
      <c r="CI880" s="80"/>
      <c r="CJ880" s="80"/>
      <c r="CK880" s="80"/>
      <c r="CL880" s="80"/>
      <c r="CM880" s="80"/>
      <c r="CN880" s="80"/>
      <c r="CO880" s="80"/>
      <c r="CP880" s="25" t="n">
        <f aca="false">BX880+BW880+BV880+BU880+BT880+BQ880+BN880</f>
        <v>0</v>
      </c>
      <c r="CQ880" s="25" t="n">
        <f aca="false">CO880+CL880+CI880+CH880+CG880+CD880+CA880</f>
        <v>0</v>
      </c>
      <c r="CR880" s="26" t="n">
        <f aca="false">CP880/7</f>
        <v>0</v>
      </c>
      <c r="CS880" s="26" t="n">
        <f aca="false">CQ880/7</f>
        <v>0</v>
      </c>
      <c r="CT880" s="24" t="n">
        <f aca="false">RANK(CR880,$CR$2:$CR$881,0)</f>
        <v>768</v>
      </c>
      <c r="CU880" s="25" t="n">
        <f aca="false">RANK(CS880,$CS$2:$CS$881,0)</f>
        <v>752</v>
      </c>
      <c r="CV880" s="80"/>
      <c r="CW880" s="25" t="n">
        <f aca="false">RANK(CV880,$CV$2:$CV$881,0)</f>
        <v>753</v>
      </c>
      <c r="CX880" s="80"/>
      <c r="CY880" s="80"/>
      <c r="CZ880" s="27"/>
      <c r="DA880" s="27"/>
      <c r="DB880" s="27"/>
      <c r="DC880" s="27"/>
      <c r="DD880" s="27" t="s">
        <v>619</v>
      </c>
      <c r="DE880" s="27" t="s">
        <v>2202</v>
      </c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 t="n">
        <f aca="false">DY880+DV880+DR880+DN880+DJ880+DF880+DB880</f>
        <v>0</v>
      </c>
      <c r="EA880" s="28" t="n">
        <f aca="false">DZ880/7</f>
        <v>0</v>
      </c>
      <c r="EB880" s="27" t="n">
        <f aca="false">RANK(EA880,$EA$2:$EA$881,0)</f>
        <v>870</v>
      </c>
      <c r="EC880" s="29" t="n">
        <f aca="false">DZ880+CQ880+CP880+AZ880</f>
        <v>0</v>
      </c>
      <c r="ED880" s="30" t="n">
        <f aca="false">(EA880+CV880+BB880)/3</f>
        <v>0</v>
      </c>
      <c r="EE880" s="51" t="n">
        <f aca="false">ROUND(BE880,3)</f>
        <v>0</v>
      </c>
      <c r="EF880" s="51" t="n">
        <f aca="false">ROUND(CR880,3)</f>
        <v>0</v>
      </c>
      <c r="EG880" s="51" t="n">
        <f aca="false">ROUND(CS880,3)</f>
        <v>0</v>
      </c>
      <c r="EH880" s="51" t="n">
        <f aca="false">ROUND(EA880,3)</f>
        <v>0</v>
      </c>
      <c r="EI880" s="51" t="n">
        <f aca="false">ROUND(ED880,3)</f>
        <v>0</v>
      </c>
      <c r="EJ880" s="51" t="n">
        <f aca="false">ROUND(CV880,3)</f>
        <v>0</v>
      </c>
      <c r="EK880" s="0" t="n">
        <f aca="false">RANK(EI880,$EI$2:$EI$881,0)</f>
        <v>879</v>
      </c>
    </row>
    <row r="881" customFormat="false" ht="15" hidden="false" customHeight="false" outlineLevel="0" collapsed="false">
      <c r="A881" s="4" t="n">
        <v>1790</v>
      </c>
      <c r="B881" s="4" t="n">
        <v>633</v>
      </c>
      <c r="C881" s="27" t="s">
        <v>2417</v>
      </c>
      <c r="D881" s="145"/>
      <c r="E881" s="57"/>
      <c r="F881" s="146" t="s">
        <v>2418</v>
      </c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  <c r="AZ881" s="80"/>
      <c r="BA881" s="80"/>
      <c r="BB881" s="80"/>
      <c r="BC881" s="57" t="n">
        <f aca="false">(BG881*2400)/100</f>
        <v>0</v>
      </c>
      <c r="BD881" s="16" t="e">
        <f aca="false">RANK(AX881,$AX$2:$AX$881,0)</f>
        <v>#N/A</v>
      </c>
      <c r="BE881" s="92" t="n">
        <f aca="false">((BC881*100)/2400)*0.4+(AX881*0.6)</f>
        <v>0</v>
      </c>
      <c r="BF881" s="16" t="n">
        <f aca="false">RANK(BE881,$BE$2:$BE$881,0)</f>
        <v>806</v>
      </c>
      <c r="BG881" s="80"/>
      <c r="BH881" s="39" t="n">
        <f aca="false">RANK(BC881,$BC$2:$BC$881,0)</f>
        <v>780</v>
      </c>
      <c r="BI881" s="80"/>
      <c r="BJ881" s="80"/>
      <c r="BK881" s="80"/>
      <c r="BL881" s="80"/>
      <c r="BM881" s="80"/>
      <c r="BN881" s="80"/>
      <c r="BO881" s="80"/>
      <c r="BP881" s="80"/>
      <c r="BQ881" s="80"/>
      <c r="BR881" s="80"/>
      <c r="BS881" s="80"/>
      <c r="BT881" s="80"/>
      <c r="BU881" s="80"/>
      <c r="BV881" s="80"/>
      <c r="BW881" s="80"/>
      <c r="BX881" s="80"/>
      <c r="BY881" s="80"/>
      <c r="BZ881" s="80"/>
      <c r="CA881" s="80"/>
      <c r="CB881" s="80"/>
      <c r="CC881" s="80"/>
      <c r="CD881" s="80"/>
      <c r="CE881" s="80"/>
      <c r="CF881" s="80"/>
      <c r="CG881" s="80"/>
      <c r="CH881" s="80"/>
      <c r="CI881" s="80"/>
      <c r="CJ881" s="80"/>
      <c r="CK881" s="80"/>
      <c r="CL881" s="80"/>
      <c r="CM881" s="80"/>
      <c r="CN881" s="80"/>
      <c r="CO881" s="80"/>
      <c r="CP881" s="25" t="n">
        <f aca="false">BX881+BW881+BV881+BU881+BT881+BQ881+BN881</f>
        <v>0</v>
      </c>
      <c r="CQ881" s="25" t="n">
        <f aca="false">CO881+CL881+CI881+CH881+CG881+CD881+CA881</f>
        <v>0</v>
      </c>
      <c r="CR881" s="26" t="n">
        <f aca="false">CP881/7</f>
        <v>0</v>
      </c>
      <c r="CS881" s="26" t="n">
        <f aca="false">CQ881/7</f>
        <v>0</v>
      </c>
      <c r="CT881" s="24" t="n">
        <f aca="false">RANK(CR881,$CR$2:$CR$881,0)</f>
        <v>768</v>
      </c>
      <c r="CU881" s="25" t="n">
        <f aca="false">RANK(CS881,$CS$2:$CS$881,0)</f>
        <v>752</v>
      </c>
      <c r="CV881" s="80"/>
      <c r="CW881" s="25" t="n">
        <f aca="false">RANK(CV881,$CV$2:$CV$881,0)</f>
        <v>753</v>
      </c>
      <c r="CX881" s="80"/>
      <c r="CY881" s="80"/>
      <c r="CZ881" s="27"/>
      <c r="DA881" s="27"/>
      <c r="DB881" s="27"/>
      <c r="DC881" s="27"/>
      <c r="DD881" s="27" t="s">
        <v>619</v>
      </c>
      <c r="DE881" s="27" t="s">
        <v>2202</v>
      </c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 t="n">
        <f aca="false">DY881+DV881+DR881+DN881+DJ881+DF881+DB881</f>
        <v>0</v>
      </c>
      <c r="EA881" s="28" t="n">
        <f aca="false">DZ881/7</f>
        <v>0</v>
      </c>
      <c r="EB881" s="27" t="n">
        <f aca="false">RANK(EA881,$EA$2:$EA$881,0)</f>
        <v>870</v>
      </c>
      <c r="EC881" s="29" t="n">
        <f aca="false">DZ881+CQ881+CP881+AZ881</f>
        <v>0</v>
      </c>
      <c r="ED881" s="30" t="n">
        <f aca="false">(EA881+CV881+BB881)/3</f>
        <v>0</v>
      </c>
      <c r="EE881" s="51" t="n">
        <f aca="false">ROUND(BE881,3)</f>
        <v>0</v>
      </c>
      <c r="EF881" s="51" t="n">
        <f aca="false">ROUND(CR881,3)</f>
        <v>0</v>
      </c>
      <c r="EG881" s="51" t="n">
        <f aca="false">ROUND(CS881,3)</f>
        <v>0</v>
      </c>
      <c r="EH881" s="51" t="n">
        <f aca="false">ROUND(EA881,3)</f>
        <v>0</v>
      </c>
      <c r="EI881" s="51" t="n">
        <f aca="false">ROUND(ED881,3)</f>
        <v>0</v>
      </c>
      <c r="EJ881" s="51" t="n">
        <f aca="false">ROUND(CV881,3)</f>
        <v>0</v>
      </c>
      <c r="EK881" s="0" t="n">
        <f aca="false">RANK(EI881,$EI$2:$EI$881,0)</f>
        <v>879</v>
      </c>
    </row>
  </sheetData>
  <conditionalFormatting sqref="BU2:BU714 BU754:BU768 BU751:BU752 BW2:BW822 BM849:BM881 BL849:BL871 BL874:BL879 BM779:BV779 BY779:CO779 G755:G768 H756:H762 H765:H768 I769:I779 I782:I848">
    <cfRule type="cellIs" priority="2" operator="lessThan" aboveAverage="0" equalAverage="0" bottom="0" percent="0" rank="0" text="" dxfId="19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933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2026-04-17T20:40:02Z</dcterms:created>
  <dc:creator/>
  <dc:description/>
  <dc:language>en-US</dc:language>
  <cp:lastModifiedBy/>
  <dcterms:modified xsi:type="dcterms:W3CDTF">2026-04-24T22:52:48Z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